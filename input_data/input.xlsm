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tonk1x - NextCloud\TT data\Прайс-листы\"/>
    </mc:Choice>
  </mc:AlternateContent>
  <xr:revisionPtr revIDLastSave="0" documentId="13_ncr:1_{3520C127-97D6-4B7C-9952-6F3C8DA4A77B}" xr6:coauthVersionLast="47" xr6:coauthVersionMax="47" xr10:uidLastSave="{00000000-0000-0000-0000-000000000000}"/>
  <bookViews>
    <workbookView xWindow="28680" yWindow="-120" windowWidth="29040" windowHeight="15990" tabRatio="573" xr2:uid="{00000000-000D-0000-FFFF-FFFF00000000}"/>
  </bookViews>
  <sheets>
    <sheet name="Кат" sheetId="1" r:id="rId1"/>
    <sheet name="Проценка" sheetId="6" r:id="rId2"/>
    <sheet name="отчет Eplex" sheetId="7" r:id="rId3"/>
    <sheet name="Прайс" sheetId="4" r:id="rId4"/>
    <sheet name="Наценка" sheetId="2" r:id="rId5"/>
    <sheet name="Выгр Кат" sheetId="3" r:id="rId6"/>
    <sheet name="Ссылки" sheetId="11" r:id="rId7"/>
    <sheet name="Из ГУГЛа" sheetId="12" r:id="rId8"/>
  </sheets>
  <definedNames>
    <definedName name="_xlnm._FilterDatabase" localSheetId="5" hidden="1">'Выгр Кат'!$A$1:$O$86</definedName>
    <definedName name="_xlnm._FilterDatabase" localSheetId="0" hidden="1">Кат!$A$2:$AC$87</definedName>
    <definedName name="_xlnm._FilterDatabase" localSheetId="3" hidden="1">Прайс!$A$4:$E$4</definedName>
    <definedName name="ExternalData_1" localSheetId="7" hidden="1">'Из ГУГЛа'!$A$1:$T$89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9" i="1" l="1"/>
  <c r="L62" i="1"/>
  <c r="L32" i="1"/>
  <c r="L20" i="1"/>
  <c r="N17" i="1"/>
  <c r="N78" i="1"/>
  <c r="N79" i="1"/>
  <c r="N92" i="1"/>
  <c r="N98" i="1"/>
  <c r="N97" i="1"/>
  <c r="N96" i="1"/>
  <c r="N95" i="1"/>
  <c r="N94" i="1"/>
  <c r="N93" i="1"/>
  <c r="N91" i="1"/>
  <c r="N99" i="1"/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3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P14" i="1"/>
  <c r="P25" i="1"/>
  <c r="P26" i="1"/>
  <c r="P37" i="1"/>
  <c r="P38" i="1"/>
  <c r="C49" i="1"/>
  <c r="C50" i="1"/>
  <c r="C61" i="1"/>
  <c r="C62" i="1"/>
  <c r="C73" i="1"/>
  <c r="Q74" i="1"/>
  <c r="C85" i="1"/>
  <c r="C86" i="1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0" i="1"/>
  <c r="D10" i="1"/>
  <c r="F10" i="1"/>
  <c r="C11" i="1"/>
  <c r="D11" i="1"/>
  <c r="F11" i="1"/>
  <c r="C12" i="1"/>
  <c r="D12" i="1"/>
  <c r="F12" i="1"/>
  <c r="C15" i="1"/>
  <c r="D15" i="1"/>
  <c r="F15" i="1"/>
  <c r="C16" i="1"/>
  <c r="D16" i="1"/>
  <c r="F16" i="1"/>
  <c r="C17" i="1"/>
  <c r="D17" i="1"/>
  <c r="F17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3" i="1"/>
  <c r="D23" i="1"/>
  <c r="F23" i="1"/>
  <c r="C24" i="1"/>
  <c r="D24" i="1"/>
  <c r="F24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3" i="1"/>
  <c r="D33" i="1"/>
  <c r="F33" i="1"/>
  <c r="C34" i="1"/>
  <c r="D34" i="1"/>
  <c r="F34" i="1"/>
  <c r="C35" i="1"/>
  <c r="D35" i="1"/>
  <c r="F35" i="1"/>
  <c r="C36" i="1"/>
  <c r="D36" i="1"/>
  <c r="F36" i="1"/>
  <c r="C39" i="1"/>
  <c r="D39" i="1"/>
  <c r="F39" i="1"/>
  <c r="C40" i="1"/>
  <c r="D40" i="1"/>
  <c r="F40" i="1"/>
  <c r="C41" i="1"/>
  <c r="D41" i="1"/>
  <c r="F41" i="1"/>
  <c r="C42" i="1"/>
  <c r="D42" i="1"/>
  <c r="F42" i="1"/>
  <c r="C43" i="1"/>
  <c r="D43" i="1"/>
  <c r="F43" i="1"/>
  <c r="C44" i="1"/>
  <c r="D44" i="1"/>
  <c r="F44" i="1"/>
  <c r="C45" i="1"/>
  <c r="D45" i="1"/>
  <c r="F45" i="1"/>
  <c r="C46" i="1"/>
  <c r="D46" i="1"/>
  <c r="F46" i="1"/>
  <c r="C47" i="1"/>
  <c r="D47" i="1"/>
  <c r="F47" i="1"/>
  <c r="C48" i="1"/>
  <c r="D48" i="1"/>
  <c r="F48" i="1"/>
  <c r="C51" i="1"/>
  <c r="D51" i="1"/>
  <c r="F51" i="1"/>
  <c r="C52" i="1"/>
  <c r="D52" i="1"/>
  <c r="F52" i="1"/>
  <c r="C53" i="1"/>
  <c r="D53" i="1"/>
  <c r="F53" i="1"/>
  <c r="C54" i="1"/>
  <c r="D54" i="1"/>
  <c r="F54" i="1"/>
  <c r="C55" i="1"/>
  <c r="D55" i="1"/>
  <c r="F55" i="1"/>
  <c r="C56" i="1"/>
  <c r="D56" i="1"/>
  <c r="F56" i="1"/>
  <c r="C57" i="1"/>
  <c r="D57" i="1"/>
  <c r="F57" i="1"/>
  <c r="C58" i="1"/>
  <c r="D58" i="1"/>
  <c r="F58" i="1"/>
  <c r="C59" i="1"/>
  <c r="D59" i="1"/>
  <c r="F59" i="1"/>
  <c r="C60" i="1"/>
  <c r="D60" i="1"/>
  <c r="F60" i="1"/>
  <c r="C63" i="1"/>
  <c r="D63" i="1"/>
  <c r="F63" i="1"/>
  <c r="C64" i="1"/>
  <c r="D64" i="1"/>
  <c r="F64" i="1"/>
  <c r="C65" i="1"/>
  <c r="D65" i="1"/>
  <c r="F65" i="1"/>
  <c r="C66" i="1"/>
  <c r="D66" i="1"/>
  <c r="F66" i="1"/>
  <c r="C67" i="1"/>
  <c r="D67" i="1"/>
  <c r="F67" i="1"/>
  <c r="C68" i="1"/>
  <c r="D68" i="1"/>
  <c r="F68" i="1"/>
  <c r="C69" i="1"/>
  <c r="D69" i="1"/>
  <c r="F69" i="1"/>
  <c r="C70" i="1"/>
  <c r="D70" i="1"/>
  <c r="F70" i="1"/>
  <c r="C71" i="1"/>
  <c r="D71" i="1"/>
  <c r="F71" i="1"/>
  <c r="C72" i="1"/>
  <c r="D72" i="1"/>
  <c r="F72" i="1"/>
  <c r="C75" i="1"/>
  <c r="D75" i="1"/>
  <c r="F75" i="1"/>
  <c r="C76" i="1"/>
  <c r="D76" i="1"/>
  <c r="F76" i="1"/>
  <c r="C77" i="1"/>
  <c r="D77" i="1"/>
  <c r="F77" i="1"/>
  <c r="C78" i="1"/>
  <c r="D78" i="1"/>
  <c r="F78" i="1"/>
  <c r="C79" i="1"/>
  <c r="D79" i="1"/>
  <c r="F79" i="1"/>
  <c r="C80" i="1"/>
  <c r="D80" i="1"/>
  <c r="F80" i="1"/>
  <c r="C81" i="1"/>
  <c r="D81" i="1"/>
  <c r="F81" i="1"/>
  <c r="C82" i="1"/>
  <c r="D82" i="1"/>
  <c r="F82" i="1"/>
  <c r="C83" i="1"/>
  <c r="D83" i="1"/>
  <c r="F83" i="1"/>
  <c r="C84" i="1"/>
  <c r="D84" i="1"/>
  <c r="F84" i="1"/>
  <c r="C87" i="1"/>
  <c r="D87" i="1"/>
  <c r="F87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L35" i="1" s="1"/>
  <c r="Q35" i="1"/>
  <c r="P36" i="1"/>
  <c r="Q36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51" i="1"/>
  <c r="Q51" i="1"/>
  <c r="P52" i="1"/>
  <c r="Q52" i="1"/>
  <c r="P53" i="1"/>
  <c r="Q53" i="1"/>
  <c r="P54" i="1"/>
  <c r="Q54" i="1"/>
  <c r="P55" i="1"/>
  <c r="Q55" i="1"/>
  <c r="P56" i="1"/>
  <c r="L56" i="1" s="1"/>
  <c r="Q56" i="1"/>
  <c r="P57" i="1"/>
  <c r="Q57" i="1"/>
  <c r="P58" i="1"/>
  <c r="Q58" i="1"/>
  <c r="P59" i="1"/>
  <c r="Q59" i="1"/>
  <c r="P60" i="1"/>
  <c r="Q60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L72" i="1" s="1"/>
  <c r="Q72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Q85" i="1"/>
  <c r="P87" i="1"/>
  <c r="L87" i="1" s="1"/>
  <c r="Q87" i="1"/>
  <c r="Q3" i="1"/>
  <c r="P3" i="1"/>
  <c r="F3" i="1"/>
  <c r="D3" i="1"/>
  <c r="C3" i="1"/>
  <c r="N3" i="3"/>
  <c r="N4" i="3"/>
  <c r="E72" i="1" s="1"/>
  <c r="N5" i="3"/>
  <c r="E71" i="1" s="1"/>
  <c r="N6" i="3"/>
  <c r="E63" i="1" s="1"/>
  <c r="N7" i="3"/>
  <c r="E58" i="1" s="1"/>
  <c r="N8" i="3"/>
  <c r="E43" i="1" s="1"/>
  <c r="N9" i="3"/>
  <c r="E42" i="1" s="1"/>
  <c r="N10" i="3"/>
  <c r="N11" i="3"/>
  <c r="E44" i="1" s="1"/>
  <c r="N12" i="3"/>
  <c r="E64" i="1" s="1"/>
  <c r="N13" i="3"/>
  <c r="N14" i="3"/>
  <c r="E40" i="1" s="1"/>
  <c r="N15" i="3"/>
  <c r="E66" i="1" s="1"/>
  <c r="N16" i="3"/>
  <c r="E68" i="1" s="1"/>
  <c r="N17" i="3"/>
  <c r="E67" i="1" s="1"/>
  <c r="N18" i="3"/>
  <c r="N19" i="3"/>
  <c r="E39" i="1" s="1"/>
  <c r="N20" i="3"/>
  <c r="E76" i="1" s="1"/>
  <c r="N21" i="3"/>
  <c r="E75" i="1" s="1"/>
  <c r="N22" i="3"/>
  <c r="E77" i="1" s="1"/>
  <c r="N23" i="3"/>
  <c r="E59" i="1" s="1"/>
  <c r="N24" i="3"/>
  <c r="E60" i="1" s="1"/>
  <c r="N25" i="3"/>
  <c r="E35" i="1" s="1"/>
  <c r="N26" i="3"/>
  <c r="E6" i="1" s="1"/>
  <c r="N27" i="3"/>
  <c r="E34" i="1" s="1"/>
  <c r="N28" i="3"/>
  <c r="E87" i="1" s="1"/>
  <c r="N29" i="3"/>
  <c r="E82" i="1" s="1"/>
  <c r="N30" i="3"/>
  <c r="E81" i="1" s="1"/>
  <c r="N31" i="3"/>
  <c r="E79" i="1" s="1"/>
  <c r="N32" i="3"/>
  <c r="N33" i="3"/>
  <c r="E78" i="1" s="1"/>
  <c r="N34" i="3"/>
  <c r="E80" i="1" s="1"/>
  <c r="N35" i="3"/>
  <c r="E83" i="1" s="1"/>
  <c r="N36" i="3"/>
  <c r="E84" i="1" s="1"/>
  <c r="N37" i="3"/>
  <c r="N38" i="3"/>
  <c r="E18" i="1" s="1"/>
  <c r="N39" i="3"/>
  <c r="N40" i="3"/>
  <c r="E65" i="1" s="1"/>
  <c r="N41" i="3"/>
  <c r="E21" i="1" s="1"/>
  <c r="N42" i="3"/>
  <c r="E32" i="1" s="1"/>
  <c r="N43" i="3"/>
  <c r="E7" i="1" s="1"/>
  <c r="N44" i="3"/>
  <c r="E10" i="1" s="1"/>
  <c r="N45" i="3"/>
  <c r="E12" i="1" s="1"/>
  <c r="N46" i="3"/>
  <c r="E33" i="1" s="1"/>
  <c r="N47" i="3"/>
  <c r="E22" i="1" s="1"/>
  <c r="N48" i="3"/>
  <c r="E31" i="1" s="1"/>
  <c r="N49" i="3"/>
  <c r="E11" i="1" s="1"/>
  <c r="N50" i="3"/>
  <c r="E36" i="1" s="1"/>
  <c r="N51" i="3"/>
  <c r="E8" i="1" s="1"/>
  <c r="N52" i="3"/>
  <c r="E23" i="1" s="1"/>
  <c r="N53" i="3"/>
  <c r="N54" i="3"/>
  <c r="E27" i="1" s="1"/>
  <c r="N55" i="3"/>
  <c r="E15" i="1" s="1"/>
  <c r="N56" i="3"/>
  <c r="E16" i="1" s="1"/>
  <c r="N57" i="3"/>
  <c r="E3" i="1" s="1"/>
  <c r="N58" i="3"/>
  <c r="E4" i="1" s="1"/>
  <c r="N59" i="3"/>
  <c r="E5" i="1" s="1"/>
  <c r="N60" i="3"/>
  <c r="E9" i="1" s="1"/>
  <c r="N61" i="3"/>
  <c r="N62" i="3"/>
  <c r="E30" i="1" s="1"/>
  <c r="N63" i="3"/>
  <c r="N64" i="3"/>
  <c r="E17" i="1" s="1"/>
  <c r="N65" i="3"/>
  <c r="N66" i="3"/>
  <c r="E29" i="1" s="1"/>
  <c r="N67" i="3"/>
  <c r="E19" i="1" s="1"/>
  <c r="N68" i="3"/>
  <c r="E20" i="1" s="1"/>
  <c r="N69" i="3"/>
  <c r="E24" i="1" s="1"/>
  <c r="N70" i="3"/>
  <c r="E70" i="1" s="1"/>
  <c r="N71" i="3"/>
  <c r="E69" i="1" s="1"/>
  <c r="N72" i="3"/>
  <c r="N73" i="3"/>
  <c r="N74" i="3"/>
  <c r="E55" i="1" s="1"/>
  <c r="N75" i="3"/>
  <c r="E56" i="1" s="1"/>
  <c r="N76" i="3"/>
  <c r="E52" i="1" s="1"/>
  <c r="N77" i="3"/>
  <c r="E46" i="1" s="1"/>
  <c r="N78" i="3"/>
  <c r="E47" i="1" s="1"/>
  <c r="N79" i="3"/>
  <c r="N80" i="3"/>
  <c r="N81" i="3"/>
  <c r="N82" i="3"/>
  <c r="N83" i="3"/>
  <c r="E53" i="1" s="1"/>
  <c r="N84" i="3"/>
  <c r="N85" i="3"/>
  <c r="N86" i="3"/>
  <c r="E54" i="1" s="1"/>
  <c r="N2" i="3"/>
  <c r="AA4" i="1"/>
  <c r="AA5" i="1"/>
  <c r="AA6" i="1"/>
  <c r="AA8" i="1"/>
  <c r="AA9" i="1"/>
  <c r="AA13" i="1"/>
  <c r="AA14" i="1"/>
  <c r="AA15" i="1"/>
  <c r="AA16" i="1"/>
  <c r="AA19" i="1"/>
  <c r="AA20" i="1"/>
  <c r="AA23" i="1"/>
  <c r="AA24" i="1"/>
  <c r="AA25" i="1"/>
  <c r="AA26" i="1"/>
  <c r="AA27" i="1"/>
  <c r="AA29" i="1"/>
  <c r="AA30" i="1"/>
  <c r="AA33" i="1"/>
  <c r="AA35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80" i="1"/>
  <c r="AA84" i="1"/>
  <c r="AA85" i="1"/>
  <c r="AA87" i="1"/>
  <c r="AA3" i="1"/>
  <c r="L1" i="1"/>
  <c r="I4" i="1"/>
  <c r="L4" i="1" s="1"/>
  <c r="I5" i="1"/>
  <c r="L5" i="1" s="1"/>
  <c r="I6" i="1"/>
  <c r="L6" i="1" s="1"/>
  <c r="I7" i="1"/>
  <c r="L7" i="1" s="1"/>
  <c r="I8" i="1"/>
  <c r="L8" i="1" s="1"/>
  <c r="I9" i="1"/>
  <c r="L9" i="1" s="1"/>
  <c r="I10" i="1"/>
  <c r="L10" i="1" s="1"/>
  <c r="I11" i="1"/>
  <c r="L11" i="1" s="1"/>
  <c r="I12" i="1"/>
  <c r="L12" i="1" s="1"/>
  <c r="I13" i="1"/>
  <c r="L13" i="1" s="1"/>
  <c r="I14" i="1"/>
  <c r="L14" i="1" s="1"/>
  <c r="I15" i="1"/>
  <c r="L15" i="1" s="1"/>
  <c r="I16" i="1"/>
  <c r="L16" i="1" s="1"/>
  <c r="I17" i="1"/>
  <c r="L17" i="1" s="1"/>
  <c r="I18" i="1"/>
  <c r="L18" i="1" s="1"/>
  <c r="I19" i="1"/>
  <c r="L19" i="1" s="1"/>
  <c r="I21" i="1"/>
  <c r="L21" i="1" s="1"/>
  <c r="I22" i="1"/>
  <c r="L22" i="1" s="1"/>
  <c r="I23" i="1"/>
  <c r="L23" i="1" s="1"/>
  <c r="I24" i="1"/>
  <c r="L24" i="1" s="1"/>
  <c r="I25" i="1"/>
  <c r="L25" i="1" s="1"/>
  <c r="I26" i="1"/>
  <c r="L26" i="1" s="1"/>
  <c r="I27" i="1"/>
  <c r="L27" i="1" s="1"/>
  <c r="I28" i="1"/>
  <c r="L28" i="1" s="1"/>
  <c r="I29" i="1"/>
  <c r="L29" i="1" s="1"/>
  <c r="I30" i="1"/>
  <c r="L30" i="1" s="1"/>
  <c r="I31" i="1"/>
  <c r="L31" i="1" s="1"/>
  <c r="I33" i="1"/>
  <c r="L33" i="1" s="1"/>
  <c r="I34" i="1"/>
  <c r="I35" i="1"/>
  <c r="I36" i="1"/>
  <c r="L36" i="1" s="1"/>
  <c r="I37" i="1"/>
  <c r="L37" i="1" s="1"/>
  <c r="I38" i="1"/>
  <c r="L38" i="1" s="1"/>
  <c r="I39" i="1"/>
  <c r="L39" i="1" s="1"/>
  <c r="I40" i="1"/>
  <c r="L40" i="1" s="1"/>
  <c r="I41" i="1"/>
  <c r="L41" i="1" s="1"/>
  <c r="I42" i="1"/>
  <c r="L42" i="1" s="1"/>
  <c r="I43" i="1"/>
  <c r="L43" i="1" s="1"/>
  <c r="I44" i="1"/>
  <c r="L44" i="1" s="1"/>
  <c r="I45" i="1"/>
  <c r="L45" i="1" s="1"/>
  <c r="I46" i="1"/>
  <c r="L46" i="1" s="1"/>
  <c r="I47" i="1"/>
  <c r="L47" i="1" s="1"/>
  <c r="I48" i="1"/>
  <c r="L48" i="1" s="1"/>
  <c r="I49" i="1"/>
  <c r="I50" i="1"/>
  <c r="L50" i="1" s="1"/>
  <c r="I51" i="1"/>
  <c r="L51" i="1" s="1"/>
  <c r="I52" i="1"/>
  <c r="L52" i="1" s="1"/>
  <c r="I53" i="1"/>
  <c r="L53" i="1" s="1"/>
  <c r="I54" i="1"/>
  <c r="L54" i="1" s="1"/>
  <c r="I55" i="1"/>
  <c r="L55" i="1" s="1"/>
  <c r="I56" i="1"/>
  <c r="I57" i="1"/>
  <c r="L57" i="1" s="1"/>
  <c r="I58" i="1"/>
  <c r="L58" i="1" s="1"/>
  <c r="I59" i="1"/>
  <c r="L59" i="1" s="1"/>
  <c r="I60" i="1"/>
  <c r="L60" i="1" s="1"/>
  <c r="I61" i="1"/>
  <c r="L61" i="1" s="1"/>
  <c r="I63" i="1"/>
  <c r="L63" i="1" s="1"/>
  <c r="I64" i="1"/>
  <c r="L64" i="1" s="1"/>
  <c r="I65" i="1"/>
  <c r="L65" i="1" s="1"/>
  <c r="I66" i="1"/>
  <c r="L66" i="1" s="1"/>
  <c r="I67" i="1"/>
  <c r="L67" i="1" s="1"/>
  <c r="I68" i="1"/>
  <c r="L68" i="1" s="1"/>
  <c r="I70" i="1"/>
  <c r="L70" i="1" s="1"/>
  <c r="I71" i="1"/>
  <c r="L71" i="1" s="1"/>
  <c r="I72" i="1"/>
  <c r="I73" i="1"/>
  <c r="L73" i="1" s="1"/>
  <c r="I74" i="1"/>
  <c r="L74" i="1" s="1"/>
  <c r="I75" i="1"/>
  <c r="L75" i="1" s="1"/>
  <c r="I76" i="1"/>
  <c r="L76" i="1" s="1"/>
  <c r="I77" i="1"/>
  <c r="L77" i="1" s="1"/>
  <c r="I78" i="1"/>
  <c r="L78" i="1" s="1"/>
  <c r="I79" i="1"/>
  <c r="L79" i="1" s="1"/>
  <c r="I80" i="1"/>
  <c r="L80" i="1" s="1"/>
  <c r="I81" i="1"/>
  <c r="I82" i="1"/>
  <c r="L82" i="1" s="1"/>
  <c r="I83" i="1"/>
  <c r="I84" i="1"/>
  <c r="L84" i="1" s="1"/>
  <c r="I85" i="1"/>
  <c r="L85" i="1" s="1"/>
  <c r="I86" i="1"/>
  <c r="I87" i="1"/>
  <c r="I3" i="1"/>
  <c r="L3" i="1" s="1"/>
  <c r="E51" i="1" l="1"/>
  <c r="E41" i="1"/>
  <c r="E28" i="1"/>
  <c r="L81" i="1"/>
  <c r="N81" i="1" s="1"/>
  <c r="L86" i="1"/>
  <c r="N86" i="1" s="1"/>
  <c r="L34" i="1"/>
  <c r="N34" i="1" s="1"/>
  <c r="L83" i="1"/>
  <c r="R83" i="1" s="1"/>
  <c r="T83" i="1" s="1"/>
  <c r="R57" i="1"/>
  <c r="T57" i="1" s="1"/>
  <c r="AA12" i="1"/>
  <c r="AA32" i="1"/>
  <c r="R87" i="1"/>
  <c r="T87" i="1" s="1"/>
  <c r="R44" i="1"/>
  <c r="T44" i="1" s="1"/>
  <c r="R30" i="1"/>
  <c r="T30" i="1" s="1"/>
  <c r="R16" i="1"/>
  <c r="T16" i="1" s="1"/>
  <c r="R81" i="1"/>
  <c r="T81" i="1" s="1"/>
  <c r="AA7" i="1"/>
  <c r="AA10" i="1"/>
  <c r="AA22" i="1"/>
  <c r="AA34" i="1"/>
  <c r="R75" i="1"/>
  <c r="T75" i="1" s="1"/>
  <c r="AA31" i="1"/>
  <c r="AA79" i="1"/>
  <c r="AA18" i="1"/>
  <c r="AA11" i="1"/>
  <c r="AA21" i="1"/>
  <c r="AA78" i="1"/>
  <c r="AA28" i="1"/>
  <c r="AA82" i="1"/>
  <c r="R63" i="1"/>
  <c r="T63" i="1" s="1"/>
  <c r="AA86" i="1"/>
  <c r="AA17" i="1"/>
  <c r="E45" i="1"/>
  <c r="E57" i="1"/>
  <c r="E48" i="1"/>
  <c r="R80" i="1"/>
  <c r="T80" i="1" s="1"/>
  <c r="R72" i="1"/>
  <c r="T72" i="1" s="1"/>
  <c r="R66" i="1"/>
  <c r="T66" i="1" s="1"/>
  <c r="R58" i="1"/>
  <c r="T58" i="1" s="1"/>
  <c r="R9" i="1"/>
  <c r="T9" i="1" s="1"/>
  <c r="R79" i="1"/>
  <c r="T79" i="1" s="1"/>
  <c r="R71" i="1"/>
  <c r="T71" i="1" s="1"/>
  <c r="R65" i="1"/>
  <c r="T65" i="1" s="1"/>
  <c r="R8" i="1"/>
  <c r="T8" i="1" s="1"/>
  <c r="R51" i="1"/>
  <c r="T51" i="1" s="1"/>
  <c r="R43" i="1"/>
  <c r="T43" i="1" s="1"/>
  <c r="R29" i="1"/>
  <c r="T29" i="1" s="1"/>
  <c r="R21" i="1"/>
  <c r="T21" i="1" s="1"/>
  <c r="R15" i="1"/>
  <c r="T15" i="1" s="1"/>
  <c r="R84" i="1"/>
  <c r="T84" i="1" s="1"/>
  <c r="R78" i="1"/>
  <c r="T78" i="1" s="1"/>
  <c r="R70" i="1"/>
  <c r="T70" i="1" s="1"/>
  <c r="R64" i="1"/>
  <c r="T64" i="1" s="1"/>
  <c r="R13" i="1"/>
  <c r="T13" i="1" s="1"/>
  <c r="R7" i="1"/>
  <c r="T7" i="1" s="1"/>
  <c r="R48" i="1"/>
  <c r="T48" i="1" s="1"/>
  <c r="R42" i="1"/>
  <c r="T42" i="1" s="1"/>
  <c r="R28" i="1"/>
  <c r="T28" i="1" s="1"/>
  <c r="R20" i="1"/>
  <c r="T20" i="1" s="1"/>
  <c r="R77" i="1"/>
  <c r="T77" i="1" s="1"/>
  <c r="R69" i="1"/>
  <c r="T69" i="1" s="1"/>
  <c r="R12" i="1"/>
  <c r="T12" i="1" s="1"/>
  <c r="R6" i="1"/>
  <c r="T6" i="1" s="1"/>
  <c r="R38" i="1"/>
  <c r="T38" i="1" s="1"/>
  <c r="R55" i="1"/>
  <c r="T55" i="1" s="1"/>
  <c r="R47" i="1"/>
  <c r="T47" i="1" s="1"/>
  <c r="R41" i="1"/>
  <c r="T41" i="1" s="1"/>
  <c r="R33" i="1"/>
  <c r="T33" i="1" s="1"/>
  <c r="R27" i="1"/>
  <c r="T27" i="1" s="1"/>
  <c r="R19" i="1"/>
  <c r="T19" i="1" s="1"/>
  <c r="R37" i="1"/>
  <c r="T37" i="1" s="1"/>
  <c r="R82" i="1"/>
  <c r="T82" i="1" s="1"/>
  <c r="R68" i="1"/>
  <c r="T68" i="1" s="1"/>
  <c r="R60" i="1"/>
  <c r="T60" i="1" s="1"/>
  <c r="R5" i="1"/>
  <c r="T5" i="1" s="1"/>
  <c r="R26" i="1"/>
  <c r="T26" i="1" s="1"/>
  <c r="R54" i="1"/>
  <c r="T54" i="1" s="1"/>
  <c r="R46" i="1"/>
  <c r="T46" i="1" s="1"/>
  <c r="R40" i="1"/>
  <c r="T40" i="1" s="1"/>
  <c r="R32" i="1"/>
  <c r="T32" i="1" s="1"/>
  <c r="R24" i="1"/>
  <c r="T24" i="1" s="1"/>
  <c r="R18" i="1"/>
  <c r="T18" i="1" s="1"/>
  <c r="R25" i="1"/>
  <c r="T25" i="1" s="1"/>
  <c r="R3" i="1"/>
  <c r="T3" i="1" s="1"/>
  <c r="R67" i="1"/>
  <c r="T67" i="1" s="1"/>
  <c r="R59" i="1"/>
  <c r="T59" i="1" s="1"/>
  <c r="R10" i="1"/>
  <c r="T10" i="1" s="1"/>
  <c r="R4" i="1"/>
  <c r="T4" i="1" s="1"/>
  <c r="R14" i="1"/>
  <c r="T14" i="1" s="1"/>
  <c r="R52" i="1"/>
  <c r="T52" i="1" s="1"/>
  <c r="R53" i="1"/>
  <c r="T53" i="1" s="1"/>
  <c r="R45" i="1"/>
  <c r="T45" i="1" s="1"/>
  <c r="R39" i="1"/>
  <c r="T39" i="1" s="1"/>
  <c r="R31" i="1"/>
  <c r="T31" i="1" s="1"/>
  <c r="R23" i="1"/>
  <c r="T23" i="1" s="1"/>
  <c r="R17" i="1"/>
  <c r="T17" i="1" s="1"/>
  <c r="O71" i="3"/>
  <c r="P86" i="1"/>
  <c r="O63" i="3"/>
  <c r="O3" i="3"/>
  <c r="O82" i="3"/>
  <c r="O76" i="3"/>
  <c r="O70" i="3"/>
  <c r="O64" i="3"/>
  <c r="O58" i="3"/>
  <c r="O52" i="3"/>
  <c r="O46" i="3"/>
  <c r="O40" i="3"/>
  <c r="O34" i="3"/>
  <c r="O28" i="3"/>
  <c r="O22" i="3"/>
  <c r="O16" i="3"/>
  <c r="O10" i="3"/>
  <c r="O4" i="3"/>
  <c r="Q86" i="1"/>
  <c r="Q13" i="1"/>
  <c r="O45" i="3"/>
  <c r="O2" i="3"/>
  <c r="P85" i="1"/>
  <c r="R85" i="1" s="1"/>
  <c r="T85" i="1" s="1"/>
  <c r="P74" i="1"/>
  <c r="R74" i="1" s="1"/>
  <c r="T74" i="1" s="1"/>
  <c r="F86" i="1"/>
  <c r="F74" i="1"/>
  <c r="F62" i="1"/>
  <c r="F50" i="1"/>
  <c r="F38" i="1"/>
  <c r="F26" i="1"/>
  <c r="F14" i="1"/>
  <c r="O75" i="3"/>
  <c r="O15" i="3"/>
  <c r="O74" i="3"/>
  <c r="O56" i="3"/>
  <c r="O44" i="3"/>
  <c r="O38" i="3"/>
  <c r="O26" i="3"/>
  <c r="O20" i="3"/>
  <c r="O14" i="3"/>
  <c r="O8" i="3"/>
  <c r="Q73" i="1"/>
  <c r="Q62" i="1"/>
  <c r="E86" i="1"/>
  <c r="E74" i="1"/>
  <c r="E62" i="1"/>
  <c r="E50" i="1"/>
  <c r="E38" i="1"/>
  <c r="E26" i="1"/>
  <c r="E14" i="1"/>
  <c r="O51" i="3"/>
  <c r="O68" i="3"/>
  <c r="O32" i="3"/>
  <c r="P73" i="1"/>
  <c r="R73" i="1" s="1"/>
  <c r="T73" i="1" s="1"/>
  <c r="P62" i="1"/>
  <c r="R62" i="1" s="1"/>
  <c r="T62" i="1" s="1"/>
  <c r="Q50" i="1"/>
  <c r="D86" i="1"/>
  <c r="D74" i="1"/>
  <c r="D62" i="1"/>
  <c r="D50" i="1"/>
  <c r="D38" i="1"/>
  <c r="D26" i="1"/>
  <c r="D14" i="1"/>
  <c r="O57" i="3"/>
  <c r="O86" i="3"/>
  <c r="O62" i="3"/>
  <c r="J1" i="1"/>
  <c r="O85" i="3"/>
  <c r="O79" i="3"/>
  <c r="O73" i="3"/>
  <c r="O67" i="3"/>
  <c r="O61" i="3"/>
  <c r="O55" i="3"/>
  <c r="O49" i="3"/>
  <c r="O43" i="3"/>
  <c r="O37" i="3"/>
  <c r="O31" i="3"/>
  <c r="O25" i="3"/>
  <c r="O19" i="3"/>
  <c r="O13" i="3"/>
  <c r="O7" i="3"/>
  <c r="Q61" i="1"/>
  <c r="P50" i="1"/>
  <c r="R50" i="1" s="1"/>
  <c r="T50" i="1" s="1"/>
  <c r="C74" i="1"/>
  <c r="C38" i="1"/>
  <c r="C26" i="1"/>
  <c r="C14" i="1"/>
  <c r="O69" i="3"/>
  <c r="O9" i="3"/>
  <c r="O50" i="3"/>
  <c r="P61" i="1"/>
  <c r="R61" i="1" s="1"/>
  <c r="T61" i="1" s="1"/>
  <c r="Q49" i="1"/>
  <c r="F85" i="1"/>
  <c r="F73" i="1"/>
  <c r="F61" i="1"/>
  <c r="F49" i="1"/>
  <c r="F37" i="1"/>
  <c r="F25" i="1"/>
  <c r="F13" i="1"/>
  <c r="O33" i="3"/>
  <c r="O84" i="3"/>
  <c r="O78" i="3"/>
  <c r="O72" i="3"/>
  <c r="O60" i="3"/>
  <c r="O54" i="3"/>
  <c r="O48" i="3"/>
  <c r="O42" i="3"/>
  <c r="O36" i="3"/>
  <c r="O30" i="3"/>
  <c r="O24" i="3"/>
  <c r="O18" i="3"/>
  <c r="O12" i="3"/>
  <c r="O6" i="3"/>
  <c r="P49" i="1"/>
  <c r="L49" i="1" s="1"/>
  <c r="Q38" i="1"/>
  <c r="Q26" i="1"/>
  <c r="E85" i="1"/>
  <c r="E73" i="1"/>
  <c r="E61" i="1"/>
  <c r="E49" i="1"/>
  <c r="E37" i="1"/>
  <c r="E25" i="1"/>
  <c r="E13" i="1"/>
  <c r="O27" i="3"/>
  <c r="O66" i="3"/>
  <c r="D85" i="1"/>
  <c r="D73" i="1"/>
  <c r="D61" i="1"/>
  <c r="D49" i="1"/>
  <c r="D37" i="1"/>
  <c r="D25" i="1"/>
  <c r="D13" i="1"/>
  <c r="O39" i="3"/>
  <c r="O83" i="3"/>
  <c r="O77" i="3"/>
  <c r="O65" i="3"/>
  <c r="O59" i="3"/>
  <c r="O53" i="3"/>
  <c r="O47" i="3"/>
  <c r="O41" i="3"/>
  <c r="O35" i="3"/>
  <c r="O29" i="3"/>
  <c r="O23" i="3"/>
  <c r="O17" i="3"/>
  <c r="O11" i="3"/>
  <c r="O5" i="3"/>
  <c r="Q37" i="1"/>
  <c r="Q25" i="1"/>
  <c r="Q14" i="1"/>
  <c r="C37" i="1"/>
  <c r="C25" i="1"/>
  <c r="C13" i="1"/>
  <c r="O81" i="3"/>
  <c r="O21" i="3"/>
  <c r="O80" i="3"/>
  <c r="R56" i="1"/>
  <c r="T56" i="1" s="1"/>
  <c r="R35" i="1"/>
  <c r="T35" i="1" s="1"/>
  <c r="N83" i="1" l="1"/>
  <c r="AA83" i="1"/>
  <c r="R49" i="1"/>
  <c r="T49" i="1" s="1"/>
  <c r="R86" i="1"/>
  <c r="T86" i="1" s="1"/>
  <c r="R22" i="1"/>
  <c r="T22" i="1" s="1"/>
  <c r="R34" i="1"/>
  <c r="T34" i="1" s="1"/>
  <c r="AA81" i="1"/>
  <c r="R11" i="1"/>
  <c r="T11" i="1" s="1"/>
  <c r="AA36" i="1"/>
  <c r="AA1" i="1" s="1"/>
  <c r="R76" i="1"/>
  <c r="T76" i="1" s="1"/>
  <c r="R36" i="1"/>
  <c r="T36" i="1" s="1"/>
  <c r="M78" i="1"/>
  <c r="M82" i="1"/>
  <c r="M85" i="1"/>
  <c r="M81" i="1"/>
  <c r="M83" i="1"/>
  <c r="M79" i="1"/>
  <c r="M80" i="1"/>
  <c r="M84" i="1"/>
  <c r="M86" i="1"/>
  <c r="M68" i="1"/>
  <c r="N68" i="1" s="1"/>
  <c r="O86" i="1" l="1"/>
  <c r="O79" i="1"/>
  <c r="N80" i="1"/>
  <c r="O80" i="1" s="1"/>
  <c r="O83" i="1"/>
  <c r="O81" i="1"/>
  <c r="N84" i="1"/>
  <c r="O84" i="1" s="1"/>
  <c r="N85" i="1"/>
  <c r="O85" i="1" s="1"/>
  <c r="N82" i="1"/>
  <c r="O82" i="1" s="1"/>
  <c r="O78" i="1"/>
  <c r="M69" i="1"/>
  <c r="M72" i="1"/>
  <c r="M75" i="1"/>
  <c r="M67" i="1"/>
  <c r="M70" i="1"/>
  <c r="M73" i="1"/>
  <c r="M76" i="1"/>
  <c r="M71" i="1"/>
  <c r="M74" i="1"/>
  <c r="M77" i="1"/>
  <c r="O68" i="1"/>
  <c r="S84" i="1" l="1"/>
  <c r="U84" i="1"/>
  <c r="Y84" i="1" s="1"/>
  <c r="U82" i="1"/>
  <c r="S82" i="1"/>
  <c r="U81" i="1"/>
  <c r="Y81" i="1" s="1"/>
  <c r="S81" i="1"/>
  <c r="U78" i="1"/>
  <c r="Y78" i="1" s="1"/>
  <c r="S78" i="1"/>
  <c r="U80" i="1"/>
  <c r="S80" i="1"/>
  <c r="S79" i="1"/>
  <c r="U79" i="1"/>
  <c r="Y79" i="1" s="1"/>
  <c r="S85" i="1"/>
  <c r="U85" i="1"/>
  <c r="U83" i="1"/>
  <c r="Y83" i="1" s="1"/>
  <c r="S83" i="1"/>
  <c r="U86" i="1"/>
  <c r="S86" i="1"/>
  <c r="N72" i="1"/>
  <c r="O72" i="1" s="1"/>
  <c r="N69" i="1"/>
  <c r="O69" i="1" s="1"/>
  <c r="N77" i="1"/>
  <c r="O77" i="1" s="1"/>
  <c r="N74" i="1"/>
  <c r="O74" i="1" s="1"/>
  <c r="U74" i="1" s="1"/>
  <c r="Y74" i="1" s="1"/>
  <c r="N71" i="1"/>
  <c r="O71" i="1" s="1"/>
  <c r="N73" i="1"/>
  <c r="O73" i="1" s="1"/>
  <c r="N70" i="1"/>
  <c r="O70" i="1" s="1"/>
  <c r="N67" i="1"/>
  <c r="O67" i="1" s="1"/>
  <c r="U67" i="1" s="1"/>
  <c r="N76" i="1"/>
  <c r="O76" i="1" s="1"/>
  <c r="N75" i="1"/>
  <c r="O75" i="1" s="1"/>
  <c r="Z83" i="1"/>
  <c r="U68" i="1"/>
  <c r="Y68" i="1" s="1"/>
  <c r="S68" i="1"/>
  <c r="M66" i="1"/>
  <c r="N66" i="1" s="1"/>
  <c r="E2343" i="4"/>
  <c r="E2342" i="4"/>
  <c r="E2341" i="4"/>
  <c r="E2340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5" i="4"/>
  <c r="Z84" i="1" l="1"/>
  <c r="Z78" i="1"/>
  <c r="U73" i="1"/>
  <c r="S73" i="1"/>
  <c r="S71" i="1"/>
  <c r="U71" i="1"/>
  <c r="Y71" i="1" s="1"/>
  <c r="U77" i="1"/>
  <c r="S77" i="1"/>
  <c r="U69" i="1"/>
  <c r="Y69" i="1" s="1"/>
  <c r="S69" i="1"/>
  <c r="U72" i="1"/>
  <c r="S72" i="1"/>
  <c r="S76" i="1"/>
  <c r="U76" i="1"/>
  <c r="Y67" i="1"/>
  <c r="Z67" i="1"/>
  <c r="S70" i="1"/>
  <c r="U70" i="1"/>
  <c r="Y70" i="1" s="1"/>
  <c r="Y85" i="1"/>
  <c r="Z85" i="1"/>
  <c r="Y80" i="1"/>
  <c r="Z80" i="1"/>
  <c r="S74" i="1"/>
  <c r="S67" i="1"/>
  <c r="Y86" i="1"/>
  <c r="Z86" i="1"/>
  <c r="Z79" i="1"/>
  <c r="Z81" i="1"/>
  <c r="Y82" i="1"/>
  <c r="Z82" i="1"/>
  <c r="U75" i="1"/>
  <c r="Y75" i="1" s="1"/>
  <c r="S75" i="1"/>
  <c r="Z70" i="1"/>
  <c r="Z74" i="1"/>
  <c r="Z68" i="1"/>
  <c r="O66" i="1"/>
  <c r="M38" i="1"/>
  <c r="M43" i="1"/>
  <c r="M48" i="1"/>
  <c r="N48" i="1" s="1"/>
  <c r="M58" i="1"/>
  <c r="N58" i="1" s="1"/>
  <c r="M37" i="1"/>
  <c r="N37" i="1" s="1"/>
  <c r="M39" i="1"/>
  <c r="N39" i="1" s="1"/>
  <c r="M41" i="1"/>
  <c r="N41" i="1" s="1"/>
  <c r="M42" i="1"/>
  <c r="M44" i="1"/>
  <c r="M46" i="1"/>
  <c r="N46" i="1" s="1"/>
  <c r="M47" i="1"/>
  <c r="N47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40" i="1"/>
  <c r="N40" i="1" s="1"/>
  <c r="M45" i="1"/>
  <c r="N45" i="1" s="1"/>
  <c r="Z69" i="1" l="1"/>
  <c r="Z71" i="1"/>
  <c r="Z75" i="1"/>
  <c r="Y76" i="1"/>
  <c r="Z76" i="1"/>
  <c r="N57" i="1"/>
  <c r="O57" i="1" s="1"/>
  <c r="N42" i="1"/>
  <c r="O42" i="1" s="1"/>
  <c r="Z72" i="1"/>
  <c r="Y72" i="1"/>
  <c r="N44" i="1"/>
  <c r="O44" i="1" s="1"/>
  <c r="Y77" i="1"/>
  <c r="Z77" i="1"/>
  <c r="N43" i="1"/>
  <c r="O43" i="1" s="1"/>
  <c r="N38" i="1"/>
  <c r="O38" i="1" s="1"/>
  <c r="Y73" i="1"/>
  <c r="Z73" i="1"/>
  <c r="U66" i="1"/>
  <c r="Z66" i="1" s="1"/>
  <c r="S66" i="1"/>
  <c r="O39" i="1"/>
  <c r="O37" i="1"/>
  <c r="O53" i="1"/>
  <c r="O58" i="1"/>
  <c r="O41" i="1"/>
  <c r="O55" i="1"/>
  <c r="O65" i="1"/>
  <c r="O52" i="1"/>
  <c r="O48" i="1"/>
  <c r="O64" i="1"/>
  <c r="O51" i="1"/>
  <c r="O56" i="1"/>
  <c r="O54" i="1"/>
  <c r="O50" i="1"/>
  <c r="O63" i="1"/>
  <c r="O62" i="1"/>
  <c r="O49" i="1"/>
  <c r="O61" i="1"/>
  <c r="O47" i="1"/>
  <c r="O46" i="1"/>
  <c r="O45" i="1"/>
  <c r="O60" i="1"/>
  <c r="O40" i="1"/>
  <c r="O59" i="1"/>
  <c r="S38" i="1" l="1"/>
  <c r="U38" i="1"/>
  <c r="U43" i="1"/>
  <c r="S43" i="1"/>
  <c r="U44" i="1"/>
  <c r="S44" i="1"/>
  <c r="U42" i="1"/>
  <c r="Y42" i="1" s="1"/>
  <c r="S42" i="1"/>
  <c r="U57" i="1"/>
  <c r="S57" i="1"/>
  <c r="Z42" i="1"/>
  <c r="U45" i="1"/>
  <c r="Y45" i="1" s="1"/>
  <c r="S45" i="1"/>
  <c r="U40" i="1"/>
  <c r="S40" i="1"/>
  <c r="U52" i="1"/>
  <c r="Z52" i="1" s="1"/>
  <c r="S52" i="1"/>
  <c r="Y66" i="1"/>
  <c r="U55" i="1"/>
  <c r="Y55" i="1" s="1"/>
  <c r="S55" i="1"/>
  <c r="U46" i="1"/>
  <c r="Y46" i="1" s="1"/>
  <c r="S46" i="1"/>
  <c r="U41" i="1"/>
  <c r="Y41" i="1" s="1"/>
  <c r="S41" i="1"/>
  <c r="U51" i="1"/>
  <c r="S51" i="1"/>
  <c r="U65" i="1"/>
  <c r="Z65" i="1" s="1"/>
  <c r="S65" i="1"/>
  <c r="U58" i="1"/>
  <c r="Y58" i="1" s="1"/>
  <c r="S58" i="1"/>
  <c r="U47" i="1"/>
  <c r="Y47" i="1" s="1"/>
  <c r="S47" i="1"/>
  <c r="U53" i="1"/>
  <c r="Y53" i="1" s="1"/>
  <c r="S53" i="1"/>
  <c r="U61" i="1"/>
  <c r="Y61" i="1" s="1"/>
  <c r="S61" i="1"/>
  <c r="U62" i="1"/>
  <c r="S62" i="1"/>
  <c r="U50" i="1"/>
  <c r="Y50" i="1" s="1"/>
  <c r="S50" i="1"/>
  <c r="U37" i="1"/>
  <c r="Y37" i="1" s="1"/>
  <c r="S37" i="1"/>
  <c r="U60" i="1"/>
  <c r="Y60" i="1" s="1"/>
  <c r="S60" i="1"/>
  <c r="U48" i="1"/>
  <c r="Y48" i="1" s="1"/>
  <c r="S48" i="1"/>
  <c r="U49" i="1"/>
  <c r="Y49" i="1" s="1"/>
  <c r="S49" i="1"/>
  <c r="U54" i="1"/>
  <c r="Y54" i="1" s="1"/>
  <c r="S54" i="1"/>
  <c r="U39" i="1"/>
  <c r="Y39" i="1" s="1"/>
  <c r="S39" i="1"/>
  <c r="U64" i="1"/>
  <c r="Y64" i="1" s="1"/>
  <c r="S64" i="1"/>
  <c r="U59" i="1"/>
  <c r="Y59" i="1" s="1"/>
  <c r="S59" i="1"/>
  <c r="U63" i="1"/>
  <c r="Y63" i="1" s="1"/>
  <c r="S63" i="1"/>
  <c r="U56" i="1"/>
  <c r="Y56" i="1" s="1"/>
  <c r="S56" i="1"/>
  <c r="Y62" i="1"/>
  <c r="Z62" i="1"/>
  <c r="Y40" i="1"/>
  <c r="Z40" i="1"/>
  <c r="Y51" i="1"/>
  <c r="Z51" i="1"/>
  <c r="Y65" i="1"/>
  <c r="Z39" i="1" l="1"/>
  <c r="Z54" i="1"/>
  <c r="Y52" i="1"/>
  <c r="Z58" i="1"/>
  <c r="Z50" i="1"/>
  <c r="Z37" i="1"/>
  <c r="Z60" i="1"/>
  <c r="Z46" i="1"/>
  <c r="Z45" i="1"/>
  <c r="Y57" i="1"/>
  <c r="Z57" i="1"/>
  <c r="Z44" i="1"/>
  <c r="Y44" i="1"/>
  <c r="Y43" i="1"/>
  <c r="Z43" i="1"/>
  <c r="Y38" i="1"/>
  <c r="Z38" i="1"/>
  <c r="Z59" i="1"/>
  <c r="Z55" i="1"/>
  <c r="Z64" i="1"/>
  <c r="Z47" i="1"/>
  <c r="Z48" i="1"/>
  <c r="Z41" i="1"/>
  <c r="Z63" i="1"/>
  <c r="Z49" i="1"/>
  <c r="Z53" i="1"/>
  <c r="Z61" i="1"/>
  <c r="Z56" i="1"/>
  <c r="M6" i="1"/>
  <c r="N6" i="1" l="1"/>
  <c r="O6" i="1" s="1"/>
  <c r="M34" i="1"/>
  <c r="M32" i="1"/>
  <c r="N32" i="1" s="1"/>
  <c r="M28" i="1"/>
  <c r="N28" i="1" s="1"/>
  <c r="M18" i="1"/>
  <c r="N18" i="1" s="1"/>
  <c r="M21" i="1"/>
  <c r="N21" i="1" s="1"/>
  <c r="M7" i="1"/>
  <c r="N7" i="1" s="1"/>
  <c r="M10" i="1"/>
  <c r="N10" i="1" s="1"/>
  <c r="M12" i="1"/>
  <c r="N12" i="1" s="1"/>
  <c r="M11" i="1"/>
  <c r="N11" i="1" s="1"/>
  <c r="M31" i="1"/>
  <c r="N31" i="1" s="1"/>
  <c r="M22" i="1"/>
  <c r="N22" i="1" s="1"/>
  <c r="M33" i="1"/>
  <c r="N33" i="1" s="1"/>
  <c r="M8" i="1"/>
  <c r="N8" i="1" s="1"/>
  <c r="M24" i="1"/>
  <c r="N24" i="1" s="1"/>
  <c r="M19" i="1"/>
  <c r="N19" i="1" s="1"/>
  <c r="M20" i="1"/>
  <c r="N20" i="1" s="1"/>
  <c r="M23" i="1"/>
  <c r="N23" i="1" s="1"/>
  <c r="M15" i="1"/>
  <c r="N15" i="1" s="1"/>
  <c r="M16" i="1"/>
  <c r="N16" i="1" s="1"/>
  <c r="M27" i="1"/>
  <c r="N27" i="1" s="1"/>
  <c r="M14" i="1"/>
  <c r="N14" i="1" s="1"/>
  <c r="M3" i="1"/>
  <c r="N3" i="1" s="1"/>
  <c r="M4" i="1"/>
  <c r="N4" i="1" s="1"/>
  <c r="M5" i="1"/>
  <c r="N5" i="1" s="1"/>
  <c r="M25" i="1"/>
  <c r="N25" i="1" s="1"/>
  <c r="M9" i="1"/>
  <c r="N9" i="1" s="1"/>
  <c r="M13" i="1"/>
  <c r="N13" i="1" s="1"/>
  <c r="M26" i="1"/>
  <c r="N26" i="1" s="1"/>
  <c r="M29" i="1"/>
  <c r="N29" i="1" s="1"/>
  <c r="M30" i="1"/>
  <c r="N30" i="1" s="1"/>
  <c r="M17" i="1"/>
  <c r="M36" i="1"/>
  <c r="N36" i="1" s="1"/>
  <c r="M35" i="1"/>
  <c r="N35" i="1" s="1"/>
  <c r="U6" i="1" l="1"/>
  <c r="S6" i="1"/>
  <c r="O35" i="1"/>
  <c r="O3" i="1"/>
  <c r="O27" i="1"/>
  <c r="O12" i="1"/>
  <c r="O4" i="1"/>
  <c r="O14" i="1"/>
  <c r="O7" i="1"/>
  <c r="O20" i="1"/>
  <c r="O33" i="1"/>
  <c r="O17" i="1"/>
  <c r="O15" i="1"/>
  <c r="O26" i="1"/>
  <c r="O19" i="1"/>
  <c r="O28" i="1"/>
  <c r="O34" i="1"/>
  <c r="O5" i="1"/>
  <c r="O31" i="1"/>
  <c r="O36" i="1"/>
  <c r="O16" i="1"/>
  <c r="O30" i="1"/>
  <c r="O29" i="1"/>
  <c r="O21" i="1"/>
  <c r="O18" i="1"/>
  <c r="O32" i="1"/>
  <c r="O22" i="1"/>
  <c r="O11" i="1"/>
  <c r="O10" i="1"/>
  <c r="O23" i="1"/>
  <c r="O13" i="1"/>
  <c r="O9" i="1"/>
  <c r="O24" i="1"/>
  <c r="O25" i="1"/>
  <c r="O8" i="1"/>
  <c r="Z6" i="1" l="1"/>
  <c r="Y6" i="1"/>
  <c r="U17" i="1"/>
  <c r="S17" i="1"/>
  <c r="U20" i="1"/>
  <c r="Y20" i="1" s="1"/>
  <c r="S20" i="1"/>
  <c r="U7" i="1"/>
  <c r="Y7" i="1" s="1"/>
  <c r="S7" i="1"/>
  <c r="U8" i="1"/>
  <c r="Y8" i="1" s="1"/>
  <c r="S8" i="1"/>
  <c r="U24" i="1"/>
  <c r="Y24" i="1" s="1"/>
  <c r="S24" i="1"/>
  <c r="U9" i="1"/>
  <c r="Z9" i="1" s="1"/>
  <c r="S9" i="1"/>
  <c r="U36" i="1"/>
  <c r="S36" i="1"/>
  <c r="U14" i="1"/>
  <c r="Z14" i="1" s="1"/>
  <c r="S14" i="1"/>
  <c r="U21" i="1"/>
  <c r="Z21" i="1" s="1"/>
  <c r="S21" i="1"/>
  <c r="U25" i="1"/>
  <c r="Y25" i="1" s="1"/>
  <c r="S25" i="1"/>
  <c r="U13" i="1"/>
  <c r="Y13" i="1" s="1"/>
  <c r="S13" i="1"/>
  <c r="U31" i="1"/>
  <c r="Z31" i="1" s="1"/>
  <c r="S31" i="1"/>
  <c r="U4" i="1"/>
  <c r="S4" i="1"/>
  <c r="U29" i="1"/>
  <c r="Y29" i="1" s="1"/>
  <c r="S29" i="1"/>
  <c r="U23" i="1"/>
  <c r="Y23" i="1" s="1"/>
  <c r="S23" i="1"/>
  <c r="U5" i="1"/>
  <c r="Y5" i="1" s="1"/>
  <c r="S5" i="1"/>
  <c r="U12" i="1"/>
  <c r="Y12" i="1" s="1"/>
  <c r="S12" i="1"/>
  <c r="U3" i="1"/>
  <c r="Z3" i="1" s="1"/>
  <c r="S3" i="1"/>
  <c r="U18" i="1"/>
  <c r="S18" i="1"/>
  <c r="U10" i="1"/>
  <c r="S10" i="1"/>
  <c r="U27" i="1"/>
  <c r="Y27" i="1" s="1"/>
  <c r="S27" i="1"/>
  <c r="U28" i="1"/>
  <c r="Z28" i="1" s="1"/>
  <c r="S28" i="1"/>
  <c r="U22" i="1"/>
  <c r="Y22" i="1" s="1"/>
  <c r="S22" i="1"/>
  <c r="U19" i="1"/>
  <c r="Z19" i="1" s="1"/>
  <c r="S19" i="1"/>
  <c r="U15" i="1"/>
  <c r="S15" i="1"/>
  <c r="U33" i="1"/>
  <c r="Z33" i="1" s="1"/>
  <c r="S33" i="1"/>
  <c r="U34" i="1"/>
  <c r="Y34" i="1" s="1"/>
  <c r="S34" i="1"/>
  <c r="U11" i="1"/>
  <c r="Y11" i="1" s="1"/>
  <c r="S11" i="1"/>
  <c r="U32" i="1"/>
  <c r="Y32" i="1" s="1"/>
  <c r="S32" i="1"/>
  <c r="U26" i="1"/>
  <c r="Y26" i="1" s="1"/>
  <c r="S26" i="1"/>
  <c r="U30" i="1"/>
  <c r="Y30" i="1" s="1"/>
  <c r="S30" i="1"/>
  <c r="U16" i="1"/>
  <c r="Y16" i="1" s="1"/>
  <c r="S16" i="1"/>
  <c r="U35" i="1"/>
  <c r="Z35" i="1" s="1"/>
  <c r="S35" i="1"/>
  <c r="Z15" i="1"/>
  <c r="Y15" i="1"/>
  <c r="Y17" i="1"/>
  <c r="Z17" i="1"/>
  <c r="Y4" i="1"/>
  <c r="Z4" i="1"/>
  <c r="Y18" i="1"/>
  <c r="Z18" i="1"/>
  <c r="Y36" i="1"/>
  <c r="Z36" i="1"/>
  <c r="Y10" i="1"/>
  <c r="Z10" i="1"/>
  <c r="Y33" i="1" l="1"/>
  <c r="Y14" i="1"/>
  <c r="Z30" i="1"/>
  <c r="Z23" i="1"/>
  <c r="Z29" i="1"/>
  <c r="Z20" i="1"/>
  <c r="Z8" i="1"/>
  <c r="Z16" i="1"/>
  <c r="Z11" i="1"/>
  <c r="Y21" i="1"/>
  <c r="Y28" i="1"/>
  <c r="Z13" i="1"/>
  <c r="Z27" i="1"/>
  <c r="Z5" i="1"/>
  <c r="Z34" i="1"/>
  <c r="Y9" i="1"/>
  <c r="Y31" i="1"/>
  <c r="Y3" i="1"/>
  <c r="Z12" i="1"/>
  <c r="Z26" i="1"/>
  <c r="Y35" i="1"/>
  <c r="Z32" i="1"/>
  <c r="Y19" i="1"/>
  <c r="Z7" i="1"/>
  <c r="Z25" i="1"/>
  <c r="Z22" i="1"/>
  <c r="Z24" i="1"/>
  <c r="M87" i="1" l="1"/>
  <c r="N87" i="1" l="1"/>
  <c r="O87" i="1" s="1"/>
  <c r="S87" i="1" l="1"/>
  <c r="U87" i="1"/>
  <c r="Y87" i="1" l="1"/>
  <c r="Y1" i="1" s="1"/>
  <c r="Z87" i="1"/>
  <c r="Z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EB46D-73F9-494C-9E98-90EFA6367C40}" keepAlive="1" name="Запрос — ASP MENSAN" description="Соединение с запросом &quot;ASP MENSAN&quot; в книге." type="5" refreshedVersion="7" background="1" saveData="1">
    <dbPr connection="Provider=Microsoft.Mashup.OleDb.1;Data Source=$Workbook$;Location=ASP MENSAN;Extended Properties=&quot;&quot;" command="SELECT * FROM [ASP MENSAN]"/>
  </connection>
</connections>
</file>

<file path=xl/sharedStrings.xml><?xml version="1.0" encoding="utf-8"?>
<sst xmlns="http://schemas.openxmlformats.org/spreadsheetml/2006/main" count="8127" uniqueCount="4576">
  <si>
    <t>Поставщик</t>
  </si>
  <si>
    <t>ID</t>
  </si>
  <si>
    <t>A03200E</t>
  </si>
  <si>
    <t>ASP MENSAN</t>
  </si>
  <si>
    <t>260101</t>
  </si>
  <si>
    <t>260202</t>
  </si>
  <si>
    <t>260201</t>
  </si>
  <si>
    <t>260207</t>
  </si>
  <si>
    <t>260207S</t>
  </si>
  <si>
    <t>260206</t>
  </si>
  <si>
    <t>260206S</t>
  </si>
  <si>
    <t>260205</t>
  </si>
  <si>
    <t>270222</t>
  </si>
  <si>
    <t>270222S</t>
  </si>
  <si>
    <t>270122</t>
  </si>
  <si>
    <t>K270101</t>
  </si>
  <si>
    <t>K260102</t>
  </si>
  <si>
    <t>K260101</t>
  </si>
  <si>
    <t>K260103</t>
  </si>
  <si>
    <t>K260202</t>
  </si>
  <si>
    <t>K260201</t>
  </si>
  <si>
    <t>K260207</t>
  </si>
  <si>
    <t>K260205</t>
  </si>
  <si>
    <t>K270207</t>
  </si>
  <si>
    <t>K270201</t>
  </si>
  <si>
    <t>K270222</t>
  </si>
  <si>
    <t>CA270201</t>
  </si>
  <si>
    <t>BC260206</t>
  </si>
  <si>
    <t>BC260201</t>
  </si>
  <si>
    <t>BC260207</t>
  </si>
  <si>
    <t>BC260202</t>
  </si>
  <si>
    <t>BC260205</t>
  </si>
  <si>
    <t>BP270207-1993mm</t>
  </si>
  <si>
    <t>BC270222</t>
  </si>
  <si>
    <t>BC260205F</t>
  </si>
  <si>
    <t>CC260206</t>
  </si>
  <si>
    <t>CC260201</t>
  </si>
  <si>
    <t>CC260207</t>
  </si>
  <si>
    <t>CC260208</t>
  </si>
  <si>
    <t>CC260209</t>
  </si>
  <si>
    <t>CC260210</t>
  </si>
  <si>
    <t>CC270207</t>
  </si>
  <si>
    <t>CA270207</t>
  </si>
  <si>
    <t>1</t>
  </si>
  <si>
    <t>Под заказ</t>
  </si>
  <si>
    <t>BF500</t>
  </si>
  <si>
    <t>Номенклатура</t>
  </si>
  <si>
    <t xml:space="preserve">Артикул </t>
  </si>
  <si>
    <t>Цена</t>
  </si>
  <si>
    <t>компл</t>
  </si>
  <si>
    <t>шт</t>
  </si>
  <si>
    <t>ASP</t>
  </si>
  <si>
    <t xml:space="preserve">    ASP (аккумуляторы)</t>
  </si>
  <si>
    <t xml:space="preserve">        АКБ 12V  75Ah 700A 278х175х190  (прямая) +-</t>
  </si>
  <si>
    <t>A7570001</t>
  </si>
  <si>
    <t xml:space="preserve">        АКБ 12V  92Ah 800A 353х175х190  (прямая) +-</t>
  </si>
  <si>
    <t>A9280001</t>
  </si>
  <si>
    <t xml:space="preserve">    ASP (гидравлика)</t>
  </si>
  <si>
    <t>L260104</t>
  </si>
  <si>
    <t>L270322</t>
  </si>
  <si>
    <t xml:space="preserve">        Цилиндр тормозной ASP GAZ 2705, 3302 задний</t>
  </si>
  <si>
    <t>L550101</t>
  </si>
  <si>
    <t>L260507</t>
  </si>
  <si>
    <t>L260201L</t>
  </si>
  <si>
    <t>L260201R</t>
  </si>
  <si>
    <t xml:space="preserve">        Цилиндр тормозной ASP Lada 2108-2115 главный</t>
  </si>
  <si>
    <t>L260501</t>
  </si>
  <si>
    <t xml:space="preserve">        Цилиндр тормозной ASP Lada 21213 главный</t>
  </si>
  <si>
    <t>L260505</t>
  </si>
  <si>
    <t>L270101</t>
  </si>
  <si>
    <t xml:space="preserve">    ASP (подвеска)</t>
  </si>
  <si>
    <t xml:space="preserve">        Втулка стабилизатора переднего  ASP RENAULT Logan, L Largus (уп30)</t>
  </si>
  <si>
    <t>RJ42007</t>
  </si>
  <si>
    <t xml:space="preserve">        Наконечник рулевой ASP CHEVROLET Lacetti левый</t>
  </si>
  <si>
    <t>RJ10004</t>
  </si>
  <si>
    <t xml:space="preserve">        Наконечник рулевой ASP CHEVROLET Lacetti правый</t>
  </si>
  <si>
    <t>RJ10005</t>
  </si>
  <si>
    <t xml:space="preserve">        Наконечник рулевой ASP RENAULT Duster 2010- левый (уп9)</t>
  </si>
  <si>
    <t>RJ10006</t>
  </si>
  <si>
    <t xml:space="preserve">        Наконечник рулевой ASP RENAULT Duster 2010- правый (уп9)</t>
  </si>
  <si>
    <t>RJ10007</t>
  </si>
  <si>
    <t xml:space="preserve">        Наконечник рулевой ASP RENAULT Logan 04-, Sandero 08- левый (уп9)</t>
  </si>
  <si>
    <t>RJ10008</t>
  </si>
  <si>
    <t xml:space="preserve">        Наконечник рулевой ASP RENAULT Logan 04-, Sandero 08- правый (уп9)</t>
  </si>
  <si>
    <t>RJ10009</t>
  </si>
  <si>
    <t xml:space="preserve">        Наконечник рулевой ASP RENAULT Megan II, Scenic II левый</t>
  </si>
  <si>
    <t>RJ10041</t>
  </si>
  <si>
    <t xml:space="preserve">        Наконечник рулевой ASP RENAULT Megan II, Scenic II правый</t>
  </si>
  <si>
    <t>RJ10042</t>
  </si>
  <si>
    <t xml:space="preserve">        Опора двигателя ASP задняя RENAULT Logan, Sandero (уп9)</t>
  </si>
  <si>
    <t>RJ80006</t>
  </si>
  <si>
    <t xml:space="preserve">        Опора двигателя ASP передняя CHEVROLET CRUZE, OPEL ASTRA</t>
  </si>
  <si>
    <t>RJ80001</t>
  </si>
  <si>
    <t>RJ50010</t>
  </si>
  <si>
    <t xml:space="preserve">        Опора переднего амортизатора ASP без подшипника Renault Logan, L Largus (уп8)</t>
  </si>
  <si>
    <t>RJ50004</t>
  </si>
  <si>
    <t xml:space="preserve">        Рычаг передний (нижний) ASP HYUNDAI Solaris, KIA Rio III левый</t>
  </si>
  <si>
    <t>RJ60028</t>
  </si>
  <si>
    <t xml:space="preserve">        Рычаг передний (нижний) ASP HYUNDAI Solaris, KIA Rio III правый</t>
  </si>
  <si>
    <t>RJ60029</t>
  </si>
  <si>
    <t xml:space="preserve">        Рычаг передний (нижний) ASP RENAULT Megane II, Scenis II левый</t>
  </si>
  <si>
    <t>RJ60030</t>
  </si>
  <si>
    <t xml:space="preserve">        Рычаг передний (нижний) ASP RENAULT Megane II, Scenis II правый</t>
  </si>
  <si>
    <t>RJ60031</t>
  </si>
  <si>
    <t xml:space="preserve">        Рычаг передний ASP CHEVROLET Lacetti 05- левый</t>
  </si>
  <si>
    <t>RJ60003</t>
  </si>
  <si>
    <t xml:space="preserve">        Рычаг передний ASP CHEVROLET Lacetti 05- правый</t>
  </si>
  <si>
    <t>RJ60004</t>
  </si>
  <si>
    <t xml:space="preserve">        Рычаг передний ASP FORD Focus 2, C-Max, VOLVO S40 II левый</t>
  </si>
  <si>
    <t>RJ60015</t>
  </si>
  <si>
    <t xml:space="preserve">        Рычаг передний ASP FORD Focus 2, C-Max, VOLVO S40 II правый</t>
  </si>
  <si>
    <t>RJ60016</t>
  </si>
  <si>
    <t xml:space="preserve">        Рычаг передний ASP RENAULT Duster 2010-17 левый</t>
  </si>
  <si>
    <t>RJ60005</t>
  </si>
  <si>
    <t xml:space="preserve">        Рычаг передний ASP RENAULT Duster 2010-17 правый</t>
  </si>
  <si>
    <t>RJ60006</t>
  </si>
  <si>
    <t xml:space="preserve">        Рычаг передний ASP RENAULT Duster рестайл 2017- левый</t>
  </si>
  <si>
    <t>RJ60007</t>
  </si>
  <si>
    <t xml:space="preserve">        Рычаг передний ASP RENAULT Duster рестайл 2017- правый</t>
  </si>
  <si>
    <t>RJ60008</t>
  </si>
  <si>
    <t xml:space="preserve">        Рычаг передний ASP RENAULT Logan II 2013-, Sandero II 2014- левый</t>
  </si>
  <si>
    <t>RJ60011</t>
  </si>
  <si>
    <t xml:space="preserve">        Рычаг передний ASP RENAULT Logan II 2013-, Sandero II 2014- правый</t>
  </si>
  <si>
    <t>RJ60012</t>
  </si>
  <si>
    <t xml:space="preserve">        Рычаг передний ASP RENAULT Logan, Sandero левый</t>
  </si>
  <si>
    <t>RJ60009</t>
  </si>
  <si>
    <t xml:space="preserve">        Рычаг передний ASP RENAULT Logan, Sandero правый</t>
  </si>
  <si>
    <t>RJ60010</t>
  </si>
  <si>
    <t xml:space="preserve">        Рычаг передний ASP в сборе LADA Vesta  левый</t>
  </si>
  <si>
    <t>RJ60036</t>
  </si>
  <si>
    <t xml:space="preserve">        Рычаг передний ASP в сборе LADA Vesta  правый</t>
  </si>
  <si>
    <t>RJ60037</t>
  </si>
  <si>
    <t xml:space="preserve">        Сайленблок задней балки ASP RENAULT Duster, Logan, Sandero (уп8)</t>
  </si>
  <si>
    <t>RJ40011</t>
  </si>
  <si>
    <t xml:space="preserve">        Сайлентблок ASP переднего рычага RENAULT Logan, L Largus</t>
  </si>
  <si>
    <t>RJ40010</t>
  </si>
  <si>
    <t xml:space="preserve">        Тяга рулевая ASP L Largus, RENAULT/DACIA Logan, Sandero (уп12)</t>
  </si>
  <si>
    <t>RJ20003</t>
  </si>
  <si>
    <t xml:space="preserve">        Тяга рулевая ASP L X-Ray 2015-, RENAULT Logan II 13-, Sandero II 14-</t>
  </si>
  <si>
    <t>RJ20004</t>
  </si>
  <si>
    <t xml:space="preserve">        Тяга рулевая ASP RENAULT Duster 10-, NISSAN Terrano II</t>
  </si>
  <si>
    <t>RJ20002</t>
  </si>
  <si>
    <t xml:space="preserve">        Тяга рулевая ASP RENAULT Megane II, Scenic II, Grand Scenic II (уп12)</t>
  </si>
  <si>
    <t>RJ20014</t>
  </si>
  <si>
    <t xml:space="preserve">        Тяга рулевая ASP RENAULT Megane III/Fluence/Scenic III</t>
  </si>
  <si>
    <t>RJ20016</t>
  </si>
  <si>
    <t xml:space="preserve">        Тяга стабилизатора ASP (перед) HYUNDAI Tucson,KIA Sportage</t>
  </si>
  <si>
    <t>RJ30037</t>
  </si>
  <si>
    <t xml:space="preserve">        Тяга стабилизатора ASP (перед) MITSUBISHI Lancer 10, ASX, Outlander II</t>
  </si>
  <si>
    <t>RJ30047</t>
  </si>
  <si>
    <t xml:space="preserve">        Тяга стабилизатора ASP (перед) RENAULT Duster (уп6)</t>
  </si>
  <si>
    <t>RJ30005</t>
  </si>
  <si>
    <t xml:space="preserve">        Тяга стабилизатора ASP (перед) RENAULT Logan, L Largus (уп18)</t>
  </si>
  <si>
    <t>RJ30006</t>
  </si>
  <si>
    <t xml:space="preserve">        Тяга стабилизатора ASP (перед) RENAULT Megane II</t>
  </si>
  <si>
    <t>RJ30042</t>
  </si>
  <si>
    <t xml:space="preserve">        Шаровая опора ASP  LADA Vesta левая (уп20)</t>
  </si>
  <si>
    <t>RJ00027</t>
  </si>
  <si>
    <t xml:space="preserve">        Шаровая опора ASP  LADA Vesta правая (уп20)</t>
  </si>
  <si>
    <t>RJ00028</t>
  </si>
  <si>
    <t xml:space="preserve">        Шаровая опора ASP  Renault Logan, Renault Megane II, Lada Largus -13 (круг.проточка)</t>
  </si>
  <si>
    <t>RJ00005</t>
  </si>
  <si>
    <t xml:space="preserve">        Шаровая опора ASP HYUNDAI Solaris/KIA Rio III</t>
  </si>
  <si>
    <t>RJ00019</t>
  </si>
  <si>
    <t xml:space="preserve">    ASP (помпы)</t>
  </si>
  <si>
    <t>PW0006</t>
  </si>
  <si>
    <t xml:space="preserve">    ASP (торм.диски иномарка)</t>
  </si>
  <si>
    <t xml:space="preserve">        Барабан тормозной  ASP DAEWOO MATIZ  [в уп 1шт]</t>
  </si>
  <si>
    <t xml:space="preserve">        Барабан тормозной  ASP DAEWOO NEXIA  ( упаковка 2шт )</t>
  </si>
  <si>
    <t xml:space="preserve">        Барабан тормозной  ASP Hyundai Solaris d=203mm</t>
  </si>
  <si>
    <t xml:space="preserve">        Барабан тормозной  ASP Renauit Logan/Clio/Megan 203mm  [в уп 1шт]</t>
  </si>
  <si>
    <t xml:space="preserve">        Диск тормозной ино зад  ASP  Chevrolet Lacetti  </t>
  </si>
  <si>
    <t xml:space="preserve">        Диск тормозной ино зад  ASP  Geely Emgrand 1.8 D=298mm</t>
  </si>
  <si>
    <t xml:space="preserve">        Диск тормозной ино зад  ASP  Geely МК</t>
  </si>
  <si>
    <t xml:space="preserve">        Диск тормозной ино зад  ASP  Hyundai eLANTRA15/vELOSTER 11/Creta 2WD 16/KIA Soul 14 D=262mm</t>
  </si>
  <si>
    <t xml:space="preserve">        Диск тормозной ино зад  ASP  Hyundai SOLARIS 10-/Kia RIO III  [в уп 2шт]</t>
  </si>
  <si>
    <t xml:space="preserve">        Диск тормозной ино зад  ASP  Mitsubishi Lancer 9</t>
  </si>
  <si>
    <t xml:space="preserve">        Диск тормозной ино зад  ASP  TOYOTA RAV4 II CHERY TIGGO  D=303mm</t>
  </si>
  <si>
    <t xml:space="preserve">        Диск тормозной ино зад  ASP  VW Golf V, Jetta III</t>
  </si>
  <si>
    <t xml:space="preserve">        Диск тормозной ино пер  ASP  CHERY TIGGO (T11) 2005  D=300mm </t>
  </si>
  <si>
    <t xml:space="preserve">        Диск тормозной ино пер  ASP  Chevrolet Aveo  1.4</t>
  </si>
  <si>
    <t xml:space="preserve">        Диск тормозной ино пер  ASP  Chevrolet Lacetti  1.4 - 1.6  [в уп 2шт]</t>
  </si>
  <si>
    <t xml:space="preserve">        Диск тормозной ино пер  ASP  Daewoo Nexia/Espero  16V  R14</t>
  </si>
  <si>
    <t xml:space="preserve">        Диск тормозной ино пер  ASP  Daewoo Nexia/Lanos  8V  R13</t>
  </si>
  <si>
    <t xml:space="preserve">        Диск тормозной ино пер  ASP  Geely Emgrand  EC7 D=281mm</t>
  </si>
  <si>
    <t xml:space="preserve">        Диск тормозной ино пер  ASP  Hyundai Creta1.6 2WD/KIA CEED 1.4-1.6 D=280mm</t>
  </si>
  <si>
    <t xml:space="preserve">        Диск тормозной ино пер  ASP  Hyundai Creta2.0 4WD/KIA SPORTAGE III D=300mm</t>
  </si>
  <si>
    <t xml:space="preserve">        Диск тормозной ино пер  ASP  Kia Spectra/Shuma</t>
  </si>
  <si>
    <t xml:space="preserve">        Диск тормозной ино пер  ASP  LF SOLANO/SOLANO NEW/SOLANO II/Toyota Corolla 1.5-1.8 01 D=255mm</t>
  </si>
  <si>
    <t xml:space="preserve">        Диск тормозной ино пер  ASP  LIFAN X60 (12)/X70 (17) D=300mm</t>
  </si>
  <si>
    <t xml:space="preserve">        Диск тормозной ино пер  ASP  Mazda 3 1.6 (BK, BL), 5 (CR, CW)  вент.</t>
  </si>
  <si>
    <t xml:space="preserve">        Диск тормозной ино пер  ASP  Nissan Qashqai  J10E  07 -</t>
  </si>
  <si>
    <t xml:space="preserve">        Диск тормозной ино пер  ASP  Opel Astra G  1.6</t>
  </si>
  <si>
    <t xml:space="preserve">        Диск тормозной ино пер  ASP  Opel Astra G  1.8</t>
  </si>
  <si>
    <t xml:space="preserve">        Диск тормозной ино пер  ASP  Renault LOGAN, SANDERO(abs)  (не вент.) !!в уп 2шт!!</t>
  </si>
  <si>
    <t xml:space="preserve">    ASP (торм.диски отечка)</t>
  </si>
  <si>
    <t xml:space="preserve">        Барабан торм  ASP  Соболь</t>
  </si>
  <si>
    <t xml:space="preserve">        Барабан тормозной  ASP LADA LARGUS/Nissan Almera J15 D=228.6mm (без подш. и кольца ABS)</t>
  </si>
  <si>
    <t xml:space="preserve">        Диск  тормозной  пер ASP  2121-23</t>
  </si>
  <si>
    <t xml:space="preserve">        Диск  тормозной  пер ASP  LADA VESTA, LARGUS ABS  [260x22] 4 отв.   !!в уп 2шт!!  </t>
  </si>
  <si>
    <t xml:space="preserve">        Диск  тормозной  пер ASP  Спорт LADA VESTA, LARGUS ABS  !!в уп 2шт!!  (перфорация+проточка)</t>
  </si>
  <si>
    <t xml:space="preserve">        Диск  тормозной  пер ASP MENSAN  UAZ-3160, Hunter, Patriot</t>
  </si>
  <si>
    <t xml:space="preserve">        Диск  тормозной  пер ASP MENSAN  Газель 2705-3302 (1шт)</t>
  </si>
  <si>
    <t xml:space="preserve">        Диск  тормозной  пер ASP MENSAN  Газель NEXT A21R233501078 (1шт)</t>
  </si>
  <si>
    <t xml:space="preserve">    ASP (тормозые колодки)</t>
  </si>
  <si>
    <t xml:space="preserve">        Колодка диcкового тормоза ASP 2101-07</t>
  </si>
  <si>
    <t xml:space="preserve">        Колодка диcкового тормоза ASP 2108-10</t>
  </si>
  <si>
    <t xml:space="preserve">        Колодка диcкового тормоза ASP 2121, Шеви-Нива</t>
  </si>
  <si>
    <t xml:space="preserve">        Колодка диcкового тормоза ASP Chevrolet  Lacetti</t>
  </si>
  <si>
    <t>K510217</t>
  </si>
  <si>
    <t xml:space="preserve">        Колодка диcкового тормоза ASP Gazel 3302 - 2117 с термопропилом</t>
  </si>
  <si>
    <t>K550201</t>
  </si>
  <si>
    <t xml:space="preserve">        Колодка диcкового тормоза ASP Gazel NEXT C41R92 дв.CUMMINS стоян.тормоза</t>
  </si>
  <si>
    <t>K550105</t>
  </si>
  <si>
    <t xml:space="preserve">        Колодка диcкового тормоза ASP HYUNDAI Accent V (HC) / Solaris II (HCr)</t>
  </si>
  <si>
    <t>K290218</t>
  </si>
  <si>
    <t xml:space="preserve">        Колодка диcкового тормоза ASP Largus 16кл, LADA Vesta, DUSTER 4Х2 1.6, 1.5 dCi</t>
  </si>
  <si>
    <t xml:space="preserve">        Колодка диcкового тормоза ASP Renault Logan II</t>
  </si>
  <si>
    <t>K270208</t>
  </si>
  <si>
    <t xml:space="preserve">        Колодка диcкового тормоза ASP Solaris, KIA Rio III</t>
  </si>
  <si>
    <t>K290217</t>
  </si>
  <si>
    <t xml:space="preserve">        Колодка дискового тормоза задние ASP  Chevrolet Lacetti 06-</t>
  </si>
  <si>
    <t>K510121</t>
  </si>
  <si>
    <t xml:space="preserve">        Колодки бaрабанного тормоза ASP  1118/2170/2190 с АБС  (уп 6кт)</t>
  </si>
  <si>
    <t xml:space="preserve">        Колодки бaрабанного тормоза ASP  2101-07  (уп 4кт)</t>
  </si>
  <si>
    <t xml:space="preserve">        Колодки бaрабанного тормоза ASP  2108-12  (уп 6кт)</t>
  </si>
  <si>
    <t xml:space="preserve">        Колодки бaрабанного тормоза ASP  GAZ  3302  клееная</t>
  </si>
  <si>
    <t>K550101</t>
  </si>
  <si>
    <t xml:space="preserve">        Колодки бaрабанного тормоза ASP  LADA Largus Renault Duster 2WD с рычагом 230-42мм</t>
  </si>
  <si>
    <t xml:space="preserve">        Колодки бaрабанного тормоза ASP  LADA VESTA</t>
  </si>
  <si>
    <t>K270122</t>
  </si>
  <si>
    <t xml:space="preserve">        Колодки бaрабанного тормоза ASP  Renault Logan /Peugeot 206 т/с TRW 203x38мм</t>
  </si>
  <si>
    <t>K270109</t>
  </si>
  <si>
    <t xml:space="preserve">        Колодки бaрабанного тормоза ASP  Renault Logan 180мм</t>
  </si>
  <si>
    <t>K270107</t>
  </si>
  <si>
    <t xml:space="preserve">        Колодки бaрабанного тормоза ASP  Renault Logan/Clio/Sandero/ X-Ray т/с BOSCH 203.2x39мм</t>
  </si>
  <si>
    <t>K270108</t>
  </si>
  <si>
    <t xml:space="preserve">    ASP (троса премиум)</t>
  </si>
  <si>
    <t xml:space="preserve">        Трос привода газа ASP  RENAULT Logan,Sandero/LADA Largus 1,6 16V L-1070мм</t>
  </si>
  <si>
    <t>BP270228</t>
  </si>
  <si>
    <t>BP270227</t>
  </si>
  <si>
    <t>BP270207-1993</t>
  </si>
  <si>
    <t>BP270207-1680</t>
  </si>
  <si>
    <t>BP270207-1667</t>
  </si>
  <si>
    <t xml:space="preserve">        Трос привода сцепления  ASP  LARGUS,Logan,Sandero</t>
  </si>
  <si>
    <t xml:space="preserve">        Трос ручного тормоза ASP  L  Vesta, Lada XRAY 1870мм</t>
  </si>
  <si>
    <t xml:space="preserve">        Трос ручного тормоза ASP  L 1118-2190 к-т (2шт)</t>
  </si>
  <si>
    <t xml:space="preserve">        Трос ручного тормоза ASP  L 2108-099 к-т (2шт)</t>
  </si>
  <si>
    <t xml:space="preserve">        Трос ручного тормоза ASP  задний Газель (1шт)</t>
  </si>
  <si>
    <t>BC550201R (по 1шт)</t>
  </si>
  <si>
    <t xml:space="preserve">        Трос ручного тормоза ASP  передний L 2121,21213</t>
  </si>
  <si>
    <t xml:space="preserve">        Трос ручного тормоза ASP  передний Газель NEXT</t>
  </si>
  <si>
    <t>BC550204F</t>
  </si>
  <si>
    <t xml:space="preserve">        Трос сцепления ASP  L 1118</t>
  </si>
  <si>
    <t xml:space="preserve">        Трос сцепления ASP  L 2110-12</t>
  </si>
  <si>
    <t xml:space="preserve">        Трос сцепления ASP  L 2170</t>
  </si>
  <si>
    <t xml:space="preserve">        Трос сцепления ASP  L 2170 (с трос. КПП)</t>
  </si>
  <si>
    <t xml:space="preserve">        Трос сцепления ASP  L 2190</t>
  </si>
  <si>
    <t xml:space="preserve">    ASP (фары, фонари) под заказ</t>
  </si>
  <si>
    <t xml:space="preserve">        Фара передняя ASP RENAULT LOGAN (2003-2008) левая руч.рег.</t>
  </si>
  <si>
    <t>LF7003</t>
  </si>
  <si>
    <t xml:space="preserve">        Фара передняя ASP RENAULT LOGAN (2003-2008) правая руч.рег.</t>
  </si>
  <si>
    <t>LF7002</t>
  </si>
  <si>
    <t xml:space="preserve">    ASP (химия)</t>
  </si>
  <si>
    <t xml:space="preserve">        Жидкость тормозная DOT4  ASP  (500мл)</t>
  </si>
  <si>
    <t xml:space="preserve">        Смазка медная ASP  (520мл)</t>
  </si>
  <si>
    <t>CM520</t>
  </si>
  <si>
    <t xml:space="preserve">        Смазка силиконовая аэро ASP  (200мл)</t>
  </si>
  <si>
    <t>SL200</t>
  </si>
  <si>
    <t xml:space="preserve">        Смазка универсальная мастер-ключ ASP (аналог WD-40)  520мл</t>
  </si>
  <si>
    <t>MK520</t>
  </si>
  <si>
    <t xml:space="preserve">    ASP (ШРУСы)</t>
  </si>
  <si>
    <t xml:space="preserve">        ШРУС  ASP  Chevrolet NIVA внутр. правый трипоидный (24 шлица)</t>
  </si>
  <si>
    <t>CV260105R</t>
  </si>
  <si>
    <t>CV260215</t>
  </si>
  <si>
    <t>CV260205</t>
  </si>
  <si>
    <t xml:space="preserve">        ШРУС  ASP  Daewoo Matiz (98-) МТ внутр. трипоидный</t>
  </si>
  <si>
    <t>CV510101</t>
  </si>
  <si>
    <t xml:space="preserve">        ШРУС  ASP  Daewoo Matiz (98-) наружный ABS</t>
  </si>
  <si>
    <t>CV510201</t>
  </si>
  <si>
    <t xml:space="preserve">        ШРУС  ASP  Hyundai Solaris (10-)/Kia Rio (11-) внутр. трипоидный</t>
  </si>
  <si>
    <t>CV290117</t>
  </si>
  <si>
    <t xml:space="preserve">        ШРУС  ASP  LADA  Largus/ X-Ray  наружный (дв.ВАЗ 22/23шл)</t>
  </si>
  <si>
    <t>CV370221</t>
  </si>
  <si>
    <t xml:space="preserve">        ШРУС  ASP  LADA 1118/2170/2190 наружный</t>
  </si>
  <si>
    <t>CV260206</t>
  </si>
  <si>
    <t>CV260201</t>
  </si>
  <si>
    <t>CV260204</t>
  </si>
  <si>
    <t xml:space="preserve">        ШРУС  ASP  LADA Granta 2190 AT внутр. трипоидный</t>
  </si>
  <si>
    <t>CV260122</t>
  </si>
  <si>
    <t xml:space="preserve">        ШРУС  ASP  LADA Largus 16кл наружный дв.Renault (вн 22шл, нар 23шл)</t>
  </si>
  <si>
    <t>CV270201</t>
  </si>
  <si>
    <t>CV270222</t>
  </si>
  <si>
    <t xml:space="preserve">        ШРУС  ASP  LADA Vesta внутр. трипоидный КПП Renault JH3</t>
  </si>
  <si>
    <t>CV270122</t>
  </si>
  <si>
    <t xml:space="preserve">        ШРУС  ASP  LADA Vesta внутр. трипоидный КПП VAZ 21807</t>
  </si>
  <si>
    <t>CV270123</t>
  </si>
  <si>
    <t xml:space="preserve">        ШРУС  ASP  Renault Logan (04-) Lada Largus 1.6i наруж. (23х30 шлц.)</t>
  </si>
  <si>
    <t>CV270208</t>
  </si>
  <si>
    <t>AL40132</t>
  </si>
  <si>
    <t xml:space="preserve">    Маховик ASP для а/м ГАЗ 3302 дв. Cummins 2.8 ЕВРО-3.4 (универсальный)</t>
  </si>
  <si>
    <t>FW0001</t>
  </si>
  <si>
    <t xml:space="preserve">    Подшипник верхней опоры стойки  ASP-Coram 1118-2170</t>
  </si>
  <si>
    <t>BCA018</t>
  </si>
  <si>
    <t>Разн</t>
  </si>
  <si>
    <t>Закуп</t>
  </si>
  <si>
    <t>Првоерка</t>
  </si>
  <si>
    <t>290107</t>
  </si>
  <si>
    <t>Артикул</t>
  </si>
  <si>
    <t>Рек</t>
  </si>
  <si>
    <t>%</t>
  </si>
  <si>
    <t>Факт</t>
  </si>
  <si>
    <t xml:space="preserve">        ЗТЦ ASP Lada 2105-08, 1118, 2123, 2170, 2190</t>
  </si>
  <si>
    <t xml:space="preserve">        Цилиндр тормозной ASP Lada Largus(12-)/Renault Logan (12-) задний с ABS</t>
  </si>
  <si>
    <t>L270108</t>
  </si>
  <si>
    <t xml:space="preserve">        Шаровая опора ASP  Renault Logan II 2013-,Sandero II 2014-, Lada Largus 2013-</t>
  </si>
  <si>
    <t>RJ00006</t>
  </si>
  <si>
    <t xml:space="preserve">        Барабан тормозной  ASP Chevrolet Aveo/Spark 1.0-1.4 06  ( упаковка 2шт )</t>
  </si>
  <si>
    <t xml:space="preserve">        Колодка диcкового тормоза ASP Largus  8кл, Logan ph1,2</t>
  </si>
  <si>
    <t xml:space="preserve">        Колодки бaрабанного тормоза ASP  RENAULT Duster 4 WD, Kaptur 4 WD, Arkana 4 WD</t>
  </si>
  <si>
    <t>K270127</t>
  </si>
  <si>
    <t xml:space="preserve">        Трос привода газа ASP  RENAULT Logan,Sandero/LADA Largus 1,4-1,6 8V L-906мм</t>
  </si>
  <si>
    <t xml:space="preserve">        Трос ручного тормоза ASP  LARGUS  L-1993мм</t>
  </si>
  <si>
    <t xml:space="preserve">        Трос ручного тормоза ASP  Logan,Sandero (без ГУР) L-1680мм</t>
  </si>
  <si>
    <t xml:space="preserve">        Трос ручного тормоза ASP  Logan,Sandero (с ГУР) L-1667mm</t>
  </si>
  <si>
    <t xml:space="preserve">        Трос ручного тормоза ASP  R Duster  4x2</t>
  </si>
  <si>
    <t xml:space="preserve">        Трос ручного тормоза ASP  R Duster  4x4</t>
  </si>
  <si>
    <t>AL40095</t>
  </si>
  <si>
    <t>AL61479</t>
  </si>
  <si>
    <t>AL60033</t>
  </si>
  <si>
    <t>AL10412</t>
  </si>
  <si>
    <t>AL10236</t>
  </si>
  <si>
    <t xml:space="preserve">        Опора двигателя ASP передняя RENAULT Duster, Logan, Sandero I</t>
  </si>
  <si>
    <t>RJ80004</t>
  </si>
  <si>
    <t xml:space="preserve">        Тяга стабилизатора ASP (перед) HYUNDAI Solaris 2010-, KIA Rio III</t>
  </si>
  <si>
    <t>RJ30026</t>
  </si>
  <si>
    <t xml:space="preserve">        Шаровая опора ASP  Renault Duster II</t>
  </si>
  <si>
    <t>RJ00004</t>
  </si>
  <si>
    <t xml:space="preserve">        Насос водяной ASP  Lada 2101-2107, 2121-21213</t>
  </si>
  <si>
    <t>PW0007</t>
  </si>
  <si>
    <t xml:space="preserve">        Насос водяной ASP  Lada 2190 Granta</t>
  </si>
  <si>
    <t>PW0008</t>
  </si>
  <si>
    <t xml:space="preserve">    ASP (радиторы, вентиляторы)</t>
  </si>
  <si>
    <t xml:space="preserve">        Вентилятор отопителя ASP для а/м L Largus (12-) A/C-, Renault Logan (08-) Duster (10-)</t>
  </si>
  <si>
    <t xml:space="preserve">        Вентилятор отопителя ASP для а/м Lada Largus (12-)/Renault Logan (08-) A/C-</t>
  </si>
  <si>
    <t xml:space="preserve">        Радиатор кондиционера ASP  для а/м L Largus (12-)/Renault Logan (08-)/Duster (10-)</t>
  </si>
  <si>
    <t xml:space="preserve">        Радиатор кондиционера ASP  для а/м Lada Vesta (15-)/Renault Logan II (12-)</t>
  </si>
  <si>
    <t xml:space="preserve">        Радиатор охлаждения  ASP  для а/м L Vesta (15-)/R Logan II (12-)/Kaptur (16-)/Duster (21-) A/C+ паян</t>
  </si>
  <si>
    <t xml:space="preserve">        Радиатор охлаждения  ASP  для а/м Renault Logan (04-) 1.4i/1.6i А/С+</t>
  </si>
  <si>
    <t xml:space="preserve">        Диск тормозной ино пер  ASP  Hyundai  I40/KIA Optima передний, вентилируемый D=320</t>
  </si>
  <si>
    <t xml:space="preserve">        Диск тормозной ино пер  ASP  Hyundai Solaris</t>
  </si>
  <si>
    <t xml:space="preserve">        Диск тормозной ино пер  ASP  Hyundai Sonata NEW 2014-&gt;/KIA Optima 2015-&gt; вентилир. D=305</t>
  </si>
  <si>
    <t xml:space="preserve">        Барабан торм (чугун)  ASP  2108,2112,1118,2170</t>
  </si>
  <si>
    <t xml:space="preserve">        Диск  тормозной  пер ASP  2101-07</t>
  </si>
  <si>
    <t xml:space="preserve">        Диск  тормозной  пер ASP  2108-15</t>
  </si>
  <si>
    <t xml:space="preserve">        Диск  тормозной  пер ASP  2112/1118/2170/2190  (R14 вент)</t>
  </si>
  <si>
    <t xml:space="preserve">        Диск  тормозной  пер ASP  Спорт 2110  (R13 вент)  (перфорация, канавка)</t>
  </si>
  <si>
    <t xml:space="preserve">        Диск  тормозной  пер ASP  Спорт 2112/1118/2170/2190  (перфорация, канавка)</t>
  </si>
  <si>
    <t xml:space="preserve">        Колодка диcкового тормоза ASP Renault Duster 10- Fluence 10-/ Megane III 08-</t>
  </si>
  <si>
    <t>K270212</t>
  </si>
  <si>
    <t xml:space="preserve">    Колодка диcкового тормоза  Евродеталь  DAEWOO NEXIA 8V(до 2008 г), MATIZ, CHEVROLET LANOS  </t>
  </si>
  <si>
    <t>ED4-302D</t>
  </si>
  <si>
    <t>BC260204</t>
  </si>
  <si>
    <t>Розница</t>
  </si>
  <si>
    <t>ед.изм</t>
  </si>
  <si>
    <t>ALLIED NIPPON</t>
  </si>
  <si>
    <t xml:space="preserve">    Колодка диcкового тормоза ALLIED NIPPON  2108  (в упак 16кт)</t>
  </si>
  <si>
    <t xml:space="preserve">ADB 0173 </t>
  </si>
  <si>
    <t xml:space="preserve">    Колодка диcкового тормоза ALLIED NIPPON  2121-23  (в упак 16кт)</t>
  </si>
  <si>
    <t>ADB 0192</t>
  </si>
  <si>
    <t xml:space="preserve">    Колодка диcкового тормоза ALLIED NIPPON  LADA X-Ray</t>
  </si>
  <si>
    <t>ADB 0985</t>
  </si>
  <si>
    <t xml:space="preserve">    Колодка диcкового тормоза ALLIED NIPPON  Largus 16кл, LADA Vesta, DUSTER 4Х2 1.6, 1.5 dCi</t>
  </si>
  <si>
    <t>ADB 0984</t>
  </si>
  <si>
    <t xml:space="preserve">    Колодка диcкового тормоза ALLIED NIPPON Gazel NEXT</t>
  </si>
  <si>
    <t>ADB 0796</t>
  </si>
  <si>
    <t xml:space="preserve">    Колодки бaрабанного тормоза ALLIED NIPPON  1118/2170/2190 с АБС  (в упак 10кт)</t>
  </si>
  <si>
    <t>ABS1703</t>
  </si>
  <si>
    <t xml:space="preserve">    Колодки бaрабанного тормоза ALLIED NIPPON  ГАЗ 3302  Газель  (в упак 6кт)</t>
  </si>
  <si>
    <t>ABS1802</t>
  </si>
  <si>
    <t>AMD, ASIN (Корея авто)</t>
  </si>
  <si>
    <t xml:space="preserve">    Подшипник  ступицы передней  AMD  HYUNDAI (Solaris RB) (2014-) KIA (Rio UB)  (Ø72mm)</t>
  </si>
  <si>
    <t>AMD.BER42</t>
  </si>
  <si>
    <t xml:space="preserve">    Помпа водяная ASIN DAEWOO (Nexia) (1,5) (DOHC) CHEVROLET (Lanos T100) (1,6) (DOHC)</t>
  </si>
  <si>
    <t>ASIN.PW235</t>
  </si>
  <si>
    <t xml:space="preserve">    Ремень ГРМ ASIN DAEWOO (Nexia) (1,5) (SOHC) (111RS17)</t>
  </si>
  <si>
    <t>ASIN.BL2239</t>
  </si>
  <si>
    <t>AMP (клапана, направляющие, кольца, пальцы)</t>
  </si>
  <si>
    <t xml:space="preserve">    Клапана, направляющие , пальцы (грузовые)</t>
  </si>
  <si>
    <t xml:space="preserve">        Клапан AMP ГАЗ  (402 дв.) (4шт) впускной</t>
  </si>
  <si>
    <t>PWOL003-S-0-D</t>
  </si>
  <si>
    <t xml:space="preserve">        Клапан AMP ГАЗ  (402 дв.) (4шт) выпускной</t>
  </si>
  <si>
    <t>PWOL004-A-0-D</t>
  </si>
  <si>
    <t xml:space="preserve">        Клапан AMP ГАЗ  азот  (402 дв.) (4шт) впускной</t>
  </si>
  <si>
    <t>PWOL003-S-0-N</t>
  </si>
  <si>
    <t xml:space="preserve">        Клапан AMP ГАЗ  азот  (402 дв.) (4шт) выпускной</t>
  </si>
  <si>
    <t>PWOL004-A-0-N</t>
  </si>
  <si>
    <t xml:space="preserve">        Клапан AMP ЗИЛ впускной (4шт) PZIL001_N</t>
  </si>
  <si>
    <t>PZIL001-S-0-N</t>
  </si>
  <si>
    <t xml:space="preserve">        Клапан AMP ЗИЛ выпускной (4шт) PZIL002_N</t>
  </si>
  <si>
    <t>PZIL002-B-0-N</t>
  </si>
  <si>
    <t xml:space="preserve">        Клапан AMP трактор МТЗ впускной Д240 (4шт) </t>
  </si>
  <si>
    <t>PMTZ001-S-0-D</t>
  </si>
  <si>
    <t xml:space="preserve">        Клапан AMP трактор МТЗ впускной Д260 (4шт)</t>
  </si>
  <si>
    <t>PMTZ003-S-0-N</t>
  </si>
  <si>
    <t xml:space="preserve">        Клапан AMP трактор МТЗ выпускной Д240/260 (4шт)</t>
  </si>
  <si>
    <t>PMTZ002-B-0-N</t>
  </si>
  <si>
    <t xml:space="preserve">        Направляющие AMP ГАЗ  впуск ремонт2  (4шт)  (Repairs), JWOL003-R2 (G-S-2)</t>
  </si>
  <si>
    <t>JWOL003-G-S-2</t>
  </si>
  <si>
    <t xml:space="preserve">        Направляющие AMP ГАЗ  выпуск (4шт)  (Nominal)</t>
  </si>
  <si>
    <t>JWOL004-G-S-0</t>
  </si>
  <si>
    <t xml:space="preserve">        Направляющие AMP ГАЗ  серия "professional"  впуск ремонт1  (4шт)  (Repairs)</t>
  </si>
  <si>
    <t>JWOL003-G-P-1</t>
  </si>
  <si>
    <t xml:space="preserve">        Направляющие AMP ГАЗ  серия "professional"  впуск ремонт2  (4шт)  (JWOL001-R2)</t>
  </si>
  <si>
    <t>JWOL003-G-P-2</t>
  </si>
  <si>
    <t xml:space="preserve">        Направляющие AMP ГАЗ  серия "professional"  выпуск ремонт1  (4шт)  (Repairs)</t>
  </si>
  <si>
    <t>JWOL004-G-P-1</t>
  </si>
  <si>
    <t xml:space="preserve">        Направляющие AMP ГАЗ  серия "professional"  выпуск ремонт2  (4шт)  (JWOL002-R2)</t>
  </si>
  <si>
    <t>JWOL004-G-P-2</t>
  </si>
  <si>
    <t xml:space="preserve">        Палец  поршневой AMP 405 дв. (67) (желтый)  XWOL-405-YELLOW</t>
  </si>
  <si>
    <t>XWOL-67-YELLOW</t>
  </si>
  <si>
    <t xml:space="preserve">    Клапана, направляющие , пальцы (легковые)</t>
  </si>
  <si>
    <t xml:space="preserve">        Клапан AMP 2101 впускной (4шт)</t>
  </si>
  <si>
    <t>PLAD001-S-0-D</t>
  </si>
  <si>
    <t xml:space="preserve">        Клапан AMP 2101 выпускной (4шт)</t>
  </si>
  <si>
    <t>PLAD002-A-0-D</t>
  </si>
  <si>
    <t xml:space="preserve">        Клапан AMP 2108 впускной (4шт)  дв.1300</t>
  </si>
  <si>
    <t>PLAD003-S-0-D</t>
  </si>
  <si>
    <t xml:space="preserve">        Клапан AMP 2108 выпускной (4шт)</t>
  </si>
  <si>
    <t>PLAD004-A-0-D</t>
  </si>
  <si>
    <t xml:space="preserve">        Клапан AMP 21083 впускной (4шт)</t>
  </si>
  <si>
    <t>PLAD005-S-0-D</t>
  </si>
  <si>
    <t xml:space="preserve">        Клапан AMP Lada Largus, Renault Logan 16кл  впускной (4шт)</t>
  </si>
  <si>
    <t>PREN018-S-0-0</t>
  </si>
  <si>
    <t xml:space="preserve">        Клапан AMP Lada Largus, Renault Logan 16кл  выпускной (4шт)</t>
  </si>
  <si>
    <t>PREN019-A-0-0</t>
  </si>
  <si>
    <t xml:space="preserve">        Клапан AMP Renault Logan, Largus 8кл  впускной (4шт)</t>
  </si>
  <si>
    <t>PREN001-S-0-D</t>
  </si>
  <si>
    <t xml:space="preserve">        Клапан AMP Renault Logan, Largus 8кл  выпускной (4шт)</t>
  </si>
  <si>
    <t>PREN002-A-0-D</t>
  </si>
  <si>
    <t xml:space="preserve">        Клапан AMP азот 2101 впускной (4шт)</t>
  </si>
  <si>
    <t>PLAD001-S-0-N</t>
  </si>
  <si>
    <t xml:space="preserve">        Клапан AMP азот 2101 выпускной (4шт)</t>
  </si>
  <si>
    <t>PLAD002-A-0-N</t>
  </si>
  <si>
    <t xml:space="preserve">        Клапан AMP азот 2108 выпускной (4шт)</t>
  </si>
  <si>
    <t>PLAD004-A-0-N</t>
  </si>
  <si>
    <t xml:space="preserve">        Клапан AMP азот 21083 впускной (4шт)</t>
  </si>
  <si>
    <t>PLAD005-S-0-N</t>
  </si>
  <si>
    <t xml:space="preserve">        Клапан AMP азот 2110 впускной (4шт)</t>
  </si>
  <si>
    <t>PLAD006-S-0-N</t>
  </si>
  <si>
    <t xml:space="preserve">        Клапан AMP азот 2110 выпускной (4шт)</t>
  </si>
  <si>
    <t>PLAD007-A-0-N</t>
  </si>
  <si>
    <t xml:space="preserve">        Клапан AMP азот 21177 (Lada Vesta, X-Ray) 1.8, 16кл  впускной (4шт)</t>
  </si>
  <si>
    <t>PLAD025-S-0-N</t>
  </si>
  <si>
    <t xml:space="preserve">        Клапан AMP азот 21177 (Lada Vesta, X-Ray) 1.8, 16кл  выпускной (4шт)</t>
  </si>
  <si>
    <t>PLAD026-B-0-N</t>
  </si>
  <si>
    <t xml:space="preserve">        Клапан AMP впускной Москвич (4шт)</t>
  </si>
  <si>
    <t>PMOS001-S-0-D</t>
  </si>
  <si>
    <t xml:space="preserve">        Клапан AMP выпускной Москвич (4шт)</t>
  </si>
  <si>
    <t>PMOS002-A-0-D</t>
  </si>
  <si>
    <t xml:space="preserve">        Клапан AMP ГАЗ 21 выпускной (4шт)</t>
  </si>
  <si>
    <t>PWOL002-A-0-D</t>
  </si>
  <si>
    <t xml:space="preserve">        Клапан AMP УАЗ 452,469 впускной (4шт) PUAZ001</t>
  </si>
  <si>
    <t>PUAZ001-S-0-D</t>
  </si>
  <si>
    <t xml:space="preserve">        Направляющие AMP  2101 впуск. клапана (4шт)</t>
  </si>
  <si>
    <t>JLAD001-G-S-0</t>
  </si>
  <si>
    <t xml:space="preserve">        Направляющие AMP  2101 выпуск. клапана (4шт)</t>
  </si>
  <si>
    <t>JLAD002-G-S-0</t>
  </si>
  <si>
    <t xml:space="preserve">        Направляющие AMP  2108 впуск. клапана (4шт)</t>
  </si>
  <si>
    <t>JLAD003-G-S-0</t>
  </si>
  <si>
    <t xml:space="preserve">        Направляющие AMP  2108 выпуск. клапана (4шт)</t>
  </si>
  <si>
    <t>JLAD004-G-S-0</t>
  </si>
  <si>
    <t xml:space="preserve">        Направляющие AMP  Lada Largus, Renault Logan 16кл. впуск/выпуск. клапан  (4шт)</t>
  </si>
  <si>
    <t>JREN016-B-S-0</t>
  </si>
  <si>
    <t xml:space="preserve">        Направляющие AMP  Lada Largus, Renault Logan 8кл. впуск. клапан  (4шт)</t>
  </si>
  <si>
    <t>JREN005-B-S-0</t>
  </si>
  <si>
    <t xml:space="preserve">        Направляющие AMP  Lada Largus, Renault Logan 8кл. выпуск. клапан  (4шт)</t>
  </si>
  <si>
    <t>JREN007-B-S-0</t>
  </si>
  <si>
    <t xml:space="preserve">        Направляющие AMP  Lada Vesta, X-Ray 1.8, 16V впуск/выпуск. клапан  (8шт)</t>
  </si>
  <si>
    <t>JLAD010-B-S-0</t>
  </si>
  <si>
    <t xml:space="preserve">        Направляющие AMP 2101 впуск. клапана (4шт)  NEW, изм. геометрия</t>
  </si>
  <si>
    <t>JLAD011-G-S-0</t>
  </si>
  <si>
    <t xml:space="preserve">        Направляющие AMP 2101 выпуск. клапана (4шт)  NEW, изм. геометрия</t>
  </si>
  <si>
    <t>JLAD012-G-S-0</t>
  </si>
  <si>
    <t xml:space="preserve">        Направляющие AMP 2110-12  16V  (8шт в уп) комплект - 2уп</t>
  </si>
  <si>
    <t>JLAD006-B-S-0</t>
  </si>
  <si>
    <t xml:space="preserve">        Палец  поршневой AMP 2101 (зеленый)</t>
  </si>
  <si>
    <t>XLAD-67-GREEN</t>
  </si>
  <si>
    <t xml:space="preserve">        Палец  поршневой AMP 2101 (красный)</t>
  </si>
  <si>
    <t>XLAD-67-RED</t>
  </si>
  <si>
    <t xml:space="preserve">        Палец  поршневой AMP 2101 (синий)</t>
  </si>
  <si>
    <t>XLAD-67-BLUE</t>
  </si>
  <si>
    <t xml:space="preserve">        Палец  поршневой AMP 2108 (зеленый)</t>
  </si>
  <si>
    <t>XLAD-61-GREEN</t>
  </si>
  <si>
    <t xml:space="preserve">        Палец  поршневой AMP 2108 (красный)</t>
  </si>
  <si>
    <t>XLAD-61-RED</t>
  </si>
  <si>
    <t xml:space="preserve">        Палец  поршневой AMP 2108 (синий)</t>
  </si>
  <si>
    <t>XLAD-61-BLUE</t>
  </si>
  <si>
    <t xml:space="preserve">    Клапана, направляющие (иномарка)</t>
  </si>
  <si>
    <t xml:space="preserve">        Клапан AMP Chevrolet B15D2  COBALT впускной (96935785) (4шт)</t>
  </si>
  <si>
    <t>PCHE045-S-0-N</t>
  </si>
  <si>
    <t xml:space="preserve">        Клапан AMP Chevrolet B15D2  COBALT выпускной (96935787) (4шт)</t>
  </si>
  <si>
    <t>PCHE046-A-0-N</t>
  </si>
  <si>
    <t xml:space="preserve">        Клапан AMP Chevrolet SPARK 1.25 впускной (4шт)</t>
  </si>
  <si>
    <t>PCHE047-S-0-N</t>
  </si>
  <si>
    <t xml:space="preserve">        Клапан AMP Chevrolet SPARK 1.25 выпускной (4шт)</t>
  </si>
  <si>
    <t>PCHE048-A-0-N</t>
  </si>
  <si>
    <t xml:space="preserve">        Клапан AMP Chevrolet SPARK GT 1.0 впускной (96463002) (4шт)</t>
  </si>
  <si>
    <t>PCHE043-S-0-N</t>
  </si>
  <si>
    <t xml:space="preserve">        Клапан AMP Chevrolet SPARK GT 1.0 выпускной (96463003) (4шт)</t>
  </si>
  <si>
    <t>PCHE044-A-0-N</t>
  </si>
  <si>
    <t xml:space="preserve">        Клапан AMP Daewoo Nexia 16кл. 1.5 впускной (4шт)</t>
  </si>
  <si>
    <t>PDAE005-S-0-N</t>
  </si>
  <si>
    <t xml:space="preserve">        Клапан AMP Daewoo Nexia 16кл. 1.5 выпускной (4шт)</t>
  </si>
  <si>
    <t>PDAE006-A-0-D</t>
  </si>
  <si>
    <t>PDAE006-A-0-N</t>
  </si>
  <si>
    <t xml:space="preserve">        Направляющие AMP Daewoo Matiz, Tico (3шт) "standard"</t>
  </si>
  <si>
    <t>JDAE003-G-S-0</t>
  </si>
  <si>
    <t xml:space="preserve">        Направляющие AMP Daewoo Nexia, Lanos 8кл. (4шт) "professional" для СТО</t>
  </si>
  <si>
    <t>JDAE004-STD-PROF (G-P-0)</t>
  </si>
  <si>
    <t xml:space="preserve">        Направляющие AMP Daewoo Nexia, Lanos 8кл.(4 шт) "standard"</t>
  </si>
  <si>
    <t>JDAE004-G-S-0</t>
  </si>
  <si>
    <t xml:space="preserve">    Кольца поршневые</t>
  </si>
  <si>
    <t xml:space="preserve">        Кольца AMP Largus, Logan  79.5  (цельное м/с кольцо)</t>
  </si>
  <si>
    <t>PR-REN-44-3841-000-SET</t>
  </si>
  <si>
    <t xml:space="preserve">        Кольца AMP Largus, Logan  80.0  (цельное м/с кольцо)</t>
  </si>
  <si>
    <t>PR-REN-44-3841-050-SET</t>
  </si>
  <si>
    <t xml:space="preserve">        Кольца поршневые AMP  11194  76.50  (цельное м/с кольцо)</t>
  </si>
  <si>
    <t>PR-LAD-48-2806-000-SET</t>
  </si>
  <si>
    <t xml:space="preserve">        Кольца поршневые AMP  11194  77.00  (цельное м/с кольцо)</t>
  </si>
  <si>
    <t>PR-LAD-48-2806-050-SET</t>
  </si>
  <si>
    <t xml:space="preserve">        Кольца поршневые AMP  2101   76.00  (цельное м/с кольцо)</t>
  </si>
  <si>
    <t>PR-LAD-44-2802-000-SET</t>
  </si>
  <si>
    <t xml:space="preserve">        Кольца поршневые AMP  2101   76.40  (цельное м/с кольцо)</t>
  </si>
  <si>
    <t>PR-LAD-44-2802-040-SET</t>
  </si>
  <si>
    <t xml:space="preserve">        Кольца поршневые AMP  2101   76.80  (цельное м/с кольцо)</t>
  </si>
  <si>
    <t>PR-LAD-44-2802-080-SET</t>
  </si>
  <si>
    <t xml:space="preserve">        Кольца поршневые AMP  2101  76.00  (наборное м/с кольцо)</t>
  </si>
  <si>
    <t>PR-LAD-49-2802-000-SET</t>
  </si>
  <si>
    <t xml:space="preserve">        Кольца поршневые AMP  2101  76.40  (наборное м/с кольцо)</t>
  </si>
  <si>
    <t>PR-LAD-49-2802-040-SET</t>
  </si>
  <si>
    <t xml:space="preserve">        Кольца поршневые AMP  2101  76.80  (наборное м/с кольцо)</t>
  </si>
  <si>
    <t>PR-LAD-49-2802-080-SET</t>
  </si>
  <si>
    <t xml:space="preserve">        Кольца поршневые AMP  21011   79.00  (цельное м/с кольцо)</t>
  </si>
  <si>
    <t>PR-LAD-44-2803-000-SET</t>
  </si>
  <si>
    <t xml:space="preserve">        Кольца поршневые AMP  21011   79.40  (цельное м/с кольцо)</t>
  </si>
  <si>
    <t>PR-LAD-44-2803-040-SET</t>
  </si>
  <si>
    <t xml:space="preserve">        Кольца поршневые AMP  21011  79.00  (наборное м/с кольцо)</t>
  </si>
  <si>
    <t>PR-LAD-49-2803-000-SET</t>
  </si>
  <si>
    <t xml:space="preserve">        Кольца поршневые AMP  21011  79.40  (наборное м/с кольцо)</t>
  </si>
  <si>
    <t>PR-LAD-49-2803-040-SET</t>
  </si>
  <si>
    <t xml:space="preserve">        Кольца поршневые AMP  21011  79.80  (наборное м/с кольцо)</t>
  </si>
  <si>
    <t>PR-LAD-49-2803-080-SET</t>
  </si>
  <si>
    <t xml:space="preserve">        Кольца поршневые AMP  21083   82.00  (цельное м/с кольцо)</t>
  </si>
  <si>
    <t>PR-LAD-44-2804-000-SET</t>
  </si>
  <si>
    <t xml:space="preserve">        Кольца поршневые AMP  21083   82.40  (цельное м/с кольцо)</t>
  </si>
  <si>
    <t>PR-LAD-44-2804-040-SET</t>
  </si>
  <si>
    <t xml:space="preserve">        Кольца поршневые AMP  21083   82.80  (цельное м/с кольцо)</t>
  </si>
  <si>
    <t>PR-LAD-44-2804-080-SET</t>
  </si>
  <si>
    <t xml:space="preserve">        Кольца поршневые AMP  21083  82.00  (наборное м/с кольцо)</t>
  </si>
  <si>
    <t>PR-LAD-49-2804-000-SET</t>
  </si>
  <si>
    <t xml:space="preserve">        Кольца поршневые AMP  21083  82.40  (наборное м/с кольцо)</t>
  </si>
  <si>
    <t>PR-LAD-49-2804-040-SET</t>
  </si>
  <si>
    <t xml:space="preserve">        Кольца поршневые AMP  21083  82.40  (наборное м/с кольцо) TiN</t>
  </si>
  <si>
    <t>PR-LAD-47-2804-040-SET</t>
  </si>
  <si>
    <t xml:space="preserve">        Кольца поршневые AMP  21126   82.00  (цельное м/с кольцо)</t>
  </si>
  <si>
    <t>PR-LAD-48-2805-000-SET</t>
  </si>
  <si>
    <t xml:space="preserve">        Кольца поршневые AMP  21126   82.50  (цельное м/с кольцо)</t>
  </si>
  <si>
    <t>PR-LAD-48-2805-050-SET</t>
  </si>
  <si>
    <t xml:space="preserve">        Кольца поршневые AMP  21126   83.00  (цельное м/с кольцо)</t>
  </si>
  <si>
    <t>PR-LAD-48-2805-100-SET</t>
  </si>
  <si>
    <t xml:space="preserve">        Кольца поршневые AMP  21126  82.00  (наборное м/с кольцо)</t>
  </si>
  <si>
    <t>PR-LAD-49-2805-000-SET</t>
  </si>
  <si>
    <t xml:space="preserve">        Кольца поршневые AMP  21126  82.50  (наборное м/с кольцо)</t>
  </si>
  <si>
    <t>PR-LAD-49-2805-050-SET</t>
  </si>
  <si>
    <t xml:space="preserve">        Кольца поршневые AMP  21126  83.00  (наборное м/с кольцо)</t>
  </si>
  <si>
    <t>PR-LAD-49-2805-100-SET</t>
  </si>
  <si>
    <t xml:space="preserve">        Кольца поршневые AMP "Москвич" 82.50 (комплект)</t>
  </si>
  <si>
    <t>PR-MOS-44-4852-050-SET</t>
  </si>
  <si>
    <t xml:space="preserve">        Кольца поршневые AMP DAEWOO MATIZ 68.50  (комплект)</t>
  </si>
  <si>
    <t>PR-DAE-39-1401-000-SET</t>
  </si>
  <si>
    <t xml:space="preserve">        Кольца поршневые AMP DAEWOO MATIZ 68.75  (комплект)</t>
  </si>
  <si>
    <t>PR-DAE-39-1401-025-SET</t>
  </si>
  <si>
    <t xml:space="preserve">        Кольца поршневые AMP DAEWOO MATIZ 69.00  (комплект)</t>
  </si>
  <si>
    <t>PR-DAE-39-1401-050-SET</t>
  </si>
  <si>
    <t xml:space="preserve">        Кольца поршневые AMP DAEWOO MATIZ 69.25  (комплект)</t>
  </si>
  <si>
    <t>PR-DAE-39-1401-075-SET</t>
  </si>
  <si>
    <t xml:space="preserve">        Кольца поршневые AMP DAEWOO MATIZ 69.50  (комплект)</t>
  </si>
  <si>
    <t>PR-DAE-39-1401-100-SET</t>
  </si>
  <si>
    <t xml:space="preserve">        Кольца поршневые AMP DAEWOO NEXIA 1.5 8V, 76.50 (комплект)</t>
  </si>
  <si>
    <t>PR-DAE-49-3548-000-SET</t>
  </si>
  <si>
    <t xml:space="preserve">        Кольца поршневые AMP DAEWOO NEXIA 1.5 8V, 76.75 (комплект)</t>
  </si>
  <si>
    <t>PR-DAE-49-3548-025-SET</t>
  </si>
  <si>
    <t xml:space="preserve">        Кольца поршневые AMP DAEWOO NEXIA 1.5 8V, 77.00 (комплект)</t>
  </si>
  <si>
    <t>PR-DAE-49-3548-050-SET</t>
  </si>
  <si>
    <t xml:space="preserve">        Кольца поршневые AMP DAEWOO NEXIA 1.5 8V, 77.25 (комплект)</t>
  </si>
  <si>
    <t>PR-DAE-49-3548-075-SET</t>
  </si>
  <si>
    <t xml:space="preserve">        Кольца поршневые AMP DAEWOO NEXIA 1.5 8V, 77.50 (комплект)</t>
  </si>
  <si>
    <t>PR-DAE-49-3548-100-SET</t>
  </si>
  <si>
    <t xml:space="preserve">        Кольца поршневые AMP DAEWOO NEXIA 1.6 16V, 79.50 (комплект)</t>
  </si>
  <si>
    <t>PR-DAE-49-3538-050-SET</t>
  </si>
  <si>
    <t xml:space="preserve">        Кольца поршневые AMP DAEWOO NEXIA 1.6 16V, 79.75 (комплект)</t>
  </si>
  <si>
    <t>PR-DAE-49-3538-075-SET</t>
  </si>
  <si>
    <t xml:space="preserve">        Кольца поршневые AMP DAEWOO NEXIA 1.6 16V, 80.00 (комплект)</t>
  </si>
  <si>
    <t>PR-DAE-49-3538-100-SET</t>
  </si>
  <si>
    <t xml:space="preserve">        Кольца поршневые AMP ЗМЗ-402,-406   92.00  (цельное м/с кольцо)</t>
  </si>
  <si>
    <t>PR-WOL-44-5650-000-SET</t>
  </si>
  <si>
    <t xml:space="preserve">        Кольца поршневые AMP ЗМЗ-402,-406   92.50  (цельное м/с кольцо)</t>
  </si>
  <si>
    <t>PR-WOL-44-5650-050-SET</t>
  </si>
  <si>
    <t xml:space="preserve">        Кольца поршневые AMP ЗМЗ-402,-406   93.00  (цельное м/с кольцо)</t>
  </si>
  <si>
    <t>PR-WOL-44-5650-100-SET</t>
  </si>
  <si>
    <t xml:space="preserve">        Кольца поршневые AMP ЗМЗ-402,-406  92.00 (наборное м/с кольцо)</t>
  </si>
  <si>
    <t>PR-WOL-49-5650-000-SET</t>
  </si>
  <si>
    <t xml:space="preserve">        Кольца поршневые AMP ЗМЗ-402,-406  92.50 (наборное м/с кольцо)</t>
  </si>
  <si>
    <t>PR-WOL-49-5650-050-SET</t>
  </si>
  <si>
    <t xml:space="preserve">        Кольца поршневые AMP ЗМЗ-402,-406  93.00 (наборное м/с кольцо)</t>
  </si>
  <si>
    <t>PR-WOL-49-5650-100-SET</t>
  </si>
  <si>
    <t xml:space="preserve">        Кольца поршневые AMP ЗМЗ-405  95.50, EURO-3  (наборное м/с кольцо)</t>
  </si>
  <si>
    <t>PR-WOL-49-5657-000-SET</t>
  </si>
  <si>
    <t xml:space="preserve">        Кольца поршневые AMP ЗМЗ-405  96.00, EURO-3  (наборное м/с кольцо)</t>
  </si>
  <si>
    <t>PR-WOL-49-5657-050-SET</t>
  </si>
  <si>
    <t xml:space="preserve">        Кольца поршневые AMP ЗМЗ-405  96.50, EURO-3  (наборное м/с кольцо)</t>
  </si>
  <si>
    <t>PR-WOL-49-5657-100-SET</t>
  </si>
  <si>
    <t xml:space="preserve">        Кольца поршневые AMP УМЗ-421  100.00, EURO-4  (цельное м/с кольцо)</t>
  </si>
  <si>
    <t>PR-UAZ-44-5661-000-SET</t>
  </si>
  <si>
    <t xml:space="preserve">        Кольца поршневые AMP УМЗ-421  100.50, EURO-4  (цельное м/с кольцо)</t>
  </si>
  <si>
    <t>PR-UAZ-44-5661-050-SET</t>
  </si>
  <si>
    <t xml:space="preserve">        Кольца поршневые AMP УМЗ-421  101.00  (цельное м/с кольцо)</t>
  </si>
  <si>
    <t>PR-UAZ-44-5660-100-SET</t>
  </si>
  <si>
    <t xml:space="preserve">        Кольца поршневые AMP УМЗ-421  101.00, EURO-4  (цельное м/с кольцо)</t>
  </si>
  <si>
    <t>PR-UAZ-44-5661-100-SET</t>
  </si>
  <si>
    <t xml:space="preserve">    Новинка! Поршни с пальцами</t>
  </si>
  <si>
    <t xml:space="preserve">        ПОРШНИ  с пальцами AMP 21126 (с проточкой)     82.0 гр.С</t>
  </si>
  <si>
    <t>PX-LAD-4A-2805-000</t>
  </si>
  <si>
    <t xml:space="preserve">        ПОРШНИ  с пальцами AMP 21126 (с проточкой)     82.5 гр.С</t>
  </si>
  <si>
    <t>PX-LAD-4А-2805-050</t>
  </si>
  <si>
    <t>ANYU</t>
  </si>
  <si>
    <t xml:space="preserve">    Бачок ГУР  ANYU Largus, Logan, Sandero</t>
  </si>
  <si>
    <t>AFK771931</t>
  </si>
  <si>
    <t xml:space="preserve">    Бачок расширительный ANYU Largus, Logan (круглый)</t>
  </si>
  <si>
    <t>AFK772285</t>
  </si>
  <si>
    <t xml:space="preserve">    Втулка стабилизатора ANYU  Largus, Logan (кратно 2шт)</t>
  </si>
  <si>
    <t>AFK772118</t>
  </si>
  <si>
    <t xml:space="preserve">    Втулка стабилизатора ANYU  Solaris RB, Rio UB  в уп 2шт!!</t>
  </si>
  <si>
    <t>AFK771556</t>
  </si>
  <si>
    <t xml:space="preserve">    Диск  тормозной  пер ANYU  LADA VESTA, LARGUS ABS  [260x22] 4 отв.</t>
  </si>
  <si>
    <t>AFK771685</t>
  </si>
  <si>
    <t xml:space="preserve">    Диск тормозной ино зад  ANYU  HYUNDAI (Solaris RB.II) KIA (Rio UB.IV) (2017-)  [в уп 1шт]</t>
  </si>
  <si>
    <t>AFK771682</t>
  </si>
  <si>
    <t xml:space="preserve">    Диск тормозной ино пер  ANYU  HYUNDAI (Solaris II) KIA (Rio IV) (2017-)  [в уп 1шт]</t>
  </si>
  <si>
    <t>AFK775535</t>
  </si>
  <si>
    <t xml:space="preserve">    Диск тормозной ино пер  ANYU  HYUNDAI (Solaris RB) (2010-) KIA (Rio UB) (2011-)  [в уп 1шт]</t>
  </si>
  <si>
    <t>AFK771435</t>
  </si>
  <si>
    <t xml:space="preserve">    Диск тормозной ино пер  ANYU  Renault Largus, Logan 10-  [259x20.6] 4 отв.  [в уп 1шт]</t>
  </si>
  <si>
    <t>AFK771609</t>
  </si>
  <si>
    <t xml:space="preserve">    Заглушка ГБЦ большая ANYU Largus, Logan 16кл   [10]</t>
  </si>
  <si>
    <t>AFK772481</t>
  </si>
  <si>
    <t xml:space="preserve">    Заглушка ГБЦ малая ANYU Largus, Logan 16кл   [15]</t>
  </si>
  <si>
    <t>AFK772658</t>
  </si>
  <si>
    <t xml:space="preserve">    Зеркало  мех. с Повторителем и Обогревом левое  ANYU  Largus, Logan, Sandero</t>
  </si>
  <si>
    <t>AFK776560</t>
  </si>
  <si>
    <t xml:space="preserve">    Зеркало  мех. с Повторителем и Обогревом правое  ANYU  Largus, Logan, Sandero</t>
  </si>
  <si>
    <t>AFK776561</t>
  </si>
  <si>
    <t xml:space="preserve">    Зеркальный элемент (обогрев) большой левый  ANYU  Largus, Logan</t>
  </si>
  <si>
    <t>AFK772987</t>
  </si>
  <si>
    <t xml:space="preserve">    Зеркальный элемент (обогрев) большой правый ANYU  Largus, Logan</t>
  </si>
  <si>
    <t>AFK772977</t>
  </si>
  <si>
    <t xml:space="preserve">    Катафот заднего бампера левый ANYU  Largus, Logan 10-</t>
  </si>
  <si>
    <t>AFK771821</t>
  </si>
  <si>
    <t xml:space="preserve">    Катафот заднего бампера правый ANYU  Largus, Logan 10-</t>
  </si>
  <si>
    <t>AFK772022</t>
  </si>
  <si>
    <t xml:space="preserve">    Катушка зажигания ANYU  Largus 16кл, Logan c 10г, Magane II  [уп50]</t>
  </si>
  <si>
    <t>AFK771541</t>
  </si>
  <si>
    <t xml:space="preserve">    Катушка зажигания ANYU  Largus,Logan 8кл</t>
  </si>
  <si>
    <t>AFK771402</t>
  </si>
  <si>
    <t xml:space="preserve">    Катушка зажигания ANYU  Solaris, Rio, Spectra, Accent</t>
  </si>
  <si>
    <t>AFK771215</t>
  </si>
  <si>
    <t xml:space="preserve">    Колодка диcкового тормоза ANYU 2108-10 </t>
  </si>
  <si>
    <t>AFK772962</t>
  </si>
  <si>
    <t xml:space="preserve">    Колодка диcкового тормоза ANYU FORD (Focus II. III, C-MAX, Kuga I-II) MAZDA (3 (BK), 3 седан (BL)</t>
  </si>
  <si>
    <t>AFK771984</t>
  </si>
  <si>
    <t xml:space="preserve">    Колодка диcкового тормоза ANYU HYUNDAI Solaris, KIA Rio III</t>
  </si>
  <si>
    <t>AFK771218</t>
  </si>
  <si>
    <t xml:space="preserve">    Колодка диcкового тормоза ANYU LADA X-Ray</t>
  </si>
  <si>
    <t>AFK776352</t>
  </si>
  <si>
    <t xml:space="preserve">    Колодка диcкового тормоза ANYU Largus  8кл, Logan ph1,2</t>
  </si>
  <si>
    <t>AFK771235</t>
  </si>
  <si>
    <t xml:space="preserve">    Колодка диcкового тормоза ANYU Largus 16кл, LADA Vesta, DUSTER 4Х2 1.6, 1.5 dCi</t>
  </si>
  <si>
    <t>AFK771247</t>
  </si>
  <si>
    <t xml:space="preserve">    Колодка диcкового тормоза ANYU RENAULT (Duster, Kaptur) (280mm)</t>
  </si>
  <si>
    <t>AFK775578</t>
  </si>
  <si>
    <t xml:space="preserve">    Колодка дискового тормоза задние ANYU  HYUNDAI Solaris, KIA Rio III</t>
  </si>
  <si>
    <t>AFK771231</t>
  </si>
  <si>
    <t xml:space="preserve">    Колодка дискового тормоза задние ANYU  VESTA Cross, Granta Sport</t>
  </si>
  <si>
    <t>AFK776353</t>
  </si>
  <si>
    <t xml:space="preserve">    Крышка топливного бака ANYU  LADA Vesta </t>
  </si>
  <si>
    <t>AFK776974</t>
  </si>
  <si>
    <t xml:space="preserve">    Опора амортизатора пер. рез. ANYU Largus, Logan, Duster</t>
  </si>
  <si>
    <t>AFK772091</t>
  </si>
  <si>
    <t xml:space="preserve">    Опора двигателя ниж. усиленная ANYU Lada Vesta</t>
  </si>
  <si>
    <t>AFK777097</t>
  </si>
  <si>
    <t xml:space="preserve">    Пистон обшивки двери ANYU  Logan, Sandero  (кратно 10шт)</t>
  </si>
  <si>
    <t>AFK773474</t>
  </si>
  <si>
    <t xml:space="preserve">    Повторитель поворота ANYU  Largus, Logan (кратно 2шт)</t>
  </si>
  <si>
    <t>AFK772569</t>
  </si>
  <si>
    <t xml:space="preserve">    Пробка поддона картера ANYU  Largus, Logan</t>
  </si>
  <si>
    <t>AFK772953</t>
  </si>
  <si>
    <t xml:space="preserve">    Пробка поддона картера ANYU  Solaris RB, Solaris II, Creta, Rio UB, Rio IV</t>
  </si>
  <si>
    <t>AFK775413</t>
  </si>
  <si>
    <t xml:space="preserve">    Прокладка дроссельной заслонки  ANYU  Ларгус 8кл</t>
  </si>
  <si>
    <t>AFK771966</t>
  </si>
  <si>
    <t xml:space="preserve">    Прокладка коллектора впускного  ANYU  Largus 8кл, Logan (кратно 4шт)</t>
  </si>
  <si>
    <t>AFK772327</t>
  </si>
  <si>
    <t xml:space="preserve">    Прокладка коллектора впускного  ANYU  Largus, Logan 16кл (кратно 4шт)</t>
  </si>
  <si>
    <t>AFK772243</t>
  </si>
  <si>
    <t xml:space="preserve">    Прокладка корпуса воздушного фильтра  ANYU  Largus</t>
  </si>
  <si>
    <t>AFK776278</t>
  </si>
  <si>
    <t xml:space="preserve">    Пружина задней подвески ANYU  RENAULT (Logan LS) (1.4-1.6) (2004-)</t>
  </si>
  <si>
    <t>AFK777126</t>
  </si>
  <si>
    <t xml:space="preserve">    Пружина передней подвески ANYU  Logan, Largus</t>
  </si>
  <si>
    <t>AFK777115</t>
  </si>
  <si>
    <t xml:space="preserve">    Пыльник рулевой тяги ANYU  Largus, Logan, Sandero</t>
  </si>
  <si>
    <t>AFK771635</t>
  </si>
  <si>
    <t xml:space="preserve">    Резинка крепления глушителя ANYU  Largus, Logan, Sandero</t>
  </si>
  <si>
    <t>AFK772912</t>
  </si>
  <si>
    <t xml:space="preserve">    Сайлентблок рычага пер. ANYU  LARGUS (37,2мм) (в упак 2шт)</t>
  </si>
  <si>
    <t>AFK771649</t>
  </si>
  <si>
    <t xml:space="preserve">    Стойка  стабилизатора передняя   ANYU  LARGUS L/R</t>
  </si>
  <si>
    <t>AFK776881</t>
  </si>
  <si>
    <t xml:space="preserve">    ФВ  ANYU  CHEVROLET (Aveo T300) (F16D4) (Cobalt) (2011-)</t>
  </si>
  <si>
    <t>AFK771544</t>
  </si>
  <si>
    <t xml:space="preserve">    ФВ  ANYU  CHEVROLET Cruze, Orlando</t>
  </si>
  <si>
    <t>AFK771480</t>
  </si>
  <si>
    <t xml:space="preserve">    ФВ  ANYU  CHEVROLET Lacetti  J200</t>
  </si>
  <si>
    <t>AFK771542</t>
  </si>
  <si>
    <t xml:space="preserve">    ФВ  ANYU  Creta (1,6) (2,0) 2016-</t>
  </si>
  <si>
    <t>AFK771545</t>
  </si>
  <si>
    <t xml:space="preserve">    ФВ  ANYU  DAEWOO (Matiz M100, M150)</t>
  </si>
  <si>
    <t>AFK772202</t>
  </si>
  <si>
    <t xml:space="preserve">    ФВ  ANYU  DAEWOO (Nexia, Espero)</t>
  </si>
  <si>
    <t>AFK771382</t>
  </si>
  <si>
    <t xml:space="preserve">    ФВ  ANYU  LADA VESTA, Largus 15-, DUSTER</t>
  </si>
  <si>
    <t>AFK772231</t>
  </si>
  <si>
    <t xml:space="preserve">    ФВ  ANYU  Largus 16кл, Logan c 10г  дв. Renault</t>
  </si>
  <si>
    <t>AFK771269</t>
  </si>
  <si>
    <t xml:space="preserve">    ФВ  ANYU  OPEL (Astra F/G/H Zafira A/B/C)</t>
  </si>
  <si>
    <t>AFK773309</t>
  </si>
  <si>
    <t xml:space="preserve">    ФВ  ANYU  PEUGEOT(1007,206,207,307,308,4007,407,607,807) CITROEN (C4. C-CROSSER. Berlingo C5.C3.C6)</t>
  </si>
  <si>
    <t>AFK771779</t>
  </si>
  <si>
    <t xml:space="preserve">    ФВ  ANYU  Solaris 1.4/1.6, KIA Rio 2011-, Soul 2011-</t>
  </si>
  <si>
    <t>AFK771221</t>
  </si>
  <si>
    <t xml:space="preserve">    ФВ  ANYU  Solaris II, RIO IV (2017-)</t>
  </si>
  <si>
    <t>AFK776037</t>
  </si>
  <si>
    <t xml:space="preserve">    ФВ  ANYU  VW Polo седан V 612, 602 (1,6) (2015-) SKODA (Octavia III) (1,6) (2013-)</t>
  </si>
  <si>
    <t>AFK772536</t>
  </si>
  <si>
    <t xml:space="preserve">    ФМ ANYU  Largus, Logan, Magane II, DUSTER 2.0</t>
  </si>
  <si>
    <t>AFK771210</t>
  </si>
  <si>
    <t xml:space="preserve">    ФМ ANYU  Solaris II, KIA (Rio IV) (1.4) (2017-)</t>
  </si>
  <si>
    <t>AFK776045</t>
  </si>
  <si>
    <t xml:space="preserve">    ФМ ANYU  Solaris RB, KIA Rio III, Sonata Tagaz, Getz</t>
  </si>
  <si>
    <t>AFK771334</t>
  </si>
  <si>
    <t xml:space="preserve">    Фонарь задний ANYU RENAULT LOGAN (2009-2012) левый без платы</t>
  </si>
  <si>
    <t>AFK771492</t>
  </si>
  <si>
    <t xml:space="preserve">    Фонарь задний ANYU RENAULT LOGAN (2009-2012) правый без платы</t>
  </si>
  <si>
    <t>AFK771528</t>
  </si>
  <si>
    <t xml:space="preserve">    ФС   ANYU  CHEVROLET (Aveo T250, T255)  96449577</t>
  </si>
  <si>
    <t>AFK771738</t>
  </si>
  <si>
    <t xml:space="preserve">    ФС   ANYU  CHEVROLET (Cruze, Orlando, Aveo) OPEL (Astra J Insignia, Mokka, Zafira C)</t>
  </si>
  <si>
    <t>AFK771438</t>
  </si>
  <si>
    <t xml:space="preserve">    ФС   ANYU  CITROEN (Jumper III) (2006-) PEUGEOT (Boxer III) (2006-) FIAT (Ducato 250) (2006-)</t>
  </si>
  <si>
    <t>AFK776064</t>
  </si>
  <si>
    <t xml:space="preserve">    ФС   ANYU  FORD (Focus II,) VOLVO (C30, S40 II, V50)  </t>
  </si>
  <si>
    <t>AFK773423</t>
  </si>
  <si>
    <t xml:space="preserve">    ФС   ANYU  HYUNDAI (Tucson JM) (2004-2010) KIA (Sportage JE) (2004-2010) (Rio JB) (2005-2011)</t>
  </si>
  <si>
    <t>AFK771628</t>
  </si>
  <si>
    <t xml:space="preserve">    ФС   ANYU  LADA VESTA, XRay, Logan II</t>
  </si>
  <si>
    <t>AFK772519</t>
  </si>
  <si>
    <t xml:space="preserve">    ФС   ANYU  Largus, Logan, Duster  (уп 40шт)</t>
  </si>
  <si>
    <t>AFK771276</t>
  </si>
  <si>
    <t xml:space="preserve">    ФС   ANYU  NISSAN (Qashqai J10E) (X-Trail T31)</t>
  </si>
  <si>
    <t>AFK773343</t>
  </si>
  <si>
    <t xml:space="preserve">    ФС   ANYU  NISSAN (X-Trail T32) (2014-) DACIA (Lodgy) (2012-) (Dokker) (2012-)</t>
  </si>
  <si>
    <t>AFK774050</t>
  </si>
  <si>
    <t xml:space="preserve">    ФС   ANYU  PEUGEOT(1007,206,207,307,308,4007,407,607,807) CITROEN (C4. C-CROSSER. Berlingo C5.C3.C6)</t>
  </si>
  <si>
    <t>AFK772279</t>
  </si>
  <si>
    <t xml:space="preserve">    ФС   ANYU  Solaris II, (2017-) Creta (2016-) Tucson TL (2015-) KIA (Rio IV) (2017-)</t>
  </si>
  <si>
    <t>AFK771339</t>
  </si>
  <si>
    <t xml:space="preserve">    ФС   ANYU  Solaris RB (2010-) KIA Rio UB (2011-)  97133-4L000</t>
  </si>
  <si>
    <t>AFK771227</t>
  </si>
  <si>
    <t xml:space="preserve">    ФС   ANYU  TOYOTA (Camry V30, V40, V50)</t>
  </si>
  <si>
    <t>AFK771479</t>
  </si>
  <si>
    <t xml:space="preserve">    ФС  ANYU  (уголь) KIA (Soul PS) (2014-)  97133B2000</t>
  </si>
  <si>
    <t>AFK776173</t>
  </si>
  <si>
    <t xml:space="preserve">    ФС  ANYU  (уголь) LADA VESTA, XRay, Logan II   (уп 20шт)</t>
  </si>
  <si>
    <t>AFK772220</t>
  </si>
  <si>
    <t xml:space="preserve">    ФС  ANYU  (уголь) Logan, Largus</t>
  </si>
  <si>
    <t>AFK771379</t>
  </si>
  <si>
    <t xml:space="preserve">    ФС  ANYU  (уголь) SKODA (Octavia II, Yeti I) AUDI (A3, Q3, TT) VW (Golf V/VI, Jettta III/IV, Tiguan)</t>
  </si>
  <si>
    <t>AFK776379</t>
  </si>
  <si>
    <t xml:space="preserve">    ФС  ANYU  (уголь) Solaris II, (2017-) Creta (2016-) Tucson TL (2015-) KIA (Rio IV) (2017-)</t>
  </si>
  <si>
    <t>AFK771263</t>
  </si>
  <si>
    <t xml:space="preserve">    ФС  ANYU  (уголь) Solaris RB (2010-) KIA Rio UB (2011-)</t>
  </si>
  <si>
    <t>AFK771220</t>
  </si>
  <si>
    <t xml:space="preserve">    ФС  ANYU  (уголь) TOYOTA (Camry V30, V40, V50)</t>
  </si>
  <si>
    <t>AFK771317</t>
  </si>
  <si>
    <t xml:space="preserve">    ФС  ANYU  (уголь) VOLKSWAGEN (Polo седан V 612, 602) (2010-)</t>
  </si>
  <si>
    <t>AFK771586</t>
  </si>
  <si>
    <t xml:space="preserve">        Цилиндр сцепления главный  ASP Lada Vesta (15-)</t>
  </si>
  <si>
    <t xml:space="preserve">        Опора переднего амортизатора ASP без подшипника Renault Logan, L Largus</t>
  </si>
  <si>
    <t xml:space="preserve">        Диск тормозной ино пер  ASP  Renault FLUENCE,MEGANE III,DUSTER  вент.</t>
  </si>
  <si>
    <t xml:space="preserve">        Диск  тормозной  зад ASP  Газель NEXT 4.6т (вент. D=290)  уп.2шт!!</t>
  </si>
  <si>
    <t xml:space="preserve">        Трос ручного тормоза ASP  L 2110,2112 к-т (2шт)</t>
  </si>
  <si>
    <t xml:space="preserve">        Трос ручного тормоза ASP  L 2123</t>
  </si>
  <si>
    <t xml:space="preserve">        Трос сцепления ASP  L 2108-099</t>
  </si>
  <si>
    <t xml:space="preserve">        ШРУС  ASP  LADA Largus внутр. трипоидный</t>
  </si>
  <si>
    <t>CV270101</t>
  </si>
  <si>
    <t xml:space="preserve">        ШРУС  ASP  LADA Vesta (15-) наружный</t>
  </si>
  <si>
    <t>AUTOFREN</t>
  </si>
  <si>
    <t xml:space="preserve">    Поршень переднего суппорта AUTOFREN для а/м Toyota Land Cruiser 100/Lexus LX 98 (d51 мм.), D025346</t>
  </si>
  <si>
    <t>D025346</t>
  </si>
  <si>
    <t xml:space="preserve">    Рем. ком главного тормозного цилиндра AUTOFREN для а/м  ВАЗ 2101-07, D11178</t>
  </si>
  <si>
    <t>D11178</t>
  </si>
  <si>
    <t xml:space="preserve">    Рем. ком главного цилиндра сцепления AUTOFREN для а/м ВАЗ 2101-07, D11177</t>
  </si>
  <si>
    <t>D11177</t>
  </si>
  <si>
    <t xml:space="preserve">    Рем. ком заднего суппорта AUTOFREN для а/м Audi 80,100/VW Golf 92 с поршн. (d38mm, LUCAS), D4845C</t>
  </si>
  <si>
    <t>D4845C</t>
  </si>
  <si>
    <t xml:space="preserve">    Рем. ком заднего суппорта AUTOFREN для а/м Audi 80,100/VW Golf с поршн.+штуц.(d38mm,LUCAS),D4845C</t>
  </si>
  <si>
    <t>D4846C</t>
  </si>
  <si>
    <t xml:space="preserve">    Рем. ком заднего суппорта AUTOFREN для а/м AUDI 80/100/A4/A6, VW Golf/Passat (d38 мм), D4083</t>
  </si>
  <si>
    <t>D4083</t>
  </si>
  <si>
    <t xml:space="preserve">    Рем. ком заднего суппорта AUTOFREN для а/м AUDI 80/100/A6/A4, VW Golf/Pasat (d38 mm LUCAS), D4458</t>
  </si>
  <si>
    <t>D4458</t>
  </si>
  <si>
    <t xml:space="preserve">    Рем. ком заднего суппорта AUTOFREN для а/м Audi A3/ Skoda Octavia/VW Golf (d38 mm LUCAS), D4468</t>
  </si>
  <si>
    <t>D4468</t>
  </si>
  <si>
    <t xml:space="preserve">    Рем. ком заднего суппорта AUTOFREN для а/м CHEVROLET Lacetti /DAEWOO Nubira 03-&gt; (d32 mm.), D4705</t>
  </si>
  <si>
    <t>D4705</t>
  </si>
  <si>
    <t xml:space="preserve">    Рем. ком заднего суппорта AUTOFREN для а/м CHEVROLET LACETTI 1.4-1.8 с поршнем (d32 mm.), D42025C</t>
  </si>
  <si>
    <t>D42025C</t>
  </si>
  <si>
    <t xml:space="preserve">    Рем. ком заднего суппорта AUTOFREN для а/м Hyundai i30/ ix35, Kia CEED/Sportage (d34 mm.), D41722</t>
  </si>
  <si>
    <t>D41722</t>
  </si>
  <si>
    <t xml:space="preserve">    Рем. ком заднего суппорта AUTOFREN для а/м HYUNDAI Solaris 10-, KIA Rio 11- (d34 mm.), D42220</t>
  </si>
  <si>
    <t>D42220</t>
  </si>
  <si>
    <t xml:space="preserve">    Рем. ком заднего суппорта AUTOFREN для а/м HYUNDAI Solaris 10-/KIA Rio 11- с поршн. (d34),D42221C</t>
  </si>
  <si>
    <t>D42221C</t>
  </si>
  <si>
    <t xml:space="preserve">    Рем. ком заднего суппорта AUTOFREN для а/м MAZDA 3/ FORD FOCUS II с поршнем (d38 mm.), D41614C</t>
  </si>
  <si>
    <t>D41614C</t>
  </si>
  <si>
    <t xml:space="preserve">    Рем. ком заднего суппорта AUTOFREN для а/м MAZDA 3/FORD FOCUS/OPEL VECTRA (d38 mm, ATE), D4612</t>
  </si>
  <si>
    <t>D4612</t>
  </si>
  <si>
    <t xml:space="preserve">    Рем. ком заднего суппорта AUTOFREN для а/м MITSUBISHI OUTLANDER/ LANCER/ASX (d35 mm.), D41812</t>
  </si>
  <si>
    <t>D41812</t>
  </si>
  <si>
    <t xml:space="preserve">    Рем. ком заднего суппорта AUTOFREN для а/м MITSUBISHI PAJERO SPORT 97-/MONTERO (d32 mm.), D4824</t>
  </si>
  <si>
    <t>D4824</t>
  </si>
  <si>
    <t xml:space="preserve">    Рем. ком заднего суппорта AUTOFREN для а/м NISSAN TIIDA/X-TRAIL/TEANA\Qashqai 07&gt; (d36 mm), D7007</t>
  </si>
  <si>
    <t>D4931</t>
  </si>
  <si>
    <t xml:space="preserve">    Рем. ком заднего суппорта AUTOFREN для а/м Opel Astra 00&gt;/Zafira 99&gt; (d38 mm, LUCAS), D4847C</t>
  </si>
  <si>
    <t>D4847C</t>
  </si>
  <si>
    <t xml:space="preserve">    Рем. ком заднего суппорта AUTOFREN для а/м Skoda Octavia/Audi A3 с поршнем (d41 мм.), D41124C</t>
  </si>
  <si>
    <t>D41124C</t>
  </si>
  <si>
    <t xml:space="preserve">    Рем. ком заднего суппорта AUTOFREN для а/м TOYOTA CAMRY 06-/ RAV-4 05- (d38 мм.), D41690</t>
  </si>
  <si>
    <t>D41690</t>
  </si>
  <si>
    <t xml:space="preserve">    Рем. ком заднего суппорта AUTOFREN для а/м TOYOTA LAND CRUISER/MITSUBISHI PAJERO (d48 mm.), D4420</t>
  </si>
  <si>
    <t>D4420</t>
  </si>
  <si>
    <t xml:space="preserve">    Рем. ком заднего суппорта AUTOFREN для а/м Vesta CROSS VW POLO 94-/NISSAN ALMERA N16 00-11 (d34мм)</t>
  </si>
  <si>
    <t>D4567</t>
  </si>
  <si>
    <t xml:space="preserve">    Рем. ком заднего тормоза AUTOFREN для а/м Ford Focus II 04&gt;, D3967A</t>
  </si>
  <si>
    <t>D3967A</t>
  </si>
  <si>
    <t xml:space="preserve">    Рем. ком направляющих заднего суппорта AUTOFREN для а/м MITSUBISHI MONTERO/ASX /MAZDA 6 , D7104C</t>
  </si>
  <si>
    <t>D7104C</t>
  </si>
  <si>
    <t xml:space="preserve">    Рем. ком направляющих заднего суппорта AUTOFREN для а/м MITSUBISHI OUTLANDER 03-/ASX 10-, D7126C</t>
  </si>
  <si>
    <t>D7126C</t>
  </si>
  <si>
    <t xml:space="preserve">    Рем. ком направляющих заднего суппорта AUTOFREN для а/м NISSAN X-TRAIL/ QASHQAI, D7178C</t>
  </si>
  <si>
    <t>D7178C</t>
  </si>
  <si>
    <t xml:space="preserve">    Рем. ком направляющих заднего суппорта AUTOFREN для а/м Toyota, Audi, VW, Skoda, Opel, D7214C</t>
  </si>
  <si>
    <t>D7214C</t>
  </si>
  <si>
    <t xml:space="preserve">    Рем. ком направляющих переднего суппорта AUTOFREN для а/м KIA SORENTO/SOUL/RIO III, D7115C</t>
  </si>
  <si>
    <t>D7115C</t>
  </si>
  <si>
    <t xml:space="preserve">    Рем. ком направляющих переднего суппорта AUTOFREN для а/м MAZDA 6/ TOYOTA CAMRY 12-, D7282C</t>
  </si>
  <si>
    <t>D7282C</t>
  </si>
  <si>
    <t xml:space="preserve">    Рем. ком направляющих переднего суппорта AUTOFREN для а/м MITSUBISHI PAJERO/OUTLANDER 03-, D7108C</t>
  </si>
  <si>
    <t>D7108C</t>
  </si>
  <si>
    <t xml:space="preserve">    Рем. ком направляющих переднего суппорта AUTOFREN для а/м NISSAN QASHQAI/X-TRAIL 07-, D7176C</t>
  </si>
  <si>
    <t>D7176C</t>
  </si>
  <si>
    <t xml:space="preserve">    Рем. ком направляющих суппорта AUTOFREN для а/м CHEVROLET Aveo 05&gt;/Epica 05&gt;/Lacetti 05&gt;, D7073C</t>
  </si>
  <si>
    <t>D7073C</t>
  </si>
  <si>
    <t xml:space="preserve">    Рем. ком направляющих суппорта AUTOFREN для а/м Citroen, Fiat, Ford, Opel, Renault, D7034C</t>
  </si>
  <si>
    <t>D7034C</t>
  </si>
  <si>
    <t xml:space="preserve">    Рем. ком направляющих суппорта AUTOFREN для а/м Fiat Ducato 01&gt;,Peugeot Boxer 02&gt; (18 мм), D7026C</t>
  </si>
  <si>
    <t>D7026C</t>
  </si>
  <si>
    <t xml:space="preserve">    Рем. ком направляющих суппорта AUTOFREN для а/м Lada Vesta,Largus 16кл, d8,4(7701208339), D7087C</t>
  </si>
  <si>
    <t>D7087C</t>
  </si>
  <si>
    <t xml:space="preserve">    Рем. ком направляющих суппорта AUTOFREN для а/м Lada XRAY (12 мм.) (440A00877R), D7003C</t>
  </si>
  <si>
    <t>D7003C</t>
  </si>
  <si>
    <t xml:space="preserve">    Рем. ком направляющих суппорта AUTOFREN для а/м Nissan, Hyundai, Kia, Subaru, Toyota, D7037C</t>
  </si>
  <si>
    <t>D7037C</t>
  </si>
  <si>
    <t xml:space="preserve">    Рем. ком направляющих суппорта AUTOFREN для а/м RENAULT LOGAN 8V 04-</t>
  </si>
  <si>
    <t>D7125C</t>
  </si>
  <si>
    <t xml:space="preserve">    Рем. ком направляющих суппорта AUTOFREN для а/м SKODA OCTAVIA / NISSAN X-TRAIL, D7171C</t>
  </si>
  <si>
    <t>D7171C</t>
  </si>
  <si>
    <t xml:space="preserve">    Рем. ком переднего суппорта AUTOFREN для а/м  ВАЗ 2101-07, D4078</t>
  </si>
  <si>
    <t>D4078</t>
  </si>
  <si>
    <t xml:space="preserve">    Рем. ком переднего суппорта AUTOFREN для а/м  ВАЗ 2108-10, 1118, 2170 (d48 mm.), D43089</t>
  </si>
  <si>
    <t>D43089</t>
  </si>
  <si>
    <t xml:space="preserve">    Рем. ком переднего суппорта AUTOFREN для а/м Audi 80/100, VW Golf с поршнем (d54 мм.), D41048C</t>
  </si>
  <si>
    <t>D41048C</t>
  </si>
  <si>
    <t xml:space="preserve">    Рем. ком переднего суппорта AUTOFREN для а/м Audi 80/100, VW Golf/Passat (d54 мм.), D4073</t>
  </si>
  <si>
    <t>D4073</t>
  </si>
  <si>
    <t xml:space="preserve">    Рем. ком переднего суппорта AUTOFREN для а/м AUDI/SKODA/VW/OPEL с поршнем (d57 мм)), D41074C</t>
  </si>
  <si>
    <t>D41074C</t>
  </si>
  <si>
    <t xml:space="preserve">    Рем. ком переднего суппорта AUTOFREN для а/м Daewoo Lacetti/Nubira с поршнем (d54 mm,DAC), D4983C</t>
  </si>
  <si>
    <t>D4983C</t>
  </si>
  <si>
    <t xml:space="preserve">    Рем. ком переднего суппорта AUTOFREN для а/м Fiat Ducato/Ford Galaxy/Audi 100/80/90/A6/A8, D7007</t>
  </si>
  <si>
    <t>D7007</t>
  </si>
  <si>
    <t xml:space="preserve">    Рем. ком переднего суппорта AUTOFREN для а/м GAZelle Next (D48 mm), D42299</t>
  </si>
  <si>
    <t>D42299</t>
  </si>
  <si>
    <t xml:space="preserve">    Рем. ком переднего суппорта AUTOFREN для а/м LADA LARGUS/LOGAN 16V (манжет+пыльник, Ø54мм)</t>
  </si>
  <si>
    <t>D4912</t>
  </si>
  <si>
    <t xml:space="preserve">    Рем. ком переднего суппорта AUTOFREN для а/м LADA LARGUS/LOGAN 16V Ø54мм. (ОЕ 7701208338)</t>
  </si>
  <si>
    <t>D4725</t>
  </si>
  <si>
    <t xml:space="preserve">    Рем. ком переднего суппорта AUTOFREN для а/м LADA LARGUS/LOGAN 16V с 1 поршнем (Ø54мм.)</t>
  </si>
  <si>
    <t>D41049C</t>
  </si>
  <si>
    <t xml:space="preserve">    Рем. ком переднего суппорта AUTOFREN для а/м LADA LARGUS/RENAULT LOGAN 16V (Ø54 мм.)</t>
  </si>
  <si>
    <t>D4256</t>
  </si>
  <si>
    <t xml:space="preserve">    Рем. ком переднего суппорта AUTOFREN для а/м MAZDA 3,6/FORD FOCUS/BMW X3 03&gt; (d57 mm, ATE), D4592</t>
  </si>
  <si>
    <t>D4592</t>
  </si>
  <si>
    <t xml:space="preserve">    Рем. ком переднего суппорта AUTOFREN для а/м MERCEDES E-CLASS/VW GOLF/RENAULT FLUENCE, D7007C</t>
  </si>
  <si>
    <t>D7007C</t>
  </si>
  <si>
    <t xml:space="preserve">    Рем. ком переднего суппорта AUTOFREN для а/м NISSAN X-TRAIL, QASHQAI/MAZDA CX-5 (d60 mm), D4913</t>
  </si>
  <si>
    <t>D4913</t>
  </si>
  <si>
    <t xml:space="preserve">    Рем. ком переднего суппорта AUTOFREN для а/м PEUGEOT 207/CITROEN C4 с поршнем (d57 мм.), D41151C</t>
  </si>
  <si>
    <t>D41151C</t>
  </si>
  <si>
    <t xml:space="preserve">    Рем. ком переднего суппорта AUTOFREN для а/м RENAULT LOGAN 04- (d48 мм.), D4042</t>
  </si>
  <si>
    <t>D4042</t>
  </si>
  <si>
    <t xml:space="preserve">    Рем. ком переднего суппорта AUTOFREN для а/м VW/FORD/VOLVO/BMW/MB/OPEL/TOYOTA (d57 мм.), D4134</t>
  </si>
  <si>
    <t>D4134</t>
  </si>
  <si>
    <t xml:space="preserve">    Устан. ком-т передних торм. колодок AUTOFREN для а/м OPEL ASTRA/FORD FOCUS/MAZDA 3, D42341A</t>
  </si>
  <si>
    <t>D42341A</t>
  </si>
  <si>
    <t xml:space="preserve">    Устан. ком-т передних торм. колодок AUTOFREN для а/м PEUGEOT 206/207/307/BOXER 00-, D42343A</t>
  </si>
  <si>
    <t>D42343A</t>
  </si>
  <si>
    <t>AYWI</t>
  </si>
  <si>
    <t xml:space="preserve">    Колодки барабанного тормоза AYWI  Matiz, Spark</t>
  </si>
  <si>
    <t>AW1820062</t>
  </si>
  <si>
    <t xml:space="preserve">    Шаровый палец AYWI  Logan II, LARGUS с 14г (нов. обр)</t>
  </si>
  <si>
    <t>AW1320354LR</t>
  </si>
  <si>
    <t>Aвтореал</t>
  </si>
  <si>
    <t xml:space="preserve">    Барабан торм (чугун)  Автореал  2108,2112,1118,2170</t>
  </si>
  <si>
    <t>АВ1118-3502070</t>
  </si>
  <si>
    <t xml:space="preserve">    Диск  тормозной  зад Aвтореал  LADA Vesta SW Cross</t>
  </si>
  <si>
    <t>АВ8450031131</t>
  </si>
  <si>
    <t xml:space="preserve">    Диск  тормозной  пер Автореал  2108-15</t>
  </si>
  <si>
    <t>АВ08-3501070</t>
  </si>
  <si>
    <t xml:space="preserve">    Диск  тормозной  пер Автореал  2112/1118/2170/2190  (R14 вент)</t>
  </si>
  <si>
    <t>АВ12-3501070</t>
  </si>
  <si>
    <t xml:space="preserve">    Диск  тормозной  пер Автореал  2121-23</t>
  </si>
  <si>
    <t>АВ21-3501070</t>
  </si>
  <si>
    <t xml:space="preserve">    Диск  тормозной  пер Автореал  LADA VESTA, LARGUS ABS  [260x22] 4 отв.</t>
  </si>
  <si>
    <t>АВ8450031577</t>
  </si>
  <si>
    <t xml:space="preserve">    Диск  тормозной  пер Автореал  Спорт LADA VESTA, LARGUS ABS  (перфорация+проточка)</t>
  </si>
  <si>
    <t>АВПЕ8450031577</t>
  </si>
  <si>
    <t xml:space="preserve">    Ступица Aвтореал заднего колеса Lada Vesta Cross; Vesta SW (1,8 MT, AMT); Vesta SW Cross</t>
  </si>
  <si>
    <t>AV2002/ 8450030988</t>
  </si>
  <si>
    <t xml:space="preserve">    Ступица Aвтореал заднего колеса ВАЗ 2108-2115</t>
  </si>
  <si>
    <t>АВ2108-3104014</t>
  </si>
  <si>
    <t xml:space="preserve">    Ступица Aвтореал переднего колеса ВАЗ 2108</t>
  </si>
  <si>
    <t xml:space="preserve">    Ступица Aвтореал переднего колеса ВАЗ Lada 4х4  Urban</t>
  </si>
  <si>
    <t>АВ21214-3103015</t>
  </si>
  <si>
    <t>AЛНАС</t>
  </si>
  <si>
    <t xml:space="preserve">    Барабан торм (чугун)  АЛНАС  2108,2112,1118,2170</t>
  </si>
  <si>
    <t>11180350207000-Алн</t>
  </si>
  <si>
    <t xml:space="preserve">    Диск  тормозной  пер АЛНАС  2108-15</t>
  </si>
  <si>
    <t>21080350107001-Алн</t>
  </si>
  <si>
    <t xml:space="preserve">    Диск  тормозной  пер АЛНАС  2110  (R13 вент)</t>
  </si>
  <si>
    <t>21100350107001-Алн</t>
  </si>
  <si>
    <t xml:space="preserve">    Диск  тормозной  пер АЛНАС  2112/1118/2170/2190  (R14 вент)</t>
  </si>
  <si>
    <t>21120350107001-Алн</t>
  </si>
  <si>
    <t xml:space="preserve">    Диск  тормозной  пер АЛНАС  2121-23</t>
  </si>
  <si>
    <t>21210350107001-АЛН</t>
  </si>
  <si>
    <t xml:space="preserve">    Диск  тормозной  пер АЛНАС  LADA VESTA, LARGUS ABS  [260x22] 4 отв.</t>
  </si>
  <si>
    <t>4020350107000-АЛН</t>
  </si>
  <si>
    <t xml:space="preserve">    Диск  тормозной  пер АЛНАС  Спорт 11186/2190  R15 левый (перфорация, канавка)</t>
  </si>
  <si>
    <t>11186350107001/02-Алн</t>
  </si>
  <si>
    <t xml:space="preserve">    Диск  тормозной  пер АЛНАС  Спорт 11186/2190  R15 правый (перфорация, канавка)</t>
  </si>
  <si>
    <t>B-RING</t>
  </si>
  <si>
    <t xml:space="preserve">    Крестовина B-RING  FORST  2121, 21213 [50]</t>
  </si>
  <si>
    <t>BLS0821K</t>
  </si>
  <si>
    <t xml:space="preserve">    Крестовина B-RING  FORST  2123 (для TIRSAN)  [50]</t>
  </si>
  <si>
    <t>BLS0832K</t>
  </si>
  <si>
    <t xml:space="preserve">    Подшипник  ступицы задней  B-RING  FORST (ЗЕЛ)  LADA Samara,Kalina,Priora</t>
  </si>
  <si>
    <t>BLS0108R</t>
  </si>
  <si>
    <t xml:space="preserve">    Подшипник  ступицы задней  B-RING  PRAKTISK (СЕР)  LADA Samara,Kalina,Priora [30]</t>
  </si>
  <si>
    <t>PBLS0108R</t>
  </si>
  <si>
    <t xml:space="preserve">    Подшипник  ступицы передней  B-RING  FORST  Logan,Sandero,Lada Vesta, Largus без ABS (рем.ком)</t>
  </si>
  <si>
    <t>BK1902</t>
  </si>
  <si>
    <t xml:space="preserve">    Подшипник  ступицы передней  B-RING  FORST (ЗЕЛ)  1118/ 2170/2190 [30]</t>
  </si>
  <si>
    <t>BLS0118F</t>
  </si>
  <si>
    <t xml:space="preserve">    Подшипник  ступицы передней  B-RING  FORST (ЗЕЛ)  2108-15 [72]</t>
  </si>
  <si>
    <t>BLS0108F</t>
  </si>
  <si>
    <t xml:space="preserve">    Подшипник  ступицы передней  B-RING  PRAKTISK (СЕР)  1118/ 2170/2190 [30]</t>
  </si>
  <si>
    <t>PBLS0118F</t>
  </si>
  <si>
    <t xml:space="preserve">    Подшипник  ступицы передней  B-RING  PRAKTISK (СЕР)  2108-15 [30]</t>
  </si>
  <si>
    <t>PBLS0108F</t>
  </si>
  <si>
    <t xml:space="preserve">    Подшипник КПП B-RING 2108-2170 (4шт)  [28]</t>
  </si>
  <si>
    <t>HBKG0108</t>
  </si>
  <si>
    <t xml:space="preserve">    Подшипник полуоси  B-RING  FORST  2121-21213</t>
  </si>
  <si>
    <t>BLS0421R</t>
  </si>
  <si>
    <t xml:space="preserve">    Ролик  ГРМ B-RING  FORST 2108-099 н/о [54]</t>
  </si>
  <si>
    <t>BLS0208N</t>
  </si>
  <si>
    <t xml:space="preserve">    Ролик натяжителя ремня генератора B-RING 1118, 2123, 2190</t>
  </si>
  <si>
    <t>BLS0223N</t>
  </si>
  <si>
    <t xml:space="preserve">    ШРУС  B-RING  FORST  (ЗЕЛ) наружный в сборе  2108-10  [10]</t>
  </si>
  <si>
    <t>BLC108N</t>
  </si>
  <si>
    <t xml:space="preserve">    ШРУС  B-RING  FORST  Lada  Largus 16кл наружный дв.Renault  [23/22]</t>
  </si>
  <si>
    <t>BOC5901</t>
  </si>
  <si>
    <t xml:space="preserve">    ШРУС  B-RING  FORST  наружный  ОКА</t>
  </si>
  <si>
    <t>BLC111N</t>
  </si>
  <si>
    <t xml:space="preserve">    ШРУС  B-RING  FORST  наружный ВАЗ 2121</t>
  </si>
  <si>
    <t>BLC121N</t>
  </si>
  <si>
    <t xml:space="preserve">    ШРУС  B-RING  PRAKTISK  (СЕР) внутренний  2108-10</t>
  </si>
  <si>
    <t>PBLC108V</t>
  </si>
  <si>
    <t xml:space="preserve">    ШРУС  B-RING  PRAKTISK  (СЕР) наружный в сборе  2108-10  [10]</t>
  </si>
  <si>
    <t>PBLC108N</t>
  </si>
  <si>
    <t xml:space="preserve">    ШРУС  B-RING  PRAKTISK  (СЕР) наружный в сборе Priora АБС</t>
  </si>
  <si>
    <t>PBLC170NA</t>
  </si>
  <si>
    <t>BEST</t>
  </si>
  <si>
    <t xml:space="preserve">    Колодка дискового тормоза BЕST 2101-07</t>
  </si>
  <si>
    <t>BE-101</t>
  </si>
  <si>
    <t xml:space="preserve">    Колодка дискового тормоза BЕST 2108</t>
  </si>
  <si>
    <t>BE-743</t>
  </si>
  <si>
    <t xml:space="preserve">    Колодка дискового тормоза BЕST 2121</t>
  </si>
  <si>
    <t>BE-121</t>
  </si>
  <si>
    <t xml:space="preserve">    Колодка дискового тормоза BЕST LADA X-RAY</t>
  </si>
  <si>
    <t>BE 401</t>
  </si>
  <si>
    <t xml:space="preserve">    Колодка дискового тормоза BЕST Largus 16кл, LADA Vesta, DUSTER 4Х2 1.6, 1.5 dCi, Almera NEW</t>
  </si>
  <si>
    <t>BE 421</t>
  </si>
  <si>
    <t xml:space="preserve">    Колодка дискового тормоза задние BEST  VESTA Cross, Granta Sport</t>
  </si>
  <si>
    <t>BE 422</t>
  </si>
  <si>
    <t xml:space="preserve">    Колодки барабанного тормоза BEST 1118/2170/2190 с АБС</t>
  </si>
  <si>
    <t>FR 1118</t>
  </si>
  <si>
    <t xml:space="preserve">    Колодки барабанного тормоза BEST 2101-07</t>
  </si>
  <si>
    <t>FR 2101</t>
  </si>
  <si>
    <t xml:space="preserve">    Колодки барабанного тормоза BEST 2108-2112</t>
  </si>
  <si>
    <t>FR 2108</t>
  </si>
  <si>
    <t xml:space="preserve">    Колодки барабанного тормоза BEST Ока</t>
  </si>
  <si>
    <t>FR 1111</t>
  </si>
  <si>
    <t>BILSTEIN</t>
  </si>
  <si>
    <t xml:space="preserve">    Амортизатор BILSTEIN газ (картридж) 2110</t>
  </si>
  <si>
    <t>F4-PNE-3146</t>
  </si>
  <si>
    <t>Brisk (свечи)</t>
  </si>
  <si>
    <t xml:space="preserve">    A-LINE (инд. упаковка)</t>
  </si>
  <si>
    <t xml:space="preserve">        Свечи BRISK  A-Line 28  Logan, Largus 16кл</t>
  </si>
  <si>
    <t>DR15YCY/28</t>
  </si>
  <si>
    <t xml:space="preserve">        Свечи BRISK  A-Line 40</t>
  </si>
  <si>
    <t>ER15YPY-1/40</t>
  </si>
  <si>
    <t xml:space="preserve">    Silver (газ/об)</t>
  </si>
  <si>
    <t xml:space="preserve">        Свечи BRISK  Silver  2108-INJ 8V газ/об</t>
  </si>
  <si>
    <t>1332/LR15YS</t>
  </si>
  <si>
    <t xml:space="preserve">        Свечи BRISK  Silver  2110-INJ 16V газ/об</t>
  </si>
  <si>
    <t>1334/DR15YS</t>
  </si>
  <si>
    <t xml:space="preserve">    Блистер</t>
  </si>
  <si>
    <t xml:space="preserve">        Свечи BRISK  21082-INJ 8V</t>
  </si>
  <si>
    <t>LR15YC-1 / 0086</t>
  </si>
  <si>
    <t xml:space="preserve">        Свечи BRISK  2110-INJ 16V  SUPER FORTE (зима)</t>
  </si>
  <si>
    <t>DOR15YC-1 / 1288</t>
  </si>
  <si>
    <t xml:space="preserve">        Свечи BRISK  DR17YC  ГАЗ  Евро3</t>
  </si>
  <si>
    <t>DR17YC / 1326</t>
  </si>
  <si>
    <t xml:space="preserve">    Свечи BRISK  (по 1шт)  QR15LC-1  Solaris, Rio, GAZ Next 2.7</t>
  </si>
  <si>
    <t>QR15LC-1</t>
  </si>
  <si>
    <t xml:space="preserve">    Свечи BRISK  QR15LC-1  Solaris, Rio, GAZ Next 2.7</t>
  </si>
  <si>
    <t>1709 / QR15LC-1</t>
  </si>
  <si>
    <t xml:space="preserve">    Свечи BRISK (по 1шт)  MR14LC  на двиг. H4M/ВАЗ-11182 (упак 10шт)</t>
  </si>
  <si>
    <t>1587 / MR14LC</t>
  </si>
  <si>
    <t xml:space="preserve">    Свечи BRISK (по 1шт)  MR14LC-1  на двиг. H4M/ВАЗ-11182 (упак 10шт)</t>
  </si>
  <si>
    <t>1999 / MR14LC-1</t>
  </si>
  <si>
    <t>CASTROL</t>
  </si>
  <si>
    <t xml:space="preserve">    Масло моторное Castrol Magnatec 5w40 C3 синт. (4 л), 15A691</t>
  </si>
  <si>
    <t>15A691</t>
  </si>
  <si>
    <t>CHAMPION</t>
  </si>
  <si>
    <t xml:space="preserve">    Щетки стекл-ля  Champion EU38   уценка 50%</t>
  </si>
  <si>
    <t>EU38/C01</t>
  </si>
  <si>
    <t xml:space="preserve">    Щетки стекл-ля  Champion EU43   уценка 50%</t>
  </si>
  <si>
    <t>EU43/C01</t>
  </si>
  <si>
    <t xml:space="preserve">    Щетки стекл-ля  Champion EU45   уценка 50%</t>
  </si>
  <si>
    <t>EU45/C01</t>
  </si>
  <si>
    <t>Contitech (оригинал)</t>
  </si>
  <si>
    <t xml:space="preserve">    ГРМ Contitech  Гранта  дв.1,6 8кл (87л/с)</t>
  </si>
  <si>
    <t>CT525</t>
  </si>
  <si>
    <t xml:space="preserve">    Ремень генератора Contitech 1118</t>
  </si>
  <si>
    <t>6PK884*</t>
  </si>
  <si>
    <t xml:space="preserve">    Ремень генератора Contitech 2108-INJ 8V</t>
  </si>
  <si>
    <t>6PK698*</t>
  </si>
  <si>
    <t xml:space="preserve">    Ремень генератора Contitech Chevy Niva</t>
  </si>
  <si>
    <t>5PK1885*</t>
  </si>
  <si>
    <t xml:space="preserve">    Ремень генератора Contitech LADA Vesta, X-RAY  (с кондиц.)</t>
  </si>
  <si>
    <t>6PK1039ELAST*</t>
  </si>
  <si>
    <t xml:space="preserve">    Ремкомплект ГРМ  Contitech  (ремень+ролики) Ларгус 16кл</t>
  </si>
  <si>
    <t>CT1179K3</t>
  </si>
  <si>
    <t xml:space="preserve">    Ремкомплект ГРМ  Contitech (ремень+ролик) Ларгус 8кл</t>
  </si>
  <si>
    <t>CT988K3</t>
  </si>
  <si>
    <t>CORTECO</t>
  </si>
  <si>
    <t xml:space="preserve">    Герметик CORTECO силиконовый однокомпонентный 80ml (черный) HT300C   [24]</t>
  </si>
  <si>
    <t>HT300C</t>
  </si>
  <si>
    <t xml:space="preserve">    КМС  CORTECO  ВАЗ 2101-2109, ГАЗ 406 дв, 8мм (к-т 8шт)  [200]</t>
  </si>
  <si>
    <t xml:space="preserve">    КМС  CORTECO  ВАЗ 2112 (к-т 16шт) 7мм  [216]</t>
  </si>
  <si>
    <t xml:space="preserve">    КМС  CORTECO Daewoo Nexia 8кл  (8шт)</t>
  </si>
  <si>
    <t xml:space="preserve">    КМС  CORTECO Renault Logan, LADA Largus 16кл  (16шт)</t>
  </si>
  <si>
    <t xml:space="preserve">    Прокладка поддона картера CORTECO Renault Logan/Sandero, Lada Largus V1,4-1,6 (уп 1шт)</t>
  </si>
  <si>
    <t>023718P</t>
  </si>
  <si>
    <t xml:space="preserve">    Прокладка сливной пробки поддона CORTECO Logan, Largus   (1уп = 10шт)</t>
  </si>
  <si>
    <t>006339H</t>
  </si>
  <si>
    <t>упак</t>
  </si>
  <si>
    <t xml:space="preserve">    Сальник  ШРУСА CORTECO ВАЗ 2108-2115 ( 35*57*9)   [5]</t>
  </si>
  <si>
    <t>12015250B</t>
  </si>
  <si>
    <t xml:space="preserve">    Сальник  ШРУСА CORTECO ВАЗ 21213 ( 40*57,15*9)   [10]</t>
  </si>
  <si>
    <t>12019142B</t>
  </si>
  <si>
    <t xml:space="preserve">    Сальник CORTECO ступицы передней  Газель (50*80*10)   [5]</t>
  </si>
  <si>
    <t>12001397B</t>
  </si>
  <si>
    <t xml:space="preserve">    Сальник CORTECO штока КПП ВАЗ 2109 (16*30*7)   [5]</t>
  </si>
  <si>
    <t>12010803B</t>
  </si>
  <si>
    <t xml:space="preserve">    Сальник коленвала CORTECO задний Renault Logan, LADA Largus   [10]</t>
  </si>
  <si>
    <t>12015352B</t>
  </si>
  <si>
    <t xml:space="preserve">    Сальник коленвала CORTECO задний ВАЗ 2101-07 (70*90*10)   [10]</t>
  </si>
  <si>
    <t>12011438B</t>
  </si>
  <si>
    <t xml:space="preserve">    Сальник коленвала CORTECO задний ВАЗ 2108-09  (80*100*10)   [5]</t>
  </si>
  <si>
    <t>12011299B</t>
  </si>
  <si>
    <t xml:space="preserve">    Сальник коленвала CORTECO передний Renault Logan, LADA Largus   [10]</t>
  </si>
  <si>
    <t>20019851B</t>
  </si>
  <si>
    <t xml:space="preserve">    Сальник коленвала CORTECO передний ВАЗ 2101-07  (40*56*7)   [10]</t>
  </si>
  <si>
    <t>12011455B</t>
  </si>
  <si>
    <t xml:space="preserve">    Сальник коленвала CORTECO передний ВАЗ 2108-09  (28*42*7)   [10]</t>
  </si>
  <si>
    <t>16012080B</t>
  </si>
  <si>
    <t xml:space="preserve">    Сальник КПП CORTECO вторичного вала  ВАЗ 2101 (32*56*11)   [10]</t>
  </si>
  <si>
    <t>12011450B</t>
  </si>
  <si>
    <t xml:space="preserve">    Сальник КПП CORTECO первичного  вала  ВАЗ 2101-07 (28*47*8)   [10]</t>
  </si>
  <si>
    <t>12011445B</t>
  </si>
  <si>
    <t xml:space="preserve">    Сальник КПП CORTECO первичного  вала  ВАЗ 2110 (25*45*9)   [5]</t>
  </si>
  <si>
    <t>19034619B</t>
  </si>
  <si>
    <t xml:space="preserve">    Сальник полуоси CORTECO ВАЗ 2101-07 (30*45*8)   [10]</t>
  </si>
  <si>
    <t>12011493B</t>
  </si>
  <si>
    <t xml:space="preserve">    Сальник привода (дифференциала) CORTECO LADA Largus 16 кл.  (40x55x8/13)</t>
  </si>
  <si>
    <t>01033808B</t>
  </si>
  <si>
    <t xml:space="preserve">    Сальник распредвала CORTECO Renault Logan, LADA Largus  8кл   [10]</t>
  </si>
  <si>
    <t>12011839B</t>
  </si>
  <si>
    <t xml:space="preserve">    Сальник распредвала CORTECO Renault Logan, LADA Largus 16кл   [10]</t>
  </si>
  <si>
    <t>12018754B</t>
  </si>
  <si>
    <t xml:space="preserve">    Сальник распредвала CORTECO передний ГАЗ двиг Chrysler (35*48*7)    [10]</t>
  </si>
  <si>
    <t>20011244B</t>
  </si>
  <si>
    <t xml:space="preserve">    Сальник редуктора CORTECO заднего моста ВАЗ 2101-07 (35,8*68*10)   [10]</t>
  </si>
  <si>
    <t>12011293B</t>
  </si>
  <si>
    <t xml:space="preserve">    Сальник ступицы CORTECO ВАЗ 2101-07 (40*57,15*10)   [5]</t>
  </si>
  <si>
    <t>12011501B</t>
  </si>
  <si>
    <t xml:space="preserve">    Сальник ступицы CORTECO ВАЗ 21213 (56*73,15*10)   [5]</t>
  </si>
  <si>
    <t>12016929B</t>
  </si>
  <si>
    <t xml:space="preserve">    Сальник хвостовика CORTECO переднего моста ВАЗ 21213 (35,8*68*11)   [5]</t>
  </si>
  <si>
    <t>19034615B</t>
  </si>
  <si>
    <t>CZ</t>
  </si>
  <si>
    <t xml:space="preserve">    Цепь привода ГРМ CZ  114 зв. ВАЗ 2101 (уп.25)</t>
  </si>
  <si>
    <t>06C-2SP114 (CZ114)</t>
  </si>
  <si>
    <t xml:space="preserve">    Цепь привода ГРМ CZ  116 зв. ВАЗ 2103 (уп.25)</t>
  </si>
  <si>
    <t>CZ116</t>
  </si>
  <si>
    <t xml:space="preserve">    Цепь привода ГРМ CZ  116 зв. Шеви Нива (уп.25)</t>
  </si>
  <si>
    <t>CZ116/214</t>
  </si>
  <si>
    <t xml:space="preserve">    Цепь привода ГРМ CZ  72 зв.(ВТ 5.05 ММ) ГАЗ</t>
  </si>
  <si>
    <t>CZ072/5.05</t>
  </si>
  <si>
    <t xml:space="preserve">    Цепь привода ГРМ CZ  72 зв.(ВТ 6.35 ММ) ГАЗ  ECO3</t>
  </si>
  <si>
    <t>CZ072/6.35/ECO3</t>
  </si>
  <si>
    <t xml:space="preserve">    Цепь привода ГРМ CZ  92 зв.(ВТ 5.05 ММ) ГАЗ</t>
  </si>
  <si>
    <t>CZ092/5.05</t>
  </si>
  <si>
    <t xml:space="preserve">    Цепь привода ГРМ CZ  92 зв.(ВТ 6.35 ММ) ГАЗ  ECO3</t>
  </si>
  <si>
    <t>CZ092/6.35/ECO3</t>
  </si>
  <si>
    <t xml:space="preserve">    Цепь привода ГРМ CZ 108 зв.ЗМЗ 40905,40911 ЕВРО-4 CZ108/ECO4</t>
  </si>
  <si>
    <t>CZ108/ECO4</t>
  </si>
  <si>
    <t xml:space="preserve">    Цепь привода ГРМ CZ 84 зв.ЗМЗ 40905,40911 ЕВРО-4 CZ84/ECO4</t>
  </si>
  <si>
    <t>CZ84/ECO4</t>
  </si>
  <si>
    <t>DAFMI</t>
  </si>
  <si>
    <t xml:space="preserve">    Dafmi SM</t>
  </si>
  <si>
    <t xml:space="preserve">        Колодка диcкового тормоза Dafmi  HYUNDAI Solaris, KIA Rio III</t>
  </si>
  <si>
    <t>D273SM</t>
  </si>
  <si>
    <t xml:space="preserve">        Колодка диcкового тормоза Dafmi  LADA X-Ray</t>
  </si>
  <si>
    <t>D485SM</t>
  </si>
  <si>
    <t xml:space="preserve">        Колодка диcкового тормоза Dafmi  Largus  8кл, Logan ph1,2</t>
  </si>
  <si>
    <t>D339SM</t>
  </si>
  <si>
    <t xml:space="preserve">        Колодка диcкового тормоза Dafmi  Largus 16кл, LADA Vesta, DUSTER 4Х2 1.6, 1.5 dCi, Almera NEW</t>
  </si>
  <si>
    <t>D204SM</t>
  </si>
  <si>
    <t xml:space="preserve">        Колодка диcкового тормоза Dafmi  VW Polo Sedan 11-</t>
  </si>
  <si>
    <t>D399SM</t>
  </si>
  <si>
    <t xml:space="preserve">        Колодка диcкового тормоза Dafmi 2101-07  [10]</t>
  </si>
  <si>
    <t>D656SM</t>
  </si>
  <si>
    <t xml:space="preserve">        Колодка диcкового тормоза Dafmi 2108-10  [10]</t>
  </si>
  <si>
    <t>D743SM</t>
  </si>
  <si>
    <t xml:space="preserve">        Колодка диcкового тормоза Dafmi 2110-70  [10]</t>
  </si>
  <si>
    <t>D140SM</t>
  </si>
  <si>
    <t xml:space="preserve">        Колодка диcкового тормоза Dafmi 2121, Шеви-Нива  [10]</t>
  </si>
  <si>
    <t>D301SM</t>
  </si>
  <si>
    <t xml:space="preserve">        Колодка диcкового тормоза Dafmi 3302/3110  [10]</t>
  </si>
  <si>
    <t>D443SM</t>
  </si>
  <si>
    <t xml:space="preserve">        Колодка диcкового тормоза Dafmi Газель NEXT  (уп 10кт)</t>
  </si>
  <si>
    <t>D517SM</t>
  </si>
  <si>
    <t xml:space="preserve">        Колодка дискового тормоза задние Dafmi  HYUNDAI Solaris, KIA Rio III, New Action 11.10</t>
  </si>
  <si>
    <t>D274SM</t>
  </si>
  <si>
    <t xml:space="preserve">        Колодка дискового тормоза задние Dafmi  VESTA Cross, Granta Sport</t>
  </si>
  <si>
    <t>D438SM</t>
  </si>
  <si>
    <t xml:space="preserve">        Колодки бaрабанного тормоза Dafmi  1118/2170/2190 с АБС</t>
  </si>
  <si>
    <t>DA770</t>
  </si>
  <si>
    <t xml:space="preserve">        Колодки бaрабанного тормоза Dafmi  2101-07  (уп 6кт)</t>
  </si>
  <si>
    <t>DA656</t>
  </si>
  <si>
    <t xml:space="preserve">        Колодки бaрабанного тормоза Dafmi  2108-12</t>
  </si>
  <si>
    <t>DA140</t>
  </si>
  <si>
    <t xml:space="preserve">        Колодки бaрабанного тормоза Dafmi  LADA Vesta 15- (203x38)/ NISSAN Micra III K12 03-/ Note E11 06-</t>
  </si>
  <si>
    <t>DA838</t>
  </si>
  <si>
    <t xml:space="preserve">    INTELLI</t>
  </si>
  <si>
    <t xml:space="preserve">        Колодка диcкового тормоза INTELLI  HYUNDAI Accent V, Solaris II, Rio IV  D508E/Д508Е</t>
  </si>
  <si>
    <t>D508E</t>
  </si>
  <si>
    <t xml:space="preserve">        Колодка диcкового тормоза INTELLI  Largus  8кл, Logan ph1,2</t>
  </si>
  <si>
    <t>D339E</t>
  </si>
  <si>
    <t xml:space="preserve">        Колодка диcкового тормоза INTELLI  VW Polo Sedan 11-</t>
  </si>
  <si>
    <t>D399E</t>
  </si>
  <si>
    <t xml:space="preserve">        Колодка дискового тормоза задние INTELLI  HYUNDAI Accent V, Solaris II, Rio IV  D509E/Д509Е</t>
  </si>
  <si>
    <t>D509E</t>
  </si>
  <si>
    <t>DAYCO</t>
  </si>
  <si>
    <t xml:space="preserve">    ГРМ DAYCO  Гранта  дв.1,6 8кл (87л/с) 113RP170H</t>
  </si>
  <si>
    <t xml:space="preserve">    ГРМ DAYCO 2110-12  усил. 1.5 inj  16кл. (плюс)</t>
  </si>
  <si>
    <t xml:space="preserve">    ГРМ DAYCO 2112 16кл.  (простой)</t>
  </si>
  <si>
    <t xml:space="preserve">    ГРМ DAYCO Granta (тефлон) (уп 5шт)</t>
  </si>
  <si>
    <t xml:space="preserve">    ГРМ DAYCO Priora (тефлон) (уп 5шт)</t>
  </si>
  <si>
    <t xml:space="preserve">    Ремень генератора DAYCO 2101</t>
  </si>
  <si>
    <t>10A0940C</t>
  </si>
  <si>
    <t xml:space="preserve">    Ремень генератора DAYCO 2108</t>
  </si>
  <si>
    <t>10A0710C</t>
  </si>
  <si>
    <t xml:space="preserve">    Ремень генератора DAYCO 2108-INJ 8V  (уп 10шт)</t>
  </si>
  <si>
    <t>6PK698</t>
  </si>
  <si>
    <t xml:space="preserve">    Ремень генератора DAYCO 2110 с ГУР  (уп 10шт)</t>
  </si>
  <si>
    <t>6PK1115</t>
  </si>
  <si>
    <t xml:space="preserve">    Ремень генератора DAYCO 2110 с кондиционером  (уп 10шт)</t>
  </si>
  <si>
    <t>6PK1125</t>
  </si>
  <si>
    <t xml:space="preserve">    Ремень генератора DAYCO 2110-INJ 16V  (уп 10шт)</t>
  </si>
  <si>
    <t>6PK736</t>
  </si>
  <si>
    <t xml:space="preserve">    Ремень генератора DAYCO Chevy Niva  (уп 10шт)</t>
  </si>
  <si>
    <t>5PK1885</t>
  </si>
  <si>
    <t xml:space="preserve">    Ремень генератора DAYCO Chevy Niva с кондиционером  (уп 10шт)</t>
  </si>
  <si>
    <t>4PK812</t>
  </si>
  <si>
    <t xml:space="preserve">    Ремень генератора DAYCO Granta  (уп 10шт)</t>
  </si>
  <si>
    <t>6PK825</t>
  </si>
  <si>
    <t xml:space="preserve">    Ремень генератора DAYCO Granta  АКПП с кондиционером  (уп 10шт)</t>
  </si>
  <si>
    <t>6PK996</t>
  </si>
  <si>
    <t xml:space="preserve">    Ремень генератора DAYCO Granta 1.6 8V  Elastic, аналог 6PK825</t>
  </si>
  <si>
    <t>6PK852EE</t>
  </si>
  <si>
    <t xml:space="preserve">    Ремень генератора DAYCO Granta с кондиционером  (уп 10шт)</t>
  </si>
  <si>
    <t>6PK1018HD</t>
  </si>
  <si>
    <t xml:space="preserve">    Ремень генератора DAYCO KALINA  (уп 10шт)</t>
  </si>
  <si>
    <t>6PK888</t>
  </si>
  <si>
    <t xml:space="preserve">    Ремень генератора DAYCO LADA Largus дв.11189  1.6 8V с кондиционером и ГУР</t>
  </si>
  <si>
    <t>6PK1775</t>
  </si>
  <si>
    <t xml:space="preserve">    Ремень генератора DAYCO LADA Vesta, X-Ray 1.6  Elastic</t>
  </si>
  <si>
    <t>6PK778EE</t>
  </si>
  <si>
    <t xml:space="preserve">    Ремень генератора DAYCO LADA Vesta, X-Ray 1.6 с кондиционером Elastic</t>
  </si>
  <si>
    <t>6PK1039EE</t>
  </si>
  <si>
    <t xml:space="preserve">    Ремень генератора DAYCO LADA Vesta, X-RAY с кондиционером</t>
  </si>
  <si>
    <t>6PK1040HD</t>
  </si>
  <si>
    <t xml:space="preserve">    Ремень генератора DAYCO Volga  (уп 10шт)</t>
  </si>
  <si>
    <t>6PK1230HD</t>
  </si>
  <si>
    <t xml:space="preserve">    Ремень генератора DAYCO Нива URBAN  5PK1125</t>
  </si>
  <si>
    <t>5PK1125</t>
  </si>
  <si>
    <t xml:space="preserve">    Ремень ино генератора DAYCO DAEWOO NEXIA 8V 16V/LANOS 8V (без гур)</t>
  </si>
  <si>
    <t>5PK875</t>
  </si>
  <si>
    <t xml:space="preserve">    Ремень ино генератора DAYCO DAEWOO NEXIA/LANOS (гур)</t>
  </si>
  <si>
    <t>5PK975</t>
  </si>
  <si>
    <t xml:space="preserve">    Ремень ино генератора DAYCO MATIZ 1.0 (гур) LOGAN 1.4/1.6 (без гура)</t>
  </si>
  <si>
    <t>4PK715</t>
  </si>
  <si>
    <t xml:space="preserve">    Ремень ино ГРМ DAYCO Accent 16кл.</t>
  </si>
  <si>
    <t xml:space="preserve">    Ремень ино ГРМ DAYCO DAEWOO MATIZ (KLYA) 1.0</t>
  </si>
  <si>
    <t xml:space="preserve">    Ремень ино ГРМ DAYCO DAEWOO MATIZ 0.8</t>
  </si>
  <si>
    <t xml:space="preserve">    Ремень ино ГРМ DAYCO Nexia/Lanos 16кл.  127RP254H</t>
  </si>
  <si>
    <t xml:space="preserve">    Ремень ино ГРМ DAYCO Renault Duster, Laguna, Megane 2,0 16V, F4R</t>
  </si>
  <si>
    <t xml:space="preserve">    Ремень ино ГРМ DAYCO Renault Logan 1.6 16V 105 л/с</t>
  </si>
  <si>
    <t xml:space="preserve">    Ремень ино ГРМ DAYCO Renault Logan 1.6 16V 105 л/с TH</t>
  </si>
  <si>
    <t xml:space="preserve">    Ремень ино ГРМ DAYCO Renault Logan 8кл. с 9/2011</t>
  </si>
  <si>
    <t xml:space="preserve">    Ремень ино компрессора кондиционера DAYCO Lada LARGUS 8кл (без ГУР с кондиц)</t>
  </si>
  <si>
    <t>4PK916EE</t>
  </si>
  <si>
    <t xml:space="preserve">    Ремкомплект ГРМ  DAYCO (ремень тефлон+ролики) Priora (в упак 6шт)</t>
  </si>
  <si>
    <t>KTB944</t>
  </si>
  <si>
    <t xml:space="preserve">    Ремкомплект ГРМ DAYCO (ремень+ролики) Largus, Logan 1.6  16кл</t>
  </si>
  <si>
    <t>KTB460</t>
  </si>
  <si>
    <t xml:space="preserve">    Ремкомплект ГРМ DAYCO (ремень+ролики) Logan 8 кл. с 9/2011</t>
  </si>
  <si>
    <t>KTB794</t>
  </si>
  <si>
    <t>DEMFI (г.Тольятти)</t>
  </si>
  <si>
    <t xml:space="preserve">    Комфорт</t>
  </si>
  <si>
    <t xml:space="preserve">        Амортизатор задний  1119  газ Demfi (2шт) серия "Комфорт"</t>
  </si>
  <si>
    <t>SRC1910</t>
  </si>
  <si>
    <t xml:space="preserve">        Амортизатор задний  1119  масло Demfi (2шт) серия "Комфорт"</t>
  </si>
  <si>
    <t>SRC1900</t>
  </si>
  <si>
    <t xml:space="preserve">        Амортизатор задний  2108  масло Demfi (2шт) серия "Комфорт"</t>
  </si>
  <si>
    <t>SRC0800</t>
  </si>
  <si>
    <t xml:space="preserve">        Амортизатор задний  2110  газ Demfi (2шт) серия "Комфорт"</t>
  </si>
  <si>
    <t>SRC1010</t>
  </si>
  <si>
    <t xml:space="preserve">        Амортизатор задний  2110  масло Demfi (2шт) серия "Комфорт"</t>
  </si>
  <si>
    <t>SRC1000</t>
  </si>
  <si>
    <t xml:space="preserve">        Амортизатор задний  2170  газ Demfi (2шт) серия "Комфорт"</t>
  </si>
  <si>
    <t>SRC7010</t>
  </si>
  <si>
    <t xml:space="preserve">        Амортизатор задний  2190  масло Demfi (2шт) серия "Комфорт"</t>
  </si>
  <si>
    <t>SRC9000</t>
  </si>
  <si>
    <t xml:space="preserve">        Амортизатор задний  Vesta газ Demfi (2шт) серия "Комфорт"</t>
  </si>
  <si>
    <t>SRC8010</t>
  </si>
  <si>
    <t xml:space="preserve">        Стойка перед  1119 (бочка)  газ Demfi (2шт) серия "Комфорт"</t>
  </si>
  <si>
    <t>SFC1910</t>
  </si>
  <si>
    <t xml:space="preserve">        Стойка перед  1119 (бочка)  масло Demfi (2шт) серия "Комфорт"</t>
  </si>
  <si>
    <t>SFC1900</t>
  </si>
  <si>
    <t xml:space="preserve">        Стойка перед  2108  масло Demfi (2шт) серия "Комфорт"</t>
  </si>
  <si>
    <t>SFC0800</t>
  </si>
  <si>
    <t xml:space="preserve">        Стойка перед  2110  газ Demfi (2шт) серия "Комфорт"</t>
  </si>
  <si>
    <t>SFC1010</t>
  </si>
  <si>
    <t xml:space="preserve">        Стойка перед  2110  масло Demfi (2шт) серия "Комфорт"</t>
  </si>
  <si>
    <t>SFC1000</t>
  </si>
  <si>
    <t xml:space="preserve">        Стойка перед  2170  масло Demfi (2шт) серия "Комфорт"</t>
  </si>
  <si>
    <t>SFC7000</t>
  </si>
  <si>
    <t xml:space="preserve">        Стойка перед  2180  газ Vesta Demfi (2шт) серия "Комфорт"</t>
  </si>
  <si>
    <t>SFC8010</t>
  </si>
  <si>
    <t xml:space="preserve">        Стойка перед  2190  масло Demfi (2шт) серия "Комфорт"</t>
  </si>
  <si>
    <t>SFC9000</t>
  </si>
  <si>
    <t xml:space="preserve">    Корпус стойки  D2108 (комплект)</t>
  </si>
  <si>
    <t xml:space="preserve">    Корпус стойки  D2110 (комплект)</t>
  </si>
  <si>
    <t xml:space="preserve">    Опоры и упоры</t>
  </si>
  <si>
    <t xml:space="preserve">        Опора Демфи   1118 передняя (без подшип)</t>
  </si>
  <si>
    <t>PFA1801</t>
  </si>
  <si>
    <t xml:space="preserve">        Опора Демфи   2108 передняя</t>
  </si>
  <si>
    <t>PFA0800</t>
  </si>
  <si>
    <t xml:space="preserve">        Опора Демфи   2110 передняя</t>
  </si>
  <si>
    <t>PFA1000</t>
  </si>
  <si>
    <t xml:space="preserve">        Опора Демфи   2170 передняя (без подшип)</t>
  </si>
  <si>
    <t>PFA7001</t>
  </si>
  <si>
    <t xml:space="preserve">        Опора Демфи   2180  Веста передняя</t>
  </si>
  <si>
    <t>PFA8001</t>
  </si>
  <si>
    <t xml:space="preserve">        Опора Демфи   2190 передняя (без подшип, 12мм)</t>
  </si>
  <si>
    <t>PFA9701</t>
  </si>
  <si>
    <t xml:space="preserve">        Опора Демфи   2190 передняя (без подшип, 6мм)</t>
  </si>
  <si>
    <t>PFA9601</t>
  </si>
  <si>
    <t xml:space="preserve">        Опора Демфи   Ларгус, Логан передняя (с подшип)</t>
  </si>
  <si>
    <t>PFALL00</t>
  </si>
  <si>
    <t xml:space="preserve">        Упор задней двери DEMFI  1119 / 2111</t>
  </si>
  <si>
    <t>SGL1900</t>
  </si>
  <si>
    <t xml:space="preserve">        Упор задней двери DEMFI  2108</t>
  </si>
  <si>
    <t>SGL0800</t>
  </si>
  <si>
    <t xml:space="preserve">        Упор задней двери DEMFI  2112 / 2172</t>
  </si>
  <si>
    <t>SGL1200</t>
  </si>
  <si>
    <t xml:space="preserve">        Упор задней двери DEMFI  2121</t>
  </si>
  <si>
    <t>SGL2100</t>
  </si>
  <si>
    <t xml:space="preserve">        Упор капота с кронштейнами DEMFI  Lada XRAY</t>
  </si>
  <si>
    <t>HHCXR00</t>
  </si>
  <si>
    <t xml:space="preserve">    Премиум (газ)</t>
  </si>
  <si>
    <t xml:space="preserve">        Амортизатор задний   LADA X-Ray газ Demfi (2шт) серия "Премиум"</t>
  </si>
  <si>
    <t>SRCXR12</t>
  </si>
  <si>
    <t xml:space="preserve">        Амортизатор задний   Largus газ Demfi (2шт) серия "Премиум"</t>
  </si>
  <si>
    <t>SRCRL12</t>
  </si>
  <si>
    <t xml:space="preserve">        Амортизатор задний   Vesta газ Demfi (2шт) серия "Премиум"</t>
  </si>
  <si>
    <t>SRC8012</t>
  </si>
  <si>
    <t xml:space="preserve">        Стойка перед   LADA X-Ray газ Demfi (2шт) серия "Премиум"</t>
  </si>
  <si>
    <t>SFCXR12</t>
  </si>
  <si>
    <t xml:space="preserve">        Стойка перед  2180 Vesta газ Demfi (2шт) серия "Премиум"</t>
  </si>
  <si>
    <t>SFC8012</t>
  </si>
  <si>
    <t>DENSO</t>
  </si>
  <si>
    <t xml:space="preserve">    Свечи DENSO   D2  2108  W20EPRU  (1 штука) уп10</t>
  </si>
  <si>
    <t xml:space="preserve">    Свечи DENSO   LADA  3008  2110-INJ 16V  (1 штука)  уп10</t>
  </si>
  <si>
    <t>Q20PRU11</t>
  </si>
  <si>
    <t xml:space="preserve">    Свечи DENSO   LADA  3049  21082-INJ 8V (1 штука) уп10</t>
  </si>
  <si>
    <t>W20EPRU11</t>
  </si>
  <si>
    <t xml:space="preserve">    Свечи DENSO  D11  2110-INJ 16V  Q20PRU114</t>
  </si>
  <si>
    <t>3008 / D11</t>
  </si>
  <si>
    <t xml:space="preserve">    Свечи DENSO  D13  21082-INJ 8V  W20EPRU114</t>
  </si>
  <si>
    <t>3049 / D13</t>
  </si>
  <si>
    <t xml:space="preserve">    Свечи DENSO  T02  W20TT4  21082-INJ 8V</t>
  </si>
  <si>
    <t>4602 / T02</t>
  </si>
  <si>
    <t xml:space="preserve">    Свечи DENSO  T04  K20TT4  LARGUS</t>
  </si>
  <si>
    <t>4604 / T04</t>
  </si>
  <si>
    <t xml:space="preserve">    Свечи DENSO  T07  Q20TT4  2110-INJ 16V</t>
  </si>
  <si>
    <t>4608 / T07</t>
  </si>
  <si>
    <t xml:space="preserve">    Свечи DENSO  T9  XUH22TT4  Solaris, Rio, GAZ Next 2.7</t>
  </si>
  <si>
    <t>4615 / T9</t>
  </si>
  <si>
    <t xml:space="preserve">    Свечи DENSO  TV16TT4  FORD Focus ll, Fusion, Mondeo lV</t>
  </si>
  <si>
    <t>4619 / T13</t>
  </si>
  <si>
    <t>DOLZ (Испания)</t>
  </si>
  <si>
    <t xml:space="preserve">    Насос водяной DOLZ   Vesta, X-ray 1.8 (дв. ВАЗ 21179)</t>
  </si>
  <si>
    <t>L142</t>
  </si>
  <si>
    <t xml:space="preserve">    Насос водяной DOLZ  2101 </t>
  </si>
  <si>
    <t>L120</t>
  </si>
  <si>
    <t xml:space="preserve">    Насос водяной DOLZ  2108 </t>
  </si>
  <si>
    <t>L123</t>
  </si>
  <si>
    <t xml:space="preserve">    Насос водяной DOLZ  2112 </t>
  </si>
  <si>
    <t>L124</t>
  </si>
  <si>
    <t xml:space="preserve">    Насос водяной DOLZ  2123  Niva Chevrolet (8V, 1,7 л)</t>
  </si>
  <si>
    <t>L127</t>
  </si>
  <si>
    <t xml:space="preserve">    Насос водяной DOLZ  2170 / 2190  16кл</t>
  </si>
  <si>
    <t>L125</t>
  </si>
  <si>
    <t xml:space="preserve">    Насос водяной DOLZ  2190 8кл</t>
  </si>
  <si>
    <t>L126</t>
  </si>
  <si>
    <t xml:space="preserve">    Насос водяной DOLZ  AUDI A3 2.0 TDi, A198</t>
  </si>
  <si>
    <t>A198</t>
  </si>
  <si>
    <t xml:space="preserve">    Насос водяной DOLZ  AUDI A3/VW 1.6, A185</t>
  </si>
  <si>
    <t>A185</t>
  </si>
  <si>
    <t xml:space="preserve">    Насос водяной DOLZ  AUDI A3/VW 1.8, A186</t>
  </si>
  <si>
    <t>A186</t>
  </si>
  <si>
    <t xml:space="preserve">    Насос водяной DOLZ  AUDI A3/VW GOLF 1.4 TFSi, A219</t>
  </si>
  <si>
    <t>A219</t>
  </si>
  <si>
    <t xml:space="preserve">    Насос водяной DOLZ  AUDI A3/VW GOLF IV 1.4, A191</t>
  </si>
  <si>
    <t>A191</t>
  </si>
  <si>
    <t xml:space="preserve">    Насос водяной DOLZ  AUDI A4 1.8, A183</t>
  </si>
  <si>
    <t>A183</t>
  </si>
  <si>
    <t xml:space="preserve">    Насос водяной DOLZ  AUDI A4 2.0 TFSi , A244</t>
  </si>
  <si>
    <t>A244</t>
  </si>
  <si>
    <t xml:space="preserve">    Насос водяной DOLZ  AUDI A4/A5/A6/Q3/Q5, VW Jetta/Caddy/Passat/Amarok, Skoda Yeti 2.0, A</t>
  </si>
  <si>
    <t>A224</t>
  </si>
  <si>
    <t xml:space="preserve">    Насос водяной DOLZ  AUDI A6 2.5 TDi, A280</t>
  </si>
  <si>
    <t>A280</t>
  </si>
  <si>
    <t xml:space="preserve">    Насос водяной DOLZ  AUDI/VW 1.8 TFSi, A221</t>
  </si>
  <si>
    <t>A221</t>
  </si>
  <si>
    <t xml:space="preserve">    Насос водяной DOLZ  BMW E34/E36 1.6i/1.8i, B214</t>
  </si>
  <si>
    <t>B214</t>
  </si>
  <si>
    <t xml:space="preserve">    Насос водяной DOLZ  CHEVROLET CRUZE/AVEO, OPEL ASTRA G,H,J/INSIGNIA 1.6-1.8, O263</t>
  </si>
  <si>
    <t>O263</t>
  </si>
  <si>
    <t xml:space="preserve">    Насос водяной DOLZ  CITROEN C3 1.4, C114</t>
  </si>
  <si>
    <t>C114</t>
  </si>
  <si>
    <t xml:space="preserve">    Насос водяной DOLZ  CITROEN C3 1.6 VTi, C136</t>
  </si>
  <si>
    <t>C136</t>
  </si>
  <si>
    <t xml:space="preserve">    Насос водяной DOLZ  CITROEN C4 1.6, C113</t>
  </si>
  <si>
    <t>C113</t>
  </si>
  <si>
    <t xml:space="preserve">    Насос водяной DOLZ  DAEWOO LANOS 1.6, D213</t>
  </si>
  <si>
    <t>D213</t>
  </si>
  <si>
    <t xml:space="preserve">    Насос водяной DOLZ  DAEWOO NEXIA, OPEL ASTRA/CORSA/VECTRA 1.2-1.6, O106</t>
  </si>
  <si>
    <t>O106</t>
  </si>
  <si>
    <t xml:space="preserve">    Насос водяной DOLZ  DAEWOO NEXIA/CHEVROLET LANOS 1.4/1.6 16V</t>
  </si>
  <si>
    <t>D211</t>
  </si>
  <si>
    <t xml:space="preserve">    Насос водяной DOLZ  DAEWOO NEXIA/CHEVROLET LANOS 1.5 8V</t>
  </si>
  <si>
    <t>D210</t>
  </si>
  <si>
    <t xml:space="preserve">    Насос водяной DOLZ  FIAT DUCATO/IVECO 2.3 TD, I170</t>
  </si>
  <si>
    <t>I170</t>
  </si>
  <si>
    <t xml:space="preserve">    Насос водяной DOLZ  FORD FIESTA 1.2, F233</t>
  </si>
  <si>
    <t>F233</t>
  </si>
  <si>
    <t xml:space="preserve">    Насос водяной DOLZ  FORD MONDEO 1.8, F150</t>
  </si>
  <si>
    <t>F150</t>
  </si>
  <si>
    <t xml:space="preserve">    Насос водяной DOLZ  FORD TRANSIT 2.2TD, F204</t>
  </si>
  <si>
    <t>F204</t>
  </si>
  <si>
    <t xml:space="preserve">    Насос водяной DOLZ  HYUNDAI ACCENT 1.5, H221</t>
  </si>
  <si>
    <t>H221</t>
  </si>
  <si>
    <t xml:space="preserve">    Насос водяной DOLZ  HYUNDAI ACCENT/GETZ 1.3/1.5 (G4E) </t>
  </si>
  <si>
    <t>H200</t>
  </si>
  <si>
    <t xml:space="preserve">    Насос водяной DOLZ  HYUNDAI SOLARIS/I30, KIA CEED/RIO III  1.4/1,6 , H226</t>
  </si>
  <si>
    <t>H226</t>
  </si>
  <si>
    <t xml:space="preserve">    Насос водяной DOLZ  HYUNDAI SOLARIS/I30, KIA CEED/RIO III  1.4/1,6, H227</t>
  </si>
  <si>
    <t>H227</t>
  </si>
  <si>
    <t xml:space="preserve">    Насос водяной DOLZ  HYUNDAI/KIA/MITSUBISHI/IX35/SORENTO/LANCER/OUTLANDER/4007, N207</t>
  </si>
  <si>
    <t>N207</t>
  </si>
  <si>
    <t xml:space="preserve">    Насос водяной DOLZ  NISSAN ALMERA 1.5/PRIMERA 1.8, N148</t>
  </si>
  <si>
    <t>N148</t>
  </si>
  <si>
    <t xml:space="preserve">    Насос водяной DOLZ  OPEL Astra G/VECTRA B/ZAFIRA 1.8 16V, O160</t>
  </si>
  <si>
    <t>O160</t>
  </si>
  <si>
    <t xml:space="preserve">    Насос водяной DOLZ  OPEL ASTRA/VECTRA 1.8-2.0L 16V/1.7D, O138</t>
  </si>
  <si>
    <t>O138</t>
  </si>
  <si>
    <t xml:space="preserve">    Насос водяной DOLZ  OPEL CORSA C,D/ASTRA H 1.2, O261</t>
  </si>
  <si>
    <t>O261</t>
  </si>
  <si>
    <t xml:space="preserve">    Насос водяной DOLZ  OPEL CORSA D/ASTRA J 1.2/1.4, O267</t>
  </si>
  <si>
    <t>O267</t>
  </si>
  <si>
    <t xml:space="preserve">    Насос водяной DOLZ  RENAULT LAGUNA/MEGANE/DUSTER 1.8/2.0/1.9DTi, R219</t>
  </si>
  <si>
    <t>R219</t>
  </si>
  <si>
    <t xml:space="preserve">    Насос водяной DOLZ  Renault Logan (1.4/ 1.6/ K7J/ K7M)</t>
  </si>
  <si>
    <t>R135</t>
  </si>
  <si>
    <t xml:space="preserve">    Насос водяной DOLZ  Renault Logan 16кл/ Lada Largus 8/16кл (R-216/236)</t>
  </si>
  <si>
    <t>R236</t>
  </si>
  <si>
    <t xml:space="preserve">    Насос водяной DOLZ  TOYOTA AVENSIS/CAMRY/RAV 4 2.0 VVTi/2.4, T225</t>
  </si>
  <si>
    <t>T225</t>
  </si>
  <si>
    <t xml:space="preserve">    Насос водяной DOLZ  TOYOTA AVENSIS/RAV 4 2.0, T212</t>
  </si>
  <si>
    <t>T212</t>
  </si>
  <si>
    <t xml:space="preserve">    Насос водяной DOLZ  TOYOTA COROLLA 1.8 VVTi , T230</t>
  </si>
  <si>
    <t>T230</t>
  </si>
  <si>
    <t xml:space="preserve">    Насос водяной DOLZ  TOYOTA YARIS/AURIS/AVENSIS/RAV 4 1.6-2.0 c 07&gt;, T235</t>
  </si>
  <si>
    <t>T235</t>
  </si>
  <si>
    <t xml:space="preserve">    Насос водяной DOLZ  VAG A3/Octavia III/Golf VII/Passat B8 1,2/1,4TSI, A234</t>
  </si>
  <si>
    <t>A234</t>
  </si>
  <si>
    <t xml:space="preserve">    Насос водяной DOLZ  VAG A6/OCTAVIA/GOLF/JETTA/PASSAT/POLO/SHARAN 1.6/1.8/1.9TDI/2.0, A15</t>
  </si>
  <si>
    <t>A151</t>
  </si>
  <si>
    <t xml:space="preserve">    Насос водяной DOLZ  VAG G5/A3/FABIA/OCTAVIA 1.6, A218</t>
  </si>
  <si>
    <t>A218</t>
  </si>
  <si>
    <t>DONGIL (Корея ремни)</t>
  </si>
  <si>
    <t xml:space="preserve">    Ремень генератора DONGIL Granta  АКПП с кондиционером</t>
  </si>
  <si>
    <t>6PK996.</t>
  </si>
  <si>
    <t xml:space="preserve">    Ремень ино генератора DONGIL Renault Logan 1,6 (гур+конд) 16 кл. с 10г</t>
  </si>
  <si>
    <t>6PK1820.</t>
  </si>
  <si>
    <t>Eldix</t>
  </si>
  <si>
    <t xml:space="preserve">    Генератор Eldix А-1118-135A </t>
  </si>
  <si>
    <t>ELD-А-1118-135A</t>
  </si>
  <si>
    <t xml:space="preserve">    Генератор Eldix А-2101-50А  Recovery</t>
  </si>
  <si>
    <t>R ELD-A-2101-50A</t>
  </si>
  <si>
    <t xml:space="preserve">    Генератор Eldix А-2108 60А  Recovery</t>
  </si>
  <si>
    <t>R ELD-A-2108В-60A</t>
  </si>
  <si>
    <t xml:space="preserve">    Генератор Eldix А-2110-115А </t>
  </si>
  <si>
    <t>ELD-A-2110-115A</t>
  </si>
  <si>
    <t xml:space="preserve">    Генератор Eldix А-2110-115А  Recovery</t>
  </si>
  <si>
    <t>R ELD-A-2110-115A</t>
  </si>
  <si>
    <t xml:space="preserve">    Генератор Eldix А-2110-135А  Recovery</t>
  </si>
  <si>
    <t>R ELD-A-2110-135A</t>
  </si>
  <si>
    <t xml:space="preserve">    Генератор Eldix А-2110-90А </t>
  </si>
  <si>
    <t>ELD-A-2110-90A</t>
  </si>
  <si>
    <t xml:space="preserve">    Генератор Eldix А-2110-90А  Recovery</t>
  </si>
  <si>
    <t>R ELD-A-2110-90A</t>
  </si>
  <si>
    <t xml:space="preserve">    Генератор Eldix А-21214-115A </t>
  </si>
  <si>
    <t>ELD-А-21214-115A</t>
  </si>
  <si>
    <t xml:space="preserve">    Генератор Eldix А-21214-115A  Recovery</t>
  </si>
  <si>
    <t>R ELD-А-21214-115A</t>
  </si>
  <si>
    <t xml:space="preserve">    Генератор Eldix А-21214-135A </t>
  </si>
  <si>
    <t>ELD-А-21214-135A</t>
  </si>
  <si>
    <t xml:space="preserve">    Генератор Eldix А-21214-135A  Recovery</t>
  </si>
  <si>
    <t>R ELD-А-21214-135A</t>
  </si>
  <si>
    <t xml:space="preserve">    Генератор Eldix А-2123-115А </t>
  </si>
  <si>
    <t>ELD-A-2123-115A</t>
  </si>
  <si>
    <t xml:space="preserve">    Генератор Eldix А-406-135А </t>
  </si>
  <si>
    <t>ELD-A-406-135A</t>
  </si>
  <si>
    <t xml:space="preserve">    Генератор Eldix А-406-90А </t>
  </si>
  <si>
    <t>ELD-A-406-90A</t>
  </si>
  <si>
    <t xml:space="preserve">    Генератор ино Eldix  14V/105A CW XAL2046</t>
  </si>
  <si>
    <t>XAL2046</t>
  </si>
  <si>
    <t xml:space="preserve">    Реле стартера Eldix РДС 4216 ( 3 кр.) </t>
  </si>
  <si>
    <t>РДС 4216</t>
  </si>
  <si>
    <t xml:space="preserve">    Реле стартера Eldix РДС-2101 н/об</t>
  </si>
  <si>
    <t>РДС-2101</t>
  </si>
  <si>
    <t xml:space="preserve">    Реле стартера Eldix РДС-2108 </t>
  </si>
  <si>
    <t>РДС-2108</t>
  </si>
  <si>
    <t xml:space="preserve">    Реле стартера Eldix РДС-2110 </t>
  </si>
  <si>
    <t>РДС-2110</t>
  </si>
  <si>
    <t xml:space="preserve">    Реле стартера Eldix РС-2101 ст/об</t>
  </si>
  <si>
    <t>РС-2101</t>
  </si>
  <si>
    <t xml:space="preserve">    Ротор генератора Eldix Г 224</t>
  </si>
  <si>
    <t>ELD-A-2108</t>
  </si>
  <si>
    <t xml:space="preserve">    Стартер Eldix ST-2101-12V-1.6kW </t>
  </si>
  <si>
    <t>ELD-ST-2101</t>
  </si>
  <si>
    <t xml:space="preserve">    Стартер Eldix ST-2101-12V-1.6kW  Recovery</t>
  </si>
  <si>
    <t>R ELD-ST-2101</t>
  </si>
  <si>
    <t xml:space="preserve">    Стартер Eldix ST-2108-12V-1.6kW </t>
  </si>
  <si>
    <t>ELD-ST-2108</t>
  </si>
  <si>
    <t xml:space="preserve">    Стартер Eldix ST-2108-12V-1.6kW  Recovery</t>
  </si>
  <si>
    <t>R ELD-ST-2108</t>
  </si>
  <si>
    <t xml:space="preserve">    Стартер Eldix ST-2110-12V-1.6kW </t>
  </si>
  <si>
    <t>ELD-ST-2110</t>
  </si>
  <si>
    <t xml:space="preserve">    Стартер Eldix ST-406-12V-1.9kW </t>
  </si>
  <si>
    <t>ELD-ST-406</t>
  </si>
  <si>
    <t xml:space="preserve">    Стартер ино DEXEL  DAEWOO Matiz, CHEVROLET Spark 12V/0.8kW</t>
  </si>
  <si>
    <t>XST2222</t>
  </si>
  <si>
    <t xml:space="preserve">    Электробензонасос (моторчик) Eldix  LADA VESTA</t>
  </si>
  <si>
    <t>EP1080</t>
  </si>
  <si>
    <t xml:space="preserve">    Электробензонасос (моторчик) Eldix  Largus, Logan</t>
  </si>
  <si>
    <t>EP7010</t>
  </si>
  <si>
    <t xml:space="preserve">    Электробензонасос (моторчик) Eldix  ВАЗ 21082 инж (штуцер с насечками)</t>
  </si>
  <si>
    <t>EP1019</t>
  </si>
  <si>
    <t>Elring</t>
  </si>
  <si>
    <t xml:space="preserve">    Сальник к/в Elring перед 2101  (40*56*7)</t>
  </si>
  <si>
    <t>059.790</t>
  </si>
  <si>
    <t xml:space="preserve">    Сальник к/в Elring перед ВАЗ 2108-09  (28*42*7)</t>
  </si>
  <si>
    <t>546.968</t>
  </si>
  <si>
    <t>FINWHALE</t>
  </si>
  <si>
    <t xml:space="preserve">    Амортизатор FINWHALE газ (картридж) 2108</t>
  </si>
  <si>
    <t xml:space="preserve">    Амортизатор FINWHALE газ (картридж) 2110</t>
  </si>
  <si>
    <t xml:space="preserve">    Амортизатор FINWHALE газ 2110/2170/1118 задний</t>
  </si>
  <si>
    <t xml:space="preserve">    Амортизатор FINWHALE газ 2121 передний</t>
  </si>
  <si>
    <t xml:space="preserve">    Амортизатор FINWHALE масло (картридж) 2110</t>
  </si>
  <si>
    <t xml:space="preserve">    Амортизатор FINWHALE масло 2121 задний</t>
  </si>
  <si>
    <t xml:space="preserve">    Амортизатор задний газовый  FINWHALE  Cerato II (TD)(09-13); Solaris I (10-17)</t>
  </si>
  <si>
    <t>25048GU</t>
  </si>
  <si>
    <t xml:space="preserve">    ГРМ FINWHALE  Granta  дв.1,6 8кл (87л/с)  (уп20)</t>
  </si>
  <si>
    <t>BD113x17</t>
  </si>
  <si>
    <t xml:space="preserve">    ГРМ FINWHALE  Приора  (уп20)</t>
  </si>
  <si>
    <t>BD137</t>
  </si>
  <si>
    <t xml:space="preserve">    Катушка зажигания FINWHALE  Largus 16кл, Logan c 10г, Magane II</t>
  </si>
  <si>
    <t>IC006</t>
  </si>
  <si>
    <t xml:space="preserve">    Насос водяной FINWHALE 2108  (уп16)</t>
  </si>
  <si>
    <t>WP108</t>
  </si>
  <si>
    <t xml:space="preserve">    Насос водяной FINWHALE 2170 / 2190  16кл  (уп16)</t>
  </si>
  <si>
    <t>WP126</t>
  </si>
  <si>
    <t xml:space="preserve">    Насос водяной FINWHALE WP0302  Dohc (Accent(ТагАЗ), Rio(05-), Getz, Matrix, Elantra, Cerato)</t>
  </si>
  <si>
    <t>WP0302</t>
  </si>
  <si>
    <t xml:space="preserve">    Насос водяной FINWHALE WP0303  2.0L (Sportage, Tucson, Elantra, Trajet, Ceed, I30)</t>
  </si>
  <si>
    <t>WP0303</t>
  </si>
  <si>
    <t xml:space="preserve">    Подшипник  ступицы задней  FINWHALE  2108-15  (уп40)</t>
  </si>
  <si>
    <t>HB321</t>
  </si>
  <si>
    <t xml:space="preserve">    Подшипник  ступицы задней  FINWHALE  LADA Largus;  Kangoo II / Logan II / Sandero II  (рем.ком) [12]</t>
  </si>
  <si>
    <t>HB703</t>
  </si>
  <si>
    <t xml:space="preserve">    Подшипник  ступицы задней  FINWHALE  LADA Vesta, Xray; Logan  (рем.ком) [40]</t>
  </si>
  <si>
    <t>HB704</t>
  </si>
  <si>
    <t xml:space="preserve">    Подшипник  ступицы передней  FINWHALE  1118/ 2170/2190  (уп40)</t>
  </si>
  <si>
    <t>HB411</t>
  </si>
  <si>
    <t xml:space="preserve">    Подшипник  ступицы передней  FINWHALE  2108-15  (уп40)</t>
  </si>
  <si>
    <t>HB311</t>
  </si>
  <si>
    <t xml:space="preserve">    Подшипник  ступицы передней  FINWHALE  HYUNDAI (Solaris II) (2017-) KIA (Rio IV)  (рем.ком) [12]</t>
  </si>
  <si>
    <t>HB763</t>
  </si>
  <si>
    <t xml:space="preserve">    Подшипник  ступицы передней  FINWHALE  HYUNDAI (Solaris RB) (2014-) KIA (Rio UB)  Ø72mm  (рем.ком)</t>
  </si>
  <si>
    <t>HB762</t>
  </si>
  <si>
    <t xml:space="preserve">    Подшипник  ступицы передней  FINWHALE  LADA Vesta/ Xray/ Largus без ABS (рем.ком) [12]</t>
  </si>
  <si>
    <t>HB702</t>
  </si>
  <si>
    <t xml:space="preserve">    Подшипник  ступицы передней  с ABS  FINWHALE  Largus (рем.ком)</t>
  </si>
  <si>
    <t>HB701</t>
  </si>
  <si>
    <t xml:space="preserve">    Ремень генератора FINWHALE Калина  8кл</t>
  </si>
  <si>
    <t>BP683</t>
  </si>
  <si>
    <t xml:space="preserve">    Ремень генератора FINWHALE Калина 1.6 с кондиц</t>
  </si>
  <si>
    <t>BP6018</t>
  </si>
  <si>
    <t xml:space="preserve">    Ремень генератора FINWHALE Приора с ГУР, кондиц.</t>
  </si>
  <si>
    <t>BP6123</t>
  </si>
  <si>
    <t xml:space="preserve">    Свечи FINWHALE  (по 1шт)  IRIDIUM A4 (B7) 2.0 / A4 (B8) 1.8, 2.0; Tiguan (5N_) 2.0; Octavia II 1.8</t>
  </si>
  <si>
    <t>FSI114</t>
  </si>
  <si>
    <t xml:space="preserve">    Свечи FINWHALE  (по 1шт)  IRIDIUM Almera II 1.5, 1.8 / Juke 1.6 / X-Trail (T30) 2.0, 2.5; ix35 </t>
  </si>
  <si>
    <t>FSI111</t>
  </si>
  <si>
    <t xml:space="preserve">    Свечи FINWHALE  (по 1шт)  IRIDIUM Auris (E150) 1.33,1.6,1.8/ Avensis III (T270)/Corolla (E150)</t>
  </si>
  <si>
    <t>FSI102</t>
  </si>
  <si>
    <t xml:space="preserve">    Свечи FINWHALE  (по 1шт)  IRIDIUM Auris (E150) 1.5/Corolla (E120) 1.5/Rav 4 III (A30) 3.5/ Yaris 1.5</t>
  </si>
  <si>
    <t>FSI105</t>
  </si>
  <si>
    <t xml:space="preserve">    Свечи FINWHALE  (по 1шт)  IRIDIUM C3 II, C3 Picasso (09-) 1.4, 1.6/ C4 II,C4 Picasso/ DS3 1.4, 1.6</t>
  </si>
  <si>
    <t>FSI108</t>
  </si>
  <si>
    <t xml:space="preserve">    Свечи FINWHALE  (по 1шт)  IRIDIUM C5 I, II, III 3.0; Murano I 3.5 / Pathfinder II 3.5; 406 3.0</t>
  </si>
  <si>
    <t>FSI110</t>
  </si>
  <si>
    <t xml:space="preserve">    Свечи FINWHALE  (по 1шт)  IRIDIUM Camry (XV30) 2.0, 2.4, 3.0 / Camry (XV40) 2.4 / Rav 4 III (A30)</t>
  </si>
  <si>
    <t>FSI101</t>
  </si>
  <si>
    <t xml:space="preserve">    Свечи FINWHALE  (по 1шт)  IRIDIUM Creta / Elantra V-VI / Santa Fe II (CM) / Tucson (TL, TLE); Sporta</t>
  </si>
  <si>
    <t>FSI116</t>
  </si>
  <si>
    <t xml:space="preserve">    Свечи FINWHALE  (по 1шт)  IRIDIUM Focus II 2.5 RS; Forester (SG_) 2.0, 2.5/ Impreza (GD) 1.5, 2.0</t>
  </si>
  <si>
    <t>FSI109</t>
  </si>
  <si>
    <t xml:space="preserve">    Свечи FINWHALE  (по 1шт)  IRIDIUM Mazda 3 (BK) 1.4, 1.6 / 3 (BL) 1.6 / Mazda 2 (DE_, DH_3) 1.3, 1.5;</t>
  </si>
  <si>
    <t>FSI112</t>
  </si>
  <si>
    <t xml:space="preserve">    Свечи FINWHALE  (по 1шт)  IRIDIUM Note (E11) 1.6/ Qashqai (J10E) 1.6, 2.0/X-Trail II (T31) 2.0, 2.5</t>
  </si>
  <si>
    <t>FSI107</t>
  </si>
  <si>
    <t xml:space="preserve">    Свечи FINWHALE  (по 1шт)  IRIDIUM Teana II (J32)/ CX-5 (KE); Forester III (SH) 2.0; IV (SJ) 2.0</t>
  </si>
  <si>
    <t>FSI106</t>
  </si>
  <si>
    <t xml:space="preserve">    Свечи FINWHALE (блистер)  2108  (уп60)</t>
  </si>
  <si>
    <t>F508</t>
  </si>
  <si>
    <t xml:space="preserve">    Свечи FINWHALE (блистер)  21082-INJ 8V  (уп60)</t>
  </si>
  <si>
    <t>F510</t>
  </si>
  <si>
    <t xml:space="preserve">    Свечи FINWHALE (блистер)  2110-INJ 16V  (уп60)</t>
  </si>
  <si>
    <t>F516</t>
  </si>
  <si>
    <t xml:space="preserve">    Свечи FINWHALE (блистер)  ГАЗ дв.402  (уп60)</t>
  </si>
  <si>
    <t>F702</t>
  </si>
  <si>
    <t xml:space="preserve">    Свечи FINWHALE (блистер)  ГАЗ дв.406  (уп60)</t>
  </si>
  <si>
    <t>F706</t>
  </si>
  <si>
    <t xml:space="preserve">    Свечи FINWHALE (инд.упак)  2101  (уп30)</t>
  </si>
  <si>
    <t>FS29</t>
  </si>
  <si>
    <t xml:space="preserve">    Свечи FINWHALE (инд.упак)  21082-INJ 8V  (уп30)</t>
  </si>
  <si>
    <t>FS14</t>
  </si>
  <si>
    <t xml:space="preserve">    Свечи FINWHALE (инд.упак)  21082-INJ 8V  3-х электродная  (уп30)</t>
  </si>
  <si>
    <t>FS30</t>
  </si>
  <si>
    <t xml:space="preserve">    Свечи FINWHALE (инд.упак)  2110-INJ 16V  (уп30)</t>
  </si>
  <si>
    <t>FS11</t>
  </si>
  <si>
    <t xml:space="preserve">    Свечи FINWHALE (инд.упак)  2110-INJ 16V  3-х электродная  (уп30)</t>
  </si>
  <si>
    <t>FS32</t>
  </si>
  <si>
    <t xml:space="preserve">    Свечи FINWHALE (инд.упак)  Largus, Logan 8кл  2-х электродная  (уп30)</t>
  </si>
  <si>
    <t>FS21</t>
  </si>
  <si>
    <t xml:space="preserve">    Свечи FINWHALE (по 1шт)  Aveo 1.0-1.2L, Spark(10-), Cobalt, Gentra,</t>
  </si>
  <si>
    <t>FS43</t>
  </si>
  <si>
    <t xml:space="preserve">    Свечи FINWHALE (по 1шт)  Fabia II (542) 1.2-1.6 / Octavia II (1Z3) 1.4 / Rapid (NH3) 1.2; Golf V-VI </t>
  </si>
  <si>
    <t>FS52</t>
  </si>
  <si>
    <t xml:space="preserve">    Свечи FINWHALE (по 1шт)  Focus 1/2/3, C-Max, Fiesta,Fusion,Mondeo, Mazda2/3, All 1,4 -1,6L</t>
  </si>
  <si>
    <t>FS44</t>
  </si>
  <si>
    <t xml:space="preserve">    Свечи FINWHALE (по 1шт)  Focus II, C-Max, Mazda 3/5/6 All 1.8-2.0L</t>
  </si>
  <si>
    <t>FS42</t>
  </si>
  <si>
    <t xml:space="preserve">    Свечи FINWHALE (по 1шт)  Rapid / Fabia III; Polo V-VI / Golf VII</t>
  </si>
  <si>
    <t>FS55</t>
  </si>
  <si>
    <t xml:space="preserve">    Свечи FINWHALE (по 1шт)  Solaris, Soul, Cerato, Ceed, Elantra(06-) I20, I30 All 1.4-1.6L</t>
  </si>
  <si>
    <t>FS46</t>
  </si>
  <si>
    <t xml:space="preserve">    Свечи FINWHALE (по 1шт)  Sonata(01-12), Santa Fe(00-06)+Tagaz), Tucson(04-10), Sportage(04-08) All </t>
  </si>
  <si>
    <t>FS41</t>
  </si>
  <si>
    <t xml:space="preserve">    Стойка перед  2180  газ Vesta FINWHALE левая</t>
  </si>
  <si>
    <t>13082GL</t>
  </si>
  <si>
    <t xml:space="preserve">    Стойка перед  2190/Калина2  газ FINWHALE левая</t>
  </si>
  <si>
    <t>13084GL</t>
  </si>
  <si>
    <t xml:space="preserve">    Стойка перед  2190/Калина2  газ FINWHALE правая</t>
  </si>
  <si>
    <t>13083GR</t>
  </si>
  <si>
    <t xml:space="preserve">    ФМ FINWHALE  Corolla (92-02) / Yaris (99-) / Yaris Verso (99-05) / Rav 4 (94-05) / Auris (07-13)</t>
  </si>
  <si>
    <t>LF730</t>
  </si>
  <si>
    <t xml:space="preserve">    ФМ FINWHALE  Hyundai, Kia, Honda, Mitsubishi, Subaru (W811/80)</t>
  </si>
  <si>
    <t>LF703</t>
  </si>
  <si>
    <t xml:space="preserve">    ФМ FINWHALE  Lanos, Nexia, Lacetti, Aveo, Rezzo (PH 4722)</t>
  </si>
  <si>
    <t>LF402</t>
  </si>
  <si>
    <t xml:space="preserve">    ФМ FINWHALE  Largus, Logan, Magane II, DUSTER 2.0 (20шт)</t>
  </si>
  <si>
    <t>LF702</t>
  </si>
  <si>
    <t xml:space="preserve">    ФМ FINWHALE  X-RAY (1.6 H4M), DUSTER 1.6 15-, Koleos, X-Trail</t>
  </si>
  <si>
    <t>LF502</t>
  </si>
  <si>
    <t xml:space="preserve">    ФМ FINWHALE 2101 (10шт)</t>
  </si>
  <si>
    <t>LF101</t>
  </si>
  <si>
    <t xml:space="preserve">    ФМ FINWHALE 2108 (20шт)</t>
  </si>
  <si>
    <t>LF105</t>
  </si>
  <si>
    <t xml:space="preserve">    ФМ FINWHALE ГАЗ/УАЗ дв.405/406/408 (10шт)</t>
  </si>
  <si>
    <t>LF110</t>
  </si>
  <si>
    <t xml:space="preserve">    ФС  FINWHALE  Largus,Logan, Sandero, Duster II</t>
  </si>
  <si>
    <t>AS711</t>
  </si>
  <si>
    <t xml:space="preserve">    ФТО FINWHALE  Logan, Largus 8v, Peugeot 308/204/407, Citroen C4/C5</t>
  </si>
  <si>
    <t>PF104</t>
  </si>
  <si>
    <t xml:space="preserve">    ШРУС FINWHALE  наружный в сборе  2108-10</t>
  </si>
  <si>
    <t>FJ218</t>
  </si>
  <si>
    <t xml:space="preserve">    Щетки стекл-ля  FINWHALE  (50+50см) комплект (2шт)</t>
  </si>
  <si>
    <t>FB20</t>
  </si>
  <si>
    <t xml:space="preserve">    Щетки стекл-ля  FINWHALE  (60+40см) комплект (2шт)</t>
  </si>
  <si>
    <t>FB24/16</t>
  </si>
  <si>
    <t>FORTECH</t>
  </si>
  <si>
    <t xml:space="preserve">    ФВ  Fortech  LADA VESTA, X-RAY (после 2019)</t>
  </si>
  <si>
    <t>FA-180</t>
  </si>
  <si>
    <t xml:space="preserve">    ФВ  Fortech  LADA VESTA, X-RAY, Largus 15-, DUSTER  [20]</t>
  </si>
  <si>
    <t>FA-239</t>
  </si>
  <si>
    <t>FRANCECAR (Renault)</t>
  </si>
  <si>
    <t xml:space="preserve">    Амортизатор  задний  FRANCECAR  Lada Vesta (газовый)</t>
  </si>
  <si>
    <t>FCR20V001</t>
  </si>
  <si>
    <t xml:space="preserve">    Датчик заднего хода FRANCECAR  Largus, Logan</t>
  </si>
  <si>
    <t>FCR210400</t>
  </si>
  <si>
    <t xml:space="preserve">    Датчик положения дроссельной заслонки  FRANCECAR  Logan</t>
  </si>
  <si>
    <t>FCR210397</t>
  </si>
  <si>
    <t xml:space="preserve">    Датчик положения коленвала  8V FRANCECAR Logan, Sandero, Largus</t>
  </si>
  <si>
    <t>FCR210660</t>
  </si>
  <si>
    <t xml:space="preserve">    Датчик положения коленвала FRANCECAR  Logan</t>
  </si>
  <si>
    <t>FCR210396</t>
  </si>
  <si>
    <t xml:space="preserve">    Датчик температуры охл. жидкости AMD  LADA</t>
  </si>
  <si>
    <t>AMD.SEN272</t>
  </si>
  <si>
    <t xml:space="preserve">    Датчик температуры охл. жидкости FRANCECAR  Logan, Largus</t>
  </si>
  <si>
    <t>FCR210392</t>
  </si>
  <si>
    <t xml:space="preserve">    Замок багажника на крышке FRANCECAR  Logan</t>
  </si>
  <si>
    <t>FCR220056</t>
  </si>
  <si>
    <t xml:space="preserve">    Катафот заднего бампера левый FRANCECAR  Largus, Logan 10-</t>
  </si>
  <si>
    <t>FCR210353</t>
  </si>
  <si>
    <t xml:space="preserve">    Катушка зажигания FRANCECAR  Largus 16кл, Logan c 10г, Magane II</t>
  </si>
  <si>
    <t>FCR210351</t>
  </si>
  <si>
    <t xml:space="preserve">    Колодка дискового тормоза  FRANCECAR  Largus 16кл, LADA Vesta, DUSTER 4Х2 1.6, 1.5 dCi</t>
  </si>
  <si>
    <t>FCR210330</t>
  </si>
  <si>
    <t xml:space="preserve">    Крышка маслозаливной горловины FRANCECAR  Largus 8кл, Logan</t>
  </si>
  <si>
    <t>FCR210307</t>
  </si>
  <si>
    <t xml:space="preserve">    Наконечник рулевой левый FRANCECAR  Largus, X-Ray, Logan</t>
  </si>
  <si>
    <t>FCR210290</t>
  </si>
  <si>
    <t xml:space="preserve">    Ограничитель двери  FRANCECAR  Logan 2004-15, Sandero</t>
  </si>
  <si>
    <t>FCR210111</t>
  </si>
  <si>
    <t xml:space="preserve">    Опора пружины зад. верхняя  FRANCECAR  Largus, Logan, Sandero, Duster</t>
  </si>
  <si>
    <t>FCR220051</t>
  </si>
  <si>
    <t xml:space="preserve">    Патрубок радиатора (нижний)  FRANCECAR  Largus, Logan</t>
  </si>
  <si>
    <t>FCR211157</t>
  </si>
  <si>
    <t xml:space="preserve">    Поводок стеклоочистителя правый FRANCECAR  Largus, Logan</t>
  </si>
  <si>
    <t>FCR210261</t>
  </si>
  <si>
    <t xml:space="preserve">    Подшипник  ступицы передней  FRANCECAR  Largus без АБС, VESTA</t>
  </si>
  <si>
    <t>FCR210240</t>
  </si>
  <si>
    <t xml:space="preserve">    Прокладка ГБЦ FRANCECAR  (дв. К4М 16кл)  Largus, Logan  (метал)</t>
  </si>
  <si>
    <t>FCR211338</t>
  </si>
  <si>
    <t xml:space="preserve">    Прокладка коллектора выпускного FRANCECAR  Largus 8кл, Logan</t>
  </si>
  <si>
    <t>FCR210227</t>
  </si>
  <si>
    <t xml:space="preserve">    Прокладка корпуса термостата FRANCECAR  Largus, Logan 16кл</t>
  </si>
  <si>
    <t xml:space="preserve">FCR220870 </t>
  </si>
  <si>
    <t xml:space="preserve">    Прокладка термостата FRANCECAR  Largus, Logan</t>
  </si>
  <si>
    <t>FCR210223</t>
  </si>
  <si>
    <t xml:space="preserve">    Регулятор ХХ (в сборе) FRANCECAR  Largus 16кл, Logan</t>
  </si>
  <si>
    <t>FCR30S003</t>
  </si>
  <si>
    <t xml:space="preserve">    Регулятор ХХ (клапан) FRANCECAR  Largus 16кл, Logan</t>
  </si>
  <si>
    <t>FCR30S002</t>
  </si>
  <si>
    <t xml:space="preserve">    Резистор отопителя FRANCECAR  Logan ,Duster, SANDERO, Largus</t>
  </si>
  <si>
    <t>FCR210666</t>
  </si>
  <si>
    <t xml:space="preserve">    Ролик  ГРМ натяжной FRANCECAR  Largus 8кл, Logan 8кл с 9/2011</t>
  </si>
  <si>
    <t>FCR220021</t>
  </si>
  <si>
    <t xml:space="preserve">    Ручка двери внутренняя правая FRANCECAR  Largus, Logan</t>
  </si>
  <si>
    <t>FCR210188</t>
  </si>
  <si>
    <t xml:space="preserve">    Рычаг передний левый FRANCECAR  Largus, Logan</t>
  </si>
  <si>
    <t>FCR210182</t>
  </si>
  <si>
    <t xml:space="preserve">    Сайлентблок рычага переднего задний  FRANCECAR  LADA Vesta</t>
  </si>
  <si>
    <t>FCR20V031</t>
  </si>
  <si>
    <t xml:space="preserve">    Сайлентблок рычага переднего передний  FRANCECAR  LADA Vesta</t>
  </si>
  <si>
    <t>FCR20V032</t>
  </si>
  <si>
    <t xml:space="preserve">    Сальник привода (КП) FRANCECAR Largus, Vesta, X-Ray</t>
  </si>
  <si>
    <t>FCR210670</t>
  </si>
  <si>
    <t xml:space="preserve">    Сальник распредвала 16V  FRANCECAR  Largus 16кл  </t>
  </si>
  <si>
    <t>FCR210173</t>
  </si>
  <si>
    <t xml:space="preserve">    Сальник распредвала 8V  (30*42*7)  FRANCECAR Largus 8кл</t>
  </si>
  <si>
    <t>FCR210174</t>
  </si>
  <si>
    <t xml:space="preserve">    Стойка  стабилизатора передняя   FRANCECAR  LARGUS L/R</t>
  </si>
  <si>
    <t>FCR210165</t>
  </si>
  <si>
    <t xml:space="preserve">    Стойка перед   Logan, Largus газ FRANCECAR</t>
  </si>
  <si>
    <t>FCR210429</t>
  </si>
  <si>
    <t xml:space="preserve">    ФВ  FRANCECAR  LADA VESTA, Largus 15-, DUSTER</t>
  </si>
  <si>
    <t xml:space="preserve">FCR21F064 </t>
  </si>
  <si>
    <t xml:space="preserve">    ФС  FRANCECAR  LADA VESTA, XRay, Logan II</t>
  </si>
  <si>
    <t>FCR210968</t>
  </si>
  <si>
    <t xml:space="preserve">    ФС  FRANCECAR  LADA VESTA, XRay, Logan II  (угольный)</t>
  </si>
  <si>
    <t>FCR21F090</t>
  </si>
  <si>
    <t xml:space="preserve">    ФС  FRANCECAR  Largus, Logan  (уп20)</t>
  </si>
  <si>
    <t>FCR210486</t>
  </si>
  <si>
    <t xml:space="preserve">    Шаровая опора FRANCECAR  LADA VESTA левая</t>
  </si>
  <si>
    <t>FCR20V041</t>
  </si>
  <si>
    <t xml:space="preserve">    Шланг тормозной задний FRANCECAR  Logan</t>
  </si>
  <si>
    <t>FCR210116</t>
  </si>
  <si>
    <t>Gallant</t>
  </si>
  <si>
    <t xml:space="preserve">    Крышка расширительного бачка Gallant  Largus,Logan,Sandero, Xray</t>
  </si>
  <si>
    <t>GL.CC.1.1</t>
  </si>
  <si>
    <t xml:space="preserve">    Насос водяной Gallant  Vesta, X-ray, 1118, 2170,2190 16 кл. 1.6,1.8</t>
  </si>
  <si>
    <t>GL.WP.1.8</t>
  </si>
  <si>
    <t>GATES</t>
  </si>
  <si>
    <t xml:space="preserve">    ГРМ Gates  2108  8кл</t>
  </si>
  <si>
    <t xml:space="preserve">    ГРМ Gates  2112  16кл</t>
  </si>
  <si>
    <t xml:space="preserve">    ГРМ Gates  Гранта  дв.1,6 8кл (87л/с)</t>
  </si>
  <si>
    <t>5050XS</t>
  </si>
  <si>
    <t xml:space="preserve">    Набор ГРМ с помпой  GATES  Гранта (ремень, ролик)</t>
  </si>
  <si>
    <t>KP15670XS</t>
  </si>
  <si>
    <t xml:space="preserve">    Набор ГРМ с помпой  GATES  Ларгус 16кл (ремень, ролики)</t>
  </si>
  <si>
    <t>KP35671XS</t>
  </si>
  <si>
    <t xml:space="preserve">    Набор ГРМ с помпой  GATES  Приора  (ремень, ролики)</t>
  </si>
  <si>
    <t>KP15631XS-1</t>
  </si>
  <si>
    <t xml:space="preserve">    Ремень генератора Gates 21082 инж</t>
  </si>
  <si>
    <t>6PK700,</t>
  </si>
  <si>
    <t xml:space="preserve">    Ремень генератора Gates 2110-12 инж</t>
  </si>
  <si>
    <t>6PK738,</t>
  </si>
  <si>
    <t xml:space="preserve">    Ремень генератора Gates Renault Largus 8/16кл (ГУР+A/C)  6PK1823XS</t>
  </si>
  <si>
    <t>6PK1823XS</t>
  </si>
  <si>
    <t xml:space="preserve">    Ремень генератора Gates Renault Logan 1.4 (гур+конд)</t>
  </si>
  <si>
    <t>5PK1750,</t>
  </si>
  <si>
    <t xml:space="preserve">    Ремень генератора Gates Гранта</t>
  </si>
  <si>
    <t>6PK823SF</t>
  </si>
  <si>
    <t xml:space="preserve">    Ремень генератора Gates Гранта АКПП (до 2015г)</t>
  </si>
  <si>
    <t>6PK995,</t>
  </si>
  <si>
    <t xml:space="preserve">    Ремень генератора Gates Калина  8кл</t>
  </si>
  <si>
    <t>6PK883,</t>
  </si>
  <si>
    <t xml:space="preserve">    Ремень генератора Gates Калина 1.6 с кондиц</t>
  </si>
  <si>
    <t>6PK1018,</t>
  </si>
  <si>
    <t xml:space="preserve">    Ремень генератора Gates Приора с ГУР</t>
  </si>
  <si>
    <t>6PK1113,</t>
  </si>
  <si>
    <t xml:space="preserve">    Ремень генератора Gates Приора с ГУР, кондиц.</t>
  </si>
  <si>
    <t>6PK1123,</t>
  </si>
  <si>
    <t xml:space="preserve">    Ремкомплект ГРМ  GATES (ремень+ролик) 2108</t>
  </si>
  <si>
    <t>K015521</t>
  </si>
  <si>
    <t xml:space="preserve">    Ремкомплект ГРМ  GATES (ремень+ролик) Гранта</t>
  </si>
  <si>
    <t>K015670XS</t>
  </si>
  <si>
    <t xml:space="preserve">    Ремкомплект ГРМ  GATES (ремень+ролик) Ларгус 8кл</t>
  </si>
  <si>
    <t>K015662XS</t>
  </si>
  <si>
    <t xml:space="preserve">    Ремкомплект ГРМ  GATES (ремень+ролики) 2112</t>
  </si>
  <si>
    <t>K015539</t>
  </si>
  <si>
    <t xml:space="preserve">    Ремкомплект ГРМ  GATES (ремень+ролики) Ларгус 16кл</t>
  </si>
  <si>
    <t>K035671XS</t>
  </si>
  <si>
    <t xml:space="preserve">    Ремкомплект ГРМ  GATES (ремень+ролики) Приора</t>
  </si>
  <si>
    <t>K015631XS</t>
  </si>
  <si>
    <t xml:space="preserve">    Ремкомплект ГРМ  GATES усил (ремень+ролики) 2112 метал</t>
  </si>
  <si>
    <t>K055468XS</t>
  </si>
  <si>
    <t>GKN</t>
  </si>
  <si>
    <t xml:space="preserve">    Крестовина GKN 2123 (для TIRSAN)</t>
  </si>
  <si>
    <t>U110</t>
  </si>
  <si>
    <t xml:space="preserve">    Хомут шруса 2108  GKN (уп 300бол, 100мал)</t>
  </si>
  <si>
    <t xml:space="preserve">    Хомут шруса универсальный</t>
  </si>
  <si>
    <t>30-50мм 100-125мм</t>
  </si>
  <si>
    <t>GLO</t>
  </si>
  <si>
    <t xml:space="preserve">    ШРУС GLO  внутренний  2108-10  (в упак 6шт)</t>
  </si>
  <si>
    <t>4107K</t>
  </si>
  <si>
    <t xml:space="preserve">    ШРУС GLO  наружный в сборе  2108-10  (в упак 6шт)</t>
  </si>
  <si>
    <t>3107K</t>
  </si>
  <si>
    <t xml:space="preserve">    ШРУС GLO  наружный в сборе Priora АБС  (в упак 6шт)</t>
  </si>
  <si>
    <t>3A07K</t>
  </si>
  <si>
    <t>Herzog</t>
  </si>
  <si>
    <t xml:space="preserve">    Болты секретные Herzog 2101 (черные)</t>
  </si>
  <si>
    <t>HL1 1040</t>
  </si>
  <si>
    <t xml:space="preserve">    Болты секретные Herzog 2108  литые диски (хром)</t>
  </si>
  <si>
    <t>HL8 1040A</t>
  </si>
  <si>
    <t xml:space="preserve">    Болты секретные Herzog Logan (12Х1.5Х28Х50Х17)</t>
  </si>
  <si>
    <t>HLB 002K-1</t>
  </si>
  <si>
    <t xml:space="preserve">    Болты секретные Herzog Logan (12Х1.5Х30Х52Х17)</t>
  </si>
  <si>
    <t>HLB 002K-2</t>
  </si>
  <si>
    <t xml:space="preserve">    Гайка секр закр Herzog  (12Х1.5Х21 19mm)+2ключа</t>
  </si>
  <si>
    <t>HLM 006K-4</t>
  </si>
  <si>
    <t xml:space="preserve">    Гайка секр закр Herzog  (12Х1.5Х36 19mm)+2ключа</t>
  </si>
  <si>
    <t>HLM 006K-5</t>
  </si>
  <si>
    <t xml:space="preserve">    Гайка секр откр Herzog  (12Х1.25Х21 19mm)+2ключа</t>
  </si>
  <si>
    <t>HOM 006K-7</t>
  </si>
  <si>
    <t xml:space="preserve">    Гайка секр откр Herzog  (12Х1.5Х21 19mm)+2ключа</t>
  </si>
  <si>
    <t>HOM 006K-4</t>
  </si>
  <si>
    <t xml:space="preserve">    Клапан Herzog  Largus, Logan 16кл  впускной (8шт)</t>
  </si>
  <si>
    <t>HRL 1378</t>
  </si>
  <si>
    <t xml:space="preserve">    Клапан Herzog  Largus, Logan 16кл  выпускной (8шт)</t>
  </si>
  <si>
    <t>HRL 3354</t>
  </si>
  <si>
    <t xml:space="preserve">    Клапан Herzog  Logan, Largus 8кл  впускной (4шт)</t>
  </si>
  <si>
    <t>HRL 5894</t>
  </si>
  <si>
    <t xml:space="preserve">    Клапан Herzog  Logan, Largus 8кл  выпускной (4шт)</t>
  </si>
  <si>
    <t>HRL 5895</t>
  </si>
  <si>
    <t xml:space="preserve">    Клапан Herzog 2101  (комплект)</t>
  </si>
  <si>
    <t>HL1 7010/12</t>
  </si>
  <si>
    <t xml:space="preserve">    Клапан Herzog 21083 1500  (комплект)</t>
  </si>
  <si>
    <t>HL8 7010/12</t>
  </si>
  <si>
    <t xml:space="preserve">    Клапан Herzog 2112  16V (комплект)</t>
  </si>
  <si>
    <t>HL0 7010/12</t>
  </si>
  <si>
    <t xml:space="preserve">    Клапан Herzog 2112 16V  ВЫПУСК  (8шт)</t>
  </si>
  <si>
    <t>HL0 7012</t>
  </si>
  <si>
    <t xml:space="preserve">    Кольца Herzog Largus, Logan 79.5  (наборное м/с кольцо)</t>
  </si>
  <si>
    <t>HLR 0795</t>
  </si>
  <si>
    <t xml:space="preserve">    Кольца Herzog Гранта 76,5</t>
  </si>
  <si>
    <t>HLR 0765</t>
  </si>
  <si>
    <t xml:space="preserve">    Кольца Herzog Гранта 77.0</t>
  </si>
  <si>
    <t>HKR 0770</t>
  </si>
  <si>
    <t xml:space="preserve">    Кольца Herzog Приора 82.0</t>
  </si>
  <si>
    <t>H10 0820E</t>
  </si>
  <si>
    <t xml:space="preserve">    Кольца Herzog Приора 82.5</t>
  </si>
  <si>
    <t>H10 0825E</t>
  </si>
  <si>
    <t xml:space="preserve">    Кольца Herzog Приора 83.0</t>
  </si>
  <si>
    <t>H10 0830E</t>
  </si>
  <si>
    <t xml:space="preserve">    Направляющие Herzog 2101 (комплект)</t>
  </si>
  <si>
    <t>HL1 3233</t>
  </si>
  <si>
    <t xml:space="preserve">    Направляющие Herzog 2108 (комплект)</t>
  </si>
  <si>
    <t>HL8 3233</t>
  </si>
  <si>
    <t xml:space="preserve">    Направляющие Herzog 2112 (комплект)</t>
  </si>
  <si>
    <t>HL0 7032</t>
  </si>
  <si>
    <t xml:space="preserve">    Направляющие Herzog Largus 16кл (комплект)</t>
  </si>
  <si>
    <t>HRL 5136</t>
  </si>
  <si>
    <t xml:space="preserve">    Подшипник  заднего редуктора  Herzog  ГАЗ</t>
  </si>
  <si>
    <t>HW0 7510</t>
  </si>
  <si>
    <t xml:space="preserve">    Подшипник  ступицы задней  Herzog  2108-15</t>
  </si>
  <si>
    <t>H10 1206</t>
  </si>
  <si>
    <t xml:space="preserve">    Подшипник  ступицы задней  Herzog Renault Largus, Duster (Ø 60mm) </t>
  </si>
  <si>
    <t>HRL 8986</t>
  </si>
  <si>
    <t xml:space="preserve">    Подшипник  ступицы передней  Herzog  1118/ 2170/2190</t>
  </si>
  <si>
    <t>HL3 3020</t>
  </si>
  <si>
    <t xml:space="preserve">    Подшипник  ступицы передней  Herzog  2108-15</t>
  </si>
  <si>
    <t>H10 1205</t>
  </si>
  <si>
    <t xml:space="preserve">    Подшипник  ступицы передней  Herzog  Duster, Megane, Fluence</t>
  </si>
  <si>
    <t>HRD 7049</t>
  </si>
  <si>
    <t xml:space="preserve">    Ролик  ГРМ Herzog  2108-099 н/о</t>
  </si>
  <si>
    <t>H96 2108</t>
  </si>
  <si>
    <t xml:space="preserve">    Ролики ГРМ Herzog 2112 16кл. (комплект)</t>
  </si>
  <si>
    <t>HL2 2035</t>
  </si>
  <si>
    <t>HOFER</t>
  </si>
  <si>
    <t xml:space="preserve">    Бендикс стартера Hofer ВАЗ 2101 (для редукт.старт.)</t>
  </si>
  <si>
    <t>HF 677 410</t>
  </si>
  <si>
    <t xml:space="preserve">    Бендикс стартера Hofer ВАЗ 2108 (для редукт.старт.)</t>
  </si>
  <si>
    <t>HF 677 411</t>
  </si>
  <si>
    <t xml:space="preserve">    Бендикс стартера Hofer ВАЗ 2110 (для редукт.старт.)</t>
  </si>
  <si>
    <t>HF 677 412</t>
  </si>
  <si>
    <t xml:space="preserve">    Буфер хода сжатия Hofer LADA 1118 перед. (2 шт)</t>
  </si>
  <si>
    <t>HF 518 206</t>
  </si>
  <si>
    <t xml:space="preserve">    Буфер хода сжатия Hofer LADA 1118 перед. с кожухом (2шт)</t>
  </si>
  <si>
    <t>HF 518 208</t>
  </si>
  <si>
    <t xml:space="preserve">    Буфер хода сжатия Hofer LADA 2108 задн. (2 шт)</t>
  </si>
  <si>
    <t>HF 518 212</t>
  </si>
  <si>
    <t xml:space="preserve">    Буфер хода сжатия Hofer LADA 2108 задн.с кожухом (2 шт)</t>
  </si>
  <si>
    <t>HF 518 214</t>
  </si>
  <si>
    <t xml:space="preserve">    Буфер хода сжатия Hofer LADA 2108 перед. (2 шт)</t>
  </si>
  <si>
    <t>HF 518 216</t>
  </si>
  <si>
    <t xml:space="preserve">    Буфер хода сжатия Hofer LADA 2108 перед. с кожухом (2 шт)</t>
  </si>
  <si>
    <t>HF 518 218</t>
  </si>
  <si>
    <t xml:space="preserve">    Буфер хода сжатия Hofer LADA 2110 задн. (2 шт)</t>
  </si>
  <si>
    <t>HF 518 220</t>
  </si>
  <si>
    <t xml:space="preserve">    Буфер хода сжатия Hofer LADA 2110 задн. (2 шт) с кожухом</t>
  </si>
  <si>
    <t>HF 518 222</t>
  </si>
  <si>
    <t xml:space="preserve">    Буфер хода сжатия Hofer LADA 2110 перед. (2 шт)</t>
  </si>
  <si>
    <t>HF 518 224</t>
  </si>
  <si>
    <t xml:space="preserve">    Буфер хода сжатия Hofer LADA 2170, 2190 перед. с кожухом (2 шт)</t>
  </si>
  <si>
    <t>HF 518 228</t>
  </si>
  <si>
    <t xml:space="preserve">    Буфер хода сжатия Hofer LADA Largus, X-Ray, Renault Logan, Duster задн. с кожухом (2шт)</t>
  </si>
  <si>
    <t>HF 518 244</t>
  </si>
  <si>
    <t xml:space="preserve">    Буфер хода сжатия Hofer LADA Largus, X-Ray, Renault Logan, Duster перед. с кожухом (2 шт)</t>
  </si>
  <si>
    <t>HF 518 246</t>
  </si>
  <si>
    <t xml:space="preserve">    Буфер хода сжатия Hofer LADA Vesta задн. с кожухом (2 шт)</t>
  </si>
  <si>
    <t>HF 518 236</t>
  </si>
  <si>
    <t xml:space="preserve">    Буфер хода сжатия Hofer LADA Vesta перед. с кожухом и кольцом (2 шт)</t>
  </si>
  <si>
    <t>HF 518 240</t>
  </si>
  <si>
    <t xml:space="preserve">    Вентилятор отопителя Hofer ВАЗ 2101 (МЭ255)</t>
  </si>
  <si>
    <t>HF 625 221</t>
  </si>
  <si>
    <t xml:space="preserve">    Вентилятор отопителя Hofer ВАЗ 2108 (45.3730)</t>
  </si>
  <si>
    <t>HF 625 222</t>
  </si>
  <si>
    <t xml:space="preserve">    Вентилятор отопителя Hofer ВАЗ 2108 в сборе с кожухом</t>
  </si>
  <si>
    <t>HF 625 223</t>
  </si>
  <si>
    <t xml:space="preserve">    Вентилятор отопителя Hofer ВАЗ 2123, 2170, 1118 (с хвостом)   (363.3780)</t>
  </si>
  <si>
    <t>HF 625 224</t>
  </si>
  <si>
    <t xml:space="preserve">    Вентилятор отопителя Hofer ГАЗ 3302 (до 2003г.)(б/кр.511.3730) с/о</t>
  </si>
  <si>
    <t>HF 625 232</t>
  </si>
  <si>
    <t xml:space="preserve">    Вентилятор отопителя Hofer ГАЗ 3302 (с 2003г.)   (45.3730-10)</t>
  </si>
  <si>
    <t>HF 625 225</t>
  </si>
  <si>
    <t xml:space="preserve">    Вентилятор охлаждения Hofer ВАЗ 1118,2123</t>
  </si>
  <si>
    <t>HF 626 401</t>
  </si>
  <si>
    <t xml:space="preserve">    Вентилятор охлаждения Hofer ВАЗ 2103   (70.3730)</t>
  </si>
  <si>
    <t>HF 626 402</t>
  </si>
  <si>
    <t xml:space="preserve">    Вентилятор охлаждения Hofer ВАЗ 21214</t>
  </si>
  <si>
    <t>HF 626 403</t>
  </si>
  <si>
    <t xml:space="preserve">    Вентилятор охлаждения Hofer ГАЗ 406</t>
  </si>
  <si>
    <t>HF 626 404</t>
  </si>
  <si>
    <t xml:space="preserve">    Диск  тормозной  перед Hofer  LADA VESTA, LARGUS ABS  [260x22]  СПОРТ (пер.+проточка)</t>
  </si>
  <si>
    <t>HF 130 260</t>
  </si>
  <si>
    <t xml:space="preserve">    Диск  тормозной  перед Hofer  LADA VESTA, LARGUS ABS  [260x22] 4 отв.</t>
  </si>
  <si>
    <t>HF 130 256</t>
  </si>
  <si>
    <t xml:space="preserve">    Диск  тормозной  перед Hofer  Газель NEXT</t>
  </si>
  <si>
    <t>HF 130 227</t>
  </si>
  <si>
    <t xml:space="preserve">    Диск  тормозной  перед Hofer ВАЗ 1111</t>
  </si>
  <si>
    <t>HF 130 200</t>
  </si>
  <si>
    <t xml:space="preserve">    Диск  тормозной  перед Hofer ВАЗ 2101</t>
  </si>
  <si>
    <t>HF 130 201</t>
  </si>
  <si>
    <t xml:space="preserve">    Диск  тормозной  перед Hofer ВАЗ 2108</t>
  </si>
  <si>
    <t>HF 130 202</t>
  </si>
  <si>
    <t xml:space="preserve">    Диск  тормозной  перед Hofer ВАЗ 2110 (R 13)</t>
  </si>
  <si>
    <t>HF 130 204</t>
  </si>
  <si>
    <t xml:space="preserve">    Диск  тормозной  перед Hofer ВАЗ 2110 (R 13) перфор.</t>
  </si>
  <si>
    <t>HF 130 208</t>
  </si>
  <si>
    <t xml:space="preserve">    Диск  тормозной  перед Hofer ВАЗ 2112 (R 14)</t>
  </si>
  <si>
    <t>HF 130 212</t>
  </si>
  <si>
    <t xml:space="preserve">    Диск  тормозной  перед Hofer ВАЗ 2112 (R 14) перфор.</t>
  </si>
  <si>
    <t>HF 130 216</t>
  </si>
  <si>
    <t xml:space="preserve">    Диск  тормозной  перед Hofer ВАЗ 2112 R14  (перфорация, канавка)</t>
  </si>
  <si>
    <t>HF 130 218</t>
  </si>
  <si>
    <t xml:space="preserve">    Диск  тормозной  перед Hofer ВАЗ 2121</t>
  </si>
  <si>
    <t>HF 130 220</t>
  </si>
  <si>
    <t xml:space="preserve">    Диск  тормозной  перед Hofer ГАЗ 3302   (D=104 мм, н/о)</t>
  </si>
  <si>
    <t>HF 130 222</t>
  </si>
  <si>
    <t xml:space="preserve">    Диск сцепления ведомый Hofer ВАЗ 1111</t>
  </si>
  <si>
    <t>HF 520 140</t>
  </si>
  <si>
    <t xml:space="preserve">    Диск сцепления ведомый Hofer ВАЗ 2106</t>
  </si>
  <si>
    <t>HF 520 141</t>
  </si>
  <si>
    <t xml:space="preserve">    Диск сцепления ведомый Hofer ВАЗ 2109</t>
  </si>
  <si>
    <t>HF 520 142</t>
  </si>
  <si>
    <t xml:space="preserve">    Диск сцепления ведомый Hofer ВАЗ 2112</t>
  </si>
  <si>
    <t>HF 520 143</t>
  </si>
  <si>
    <t xml:space="preserve">    Диск сцепления ведомый Hofer ВАЗ 2123</t>
  </si>
  <si>
    <t>HF 520 144</t>
  </si>
  <si>
    <t xml:space="preserve">    Диск сцепления ведомый Hofer ВАЗ 2170</t>
  </si>
  <si>
    <t>HF 520 146</t>
  </si>
  <si>
    <t xml:space="preserve">    Диск сцепления ведомый Hofer Газель 406</t>
  </si>
  <si>
    <t>HF 520 145</t>
  </si>
  <si>
    <t xml:space="preserve">    Катушка зажигания Hofer DAEWOO Matiz, Spark 0.8</t>
  </si>
  <si>
    <t>HF 750 322</t>
  </si>
  <si>
    <t xml:space="preserve">    Катушка зажигания Hofer RENAULT  Logan (06-) 1.6, Sandero (11-) 1.6; LADA Largus (16V)</t>
  </si>
  <si>
    <t>HF 750 329</t>
  </si>
  <si>
    <t xml:space="preserve">    Катушка зажигания Hofer RENAULT  Logan, Clio II, Duster, Sandero; LADA Largus (8V)</t>
  </si>
  <si>
    <t>HF 750 330</t>
  </si>
  <si>
    <t xml:space="preserve">    Катушка зажигания Hofer ВАЗ 2101 (Б117А)</t>
  </si>
  <si>
    <t>HF 750 301</t>
  </si>
  <si>
    <t xml:space="preserve">    Катушка зажигания Hofer ВАЗ 2108 ( 027.3705)</t>
  </si>
  <si>
    <t>HF 750 302</t>
  </si>
  <si>
    <t xml:space="preserve">    Катушка зажигания Hofer ВАЗ 2111 (1.6л, 8V) , ГАЗ 33027 (УМЗ 4216) четырехвывод.</t>
  </si>
  <si>
    <t>HF 750 304</t>
  </si>
  <si>
    <t xml:space="preserve">    Катушка зажигания Hofer ВАЗ 2112 индивидуальная  16V</t>
  </si>
  <si>
    <t>HF 750 305</t>
  </si>
  <si>
    <t xml:space="preserve">    Катушка зажигания Hofer ГАЗ с дв.ЗМЗ-406, ВАЗ 1111 (406.3705)</t>
  </si>
  <si>
    <t>HF 750 314</t>
  </si>
  <si>
    <t xml:space="preserve">    Крестовина карданного шарнира Hofer ВАЗ  2101</t>
  </si>
  <si>
    <t>HF 101 332</t>
  </si>
  <si>
    <t xml:space="preserve">    Крестовина карданного шарнира Hofer ВАЗ  2105</t>
  </si>
  <si>
    <t>HF 101 333</t>
  </si>
  <si>
    <t xml:space="preserve">    Крестовина карданного шарнира Hofer ВАЗ  2121</t>
  </si>
  <si>
    <t>HF 101 334</t>
  </si>
  <si>
    <t xml:space="preserve">    Крестовина карданного шарнира Hofer ГАЗ 24</t>
  </si>
  <si>
    <t>HF 102 335</t>
  </si>
  <si>
    <t xml:space="preserve">    Крестовина карданного шарнира Hofer М-2140, ИЖ-2715</t>
  </si>
  <si>
    <t>HF 102 336</t>
  </si>
  <si>
    <t xml:space="preserve">    Модуль зажигания Hofer ВАЗ 2112  (двиг. 1.5л.)</t>
  </si>
  <si>
    <t>HF 750 306</t>
  </si>
  <si>
    <t xml:space="preserve">    Модуль электробензонасоса Hofer ВАЗ 1118</t>
  </si>
  <si>
    <t>HF 830 920</t>
  </si>
  <si>
    <t xml:space="preserve">    Модуль электробензонасоса Hofer ВАЗ 21083</t>
  </si>
  <si>
    <t>HF 830 922</t>
  </si>
  <si>
    <t xml:space="preserve">    Модуль электробензонасоса Hofer ВАЗ 21101 (1.6л; бесслив. топл. сист.)</t>
  </si>
  <si>
    <t>HF 830 925</t>
  </si>
  <si>
    <t xml:space="preserve">    Модуль электробензонасоса Hofer ВАЗ 21102</t>
  </si>
  <si>
    <t>HF 830 924</t>
  </si>
  <si>
    <t xml:space="preserve">    Модуль электробензонасоса Hofer ВАЗ 2112</t>
  </si>
  <si>
    <t>HF 830 923</t>
  </si>
  <si>
    <t xml:space="preserve">    Модуль электробензонасоса Hofer ВАЗ 2190 (бесслив. топл. сист.)</t>
  </si>
  <si>
    <t>HF 830 929</t>
  </si>
  <si>
    <t xml:space="preserve">    Модуль электробензонасоса Hofer ГАЗ 3302 (ЗМЗ-405; штуц. быстросъем., 8мм)</t>
  </si>
  <si>
    <t>HF 830 934</t>
  </si>
  <si>
    <t xml:space="preserve">    Модуль электробензонасоса Hofer ГАЗ 3302 (ЗМЗ-405; штуцера с резьбой. без РДТ)</t>
  </si>
  <si>
    <t>HF 830 933</t>
  </si>
  <si>
    <t xml:space="preserve">    Мотор-редуктор ст/очис Hofer ВАЗ 2110 (вал 10 мм)</t>
  </si>
  <si>
    <t>HF 744 124</t>
  </si>
  <si>
    <t xml:space="preserve">    Мотор-редуктор ст/очис Hofer ВАЗ 2110 (вал 12мм)</t>
  </si>
  <si>
    <t>HF 744 125</t>
  </si>
  <si>
    <t xml:space="preserve">    Мотор-редуктор ст/очис Hofer ВАЗ 2170, 1118, 2123 (АМР, 10мм)</t>
  </si>
  <si>
    <t>HF 744 127</t>
  </si>
  <si>
    <t xml:space="preserve">    Мотор-редуктор ст/подъем Hofer 2110 левый</t>
  </si>
  <si>
    <t>HF 744 772</t>
  </si>
  <si>
    <t xml:space="preserve">    Мотор-редуктор ст/подъем Hofer 2110 правый</t>
  </si>
  <si>
    <t>HF 744 773</t>
  </si>
  <si>
    <t xml:space="preserve">    Мотор-редуктор ст/подъем Hofer 2123 левый</t>
  </si>
  <si>
    <t>HF 744 776</t>
  </si>
  <si>
    <t xml:space="preserve">    Мотор-редуктор ст/подъем Hofer 2123 правый</t>
  </si>
  <si>
    <t>HF 744 777</t>
  </si>
  <si>
    <t xml:space="preserve">    Моторчик стеклоомывателя Hofer 2110</t>
  </si>
  <si>
    <t>HF 744 084</t>
  </si>
  <si>
    <t xml:space="preserve">    Моторчик стеклоомывателя Hofer Renault Logan/ LADA Largus (1 выход)</t>
  </si>
  <si>
    <t>HF 744 090</t>
  </si>
  <si>
    <t xml:space="preserve">    Наконечник рулевой Hofer 2180 VESTA  левый</t>
  </si>
  <si>
    <t>HF 812 049</t>
  </si>
  <si>
    <t xml:space="preserve">    Наконечник рулевой Hofer 2180 VESTA  правый</t>
  </si>
  <si>
    <t>HF 812 050</t>
  </si>
  <si>
    <t xml:space="preserve">    Наконечники рулевых тяг Hofer 1111 (2шт)</t>
  </si>
  <si>
    <t>HF 812 001</t>
  </si>
  <si>
    <t xml:space="preserve">    Наконечники рулевых тяг Hofer RENAULT Logan/ LADA Largus, левый</t>
  </si>
  <si>
    <t>HF 812 026</t>
  </si>
  <si>
    <t xml:space="preserve">    Наконечники рулевых тяг Hofer RENAULT Logan/ LADA Largus, правый</t>
  </si>
  <si>
    <t>HF 812 027</t>
  </si>
  <si>
    <t xml:space="preserve">    Наконечники рулевых тяг Hofer ВАЗ 1118  (лев.+прав.)</t>
  </si>
  <si>
    <t>HF 812 002</t>
  </si>
  <si>
    <t xml:space="preserve">    Наконечники рулевых тяг Hofer ВАЗ 2108 (лев.+прав.)</t>
  </si>
  <si>
    <t>HF 812 008</t>
  </si>
  <si>
    <t xml:space="preserve">    Наконечники рулевых тяг Hofer ВАЗ 2110 (лев.+прав.)</t>
  </si>
  <si>
    <t>HF 812 010</t>
  </si>
  <si>
    <t xml:space="preserve">    Насос водяной Hofer  ВАЗ 2101</t>
  </si>
  <si>
    <t>HF 033 021</t>
  </si>
  <si>
    <t xml:space="preserve">    Насос водяной Hofer  ВАЗ 2108</t>
  </si>
  <si>
    <t>HF 033 022</t>
  </si>
  <si>
    <t xml:space="preserve">    Насос водяной Hofer  ВАЗ 2108 (мет. крыльчатка)</t>
  </si>
  <si>
    <t>HF 033 031</t>
  </si>
  <si>
    <t xml:space="preserve">    Насос водяной Hofer  ВАЗ 2112</t>
  </si>
  <si>
    <t>HF 033 023</t>
  </si>
  <si>
    <t xml:space="preserve">    Насос водяной Hofer  ВАЗ 2112 (крыл. из лист.стали)</t>
  </si>
  <si>
    <t>HF 033 035</t>
  </si>
  <si>
    <t xml:space="preserve">    Насос водяной Hofer  ВАЗ 2123</t>
  </si>
  <si>
    <t>HF 033 034</t>
  </si>
  <si>
    <t xml:space="preserve">    Насос водяной Hofer  ВАЗ 2170</t>
  </si>
  <si>
    <t>HF 033 024</t>
  </si>
  <si>
    <t xml:space="preserve">    Насос водяной Hofer  ВАЗ 2190, Калина 2 (8кл.)</t>
  </si>
  <si>
    <t>HF 033 037</t>
  </si>
  <si>
    <t xml:space="preserve">    Насос водяной Hofer RENAULT Logan, Duster, LADA Largus, NISSAN Almera 16V </t>
  </si>
  <si>
    <t>HF 033 057</t>
  </si>
  <si>
    <t xml:space="preserve">    Насос водяной Hofer RENAULT Logan, LADA Largus 8V</t>
  </si>
  <si>
    <t>HF 033 056</t>
  </si>
  <si>
    <t xml:space="preserve">    Насос отопителя дополнительный Hofer ГАЗ 3302 D=16мм (до 2003г.в.)</t>
  </si>
  <si>
    <t>HF 627 380</t>
  </si>
  <si>
    <t xml:space="preserve">    Насос отопителя дополнительный Hofer ГАЗ 3302 D=18мм (с 2003г.в.)</t>
  </si>
  <si>
    <t>HF 627 381</t>
  </si>
  <si>
    <t xml:space="preserve">    Насос топливный Hofer ГАЗ 31029, 3302 (дв. ЗМЗ-402)</t>
  </si>
  <si>
    <t>HF 830 484</t>
  </si>
  <si>
    <t xml:space="preserve">    Насос топливный Hofer ГАЗ 3302 (дв. ЗМЗ-406)</t>
  </si>
  <si>
    <t>HF 830 485</t>
  </si>
  <si>
    <t xml:space="preserve">    Насос топливный электрический Hofer ВАЗ 2112 (0 580 453 453; 60л/ч)</t>
  </si>
  <si>
    <t>HF 830 301</t>
  </si>
  <si>
    <t xml:space="preserve">    Насос топливный электрический Hofer ГАЗ 3110, 3302 (0 580 454 001; 110л/ч)</t>
  </si>
  <si>
    <t>HF 830 304</t>
  </si>
  <si>
    <t xml:space="preserve">    Насос топливный электрический Hofer ГАЗ 3302 под хомут (0 580 464 038; 110л/ч)</t>
  </si>
  <si>
    <t>HF 830 302</t>
  </si>
  <si>
    <t xml:space="preserve">    Опора передней стойки Hofer 1118 с подшипником</t>
  </si>
  <si>
    <t>HF 564 261</t>
  </si>
  <si>
    <t xml:space="preserve">    Опора передней стойки Hofer 2108</t>
  </si>
  <si>
    <t>HF 564 262</t>
  </si>
  <si>
    <t xml:space="preserve">    Опора передней стойки Hofer 2110</t>
  </si>
  <si>
    <t>HF 564 263</t>
  </si>
  <si>
    <t xml:space="preserve">    Опора передней стойки Hofer 2170 с подшипником</t>
  </si>
  <si>
    <t>HF 564 264</t>
  </si>
  <si>
    <t xml:space="preserve">    Опора передней стойки Hofer 2190 с подшипником (без ЭУР)</t>
  </si>
  <si>
    <t>HF 564 265</t>
  </si>
  <si>
    <t xml:space="preserve">    Опора передней стойки Hofer 2190 с подшипником (с ЭУР)</t>
  </si>
  <si>
    <t>HF 564 266</t>
  </si>
  <si>
    <t xml:space="preserve">    Переключатель подрулевой Hofer многофункц. в сборе ВАЗ 1118,2170 (с кноп.управл.БК)</t>
  </si>
  <si>
    <t>HF 628 401</t>
  </si>
  <si>
    <t xml:space="preserve">    Переключатель подрулевой Hofer многофункц. в сборе ВАЗ 2108, 2115, 2110</t>
  </si>
  <si>
    <t>HF 628 402</t>
  </si>
  <si>
    <t xml:space="preserve">    Переключатель подрулевой Hofer световой сигнализации ВАЗ 1118, 2170, 2190 (квадр.)</t>
  </si>
  <si>
    <t>HF 628 417</t>
  </si>
  <si>
    <t xml:space="preserve">    Переключатель подрулевой Hofer световой сигнализации ВАЗ 2108,2115,2110</t>
  </si>
  <si>
    <t>HF 628 411</t>
  </si>
  <si>
    <t xml:space="preserve">    Переключатель подрулевой Hofer световой сигнализации ВАЗ 2123,2170,1118</t>
  </si>
  <si>
    <t>HF 628 412</t>
  </si>
  <si>
    <t xml:space="preserve">    Переключатель подрулевой Hofer стеклоочистителей ВАЗ 1118,2170 (с кнопками управления БК)</t>
  </si>
  <si>
    <t>HF 628 421</t>
  </si>
  <si>
    <t xml:space="preserve">    Переключатель подрулевой Hofer стеклоочистителей ВАЗ 2108, 2115, 2110</t>
  </si>
  <si>
    <t>HF 628 423</t>
  </si>
  <si>
    <t xml:space="preserve">    Переключатель подрулевой Hofer стеклоочистителей ВАЗ 2123</t>
  </si>
  <si>
    <t>HF 628 424</t>
  </si>
  <si>
    <t xml:space="preserve">    Переключатель подрулевой стеклооч. Hofer ВАЗ 1118,2170,2190  (с управл. БК.) квадрат.</t>
  </si>
  <si>
    <t>HF 628 428</t>
  </si>
  <si>
    <t xml:space="preserve">    Переключатель подрулевой стеклооч. Hofer ВАЗ 1118,2170,2190 (с упр. кр-контр., квад)</t>
  </si>
  <si>
    <t>HF 628 429</t>
  </si>
  <si>
    <t xml:space="preserve">    Подшипник  ступицы передней  Hofer  VESTA, Largus без АБС</t>
  </si>
  <si>
    <t>HF 301 048</t>
  </si>
  <si>
    <t xml:space="preserve">    Подшипник  ступицы передней  Hofer  VESTA, Largus без АБС (рем.ком)</t>
  </si>
  <si>
    <t>HF 300 180</t>
  </si>
  <si>
    <t xml:space="preserve">    Подшипник  ступицы передней  с ABS  Hofer  Largus</t>
  </si>
  <si>
    <t>HF 301 049</t>
  </si>
  <si>
    <t xml:space="preserve">    Подшипник  ступицы передней  с ABS  Hofer  Largus (рем.ком)</t>
  </si>
  <si>
    <t>HF 300 181</t>
  </si>
  <si>
    <t xml:space="preserve">    Подшипник верхней опоры стойки  Hofer LADA Samara,Kalina,Priora</t>
  </si>
  <si>
    <t>HF 300 901</t>
  </si>
  <si>
    <t xml:space="preserve">    Подшипник ступицы Hofer  ВАЗ  2108 переднего колеса</t>
  </si>
  <si>
    <t>HF 301 046</t>
  </si>
  <si>
    <t xml:space="preserve">    Подшипник ступицы Hofer  ВАЗ 1118 переднего колеса</t>
  </si>
  <si>
    <t>HF 301 170</t>
  </si>
  <si>
    <t xml:space="preserve">    Подшипник ступицы Hofer  ВАЗ 2101 переднего колеса к-т (2101-3103020/25)</t>
  </si>
  <si>
    <t>HF 300 041</t>
  </si>
  <si>
    <t xml:space="preserve">    Подшипник ступицы Hofer  ВАЗ 2108 заднего колеса</t>
  </si>
  <si>
    <t>HF 301 045</t>
  </si>
  <si>
    <t xml:space="preserve">    Подшипник ступицы Hofer  ВАЗ 2121 переднего колеса</t>
  </si>
  <si>
    <t>HF 300 044</t>
  </si>
  <si>
    <t xml:space="preserve">    Подшипник ступицы Hofer Renault Logan задний</t>
  </si>
  <si>
    <t>HF 301 047</t>
  </si>
  <si>
    <t xml:space="preserve">    Привод колеса Hofer ВАЗ 1111 левый</t>
  </si>
  <si>
    <t>HF 414 300</t>
  </si>
  <si>
    <t xml:space="preserve">    Привод колеса Hofer ВАЗ 1111 правый</t>
  </si>
  <si>
    <t>HF 414 301</t>
  </si>
  <si>
    <t xml:space="preserve">    Привод колеса Hofer ВАЗ 1118 правый (без АБС)</t>
  </si>
  <si>
    <t>HF 414 311</t>
  </si>
  <si>
    <t xml:space="preserve">    Привод колеса Hofer ВАЗ 1118 правый (с АБС)</t>
  </si>
  <si>
    <t>HF 414 312</t>
  </si>
  <si>
    <t xml:space="preserve">    Привод колеса Hofer ВАЗ 2110-2112 правый</t>
  </si>
  <si>
    <t>HF 414 305</t>
  </si>
  <si>
    <t xml:space="preserve">    Привод колеса Hofer ВАЗ 2110-2112, 2170, 1118 левый</t>
  </si>
  <si>
    <t>HF 414 304</t>
  </si>
  <si>
    <t xml:space="preserve">    Привод колеса Hofer ВАЗ 2121 левый</t>
  </si>
  <si>
    <t>HF 414 306</t>
  </si>
  <si>
    <t xml:space="preserve">    Привод колеса Hofer ВАЗ 2121 правый</t>
  </si>
  <si>
    <t>HF 414 307</t>
  </si>
  <si>
    <t xml:space="preserve">    Привод колеса Hofer ВАЗ 2123 левый</t>
  </si>
  <si>
    <t>HF 414 308</t>
  </si>
  <si>
    <t xml:space="preserve">    Привод колеса Hofer ВАЗ 2123 правый</t>
  </si>
  <si>
    <t>HF 414 309</t>
  </si>
  <si>
    <t xml:space="preserve">    Привод колеса Hofer ВАЗ 2170 правый (с АБС)</t>
  </si>
  <si>
    <t>HF 414 313</t>
  </si>
  <si>
    <t xml:space="preserve">    Привод колеса Hofer ВАЗ 2170, 1118 левый  (с АБС)</t>
  </si>
  <si>
    <t>HF 414 310</t>
  </si>
  <si>
    <t xml:space="preserve">    Привод стеклоочистителя Hofer ВАЗ 1118</t>
  </si>
  <si>
    <t>HF 871 771</t>
  </si>
  <si>
    <t xml:space="preserve">    Привод стеклоочистителя Hofer ВАЗ 2108</t>
  </si>
  <si>
    <t>HF 871 774</t>
  </si>
  <si>
    <t xml:space="preserve">    Привод стеклоочистителя Hofer ВАЗ 2110 (вал D=10мм)</t>
  </si>
  <si>
    <t>HF 871 775</t>
  </si>
  <si>
    <t xml:space="preserve">    Привод стеклоочистителя Hofer ВАЗ 2121</t>
  </si>
  <si>
    <t>HF 871 778</t>
  </si>
  <si>
    <t xml:space="preserve">    Привод стеклоочистителя Hofer ВАЗ 2123</t>
  </si>
  <si>
    <t>HF 871 779</t>
  </si>
  <si>
    <t xml:space="preserve">    Привод стеклоочистителя Hofer ВАЗ 2170</t>
  </si>
  <si>
    <t>HF 871 780</t>
  </si>
  <si>
    <t xml:space="preserve">    Привод стеклоочистителя Hofer ГАЗ 3302</t>
  </si>
  <si>
    <t>HF 871 782</t>
  </si>
  <si>
    <t xml:space="preserve">    Радиатор отопителя Hofer  ВАЗ  2190, Калина-II, Datsun (МКПП)  (15-17) н /о , паяный</t>
  </si>
  <si>
    <t>HF 730 262</t>
  </si>
  <si>
    <t xml:space="preserve">    Радиатор отопителя Hofer  ВАЗ  2190, Калина-II, Datsun (МКПП)  (18-) н /о , паяный</t>
  </si>
  <si>
    <t>HF 730 263</t>
  </si>
  <si>
    <t xml:space="preserve">    Радиатор отопителя Hofer  ВАЗ  2190, Калина-II, Datsun (МКПП)  паяный (2015 -17г)</t>
  </si>
  <si>
    <t>HF 730 234</t>
  </si>
  <si>
    <t xml:space="preserve">    Радиатор отопителя Hofer  ВАЗ 1118</t>
  </si>
  <si>
    <t>HF 730 227</t>
  </si>
  <si>
    <t xml:space="preserve">    Радиатор отопителя Hofer  ВАЗ 2101 (узкий)</t>
  </si>
  <si>
    <t>HF 730 228</t>
  </si>
  <si>
    <t xml:space="preserve">    Радиатор отопителя Hofer  ВАЗ 2105-07</t>
  </si>
  <si>
    <t>HF 730 224</t>
  </si>
  <si>
    <t xml:space="preserve">    Радиатор отопителя Hofer  ВАЗ 2108</t>
  </si>
  <si>
    <t>HF 730 222</t>
  </si>
  <si>
    <t xml:space="preserve">    Радиатор отопителя Hofer  ВАЗ 2110</t>
  </si>
  <si>
    <t>HF 730 223</t>
  </si>
  <si>
    <t xml:space="preserve">    Радиатор отопителя Hofer  ВАЗ 2111   н/о  (с 2003 г)</t>
  </si>
  <si>
    <t>HF 730 225</t>
  </si>
  <si>
    <t xml:space="preserve">    Радиатор отопителя Hofer  ВАЗ 2123</t>
  </si>
  <si>
    <t>HF 730 226</t>
  </si>
  <si>
    <t xml:space="preserve">    Радиатор отопителя Hofer  ВАЗ 2170 с кондиционером HALLA, паяный</t>
  </si>
  <si>
    <t>HF 730 237</t>
  </si>
  <si>
    <t xml:space="preserve">    Радиатор отопителя Hofer  ВАЗ 2170 с кондиционером Panasonic, паянный</t>
  </si>
  <si>
    <t>HF 730 239</t>
  </si>
  <si>
    <t xml:space="preserve">    Радиатор отопителя Hofer  ВАЗ 2180  Vesta, X-Ray, паяный</t>
  </si>
  <si>
    <t>HF 730 240</t>
  </si>
  <si>
    <t xml:space="preserve">    Радиатор отопителя Hofer RENAULT Logan (04-),LADA Largus (12-)  сборный</t>
  </si>
  <si>
    <t>HF 730 260</t>
  </si>
  <si>
    <t xml:space="preserve">    Радиатор отопителя Hofer ГАЗ 24-10,3102-3110 (до 2003г)</t>
  </si>
  <si>
    <t>HF 730 229</t>
  </si>
  <si>
    <t xml:space="preserve">    Радиатор отопителя Hofer ГАЗ 3110 (с 2003 г.)</t>
  </si>
  <si>
    <t>HF 730 230</t>
  </si>
  <si>
    <t xml:space="preserve">    Радиатор отопителя Hofer ГАЗ 3302, 2705 (D=16мм, до 2003 г. )</t>
  </si>
  <si>
    <t>HF 730 231</t>
  </si>
  <si>
    <t xml:space="preserve">    Радиатор отопителя Hofer ГАЗ 3302, 2705 (н/о, D=18мм) с 2003г</t>
  </si>
  <si>
    <t>HF 730 232</t>
  </si>
  <si>
    <t xml:space="preserve">    Радиатор отопителя Hofer ГАЗ 3302, 2705 салонный</t>
  </si>
  <si>
    <t>HF 730 233</t>
  </si>
  <si>
    <t xml:space="preserve">    Радиатор отопителя Hofer ГАЗель-Бизнес, сборный</t>
  </si>
  <si>
    <t>HF 730 242</t>
  </si>
  <si>
    <t xml:space="preserve">    Радиатор охлаждения Hofer LADA Vesta (15-) МКПП; RENAULT Logan II (14-), А/С паяный</t>
  </si>
  <si>
    <t>HF 708 470</t>
  </si>
  <si>
    <t xml:space="preserve">    Радиатор охлаждения Hofer LADA Vesta (15-) МКПП; RENAULT Logan II (14-), А/С сборный</t>
  </si>
  <si>
    <t>HF 708 469</t>
  </si>
  <si>
    <t xml:space="preserve">    Радиатор охлаждения Hofer RENAULT Logan (04-) МКПП, А/С сборный (34мм)</t>
  </si>
  <si>
    <t>HF 708 461</t>
  </si>
  <si>
    <t xml:space="preserve">    Радиатор охлаждения Hofer RENAULT Logan (04-) МКПП, сборный</t>
  </si>
  <si>
    <t>HF 708 459</t>
  </si>
  <si>
    <t xml:space="preserve">    Радиатор охлаждения Hofer RENAULT Logan (08-); LADA Largus (12-) MT паяный</t>
  </si>
  <si>
    <t>HF 708 464</t>
  </si>
  <si>
    <t xml:space="preserve">    Радиатор охлаждения Hofer RENAULT Logan (08-); LADA Largus (12-) MT,  А/С паяный</t>
  </si>
  <si>
    <t>HF 708 466</t>
  </si>
  <si>
    <t xml:space="preserve">    Радиатор охлаждения Hofer ВАЗ   2190, Datsun  MT  паяный</t>
  </si>
  <si>
    <t>HF 708 436</t>
  </si>
  <si>
    <t xml:space="preserve">    Радиатор охлаждения Hofer ВАЗ   2190, Datsun  MT,  А/С паяный</t>
  </si>
  <si>
    <t>HF 708 437</t>
  </si>
  <si>
    <t xml:space="preserve">    Радиатор охлаждения Hofer ВАЗ 1111</t>
  </si>
  <si>
    <t>HF 708 416</t>
  </si>
  <si>
    <t xml:space="preserve">    Радиатор охлаждения Hofer ВАЗ 1118</t>
  </si>
  <si>
    <t>HF 708 419</t>
  </si>
  <si>
    <t xml:space="preserve">    Радиатор охлаждения Hofer ВАЗ 1118 MT, А/С Panasonic  сборный</t>
  </si>
  <si>
    <t>HF 708 430</t>
  </si>
  <si>
    <t xml:space="preserve">    Радиатор охлаждения Hofer ВАЗ 2106</t>
  </si>
  <si>
    <t>HF 708 410</t>
  </si>
  <si>
    <t xml:space="preserve">    Радиатор охлаждения Hofer ВАЗ 2107 универ.</t>
  </si>
  <si>
    <t>HF 708 411</t>
  </si>
  <si>
    <t xml:space="preserve">    Радиатор охлаждения Hofer ВАЗ 21073 (инж.)</t>
  </si>
  <si>
    <t>HF 708 418</t>
  </si>
  <si>
    <t xml:space="preserve">    Радиатор охлаждения Hofer ВАЗ 2108 универ.</t>
  </si>
  <si>
    <t>HF 708 412</t>
  </si>
  <si>
    <t xml:space="preserve">    Радиатор охлаждения Hofer ВАЗ 2110-2112 (универ.)</t>
  </si>
  <si>
    <t>HF 708 415</t>
  </si>
  <si>
    <t xml:space="preserve">    Радиатор охлаждения Hofer ВАЗ 21213</t>
  </si>
  <si>
    <t>HF 708 413</t>
  </si>
  <si>
    <t xml:space="preserve">    Радиатор охлаждения Hofer ВАЗ 21214</t>
  </si>
  <si>
    <t>HF 708 414</t>
  </si>
  <si>
    <t xml:space="preserve">    Радиатор охлаждения Hofer ВАЗ 2123</t>
  </si>
  <si>
    <t>HF 708 417</t>
  </si>
  <si>
    <t xml:space="preserve">    Радиатор охлаждения Hofer ВАЗ 2170</t>
  </si>
  <si>
    <t>HF 708 420</t>
  </si>
  <si>
    <t xml:space="preserve">    Радиатор охлаждения Hofer ВАЗ 2170 MT, А/С Halla, сборный</t>
  </si>
  <si>
    <t>HF 708 432</t>
  </si>
  <si>
    <t xml:space="preserve">    Радиатор охлаждения Hofer ВАЗ 2170 MT, А/С Panasonic, сборный</t>
  </si>
  <si>
    <t>HF 708 434</t>
  </si>
  <si>
    <t xml:space="preserve">    Радиатор охлаждения Hofer ВАЗ 2190, Datsun MT универ. А/С +/- </t>
  </si>
  <si>
    <t>HF 708 438</t>
  </si>
  <si>
    <t xml:space="preserve">    Радиатор охлаждения Hofer ГАЗ 3302 ( с 99г.в.) 2х рядный, сборный</t>
  </si>
  <si>
    <t>HF 708 423</t>
  </si>
  <si>
    <t xml:space="preserve">    Радиатор охлаждения Hofer ГАЗ 3302 ( с 99г.в.) 3х рядный, сборный</t>
  </si>
  <si>
    <t>HF 708 424</t>
  </si>
  <si>
    <t xml:space="preserve">    Радиатор охлаждения Hofer ГАЗель NEXT (Cummins)  паяный</t>
  </si>
  <si>
    <t>HF 708 446</t>
  </si>
  <si>
    <t xml:space="preserve">    Радиатор охлаждения Hofer ГАЗель NEXT (Cummins)  сборный</t>
  </si>
  <si>
    <t>HF 708 445</t>
  </si>
  <si>
    <t xml:space="preserve">    Радиатор охлаждения Hofer ГАЗель-Бизнес (Cummins)  паяный</t>
  </si>
  <si>
    <t>HF 708 444</t>
  </si>
  <si>
    <t xml:space="preserve">    Регулятор ХХ (РХХ) Hofer RENAULT/ LADA 16кл</t>
  </si>
  <si>
    <t>HF 750 385</t>
  </si>
  <si>
    <t xml:space="preserve">    Регулятор ХХ (РХХ) Hofer RENAULT/ LADA 8кл</t>
  </si>
  <si>
    <t>HF 750 384</t>
  </si>
  <si>
    <t xml:space="preserve">    Регулятор ХХ (РХХ) Hofer ВАЗ 2110</t>
  </si>
  <si>
    <t>HF 750 381</t>
  </si>
  <si>
    <t xml:space="preserve">    Регулятор ХХ (РХХ) Hofer ВАЗ 21214</t>
  </si>
  <si>
    <t>HF 750 382</t>
  </si>
  <si>
    <t xml:space="preserve">    Регулятор ХХ (РХХ) Hofer ГАЗ, УАЗ (ЗМЗ-405, 406, 409; УМЗ 4213, 4216)</t>
  </si>
  <si>
    <t>HF 750 383</t>
  </si>
  <si>
    <t xml:space="preserve">    Рейка рулевая Hofer  1111</t>
  </si>
  <si>
    <t>HF 809 103</t>
  </si>
  <si>
    <t xml:space="preserve">    Рейка рулевая Hofer  ВАЗ 2108</t>
  </si>
  <si>
    <t>HF 809 101</t>
  </si>
  <si>
    <t xml:space="preserve">    Рейка рулевая Hofer  ВАЗ 2112</t>
  </si>
  <si>
    <t>HF 809 102</t>
  </si>
  <si>
    <t xml:space="preserve">    Реле втягивающее Hofer ВАЗ 2101-2110 (для редукт.стартеров)</t>
  </si>
  <si>
    <t>HF 677 520</t>
  </si>
  <si>
    <t xml:space="preserve">    Реле втягивающее Hofer ГАЗ (ЗМЗ 402,406, для редукт.стартеров)</t>
  </si>
  <si>
    <t>HF 677 523</t>
  </si>
  <si>
    <t xml:space="preserve">    Ролик ГРМ Hofer ВАЗ 2108 метал. н/о</t>
  </si>
  <si>
    <t>HF 608 322</t>
  </si>
  <si>
    <t xml:space="preserve">    Ролик ГРМ Hofer ВАЗ 2108 пластм. н/о</t>
  </si>
  <si>
    <t>HF 608 321</t>
  </si>
  <si>
    <t xml:space="preserve">    Ролик ГРМ Hofer ВАЗ 2112 метал. натяжной</t>
  </si>
  <si>
    <t>HF 608 342</t>
  </si>
  <si>
    <t xml:space="preserve">    Ролик ГРМ Hofer ВАЗ 2112 метал. опорный</t>
  </si>
  <si>
    <t>HF 608 343</t>
  </si>
  <si>
    <t xml:space="preserve">    Ролик ГРМ Hofer ВАЗ 2112 пластм. натяжной</t>
  </si>
  <si>
    <t>HF 608 340</t>
  </si>
  <si>
    <t xml:space="preserve">    Ролик ГРМ Hofer ВАЗ 2112 пластм. опорный</t>
  </si>
  <si>
    <t>HF 608 341</t>
  </si>
  <si>
    <t xml:space="preserve">    Ролик ГРМ Hofer ВАЗ 2170 метал. натяжной (автоматический)</t>
  </si>
  <si>
    <t>HF 608 917</t>
  </si>
  <si>
    <t xml:space="preserve">    Ролик ГРМ Hofer ВАЗ 2170 метал. опорный</t>
  </si>
  <si>
    <t>HF 608 916</t>
  </si>
  <si>
    <t xml:space="preserve">    Ролик ГРМ Hofer ВАЗ 2170 натяжной (автоматический)</t>
  </si>
  <si>
    <t>HF 608 918</t>
  </si>
  <si>
    <t xml:space="preserve">    Ролик ГРМ Hofer ВАЗ 2170 опорный</t>
  </si>
  <si>
    <t>HF 608 915</t>
  </si>
  <si>
    <t xml:space="preserve">    Ролик ГРМ Hofer ВАЗ 2190 (автоматический)</t>
  </si>
  <si>
    <t>HF 608 920</t>
  </si>
  <si>
    <t xml:space="preserve">    Ролик ГРМ Hofer ВАЗ 2190 метал. (автоматический)</t>
  </si>
  <si>
    <t>HF 608 919</t>
  </si>
  <si>
    <t xml:space="preserve">    Ролик натяжителя ремня генератора Hofer ВАЗ 2110 генератора и кондиционера</t>
  </si>
  <si>
    <t>HF 608 230</t>
  </si>
  <si>
    <t xml:space="preserve">    Ролик натяжителя ремня генератора Hofer ВАЗ 2123</t>
  </si>
  <si>
    <t>HF 608 880</t>
  </si>
  <si>
    <t xml:space="preserve">    Стартер Hofer ВАЗ 1111 (1.4 кВт, редукторный,  7102.3708)</t>
  </si>
  <si>
    <t>HF 690 101</t>
  </si>
  <si>
    <t xml:space="preserve">    Стартер Hofer ВАЗ 1118 редукторный (1.55 кВт, 8V, усилен. кпп)(5702.3708-10)</t>
  </si>
  <si>
    <t>HF 690 108</t>
  </si>
  <si>
    <t xml:space="preserve">    Стартер Hofer ВАЗ 2101 (1.55 кВт, редукторный,  5722.3708)</t>
  </si>
  <si>
    <t>HF 690 103</t>
  </si>
  <si>
    <t xml:space="preserve">    Стартер Hofer ВАЗ 2108 (1.55 кВт, редукторный,  5712.3708)</t>
  </si>
  <si>
    <t>HF 690 104</t>
  </si>
  <si>
    <t xml:space="preserve">    Стартер Hofer ВАЗ 2110 (1.55 кВт, редукторный, 5702.3708)</t>
  </si>
  <si>
    <t>HF 690 105</t>
  </si>
  <si>
    <t xml:space="preserve">    Стартер Hofer ВАЗ 2170 редукторный (1.55 кВт, 16V усилен. кпп)(5702.3708-15)</t>
  </si>
  <si>
    <t>HF 690 109</t>
  </si>
  <si>
    <t xml:space="preserve">    Стартер Hofer ВАЗ 2190 редукторный (1,4 кВт, МКПП 2181) (ан. 5702.3708-07,TS12E901)</t>
  </si>
  <si>
    <t>HF 690 116</t>
  </si>
  <si>
    <t xml:space="preserve">    Стартер Hofer ГАЗ  дв.ЗМЗ 402 (1.7 кВт, редук, ан.5732.3708)</t>
  </si>
  <si>
    <t>HF 690 112</t>
  </si>
  <si>
    <t xml:space="preserve">    Стартер Hofer ГАЗ  дв.ЗМЗ 402 (2.0 кВт, редуктор.,ан. 6002.3708)</t>
  </si>
  <si>
    <t>HF 690 114</t>
  </si>
  <si>
    <t xml:space="preserve">    Стартер Hofer ГАЗ  дв.ЗМЗ 406 (1.7 кВт, редук., ан.5742.3708)</t>
  </si>
  <si>
    <t>HF 690 113</t>
  </si>
  <si>
    <t xml:space="preserve">    Стартер Hofer ГАЗ  дв.ЗМЗ 406 (2.0 кВт, редуктор., ан. 6012.3708)</t>
  </si>
  <si>
    <t>HF 690 115</t>
  </si>
  <si>
    <t xml:space="preserve">    Стойка в сборе Hofer масло ОКА</t>
  </si>
  <si>
    <t>HF 505 101</t>
  </si>
  <si>
    <t xml:space="preserve">    Стойка перед   Largus, Logan газ Hofer</t>
  </si>
  <si>
    <t>HF 516 640</t>
  </si>
  <si>
    <t xml:space="preserve">    Стойка перед   Largus, Logan масло Hofer</t>
  </si>
  <si>
    <t>HF 516 639</t>
  </si>
  <si>
    <t xml:space="preserve">    Ступица Hofer заднего колеса ВАЗ 2108</t>
  </si>
  <si>
    <t>HF 314 803</t>
  </si>
  <si>
    <t xml:space="preserve">    Ступица Hofer переднего колеса ВАЗ 1118</t>
  </si>
  <si>
    <t>HF 314 842</t>
  </si>
  <si>
    <t xml:space="preserve">    Ступица Hofer переднего колеса ВАЗ 2108</t>
  </si>
  <si>
    <t>HF 314 844</t>
  </si>
  <si>
    <t xml:space="preserve">    Ступица Hofer переднего колеса ВАЗ 2121</t>
  </si>
  <si>
    <t>HF 314 845</t>
  </si>
  <si>
    <t xml:space="preserve">    Ступица Hofer переднего колеса ВАЗ 2123</t>
  </si>
  <si>
    <t>HF 314 846</t>
  </si>
  <si>
    <t xml:space="preserve">    Сцепление в сборе Hofer 1111 (к-т)</t>
  </si>
  <si>
    <t>HF 530 214</t>
  </si>
  <si>
    <t xml:space="preserve">    Сцепление в сборе Hofer 2108 (к-т)</t>
  </si>
  <si>
    <t>HF 530 550</t>
  </si>
  <si>
    <t xml:space="preserve">    Сцепление в сборе Hofer 2110 (к-т)</t>
  </si>
  <si>
    <t>HF 530 770</t>
  </si>
  <si>
    <t xml:space="preserve">    Сцепление в сборе Hofer 2123 (к-т)</t>
  </si>
  <si>
    <t>HF 530 092</t>
  </si>
  <si>
    <t xml:space="preserve">    Сцепление в сборе Hofer 2190 (к-т)</t>
  </si>
  <si>
    <t>HF 530 094</t>
  </si>
  <si>
    <t xml:space="preserve">    Сцепление в сборе Hofer ГАЗ  (дв.ЗМЗ 406)</t>
  </si>
  <si>
    <t>HF 530 090</t>
  </si>
  <si>
    <t xml:space="preserve">    Термостат Hofer  ВАЗ  1118 (крышка с термоэлементом)</t>
  </si>
  <si>
    <t>HF 445 909</t>
  </si>
  <si>
    <t xml:space="preserve">    Термостат Hofer  ВАЗ  1118 с корпусом в сборе</t>
  </si>
  <si>
    <t>HF 445 910</t>
  </si>
  <si>
    <t xml:space="preserve">    Термостат Hofer  ВАЗ  2101 (силумин. корп.)</t>
  </si>
  <si>
    <t>HF 445 301</t>
  </si>
  <si>
    <t xml:space="preserve">    Термостат Hofer  ВАЗ  2108 (силумин. корп.)</t>
  </si>
  <si>
    <t>HF 445 303</t>
  </si>
  <si>
    <t xml:space="preserve">    Термостат Hofer  ВАЗ  21082 (крышка с термоэлементом)</t>
  </si>
  <si>
    <t>HF 445 907</t>
  </si>
  <si>
    <t xml:space="preserve">    Термостат Hofer  ВАЗ  21082 с корпусом в сборе  (6 патр., н/о)</t>
  </si>
  <si>
    <t>HF 445 908</t>
  </si>
  <si>
    <t xml:space="preserve">    Термостат Hofer  ВАЗ  2110 стар.обр. (силумин. корп.)</t>
  </si>
  <si>
    <t>HF 445 305</t>
  </si>
  <si>
    <t xml:space="preserve">    Термостат Hofer  ВАЗ  2121 "Premium" (корпус из нерж.стали)</t>
  </si>
  <si>
    <t>HF 445 314</t>
  </si>
  <si>
    <t xml:space="preserve">    Термостат Hofer  ВАЗ  2121 (силумин. корп.)</t>
  </si>
  <si>
    <t>HF 445 313</t>
  </si>
  <si>
    <t xml:space="preserve">    Термостат Hofer  ВАЗ  2123 (силумин. корп.)</t>
  </si>
  <si>
    <t>HF 445 730</t>
  </si>
  <si>
    <t xml:space="preserve">    Термостат Hofer  ВАЗ  2190  в сборе</t>
  </si>
  <si>
    <t>HF 445 912</t>
  </si>
  <si>
    <t xml:space="preserve">    Тяга рулевая Hofer 2180 VESTA</t>
  </si>
  <si>
    <t>HF 812 273</t>
  </si>
  <si>
    <t xml:space="preserve">    Тяга рулевая Hofer RENAULT Logan / LADA Largus, левая/правая</t>
  </si>
  <si>
    <t>HF 812 271</t>
  </si>
  <si>
    <t xml:space="preserve">    Тяга рулевая Hofer RENAULT Logan II/ LADA Х-Ray, левая/правая</t>
  </si>
  <si>
    <t>HF 812 272</t>
  </si>
  <si>
    <t xml:space="preserve">    Тяги рулевые Hofer ВАЗ 2101 комплект (5 шт.)</t>
  </si>
  <si>
    <t>HF 812 266</t>
  </si>
  <si>
    <t xml:space="preserve">    Тяги рулевые Hofer ВАЗ 2121 комплект (5 шт.)</t>
  </si>
  <si>
    <t>HF 812 267</t>
  </si>
  <si>
    <t xml:space="preserve">    Упор задней двери Hofer ВАЗ 1118  (305\200\105\415N)..</t>
  </si>
  <si>
    <t>HF 522 205</t>
  </si>
  <si>
    <t xml:space="preserve">    Упор задней двери Hofer ВАЗ 1119  (600\350\250\340N)</t>
  </si>
  <si>
    <t>HF 522 206</t>
  </si>
  <si>
    <t xml:space="preserve">    Упор задней двери Hofer ВАЗ 2108  (450\275\175\340N)</t>
  </si>
  <si>
    <t>HF 522 202</t>
  </si>
  <si>
    <t xml:space="preserve">    Упор задней двери Hofer ВАЗ 2111  (600\350\250\430N)</t>
  </si>
  <si>
    <t>HF 522 203</t>
  </si>
  <si>
    <t xml:space="preserve">    Упор задней двери Hofer ВАЗ 2112  (450\275\175\460N)</t>
  </si>
  <si>
    <t>HF 522 204</t>
  </si>
  <si>
    <t xml:space="preserve">    Упор задней двери Hofer ВАЗ 2121</t>
  </si>
  <si>
    <t>HF 522 201</t>
  </si>
  <si>
    <t xml:space="preserve">    ФТО HOFER  LADA 2110i-12i (дв. 1,5), ст/об</t>
  </si>
  <si>
    <t>HF 200 604</t>
  </si>
  <si>
    <t xml:space="preserve">    ФТО HOFER  LADA 2110i-12i (дв. 1,6), н/об</t>
  </si>
  <si>
    <t>HF 200 605</t>
  </si>
  <si>
    <t xml:space="preserve">    Цилиндр главный Hofer привода сцепления ВАЗ 2101</t>
  </si>
  <si>
    <t>HF 244 230</t>
  </si>
  <si>
    <t xml:space="preserve">    Цилиндр главный Hofer привода сцепления ВАЗ 2121</t>
  </si>
  <si>
    <t>HF 244 231</t>
  </si>
  <si>
    <t xml:space="preserve">    Цилиндр заднего тормоза Hofer  ВАЗ 2105</t>
  </si>
  <si>
    <t>HF 244 185</t>
  </si>
  <si>
    <t xml:space="preserve">    Цилиндр заднего тормоза Hofer ГАЗ 3302</t>
  </si>
  <si>
    <t>HF 244 189</t>
  </si>
  <si>
    <t xml:space="preserve">    Цилиндр колесный дискового тормоза Hofer ВАЗ 2108 левый</t>
  </si>
  <si>
    <t>HF 244 145</t>
  </si>
  <si>
    <t xml:space="preserve">    Цилиндр колесный дискового тормоза Hofer ВАЗ 2108 правый</t>
  </si>
  <si>
    <t>HF 244 144</t>
  </si>
  <si>
    <t xml:space="preserve">    Цилиндр колесный дискового тормоза Hofer ВАЗ 2121 левый</t>
  </si>
  <si>
    <t>HF 244 149</t>
  </si>
  <si>
    <t xml:space="preserve">    Цилиндр колесный дискового тормоза Hofer ВАЗ 2121 правый</t>
  </si>
  <si>
    <t>HF 244 148</t>
  </si>
  <si>
    <t xml:space="preserve">    Цилиндр рабочий Hofer привода сцепления ВАЗ 2101</t>
  </si>
  <si>
    <t>HF 244 250</t>
  </si>
  <si>
    <t xml:space="preserve">    Цилиндр тормозной Hofer Lada Largus(12-)/Renault Logan (12-) задний с ABS</t>
  </si>
  <si>
    <t>HF 244 208</t>
  </si>
  <si>
    <t xml:space="preserve">    Цилиндр тормозной главный Hofer  ВАЗ 2101</t>
  </si>
  <si>
    <t>HF 244 101</t>
  </si>
  <si>
    <t xml:space="preserve">    Цилиндр тормозной главный Hofer ВАЗ 1118</t>
  </si>
  <si>
    <t>HF 244 100</t>
  </si>
  <si>
    <t xml:space="preserve">    Цилиндр тормозной главный Hofer ВАЗ 2108</t>
  </si>
  <si>
    <t>HF 244 102</t>
  </si>
  <si>
    <t xml:space="preserve">    Цилиндр тормозной главный Hofer ВАЗ 2121</t>
  </si>
  <si>
    <t>HF 244 103</t>
  </si>
  <si>
    <t xml:space="preserve">    Цилиндр тормозной главный Hofer ВАЗ 21213</t>
  </si>
  <si>
    <t>HF 244 104</t>
  </si>
  <si>
    <t xml:space="preserve">    Шаровая опора Hofer  Lada Largus 2013-</t>
  </si>
  <si>
    <t>HF 815 516</t>
  </si>
  <si>
    <t xml:space="preserve">    Шаровая опора Hofer  Lada Largus, Renault Logan</t>
  </si>
  <si>
    <t>HF 815 517</t>
  </si>
  <si>
    <t xml:space="preserve">    Шаровый палец Hofer  LADA VESTA левая</t>
  </si>
  <si>
    <t>HF 815 510</t>
  </si>
  <si>
    <t xml:space="preserve">    Шаровый палец Hofer  LADA VESTA правая</t>
  </si>
  <si>
    <t>HF 815 511</t>
  </si>
  <si>
    <t xml:space="preserve">    Шаровый палец Hofer ВАЗ 2101 верхняя</t>
  </si>
  <si>
    <t>HF 815 501</t>
  </si>
  <si>
    <t xml:space="preserve">    Шаровый палец Hofer ВАЗ 2101 нижняя</t>
  </si>
  <si>
    <t>HF 815 502</t>
  </si>
  <si>
    <t xml:space="preserve">    Шаровый палец Hofer ВАЗ 2108</t>
  </si>
  <si>
    <t>HF 815 503</t>
  </si>
  <si>
    <t xml:space="preserve">    Шаровый палец Hofer ВАЗ 2110</t>
  </si>
  <si>
    <t>HF 815 505</t>
  </si>
  <si>
    <t xml:space="preserve">    Шаровый палец Hofer цельнокованная "Premium" ВАЗ 2108</t>
  </si>
  <si>
    <t>HF 815 543</t>
  </si>
  <si>
    <t xml:space="preserve">    Шаровый палец Hofer цельнокованная "Premium" ВАЗ 2123</t>
  </si>
  <si>
    <t>HF 815 549</t>
  </si>
  <si>
    <t xml:space="preserve">    ШРУС Hofer  внутренний 2108-10 триподный</t>
  </si>
  <si>
    <t>HF 401 220</t>
  </si>
  <si>
    <t xml:space="preserve">    ШРУС Hofer  внутренний 2108-10 шариковый</t>
  </si>
  <si>
    <t>HF 401 221</t>
  </si>
  <si>
    <t xml:space="preserve">    ШРУС Hofer  внутренний ВАЗ 1111 триподный</t>
  </si>
  <si>
    <t>HF 401 235</t>
  </si>
  <si>
    <t xml:space="preserve">    ШРУС Hofer  внутренний ВАЗ 2121 левый триподный</t>
  </si>
  <si>
    <t>HF 401 243</t>
  </si>
  <si>
    <t xml:space="preserve">    ШРУС Hofer  внутренний ВАЗ 2121 левый шариковый</t>
  </si>
  <si>
    <t>HF 401 244</t>
  </si>
  <si>
    <t xml:space="preserve">    ШРУС Hofer  внутренний ВАЗ 2121 правый триподный</t>
  </si>
  <si>
    <t>HF 401 245</t>
  </si>
  <si>
    <t xml:space="preserve">    ШРУС Hofer  внутренний ВАЗ 2121 правый шариковый</t>
  </si>
  <si>
    <t>HF 401 246</t>
  </si>
  <si>
    <t xml:space="preserve">    ШРУС Hofer  внутренний ВАЗ 2123 левый  триподный</t>
  </si>
  <si>
    <t>HF 401 263</t>
  </si>
  <si>
    <t xml:space="preserve">    ШРУС Hofer  внутренний ВАЗ 2123 левый шариковый</t>
  </si>
  <si>
    <t>HF 401 264</t>
  </si>
  <si>
    <t xml:space="preserve">    ШРУС Hofer  внутренний ВАЗ 2123 правый триподный</t>
  </si>
  <si>
    <t>HF 401 265</t>
  </si>
  <si>
    <t xml:space="preserve">    ШРУС Hofer  внутренний ВАЗ 2123 правый шариковый</t>
  </si>
  <si>
    <t>HF 401 266</t>
  </si>
  <si>
    <t xml:space="preserve">    ШРУС Hofer  внутренний ВАЗ Largus (22 шлица)</t>
  </si>
  <si>
    <t>HF 401 222</t>
  </si>
  <si>
    <t xml:space="preserve">    ШРУС Hofer  внутренний ВАЗ Largus правый (30 шлиц.)</t>
  </si>
  <si>
    <t>HF 401 223</t>
  </si>
  <si>
    <t xml:space="preserve">    ШРУС Hofer  наружный ВАЗ 1111</t>
  </si>
  <si>
    <t>HF 401 530</t>
  </si>
  <si>
    <t xml:space="preserve">    ШРУС Hofer  наружный ВАЗ 2108, 2110</t>
  </si>
  <si>
    <t>HF 401 510</t>
  </si>
  <si>
    <t xml:space="preserve">    ШРУС Hofer  наружный ВАЗ 2121</t>
  </si>
  <si>
    <t>HF 401 540</t>
  </si>
  <si>
    <t xml:space="preserve">    ШРУС Hofer  наружный ВАЗ 2123</t>
  </si>
  <si>
    <t>HF 401 560</t>
  </si>
  <si>
    <t xml:space="preserve">    ШРУС Hofer  наружный ВАЗ 2123 (c АБС)</t>
  </si>
  <si>
    <t>HF 401 561</t>
  </si>
  <si>
    <t xml:space="preserve">    ШРУС Hofer  наружный ВАЗ 2170 АБС</t>
  </si>
  <si>
    <t>HF 401 580</t>
  </si>
  <si>
    <t xml:space="preserve">    ШРУС Hofer  наружный ВАЗ Largus (22 шлица)</t>
  </si>
  <si>
    <t>HF 401 511</t>
  </si>
  <si>
    <t xml:space="preserve">    ШРУС Hofer  наружный ВАЗ Largus (30 шлиц.)</t>
  </si>
  <si>
    <t>HF 401 512</t>
  </si>
  <si>
    <t xml:space="preserve">    Щеточный узел стартера Hofer 5702.3708; 5712.3708; 5722.3708 (метал.; нов.обр.) ВАЗ 2110, 2108, 2101</t>
  </si>
  <si>
    <t>HF 677 431</t>
  </si>
  <si>
    <t xml:space="preserve">    Щеточный узел стартера Hofer 5702.3708; 5712.3708; 5722.3708 (пластм.; ст.обр.) ВАЗ 2110, 2108, 2101</t>
  </si>
  <si>
    <t>HF 677 432</t>
  </si>
  <si>
    <t>HOLA</t>
  </si>
  <si>
    <t xml:space="preserve">    Амортизатор HOLA газ (картридж) 2108</t>
  </si>
  <si>
    <t>S423</t>
  </si>
  <si>
    <t xml:space="preserve">    Амортизатор HOLA газ 2108 задний</t>
  </si>
  <si>
    <t>S424</t>
  </si>
  <si>
    <t xml:space="preserve">    Амортизатор HOLA масло (картридж) 2108</t>
  </si>
  <si>
    <t>S421</t>
  </si>
  <si>
    <t xml:space="preserve">    Амортизатор HOLA масло 2108 задний</t>
  </si>
  <si>
    <t>S422</t>
  </si>
  <si>
    <t xml:space="preserve">    Наконечник рулевой HOLA 2101 левый</t>
  </si>
  <si>
    <t>S112</t>
  </si>
  <si>
    <t xml:space="preserve">    Наконечник рулевой HOLA 2101 правый</t>
  </si>
  <si>
    <t>S111</t>
  </si>
  <si>
    <t xml:space="preserve">    Наконечник рулевой HOLA 2121 длинный </t>
  </si>
  <si>
    <t>S114</t>
  </si>
  <si>
    <t>INA</t>
  </si>
  <si>
    <t xml:space="preserve">    Ремкомплект ГРМ  INA (ремень+ролики) Priora  (530 0536 10)</t>
  </si>
  <si>
    <t xml:space="preserve">    Ролик натяжителя ремня генератора INA 1118, 2123</t>
  </si>
  <si>
    <t>531 0760 10</t>
  </si>
  <si>
    <t>Kraft</t>
  </si>
  <si>
    <t xml:space="preserve">    Подшипник  ступицы задней  CRAFT  2108-15</t>
  </si>
  <si>
    <t>6-256706</t>
  </si>
  <si>
    <t xml:space="preserve">    Подшипник  ступицы передней  CRAFT  2108-15</t>
  </si>
  <si>
    <t>6-256907</t>
  </si>
  <si>
    <t xml:space="preserve">    Подшипник  ступицы передней  CRAFT 1118/ 2170</t>
  </si>
  <si>
    <t>6-256707AE7</t>
  </si>
  <si>
    <t>KRAFTTECH</t>
  </si>
  <si>
    <t xml:space="preserve">    KraftTech (иномарка)</t>
  </si>
  <si>
    <t xml:space="preserve">        Сцепление в сборе ино KraftTech CHERY TIGGO (с муфтой)</t>
  </si>
  <si>
    <t>W03225H</t>
  </si>
  <si>
    <t xml:space="preserve">        Сцепление в сборе ино KraftTech Chevrolet Aveo 1.2, Matiz 1.0</t>
  </si>
  <si>
    <t>W00185G</t>
  </si>
  <si>
    <t xml:space="preserve">        Сцепление в сборе ино KraftTech Chevrolet Aveo 1.4 16V, Rezzo 1.6</t>
  </si>
  <si>
    <t>W11215J</t>
  </si>
  <si>
    <t xml:space="preserve">        Сцепление в сборе ино KraftTech Chevrolet Cruze 1.6-1.8</t>
  </si>
  <si>
    <t>W01225H9</t>
  </si>
  <si>
    <t xml:space="preserve">        Сцепление в сборе ино KraftTech Chevrolet LACETTI 1.4-1.6</t>
  </si>
  <si>
    <t>W05215B9</t>
  </si>
  <si>
    <t xml:space="preserve">        Сцепление в сборе ино KraftTech Daewoo MATIZ 0.8</t>
  </si>
  <si>
    <t>W00170I</t>
  </si>
  <si>
    <t xml:space="preserve">        Сцепление в сборе ино KraftTech Daewoo NEXIA  2 1.6</t>
  </si>
  <si>
    <t>W15215A</t>
  </si>
  <si>
    <t xml:space="preserve">        Сцепление в сборе ино KraftTech Daewoo NEXIA 16V, Espero 1.5-2.0</t>
  </si>
  <si>
    <t>W03215A</t>
  </si>
  <si>
    <t xml:space="preserve">        Сцепление в сборе ино KraftTech Daewoo NEXIA/ LANOS 8V</t>
  </si>
  <si>
    <t>W04200G</t>
  </si>
  <si>
    <t xml:space="preserve">        Сцепление в сборе ино KraftTech FORD FOCUS 1.4-1.6</t>
  </si>
  <si>
    <t>W01220B9</t>
  </si>
  <si>
    <t xml:space="preserve">        Сцепление в сборе ино KraftTech FORD FOCUS-2 1.8 </t>
  </si>
  <si>
    <t>W03220C9</t>
  </si>
  <si>
    <t xml:space="preserve">        Сцепление в сборе ино KraftTech Geely EMGRAND/VISION, LIFAN X60 дорестайл</t>
  </si>
  <si>
    <t>W02210J</t>
  </si>
  <si>
    <t xml:space="preserve">        Сцепление в сборе ино KraftTech Geely MK/Otaka, LIFAN Smile (180мм)</t>
  </si>
  <si>
    <t>W06180F</t>
  </si>
  <si>
    <t xml:space="preserve">        Сцепление в сборе ино KraftTech Hyundai Accent ТАГАЗ 215 мм</t>
  </si>
  <si>
    <t>W05215A</t>
  </si>
  <si>
    <t xml:space="preserve">        Сцепление в сборе ино KraftTech Hyundai Solaris/Kia Rio 1.4 Новинка!!!!!</t>
  </si>
  <si>
    <t>W31200D</t>
  </si>
  <si>
    <t xml:space="preserve">        Сцепление в сборе ино KraftTech KIA Ceed 1.4-1.6, Solaris до 2017</t>
  </si>
  <si>
    <t>W11215A</t>
  </si>
  <si>
    <t xml:space="preserve">        Сцепление в сборе ино KraftTech KIA Spectra, RIO, Shuma</t>
  </si>
  <si>
    <t>W07200G</t>
  </si>
  <si>
    <t xml:space="preserve">        Сцепление в сборе ино KraftTech Lifan Solano</t>
  </si>
  <si>
    <t>W21200H</t>
  </si>
  <si>
    <t xml:space="preserve">        Сцепление в сборе ино KraftTech Mitsubishi LANCER X 1.5</t>
  </si>
  <si>
    <t>W21200G</t>
  </si>
  <si>
    <t xml:space="preserve">        Сцепление в сборе ино KraftTech Nissan Almera Classic</t>
  </si>
  <si>
    <t>W12215F</t>
  </si>
  <si>
    <t xml:space="preserve">        Сцепление в сборе ино KraftTech Nissan Qashqai,Micra,Note 1.6</t>
  </si>
  <si>
    <t>W21200C9</t>
  </si>
  <si>
    <t xml:space="preserve">        Сцепление в сборе ино KraftTech Renault Logan 1.4  8кл</t>
  </si>
  <si>
    <t>W02180I</t>
  </si>
  <si>
    <t xml:space="preserve">        Сцепление в сборе ино KraftTech Renault Logan/Largus/Megane 1.6  8кл</t>
  </si>
  <si>
    <t>W03200D</t>
  </si>
  <si>
    <t xml:space="preserve">        Сцепление в сборе ино KraftTech Renault Megane II 1,4-1,6л, Logan/Largus 1,6 16V б/п </t>
  </si>
  <si>
    <t>W06200B9</t>
  </si>
  <si>
    <t xml:space="preserve">        Сцепление в сборе ино KraftTech Sens/Tavria</t>
  </si>
  <si>
    <t>W01180E</t>
  </si>
  <si>
    <t xml:space="preserve">        Сцепление в сборе ино KraftTech VW,AUDI,Skoda,Seat 1,6л FSI,BGU (до 2011г) </t>
  </si>
  <si>
    <t>W00220J</t>
  </si>
  <si>
    <t xml:space="preserve">    KraftTech (отечка)</t>
  </si>
  <si>
    <t xml:space="preserve">        Диск сцепления KraftTech дв. 406</t>
  </si>
  <si>
    <t>Y00240J</t>
  </si>
  <si>
    <t xml:space="preserve">        Сцепление  в сборе KraftTech 1111</t>
  </si>
  <si>
    <t>W00160E</t>
  </si>
  <si>
    <t xml:space="preserve">        Сцепление  в сборе KraftTech 1118/2170</t>
  </si>
  <si>
    <t>W05200G</t>
  </si>
  <si>
    <t xml:space="preserve">        Сцепление  в сборе KraftTech 2101</t>
  </si>
  <si>
    <t>W03200E</t>
  </si>
  <si>
    <t xml:space="preserve">        Сцепление  в сборе KraftTech 2108</t>
  </si>
  <si>
    <t>W00190B</t>
  </si>
  <si>
    <t xml:space="preserve">        Сцепление  в сборе KraftTech 2110</t>
  </si>
  <si>
    <t>W03200C</t>
  </si>
  <si>
    <t xml:space="preserve">        Сцепление  в сборе KraftTech 2121 4Х4 усилен</t>
  </si>
  <si>
    <t>W18200G</t>
  </si>
  <si>
    <t xml:space="preserve">        Сцепление  в сборе KraftTech Chevy Niva</t>
  </si>
  <si>
    <t>W03215C</t>
  </si>
  <si>
    <t xml:space="preserve">        Сцепление  в сборе KraftTech Granta</t>
  </si>
  <si>
    <t>W22200J</t>
  </si>
  <si>
    <t xml:space="preserve">        Сцепление  в сборе KraftTech LADA Vesta 1.6 (2015&gt;2017), Largus 1.6 (2016&gt;)</t>
  </si>
  <si>
    <t>W31200I9</t>
  </si>
  <si>
    <t xml:space="preserve">        Сцепление  в сборе KraftTech LADA Vesta, X-Ray 1.8 AMT</t>
  </si>
  <si>
    <t>W12215C</t>
  </si>
  <si>
    <t xml:space="preserve">        Сцепление  в сборе KraftTech UAZ Patriot дв.409 (без/подш)</t>
  </si>
  <si>
    <t>W01240H9</t>
  </si>
  <si>
    <t xml:space="preserve">        Сцепление  в сборе KraftTech ВОЛГА / ГАЗЕЛЬ дв. 402, 405, 406 (усиленное)</t>
  </si>
  <si>
    <t>W00240E</t>
  </si>
  <si>
    <t xml:space="preserve">        Сцепление  в сборе KraftTech ГАЗЕЛЬ Business Cummins 2.8D</t>
  </si>
  <si>
    <t>W05240B</t>
  </si>
  <si>
    <t xml:space="preserve">        Сцепление  в сборе KraftTech ГАЗЕЛЬ Business дв. УМЗ 4216</t>
  </si>
  <si>
    <t>W05240A</t>
  </si>
  <si>
    <t xml:space="preserve">        Сцепление  в сборе KraftTech ГАЗЕЛЬ Next 280mm</t>
  </si>
  <si>
    <t>W00280D</t>
  </si>
  <si>
    <t xml:space="preserve">        Сцепление  в сборе KraftTech ГАЗЕЛЬ дв. Крайслер</t>
  </si>
  <si>
    <t>W01240G</t>
  </si>
  <si>
    <t>KRAMME</t>
  </si>
  <si>
    <t xml:space="preserve">    Пыльник ШРУСа внутреннего KRAMME для а/м ВАЗ 2108-15 (551760)</t>
  </si>
  <si>
    <t>KJ22708</t>
  </si>
  <si>
    <t xml:space="preserve">    Пыльник ШРУСа наружного KRAMME для а/м ВАЗ 2108-15 (331760)</t>
  </si>
  <si>
    <t>KJ22610</t>
  </si>
  <si>
    <t xml:space="preserve">    ШРУС KRAM  наружный в сборе  2108-10 (для СТО)</t>
  </si>
  <si>
    <t>KJ22010 (М)</t>
  </si>
  <si>
    <t xml:space="preserve">    ШРУС KRAMME  внутренний в сборе  2108-2170</t>
  </si>
  <si>
    <t>KJ22308</t>
  </si>
  <si>
    <t xml:space="preserve">    ШРУС KRAMME  наружный LADA Largus 16V 1.6 (КПП JR5, 12-15 г.в.)</t>
  </si>
  <si>
    <t>KJ22045</t>
  </si>
  <si>
    <t xml:space="preserve">    ШРУС KRAMME  наружный в сборе  2108-10</t>
  </si>
  <si>
    <t>KJ22010</t>
  </si>
  <si>
    <t xml:space="preserve">    ШРУС KRAMME  наружный в сборе Priora АБС  [6]</t>
  </si>
  <si>
    <t>KJ22070</t>
  </si>
  <si>
    <t xml:space="preserve">    ШРУС KRAMME  наружный ВАЗ 2123</t>
  </si>
  <si>
    <t>KJ22023</t>
  </si>
  <si>
    <t xml:space="preserve">    ШРУС KRAMME  наружный ВАЗ 2123 с АБС</t>
  </si>
  <si>
    <t>KJ22123</t>
  </si>
  <si>
    <t>LARGUS, VESTA</t>
  </si>
  <si>
    <t xml:space="preserve">    Барабан торм AMD  LARGUS (с подшиником)</t>
  </si>
  <si>
    <t>AMD.BD469</t>
  </si>
  <si>
    <t xml:space="preserve">    Датчик давления ГУР AMD  Logan, Largus</t>
  </si>
  <si>
    <t>AMD.SEN274</t>
  </si>
  <si>
    <t xml:space="preserve">    Катушка зажигания  AMD  Largus 16кл, Logan c 10г, Magane II</t>
  </si>
  <si>
    <t>AMD.EL439</t>
  </si>
  <si>
    <t xml:space="preserve">    Крышка маслозаливной горловины ASAM  Largus 8кл, Logan</t>
  </si>
  <si>
    <t xml:space="preserve">    Моторчик стеклоомывателя AMD  LADA Vesta 2015-</t>
  </si>
  <si>
    <t>AMD.WP16</t>
  </si>
  <si>
    <t xml:space="preserve">    Опора двигателя задняя AMD  Largus</t>
  </si>
  <si>
    <t>AMD.SB2631</t>
  </si>
  <si>
    <t xml:space="preserve">    Подшипник верхней опоры стойки  SNR  LADA VESTA</t>
  </si>
  <si>
    <t>M27202</t>
  </si>
  <si>
    <t xml:space="preserve">    Прокладка коллектора выпускного ASAM  Largus 8кл, Logan</t>
  </si>
  <si>
    <t xml:space="preserve">    Регулятор ХХ (в сборе) AMD  Largus 16кл, Logan</t>
  </si>
  <si>
    <t>AMD.SEN317</t>
  </si>
  <si>
    <t xml:space="preserve">    Рем.комплект суппорта MASTER KIT  направляющие перед LUCAS (Renault)</t>
  </si>
  <si>
    <t>77A1499</t>
  </si>
  <si>
    <t xml:space="preserve">    Рычаг передний правый (в сборе)  AMD  VESTA</t>
  </si>
  <si>
    <t>AMD.AA495R</t>
  </si>
  <si>
    <t xml:space="preserve">    Сайлентблок задней балки AMD LADA VESTA</t>
  </si>
  <si>
    <t>AMD.SB2624</t>
  </si>
  <si>
    <t xml:space="preserve">    Стойка  стабилизатора передняя   AMD  VESTA</t>
  </si>
  <si>
    <t>AMD.SL532</t>
  </si>
  <si>
    <t>Luk</t>
  </si>
  <si>
    <t xml:space="preserve">    Сцепление Luk 2101 (комплект)</t>
  </si>
  <si>
    <t xml:space="preserve">    Сцепление Luk 2170 (комплект)</t>
  </si>
  <si>
    <t xml:space="preserve">    Сцепление Luk VESTA, X-Ray  1.6 16V (б/п) КПП Renault до 2018г</t>
  </si>
  <si>
    <t>LYNXauto</t>
  </si>
  <si>
    <t xml:space="preserve">    ГРМ LYNXauto  2108  8кл</t>
  </si>
  <si>
    <t>111CL19</t>
  </si>
  <si>
    <t xml:space="preserve">    ГРМ LYNXauto  Granta  дв.1,6 8кл (87л/с)</t>
  </si>
  <si>
    <t>113FL17</t>
  </si>
  <si>
    <t xml:space="preserve">    Ремень генератора LYNXauto Granta с кондиционером</t>
  </si>
  <si>
    <t>6PK1018</t>
  </si>
  <si>
    <t xml:space="preserve">    Ремкомплект ГРМ  LYNXauto (ремень+ролик) 2108</t>
  </si>
  <si>
    <t>PK1236</t>
  </si>
  <si>
    <t xml:space="preserve">    Ремкомплект ГРМ  LYNXauto (ремень+ролик) Гранта</t>
  </si>
  <si>
    <t>PK1355</t>
  </si>
  <si>
    <t xml:space="preserve">    Ремкомплект ГРМ  LYNXauto (ремень+ролики) 2112 16кл</t>
  </si>
  <si>
    <t>PK1314</t>
  </si>
  <si>
    <t xml:space="preserve">    Ремкомплект ГРМ  LYNXauto (ремень+ролики) Приора</t>
  </si>
  <si>
    <t>PK1300</t>
  </si>
  <si>
    <t xml:space="preserve">    Ролик  ГРМ натяжной LYNXauto Largus, Logan 16кл</t>
  </si>
  <si>
    <t>PB-1053</t>
  </si>
  <si>
    <t xml:space="preserve">    Ролик  ГРМ опорный LYNXauto Largus, Logan 16кл</t>
  </si>
  <si>
    <t>PB-3028</t>
  </si>
  <si>
    <t>MANN</t>
  </si>
  <si>
    <t xml:space="preserve">    ФМ  MANN 2108</t>
  </si>
  <si>
    <t>W914/2</t>
  </si>
  <si>
    <t>MAREL</t>
  </si>
  <si>
    <t xml:space="preserve">    Муфта  выключения сцепления  гидр. MAREL Largus, Vesta, X-ray (1 стопор   до 10/2018)</t>
  </si>
  <si>
    <t>MHC007</t>
  </si>
  <si>
    <t xml:space="preserve">    Муфта  выключения сцепления  гидр. MAREL Largus, Vesta, X-ray (2 стопора после 10/2018)</t>
  </si>
  <si>
    <t>MHC008</t>
  </si>
  <si>
    <t xml:space="preserve">    Муфта  сцепления  MAREL  2190/VESTA (усил. металл)</t>
  </si>
  <si>
    <t>MC001</t>
  </si>
  <si>
    <t xml:space="preserve">    Подшипник верхней опоры стойки  MAREL 1118, 2170</t>
  </si>
  <si>
    <t>MPS003</t>
  </si>
  <si>
    <t xml:space="preserve">    Подшипник верхней опоры стойки  MAREL 21928 GRANTA FL</t>
  </si>
  <si>
    <t>MPS002</t>
  </si>
  <si>
    <t xml:space="preserve">    Ремень генератора MAREL 1118  1.6 с кондиц</t>
  </si>
  <si>
    <t>6PK1018m</t>
  </si>
  <si>
    <t xml:space="preserve">    Ремень генератора MAREL 1118  без кондиц</t>
  </si>
  <si>
    <t>6PK882m</t>
  </si>
  <si>
    <t xml:space="preserve">    Ремень генератора MAREL 2108-INJ 8V</t>
  </si>
  <si>
    <t>6PK698m</t>
  </si>
  <si>
    <t xml:space="preserve">    Ремень генератора MAREL 2110 с кондиционером</t>
  </si>
  <si>
    <t>6PK1125m</t>
  </si>
  <si>
    <t xml:space="preserve">    Ремень генератора MAREL 2110-INJ 16V</t>
  </si>
  <si>
    <t>6PK742m</t>
  </si>
  <si>
    <t xml:space="preserve">    Ремень генератора MAREL 2190 FL c кондиц.</t>
  </si>
  <si>
    <t>6PK1020ELASTm</t>
  </si>
  <si>
    <t xml:space="preserve">    Ремень генератора MAREL 2190 без кондиц.</t>
  </si>
  <si>
    <t>6PK823ELASTm</t>
  </si>
  <si>
    <t xml:space="preserve">    Ремень генератора MAREL 2190 с кондиц или АКПП (до 2015г)</t>
  </si>
  <si>
    <t>6PK995m</t>
  </si>
  <si>
    <t xml:space="preserve">    Ремень генератора MAREL LADA Largus дв.11189  1.6 8V с кондиционером и ГУР</t>
  </si>
  <si>
    <t>6PK1775m</t>
  </si>
  <si>
    <t xml:space="preserve">    Ремень генератора MAREL LADA Largus дв.21129  1.6 16V с кондиционером и ГУР</t>
  </si>
  <si>
    <t>6PK1709m</t>
  </si>
  <si>
    <t xml:space="preserve">    Ремень генератора MAREL LADA Vesta, X-Ray 1.6 с кондиционером</t>
  </si>
  <si>
    <t>6PK1039ELASTm</t>
  </si>
  <si>
    <t xml:space="preserve">    Ролик  ГРМ MAREL Granta 21116 8кл. натяжной</t>
  </si>
  <si>
    <t>MR011</t>
  </si>
  <si>
    <t xml:space="preserve">    Ролик  ГРМ MAREL Granta 21116 8кл. натяжной (металл, двухряд)</t>
  </si>
  <si>
    <t>MR007</t>
  </si>
  <si>
    <t xml:space="preserve">    Ролики ГРМ MAREL 2170 (натяжной и опорный) металл. двухряд</t>
  </si>
  <si>
    <t>MR008</t>
  </si>
  <si>
    <t>MASTER SPORT</t>
  </si>
  <si>
    <t xml:space="preserve">    Амортизатор MASTER SPORT газ Chevy Niva передний (комплект)</t>
  </si>
  <si>
    <t>24612H-SET/2/-MS</t>
  </si>
  <si>
    <t xml:space="preserve">    Клапан MASTER SPORT 2108 (1300) впуск (4шт)</t>
  </si>
  <si>
    <t xml:space="preserve">    Крестовина MASTER SPORT 2121</t>
  </si>
  <si>
    <t xml:space="preserve">    Подшипник  генератора MASTER SPORT для а/м ВАЗ 2101-2108 малый (12x32x10) Automatic</t>
  </si>
  <si>
    <t>24940220-AT-PCS-MS</t>
  </si>
  <si>
    <t>Mecarm (Италия)</t>
  </si>
  <si>
    <t xml:space="preserve">    Сцепление Mecarm Granta (комплект)</t>
  </si>
  <si>
    <t>MK10245</t>
  </si>
  <si>
    <t>Metal Incar</t>
  </si>
  <si>
    <t xml:space="preserve">    Тeрмостат охл.  Metal Incar (метал) 2101/21214 83C  [32]</t>
  </si>
  <si>
    <t>10.0100.01</t>
  </si>
  <si>
    <t xml:space="preserve">    Тeрмостат охл.  Metal Incar (метал) 2108 87C  [32]</t>
  </si>
  <si>
    <t>10.0300.01</t>
  </si>
  <si>
    <t xml:space="preserve">    Тeрмостат охл.  Metal Incar (метал) 2110 карб. 85C  [32]</t>
  </si>
  <si>
    <t>10.0110.01</t>
  </si>
  <si>
    <t xml:space="preserve">    Тeрмостат охл.  Metal Incar (метал) 2121 83C  [32]</t>
  </si>
  <si>
    <t>10.0102.02</t>
  </si>
  <si>
    <t xml:space="preserve">    Тeрмостат охл.  Metal Incar (метал) 2123 с эл.педалью газа 80C  [24]</t>
  </si>
  <si>
    <t>10.0120.01</t>
  </si>
  <si>
    <t xml:space="preserve">    Тeрмостат охл.  Metal Incar (метал) Chevy Niva 80C  [24]</t>
  </si>
  <si>
    <t>10.0112.01</t>
  </si>
  <si>
    <t xml:space="preserve">    Тeрмостат охл.  Metal Incar Lada Vesta, X-Ray 85C в сборе (с доп. патрубком) [18]</t>
  </si>
  <si>
    <t>10.3303.30</t>
  </si>
  <si>
    <t xml:space="preserve">    Тeрмостат охл.  Metal Incar Lada Vesta, X-Ray 92C в сборе (с доп. патрубком) [18]</t>
  </si>
  <si>
    <t>10.3304.30</t>
  </si>
  <si>
    <t xml:space="preserve">    Тeрмостат охл.  Metal Incar ВАЗ 2190 "Granta" 85C в сборе [18]</t>
  </si>
  <si>
    <t>10.3300.30</t>
  </si>
  <si>
    <t xml:space="preserve">    Тeрмостат охл.  Metal Incar ВАЗ 2190 "Granta" 92C в сборе [18]</t>
  </si>
  <si>
    <t>10.3301.30</t>
  </si>
  <si>
    <t xml:space="preserve">    Тeрмоэлемент  с крышкой  Metal Incar 21082/2110 инж 85C пластик [18]</t>
  </si>
  <si>
    <t>10.0200.21</t>
  </si>
  <si>
    <t xml:space="preserve">    Тeрмоэлемент  с крышкой  Metal Incar Priora  (уп 18шт)</t>
  </si>
  <si>
    <t>10.2182.26</t>
  </si>
  <si>
    <t xml:space="preserve">    Тeрмоэлемент  с крышкой  Metal Incar ВАЗ 1118 Kalina 85C метал [18]</t>
  </si>
  <si>
    <t>10.0400.01</t>
  </si>
  <si>
    <t xml:space="preserve">    Тeрмоэлемент (вставка) Metal Incar  2112-2 н/о 85С [72]</t>
  </si>
  <si>
    <t>10.2182.02</t>
  </si>
  <si>
    <t xml:space="preserve">    Тeрмоэлемент (вставка) Metal Incar  Granta 85C</t>
  </si>
  <si>
    <t>10.2120.10</t>
  </si>
  <si>
    <t xml:space="preserve">    Тeрмоэлемент (вставка) Metal Incar  Granta 92C</t>
  </si>
  <si>
    <t>10.2120.30</t>
  </si>
  <si>
    <t xml:space="preserve">    Тeрмоэлемент (вставка) Metal Incar  Logan/Largus 89C  [72]</t>
  </si>
  <si>
    <t>13.1200.06</t>
  </si>
  <si>
    <t xml:space="preserve">    Тeрмоэлемент (вставка) Metal Incar  Volga 72C</t>
  </si>
  <si>
    <t>16.4100.02</t>
  </si>
  <si>
    <t xml:space="preserve">    Тeрмоэлемент (вставка) Metal Incar  Volga 82C</t>
  </si>
  <si>
    <t>16.4100.04</t>
  </si>
  <si>
    <t xml:space="preserve">    Тeрмоэлемент (вставка) Metal Incar  Volga 87C</t>
  </si>
  <si>
    <t>16.4100.05</t>
  </si>
  <si>
    <t xml:space="preserve">    Тeрмоэлемент (вставка) Metal Incar  Газель Бизнес 80С (дв. 4216)</t>
  </si>
  <si>
    <t>16.3200.03</t>
  </si>
  <si>
    <t xml:space="preserve">    Термoстат охл. (пластик)  Metal Incar  2101 (уп 32шт)</t>
  </si>
  <si>
    <t>10.0100.21</t>
  </si>
  <si>
    <t xml:space="preserve">    Термoстат охл. (пластик)  Metal Incar  2108 (уп 32шт)</t>
  </si>
  <si>
    <t>10.0300.21</t>
  </si>
  <si>
    <t xml:space="preserve">    Термoстат охл. (пластик)  Metal Incar  Chevy Niva (уп 24шт)</t>
  </si>
  <si>
    <t>10.0112.21</t>
  </si>
  <si>
    <t>MTA</t>
  </si>
  <si>
    <t xml:space="preserve">    Предохранители  MTA</t>
  </si>
  <si>
    <t xml:space="preserve">        Предохранитeли  набор MTA (CONTINENTAL 5х8А-5х16А)  в уп 240кт</t>
  </si>
  <si>
    <t>C255</t>
  </si>
  <si>
    <t xml:space="preserve">        Предохранитeли  набор MTA (MINIVAL 5А-30А; 10шт+щипцы) в уп 160кт</t>
  </si>
  <si>
    <t>M310</t>
  </si>
  <si>
    <t xml:space="preserve">        Предохранитeли  набор MTA (MINIVAL LOW PROFILE 5А-30А; 10шт+щипцы) в уп 160кт</t>
  </si>
  <si>
    <t>L410</t>
  </si>
  <si>
    <t xml:space="preserve">        Предохранители  MTA  UNIVAL  1A (уп 50шт)</t>
  </si>
  <si>
    <t>0600380/U0150</t>
  </si>
  <si>
    <t xml:space="preserve">        Предохранители  MTA  UNIVAL  2A (уп 50шт)</t>
  </si>
  <si>
    <t>0600390/U0250</t>
  </si>
  <si>
    <t xml:space="preserve">        Предохранители  MTA  UNIVAL  3A (уп 50шт)</t>
  </si>
  <si>
    <t>0600400/U0350</t>
  </si>
  <si>
    <t xml:space="preserve">        Предохранители  MTA  UNIVAL  4A (уп 50шт)</t>
  </si>
  <si>
    <t>0600401/U0450</t>
  </si>
  <si>
    <t xml:space="preserve">        Предохранители  MTA  UNIVAL  5A (уп 50шт)</t>
  </si>
  <si>
    <t>0600410/U0550</t>
  </si>
  <si>
    <t xml:space="preserve">        Предохранители  MTA  UNIVAL  7.5A (уп 50шт)</t>
  </si>
  <si>
    <t>0600420/U7550</t>
  </si>
  <si>
    <t xml:space="preserve">        Предохранители  MTA  UNIVAL 10A (уп 50шт)</t>
  </si>
  <si>
    <t>0600430/U1050</t>
  </si>
  <si>
    <t xml:space="preserve">        Предохранители  MTA  UNIVAL 15A (уп 50шт)</t>
  </si>
  <si>
    <t>0600440/U1550</t>
  </si>
  <si>
    <t xml:space="preserve">        Предохранители  MTA  UNIVAL 20A (уп 50шт)</t>
  </si>
  <si>
    <t>0600450/U2050</t>
  </si>
  <si>
    <t xml:space="preserve">        Предохранители  MTA  UNIVAL 30A (уп 50шт)</t>
  </si>
  <si>
    <t>0600470/U3050</t>
  </si>
  <si>
    <t xml:space="preserve">        Предохранители  MTA MAXIVAL 20A (уп 10шт)</t>
  </si>
  <si>
    <t>0600900/MX2010</t>
  </si>
  <si>
    <t xml:space="preserve">        Предохранители  MTA MAXIVAL 30A (уп 10шт)</t>
  </si>
  <si>
    <t>0600910/MX3010</t>
  </si>
  <si>
    <t xml:space="preserve">        Предохранители  MTA MAXIVAL 70A (уп 10шт)  Vesta</t>
  </si>
  <si>
    <t>0600950/MX7010</t>
  </si>
  <si>
    <t xml:space="preserve">        Предохранители  MTA MAXIVAL 80A (уп 10шт)</t>
  </si>
  <si>
    <t>0600960/MX8010</t>
  </si>
  <si>
    <t xml:space="preserve">        Предохранители  MTA MINIVAL  2A (уп 50шт)</t>
  </si>
  <si>
    <t>0705090/M0250</t>
  </si>
  <si>
    <t xml:space="preserve">        Предохранители  MTA MINIVAL  3A (уп 50шт)</t>
  </si>
  <si>
    <t>0705100/M0350</t>
  </si>
  <si>
    <t xml:space="preserve">        Предохранители  MTA MINIVAL  4A (уп 50шт)</t>
  </si>
  <si>
    <t>0700101/M0450</t>
  </si>
  <si>
    <t xml:space="preserve">        Предохранители  MTA MINIVAL  7.5A (уп 50шт) Vesta</t>
  </si>
  <si>
    <t>0700120/M7550</t>
  </si>
  <si>
    <t xml:space="preserve">        Предохранители  MTA MINIVAL 25A (уп 50шт)</t>
  </si>
  <si>
    <t>0700160/M2550</t>
  </si>
  <si>
    <t xml:space="preserve">        Предохранители  MTA MINIVAL 30A (уп 50шт)</t>
  </si>
  <si>
    <t>0700170/M3050</t>
  </si>
  <si>
    <t xml:space="preserve">        Предохранители MTA MINIVAL LOW PROFILE  5A (в блистере 50шт)</t>
  </si>
  <si>
    <t>0700240/ML0550</t>
  </si>
  <si>
    <t xml:space="preserve">        Предохранители MTA MINIVAL LOW PROFILE  7.5A (в блистере 50шт)</t>
  </si>
  <si>
    <t>0700250/ML7550</t>
  </si>
  <si>
    <t xml:space="preserve">        Предохранители MTA MINIVAL LOW PROFILE 10A (в блистере 50шт)</t>
  </si>
  <si>
    <t>0700260/ML1050</t>
  </si>
  <si>
    <t xml:space="preserve">        Предохранители MTA MINIVAL LOW PROFILE 15A (в блистере 50шт)</t>
  </si>
  <si>
    <t>0700270/ML1550</t>
  </si>
  <si>
    <t xml:space="preserve">        Предохранители MTA MINIVAL LOW PROFILE 20A (в блистере 50шт)</t>
  </si>
  <si>
    <t>0700280/ML2050</t>
  </si>
  <si>
    <t xml:space="preserve">        Предохранители MTA MINIVAL LOW PROFILE 25A (в блистере 50шт)</t>
  </si>
  <si>
    <t>0700290/ML2550</t>
  </si>
  <si>
    <t xml:space="preserve">        Предохранители MTA MINIVAL LOW PROFILE 30A (в блистере 50шт)</t>
  </si>
  <si>
    <t>0700302/ML3050</t>
  </si>
  <si>
    <t xml:space="preserve">    Предохранители JAPVAL</t>
  </si>
  <si>
    <t xml:space="preserve">        Предохранители JAPVAL CLIP 45A MTA (в упак 1шт)  FJ09</t>
  </si>
  <si>
    <t>0477046/JC45</t>
  </si>
  <si>
    <t xml:space="preserve">        Предохранители JAPVAL CLIP 65A MTA (в упак 1шт)  FJ09</t>
  </si>
  <si>
    <t>0477066/JC65</t>
  </si>
  <si>
    <t xml:space="preserve">        Предохранители JAPVAL CLIP 75A MTA (в упак 1шт)  FJ09</t>
  </si>
  <si>
    <t>0477076/JC75</t>
  </si>
  <si>
    <t xml:space="preserve">        Предохранители JAPVAL FEMALE  80A MTA (в упак 1шт)  FJ11</t>
  </si>
  <si>
    <t>0470081/JF80</t>
  </si>
  <si>
    <t xml:space="preserve">        Предохранители JAPVAL MALE   30A MTA (в упак 1шт)  FJ15/FJ14</t>
  </si>
  <si>
    <t>0471031/JM30</t>
  </si>
  <si>
    <t xml:space="preserve">        Предохранители JAPVAL MALE   40A MTA (в упак 1шт)  FJ15/FJ14</t>
  </si>
  <si>
    <t>0471041/JM40</t>
  </si>
  <si>
    <t xml:space="preserve">        Предохранители JAPVAL MALE   50A MTA (в упак 1шт)  FJ15/FJ14</t>
  </si>
  <si>
    <t>0471051/JM50</t>
  </si>
  <si>
    <t xml:space="preserve">        Предохранители JAPVAL MALE   60A MTA (в упак 1шт)  FJ15/FJ14</t>
  </si>
  <si>
    <t>0471061/JM60</t>
  </si>
  <si>
    <t xml:space="preserve">        Предохранители JAPVAL MALE   80A MTA (в упак 1шт)  FJ15/FJ14</t>
  </si>
  <si>
    <t>0471081/JM80</t>
  </si>
  <si>
    <t xml:space="preserve">        Предохранители JAPVAL MALE 48 MTA  30A  (в упак 1шт)  FJ12</t>
  </si>
  <si>
    <t>0475031/JM4830</t>
  </si>
  <si>
    <t xml:space="preserve">        Предохранители JAPVAL MALE 48 MTA  40A  (в упак 1шт)  FJ12</t>
  </si>
  <si>
    <t>0475041/JM4840</t>
  </si>
  <si>
    <t xml:space="preserve">        Предохранители JAPVAL MALE 48 MTA  50A  (в упак 1шт)  FJ12</t>
  </si>
  <si>
    <t>0475051/JM4850</t>
  </si>
  <si>
    <t xml:space="preserve">        Предохранители JAPVAL MALE 48 MTA  60A  (в упак 1шт)  FJ12</t>
  </si>
  <si>
    <t>0475061/JM4860</t>
  </si>
  <si>
    <t xml:space="preserve">        Предохранители JAPVAL MALE 48 MTA  70A  (в упак 1шт)  FJ12</t>
  </si>
  <si>
    <t>0475071/JM4870</t>
  </si>
  <si>
    <t xml:space="preserve">        Предохранители JAPVAL MALE 62 MTA  30A  (в упак 1шт)  FJ13</t>
  </si>
  <si>
    <t>0472031/JM6230</t>
  </si>
  <si>
    <t xml:space="preserve">        Предохранители JAPVAL MALE 62 MTA  40A  (в упак 1шт)  FJ13</t>
  </si>
  <si>
    <t>0472041/JM6240</t>
  </si>
  <si>
    <t xml:space="preserve">        Предохранители JAPVAL MALE 62 MTA  50A  (в упак 1шт)  FJ13</t>
  </si>
  <si>
    <t>0472051/JM6250</t>
  </si>
  <si>
    <t xml:space="preserve">        Предохранители JAPVAL MALE 62 MTA  80A  (в упак 1шт)  FJ13</t>
  </si>
  <si>
    <t>0472081/JM6280</t>
  </si>
  <si>
    <t xml:space="preserve">        Предохранители JAPVAL MALE 62 MTA 100A  (в упак 1шт)  FJ13</t>
  </si>
  <si>
    <t>0472101/JM62100</t>
  </si>
  <si>
    <t xml:space="preserve">        Предохранители JAPVAL MICRO FEMALE 10 MTA 20A  (в упак 1шт)  FJ19</t>
  </si>
  <si>
    <t>0404020/JMCF1020</t>
  </si>
  <si>
    <t xml:space="preserve">        Предохранители JAPVAL MICRO FEMALE 10 MTA 25A  (в упак 1шт)  FJ19</t>
  </si>
  <si>
    <t>0404025/JMCF1025</t>
  </si>
  <si>
    <t xml:space="preserve">        Предохранители JAPVAL MICRO FEMALE 10 MTA 40A  (в упак 1шт)  FJ19</t>
  </si>
  <si>
    <t>0404040/JMCF1040</t>
  </si>
  <si>
    <t xml:space="preserve">        Предохранители JAPVAL MICRO FEMALE 14 MTA 20A  (в упак 1 шт)  FJ17</t>
  </si>
  <si>
    <t>0424021/JMCF1420</t>
  </si>
  <si>
    <t xml:space="preserve">        Предохранители JAPVAL MICRO FEMALE 14 MTA 25A  (в упак 1 шт)  FJ17</t>
  </si>
  <si>
    <t>0424026/JMCF1425</t>
  </si>
  <si>
    <t xml:space="preserve">        Предохранители JAPVAL MICRO FEMALE 14 MTA 40A  (в упак 1 шт)  FJ17</t>
  </si>
  <si>
    <t>0424041/JMCF1440</t>
  </si>
  <si>
    <t xml:space="preserve">        Предохранители JAPVAL MICRO FEMALE 14 MTA 50A  (в упак 1 шт)  FJ17</t>
  </si>
  <si>
    <t>0424051/JMCF1450</t>
  </si>
  <si>
    <t xml:space="preserve">        Предохранители JAPVAL MICRO FEMALE 14 MTA 60A  (в упак 1 шт)  FJ17</t>
  </si>
  <si>
    <t>0424061/JMCF1460</t>
  </si>
  <si>
    <t xml:space="preserve">        Предохранители JAPVAL MINI FEMALE 14 MTA 20A  (в упак 1шт)  FJ16</t>
  </si>
  <si>
    <t>0474021/JMF1420</t>
  </si>
  <si>
    <t xml:space="preserve">        Предохранители JAPVAL MINI FEMALE 14 MTA 30A  (в упак 1шт)  FJ16</t>
  </si>
  <si>
    <t>0474031/JMF1430</t>
  </si>
  <si>
    <t xml:space="preserve">        Предохранители JAPVAL MINI FEMALE 14 MTA 40A  (в упак 1шт)  FJ16</t>
  </si>
  <si>
    <t>0474041/JMF1440</t>
  </si>
  <si>
    <t xml:space="preserve">        Предохранители JAPVAL MINI FEMALE 14 MTA 50A  (в упак 1шт)  FJ16</t>
  </si>
  <si>
    <t>0474051/JMF1450</t>
  </si>
  <si>
    <t xml:space="preserve">        Предохранители JAPVAL MINI FEMALE 14 MTA 60A  (в упак 1шт)  FJ16</t>
  </si>
  <si>
    <t>0474061/JMF1460</t>
  </si>
  <si>
    <t xml:space="preserve">        Предохранители JAPVAL MINI FEMALE 14 MTA 70A  (в упак 1шт)  FJ16</t>
  </si>
  <si>
    <t>0474071/JMF1470</t>
  </si>
  <si>
    <t xml:space="preserve">        Предохранители JAPVAL MINI FEMALE 14 MTA 80A  (в упак 1шт)  FJ16</t>
  </si>
  <si>
    <t>0474081/JMF1480</t>
  </si>
  <si>
    <t xml:space="preserve">        Предохранители MEGAVAL 150A MTA (в упак 1шт)</t>
  </si>
  <si>
    <t>0601150/MG150</t>
  </si>
  <si>
    <t xml:space="preserve">        Предохранители MEGAVAL 175A MTA (в упак 1шт)</t>
  </si>
  <si>
    <t>0601175/MG175</t>
  </si>
  <si>
    <t xml:space="preserve">        Предохранители MEGAVAL 200A MTA (в упак 1шт)</t>
  </si>
  <si>
    <t>0601200/MG200</t>
  </si>
  <si>
    <t xml:space="preserve">        Предохранители MEGAVAL 225A MTA (в упак 1шт)</t>
  </si>
  <si>
    <t>0601225/MG225</t>
  </si>
  <si>
    <t xml:space="preserve">        Предохранители MIDIVAL 100A MTA (в упак 1шт)</t>
  </si>
  <si>
    <t>0602100/MD100</t>
  </si>
  <si>
    <t xml:space="preserve">        Предохранители MIDIVAL 125A MTA (в упак 1шт)</t>
  </si>
  <si>
    <t>0602125/MD125</t>
  </si>
  <si>
    <t xml:space="preserve">        Предохранители MIDIVAL 40A MTA (в упак 1шт)</t>
  </si>
  <si>
    <t>0602040/MD40</t>
  </si>
  <si>
    <t xml:space="preserve">        Предохранители MIDIVAL 60A MTA (в упак 1шт)</t>
  </si>
  <si>
    <t>0602060/MD60</t>
  </si>
  <si>
    <t xml:space="preserve">        Предохранители MIDIVAL 70A MTA (в упак 1шт)</t>
  </si>
  <si>
    <t>0602070/MD70</t>
  </si>
  <si>
    <t xml:space="preserve">        Предохранители POWERVAL CAL.2  400А  MTA (в упак 1шт)</t>
  </si>
  <si>
    <t>0601400/PWCAL.2</t>
  </si>
  <si>
    <t xml:space="preserve">    Электрика MTA</t>
  </si>
  <si>
    <t xml:space="preserve">        Держатель водонепроницаемый MTA для предохранителей Minival</t>
  </si>
  <si>
    <t>0100335/Minival</t>
  </si>
  <si>
    <t xml:space="preserve">        Держатель водонепроницаемый MTA для предохранителей Unival</t>
  </si>
  <si>
    <t>0300336/Unival</t>
  </si>
  <si>
    <t xml:space="preserve">        Держатель для предохранителей Megaval ( с клеммами )</t>
  </si>
  <si>
    <t>0100380/10</t>
  </si>
  <si>
    <t xml:space="preserve">        Клемма MTA изолированная F630 (0,25-1,00 мм2)  S 0,8; L 6,3 x 23,5 (красная) (20 шт)</t>
  </si>
  <si>
    <t xml:space="preserve">        Клемма MTA изолированная F630 (1,00-2,50 мм2)  S 0,8; L 6,3 x 23,5 (синяя) (20 шт)</t>
  </si>
  <si>
    <t xml:space="preserve">        Клемма MTA изолированная M4 (0,25-1,00 мм2)  D 4,3 / 6,6; L 20,1 / 10,5 (красная) (20 шт)</t>
  </si>
  <si>
    <t xml:space="preserve">        Клемма MTA изолированная M6 (1,00-2,50 мм2)  D 6,4 / 12,0; L 28 / 11 (синяя) (20 шт)</t>
  </si>
  <si>
    <t xml:space="preserve">        Клемма MTA изолированная M630 (0,25-1,00 мм2)  L mm2  6,3 / 12 / 21 (красная) (20 шт)</t>
  </si>
  <si>
    <t xml:space="preserve">        Клемма MTA изолированная M630 (1,00-2,50 мм2)  L mm2  6,3 / 12 / 21 (синяя) (20 шт)</t>
  </si>
  <si>
    <t xml:space="preserve">        Клемма MTA изолированная M630 (2,50-6,00 мм2)  L mm2  6,3 / 13 / 22,5 (желтая) (20 шт)</t>
  </si>
  <si>
    <t xml:space="preserve">        Клемма MTA изолированная M8 (2,50-6,00 мм2)  D 8,4 / 15,0; L 35,2 / 14 (желтая) (20 шт)</t>
  </si>
  <si>
    <t xml:space="preserve">        Клемма АКБ DX (-)</t>
  </si>
  <si>
    <t xml:space="preserve">        Лента изоляционная MTA красная 10м х 15мм х 0,15мм (ПВХ)</t>
  </si>
  <si>
    <t>4640110/02</t>
  </si>
  <si>
    <t xml:space="preserve">        Лента изоляционная MTA черная 10м х 15мм х 0,15мм (ПВХ)</t>
  </si>
  <si>
    <t>4640100/02</t>
  </si>
  <si>
    <t xml:space="preserve">        Лента изоляционная MTA черная 25м х 19мм х 0,15мм (ПВХ)</t>
  </si>
  <si>
    <t>4640300/02</t>
  </si>
  <si>
    <t xml:space="preserve">        Лента изоляционная MTA черная 25м х 19мм х 0,28мм (текстильная)</t>
  </si>
  <si>
    <t xml:space="preserve">        Провод массы в комплекте с клеммой АКБ (500 мм)</t>
  </si>
  <si>
    <t xml:space="preserve">        Соединитель клеммный MTA ножевого типа (0,25-1,00 кв.мм.) (красный) (10 шт)</t>
  </si>
  <si>
    <t xml:space="preserve">        Соединитель клеммный MTA ножевого типа (1.00-2.50 кв.мм.) (синий) (10 шт)</t>
  </si>
  <si>
    <t xml:space="preserve">        Соединитель клеммный MTA ножевого типа (2,50-6,00 кв.мм.) (желтый) (10 шт)</t>
  </si>
  <si>
    <t>NGK</t>
  </si>
  <si>
    <t xml:space="preserve">    Свечи NGK  PLATIN  8V  2108,2170,1118,2123  газ/бензин BPR6EGP</t>
  </si>
  <si>
    <t xml:space="preserve">    Свечи NGK  V-LINE №11  16V</t>
  </si>
  <si>
    <t xml:space="preserve">    Свечи NGK  V-LINE №13  8V</t>
  </si>
  <si>
    <t>Norma</t>
  </si>
  <si>
    <t xml:space="preserve">    FBS (пружинные 12мм)</t>
  </si>
  <si>
    <t xml:space="preserve">        Хомут NORMA  FBS 21-22,5</t>
  </si>
  <si>
    <t>FBS2112</t>
  </si>
  <si>
    <t xml:space="preserve">        Хомут NORMA  FBS 22-24,5</t>
  </si>
  <si>
    <t>FBS2212</t>
  </si>
  <si>
    <t xml:space="preserve">        Хомут NORMA  FBS 27-29,0</t>
  </si>
  <si>
    <t>FBS2712</t>
  </si>
  <si>
    <t xml:space="preserve">    Norma 9/C7/W1</t>
  </si>
  <si>
    <t xml:space="preserve">        Хомут NORMA   8х12 (бензин)  [уп100]</t>
  </si>
  <si>
    <t>812/9C7W1</t>
  </si>
  <si>
    <t xml:space="preserve">        Хомут NORMA  10х16 (бензин)  [уп100]</t>
  </si>
  <si>
    <t>1016/9C7W1</t>
  </si>
  <si>
    <t xml:space="preserve">        Хомут NORMA  12х22 (бензин)  [уп100]</t>
  </si>
  <si>
    <t>1222/9C7W1</t>
  </si>
  <si>
    <t xml:space="preserve">        Хомут NORMA  16х27 (печка)  [уп100]</t>
  </si>
  <si>
    <t>1627/9С7W1</t>
  </si>
  <si>
    <t xml:space="preserve">        Хомут NORMA  20х32  [уп100]</t>
  </si>
  <si>
    <t>2032/9C7W1</t>
  </si>
  <si>
    <t xml:space="preserve">        Хомут NORMA  25х40 (радиатор)  [уп100]</t>
  </si>
  <si>
    <t>2540/9C7W1</t>
  </si>
  <si>
    <t xml:space="preserve">        Хомут NORMA  30х45 (радиатор)  [уп100]</t>
  </si>
  <si>
    <t>3045/9C7W1</t>
  </si>
  <si>
    <t xml:space="preserve">        Хомут NORMA  35х50 (радиатор)  [уп100]</t>
  </si>
  <si>
    <t>3550/9C7W1</t>
  </si>
  <si>
    <t xml:space="preserve">        Хомут NORMA  40х60  [от 1шт]</t>
  </si>
  <si>
    <t>4060/9C7W1</t>
  </si>
  <si>
    <t xml:space="preserve">        Хомут NORMA  50х70  [от 1шт]</t>
  </si>
  <si>
    <t>5070/9C7W1</t>
  </si>
  <si>
    <t xml:space="preserve">        Хомут NORMA  60х80  [от 1шт]</t>
  </si>
  <si>
    <t>6080/9C7W1</t>
  </si>
  <si>
    <t xml:space="preserve">        Хомут NORMA  70х90  [от 1шт]</t>
  </si>
  <si>
    <t>7090/9C7W1</t>
  </si>
  <si>
    <t xml:space="preserve">        Хомут NORMA  80х100  [от 1шт]</t>
  </si>
  <si>
    <t>80100/9C7W1</t>
  </si>
  <si>
    <t xml:space="preserve">        Хомут NORMA  90х110  [от 1шт]</t>
  </si>
  <si>
    <t>90110/9C7W1</t>
  </si>
  <si>
    <t>OCAP</t>
  </si>
  <si>
    <t xml:space="preserve">    Наконечник рулевой тяги OCAP 2101 левый </t>
  </si>
  <si>
    <t xml:space="preserve">    Наконечник рулевой тяги OCAP 2101 правый </t>
  </si>
  <si>
    <t>OSVAT</t>
  </si>
  <si>
    <t xml:space="preserve">    Клапан OSVAT нит  2112 впускной (4шт) нитрированный</t>
  </si>
  <si>
    <t>2043 S N</t>
  </si>
  <si>
    <t xml:space="preserve">    Клапан OSVAT нит  2112 выпускной (4шт) нитрированный  ! только комплектом с впускными !</t>
  </si>
  <si>
    <t>2044 Z N</t>
  </si>
  <si>
    <t xml:space="preserve">    Клапан OSVAT хр  2101 выпускной (4шт) хромированный</t>
  </si>
  <si>
    <t>2471 Z C</t>
  </si>
  <si>
    <t xml:space="preserve">    Направляющие OSVAT 2101 впуск.клапана (8шт)</t>
  </si>
  <si>
    <t>G2470</t>
  </si>
  <si>
    <t xml:space="preserve">    Направляющие OSVAT 2101 выпуск.клапана (8шт)</t>
  </si>
  <si>
    <t>G2471</t>
  </si>
  <si>
    <t xml:space="preserve">    Направляющие OSVAT 2108 впуск.клапана (8шт)</t>
  </si>
  <si>
    <t>G0503</t>
  </si>
  <si>
    <t>Pilenga</t>
  </si>
  <si>
    <t xml:space="preserve">    Амортизатор Pilenga газ 2121 передний</t>
  </si>
  <si>
    <t>SH-P 2721 - G</t>
  </si>
  <si>
    <t xml:space="preserve">    Муфта  сцепления  Pilenga  2190/VESTA</t>
  </si>
  <si>
    <t>PC-P 2181</t>
  </si>
  <si>
    <t xml:space="preserve">    Наконечник рулевой левый Pilenga  Largus, X-Ray, Logan</t>
  </si>
  <si>
    <t>TS-P 1186</t>
  </si>
  <si>
    <t xml:space="preserve">    Насос водяной Pilenga 2170 / 2190  16кл</t>
  </si>
  <si>
    <t>WP-P 2170</t>
  </si>
  <si>
    <t xml:space="preserve">    Насос водяной Pilenga 2190 8кл</t>
  </si>
  <si>
    <t>WP-P 2464</t>
  </si>
  <si>
    <t xml:space="preserve">    Подшипник  ступицы задней  Pilenga  2108-15</t>
  </si>
  <si>
    <t>PW-P 1307</t>
  </si>
  <si>
    <t xml:space="preserve">    Подшипник  ступицы задней  Pilenga Largus, Duster (Ø 60mm)</t>
  </si>
  <si>
    <t>PW-P 6799</t>
  </si>
  <si>
    <t xml:space="preserve">    Подшипник  ступицы передней  Pilenga  1118/ 2170/2190</t>
  </si>
  <si>
    <t>PW-P 4009</t>
  </si>
  <si>
    <t xml:space="preserve">    Подшипник  ступицы передней  Pilenga  2108-15</t>
  </si>
  <si>
    <t>PW-P 1306</t>
  </si>
  <si>
    <t xml:space="preserve">    Подшипник  ступицы передней  Pilenga  VESTA, Largus без АБС (рем.ком)</t>
  </si>
  <si>
    <t>PW-P 3596</t>
  </si>
  <si>
    <t xml:space="preserve">    Подшипник  ступицы передней  с ABS  Pilenga  Largus (рем.ком)</t>
  </si>
  <si>
    <t>PW-P 3637</t>
  </si>
  <si>
    <t xml:space="preserve">    Подшипник верхней опоры стойки  Pilenga  LADA VESTA</t>
  </si>
  <si>
    <t>CB-P 1119</t>
  </si>
  <si>
    <t xml:space="preserve">    Ролик  ГРМ Pilenga 2108-099 н/о</t>
  </si>
  <si>
    <t>PT-P 1546</t>
  </si>
  <si>
    <t xml:space="preserve">    Ролик  ГРМ Pilenga 2112 16кл. натяжной</t>
  </si>
  <si>
    <t>PT-P 1545</t>
  </si>
  <si>
    <t xml:space="preserve">    Ролик  ГРМ Pilenga 2112 16кл. опорный</t>
  </si>
  <si>
    <t>PT-P 1544</t>
  </si>
  <si>
    <t xml:space="preserve">    Ролик  ГРМ Pilenga Granta 21116 8кл. натяжной</t>
  </si>
  <si>
    <t>PT-P 1548</t>
  </si>
  <si>
    <t xml:space="preserve">    Ролик  ГРМ Pilenga Priora натяжной</t>
  </si>
  <si>
    <t>PT-P 1570</t>
  </si>
  <si>
    <t xml:space="preserve">    Ролик  ГРМ Pilenga Priora опорный</t>
  </si>
  <si>
    <t>PT-P 1571</t>
  </si>
  <si>
    <t xml:space="preserve">    Ролик натяжителя ремня ген-ра и конд Pilenga 2110, 2170</t>
  </si>
  <si>
    <t>PT-P 1549</t>
  </si>
  <si>
    <t xml:space="preserve">    Ролик натяжителя ремня генератора Pilenga 1118, 2123, 2190</t>
  </si>
  <si>
    <t>PT-P 1523</t>
  </si>
  <si>
    <t xml:space="preserve">    Цилиндр сцепления главный  Pilenga  LADA Vesta</t>
  </si>
  <si>
    <t>HY-P 9982</t>
  </si>
  <si>
    <t xml:space="preserve">    Шланг тормозной передний Pilenga  Largus, Logan, Sandero</t>
  </si>
  <si>
    <t>BH-P 3230 F</t>
  </si>
  <si>
    <t>REMTEX</t>
  </si>
  <si>
    <t xml:space="preserve">    КОМПЛЕКТЫ КРЕПЛЕНИЯ ВЫПУСКНОГО КОЛЛЕКТОРА</t>
  </si>
  <si>
    <t xml:space="preserve">        РЕМКОМ выпускного коллектора ВАЗ 2101-07, 21213 </t>
  </si>
  <si>
    <t>10.21213.001</t>
  </si>
  <si>
    <t xml:space="preserve">        РЕМКОМ выпускного коллектора ВАЗ 2108-09</t>
  </si>
  <si>
    <t>10.02108.002</t>
  </si>
  <si>
    <t xml:space="preserve">        РЕМКОМ выпускного коллектора ВАЗ 2170, 21124 (1,6i) 16 кл.</t>
  </si>
  <si>
    <t>10.02170.002</t>
  </si>
  <si>
    <t xml:space="preserve">        РЕМКОМ выпускного коллектора ГАЗ дв. ЗМЗ-406</t>
  </si>
  <si>
    <t>10.00405.004</t>
  </si>
  <si>
    <t xml:space="preserve">        РЕМКОМ выпускного коллектора ГАЗ, УАЗ с дв.УМЗ-4216</t>
  </si>
  <si>
    <t>10.04216.001</t>
  </si>
  <si>
    <t xml:space="preserve">        РЕМКОМ выпускного коллектора ГАЗ, УАЗ с дв.УМЗ-4216 (мет.прокладка)</t>
  </si>
  <si>
    <t>10.04216.006</t>
  </si>
  <si>
    <t xml:space="preserve">        РЕМКОМ выпускного коллектора и приёмной трубы ВАЗ 2170,21124 (1,6i) 16кл.</t>
  </si>
  <si>
    <t>10.02170.003</t>
  </si>
  <si>
    <t xml:space="preserve">    КОПЛЕКТЫ КРЕПЛЕНИЯ ПРИЁМНОЙ ТРУБЫ</t>
  </si>
  <si>
    <t xml:space="preserve">        РЕМКОМ приёмной трубы ВАЗ 2101-2107</t>
  </si>
  <si>
    <t>10.02101.001</t>
  </si>
  <si>
    <t xml:space="preserve">        РЕМКОМ приёмной трубы ВАЗ 2107,2104 инж.,ВАЗ 21214,2123 Шевроле Нива</t>
  </si>
  <si>
    <t>10.21214.002</t>
  </si>
  <si>
    <t xml:space="preserve">        РЕМКОМ приёмной трубы ВАЗ 2108-10, 1118, 2170, 2190 (1.6i)  (БЦМ)</t>
  </si>
  <si>
    <t>10.21214.001</t>
  </si>
  <si>
    <t xml:space="preserve">        РЕМКОМ приёмной трубы ВАЗ 2112 16 кл.                                    </t>
  </si>
  <si>
    <t>10.02112.006</t>
  </si>
  <si>
    <t xml:space="preserve">        РЕМКОМ приёмной трубы ГАЗ 3110,3302,УАЗ дв. 406 (латун. гайки)</t>
  </si>
  <si>
    <t>10.00406.003</t>
  </si>
  <si>
    <t xml:space="preserve">        РЕМКОМ приёмной трубы ГАЗ 3110,3302,УАЗ дв. 406 (мет.прокладка)</t>
  </si>
  <si>
    <t>10.00406.002</t>
  </si>
  <si>
    <t xml:space="preserve">        РЕМКОМ приёмной трубы ГАЗ дв. 4216 Евро3 (мет.прокладка)</t>
  </si>
  <si>
    <t>10.04216.007</t>
  </si>
  <si>
    <t xml:space="preserve">        РЕМКОМ приёмной трубы ГАЗ дв. 4216 Евро3 (мет.прокладка)(латун. гайки)</t>
  </si>
  <si>
    <t>10.04216.010</t>
  </si>
  <si>
    <t xml:space="preserve">        РЕМКОМ приёмной трубы ГАЗель Евро 3 </t>
  </si>
  <si>
    <t>10.00405.001</t>
  </si>
  <si>
    <t xml:space="preserve">        РЕМКОМ приёмной трубы и коллектора ГАЗ дв. ЗМЗ-406</t>
  </si>
  <si>
    <t>10.00406.004</t>
  </si>
  <si>
    <t xml:space="preserve">        РЕМКОМ приёмной трубы и коллектора ГАЗ, УАЗ дв.4216 Евро3-4 (мет.прокладка)</t>
  </si>
  <si>
    <t>10.04216.011</t>
  </si>
  <si>
    <t xml:space="preserve">        РЕМКОМ приёмной трубы и коллектора ГАЗ,УАЗ дв.4216 Евро3-4</t>
  </si>
  <si>
    <t>10.04216.009</t>
  </si>
  <si>
    <t xml:space="preserve">        РЕМКОМ приёмной трубы Лада Калина, Приора, Гранта с дв.16 кл.</t>
  </si>
  <si>
    <t>10.02170.001</t>
  </si>
  <si>
    <t xml:space="preserve">        РЕМКОМ приёмной трубы ТКР-7 КАМАЗ Евро  (латун. гайки)</t>
  </si>
  <si>
    <t>10.05320.006</t>
  </si>
  <si>
    <t xml:space="preserve">        РЕМКОМ приёмной трубы ТКР-7 КАМАЗ Евро  (медн. гайки)</t>
  </si>
  <si>
    <t>10.05320.005</t>
  </si>
  <si>
    <t xml:space="preserve">    РЕМКОМПЛЕКТЫ РЕЛЕ, СТАРТЕРОВ</t>
  </si>
  <si>
    <t xml:space="preserve">        РЕМКОМ втягивающего реле 25.3708800 - стартера МАЗ</t>
  </si>
  <si>
    <t>20.54320.002</t>
  </si>
  <si>
    <t xml:space="preserve">        РЕМКОМ втягивающего реле 57.3708800 - стартера ВАЗ 2110</t>
  </si>
  <si>
    <t>20.02110.003</t>
  </si>
  <si>
    <t xml:space="preserve">        РЕМКОМ втягивающего реле 60.3708800- стартера ГАЗ</t>
  </si>
  <si>
    <t>20.00406.003</t>
  </si>
  <si>
    <t xml:space="preserve">        РЕМКОМ втягивающего реле СТ142-3708800 - стартера  БАТЭ - КАМАЗ</t>
  </si>
  <si>
    <t>20.05120.001</t>
  </si>
  <si>
    <t xml:space="preserve">        РЕМКОМ стартера и втягивающего реле 2501.3708 МАЗ</t>
  </si>
  <si>
    <t>20.54320.001</t>
  </si>
  <si>
    <t xml:space="preserve">        РЕМКОМ стартера и втягивающего реле ВАЗ 2110 </t>
  </si>
  <si>
    <t>20.02110.001</t>
  </si>
  <si>
    <t xml:space="preserve">        РЕМКОМ стартера и втягивающего реле ГАЗ</t>
  </si>
  <si>
    <t>20.00406.101</t>
  </si>
  <si>
    <t xml:space="preserve">        РЕМКОМ стартера и втягивающего реле СТ142-3708000-10 БАТЭ КАМАЗ</t>
  </si>
  <si>
    <t>20.05120.002</t>
  </si>
  <si>
    <t xml:space="preserve">    Щётки стартера REMTEX  (42.3708) ; ГАЗ, УАЗ, ВАЗ-2101-2109, “Москвич”, “ИЖ” </t>
  </si>
  <si>
    <t>20.00406.006</t>
  </si>
  <si>
    <t xml:space="preserve">    Щётки стартера REMTEX  (92.3708) ; ВАЗ, УАЗ </t>
  </si>
  <si>
    <t>20.02101.005</t>
  </si>
  <si>
    <t xml:space="preserve">    Щётки стартера REMTEX  (СТ 230) ; ГАЗ, УАЗ, ЗиЛ, Москвич </t>
  </si>
  <si>
    <t>20.00230.004</t>
  </si>
  <si>
    <t>SACHS</t>
  </si>
  <si>
    <t xml:space="preserve">    Сцепление SACHS 2170/1118  (комплект)</t>
  </si>
  <si>
    <t>3000 950 095</t>
  </si>
  <si>
    <t>SANGSIN  Hi-Q  (тормозные колодки)</t>
  </si>
  <si>
    <t xml:space="preserve">    Колодка диcкового тормоза Hi-Q  2101</t>
  </si>
  <si>
    <t>SP1199</t>
  </si>
  <si>
    <t xml:space="preserve">    Колодка диcкового тормоза Hi-Q  2110</t>
  </si>
  <si>
    <t>SP1181</t>
  </si>
  <si>
    <t xml:space="preserve">    Колодка диcкового тормоза Hi-Q  Largus  8кл, Logan ph1,2</t>
  </si>
  <si>
    <t>SP1243</t>
  </si>
  <si>
    <t xml:space="preserve">    Колодка диcкового тормоза Hi-Q  Largus 16кл, LADA Vesta, DUSTER 4Х2 1.6, 1.5 dCi  (упак 12кт)</t>
  </si>
  <si>
    <t>SP1564</t>
  </si>
  <si>
    <t xml:space="preserve">    Колодка диcкового тормоза Hi-Q  Toyota HIGHLANDER 01-07; LEXUS RX300 00-03 перед</t>
  </si>
  <si>
    <t>SP1384</t>
  </si>
  <si>
    <t xml:space="preserve">    Колодка дискового тормоза задние Hi-Q   VESTA Cross, Granta Sport</t>
  </si>
  <si>
    <t>SP1709</t>
  </si>
  <si>
    <t xml:space="preserve">    Колодка дискового тормоза задние Hi-Q  HYUNDAI  Solaris, KIA Rio III, New Action 11.10</t>
  </si>
  <si>
    <t>SP1401</t>
  </si>
  <si>
    <t xml:space="preserve">    Колодки барабанного тормоза Hi-Q  1118/2170/2190 с АБС  (уп 8кт)</t>
  </si>
  <si>
    <t>SA183</t>
  </si>
  <si>
    <t>SKF</t>
  </si>
  <si>
    <t xml:space="preserve">    Иномарка</t>
  </si>
  <si>
    <t xml:space="preserve">                    Подшипник опоры стойки SKF, VKD 35002</t>
  </si>
  <si>
    <t>VKD 35002</t>
  </si>
  <si>
    <t xml:space="preserve">                    Подшипник опоры стойки SKF, VKD 35017</t>
  </si>
  <si>
    <t>VKD 35017</t>
  </si>
  <si>
    <t xml:space="preserve">                    Подшипник ступицы колеса SKF комплект, VKBA 3551 передний</t>
  </si>
  <si>
    <t>VKBA 3551</t>
  </si>
  <si>
    <t xml:space="preserve">                    Подшипник ступицы колеса SKF комплект, VKBA 3584 передний</t>
  </si>
  <si>
    <t>VKBA 3584</t>
  </si>
  <si>
    <t xml:space="preserve">                    Ступица колеса SKF в сборе, VKBA 3643 перед</t>
  </si>
  <si>
    <t>VKBA 3643</t>
  </si>
  <si>
    <t xml:space="preserve">               Натяжитель приводного ремня SKF в сборе,  VKM 61014</t>
  </si>
  <si>
    <t>VKM 61014</t>
  </si>
  <si>
    <t xml:space="preserve">               Натяжитель приводного ремня SKF в сборе,  VKM 62054</t>
  </si>
  <si>
    <t>VKM 62054</t>
  </si>
  <si>
    <t xml:space="preserve">               Подшипник SKF (6004-2Z)</t>
  </si>
  <si>
    <t>6004-2Z</t>
  </si>
  <si>
    <t xml:space="preserve">               Подшипник SKF опоры приводного вала, BB1B 446740</t>
  </si>
  <si>
    <t>BB1B 446740</t>
  </si>
  <si>
    <t xml:space="preserve">               Подшипник SKF роликовый конический, BT1-0017A/Q</t>
  </si>
  <si>
    <t>BT1-0017A/Q</t>
  </si>
  <si>
    <t xml:space="preserve">               Подшипник SKF шариковый, 16100-2Z</t>
  </si>
  <si>
    <t>16100-2Z</t>
  </si>
  <si>
    <t xml:space="preserve">               Подшипник SKF шариковый, 6003-2RSH/C3</t>
  </si>
  <si>
    <t>6003-2RSH/C3</t>
  </si>
  <si>
    <t xml:space="preserve">               Подшипник опоры стойки SKF, VKD 35030</t>
  </si>
  <si>
    <t>VKD 35030</t>
  </si>
  <si>
    <t xml:space="preserve">               Подшипник ступицы колеса SKF, VKBC 20007 передний</t>
  </si>
  <si>
    <t>VKBC 20007</t>
  </si>
  <si>
    <t xml:space="preserve">               Подшипник ступицы колеса SKF, VKBC 20071</t>
  </si>
  <si>
    <t>VKBC 20071</t>
  </si>
  <si>
    <t xml:space="preserve">               Ролик натяжителя ремня ГРМ, SKF  VKM 61069</t>
  </si>
  <si>
    <t>VKM 61069</t>
  </si>
  <si>
    <t xml:space="preserve">               Ролик опорный приводного ремня SKF,  VKM 88008</t>
  </si>
  <si>
    <t>VKM 88008</t>
  </si>
  <si>
    <t xml:space="preserve">               Ролик опорный приводного ремня, SKF  VKM 61015</t>
  </si>
  <si>
    <t>VKM 61015</t>
  </si>
  <si>
    <t xml:space="preserve">               Ролик опорный приводного ремня, SKF  VKM 61085</t>
  </si>
  <si>
    <t>VKM 61085</t>
  </si>
  <si>
    <t xml:space="preserve">    Подшипник  генератора SKF для а/м ВАЗ 2101-2108 большой (6302-2RSH/LHT23)</t>
  </si>
  <si>
    <t>6302-2RSH/LHT23</t>
  </si>
  <si>
    <t xml:space="preserve">    Подшипник  генератора SKF для а/м ВАЗ 2101-2108 малый (6201-2RSH/LHT23)</t>
  </si>
  <si>
    <t>6201-2RSH/LHT23</t>
  </si>
  <si>
    <t xml:space="preserve">    Подшипник  генератора SKF для а/м ВАЗ 2110 -2112 большой (6303-2RSH со смазкой LHT)</t>
  </si>
  <si>
    <t>6303-2RSH/LHT23</t>
  </si>
  <si>
    <t xml:space="preserve">    Подшипник  генератора SKF для а/м ВАЗ 2110 -2112 большой (без упаковки)</t>
  </si>
  <si>
    <t>BB1-0835 AD</t>
  </si>
  <si>
    <t xml:space="preserve">    Подшипник  генератора SKF для а/м ВАЗ 2110 -2112 малый (6202-2RSH со смазкой LHT)</t>
  </si>
  <si>
    <t>6202-2RSH/LHT23</t>
  </si>
  <si>
    <t xml:space="preserve">    Подшипник  ступицы задней  SKF LADA Samara,Kalina,Priora</t>
  </si>
  <si>
    <t>VKBC 20019</t>
  </si>
  <si>
    <t xml:space="preserve">    Подшипник  ступицы задней SKF Lada Largus, Renault Duster 2WD (VKBC 20038)</t>
  </si>
  <si>
    <t>VKBC 20038</t>
  </si>
  <si>
    <t xml:space="preserve">    Подшипник  ступицы задней SKF Renault Logan,Sandero (Ø 52mm) (VKBC 20212)</t>
  </si>
  <si>
    <t>VKBC 20212</t>
  </si>
  <si>
    <t xml:space="preserve">    Подшипник  ступицы задней SKF Renault Sandero, LADA Vesta, X-ray (Ø 55 mm)</t>
  </si>
  <si>
    <t>VKBC 20060</t>
  </si>
  <si>
    <t xml:space="preserve">    Подшипник  ступицы задней SKF для а/м ГАЗ 2217, "Газель Next" наружный (6-2007109АК)</t>
  </si>
  <si>
    <t>VKHB 9074</t>
  </si>
  <si>
    <t xml:space="preserve">    Подшипник  ступицы задней SKF для а/м ГАЗ 53,4301,ГАЗон Next,ЗИЛ-5301 наружный (У-807813А)</t>
  </si>
  <si>
    <t>VKHB 9072</t>
  </si>
  <si>
    <t xml:space="preserve">    Подшипник  ступицы передней  SKF LADA 2123, 21214 "URBAN" 2-х рядный шарик. (256809AKE12, 45х80х45)</t>
  </si>
  <si>
    <t>VKBC 20175</t>
  </si>
  <si>
    <t xml:space="preserve">    Подшипник  ступицы передней  SKF LADA Kalina,Priora,Granta</t>
  </si>
  <si>
    <t>BAH-0031D/VK210</t>
  </si>
  <si>
    <t xml:space="preserve">    Подшипник  ступицы передней  SKF LADA Niva, Chevy</t>
  </si>
  <si>
    <t>32008 X</t>
  </si>
  <si>
    <t xml:space="preserve">    Подшипник  ступицы передней  SKF LADA Samara</t>
  </si>
  <si>
    <t>VKBC 20012</t>
  </si>
  <si>
    <t xml:space="preserve">    Подшипник  ступицы передней  SKF Renault Logan, Sandero, Lada Largus с ABS</t>
  </si>
  <si>
    <t>VKBC 20040</t>
  </si>
  <si>
    <t xml:space="preserve">    Подшипник  ступицы передней  SKF для а/м ГАЗ 3302 "Газель" внутренний (6У-7307А)</t>
  </si>
  <si>
    <t>VKHB 9005</t>
  </si>
  <si>
    <t xml:space="preserve">    Подшипник  ступицы передней  SKF для а/м ГАЗ 3302 "Газель","Соболь" (6-27606А)</t>
  </si>
  <si>
    <t>VKHB 9101</t>
  </si>
  <si>
    <t xml:space="preserve">    Подшипник  ступицы передней  SKF для а/м ГАЗель Next</t>
  </si>
  <si>
    <t>VKBC 20227</t>
  </si>
  <si>
    <t xml:space="preserve">    Подшипник ведущей шестерни зад. моста (хвостовика) SKF для а/м ГАЗ 3302,2217,2752 внутр (6-27607А)</t>
  </si>
  <si>
    <t>VKHB 9103</t>
  </si>
  <si>
    <t xml:space="preserve">    Подшипник верхней опоры стойки  SKF LADA Kalina, Priora</t>
  </si>
  <si>
    <t>VKD 35032</t>
  </si>
  <si>
    <t xml:space="preserve">    Подшипник заднего моста SKF для а/м ГАЗ 66, 3308, 3310 Валдай, ГАЗель Next, ГАЗон (27308AKУ)</t>
  </si>
  <si>
    <t>VKHB 9099</t>
  </si>
  <si>
    <t xml:space="preserve">    Подшипник КПП "180308", первичного вала (закрытого типа) SKF  для а/м ГАЗель Next</t>
  </si>
  <si>
    <t xml:space="preserve">6308-2RS1N </t>
  </si>
  <si>
    <t xml:space="preserve">    Подшипник КПП SKF для а/м ГАЗ 3306, 3309, 4301 (6-7208A)</t>
  </si>
  <si>
    <t>VKHB 9114</t>
  </si>
  <si>
    <t xml:space="preserve">    Подшипник КПП вторичного вала SKF для а/м ГАЗ,"Газель"  (OE 50706)</t>
  </si>
  <si>
    <t>BB1-3913</t>
  </si>
  <si>
    <t xml:space="preserve">    Подшипник КПП первичного вала SKF Газель Next (40х90х23)</t>
  </si>
  <si>
    <t>6308 N</t>
  </si>
  <si>
    <t xml:space="preserve">    Подшипник КПП первичного вала SKF для а/м ГАЗ,"Газель"  (ST 50307)</t>
  </si>
  <si>
    <t>6307 N</t>
  </si>
  <si>
    <t xml:space="preserve">    Подшипник КПП первичного вала опорный SKF для а/м ГАЗ,"Газель" (6203-2RSH со смазкой LHT)</t>
  </si>
  <si>
    <t>6203-2RSH/LHT23</t>
  </si>
  <si>
    <t xml:space="preserve">    Подшипник КПП первичного и вторичного вала SKF LADA Kalina, Priora усиленный (BB1-0921)</t>
  </si>
  <si>
    <t>BB1-0921</t>
  </si>
  <si>
    <t xml:space="preserve">    Подшипник КПП первичного и вторичного вала SKF для а/м ВАЗ 2108-2115</t>
  </si>
  <si>
    <t>6305 N</t>
  </si>
  <si>
    <t xml:space="preserve">    Подшипник КПП первичного и вторичного вала SKF для а/м ВАЗ 2108-2115 со стопорным кольцом</t>
  </si>
  <si>
    <t>6305 NR</t>
  </si>
  <si>
    <t xml:space="preserve">    Подшипник КПП промежуточного вала SKF для а/м ГАЗель NEXT</t>
  </si>
  <si>
    <t xml:space="preserve">    Подшипник полуоси SKF для а/м ВАЗ 2101 (6306-2RS1)</t>
  </si>
  <si>
    <t>6306-2RS1</t>
  </si>
  <si>
    <t xml:space="preserve">    Подшипник ступицы SKF для а/м ГАЗ 33104 Валдай, ГАЗон Next, ЗИЛ 5301 "Бычок" (6-7607АУ)</t>
  </si>
  <si>
    <t>VKHB 9142</t>
  </si>
  <si>
    <t xml:space="preserve">    Рем.комплект задней ступицы SKF Lada Largus, Renault Duster 2WD (VKBA 6799)</t>
  </si>
  <si>
    <t>VKBA 6799</t>
  </si>
  <si>
    <t xml:space="preserve">    Рем.комплект задней ступицы SKF Renault Sandero, LADA Vesta, X-ray (Ø 55 mm)</t>
  </si>
  <si>
    <t>VKBA 6658</t>
  </si>
  <si>
    <t xml:space="preserve">    Рем.комплект передней ступицы SKF Renault Logan, Largus с ABS (VKBA 3637)</t>
  </si>
  <si>
    <t>VKBA 3637</t>
  </si>
  <si>
    <t xml:space="preserve">    Ремкомплект ГРМ  SKF (ремень+ролики) Ларгус 16кл</t>
  </si>
  <si>
    <t>VKMA06020</t>
  </si>
  <si>
    <t xml:space="preserve">    Ролик натяжителя ремня генератора SKF 1118, 2123</t>
  </si>
  <si>
    <t>VKM 32243</t>
  </si>
  <si>
    <t xml:space="preserve">    Устан. ком-т  ШРУСа универсальный SKF (к-т) уп.12к-тов, цена за упаковку (VKJP 01000)</t>
  </si>
  <si>
    <t>VKJP 01000</t>
  </si>
  <si>
    <t>SLON</t>
  </si>
  <si>
    <t xml:space="preserve">    Провода SLON в/в  Granta FL, Largus 8кл дв.11182 (свеча М12)</t>
  </si>
  <si>
    <t>8450108506SL</t>
  </si>
  <si>
    <t xml:space="preserve">    Провода SLON в/в  ВАЗ 2101-07</t>
  </si>
  <si>
    <t>2101-3707080</t>
  </si>
  <si>
    <t xml:space="preserve">    Провода SLON в/в  ВАЗ 21082  инж 8кл  1.5</t>
  </si>
  <si>
    <t>2111-3707080</t>
  </si>
  <si>
    <t xml:space="preserve">    Провода SLON в/в  ВАЗ 2112  инж 16кл  1.5</t>
  </si>
  <si>
    <t>2112-3707080</t>
  </si>
  <si>
    <t xml:space="preserve">    Провода SLON в/в  ВАЗ 2121, 21213 карб</t>
  </si>
  <si>
    <t>21213-3707080</t>
  </si>
  <si>
    <t xml:space="preserve">    Провода SLON в/в  ВАЗ 21214 инж. с модулем, до 2006г</t>
  </si>
  <si>
    <t>21214-3707080-10</t>
  </si>
  <si>
    <t>SM</t>
  </si>
  <si>
    <t xml:space="preserve">    Направляющие SM 2101 (комплект)</t>
  </si>
  <si>
    <t>88-2805/88-2806</t>
  </si>
  <si>
    <t>TESLA</t>
  </si>
  <si>
    <t xml:space="preserve">    Автолампы</t>
  </si>
  <si>
    <t xml:space="preserve">        Лампа  TESLA  R5W BA 15 s 5 W 12V</t>
  </si>
  <si>
    <t>B55101</t>
  </si>
  <si>
    <t xml:space="preserve">        Лампа TESLA  С10 W  SV 8,5-8 12V</t>
  </si>
  <si>
    <t>B86201</t>
  </si>
  <si>
    <t xml:space="preserve">        Лампа TESLA C5W  SV 8,5-8 5 W 12V</t>
  </si>
  <si>
    <t>B85301</t>
  </si>
  <si>
    <t xml:space="preserve">        Лампа TESLA PY21W orange BAU 15 s 21 W 12V</t>
  </si>
  <si>
    <t>B52301</t>
  </si>
  <si>
    <t xml:space="preserve">        Лампа TESLA W2x4.6d  1,2W 12V</t>
  </si>
  <si>
    <t>B67101</t>
  </si>
  <si>
    <t xml:space="preserve">        Лампа TESLA W3W W 2,1 x 9,5 d 3 W 12V</t>
  </si>
  <si>
    <t>B63101</t>
  </si>
  <si>
    <t xml:space="preserve">        Лампа TESLA W5W W 2,1 x 9,5 d 5 W 12V</t>
  </si>
  <si>
    <t>B65201</t>
  </si>
  <si>
    <t xml:space="preserve">        Лампа галогеновая TESLA Н1 Р 14,5 s 55 W  12V</t>
  </si>
  <si>
    <t>B10101</t>
  </si>
  <si>
    <t xml:space="preserve">        Лампа галогеновая TESLA Н1+100%  Р 14,5 s 55 W  12V</t>
  </si>
  <si>
    <t>B40101</t>
  </si>
  <si>
    <t xml:space="preserve">        Лампа галогеновая TESLA Н1+50%  Р 14,5 s 55 W  12V</t>
  </si>
  <si>
    <t>B30101</t>
  </si>
  <si>
    <t xml:space="preserve">        Лампа галогеновая TESLA Н4+50%  Р 43 t 60/55 W  12V</t>
  </si>
  <si>
    <t>B30401</t>
  </si>
  <si>
    <t xml:space="preserve">        Лампа галогеновая TESLA Н7+100% РХ 26 d 55 W 12V</t>
  </si>
  <si>
    <t>B40701</t>
  </si>
  <si>
    <t xml:space="preserve">    Предохранители</t>
  </si>
  <si>
    <t xml:space="preserve">        Предохранители Tesla   5А (50шт)</t>
  </si>
  <si>
    <t>FT00.005.050</t>
  </si>
  <si>
    <t xml:space="preserve">        Предохранители Tesla   7,5А (50шт)</t>
  </si>
  <si>
    <t>FT00.075.050</t>
  </si>
  <si>
    <t xml:space="preserve">        Предохранители Tesla  10А (50шт)</t>
  </si>
  <si>
    <t>FT00.010.050</t>
  </si>
  <si>
    <t xml:space="preserve">        Предохранители Tesla  15А (50шт)</t>
  </si>
  <si>
    <t>FT00.015.050</t>
  </si>
  <si>
    <t xml:space="preserve">        Предохранители Tesla  20А (50шт)</t>
  </si>
  <si>
    <t>FT00.020.050</t>
  </si>
  <si>
    <t xml:space="preserve">        Предохранители Tesla  25А (50шт)</t>
  </si>
  <si>
    <t>FT00.025.050</t>
  </si>
  <si>
    <t xml:space="preserve">        Предохранители Tesla  30А (50шт)</t>
  </si>
  <si>
    <t>FT00.030.050</t>
  </si>
  <si>
    <t xml:space="preserve">        Предохранители Tesla  40А (50шт)</t>
  </si>
  <si>
    <t>FT00.040.050</t>
  </si>
  <si>
    <t xml:space="preserve">        Предохранители Tesla  mini   5А (50шт)</t>
  </si>
  <si>
    <t>FN00.005.050</t>
  </si>
  <si>
    <t xml:space="preserve">        Предохранители Tesla  mini   7.5А (50шт)</t>
  </si>
  <si>
    <t>FN00.075.050</t>
  </si>
  <si>
    <t xml:space="preserve">        Предохранители Tesla  mini  10А (50шт)</t>
  </si>
  <si>
    <t>FN00.010.050</t>
  </si>
  <si>
    <t xml:space="preserve">        Предохранители Tesla  mini  15А (50шт)</t>
  </si>
  <si>
    <t>FN00.015.050</t>
  </si>
  <si>
    <t xml:space="preserve">        Предохранители Tesla  mini  20А (50шт)</t>
  </si>
  <si>
    <t>FN00.020.050</t>
  </si>
  <si>
    <t xml:space="preserve">        Предохранители Tesla  mini  25А (50шт)</t>
  </si>
  <si>
    <t>FN00.025.050</t>
  </si>
  <si>
    <t xml:space="preserve">        Предохранители Tesla  mini  30А (50шт)</t>
  </si>
  <si>
    <t>FN00.030.050</t>
  </si>
  <si>
    <t xml:space="preserve">        Предохранители Tesla  mini  LOW PROFILE   5А (50шт)</t>
  </si>
  <si>
    <t>FL00.005.050</t>
  </si>
  <si>
    <t xml:space="preserve">        Предохранители Tesla  mini  LOW PROFILE   7,5А (50шт)</t>
  </si>
  <si>
    <t>FL00.075.050</t>
  </si>
  <si>
    <t xml:space="preserve">        Предохранители Tesla  mini  LOW PROFILE  10А (50шт)</t>
  </si>
  <si>
    <t>FL00.010.050</t>
  </si>
  <si>
    <t xml:space="preserve">        Предохранители Tesla  mini  LOW PROFILE  15А (50шт)</t>
  </si>
  <si>
    <t>FL00.015.050</t>
  </si>
  <si>
    <t xml:space="preserve">        Предохранители Tesla  mini  LOW PROFILE  20А (50шт)</t>
  </si>
  <si>
    <t>FL00.020.050</t>
  </si>
  <si>
    <t xml:space="preserve">        Предохранители Tesla  mini  LOW PROFILE  25А (50шт)</t>
  </si>
  <si>
    <t>FL00.025.050</t>
  </si>
  <si>
    <t xml:space="preserve">        Предохранители Tesla  mini  LOW PROFILE  30А (50шт)</t>
  </si>
  <si>
    <t>FL00.030.050</t>
  </si>
  <si>
    <t xml:space="preserve">        Предохранители Tesla CONTINENTAL FC16А (100шт), FC16A.100</t>
  </si>
  <si>
    <t>FC00.016.100</t>
  </si>
  <si>
    <t xml:space="preserve">        Предохранители TESLA MAXI 20A (10 шт.), FX00.020.010</t>
  </si>
  <si>
    <t>FX00.020.010</t>
  </si>
  <si>
    <t xml:space="preserve">        Предохранители TESLA MAXI 30A (10 шт.), FX00.030.010</t>
  </si>
  <si>
    <t>FX00.030.010</t>
  </si>
  <si>
    <t xml:space="preserve">        Предохранители TESLA MAXI 40A (10 шт.), FX00.040.010</t>
  </si>
  <si>
    <t>FX00.040.010</t>
  </si>
  <si>
    <t xml:space="preserve">        Предохранители TESLA MAXI 50A (10 шт.), FX00.050.010</t>
  </si>
  <si>
    <t>FX00.050.010</t>
  </si>
  <si>
    <t xml:space="preserve">        Предохранители TESLA MAXI 60A (10 шт.), FX00.060.010</t>
  </si>
  <si>
    <t>FX00.060.010</t>
  </si>
  <si>
    <t xml:space="preserve">        Предохранители TESLA MAXI 70A (10 шт.), FX00.070.010</t>
  </si>
  <si>
    <t>FX00.070.010</t>
  </si>
  <si>
    <t xml:space="preserve">        Предохранители TESLA MAXI 80A (10 шт.), FX00.080.010</t>
  </si>
  <si>
    <t>FX00.080.010</t>
  </si>
  <si>
    <t xml:space="preserve">        Предохранители TESLA картридж MICRO FEMALE 20A (1 шт.), FJ17.020.001</t>
  </si>
  <si>
    <t>FJ17 20A</t>
  </si>
  <si>
    <t xml:space="preserve">        Предохранители TESLA картридж MICRO FEMALE 30A (1 шт.), FJ17.030.001</t>
  </si>
  <si>
    <t>FJ17 30A</t>
  </si>
  <si>
    <t xml:space="preserve">        Предохранители TESLA картридж MICRO FEMALE 40A (1 шт.), FJ17.040.001</t>
  </si>
  <si>
    <t>FJ17 40A</t>
  </si>
  <si>
    <t xml:space="preserve">        Предохранители TESLA картридж MICRO FEMALE 50A (1 шт.), FJ17.050.001</t>
  </si>
  <si>
    <t>FJ17 50A</t>
  </si>
  <si>
    <t xml:space="preserve">        Предохранители TESLA картридж MINI FEMALE 20A (1 шт.), FJ16.020.001</t>
  </si>
  <si>
    <t>FJ16 20A</t>
  </si>
  <si>
    <t xml:space="preserve">        Предохранители TESLA картридж MINI FEMALE 30A (1 шт.), FJ16.030.001</t>
  </si>
  <si>
    <t>FJ16 30A</t>
  </si>
  <si>
    <t xml:space="preserve">        Предохранители TESLA картридж MINI FEMALE 40A (1 шт.), FJ16.040.001</t>
  </si>
  <si>
    <t>FJ16 40A</t>
  </si>
  <si>
    <t xml:space="preserve">        Предохранители TESLA картридж MINI FEMALE 50A (1 шт.), FJ16.050.001</t>
  </si>
  <si>
    <t>FJ16 50A</t>
  </si>
  <si>
    <t xml:space="preserve">        Предохранители набор Tesla (12шт 6 видов) MINI</t>
  </si>
  <si>
    <t>F113.000.000</t>
  </si>
  <si>
    <t xml:space="preserve">        Предохранители набор Tesla (5A-30A 12шт)</t>
  </si>
  <si>
    <t>F214.000.000</t>
  </si>
  <si>
    <t xml:space="preserve">        Предохранители набор Tesla (5А-30А 12шт)+щипцы</t>
  </si>
  <si>
    <t>F120.000.000</t>
  </si>
  <si>
    <t>F224.000.000</t>
  </si>
  <si>
    <t xml:space="preserve">        Предохранители набор Tesla mini LOW PROFILE серия FL (5-30А, 12 шт. + щипцы), F117.000.000</t>
  </si>
  <si>
    <t>F117.000.000</t>
  </si>
  <si>
    <t xml:space="preserve">        Предохранители набор Tesla mini серия FN (5-30А, 12 шт. + щипцы)</t>
  </si>
  <si>
    <t>F116.000.000</t>
  </si>
  <si>
    <t xml:space="preserve">    Провода в/в (иномарка)</t>
  </si>
  <si>
    <t xml:space="preserve">        Провода ино TESLA в/в HYP T910Н Renault Logan, Largus</t>
  </si>
  <si>
    <t>T910H</t>
  </si>
  <si>
    <t xml:space="preserve">        Провода ино TESLA в/в SIL T073B  Audi 80/100/A6 2.6-2.8 91-97</t>
  </si>
  <si>
    <t>T073B</t>
  </si>
  <si>
    <t xml:space="preserve">        Провода ино TESLA в/в SIL T076B  Audi A4 1.6/VW Passat 1.6/2.0i 97, </t>
  </si>
  <si>
    <t>T076B</t>
  </si>
  <si>
    <t xml:space="preserve">        Провода ино TESLA в/в SIL T236B  Киа Спектра (Ижавто)</t>
  </si>
  <si>
    <t>T236B</t>
  </si>
  <si>
    <t xml:space="preserve">        Провода ино TESLA в/в SIL T271B  OPEL Vectra A 1,8/2,0, </t>
  </si>
  <si>
    <t>T271B</t>
  </si>
  <si>
    <t xml:space="preserve">        Провода ино TESLA в/в SIL T297B  Mazda 3/ 6 2.0i 02-, </t>
  </si>
  <si>
    <t>T297B</t>
  </si>
  <si>
    <t xml:space="preserve">        Провода ино TESLA в/в SIL T360B  CHERY Amulet FL, Bonus, Tiggo, </t>
  </si>
  <si>
    <t>T360B</t>
  </si>
  <si>
    <t xml:space="preserve">        Провода ино TESLA в/в SIL T393B  Deawoo Sens 1.3</t>
  </si>
  <si>
    <t>T393B</t>
  </si>
  <si>
    <t xml:space="preserve">        Провода ино TESLA в/в SIL T406C  AUDI A1, A3; SKODA Fabia, Octavia; VW Caddy, Golf, Jetta, Polo</t>
  </si>
  <si>
    <t>T406C</t>
  </si>
  <si>
    <t xml:space="preserve">        Провода ино TESLA в/в SIL T440B  Deawoo Nexia 1.5</t>
  </si>
  <si>
    <t>T440B</t>
  </si>
  <si>
    <t xml:space="preserve">        Провода ино TESLA в/в SIL T441B  Deawoo Matiz 0.8</t>
  </si>
  <si>
    <t>T441B</t>
  </si>
  <si>
    <t xml:space="preserve">        Провода ино TESLA в/в SIL T475B  FORD Focus I Rocam 1,6, </t>
  </si>
  <si>
    <t>T475B</t>
  </si>
  <si>
    <t xml:space="preserve">        Провода ино TESLA в/в SIL T533P  MITSUBISHI Colt, Galant, Lancer VI, Outlander I, Pajero, </t>
  </si>
  <si>
    <t>T533P</t>
  </si>
  <si>
    <t xml:space="preserve">        Провода ино TESLA в/в SIL T710B  Deawoo Nexia 1.5 16V</t>
  </si>
  <si>
    <t>T710B</t>
  </si>
  <si>
    <t xml:space="preserve">        Провода ино TESLA в/в SIL T711B  Deawoo Nexia/Lanos 1.6 16V</t>
  </si>
  <si>
    <t>T711B</t>
  </si>
  <si>
    <t xml:space="preserve">        Провода ино TESLA в/в SIL T726G  Ford Focus I, Mondeo II 1.6 - 2.0L 1996 - 2004, </t>
  </si>
  <si>
    <t>T726G</t>
  </si>
  <si>
    <t xml:space="preserve">        Провода ино TESLA в/в SIL T738B  Deawoo Nexia 1.5 (UzDaewoo)/ Lanos 1.5</t>
  </si>
  <si>
    <t>T738B</t>
  </si>
  <si>
    <t xml:space="preserve">        Провода ино TESLA в/в SIL T747B  HYUNDAI Accent, Atos, Getz, Lantra; KIA Picanto 1,1; 1,3; 1,5</t>
  </si>
  <si>
    <t>T747B</t>
  </si>
  <si>
    <t xml:space="preserve">        Провода ино TESLA в/в SIL T854C  Audi A3/4, Skoda Octavia, VW Golf IV - VI, Passat 1.6-2.0, </t>
  </si>
  <si>
    <t>T854C</t>
  </si>
  <si>
    <t xml:space="preserve">        Провода ино TESLA в/в SIL T855C  VW Bora, Golf IV, Skoda Octavia 2.0L 07.1998-</t>
  </si>
  <si>
    <t>T855C</t>
  </si>
  <si>
    <t xml:space="preserve">        Провода ино TESLA в/в SIL T868B  HYUNDAI Coupe, Lantra, Sonata 1,6; 1,8; 2,0</t>
  </si>
  <si>
    <t>T868B</t>
  </si>
  <si>
    <t xml:space="preserve">        Провода ино TESLA в/в SIL T888B  Deawoo Matiz 1.0</t>
  </si>
  <si>
    <t>T888B</t>
  </si>
  <si>
    <t xml:space="preserve">        Провода ино TESLA в/в SIL T892B  DAEWOO Matiz (01-) (0.8) (под модуль)</t>
  </si>
  <si>
    <t>T892B</t>
  </si>
  <si>
    <t xml:space="preserve">        Провода ино TESLA в/в SIL T921B  RENAULT Kangoo, Symbol 1,4; 1,6, </t>
  </si>
  <si>
    <t>T921B</t>
  </si>
  <si>
    <t xml:space="preserve">        Провода ино TESLA в/в SIL T923B  Chevrolet Lacetti </t>
  </si>
  <si>
    <t>T923B</t>
  </si>
  <si>
    <t xml:space="preserve">        Провода ино TESLA в/в SIL T927P Toyota Avensis, Camry, Picnic, RAV4 I 2.0/2.2L, </t>
  </si>
  <si>
    <t>T927P</t>
  </si>
  <si>
    <t xml:space="preserve">        Провода ино TESLA в/в SIL T930B  Renault Logan, Largus</t>
  </si>
  <si>
    <t>T930B</t>
  </si>
  <si>
    <t xml:space="preserve">        Провода ино TESLA в/в SIL T949B  Renault Megane I, Laguna I 1.4/1.6L 1996-2003,</t>
  </si>
  <si>
    <t>T949B</t>
  </si>
  <si>
    <t xml:space="preserve">        Провода ино TESLA в/в SIL T965G  Ford Mondeo III 1.8/2.0L 16V, T965G</t>
  </si>
  <si>
    <t>T965G</t>
  </si>
  <si>
    <t xml:space="preserve">        Провода ино TESLA в/в SIL T975B  SUBARU Forester, Impreza, Legacy II, </t>
  </si>
  <si>
    <t>T975B</t>
  </si>
  <si>
    <t xml:space="preserve">        Провода ино TESLA в/в SIL T985B  HONDA CR-V I, CR-V II, CRX II двиг-1,6, 2,0, </t>
  </si>
  <si>
    <t>T985B</t>
  </si>
  <si>
    <t xml:space="preserve">    Провода в/в (отеч)</t>
  </si>
  <si>
    <t xml:space="preserve">        Провода TESLA в/в HYP 134 (ВАЗ 2101-07)</t>
  </si>
  <si>
    <t>T134H</t>
  </si>
  <si>
    <t xml:space="preserve">        Провода TESLA в/в HYP 135 (ВАЗ 2108-2109)</t>
  </si>
  <si>
    <t>T135H</t>
  </si>
  <si>
    <t xml:space="preserve">        Провода TESLA в/в HYP 136 (Москвич 2141)</t>
  </si>
  <si>
    <t>T136H</t>
  </si>
  <si>
    <t xml:space="preserve">        Провода TESLA в/в HYP 340 (ВАЗ 2121)</t>
  </si>
  <si>
    <t>T340H</t>
  </si>
  <si>
    <t xml:space="preserve">        Провода TESLA в/в HYP 341 (УМЗ4216) Евро-4</t>
  </si>
  <si>
    <t>T341H</t>
  </si>
  <si>
    <t xml:space="preserve">        Провода TESLA в/в HYP 342  (ГАЗ 2410 402 дв.)</t>
  </si>
  <si>
    <t>T342H</t>
  </si>
  <si>
    <t xml:space="preserve">        Провода TESLA в/в HYP 354 (ГАЗ 3302 с 1 модулем) Евро-3</t>
  </si>
  <si>
    <t>T354H</t>
  </si>
  <si>
    <t xml:space="preserve">        Провода TESLA в/в HYP 403 (1111 ОКА)</t>
  </si>
  <si>
    <t>T403H</t>
  </si>
  <si>
    <t xml:space="preserve">        Провода TESLA в/в HYP 419 (ВАЗ 21213)</t>
  </si>
  <si>
    <t>T419H</t>
  </si>
  <si>
    <t xml:space="preserve">        Провода TESLA в/в HYP 676 (Газель дв.4216 с 2-я катушками) </t>
  </si>
  <si>
    <t>T676H</t>
  </si>
  <si>
    <t xml:space="preserve">        Провода TESLA в/в HYP 680 (ГАЗ 53/ 66/ 3307/ 3308/ ПАЗ)</t>
  </si>
  <si>
    <t>T680H</t>
  </si>
  <si>
    <t xml:space="preserve">        Провода TESLA в/в HYP 683 (ЗИЛ 130)</t>
  </si>
  <si>
    <t>T683H</t>
  </si>
  <si>
    <t xml:space="preserve">        Провода TESLA в/в HYP 684 (ВАЗ 21082  дв.1,5 инж)</t>
  </si>
  <si>
    <t>T684H</t>
  </si>
  <si>
    <t xml:space="preserve">        Провода TESLA в/в HYP 685 (ГАЗ 3110 дв.406)</t>
  </si>
  <si>
    <t>T685H</t>
  </si>
  <si>
    <t xml:space="preserve">        Провода TESLA в/в HYP 696 (ГАЗ 3110 дв.406) с наконечниками</t>
  </si>
  <si>
    <t>T696H</t>
  </si>
  <si>
    <t xml:space="preserve">        Провода TESLA в/в HYP 733 (ГАЗ, УАЗ ЗМЗ 409, 16кл.)</t>
  </si>
  <si>
    <t>T733H</t>
  </si>
  <si>
    <t xml:space="preserve">        Провода TESLA в/в HYP 771 (ВАЗ 21074 / 2123 / 21214 дв 1,6-1,7 инж)</t>
  </si>
  <si>
    <t>T771H</t>
  </si>
  <si>
    <t xml:space="preserve">        Провода TESLA в/в HYP 859 (ВАЗ 2112 inj 16кл.)</t>
  </si>
  <si>
    <t>T859H</t>
  </si>
  <si>
    <t xml:space="preserve">        Провода TESLA в/в HYP 891 (ГАЗ дв. Chrysler)</t>
  </si>
  <si>
    <t>T891H</t>
  </si>
  <si>
    <t xml:space="preserve">        Провода TESLA в/в S.SIL 514 MAG (ВАЗ 21082  8кл инж)</t>
  </si>
  <si>
    <t>T514M</t>
  </si>
  <si>
    <t xml:space="preserve">        Провода TESLA в/в S.SIL 517 MAG ((ВАЗ 21074 inj, Chevrolet - Niva)</t>
  </si>
  <si>
    <t>T517M</t>
  </si>
  <si>
    <t xml:space="preserve">        Провода TESLA в/в S.SIL 904 (ГАЗ, УАЗ ЗМЗ 409, 16кл.)</t>
  </si>
  <si>
    <t>T904M</t>
  </si>
  <si>
    <t xml:space="preserve">        Провода TESLA в/в SIL 106 (ГАЗ дв. Chrysler)</t>
  </si>
  <si>
    <t xml:space="preserve">T106S </t>
  </si>
  <si>
    <t xml:space="preserve">        Провода TESLA в/в SIL 355 (ВАЗ 2101-2107)</t>
  </si>
  <si>
    <t>T355S</t>
  </si>
  <si>
    <t xml:space="preserve">        Провода TESLA в/в SIL 356 (ВАЗ 2108-2109)</t>
  </si>
  <si>
    <t>T356S</t>
  </si>
  <si>
    <t xml:space="preserve">        Провода TESLA в/в SIL 358 (ГАЗ 2410 402 дв.)</t>
  </si>
  <si>
    <t>T358S</t>
  </si>
  <si>
    <t xml:space="preserve">        Провода TESLA в/в SIL 359 (ВАЗ 2121)</t>
  </si>
  <si>
    <t>T359S</t>
  </si>
  <si>
    <t xml:space="preserve">        Провода TESLA в/в SIL 395 (ВАЗ 21082  дв.1,5 инж)</t>
  </si>
  <si>
    <t>T395S</t>
  </si>
  <si>
    <t xml:space="preserve">        Провода TESLA в/в SIL 417 (ГАЗ 3302 c 1 модулем) Евро-3</t>
  </si>
  <si>
    <t>T417S</t>
  </si>
  <si>
    <t xml:space="preserve">        Провода TESLA в/в SIL 418 (ВАЗ 21213)</t>
  </si>
  <si>
    <t>T418S</t>
  </si>
  <si>
    <t xml:space="preserve">        Провода TESLA в/в SIL 681 (ГАЗ 53, 66, 3307, 3308; ПАЗ)</t>
  </si>
  <si>
    <t>T681S</t>
  </si>
  <si>
    <t xml:space="preserve">        Провода TESLA в/в SIL 682 (ГАЗ 3110 дв.406)</t>
  </si>
  <si>
    <t>T682S</t>
  </si>
  <si>
    <t xml:space="preserve">        Провода TESLA в/в SIL 774 (ВАЗ 2112 inj 16кл.)</t>
  </si>
  <si>
    <t>T774S</t>
  </si>
  <si>
    <t xml:space="preserve">        Провода TESLA в/в SIL 804 (ГАЗ, УАЗ ЗМЗ 409, 16кл.)</t>
  </si>
  <si>
    <t>T804S</t>
  </si>
  <si>
    <t xml:space="preserve">        Провода TESLA в/в SIL 867 (ВАЗ 21074 / 2123 / 21214 дв 1,6-1,7 инж)</t>
  </si>
  <si>
    <t>T867S</t>
  </si>
  <si>
    <t>TRT</t>
  </si>
  <si>
    <t xml:space="preserve">    Наконечник рулевой TRT 1118 прав/лев (+крепеж)</t>
  </si>
  <si>
    <t>RS7012R-RS7012L</t>
  </si>
  <si>
    <t xml:space="preserve">    Наконечник рулевой TRT 2108 прав/лев (+крепеж)</t>
  </si>
  <si>
    <t>RS7009R-RS7009L</t>
  </si>
  <si>
    <t xml:space="preserve">    Наконечник рулевой TRT 2110 прав/лев (+крепеж) [30]</t>
  </si>
  <si>
    <t>RS7013R-RS7013L</t>
  </si>
  <si>
    <t xml:space="preserve">    Наконечник рулевой TRT 2180 VESTA  левый [12]</t>
  </si>
  <si>
    <t>RS7026L</t>
  </si>
  <si>
    <t xml:space="preserve">    Наконечник рулевой TRT 2180 VESTA  правый [12]</t>
  </si>
  <si>
    <t>RS7026R</t>
  </si>
  <si>
    <t xml:space="preserve">    Наконечник рулевой TRT Lada Largus, XRay Renault Logan, Sandero левый</t>
  </si>
  <si>
    <t>RS7014L</t>
  </si>
  <si>
    <t xml:space="preserve">    Наконечник рулевой TRT Lada Largus, XRay Renault Logan, Sandero правый</t>
  </si>
  <si>
    <t>RS7014R</t>
  </si>
  <si>
    <t xml:space="preserve">    Наконечник рулевой TRT Solaris, Rio  левый</t>
  </si>
  <si>
    <t>RS7015L</t>
  </si>
  <si>
    <t xml:space="preserve">    Наконечник рулевой TRT Solaris, Rio  правый</t>
  </si>
  <si>
    <t>RS7015R</t>
  </si>
  <si>
    <t xml:space="preserve">    Опора амортизатора пер. рез. TRT Largus, Logan, Duster, Almera 13-</t>
  </si>
  <si>
    <t>NR1064</t>
  </si>
  <si>
    <t xml:space="preserve">    Опора двигателя задняя TRT  Largus</t>
  </si>
  <si>
    <t>NR1063</t>
  </si>
  <si>
    <t xml:space="preserve">    Стойка  стабилизатора передняя  TRT Lada VESTA  [8]</t>
  </si>
  <si>
    <t>RS4026F</t>
  </si>
  <si>
    <t xml:space="preserve">    Тяга рулевая TRT Hyundai Solaris, Kia Rio</t>
  </si>
  <si>
    <t>RS3015</t>
  </si>
  <si>
    <t xml:space="preserve">    Тяга стабилизатора передняя  TRT Hyundai Solaris</t>
  </si>
  <si>
    <t>RS4015</t>
  </si>
  <si>
    <t xml:space="preserve">    Шаровая опора TRT  2108 SPORT  [16]</t>
  </si>
  <si>
    <t>RS8016</t>
  </si>
  <si>
    <t xml:space="preserve">    Шаровая опора TRT  21214 URBAN 16- верхняя</t>
  </si>
  <si>
    <t>R8105</t>
  </si>
  <si>
    <t xml:space="preserve">    Шаровая опора TRT  21214 URBAN 16- нижняя</t>
  </si>
  <si>
    <t>R8106</t>
  </si>
  <si>
    <t xml:space="preserve">    Шаровая опора TRT  2123  [20]</t>
  </si>
  <si>
    <t>RS8011</t>
  </si>
  <si>
    <t xml:space="preserve">    Шаровая опора TRT  2180 VESTA левая  [16]</t>
  </si>
  <si>
    <t>RS8026L</t>
  </si>
  <si>
    <t xml:space="preserve">    Шаровая опора TRT  2180 VESTA правая  [16]</t>
  </si>
  <si>
    <t>RS8026R</t>
  </si>
  <si>
    <t xml:space="preserve">    Шаровая опора TRT  Hyundai Solaris</t>
  </si>
  <si>
    <t>RS8015</t>
  </si>
  <si>
    <t xml:space="preserve">    Шаровая опора TRT  Lada Largus 2013-</t>
  </si>
  <si>
    <t>RS8018</t>
  </si>
  <si>
    <t xml:space="preserve">    Шаровая опора TRT  Lada Largus, Renault Logan</t>
  </si>
  <si>
    <t>RS8014</t>
  </si>
  <si>
    <t>Turtle Air (багажники)</t>
  </si>
  <si>
    <t xml:space="preserve">    Перекладины багажные универсал Turtle Air  2 black 106см</t>
  </si>
  <si>
    <t>MC02001-0606B</t>
  </si>
  <si>
    <t xml:space="preserve">    Перекладины багажные универсал Turtle Air  3 silver 106см</t>
  </si>
  <si>
    <t>TA3S106</t>
  </si>
  <si>
    <t xml:space="preserve">    Перекладины багажные универсал Turtle Air 1 silver 122см</t>
  </si>
  <si>
    <t>MC01001-2222S</t>
  </si>
  <si>
    <t xml:space="preserve">    Перекладины багажные универсал Turtle Air 2 silver 122см</t>
  </si>
  <si>
    <t>MC02001-2222B</t>
  </si>
  <si>
    <t xml:space="preserve">    Переходники багажные Turtle Air для Renault Duster CLAMP3</t>
  </si>
  <si>
    <t>YMO1003</t>
  </si>
  <si>
    <t>UFI</t>
  </si>
  <si>
    <t xml:space="preserve">    ФВ UFI  Lada  Largus (двиг. ВАЗ), Vesta, X-Ray (165460509R), 30.A16.00</t>
  </si>
  <si>
    <t>30.A16.00</t>
  </si>
  <si>
    <t xml:space="preserve">    ФВ UFI  Lada Largus, Renault Logan/Duster 1,6L 16V, (OE 8200431051) 30.147.00</t>
  </si>
  <si>
    <t>30.147.S0</t>
  </si>
  <si>
    <t xml:space="preserve">    ФВ UFI (Италия) LADA 2108i - 2112i, Kalina, Priora, Granta (2112-1109080) 30.835.00</t>
  </si>
  <si>
    <t>30.835.00</t>
  </si>
  <si>
    <t xml:space="preserve">    Фильтр воздушный UFI, 27.628.00</t>
  </si>
  <si>
    <t>27.628.00</t>
  </si>
  <si>
    <t xml:space="preserve">    Фильтр воздушный UFI, 27.675.00</t>
  </si>
  <si>
    <t>27.675.00</t>
  </si>
  <si>
    <t xml:space="preserve">    Фильтр воздушный UFI, 30.080.00</t>
  </si>
  <si>
    <t>30.080.00</t>
  </si>
  <si>
    <t xml:space="preserve">    Фильтр воздушный UFI, 30.101.00</t>
  </si>
  <si>
    <t>30.101.00</t>
  </si>
  <si>
    <t xml:space="preserve">    Фильтр воздушный UFI, 30.107.00</t>
  </si>
  <si>
    <t>30.107.00</t>
  </si>
  <si>
    <t xml:space="preserve">    Фильтр воздушный UFI, 30.155.00</t>
  </si>
  <si>
    <t>30.155.00</t>
  </si>
  <si>
    <t xml:space="preserve">    Фильтр воздушный UFI, 30.268.00</t>
  </si>
  <si>
    <t>30.268.00</t>
  </si>
  <si>
    <t xml:space="preserve">    Фильтр воздушный UFI, 30.340.00</t>
  </si>
  <si>
    <t>30.340.00</t>
  </si>
  <si>
    <t xml:space="preserve">    Фильтр воздушный UFI, 30.341.00</t>
  </si>
  <si>
    <t>30.341.00</t>
  </si>
  <si>
    <t xml:space="preserve">    Фильтр воздушный UFI, 30.342.00</t>
  </si>
  <si>
    <t>30.342.00</t>
  </si>
  <si>
    <t xml:space="preserve">    Фильтр воздушный UFI, 30.365.00</t>
  </si>
  <si>
    <t>30.365.00</t>
  </si>
  <si>
    <t xml:space="preserve">    Фильтр воздушный UFI, 30.370.00</t>
  </si>
  <si>
    <t>30.370.00</t>
  </si>
  <si>
    <t xml:space="preserve">    Фильтр воздушный UFI, 30.407.00</t>
  </si>
  <si>
    <t>30.407.00</t>
  </si>
  <si>
    <t xml:space="preserve">    Фильтр воздушный UFI, 30.802.01</t>
  </si>
  <si>
    <t>30.802.01</t>
  </si>
  <si>
    <t xml:space="preserve">    Фильтр воздушный UFI, 30.946.00</t>
  </si>
  <si>
    <t>30.946.00</t>
  </si>
  <si>
    <t xml:space="preserve">    Фильтр масляный UFI,  Largus, Logan, Magane II, DUSTER 2.0  (уп 6/48)</t>
  </si>
  <si>
    <t>23.418.00</t>
  </si>
  <si>
    <t xml:space="preserve">    Фильтр масляный UFI, 23.103.00</t>
  </si>
  <si>
    <t>23.103.00</t>
  </si>
  <si>
    <t xml:space="preserve">    Фильтр масляный UFI, 23.129.02</t>
  </si>
  <si>
    <t>23.129.02</t>
  </si>
  <si>
    <t xml:space="preserve">    Фильтр масляный UFI, 23.130.01</t>
  </si>
  <si>
    <t>23.130.01</t>
  </si>
  <si>
    <t xml:space="preserve">    Фильтр масляный UFI, 23.156.03</t>
  </si>
  <si>
    <t>23.156.03</t>
  </si>
  <si>
    <t xml:space="preserve">    Фильтр масляный UFI, 23.164.00</t>
  </si>
  <si>
    <t>23.164.00</t>
  </si>
  <si>
    <t xml:space="preserve">    Фильтр масляный UFI, 23.167.00</t>
  </si>
  <si>
    <t>23.167.00</t>
  </si>
  <si>
    <t xml:space="preserve">    Фильтр масляный UFI, 23.251.00</t>
  </si>
  <si>
    <t>23.251.00</t>
  </si>
  <si>
    <t xml:space="preserve">    Фильтр масляный UFI, 23.254.00</t>
  </si>
  <si>
    <t>23.254.00</t>
  </si>
  <si>
    <t xml:space="preserve">    Фильтр масляный UFI, 23.258.00</t>
  </si>
  <si>
    <t>23.258.00</t>
  </si>
  <si>
    <t xml:space="preserve">    Фильтр масляный UFI, 23.263.00</t>
  </si>
  <si>
    <t>23.263.00</t>
  </si>
  <si>
    <t xml:space="preserve">    Фильтр масляный UFI, 23.265.00</t>
  </si>
  <si>
    <t>23.265.00</t>
  </si>
  <si>
    <t xml:space="preserve">    Фильтр масляный UFI, 23.267.00</t>
  </si>
  <si>
    <t>23.267.00</t>
  </si>
  <si>
    <t xml:space="preserve">    Фильтр масляный UFI, 23.280.00</t>
  </si>
  <si>
    <t>23.280.00</t>
  </si>
  <si>
    <t xml:space="preserve">    Фильтр масляный UFI, 23.413.00</t>
  </si>
  <si>
    <t>23.413.00</t>
  </si>
  <si>
    <t xml:space="preserve">    Фильтр масляный UFI, 23.417.00</t>
  </si>
  <si>
    <t>23.417.00</t>
  </si>
  <si>
    <t xml:space="preserve">    Фильтр масляный UFI, 23.428.00</t>
  </si>
  <si>
    <t>23.428.00</t>
  </si>
  <si>
    <t xml:space="preserve">    Фильтр масляный UFI, 23.436.00</t>
  </si>
  <si>
    <t>23.436.00</t>
  </si>
  <si>
    <t xml:space="preserve">    Фильтр масляный UFI, 23.439.00</t>
  </si>
  <si>
    <t>23.439.00</t>
  </si>
  <si>
    <t xml:space="preserve">    Фильтр масляный UFI, 23.440.00</t>
  </si>
  <si>
    <t>23.440.00</t>
  </si>
  <si>
    <t xml:space="preserve">    Фильтр масляный UFI, 23.453.00</t>
  </si>
  <si>
    <t>23.453.00</t>
  </si>
  <si>
    <t xml:space="preserve">    Фильтр масляный UFI, 23.481.00</t>
  </si>
  <si>
    <t>23.481.00</t>
  </si>
  <si>
    <t xml:space="preserve">    Фильтр масляный UFI, 23.489.00</t>
  </si>
  <si>
    <t>23.489.00</t>
  </si>
  <si>
    <t xml:space="preserve">    Фильтр масляный UFI, 23.546.00</t>
  </si>
  <si>
    <t>23.546.00</t>
  </si>
  <si>
    <t xml:space="preserve">    Фильтр масляный UFI, 23.584.00</t>
  </si>
  <si>
    <t>23.584.00</t>
  </si>
  <si>
    <t xml:space="preserve">    Фильтр масляный UFI, 25.010.00</t>
  </si>
  <si>
    <t>25.010.00</t>
  </si>
  <si>
    <t xml:space="preserve">    Фильтр масляный UFI, 25.011.00</t>
  </si>
  <si>
    <t>25.011.00</t>
  </si>
  <si>
    <t xml:space="preserve">    Фильтр масляный UFI, 25.013.00</t>
  </si>
  <si>
    <t>25.013.00</t>
  </si>
  <si>
    <t xml:space="preserve">    Фильтр масляный UFI, 25.018.00</t>
  </si>
  <si>
    <t>25.018.00</t>
  </si>
  <si>
    <t xml:space="preserve">    Фильтр масляный UFI, 25.023.00</t>
  </si>
  <si>
    <t>25.023.00</t>
  </si>
  <si>
    <t xml:space="preserve">    Фильтр масляный UFI, 25.024.00</t>
  </si>
  <si>
    <t>25.024.00</t>
  </si>
  <si>
    <t xml:space="preserve">    Фильтр масляный UFI, 25.029.00</t>
  </si>
  <si>
    <t>25.029.00</t>
  </si>
  <si>
    <t xml:space="preserve">    Фильтр масляный UFI, 25.037.00</t>
  </si>
  <si>
    <t>25.037.00</t>
  </si>
  <si>
    <t xml:space="preserve">    Фильтр масляный UFI, 25.058.00</t>
  </si>
  <si>
    <t>25.058.00</t>
  </si>
  <si>
    <t xml:space="preserve">    Фильтр масляный UFI, 25.060.00</t>
  </si>
  <si>
    <t>25.060.00</t>
  </si>
  <si>
    <t xml:space="preserve">    Фильтр масляный UFI, 25.064.00</t>
  </si>
  <si>
    <t>25.064.00</t>
  </si>
  <si>
    <t xml:space="preserve">    Фильтр масляный UFI, 25.105.00</t>
  </si>
  <si>
    <t>25.105.00</t>
  </si>
  <si>
    <t xml:space="preserve">    Фильтр масляный UFI, 25.106.00</t>
  </si>
  <si>
    <t>25.106.00</t>
  </si>
  <si>
    <t xml:space="preserve">    Фильтр масляный UFI, 25.142.00</t>
  </si>
  <si>
    <t>25.142.00</t>
  </si>
  <si>
    <t xml:space="preserve">    Фильтр масляный UFI, 25.528.00</t>
  </si>
  <si>
    <t>25.528.00</t>
  </si>
  <si>
    <t xml:space="preserve">    Фильтр салонный UFI (уголь) 54.124.00</t>
  </si>
  <si>
    <t>54.124.00</t>
  </si>
  <si>
    <t xml:space="preserve">    Фильтр салонный UFI (уголь) 54.163.00</t>
  </si>
  <si>
    <t>54.163.00</t>
  </si>
  <si>
    <t xml:space="preserve">    Фильтр салонный UFI, 53.148.00</t>
  </si>
  <si>
    <t>53.148.00</t>
  </si>
  <si>
    <t xml:space="preserve">    Фильтр топливный UFI, 24.321.00</t>
  </si>
  <si>
    <t>24.321.00</t>
  </si>
  <si>
    <t xml:space="preserve">    Фильтр топливный UFI, 24.351.00</t>
  </si>
  <si>
    <t>24.351.00</t>
  </si>
  <si>
    <t xml:space="preserve">    Фильтр топливный UFI, 24.365.00</t>
  </si>
  <si>
    <t>24.365.00</t>
  </si>
  <si>
    <t xml:space="preserve">    Фильтр топливный UFI, 24.365.01</t>
  </si>
  <si>
    <t>24.365.01</t>
  </si>
  <si>
    <t xml:space="preserve">    Фильтр топливный UFI, 24.374.00</t>
  </si>
  <si>
    <t>24.374.00</t>
  </si>
  <si>
    <t xml:space="preserve">    Фильтр топливный UFI, 24.445.00</t>
  </si>
  <si>
    <t>24.445.00</t>
  </si>
  <si>
    <t xml:space="preserve">    Фильтр топливный UFI, 26.019.01</t>
  </si>
  <si>
    <t>26.019.01</t>
  </si>
  <si>
    <t xml:space="preserve">    Фильтр топливный UFI, 26.052.00</t>
  </si>
  <si>
    <t>26.052.00</t>
  </si>
  <si>
    <t xml:space="preserve">    Фильтр топливный UFI, 31.027.00</t>
  </si>
  <si>
    <t>31.027.00</t>
  </si>
  <si>
    <t xml:space="preserve">    Фильтр топливный UFI, 31.500.00</t>
  </si>
  <si>
    <t>31.500.00</t>
  </si>
  <si>
    <t xml:space="preserve">    Фильтр топливный UFI, 31.718.00</t>
  </si>
  <si>
    <t>31.718.00</t>
  </si>
  <si>
    <t xml:space="preserve">    Фильтр топливный UFI, 31.833.00</t>
  </si>
  <si>
    <t>31.833.00</t>
  </si>
  <si>
    <t xml:space="preserve">    Фильтр топливный UFI, 31.840.00</t>
  </si>
  <si>
    <t>31.840.00</t>
  </si>
  <si>
    <t xml:space="preserve">    Фильтр топливный UFI, 31.844.00</t>
  </si>
  <si>
    <t>31.844.00</t>
  </si>
  <si>
    <t xml:space="preserve">    Фильтр топливный UFI, 31.851.00</t>
  </si>
  <si>
    <t>31.851.00</t>
  </si>
  <si>
    <t xml:space="preserve">    Фильтр топливный UFI, 31.857.04</t>
  </si>
  <si>
    <t>31.857.04</t>
  </si>
  <si>
    <t xml:space="preserve">    Фильтр топливный UFI, 60.H2O.00</t>
  </si>
  <si>
    <t>60.H2O.00</t>
  </si>
  <si>
    <t xml:space="preserve">    ФМ UFI (Италия)  LADA 2105, 2108-12, Kalina,  Priora,  Granta  (уп8)</t>
  </si>
  <si>
    <t>23.114.01</t>
  </si>
  <si>
    <t xml:space="preserve">    ФМ UFI (Италия) Nexia, Lanos, Lacetti, Aveo  (уп 6/48)</t>
  </si>
  <si>
    <t>23.299.S0</t>
  </si>
  <si>
    <t xml:space="preserve">    ФТО UFI (Италия) LADA 21074i, 2108i-2112i, ст/об  (уп 6/108)</t>
  </si>
  <si>
    <t>31.741.00</t>
  </si>
  <si>
    <t xml:space="preserve">    ФТО UFI (Италия) LADA 2110i-12i (дв. 1,6), н/об  (уп 5/90)</t>
  </si>
  <si>
    <t>31.515.00</t>
  </si>
  <si>
    <t>Valeo</t>
  </si>
  <si>
    <t xml:space="preserve">    Муфта  выключения сцепления  гидр. Valeo Largus 1.6 16V, Vesta</t>
  </si>
  <si>
    <t xml:space="preserve">    Сцепление Valeo 2101 (комплект)</t>
  </si>
  <si>
    <t xml:space="preserve">    Сцепление Valeo 2108 (комплект)</t>
  </si>
  <si>
    <t xml:space="preserve">    Сцепление Valeo 2110 (комплект)</t>
  </si>
  <si>
    <t xml:space="preserve">    Сцепление Valeo 2170/1118  (комплект)</t>
  </si>
  <si>
    <t xml:space="preserve">    Сцепление Valeo 2190 Granta  (комплект)</t>
  </si>
  <si>
    <t xml:space="preserve">    Сцепление Valeo Chevy Niva (комплект)</t>
  </si>
  <si>
    <t>Valeo (PHC)</t>
  </si>
  <si>
    <t xml:space="preserve">    Муфта  выключения сцепления  гидр. PHC (Valeo) Largus 1.6 16V, Vesta</t>
  </si>
  <si>
    <t>PRB-18C</t>
  </si>
  <si>
    <t xml:space="preserve">    Сцепление PHC (Valeo) 2108 (комплект)</t>
  </si>
  <si>
    <t>LDK-001C</t>
  </si>
  <si>
    <t xml:space="preserve">    Сцепление PHC (Valeo) 2170/1118  (комплект)</t>
  </si>
  <si>
    <t>LDK-004C</t>
  </si>
  <si>
    <t xml:space="preserve">    Сцепление PHC (Valeo) Renault  Logan, Largus 1,6 16V, Megane II 1,4-1,6л  (б/п)</t>
  </si>
  <si>
    <t>LDK-007C</t>
  </si>
  <si>
    <t>Victor Reinz</t>
  </si>
  <si>
    <t xml:space="preserve">    Герметик Victor Reinz   70мл туба (-50/+300гр)   [25]</t>
  </si>
  <si>
    <t>70-31414-10</t>
  </si>
  <si>
    <t xml:space="preserve">    КМС  Eristik Renault Logan, LADA Largus 16кл  (16шт)</t>
  </si>
  <si>
    <t>EV1906</t>
  </si>
  <si>
    <t xml:space="preserve">    КМС  Victor Reinz  8кл  (инд. упак)</t>
  </si>
  <si>
    <t>12-25837-01</t>
  </si>
  <si>
    <t xml:space="preserve">    КМС  Victor Reinz 16кл  (инд. упак)</t>
  </si>
  <si>
    <t>12-26058-03</t>
  </si>
  <si>
    <t xml:space="preserve">    Прокладка ГБЦ  21083  Victor Reinz</t>
  </si>
  <si>
    <t>61-31045-00</t>
  </si>
  <si>
    <t xml:space="preserve">    Сальник к/в Victor Reinz задний ВАЗ 2108-09  (80*100*10)   [10]</t>
  </si>
  <si>
    <t>80-51127-20</t>
  </si>
  <si>
    <t xml:space="preserve">    Сальник к/в Victor Reinz передний ВАЗ 2108-09  (28*42*7)  (по 1шт в уп)</t>
  </si>
  <si>
    <t>81-33653-10</t>
  </si>
  <si>
    <t>БелМаг</t>
  </si>
  <si>
    <t xml:space="preserve">    Стойка  стабилизатора передняя   БелМаг  LARGUS L/R</t>
  </si>
  <si>
    <t>BMSTL080</t>
  </si>
  <si>
    <t xml:space="preserve">    Стойка  стабилизатора передняя   БелМаг  VESTA</t>
  </si>
  <si>
    <t xml:space="preserve">    Шаровый палец БелМаг 1118/2190 (завод) с крепежом 2шт  [12]</t>
  </si>
  <si>
    <t xml:space="preserve">    Шаровый палец БелМаг 2101 верхняя</t>
  </si>
  <si>
    <t xml:space="preserve">    Шаровый палец БелМаг 2101 нижняя</t>
  </si>
  <si>
    <t xml:space="preserve">    Шаровый палец БелМаг 21214 URBAN с креп. накл. фланц</t>
  </si>
  <si>
    <t xml:space="preserve">    Шаровый палец БелМаг 21214 URBAN с креп. с удл.фл</t>
  </si>
  <si>
    <t>Евродеталь</t>
  </si>
  <si>
    <t xml:space="preserve">    Багажники (адаптеры и опоры на гладкую крышу)</t>
  </si>
  <si>
    <t xml:space="preserve">        Адаптеры  Евродеталь в штатные места (hatch) Solaris -17;Kia Ceed;Mazda 3/6 -13;Focus2;i30</t>
  </si>
  <si>
    <t>ED11-001</t>
  </si>
  <si>
    <t xml:space="preserve">        Адаптеры  Евродеталь в штатные места VW Amarok 2009-, Fiat Doblo 2005-</t>
  </si>
  <si>
    <t>ED11-002</t>
  </si>
  <si>
    <t xml:space="preserve">        Адаптеры  Евродеталь для Chevrolet Aveo T250 (2006-2012); Ravon R3 (2015-н.в.)</t>
  </si>
  <si>
    <t>ED10-010</t>
  </si>
  <si>
    <t xml:space="preserve">        Адаптеры  Евродеталь для Chevrolet Niva (2002 - н.в.)</t>
  </si>
  <si>
    <t>ED10-020</t>
  </si>
  <si>
    <t xml:space="preserve">        Адаптеры  Евродеталь для Daewoo Matiz (M150) (2000 - 2015)</t>
  </si>
  <si>
    <t>ED10-019</t>
  </si>
  <si>
    <t xml:space="preserve">        Адаптеры  Евродеталь для Fiat Ducato III (2006-н.в.),Peugeot Boxer (2006-н.в.)</t>
  </si>
  <si>
    <t>ED11-007</t>
  </si>
  <si>
    <t xml:space="preserve">        Адаптеры  Евродеталь для Ford Focus 3 (hatch) (2011 - н.в.)</t>
  </si>
  <si>
    <t>ED10-021</t>
  </si>
  <si>
    <t xml:space="preserve">        Адаптеры  Евродеталь для Geely Emgrand 7 (2012-н.в.)</t>
  </si>
  <si>
    <t>ED10-047</t>
  </si>
  <si>
    <t xml:space="preserve">        Адаптеры  Евродеталь для Haval F7 (2018-н.в.)</t>
  </si>
  <si>
    <t>ED10-031</t>
  </si>
  <si>
    <t xml:space="preserve">        Адаптеры  Евродеталь для Honda Civic 4D (sedan) VIII (2006-2012)</t>
  </si>
  <si>
    <t>ED10-036</t>
  </si>
  <si>
    <t xml:space="preserve">        Адаптеры  Евродеталь для Hyundai Accent  (LC 1999 - 2006)</t>
  </si>
  <si>
    <t>ED10-004</t>
  </si>
  <si>
    <t xml:space="preserve">        Адаптеры  Евродеталь для Hyundai Creta (5-dr suv) (2016-н.в.) без рейлингов</t>
  </si>
  <si>
    <t>ED10-039</t>
  </si>
  <si>
    <t xml:space="preserve">        Адаптеры  Евродеталь для Hyundai Elantra (2015 - 2019)</t>
  </si>
  <si>
    <t>ED10-003</t>
  </si>
  <si>
    <t xml:space="preserve">        Адаптеры  Евродеталь для Hyundai Elantra (2019-н.в.)</t>
  </si>
  <si>
    <t>ED10-029</t>
  </si>
  <si>
    <t xml:space="preserve">        Адаптеры  Евродеталь для Hyundai Solaris (sedan) (2011 - 2017)</t>
  </si>
  <si>
    <t>ED10-005</t>
  </si>
  <si>
    <t xml:space="preserve">        Адаптеры  Евродеталь для Hyundai Solaris II (sedan) (2017 - н.в.) </t>
  </si>
  <si>
    <t>ED10-022</t>
  </si>
  <si>
    <t xml:space="preserve">        Адаптеры  Евродеталь для Hyundai Sonata Sedan (1998-2011) IV (EF)</t>
  </si>
  <si>
    <t>ED10-027</t>
  </si>
  <si>
    <t xml:space="preserve">        Адаптеры  Евродеталь для Hyundai Sonata Sedan (2014-2019) VII (LF)</t>
  </si>
  <si>
    <t>ED10-028</t>
  </si>
  <si>
    <t xml:space="preserve">        Адаптеры  Евродеталь для KIA Optima IV (2015-н.в.)</t>
  </si>
  <si>
    <t>ED10-048</t>
  </si>
  <si>
    <t xml:space="preserve">        Адаптеры  Евродеталь для KIA Rio (5-dr hatch)  (2011-2017)</t>
  </si>
  <si>
    <t>ED10-026</t>
  </si>
  <si>
    <t xml:space="preserve">        Адаптеры  Евродеталь для KIA Rio 3 (sedan) (2011-2017)</t>
  </si>
  <si>
    <t>ED10-011</t>
  </si>
  <si>
    <t xml:space="preserve">        Адаптеры  Евродеталь для KIA Sportage (2016 - н.в)</t>
  </si>
  <si>
    <t>ED10-015</t>
  </si>
  <si>
    <t xml:space="preserve">        Адаптеры  Евродеталь для Lada Granta (Sedan/Liftback 2011-н.) Datsun On-Do (4-dr Sedan) (2014-н.в.)</t>
  </si>
  <si>
    <t>ED10-033</t>
  </si>
  <si>
    <t xml:space="preserve">        Адаптеры  Евродеталь для LADA Vesta (sedan) (2015 - н.в)</t>
  </si>
  <si>
    <t>ED10-009</t>
  </si>
  <si>
    <t xml:space="preserve">        Адаптеры  Евродеталь для Land Rover Freelander II (2006-2014)</t>
  </si>
  <si>
    <t>ED10-046</t>
  </si>
  <si>
    <t xml:space="preserve">        Адаптеры  Евродеталь для Mazda CX5  (2017 - н.в.)</t>
  </si>
  <si>
    <t>ED10-017</t>
  </si>
  <si>
    <t xml:space="preserve">        Адаптеры  Евродеталь для Mitsubishi  Outlander 3 поколение (2012-н.в.)</t>
  </si>
  <si>
    <t>ED10-044</t>
  </si>
  <si>
    <t xml:space="preserve">        Адаптеры  Евродеталь для Mitsubishi I200 IV поколение (2007-2014)</t>
  </si>
  <si>
    <t>ED10-054</t>
  </si>
  <si>
    <t xml:space="preserve">        Адаптеры  Евродеталь для Nissan Almera G15 (2012-2018)</t>
  </si>
  <si>
    <t>ED10-012</t>
  </si>
  <si>
    <t xml:space="preserve">        Адаптеры  Евродеталь для Nissan B 10 Almera Classic</t>
  </si>
  <si>
    <t>ED10-024</t>
  </si>
  <si>
    <t xml:space="preserve">        Адаптеры  Евродеталь для Nissan Juke (2010 - н.в)</t>
  </si>
  <si>
    <t>ED10-001</t>
  </si>
  <si>
    <t xml:space="preserve">        Адаптеры  Евродеталь для Nissan Note (2009 - 2014)</t>
  </si>
  <si>
    <t>ED10-002</t>
  </si>
  <si>
    <t xml:space="preserve">        Адаптеры  Евродеталь для Nissan Qashqai II (2014-н.в.)</t>
  </si>
  <si>
    <t>ED10-042</t>
  </si>
  <si>
    <t xml:space="preserve">        Адаптеры  Евродеталь для Nissan X-Trail I (T30) (2000-2007)</t>
  </si>
  <si>
    <t>ED11-005</t>
  </si>
  <si>
    <t xml:space="preserve">        Адаптеры  Евродеталь для Peugeot Expert 3 (2016 - н.в.), Opel Zafira Life (2019 - н.в.)</t>
  </si>
  <si>
    <t>ED11-004</t>
  </si>
  <si>
    <t xml:space="preserve">        Адаптеры  Евродеталь для Renault Arkana  (2019 - н.в.)</t>
  </si>
  <si>
    <t>ED10-018</t>
  </si>
  <si>
    <t xml:space="preserve">        Адаптеры  Евродеталь для Renault Kaptur (2016-н.в.)</t>
  </si>
  <si>
    <t>ED10-045</t>
  </si>
  <si>
    <t xml:space="preserve">        Адаптеры  Евродеталь для Renault Logan I</t>
  </si>
  <si>
    <t>ED10-035</t>
  </si>
  <si>
    <t xml:space="preserve">        Адаптеры  Евродеталь для Renault Logan II (Sedan) (2012-н.в.),Renault Sandero I (2007-2014)</t>
  </si>
  <si>
    <t>ED10-034</t>
  </si>
  <si>
    <t xml:space="preserve">        Адаптеры  Евродеталь для Skoda Rapid  (2013 - н.в.)</t>
  </si>
  <si>
    <t>ED10-007</t>
  </si>
  <si>
    <t xml:space="preserve">        Адаптеры  Евродеталь для Toyota Camry (XV50) VII (2011-2017)</t>
  </si>
  <si>
    <t>ED10-051</t>
  </si>
  <si>
    <t xml:space="preserve">        Адаптеры  Евродеталь для Toyota Hilux (2017 -  н.в.)</t>
  </si>
  <si>
    <t>ED10-014</t>
  </si>
  <si>
    <t xml:space="preserve">        Адаптеры  Евродеталь для Toyota Hilux (VII с 2004 по 2015 г.в)</t>
  </si>
  <si>
    <t>ED10-008</t>
  </si>
  <si>
    <t xml:space="preserve">        Адаптеры  Евродеталь для Toyota Rav4 (XA30) (2005-2014)</t>
  </si>
  <si>
    <t>ED10-030</t>
  </si>
  <si>
    <t xml:space="preserve">        Адаптеры  Евродеталь для VW Jetta 5-6 (2010 - 2019)</t>
  </si>
  <si>
    <t>ED10-013</t>
  </si>
  <si>
    <t xml:space="preserve">        Адаптеры  Евродеталь для VW Passat B7 (2012-2015)</t>
  </si>
  <si>
    <t>ED10-025</t>
  </si>
  <si>
    <t xml:space="preserve">        Адаптеры  Евродеталь для VW Polo Sedan (2010 - н.в)</t>
  </si>
  <si>
    <t>ED10-006</t>
  </si>
  <si>
    <t xml:space="preserve">        Комплект опор под адаптеры  Евродеталь</t>
  </si>
  <si>
    <t>ED2-101F</t>
  </si>
  <si>
    <t xml:space="preserve">        Комплект опор под адаптеры  Евродеталь (с замком)</t>
  </si>
  <si>
    <t>ED2-201F</t>
  </si>
  <si>
    <t xml:space="preserve">    Багажники (перекладины и крепления)</t>
  </si>
  <si>
    <t xml:space="preserve">        Багажник Евродеталь на рейлинги  В СБОРЕ  (110см)</t>
  </si>
  <si>
    <t>ED7-510C</t>
  </si>
  <si>
    <t xml:space="preserve">        Комплект крeпежа  Евродеталь  для автомобилей с водостоками</t>
  </si>
  <si>
    <t>ED2-001F</t>
  </si>
  <si>
    <t xml:space="preserve">        Комплект крепежа  Евродеталь 1118,19, Калина, 2190 Гранта</t>
  </si>
  <si>
    <t>ED2-118F</t>
  </si>
  <si>
    <t xml:space="preserve">        Комплект крепежа  Евродеталь 2110, 2112</t>
  </si>
  <si>
    <t>ED2-110F</t>
  </si>
  <si>
    <t xml:space="preserve">        Комплект крепежа  Евродеталь 2123 Шеви-Нива</t>
  </si>
  <si>
    <t>ED2-123F</t>
  </si>
  <si>
    <t xml:space="preserve">        Комплект крепежа  Евродеталь 2170 Приора</t>
  </si>
  <si>
    <t>ED2-170F</t>
  </si>
  <si>
    <t xml:space="preserve">        Комплект крепежа  Евродеталь 2170 Приора (ст.обр)</t>
  </si>
  <si>
    <t>ED2-070F</t>
  </si>
  <si>
    <t xml:space="preserve">        Комплект крепежа  Евродеталь ARGO на рейлинги</t>
  </si>
  <si>
    <t>ED2-301F</t>
  </si>
  <si>
    <t xml:space="preserve">        Комплект крепежа  Евродеталь ARGO на рейлинги (с замком)</t>
  </si>
  <si>
    <t>ED2-311F</t>
  </si>
  <si>
    <t xml:space="preserve">        Комплект крепежа  Евродеталь ARGO с интегрированными рейлингами</t>
  </si>
  <si>
    <t>ED2-302F</t>
  </si>
  <si>
    <t xml:space="preserve">        Комплект крепежа  Евродеталь Nissan Pathfinder R51 (2005-2014г)</t>
  </si>
  <si>
    <t>ED2-014F</t>
  </si>
  <si>
    <t xml:space="preserve">        Комплект крепежа  Евродеталь Renault Duster с рейлингами (2015 по н.в.)</t>
  </si>
  <si>
    <t>ED2-013F</t>
  </si>
  <si>
    <t xml:space="preserve">        Комплект крепежа  Евродеталь Renault Duster с рейлингами с замком (2015 по н.в.)</t>
  </si>
  <si>
    <t>ED2-113F</t>
  </si>
  <si>
    <t xml:space="preserve">        Комплект крепежа  Евродеталь на рейлинги (с замком)</t>
  </si>
  <si>
    <t>ED2-111F</t>
  </si>
  <si>
    <t xml:space="preserve">        Комплект крепежа  Евродеталь Тип А (без водостока)</t>
  </si>
  <si>
    <t>ED2-004F</t>
  </si>
  <si>
    <t xml:space="preserve">        Комплект крепежа  Евродеталь Тип Б (без водостока)</t>
  </si>
  <si>
    <t>ED2-005F</t>
  </si>
  <si>
    <t xml:space="preserve">        Комплект крепежа  Евродеталь Тип Е (штатные места)</t>
  </si>
  <si>
    <t>ED2-006F</t>
  </si>
  <si>
    <t xml:space="preserve">        Перекладины  Евродеталь 115см (2шт) для 2108, 2110-12, Приора, Калина, Гранта, Нексия</t>
  </si>
  <si>
    <t>ED6-115T</t>
  </si>
  <si>
    <t xml:space="preserve">        Перекладины  Евродеталь 125см (2шт) для 2101-07, Логан</t>
  </si>
  <si>
    <t>ED6-125T</t>
  </si>
  <si>
    <t xml:space="preserve">        Перекладины  Евродеталь 135см (2шт) для 2121, Шеви Нива</t>
  </si>
  <si>
    <t>ED6-135T</t>
  </si>
  <si>
    <t xml:space="preserve">        Перекладины с пазами  Евродеталь   (крыло) серебристые 110см (2шт)</t>
  </si>
  <si>
    <t>ED7-110K</t>
  </si>
  <si>
    <t xml:space="preserve">        Перекладины с пазами  Евродеталь   (крыло) серебристые 125см (2шт)</t>
  </si>
  <si>
    <t>ED7-125K</t>
  </si>
  <si>
    <t xml:space="preserve">        Перекладины с пазами  Евродеталь   (крыло) серебристые 135см (2шт)</t>
  </si>
  <si>
    <t>ED7-135K</t>
  </si>
  <si>
    <t xml:space="preserve">        Перекладины с пазами  Евродеталь   (сталь) 110см (2шт)</t>
  </si>
  <si>
    <t>ED7-210S</t>
  </si>
  <si>
    <t xml:space="preserve">        Перекладины с пазами  Евродеталь   (сталь) 125см (2шт)</t>
  </si>
  <si>
    <t>ED7-225S</t>
  </si>
  <si>
    <t xml:space="preserve">        Перекладины с пазами  Евродеталь   (сталь) 135см (2шт)</t>
  </si>
  <si>
    <t>ED7-235S</t>
  </si>
  <si>
    <t xml:space="preserve">        Перекладины с пазами  Евродеталь   аэро (серебр)  110см</t>
  </si>
  <si>
    <t>ED7 010A</t>
  </si>
  <si>
    <t xml:space="preserve">        Перекладины с пазами  Евродеталь   аэро (серебр)  125см</t>
  </si>
  <si>
    <t>ED7 025A</t>
  </si>
  <si>
    <t xml:space="preserve">        Перекладины с пазами  Евродеталь   аэро (серебр)  135см</t>
  </si>
  <si>
    <t>ED7 035A</t>
  </si>
  <si>
    <t xml:space="preserve">    БОКСЫ на крышу авто</t>
  </si>
  <si>
    <t xml:space="preserve">        Бокс  автомобильный Евродеталь Магнум 390  БЫСТРОСЪЕМ "карбон" (белый)   (1850х840х420) </t>
  </si>
  <si>
    <t>ED5-047B</t>
  </si>
  <si>
    <t xml:space="preserve">        Бокс  автомобильный Евродеталь Магнум 390  БЫСТРОСЪЕМ "карбон" (черный)   (1850х840х420)</t>
  </si>
  <si>
    <t>ED5-045B</t>
  </si>
  <si>
    <t xml:space="preserve">    Грузовые платформы (под заказ)</t>
  </si>
  <si>
    <t xml:space="preserve">        Груз.плат. ЕД ГАЗ 2217/2752 (Соболь) (+крепеж)</t>
  </si>
  <si>
    <t>ED2-216C</t>
  </si>
  <si>
    <t xml:space="preserve">        Лестница Евродеталь  ГАЗ 3221,2705 (Газель) - ГАЗ 2752 (Соболь)</t>
  </si>
  <si>
    <t>ED8-215L</t>
  </si>
  <si>
    <t xml:space="preserve">        Платформа с отдельным креплением и перекладинами.</t>
  </si>
  <si>
    <t xml:space="preserve">            Груз.плат. ЕД ГАЗ Некст (A32R32/A32/R33)(грузопассажир) </t>
  </si>
  <si>
    <t>ED2-226С</t>
  </si>
  <si>
    <t xml:space="preserve">            Груз.плат. ЕД ГАЗ Некст (A32R32/A32/R33)(грузопассажир) с сеткой </t>
  </si>
  <si>
    <t>ED2-243N</t>
  </si>
  <si>
    <t xml:space="preserve">            Комплект крепежа и перекладин ЕД VW (Transporter T5/T6) (короткая база)</t>
  </si>
  <si>
    <t>ED7-003C</t>
  </si>
  <si>
    <t xml:space="preserve">            Комплект крепежа и перекладин ЕД Газель Некст (грузовая) - 5 шт.</t>
  </si>
  <si>
    <t>ED7-002C</t>
  </si>
  <si>
    <t xml:space="preserve">    Комплектовка</t>
  </si>
  <si>
    <t xml:space="preserve">        Верхняя резинка алюминиевого профиля (1,5 м.)</t>
  </si>
  <si>
    <t>ED0-005RP</t>
  </si>
  <si>
    <t xml:space="preserve">        Заглушка крыловидного профиля (левая\правая,комплект 2шт.)</t>
  </si>
  <si>
    <t>ED0-032RP</t>
  </si>
  <si>
    <t xml:space="preserve">        Заглушка на аэро</t>
  </si>
  <si>
    <t>ED0-004RP</t>
  </si>
  <si>
    <t xml:space="preserve">        Заглушка на водосток (квадратная)</t>
  </si>
  <si>
    <t>ED0-001RP</t>
  </si>
  <si>
    <t xml:space="preserve">        Заглушка на крыло (левая)</t>
  </si>
  <si>
    <t>ED0-003RP</t>
  </si>
  <si>
    <t xml:space="preserve">        Заглушка на крыло (правая)</t>
  </si>
  <si>
    <t>ED0-002RP</t>
  </si>
  <si>
    <t xml:space="preserve">        Крышка крепления рейлинга</t>
  </si>
  <si>
    <t>ED0-016RP</t>
  </si>
  <si>
    <t xml:space="preserve">    Крышки, провода, щупы</t>
  </si>
  <si>
    <t xml:space="preserve">        Адаптер Евродеталь Т-образный (переходник)</t>
  </si>
  <si>
    <t>ED5-002T</t>
  </si>
  <si>
    <t xml:space="preserve">        Крышка МЗГ Евродеталь ВАЗ 1118/1119/2170 резьба  (уп 100)</t>
  </si>
  <si>
    <t>ED1-019M</t>
  </si>
  <si>
    <t xml:space="preserve">        Крышка МЗГ Евродеталь ВАЗ 2112  высокая (уп 100)</t>
  </si>
  <si>
    <t>ED1-012M</t>
  </si>
  <si>
    <t xml:space="preserve">        Крышка МЗГ Евродеталь ГАЗ 402  (уп 200)</t>
  </si>
  <si>
    <t>ED1-402M</t>
  </si>
  <si>
    <t xml:space="preserve">        Крышка МЗГ Евродеталь ГАЗ 406  (уп 100)</t>
  </si>
  <si>
    <t>ED1-406M</t>
  </si>
  <si>
    <t xml:space="preserve">        Крышка радиатора Евродеталь 2101  (уп 100шт)</t>
  </si>
  <si>
    <t>ED1-107R</t>
  </si>
  <si>
    <t xml:space="preserve">        Пробка РБ Евродеталь 2110 желтая  (в упак 200шт)</t>
  </si>
  <si>
    <t>ED1-108R</t>
  </si>
  <si>
    <t xml:space="preserve">        Провода (прикур.)  Евродеталь  силикон 200А  2м</t>
  </si>
  <si>
    <t>ED5-200 S</t>
  </si>
  <si>
    <t xml:space="preserve">        Провода (прикур.)  Евродеталь  силикон 300А  2,8м</t>
  </si>
  <si>
    <t>ED5-300 R</t>
  </si>
  <si>
    <t xml:space="preserve">        Стяжка груза Евродеталь  с храповым механизмом (длина 3,7м)</t>
  </si>
  <si>
    <t>ED5-003C</t>
  </si>
  <si>
    <t xml:space="preserve">        Стяжка груза Евродеталь (без крючков) с храповым механизмом (длина 4м)</t>
  </si>
  <si>
    <t>ED5-004С</t>
  </si>
  <si>
    <t xml:space="preserve">        Щуп масляный Евродеталь 2108 нерж.сталь  (в упак 200шт)</t>
  </si>
  <si>
    <t>ED3-008P</t>
  </si>
  <si>
    <t xml:space="preserve">        Щуп масляный Евродеталь 2121 нерж.сталь  (в упак 200шт)</t>
  </si>
  <si>
    <t>ED3-021P</t>
  </si>
  <si>
    <t xml:space="preserve">    Стулья, сумки, чехлы</t>
  </si>
  <si>
    <t xml:space="preserve">        Контейнер рыбака (для червей)</t>
  </si>
  <si>
    <t xml:space="preserve">        Органайзер к стулу Атаман Евродеталь</t>
  </si>
  <si>
    <t>АМ3001</t>
  </si>
  <si>
    <t xml:space="preserve">        Рюкзак городской "Albus" 21L</t>
  </si>
  <si>
    <t>AM3003</t>
  </si>
  <si>
    <t xml:space="preserve">        Рюкзак городской "Nomad" 25L</t>
  </si>
  <si>
    <t>AM3004</t>
  </si>
  <si>
    <t xml:space="preserve">        Рюкзак городской "Nomad" 25L (серый соты)</t>
  </si>
  <si>
    <t>AM3007</t>
  </si>
  <si>
    <t xml:space="preserve">        Стул складной малый со спинкой (сетка) Евродеталь</t>
  </si>
  <si>
    <t>AM1102</t>
  </si>
  <si>
    <t xml:space="preserve">        Стул складной табурет (ножки) Евродеталь (до 100кг)</t>
  </si>
  <si>
    <t>AM1103</t>
  </si>
  <si>
    <t xml:space="preserve">        Стул-тренога А  Евродеталь (черный) малый</t>
  </si>
  <si>
    <t>AM1201</t>
  </si>
  <si>
    <t xml:space="preserve">        Стул-тренога В  Евродеталь (черный) средний</t>
  </si>
  <si>
    <t>AM1202</t>
  </si>
  <si>
    <t xml:space="preserve">        Стул-тренога С  Евродеталь (черный) большой</t>
  </si>
  <si>
    <t>AM1203</t>
  </si>
  <si>
    <t xml:space="preserve">        Сумка в бокс "Magnum Bag"</t>
  </si>
  <si>
    <t>ED5-004S</t>
  </si>
  <si>
    <t xml:space="preserve">        Сумка для сапог</t>
  </si>
  <si>
    <t>AM4001 / АМ3002</t>
  </si>
  <si>
    <t xml:space="preserve">        Сумка дорожная черная</t>
  </si>
  <si>
    <t>ED5-005S</t>
  </si>
  <si>
    <t xml:space="preserve">        Сумка охотничья (баул) 60л. (Камуфляж)</t>
  </si>
  <si>
    <t>AM3008</t>
  </si>
  <si>
    <t xml:space="preserve">        Чехол для бокса (размер L)</t>
  </si>
  <si>
    <t>ED5-001S</t>
  </si>
  <si>
    <t xml:space="preserve">        Чехол для бокса (размер XL)</t>
  </si>
  <si>
    <t>ED5-002S</t>
  </si>
  <si>
    <t xml:space="preserve">    Тормозные колодки</t>
  </si>
  <si>
    <t xml:space="preserve">        Колодка диcкового тормоза  Евродеталь  DAEWOO NEXIA 16V,  CHEVROLET LAСETTI</t>
  </si>
  <si>
    <t>ED4-303D</t>
  </si>
  <si>
    <t xml:space="preserve">        Колодка диcкового тормоза  Евродеталь  Lada Largus, Lada Vesta v16, Renault Duster 1,6</t>
  </si>
  <si>
    <t>ED4-301R</t>
  </si>
  <si>
    <t xml:space="preserve">        Колодка диcкового тормоза  Евродеталь  LADA X-RAY , LOGAN II (155*49*17.5)</t>
  </si>
  <si>
    <t>ED4-237B</t>
  </si>
  <si>
    <t xml:space="preserve">        Колодка диcкового тормоза  Евродеталь  Renault Logan, Lada Largus v8</t>
  </si>
  <si>
    <t>ED4-300R</t>
  </si>
  <si>
    <t xml:space="preserve">        Колодка диcкового тормоза  Евродеталь 1111  (в упак 5шт)</t>
  </si>
  <si>
    <t>ED4-211B</t>
  </si>
  <si>
    <t xml:space="preserve">        Колодка диcкового тормоза  Евродеталь 2101-07  (в упак 5шт)</t>
  </si>
  <si>
    <t>ED4-201B</t>
  </si>
  <si>
    <t xml:space="preserve">        Колодка диcкового тормоза  Евродеталь 2108-10  (в упак 5шт)</t>
  </si>
  <si>
    <t>ED4-208B</t>
  </si>
  <si>
    <t xml:space="preserve">        Колодка диcкового тормоза  Евродеталь 2110-70  (в упак 5шт)</t>
  </si>
  <si>
    <t>ED4-210B</t>
  </si>
  <si>
    <t xml:space="preserve">        Колодка диcкового тормоза  Евродеталь 2121-23  (в упак 5шт)</t>
  </si>
  <si>
    <t>ED4-221B</t>
  </si>
  <si>
    <t xml:space="preserve">        Колодка диcкового тормоза  Евродеталь 3302/3110  (в упак 5шт)</t>
  </si>
  <si>
    <t>ED4-233B</t>
  </si>
  <si>
    <t xml:space="preserve">        Колодка диcкового тормоза  Евродеталь UAZ PATRIOT 3160, HANTER 3151</t>
  </si>
  <si>
    <t>ED4-235B</t>
  </si>
  <si>
    <t xml:space="preserve">        Колодка диcкового тормоза  Евродеталь Газель NEXT</t>
  </si>
  <si>
    <t>ED4-234B</t>
  </si>
  <si>
    <t xml:space="preserve">        Колодка диcкового тормоза  НОВИНКА! Евродеталь  HYUNDAI  SOLARIS (&gt;2010), KIA RIO III/CEED (&gt;2012)</t>
  </si>
  <si>
    <t>ED4-318H</t>
  </si>
  <si>
    <t xml:space="preserve">        Колодка дискового тормоза  НОВИНКА! задние Евродеталь  HYUNDAI Solaris, KIA Rio III, SOUL/CEED (12-)</t>
  </si>
  <si>
    <t>ED4-319H</t>
  </si>
  <si>
    <t xml:space="preserve">        Колодки бaрабанного тормоза Евродеталь  DAEWOO NEXIA/NUBIRA, CHEVROLET LANOS (200мм) 96226110</t>
  </si>
  <si>
    <t>ED4-327N</t>
  </si>
  <si>
    <t xml:space="preserve">        Колодки бaрабанного тормоза Евродеталь  LADA Largus Renault Duster 2WD с рычагом 230-42мм</t>
  </si>
  <si>
    <t>ED4-329R</t>
  </si>
  <si>
    <t xml:space="preserve">        Колодки бaрабанного тормоза Евродеталь  LADA VESTA</t>
  </si>
  <si>
    <t>ED4-331D</t>
  </si>
  <si>
    <t xml:space="preserve">        Колодки бaрабанного тормоза Евродеталь  LADA X-RAY, RENAULT LOGAN /SANDER (203мм) 440609415R</t>
  </si>
  <si>
    <t>ED4-332D</t>
  </si>
  <si>
    <t xml:space="preserve">        Колодки бaрабанного тормоза Евродеталь  RENAULT LOGAN I/SANDERO,PEUGEOT 106/206 (203 мм)7701208111</t>
  </si>
  <si>
    <t>ED4-330R</t>
  </si>
  <si>
    <t xml:space="preserve">        Колодки бaрабанного тормоза Евродеталь  VW Polo 2011-,Skoda Fabia 2007-2015/Rapid 2013-по нв</t>
  </si>
  <si>
    <t>ED4-536U</t>
  </si>
  <si>
    <t xml:space="preserve">        Колодки бaрабанного тормоза Евродеталь  Ока</t>
  </si>
  <si>
    <t>ED4-244B</t>
  </si>
  <si>
    <t xml:space="preserve">        Колодки бaрабанного тормоза Евродеталь  УАЗ 3163 "Патриот"с 2014г ( клепанная)</t>
  </si>
  <si>
    <t>ED4-581U</t>
  </si>
  <si>
    <t xml:space="preserve">        Колодки бaрабанного тормоза Евродеталь  УАЗ 469, 3741, 3909, 3303 ( клепанная)</t>
  </si>
  <si>
    <t>ED4-580U</t>
  </si>
  <si>
    <t xml:space="preserve">        Колодки бaрабанного тормоза Евродеталь 1118, 2170 с АБС (уп 5)</t>
  </si>
  <si>
    <t>ED4-243B</t>
  </si>
  <si>
    <t xml:space="preserve">        Колодки бaрабанного тормоза Евродеталь 2101-07  (в упак 5шт)</t>
  </si>
  <si>
    <t>ED4-101B</t>
  </si>
  <si>
    <t xml:space="preserve">        Колодки бaрабанного тормоза Евродеталь 2108-12  (в упак 5шт)</t>
  </si>
  <si>
    <t>ED4-108B</t>
  </si>
  <si>
    <t xml:space="preserve">        Колодки бaрабанного тормоза Евродеталь 3302/3110  (в упак 3шт)</t>
  </si>
  <si>
    <t>ED4-133B</t>
  </si>
  <si>
    <t xml:space="preserve">    Экспедиционные (под заказ)</t>
  </si>
  <si>
    <t xml:space="preserve">        Багажник Евродеталь экспедиционный ВАЗ 2131(Нива-удлиненная) без сетки</t>
  </si>
  <si>
    <t>ED2-204E</t>
  </si>
  <si>
    <t xml:space="preserve">        Корзина универсальная  (1250*1050*140)</t>
  </si>
  <si>
    <t>ED5-110B</t>
  </si>
  <si>
    <t>Компрессоры автомобильные</t>
  </si>
  <si>
    <t xml:space="preserve">    Компрессор КАЧОК K30</t>
  </si>
  <si>
    <t xml:space="preserve">    Компрессор КАЧОК K40</t>
  </si>
  <si>
    <t>Разное</t>
  </si>
  <si>
    <t xml:space="preserve">    ASP (Coram)</t>
  </si>
  <si>
    <t xml:space="preserve">        ъРолик  ГРМ ASP-Coram Priora натяжной</t>
  </si>
  <si>
    <t>BC835</t>
  </si>
  <si>
    <t xml:space="preserve">        ъРолик  ГРМ ASP-Coram Priora опорный</t>
  </si>
  <si>
    <t>BC834</t>
  </si>
  <si>
    <t xml:space="preserve">    Герметик прокладки Локтайт (оранжевый) по 10шт</t>
  </si>
  <si>
    <t xml:space="preserve">    Жидкость стеклоомывателя  ЗИМНЯЯ (-30С)  5л</t>
  </si>
  <si>
    <t xml:space="preserve">    Катушка зажигания  LADA Vesta (21126) Priora, Granta, Kalina (г.Новосибирск)</t>
  </si>
  <si>
    <t xml:space="preserve">    Кольца NPR 79.8</t>
  </si>
  <si>
    <t xml:space="preserve">    Поводок стек-ля NPA 2108-09</t>
  </si>
  <si>
    <t>NP52019</t>
  </si>
  <si>
    <t xml:space="preserve">    Сальник к/в (красный) передний ВАЗ 2108-09  (28*42*7)  (уп 20шт)</t>
  </si>
  <si>
    <t>RT000048</t>
  </si>
  <si>
    <t xml:space="preserve">    Тeрмостат охл.  Лада Имидж  ВАЗ 2190  Granta "85C в сборе</t>
  </si>
  <si>
    <t>21900-1306010-83</t>
  </si>
  <si>
    <t>Распродажа (скидки)</t>
  </si>
  <si>
    <t xml:space="preserve">    Амортизатор PLAZA SP ВАЗ 2108 однотрубный (зад)</t>
  </si>
  <si>
    <t>AB39.00.00 SP</t>
  </si>
  <si>
    <t xml:space="preserve">    Амортизатор PLAZA SP ВАЗ 2108 однотрубный (перед)</t>
  </si>
  <si>
    <t>AB14.00.00 SP</t>
  </si>
  <si>
    <t>Свечи (г.Энгельс)</t>
  </si>
  <si>
    <t xml:space="preserve">    Свечи Энгельc (блистер)  21082-INJ 8V (уп 40кт)</t>
  </si>
  <si>
    <t>А17ДВРМ 1.0</t>
  </si>
  <si>
    <t xml:space="preserve">    Свечи Энгельc LPG-5 (блистер)  2108-INJ 8V газ/об</t>
  </si>
  <si>
    <t>LPG-5 (0.7)</t>
  </si>
  <si>
    <t>СТК (поршни, кольца)</t>
  </si>
  <si>
    <t xml:space="preserve">    Кольца</t>
  </si>
  <si>
    <t xml:space="preserve">        Кольца СТК 76.8</t>
  </si>
  <si>
    <t xml:space="preserve">    Моторкомплект (поршни, пальцы, кольца) синие</t>
  </si>
  <si>
    <t xml:space="preserve">        Моторкомплект (синяя упак)  СТК 11194     76.5</t>
  </si>
  <si>
    <t xml:space="preserve">        Моторкомплект (синяя упак)  СТК 11194    77.0</t>
  </si>
  <si>
    <t xml:space="preserve">        Моторкомплект (синяя упак)  СТК 21116     82.0</t>
  </si>
  <si>
    <t xml:space="preserve">        Моторкомплект (синяя упак)  СТК 21116    82.5</t>
  </si>
  <si>
    <t xml:space="preserve">        Моторкомплект (синяя упак)  СТК 21116   83.0</t>
  </si>
  <si>
    <t xml:space="preserve">        Моторкомплект (синяя упак)  СТК 21126 (с проточкой)    82.5</t>
  </si>
  <si>
    <t xml:space="preserve">    Поршни с пальцами (зеленые)</t>
  </si>
  <si>
    <t xml:space="preserve">        ПОРШНИ  с пальцами СТК  Largus  16кл  K4M  79.5</t>
  </si>
  <si>
    <t xml:space="preserve">        ПОРШНИ  с пальцами СТК  Largus  16кл  K4M  80.0</t>
  </si>
  <si>
    <t xml:space="preserve">        ПОРШНИ  с пальцами СТК  Largus  8кл  K7M  79.5</t>
  </si>
  <si>
    <t xml:space="preserve">        ПОРШНИ  с пальцами СТК  Largus  8кл  K7M  80.0</t>
  </si>
  <si>
    <t xml:space="preserve">        ПОРШНИ  с пальцами СТК 11194     76.5</t>
  </si>
  <si>
    <t xml:space="preserve">        ПОРШНИ  с пальцами СТК 11194    77.0</t>
  </si>
  <si>
    <t xml:space="preserve">        ПОРШНИ  с пальцами СТК 11194   77.5</t>
  </si>
  <si>
    <t xml:space="preserve">        ПОРШНИ  с пальцами СТК 2101     76.0</t>
  </si>
  <si>
    <t xml:space="preserve">        ПОРШНИ  с пальцами СТК 2101    76.4</t>
  </si>
  <si>
    <t xml:space="preserve">        ПОРШНИ  с пальцами СТК 2101   76.8</t>
  </si>
  <si>
    <t xml:space="preserve">        ПОРШНИ  с пальцами СТК 21011     79.0</t>
  </si>
  <si>
    <t xml:space="preserve">        ПОРШНИ  с пальцами СТК 21011    79.4</t>
  </si>
  <si>
    <t xml:space="preserve">        ПОРШНИ  с пальцами СТК 21011   79.8</t>
  </si>
  <si>
    <t xml:space="preserve">        ПОРШНИ  с пальцами СТК 2105     79.0</t>
  </si>
  <si>
    <t xml:space="preserve">        ПОРШНИ  с пальцами СТК 2105    79.4</t>
  </si>
  <si>
    <t xml:space="preserve">        ПОРШНИ  с пальцами СТК 2105   79.8</t>
  </si>
  <si>
    <t xml:space="preserve">        ПОРШНИ  с пальцами СТК 21083     82.0</t>
  </si>
  <si>
    <t xml:space="preserve">        ПОРШНИ  с пальцами СТК 21083    82.4</t>
  </si>
  <si>
    <t xml:space="preserve">        ПОРШНИ  с пальцами СТК 21083   82.8</t>
  </si>
  <si>
    <t xml:space="preserve">        ПОРШНИ  с пальцами СТК 2110     82.0</t>
  </si>
  <si>
    <t xml:space="preserve">        ПОРШНИ  с пальцами СТК 2110    82.4</t>
  </si>
  <si>
    <t xml:space="preserve">        ПОРШНИ  с пальцами СТК 2110   82.8</t>
  </si>
  <si>
    <t xml:space="preserve">        ПОРШНИ  с пальцами СТК 21116     82.0</t>
  </si>
  <si>
    <t xml:space="preserve">        ПОРШНИ  с пальцами СТК 21116    82.5</t>
  </si>
  <si>
    <t xml:space="preserve">        ПОРШНИ  с пальцами СТК 21124     82.0</t>
  </si>
  <si>
    <t xml:space="preserve">        ПОРШНИ  с пальцами СТК 21124    82.4</t>
  </si>
  <si>
    <t xml:space="preserve">        ПОРШНИ  с пальцами СТК 21124   82.8</t>
  </si>
  <si>
    <t xml:space="preserve">        ПОРШНИ  с пальцами СТК 21126 (с проточкой)     82.0</t>
  </si>
  <si>
    <t xml:space="preserve">        ПОРШНИ  с пальцами СТК 21126 (с проточкой)    82.5</t>
  </si>
  <si>
    <t xml:space="preserve">        ПОРШНИ  с пальцами СТК 21126 (с проточкой)   83.0</t>
  </si>
  <si>
    <t xml:space="preserve">        ПОРШНИ  с пальцами СТК 21179 (с проточкой)     82.0  "ЭКСПОРТ"</t>
  </si>
  <si>
    <t xml:space="preserve">        ПОРШНИ  с пальцами СТК 21179 (с проточкой)    82.5  "ЭКСПОРТ"</t>
  </si>
  <si>
    <t xml:space="preserve">        ПОРШНИ  с пальцами СТК 21179 (с проточкой)   83.0  "ЭКСПОРТ"</t>
  </si>
  <si>
    <t xml:space="preserve">        ПОРШНИ  с пальцами СТК 21213     82.0</t>
  </si>
  <si>
    <t xml:space="preserve">        ПОРШНИ  с пальцами СТК 21213    82.4</t>
  </si>
  <si>
    <t xml:space="preserve">        ПОРШНИ  с пальцами СТК 21213   82.8</t>
  </si>
  <si>
    <t>СТК (сцепления)</t>
  </si>
  <si>
    <t xml:space="preserve">    РЦС СТК  ВАЗ-2131</t>
  </si>
  <si>
    <t xml:space="preserve">    Сцепление СТК ВАЗ 2101, 2121, 200мм (комплект)</t>
  </si>
  <si>
    <t xml:space="preserve">    Сцепление СТК ВАЗ 2123 Chevy Niva, 215мм (комплект)</t>
  </si>
  <si>
    <t xml:space="preserve">    Сцепление СТК ГАЗ 31105  дв.Крайслер 2.4/240мм (комплект)</t>
  </si>
  <si>
    <t xml:space="preserve">    Сцепление СТК ГАЗ Бизнес дв.УМЗ 4216 (комплект)</t>
  </si>
  <si>
    <t>ФАРКОПЫ  Новинка!</t>
  </si>
  <si>
    <t xml:space="preserve">    Тягово-сцепное устройство  (Веста, Веста Cross)</t>
  </si>
  <si>
    <t>АА 004</t>
  </si>
  <si>
    <t xml:space="preserve">    Тягово-сцепное устройство  (Гранта, Калина)</t>
  </si>
  <si>
    <t>АА 003</t>
  </si>
  <si>
    <t xml:space="preserve">    Тягово-сцепное устройство  (Ларгус)</t>
  </si>
  <si>
    <t>АА 002</t>
  </si>
  <si>
    <t xml:space="preserve">    Тягово-сцепное устройство  (Нива Травел, Шеви)</t>
  </si>
  <si>
    <t>АА 001</t>
  </si>
  <si>
    <t>Фильтры</t>
  </si>
  <si>
    <t xml:space="preserve">    ФМ  САЛЮТ ВАЗ  1118,2105-2110,2170  [30]</t>
  </si>
  <si>
    <t>FOM-2108 салют</t>
  </si>
  <si>
    <t xml:space="preserve">    ФМ  САЛЮТ ВАЗ  2101-07,2121,3110,3302  [24]</t>
  </si>
  <si>
    <t>FOM-406 салют</t>
  </si>
  <si>
    <t xml:space="preserve">    ФС   ВАЗ  Приора (2110 н/об)</t>
  </si>
  <si>
    <t>ФС2170</t>
  </si>
  <si>
    <t>Форвард</t>
  </si>
  <si>
    <t xml:space="preserve">    ЗТЦ Форвард ВАЗ 2105-08</t>
  </si>
  <si>
    <t>FA05-3502040</t>
  </si>
  <si>
    <t xml:space="preserve">    Комплект тяг рулевой трапеции Форвард-Спорт 2101  [4]</t>
  </si>
  <si>
    <t>REN01-3003010/56/58/60/54</t>
  </si>
  <si>
    <t xml:space="preserve">    Комплект тяг рулевой трапеции Форвард-Спорт 2121  [2]</t>
  </si>
  <si>
    <t>REN21-3414010/38/56/54</t>
  </si>
  <si>
    <t xml:space="preserve">    Крестовина карданного вала Форвард 2105 (усиленная)</t>
  </si>
  <si>
    <t>2105-2202025</t>
  </si>
  <si>
    <t xml:space="preserve">    Крестовина карданного вала Форвард 2121</t>
  </si>
  <si>
    <t>2121-2202025</t>
  </si>
  <si>
    <t xml:space="preserve">    Наконечник рулевой левый Форвард  Largus, X-Ray, Logan</t>
  </si>
  <si>
    <t>RL3414057</t>
  </si>
  <si>
    <t xml:space="preserve">    Наконечник рулевой правый Форвард  Largus, X-Ray, Logan</t>
  </si>
  <si>
    <t>RL3414056</t>
  </si>
  <si>
    <t xml:space="preserve">    Наконечник рулевой Форвард 1118  [12]</t>
  </si>
  <si>
    <t xml:space="preserve">    Наконечник рулевой Форвард левый 2180 VESTA [12]</t>
  </si>
  <si>
    <t>AFLV-8450039697</t>
  </si>
  <si>
    <t xml:space="preserve">    Наконечник рулевой Форвард правый 2180 VESTA [12]</t>
  </si>
  <si>
    <t>AFLV-8450039696</t>
  </si>
  <si>
    <t xml:space="preserve">    Наконечник рулевой Форвард-Спорт 2108 [12]</t>
  </si>
  <si>
    <t>REN 08-3414056/57</t>
  </si>
  <si>
    <t xml:space="preserve">    Наконечник рулевой Форвард-Спорт 2110 [12]</t>
  </si>
  <si>
    <t>REN 10-3414056/57</t>
  </si>
  <si>
    <t xml:space="preserve">    Насос водяной Форвард 2101  [6]</t>
  </si>
  <si>
    <t>2101-1307010</t>
  </si>
  <si>
    <t xml:space="preserve">    Насос водяной Форвард 2108  [6]</t>
  </si>
  <si>
    <t>2108-1307010</t>
  </si>
  <si>
    <t xml:space="preserve">    Насос водяной Форвард 2170  [6]</t>
  </si>
  <si>
    <t>21126-1307010</t>
  </si>
  <si>
    <t xml:space="preserve">    Насос водяной Форвард 2190  [6]</t>
  </si>
  <si>
    <t>21116-1307010</t>
  </si>
  <si>
    <t xml:space="preserve">    Рычаг маятниковый Форвард  21213</t>
  </si>
  <si>
    <t xml:space="preserve">    Рычаг маятниковый Форвард  2123</t>
  </si>
  <si>
    <t xml:space="preserve">    Рычаг передний левый Форвард  Renault Logan</t>
  </si>
  <si>
    <t xml:space="preserve">    Стойка  стабилизатора передняя  Форвард Lada VESTA</t>
  </si>
  <si>
    <t xml:space="preserve">    Цилиндр передний тормозной LADA 2108 левый Форвард</t>
  </si>
  <si>
    <t xml:space="preserve">    Цилиндр передний тормозной LADA 2108 правый Форвард</t>
  </si>
  <si>
    <t xml:space="preserve">    Шаровая опора Форвард 2180 VESTA левая [20]</t>
  </si>
  <si>
    <t>AFLV-8450006742</t>
  </si>
  <si>
    <t xml:space="preserve">    Шаровая опора Форвард 2180 VESTA правая [20]</t>
  </si>
  <si>
    <t>AFLV-8450006741</t>
  </si>
  <si>
    <t xml:space="preserve">    Шаровая опора Форвард-Спорт 2108-10 [20]</t>
  </si>
  <si>
    <t>BJN08-2904192</t>
  </si>
  <si>
    <t xml:space="preserve">    Шаровая опора Форвард-Спорт 2110-70-1118 [20]</t>
  </si>
  <si>
    <t>BJN10-2904192</t>
  </si>
  <si>
    <t xml:space="preserve">    Шаровая опора Форвард-Спорт 2123 [20]</t>
  </si>
  <si>
    <t>BJN2122904192</t>
  </si>
  <si>
    <t>Цены указаны на 08.04.2023</t>
  </si>
  <si>
    <t xml:space="preserve">    Колодки бaрабанного тормоза ALLIED NIPPON  LARGUS  (в упак 10кт)</t>
  </si>
  <si>
    <t>ABS1704</t>
  </si>
  <si>
    <t xml:space="preserve">    Комплект ГРМ  ASIN  Nexia 16v, Lacetti, Cruze</t>
  </si>
  <si>
    <t>ASIN.KBR7</t>
  </si>
  <si>
    <t xml:space="preserve">    Диск  тормозной  пер Автореал  2110  (R13 вент)</t>
  </si>
  <si>
    <t>АВ10-3501070</t>
  </si>
  <si>
    <t>BOSCH</t>
  </si>
  <si>
    <t xml:space="preserve">    Свечи BOSCH  LADA  16V  FR7DC+ 7955 (1 штука)  уп10</t>
  </si>
  <si>
    <t>0 242 235 666</t>
  </si>
  <si>
    <t xml:space="preserve">        Свечи BRISK  A-Line 11  2110-INJ 16V (1.1мм)</t>
  </si>
  <si>
    <t>DR15YCY-1/11</t>
  </si>
  <si>
    <t xml:space="preserve">        Свечи BRISK  A-Line 13  21082-INJ 8V (1.1мм)</t>
  </si>
  <si>
    <t>LR15YCY-1/13</t>
  </si>
  <si>
    <t xml:space="preserve">        Свечи BRISK  2101</t>
  </si>
  <si>
    <t>L15Y / 1312</t>
  </si>
  <si>
    <t xml:space="preserve">        Свечи BRISK  2108  SUPER</t>
  </si>
  <si>
    <t>L15YC / 1313</t>
  </si>
  <si>
    <t xml:space="preserve">    Ремень генератора Contitech 2110 с ГУР</t>
  </si>
  <si>
    <t>6PK1115*</t>
  </si>
  <si>
    <t xml:space="preserve">    Сальник CORTECO ступицы и полуоси ГАЗ 2410, 31029,3110 ( 52*72*10 )   [5]</t>
  </si>
  <si>
    <t>12010977B</t>
  </si>
  <si>
    <t xml:space="preserve">        Колодки бaрабанного тормоза Dafmi  LADA Largus Renault Duster с рычагом 230-42мм</t>
  </si>
  <si>
    <t>DA995</t>
  </si>
  <si>
    <t xml:space="preserve">    Ремень генератора DONGIL LADA Largus дв.21129  1.6 16V с кондиционером и ГУР</t>
  </si>
  <si>
    <t>6PK1710.</t>
  </si>
  <si>
    <t xml:space="preserve">    Генератор Eldix А-1118-115A </t>
  </si>
  <si>
    <t>ELD-А-1118-115A</t>
  </si>
  <si>
    <t xml:space="preserve">    Колодка диcкового тормоза FINWHALE 2108  (20кт)</t>
  </si>
  <si>
    <t>V218</t>
  </si>
  <si>
    <t xml:space="preserve">    Наконечник рулевой FRANCECAR  левый 2180 VESTA</t>
  </si>
  <si>
    <t>FCR20V016</t>
  </si>
  <si>
    <t xml:space="preserve">    ГРМ Gates  Приора</t>
  </si>
  <si>
    <t>5631XS</t>
  </si>
  <si>
    <t xml:space="preserve">    Ремень генератора Gates Chevy Niva</t>
  </si>
  <si>
    <t>5PK1885,</t>
  </si>
  <si>
    <t xml:space="preserve">    Ремкомплект ГРМ  GATES усил (ремень+ролик) 2108 метал</t>
  </si>
  <si>
    <t>K015521XS</t>
  </si>
  <si>
    <t xml:space="preserve">    Клапан Herzog 2101  ВЫПУСК (4шт)</t>
  </si>
  <si>
    <t>HL1 7012</t>
  </si>
  <si>
    <t xml:space="preserve">    Клапан Herzog 21083 1500  впуск (4шт)</t>
  </si>
  <si>
    <t>HL8 7010</t>
  </si>
  <si>
    <t xml:space="preserve">    Ремень генератора MAREL 2110 с ГУР</t>
  </si>
  <si>
    <t>6PK1115m</t>
  </si>
  <si>
    <t xml:space="preserve">    Крестовина MASTER SPORT М-412</t>
  </si>
  <si>
    <t>070-ST-PCS-MS</t>
  </si>
  <si>
    <t xml:space="preserve">    Тeрмоэлемент (вставка) Metal Incar  2112-2 с/о 85С [72]</t>
  </si>
  <si>
    <t>10.2182.01</t>
  </si>
  <si>
    <t xml:space="preserve">        Предохранители  MTA MINIVAL 10A (уп 50шт)</t>
  </si>
  <si>
    <t>0700130/M1050</t>
  </si>
  <si>
    <t xml:space="preserve">    ЗТЦ Pilenga LADA VESTA, X-RAY</t>
  </si>
  <si>
    <t>CC-P 2618</t>
  </si>
  <si>
    <t xml:space="preserve">    ЗТЦ Pilenga ВАЗ 2105-08</t>
  </si>
  <si>
    <t>HY-P 3886</t>
  </si>
  <si>
    <t xml:space="preserve">    Колодка диcкового тормоза Hi-Q  2121/2123</t>
  </si>
  <si>
    <t>SP1168</t>
  </si>
  <si>
    <t xml:space="preserve">    Колодка диcкового тормоза Hi-Q  HYUNDAI  Solaris, KIA Rio III</t>
  </si>
  <si>
    <t>SP1399</t>
  </si>
  <si>
    <t xml:space="preserve">    Колодка диcкового тормоза Hi-Q  HYUNDAI  Solaris, KIA Rio III (с отв. под пруж.)</t>
  </si>
  <si>
    <t>SP1399A</t>
  </si>
  <si>
    <t>Starner</t>
  </si>
  <si>
    <t xml:space="preserve">    Подшипник  ступицы задней  Starner  2108-15 (ОКА-пер. ступ)</t>
  </si>
  <si>
    <t>S100208</t>
  </si>
  <si>
    <t xml:space="preserve">    TESLINE (свечи)</t>
  </si>
  <si>
    <t xml:space="preserve">        Свечи  TESLINE  2101  (ZS6EC)</t>
  </si>
  <si>
    <t>TL4</t>
  </si>
  <si>
    <t xml:space="preserve">        Свечи  TESLINE  2108  (ZS6REC)</t>
  </si>
  <si>
    <t>TL2</t>
  </si>
  <si>
    <t xml:space="preserve">        Свечи  TESLINE  21082-INJ 8V  (ZS6REC-11)</t>
  </si>
  <si>
    <t>TL13</t>
  </si>
  <si>
    <t xml:space="preserve">        Свечи  TESLINE  2110-INJ 16V  (TS6REC-11)</t>
  </si>
  <si>
    <t>TL11</t>
  </si>
  <si>
    <t xml:space="preserve">        Свечи  TESLINE  GAZ двиг. ЗМЗ 405/409 ЕВРО-3  (TS5REC-11)</t>
  </si>
  <si>
    <t>TL72</t>
  </si>
  <si>
    <t xml:space="preserve">        Свечи  TESLINE  GAZ, UAZ двиг. ЗМЗ 402  (ZM6EC)</t>
  </si>
  <si>
    <t>TL18</t>
  </si>
  <si>
    <t xml:space="preserve">        Свечи  TESLINE  GAZ, UAZ двиг. ЗМЗ 405/406/409 ЕВРО-2  (ZS5REC)</t>
  </si>
  <si>
    <t>TL6</t>
  </si>
  <si>
    <t xml:space="preserve">        Свечи  TESLINE  LADA Largus/Granta дв.11182, Vesta дв.H4M  (AU7ROC-9)</t>
  </si>
  <si>
    <t>TL71</t>
  </si>
  <si>
    <t xml:space="preserve">        Свечи  TESLINE  Logan, Largus 16кл двиг. RENAULT  (TKS6RС)</t>
  </si>
  <si>
    <t>TL28</t>
  </si>
  <si>
    <t xml:space="preserve">        Свечи  TESLINE  Logan, Largus 8кл двиг. RENAULT (2х конт)  TKS6RKС</t>
  </si>
  <si>
    <t>TL20</t>
  </si>
  <si>
    <t xml:space="preserve">        Свечи  TESLINE  Solaris, Rio, GAZ Next  дв.УМЗ А274 (BU6ROC-10)</t>
  </si>
  <si>
    <t>TL49</t>
  </si>
  <si>
    <t xml:space="preserve">        Лампа галогеновая TESLA Н4 Р 43 t 60/55  W 12V</t>
  </si>
  <si>
    <t>B10401</t>
  </si>
  <si>
    <t xml:space="preserve">        Лампа галогеновая TESLA Н4+100%  Р 43 t 60/55 W  12V</t>
  </si>
  <si>
    <t>B40401</t>
  </si>
  <si>
    <t xml:space="preserve">        Лампа галогеновая TESLA Н7+50% РХ 26 d 55 W 12V</t>
  </si>
  <si>
    <t>B30701</t>
  </si>
  <si>
    <t xml:space="preserve">    Сайлентблок задней балки TRT  Largus, Logan 10-</t>
  </si>
  <si>
    <t>NR1065</t>
  </si>
  <si>
    <t xml:space="preserve">    Тяга рулевая TRT 2180 VESTA</t>
  </si>
  <si>
    <t>RS3026</t>
  </si>
  <si>
    <t xml:space="preserve">        Моторкомплект (синяя упак)  СТК 21126 (с проточкой)     82.0</t>
  </si>
  <si>
    <t xml:space="preserve">    Шаровая опора Форвард-Спорт 2101/21 верхний</t>
  </si>
  <si>
    <t>BJN01-2904192</t>
  </si>
  <si>
    <t>Наименование</t>
  </si>
  <si>
    <t>4</t>
  </si>
  <si>
    <t>BD09101020</t>
  </si>
  <si>
    <t>BC260202F</t>
  </si>
  <si>
    <t>BC260204F</t>
  </si>
  <si>
    <t>Ст З</t>
  </si>
  <si>
    <t>Ст Р</t>
  </si>
  <si>
    <t>Бренд</t>
  </si>
  <si>
    <t>Мн</t>
  </si>
  <si>
    <t>Eplex</t>
  </si>
  <si>
    <t>Москва</t>
  </si>
  <si>
    <t>Санкт-Петербург</t>
  </si>
  <si>
    <t>Город</t>
  </si>
  <si>
    <t>Min Цена</t>
  </si>
  <si>
    <t>#</t>
  </si>
  <si>
    <t>Ссылка</t>
  </si>
  <si>
    <t>MR</t>
  </si>
  <si>
    <t>590 снят</t>
  </si>
  <si>
    <t>669 снят</t>
  </si>
  <si>
    <t>https://motorring.ru/product/13068</t>
  </si>
  <si>
    <t>https://motorring.ru/product/13069-tormoznye-kolodki-perednie-asp-mensan-dlya-peredneprivodnyh</t>
  </si>
  <si>
    <t>https://motorring.ru/product/13070</t>
  </si>
  <si>
    <t>https://motorring.ru/product/19692-komplekt-perednih-tormoznyh-kolodok-asp-vaz-2110-2111-2112</t>
  </si>
  <si>
    <t>https://motorring.ru/product/37250-tros-scepleniya-asp-lada-largus-reno-logan-sandero</t>
  </si>
  <si>
    <t>https://motorring.ru/product/13065-tormoznye-kolodki-zadnie-asp-mensan-dlya-peredneprivodnyh</t>
  </si>
  <si>
    <t>https://motorring.ru/product/13067-tormoznye-kolodki-zadnie-asp-mensan-dlya-lada-priora-kalina</t>
  </si>
  <si>
    <t>https://motorring.ru/product/13072-tormoznye-kolodki-perednie-asp-mensan-dlya-lada-largus</t>
  </si>
  <si>
    <t>https://motorring.ru/product/13064-tormoznye-kolodki-zadnie-asp-mensan-dlya-vaz-2101-2107-lada</t>
  </si>
  <si>
    <t>https://motorring.ru/product/13071-tormoznye-kolodki-perednie-asp-mensan-dlya-lada-largus</t>
  </si>
  <si>
    <t>https://motorring.ru/product/24319-tormoznye-kolodki-zadnie-asp-lada-largus</t>
  </si>
  <si>
    <t>https://motorring.ru/product/13063-tormoznye-barabany-zadnie-chugun-asp-mensan-vaz-2108-21099</t>
  </si>
  <si>
    <t>https://motorring.ru/product/37249-tros-privoda-akseleratora-gaza-asp-lada-largus</t>
  </si>
  <si>
    <t>https://motorring.ru/product/6987</t>
  </si>
  <si>
    <t>https://motorring.ru/product/6988-ventiliruemye-tormoznye-diski-asp-2110-r13-bez-nasechek</t>
  </si>
  <si>
    <t>https://motorring.ru/product/700-tormoznye-diski-asp-2112-sport-r14-nasechki-perforaciya</t>
  </si>
  <si>
    <t>https://motorring.ru/product/6990-neventiliruemye-tormoznye-diski-asp-2121-r15-bez-nasechek</t>
  </si>
  <si>
    <t>https://motorring.ru/product/6986</t>
  </si>
  <si>
    <t>https://motorring.ru/product/24313-tormoznye-diski-asp-nasechki-perforaciya-ventiliruemye-lada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</si>
  <si>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</si>
  <si>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</si>
  <si>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</si>
  <si>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</si>
  <si>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</si>
  <si>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</si>
  <si>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</si>
  <si>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</si>
  <si>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</si>
  <si>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</si>
  <si>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</si>
  <si>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</si>
  <si>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</si>
  <si>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</si>
  <si>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</si>
  <si>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</si>
  <si>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</si>
  <si>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</si>
  <si>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</si>
  <si>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</si>
  <si>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https://docs.google.com/spreadsheets/d/1f8_y-lcqVEuKpceVw_F97NEKzue5YmQtx8GIXUS_2B8/export?format=xlsx</t>
  </si>
  <si>
    <t/>
  </si>
  <si>
    <t>Код</t>
  </si>
  <si>
    <t>Кат. Номер</t>
  </si>
  <si>
    <t>Наименование элемента</t>
  </si>
  <si>
    <t>Y / N</t>
  </si>
  <si>
    <t>Ссылка на конкурентов</t>
  </si>
  <si>
    <t>Кол-во</t>
  </si>
  <si>
    <t>Y</t>
  </si>
  <si>
    <t>0</t>
  </si>
  <si>
    <t>ЗЦ</t>
  </si>
  <si>
    <t>РЦ</t>
  </si>
  <si>
    <t>Каталожный номер</t>
  </si>
  <si>
    <t>Артикул поставщика</t>
  </si>
  <si>
    <t>Ряд</t>
  </si>
  <si>
    <t>Google</t>
  </si>
  <si>
    <t>Доп</t>
  </si>
  <si>
    <t>СВОД</t>
  </si>
  <si>
    <t>Данные</t>
  </si>
  <si>
    <t>Переменные</t>
  </si>
  <si>
    <t>НАЛ stparts.ru</t>
  </si>
  <si>
    <t>НАЛ adeo.pro</t>
  </si>
  <si>
    <t>БН part-kom.ru</t>
  </si>
  <si>
    <t>НАЛ Berg</t>
  </si>
  <si>
    <t>НАЛ ArmTek</t>
  </si>
  <si>
    <t>НАЛ Rossko</t>
  </si>
  <si>
    <t>Рязань</t>
  </si>
  <si>
    <t>Вентилятор отопителя ASP MENSAN для Лада Ларгус, Renault Logan</t>
  </si>
  <si>
    <t>Вентилятор отопителя ASP MENSAN для Лада Ларгус, Renault Logan, Duster</t>
  </si>
  <si>
    <t>Водяной насос помпа ASP MENSAN 21116 для Лада Приора, Гранта, Калина, Калина 2, Ларгус, Веста NG 8 клапанный двигатель</t>
  </si>
  <si>
    <t>Водяной насос помпа ASP MENSAN для ВАЗ 2101-2107, Лада Нива 4х4 8 клапанный двигатель</t>
  </si>
  <si>
    <t>Водяной насос помпа ASP MENSAN для ВАЗ 2108-21099, 2113-2115</t>
  </si>
  <si>
    <t>Втулка переднего стабилизатора ASP MENSAN для Лада Ларгус, Renault Logan</t>
  </si>
  <si>
    <t>Главный тормозной цилиндр ASP MENSAN для ВАЗ 2108-21099, 2113-2115, 2110-2112</t>
  </si>
  <si>
    <t>Главный тормозной цилиндр ASP MENSAN для Лада Веста</t>
  </si>
  <si>
    <t>Главный тормозной цилиндр ASP MENSAN для Лада Калина, Калина 2, Приора, Приора 2, Гранта, Гранта FL, Шевроле Нива, Датсун mi-DO, on-DO</t>
  </si>
  <si>
    <t>Главный тормозной цилиндр ASP MENSAN для Лада Нива 4x4</t>
  </si>
  <si>
    <t>Задний тормозной барабан ASP MENSAN без подшипника и кольца АБС для Лада Ларгус</t>
  </si>
  <si>
    <t>Задний тормозной цилиндр ASP MENSAN для ВАЗ 2101-2107, 2108-21099, 2113-2115, 2110-2112, Лада Калина, Калина 2, Приора, Приора 2, Гранта, Нива 4x4</t>
  </si>
  <si>
    <t>Задний тормозной цилиндр ASP MENSAN для Лада Веста</t>
  </si>
  <si>
    <t>Задний тормозной цилиндр ASP MENSAN для Лада Ларгус, Renault Logan, Stepway с АБС</t>
  </si>
  <si>
    <t>Опора переднего амортизатора ASP MENSAN без подшипника для Лада Ларгус, Renault Logan, Stepway</t>
  </si>
  <si>
    <t>Опора переднего амортизатора ASP MENSAN для Лада Ларгус, Renault Logan</t>
  </si>
  <si>
    <t>Передний тормозной цилиндр ASP MENSAN левый для ВАЗ 2108-21099, 2113-2115, 2110-2112, Лада Калина, Калина 2, Приора, Приора 2, Гранта</t>
  </si>
  <si>
    <t>Передний тормозной цилиндр ASP MENSAN правый для ВАЗ 2108-21099, 2113-2115, 2110-2112, Лада Калина, Калина 2, Приора, Приора 2, Гранта</t>
  </si>
  <si>
    <t>Радиатор кондиционера ASP MENSAN для Лада Веста, Renault Logan</t>
  </si>
  <si>
    <t>Радиатор кондиционера ASP MENSAN для Лада Ларгус, Renault Duster, Logan</t>
  </si>
  <si>
    <t>Радиатор охлаждения ASP MENSAN для Лада Веста, Renault Logan, Kaptur, Duster</t>
  </si>
  <si>
    <t>Рычаг передней подвески ASP MENSAN левый в сборе для Лада Веста</t>
  </si>
  <si>
    <t>Рычаг передней подвески ASP MENSAN правый в сборе для Лада Веста</t>
  </si>
  <si>
    <t>Сцепление в сборе ASP MENSAN для ВАЗ 2101-2107, Лада Нива 4x4</t>
  </si>
  <si>
    <t>Тормозная жидкость ASP DOT 4 500 мл</t>
  </si>
  <si>
    <t>Тормозные барабаны задние ASP MENSAN чугунные для ВАЗ 2108-21099, 2113-2115, Лада Калина, Приора</t>
  </si>
  <si>
    <t>Тормозные диски ASP MENSAN задние для Лада Веста, XRAY</t>
  </si>
  <si>
    <t>Тормозные диски ASP MENSAN передние для ВАЗ 2101-2107</t>
  </si>
  <si>
    <t>Тормозные диски ASP MENSAN передние для Лада Нива 4x4, Шевроле Нива</t>
  </si>
  <si>
    <t>Тормозные диски ASP MENSAN передние, R13, вентилируемые для ВАЗ 2110-2112, Лада Калина, Калина 2, Гранта, Гранта FL</t>
  </si>
  <si>
    <t>Тормозные диски ASP MENSAN передние, R13, вентилируемые с перфорацией и проточками для ВАЗ 2110-2112, Лада Калина, Калина 2, Гранта, Гранта FL</t>
  </si>
  <si>
    <t>Тормозные диски ASP MENSAN передние, R13, не вентилируемые для ВАЗ 2108-21099, 2113-2115</t>
  </si>
  <si>
    <t>Тормозные диски ASP MENSAN передние, R14, вентилируемые для ВАЗ 2110-2112, 2113-2115, Лада Калина, Калина 2, Приора, Приора 2, Гранта, Гранта FL, Датсун mi-DO, on-DO</t>
  </si>
  <si>
    <t>Тормозные диски ASP MENSAN передние, R14, вентилируемые с перфорацией для ВАЗ 2110-2112, 2113-2115, Лада Калина, Калина 2, Приора, Приора 2, Гранта, Гранта FL, Датсун mi-DO, on-DO</t>
  </si>
  <si>
    <t>Тормозные диски ASP MENSAN передние, вентилируемые для Лада Ларгус, Веста</t>
  </si>
  <si>
    <t>Тормозные диски ASP MENSAN передние, вентилируемые с перфорацией и проточками для Лада Ларгус, Веста</t>
  </si>
  <si>
    <t>Тормозные колодки ASP MENSAN задние для ВАЗ 2101-2107, Лада Нива 4x4, Шевроле Нива</t>
  </si>
  <si>
    <t>Тормозные колодки ASP MENSAN задние для ВАЗ 2108-21099, 2113-2115, Лада Калина, Приора, Гранта</t>
  </si>
  <si>
    <t>Тормозные колодки ASP MENSAN задние для Лада Веста</t>
  </si>
  <si>
    <t>Тормозные колодки ASP MENSAN задние для Лада Калина, Приора с АБС</t>
  </si>
  <si>
    <t>Тормозные колодки ASP MENSAN задние, 230 мм для Лада Ларгус</t>
  </si>
  <si>
    <t>Тормозные колодки ASP MENSAN передние для ВАЗ 2101-2107</t>
  </si>
  <si>
    <t>Тормозные колодки ASP MENSAN передние для ВАЗ 2108-21099, 2113-2115</t>
  </si>
  <si>
    <t>Тормозные колодки ASP MENSAN передние для ВАЗ 2110-2112, Лада Приора, Гранта</t>
  </si>
  <si>
    <t>Тормозные колодки ASP MENSAN передние для Лада XRAY</t>
  </si>
  <si>
    <t>Тормозные колодки ASP MENSAN передние для Лада Ларгус с 16-ти клапанным двигателем, Веста</t>
  </si>
  <si>
    <t>Тормозные колодки ASP MENSAN передние для Лада Ларгус с 8-ми клапанным двигателем</t>
  </si>
  <si>
    <t>Тормозные колодки ASP MENSAN передние для Лада Нива 4x4, Шевроле Нива</t>
  </si>
  <si>
    <t>Трос акселератора ASP MENSAN для Лада Ларгус 8-ми клапанный двигатель 1.6 л</t>
  </si>
  <si>
    <t>Трос акселератора ASP MENSAN для Лада Ларгус с 16-ти клапанным двигателем 1,6 л</t>
  </si>
  <si>
    <t>Трос привода ручного тормоза ASP MENSAN для ВАЗ 2101-2107</t>
  </si>
  <si>
    <t>Трос привода ручного тормоза ASP MENSAN для Лада Веста, XRAY</t>
  </si>
  <si>
    <t>Трос привода ручного тормоза ASP MENSAN для Лада Ларгус</t>
  </si>
  <si>
    <t>Трос привода ручного тормоза ASP MENSAN для Лада Нива 4x4</t>
  </si>
  <si>
    <t>Трос привода ручного тормоза ASP MENSAN для Шевроле Нива</t>
  </si>
  <si>
    <t>Трос привода ручного тормоза ASP MENSAN передний для ВАЗ 2101-2107</t>
  </si>
  <si>
    <t>Трос привода ручного тормоза ASP MENSAN передний для Лада Нива 4x4</t>
  </si>
  <si>
    <t>Трос привода ручного тормоза ASP MENSAN передний для Шевроле Нива</t>
  </si>
  <si>
    <t>Трос привода сцепления ASP MENSAN для ВАЗ 2109-21099</t>
  </si>
  <si>
    <t>Трос привода сцепления ASP MENSAN для ВАЗ 2110-2112</t>
  </si>
  <si>
    <t>Трос привода сцепления ASP MENSAN для Лада Калина 2, Гранта</t>
  </si>
  <si>
    <t>Трос привода сцепления ASP MENSAN для Лада Калина, Гранта</t>
  </si>
  <si>
    <t>Трос привода сцепления ASP MENSAN для Лада Ларгус</t>
  </si>
  <si>
    <t>Трос привода сцепления ASP MENSAN для Лада Приора</t>
  </si>
  <si>
    <t>Трос привода сцепления ASP MENSAN для Лада Приора с тросовой КПП</t>
  </si>
  <si>
    <t>Тросы привода ручного тормоза ASP MENSAN для ВАЗ 2108-21099, 2113-2115</t>
  </si>
  <si>
    <t>Тросы привода ручного тормоза ASP MENSAN для ВАЗ 2110-2112</t>
  </si>
  <si>
    <t>Тросы привода ручного тормоза ASP MENSAN для Лада Калина, Калина 2, Гранта</t>
  </si>
  <si>
    <t>Тяга рулевая ASP MENSAN без наконечника для Лада XRAY, Renault Logan, Sandero</t>
  </si>
  <si>
    <t>Тяга рулевая ASP MENSAN без наконечника для Лада Ларгус, Renault Logan, Sandero, Dacia Logan, Sandero</t>
  </si>
  <si>
    <t>Шаровая опора ASP MENSAN левая для Лада Веста</t>
  </si>
  <si>
    <t>Шаровая опора ASP MENSAN правая для Лада Веста</t>
  </si>
  <si>
    <t>ШРУС ASP MENSAN внутренний трипоидный для Лада Веста с КПП Renault JH3</t>
  </si>
  <si>
    <t>ШРУС ASP MENSAN внутренний трипоидный для Лада Веста с КПП ВАЗ 21807</t>
  </si>
  <si>
    <t>ШРУС ASP MENSAN внутренний трипоидный для Лада Гранта с АТ</t>
  </si>
  <si>
    <t>ШРУС ASP MENSAN наружный 24 шлица для Шевроле Нива</t>
  </si>
  <si>
    <t>ШРУС ASP MENSAN наружный для ВАЗ 2108-21099, 2113-2115, 2110-2112, Лада Калина, Калина 2, Приора, Приора 2, Гранта</t>
  </si>
  <si>
    <t>ШРУС ASP MENSAN наружный под АБС для Шевроле Нива</t>
  </si>
  <si>
    <t>ШРУС внутренний правый ASP MENSAN трипоидный 24 шлица для Шевроле Нива</t>
  </si>
  <si>
    <t>ШРУС наружный ASP MENSAN 22 шлица для Лада Нива 4x4</t>
  </si>
  <si>
    <t>ШРУС наружный ASP MENSAN 22/23 шлица для Лада Ларгус с 16-ти клапанным двигателем Renault</t>
  </si>
  <si>
    <t>ШРУС наружный ASP MENSAN 22/23 шлица для Лада Ларгус, XRAY с двигателем ВАЗ</t>
  </si>
  <si>
    <t>ШРУС наружный ASP MENSAN 23x30 шлицев для Лада Ларгус с двигателем объёмом 1.6 л</t>
  </si>
  <si>
    <t>ШРУС наружный ASP MENSAN для Лада Веста</t>
  </si>
  <si>
    <t>ШРУС наружный ASP MENSAN для Лада Калина, Калина 2, Приора, Приора 2, Гранта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</si>
</sst>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[Red]\-0"/>
    <numFmt numFmtId="165" formatCode="0000000;[Red]\-0000000"/>
    <numFmt numFmtId="166" formatCode="000000;[Red]\-000000"/>
    <numFmt numFmtId="167" formatCode="0000;[Red]\-0000"/>
  </numFmts>
  <fonts count="37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u/>
      <sz val="11"/>
      <color theme="10"/>
      <name val="Calibri"/>
      <family val="2"/>
      <charset val="204"/>
      <scheme val="minor"/>
    </font>
    <font>
      <sz val="8"/>
      <name val="Arial"/>
      <family val="2"/>
    </font>
    <font>
      <sz val="10"/>
      <color rgb="FF9C0006"/>
      <name val="Calibri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theme="1"/>
      <name val="Arial Unicode MS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F2FF"/>
      </patternFill>
    </fill>
    <fill>
      <patternFill patternType="solid">
        <fgColor rgb="FFF3D1D1"/>
      </patternFill>
    </fill>
    <fill>
      <patternFill patternType="solid">
        <fgColor rgb="FFDCFCE5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B9B9B9"/>
      </left>
      <right style="hair">
        <color rgb="FFB9B9B9"/>
      </right>
      <top style="hair">
        <color rgb="FFB9B9B9"/>
      </top>
      <bottom style="hair">
        <color rgb="FFB9B9B9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13" fillId="34" borderId="1" applyNumberFormat="0" applyFont="0" applyBorder="0" applyAlignment="0" applyProtection="0"/>
    <xf numFmtId="0" fontId="14" fillId="27" borderId="2" applyNumberFormat="0" applyFont="0" applyBorder="0" applyAlignment="0" applyProtection="0"/>
    <xf numFmtId="0" fontId="15" fillId="43" borderId="3" applyNumberFormat="0" applyFont="0" applyBorder="0" applyAlignment="0" applyProtection="0"/>
    <xf numFmtId="0" fontId="15" fillId="0" borderId="0" applyNumberFormat="0" applyFill="0" applyBorder="0" applyAlignment="0" applyProtection="0"/>
    <xf numFmtId="0" fontId="16" fillId="2" borderId="0" applyNumberFormat="0" applyBorder="0" applyAlignment="0" applyProtection="0"/>
    <xf numFmtId="0" fontId="12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20" fillId="6" borderId="4" applyNumberFormat="0" applyAlignment="0" applyProtection="0"/>
    <xf numFmtId="0" fontId="21" fillId="0" borderId="6" applyNumberFormat="0" applyFill="0" applyAlignment="0" applyProtection="0"/>
    <xf numFmtId="0" fontId="22" fillId="7" borderId="7" applyNumberFormat="0" applyAlignment="0" applyProtection="0"/>
    <xf numFmtId="0" fontId="2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31" fillId="0" borderId="15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32" fillId="0" borderId="16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3" fillId="0" borderId="17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1" fillId="40" borderId="18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6" fillId="41" borderId="19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4" fillId="42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9" fontId="2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12">
    <xf numFmtId="0" fontId="0" fillId="0" borderId="0" xfId="0"/>
    <xf numFmtId="1" fontId="0" fillId="36" borderId="12" xfId="0" applyNumberFormat="1" applyFill="1" applyBorder="1" applyAlignment="1" applyProtection="1">
      <alignment horizontal="left" vertical="top" wrapText="1"/>
    </xf>
    <xf numFmtId="1" fontId="27" fillId="36" borderId="10" xfId="0" applyNumberFormat="1" applyFont="1" applyFill="1" applyBorder="1" applyAlignment="1">
      <alignment horizontal="right" wrapText="1"/>
    </xf>
    <xf numFmtId="1" fontId="4" fillId="36" borderId="10" xfId="0" applyNumberFormat="1" applyFont="1" applyFill="1" applyBorder="1" applyAlignment="1">
      <alignment horizontal="right" wrapText="1"/>
    </xf>
    <xf numFmtId="49" fontId="4" fillId="0" borderId="10" xfId="0" applyNumberFormat="1" applyFont="1" applyBorder="1" applyAlignment="1">
      <alignment wrapText="1"/>
    </xf>
    <xf numFmtId="49" fontId="4" fillId="0" borderId="10" xfId="0" applyNumberFormat="1" applyFont="1" applyBorder="1" applyAlignment="1">
      <alignment horizontal="left" wrapText="1"/>
    </xf>
    <xf numFmtId="1" fontId="4" fillId="0" borderId="10" xfId="0" applyNumberFormat="1" applyFont="1" applyBorder="1" applyAlignment="1">
      <alignment horizontal="right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2" fontId="6" fillId="0" borderId="12" xfId="0" applyNumberFormat="1" applyFont="1" applyBorder="1" applyAlignment="1">
      <alignment horizontal="center" vertical="center" wrapText="1"/>
    </xf>
    <xf numFmtId="0" fontId="0" fillId="28" borderId="12" xfId="0" applyFill="1" applyBorder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10" xfId="0" applyFont="1" applyBorder="1" applyAlignment="1">
      <alignment horizontal="left" wrapText="1"/>
    </xf>
    <xf numFmtId="2" fontId="4" fillId="0" borderId="10" xfId="0" applyNumberFormat="1" applyFont="1" applyBorder="1" applyAlignment="1">
      <alignment horizontal="left" wrapText="1"/>
    </xf>
    <xf numFmtId="2" fontId="5" fillId="0" borderId="10" xfId="0" applyNumberFormat="1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0" fillId="27" borderId="11" xfId="0" applyFill="1" applyBorder="1" applyAlignment="1">
      <alignment horizontal="center"/>
    </xf>
    <xf numFmtId="0" fontId="0" fillId="0" borderId="0" xfId="0" applyAlignment="1">
      <alignment horizontal="left"/>
    </xf>
    <xf numFmtId="0" fontId="11" fillId="0" borderId="0" xfId="0" applyNumberFormat="1" applyFont="1" applyAlignment="1">
      <alignment horizontal="left" vertical="top"/>
    </xf>
    <xf numFmtId="0" fontId="11" fillId="0" borderId="0" xfId="0" applyNumberFormat="1" applyFont="1" applyAlignment="1">
      <alignment horizontal="left" vertical="top" wrapText="1"/>
    </xf>
    <xf numFmtId="0" fontId="7" fillId="0" borderId="12" xfId="0" applyNumberFormat="1" applyFont="1" applyBorder="1" applyAlignment="1">
      <alignment horizontal="left" vertical="center" wrapText="1"/>
    </xf>
    <xf numFmtId="0" fontId="7" fillId="0" borderId="12" xfId="0" applyNumberFormat="1" applyFont="1" applyBorder="1" applyAlignment="1">
      <alignment horizontal="center" vertical="center" wrapText="1"/>
    </xf>
    <xf numFmtId="0" fontId="8" fillId="29" borderId="12" xfId="0" applyNumberFormat="1" applyFont="1" applyFill="1" applyBorder="1" applyAlignment="1">
      <alignment horizontal="left" vertical="top" wrapText="1"/>
    </xf>
    <xf numFmtId="0" fontId="9" fillId="29" borderId="12" xfId="0" applyNumberFormat="1" applyFont="1" applyFill="1" applyBorder="1" applyAlignment="1">
      <alignment horizontal="left" vertical="top" wrapText="1"/>
    </xf>
    <xf numFmtId="0" fontId="9" fillId="29" borderId="12" xfId="0" applyNumberFormat="1" applyFont="1" applyFill="1" applyBorder="1" applyAlignment="1">
      <alignment horizontal="right" vertical="top" wrapText="1"/>
    </xf>
    <xf numFmtId="0" fontId="11" fillId="30" borderId="12" xfId="0" applyNumberFormat="1" applyFont="1" applyFill="1" applyBorder="1" applyAlignment="1">
      <alignment horizontal="left" vertical="top" wrapText="1"/>
    </xf>
    <xf numFmtId="2" fontId="11" fillId="30" borderId="12" xfId="0" applyNumberFormat="1" applyFont="1" applyFill="1" applyBorder="1" applyAlignment="1">
      <alignment horizontal="right" vertical="top" wrapText="1"/>
    </xf>
    <xf numFmtId="4" fontId="11" fillId="30" borderId="12" xfId="0" applyNumberFormat="1" applyFont="1" applyFill="1" applyBorder="1" applyAlignment="1">
      <alignment horizontal="right" vertical="top" wrapText="1"/>
    </xf>
    <xf numFmtId="0" fontId="8" fillId="31" borderId="12" xfId="0" applyNumberFormat="1" applyFont="1" applyFill="1" applyBorder="1" applyAlignment="1">
      <alignment horizontal="left" vertical="top" wrapText="1"/>
    </xf>
    <xf numFmtId="0" fontId="9" fillId="31" borderId="12" xfId="0" applyNumberFormat="1" applyFont="1" applyFill="1" applyBorder="1" applyAlignment="1">
      <alignment horizontal="left" vertical="top" wrapText="1"/>
    </xf>
    <xf numFmtId="0" fontId="9" fillId="31" borderId="12" xfId="0" applyNumberFormat="1" applyFont="1" applyFill="1" applyBorder="1" applyAlignment="1">
      <alignment horizontal="right" vertical="top" wrapText="1"/>
    </xf>
    <xf numFmtId="164" fontId="11" fillId="30" borderId="12" xfId="0" applyNumberFormat="1" applyFont="1" applyFill="1" applyBorder="1" applyAlignment="1">
      <alignment horizontal="left" vertical="top" wrapText="1"/>
    </xf>
    <xf numFmtId="165" fontId="11" fillId="30" borderId="12" xfId="0" applyNumberFormat="1" applyFont="1" applyFill="1" applyBorder="1" applyAlignment="1">
      <alignment horizontal="left" vertical="top" wrapText="1"/>
    </xf>
    <xf numFmtId="166" fontId="11" fillId="30" borderId="12" xfId="0" applyNumberFormat="1" applyFont="1" applyFill="1" applyBorder="1" applyAlignment="1">
      <alignment horizontal="left" vertical="top" wrapText="1"/>
    </xf>
    <xf numFmtId="167" fontId="11" fillId="30" borderId="12" xfId="0" applyNumberFormat="1" applyFont="1" applyFill="1" applyBorder="1" applyAlignment="1">
      <alignment horizontal="left" vertical="top" wrapText="1"/>
    </xf>
    <xf numFmtId="0" fontId="8" fillId="35" borderId="12" xfId="0" applyNumberFormat="1" applyFont="1" applyFill="1" applyBorder="1" applyAlignment="1">
      <alignment horizontal="left" vertical="top" wrapText="1"/>
    </xf>
    <xf numFmtId="0" fontId="9" fillId="35" borderId="12" xfId="0" applyNumberFormat="1" applyFont="1" applyFill="1" applyBorder="1" applyAlignment="1">
      <alignment horizontal="left" vertical="top" wrapText="1"/>
    </xf>
    <xf numFmtId="0" fontId="9" fillId="35" borderId="12" xfId="0" applyNumberFormat="1" applyFont="1" applyFill="1" applyBorder="1" applyAlignment="1">
      <alignment horizontal="right" vertical="top" wrapText="1"/>
    </xf>
    <xf numFmtId="49" fontId="27" fillId="0" borderId="10" xfId="0" applyNumberFormat="1" applyFont="1" applyBorder="1" applyAlignment="1">
      <alignment horizontal="left" wrapText="1"/>
    </xf>
    <xf numFmtId="49" fontId="29" fillId="28" borderId="12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37" borderId="14" xfId="0" applyFill="1" applyBorder="1"/>
    <xf numFmtId="0" fontId="0" fillId="37" borderId="14" xfId="0" applyFill="1" applyBorder="1" applyAlignment="1">
      <alignment horizontal="right"/>
    </xf>
    <xf numFmtId="0" fontId="0" fillId="38" borderId="14" xfId="0" applyFill="1" applyBorder="1"/>
    <xf numFmtId="49" fontId="0" fillId="37" borderId="14" xfId="0" applyNumberFormat="1" applyFill="1" applyBorder="1"/>
    <xf numFmtId="49" fontId="0" fillId="37" borderId="14" xfId="0" applyNumberFormat="1" applyFill="1" applyBorder="1" applyAlignment="1">
      <alignment horizontal="left"/>
    </xf>
    <xf numFmtId="0" fontId="0" fillId="39" borderId="14" xfId="0" applyFill="1" applyBorder="1"/>
    <xf numFmtId="49" fontId="0" fillId="39" borderId="14" xfId="0" applyNumberFormat="1" applyFill="1" applyBorder="1"/>
    <xf numFmtId="49" fontId="0" fillId="39" borderId="14" xfId="0" applyNumberFormat="1" applyFill="1" applyBorder="1" applyAlignment="1">
      <alignment horizontal="left"/>
    </xf>
    <xf numFmtId="0" fontId="0" fillId="39" borderId="14" xfId="0" applyFill="1" applyBorder="1" applyAlignment="1">
      <alignment horizontal="right"/>
    </xf>
    <xf numFmtId="0" fontId="30" fillId="39" borderId="14" xfId="0" applyFont="1" applyFill="1" applyBorder="1" applyAlignment="1">
      <alignment horizontal="right"/>
    </xf>
    <xf numFmtId="0" fontId="30" fillId="39" borderId="14" xfId="0" applyFont="1" applyFill="1" applyBorder="1"/>
    <xf numFmtId="49" fontId="30" fillId="39" borderId="14" xfId="0" applyNumberFormat="1" applyFont="1" applyFill="1" applyBorder="1"/>
    <xf numFmtId="49" fontId="30" fillId="39" borderId="14" xfId="0" applyNumberFormat="1" applyFont="1" applyFill="1" applyBorder="1" applyAlignment="1">
      <alignment horizontal="left"/>
    </xf>
    <xf numFmtId="0" fontId="4" fillId="0" borderId="10" xfId="0" quotePrefix="1" applyFont="1" applyBorder="1" applyAlignment="1">
      <alignment horizontal="left" wrapText="1"/>
    </xf>
    <xf numFmtId="2" fontId="12" fillId="3" borderId="10" xfId="7" applyNumberFormat="1" applyBorder="1" applyAlignment="1">
      <alignment horizontal="left" wrapText="1"/>
    </xf>
    <xf numFmtId="1" fontId="4" fillId="0" borderId="10" xfId="0" applyNumberFormat="1" applyFont="1" applyFill="1" applyBorder="1" applyAlignment="1">
      <alignment horizontal="right" wrapText="1"/>
    </xf>
    <xf numFmtId="1" fontId="0" fillId="0" borderId="12" xfId="0" applyNumberFormat="1" applyBorder="1" applyAlignment="1" applyProtection="1">
      <alignment horizontal="left" vertical="top" wrapText="1"/>
    </xf>
    <xf numFmtId="0" fontId="28" fillId="44" borderId="12" xfId="0" applyFont="1" applyFill="1" applyBorder="1" applyAlignment="1">
      <alignment horizontal="left" vertical="top" wrapText="1"/>
    </xf>
    <xf numFmtId="2" fontId="4" fillId="45" borderId="10" xfId="0" applyNumberFormat="1" applyFont="1" applyFill="1" applyBorder="1" applyAlignment="1">
      <alignment horizontal="left" wrapText="1"/>
    </xf>
    <xf numFmtId="0" fontId="4" fillId="0" borderId="10" xfId="0" applyNumberFormat="1" applyFont="1" applyBorder="1" applyAlignment="1">
      <alignment horizontal="left" wrapText="1"/>
    </xf>
    <xf numFmtId="2" fontId="17" fillId="4" borderId="10" xfId="8" applyNumberFormat="1" applyBorder="1" applyAlignment="1">
      <alignment horizontal="left" wrapText="1"/>
    </xf>
    <xf numFmtId="2" fontId="0" fillId="27" borderId="0" xfId="0" applyNumberFormat="1" applyFill="1"/>
    <xf numFmtId="9" fontId="28" fillId="36" borderId="12" xfId="42" applyFont="1" applyFill="1" applyBorder="1" applyAlignment="1">
      <alignment horizontal="left" vertical="top" wrapText="1"/>
    </xf>
    <xf numFmtId="9" fontId="35" fillId="36" borderId="12" xfId="0" applyNumberFormat="1" applyFont="1" applyFill="1" applyBorder="1" applyAlignment="1">
      <alignment horizontal="left" vertical="center"/>
    </xf>
    <xf numFmtId="2" fontId="29" fillId="0" borderId="12" xfId="0" applyNumberFormat="1" applyFont="1" applyBorder="1" applyAlignment="1">
      <alignment horizontal="center" vertical="center" wrapText="1"/>
    </xf>
    <xf numFmtId="0" fontId="35" fillId="36" borderId="12" xfId="0" applyFon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10" fillId="0" borderId="12" xfId="43" applyBorder="1" applyAlignment="1">
      <alignment horizontal="center" vertical="center"/>
    </xf>
    <xf numFmtId="0" fontId="0" fillId="39" borderId="14" xfId="0" applyNumberFormat="1" applyFill="1" applyBorder="1" applyAlignment="1">
      <alignment horizontal="left"/>
    </xf>
    <xf numFmtId="0" fontId="0" fillId="37" borderId="14" xfId="0" applyNumberFormat="1" applyFill="1" applyBorder="1" applyAlignment="1">
      <alignment horizontal="left"/>
    </xf>
    <xf numFmtId="1" fontId="28" fillId="32" borderId="12" xfId="0" applyNumberFormat="1" applyFont="1" applyFill="1" applyBorder="1" applyAlignment="1">
      <alignment horizontal="left" vertical="top" wrapText="1"/>
    </xf>
    <xf numFmtId="1" fontId="28" fillId="36" borderId="12" xfId="42" applyNumberFormat="1" applyFont="1" applyFill="1" applyBorder="1" applyAlignment="1">
      <alignment horizontal="left" vertical="top" wrapText="1"/>
    </xf>
    <xf numFmtId="1" fontId="4" fillId="0" borderId="10" xfId="0" applyNumberFormat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9" fontId="0" fillId="0" borderId="0" xfId="42" applyFont="1" applyAlignment="1">
      <alignment horizontal="left"/>
    </xf>
    <xf numFmtId="9" fontId="0" fillId="27" borderId="12" xfId="0" applyNumberFormat="1" applyFill="1" applyBorder="1" applyAlignment="1">
      <alignment horizontal="left"/>
    </xf>
    <xf numFmtId="2" fontId="5" fillId="0" borderId="10" xfId="0" applyNumberFormat="1" applyFont="1" applyBorder="1" applyAlignment="1">
      <alignment horizontal="left" vertical="center" wrapText="1"/>
    </xf>
    <xf numFmtId="1" fontId="5" fillId="0" borderId="10" xfId="0" applyNumberFormat="1" applyFont="1" applyFill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 wrapText="1"/>
    </xf>
    <xf numFmtId="2" fontId="29" fillId="0" borderId="12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horizontal="left"/>
    </xf>
    <xf numFmtId="0" fontId="0" fillId="0" borderId="12" xfId="0" applyBorder="1" applyAlignment="1">
      <alignment horizontal="left" wrapText="1"/>
    </xf>
    <xf numFmtId="9" fontId="2" fillId="0" borderId="12" xfId="42" applyFont="1" applyBorder="1" applyAlignment="1">
      <alignment horizontal="left" wrapText="1"/>
    </xf>
    <xf numFmtId="0" fontId="0" fillId="0" borderId="12" xfId="0" applyBorder="1" applyAlignment="1">
      <alignment horizontal="left" vertical="center"/>
    </xf>
    <xf numFmtId="0" fontId="10" fillId="0" borderId="12" xfId="43" applyBorder="1" applyAlignment="1">
      <alignment horizontal="left" vertical="center"/>
    </xf>
    <xf numFmtId="2" fontId="6" fillId="0" borderId="12" xfId="0" applyNumberFormat="1" applyFont="1" applyBorder="1" applyAlignment="1">
      <alignment horizontal="left" vertical="center" wrapText="1"/>
    </xf>
    <xf numFmtId="9" fontId="36" fillId="36" borderId="12" xfId="0" applyNumberFormat="1" applyFont="1" applyFill="1" applyBorder="1" applyAlignment="1">
      <alignment horizontal="left" vertical="center"/>
    </xf>
    <xf numFmtId="1" fontId="35" fillId="36" borderId="12" xfId="0" applyNumberFormat="1" applyFont="1" applyFill="1" applyBorder="1" applyAlignment="1">
      <alignment horizontal="left" vertical="center"/>
    </xf>
    <xf numFmtId="0" fontId="31" fillId="0" borderId="15" xfId="18"/>
    <xf numFmtId="9" fontId="28" fillId="32" borderId="12" xfId="42" applyFont="1" applyFill="1" applyBorder="1" applyAlignment="1">
      <alignment horizontal="left" vertical="top" wrapText="1"/>
    </xf>
    <xf numFmtId="1" fontId="12" fillId="3" borderId="10" xfId="7" applyNumberFormat="1" applyBorder="1" applyAlignment="1">
      <alignment horizontal="left" wrapText="1"/>
    </xf>
    <xf numFmtId="1" fontId="4" fillId="27" borderId="10" xfId="0" applyNumberFormat="1" applyFont="1" applyFill="1" applyBorder="1" applyAlignment="1">
      <alignment horizontal="left" wrapText="1"/>
    </xf>
    <xf numFmtId="1" fontId="4" fillId="0" borderId="10" xfId="0" applyNumberFormat="1" applyFont="1" applyBorder="1" applyAlignment="1">
      <alignment horizontal="left" wrapText="1"/>
    </xf>
    <xf numFmtId="1" fontId="0" fillId="36" borderId="12" xfId="0" applyNumberFormat="1" applyFill="1" applyBorder="1" applyAlignment="1">
      <alignment horizontal="left"/>
    </xf>
    <xf numFmtId="1" fontId="0" fillId="33" borderId="12" xfId="0" applyNumberFormat="1" applyFill="1" applyBorder="1" applyAlignment="1">
      <alignment horizontal="left"/>
    </xf>
    <xf numFmtId="1" fontId="0" fillId="46" borderId="12" xfId="0" applyNumberFormat="1" applyFill="1" applyBorder="1" applyAlignment="1">
      <alignment horizontal="left"/>
    </xf>
    <xf numFmtId="1" fontId="0" fillId="47" borderId="12" xfId="0" applyNumberFormat="1" applyFill="1" applyBorder="1" applyAlignment="1">
      <alignment horizontal="left"/>
    </xf>
    <xf numFmtId="1" fontId="0" fillId="48" borderId="12" xfId="0" applyNumberFormat="1" applyFill="1" applyBorder="1" applyAlignment="1">
      <alignment horizontal="left"/>
    </xf>
    <xf numFmtId="1" fontId="4" fillId="43" borderId="12" xfId="0" applyNumberFormat="1" applyFont="1" applyFill="1" applyBorder="1" applyAlignment="1">
      <alignment horizontal="left" vertical="center"/>
    </xf>
    <xf numFmtId="1" fontId="4" fillId="49" borderId="12" xfId="0" applyNumberFormat="1" applyFont="1" applyFill="1" applyBorder="1" applyAlignment="1">
      <alignment horizontal="left" vertical="center"/>
    </xf>
    <xf numFmtId="9" fontId="0" fillId="0" borderId="0" xfId="0" applyNumberFormat="1" applyAlignment="1">
      <alignment horizontal="left"/>
    </xf>
    <xf numFmtId="0" fontId="28" fillId="0" borderId="12" xfId="0" applyFont="1" applyBorder="1" applyAlignment="1" applyProtection="1">
      <alignment horizontal="left" vertical="top" wrapText="1"/>
    </xf>
    <xf numFmtId="1" fontId="0" fillId="0" borderId="12" xfId="0" applyNumberFormat="1" applyBorder="1" applyAlignment="1" applyProtection="1">
      <alignment horizontal="left" vertical="top" wrapText="1"/>
    </xf>
    <xf numFmtId="0" fontId="0" fillId="0" borderId="12" xfId="0" applyBorder="1" applyAlignment="1" applyProtection="1">
      <alignment horizontal="left" vertical="top" wrapText="1"/>
    </xf>
    <xf numFmtId="1" fontId="28" fillId="27" borderId="12" xfId="0" applyNumberFormat="1" applyFont="1" applyFill="1" applyBorder="1" applyAlignment="1" applyProtection="1">
      <alignment horizontal="left" vertical="top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2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</xdr:row>
          <xdr:rowOff>133350</xdr:rowOff>
        </xdr:from>
        <xdr:to>
          <xdr:col>9</xdr:col>
          <xdr:colOff>419100</xdr:colOff>
          <xdr:row>3</xdr:row>
          <xdr:rowOff>57150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690762B-AE78-4D68-A5C3-D8DBD4D668C4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514DD5-51CC-43E7-9647-261C398016ED}" name="ASP_MENSAN" displayName="ASP_MENSAN" ref="A1:T89" tableType="queryTable" totalsRowShown="0">
  <autoFilter ref="A1:T89" xr:uid="{84FD20AD-A5B0-40E7-85FD-1732B73EA5A6}"/>
  <tableColumns count="20">
    <tableColumn id="1" xr3:uid="{0A274D3C-503A-4D31-A2E4-203B162D1A9D}" uniqueName="1" name="Column1" queryTableFieldId="1"/>
    <tableColumn id="2" xr3:uid="{430A8A3C-6B26-4152-AC3D-CEF1AA267C5C}" uniqueName="2" name="Column2" queryTableFieldId="2"/>
    <tableColumn id="3" xr3:uid="{F569AD4A-2155-499C-9FD1-789E9F20C624}" uniqueName="3" name="Column3" queryTableFieldId="3"/>
    <tableColumn id="4" xr3:uid="{909E97C6-BB55-4487-AAA7-CC3D82589CCD}" uniqueName="4" name="Column4" queryTableFieldId="4"/>
    <tableColumn id="5" xr3:uid="{C4F0F489-6156-4D3B-9FBD-AC3BEAE1B061}" uniqueName="5" name="Column5" queryTableFieldId="5"/>
    <tableColumn id="6" xr3:uid="{085BCCE1-136D-4E14-B7AD-4104C713E2DF}" uniqueName="6" name="Column6" queryTableFieldId="6"/>
    <tableColumn id="7" xr3:uid="{5094A759-4363-4062-858C-C1AF4B2DC45C}" uniqueName="7" name="Column7" queryTableFieldId="7"/>
    <tableColumn id="8" xr3:uid="{09078E11-359E-4036-8B63-F88A56291C74}" uniqueName="8" name="Column8" queryTableFieldId="8"/>
    <tableColumn id="9" xr3:uid="{C207462E-0FD7-487E-82CB-77D9A05A39EF}" uniqueName="9" name="Column9" queryTableFieldId="9"/>
    <tableColumn id="10" xr3:uid="{8CD71481-5EAD-4BB1-A525-C3E2B9714584}" uniqueName="10" name="Column10" queryTableFieldId="10"/>
    <tableColumn id="11" xr3:uid="{A8BD9006-B9EE-4D7B-9D2E-538B2C2EBED9}" uniqueName="11" name="Column11" queryTableFieldId="11"/>
    <tableColumn id="12" xr3:uid="{9F4C5C96-EACA-4295-A591-6C76BD245792}" uniqueName="12" name="Column12" queryTableFieldId="12"/>
    <tableColumn id="13" xr3:uid="{2A65179B-DEC9-4BF7-A018-E2A2484062D6}" uniqueName="13" name="Column13" queryTableFieldId="13"/>
    <tableColumn id="14" xr3:uid="{AF640739-51E9-456F-AB63-238923141D73}" uniqueName="14" name="Column14" queryTableFieldId="14"/>
    <tableColumn id="15" xr3:uid="{647D1BFD-DEFF-44C8-8002-66AC890446A5}" uniqueName="15" name="Column15" queryTableFieldId="15"/>
    <tableColumn id="16" xr3:uid="{CDAC9875-FF5A-4F47-967E-ADC7EAE47BED}" uniqueName="16" name="Column16" queryTableFieldId="16"/>
    <tableColumn id="17" xr3:uid="{490374D7-71AC-4790-B4C4-27FBAA4FC812}" uniqueName="17" name="Column17" queryTableFieldId="17"/>
    <tableColumn id="18" xr3:uid="{BF70CFA3-5C9A-4F72-BA4D-4A9F304C7A45}" uniqueName="18" name="Column18" queryTableFieldId="18"/>
    <tableColumn id="19" xr3:uid="{0893EA60-5628-4D2F-88B0-7FD9A44C7E98}" uniqueName="19" name="Column19" queryTableFieldId="19"/>
    <tableColumn id="20" xr3:uid="{0F785585-0C1F-4123-8E05-D46A05F0D760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13072-tormoznye-kolodki-perednie-asp-mensan-dlya-lada-largus" TargetMode="External"/><Relationship Id="rId13" Type="http://schemas.openxmlformats.org/officeDocument/2006/relationships/hyperlink" Target="https://motorring.ru/product/37249-tros-privoda-akseleratora-gaza-asp-lada-largus" TargetMode="External"/><Relationship Id="rId18" Type="http://schemas.openxmlformats.org/officeDocument/2006/relationships/hyperlink" Target="https://motorring.ru/product/6986" TargetMode="External"/><Relationship Id="rId3" Type="http://schemas.openxmlformats.org/officeDocument/2006/relationships/hyperlink" Target="https://motorring.ru/product/13070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motorring.ru/product/13067-tormoznye-kolodki-zadnie-asp-mensan-dlya-lada-priora-kalina" TargetMode="External"/><Relationship Id="rId12" Type="http://schemas.openxmlformats.org/officeDocument/2006/relationships/hyperlink" Target="https://motorring.ru/product/13063-tormoznye-barabany-zadnie-chugun-asp-mensan-vaz-2108-21099" TargetMode="External"/><Relationship Id="rId17" Type="http://schemas.openxmlformats.org/officeDocument/2006/relationships/hyperlink" Target="https://motorring.ru/product/6990-neventiliruemye-tormoznye-diski-asp-2121-r15-bez-nasechek" TargetMode="External"/><Relationship Id="rId2" Type="http://schemas.openxmlformats.org/officeDocument/2006/relationships/hyperlink" Target="https://motorring.ru/product/13069-tormoznye-kolodki-perednie-asp-mensan-dlya-peredneprivodnyh" TargetMode="External"/><Relationship Id="rId16" Type="http://schemas.openxmlformats.org/officeDocument/2006/relationships/hyperlink" Target="https://motorring.ru/product/700-tormoznye-diski-asp-2112-sport-r14-nasechki-perforaciya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s://motorring.ru/product/13068" TargetMode="External"/><Relationship Id="rId6" Type="http://schemas.openxmlformats.org/officeDocument/2006/relationships/hyperlink" Target="https://motorring.ru/product/13065-tormoznye-kolodki-zadnie-asp-mensan-dlya-peredneprivodnyh" TargetMode="External"/><Relationship Id="rId11" Type="http://schemas.openxmlformats.org/officeDocument/2006/relationships/hyperlink" Target="https://motorring.ru/product/24319-tormoznye-kolodki-zadnie-asp-lada-largus" TargetMode="External"/><Relationship Id="rId24" Type="http://schemas.openxmlformats.org/officeDocument/2006/relationships/image" Target="../media/image1.emf"/><Relationship Id="rId5" Type="http://schemas.openxmlformats.org/officeDocument/2006/relationships/hyperlink" Target="https://motorring.ru/product/37250-tros-scepleniya-asp-lada-largus-reno-logan-sandero" TargetMode="External"/><Relationship Id="rId15" Type="http://schemas.openxmlformats.org/officeDocument/2006/relationships/hyperlink" Target="https://motorring.ru/product/6988-ventiliruemye-tormoznye-diski-asp-2110-r13-bez-nasechek" TargetMode="External"/><Relationship Id="rId23" Type="http://schemas.openxmlformats.org/officeDocument/2006/relationships/control" Target="../activeX/activeX1.xml"/><Relationship Id="rId10" Type="http://schemas.openxmlformats.org/officeDocument/2006/relationships/hyperlink" Target="https://motorring.ru/product/13071-tormoznye-kolodki-perednie-asp-mensan-dlya-lada-largus" TargetMode="External"/><Relationship Id="rId19" Type="http://schemas.openxmlformats.org/officeDocument/2006/relationships/hyperlink" Target="https://motorring.ru/product/24313-tormoznye-diski-asp-nasechki-perforaciya-ventiliruemye-lada" TargetMode="External"/><Relationship Id="rId4" Type="http://schemas.openxmlformats.org/officeDocument/2006/relationships/hyperlink" Target="https://motorring.ru/product/19692-komplekt-perednih-tormoznyh-kolodok-asp-vaz-2110-2111-2112" TargetMode="External"/><Relationship Id="rId9" Type="http://schemas.openxmlformats.org/officeDocument/2006/relationships/hyperlink" Target="https://motorring.ru/product/13064-tormoznye-kolodki-zadnie-asp-mensan-dlya-vaz-2101-2107-lada" TargetMode="External"/><Relationship Id="rId14" Type="http://schemas.openxmlformats.org/officeDocument/2006/relationships/hyperlink" Target="https://motorring.ru/product/6987" TargetMode="External"/><Relationship Id="rId22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C99"/>
  <sheetViews>
    <sheetView showGridLines="0" tabSelected="1" workbookViewId="0">
      <pane xSplit="1" ySplit="2" topLeftCell="B26" activePane="bottomRight" state="frozen"/>
      <selection pane="topRight" activeCell="B1" sqref="B1"/>
      <selection pane="bottomLeft" activeCell="A2" sqref="A2"/>
      <selection pane="bottomRight" activeCell="G3" sqref="G3:H87"/>
    </sheetView>
  </sheetViews>
  <sheetFormatPr defaultRowHeight="15"/>
  <cols>
    <col min="1" max="1" width="7" style="18" bestFit="1" customWidth="1"/>
    <col min="2" max="2" width="6.85546875" style="18" bestFit="1" customWidth="1"/>
    <col min="3" max="3" width="40.42578125" style="18" bestFit="1" customWidth="1"/>
    <col min="4" max="4" width="2" style="18" bestFit="1" customWidth="1"/>
    <col min="5" max="5" width="4.85546875" style="18" bestFit="1" customWidth="1"/>
    <col min="6" max="6" width="11.42578125" style="18" customWidth="1"/>
    <col min="7" max="7" width="13.7109375" style="18" customWidth="1"/>
    <col min="8" max="8" width="8.140625" style="79" bestFit="1" customWidth="1"/>
    <col min="9" max="9" width="7.42578125" style="80" bestFit="1" customWidth="1"/>
    <col min="10" max="10" width="12.140625" style="18" customWidth="1"/>
    <col min="11" max="11" width="5.85546875" style="79" bestFit="1" customWidth="1"/>
    <col min="12" max="12" width="5.28515625" style="80" bestFit="1" customWidth="1"/>
    <col min="13" max="13" width="4.42578125" style="79" bestFit="1" customWidth="1"/>
    <col min="14" max="15" width="6" style="80" bestFit="1" customWidth="1"/>
    <col min="16" max="16" width="6.7109375" style="79" bestFit="1" customWidth="1"/>
    <col min="17" max="17" width="6.85546875" style="79" bestFit="1" customWidth="1"/>
    <col min="18" max="19" width="7.42578125" style="18" bestFit="1" customWidth="1"/>
    <col min="20" max="20" width="7.42578125" style="18" customWidth="1"/>
    <col min="21" max="21" width="5.85546875" style="18" bestFit="1" customWidth="1"/>
    <col min="22" max="22" width="7.42578125" style="18" customWidth="1"/>
    <col min="23" max="23" width="4.42578125" style="18" customWidth="1"/>
    <col min="24" max="24" width="6" style="18" bestFit="1" customWidth="1"/>
    <col min="25" max="25" width="7.28515625" style="18" bestFit="1" customWidth="1"/>
    <col min="26" max="26" width="7.85546875" style="18" bestFit="1" customWidth="1"/>
    <col min="27" max="27" width="8.140625" style="18" bestFit="1" customWidth="1"/>
    <col min="28" max="28" width="8.28515625" style="18" bestFit="1" customWidth="1"/>
    <col min="29" max="29" width="10.85546875" style="18" customWidth="1"/>
    <col min="30" max="16384" width="9.140625" style="18"/>
  </cols>
  <sheetData>
    <row r="1" spans="1:29">
      <c r="B1" s="78">
        <v>2</v>
      </c>
      <c r="C1" s="78">
        <v>3</v>
      </c>
      <c r="D1" s="18">
        <v>4</v>
      </c>
      <c r="E1" s="18">
        <v>14</v>
      </c>
      <c r="F1" s="18">
        <v>5</v>
      </c>
      <c r="J1" s="81">
        <f>COUNT($AB:$AB)/COUNT($A:$A)</f>
        <v>0.2</v>
      </c>
      <c r="L1" s="97">
        <f>P1</f>
        <v>8</v>
      </c>
      <c r="P1" s="18">
        <v>8</v>
      </c>
      <c r="Q1" s="18">
        <v>9</v>
      </c>
      <c r="R1" s="80"/>
      <c r="S1" s="80"/>
      <c r="T1" s="80"/>
      <c r="U1" s="107">
        <v>0.2</v>
      </c>
      <c r="V1" s="18">
        <v>6</v>
      </c>
      <c r="Y1" s="82" t="str">
        <f>_xlfn.CONCAT(ROUND(MIN(Y3:Y9003)*100,0),"-",ROUND(MAX(Y3:Y9003)*100,0),"%")</f>
        <v>24-47%</v>
      </c>
      <c r="Z1" s="82" t="str">
        <f>_xlfn.CONCAT(ROUND(SUBTOTAL(5,Z3:Z9003)*100,0)," - ",ROUND(SUBTOTAL(4,Z3:Z9003)*100,0),"%")</f>
        <v>-67 - 26%</v>
      </c>
      <c r="AA1" s="82" t="str">
        <f>_xlfn.CONCAT(ROUND(SUBTOTAL(5,AA3:AA90003)*100,0)," - ",ROUND(SUBTOTAL(4,AA3:AA90003)*100,0),"%")</f>
        <v>-17 - 84%</v>
      </c>
    </row>
    <row r="2" spans="1:29">
      <c r="A2" s="5" t="s">
        <v>1</v>
      </c>
      <c r="B2" s="62" t="s">
        <v>4466</v>
      </c>
      <c r="C2" s="62" t="s">
        <v>4406</v>
      </c>
      <c r="D2" s="62"/>
      <c r="E2" s="62"/>
      <c r="F2" s="62" t="s">
        <v>4467</v>
      </c>
      <c r="G2" s="5" t="s">
        <v>308</v>
      </c>
      <c r="H2" s="83" t="s">
        <v>4413</v>
      </c>
      <c r="I2" s="84" t="s">
        <v>4415</v>
      </c>
      <c r="J2" s="5" t="s">
        <v>0</v>
      </c>
      <c r="K2" s="83" t="s">
        <v>4414</v>
      </c>
      <c r="L2" s="98" t="s">
        <v>4474</v>
      </c>
      <c r="M2" s="14"/>
      <c r="N2" s="99"/>
      <c r="O2" s="98" t="s">
        <v>4475</v>
      </c>
      <c r="P2" s="62" t="s">
        <v>4411</v>
      </c>
      <c r="Q2" s="62" t="s">
        <v>4412</v>
      </c>
      <c r="R2" s="75" t="s">
        <v>304</v>
      </c>
      <c r="S2" s="75" t="s">
        <v>304</v>
      </c>
      <c r="T2" s="75" t="s">
        <v>304</v>
      </c>
      <c r="U2" s="67">
        <v>7.0000000000000007E-2</v>
      </c>
      <c r="V2" s="93" t="s">
        <v>4479</v>
      </c>
      <c r="W2" s="68"/>
      <c r="X2" s="93" t="s">
        <v>4480</v>
      </c>
      <c r="Y2" s="85" t="s">
        <v>311</v>
      </c>
      <c r="Z2" s="85" t="s">
        <v>310</v>
      </c>
      <c r="AA2" s="85" t="s">
        <v>309</v>
      </c>
      <c r="AB2" s="86" t="s">
        <v>4422</v>
      </c>
    </row>
    <row r="3" spans="1:29" ht="30">
      <c r="A3" s="77">
        <v>219802</v>
      </c>
      <c r="B3" s="87">
        <f>VLOOKUP($A3,'Выгр Кат'!$A:$R,B$1,0)</f>
        <v>29491</v>
      </c>
      <c r="C3" s="88" t="str">
        <f>VLOOKUP($A3,'Выгр Кат'!$A:$R,C$1,0)</f>
        <v>Трос привода ручного тормоза ASP MENSAN передний для ВАЗ 2101-2107</v>
      </c>
      <c r="D3" s="87" t="str">
        <f>VLOOKUP($A3,'Выгр Кат'!$A:$R,D$1,0)</f>
        <v>Y</v>
      </c>
      <c r="E3" s="87" t="str">
        <f>VLOOKUP($A3,'Выгр Кат'!$A:$R,E$1,0)</f>
        <v>1ск4</v>
      </c>
      <c r="F3" s="87" t="str">
        <f>VLOOKUP($A3,'Выгр Кат'!$A:$R,F$1,0)</f>
        <v>BC260202F</v>
      </c>
      <c r="G3" s="5" t="s">
        <v>4409</v>
      </c>
      <c r="H3" s="14" t="s">
        <v>51</v>
      </c>
      <c r="I3" s="77">
        <f>VLOOKUP(G3,'отчет Eplex'!$B:$E,4,0)</f>
        <v>139.74</v>
      </c>
      <c r="J3" s="14" t="s">
        <v>3</v>
      </c>
      <c r="K3" s="14">
        <v>1</v>
      </c>
      <c r="L3" s="98">
        <f>ROUND(I3*K3*1.1,)</f>
        <v>154</v>
      </c>
      <c r="M3" s="14">
        <f>VLOOKUP(L3,Наценка!$A$1:$B$8,2,1)</f>
        <v>1.47</v>
      </c>
      <c r="N3" s="99">
        <f>L3*M3</f>
        <v>226.38</v>
      </c>
      <c r="O3" s="98">
        <f t="shared" ref="O3:O36" si="0">IF(N3&lt;=1000,(ROUNDUP(N3,-1)-1),(ROUNDUP(N3,-2)-10))</f>
        <v>229</v>
      </c>
      <c r="P3" s="87">
        <f>VLOOKUP($A3,'Выгр Кат'!$A:$R,P$1,0)</f>
        <v>153.71</v>
      </c>
      <c r="Q3" s="87">
        <f>VLOOKUP($A3,'Выгр Кат'!$A:$R,Q$1,0)</f>
        <v>229</v>
      </c>
      <c r="R3" s="75">
        <f>P3-L3</f>
        <v>-0.28999999999999204</v>
      </c>
      <c r="S3" s="75">
        <f>Q3-O3</f>
        <v>0</v>
      </c>
      <c r="T3" s="96">
        <f>ABS(R3/L3)</f>
        <v>1.8831168831168314E-3</v>
      </c>
      <c r="U3" s="76">
        <f>IFERROR(O3*(1-$U$2),"")</f>
        <v>212.97</v>
      </c>
      <c r="V3" s="94" t="str">
        <f>IFERROR((VLOOKUP($A3,'Из ГУГЛа'!$B:$G,V$1,0)+X3)*W3,VLOOKUP($A3,'Из ГУГЛа'!$B:$G,V$1,0))</f>
        <v/>
      </c>
      <c r="W3" s="70">
        <v>1</v>
      </c>
      <c r="X3" s="70"/>
      <c r="Y3" s="89">
        <f>IFERROR(U3/L3-1,"")</f>
        <v>0.38292207792207789</v>
      </c>
      <c r="Z3" s="89" t="str">
        <f>IFERROR((AB3-U3)/AB3,"")</f>
        <v/>
      </c>
      <c r="AA3" s="89" t="str">
        <f>IFERROR(IF(AB3="","",AB3/L3-1),"")</f>
        <v/>
      </c>
      <c r="AB3" s="90"/>
    </row>
    <row r="4" spans="1:29" ht="30">
      <c r="A4" s="77">
        <v>219803</v>
      </c>
      <c r="B4" s="87">
        <f>VLOOKUP($A4,'Выгр Кат'!$A:$R,B$1,0)</f>
        <v>29492</v>
      </c>
      <c r="C4" s="88" t="str">
        <f>VLOOKUP($A4,'Выгр Кат'!$A:$R,C$1,0)</f>
        <v>Трос привода ручного тормоза ASP MENSAN передний для Лада Нива 4x4</v>
      </c>
      <c r="D4" s="87" t="str">
        <f>VLOOKUP($A4,'Выгр Кат'!$A:$R,D$1,0)</f>
        <v>Y</v>
      </c>
      <c r="E4" s="87" t="str">
        <f>VLOOKUP($A4,'Выгр Кат'!$A:$R,E$1,0)</f>
        <v>1</v>
      </c>
      <c r="F4" s="87" t="str">
        <f>VLOOKUP($A4,'Выгр Кат'!$A:$R,F$1,0)</f>
        <v>BC260205F</v>
      </c>
      <c r="G4" s="5" t="s">
        <v>34</v>
      </c>
      <c r="H4" s="14" t="s">
        <v>51</v>
      </c>
      <c r="I4" s="77">
        <f>VLOOKUP(G4,'отчет Eplex'!$B:$E,4,0)</f>
        <v>125.14</v>
      </c>
      <c r="J4" s="65" t="s">
        <v>3</v>
      </c>
      <c r="K4" s="14">
        <v>1</v>
      </c>
      <c r="L4" s="98">
        <f t="shared" ref="L4:L67" si="1">ROUND(I4*K4*1.1,)</f>
        <v>138</v>
      </c>
      <c r="M4" s="14">
        <f>VLOOKUP(L4,Наценка!$A$1:$B$8,2,1)</f>
        <v>1.47</v>
      </c>
      <c r="N4" s="99">
        <f t="shared" ref="N4:N67" si="2">L4*M4</f>
        <v>202.85999999999999</v>
      </c>
      <c r="O4" s="98">
        <f t="shared" si="0"/>
        <v>209</v>
      </c>
      <c r="P4" s="87">
        <f>VLOOKUP($A4,'Выгр Кат'!$A:$R,P$1,0)</f>
        <v>137.65</v>
      </c>
      <c r="Q4" s="87">
        <f>VLOOKUP($A4,'Выгр Кат'!$A:$R,Q$1,0)</f>
        <v>209</v>
      </c>
      <c r="R4" s="75">
        <f t="shared" ref="R4:R67" si="3">P4-L4</f>
        <v>-0.34999999999999432</v>
      </c>
      <c r="S4" s="75">
        <f t="shared" ref="S4:S67" si="4">Q4-O4</f>
        <v>0</v>
      </c>
      <c r="T4" s="96">
        <f t="shared" ref="T4:T67" si="5">ABS(R4/L4)</f>
        <v>2.5362318840579296E-3</v>
      </c>
      <c r="U4" s="76">
        <f t="shared" ref="U4:U67" si="6">IFERROR(O4*(1-$U$2),"")</f>
        <v>194.36999999999998</v>
      </c>
      <c r="V4" s="94" t="str">
        <f>IFERROR((VLOOKUP($A4,'Из ГУГЛа'!$B:$G,V$1,0)+X4)*W4,VLOOKUP($A4,'Из ГУГЛа'!$B:$G,V$1,0))</f>
        <v/>
      </c>
      <c r="W4" s="70">
        <v>1</v>
      </c>
      <c r="X4" s="70"/>
      <c r="Y4" s="89">
        <f t="shared" ref="Y4:Y67" si="7">IFERROR(U4/L4-1,"")</f>
        <v>0.40847826086956496</v>
      </c>
      <c r="Z4" s="89" t="str">
        <f t="shared" ref="Z4:Z67" si="8">IFERROR((AB4-U4)/AB4,"")</f>
        <v/>
      </c>
      <c r="AA4" s="89" t="str">
        <f t="shared" ref="AA4:AA67" si="9">IFERROR(IF(AB4="","",AB4/L4-1),"")</f>
        <v/>
      </c>
      <c r="AB4" s="90"/>
    </row>
    <row r="5" spans="1:29" ht="30">
      <c r="A5" s="77">
        <v>219804</v>
      </c>
      <c r="B5" s="87">
        <f>VLOOKUP($A5,'Выгр Кат'!$A:$R,B$1,0)</f>
        <v>29493</v>
      </c>
      <c r="C5" s="88" t="str">
        <f>VLOOKUP($A5,'Выгр Кат'!$A:$R,C$1,0)</f>
        <v>Трос привода ручного тормоза ASP MENSAN передний для Шевроле Нива</v>
      </c>
      <c r="D5" s="87" t="str">
        <f>VLOOKUP($A5,'Выгр Кат'!$A:$R,D$1,0)</f>
        <v>Y</v>
      </c>
      <c r="E5" s="87" t="str">
        <f>VLOOKUP($A5,'Выгр Кат'!$A:$R,E$1,0)</f>
        <v>1</v>
      </c>
      <c r="F5" s="87" t="str">
        <f>VLOOKUP($A5,'Выгр Кат'!$A:$R,F$1,0)</f>
        <v>BC260204F</v>
      </c>
      <c r="G5" s="5" t="s">
        <v>4410</v>
      </c>
      <c r="H5" s="14" t="s">
        <v>51</v>
      </c>
      <c r="I5" s="77">
        <f>VLOOKUP(G5,'отчет Eplex'!$B:$E,4,0)</f>
        <v>148.08000000000001</v>
      </c>
      <c r="J5" s="14" t="s">
        <v>3</v>
      </c>
      <c r="K5" s="14">
        <v>1</v>
      </c>
      <c r="L5" s="98">
        <f t="shared" si="1"/>
        <v>163</v>
      </c>
      <c r="M5" s="14">
        <f>VLOOKUP(L5,Наценка!$A$1:$B$8,2,1)</f>
        <v>1.47</v>
      </c>
      <c r="N5" s="99">
        <f t="shared" si="2"/>
        <v>239.60999999999999</v>
      </c>
      <c r="O5" s="98">
        <f t="shared" si="0"/>
        <v>239</v>
      </c>
      <c r="P5" s="87">
        <f>VLOOKUP($A5,'Выгр Кат'!$A:$R,P$1,0)</f>
        <v>162.88999999999999</v>
      </c>
      <c r="Q5" s="87">
        <f>VLOOKUP($A5,'Выгр Кат'!$A:$R,Q$1,0)</f>
        <v>239</v>
      </c>
      <c r="R5" s="75">
        <f t="shared" si="3"/>
        <v>-0.11000000000001364</v>
      </c>
      <c r="S5" s="75">
        <f t="shared" si="4"/>
        <v>0</v>
      </c>
      <c r="T5" s="96">
        <f t="shared" si="5"/>
        <v>6.7484662576695485E-4</v>
      </c>
      <c r="U5" s="76">
        <f t="shared" si="6"/>
        <v>222.26999999999998</v>
      </c>
      <c r="V5" s="94" t="str">
        <f>IFERROR((VLOOKUP($A5,'Из ГУГЛа'!$B:$G,V$1,0)+X5)*W5,VLOOKUP($A5,'Из ГУГЛа'!$B:$G,V$1,0))</f>
        <v/>
      </c>
      <c r="W5" s="70">
        <v>1</v>
      </c>
      <c r="X5" s="70"/>
      <c r="Y5" s="89">
        <f t="shared" si="7"/>
        <v>0.36361963190184032</v>
      </c>
      <c r="Z5" s="89" t="str">
        <f t="shared" si="8"/>
        <v/>
      </c>
      <c r="AA5" s="89" t="str">
        <f t="shared" si="9"/>
        <v/>
      </c>
      <c r="AB5" s="90"/>
    </row>
    <row r="6" spans="1:29">
      <c r="A6" s="77">
        <v>219410</v>
      </c>
      <c r="B6" s="87">
        <f>VLOOKUP($A6,'Выгр Кат'!$A:$R,B$1,0)</f>
        <v>36337</v>
      </c>
      <c r="C6" s="88" t="str">
        <f>VLOOKUP($A6,'Выгр Кат'!$A:$R,C$1,0)</f>
        <v>Тормозная жидкость ASP DOT 4 500 мл</v>
      </c>
      <c r="D6" s="87" t="str">
        <f>VLOOKUP($A6,'Выгр Кат'!$A:$R,D$1,0)</f>
        <v>Y</v>
      </c>
      <c r="E6" s="87" t="str">
        <f>VLOOKUP($A6,'Выгр Кат'!$A:$R,E$1,0)</f>
        <v>1ск1</v>
      </c>
      <c r="F6" s="87" t="str">
        <f>VLOOKUP($A6,'Выгр Кат'!$A:$R,F$1,0)</f>
        <v>BF500</v>
      </c>
      <c r="G6" s="5" t="s">
        <v>45</v>
      </c>
      <c r="H6" s="14" t="s">
        <v>51</v>
      </c>
      <c r="I6" s="77">
        <f>VLOOKUP(G6,'отчет Eplex'!$B:$E,4,0)</f>
        <v>158.51</v>
      </c>
      <c r="J6" s="14" t="s">
        <v>3</v>
      </c>
      <c r="K6" s="14">
        <v>1</v>
      </c>
      <c r="L6" s="98">
        <f t="shared" si="1"/>
        <v>174</v>
      </c>
      <c r="M6" s="14">
        <f>VLOOKUP(L6,Наценка!$A$1:$B$8,2,1)</f>
        <v>1.47</v>
      </c>
      <c r="N6" s="99">
        <f t="shared" si="2"/>
        <v>255.78</v>
      </c>
      <c r="O6" s="98">
        <f t="shared" si="0"/>
        <v>259</v>
      </c>
      <c r="P6" s="87">
        <f>VLOOKUP($A6,'Выгр Кат'!$A:$R,P$1,0)</f>
        <v>174.36</v>
      </c>
      <c r="Q6" s="87">
        <f>VLOOKUP($A6,'Выгр Кат'!$A:$R,Q$1,0)</f>
        <v>259</v>
      </c>
      <c r="R6" s="75">
        <f t="shared" si="3"/>
        <v>0.36000000000001364</v>
      </c>
      <c r="S6" s="75">
        <f t="shared" si="4"/>
        <v>0</v>
      </c>
      <c r="T6" s="96">
        <f t="shared" si="5"/>
        <v>2.0689655172414579E-3</v>
      </c>
      <c r="U6" s="76">
        <f t="shared" si="6"/>
        <v>240.86999999999998</v>
      </c>
      <c r="V6" s="94" t="str">
        <f>IFERROR((VLOOKUP($A6,'Из ГУГЛа'!$B:$G,V$1,0)+X6)*W6,VLOOKUP($A6,'Из ГУГЛа'!$B:$G,V$1,0))</f>
        <v/>
      </c>
      <c r="W6" s="70">
        <v>1</v>
      </c>
      <c r="X6" s="70"/>
      <c r="Y6" s="89">
        <f t="shared" si="7"/>
        <v>0.38431034482758597</v>
      </c>
      <c r="Z6" s="89" t="str">
        <f t="shared" si="8"/>
        <v/>
      </c>
      <c r="AA6" s="89" t="str">
        <f t="shared" si="9"/>
        <v/>
      </c>
      <c r="AB6" s="90"/>
    </row>
    <row r="7" spans="1:29" ht="30.75" thickBot="1">
      <c r="A7" s="77">
        <v>219577</v>
      </c>
      <c r="B7" s="87">
        <f>VLOOKUP($A7,'Выгр Кат'!$A:$R,B$1,0)</f>
        <v>29459</v>
      </c>
      <c r="C7" s="88" t="str">
        <f>VLOOKUP($A7,'Выгр Кат'!$A:$R,C$1,0)</f>
        <v>Тормозные колодки ASP MENSAN передние для ВАЗ 2101-2107</v>
      </c>
      <c r="D7" s="87" t="str">
        <f>VLOOKUP($A7,'Выгр Кат'!$A:$R,D$1,0)</f>
        <v>Y</v>
      </c>
      <c r="E7" s="87" t="str">
        <f>VLOOKUP($A7,'Выгр Кат'!$A:$R,E$1,0)</f>
        <v>1</v>
      </c>
      <c r="F7" s="87" t="str">
        <f>VLOOKUP($A7,'Выгр Кат'!$A:$R,F$1,0)</f>
        <v>K260202</v>
      </c>
      <c r="G7" s="5" t="s">
        <v>19</v>
      </c>
      <c r="H7" s="14" t="s">
        <v>51</v>
      </c>
      <c r="I7" s="77">
        <f>VLOOKUP(G7,'отчет Eplex'!$B:$E,4,0)</f>
        <v>347.58</v>
      </c>
      <c r="J7" s="14" t="s">
        <v>3</v>
      </c>
      <c r="K7" s="14">
        <v>1</v>
      </c>
      <c r="L7" s="98">
        <f t="shared" si="1"/>
        <v>382</v>
      </c>
      <c r="M7" s="14">
        <f>VLOOKUP(L7,Наценка!$A$1:$B$8,2,1)</f>
        <v>1.47</v>
      </c>
      <c r="N7" s="99">
        <f t="shared" si="2"/>
        <v>561.54</v>
      </c>
      <c r="O7" s="98">
        <f t="shared" si="0"/>
        <v>569</v>
      </c>
      <c r="P7" s="87">
        <f>VLOOKUP($A7,'Выгр Кат'!$A:$R,P$1,0)</f>
        <v>382.34</v>
      </c>
      <c r="Q7" s="87">
        <f>VLOOKUP($A7,'Выгр Кат'!$A:$R,Q$1,0)</f>
        <v>569</v>
      </c>
      <c r="R7" s="75">
        <f t="shared" si="3"/>
        <v>0.33999999999997499</v>
      </c>
      <c r="S7" s="75">
        <f t="shared" si="4"/>
        <v>0</v>
      </c>
      <c r="T7" s="96">
        <f t="shared" si="5"/>
        <v>8.9005235602087696E-4</v>
      </c>
      <c r="U7" s="76">
        <f t="shared" si="6"/>
        <v>529.16999999999996</v>
      </c>
      <c r="V7" s="94">
        <f>IFERROR((VLOOKUP($A7,'Из ГУГЛа'!$B:$G,V$1,0)+X7)*W7,VLOOKUP($A7,'Из ГУГЛа'!$B:$G,V$1,0))</f>
        <v>590</v>
      </c>
      <c r="W7" s="70">
        <v>1</v>
      </c>
      <c r="X7" s="70"/>
      <c r="Y7" s="89">
        <f t="shared" si="7"/>
        <v>0.38526178010471201</v>
      </c>
      <c r="Z7" s="89" t="str">
        <f t="shared" si="8"/>
        <v/>
      </c>
      <c r="AA7" s="89" t="str">
        <f t="shared" si="9"/>
        <v/>
      </c>
      <c r="AB7" s="95" t="s">
        <v>4423</v>
      </c>
      <c r="AC7" s="18" t="s">
        <v>4425</v>
      </c>
    </row>
    <row r="8" spans="1:29" ht="45.75" thickTop="1">
      <c r="A8" s="77">
        <v>219742</v>
      </c>
      <c r="B8" s="87">
        <f>VLOOKUP($A8,'Выгр Кат'!$A:$R,B$1,0)</f>
        <v>29476</v>
      </c>
      <c r="C8" s="88" t="str">
        <f>VLOOKUP($A8,'Выгр Кат'!$A:$R,C$1,0)</f>
        <v>Трос акселератора ASP MENSAN для Лада Ларгус с 16-ти клапанным двигателем 1,6 л</v>
      </c>
      <c r="D8" s="87" t="str">
        <f>VLOOKUP($A8,'Выгр Кат'!$A:$R,D$1,0)</f>
        <v>Y</v>
      </c>
      <c r="E8" s="87" t="str">
        <f>VLOOKUP($A8,'Выгр Кат'!$A:$R,E$1,0)</f>
        <v>1</v>
      </c>
      <c r="F8" s="87" t="str">
        <f>VLOOKUP($A8,'Выгр Кат'!$A:$R,F$1,0)</f>
        <v>CA270201</v>
      </c>
      <c r="G8" s="5" t="s">
        <v>26</v>
      </c>
      <c r="H8" s="14" t="s">
        <v>51</v>
      </c>
      <c r="I8" s="77">
        <f>VLOOKUP(G8,'отчет Eplex'!$B:$E,4,0)</f>
        <v>321</v>
      </c>
      <c r="J8" s="14" t="s">
        <v>3</v>
      </c>
      <c r="K8" s="14">
        <v>1</v>
      </c>
      <c r="L8" s="98">
        <f t="shared" si="1"/>
        <v>353</v>
      </c>
      <c r="M8" s="14">
        <f>VLOOKUP(L8,Наценка!$A$1:$B$8,2,1)</f>
        <v>1.47</v>
      </c>
      <c r="N8" s="99">
        <f t="shared" si="2"/>
        <v>518.91</v>
      </c>
      <c r="O8" s="98">
        <f t="shared" si="0"/>
        <v>519</v>
      </c>
      <c r="P8" s="87">
        <f>VLOOKUP($A8,'Выгр Кат'!$A:$R,P$1,0)</f>
        <v>353.1</v>
      </c>
      <c r="Q8" s="87">
        <f>VLOOKUP($A8,'Выгр Кат'!$A:$R,Q$1,0)</f>
        <v>519</v>
      </c>
      <c r="R8" s="75">
        <f t="shared" si="3"/>
        <v>0.10000000000002274</v>
      </c>
      <c r="S8" s="75">
        <f t="shared" si="4"/>
        <v>0</v>
      </c>
      <c r="T8" s="96">
        <f t="shared" si="5"/>
        <v>2.8328611898023441E-4</v>
      </c>
      <c r="U8" s="76">
        <f t="shared" si="6"/>
        <v>482.66999999999996</v>
      </c>
      <c r="V8" s="94" t="str">
        <f>IFERROR((VLOOKUP($A8,'Из ГУГЛа'!$B:$G,V$1,0)+X8)*W8,VLOOKUP($A8,'Из ГУГЛа'!$B:$G,V$1,0))</f>
        <v/>
      </c>
      <c r="W8" s="70">
        <v>1</v>
      </c>
      <c r="X8" s="70"/>
      <c r="Y8" s="89">
        <f t="shared" si="7"/>
        <v>0.36733711048158635</v>
      </c>
      <c r="Z8" s="89" t="str">
        <f t="shared" si="8"/>
        <v/>
      </c>
      <c r="AA8" s="89" t="str">
        <f t="shared" si="9"/>
        <v/>
      </c>
      <c r="AB8" s="90"/>
    </row>
    <row r="9" spans="1:29" ht="30">
      <c r="A9" s="77">
        <v>219840</v>
      </c>
      <c r="B9" s="87">
        <f>VLOOKUP($A9,'Выгр Кат'!$A:$R,B$1,0)</f>
        <v>29496</v>
      </c>
      <c r="C9" s="88" t="str">
        <f>VLOOKUP($A9,'Выгр Кат'!$A:$R,C$1,0)</f>
        <v>Трос привода сцепления ASP MENSAN для ВАЗ 2109-21099</v>
      </c>
      <c r="D9" s="87" t="str">
        <f>VLOOKUP($A9,'Выгр Кат'!$A:$R,D$1,0)</f>
        <v>Y</v>
      </c>
      <c r="E9" s="87" t="str">
        <f>VLOOKUP($A9,'Выгр Кат'!$A:$R,E$1,0)</f>
        <v>1</v>
      </c>
      <c r="F9" s="87" t="str">
        <f>VLOOKUP($A9,'Выгр Кат'!$A:$R,F$1,0)</f>
        <v>CC260201</v>
      </c>
      <c r="G9" s="5" t="s">
        <v>36</v>
      </c>
      <c r="H9" s="14" t="s">
        <v>51</v>
      </c>
      <c r="I9" s="77">
        <f>VLOOKUP(G9,'отчет Eplex'!$B:$E,4,0)</f>
        <v>527.66</v>
      </c>
      <c r="J9" s="65" t="s">
        <v>3</v>
      </c>
      <c r="K9" s="14">
        <v>1</v>
      </c>
      <c r="L9" s="98">
        <f t="shared" si="1"/>
        <v>580</v>
      </c>
      <c r="M9" s="14">
        <f>VLOOKUP(L9,Наценка!$A$1:$B$8,2,1)</f>
        <v>1.47</v>
      </c>
      <c r="N9" s="99">
        <f t="shared" si="2"/>
        <v>852.6</v>
      </c>
      <c r="O9" s="98">
        <f t="shared" si="0"/>
        <v>859</v>
      </c>
      <c r="P9" s="87">
        <f>VLOOKUP($A9,'Выгр Кат'!$A:$R,P$1,0)</f>
        <v>580.42999999999995</v>
      </c>
      <c r="Q9" s="87">
        <f>VLOOKUP($A9,'Выгр Кат'!$A:$R,Q$1,0)</f>
        <v>859</v>
      </c>
      <c r="R9" s="75">
        <f t="shared" si="3"/>
        <v>0.42999999999994998</v>
      </c>
      <c r="S9" s="75">
        <f t="shared" si="4"/>
        <v>0</v>
      </c>
      <c r="T9" s="96">
        <f t="shared" si="5"/>
        <v>7.4137931034474135E-4</v>
      </c>
      <c r="U9" s="76">
        <f t="shared" si="6"/>
        <v>798.86999999999989</v>
      </c>
      <c r="V9" s="94" t="str">
        <f>IFERROR((VLOOKUP($A9,'Из ГУГЛа'!$B:$G,V$1,0)+X9)*W9,VLOOKUP($A9,'Из ГУГЛа'!$B:$G,V$1,0))</f>
        <v/>
      </c>
      <c r="W9" s="70">
        <v>1</v>
      </c>
      <c r="X9" s="70"/>
      <c r="Y9" s="89">
        <f t="shared" si="7"/>
        <v>0.37736206896551705</v>
      </c>
      <c r="Z9" s="89" t="str">
        <f t="shared" si="8"/>
        <v/>
      </c>
      <c r="AA9" s="89" t="str">
        <f t="shared" si="9"/>
        <v/>
      </c>
      <c r="AB9" s="90"/>
    </row>
    <row r="10" spans="1:29" ht="30.75" thickBot="1">
      <c r="A10" s="77">
        <v>219578</v>
      </c>
      <c r="B10" s="87">
        <f>VLOOKUP($A10,'Выгр Кат'!$A:$R,B$1,0)</f>
        <v>29461</v>
      </c>
      <c r="C10" s="88" t="str">
        <f>VLOOKUP($A10,'Выгр Кат'!$A:$R,C$1,0)</f>
        <v>Тормозные колодки ASP MENSAN передние для ВАЗ 2108-21099, 2113-2115</v>
      </c>
      <c r="D10" s="87" t="str">
        <f>VLOOKUP($A10,'Выгр Кат'!$A:$R,D$1,0)</f>
        <v>Y</v>
      </c>
      <c r="E10" s="87" t="str">
        <f>VLOOKUP($A10,'Выгр Кат'!$A:$R,E$1,0)</f>
        <v>1</v>
      </c>
      <c r="F10" s="87" t="str">
        <f>VLOOKUP($A10,'Выгр Кат'!$A:$R,F$1,0)</f>
        <v>K260201</v>
      </c>
      <c r="G10" s="5" t="s">
        <v>20</v>
      </c>
      <c r="H10" s="14" t="s">
        <v>51</v>
      </c>
      <c r="I10" s="77">
        <f>VLOOKUP(G10,'отчет Eplex'!$B:$E,4,0)</f>
        <v>418.03</v>
      </c>
      <c r="J10" s="14" t="s">
        <v>3</v>
      </c>
      <c r="K10" s="14">
        <v>1</v>
      </c>
      <c r="L10" s="98">
        <f t="shared" si="1"/>
        <v>460</v>
      </c>
      <c r="M10" s="14">
        <f>VLOOKUP(L10,Наценка!$A$1:$B$8,2,1)</f>
        <v>1.47</v>
      </c>
      <c r="N10" s="99">
        <f t="shared" si="2"/>
        <v>676.19999999999993</v>
      </c>
      <c r="O10" s="98">
        <f t="shared" si="0"/>
        <v>679</v>
      </c>
      <c r="P10" s="87">
        <f>VLOOKUP($A10,'Выгр Кат'!$A:$R,P$1,0)</f>
        <v>459.83</v>
      </c>
      <c r="Q10" s="87">
        <f>VLOOKUP($A10,'Выгр Кат'!$A:$R,Q$1,0)</f>
        <v>679</v>
      </c>
      <c r="R10" s="75">
        <f t="shared" si="3"/>
        <v>-0.17000000000001592</v>
      </c>
      <c r="S10" s="75">
        <f t="shared" si="4"/>
        <v>0</v>
      </c>
      <c r="T10" s="96">
        <f t="shared" si="5"/>
        <v>3.6956521739133896E-4</v>
      </c>
      <c r="U10" s="76">
        <f t="shared" si="6"/>
        <v>631.46999999999991</v>
      </c>
      <c r="V10" s="94">
        <f>IFERROR((VLOOKUP($A10,'Из ГУГЛа'!$B:$G,V$1,0)+X10)*W10,VLOOKUP($A10,'Из ГУГЛа'!$B:$G,V$1,0))</f>
        <v>790</v>
      </c>
      <c r="W10" s="70">
        <v>1</v>
      </c>
      <c r="X10" s="70"/>
      <c r="Y10" s="89">
        <f t="shared" si="7"/>
        <v>0.37276086956521715</v>
      </c>
      <c r="Z10" s="89">
        <f t="shared" si="8"/>
        <v>0.20067088607594949</v>
      </c>
      <c r="AA10" s="89">
        <f t="shared" si="9"/>
        <v>0.71739130434782616</v>
      </c>
      <c r="AB10" s="95">
        <v>790</v>
      </c>
      <c r="AC10" s="18" t="s">
        <v>4426</v>
      </c>
    </row>
    <row r="11" spans="1:29" ht="46.5" thickTop="1" thickBot="1">
      <c r="A11" s="77">
        <v>219583</v>
      </c>
      <c r="B11" s="87">
        <f>VLOOKUP($A11,'Выгр Кат'!$A:$R,B$1,0)</f>
        <v>29464</v>
      </c>
      <c r="C11" s="88" t="str">
        <f>VLOOKUP($A11,'Выгр Кат'!$A:$R,C$1,0)</f>
        <v>Тормозные колодки ASP MENSAN передние для Лада Нива 4x4, Шевроле Нива</v>
      </c>
      <c r="D11" s="87" t="str">
        <f>VLOOKUP($A11,'Выгр Кат'!$A:$R,D$1,0)</f>
        <v>Y</v>
      </c>
      <c r="E11" s="87" t="str">
        <f>VLOOKUP($A11,'Выгр Кат'!$A:$R,E$1,0)</f>
        <v>1</v>
      </c>
      <c r="F11" s="87" t="str">
        <f>VLOOKUP($A11,'Выгр Кат'!$A:$R,F$1,0)</f>
        <v>K260205</v>
      </c>
      <c r="G11" s="5" t="s">
        <v>22</v>
      </c>
      <c r="H11" s="14" t="s">
        <v>51</v>
      </c>
      <c r="I11" s="77">
        <f>VLOOKUP(G11,'отчет Eplex'!$B:$E,4,0)</f>
        <v>422.73</v>
      </c>
      <c r="J11" s="14" t="s">
        <v>3</v>
      </c>
      <c r="K11" s="14">
        <v>1</v>
      </c>
      <c r="L11" s="98">
        <f t="shared" si="1"/>
        <v>465</v>
      </c>
      <c r="M11" s="14">
        <f>VLOOKUP(L11,Наценка!$A$1:$B$8,2,1)</f>
        <v>1.47</v>
      </c>
      <c r="N11" s="99">
        <f t="shared" si="2"/>
        <v>683.55</v>
      </c>
      <c r="O11" s="98">
        <f t="shared" si="0"/>
        <v>689</v>
      </c>
      <c r="P11" s="87">
        <f>VLOOKUP($A11,'Выгр Кат'!$A:$R,P$1,0)</f>
        <v>465</v>
      </c>
      <c r="Q11" s="87">
        <f>VLOOKUP($A11,'Выгр Кат'!$A:$R,Q$1,0)</f>
        <v>689</v>
      </c>
      <c r="R11" s="75">
        <f t="shared" si="3"/>
        <v>0</v>
      </c>
      <c r="S11" s="75">
        <f t="shared" si="4"/>
        <v>0</v>
      </c>
      <c r="T11" s="96">
        <f t="shared" si="5"/>
        <v>0</v>
      </c>
      <c r="U11" s="76">
        <f t="shared" si="6"/>
        <v>640.77</v>
      </c>
      <c r="V11" s="94">
        <f>IFERROR((VLOOKUP($A11,'Из ГУГЛа'!$B:$G,V$1,0)+X11)*W11,VLOOKUP($A11,'Из ГУГЛа'!$B:$G,V$1,0))</f>
        <v>669</v>
      </c>
      <c r="W11" s="70">
        <v>1</v>
      </c>
      <c r="X11" s="70"/>
      <c r="Y11" s="89">
        <f t="shared" si="7"/>
        <v>0.37799999999999989</v>
      </c>
      <c r="Z11" s="89" t="str">
        <f t="shared" si="8"/>
        <v/>
      </c>
      <c r="AA11" s="89" t="str">
        <f t="shared" si="9"/>
        <v/>
      </c>
      <c r="AB11" s="95" t="s">
        <v>4424</v>
      </c>
      <c r="AC11" s="18" t="s">
        <v>4427</v>
      </c>
    </row>
    <row r="12" spans="1:29" ht="46.5" thickTop="1" thickBot="1">
      <c r="A12" s="77">
        <v>219579</v>
      </c>
      <c r="B12" s="87">
        <f>VLOOKUP($A12,'Выгр Кат'!$A:$R,B$1,0)</f>
        <v>29462</v>
      </c>
      <c r="C12" s="88" t="str">
        <f>VLOOKUP($A12,'Выгр Кат'!$A:$R,C$1,0)</f>
        <v>Тормозные колодки ASP MENSAN передние для ВАЗ 2110-2112, Лада Приора, Гранта</v>
      </c>
      <c r="D12" s="87" t="str">
        <f>VLOOKUP($A12,'Выгр Кат'!$A:$R,D$1,0)</f>
        <v>Y</v>
      </c>
      <c r="E12" s="87" t="str">
        <f>VLOOKUP($A12,'Выгр Кат'!$A:$R,E$1,0)</f>
        <v>1</v>
      </c>
      <c r="F12" s="87" t="str">
        <f>VLOOKUP($A12,'Выгр Кат'!$A:$R,F$1,0)</f>
        <v>K260207</v>
      </c>
      <c r="G12" s="5" t="s">
        <v>21</v>
      </c>
      <c r="H12" s="14" t="s">
        <v>51</v>
      </c>
      <c r="I12" s="77">
        <f>VLOOKUP(G12,'отчет Eplex'!$B:$E,4,0)</f>
        <v>427.43</v>
      </c>
      <c r="J12" s="14" t="s">
        <v>3</v>
      </c>
      <c r="K12" s="14">
        <v>1</v>
      </c>
      <c r="L12" s="98">
        <f t="shared" si="1"/>
        <v>470</v>
      </c>
      <c r="M12" s="14">
        <f>VLOOKUP(L12,Наценка!$A$1:$B$8,2,1)</f>
        <v>1.47</v>
      </c>
      <c r="N12" s="99">
        <f t="shared" si="2"/>
        <v>690.9</v>
      </c>
      <c r="O12" s="98">
        <f t="shared" si="0"/>
        <v>699</v>
      </c>
      <c r="P12" s="87">
        <f>VLOOKUP($A12,'Выгр Кат'!$A:$R,P$1,0)</f>
        <v>470.17</v>
      </c>
      <c r="Q12" s="87">
        <f>VLOOKUP($A12,'Выгр Кат'!$A:$R,Q$1,0)</f>
        <v>699</v>
      </c>
      <c r="R12" s="75">
        <f t="shared" si="3"/>
        <v>0.17000000000001592</v>
      </c>
      <c r="S12" s="75">
        <f t="shared" si="4"/>
        <v>0</v>
      </c>
      <c r="T12" s="96">
        <f t="shared" si="5"/>
        <v>3.6170212765960835E-4</v>
      </c>
      <c r="U12" s="76">
        <f t="shared" si="6"/>
        <v>650.06999999999994</v>
      </c>
      <c r="V12" s="94">
        <f>IFERROR((VLOOKUP($A12,'Из ГУГЛа'!$B:$G,V$1,0)+X12)*W12,VLOOKUP($A12,'Из ГУГЛа'!$B:$G,V$1,0))</f>
        <v>769</v>
      </c>
      <c r="W12" s="70">
        <v>1</v>
      </c>
      <c r="X12" s="70"/>
      <c r="Y12" s="89">
        <f t="shared" si="7"/>
        <v>0.38312765957446793</v>
      </c>
      <c r="Z12" s="89">
        <f t="shared" si="8"/>
        <v>0.15465539661898578</v>
      </c>
      <c r="AA12" s="89">
        <f t="shared" si="9"/>
        <v>0.63617021276595742</v>
      </c>
      <c r="AB12" s="95">
        <v>769</v>
      </c>
      <c r="AC12" s="18" t="s">
        <v>4428</v>
      </c>
    </row>
    <row r="13" spans="1:29" ht="30.75" thickTop="1">
      <c r="A13" s="77">
        <v>219841</v>
      </c>
      <c r="B13" s="87">
        <f>VLOOKUP($A13,'Выгр Кат'!$A:$R,B$1,0)</f>
        <v>29498</v>
      </c>
      <c r="C13" s="88" t="str">
        <f>VLOOKUP($A13,'Выгр Кат'!$A:$R,C$1,0)</f>
        <v>Трос привода сцепления ASP MENSAN для ВАЗ 2110-2112</v>
      </c>
      <c r="D13" s="87" t="str">
        <f>VLOOKUP($A13,'Выгр Кат'!$A:$R,D$1,0)</f>
        <v>Y</v>
      </c>
      <c r="E13" s="87" t="str">
        <f>VLOOKUP($A13,'Выгр Кат'!$A:$R,E$1,0)</f>
        <v>1</v>
      </c>
      <c r="F13" s="87" t="str">
        <f>VLOOKUP($A13,'Выгр Кат'!$A:$R,F$1,0)</f>
        <v>CC260207</v>
      </c>
      <c r="G13" s="5" t="s">
        <v>37</v>
      </c>
      <c r="H13" s="14" t="s">
        <v>51</v>
      </c>
      <c r="I13" s="77">
        <f>VLOOKUP(G13,'отчет Eplex'!$B:$E,4,0)</f>
        <v>497.88</v>
      </c>
      <c r="J13" s="14" t="s">
        <v>3</v>
      </c>
      <c r="K13" s="14">
        <v>1</v>
      </c>
      <c r="L13" s="98">
        <f t="shared" si="1"/>
        <v>548</v>
      </c>
      <c r="M13" s="14">
        <f>VLOOKUP(L13,Наценка!$A$1:$B$8,2,1)</f>
        <v>1.47</v>
      </c>
      <c r="N13" s="99">
        <f t="shared" si="2"/>
        <v>805.56</v>
      </c>
      <c r="O13" s="98">
        <f t="shared" si="0"/>
        <v>809</v>
      </c>
      <c r="P13" s="87">
        <f>VLOOKUP($A13,'Выгр Кат'!$A:$R,P$1,0)</f>
        <v>547.66999999999996</v>
      </c>
      <c r="Q13" s="87">
        <f>VLOOKUP($A13,'Выгр Кат'!$A:$R,Q$1,0)</f>
        <v>809</v>
      </c>
      <c r="R13" s="75">
        <f t="shared" si="3"/>
        <v>-0.33000000000004093</v>
      </c>
      <c r="S13" s="75">
        <f t="shared" si="4"/>
        <v>0</v>
      </c>
      <c r="T13" s="96">
        <f t="shared" si="5"/>
        <v>6.0218978102197251E-4</v>
      </c>
      <c r="U13" s="76">
        <f t="shared" si="6"/>
        <v>752.37</v>
      </c>
      <c r="V13" s="94" t="str">
        <f>IFERROR((VLOOKUP($A13,'Из ГУГЛа'!$B:$G,V$1,0)+X13)*W13,VLOOKUP($A13,'Из ГУГЛа'!$B:$G,V$1,0))</f>
        <v/>
      </c>
      <c r="W13" s="70">
        <v>1</v>
      </c>
      <c r="X13" s="70"/>
      <c r="Y13" s="89">
        <f t="shared" si="7"/>
        <v>0.37293795620437953</v>
      </c>
      <c r="Z13" s="89" t="str">
        <f t="shared" si="8"/>
        <v/>
      </c>
      <c r="AA13" s="89" t="str">
        <f t="shared" si="9"/>
        <v/>
      </c>
      <c r="AB13" s="90"/>
    </row>
    <row r="14" spans="1:29" ht="30">
      <c r="A14" s="77">
        <v>219798</v>
      </c>
      <c r="B14" s="87">
        <f>VLOOKUP($A14,'Выгр Кат'!$A:$R,B$1,0)</f>
        <v>29490</v>
      </c>
      <c r="C14" s="88" t="str">
        <f>VLOOKUP($A14,'Выгр Кат'!$A:$R,C$1,0)</f>
        <v>Трос привода ручного тормоза ASP MENSAN для Лада Веста, XRAY</v>
      </c>
      <c r="D14" s="87" t="str">
        <f>VLOOKUP($A14,'Выгр Кат'!$A:$R,D$1,0)</f>
        <v>Y</v>
      </c>
      <c r="E14" s="87" t="str">
        <f>VLOOKUP($A14,'Выгр Кат'!$A:$R,E$1,0)</f>
        <v>1</v>
      </c>
      <c r="F14" s="87" t="str">
        <f>VLOOKUP($A14,'Выгр Кат'!$A:$R,F$1,0)</f>
        <v>BC270222</v>
      </c>
      <c r="G14" s="5" t="s">
        <v>33</v>
      </c>
      <c r="H14" s="14" t="s">
        <v>51</v>
      </c>
      <c r="I14" s="77">
        <f>VLOOKUP(G14,'отчет Eplex'!$B:$E,4,0)</f>
        <v>478.65</v>
      </c>
      <c r="J14" s="14" t="s">
        <v>3</v>
      </c>
      <c r="K14" s="14">
        <v>1</v>
      </c>
      <c r="L14" s="98">
        <f t="shared" si="1"/>
        <v>527</v>
      </c>
      <c r="M14" s="14">
        <f>VLOOKUP(L14,Наценка!$A$1:$B$8,2,1)</f>
        <v>1.47</v>
      </c>
      <c r="N14" s="99">
        <f t="shared" si="2"/>
        <v>774.68999999999994</v>
      </c>
      <c r="O14" s="98">
        <f t="shared" si="0"/>
        <v>779</v>
      </c>
      <c r="P14" s="87">
        <f>VLOOKUP($A14,'Выгр Кат'!$A:$R,P$1,0)</f>
        <v>526.52</v>
      </c>
      <c r="Q14" s="87">
        <f>VLOOKUP($A14,'Выгр Кат'!$A:$R,Q$1,0)</f>
        <v>779</v>
      </c>
      <c r="R14" s="75">
        <f t="shared" si="3"/>
        <v>-0.48000000000001819</v>
      </c>
      <c r="S14" s="75">
        <f t="shared" si="4"/>
        <v>0</v>
      </c>
      <c r="T14" s="96">
        <f t="shared" si="5"/>
        <v>9.1081593927897192E-4</v>
      </c>
      <c r="U14" s="76">
        <f t="shared" si="6"/>
        <v>724.46999999999991</v>
      </c>
      <c r="V14" s="94" t="str">
        <f>IFERROR((VLOOKUP($A14,'Из ГУГЛа'!$B:$G,V$1,0)+X14)*W14,VLOOKUP($A14,'Из ГУГЛа'!$B:$G,V$1,0))</f>
        <v/>
      </c>
      <c r="W14" s="70">
        <v>1</v>
      </c>
      <c r="X14" s="70"/>
      <c r="Y14" s="89">
        <f t="shared" si="7"/>
        <v>0.374705882352941</v>
      </c>
      <c r="Z14" s="89" t="str">
        <f t="shared" si="8"/>
        <v/>
      </c>
      <c r="AA14" s="89" t="str">
        <f t="shared" si="9"/>
        <v/>
      </c>
      <c r="AB14" s="90"/>
    </row>
    <row r="15" spans="1:29" ht="30">
      <c r="A15" s="77">
        <v>219800</v>
      </c>
      <c r="B15" s="87">
        <f>VLOOKUP($A15,'Выгр Кат'!$A:$R,B$1,0)</f>
        <v>29485</v>
      </c>
      <c r="C15" s="88" t="str">
        <f>VLOOKUP($A15,'Выгр Кат'!$A:$R,C$1,0)</f>
        <v>Трос привода ручного тормоза ASP MENSAN для Лада Нива 4x4</v>
      </c>
      <c r="D15" s="87" t="str">
        <f>VLOOKUP($A15,'Выгр Кат'!$A:$R,D$1,0)</f>
        <v>Y</v>
      </c>
      <c r="E15" s="87" t="str">
        <f>VLOOKUP($A15,'Выгр Кат'!$A:$R,E$1,0)</f>
        <v>1</v>
      </c>
      <c r="F15" s="87" t="str">
        <f>VLOOKUP($A15,'Выгр Кат'!$A:$R,F$1,0)</f>
        <v>BC260205</v>
      </c>
      <c r="G15" s="5" t="s">
        <v>31</v>
      </c>
      <c r="H15" s="14" t="s">
        <v>51</v>
      </c>
      <c r="I15" s="77">
        <f>VLOOKUP(G15,'отчет Eplex'!$B:$E,4,0)</f>
        <v>717.28</v>
      </c>
      <c r="J15" s="65" t="s">
        <v>3</v>
      </c>
      <c r="K15" s="14">
        <v>1</v>
      </c>
      <c r="L15" s="98">
        <f t="shared" si="1"/>
        <v>789</v>
      </c>
      <c r="M15" s="14">
        <f>VLOOKUP(L15,Наценка!$A$1:$B$8,2,1)</f>
        <v>1.47</v>
      </c>
      <c r="N15" s="99">
        <f t="shared" si="2"/>
        <v>1159.83</v>
      </c>
      <c r="O15" s="98">
        <f t="shared" si="0"/>
        <v>1190</v>
      </c>
      <c r="P15" s="87">
        <f>VLOOKUP($A15,'Выгр Кат'!$A:$R,P$1,0)</f>
        <v>789.01</v>
      </c>
      <c r="Q15" s="87">
        <f>VLOOKUP($A15,'Выгр Кат'!$A:$R,Q$1,0)</f>
        <v>1190</v>
      </c>
      <c r="R15" s="75">
        <f t="shared" si="3"/>
        <v>9.9999999999909051E-3</v>
      </c>
      <c r="S15" s="75">
        <f t="shared" si="4"/>
        <v>0</v>
      </c>
      <c r="T15" s="96">
        <f t="shared" si="5"/>
        <v>1.2674271229392782E-5</v>
      </c>
      <c r="U15" s="76">
        <f t="shared" si="6"/>
        <v>1106.6999999999998</v>
      </c>
      <c r="V15" s="94" t="str">
        <f>IFERROR((VLOOKUP($A15,'Из ГУГЛа'!$B:$G,V$1,0)+X15)*W15,VLOOKUP($A15,'Из ГУГЛа'!$B:$G,V$1,0))</f>
        <v/>
      </c>
      <c r="W15" s="70">
        <v>1</v>
      </c>
      <c r="X15" s="70"/>
      <c r="Y15" s="89">
        <f t="shared" si="7"/>
        <v>0.40266159695817461</v>
      </c>
      <c r="Z15" s="89" t="str">
        <f t="shared" si="8"/>
        <v/>
      </c>
      <c r="AA15" s="89" t="str">
        <f t="shared" si="9"/>
        <v/>
      </c>
      <c r="AB15" s="90"/>
    </row>
    <row r="16" spans="1:29" ht="30">
      <c r="A16" s="77">
        <v>219801</v>
      </c>
      <c r="B16" s="87">
        <f>VLOOKUP($A16,'Выгр Кат'!$A:$R,B$1,0)</f>
        <v>29487</v>
      </c>
      <c r="C16" s="88" t="str">
        <f>VLOOKUP($A16,'Выгр Кат'!$A:$R,C$1,0)</f>
        <v>Трос привода ручного тормоза ASP MENSAN для Шевроле Нива</v>
      </c>
      <c r="D16" s="87" t="str">
        <f>VLOOKUP($A16,'Выгр Кат'!$A:$R,D$1,0)</f>
        <v>Y</v>
      </c>
      <c r="E16" s="87" t="str">
        <f>VLOOKUP($A16,'Выгр Кат'!$A:$R,E$1,0)</f>
        <v>1</v>
      </c>
      <c r="F16" s="87" t="str">
        <f>VLOOKUP($A16,'Выгр Кат'!$A:$R,F$1,0)</f>
        <v>BC260204</v>
      </c>
      <c r="G16" s="5" t="s">
        <v>362</v>
      </c>
      <c r="H16" s="14" t="s">
        <v>51</v>
      </c>
      <c r="I16" s="77">
        <f>VLOOKUP(G16,'отчет Eplex'!$B:$E,4,0)</f>
        <v>707.84</v>
      </c>
      <c r="J16" s="65" t="s">
        <v>3</v>
      </c>
      <c r="K16" s="14">
        <v>1</v>
      </c>
      <c r="L16" s="98">
        <f t="shared" si="1"/>
        <v>779</v>
      </c>
      <c r="M16" s="14">
        <f>VLOOKUP(L16,Наценка!$A$1:$B$8,2,1)</f>
        <v>1.47</v>
      </c>
      <c r="N16" s="99">
        <f t="shared" si="2"/>
        <v>1145.1299999999999</v>
      </c>
      <c r="O16" s="98">
        <f t="shared" si="0"/>
        <v>1190</v>
      </c>
      <c r="P16" s="87">
        <f>VLOOKUP($A16,'Выгр Кат'!$A:$R,P$1,0)</f>
        <v>778.62</v>
      </c>
      <c r="Q16" s="87">
        <f>VLOOKUP($A16,'Выгр Кат'!$A:$R,Q$1,0)</f>
        <v>1190</v>
      </c>
      <c r="R16" s="75">
        <f t="shared" si="3"/>
        <v>-0.37999999999999545</v>
      </c>
      <c r="S16" s="75">
        <f t="shared" si="4"/>
        <v>0</v>
      </c>
      <c r="T16" s="96">
        <f t="shared" si="5"/>
        <v>4.8780487804877463E-4</v>
      </c>
      <c r="U16" s="76">
        <f t="shared" si="6"/>
        <v>1106.6999999999998</v>
      </c>
      <c r="V16" s="94" t="str">
        <f>IFERROR((VLOOKUP($A16,'Из ГУГЛа'!$B:$G,V$1,0)+X16)*W16,VLOOKUP($A16,'Из ГУГЛа'!$B:$G,V$1,0))</f>
        <v/>
      </c>
      <c r="W16" s="70">
        <v>1</v>
      </c>
      <c r="X16" s="70"/>
      <c r="Y16" s="89">
        <f t="shared" si="7"/>
        <v>0.42066752246469807</v>
      </c>
      <c r="Z16" s="89" t="str">
        <f t="shared" si="8"/>
        <v/>
      </c>
      <c r="AA16" s="89" t="str">
        <f t="shared" si="9"/>
        <v/>
      </c>
      <c r="AB16" s="90"/>
    </row>
    <row r="17" spans="1:29" ht="30.75" thickBot="1">
      <c r="A17" s="77">
        <v>219844</v>
      </c>
      <c r="B17" s="87">
        <f>VLOOKUP($A17,'Выгр Кат'!$A:$R,B$1,0)</f>
        <v>29502</v>
      </c>
      <c r="C17" s="88" t="str">
        <f>VLOOKUP($A17,'Выгр Кат'!$A:$R,C$1,0)</f>
        <v>Трос привода сцепления ASP MENSAN для Лада Ларгус</v>
      </c>
      <c r="D17" s="87" t="str">
        <f>VLOOKUP($A17,'Выгр Кат'!$A:$R,D$1,0)</f>
        <v>Y</v>
      </c>
      <c r="E17" s="87" t="str">
        <f>VLOOKUP($A17,'Выгр Кат'!$A:$R,E$1,0)</f>
        <v>1</v>
      </c>
      <c r="F17" s="87" t="str">
        <f>VLOOKUP($A17,'Выгр Кат'!$A:$R,F$1,0)</f>
        <v>CC270207</v>
      </c>
      <c r="G17" s="5" t="s">
        <v>41</v>
      </c>
      <c r="H17" s="14" t="s">
        <v>51</v>
      </c>
      <c r="I17" s="77">
        <f>VLOOKUP(G17,'отчет Eplex'!$B:$E,4,0)</f>
        <v>624.64</v>
      </c>
      <c r="J17" s="14" t="s">
        <v>3</v>
      </c>
      <c r="K17" s="14">
        <v>1</v>
      </c>
      <c r="L17" s="98">
        <f t="shared" si="1"/>
        <v>687</v>
      </c>
      <c r="M17" s="14">
        <f>VLOOKUP(L17,Наценка!$A$1:$B$8,2,1)</f>
        <v>1.47</v>
      </c>
      <c r="N17" s="102">
        <f>AB17*1.04</f>
        <v>986.96</v>
      </c>
      <c r="O17" s="98">
        <f t="shared" si="0"/>
        <v>989</v>
      </c>
      <c r="P17" s="87">
        <f>VLOOKUP($A17,'Выгр Кат'!$A:$R,P$1,0)</f>
        <v>687.1</v>
      </c>
      <c r="Q17" s="87">
        <f>VLOOKUP($A17,'Выгр Кат'!$A:$R,Q$1,0)</f>
        <v>989</v>
      </c>
      <c r="R17" s="75">
        <f t="shared" si="3"/>
        <v>0.10000000000002274</v>
      </c>
      <c r="S17" s="75">
        <f t="shared" si="4"/>
        <v>0</v>
      </c>
      <c r="T17" s="96">
        <f t="shared" si="5"/>
        <v>1.455604075691743E-4</v>
      </c>
      <c r="U17" s="76">
        <f t="shared" si="6"/>
        <v>919.77</v>
      </c>
      <c r="V17" s="94">
        <f>IFERROR((VLOOKUP($A17,'Из ГУГЛа'!$B:$G,V$1,0)+X17)*W17,VLOOKUP($A17,'Из ГУГЛа'!$B:$G,V$1,0))</f>
        <v>949</v>
      </c>
      <c r="W17" s="70">
        <v>1</v>
      </c>
      <c r="X17" s="70"/>
      <c r="Y17" s="89">
        <f t="shared" si="7"/>
        <v>0.33882096069868983</v>
      </c>
      <c r="Z17" s="89">
        <f t="shared" si="8"/>
        <v>3.0800842992623832E-2</v>
      </c>
      <c r="AA17" s="89">
        <f t="shared" si="9"/>
        <v>0.38136826783114985</v>
      </c>
      <c r="AB17" s="95">
        <v>949</v>
      </c>
      <c r="AC17" s="18" t="s">
        <v>4429</v>
      </c>
    </row>
    <row r="18" spans="1:29" ht="46.5" thickTop="1" thickBot="1">
      <c r="A18" s="77">
        <v>219572</v>
      </c>
      <c r="B18" s="87">
        <f>VLOOKUP($A18,'Выгр Кат'!$A:$R,B$1,0)</f>
        <v>29454</v>
      </c>
      <c r="C18" s="88" t="str">
        <f>VLOOKUP($A18,'Выгр Кат'!$A:$R,C$1,0)</f>
        <v>Тормозные колодки ASP MENSAN задние для ВАЗ 2108-21099, 2113-2115, Лада Калина, Приора, Гранта</v>
      </c>
      <c r="D18" s="87" t="str">
        <f>VLOOKUP($A18,'Выгр Кат'!$A:$R,D$1,0)</f>
        <v>Y</v>
      </c>
      <c r="E18" s="87" t="str">
        <f>VLOOKUP($A18,'Выгр Кат'!$A:$R,E$1,0)</f>
        <v>1</v>
      </c>
      <c r="F18" s="87" t="str">
        <f>VLOOKUP($A18,'Выгр Кат'!$A:$R,F$1,0)</f>
        <v>K260101</v>
      </c>
      <c r="G18" s="5" t="s">
        <v>17</v>
      </c>
      <c r="H18" s="14" t="s">
        <v>51</v>
      </c>
      <c r="I18" s="77">
        <f>VLOOKUP(G18,'отчет Eplex'!$B:$E,4,0)</f>
        <v>526.61</v>
      </c>
      <c r="J18" s="14" t="s">
        <v>3</v>
      </c>
      <c r="K18" s="14">
        <v>1</v>
      </c>
      <c r="L18" s="98">
        <f t="shared" si="1"/>
        <v>579</v>
      </c>
      <c r="M18" s="14">
        <f>VLOOKUP(L18,Наценка!$A$1:$B$8,2,1)</f>
        <v>1.47</v>
      </c>
      <c r="N18" s="99">
        <f t="shared" si="2"/>
        <v>851.13</v>
      </c>
      <c r="O18" s="98">
        <f t="shared" si="0"/>
        <v>859</v>
      </c>
      <c r="P18" s="87">
        <f>VLOOKUP($A18,'Выгр Кат'!$A:$R,P$1,0)</f>
        <v>579.27</v>
      </c>
      <c r="Q18" s="87">
        <f>VLOOKUP($A18,'Выгр Кат'!$A:$R,Q$1,0)</f>
        <v>859</v>
      </c>
      <c r="R18" s="75">
        <f t="shared" si="3"/>
        <v>0.26999999999998181</v>
      </c>
      <c r="S18" s="75">
        <f t="shared" si="4"/>
        <v>0</v>
      </c>
      <c r="T18" s="96">
        <f t="shared" si="5"/>
        <v>4.6632124352328466E-4</v>
      </c>
      <c r="U18" s="76">
        <f t="shared" si="6"/>
        <v>798.86999999999989</v>
      </c>
      <c r="V18" s="94">
        <f>IFERROR((VLOOKUP($A18,'Из ГУГЛа'!$B:$G,V$1,0)+X18)*W18,VLOOKUP($A18,'Из ГУГЛа'!$B:$G,V$1,0))</f>
        <v>949</v>
      </c>
      <c r="W18" s="70">
        <v>1</v>
      </c>
      <c r="X18" s="70"/>
      <c r="Y18" s="89">
        <f t="shared" si="7"/>
        <v>0.37974093264248676</v>
      </c>
      <c r="Z18" s="89">
        <f t="shared" si="8"/>
        <v>0.15819810326659653</v>
      </c>
      <c r="AA18" s="89">
        <f t="shared" si="9"/>
        <v>0.63903281519861821</v>
      </c>
      <c r="AB18" s="95">
        <v>949</v>
      </c>
      <c r="AC18" s="18" t="s">
        <v>4430</v>
      </c>
    </row>
    <row r="19" spans="1:29" ht="30.75" thickTop="1">
      <c r="A19" s="77">
        <v>219895</v>
      </c>
      <c r="B19" s="87">
        <f>VLOOKUP($A19,'Выгр Кат'!$A:$R,B$1,0)</f>
        <v>29479</v>
      </c>
      <c r="C19" s="88" t="str">
        <f>VLOOKUP($A19,'Выгр Кат'!$A:$R,C$1,0)</f>
        <v>Тросы привода ручного тормоза ASP MENSAN для ВАЗ 2108-21099, 2113-2115</v>
      </c>
      <c r="D19" s="87" t="str">
        <f>VLOOKUP($A19,'Выгр Кат'!$A:$R,D$1,0)</f>
        <v>Y</v>
      </c>
      <c r="E19" s="87" t="str">
        <f>VLOOKUP($A19,'Выгр Кат'!$A:$R,E$1,0)</f>
        <v>1</v>
      </c>
      <c r="F19" s="87" t="str">
        <f>VLOOKUP($A19,'Выгр Кат'!$A:$R,F$1,0)</f>
        <v>BC260201</v>
      </c>
      <c r="G19" s="5" t="s">
        <v>28</v>
      </c>
      <c r="H19" s="14" t="s">
        <v>51</v>
      </c>
      <c r="I19" s="77">
        <f>VLOOKUP(G19,'отчет Eplex'!$B:$E,4,0)</f>
        <v>641.32000000000005</v>
      </c>
      <c r="J19" s="14" t="s">
        <v>3</v>
      </c>
      <c r="K19" s="14">
        <v>1</v>
      </c>
      <c r="L19" s="98">
        <f t="shared" si="1"/>
        <v>705</v>
      </c>
      <c r="M19" s="14">
        <f>VLOOKUP(L19,Наценка!$A$1:$B$8,2,1)</f>
        <v>1.47</v>
      </c>
      <c r="N19" s="99">
        <f t="shared" si="2"/>
        <v>1036.3499999999999</v>
      </c>
      <c r="O19" s="98">
        <f t="shared" si="0"/>
        <v>1090</v>
      </c>
      <c r="P19" s="87">
        <f>VLOOKUP($A19,'Выгр Кат'!$A:$R,P$1,0)</f>
        <v>705.45</v>
      </c>
      <c r="Q19" s="87">
        <f>VLOOKUP($A19,'Выгр Кат'!$A:$R,Q$1,0)</f>
        <v>1090</v>
      </c>
      <c r="R19" s="75">
        <f t="shared" si="3"/>
        <v>0.45000000000004547</v>
      </c>
      <c r="S19" s="75">
        <f t="shared" si="4"/>
        <v>0</v>
      </c>
      <c r="T19" s="96">
        <f t="shared" si="5"/>
        <v>6.3829787234049001E-4</v>
      </c>
      <c r="U19" s="76">
        <f t="shared" si="6"/>
        <v>1013.6999999999999</v>
      </c>
      <c r="V19" s="94" t="str">
        <f>IFERROR((VLOOKUP($A19,'Из ГУГЛа'!$B:$G,V$1,0)+X19)*W19,VLOOKUP($A19,'Из ГУГЛа'!$B:$G,V$1,0))</f>
        <v/>
      </c>
      <c r="W19" s="70">
        <v>1</v>
      </c>
      <c r="X19" s="70"/>
      <c r="Y19" s="89">
        <f t="shared" si="7"/>
        <v>0.4378723404255318</v>
      </c>
      <c r="Z19" s="89" t="str">
        <f t="shared" si="8"/>
        <v/>
      </c>
      <c r="AA19" s="89" t="str">
        <f t="shared" si="9"/>
        <v/>
      </c>
      <c r="AB19" s="90"/>
    </row>
    <row r="20" spans="1:29" ht="30">
      <c r="A20" s="77">
        <v>219896</v>
      </c>
      <c r="B20" s="87">
        <f>VLOOKUP($A20,'Выгр Кат'!$A:$R,B$1,0)</f>
        <v>29481</v>
      </c>
      <c r="C20" s="88" t="str">
        <f>VLOOKUP($A20,'Выгр Кат'!$A:$R,C$1,0)</f>
        <v>Тросы привода ручного тормоза ASP MENSAN для ВАЗ 2110-2112</v>
      </c>
      <c r="D20" s="87" t="str">
        <f>VLOOKUP($A20,'Выгр Кат'!$A:$R,D$1,0)</f>
        <v>Y</v>
      </c>
      <c r="E20" s="87" t="str">
        <f>VLOOKUP($A20,'Выгр Кат'!$A:$R,E$1,0)</f>
        <v>1</v>
      </c>
      <c r="F20" s="87" t="str">
        <f>VLOOKUP($A20,'Выгр Кат'!$A:$R,F$1,0)</f>
        <v>BC260207</v>
      </c>
      <c r="G20" s="5" t="s">
        <v>29</v>
      </c>
      <c r="H20" s="14" t="s">
        <v>51</v>
      </c>
      <c r="I20" s="77">
        <v>806</v>
      </c>
      <c r="J20" s="65" t="s">
        <v>3</v>
      </c>
      <c r="K20" s="14">
        <v>1</v>
      </c>
      <c r="L20" s="98">
        <f t="shared" si="1"/>
        <v>887</v>
      </c>
      <c r="M20" s="14">
        <f>VLOOKUP(L20,Наценка!$A$1:$B$8,2,1)</f>
        <v>1.47</v>
      </c>
      <c r="N20" s="99">
        <f t="shared" si="2"/>
        <v>1303.8899999999999</v>
      </c>
      <c r="O20" s="98">
        <f t="shared" si="0"/>
        <v>1390</v>
      </c>
      <c r="P20" s="87">
        <f>VLOOKUP($A20,'Выгр Кат'!$A:$R,P$1,0)</f>
        <v>886.6</v>
      </c>
      <c r="Q20" s="87">
        <f>VLOOKUP($A20,'Выгр Кат'!$A:$R,Q$1,0)</f>
        <v>1390</v>
      </c>
      <c r="R20" s="75">
        <f t="shared" si="3"/>
        <v>-0.39999999999997726</v>
      </c>
      <c r="S20" s="75">
        <f t="shared" si="4"/>
        <v>0</v>
      </c>
      <c r="T20" s="96">
        <f t="shared" si="5"/>
        <v>4.5095828635848619E-4</v>
      </c>
      <c r="U20" s="76">
        <f t="shared" si="6"/>
        <v>1292.6999999999998</v>
      </c>
      <c r="V20" s="94" t="str">
        <f>IFERROR((VLOOKUP($A20,'Из ГУГЛа'!$B:$G,V$1,0)+X20)*W20,VLOOKUP($A20,'Из ГУГЛа'!$B:$G,V$1,0))</f>
        <v/>
      </c>
      <c r="W20" s="70">
        <v>1</v>
      </c>
      <c r="X20" s="70"/>
      <c r="Y20" s="89">
        <f t="shared" si="7"/>
        <v>0.45738444193912042</v>
      </c>
      <c r="Z20" s="89" t="str">
        <f t="shared" si="8"/>
        <v/>
      </c>
      <c r="AA20" s="89" t="str">
        <f t="shared" si="9"/>
        <v/>
      </c>
      <c r="AB20" s="90"/>
    </row>
    <row r="21" spans="1:29" ht="30.75" thickBot="1">
      <c r="A21" s="77">
        <v>219575</v>
      </c>
      <c r="B21" s="87">
        <f>VLOOKUP($A21,'Выгр Кат'!$A:$R,B$1,0)</f>
        <v>29456</v>
      </c>
      <c r="C21" s="88" t="str">
        <f>VLOOKUP($A21,'Выгр Кат'!$A:$R,C$1,0)</f>
        <v>Тормозные колодки ASP MENSAN задние для Лада Калина, Приора с АБС</v>
      </c>
      <c r="D21" s="87" t="str">
        <f>VLOOKUP($A21,'Выгр Кат'!$A:$R,D$1,0)</f>
        <v>Y</v>
      </c>
      <c r="E21" s="87" t="str">
        <f>VLOOKUP($A21,'Выгр Кат'!$A:$R,E$1,0)</f>
        <v>1</v>
      </c>
      <c r="F21" s="87" t="str">
        <f>VLOOKUP($A21,'Выгр Кат'!$A:$R,F$1,0)</f>
        <v>K260103</v>
      </c>
      <c r="G21" s="5" t="s">
        <v>18</v>
      </c>
      <c r="H21" s="14" t="s">
        <v>51</v>
      </c>
      <c r="I21" s="77">
        <f>VLOOKUP(G21,'отчет Eplex'!$B:$E,4,0)</f>
        <v>591.27</v>
      </c>
      <c r="J21" s="14" t="s">
        <v>3</v>
      </c>
      <c r="K21" s="14">
        <v>1</v>
      </c>
      <c r="L21" s="98">
        <f t="shared" si="1"/>
        <v>650</v>
      </c>
      <c r="M21" s="14">
        <f>VLOOKUP(L21,Наценка!$A$1:$B$8,2,1)</f>
        <v>1.47</v>
      </c>
      <c r="N21" s="99">
        <f t="shared" si="2"/>
        <v>955.5</v>
      </c>
      <c r="O21" s="98">
        <f t="shared" si="0"/>
        <v>959</v>
      </c>
      <c r="P21" s="87">
        <f>VLOOKUP($A21,'Выгр Кат'!$A:$R,P$1,0)</f>
        <v>650.4</v>
      </c>
      <c r="Q21" s="87">
        <f>VLOOKUP($A21,'Выгр Кат'!$A:$R,Q$1,0)</f>
        <v>959</v>
      </c>
      <c r="R21" s="75">
        <f t="shared" si="3"/>
        <v>0.39999999999997726</v>
      </c>
      <c r="S21" s="75">
        <f t="shared" si="4"/>
        <v>0</v>
      </c>
      <c r="T21" s="96">
        <f t="shared" si="5"/>
        <v>6.1538461538458039E-4</v>
      </c>
      <c r="U21" s="76">
        <f t="shared" si="6"/>
        <v>891.86999999999989</v>
      </c>
      <c r="V21" s="94">
        <f>IFERROR((VLOOKUP($A21,'Из ГУГЛа'!$B:$G,V$1,0)+X21)*W21,VLOOKUP($A21,'Из ГУГЛа'!$B:$G,V$1,0))</f>
        <v>969</v>
      </c>
      <c r="W21" s="70">
        <v>1</v>
      </c>
      <c r="X21" s="70"/>
      <c r="Y21" s="89">
        <f t="shared" si="7"/>
        <v>0.37210769230769225</v>
      </c>
      <c r="Z21" s="89">
        <f t="shared" si="8"/>
        <v>7.9597523219814351E-2</v>
      </c>
      <c r="AA21" s="89">
        <f t="shared" si="9"/>
        <v>0.49076923076923085</v>
      </c>
      <c r="AB21" s="95">
        <v>969</v>
      </c>
      <c r="AC21" s="18" t="s">
        <v>4431</v>
      </c>
    </row>
    <row r="22" spans="1:29" ht="46.5" thickTop="1" thickBot="1">
      <c r="A22" s="77">
        <v>219581</v>
      </c>
      <c r="B22" s="87">
        <f>VLOOKUP($A22,'Выгр Кат'!$A:$R,B$1,0)</f>
        <v>29468</v>
      </c>
      <c r="C22" s="88" t="str">
        <f>VLOOKUP($A22,'Выгр Кат'!$A:$R,C$1,0)</f>
        <v>Тормозные колодки ASP MENSAN передние для Лада Ларгус с 16-ти клапанным двигателем, Веста</v>
      </c>
      <c r="D22" s="87" t="str">
        <f>VLOOKUP($A22,'Выгр Кат'!$A:$R,D$1,0)</f>
        <v>Y</v>
      </c>
      <c r="E22" s="87" t="str">
        <f>VLOOKUP($A22,'Выгр Кат'!$A:$R,E$1,0)</f>
        <v>1</v>
      </c>
      <c r="F22" s="87" t="str">
        <f>VLOOKUP($A22,'Выгр Кат'!$A:$R,F$1,0)</f>
        <v>K270201</v>
      </c>
      <c r="G22" s="5" t="s">
        <v>24</v>
      </c>
      <c r="H22" s="14" t="s">
        <v>51</v>
      </c>
      <c r="I22" s="77">
        <f>VLOOKUP(G22,'отчет Eplex'!$B:$E,4,0)</f>
        <v>587.15</v>
      </c>
      <c r="J22" s="14" t="s">
        <v>3</v>
      </c>
      <c r="K22" s="14">
        <v>1</v>
      </c>
      <c r="L22" s="98">
        <f t="shared" si="1"/>
        <v>646</v>
      </c>
      <c r="M22" s="14">
        <f>VLOOKUP(L22,Наценка!$A$1:$B$8,2,1)</f>
        <v>1.47</v>
      </c>
      <c r="N22" s="99">
        <f t="shared" si="2"/>
        <v>949.62</v>
      </c>
      <c r="O22" s="98">
        <f t="shared" si="0"/>
        <v>949</v>
      </c>
      <c r="P22" s="87">
        <f>VLOOKUP($A22,'Выгр Кат'!$A:$R,P$1,0)</f>
        <v>645.87</v>
      </c>
      <c r="Q22" s="87">
        <f>VLOOKUP($A22,'Выгр Кат'!$A:$R,Q$1,0)</f>
        <v>949</v>
      </c>
      <c r="R22" s="75">
        <f t="shared" si="3"/>
        <v>-0.12999999999999545</v>
      </c>
      <c r="S22" s="75">
        <f t="shared" si="4"/>
        <v>0</v>
      </c>
      <c r="T22" s="96">
        <f t="shared" si="5"/>
        <v>2.0123839009287222E-4</v>
      </c>
      <c r="U22" s="76">
        <f t="shared" si="6"/>
        <v>882.56999999999994</v>
      </c>
      <c r="V22" s="94">
        <f>IFERROR((VLOOKUP($A22,'Из ГУГЛа'!$B:$G,V$1,0)+X22)*W22,VLOOKUP($A22,'Из ГУГЛа'!$B:$G,V$1,0))</f>
        <v>1190</v>
      </c>
      <c r="W22" s="70">
        <v>1</v>
      </c>
      <c r="X22" s="70"/>
      <c r="Y22" s="89">
        <f t="shared" si="7"/>
        <v>0.36620743034055714</v>
      </c>
      <c r="Z22" s="89">
        <f t="shared" si="8"/>
        <v>0.25834453781512612</v>
      </c>
      <c r="AA22" s="89">
        <f t="shared" si="9"/>
        <v>0.84210526315789469</v>
      </c>
      <c r="AB22" s="95">
        <v>1190</v>
      </c>
      <c r="AC22" s="18" t="s">
        <v>4432</v>
      </c>
    </row>
    <row r="23" spans="1:29" ht="30.75" thickTop="1">
      <c r="A23" s="77">
        <v>219797</v>
      </c>
      <c r="B23" s="87">
        <f>VLOOKUP($A23,'Выгр Кат'!$A:$R,B$1,0)</f>
        <v>29483</v>
      </c>
      <c r="C23" s="88" t="str">
        <f>VLOOKUP($A23,'Выгр Кат'!$A:$R,C$1,0)</f>
        <v>Трос привода ручного тормоза ASP MENSAN для ВАЗ 2101-2107</v>
      </c>
      <c r="D23" s="87" t="str">
        <f>VLOOKUP($A23,'Выгр Кат'!$A:$R,D$1,0)</f>
        <v>Y</v>
      </c>
      <c r="E23" s="87" t="str">
        <f>VLOOKUP($A23,'Выгр Кат'!$A:$R,E$1,0)</f>
        <v>0</v>
      </c>
      <c r="F23" s="87" t="str">
        <f>VLOOKUP($A23,'Выгр Кат'!$A:$R,F$1,0)</f>
        <v>BC260202</v>
      </c>
      <c r="G23" s="5" t="s">
        <v>30</v>
      </c>
      <c r="H23" s="14" t="s">
        <v>51</v>
      </c>
      <c r="I23" s="77">
        <f>VLOOKUP(G23,'отчет Eplex'!$B:$E,4,0)</f>
        <v>717.28</v>
      </c>
      <c r="J23" s="65" t="s">
        <v>3</v>
      </c>
      <c r="K23" s="14">
        <v>1</v>
      </c>
      <c r="L23" s="98">
        <f t="shared" si="1"/>
        <v>789</v>
      </c>
      <c r="M23" s="14">
        <f>VLOOKUP(L23,Наценка!$A$1:$B$8,2,1)</f>
        <v>1.47</v>
      </c>
      <c r="N23" s="99">
        <f t="shared" si="2"/>
        <v>1159.83</v>
      </c>
      <c r="O23" s="98">
        <f t="shared" si="0"/>
        <v>1190</v>
      </c>
      <c r="P23" s="87">
        <f>VLOOKUP($A23,'Выгр Кат'!$A:$R,P$1,0)</f>
        <v>789.01</v>
      </c>
      <c r="Q23" s="87">
        <f>VLOOKUP($A23,'Выгр Кат'!$A:$R,Q$1,0)</f>
        <v>1190</v>
      </c>
      <c r="R23" s="75">
        <f t="shared" si="3"/>
        <v>9.9999999999909051E-3</v>
      </c>
      <c r="S23" s="75">
        <f t="shared" si="4"/>
        <v>0</v>
      </c>
      <c r="T23" s="96">
        <f t="shared" si="5"/>
        <v>1.2674271229392782E-5</v>
      </c>
      <c r="U23" s="76">
        <f t="shared" si="6"/>
        <v>1106.6999999999998</v>
      </c>
      <c r="V23" s="94" t="str">
        <f>IFERROR((VLOOKUP($A23,'Из ГУГЛа'!$B:$G,V$1,0)+X23)*W23,VLOOKUP($A23,'Из ГУГЛа'!$B:$G,V$1,0))</f>
        <v/>
      </c>
      <c r="W23" s="70">
        <v>1</v>
      </c>
      <c r="X23" s="70"/>
      <c r="Y23" s="89">
        <f t="shared" si="7"/>
        <v>0.40266159695817461</v>
      </c>
      <c r="Z23" s="89" t="str">
        <f t="shared" si="8"/>
        <v/>
      </c>
      <c r="AA23" s="89" t="str">
        <f t="shared" si="9"/>
        <v/>
      </c>
      <c r="AB23" s="90"/>
    </row>
    <row r="24" spans="1:29" ht="45">
      <c r="A24" s="77">
        <v>219897</v>
      </c>
      <c r="B24" s="87">
        <f>VLOOKUP($A24,'Выгр Кат'!$A:$R,B$1,0)</f>
        <v>29478</v>
      </c>
      <c r="C24" s="88" t="str">
        <f>VLOOKUP($A24,'Выгр Кат'!$A:$R,C$1,0)</f>
        <v>Тросы привода ручного тормоза ASP MENSAN для Лада Калина, Калина 2, Гранта</v>
      </c>
      <c r="D24" s="87" t="str">
        <f>VLOOKUP($A24,'Выгр Кат'!$A:$R,D$1,0)</f>
        <v>Y</v>
      </c>
      <c r="E24" s="87" t="str">
        <f>VLOOKUP($A24,'Выгр Кат'!$A:$R,E$1,0)</f>
        <v>1ск4</v>
      </c>
      <c r="F24" s="87" t="str">
        <f>VLOOKUP($A24,'Выгр Кат'!$A:$R,F$1,0)</f>
        <v>BC260206</v>
      </c>
      <c r="G24" s="5" t="s">
        <v>27</v>
      </c>
      <c r="H24" s="14" t="s">
        <v>51</v>
      </c>
      <c r="I24" s="77">
        <f>VLOOKUP(G24,'отчет Eplex'!$B:$E,4,0)</f>
        <v>798.78</v>
      </c>
      <c r="J24" s="14" t="s">
        <v>3</v>
      </c>
      <c r="K24" s="14">
        <v>1</v>
      </c>
      <c r="L24" s="98">
        <f t="shared" si="1"/>
        <v>879</v>
      </c>
      <c r="M24" s="14">
        <f>VLOOKUP(L24,Наценка!$A$1:$B$8,2,1)</f>
        <v>1.47</v>
      </c>
      <c r="N24" s="99">
        <f t="shared" si="2"/>
        <v>1292.1299999999999</v>
      </c>
      <c r="O24" s="98">
        <f t="shared" si="0"/>
        <v>1290</v>
      </c>
      <c r="P24" s="87">
        <f>VLOOKUP($A24,'Выгр Кат'!$A:$R,P$1,0)</f>
        <v>878.66</v>
      </c>
      <c r="Q24" s="87">
        <f>VLOOKUP($A24,'Выгр Кат'!$A:$R,Q$1,0)</f>
        <v>1290</v>
      </c>
      <c r="R24" s="75">
        <f t="shared" si="3"/>
        <v>-0.34000000000003183</v>
      </c>
      <c r="S24" s="75">
        <f t="shared" si="4"/>
        <v>0</v>
      </c>
      <c r="T24" s="96">
        <f t="shared" si="5"/>
        <v>3.8680318543803392E-4</v>
      </c>
      <c r="U24" s="76">
        <f t="shared" si="6"/>
        <v>1199.6999999999998</v>
      </c>
      <c r="V24" s="94" t="str">
        <f>IFERROR((VLOOKUP($A24,'Из ГУГЛа'!$B:$G,V$1,0)+X24)*W24,VLOOKUP($A24,'Из ГУГЛа'!$B:$G,V$1,0))</f>
        <v/>
      </c>
      <c r="W24" s="70">
        <v>1</v>
      </c>
      <c r="X24" s="70"/>
      <c r="Y24" s="89">
        <f t="shared" si="7"/>
        <v>0.36484641638225246</v>
      </c>
      <c r="Z24" s="89" t="str">
        <f t="shared" si="8"/>
        <v/>
      </c>
      <c r="AA24" s="89" t="str">
        <f t="shared" si="9"/>
        <v/>
      </c>
      <c r="AB24" s="90"/>
    </row>
    <row r="25" spans="1:29" ht="30">
      <c r="A25" s="77">
        <v>219843</v>
      </c>
      <c r="B25" s="87">
        <f>VLOOKUP($A25,'Выгр Кат'!$A:$R,B$1,0)</f>
        <v>29494</v>
      </c>
      <c r="C25" s="88" t="str">
        <f>VLOOKUP($A25,'Выгр Кат'!$A:$R,C$1,0)</f>
        <v>Трос привода сцепления ASP MENSAN для Лада Калина, Гранта</v>
      </c>
      <c r="D25" s="87" t="str">
        <f>VLOOKUP($A25,'Выгр Кат'!$A:$R,D$1,0)</f>
        <v>Y</v>
      </c>
      <c r="E25" s="87" t="str">
        <f>VLOOKUP($A25,'Выгр Кат'!$A:$R,E$1,0)</f>
        <v>1</v>
      </c>
      <c r="F25" s="87" t="str">
        <f>VLOOKUP($A25,'Выгр Кат'!$A:$R,F$1,0)</f>
        <v>CC260206</v>
      </c>
      <c r="G25" s="5" t="s">
        <v>35</v>
      </c>
      <c r="H25" s="14" t="s">
        <v>51</v>
      </c>
      <c r="I25" s="77">
        <f>VLOOKUP(G25,'отчет Eplex'!$B:$E,4,0)</f>
        <v>625</v>
      </c>
      <c r="J25" s="14" t="s">
        <v>3</v>
      </c>
      <c r="K25" s="14">
        <v>1</v>
      </c>
      <c r="L25" s="98">
        <f t="shared" si="1"/>
        <v>688</v>
      </c>
      <c r="M25" s="14">
        <f>VLOOKUP(L25,Наценка!$A$1:$B$8,2,1)</f>
        <v>1.47</v>
      </c>
      <c r="N25" s="99">
        <f t="shared" si="2"/>
        <v>1011.36</v>
      </c>
      <c r="O25" s="98">
        <f t="shared" si="0"/>
        <v>1090</v>
      </c>
      <c r="P25" s="87">
        <f>VLOOKUP($A25,'Выгр Кат'!$A:$R,P$1,0)</f>
        <v>687.5</v>
      </c>
      <c r="Q25" s="87">
        <f>VLOOKUP($A25,'Выгр Кат'!$A:$R,Q$1,0)</f>
        <v>1090</v>
      </c>
      <c r="R25" s="75">
        <f t="shared" si="3"/>
        <v>-0.5</v>
      </c>
      <c r="S25" s="75">
        <f t="shared" si="4"/>
        <v>0</v>
      </c>
      <c r="T25" s="96">
        <f t="shared" si="5"/>
        <v>7.2674418604651162E-4</v>
      </c>
      <c r="U25" s="76">
        <f t="shared" si="6"/>
        <v>1013.6999999999999</v>
      </c>
      <c r="V25" s="94" t="str">
        <f>IFERROR((VLOOKUP($A25,'Из ГУГЛа'!$B:$G,V$1,0)+X25)*W25,VLOOKUP($A25,'Из ГУГЛа'!$B:$G,V$1,0))</f>
        <v/>
      </c>
      <c r="W25" s="70">
        <v>1</v>
      </c>
      <c r="X25" s="70"/>
      <c r="Y25" s="89">
        <f t="shared" si="7"/>
        <v>0.47340116279069755</v>
      </c>
      <c r="Z25" s="89" t="str">
        <f t="shared" si="8"/>
        <v/>
      </c>
      <c r="AA25" s="89" t="str">
        <f t="shared" si="9"/>
        <v/>
      </c>
      <c r="AB25" s="90"/>
    </row>
    <row r="26" spans="1:29" ht="30">
      <c r="A26" s="77">
        <v>219845</v>
      </c>
      <c r="B26" s="87">
        <f>VLOOKUP($A26,'Выгр Кат'!$A:$R,B$1,0)</f>
        <v>29499</v>
      </c>
      <c r="C26" s="88" t="str">
        <f>VLOOKUP($A26,'Выгр Кат'!$A:$R,C$1,0)</f>
        <v>Трос привода сцепления ASP MENSAN для Лада Приора</v>
      </c>
      <c r="D26" s="87" t="str">
        <f>VLOOKUP($A26,'Выгр Кат'!$A:$R,D$1,0)</f>
        <v>Y</v>
      </c>
      <c r="E26" s="87" t="str">
        <f>VLOOKUP($A26,'Выгр Кат'!$A:$R,E$1,0)</f>
        <v>1</v>
      </c>
      <c r="F26" s="87" t="str">
        <f>VLOOKUP($A26,'Выгр Кат'!$A:$R,F$1,0)</f>
        <v>CC260208</v>
      </c>
      <c r="G26" s="5" t="s">
        <v>38</v>
      </c>
      <c r="H26" s="14" t="s">
        <v>51</v>
      </c>
      <c r="I26" s="77">
        <f>VLOOKUP(G26,'отчет Eplex'!$B:$E,4,0)</f>
        <v>635</v>
      </c>
      <c r="J26" s="14" t="s">
        <v>3</v>
      </c>
      <c r="K26" s="14">
        <v>1</v>
      </c>
      <c r="L26" s="98">
        <f t="shared" si="1"/>
        <v>699</v>
      </c>
      <c r="M26" s="14">
        <f>VLOOKUP(L26,Наценка!$A$1:$B$8,2,1)</f>
        <v>1.47</v>
      </c>
      <c r="N26" s="99">
        <f t="shared" si="2"/>
        <v>1027.53</v>
      </c>
      <c r="O26" s="98">
        <f t="shared" si="0"/>
        <v>1090</v>
      </c>
      <c r="P26" s="87">
        <f>VLOOKUP($A26,'Выгр Кат'!$A:$R,P$1,0)</f>
        <v>698.5</v>
      </c>
      <c r="Q26" s="87">
        <f>VLOOKUP($A26,'Выгр Кат'!$A:$R,Q$1,0)</f>
        <v>1090</v>
      </c>
      <c r="R26" s="75">
        <f t="shared" si="3"/>
        <v>-0.5</v>
      </c>
      <c r="S26" s="75">
        <f t="shared" si="4"/>
        <v>0</v>
      </c>
      <c r="T26" s="96">
        <f t="shared" si="5"/>
        <v>7.1530758226037196E-4</v>
      </c>
      <c r="U26" s="76">
        <f t="shared" si="6"/>
        <v>1013.6999999999999</v>
      </c>
      <c r="V26" s="94" t="str">
        <f>IFERROR((VLOOKUP($A26,'Из ГУГЛа'!$B:$G,V$1,0)+X26)*W26,VLOOKUP($A26,'Из ГУГЛа'!$B:$G,V$1,0))</f>
        <v/>
      </c>
      <c r="W26" s="70">
        <v>1</v>
      </c>
      <c r="X26" s="70"/>
      <c r="Y26" s="89">
        <f t="shared" si="7"/>
        <v>0.45021459227467808</v>
      </c>
      <c r="Z26" s="89" t="str">
        <f t="shared" si="8"/>
        <v/>
      </c>
      <c r="AA26" s="89" t="str">
        <f t="shared" si="9"/>
        <v/>
      </c>
      <c r="AB26" s="90"/>
    </row>
    <row r="27" spans="1:29" ht="30">
      <c r="A27" s="77">
        <v>219799</v>
      </c>
      <c r="B27" s="87">
        <f>VLOOKUP($A27,'Выгр Кат'!$A:$R,B$1,0)</f>
        <v>29489</v>
      </c>
      <c r="C27" s="88" t="str">
        <f>VLOOKUP($A27,'Выгр Кат'!$A:$R,C$1,0)</f>
        <v>Трос привода ручного тормоза ASP MENSAN для Лада Ларгус</v>
      </c>
      <c r="D27" s="87" t="str">
        <f>VLOOKUP($A27,'Выгр Кат'!$A:$R,D$1,0)</f>
        <v>Y</v>
      </c>
      <c r="E27" s="87" t="str">
        <f>VLOOKUP($A27,'Выгр Кат'!$A:$R,E$1,0)</f>
        <v>1</v>
      </c>
      <c r="F27" s="87" t="str">
        <f>VLOOKUP($A27,'Выгр Кат'!$A:$R,F$1,0)</f>
        <v>BP270207-1993mm</v>
      </c>
      <c r="G27" s="5" t="s">
        <v>241</v>
      </c>
      <c r="H27" s="14" t="s">
        <v>51</v>
      </c>
      <c r="I27" s="77">
        <f>VLOOKUP(G27,'отчет Eplex'!$B:$E,4,0)</f>
        <v>641.32000000000005</v>
      </c>
      <c r="J27" s="14" t="s">
        <v>3</v>
      </c>
      <c r="K27" s="14">
        <v>1</v>
      </c>
      <c r="L27" s="98">
        <f t="shared" si="1"/>
        <v>705</v>
      </c>
      <c r="M27" s="14">
        <f>VLOOKUP(L27,Наценка!$A$1:$B$8,2,1)</f>
        <v>1.47</v>
      </c>
      <c r="N27" s="99">
        <f t="shared" si="2"/>
        <v>1036.3499999999999</v>
      </c>
      <c r="O27" s="98">
        <f t="shared" si="0"/>
        <v>1090</v>
      </c>
      <c r="P27" s="87">
        <f>VLOOKUP($A27,'Выгр Кат'!$A:$R,P$1,0)</f>
        <v>705.45</v>
      </c>
      <c r="Q27" s="87">
        <f>VLOOKUP($A27,'Выгр Кат'!$A:$R,Q$1,0)</f>
        <v>1090</v>
      </c>
      <c r="R27" s="75">
        <f t="shared" si="3"/>
        <v>0.45000000000004547</v>
      </c>
      <c r="S27" s="75">
        <f t="shared" si="4"/>
        <v>0</v>
      </c>
      <c r="T27" s="96">
        <f t="shared" si="5"/>
        <v>6.3829787234049001E-4</v>
      </c>
      <c r="U27" s="76">
        <f t="shared" si="6"/>
        <v>1013.6999999999999</v>
      </c>
      <c r="V27" s="94" t="str">
        <f>IFERROR((VLOOKUP($A27,'Из ГУГЛа'!$B:$G,V$1,0)+X27)*W27,VLOOKUP($A27,'Из ГУГЛа'!$B:$G,V$1,0))</f>
        <v/>
      </c>
      <c r="W27" s="70">
        <v>1</v>
      </c>
      <c r="X27" s="70"/>
      <c r="Y27" s="89">
        <f t="shared" si="7"/>
        <v>0.4378723404255318</v>
      </c>
      <c r="Z27" s="89" t="str">
        <f t="shared" si="8"/>
        <v/>
      </c>
      <c r="AA27" s="89" t="str">
        <f t="shared" si="9"/>
        <v/>
      </c>
      <c r="AB27" s="90"/>
    </row>
    <row r="28" spans="1:29" ht="45.75" thickBot="1">
      <c r="A28" s="77">
        <v>219573</v>
      </c>
      <c r="B28" s="87">
        <f>VLOOKUP($A28,'Выгр Кат'!$A:$R,B$1,0)</f>
        <v>29453</v>
      </c>
      <c r="C28" s="88" t="str">
        <f>VLOOKUP($A28,'Выгр Кат'!$A:$R,C$1,0)</f>
        <v>Тормозные колодки ASP MENSAN задние для ВАЗ 2101-2107, Лада Нива 4x4, Шевроле Нива</v>
      </c>
      <c r="D28" s="87" t="str">
        <f>VLOOKUP($A28,'Выгр Кат'!$A:$R,D$1,0)</f>
        <v>Y</v>
      </c>
      <c r="E28" s="87" t="str">
        <f>VLOOKUP($A28,'Выгр Кат'!$A:$R,E$1,0)</f>
        <v>1ск4</v>
      </c>
      <c r="F28" s="87" t="str">
        <f>VLOOKUP($A28,'Выгр Кат'!$A:$R,F$1,0)</f>
        <v>K260102</v>
      </c>
      <c r="G28" s="5" t="s">
        <v>16</v>
      </c>
      <c r="H28" s="14" t="s">
        <v>51</v>
      </c>
      <c r="I28" s="77">
        <f>VLOOKUP(G28,'отчет Eplex'!$B:$E,4,0)</f>
        <v>662.85</v>
      </c>
      <c r="J28" s="14" t="s">
        <v>3</v>
      </c>
      <c r="K28" s="14">
        <v>1</v>
      </c>
      <c r="L28" s="98">
        <f t="shared" si="1"/>
        <v>729</v>
      </c>
      <c r="M28" s="14">
        <f>VLOOKUP(L28,Наценка!$A$1:$B$8,2,1)</f>
        <v>1.47</v>
      </c>
      <c r="N28" s="99">
        <f t="shared" si="2"/>
        <v>1071.6299999999999</v>
      </c>
      <c r="O28" s="98">
        <f t="shared" si="0"/>
        <v>1090</v>
      </c>
      <c r="P28" s="87">
        <f>VLOOKUP($A28,'Выгр Кат'!$A:$R,P$1,0)</f>
        <v>729.14</v>
      </c>
      <c r="Q28" s="87">
        <f>VLOOKUP($A28,'Выгр Кат'!$A:$R,Q$1,0)</f>
        <v>1090</v>
      </c>
      <c r="R28" s="75">
        <f t="shared" si="3"/>
        <v>0.13999999999998636</v>
      </c>
      <c r="S28" s="75">
        <f t="shared" si="4"/>
        <v>0</v>
      </c>
      <c r="T28" s="96">
        <f t="shared" si="5"/>
        <v>1.9204389574758074E-4</v>
      </c>
      <c r="U28" s="76">
        <f t="shared" si="6"/>
        <v>1013.6999999999999</v>
      </c>
      <c r="V28" s="94">
        <f>IFERROR((VLOOKUP($A28,'Из ГУГЛа'!$B:$G,V$1,0)+X28)*W28,VLOOKUP($A28,'Из ГУГЛа'!$B:$G,V$1,0))</f>
        <v>1090</v>
      </c>
      <c r="W28" s="70">
        <v>1</v>
      </c>
      <c r="X28" s="70"/>
      <c r="Y28" s="89">
        <f t="shared" si="7"/>
        <v>0.39053497942386817</v>
      </c>
      <c r="Z28" s="89">
        <f t="shared" si="8"/>
        <v>7.0000000000000062E-2</v>
      </c>
      <c r="AA28" s="89">
        <f t="shared" si="9"/>
        <v>0.49519890260630994</v>
      </c>
      <c r="AB28" s="95">
        <v>1090</v>
      </c>
      <c r="AC28" s="18" t="s">
        <v>4433</v>
      </c>
    </row>
    <row r="29" spans="1:29" ht="30.75" thickTop="1">
      <c r="A29" s="77">
        <v>219846</v>
      </c>
      <c r="B29" s="87">
        <f>VLOOKUP($A29,'Выгр Кат'!$A:$R,B$1,0)</f>
        <v>29500</v>
      </c>
      <c r="C29" s="88" t="str">
        <f>VLOOKUP($A29,'Выгр Кат'!$A:$R,C$1,0)</f>
        <v>Трос привода сцепления ASP MENSAN для Лада Приора с тросовой КПП</v>
      </c>
      <c r="D29" s="87" t="str">
        <f>VLOOKUP($A29,'Выгр Кат'!$A:$R,D$1,0)</f>
        <v>Y</v>
      </c>
      <c r="E29" s="87" t="str">
        <f>VLOOKUP($A29,'Выгр Кат'!$A:$R,E$1,0)</f>
        <v>1</v>
      </c>
      <c r="F29" s="87" t="str">
        <f>VLOOKUP($A29,'Выгр Кат'!$A:$R,F$1,0)</f>
        <v>CC260209</v>
      </c>
      <c r="G29" s="5" t="s">
        <v>39</v>
      </c>
      <c r="H29" s="14" t="s">
        <v>51</v>
      </c>
      <c r="I29" s="77">
        <f>VLOOKUP(G29,'отчет Eplex'!$B:$E,4,0)</f>
        <v>672</v>
      </c>
      <c r="J29" s="14" t="s">
        <v>3</v>
      </c>
      <c r="K29" s="14">
        <v>1</v>
      </c>
      <c r="L29" s="98">
        <f t="shared" si="1"/>
        <v>739</v>
      </c>
      <c r="M29" s="14">
        <f>VLOOKUP(L29,Наценка!$A$1:$B$8,2,1)</f>
        <v>1.47</v>
      </c>
      <c r="N29" s="99">
        <f t="shared" si="2"/>
        <v>1086.33</v>
      </c>
      <c r="O29" s="98">
        <f t="shared" si="0"/>
        <v>1090</v>
      </c>
      <c r="P29" s="87">
        <f>VLOOKUP($A29,'Выгр Кат'!$A:$R,P$1,0)</f>
        <v>739.2</v>
      </c>
      <c r="Q29" s="87">
        <f>VLOOKUP($A29,'Выгр Кат'!$A:$R,Q$1,0)</f>
        <v>1090</v>
      </c>
      <c r="R29" s="75">
        <f t="shared" si="3"/>
        <v>0.20000000000004547</v>
      </c>
      <c r="S29" s="75">
        <f t="shared" si="4"/>
        <v>0</v>
      </c>
      <c r="T29" s="96">
        <f t="shared" si="5"/>
        <v>2.7063599458734166E-4</v>
      </c>
      <c r="U29" s="76">
        <f t="shared" si="6"/>
        <v>1013.6999999999999</v>
      </c>
      <c r="V29" s="94" t="str">
        <f>IFERROR((VLOOKUP($A29,'Из ГУГЛа'!$B:$G,V$1,0)+X29)*W29,VLOOKUP($A29,'Из ГУГЛа'!$B:$G,V$1,0))</f>
        <v/>
      </c>
      <c r="W29" s="70">
        <v>1</v>
      </c>
      <c r="X29" s="70"/>
      <c r="Y29" s="89">
        <f t="shared" si="7"/>
        <v>0.3717185385656292</v>
      </c>
      <c r="Z29" s="89" t="str">
        <f t="shared" si="8"/>
        <v/>
      </c>
      <c r="AA29" s="89" t="str">
        <f t="shared" si="9"/>
        <v/>
      </c>
      <c r="AB29" s="90"/>
    </row>
    <row r="30" spans="1:29" ht="30">
      <c r="A30" s="77">
        <v>219842</v>
      </c>
      <c r="B30" s="87">
        <f>VLOOKUP($A30,'Выгр Кат'!$A:$R,B$1,0)</f>
        <v>29501</v>
      </c>
      <c r="C30" s="88" t="str">
        <f>VLOOKUP($A30,'Выгр Кат'!$A:$R,C$1,0)</f>
        <v>Трос привода сцепления ASP MENSAN для Лада Калина 2, Гранта</v>
      </c>
      <c r="D30" s="87" t="str">
        <f>VLOOKUP($A30,'Выгр Кат'!$A:$R,D$1,0)</f>
        <v>Y</v>
      </c>
      <c r="E30" s="87" t="str">
        <f>VLOOKUP($A30,'Выгр Кат'!$A:$R,E$1,0)</f>
        <v>1</v>
      </c>
      <c r="F30" s="87" t="str">
        <f>VLOOKUP($A30,'Выгр Кат'!$A:$R,F$1,0)</f>
        <v>CC260210</v>
      </c>
      <c r="G30" s="5" t="s">
        <v>40</v>
      </c>
      <c r="H30" s="14" t="s">
        <v>51</v>
      </c>
      <c r="I30" s="77">
        <f>VLOOKUP(G30,'отчет Eplex'!$B:$E,4,0)</f>
        <v>787</v>
      </c>
      <c r="J30" s="14" t="s">
        <v>3</v>
      </c>
      <c r="K30" s="14">
        <v>1</v>
      </c>
      <c r="L30" s="98">
        <f t="shared" si="1"/>
        <v>866</v>
      </c>
      <c r="M30" s="14">
        <f>VLOOKUP(L30,Наценка!$A$1:$B$8,2,1)</f>
        <v>1.47</v>
      </c>
      <c r="N30" s="99">
        <f t="shared" si="2"/>
        <v>1273.02</v>
      </c>
      <c r="O30" s="98">
        <f t="shared" si="0"/>
        <v>1290</v>
      </c>
      <c r="P30" s="87">
        <f>VLOOKUP($A30,'Выгр Кат'!$A:$R,P$1,0)</f>
        <v>865.7</v>
      </c>
      <c r="Q30" s="87">
        <f>VLOOKUP($A30,'Выгр Кат'!$A:$R,Q$1,0)</f>
        <v>1290</v>
      </c>
      <c r="R30" s="75">
        <f t="shared" si="3"/>
        <v>-0.29999999999995453</v>
      </c>
      <c r="S30" s="75">
        <f t="shared" si="4"/>
        <v>0</v>
      </c>
      <c r="T30" s="96">
        <f t="shared" si="5"/>
        <v>3.4642032332558257E-4</v>
      </c>
      <c r="U30" s="76">
        <f t="shared" si="6"/>
        <v>1199.6999999999998</v>
      </c>
      <c r="V30" s="94" t="str">
        <f>IFERROR((VLOOKUP($A30,'Из ГУГЛа'!$B:$G,V$1,0)+X30)*W30,VLOOKUP($A30,'Из ГУГЛа'!$B:$G,V$1,0))</f>
        <v/>
      </c>
      <c r="W30" s="70">
        <v>1</v>
      </c>
      <c r="X30" s="70"/>
      <c r="Y30" s="89">
        <f t="shared" si="7"/>
        <v>0.38533487297921454</v>
      </c>
      <c r="Z30" s="89" t="str">
        <f t="shared" si="8"/>
        <v/>
      </c>
      <c r="AA30" s="89" t="str">
        <f t="shared" si="9"/>
        <v/>
      </c>
      <c r="AB30" s="90"/>
    </row>
    <row r="31" spans="1:29" ht="45.75" thickBot="1">
      <c r="A31" s="77">
        <v>219582</v>
      </c>
      <c r="B31" s="87">
        <f>VLOOKUP($A31,'Выгр Кат'!$A:$R,B$1,0)</f>
        <v>29465</v>
      </c>
      <c r="C31" s="88" t="str">
        <f>VLOOKUP($A31,'Выгр Кат'!$A:$R,C$1,0)</f>
        <v>Тормозные колодки ASP MENSAN передние для Лада Ларгус с 8-ми клапанным двигателем</v>
      </c>
      <c r="D31" s="87" t="str">
        <f>VLOOKUP($A31,'Выгр Кат'!$A:$R,D$1,0)</f>
        <v>Y</v>
      </c>
      <c r="E31" s="87" t="str">
        <f>VLOOKUP($A31,'Выгр Кат'!$A:$R,E$1,0)</f>
        <v>1</v>
      </c>
      <c r="F31" s="87" t="str">
        <f>VLOOKUP($A31,'Выгр Кат'!$A:$R,F$1,0)</f>
        <v>K270207</v>
      </c>
      <c r="G31" s="5" t="s">
        <v>23</v>
      </c>
      <c r="H31" s="14" t="s">
        <v>51</v>
      </c>
      <c r="I31" s="77">
        <f>VLOOKUP(G31,'отчет Eplex'!$B:$E,4,0)</f>
        <v>563.63</v>
      </c>
      <c r="J31" s="14" t="s">
        <v>3</v>
      </c>
      <c r="K31" s="14">
        <v>1</v>
      </c>
      <c r="L31" s="98">
        <f t="shared" si="1"/>
        <v>620</v>
      </c>
      <c r="M31" s="14">
        <f>VLOOKUP(L31,Наценка!$A$1:$B$8,2,1)</f>
        <v>1.47</v>
      </c>
      <c r="N31" s="99">
        <f t="shared" si="2"/>
        <v>911.4</v>
      </c>
      <c r="O31" s="98">
        <f t="shared" si="0"/>
        <v>919</v>
      </c>
      <c r="P31" s="87">
        <f>VLOOKUP($A31,'Выгр Кат'!$A:$R,P$1,0)</f>
        <v>619.99</v>
      </c>
      <c r="Q31" s="87">
        <f>VLOOKUP($A31,'Выгр Кат'!$A:$R,Q$1,0)</f>
        <v>919</v>
      </c>
      <c r="R31" s="75">
        <f t="shared" si="3"/>
        <v>-9.9999999999909051E-3</v>
      </c>
      <c r="S31" s="75">
        <f t="shared" si="4"/>
        <v>0</v>
      </c>
      <c r="T31" s="96">
        <f t="shared" si="5"/>
        <v>1.6129032258049846E-5</v>
      </c>
      <c r="U31" s="76">
        <f t="shared" si="6"/>
        <v>854.67</v>
      </c>
      <c r="V31" s="94">
        <f>IFERROR((VLOOKUP($A31,'Из ГУГЛа'!$B:$G,V$1,0)+X31)*W31,VLOOKUP($A31,'Из ГУГЛа'!$B:$G,V$1,0))</f>
        <v>929</v>
      </c>
      <c r="W31" s="70">
        <v>1</v>
      </c>
      <c r="X31" s="70"/>
      <c r="Y31" s="89">
        <f t="shared" si="7"/>
        <v>0.37849999999999984</v>
      </c>
      <c r="Z31" s="89">
        <f t="shared" si="8"/>
        <v>8.0010764262648054E-2</v>
      </c>
      <c r="AA31" s="89">
        <f t="shared" si="9"/>
        <v>0.49838709677419346</v>
      </c>
      <c r="AB31" s="95">
        <v>929</v>
      </c>
      <c r="AC31" s="18" t="s">
        <v>4434</v>
      </c>
    </row>
    <row r="32" spans="1:29" ht="31.5" thickTop="1" thickBot="1">
      <c r="A32" s="77">
        <v>219576</v>
      </c>
      <c r="B32" s="87">
        <f>VLOOKUP($A32,'Выгр Кат'!$A:$R,B$1,0)</f>
        <v>29452</v>
      </c>
      <c r="C32" s="88" t="str">
        <f>VLOOKUP($A32,'Выгр Кат'!$A:$R,C$1,0)</f>
        <v>Тормозные колодки ASP MENSAN задние, 230 мм для Лада Ларгус</v>
      </c>
      <c r="D32" s="87" t="str">
        <f>VLOOKUP($A32,'Выгр Кат'!$A:$R,D$1,0)</f>
        <v>Y</v>
      </c>
      <c r="E32" s="87" t="str">
        <f>VLOOKUP($A32,'Выгр Кат'!$A:$R,E$1,0)</f>
        <v>1</v>
      </c>
      <c r="F32" s="87" t="str">
        <f>VLOOKUP($A32,'Выгр Кат'!$A:$R,F$1,0)</f>
        <v>BD09101020</v>
      </c>
      <c r="G32" s="5" t="s">
        <v>4408</v>
      </c>
      <c r="H32" s="14" t="s">
        <v>51</v>
      </c>
      <c r="I32" s="77">
        <v>1514</v>
      </c>
      <c r="J32" s="65" t="s">
        <v>3</v>
      </c>
      <c r="K32" s="14">
        <v>1</v>
      </c>
      <c r="L32" s="98">
        <f t="shared" si="1"/>
        <v>1665</v>
      </c>
      <c r="M32" s="14">
        <f>VLOOKUP(L32,Наценка!$A$1:$B$8,2,1)</f>
        <v>1.47</v>
      </c>
      <c r="N32" s="99">
        <f t="shared" si="2"/>
        <v>2447.5500000000002</v>
      </c>
      <c r="O32" s="98">
        <f t="shared" si="0"/>
        <v>2490</v>
      </c>
      <c r="P32" s="87">
        <f>VLOOKUP($A32,'Выгр Кат'!$A:$R,P$1,0)</f>
        <v>1665.4</v>
      </c>
      <c r="Q32" s="87">
        <f>VLOOKUP($A32,'Выгр Кат'!$A:$R,Q$1,0)</f>
        <v>2490</v>
      </c>
      <c r="R32" s="75">
        <f t="shared" si="3"/>
        <v>0.40000000000009095</v>
      </c>
      <c r="S32" s="75">
        <f t="shared" si="4"/>
        <v>0</v>
      </c>
      <c r="T32" s="96">
        <f t="shared" si="5"/>
        <v>2.4024024024029485E-4</v>
      </c>
      <c r="U32" s="76">
        <f t="shared" si="6"/>
        <v>2315.6999999999998</v>
      </c>
      <c r="V32" s="94">
        <f>IFERROR((VLOOKUP($A32,'Из ГУГЛа'!$B:$G,V$1,0)+X32)*W32,VLOOKUP($A32,'Из ГУГЛа'!$B:$G,V$1,0))</f>
        <v>1390</v>
      </c>
      <c r="W32" s="70">
        <v>1</v>
      </c>
      <c r="X32" s="70"/>
      <c r="Y32" s="89">
        <f t="shared" si="7"/>
        <v>0.39081081081081059</v>
      </c>
      <c r="Z32" s="89">
        <f t="shared" si="8"/>
        <v>-0.66597122302158263</v>
      </c>
      <c r="AA32" s="89">
        <f t="shared" si="9"/>
        <v>-0.16516516516516522</v>
      </c>
      <c r="AB32" s="95">
        <v>1390</v>
      </c>
      <c r="AC32" s="18" t="s">
        <v>4435</v>
      </c>
    </row>
    <row r="33" spans="1:29" ht="30.75" thickTop="1">
      <c r="A33" s="77">
        <v>219580</v>
      </c>
      <c r="B33" s="87">
        <f>VLOOKUP($A33,'Выгр Кат'!$A:$R,B$1,0)</f>
        <v>29475</v>
      </c>
      <c r="C33" s="88" t="str">
        <f>VLOOKUP($A33,'Выгр Кат'!$A:$R,C$1,0)</f>
        <v>Тормозные колодки ASP MENSAN передние для Лада XRAY</v>
      </c>
      <c r="D33" s="87" t="str">
        <f>VLOOKUP($A33,'Выгр Кат'!$A:$R,D$1,0)</f>
        <v>Y</v>
      </c>
      <c r="E33" s="87" t="str">
        <f>VLOOKUP($A33,'Выгр Кат'!$A:$R,E$1,0)</f>
        <v>1</v>
      </c>
      <c r="F33" s="87" t="str">
        <f>VLOOKUP($A33,'Выгр Кат'!$A:$R,F$1,0)</f>
        <v>K270222</v>
      </c>
      <c r="G33" s="5" t="s">
        <v>25</v>
      </c>
      <c r="H33" s="14" t="s">
        <v>51</v>
      </c>
      <c r="I33" s="77">
        <f>VLOOKUP(G33,'отчет Eplex'!$B:$E,4,0)</f>
        <v>833.2</v>
      </c>
      <c r="J33" s="14" t="s">
        <v>3</v>
      </c>
      <c r="K33" s="14">
        <v>1</v>
      </c>
      <c r="L33" s="98">
        <f t="shared" si="1"/>
        <v>917</v>
      </c>
      <c r="M33" s="14">
        <f>VLOOKUP(L33,Наценка!$A$1:$B$8,2,1)</f>
        <v>1.47</v>
      </c>
      <c r="N33" s="99">
        <f t="shared" si="2"/>
        <v>1347.99</v>
      </c>
      <c r="O33" s="98">
        <f t="shared" si="0"/>
        <v>1390</v>
      </c>
      <c r="P33" s="87">
        <f>VLOOKUP($A33,'Выгр Кат'!$A:$R,P$1,0)</f>
        <v>916.52</v>
      </c>
      <c r="Q33" s="87">
        <f>VLOOKUP($A33,'Выгр Кат'!$A:$R,Q$1,0)</f>
        <v>1390</v>
      </c>
      <c r="R33" s="75">
        <f t="shared" si="3"/>
        <v>-0.48000000000001819</v>
      </c>
      <c r="S33" s="75">
        <f t="shared" si="4"/>
        <v>0</v>
      </c>
      <c r="T33" s="96">
        <f t="shared" si="5"/>
        <v>5.2344601962924561E-4</v>
      </c>
      <c r="U33" s="76">
        <f t="shared" si="6"/>
        <v>1292.6999999999998</v>
      </c>
      <c r="V33" s="94" t="str">
        <f>IFERROR((VLOOKUP($A33,'Из ГУГЛа'!$B:$G,V$1,0)+X33)*W33,VLOOKUP($A33,'Из ГУГЛа'!$B:$G,V$1,0))</f>
        <v/>
      </c>
      <c r="W33" s="70">
        <v>1</v>
      </c>
      <c r="X33" s="70"/>
      <c r="Y33" s="89">
        <f t="shared" si="7"/>
        <v>0.40970556161395844</v>
      </c>
      <c r="Z33" s="89" t="str">
        <f t="shared" si="8"/>
        <v/>
      </c>
      <c r="AA33" s="89" t="str">
        <f t="shared" si="9"/>
        <v/>
      </c>
      <c r="AB33" s="90"/>
    </row>
    <row r="34" spans="1:29" ht="45.75" thickBot="1">
      <c r="A34" s="77">
        <v>219492</v>
      </c>
      <c r="B34" s="87">
        <f>VLOOKUP($A34,'Выгр Кат'!$A:$R,B$1,0)</f>
        <v>29428</v>
      </c>
      <c r="C34" s="88" t="str">
        <f>VLOOKUP($A34,'Выгр Кат'!$A:$R,C$1,0)</f>
        <v>Тормозные барабаны задние ASP MENSAN чугунные для ВАЗ 2108-21099, 2113-2115, Лада Калина, Приора</v>
      </c>
      <c r="D34" s="87" t="str">
        <f>VLOOKUP($A34,'Выгр Кат'!$A:$R,D$1,0)</f>
        <v>Y</v>
      </c>
      <c r="E34" s="87" t="str">
        <f>VLOOKUP($A34,'Выгр Кат'!$A:$R,E$1,0)</f>
        <v>1</v>
      </c>
      <c r="F34" s="87" t="str">
        <f>VLOOKUP($A34,'Выгр Кат'!$A:$R,F$1,0)</f>
        <v>260101</v>
      </c>
      <c r="G34" s="13">
        <v>260101</v>
      </c>
      <c r="H34" s="14" t="s">
        <v>51</v>
      </c>
      <c r="I34" s="77">
        <f>VLOOKUP(G34,'отчет Eplex'!$B:$E,4,0)</f>
        <v>1125</v>
      </c>
      <c r="J34" s="14" t="s">
        <v>3</v>
      </c>
      <c r="K34" s="63">
        <v>2</v>
      </c>
      <c r="L34" s="98">
        <f t="shared" si="1"/>
        <v>2475</v>
      </c>
      <c r="M34" s="14">
        <f>VLOOKUP(L34,Наценка!$A$1:$B$8,2,1)</f>
        <v>1.47</v>
      </c>
      <c r="N34" s="106">
        <f>L34*1.23*100/93</f>
        <v>3273.3870967741937</v>
      </c>
      <c r="O34" s="98">
        <f>IF(N34&lt;=1000,(ROUNDUP(N34,-1)-1),(ROUNDUP(N34,-2)-10))</f>
        <v>3290</v>
      </c>
      <c r="P34" s="87">
        <f>VLOOKUP($A34,'Выгр Кат'!$A:$R,P$1,0)</f>
        <v>2475</v>
      </c>
      <c r="Q34" s="87">
        <f>VLOOKUP($A34,'Выгр Кат'!$A:$R,Q$1,0)</f>
        <v>3290</v>
      </c>
      <c r="R34" s="75">
        <f t="shared" si="3"/>
        <v>0</v>
      </c>
      <c r="S34" s="75">
        <f t="shared" si="4"/>
        <v>0</v>
      </c>
      <c r="T34" s="96">
        <f t="shared" si="5"/>
        <v>0</v>
      </c>
      <c r="U34" s="76">
        <f t="shared" si="6"/>
        <v>3059.7</v>
      </c>
      <c r="V34" s="94">
        <f>IFERROR((VLOOKUP($A34,'Из ГУГЛа'!$B:$G,V$1,0)+X34)*W34,VLOOKUP($A34,'Из ГУГЛа'!$B:$G,V$1,0))</f>
        <v>2990</v>
      </c>
      <c r="W34" s="70">
        <v>1</v>
      </c>
      <c r="X34" s="70"/>
      <c r="Y34" s="89">
        <f t="shared" si="7"/>
        <v>0.23624242424242414</v>
      </c>
      <c r="Z34" s="89">
        <f t="shared" si="8"/>
        <v>-2.33110367892976E-2</v>
      </c>
      <c r="AA34" s="89">
        <f t="shared" si="9"/>
        <v>0.20808080808080809</v>
      </c>
      <c r="AB34" s="95">
        <v>2990</v>
      </c>
      <c r="AC34" s="18" t="s">
        <v>4436</v>
      </c>
    </row>
    <row r="35" spans="1:29" ht="30.75" thickTop="1">
      <c r="A35" s="77">
        <v>218711</v>
      </c>
      <c r="B35" s="87">
        <f>VLOOKUP($A35,'Выгр Кат'!$A:$R,B$1,0)</f>
        <v>29417</v>
      </c>
      <c r="C35" s="88" t="str">
        <f>VLOOKUP($A35,'Выгр Кат'!$A:$R,C$1,0)</f>
        <v>Сцепление в сборе ASP MENSAN для ВАЗ 2101-2107, Лада Нива 4x4</v>
      </c>
      <c r="D35" s="87" t="str">
        <f>VLOOKUP($A35,'Выгр Кат'!$A:$R,D$1,0)</f>
        <v>Y</v>
      </c>
      <c r="E35" s="87" t="str">
        <f>VLOOKUP($A35,'Выгр Кат'!$A:$R,E$1,0)</f>
        <v>0</v>
      </c>
      <c r="F35" s="87" t="str">
        <f>VLOOKUP($A35,'Выгр Кат'!$A:$R,F$1,0)</f>
        <v>A03200E</v>
      </c>
      <c r="G35" s="5" t="s">
        <v>2</v>
      </c>
      <c r="H35" s="14" t="s">
        <v>51</v>
      </c>
      <c r="I35" s="77">
        <f>VLOOKUP(G35,'отчет Eplex'!$B:$E,4,0)</f>
        <v>0</v>
      </c>
      <c r="J35" s="14" t="s">
        <v>3</v>
      </c>
      <c r="K35" s="14">
        <v>1</v>
      </c>
      <c r="L35" s="97">
        <f>P35</f>
        <v>2500</v>
      </c>
      <c r="M35" s="14">
        <f>VLOOKUP(L35,Наценка!$A$1:$B$8,2,1)</f>
        <v>1.47</v>
      </c>
      <c r="N35" s="99">
        <f t="shared" si="2"/>
        <v>3675</v>
      </c>
      <c r="O35" s="98">
        <f>IF(N35&lt;=1000,(ROUNDUP(N35,-1)-1),(ROUNDUP(N35,-2)-10))</f>
        <v>3690</v>
      </c>
      <c r="P35" s="87">
        <f>VLOOKUP($A35,'Выгр Кат'!$A:$R,P$1,0)</f>
        <v>2500</v>
      </c>
      <c r="Q35" s="87">
        <f>VLOOKUP($A35,'Выгр Кат'!$A:$R,Q$1,0)</f>
        <v>3690</v>
      </c>
      <c r="R35" s="75">
        <f t="shared" si="3"/>
        <v>0</v>
      </c>
      <c r="S35" s="75">
        <f t="shared" si="4"/>
        <v>0</v>
      </c>
      <c r="T35" s="96">
        <f t="shared" si="5"/>
        <v>0</v>
      </c>
      <c r="U35" s="76">
        <f t="shared" si="6"/>
        <v>3431.7</v>
      </c>
      <c r="V35" s="94" t="str">
        <f>IFERROR((VLOOKUP($A35,'Из ГУГЛа'!$B:$G,V$1,0)+X35)*W35,VLOOKUP($A35,'Из ГУГЛа'!$B:$G,V$1,0))</f>
        <v/>
      </c>
      <c r="W35" s="70">
        <v>1</v>
      </c>
      <c r="X35" s="70"/>
      <c r="Y35" s="89">
        <f t="shared" si="7"/>
        <v>0.3726799999999999</v>
      </c>
      <c r="Z35" s="89" t="str">
        <f t="shared" si="8"/>
        <v/>
      </c>
      <c r="AA35" s="89" t="str">
        <f t="shared" si="9"/>
        <v/>
      </c>
      <c r="AB35" s="91"/>
    </row>
    <row r="36" spans="1:29" ht="45.75" thickBot="1">
      <c r="A36" s="77">
        <v>219741</v>
      </c>
      <c r="B36" s="87">
        <f>VLOOKUP($A36,'Выгр Кат'!$A:$R,B$1,0)</f>
        <v>29477</v>
      </c>
      <c r="C36" s="88" t="str">
        <f>VLOOKUP($A36,'Выгр Кат'!$A:$R,C$1,0)</f>
        <v>Трос акселератора ASP MENSAN для Лада Ларгус 8-ми клапанный двигатель 1.6 л</v>
      </c>
      <c r="D36" s="87" t="str">
        <f>VLOOKUP($A36,'Выгр Кат'!$A:$R,D$1,0)</f>
        <v>Y</v>
      </c>
      <c r="E36" s="87" t="str">
        <f>VLOOKUP($A36,'Выгр Кат'!$A:$R,E$1,0)</f>
        <v>1</v>
      </c>
      <c r="F36" s="87" t="str">
        <f>VLOOKUP($A36,'Выгр Кат'!$A:$R,F$1,0)</f>
        <v>CA270207</v>
      </c>
      <c r="G36" s="5" t="s">
        <v>42</v>
      </c>
      <c r="H36" s="14" t="s">
        <v>51</v>
      </c>
      <c r="I36" s="77">
        <f>VLOOKUP(G36,'отчет Eplex'!$B:$E,4,0)</f>
        <v>702</v>
      </c>
      <c r="J36" s="65" t="s">
        <v>3</v>
      </c>
      <c r="K36" s="14">
        <v>1</v>
      </c>
      <c r="L36" s="98">
        <f t="shared" si="1"/>
        <v>772</v>
      </c>
      <c r="M36" s="14">
        <f>VLOOKUP(L36,Наценка!$A$1:$B$8,2,1)</f>
        <v>1.47</v>
      </c>
      <c r="N36" s="99">
        <f t="shared" si="2"/>
        <v>1134.8399999999999</v>
      </c>
      <c r="O36" s="98">
        <f t="shared" si="0"/>
        <v>1190</v>
      </c>
      <c r="P36" s="87">
        <f>VLOOKUP($A36,'Выгр Кат'!$A:$R,P$1,0)</f>
        <v>772.2</v>
      </c>
      <c r="Q36" s="87">
        <f>VLOOKUP($A36,'Выгр Кат'!$A:$R,Q$1,0)</f>
        <v>1190</v>
      </c>
      <c r="R36" s="75">
        <f t="shared" si="3"/>
        <v>0.20000000000004547</v>
      </c>
      <c r="S36" s="75">
        <f t="shared" si="4"/>
        <v>0</v>
      </c>
      <c r="T36" s="96">
        <f t="shared" si="5"/>
        <v>2.5906735751301228E-4</v>
      </c>
      <c r="U36" s="76">
        <f t="shared" si="6"/>
        <v>1106.6999999999998</v>
      </c>
      <c r="V36" s="94">
        <f>IFERROR((VLOOKUP($A36,'Из ГУГЛа'!$B:$G,V$1,0)+X36)*W36,VLOOKUP($A36,'Из ГУГЛа'!$B:$G,V$1,0))</f>
        <v>769</v>
      </c>
      <c r="W36" s="70">
        <v>1</v>
      </c>
      <c r="X36" s="70"/>
      <c r="Y36" s="89">
        <f t="shared" si="7"/>
        <v>0.43354922279792718</v>
      </c>
      <c r="Z36" s="89">
        <f t="shared" si="8"/>
        <v>-0.43914174252275662</v>
      </c>
      <c r="AA36" s="89">
        <f t="shared" si="9"/>
        <v>-3.8860103626943143E-3</v>
      </c>
      <c r="AB36" s="95">
        <v>769</v>
      </c>
      <c r="AC36" s="18" t="s">
        <v>4437</v>
      </c>
    </row>
    <row r="37" spans="1:29" ht="75.75" thickTop="1">
      <c r="A37" s="77">
        <v>151005</v>
      </c>
      <c r="B37" s="87">
        <f>VLOOKUP($A37,'Выгр Кат'!$A:$R,B$1,0)</f>
        <v>36837</v>
      </c>
      <c r="C37" s="88" t="str">
        <f>VLOOKUP($A37,'Выгр Кат'!$A:$R,C$1,0)</f>
        <v>Задний тормозной цилиндр ASP MENSAN для ВАЗ 2101-2107, 2108-21099, 2113-2115, 2110-2112, Лада Калина, Калина 2, Приора, Приора 2, Гранта, Нива 4x4</v>
      </c>
      <c r="D37" s="87" t="str">
        <f>VLOOKUP($A37,'Выгр Кат'!$A:$R,D$1,0)</f>
        <v>Y</v>
      </c>
      <c r="E37" s="87" t="str">
        <f>VLOOKUP($A37,'Выгр Кат'!$A:$R,E$1,0)</f>
        <v>1</v>
      </c>
      <c r="F37" s="87" t="str">
        <f>VLOOKUP($A37,'Выгр Кат'!$A:$R,F$1,0)</f>
        <v>L260104</v>
      </c>
      <c r="G37" s="5" t="s">
        <v>58</v>
      </c>
      <c r="H37" s="14" t="s">
        <v>51</v>
      </c>
      <c r="I37" s="77">
        <f>VLOOKUP(G37,'отчет Eplex'!$B:$E,4,0)</f>
        <v>324.08999999999997</v>
      </c>
      <c r="J37" s="14" t="s">
        <v>3</v>
      </c>
      <c r="K37" s="14">
        <v>1</v>
      </c>
      <c r="L37" s="98">
        <f t="shared" si="1"/>
        <v>356</v>
      </c>
      <c r="M37" s="14">
        <f>VLOOKUP(L37,Наценка!$A$1:$B$8,2,1)</f>
        <v>1.47</v>
      </c>
      <c r="N37" s="99">
        <f t="shared" si="2"/>
        <v>523.31999999999994</v>
      </c>
      <c r="O37" s="98">
        <f t="shared" ref="O37:O65" si="10">IF(N37&lt;=1000,(ROUNDUP(N37,-1)-1),(ROUNDUP(N37,-2)-10))</f>
        <v>529</v>
      </c>
      <c r="P37" s="87">
        <f>VLOOKUP($A37,'Выгр Кат'!$A:$R,P$1,0)</f>
        <v>356.5</v>
      </c>
      <c r="Q37" s="87">
        <f>VLOOKUP($A37,'Выгр Кат'!$A:$R,Q$1,0)</f>
        <v>529</v>
      </c>
      <c r="R37" s="75">
        <f t="shared" si="3"/>
        <v>0.5</v>
      </c>
      <c r="S37" s="75">
        <f t="shared" si="4"/>
        <v>0</v>
      </c>
      <c r="T37" s="96">
        <f t="shared" si="5"/>
        <v>1.4044943820224719E-3</v>
      </c>
      <c r="U37" s="76">
        <f t="shared" si="6"/>
        <v>491.96999999999997</v>
      </c>
      <c r="V37" s="94" t="str">
        <f>IFERROR((VLOOKUP($A37,'Из ГУГЛа'!$B:$G,V$1,0)+X37)*W37,VLOOKUP($A37,'Из ГУГЛа'!$B:$G,V$1,0))</f>
        <v/>
      </c>
      <c r="W37" s="70">
        <v>1</v>
      </c>
      <c r="X37" s="70"/>
      <c r="Y37" s="89">
        <f t="shared" si="7"/>
        <v>0.38193820224719088</v>
      </c>
      <c r="Z37" s="89" t="str">
        <f t="shared" si="8"/>
        <v/>
      </c>
      <c r="AA37" s="89" t="str">
        <f t="shared" si="9"/>
        <v/>
      </c>
      <c r="AB37" s="90"/>
    </row>
    <row r="38" spans="1:29" ht="60">
      <c r="A38" s="77">
        <v>193361</v>
      </c>
      <c r="B38" s="87">
        <f>VLOOKUP($A38,'Выгр Кат'!$A:$R,B$1,0)</f>
        <v>36838</v>
      </c>
      <c r="C38" s="88" t="str">
        <f>VLOOKUP($A38,'Выгр Кат'!$A:$R,C$1,0)</f>
        <v>Передний тормозной цилиндр ASP MENSAN левый для ВАЗ 2108-21099, 2113-2115, 2110-2112, Лада Калина, Калина 2, Приора, Приора 2, Гранта</v>
      </c>
      <c r="D38" s="87" t="str">
        <f>VLOOKUP($A38,'Выгр Кат'!$A:$R,D$1,0)</f>
        <v>Y</v>
      </c>
      <c r="E38" s="87" t="str">
        <f>VLOOKUP($A38,'Выгр Кат'!$A:$R,E$1,0)</f>
        <v>1</v>
      </c>
      <c r="F38" s="87" t="str">
        <f>VLOOKUP($A38,'Выгр Кат'!$A:$R,F$1,0)</f>
        <v>L260201L</v>
      </c>
      <c r="G38" s="5" t="s">
        <v>63</v>
      </c>
      <c r="H38" s="14" t="s">
        <v>51</v>
      </c>
      <c r="I38" s="77">
        <f>VLOOKUP(G38,'отчет Eplex'!$B:$E,4,0)</f>
        <v>919.75</v>
      </c>
      <c r="J38" s="14" t="s">
        <v>3</v>
      </c>
      <c r="K38" s="14">
        <v>1</v>
      </c>
      <c r="L38" s="98">
        <f t="shared" si="1"/>
        <v>1012</v>
      </c>
      <c r="M38" s="14">
        <f>VLOOKUP(L38,Наценка!$A$1:$B$8,2,1)</f>
        <v>1.47</v>
      </c>
      <c r="N38" s="99">
        <f t="shared" si="2"/>
        <v>1487.6399999999999</v>
      </c>
      <c r="O38" s="98">
        <f t="shared" si="10"/>
        <v>1490</v>
      </c>
      <c r="P38" s="87">
        <f>VLOOKUP($A38,'Выгр Кат'!$A:$R,P$1,0)</f>
        <v>1011.73</v>
      </c>
      <c r="Q38" s="87">
        <f>VLOOKUP($A38,'Выгр Кат'!$A:$R,Q$1,0)</f>
        <v>1490</v>
      </c>
      <c r="R38" s="75">
        <f t="shared" si="3"/>
        <v>-0.26999999999998181</v>
      </c>
      <c r="S38" s="75">
        <f t="shared" si="4"/>
        <v>0</v>
      </c>
      <c r="T38" s="96">
        <f t="shared" si="5"/>
        <v>2.6679841897231404E-4</v>
      </c>
      <c r="U38" s="76">
        <f t="shared" si="6"/>
        <v>1385.6999999999998</v>
      </c>
      <c r="V38" s="94" t="str">
        <f>IFERROR((VLOOKUP($A38,'Из ГУГЛа'!$B:$G,V$1,0)+X38)*W38,VLOOKUP($A38,'Из ГУГЛа'!$B:$G,V$1,0))</f>
        <v/>
      </c>
      <c r="W38" s="70">
        <v>1</v>
      </c>
      <c r="X38" s="70"/>
      <c r="Y38" s="89">
        <f t="shared" si="7"/>
        <v>0.36926877470355723</v>
      </c>
      <c r="Z38" s="89" t="str">
        <f t="shared" si="8"/>
        <v/>
      </c>
      <c r="AA38" s="89" t="str">
        <f t="shared" si="9"/>
        <v/>
      </c>
      <c r="AB38" s="90"/>
    </row>
    <row r="39" spans="1:29" ht="60">
      <c r="A39" s="77">
        <v>193362</v>
      </c>
      <c r="B39" s="87">
        <f>VLOOKUP($A39,'Выгр Кат'!$A:$R,B$1,0)</f>
        <v>36839</v>
      </c>
      <c r="C39" s="88" t="str">
        <f>VLOOKUP($A39,'Выгр Кат'!$A:$R,C$1,0)</f>
        <v>Передний тормозной цилиндр ASP MENSAN правый для ВАЗ 2108-21099, 2113-2115, 2110-2112, Лада Калина, Калина 2, Приора, Приора 2, Гранта</v>
      </c>
      <c r="D39" s="87" t="str">
        <f>VLOOKUP($A39,'Выгр Кат'!$A:$R,D$1,0)</f>
        <v>Y</v>
      </c>
      <c r="E39" s="87" t="str">
        <f>VLOOKUP($A39,'Выгр Кат'!$A:$R,E$1,0)</f>
        <v>1</v>
      </c>
      <c r="F39" s="87" t="str">
        <f>VLOOKUP($A39,'Выгр Кат'!$A:$R,F$1,0)</f>
        <v>L260201R</v>
      </c>
      <c r="G39" s="5" t="s">
        <v>64</v>
      </c>
      <c r="H39" s="14" t="s">
        <v>51</v>
      </c>
      <c r="I39" s="77">
        <f>VLOOKUP(G39,'отчет Eplex'!$B:$E,4,0)</f>
        <v>836.07</v>
      </c>
      <c r="J39" s="14" t="s">
        <v>3</v>
      </c>
      <c r="K39" s="14">
        <v>1</v>
      </c>
      <c r="L39" s="98">
        <f t="shared" si="1"/>
        <v>920</v>
      </c>
      <c r="M39" s="14">
        <f>VLOOKUP(L39,Наценка!$A$1:$B$8,2,1)</f>
        <v>1.47</v>
      </c>
      <c r="N39" s="99">
        <f t="shared" si="2"/>
        <v>1352.3999999999999</v>
      </c>
      <c r="O39" s="98">
        <f t="shared" si="10"/>
        <v>1390</v>
      </c>
      <c r="P39" s="87">
        <f>VLOOKUP($A39,'Выгр Кат'!$A:$R,P$1,0)</f>
        <v>919.68</v>
      </c>
      <c r="Q39" s="87">
        <f>VLOOKUP($A39,'Выгр Кат'!$A:$R,Q$1,0)</f>
        <v>1390</v>
      </c>
      <c r="R39" s="75">
        <f t="shared" si="3"/>
        <v>-0.32000000000005002</v>
      </c>
      <c r="S39" s="75">
        <f t="shared" si="4"/>
        <v>0</v>
      </c>
      <c r="T39" s="96">
        <f t="shared" si="5"/>
        <v>3.4782608695657614E-4</v>
      </c>
      <c r="U39" s="76">
        <f t="shared" si="6"/>
        <v>1292.6999999999998</v>
      </c>
      <c r="V39" s="94" t="str">
        <f>IFERROR((VLOOKUP($A39,'Из ГУГЛа'!$B:$G,V$1,0)+X39)*W39,VLOOKUP($A39,'Из ГУГЛа'!$B:$G,V$1,0))</f>
        <v/>
      </c>
      <c r="W39" s="70">
        <v>1</v>
      </c>
      <c r="X39" s="70"/>
      <c r="Y39" s="89">
        <f t="shared" si="7"/>
        <v>0.40510869565217367</v>
      </c>
      <c r="Z39" s="89" t="str">
        <f t="shared" si="8"/>
        <v/>
      </c>
      <c r="AA39" s="89" t="str">
        <f t="shared" si="9"/>
        <v/>
      </c>
      <c r="AB39" s="90"/>
    </row>
    <row r="40" spans="1:29" ht="30">
      <c r="A40" s="77">
        <v>151006</v>
      </c>
      <c r="B40" s="87">
        <f>VLOOKUP($A40,'Выгр Кат'!$A:$R,B$1,0)</f>
        <v>36840</v>
      </c>
      <c r="C40" s="88" t="str">
        <f>VLOOKUP($A40,'Выгр Кат'!$A:$R,C$1,0)</f>
        <v>Задний тормозной цилиндр ASP MENSAN для Лада Веста</v>
      </c>
      <c r="D40" s="87" t="str">
        <f>VLOOKUP($A40,'Выгр Кат'!$A:$R,D$1,0)</f>
        <v>Y</v>
      </c>
      <c r="E40" s="87" t="str">
        <f>VLOOKUP($A40,'Выгр Кат'!$A:$R,E$1,0)</f>
        <v>1</v>
      </c>
      <c r="F40" s="87" t="str">
        <f>VLOOKUP($A40,'Выгр Кат'!$A:$R,F$1,0)</f>
        <v>L270101</v>
      </c>
      <c r="G40" s="5" t="s">
        <v>69</v>
      </c>
      <c r="H40" s="14" t="s">
        <v>51</v>
      </c>
      <c r="I40" s="77">
        <f>VLOOKUP(G40,'отчет Eplex'!$B:$E,4,0)</f>
        <v>516.66999999999996</v>
      </c>
      <c r="J40" s="14" t="s">
        <v>3</v>
      </c>
      <c r="K40" s="14">
        <v>1</v>
      </c>
      <c r="L40" s="98">
        <f t="shared" si="1"/>
        <v>568</v>
      </c>
      <c r="M40" s="14">
        <f>VLOOKUP(L40,Наценка!$A$1:$B$8,2,1)</f>
        <v>1.47</v>
      </c>
      <c r="N40" s="99">
        <f t="shared" si="2"/>
        <v>834.96</v>
      </c>
      <c r="O40" s="98">
        <f t="shared" si="10"/>
        <v>839</v>
      </c>
      <c r="P40" s="87">
        <f>VLOOKUP($A40,'Выгр Кат'!$A:$R,P$1,0)</f>
        <v>568.34</v>
      </c>
      <c r="Q40" s="87">
        <f>VLOOKUP($A40,'Выгр Кат'!$A:$R,Q$1,0)</f>
        <v>839</v>
      </c>
      <c r="R40" s="75">
        <f t="shared" si="3"/>
        <v>0.34000000000003183</v>
      </c>
      <c r="S40" s="75">
        <f t="shared" si="4"/>
        <v>0</v>
      </c>
      <c r="T40" s="96">
        <f t="shared" si="5"/>
        <v>5.9859154929583071E-4</v>
      </c>
      <c r="U40" s="76">
        <f t="shared" si="6"/>
        <v>780.27</v>
      </c>
      <c r="V40" s="94" t="str">
        <f>IFERROR((VLOOKUP($A40,'Из ГУГЛа'!$B:$G,V$1,0)+X40)*W40,VLOOKUP($A40,'Из ГУГЛа'!$B:$G,V$1,0))</f>
        <v/>
      </c>
      <c r="W40" s="70">
        <v>1</v>
      </c>
      <c r="X40" s="70"/>
      <c r="Y40" s="89">
        <f t="shared" si="7"/>
        <v>0.37371478873239439</v>
      </c>
      <c r="Z40" s="89" t="str">
        <f t="shared" si="8"/>
        <v/>
      </c>
      <c r="AA40" s="89" t="str">
        <f t="shared" si="9"/>
        <v/>
      </c>
      <c r="AB40" s="90"/>
    </row>
    <row r="41" spans="1:29" ht="30">
      <c r="A41" s="77">
        <v>140842</v>
      </c>
      <c r="B41" s="87">
        <f>VLOOKUP($A41,'Выгр Кат'!$A:$R,B$1,0)</f>
        <v>36841</v>
      </c>
      <c r="C41" s="88" t="str">
        <f>VLOOKUP($A41,'Выгр Кат'!$A:$R,C$1,0)</f>
        <v>Главный тормозной цилиндр ASP MENSAN для Лада Веста</v>
      </c>
      <c r="D41" s="87" t="str">
        <f>VLOOKUP($A41,'Выгр Кат'!$A:$R,D$1,0)</f>
        <v>Y</v>
      </c>
      <c r="E41" s="87" t="str">
        <f>VLOOKUP($A41,'Выгр Кат'!$A:$R,E$1,0)</f>
        <v>1</v>
      </c>
      <c r="F41" s="87" t="str">
        <f>VLOOKUP($A41,'Выгр Кат'!$A:$R,F$1,0)</f>
        <v>L270322</v>
      </c>
      <c r="G41" s="5" t="s">
        <v>59</v>
      </c>
      <c r="H41" s="14" t="s">
        <v>51</v>
      </c>
      <c r="I41" s="77">
        <f>VLOOKUP(G41,'отчет Eplex'!$B:$E,4,0)</f>
        <v>1770.67</v>
      </c>
      <c r="J41" s="14" t="s">
        <v>3</v>
      </c>
      <c r="K41" s="14">
        <v>1</v>
      </c>
      <c r="L41" s="98">
        <f t="shared" si="1"/>
        <v>1948</v>
      </c>
      <c r="M41" s="14">
        <f>VLOOKUP(L41,Наценка!$A$1:$B$8,2,1)</f>
        <v>1.47</v>
      </c>
      <c r="N41" s="99">
        <f t="shared" si="2"/>
        <v>2863.56</v>
      </c>
      <c r="O41" s="98">
        <f t="shared" si="10"/>
        <v>2890</v>
      </c>
      <c r="P41" s="87">
        <f>VLOOKUP($A41,'Выгр Кат'!$A:$R,P$1,0)</f>
        <v>1947.74</v>
      </c>
      <c r="Q41" s="87">
        <f>VLOOKUP($A41,'Выгр Кат'!$A:$R,Q$1,0)</f>
        <v>2890</v>
      </c>
      <c r="R41" s="75">
        <f t="shared" si="3"/>
        <v>-0.25999999999999091</v>
      </c>
      <c r="S41" s="75">
        <f t="shared" si="4"/>
        <v>0</v>
      </c>
      <c r="T41" s="96">
        <f t="shared" si="5"/>
        <v>1.3347022587268528E-4</v>
      </c>
      <c r="U41" s="76">
        <f t="shared" si="6"/>
        <v>2687.7</v>
      </c>
      <c r="V41" s="94" t="str">
        <f>IFERROR((VLOOKUP($A41,'Из ГУГЛа'!$B:$G,V$1,0)+X41)*W41,VLOOKUP($A41,'Из ГУГЛа'!$B:$G,V$1,0))</f>
        <v/>
      </c>
      <c r="W41" s="70">
        <v>1</v>
      </c>
      <c r="X41" s="70"/>
      <c r="Y41" s="89">
        <f t="shared" si="7"/>
        <v>0.37972279260780284</v>
      </c>
      <c r="Z41" s="89" t="str">
        <f t="shared" si="8"/>
        <v/>
      </c>
      <c r="AA41" s="89" t="str">
        <f t="shared" si="9"/>
        <v/>
      </c>
      <c r="AB41" s="90"/>
    </row>
    <row r="42" spans="1:29" ht="60">
      <c r="A42" s="77">
        <v>140841</v>
      </c>
      <c r="B42" s="87">
        <f>VLOOKUP($A42,'Выгр Кат'!$A:$R,B$1,0)</f>
        <v>36842</v>
      </c>
      <c r="C42" s="88" t="str">
        <f>VLOOKUP($A42,'Выгр Кат'!$A:$R,C$1,0)</f>
        <v>Главный тормозной цилиндр ASP MENSAN для Лада Калина, Калина 2, Приора, Приора 2, Гранта, Гранта FL, Шевроле Нива, Датсун mi-DO, on-DO</v>
      </c>
      <c r="D42" s="87" t="str">
        <f>VLOOKUP($A42,'Выгр Кат'!$A:$R,D$1,0)</f>
        <v>Y</v>
      </c>
      <c r="E42" s="87" t="str">
        <f>VLOOKUP($A42,'Выгр Кат'!$A:$R,E$1,0)</f>
        <v>1</v>
      </c>
      <c r="F42" s="87" t="str">
        <f>VLOOKUP($A42,'Выгр Кат'!$A:$R,F$1,0)</f>
        <v>L260507</v>
      </c>
      <c r="G42" s="5" t="s">
        <v>62</v>
      </c>
      <c r="H42" s="14" t="s">
        <v>51</v>
      </c>
      <c r="I42" s="77">
        <f>VLOOKUP(G42,'отчет Eplex'!$B:$E,4,0)</f>
        <v>1689.98</v>
      </c>
      <c r="J42" s="14" t="s">
        <v>3</v>
      </c>
      <c r="K42" s="14">
        <v>1</v>
      </c>
      <c r="L42" s="98">
        <f t="shared" si="1"/>
        <v>1859</v>
      </c>
      <c r="M42" s="14">
        <f>VLOOKUP(L42,Наценка!$A$1:$B$8,2,1)</f>
        <v>1.47</v>
      </c>
      <c r="N42" s="99">
        <f t="shared" si="2"/>
        <v>2732.73</v>
      </c>
      <c r="O42" s="98">
        <f t="shared" si="10"/>
        <v>2790</v>
      </c>
      <c r="P42" s="87">
        <f>VLOOKUP($A42,'Выгр Кат'!$A:$R,P$1,0)</f>
        <v>1977</v>
      </c>
      <c r="Q42" s="87">
        <f>VLOOKUP($A42,'Выгр Кат'!$A:$R,Q$1,0)</f>
        <v>2990</v>
      </c>
      <c r="R42" s="75">
        <f t="shared" si="3"/>
        <v>118</v>
      </c>
      <c r="S42" s="75">
        <f t="shared" si="4"/>
        <v>200</v>
      </c>
      <c r="T42" s="96">
        <f t="shared" si="5"/>
        <v>6.3474986551909626E-2</v>
      </c>
      <c r="U42" s="76">
        <f t="shared" si="6"/>
        <v>2594.6999999999998</v>
      </c>
      <c r="V42" s="94" t="str">
        <f>IFERROR((VLOOKUP($A42,'Из ГУГЛа'!$B:$G,V$1,0)+X42)*W42,VLOOKUP($A42,'Из ГУГЛа'!$B:$G,V$1,0))</f>
        <v/>
      </c>
      <c r="W42" s="70">
        <v>1</v>
      </c>
      <c r="X42" s="70"/>
      <c r="Y42" s="89">
        <f t="shared" si="7"/>
        <v>0.39575040344271106</v>
      </c>
      <c r="Z42" s="89" t="str">
        <f t="shared" si="8"/>
        <v/>
      </c>
      <c r="AA42" s="89" t="str">
        <f t="shared" si="9"/>
        <v/>
      </c>
      <c r="AB42" s="90"/>
    </row>
    <row r="43" spans="1:29" ht="45">
      <c r="A43" s="77">
        <v>140840</v>
      </c>
      <c r="B43" s="87">
        <f>VLOOKUP($A43,'Выгр Кат'!$A:$R,B$1,0)</f>
        <v>36843</v>
      </c>
      <c r="C43" s="88" t="str">
        <f>VLOOKUP($A43,'Выгр Кат'!$A:$R,C$1,0)</f>
        <v>Главный тормозной цилиндр ASP MENSAN для ВАЗ 2108-21099, 2113-2115, 2110-2112</v>
      </c>
      <c r="D43" s="87" t="str">
        <f>VLOOKUP($A43,'Выгр Кат'!$A:$R,D$1,0)</f>
        <v>Y</v>
      </c>
      <c r="E43" s="87" t="str">
        <f>VLOOKUP($A43,'Выгр Кат'!$A:$R,E$1,0)</f>
        <v>1</v>
      </c>
      <c r="F43" s="87" t="str">
        <f>VLOOKUP($A43,'Выгр Кат'!$A:$R,F$1,0)</f>
        <v>L260501</v>
      </c>
      <c r="G43" s="5" t="s">
        <v>66</v>
      </c>
      <c r="H43" s="14" t="s">
        <v>51</v>
      </c>
      <c r="I43" s="77">
        <f>VLOOKUP(G43,'отчет Eplex'!$B:$E,4,0)</f>
        <v>1129</v>
      </c>
      <c r="J43" s="14" t="s">
        <v>3</v>
      </c>
      <c r="K43" s="14">
        <v>1</v>
      </c>
      <c r="L43" s="98">
        <f t="shared" si="1"/>
        <v>1242</v>
      </c>
      <c r="M43" s="14">
        <f>VLOOKUP(L43,Наценка!$A$1:$B$8,2,1)</f>
        <v>1.47</v>
      </c>
      <c r="N43" s="99">
        <f t="shared" si="2"/>
        <v>1825.74</v>
      </c>
      <c r="O43" s="98">
        <f t="shared" si="10"/>
        <v>1890</v>
      </c>
      <c r="P43" s="87">
        <f>VLOOKUP($A43,'Выгр Кат'!$A:$R,P$1,0)</f>
        <v>1241.9000000000001</v>
      </c>
      <c r="Q43" s="87">
        <f>VLOOKUP($A43,'Выгр Кат'!$A:$R,Q$1,0)</f>
        <v>1890</v>
      </c>
      <c r="R43" s="75">
        <f t="shared" si="3"/>
        <v>-9.9999999999909051E-2</v>
      </c>
      <c r="S43" s="75">
        <f t="shared" si="4"/>
        <v>0</v>
      </c>
      <c r="T43" s="96">
        <f t="shared" si="5"/>
        <v>8.0515297906529033E-5</v>
      </c>
      <c r="U43" s="76">
        <f t="shared" si="6"/>
        <v>1757.6999999999998</v>
      </c>
      <c r="V43" s="94" t="str">
        <f>IFERROR((VLOOKUP($A43,'Из ГУГЛа'!$B:$G,V$1,0)+X43)*W43,VLOOKUP($A43,'Из ГУГЛа'!$B:$G,V$1,0))</f>
        <v/>
      </c>
      <c r="W43" s="70">
        <v>1</v>
      </c>
      <c r="X43" s="70"/>
      <c r="Y43" s="89">
        <f t="shared" si="7"/>
        <v>0.41521739130434776</v>
      </c>
      <c r="Z43" s="89" t="str">
        <f t="shared" si="8"/>
        <v/>
      </c>
      <c r="AA43" s="89" t="str">
        <f t="shared" si="9"/>
        <v/>
      </c>
      <c r="AB43" s="90"/>
    </row>
    <row r="44" spans="1:29" ht="30">
      <c r="A44" s="77">
        <v>140843</v>
      </c>
      <c r="B44" s="87">
        <f>VLOOKUP($A44,'Выгр Кат'!$A:$R,B$1,0)</f>
        <v>36844</v>
      </c>
      <c r="C44" s="88" t="str">
        <f>VLOOKUP($A44,'Выгр Кат'!$A:$R,C$1,0)</f>
        <v>Главный тормозной цилиндр ASP MENSAN для Лада Нива 4x4</v>
      </c>
      <c r="D44" s="87" t="str">
        <f>VLOOKUP($A44,'Выгр Кат'!$A:$R,D$1,0)</f>
        <v>Y</v>
      </c>
      <c r="E44" s="87" t="str">
        <f>VLOOKUP($A44,'Выгр Кат'!$A:$R,E$1,0)</f>
        <v>1</v>
      </c>
      <c r="F44" s="87" t="str">
        <f>VLOOKUP($A44,'Выгр Кат'!$A:$R,F$1,0)</f>
        <v>L260505</v>
      </c>
      <c r="G44" s="5" t="s">
        <v>68</v>
      </c>
      <c r="H44" s="14" t="s">
        <v>51</v>
      </c>
      <c r="I44" s="77">
        <f>VLOOKUP(G44,'отчет Eplex'!$B:$E,4,0)</f>
        <v>1223.2</v>
      </c>
      <c r="J44" s="14" t="s">
        <v>3</v>
      </c>
      <c r="K44" s="14">
        <v>1</v>
      </c>
      <c r="L44" s="98">
        <f t="shared" si="1"/>
        <v>1346</v>
      </c>
      <c r="M44" s="14">
        <f>VLOOKUP(L44,Наценка!$A$1:$B$8,2,1)</f>
        <v>1.47</v>
      </c>
      <c r="N44" s="99">
        <f t="shared" si="2"/>
        <v>1978.62</v>
      </c>
      <c r="O44" s="98">
        <f t="shared" si="10"/>
        <v>1990</v>
      </c>
      <c r="P44" s="87">
        <f>VLOOKUP($A44,'Выгр Кат'!$A:$R,P$1,0)</f>
        <v>1345.52</v>
      </c>
      <c r="Q44" s="87">
        <f>VLOOKUP($A44,'Выгр Кат'!$A:$R,Q$1,0)</f>
        <v>1990</v>
      </c>
      <c r="R44" s="75">
        <f t="shared" si="3"/>
        <v>-0.48000000000001819</v>
      </c>
      <c r="S44" s="75">
        <f t="shared" si="4"/>
        <v>0</v>
      </c>
      <c r="T44" s="96">
        <f t="shared" si="5"/>
        <v>3.5661218424964204E-4</v>
      </c>
      <c r="U44" s="76">
        <f t="shared" si="6"/>
        <v>1850.6999999999998</v>
      </c>
      <c r="V44" s="94" t="str">
        <f>IFERROR((VLOOKUP($A44,'Из ГУГЛа'!$B:$G,V$1,0)+X44)*W44,VLOOKUP($A44,'Из ГУГЛа'!$B:$G,V$1,0))</f>
        <v/>
      </c>
      <c r="W44" s="70">
        <v>1</v>
      </c>
      <c r="X44" s="70"/>
      <c r="Y44" s="89">
        <f t="shared" si="7"/>
        <v>0.37496285289747378</v>
      </c>
      <c r="Z44" s="89" t="str">
        <f t="shared" si="8"/>
        <v/>
      </c>
      <c r="AA44" s="89" t="str">
        <f t="shared" si="9"/>
        <v/>
      </c>
      <c r="AB44" s="90"/>
    </row>
    <row r="45" spans="1:29" ht="45">
      <c r="A45" s="77">
        <v>226262</v>
      </c>
      <c r="B45" s="87">
        <f>VLOOKUP($A45,'Выгр Кат'!$A:$R,B$1,0)</f>
        <v>36845</v>
      </c>
      <c r="C45" s="88" t="str">
        <f>VLOOKUP($A45,'Выгр Кат'!$A:$R,C$1,0)</f>
        <v>ШРУС внутренний правый ASP MENSAN трипоидный 24 шлица для Шевроле Нива</v>
      </c>
      <c r="D45" s="87" t="str">
        <f>VLOOKUP($A45,'Выгр Кат'!$A:$R,D$1,0)</f>
        <v>Y</v>
      </c>
      <c r="E45" s="87" t="str">
        <f>VLOOKUP($A45,'Выгр Кат'!$A:$R,E$1,0)</f>
        <v>1</v>
      </c>
      <c r="F45" s="87" t="str">
        <f>VLOOKUP($A45,'Выгр Кат'!$A:$R,F$1,0)</f>
        <v>CV260105R</v>
      </c>
      <c r="G45" s="5" t="s">
        <v>273</v>
      </c>
      <c r="H45" s="14" t="s">
        <v>51</v>
      </c>
      <c r="I45" s="77">
        <f>VLOOKUP(G45,'отчет Eplex'!$B:$E,4,0)</f>
        <v>2050</v>
      </c>
      <c r="J45" s="14" t="s">
        <v>3</v>
      </c>
      <c r="K45" s="14">
        <v>1</v>
      </c>
      <c r="L45" s="98">
        <f t="shared" si="1"/>
        <v>2255</v>
      </c>
      <c r="M45" s="14">
        <f>VLOOKUP(L45,Наценка!$A$1:$B$8,2,1)</f>
        <v>1.47</v>
      </c>
      <c r="N45" s="99">
        <f t="shared" si="2"/>
        <v>3314.85</v>
      </c>
      <c r="O45" s="98">
        <f t="shared" si="10"/>
        <v>3390</v>
      </c>
      <c r="P45" s="87">
        <f>VLOOKUP($A45,'Выгр Кат'!$A:$R,P$1,0)</f>
        <v>2255</v>
      </c>
      <c r="Q45" s="87">
        <f>VLOOKUP($A45,'Выгр Кат'!$A:$R,Q$1,0)</f>
        <v>3390</v>
      </c>
      <c r="R45" s="75">
        <f t="shared" si="3"/>
        <v>0</v>
      </c>
      <c r="S45" s="75">
        <f t="shared" si="4"/>
        <v>0</v>
      </c>
      <c r="T45" s="96">
        <f t="shared" si="5"/>
        <v>0</v>
      </c>
      <c r="U45" s="76">
        <f t="shared" si="6"/>
        <v>3152.7</v>
      </c>
      <c r="V45" s="94" t="str">
        <f>IFERROR((VLOOKUP($A45,'Из ГУГЛа'!$B:$G,V$1,0)+X45)*W45,VLOOKUP($A45,'Из ГУГЛа'!$B:$G,V$1,0))</f>
        <v/>
      </c>
      <c r="W45" s="70">
        <v>1</v>
      </c>
      <c r="X45" s="70"/>
      <c r="Y45" s="89">
        <f t="shared" si="7"/>
        <v>0.39809312638580918</v>
      </c>
      <c r="Z45" s="89" t="str">
        <f t="shared" si="8"/>
        <v/>
      </c>
      <c r="AA45" s="89" t="str">
        <f t="shared" si="9"/>
        <v/>
      </c>
      <c r="AB45" s="90"/>
    </row>
    <row r="46" spans="1:29" ht="30">
      <c r="A46" s="77">
        <v>226280</v>
      </c>
      <c r="B46" s="87">
        <f>VLOOKUP($A46,'Выгр Кат'!$A:$R,B$1,0)</f>
        <v>36846</v>
      </c>
      <c r="C46" s="88" t="str">
        <f>VLOOKUP($A46,'Выгр Кат'!$A:$R,C$1,0)</f>
        <v>ШРУС ASP MENSAN наружный 24 шлица для Шевроле Нива</v>
      </c>
      <c r="D46" s="87" t="str">
        <f>VLOOKUP($A46,'Выгр Кат'!$A:$R,D$1,0)</f>
        <v>Y</v>
      </c>
      <c r="E46" s="87" t="str">
        <f>VLOOKUP($A46,'Выгр Кат'!$A:$R,E$1,0)</f>
        <v>1</v>
      </c>
      <c r="F46" s="87" t="str">
        <f>VLOOKUP($A46,'Выгр Кат'!$A:$R,F$1,0)</f>
        <v>CV260215</v>
      </c>
      <c r="G46" s="5" t="s">
        <v>274</v>
      </c>
      <c r="H46" s="14" t="s">
        <v>51</v>
      </c>
      <c r="I46" s="77">
        <f>VLOOKUP(G46,'отчет Eplex'!$B:$E,4,0)</f>
        <v>1411.34</v>
      </c>
      <c r="J46" s="14" t="s">
        <v>3</v>
      </c>
      <c r="K46" s="14">
        <v>1</v>
      </c>
      <c r="L46" s="98">
        <f t="shared" si="1"/>
        <v>1552</v>
      </c>
      <c r="M46" s="14">
        <f>VLOOKUP(L46,Наценка!$A$1:$B$8,2,1)</f>
        <v>1.47</v>
      </c>
      <c r="N46" s="99">
        <f t="shared" si="2"/>
        <v>2281.44</v>
      </c>
      <c r="O46" s="98">
        <f t="shared" si="10"/>
        <v>2290</v>
      </c>
      <c r="P46" s="87">
        <f>VLOOKUP($A46,'Выгр Кат'!$A:$R,P$1,0)</f>
        <v>1552.47</v>
      </c>
      <c r="Q46" s="87">
        <f>VLOOKUP($A46,'Выгр Кат'!$A:$R,Q$1,0)</f>
        <v>2290</v>
      </c>
      <c r="R46" s="75">
        <f t="shared" si="3"/>
        <v>0.47000000000002728</v>
      </c>
      <c r="S46" s="75">
        <f t="shared" si="4"/>
        <v>0</v>
      </c>
      <c r="T46" s="96">
        <f t="shared" si="5"/>
        <v>3.0283505154640934E-4</v>
      </c>
      <c r="U46" s="76">
        <f t="shared" si="6"/>
        <v>2129.6999999999998</v>
      </c>
      <c r="V46" s="94" t="str">
        <f>IFERROR((VLOOKUP($A46,'Из ГУГЛа'!$B:$G,V$1,0)+X46)*W46,VLOOKUP($A46,'Из ГУГЛа'!$B:$G,V$1,0))</f>
        <v/>
      </c>
      <c r="W46" s="70">
        <v>1</v>
      </c>
      <c r="X46" s="70"/>
      <c r="Y46" s="89">
        <f t="shared" si="7"/>
        <v>0.37222938144329887</v>
      </c>
      <c r="Z46" s="89" t="str">
        <f t="shared" si="8"/>
        <v/>
      </c>
      <c r="AA46" s="89" t="str">
        <f t="shared" si="9"/>
        <v/>
      </c>
      <c r="AB46" s="90"/>
    </row>
    <row r="47" spans="1:29" ht="30">
      <c r="A47" s="77">
        <v>226281</v>
      </c>
      <c r="B47" s="87">
        <f>VLOOKUP($A47,'Выгр Кат'!$A:$R,B$1,0)</f>
        <v>36847</v>
      </c>
      <c r="C47" s="88" t="str">
        <f>VLOOKUP($A47,'Выгр Кат'!$A:$R,C$1,0)</f>
        <v>ШРУС ASP MENSAN наружный под АБС для Шевроле Нива</v>
      </c>
      <c r="D47" s="87" t="str">
        <f>VLOOKUP($A47,'Выгр Кат'!$A:$R,D$1,0)</f>
        <v>Y</v>
      </c>
      <c r="E47" s="87" t="str">
        <f>VLOOKUP($A47,'Выгр Кат'!$A:$R,E$1,0)</f>
        <v>1</v>
      </c>
      <c r="F47" s="87" t="str">
        <f>VLOOKUP($A47,'Выгр Кат'!$A:$R,F$1,0)</f>
        <v>CV260205</v>
      </c>
      <c r="G47" s="5" t="s">
        <v>275</v>
      </c>
      <c r="H47" s="14" t="s">
        <v>51</v>
      </c>
      <c r="I47" s="77">
        <f>VLOOKUP(G47,'отчет Eplex'!$B:$E,4,0)</f>
        <v>1650</v>
      </c>
      <c r="J47" s="14" t="s">
        <v>3</v>
      </c>
      <c r="K47" s="14">
        <v>1</v>
      </c>
      <c r="L47" s="98">
        <f t="shared" si="1"/>
        <v>1815</v>
      </c>
      <c r="M47" s="14">
        <f>VLOOKUP(L47,Наценка!$A$1:$B$8,2,1)</f>
        <v>1.47</v>
      </c>
      <c r="N47" s="99">
        <f t="shared" si="2"/>
        <v>2668.0499999999997</v>
      </c>
      <c r="O47" s="98">
        <f t="shared" si="10"/>
        <v>2690</v>
      </c>
      <c r="P47" s="87">
        <f>VLOOKUP($A47,'Выгр Кат'!$A:$R,P$1,0)</f>
        <v>1815</v>
      </c>
      <c r="Q47" s="87">
        <f>VLOOKUP($A47,'Выгр Кат'!$A:$R,Q$1,0)</f>
        <v>2690</v>
      </c>
      <c r="R47" s="75">
        <f t="shared" si="3"/>
        <v>0</v>
      </c>
      <c r="S47" s="75">
        <f t="shared" si="4"/>
        <v>0</v>
      </c>
      <c r="T47" s="96">
        <f t="shared" si="5"/>
        <v>0</v>
      </c>
      <c r="U47" s="76">
        <f t="shared" si="6"/>
        <v>2501.6999999999998</v>
      </c>
      <c r="V47" s="94" t="str">
        <f>IFERROR((VLOOKUP($A47,'Из ГУГЛа'!$B:$G,V$1,0)+X47)*W47,VLOOKUP($A47,'Из ГУГЛа'!$B:$G,V$1,0))</f>
        <v/>
      </c>
      <c r="W47" s="70">
        <v>1</v>
      </c>
      <c r="X47" s="70"/>
      <c r="Y47" s="89">
        <f t="shared" si="7"/>
        <v>0.37834710743801647</v>
      </c>
      <c r="Z47" s="89" t="str">
        <f t="shared" si="8"/>
        <v/>
      </c>
      <c r="AA47" s="89" t="str">
        <f t="shared" si="9"/>
        <v/>
      </c>
      <c r="AB47" s="90"/>
    </row>
    <row r="48" spans="1:29" ht="45">
      <c r="A48" s="77">
        <v>226278</v>
      </c>
      <c r="B48" s="87">
        <f>VLOOKUP($A48,'Выгр Кат'!$A:$R,B$1,0)</f>
        <v>36848</v>
      </c>
      <c r="C48" s="88" t="str">
        <f>VLOOKUP($A48,'Выгр Кат'!$A:$R,C$1,0)</f>
        <v>ШРУС наружный ASP MENSAN 22/23 шлица для Лада Ларгус, XRAY с двигателем ВАЗ</v>
      </c>
      <c r="D48" s="87" t="str">
        <f>VLOOKUP($A48,'Выгр Кат'!$A:$R,D$1,0)</f>
        <v>Y</v>
      </c>
      <c r="E48" s="87" t="str">
        <f>VLOOKUP($A48,'Выгр Кат'!$A:$R,E$1,0)</f>
        <v>1</v>
      </c>
      <c r="F48" s="87" t="str">
        <f>VLOOKUP($A48,'Выгр Кат'!$A:$R,F$1,0)</f>
        <v>CV370221</v>
      </c>
      <c r="G48" s="5" t="s">
        <v>283</v>
      </c>
      <c r="H48" s="14" t="s">
        <v>51</v>
      </c>
      <c r="I48" s="77">
        <f>VLOOKUP(G48,'отчет Eplex'!$B:$E,4,0)</f>
        <v>1249.07</v>
      </c>
      <c r="J48" s="14" t="s">
        <v>3</v>
      </c>
      <c r="K48" s="14">
        <v>1</v>
      </c>
      <c r="L48" s="98">
        <f t="shared" si="1"/>
        <v>1374</v>
      </c>
      <c r="M48" s="14">
        <f>VLOOKUP(L48,Наценка!$A$1:$B$8,2,1)</f>
        <v>1.47</v>
      </c>
      <c r="N48" s="99">
        <f t="shared" si="2"/>
        <v>2019.78</v>
      </c>
      <c r="O48" s="98">
        <f t="shared" si="10"/>
        <v>2090</v>
      </c>
      <c r="P48" s="87">
        <f>VLOOKUP($A48,'Выгр Кат'!$A:$R,P$1,0)</f>
        <v>1373.98</v>
      </c>
      <c r="Q48" s="87">
        <f>VLOOKUP($A48,'Выгр Кат'!$A:$R,Q$1,0)</f>
        <v>2090</v>
      </c>
      <c r="R48" s="75">
        <f t="shared" si="3"/>
        <v>-1.999999999998181E-2</v>
      </c>
      <c r="S48" s="75">
        <f t="shared" si="4"/>
        <v>0</v>
      </c>
      <c r="T48" s="96">
        <f t="shared" si="5"/>
        <v>1.4556040756900881E-5</v>
      </c>
      <c r="U48" s="76">
        <f t="shared" si="6"/>
        <v>1943.6999999999998</v>
      </c>
      <c r="V48" s="94" t="str">
        <f>IFERROR((VLOOKUP($A48,'Из ГУГЛа'!$B:$G,V$1,0)+X48)*W48,VLOOKUP($A48,'Из ГУГЛа'!$B:$G,V$1,0))</f>
        <v/>
      </c>
      <c r="W48" s="70">
        <v>1</v>
      </c>
      <c r="X48" s="70"/>
      <c r="Y48" s="89">
        <f t="shared" si="7"/>
        <v>0.41462882096069853</v>
      </c>
      <c r="Z48" s="89" t="str">
        <f t="shared" si="8"/>
        <v/>
      </c>
      <c r="AA48" s="89" t="str">
        <f t="shared" si="9"/>
        <v/>
      </c>
      <c r="AB48" s="90"/>
    </row>
    <row r="49" spans="1:28" ht="45">
      <c r="A49" s="77">
        <v>226284</v>
      </c>
      <c r="B49" s="87">
        <f>VLOOKUP($A49,'Выгр Кат'!$A:$R,B$1,0)</f>
        <v>36849</v>
      </c>
      <c r="C49" s="88" t="str">
        <f>VLOOKUP($A49,'Выгр Кат'!$A:$R,C$1,0)</f>
        <v>ШРУС наружный ASP MENSAN для Лада Калина, Калина 2, Приора, Приора 2, Гранта</v>
      </c>
      <c r="D49" s="87" t="str">
        <f>VLOOKUP($A49,'Выгр Кат'!$A:$R,D$1,0)</f>
        <v>Y</v>
      </c>
      <c r="E49" s="87" t="str">
        <f>VLOOKUP($A49,'Выгр Кат'!$A:$R,E$1,0)</f>
        <v>0</v>
      </c>
      <c r="F49" s="87" t="str">
        <f>VLOOKUP($A49,'Выгр Кат'!$A:$R,F$1,0)</f>
        <v>CV260206</v>
      </c>
      <c r="G49" s="5" t="s">
        <v>285</v>
      </c>
      <c r="H49" s="14" t="s">
        <v>51</v>
      </c>
      <c r="I49" s="77">
        <f>VLOOKUP(G49,'отчет Eplex'!$B:$E,4,0)</f>
        <v>0</v>
      </c>
      <c r="J49" s="14" t="s">
        <v>3</v>
      </c>
      <c r="K49" s="14">
        <v>1</v>
      </c>
      <c r="L49" s="97">
        <f>P49</f>
        <v>1276</v>
      </c>
      <c r="M49" s="14">
        <f>VLOOKUP(L49,Наценка!$A$1:$B$8,2,1)</f>
        <v>1.47</v>
      </c>
      <c r="N49" s="99">
        <f t="shared" si="2"/>
        <v>1875.72</v>
      </c>
      <c r="O49" s="98">
        <f t="shared" si="10"/>
        <v>1890</v>
      </c>
      <c r="P49" s="87">
        <f>VLOOKUP($A49,'Выгр Кат'!$A:$R,P$1,0)</f>
        <v>1276</v>
      </c>
      <c r="Q49" s="87">
        <f>VLOOKUP($A49,'Выгр Кат'!$A:$R,Q$1,0)</f>
        <v>1890</v>
      </c>
      <c r="R49" s="75">
        <f t="shared" si="3"/>
        <v>0</v>
      </c>
      <c r="S49" s="75">
        <f t="shared" si="4"/>
        <v>0</v>
      </c>
      <c r="T49" s="96">
        <f t="shared" si="5"/>
        <v>0</v>
      </c>
      <c r="U49" s="76">
        <f t="shared" si="6"/>
        <v>1757.6999999999998</v>
      </c>
      <c r="V49" s="94" t="str">
        <f>IFERROR((VLOOKUP($A49,'Из ГУГЛа'!$B:$G,V$1,0)+X49)*W49,VLOOKUP($A49,'Из ГУГЛа'!$B:$G,V$1,0))</f>
        <v/>
      </c>
      <c r="W49" s="70">
        <v>1</v>
      </c>
      <c r="X49" s="70"/>
      <c r="Y49" s="89">
        <f t="shared" si="7"/>
        <v>0.37750783699059554</v>
      </c>
      <c r="Z49" s="89" t="str">
        <f t="shared" si="8"/>
        <v/>
      </c>
      <c r="AA49" s="89" t="str">
        <f t="shared" si="9"/>
        <v/>
      </c>
      <c r="AB49" s="90"/>
    </row>
    <row r="50" spans="1:28" ht="60">
      <c r="A50" s="77">
        <v>226282</v>
      </c>
      <c r="B50" s="87">
        <f>VLOOKUP($A50,'Выгр Кат'!$A:$R,B$1,0)</f>
        <v>36850</v>
      </c>
      <c r="C50" s="88" t="str">
        <f>VLOOKUP($A50,'Выгр Кат'!$A:$R,C$1,0)</f>
        <v>ШРУС ASP MENSAN наружный для ВАЗ 2108-21099, 2113-2115, 2110-2112, Лада Калина, Калина 2, Приора, Приора 2, Гранта</v>
      </c>
      <c r="D50" s="87" t="str">
        <f>VLOOKUP($A50,'Выгр Кат'!$A:$R,D$1,0)</f>
        <v>Y</v>
      </c>
      <c r="E50" s="87" t="str">
        <f>VLOOKUP($A50,'Выгр Кат'!$A:$R,E$1,0)</f>
        <v>1ск4</v>
      </c>
      <c r="F50" s="87" t="str">
        <f>VLOOKUP($A50,'Выгр Кат'!$A:$R,F$1,0)</f>
        <v>CV260201</v>
      </c>
      <c r="G50" s="5" t="s">
        <v>286</v>
      </c>
      <c r="H50" s="14" t="s">
        <v>51</v>
      </c>
      <c r="I50" s="77">
        <f>VLOOKUP(G50,'отчет Eplex'!$B:$E,4,0)</f>
        <v>999</v>
      </c>
      <c r="J50" s="14" t="s">
        <v>3</v>
      </c>
      <c r="K50" s="14">
        <v>1</v>
      </c>
      <c r="L50" s="98">
        <f t="shared" si="1"/>
        <v>1099</v>
      </c>
      <c r="M50" s="14">
        <f>VLOOKUP(L50,Наценка!$A$1:$B$8,2,1)</f>
        <v>1.47</v>
      </c>
      <c r="N50" s="99">
        <f t="shared" si="2"/>
        <v>1615.53</v>
      </c>
      <c r="O50" s="98">
        <f t="shared" si="10"/>
        <v>1690</v>
      </c>
      <c r="P50" s="87">
        <f>VLOOKUP($A50,'Выгр Кат'!$A:$R,P$1,0)</f>
        <v>1098.9000000000001</v>
      </c>
      <c r="Q50" s="87">
        <f>VLOOKUP($A50,'Выгр Кат'!$A:$R,Q$1,0)</f>
        <v>1690</v>
      </c>
      <c r="R50" s="75">
        <f t="shared" si="3"/>
        <v>-9.9999999999909051E-2</v>
      </c>
      <c r="S50" s="75">
        <f t="shared" si="4"/>
        <v>0</v>
      </c>
      <c r="T50" s="96">
        <f t="shared" si="5"/>
        <v>9.0991810736950905E-5</v>
      </c>
      <c r="U50" s="76">
        <f t="shared" si="6"/>
        <v>1571.6999999999998</v>
      </c>
      <c r="V50" s="94" t="str">
        <f>IFERROR((VLOOKUP($A50,'Из ГУГЛа'!$B:$G,V$1,0)+X50)*W50,VLOOKUP($A50,'Из ГУГЛа'!$B:$G,V$1,0))</f>
        <v/>
      </c>
      <c r="W50" s="70">
        <v>1</v>
      </c>
      <c r="X50" s="70"/>
      <c r="Y50" s="89">
        <f t="shared" si="7"/>
        <v>0.43011828935395791</v>
      </c>
      <c r="Z50" s="89" t="str">
        <f t="shared" si="8"/>
        <v/>
      </c>
      <c r="AA50" s="89" t="str">
        <f t="shared" si="9"/>
        <v/>
      </c>
      <c r="AB50" s="90"/>
    </row>
    <row r="51" spans="1:28" ht="30">
      <c r="A51" s="77">
        <v>226276</v>
      </c>
      <c r="B51" s="87">
        <f>VLOOKUP($A51,'Выгр Кат'!$A:$R,B$1,0)</f>
        <v>36851</v>
      </c>
      <c r="C51" s="88" t="str">
        <f>VLOOKUP($A51,'Выгр Кат'!$A:$R,C$1,0)</f>
        <v>ШРУС наружный ASP MENSAN 22 шлица для Лада Нива 4x4</v>
      </c>
      <c r="D51" s="87" t="str">
        <f>VLOOKUP($A51,'Выгр Кат'!$A:$R,D$1,0)</f>
        <v>Y</v>
      </c>
      <c r="E51" s="87" t="str">
        <f>VLOOKUP($A51,'Выгр Кат'!$A:$R,E$1,0)</f>
        <v>1</v>
      </c>
      <c r="F51" s="87" t="str">
        <f>VLOOKUP($A51,'Выгр Кат'!$A:$R,F$1,0)</f>
        <v>CV260204</v>
      </c>
      <c r="G51" s="5" t="s">
        <v>287</v>
      </c>
      <c r="H51" s="14" t="s">
        <v>51</v>
      </c>
      <c r="I51" s="77">
        <f>VLOOKUP(G51,'отчет Eplex'!$B:$E,4,0)</f>
        <v>1429.71</v>
      </c>
      <c r="J51" s="14" t="s">
        <v>3</v>
      </c>
      <c r="K51" s="14">
        <v>1</v>
      </c>
      <c r="L51" s="98">
        <f t="shared" si="1"/>
        <v>1573</v>
      </c>
      <c r="M51" s="14">
        <f>VLOOKUP(L51,Наценка!$A$1:$B$8,2,1)</f>
        <v>1.47</v>
      </c>
      <c r="N51" s="99">
        <f t="shared" si="2"/>
        <v>2312.31</v>
      </c>
      <c r="O51" s="98">
        <f t="shared" si="10"/>
        <v>2390</v>
      </c>
      <c r="P51" s="87">
        <f>VLOOKUP($A51,'Выгр Кат'!$A:$R,P$1,0)</f>
        <v>1572.68</v>
      </c>
      <c r="Q51" s="87">
        <f>VLOOKUP($A51,'Выгр Кат'!$A:$R,Q$1,0)</f>
        <v>2390</v>
      </c>
      <c r="R51" s="75">
        <f t="shared" si="3"/>
        <v>-0.31999999999993634</v>
      </c>
      <c r="S51" s="75">
        <f t="shared" si="4"/>
        <v>0</v>
      </c>
      <c r="T51" s="96">
        <f t="shared" si="5"/>
        <v>2.034329307056175E-4</v>
      </c>
      <c r="U51" s="76">
        <f t="shared" si="6"/>
        <v>2222.6999999999998</v>
      </c>
      <c r="V51" s="94" t="str">
        <f>IFERROR((VLOOKUP($A51,'Из ГУГЛа'!$B:$G,V$1,0)+X51)*W51,VLOOKUP($A51,'Из ГУГЛа'!$B:$G,V$1,0))</f>
        <v/>
      </c>
      <c r="W51" s="70">
        <v>1</v>
      </c>
      <c r="X51" s="70"/>
      <c r="Y51" s="89">
        <f t="shared" si="7"/>
        <v>0.41303242212333102</v>
      </c>
      <c r="Z51" s="89" t="str">
        <f t="shared" si="8"/>
        <v/>
      </c>
      <c r="AA51" s="89" t="str">
        <f t="shared" si="9"/>
        <v/>
      </c>
      <c r="AB51" s="90"/>
    </row>
    <row r="52" spans="1:28" ht="30">
      <c r="A52" s="77">
        <v>226219</v>
      </c>
      <c r="B52" s="87">
        <f>VLOOKUP($A52,'Выгр Кат'!$A:$R,B$1,0)</f>
        <v>36852</v>
      </c>
      <c r="C52" s="88" t="str">
        <f>VLOOKUP($A52,'Выгр Кат'!$A:$R,C$1,0)</f>
        <v>ШРУС ASP MENSAN внутренний трипоидный для Лада Гранта с АТ</v>
      </c>
      <c r="D52" s="87" t="str">
        <f>VLOOKUP($A52,'Выгр Кат'!$A:$R,D$1,0)</f>
        <v>Y</v>
      </c>
      <c r="E52" s="87" t="str">
        <f>VLOOKUP($A52,'Выгр Кат'!$A:$R,E$1,0)</f>
        <v>1</v>
      </c>
      <c r="F52" s="87" t="str">
        <f>VLOOKUP($A52,'Выгр Кат'!$A:$R,F$1,0)</f>
        <v>CV260122</v>
      </c>
      <c r="G52" s="5" t="s">
        <v>289</v>
      </c>
      <c r="H52" s="14" t="s">
        <v>51</v>
      </c>
      <c r="I52" s="77">
        <f>VLOOKUP(G52,'отчет Eplex'!$B:$E,4,0)</f>
        <v>1435</v>
      </c>
      <c r="J52" s="14" t="s">
        <v>3</v>
      </c>
      <c r="K52" s="14">
        <v>1</v>
      </c>
      <c r="L52" s="98">
        <f t="shared" si="1"/>
        <v>1579</v>
      </c>
      <c r="M52" s="14">
        <f>VLOOKUP(L52,Наценка!$A$1:$B$8,2,1)</f>
        <v>1.47</v>
      </c>
      <c r="N52" s="99">
        <f t="shared" si="2"/>
        <v>2321.13</v>
      </c>
      <c r="O52" s="98">
        <f t="shared" si="10"/>
        <v>2390</v>
      </c>
      <c r="P52" s="87">
        <f>VLOOKUP($A52,'Выгр Кат'!$A:$R,P$1,0)</f>
        <v>1578.5</v>
      </c>
      <c r="Q52" s="87">
        <f>VLOOKUP($A52,'Выгр Кат'!$A:$R,Q$1,0)</f>
        <v>2390</v>
      </c>
      <c r="R52" s="75">
        <f t="shared" si="3"/>
        <v>-0.5</v>
      </c>
      <c r="S52" s="75">
        <f t="shared" si="4"/>
        <v>0</v>
      </c>
      <c r="T52" s="96">
        <f t="shared" si="5"/>
        <v>3.1665611146295124E-4</v>
      </c>
      <c r="U52" s="76">
        <f t="shared" si="6"/>
        <v>2222.6999999999998</v>
      </c>
      <c r="V52" s="94" t="str">
        <f>IFERROR((VLOOKUP($A52,'Из ГУГЛа'!$B:$G,V$1,0)+X52)*W52,VLOOKUP($A52,'Из ГУГЛа'!$B:$G,V$1,0))</f>
        <v/>
      </c>
      <c r="W52" s="70">
        <v>1</v>
      </c>
      <c r="X52" s="70"/>
      <c r="Y52" s="89">
        <f t="shared" si="7"/>
        <v>0.4076630778974033</v>
      </c>
      <c r="Z52" s="89" t="str">
        <f t="shared" si="8"/>
        <v/>
      </c>
      <c r="AA52" s="89" t="str">
        <f t="shared" si="9"/>
        <v/>
      </c>
      <c r="AB52" s="90"/>
    </row>
    <row r="53" spans="1:28" ht="45">
      <c r="A53" s="77">
        <v>226277</v>
      </c>
      <c r="B53" s="87">
        <f>VLOOKUP($A53,'Выгр Кат'!$A:$R,B$1,0)</f>
        <v>36853</v>
      </c>
      <c r="C53" s="88" t="str">
        <f>VLOOKUP($A53,'Выгр Кат'!$A:$R,C$1,0)</f>
        <v>ШРУС наружный ASP MENSAN 22/23 шлица для Лада Ларгус с 16-ти клапанным двигателем Renault</v>
      </c>
      <c r="D53" s="87" t="str">
        <f>VLOOKUP($A53,'Выгр Кат'!$A:$R,D$1,0)</f>
        <v>Y</v>
      </c>
      <c r="E53" s="87" t="str">
        <f>VLOOKUP($A53,'Выгр Кат'!$A:$R,E$1,0)</f>
        <v>1</v>
      </c>
      <c r="F53" s="87" t="str">
        <f>VLOOKUP($A53,'Выгр Кат'!$A:$R,F$1,0)</f>
        <v>CV270201</v>
      </c>
      <c r="G53" s="5" t="s">
        <v>291</v>
      </c>
      <c r="H53" s="14" t="s">
        <v>51</v>
      </c>
      <c r="I53" s="77">
        <f>VLOOKUP(G53,'отчет Eplex'!$B:$E,4,0)</f>
        <v>1138.74</v>
      </c>
      <c r="J53" s="14" t="s">
        <v>3</v>
      </c>
      <c r="K53" s="14">
        <v>1</v>
      </c>
      <c r="L53" s="98">
        <f t="shared" si="1"/>
        <v>1253</v>
      </c>
      <c r="M53" s="14">
        <f>VLOOKUP(L53,Наценка!$A$1:$B$8,2,1)</f>
        <v>1.47</v>
      </c>
      <c r="N53" s="99">
        <f t="shared" si="2"/>
        <v>1841.9099999999999</v>
      </c>
      <c r="O53" s="98">
        <f t="shared" si="10"/>
        <v>1890</v>
      </c>
      <c r="P53" s="87">
        <f>VLOOKUP($A53,'Выгр Кат'!$A:$R,P$1,0)</f>
        <v>1252.6099999999999</v>
      </c>
      <c r="Q53" s="87">
        <f>VLOOKUP($A53,'Выгр Кат'!$A:$R,Q$1,0)</f>
        <v>1890</v>
      </c>
      <c r="R53" s="75">
        <f t="shared" si="3"/>
        <v>-0.39000000000010004</v>
      </c>
      <c r="S53" s="75">
        <f t="shared" si="4"/>
        <v>0</v>
      </c>
      <c r="T53" s="96">
        <f t="shared" si="5"/>
        <v>3.1125299281731846E-4</v>
      </c>
      <c r="U53" s="76">
        <f t="shared" si="6"/>
        <v>1757.6999999999998</v>
      </c>
      <c r="V53" s="94" t="str">
        <f>IFERROR((VLOOKUP($A53,'Из ГУГЛа'!$B:$G,V$1,0)+X53)*W53,VLOOKUP($A53,'Из ГУГЛа'!$B:$G,V$1,0))</f>
        <v/>
      </c>
      <c r="W53" s="70">
        <v>1</v>
      </c>
      <c r="X53" s="70"/>
      <c r="Y53" s="89">
        <f t="shared" si="7"/>
        <v>0.40279329608938541</v>
      </c>
      <c r="Z53" s="89" t="str">
        <f t="shared" si="8"/>
        <v/>
      </c>
      <c r="AA53" s="89" t="str">
        <f t="shared" si="9"/>
        <v/>
      </c>
      <c r="AB53" s="90"/>
    </row>
    <row r="54" spans="1:28" ht="30">
      <c r="A54" s="77">
        <v>226283</v>
      </c>
      <c r="B54" s="87">
        <f>VLOOKUP($A54,'Выгр Кат'!$A:$R,B$1,0)</f>
        <v>36854</v>
      </c>
      <c r="C54" s="88" t="str">
        <f>VLOOKUP($A54,'Выгр Кат'!$A:$R,C$1,0)</f>
        <v>ШРУС наружный ASP MENSAN для Лада Веста</v>
      </c>
      <c r="D54" s="87" t="str">
        <f>VLOOKUP($A54,'Выгр Кат'!$A:$R,D$1,0)</f>
        <v>Y</v>
      </c>
      <c r="E54" s="87" t="str">
        <f>VLOOKUP($A54,'Выгр Кат'!$A:$R,E$1,0)</f>
        <v>1</v>
      </c>
      <c r="F54" s="87" t="str">
        <f>VLOOKUP($A54,'Выгр Кат'!$A:$R,F$1,0)</f>
        <v>CV270222</v>
      </c>
      <c r="G54" s="5" t="s">
        <v>292</v>
      </c>
      <c r="H54" s="14" t="s">
        <v>51</v>
      </c>
      <c r="I54" s="77">
        <f>VLOOKUP(G54,'отчет Eplex'!$B:$E,4,0)</f>
        <v>1307.67</v>
      </c>
      <c r="J54" s="14" t="s">
        <v>3</v>
      </c>
      <c r="K54" s="14">
        <v>1</v>
      </c>
      <c r="L54" s="98">
        <f t="shared" si="1"/>
        <v>1438</v>
      </c>
      <c r="M54" s="14">
        <f>VLOOKUP(L54,Наценка!$A$1:$B$8,2,1)</f>
        <v>1.47</v>
      </c>
      <c r="N54" s="99">
        <f t="shared" si="2"/>
        <v>2113.86</v>
      </c>
      <c r="O54" s="98">
        <f t="shared" si="10"/>
        <v>2190</v>
      </c>
      <c r="P54" s="87">
        <f>VLOOKUP($A54,'Выгр Кат'!$A:$R,P$1,0)</f>
        <v>1438.44</v>
      </c>
      <c r="Q54" s="87">
        <f>VLOOKUP($A54,'Выгр Кат'!$A:$R,Q$1,0)</f>
        <v>2190</v>
      </c>
      <c r="R54" s="75">
        <f t="shared" si="3"/>
        <v>0.44000000000005457</v>
      </c>
      <c r="S54" s="75">
        <f t="shared" si="4"/>
        <v>0</v>
      </c>
      <c r="T54" s="96">
        <f t="shared" si="5"/>
        <v>3.0598052851185995E-4</v>
      </c>
      <c r="U54" s="76">
        <f t="shared" si="6"/>
        <v>2036.6999999999998</v>
      </c>
      <c r="V54" s="94" t="str">
        <f>IFERROR((VLOOKUP($A54,'Из ГУГЛа'!$B:$G,V$1,0)+X54)*W54,VLOOKUP($A54,'Из ГУГЛа'!$B:$G,V$1,0))</f>
        <v/>
      </c>
      <c r="W54" s="70">
        <v>1</v>
      </c>
      <c r="X54" s="70"/>
      <c r="Y54" s="89">
        <f t="shared" si="7"/>
        <v>0.41634214186369944</v>
      </c>
      <c r="Z54" s="89" t="str">
        <f t="shared" si="8"/>
        <v/>
      </c>
      <c r="AA54" s="89" t="str">
        <f t="shared" si="9"/>
        <v/>
      </c>
      <c r="AB54" s="90"/>
    </row>
    <row r="55" spans="1:28" ht="45">
      <c r="A55" s="77">
        <v>226217</v>
      </c>
      <c r="B55" s="87">
        <f>VLOOKUP($A55,'Выгр Кат'!$A:$R,B$1,0)</f>
        <v>36855</v>
      </c>
      <c r="C55" s="88" t="str">
        <f>VLOOKUP($A55,'Выгр Кат'!$A:$R,C$1,0)</f>
        <v>ШРУС ASP MENSAN внутренний трипоидный для Лада Веста с КПП Renault JH3</v>
      </c>
      <c r="D55" s="87" t="str">
        <f>VLOOKUP($A55,'Выгр Кат'!$A:$R,D$1,0)</f>
        <v>Y</v>
      </c>
      <c r="E55" s="87" t="str">
        <f>VLOOKUP($A55,'Выгр Кат'!$A:$R,E$1,0)</f>
        <v>1</v>
      </c>
      <c r="F55" s="87" t="str">
        <f>VLOOKUP($A55,'Выгр Кат'!$A:$R,F$1,0)</f>
        <v>CV270122</v>
      </c>
      <c r="G55" s="5" t="s">
        <v>294</v>
      </c>
      <c r="H55" s="14" t="s">
        <v>51</v>
      </c>
      <c r="I55" s="77">
        <f>VLOOKUP(G55,'отчет Eplex'!$B:$E,4,0)</f>
        <v>1433.85</v>
      </c>
      <c r="J55" s="14" t="s">
        <v>3</v>
      </c>
      <c r="K55" s="14">
        <v>1</v>
      </c>
      <c r="L55" s="98">
        <f t="shared" si="1"/>
        <v>1577</v>
      </c>
      <c r="M55" s="14">
        <f>VLOOKUP(L55,Наценка!$A$1:$B$8,2,1)</f>
        <v>1.47</v>
      </c>
      <c r="N55" s="99">
        <f t="shared" si="2"/>
        <v>2318.19</v>
      </c>
      <c r="O55" s="98">
        <f t="shared" si="10"/>
        <v>2390</v>
      </c>
      <c r="P55" s="87">
        <f>VLOOKUP($A55,'Выгр Кат'!$A:$R,P$1,0)</f>
        <v>1577.24</v>
      </c>
      <c r="Q55" s="87">
        <f>VLOOKUP($A55,'Выгр Кат'!$A:$R,Q$1,0)</f>
        <v>2390</v>
      </c>
      <c r="R55" s="75">
        <f t="shared" si="3"/>
        <v>0.24000000000000909</v>
      </c>
      <c r="S55" s="75">
        <f t="shared" si="4"/>
        <v>0</v>
      </c>
      <c r="T55" s="96">
        <f t="shared" si="5"/>
        <v>1.5218769816107108E-4</v>
      </c>
      <c r="U55" s="76">
        <f t="shared" si="6"/>
        <v>2222.6999999999998</v>
      </c>
      <c r="V55" s="94" t="str">
        <f>IFERROR((VLOOKUP($A55,'Из ГУГЛа'!$B:$G,V$1,0)+X55)*W55,VLOOKUP($A55,'Из ГУГЛа'!$B:$G,V$1,0))</f>
        <v/>
      </c>
      <c r="W55" s="70">
        <v>1</v>
      </c>
      <c r="X55" s="70"/>
      <c r="Y55" s="89">
        <f t="shared" si="7"/>
        <v>0.40944831959416605</v>
      </c>
      <c r="Z55" s="89" t="str">
        <f t="shared" si="8"/>
        <v/>
      </c>
      <c r="AA55" s="89" t="str">
        <f t="shared" si="9"/>
        <v/>
      </c>
      <c r="AB55" s="90"/>
    </row>
    <row r="56" spans="1:28" ht="45">
      <c r="A56" s="77">
        <v>226218</v>
      </c>
      <c r="B56" s="87">
        <f>VLOOKUP($A56,'Выгр Кат'!$A:$R,B$1,0)</f>
        <v>36856</v>
      </c>
      <c r="C56" s="88" t="str">
        <f>VLOOKUP($A56,'Выгр Кат'!$A:$R,C$1,0)</f>
        <v>ШРУС ASP MENSAN внутренний трипоидный для Лада Веста с КПП ВАЗ 21807</v>
      </c>
      <c r="D56" s="87" t="str">
        <f>VLOOKUP($A56,'Выгр Кат'!$A:$R,D$1,0)</f>
        <v>Y</v>
      </c>
      <c r="E56" s="87" t="str">
        <f>VLOOKUP($A56,'Выгр Кат'!$A:$R,E$1,0)</f>
        <v>1</v>
      </c>
      <c r="F56" s="87" t="str">
        <f>VLOOKUP($A56,'Выгр Кат'!$A:$R,F$1,0)</f>
        <v>CV270123</v>
      </c>
      <c r="G56" s="5" t="s">
        <v>296</v>
      </c>
      <c r="H56" s="14" t="s">
        <v>51</v>
      </c>
      <c r="I56" s="77">
        <f>VLOOKUP(G56,'отчет Eplex'!$B:$E,4,0)</f>
        <v>0</v>
      </c>
      <c r="J56" s="14" t="s">
        <v>3</v>
      </c>
      <c r="K56" s="14">
        <v>1</v>
      </c>
      <c r="L56" s="97">
        <f>P56</f>
        <v>1327</v>
      </c>
      <c r="M56" s="14">
        <f>VLOOKUP(L56,Наценка!$A$1:$B$8,2,1)</f>
        <v>1.47</v>
      </c>
      <c r="N56" s="99">
        <f t="shared" si="2"/>
        <v>1950.69</v>
      </c>
      <c r="O56" s="98">
        <f t="shared" si="10"/>
        <v>1990</v>
      </c>
      <c r="P56" s="87">
        <f>VLOOKUP($A56,'Выгр Кат'!$A:$R,P$1,0)</f>
        <v>1327</v>
      </c>
      <c r="Q56" s="87">
        <f>VLOOKUP($A56,'Выгр Кат'!$A:$R,Q$1,0)</f>
        <v>1990</v>
      </c>
      <c r="R56" s="75">
        <f t="shared" si="3"/>
        <v>0</v>
      </c>
      <c r="S56" s="75">
        <f t="shared" si="4"/>
        <v>0</v>
      </c>
      <c r="T56" s="96">
        <f t="shared" si="5"/>
        <v>0</v>
      </c>
      <c r="U56" s="76">
        <f t="shared" si="6"/>
        <v>1850.6999999999998</v>
      </c>
      <c r="V56" s="94" t="str">
        <f>IFERROR((VLOOKUP($A56,'Из ГУГЛа'!$B:$G,V$1,0)+X56)*W56,VLOOKUP($A56,'Из ГУГЛа'!$B:$G,V$1,0))</f>
        <v/>
      </c>
      <c r="W56" s="70">
        <v>1</v>
      </c>
      <c r="X56" s="70"/>
      <c r="Y56" s="89">
        <f t="shared" si="7"/>
        <v>0.39464958553127349</v>
      </c>
      <c r="Z56" s="89" t="str">
        <f t="shared" si="8"/>
        <v/>
      </c>
      <c r="AA56" s="89" t="str">
        <f t="shared" si="9"/>
        <v/>
      </c>
      <c r="AB56" s="90"/>
    </row>
    <row r="57" spans="1:28" ht="45">
      <c r="A57" s="77">
        <v>226279</v>
      </c>
      <c r="B57" s="87">
        <f>VLOOKUP($A57,'Выгр Кат'!$A:$R,B$1,0)</f>
        <v>36866</v>
      </c>
      <c r="C57" s="88" t="str">
        <f>VLOOKUP($A57,'Выгр Кат'!$A:$R,C$1,0)</f>
        <v>ШРУС наружный ASP MENSAN 23x30 шлицев для Лада Ларгус с двигателем объёмом 1.6 л</v>
      </c>
      <c r="D57" s="87" t="str">
        <f>VLOOKUP($A57,'Выгр Кат'!$A:$R,D$1,0)</f>
        <v>Y</v>
      </c>
      <c r="E57" s="87" t="str">
        <f>VLOOKUP($A57,'Выгр Кат'!$A:$R,E$1,0)</f>
        <v>1</v>
      </c>
      <c r="F57" s="87" t="str">
        <f>VLOOKUP($A57,'Выгр Кат'!$A:$R,F$1,0)</f>
        <v>CV270208</v>
      </c>
      <c r="G57" s="5" t="s">
        <v>298</v>
      </c>
      <c r="H57" s="14" t="s">
        <v>51</v>
      </c>
      <c r="I57" s="77">
        <f>VLOOKUP(G57,'отчет Eplex'!$B:$E,4,0)</f>
        <v>1467.22</v>
      </c>
      <c r="J57" s="14" t="s">
        <v>3</v>
      </c>
      <c r="K57" s="14">
        <v>1</v>
      </c>
      <c r="L57" s="98">
        <f t="shared" si="1"/>
        <v>1614</v>
      </c>
      <c r="M57" s="14">
        <f>VLOOKUP(L57,Наценка!$A$1:$B$8,2,1)</f>
        <v>1.47</v>
      </c>
      <c r="N57" s="99">
        <f t="shared" si="2"/>
        <v>2372.58</v>
      </c>
      <c r="O57" s="98">
        <f t="shared" si="10"/>
        <v>2390</v>
      </c>
      <c r="P57" s="87">
        <f>VLOOKUP($A57,'Выгр Кат'!$A:$R,P$1,0)</f>
        <v>1613.94</v>
      </c>
      <c r="Q57" s="87">
        <f>VLOOKUP($A57,'Выгр Кат'!$A:$R,Q$1,0)</f>
        <v>2390</v>
      </c>
      <c r="R57" s="75">
        <f t="shared" si="3"/>
        <v>-5.999999999994543E-2</v>
      </c>
      <c r="S57" s="75">
        <f t="shared" si="4"/>
        <v>0</v>
      </c>
      <c r="T57" s="96">
        <f t="shared" si="5"/>
        <v>3.7174721189557265E-5</v>
      </c>
      <c r="U57" s="76">
        <f t="shared" si="6"/>
        <v>2222.6999999999998</v>
      </c>
      <c r="V57" s="94" t="str">
        <f>IFERROR((VLOOKUP($A57,'Из ГУГЛа'!$B:$G,V$1,0)+X57)*W57,VLOOKUP($A57,'Из ГУГЛа'!$B:$G,V$1,0))</f>
        <v/>
      </c>
      <c r="W57" s="70">
        <v>1</v>
      </c>
      <c r="X57" s="70"/>
      <c r="Y57" s="89">
        <f t="shared" si="7"/>
        <v>0.37713754646840147</v>
      </c>
      <c r="Z57" s="89" t="str">
        <f t="shared" si="8"/>
        <v/>
      </c>
      <c r="AA57" s="89" t="str">
        <f t="shared" si="9"/>
        <v/>
      </c>
      <c r="AB57" s="90"/>
    </row>
    <row r="58" spans="1:28" ht="30">
      <c r="A58" s="77">
        <v>139816</v>
      </c>
      <c r="B58" s="87">
        <f>VLOOKUP($A58,'Выгр Кат'!$A:$R,B$1,0)</f>
        <v>36868</v>
      </c>
      <c r="C58" s="88" t="str">
        <f>VLOOKUP($A58,'Выгр Кат'!$A:$R,C$1,0)</f>
        <v>Втулка переднего стабилизатора ASP MENSAN для Лада Ларгус, Renault Logan</v>
      </c>
      <c r="D58" s="87" t="str">
        <f>VLOOKUP($A58,'Выгр Кат'!$A:$R,D$1,0)</f>
        <v>Y</v>
      </c>
      <c r="E58" s="87" t="str">
        <f>VLOOKUP($A58,'Выгр Кат'!$A:$R,E$1,0)</f>
        <v>1</v>
      </c>
      <c r="F58" s="87" t="str">
        <f>VLOOKUP($A58,'Выгр Кат'!$A:$R,F$1,0)</f>
        <v>RJ42007</v>
      </c>
      <c r="G58" s="5" t="s">
        <v>72</v>
      </c>
      <c r="H58" s="14" t="s">
        <v>51</v>
      </c>
      <c r="I58" s="77">
        <f>VLOOKUP(G58,'отчет Eplex'!$B:$E,4,0)</f>
        <v>105.32</v>
      </c>
      <c r="J58" s="14" t="s">
        <v>3</v>
      </c>
      <c r="K58" s="14">
        <v>1</v>
      </c>
      <c r="L58" s="98">
        <f t="shared" si="1"/>
        <v>116</v>
      </c>
      <c r="M58" s="14">
        <f>VLOOKUP(L58,Наценка!$A$1:$B$8,2,1)</f>
        <v>1.47</v>
      </c>
      <c r="N58" s="99">
        <f t="shared" si="2"/>
        <v>170.52</v>
      </c>
      <c r="O58" s="98">
        <f t="shared" si="10"/>
        <v>179</v>
      </c>
      <c r="P58" s="87">
        <f>VLOOKUP($A58,'Выгр Кат'!$A:$R,P$1,0)</f>
        <v>115.85</v>
      </c>
      <c r="Q58" s="87">
        <f>VLOOKUP($A58,'Выгр Кат'!$A:$R,Q$1,0)</f>
        <v>179</v>
      </c>
      <c r="R58" s="75">
        <f t="shared" si="3"/>
        <v>-0.15000000000000568</v>
      </c>
      <c r="S58" s="75">
        <f t="shared" si="4"/>
        <v>0</v>
      </c>
      <c r="T58" s="96">
        <f t="shared" si="5"/>
        <v>1.2931034482759111E-3</v>
      </c>
      <c r="U58" s="76">
        <f t="shared" si="6"/>
        <v>166.47</v>
      </c>
      <c r="V58" s="94" t="str">
        <f>IFERROR((VLOOKUP($A58,'Из ГУГЛа'!$B:$G,V$1,0)+X58)*W58,VLOOKUP($A58,'Из ГУГЛа'!$B:$G,V$1,0))</f>
        <v/>
      </c>
      <c r="W58" s="70">
        <v>1</v>
      </c>
      <c r="X58" s="70"/>
      <c r="Y58" s="89">
        <f t="shared" si="7"/>
        <v>0.43508620689655175</v>
      </c>
      <c r="Z58" s="89" t="str">
        <f t="shared" si="8"/>
        <v/>
      </c>
      <c r="AA58" s="89" t="str">
        <f t="shared" si="9"/>
        <v/>
      </c>
      <c r="AB58" s="90"/>
    </row>
    <row r="59" spans="1:28" ht="30">
      <c r="A59" s="77">
        <v>213027</v>
      </c>
      <c r="B59" s="87">
        <f>VLOOKUP($A59,'Выгр Кат'!$A:$R,B$1,0)</f>
        <v>36871</v>
      </c>
      <c r="C59" s="88" t="str">
        <f>VLOOKUP($A59,'Выгр Кат'!$A:$R,C$1,0)</f>
        <v>Рычаг передней подвески ASP MENSAN левый в сборе для Лада Веста</v>
      </c>
      <c r="D59" s="87" t="str">
        <f>VLOOKUP($A59,'Выгр Кат'!$A:$R,D$1,0)</f>
        <v>Y</v>
      </c>
      <c r="E59" s="87" t="str">
        <f>VLOOKUP($A59,'Выгр Кат'!$A:$R,E$1,0)</f>
        <v>1</v>
      </c>
      <c r="F59" s="87" t="str">
        <f>VLOOKUP($A59,'Выгр Кат'!$A:$R,F$1,0)</f>
        <v>RJ60036</v>
      </c>
      <c r="G59" s="5" t="s">
        <v>129</v>
      </c>
      <c r="H59" s="14" t="s">
        <v>51</v>
      </c>
      <c r="I59" s="77">
        <f>VLOOKUP(G59,'отчет Eplex'!$B:$E,4,0)</f>
        <v>2763</v>
      </c>
      <c r="J59" s="14" t="s">
        <v>3</v>
      </c>
      <c r="K59" s="14">
        <v>1</v>
      </c>
      <c r="L59" s="98">
        <f t="shared" si="1"/>
        <v>3039</v>
      </c>
      <c r="M59" s="14">
        <f>VLOOKUP(L59,Наценка!$A$1:$B$8,2,1)</f>
        <v>1.47</v>
      </c>
      <c r="N59" s="99">
        <f t="shared" si="2"/>
        <v>4467.33</v>
      </c>
      <c r="O59" s="98">
        <f t="shared" si="10"/>
        <v>4490</v>
      </c>
      <c r="P59" s="87">
        <f>VLOOKUP($A59,'Выгр Кат'!$A:$R,P$1,0)</f>
        <v>3039.3</v>
      </c>
      <c r="Q59" s="87">
        <f>VLOOKUP($A59,'Выгр Кат'!$A:$R,Q$1,0)</f>
        <v>4490</v>
      </c>
      <c r="R59" s="75">
        <f t="shared" si="3"/>
        <v>0.3000000000001819</v>
      </c>
      <c r="S59" s="75">
        <f t="shared" si="4"/>
        <v>0</v>
      </c>
      <c r="T59" s="96">
        <f t="shared" si="5"/>
        <v>9.8716683119507041E-5</v>
      </c>
      <c r="U59" s="76">
        <f t="shared" si="6"/>
        <v>4175.7</v>
      </c>
      <c r="V59" s="94" t="str">
        <f>IFERROR((VLOOKUP($A59,'Из ГУГЛа'!$B:$G,V$1,0)+X59)*W59,VLOOKUP($A59,'Из ГУГЛа'!$B:$G,V$1,0))</f>
        <v/>
      </c>
      <c r="W59" s="70">
        <v>1</v>
      </c>
      <c r="X59" s="70"/>
      <c r="Y59" s="89">
        <f t="shared" si="7"/>
        <v>0.37403751233958538</v>
      </c>
      <c r="Z59" s="89" t="str">
        <f t="shared" si="8"/>
        <v/>
      </c>
      <c r="AA59" s="89" t="str">
        <f t="shared" si="9"/>
        <v/>
      </c>
      <c r="AB59" s="90"/>
    </row>
    <row r="60" spans="1:28" ht="30">
      <c r="A60" s="77">
        <v>213028</v>
      </c>
      <c r="B60" s="87">
        <f>VLOOKUP($A60,'Выгр Кат'!$A:$R,B$1,0)</f>
        <v>36872</v>
      </c>
      <c r="C60" s="88" t="str">
        <f>VLOOKUP($A60,'Выгр Кат'!$A:$R,C$1,0)</f>
        <v>Рычаг передней подвески ASP MENSAN правый в сборе для Лада Веста</v>
      </c>
      <c r="D60" s="87" t="str">
        <f>VLOOKUP($A60,'Выгр Кат'!$A:$R,D$1,0)</f>
        <v>Y</v>
      </c>
      <c r="E60" s="87" t="str">
        <f>VLOOKUP($A60,'Выгр Кат'!$A:$R,E$1,0)</f>
        <v>1</v>
      </c>
      <c r="F60" s="87" t="str">
        <f>VLOOKUP($A60,'Выгр Кат'!$A:$R,F$1,0)</f>
        <v>RJ60037</v>
      </c>
      <c r="G60" s="5" t="s">
        <v>131</v>
      </c>
      <c r="H60" s="14" t="s">
        <v>51</v>
      </c>
      <c r="I60" s="77">
        <f>VLOOKUP(G60,'отчет Eplex'!$B:$E,4,0)</f>
        <v>2750</v>
      </c>
      <c r="J60" s="14" t="s">
        <v>3</v>
      </c>
      <c r="K60" s="14">
        <v>1</v>
      </c>
      <c r="L60" s="98">
        <f t="shared" si="1"/>
        <v>3025</v>
      </c>
      <c r="M60" s="14">
        <f>VLOOKUP(L60,Наценка!$A$1:$B$8,2,1)</f>
        <v>1.47</v>
      </c>
      <c r="N60" s="99">
        <f t="shared" si="2"/>
        <v>4446.75</v>
      </c>
      <c r="O60" s="98">
        <f t="shared" si="10"/>
        <v>4490</v>
      </c>
      <c r="P60" s="87">
        <f>VLOOKUP($A60,'Выгр Кат'!$A:$R,P$1,0)</f>
        <v>3025</v>
      </c>
      <c r="Q60" s="87">
        <f>VLOOKUP($A60,'Выгр Кат'!$A:$R,Q$1,0)</f>
        <v>4490</v>
      </c>
      <c r="R60" s="75">
        <f t="shared" si="3"/>
        <v>0</v>
      </c>
      <c r="S60" s="75">
        <f t="shared" si="4"/>
        <v>0</v>
      </c>
      <c r="T60" s="96">
        <f t="shared" si="5"/>
        <v>0</v>
      </c>
      <c r="U60" s="76">
        <f t="shared" si="6"/>
        <v>4175.7</v>
      </c>
      <c r="V60" s="94" t="str">
        <f>IFERROR((VLOOKUP($A60,'Из ГУГЛа'!$B:$G,V$1,0)+X60)*W60,VLOOKUP($A60,'Из ГУГЛа'!$B:$G,V$1,0))</f>
        <v/>
      </c>
      <c r="W60" s="70">
        <v>1</v>
      </c>
      <c r="X60" s="70"/>
      <c r="Y60" s="89">
        <f t="shared" si="7"/>
        <v>0.38039669421487599</v>
      </c>
      <c r="Z60" s="89" t="str">
        <f t="shared" si="8"/>
        <v/>
      </c>
      <c r="AA60" s="89" t="str">
        <f t="shared" si="9"/>
        <v/>
      </c>
      <c r="AB60" s="90"/>
    </row>
    <row r="61" spans="1:28" ht="30">
      <c r="A61" s="77">
        <v>225466</v>
      </c>
      <c r="B61" s="87">
        <f>VLOOKUP($A61,'Выгр Кат'!$A:$R,B$1,0)</f>
        <v>36875</v>
      </c>
      <c r="C61" s="88" t="str">
        <f>VLOOKUP($A61,'Выгр Кат'!$A:$R,C$1,0)</f>
        <v>Шаровая опора ASP MENSAN левая для Лада Веста</v>
      </c>
      <c r="D61" s="87" t="str">
        <f>VLOOKUP($A61,'Выгр Кат'!$A:$R,D$1,0)</f>
        <v>Y</v>
      </c>
      <c r="E61" s="87" t="str">
        <f>VLOOKUP($A61,'Выгр Кат'!$A:$R,E$1,0)</f>
        <v>1</v>
      </c>
      <c r="F61" s="87" t="str">
        <f>VLOOKUP($A61,'Выгр Кат'!$A:$R,F$1,0)</f>
        <v>RJ00027</v>
      </c>
      <c r="G61" s="5" t="s">
        <v>157</v>
      </c>
      <c r="H61" s="14" t="s">
        <v>51</v>
      </c>
      <c r="I61" s="77">
        <f>VLOOKUP(G61,'отчет Eplex'!$B:$E,4,0)</f>
        <v>632.98</v>
      </c>
      <c r="J61" s="65" t="s">
        <v>3</v>
      </c>
      <c r="K61" s="14">
        <v>1</v>
      </c>
      <c r="L61" s="98">
        <f t="shared" si="1"/>
        <v>696</v>
      </c>
      <c r="M61" s="14">
        <f>VLOOKUP(L61,Наценка!$A$1:$B$8,2,1)</f>
        <v>1.47</v>
      </c>
      <c r="N61" s="99">
        <f t="shared" si="2"/>
        <v>1023.12</v>
      </c>
      <c r="O61" s="98">
        <f t="shared" si="10"/>
        <v>1090</v>
      </c>
      <c r="P61" s="87">
        <f>VLOOKUP($A61,'Выгр Кат'!$A:$R,P$1,0)</f>
        <v>696.28</v>
      </c>
      <c r="Q61" s="87">
        <f>VLOOKUP($A61,'Выгр Кат'!$A:$R,Q$1,0)</f>
        <v>1090</v>
      </c>
      <c r="R61" s="75">
        <f t="shared" si="3"/>
        <v>0.27999999999997272</v>
      </c>
      <c r="S61" s="75">
        <f t="shared" si="4"/>
        <v>0</v>
      </c>
      <c r="T61" s="96">
        <f t="shared" si="5"/>
        <v>4.0229885057467346E-4</v>
      </c>
      <c r="U61" s="76">
        <f t="shared" si="6"/>
        <v>1013.6999999999999</v>
      </c>
      <c r="V61" s="94" t="str">
        <f>IFERROR((VLOOKUP($A61,'Из ГУГЛа'!$B:$G,V$1,0)+X61)*W61,VLOOKUP($A61,'Из ГУГЛа'!$B:$G,V$1,0))</f>
        <v/>
      </c>
      <c r="W61" s="70">
        <v>1</v>
      </c>
      <c r="X61" s="70"/>
      <c r="Y61" s="89">
        <f t="shared" si="7"/>
        <v>0.45646551724137918</v>
      </c>
      <c r="Z61" s="89" t="str">
        <f t="shared" si="8"/>
        <v/>
      </c>
      <c r="AA61" s="89" t="str">
        <f t="shared" si="9"/>
        <v/>
      </c>
      <c r="AB61" s="90"/>
    </row>
    <row r="62" spans="1:28" ht="30">
      <c r="A62" s="77">
        <v>225467</v>
      </c>
      <c r="B62" s="87">
        <f>VLOOKUP($A62,'Выгр Кат'!$A:$R,B$1,0)</f>
        <v>36876</v>
      </c>
      <c r="C62" s="88" t="str">
        <f>VLOOKUP($A62,'Выгр Кат'!$A:$R,C$1,0)</f>
        <v>Шаровая опора ASP MENSAN правая для Лада Веста</v>
      </c>
      <c r="D62" s="87" t="str">
        <f>VLOOKUP($A62,'Выгр Кат'!$A:$R,D$1,0)</f>
        <v>Y</v>
      </c>
      <c r="E62" s="87" t="str">
        <f>VLOOKUP($A62,'Выгр Кат'!$A:$R,E$1,0)</f>
        <v>1</v>
      </c>
      <c r="F62" s="87" t="str">
        <f>VLOOKUP($A62,'Выгр Кат'!$A:$R,F$1,0)</f>
        <v>RJ00028</v>
      </c>
      <c r="G62" s="5" t="s">
        <v>159</v>
      </c>
      <c r="H62" s="14" t="s">
        <v>51</v>
      </c>
      <c r="I62" s="77">
        <v>608</v>
      </c>
      <c r="J62" s="14" t="s">
        <v>3</v>
      </c>
      <c r="K62" s="14">
        <v>1</v>
      </c>
      <c r="L62" s="98">
        <f t="shared" si="1"/>
        <v>669</v>
      </c>
      <c r="M62" s="14">
        <f>VLOOKUP(L62,Наценка!$A$1:$B$8,2,1)</f>
        <v>1.47</v>
      </c>
      <c r="N62" s="99">
        <f t="shared" si="2"/>
        <v>983.43</v>
      </c>
      <c r="O62" s="98">
        <f t="shared" si="10"/>
        <v>989</v>
      </c>
      <c r="P62" s="87">
        <f>VLOOKUP($A62,'Выгр Кат'!$A:$R,P$1,0)</f>
        <v>668.8</v>
      </c>
      <c r="Q62" s="87">
        <f>VLOOKUP($A62,'Выгр Кат'!$A:$R,Q$1,0)</f>
        <v>989</v>
      </c>
      <c r="R62" s="75">
        <f t="shared" si="3"/>
        <v>-0.20000000000004547</v>
      </c>
      <c r="S62" s="75">
        <f t="shared" si="4"/>
        <v>0</v>
      </c>
      <c r="T62" s="96">
        <f t="shared" si="5"/>
        <v>2.9895366218242973E-4</v>
      </c>
      <c r="U62" s="76">
        <f t="shared" si="6"/>
        <v>919.77</v>
      </c>
      <c r="V62" s="94" t="str">
        <f>IFERROR((VLOOKUP($A62,'Из ГУГЛа'!$B:$G,V$1,0)+X62)*W62,VLOOKUP($A62,'Из ГУГЛа'!$B:$G,V$1,0))</f>
        <v/>
      </c>
      <c r="W62" s="70">
        <v>1</v>
      </c>
      <c r="X62" s="70"/>
      <c r="Y62" s="89">
        <f t="shared" si="7"/>
        <v>0.37484304932735424</v>
      </c>
      <c r="Z62" s="89" t="str">
        <f t="shared" si="8"/>
        <v/>
      </c>
      <c r="AA62" s="89" t="str">
        <f t="shared" si="9"/>
        <v/>
      </c>
      <c r="AB62" s="90"/>
    </row>
    <row r="63" spans="1:28" ht="30">
      <c r="A63" s="77">
        <v>139296</v>
      </c>
      <c r="B63" s="87">
        <f>VLOOKUP($A63,'Выгр Кат'!$A:$R,B$1,0)</f>
        <v>36877</v>
      </c>
      <c r="C63" s="88" t="str">
        <f>VLOOKUP($A63,'Выгр Кат'!$A:$R,C$1,0)</f>
        <v>Водяной насос помпа ASP MENSAN для ВАЗ 2108-21099, 2113-2115</v>
      </c>
      <c r="D63" s="87" t="str">
        <f>VLOOKUP($A63,'Выгр Кат'!$A:$R,D$1,0)</f>
        <v>Y</v>
      </c>
      <c r="E63" s="87" t="str">
        <f>VLOOKUP($A63,'Выгр Кат'!$A:$R,E$1,0)</f>
        <v>0</v>
      </c>
      <c r="F63" s="87" t="str">
        <f>VLOOKUP($A63,'Выгр Кат'!$A:$R,F$1,0)</f>
        <v>PW0006</v>
      </c>
      <c r="G63" s="5" t="s">
        <v>165</v>
      </c>
      <c r="H63" s="14" t="s">
        <v>51</v>
      </c>
      <c r="I63" s="77">
        <f>VLOOKUP(G63,'отчет Eplex'!$B:$E,4,0)</f>
        <v>1200</v>
      </c>
      <c r="J63" s="14" t="s">
        <v>3</v>
      </c>
      <c r="K63" s="14">
        <v>1</v>
      </c>
      <c r="L63" s="98">
        <f t="shared" si="1"/>
        <v>1320</v>
      </c>
      <c r="M63" s="14">
        <f>VLOOKUP(L63,Наценка!$A$1:$B$8,2,1)</f>
        <v>1.47</v>
      </c>
      <c r="N63" s="99">
        <f t="shared" si="2"/>
        <v>1940.3999999999999</v>
      </c>
      <c r="O63" s="98">
        <f t="shared" si="10"/>
        <v>1990</v>
      </c>
      <c r="P63" s="87">
        <f>VLOOKUP($A63,'Выгр Кат'!$A:$R,P$1,0)</f>
        <v>1320</v>
      </c>
      <c r="Q63" s="87">
        <f>VLOOKUP($A63,'Выгр Кат'!$A:$R,Q$1,0)</f>
        <v>1990</v>
      </c>
      <c r="R63" s="75">
        <f t="shared" si="3"/>
        <v>0</v>
      </c>
      <c r="S63" s="75">
        <f t="shared" si="4"/>
        <v>0</v>
      </c>
      <c r="T63" s="96">
        <f t="shared" si="5"/>
        <v>0</v>
      </c>
      <c r="U63" s="76">
        <f t="shared" si="6"/>
        <v>1850.6999999999998</v>
      </c>
      <c r="V63" s="94" t="str">
        <f>IFERROR((VLOOKUP($A63,'Из ГУГЛа'!$B:$G,V$1,0)+X63)*W63,VLOOKUP($A63,'Из ГУГЛа'!$B:$G,V$1,0))</f>
        <v/>
      </c>
      <c r="W63" s="70">
        <v>1</v>
      </c>
      <c r="X63" s="70"/>
      <c r="Y63" s="89">
        <f t="shared" si="7"/>
        <v>0.40204545454545437</v>
      </c>
      <c r="Z63" s="89" t="str">
        <f t="shared" si="8"/>
        <v/>
      </c>
      <c r="AA63" s="89" t="str">
        <f t="shared" si="9"/>
        <v/>
      </c>
      <c r="AB63" s="90"/>
    </row>
    <row r="64" spans="1:28" ht="45">
      <c r="A64" s="77">
        <v>150980</v>
      </c>
      <c r="B64" s="87">
        <f>VLOOKUP($A64,'Выгр Кат'!$A:$R,B$1,0)</f>
        <v>36881</v>
      </c>
      <c r="C64" s="88" t="str">
        <f>VLOOKUP($A64,'Выгр Кат'!$A:$R,C$1,0)</f>
        <v>Задний тормозной барабан ASP MENSAN без подшипника и кольца АБС для Лада Ларгус</v>
      </c>
      <c r="D64" s="87" t="str">
        <f>VLOOKUP($A64,'Выгр Кат'!$A:$R,D$1,0)</f>
        <v>Y</v>
      </c>
      <c r="E64" s="87" t="str">
        <f>VLOOKUP($A64,'Выгр Кат'!$A:$R,E$1,0)</f>
        <v>1</v>
      </c>
      <c r="F64" s="87" t="str">
        <f>VLOOKUP($A64,'Выгр Кат'!$A:$R,F$1,0)</f>
        <v>290107</v>
      </c>
      <c r="G64" s="13">
        <v>290107</v>
      </c>
      <c r="H64" s="14" t="s">
        <v>51</v>
      </c>
      <c r="I64" s="77">
        <f>VLOOKUP(G64,'отчет Eplex'!$B:$E,4,0)</f>
        <v>2489.41</v>
      </c>
      <c r="J64" s="14" t="s">
        <v>3</v>
      </c>
      <c r="K64" s="14">
        <v>1</v>
      </c>
      <c r="L64" s="98">
        <f t="shared" si="1"/>
        <v>2738</v>
      </c>
      <c r="M64" s="14">
        <f>VLOOKUP(L64,Наценка!$A$1:$B$8,2,1)</f>
        <v>1.47</v>
      </c>
      <c r="N64" s="99">
        <f t="shared" si="2"/>
        <v>4024.86</v>
      </c>
      <c r="O64" s="98">
        <f t="shared" si="10"/>
        <v>4090</v>
      </c>
      <c r="P64" s="87">
        <f>VLOOKUP($A64,'Выгр Кат'!$A:$R,P$1,0)</f>
        <v>2738.35</v>
      </c>
      <c r="Q64" s="87">
        <f>VLOOKUP($A64,'Выгр Кат'!$A:$R,Q$1,0)</f>
        <v>4090</v>
      </c>
      <c r="R64" s="75">
        <f t="shared" si="3"/>
        <v>0.34999999999990905</v>
      </c>
      <c r="S64" s="75">
        <f t="shared" si="4"/>
        <v>0</v>
      </c>
      <c r="T64" s="96">
        <f t="shared" si="5"/>
        <v>1.2783053323590541E-4</v>
      </c>
      <c r="U64" s="76">
        <f t="shared" si="6"/>
        <v>3803.7</v>
      </c>
      <c r="V64" s="94" t="str">
        <f>IFERROR((VLOOKUP($A64,'Из ГУГЛа'!$B:$G,V$1,0)+X64)*W64,VLOOKUP($A64,'Из ГУГЛа'!$B:$G,V$1,0))</f>
        <v/>
      </c>
      <c r="W64" s="70">
        <v>1</v>
      </c>
      <c r="X64" s="70"/>
      <c r="Y64" s="89">
        <f t="shared" si="7"/>
        <v>0.38922571219868507</v>
      </c>
      <c r="Z64" s="89" t="str">
        <f t="shared" si="8"/>
        <v/>
      </c>
      <c r="AA64" s="89" t="str">
        <f t="shared" si="9"/>
        <v/>
      </c>
      <c r="AB64" s="90"/>
    </row>
    <row r="65" spans="1:29" ht="30">
      <c r="A65" s="77">
        <v>219574</v>
      </c>
      <c r="B65" s="87">
        <f>VLOOKUP($A65,'Выгр Кат'!$A:$R,B$1,0)</f>
        <v>36883</v>
      </c>
      <c r="C65" s="88" t="str">
        <f>VLOOKUP($A65,'Выгр Кат'!$A:$R,C$1,0)</f>
        <v>Тормозные колодки ASP MENSAN задние для Лада Веста</v>
      </c>
      <c r="D65" s="87" t="str">
        <f>VLOOKUP($A65,'Выгр Кат'!$A:$R,D$1,0)</f>
        <v>Y</v>
      </c>
      <c r="E65" s="87" t="str">
        <f>VLOOKUP($A65,'Выгр Кат'!$A:$R,E$1,0)</f>
        <v>1</v>
      </c>
      <c r="F65" s="87" t="str">
        <f>VLOOKUP($A65,'Выгр Кат'!$A:$R,F$1,0)</f>
        <v>K270122</v>
      </c>
      <c r="G65" s="5" t="s">
        <v>230</v>
      </c>
      <c r="H65" s="14" t="s">
        <v>51</v>
      </c>
      <c r="I65" s="77">
        <f>VLOOKUP(G65,'отчет Eplex'!$B:$E,4,0)</f>
        <v>899</v>
      </c>
      <c r="J65" s="14" t="s">
        <v>3</v>
      </c>
      <c r="K65" s="14">
        <v>1</v>
      </c>
      <c r="L65" s="98">
        <f t="shared" si="1"/>
        <v>989</v>
      </c>
      <c r="M65" s="14">
        <f>VLOOKUP(L65,Наценка!$A$1:$B$8,2,1)</f>
        <v>1.47</v>
      </c>
      <c r="N65" s="99">
        <f t="shared" si="2"/>
        <v>1453.83</v>
      </c>
      <c r="O65" s="98">
        <f t="shared" si="10"/>
        <v>1490</v>
      </c>
      <c r="P65" s="87">
        <f>VLOOKUP($A65,'Выгр Кат'!$A:$R,P$1,0)</f>
        <v>988.9</v>
      </c>
      <c r="Q65" s="87">
        <f>VLOOKUP($A65,'Выгр Кат'!$A:$R,Q$1,0)</f>
        <v>1490</v>
      </c>
      <c r="R65" s="75">
        <f t="shared" si="3"/>
        <v>-0.10000000000002274</v>
      </c>
      <c r="S65" s="75">
        <f t="shared" si="4"/>
        <v>0</v>
      </c>
      <c r="T65" s="96">
        <f t="shared" si="5"/>
        <v>1.0111223458040721E-4</v>
      </c>
      <c r="U65" s="76">
        <f t="shared" si="6"/>
        <v>1385.6999999999998</v>
      </c>
      <c r="V65" s="94" t="str">
        <f>IFERROR((VLOOKUP($A65,'Из ГУГЛа'!$B:$G,V$1,0)+X65)*W65,VLOOKUP($A65,'Из ГУГЛа'!$B:$G,V$1,0))</f>
        <v/>
      </c>
      <c r="W65" s="70">
        <v>1</v>
      </c>
      <c r="X65" s="70"/>
      <c r="Y65" s="89">
        <f t="shared" si="7"/>
        <v>0.40111223458038414</v>
      </c>
      <c r="Z65" s="89" t="str">
        <f t="shared" si="8"/>
        <v/>
      </c>
      <c r="AA65" s="89" t="str">
        <f t="shared" si="9"/>
        <v/>
      </c>
      <c r="AB65" s="90"/>
    </row>
    <row r="66" spans="1:29" ht="45">
      <c r="A66" s="77">
        <v>151007</v>
      </c>
      <c r="B66" s="87">
        <f>VLOOKUP($A66,'Выгр Кат'!$A:$R,B$1,0)</f>
        <v>41048</v>
      </c>
      <c r="C66" s="88" t="str">
        <f>VLOOKUP($A66,'Выгр Кат'!$A:$R,C$1,0)</f>
        <v>Задний тормозной цилиндр ASP MENSAN для Лада Ларгус, Renault Logan, Stepway с АБС</v>
      </c>
      <c r="D66" s="87" t="str">
        <f>VLOOKUP($A66,'Выгр Кат'!$A:$R,D$1,0)</f>
        <v>Y</v>
      </c>
      <c r="E66" s="87" t="str">
        <f>VLOOKUP($A66,'Выгр Кат'!$A:$R,E$1,0)</f>
        <v>1</v>
      </c>
      <c r="F66" s="87" t="str">
        <f>VLOOKUP($A66,'Выгр Кат'!$A:$R,F$1,0)</f>
        <v>L270108</v>
      </c>
      <c r="G66" s="39" t="s">
        <v>314</v>
      </c>
      <c r="H66" s="14" t="s">
        <v>51</v>
      </c>
      <c r="I66" s="77">
        <f>VLOOKUP(G66,'отчет Eplex'!$B:$E,4,0)</f>
        <v>444.23</v>
      </c>
      <c r="J66" s="14" t="s">
        <v>3</v>
      </c>
      <c r="K66" s="14">
        <v>1</v>
      </c>
      <c r="L66" s="98">
        <f t="shared" si="1"/>
        <v>489</v>
      </c>
      <c r="M66" s="14">
        <f>VLOOKUP(L66,Наценка!$A$1:$B$8,2,1)</f>
        <v>1.47</v>
      </c>
      <c r="N66" s="99">
        <f t="shared" si="2"/>
        <v>718.83</v>
      </c>
      <c r="O66" s="98">
        <f t="shared" ref="O66" si="11">IF(N66&lt;=1000,(ROUNDUP(N66,-1)-1),(ROUNDUP(N66,-2)-10))</f>
        <v>719</v>
      </c>
      <c r="P66" s="87">
        <f>VLOOKUP($A66,'Выгр Кат'!$A:$R,P$1,0)</f>
        <v>488.65</v>
      </c>
      <c r="Q66" s="87">
        <f>VLOOKUP($A66,'Выгр Кат'!$A:$R,Q$1,0)</f>
        <v>719</v>
      </c>
      <c r="R66" s="75">
        <f t="shared" si="3"/>
        <v>-0.35000000000002274</v>
      </c>
      <c r="S66" s="75">
        <f t="shared" si="4"/>
        <v>0</v>
      </c>
      <c r="T66" s="96">
        <f t="shared" si="5"/>
        <v>7.157464212679402E-4</v>
      </c>
      <c r="U66" s="76">
        <f t="shared" si="6"/>
        <v>668.67</v>
      </c>
      <c r="V66" s="94" t="str">
        <f>IFERROR((VLOOKUP($A66,'Из ГУГЛа'!$B:$G,V$1,0)+X66)*W66,VLOOKUP($A66,'Из ГУГЛа'!$B:$G,V$1,0))</f>
        <v/>
      </c>
      <c r="W66" s="70">
        <v>1</v>
      </c>
      <c r="X66" s="70"/>
      <c r="Y66" s="89">
        <f t="shared" si="7"/>
        <v>0.36742331288343544</v>
      </c>
      <c r="Z66" s="89" t="str">
        <f t="shared" si="8"/>
        <v/>
      </c>
      <c r="AA66" s="89" t="str">
        <f t="shared" si="9"/>
        <v/>
      </c>
      <c r="AB66" s="90"/>
    </row>
    <row r="67" spans="1:29" ht="30">
      <c r="A67" s="77">
        <v>181660</v>
      </c>
      <c r="B67" s="87">
        <f>VLOOKUP($A67,'Выгр Кат'!$A:$R,B$1,0)</f>
        <v>41064</v>
      </c>
      <c r="C67" s="88" t="str">
        <f>VLOOKUP($A67,'Выгр Кат'!$A:$R,C$1,0)</f>
        <v>Опора переднего амортизатора ASP MENSAN для Лада Ларгус, Renault Logan</v>
      </c>
      <c r="D67" s="87" t="str">
        <f>VLOOKUP($A67,'Выгр Кат'!$A:$R,D$1,0)</f>
        <v>Y</v>
      </c>
      <c r="E67" s="87" t="str">
        <f>VLOOKUP($A67,'Выгр Кат'!$A:$R,E$1,0)</f>
        <v>1</v>
      </c>
      <c r="F67" s="87" t="str">
        <f>VLOOKUP($A67,'Выгр Кат'!$A:$R,F$1,0)</f>
        <v>RJ50010</v>
      </c>
      <c r="G67" s="92" t="s">
        <v>93</v>
      </c>
      <c r="H67" s="14" t="s">
        <v>51</v>
      </c>
      <c r="I67" s="77">
        <f>VLOOKUP(G67,'отчет Eplex'!$B:$E,4,0)</f>
        <v>677.14</v>
      </c>
      <c r="J67" s="14" t="s">
        <v>3</v>
      </c>
      <c r="K67" s="14">
        <v>1</v>
      </c>
      <c r="L67" s="98">
        <f t="shared" si="1"/>
        <v>745</v>
      </c>
      <c r="M67" s="14">
        <f>VLOOKUP(L67,Наценка!$A$1:$B$8,2,1)</f>
        <v>1.47</v>
      </c>
      <c r="N67" s="99">
        <f t="shared" si="2"/>
        <v>1095.1500000000001</v>
      </c>
      <c r="O67" s="98">
        <f t="shared" ref="O67:O77" si="12">IF(N67&lt;=1000,(ROUNDUP(N67,-1)-1),(ROUNDUP(N67,-2)-10))</f>
        <v>1090</v>
      </c>
      <c r="P67" s="87">
        <f>VLOOKUP($A67,'Выгр Кат'!$A:$R,P$1,0)</f>
        <v>744.85</v>
      </c>
      <c r="Q67" s="87">
        <f>VLOOKUP($A67,'Выгр Кат'!$A:$R,Q$1,0)</f>
        <v>1090</v>
      </c>
      <c r="R67" s="75">
        <f t="shared" si="3"/>
        <v>-0.14999999999997726</v>
      </c>
      <c r="S67" s="75">
        <f t="shared" si="4"/>
        <v>0</v>
      </c>
      <c r="T67" s="96">
        <f t="shared" si="5"/>
        <v>2.0134228187916411E-4</v>
      </c>
      <c r="U67" s="76">
        <f t="shared" si="6"/>
        <v>1013.6999999999999</v>
      </c>
      <c r="V67" s="94" t="str">
        <f>IFERROR((VLOOKUP($A67,'Из ГУГЛа'!$B:$G,V$1,0)+X67)*W67,VLOOKUP($A67,'Из ГУГЛа'!$B:$G,V$1,0))</f>
        <v/>
      </c>
      <c r="W67" s="70">
        <v>1</v>
      </c>
      <c r="X67" s="70"/>
      <c r="Y67" s="89">
        <f t="shared" si="7"/>
        <v>0.36067114093959729</v>
      </c>
      <c r="Z67" s="89" t="str">
        <f t="shared" si="8"/>
        <v/>
      </c>
      <c r="AA67" s="89" t="str">
        <f t="shared" si="9"/>
        <v/>
      </c>
      <c r="AB67" s="90"/>
    </row>
    <row r="68" spans="1:29" ht="45">
      <c r="A68" s="77">
        <v>181659</v>
      </c>
      <c r="B68" s="87">
        <f>VLOOKUP($A68,'Выгр Кат'!$A:$R,B$1,0)</f>
        <v>41066</v>
      </c>
      <c r="C68" s="88" t="str">
        <f>VLOOKUP($A68,'Выгр Кат'!$A:$R,C$1,0)</f>
        <v>Опора переднего амортизатора ASP MENSAN без подшипника для Лада Ларгус, Renault Logan, Stepway</v>
      </c>
      <c r="D68" s="87" t="str">
        <f>VLOOKUP($A68,'Выгр Кат'!$A:$R,D$1,0)</f>
        <v>Y</v>
      </c>
      <c r="E68" s="87" t="str">
        <f>VLOOKUP($A68,'Выгр Кат'!$A:$R,E$1,0)</f>
        <v>1</v>
      </c>
      <c r="F68" s="87" t="str">
        <f>VLOOKUP($A68,'Выгр Кат'!$A:$R,F$1,0)</f>
        <v>RJ50004</v>
      </c>
      <c r="G68" s="92" t="s">
        <v>95</v>
      </c>
      <c r="H68" s="14" t="s">
        <v>51</v>
      </c>
      <c r="I68" s="77">
        <f>VLOOKUP(G68,'отчет Eplex'!$B:$E,4,0)</f>
        <v>435.89</v>
      </c>
      <c r="J68" s="14" t="s">
        <v>3</v>
      </c>
      <c r="K68" s="14">
        <v>1</v>
      </c>
      <c r="L68" s="98">
        <f t="shared" ref="L68:L86" si="13">ROUND(I68*K68*1.1,)</f>
        <v>479</v>
      </c>
      <c r="M68" s="14">
        <f>VLOOKUP(L68,Наценка!$A$1:$B$8,2,1)</f>
        <v>1.47</v>
      </c>
      <c r="N68" s="99">
        <f t="shared" ref="N68:N87" si="14">L68*M68</f>
        <v>704.13</v>
      </c>
      <c r="O68" s="98">
        <f t="shared" si="12"/>
        <v>709</v>
      </c>
      <c r="P68" s="87">
        <f>VLOOKUP($A68,'Выгр Кат'!$A:$R,P$1,0)</f>
        <v>479.48</v>
      </c>
      <c r="Q68" s="87">
        <f>VLOOKUP($A68,'Выгр Кат'!$A:$R,Q$1,0)</f>
        <v>709</v>
      </c>
      <c r="R68" s="75">
        <f t="shared" ref="R68:R87" si="15">P68-L68</f>
        <v>0.48000000000001819</v>
      </c>
      <c r="S68" s="75">
        <f t="shared" ref="S68:S87" si="16">Q68-O68</f>
        <v>0</v>
      </c>
      <c r="T68" s="96">
        <f t="shared" ref="T68:T87" si="17">ABS(R68/L68)</f>
        <v>1.0020876826722718E-3</v>
      </c>
      <c r="U68" s="76">
        <f t="shared" ref="U68:U87" si="18">IFERROR(O68*(1-$U$2),"")</f>
        <v>659.37</v>
      </c>
      <c r="V68" s="94" t="str">
        <f>IFERROR((VLOOKUP($A68,'Из ГУГЛа'!$B:$G,V$1,0)+X68)*W68,VLOOKUP($A68,'Из ГУГЛа'!$B:$G,V$1,0))</f>
        <v/>
      </c>
      <c r="W68" s="70">
        <v>1</v>
      </c>
      <c r="X68" s="70"/>
      <c r="Y68" s="89">
        <f t="shared" ref="Y68:Y87" si="19">IFERROR(U68/L68-1,"")</f>
        <v>0.37655532359081412</v>
      </c>
      <c r="Z68" s="89" t="str">
        <f t="shared" ref="Z68:Z87" si="20">IFERROR((AB68-U68)/AB68,"")</f>
        <v/>
      </c>
      <c r="AA68" s="89" t="str">
        <f t="shared" ref="AA68:AA87" si="21">IFERROR(IF(AB68="","",AB68/L68-1),"")</f>
        <v/>
      </c>
      <c r="AB68" s="90"/>
    </row>
    <row r="69" spans="1:29" ht="45">
      <c r="A69" s="77">
        <v>222887</v>
      </c>
      <c r="B69" s="87">
        <f>VLOOKUP($A69,'Выгр Кат'!$A:$R,B$1,0)</f>
        <v>41081</v>
      </c>
      <c r="C69" s="88" t="str">
        <f>VLOOKUP($A69,'Выгр Кат'!$A:$R,C$1,0)</f>
        <v>Тяга рулевая ASP MENSAN без наконечника для Лада Ларгус, Renault Logan, Sandero, Dacia Logan, Sandero</v>
      </c>
      <c r="D69" s="87" t="str">
        <f>VLOOKUP($A69,'Выгр Кат'!$A:$R,D$1,0)</f>
        <v>Y</v>
      </c>
      <c r="E69" s="87" t="str">
        <f>VLOOKUP($A69,'Выгр Кат'!$A:$R,E$1,0)</f>
        <v>1</v>
      </c>
      <c r="F69" s="87" t="str">
        <f>VLOOKUP($A69,'Выгр Кат'!$A:$R,F$1,0)</f>
        <v>RJ20003</v>
      </c>
      <c r="G69" s="92" t="s">
        <v>137</v>
      </c>
      <c r="H69" s="14" t="s">
        <v>51</v>
      </c>
      <c r="I69" s="77">
        <v>550</v>
      </c>
      <c r="J69" s="65" t="s">
        <v>3</v>
      </c>
      <c r="K69" s="14">
        <v>1</v>
      </c>
      <c r="L69" s="98">
        <f t="shared" si="13"/>
        <v>605</v>
      </c>
      <c r="M69" s="14">
        <f>VLOOKUP(L69,Наценка!$A$1:$B$8,2,1)</f>
        <v>1.47</v>
      </c>
      <c r="N69" s="99">
        <f t="shared" si="14"/>
        <v>889.35</v>
      </c>
      <c r="O69" s="98">
        <f t="shared" si="12"/>
        <v>889</v>
      </c>
      <c r="P69" s="87">
        <f>VLOOKUP($A69,'Выгр Кат'!$A:$R,P$1,0)</f>
        <v>605</v>
      </c>
      <c r="Q69" s="87">
        <f>VLOOKUP($A69,'Выгр Кат'!$A:$R,Q$1,0)</f>
        <v>889</v>
      </c>
      <c r="R69" s="75">
        <f t="shared" si="15"/>
        <v>0</v>
      </c>
      <c r="S69" s="75">
        <f t="shared" si="16"/>
        <v>0</v>
      </c>
      <c r="T69" s="96">
        <f t="shared" si="17"/>
        <v>0</v>
      </c>
      <c r="U69" s="76">
        <f t="shared" si="18"/>
        <v>826.77</v>
      </c>
      <c r="V69" s="94" t="str">
        <f>IFERROR((VLOOKUP($A69,'Из ГУГЛа'!$B:$G,V$1,0)+X69)*W69,VLOOKUP($A69,'Из ГУГЛа'!$B:$G,V$1,0))</f>
        <v/>
      </c>
      <c r="W69" s="70">
        <v>1</v>
      </c>
      <c r="X69" s="70"/>
      <c r="Y69" s="89">
        <f t="shared" si="19"/>
        <v>0.36656198347107427</v>
      </c>
      <c r="Z69" s="89" t="str">
        <f t="shared" si="20"/>
        <v/>
      </c>
      <c r="AA69" s="89" t="str">
        <f t="shared" si="21"/>
        <v/>
      </c>
      <c r="AB69" s="90"/>
    </row>
    <row r="70" spans="1:29" ht="45">
      <c r="A70" s="77">
        <v>222886</v>
      </c>
      <c r="B70" s="87">
        <f>VLOOKUP($A70,'Выгр Кат'!$A:$R,B$1,0)</f>
        <v>41088</v>
      </c>
      <c r="C70" s="88" t="str">
        <f>VLOOKUP($A70,'Выгр Кат'!$A:$R,C$1,0)</f>
        <v>Тяга рулевая ASP MENSAN без наконечника для Лада XRAY, Renault Logan, Sandero</v>
      </c>
      <c r="D70" s="87" t="str">
        <f>VLOOKUP($A70,'Выгр Кат'!$A:$R,D$1,0)</f>
        <v>Y</v>
      </c>
      <c r="E70" s="87" t="str">
        <f>VLOOKUP($A70,'Выгр Кат'!$A:$R,E$1,0)</f>
        <v>1</v>
      </c>
      <c r="F70" s="87" t="str">
        <f>VLOOKUP($A70,'Выгр Кат'!$A:$R,F$1,0)</f>
        <v>RJ20004</v>
      </c>
      <c r="G70" s="92" t="s">
        <v>139</v>
      </c>
      <c r="H70" s="14" t="s">
        <v>51</v>
      </c>
      <c r="I70" s="77">
        <f>VLOOKUP(G70,'отчет Eplex'!$B:$E,4,0)</f>
        <v>505.76</v>
      </c>
      <c r="J70" s="14" t="s">
        <v>3</v>
      </c>
      <c r="K70" s="14">
        <v>1</v>
      </c>
      <c r="L70" s="98">
        <f t="shared" si="13"/>
        <v>556</v>
      </c>
      <c r="M70" s="14">
        <f>VLOOKUP(L70,Наценка!$A$1:$B$8,2,1)</f>
        <v>1.47</v>
      </c>
      <c r="N70" s="99">
        <f t="shared" si="14"/>
        <v>817.31999999999994</v>
      </c>
      <c r="O70" s="98">
        <f t="shared" si="12"/>
        <v>819</v>
      </c>
      <c r="P70" s="87">
        <f>VLOOKUP($A70,'Выгр Кат'!$A:$R,P$1,0)</f>
        <v>556.34</v>
      </c>
      <c r="Q70" s="87">
        <f>VLOOKUP($A70,'Выгр Кат'!$A:$R,Q$1,0)</f>
        <v>819</v>
      </c>
      <c r="R70" s="75">
        <f t="shared" si="15"/>
        <v>0.34000000000003183</v>
      </c>
      <c r="S70" s="75">
        <f t="shared" si="16"/>
        <v>0</v>
      </c>
      <c r="T70" s="96">
        <f t="shared" si="17"/>
        <v>6.1151079136696372E-4</v>
      </c>
      <c r="U70" s="76">
        <f t="shared" si="18"/>
        <v>761.67</v>
      </c>
      <c r="V70" s="94" t="str">
        <f>IFERROR((VLOOKUP($A70,'Из ГУГЛа'!$B:$G,V$1,0)+X70)*W70,VLOOKUP($A70,'Из ГУГЛа'!$B:$G,V$1,0))</f>
        <v/>
      </c>
      <c r="W70" s="70">
        <v>1</v>
      </c>
      <c r="X70" s="70"/>
      <c r="Y70" s="89">
        <f t="shared" si="19"/>
        <v>0.36991007194244596</v>
      </c>
      <c r="Z70" s="89" t="str">
        <f t="shared" si="20"/>
        <v/>
      </c>
      <c r="AA70" s="89" t="str">
        <f t="shared" si="21"/>
        <v/>
      </c>
      <c r="AB70" s="90"/>
    </row>
    <row r="71" spans="1:29" ht="45">
      <c r="A71" s="77">
        <v>139295</v>
      </c>
      <c r="B71" s="87">
        <f>VLOOKUP($A71,'Выгр Кат'!$A:$R,B$1,0)</f>
        <v>41089</v>
      </c>
      <c r="C71" s="88" t="str">
        <f>VLOOKUP($A71,'Выгр Кат'!$A:$R,C$1,0)</f>
        <v>Водяной насос помпа ASP MENSAN для ВАЗ 2101-2107, Лада Нива 4х4 8 клапанный двигатель</v>
      </c>
      <c r="D71" s="87" t="str">
        <f>VLOOKUP($A71,'Выгр Кат'!$A:$R,D$1,0)</f>
        <v>Y</v>
      </c>
      <c r="E71" s="87" t="str">
        <f>VLOOKUP($A71,'Выгр Кат'!$A:$R,E$1,0)</f>
        <v>1</v>
      </c>
      <c r="F71" s="87" t="str">
        <f>VLOOKUP($A71,'Выгр Кат'!$A:$R,F$1,0)</f>
        <v>PW0007</v>
      </c>
      <c r="G71" s="92" t="s">
        <v>339</v>
      </c>
      <c r="H71" s="14" t="s">
        <v>51</v>
      </c>
      <c r="I71" s="77">
        <f>VLOOKUP(G71,'отчет Eplex'!$B:$E,4,0)</f>
        <v>1136.6500000000001</v>
      </c>
      <c r="J71" s="14" t="s">
        <v>3</v>
      </c>
      <c r="K71" s="14">
        <v>1</v>
      </c>
      <c r="L71" s="98">
        <f t="shared" si="13"/>
        <v>1250</v>
      </c>
      <c r="M71" s="14">
        <f>VLOOKUP(L71,Наценка!$A$1:$B$8,2,1)</f>
        <v>1.47</v>
      </c>
      <c r="N71" s="99">
        <f t="shared" si="14"/>
        <v>1837.5</v>
      </c>
      <c r="O71" s="98">
        <f t="shared" si="12"/>
        <v>1890</v>
      </c>
      <c r="P71" s="87">
        <f>VLOOKUP($A71,'Выгр Кат'!$A:$R,P$1,0)</f>
        <v>1250.32</v>
      </c>
      <c r="Q71" s="87">
        <f>VLOOKUP($A71,'Выгр Кат'!$A:$R,Q$1,0)</f>
        <v>1890</v>
      </c>
      <c r="R71" s="75">
        <f t="shared" si="15"/>
        <v>0.31999999999993634</v>
      </c>
      <c r="S71" s="75">
        <f t="shared" si="16"/>
        <v>0</v>
      </c>
      <c r="T71" s="96">
        <f t="shared" si="17"/>
        <v>2.5599999999994909E-4</v>
      </c>
      <c r="U71" s="76">
        <f t="shared" si="18"/>
        <v>1757.6999999999998</v>
      </c>
      <c r="V71" s="94" t="str">
        <f>IFERROR((VLOOKUP($A71,'Из ГУГЛа'!$B:$G,V$1,0)+X71)*W71,VLOOKUP($A71,'Из ГУГЛа'!$B:$G,V$1,0))</f>
        <v/>
      </c>
      <c r="W71" s="70">
        <v>1</v>
      </c>
      <c r="X71" s="70"/>
      <c r="Y71" s="89">
        <f t="shared" si="19"/>
        <v>0.40615999999999985</v>
      </c>
      <c r="Z71" s="89" t="str">
        <f t="shared" si="20"/>
        <v/>
      </c>
      <c r="AA71" s="89" t="str">
        <f t="shared" si="21"/>
        <v/>
      </c>
      <c r="AB71" s="90"/>
    </row>
    <row r="72" spans="1:29" ht="60">
      <c r="A72" s="77">
        <v>139294</v>
      </c>
      <c r="B72" s="87">
        <f>VLOOKUP($A72,'Выгр Кат'!$A:$R,B$1,0)</f>
        <v>41101</v>
      </c>
      <c r="C72" s="88" t="str">
        <f>VLOOKUP($A72,'Выгр Кат'!$A:$R,C$1,0)</f>
        <v>Водяной насос помпа ASP MENSAN 21116 для Лада Приора, Гранта, Калина, Калина 2, Ларгус, Веста NG 8 клапанный двигатель</v>
      </c>
      <c r="D72" s="87" t="str">
        <f>VLOOKUP($A72,'Выгр Кат'!$A:$R,D$1,0)</f>
        <v>Y</v>
      </c>
      <c r="E72" s="87" t="str">
        <f>VLOOKUP($A72,'Выгр Кат'!$A:$R,E$1,0)</f>
        <v>0</v>
      </c>
      <c r="F72" s="87" t="str">
        <f>VLOOKUP($A72,'Выгр Кат'!$A:$R,F$1,0)</f>
        <v>PW0008</v>
      </c>
      <c r="G72" s="92" t="s">
        <v>341</v>
      </c>
      <c r="H72" s="14" t="s">
        <v>51</v>
      </c>
      <c r="I72" s="77">
        <f>VLOOKUP(G72,'отчет Eplex'!$B:$E,4,0)</f>
        <v>0</v>
      </c>
      <c r="J72" s="14" t="s">
        <v>3</v>
      </c>
      <c r="K72" s="14">
        <v>1</v>
      </c>
      <c r="L72" s="97">
        <f>P72</f>
        <v>1593</v>
      </c>
      <c r="M72" s="14">
        <f>VLOOKUP(L72,Наценка!$A$1:$B$8,2,1)</f>
        <v>1.47</v>
      </c>
      <c r="N72" s="99">
        <f t="shared" si="14"/>
        <v>2341.71</v>
      </c>
      <c r="O72" s="98">
        <f t="shared" si="12"/>
        <v>2390</v>
      </c>
      <c r="P72" s="87">
        <f>VLOOKUP($A72,'Выгр Кат'!$A:$R,P$1,0)</f>
        <v>1593</v>
      </c>
      <c r="Q72" s="87">
        <f>VLOOKUP($A72,'Выгр Кат'!$A:$R,Q$1,0)</f>
        <v>2390</v>
      </c>
      <c r="R72" s="75">
        <f t="shared" si="15"/>
        <v>0</v>
      </c>
      <c r="S72" s="75">
        <f t="shared" si="16"/>
        <v>0</v>
      </c>
      <c r="T72" s="96">
        <f t="shared" si="17"/>
        <v>0</v>
      </c>
      <c r="U72" s="76">
        <f t="shared" si="18"/>
        <v>2222.6999999999998</v>
      </c>
      <c r="V72" s="94" t="str">
        <f>IFERROR((VLOOKUP($A72,'Из ГУГЛа'!$B:$G,V$1,0)+X72)*W72,VLOOKUP($A72,'Из ГУГЛа'!$B:$G,V$1,0))</f>
        <v/>
      </c>
      <c r="W72" s="70">
        <v>1</v>
      </c>
      <c r="X72" s="70"/>
      <c r="Y72" s="89">
        <f t="shared" si="19"/>
        <v>0.39529190207156306</v>
      </c>
      <c r="Z72" s="89" t="str">
        <f t="shared" si="20"/>
        <v/>
      </c>
      <c r="AA72" s="89" t="str">
        <f t="shared" si="21"/>
        <v/>
      </c>
      <c r="AB72" s="90"/>
    </row>
    <row r="73" spans="1:29" ht="30">
      <c r="A73" s="77">
        <v>139100</v>
      </c>
      <c r="B73" s="87">
        <f>VLOOKUP($A73,'Выгр Кат'!$A:$R,B$1,0)</f>
        <v>41113</v>
      </c>
      <c r="C73" s="88" t="str">
        <f>VLOOKUP($A73,'Выгр Кат'!$A:$R,C$1,0)</f>
        <v>Вентилятор отопителя ASP MENSAN для Лада Ларгус, Renault Logan, Duster</v>
      </c>
      <c r="D73" s="87" t="str">
        <f>VLOOKUP($A73,'Выгр Кат'!$A:$R,D$1,0)</f>
        <v>Y</v>
      </c>
      <c r="E73" s="87" t="str">
        <f>VLOOKUP($A73,'Выгр Кат'!$A:$R,E$1,0)</f>
        <v>1</v>
      </c>
      <c r="F73" s="87" t="str">
        <f>VLOOKUP($A73,'Выгр Кат'!$A:$R,F$1,0)</f>
        <v>AL40132</v>
      </c>
      <c r="G73" s="92" t="s">
        <v>299</v>
      </c>
      <c r="H73" s="14" t="s">
        <v>51</v>
      </c>
      <c r="I73" s="77">
        <f>VLOOKUP(G73,'отчет Eplex'!$B:$E,4,0)</f>
        <v>3785.36</v>
      </c>
      <c r="J73" s="14" t="s">
        <v>3</v>
      </c>
      <c r="K73" s="14">
        <v>1</v>
      </c>
      <c r="L73" s="98">
        <f t="shared" si="13"/>
        <v>4164</v>
      </c>
      <c r="M73" s="14">
        <f>VLOOKUP(L73,Наценка!$A$1:$B$8,2,1)</f>
        <v>1.47</v>
      </c>
      <c r="N73" s="99">
        <f t="shared" si="14"/>
        <v>6121.08</v>
      </c>
      <c r="O73" s="98">
        <f t="shared" si="12"/>
        <v>6190</v>
      </c>
      <c r="P73" s="87">
        <f>VLOOKUP($A73,'Выгр Кат'!$A:$R,P$1,0)</f>
        <v>4163.8999999999996</v>
      </c>
      <c r="Q73" s="87">
        <f>VLOOKUP($A73,'Выгр Кат'!$A:$R,Q$1,0)</f>
        <v>6190</v>
      </c>
      <c r="R73" s="75">
        <f t="shared" si="15"/>
        <v>-0.1000000000003638</v>
      </c>
      <c r="S73" s="75">
        <f t="shared" si="16"/>
        <v>0</v>
      </c>
      <c r="T73" s="96">
        <f t="shared" si="17"/>
        <v>2.4015369836782851E-5</v>
      </c>
      <c r="U73" s="76">
        <f t="shared" si="18"/>
        <v>5756.7</v>
      </c>
      <c r="V73" s="94" t="str">
        <f>IFERROR((VLOOKUP($A73,'Из ГУГЛа'!$B:$G,V$1,0)+X73)*W73,VLOOKUP($A73,'Из ГУГЛа'!$B:$G,V$1,0))</f>
        <v/>
      </c>
      <c r="W73" s="70">
        <v>1</v>
      </c>
      <c r="X73" s="70"/>
      <c r="Y73" s="89">
        <f t="shared" si="19"/>
        <v>0.3824927953890489</v>
      </c>
      <c r="Z73" s="89" t="str">
        <f t="shared" si="20"/>
        <v/>
      </c>
      <c r="AA73" s="89" t="str">
        <f t="shared" si="21"/>
        <v/>
      </c>
      <c r="AB73" s="90"/>
    </row>
    <row r="74" spans="1:29" ht="30">
      <c r="A74" s="77">
        <v>139101</v>
      </c>
      <c r="B74" s="87">
        <f>VLOOKUP($A74,'Выгр Кат'!$A:$R,B$1,0)</f>
        <v>41117</v>
      </c>
      <c r="C74" s="88" t="str">
        <f>VLOOKUP($A74,'Выгр Кат'!$A:$R,C$1,0)</f>
        <v>Вентилятор отопителя ASP MENSAN для Лада Ларгус, Renault Logan</v>
      </c>
      <c r="D74" s="87" t="str">
        <f>VLOOKUP($A74,'Выгр Кат'!$A:$R,D$1,0)</f>
        <v>Y</v>
      </c>
      <c r="E74" s="87" t="str">
        <f>VLOOKUP($A74,'Выгр Кат'!$A:$R,E$1,0)</f>
        <v>1</v>
      </c>
      <c r="F74" s="87" t="str">
        <f>VLOOKUP($A74,'Выгр Кат'!$A:$R,F$1,0)</f>
        <v>AL40095</v>
      </c>
      <c r="G74" s="92" t="s">
        <v>327</v>
      </c>
      <c r="H74" s="14" t="s">
        <v>51</v>
      </c>
      <c r="I74" s="77">
        <f>VLOOKUP(G74,'отчет Eplex'!$B:$E,4,0)</f>
        <v>3374.5</v>
      </c>
      <c r="J74" s="14" t="s">
        <v>3</v>
      </c>
      <c r="K74" s="14">
        <v>1</v>
      </c>
      <c r="L74" s="98">
        <f t="shared" si="13"/>
        <v>3712</v>
      </c>
      <c r="M74" s="14">
        <f>VLOOKUP(L74,Наценка!$A$1:$B$8,2,1)</f>
        <v>1.47</v>
      </c>
      <c r="N74" s="99">
        <f t="shared" si="14"/>
        <v>5456.64</v>
      </c>
      <c r="O74" s="98">
        <f t="shared" si="12"/>
        <v>5490</v>
      </c>
      <c r="P74" s="87">
        <f>VLOOKUP($A74,'Выгр Кат'!$A:$R,P$1,0)</f>
        <v>3711.95</v>
      </c>
      <c r="Q74" s="87">
        <f>VLOOKUP($A74,'Выгр Кат'!$A:$R,Q$1,0)</f>
        <v>5490</v>
      </c>
      <c r="R74" s="75">
        <f t="shared" si="15"/>
        <v>-5.0000000000181899E-2</v>
      </c>
      <c r="S74" s="75">
        <f t="shared" si="16"/>
        <v>0</v>
      </c>
      <c r="T74" s="96">
        <f t="shared" si="17"/>
        <v>1.3469827586255899E-5</v>
      </c>
      <c r="U74" s="76">
        <f t="shared" si="18"/>
        <v>5105.7</v>
      </c>
      <c r="V74" s="94" t="str">
        <f>IFERROR((VLOOKUP($A74,'Из ГУГЛа'!$B:$G,V$1,0)+X74)*W74,VLOOKUP($A74,'Из ГУГЛа'!$B:$G,V$1,0))</f>
        <v/>
      </c>
      <c r="W74" s="70">
        <v>1</v>
      </c>
      <c r="X74" s="70"/>
      <c r="Y74" s="89">
        <f t="shared" si="19"/>
        <v>0.37545797413793092</v>
      </c>
      <c r="Z74" s="89" t="str">
        <f t="shared" si="20"/>
        <v/>
      </c>
      <c r="AA74" s="89" t="str">
        <f t="shared" si="21"/>
        <v/>
      </c>
      <c r="AB74" s="90"/>
    </row>
    <row r="75" spans="1:29" ht="30">
      <c r="A75" s="77">
        <v>202352</v>
      </c>
      <c r="B75" s="87">
        <f>VLOOKUP($A75,'Выгр Кат'!$A:$R,B$1,0)</f>
        <v>41122</v>
      </c>
      <c r="C75" s="88" t="str">
        <f>VLOOKUP($A75,'Выгр Кат'!$A:$R,C$1,0)</f>
        <v>Радиатор кондиционера ASP MENSAN для Лада Ларгус, Renault Duster, Logan</v>
      </c>
      <c r="D75" s="87" t="str">
        <f>VLOOKUP($A75,'Выгр Кат'!$A:$R,D$1,0)</f>
        <v>Y</v>
      </c>
      <c r="E75" s="87" t="str">
        <f>VLOOKUP($A75,'Выгр Кат'!$A:$R,E$1,0)</f>
        <v>1</v>
      </c>
      <c r="F75" s="87" t="str">
        <f>VLOOKUP($A75,'Выгр Кат'!$A:$R,F$1,0)</f>
        <v>AL61479</v>
      </c>
      <c r="G75" s="92" t="s">
        <v>328</v>
      </c>
      <c r="H75" s="14" t="s">
        <v>51</v>
      </c>
      <c r="I75" s="77">
        <f>VLOOKUP(G75,'отчет Eplex'!$B:$E,4,0)</f>
        <v>6676</v>
      </c>
      <c r="J75" s="65" t="s">
        <v>3</v>
      </c>
      <c r="K75" s="14">
        <v>1</v>
      </c>
      <c r="L75" s="98">
        <f t="shared" si="13"/>
        <v>7344</v>
      </c>
      <c r="M75" s="14">
        <f>VLOOKUP(L75,Наценка!$A$1:$B$8,2,1)</f>
        <v>1.47</v>
      </c>
      <c r="N75" s="99">
        <f t="shared" si="14"/>
        <v>10795.68</v>
      </c>
      <c r="O75" s="98">
        <f t="shared" si="12"/>
        <v>10790</v>
      </c>
      <c r="P75" s="87">
        <f>VLOOKUP($A75,'Выгр Кат'!$A:$R,P$1,0)</f>
        <v>7343.6</v>
      </c>
      <c r="Q75" s="87">
        <f>VLOOKUP($A75,'Выгр Кат'!$A:$R,Q$1,0)</f>
        <v>10790</v>
      </c>
      <c r="R75" s="75">
        <f t="shared" si="15"/>
        <v>-0.3999999999996362</v>
      </c>
      <c r="S75" s="75">
        <f t="shared" si="16"/>
        <v>0</v>
      </c>
      <c r="T75" s="96">
        <f t="shared" si="17"/>
        <v>5.4466230936769636E-5</v>
      </c>
      <c r="U75" s="76">
        <f t="shared" si="18"/>
        <v>10034.699999999999</v>
      </c>
      <c r="V75" s="94" t="str">
        <f>IFERROR((VLOOKUP($A75,'Из ГУГЛа'!$B:$G,V$1,0)+X75)*W75,VLOOKUP($A75,'Из ГУГЛа'!$B:$G,V$1,0))</f>
        <v/>
      </c>
      <c r="W75" s="70">
        <v>1</v>
      </c>
      <c r="X75" s="70"/>
      <c r="Y75" s="89">
        <f t="shared" si="19"/>
        <v>0.36638071895424829</v>
      </c>
      <c r="Z75" s="89" t="str">
        <f t="shared" si="20"/>
        <v/>
      </c>
      <c r="AA75" s="89" t="str">
        <f t="shared" si="21"/>
        <v/>
      </c>
      <c r="AB75" s="90"/>
    </row>
    <row r="76" spans="1:29" ht="30">
      <c r="A76" s="77">
        <v>202351</v>
      </c>
      <c r="B76" s="87">
        <f>VLOOKUP($A76,'Выгр Кат'!$A:$R,B$1,0)</f>
        <v>41136</v>
      </c>
      <c r="C76" s="88" t="str">
        <f>VLOOKUP($A76,'Выгр Кат'!$A:$R,C$1,0)</f>
        <v>Радиатор кондиционера ASP MENSAN для Лада Веста, Renault Logan</v>
      </c>
      <c r="D76" s="87" t="str">
        <f>VLOOKUP($A76,'Выгр Кат'!$A:$R,D$1,0)</f>
        <v>Y</v>
      </c>
      <c r="E76" s="87" t="str">
        <f>VLOOKUP($A76,'Выгр Кат'!$A:$R,E$1,0)</f>
        <v>1</v>
      </c>
      <c r="F76" s="87" t="str">
        <f>VLOOKUP($A76,'Выгр Кат'!$A:$R,F$1,0)</f>
        <v>AL60033</v>
      </c>
      <c r="G76" s="92" t="s">
        <v>329</v>
      </c>
      <c r="H76" s="14" t="s">
        <v>51</v>
      </c>
      <c r="I76" s="77">
        <f>VLOOKUP(G76,'отчет Eplex'!$B:$E,4,0)</f>
        <v>7991</v>
      </c>
      <c r="J76" s="14" t="s">
        <v>3</v>
      </c>
      <c r="K76" s="14">
        <v>1</v>
      </c>
      <c r="L76" s="98">
        <f t="shared" si="13"/>
        <v>8790</v>
      </c>
      <c r="M76" s="14">
        <f>VLOOKUP(L76,Наценка!$A$1:$B$8,2,1)</f>
        <v>1.47</v>
      </c>
      <c r="N76" s="99">
        <f t="shared" si="14"/>
        <v>12921.3</v>
      </c>
      <c r="O76" s="98">
        <f t="shared" si="12"/>
        <v>12990</v>
      </c>
      <c r="P76" s="87">
        <f>VLOOKUP($A76,'Выгр Кат'!$A:$R,P$1,0)</f>
        <v>8790.1</v>
      </c>
      <c r="Q76" s="87">
        <f>VLOOKUP($A76,'Выгр Кат'!$A:$R,Q$1,0)</f>
        <v>12990</v>
      </c>
      <c r="R76" s="75">
        <f t="shared" si="15"/>
        <v>0.1000000000003638</v>
      </c>
      <c r="S76" s="75">
        <f t="shared" si="16"/>
        <v>0</v>
      </c>
      <c r="T76" s="96">
        <f t="shared" si="17"/>
        <v>1.1376564277629557E-5</v>
      </c>
      <c r="U76" s="76">
        <f t="shared" si="18"/>
        <v>12080.699999999999</v>
      </c>
      <c r="V76" s="94" t="str">
        <f>IFERROR((VLOOKUP($A76,'Из ГУГЛа'!$B:$G,V$1,0)+X76)*W76,VLOOKUP($A76,'Из ГУГЛа'!$B:$G,V$1,0))</f>
        <v/>
      </c>
      <c r="W76" s="70">
        <v>1</v>
      </c>
      <c r="X76" s="70"/>
      <c r="Y76" s="89">
        <f t="shared" si="19"/>
        <v>0.3743686006825937</v>
      </c>
      <c r="Z76" s="89" t="str">
        <f t="shared" si="20"/>
        <v/>
      </c>
      <c r="AA76" s="89" t="str">
        <f t="shared" si="21"/>
        <v/>
      </c>
      <c r="AB76" s="90"/>
    </row>
    <row r="77" spans="1:29" ht="31.5" customHeight="1">
      <c r="A77" s="77">
        <v>202391</v>
      </c>
      <c r="B77" s="87">
        <f>VLOOKUP($A77,'Выгр Кат'!$A:$R,B$1,0)</f>
        <v>41301</v>
      </c>
      <c r="C77" s="88" t="str">
        <f>VLOOKUP($A77,'Выгр Кат'!$A:$R,C$1,0)</f>
        <v>Радиатор охлаждения ASP MENSAN для Лада Веста, Renault Logan, Kaptur, Duster</v>
      </c>
      <c r="D77" s="87" t="str">
        <f>VLOOKUP($A77,'Выгр Кат'!$A:$R,D$1,0)</f>
        <v>Y</v>
      </c>
      <c r="E77" s="87" t="str">
        <f>VLOOKUP($A77,'Выгр Кат'!$A:$R,E$1,0)</f>
        <v>1</v>
      </c>
      <c r="F77" s="87" t="str">
        <f>VLOOKUP($A77,'Выгр Кат'!$A:$R,F$1,0)</f>
        <v>AL10412</v>
      </c>
      <c r="G77" s="92" t="s">
        <v>330</v>
      </c>
      <c r="H77" s="14" t="s">
        <v>51</v>
      </c>
      <c r="I77" s="77">
        <f>VLOOKUP(G77,'отчет Eplex'!$B:$E,4,0)</f>
        <v>6093.85</v>
      </c>
      <c r="J77" s="65" t="s">
        <v>3</v>
      </c>
      <c r="K77" s="14">
        <v>1</v>
      </c>
      <c r="L77" s="98">
        <f t="shared" si="13"/>
        <v>6703</v>
      </c>
      <c r="M77" s="14">
        <f>VLOOKUP(L77,Наценка!$A$1:$B$8,2,1)</f>
        <v>1.47</v>
      </c>
      <c r="N77" s="99">
        <f t="shared" si="14"/>
        <v>9853.41</v>
      </c>
      <c r="O77" s="98">
        <f t="shared" si="12"/>
        <v>9890</v>
      </c>
      <c r="P77" s="87">
        <f>VLOOKUP($A77,'Выгр Кат'!$A:$R,P$1,0)</f>
        <v>6703.24</v>
      </c>
      <c r="Q77" s="87">
        <f>VLOOKUP($A77,'Выгр Кат'!$A:$R,Q$1,0)</f>
        <v>9890</v>
      </c>
      <c r="R77" s="75">
        <f t="shared" si="15"/>
        <v>0.23999999999978172</v>
      </c>
      <c r="S77" s="75">
        <f t="shared" si="16"/>
        <v>0</v>
      </c>
      <c r="T77" s="96">
        <f t="shared" si="17"/>
        <v>3.5804863493925368E-5</v>
      </c>
      <c r="U77" s="76">
        <f t="shared" si="18"/>
        <v>9197.6999999999989</v>
      </c>
      <c r="V77" s="94" t="str">
        <f>IFERROR((VLOOKUP($A77,'Из ГУГЛа'!$B:$G,V$1,0)+X77)*W77,VLOOKUP($A77,'Из ГУГЛа'!$B:$G,V$1,0))</f>
        <v/>
      </c>
      <c r="W77" s="70">
        <v>1</v>
      </c>
      <c r="X77" s="70"/>
      <c r="Y77" s="89">
        <f t="shared" si="19"/>
        <v>0.37217663732657003</v>
      </c>
      <c r="Z77" s="89" t="str">
        <f t="shared" si="20"/>
        <v/>
      </c>
      <c r="AA77" s="89" t="str">
        <f t="shared" si="21"/>
        <v/>
      </c>
      <c r="AB77" s="90"/>
    </row>
    <row r="78" spans="1:29" ht="45.75" thickBot="1">
      <c r="A78" s="77">
        <v>219514</v>
      </c>
      <c r="B78" s="87">
        <f>VLOOKUP($A78,'Выгр Кат'!$A:$R,B$1,0)</f>
        <v>29432</v>
      </c>
      <c r="C78" s="88" t="str">
        <f>VLOOKUP($A78,'Выгр Кат'!$A:$R,C$1,0)</f>
        <v>Тормозные диски ASP MENSAN передние, R13, не вентилируемые для ВАЗ 2108-21099, 2113-2115</v>
      </c>
      <c r="D78" s="87" t="str">
        <f>VLOOKUP($A78,'Выгр Кат'!$A:$R,D$1,0)</f>
        <v>Y</v>
      </c>
      <c r="E78" s="87" t="str">
        <f>VLOOKUP($A78,'Выгр Кат'!$A:$R,E$1,0)</f>
        <v>1</v>
      </c>
      <c r="F78" s="87" t="str">
        <f>VLOOKUP($A78,'Выгр Кат'!$A:$R,F$1,0)</f>
        <v>260201</v>
      </c>
      <c r="G78" s="58">
        <v>260201</v>
      </c>
      <c r="H78" s="14" t="s">
        <v>51</v>
      </c>
      <c r="I78" s="77">
        <f>VLOOKUP(G78,'отчет Eplex'!$B:$E,4,0)</f>
        <v>1033.3399999999999</v>
      </c>
      <c r="J78" s="14" t="s">
        <v>3</v>
      </c>
      <c r="K78" s="63">
        <v>2</v>
      </c>
      <c r="L78" s="98">
        <f t="shared" si="13"/>
        <v>2273</v>
      </c>
      <c r="M78" s="14">
        <f>VLOOKUP(L78,Наценка!$A$1:$B$8,2,1)</f>
        <v>1.47</v>
      </c>
      <c r="N78" s="103">
        <f>AB78*1.06</f>
        <v>3063.4</v>
      </c>
      <c r="O78" s="98">
        <f t="shared" ref="O78:O87" si="22">IF(N78&lt;=1000,(ROUNDUP(N78,-1)-1),(ROUNDUP(N78,-2)-10))</f>
        <v>3090</v>
      </c>
      <c r="P78" s="87">
        <f>VLOOKUP($A78,'Выгр Кат'!$A:$R,P$1,0)</f>
        <v>2273.35</v>
      </c>
      <c r="Q78" s="87">
        <f>VLOOKUP($A78,'Выгр Кат'!$A:$R,Q$1,0)</f>
        <v>3090</v>
      </c>
      <c r="R78" s="75">
        <f t="shared" si="15"/>
        <v>0.34999999999990905</v>
      </c>
      <c r="S78" s="75">
        <f t="shared" si="16"/>
        <v>0</v>
      </c>
      <c r="T78" s="96">
        <f t="shared" si="17"/>
        <v>1.5398152221729391E-4</v>
      </c>
      <c r="U78" s="76">
        <f t="shared" si="18"/>
        <v>2873.7</v>
      </c>
      <c r="V78" s="94">
        <f>IFERROR((VLOOKUP($A78,'Из ГУГЛа'!$B:$G,V$1,0)+X78)*W78,VLOOKUP($A78,'Из ГУГЛа'!$B:$G,V$1,0))</f>
        <v>2890</v>
      </c>
      <c r="W78" s="70">
        <v>1</v>
      </c>
      <c r="X78" s="70"/>
      <c r="Y78" s="89">
        <f t="shared" si="19"/>
        <v>0.26427628684557836</v>
      </c>
      <c r="Z78" s="89">
        <f t="shared" si="20"/>
        <v>5.6401384083045614E-3</v>
      </c>
      <c r="AA78" s="89">
        <f t="shared" si="21"/>
        <v>0.27144742630884289</v>
      </c>
      <c r="AB78" s="95">
        <v>2890</v>
      </c>
      <c r="AC78" s="18" t="s">
        <v>4438</v>
      </c>
    </row>
    <row r="79" spans="1:29" ht="61.5" thickTop="1" thickBot="1">
      <c r="A79" s="77">
        <v>219512</v>
      </c>
      <c r="B79" s="87">
        <f>VLOOKUP($A79,'Выгр Кат'!$A:$R,B$1,0)</f>
        <v>29433</v>
      </c>
      <c r="C79" s="88" t="str">
        <f>VLOOKUP($A79,'Выгр Кат'!$A:$R,C$1,0)</f>
        <v>Тормозные диски ASP MENSAN передние, R13, вентилируемые для ВАЗ 2110-2112, Лада Калина, Калина 2, Гранта, Гранта FL</v>
      </c>
      <c r="D79" s="87" t="str">
        <f>VLOOKUP($A79,'Выгр Кат'!$A:$R,D$1,0)</f>
        <v>Y</v>
      </c>
      <c r="E79" s="87" t="str">
        <f>VLOOKUP($A79,'Выгр Кат'!$A:$R,E$1,0)</f>
        <v>1</v>
      </c>
      <c r="F79" s="87" t="str">
        <f>VLOOKUP($A79,'Выгр Кат'!$A:$R,F$1,0)</f>
        <v>260207</v>
      </c>
      <c r="G79" s="13">
        <v>260207</v>
      </c>
      <c r="H79" s="14" t="s">
        <v>51</v>
      </c>
      <c r="I79" s="77">
        <f>VLOOKUP(G79,'отчет Eplex'!$B:$E,4,0)</f>
        <v>1098.1600000000001</v>
      </c>
      <c r="J79" s="14" t="s">
        <v>3</v>
      </c>
      <c r="K79" s="63">
        <v>2</v>
      </c>
      <c r="L79" s="98">
        <f t="shared" si="13"/>
        <v>2416</v>
      </c>
      <c r="M79" s="14">
        <f>VLOOKUP(L79,Наценка!$A$1:$B$8,2,1)</f>
        <v>1.47</v>
      </c>
      <c r="N79" s="103">
        <f>AB79*1.06</f>
        <v>3275.4</v>
      </c>
      <c r="O79" s="98">
        <f t="shared" si="22"/>
        <v>3290</v>
      </c>
      <c r="P79" s="87">
        <f>VLOOKUP($A79,'Выгр Кат'!$A:$R,P$1,0)</f>
        <v>2415.9499999999998</v>
      </c>
      <c r="Q79" s="87">
        <f>VLOOKUP($A79,'Выгр Кат'!$A:$R,Q$1,0)</f>
        <v>3290</v>
      </c>
      <c r="R79" s="75">
        <f t="shared" si="15"/>
        <v>-5.0000000000181899E-2</v>
      </c>
      <c r="S79" s="75">
        <f t="shared" si="16"/>
        <v>0</v>
      </c>
      <c r="T79" s="96">
        <f t="shared" si="17"/>
        <v>2.0695364238485884E-5</v>
      </c>
      <c r="U79" s="76">
        <f t="shared" si="18"/>
        <v>3059.7</v>
      </c>
      <c r="V79" s="94">
        <f>IFERROR((VLOOKUP($A79,'Из ГУГЛа'!$B:$G,V$1,0)+X79)*W79,VLOOKUP($A79,'Из ГУГЛа'!$B:$G,V$1,0))</f>
        <v>3090</v>
      </c>
      <c r="W79" s="70">
        <v>1</v>
      </c>
      <c r="X79" s="70"/>
      <c r="Y79" s="89">
        <f t="shared" si="19"/>
        <v>0.26643211920529786</v>
      </c>
      <c r="Z79" s="89">
        <f t="shared" si="20"/>
        <v>9.8058252427185057E-3</v>
      </c>
      <c r="AA79" s="89">
        <f t="shared" si="21"/>
        <v>0.2789735099337749</v>
      </c>
      <c r="AB79" s="95">
        <v>3090</v>
      </c>
      <c r="AC79" s="18" t="s">
        <v>4439</v>
      </c>
    </row>
    <row r="80" spans="1:29" ht="75.75" thickTop="1">
      <c r="A80" s="77">
        <v>219515</v>
      </c>
      <c r="B80" s="87">
        <f>VLOOKUP($A80,'Выгр Кат'!$A:$R,B$1,0)</f>
        <v>29439</v>
      </c>
      <c r="C80" s="88" t="str">
        <f>VLOOKUP($A80,'Выгр Кат'!$A:$R,C$1,0)</f>
        <v>Тормозные диски ASP MENSAN передние, R14, вентилируемые для ВАЗ 2110-2112, 2113-2115, Лада Калина, Калина 2, Приора, Приора 2, Гранта, Гранта FL, Датсун mi-DO, on-DO</v>
      </c>
      <c r="D80" s="87" t="str">
        <f>VLOOKUP($A80,'Выгр Кат'!$A:$R,D$1,0)</f>
        <v>Y</v>
      </c>
      <c r="E80" s="87" t="str">
        <f>VLOOKUP($A80,'Выгр Кат'!$A:$R,E$1,0)</f>
        <v>1</v>
      </c>
      <c r="F80" s="87" t="str">
        <f>VLOOKUP($A80,'Выгр Кат'!$A:$R,F$1,0)</f>
        <v>260206</v>
      </c>
      <c r="G80" s="13">
        <v>260206</v>
      </c>
      <c r="H80" s="14" t="s">
        <v>51</v>
      </c>
      <c r="I80" s="77">
        <f>VLOOKUP(G80,'отчет Eplex'!$B:$E,4,0)</f>
        <v>1046.97</v>
      </c>
      <c r="J80" s="14" t="s">
        <v>3</v>
      </c>
      <c r="K80" s="63">
        <v>2</v>
      </c>
      <c r="L80" s="98">
        <f t="shared" si="13"/>
        <v>2303</v>
      </c>
      <c r="M80" s="14">
        <f>VLOOKUP(L80,Наценка!$A$1:$B$8,2,1)</f>
        <v>1.47</v>
      </c>
      <c r="N80" s="99">
        <f t="shared" si="14"/>
        <v>3385.41</v>
      </c>
      <c r="O80" s="98">
        <f t="shared" si="22"/>
        <v>3390</v>
      </c>
      <c r="P80" s="87">
        <f>VLOOKUP($A80,'Выгр Кат'!$A:$R,P$1,0)</f>
        <v>2303.33</v>
      </c>
      <c r="Q80" s="87">
        <f>VLOOKUP($A80,'Выгр Кат'!$A:$R,Q$1,0)</f>
        <v>3390</v>
      </c>
      <c r="R80" s="75">
        <f t="shared" si="15"/>
        <v>0.32999999999992724</v>
      </c>
      <c r="S80" s="75">
        <f t="shared" si="16"/>
        <v>0</v>
      </c>
      <c r="T80" s="96">
        <f t="shared" si="17"/>
        <v>1.4329135909679864E-4</v>
      </c>
      <c r="U80" s="76">
        <f t="shared" si="18"/>
        <v>3152.7</v>
      </c>
      <c r="V80" s="94" t="str">
        <f>IFERROR((VLOOKUP($A80,'Из ГУГЛа'!$B:$G,V$1,0)+X80)*W80,VLOOKUP($A80,'Из ГУГЛа'!$B:$G,V$1,0))</f>
        <v/>
      </c>
      <c r="W80" s="70">
        <v>1</v>
      </c>
      <c r="X80" s="70"/>
      <c r="Y80" s="89">
        <f t="shared" si="19"/>
        <v>0.36895353886235327</v>
      </c>
      <c r="Z80" s="89" t="str">
        <f t="shared" si="20"/>
        <v/>
      </c>
      <c r="AA80" s="89" t="str">
        <f t="shared" si="21"/>
        <v/>
      </c>
      <c r="AB80" s="90"/>
    </row>
    <row r="81" spans="1:29" ht="45.75" thickBot="1">
      <c r="A81" s="77">
        <v>219511</v>
      </c>
      <c r="B81" s="87">
        <f>VLOOKUP($A81,'Выгр Кат'!$A:$R,B$1,0)</f>
        <v>29446</v>
      </c>
      <c r="C81" s="88" t="str">
        <f>VLOOKUP($A81,'Выгр Кат'!$A:$R,C$1,0)</f>
        <v>Тормозные диски ASP MENSAN передние для Лада Нива 4x4, Шевроле Нива</v>
      </c>
      <c r="D81" s="87" t="str">
        <f>VLOOKUP($A81,'Выгр Кат'!$A:$R,D$1,0)</f>
        <v>Y</v>
      </c>
      <c r="E81" s="87" t="str">
        <f>VLOOKUP($A81,'Выгр Кат'!$A:$R,E$1,0)</f>
        <v>1</v>
      </c>
      <c r="F81" s="87" t="str">
        <f>VLOOKUP($A81,'Выгр Кат'!$A:$R,F$1,0)</f>
        <v>260205</v>
      </c>
      <c r="G81" s="13">
        <v>260205</v>
      </c>
      <c r="H81" s="14" t="s">
        <v>51</v>
      </c>
      <c r="I81" s="77">
        <f>VLOOKUP(G81,'отчет Eplex'!$B:$E,4,0)</f>
        <v>1320</v>
      </c>
      <c r="J81" s="14" t="s">
        <v>3</v>
      </c>
      <c r="K81" s="63">
        <v>2</v>
      </c>
      <c r="L81" s="98">
        <f t="shared" si="13"/>
        <v>2904</v>
      </c>
      <c r="M81" s="14">
        <f>VLOOKUP(L81,Наценка!$A$1:$B$8,2,1)</f>
        <v>1.47</v>
      </c>
      <c r="N81" s="106">
        <f>L81*1.23*100/93</f>
        <v>3840.7741935483873</v>
      </c>
      <c r="O81" s="98">
        <f t="shared" si="22"/>
        <v>3890</v>
      </c>
      <c r="P81" s="87">
        <f>VLOOKUP($A81,'Выгр Кат'!$A:$R,P$1,0)</f>
        <v>2904</v>
      </c>
      <c r="Q81" s="87">
        <f>VLOOKUP($A81,'Выгр Кат'!$A:$R,Q$1,0)</f>
        <v>3890</v>
      </c>
      <c r="R81" s="75">
        <f t="shared" si="15"/>
        <v>0</v>
      </c>
      <c r="S81" s="75">
        <f t="shared" si="16"/>
        <v>0</v>
      </c>
      <c r="T81" s="96">
        <f t="shared" si="17"/>
        <v>0</v>
      </c>
      <c r="U81" s="76">
        <f t="shared" si="18"/>
        <v>3617.7</v>
      </c>
      <c r="V81" s="94">
        <f>IFERROR((VLOOKUP($A81,'Из ГУГЛа'!$B:$G,V$1,0)+X81)*W81,VLOOKUP($A81,'Из ГУГЛа'!$B:$G,V$1,0))</f>
        <v>3390</v>
      </c>
      <c r="W81" s="70">
        <v>1</v>
      </c>
      <c r="X81" s="70"/>
      <c r="Y81" s="89">
        <f t="shared" si="19"/>
        <v>0.24576446280991737</v>
      </c>
      <c r="Z81" s="89">
        <f t="shared" si="20"/>
        <v>-6.7168141592920297E-2</v>
      </c>
      <c r="AA81" s="89">
        <f t="shared" si="21"/>
        <v>0.1673553719008265</v>
      </c>
      <c r="AB81" s="95">
        <v>3390</v>
      </c>
      <c r="AC81" s="18" t="s">
        <v>4441</v>
      </c>
    </row>
    <row r="82" spans="1:29" ht="31.5" thickTop="1" thickBot="1">
      <c r="A82" s="77">
        <v>219510</v>
      </c>
      <c r="B82" s="87">
        <f>VLOOKUP($A82,'Выгр Кат'!$A:$R,B$1,0)</f>
        <v>29430</v>
      </c>
      <c r="C82" s="88" t="str">
        <f>VLOOKUP($A82,'Выгр Кат'!$A:$R,C$1,0)</f>
        <v>Тормозные диски ASP MENSAN передние для ВАЗ 2101-2107</v>
      </c>
      <c r="D82" s="87" t="str">
        <f>VLOOKUP($A82,'Выгр Кат'!$A:$R,D$1,0)</f>
        <v>Y</v>
      </c>
      <c r="E82" s="87" t="str">
        <f>VLOOKUP($A82,'Выгр Кат'!$A:$R,E$1,0)</f>
        <v>1</v>
      </c>
      <c r="F82" s="87" t="str">
        <f>VLOOKUP($A82,'Выгр Кат'!$A:$R,F$1,0)</f>
        <v>260202</v>
      </c>
      <c r="G82" s="13">
        <v>260202</v>
      </c>
      <c r="H82" s="14" t="s">
        <v>51</v>
      </c>
      <c r="I82" s="77">
        <f>VLOOKUP(G82,'отчет Eplex'!$B:$E,4,0)</f>
        <v>1199</v>
      </c>
      <c r="J82" s="65" t="s">
        <v>3</v>
      </c>
      <c r="K82" s="63">
        <v>2</v>
      </c>
      <c r="L82" s="98">
        <f t="shared" si="13"/>
        <v>2638</v>
      </c>
      <c r="M82" s="14">
        <f>VLOOKUP(L82,Наценка!$A$1:$B$8,2,1)</f>
        <v>1.47</v>
      </c>
      <c r="N82" s="99">
        <f t="shared" si="14"/>
        <v>3877.86</v>
      </c>
      <c r="O82" s="98">
        <f t="shared" si="22"/>
        <v>3890</v>
      </c>
      <c r="P82" s="87">
        <f>VLOOKUP($A82,'Выгр Кат'!$A:$R,P$1,0)</f>
        <v>2637.8</v>
      </c>
      <c r="Q82" s="87">
        <f>VLOOKUP($A82,'Выгр Кат'!$A:$R,Q$1,0)</f>
        <v>3890</v>
      </c>
      <c r="R82" s="75">
        <f t="shared" si="15"/>
        <v>-0.1999999999998181</v>
      </c>
      <c r="S82" s="75">
        <f t="shared" si="16"/>
        <v>0</v>
      </c>
      <c r="T82" s="96">
        <f t="shared" si="17"/>
        <v>7.5815011372182755E-5</v>
      </c>
      <c r="U82" s="76">
        <f t="shared" si="18"/>
        <v>3617.7</v>
      </c>
      <c r="V82" s="94">
        <f>IFERROR((VLOOKUP($A82,'Из ГУГЛа'!$B:$G,V$1,0)+X82)*W82,VLOOKUP($A82,'Из ГУГЛа'!$B:$G,V$1,0))</f>
        <v>2490</v>
      </c>
      <c r="W82" s="70">
        <v>1</v>
      </c>
      <c r="X82" s="70"/>
      <c r="Y82" s="89">
        <f t="shared" si="19"/>
        <v>0.37137983320697487</v>
      </c>
      <c r="Z82" s="89">
        <f t="shared" si="20"/>
        <v>-0.45289156626506016</v>
      </c>
      <c r="AA82" s="89">
        <f t="shared" si="21"/>
        <v>-5.6103108415466285E-2</v>
      </c>
      <c r="AB82" s="95">
        <v>2490</v>
      </c>
      <c r="AC82" s="18" t="s">
        <v>4442</v>
      </c>
    </row>
    <row r="83" spans="1:29" ht="91.5" thickTop="1" thickBot="1">
      <c r="A83" s="77">
        <v>219516</v>
      </c>
      <c r="B83" s="87">
        <f>VLOOKUP($A83,'Выгр Кат'!$A:$R,B$1,0)</f>
        <v>29441</v>
      </c>
      <c r="C83" s="88" t="str">
        <f>VLOOKUP($A83,'Выгр Кат'!$A:$R,C$1,0)</f>
        <v>Тормозные диски ASP MENSAN передние, R14, вентилируемые с перфорацией для ВАЗ 2110-2112, 2113-2115, Лада Калина, Калина 2, Приора, Приора 2, Гранта, Гранта FL, Датсун mi-DO, on-DO</v>
      </c>
      <c r="D83" s="87" t="str">
        <f>VLOOKUP($A83,'Выгр Кат'!$A:$R,D$1,0)</f>
        <v>Y</v>
      </c>
      <c r="E83" s="87" t="str">
        <f>VLOOKUP($A83,'Выгр Кат'!$A:$R,E$1,0)</f>
        <v>1</v>
      </c>
      <c r="F83" s="87" t="str">
        <f>VLOOKUP($A83,'Выгр Кат'!$A:$R,F$1,0)</f>
        <v>260206S</v>
      </c>
      <c r="G83" s="5" t="s">
        <v>10</v>
      </c>
      <c r="H83" s="14" t="s">
        <v>51</v>
      </c>
      <c r="I83" s="77">
        <f>VLOOKUP(G83,'отчет Eplex'!$B:$E,4,0)</f>
        <v>1699</v>
      </c>
      <c r="J83" s="14" t="s">
        <v>3</v>
      </c>
      <c r="K83" s="63">
        <v>2</v>
      </c>
      <c r="L83" s="98">
        <f t="shared" si="13"/>
        <v>3738</v>
      </c>
      <c r="M83" s="14">
        <f>VLOOKUP(L83,Наценка!$A$1:$B$8,2,1)</f>
        <v>1.47</v>
      </c>
      <c r="N83" s="106">
        <f>L83*1.23*100/93</f>
        <v>4943.8064516129034</v>
      </c>
      <c r="O83" s="98">
        <f t="shared" si="22"/>
        <v>4990</v>
      </c>
      <c r="P83" s="87">
        <f>VLOOKUP($A83,'Выгр Кат'!$A:$R,P$1,0)</f>
        <v>3737.8</v>
      </c>
      <c r="Q83" s="87">
        <f>VLOOKUP($A83,'Выгр Кат'!$A:$R,Q$1,0)</f>
        <v>4990</v>
      </c>
      <c r="R83" s="75">
        <f t="shared" si="15"/>
        <v>-0.1999999999998181</v>
      </c>
      <c r="S83" s="75">
        <f t="shared" si="16"/>
        <v>0</v>
      </c>
      <c r="T83" s="96">
        <f t="shared" si="17"/>
        <v>5.3504547886521695E-5</v>
      </c>
      <c r="U83" s="76">
        <f t="shared" si="18"/>
        <v>4640.7</v>
      </c>
      <c r="V83" s="94">
        <f>IFERROR((VLOOKUP($A83,'Из ГУГЛа'!$B:$G,V$1,0)+X83)*W83,VLOOKUP($A83,'Из ГУГЛа'!$B:$G,V$1,0))</f>
        <v>4290</v>
      </c>
      <c r="W83" s="70">
        <v>1</v>
      </c>
      <c r="X83" s="70"/>
      <c r="Y83" s="89">
        <f t="shared" si="19"/>
        <v>0.24149277688603532</v>
      </c>
      <c r="Z83" s="89">
        <f t="shared" si="20"/>
        <v>-8.1748251748251705E-2</v>
      </c>
      <c r="AA83" s="89">
        <f t="shared" si="21"/>
        <v>0.1476725521669342</v>
      </c>
      <c r="AB83" s="95">
        <v>4290</v>
      </c>
      <c r="AC83" s="18" t="s">
        <v>4440</v>
      </c>
    </row>
    <row r="84" spans="1:29" ht="45.75" thickTop="1">
      <c r="A84" s="77">
        <v>219517</v>
      </c>
      <c r="B84" s="87">
        <f>VLOOKUP($A84,'Выгр Кат'!$A:$R,B$1,0)</f>
        <v>29447</v>
      </c>
      <c r="C84" s="88" t="str">
        <f>VLOOKUP($A84,'Выгр Кат'!$A:$R,C$1,0)</f>
        <v>Тормозные диски ASP MENSAN передние, вентилируемые для Лада Ларгус, Веста</v>
      </c>
      <c r="D84" s="87" t="str">
        <f>VLOOKUP($A84,'Выгр Кат'!$A:$R,D$1,0)</f>
        <v>Y</v>
      </c>
      <c r="E84" s="87" t="str">
        <f>VLOOKUP($A84,'Выгр Кат'!$A:$R,E$1,0)</f>
        <v>1</v>
      </c>
      <c r="F84" s="87" t="str">
        <f>VLOOKUP($A84,'Выгр Кат'!$A:$R,F$1,0)</f>
        <v>270222</v>
      </c>
      <c r="G84" s="13">
        <v>270222</v>
      </c>
      <c r="H84" s="14" t="s">
        <v>51</v>
      </c>
      <c r="I84" s="77">
        <f>VLOOKUP(G84,'отчет Eplex'!$B:$E,4,0)</f>
        <v>1645</v>
      </c>
      <c r="J84" s="14" t="s">
        <v>3</v>
      </c>
      <c r="K84" s="63">
        <v>2</v>
      </c>
      <c r="L84" s="98">
        <f t="shared" si="13"/>
        <v>3619</v>
      </c>
      <c r="M84" s="14">
        <f>VLOOKUP(L84,Наценка!$A$1:$B$8,2,1)</f>
        <v>1.47</v>
      </c>
      <c r="N84" s="99">
        <f t="shared" si="14"/>
        <v>5319.93</v>
      </c>
      <c r="O84" s="98">
        <f t="shared" si="22"/>
        <v>5390</v>
      </c>
      <c r="P84" s="87">
        <f>VLOOKUP($A84,'Выгр Кат'!$A:$R,P$1,0)</f>
        <v>3619</v>
      </c>
      <c r="Q84" s="87">
        <f>VLOOKUP($A84,'Выгр Кат'!$A:$R,Q$1,0)</f>
        <v>5390</v>
      </c>
      <c r="R84" s="75">
        <f t="shared" si="15"/>
        <v>0</v>
      </c>
      <c r="S84" s="75">
        <f t="shared" si="16"/>
        <v>0</v>
      </c>
      <c r="T84" s="96">
        <f t="shared" si="17"/>
        <v>0</v>
      </c>
      <c r="U84" s="76">
        <f t="shared" si="18"/>
        <v>5012.7</v>
      </c>
      <c r="V84" s="94" t="str">
        <f>IFERROR((VLOOKUP($A84,'Из ГУГЛа'!$B:$G,V$1,0)+X84)*W84,VLOOKUP($A84,'Из ГУГЛа'!$B:$G,V$1,0))</f>
        <v/>
      </c>
      <c r="W84" s="70">
        <v>1</v>
      </c>
      <c r="X84" s="70"/>
      <c r="Y84" s="89">
        <f t="shared" si="19"/>
        <v>0.38510638297872335</v>
      </c>
      <c r="Z84" s="89" t="str">
        <f t="shared" si="20"/>
        <v/>
      </c>
      <c r="AA84" s="89" t="str">
        <f t="shared" si="21"/>
        <v/>
      </c>
      <c r="AB84" s="90"/>
    </row>
    <row r="85" spans="1:29" ht="75">
      <c r="A85" s="77">
        <v>219513</v>
      </c>
      <c r="B85" s="87">
        <f>VLOOKUP($A85,'Выгр Кат'!$A:$R,B$1,0)</f>
        <v>29437</v>
      </c>
      <c r="C85" s="88" t="str">
        <f>VLOOKUP($A85,'Выгр Кат'!$A:$R,C$1,0)</f>
        <v>Тормозные диски ASP MENSAN передние, R13, вентилируемые с перфорацией и проточками для ВАЗ 2110-2112, Лада Калина, Калина 2, Гранта, Гранта FL</v>
      </c>
      <c r="D85" s="87" t="str">
        <f>VLOOKUP($A85,'Выгр Кат'!$A:$R,D$1,0)</f>
        <v>Y</v>
      </c>
      <c r="E85" s="87" t="str">
        <f>VLOOKUP($A85,'Выгр Кат'!$A:$R,E$1,0)</f>
        <v>1</v>
      </c>
      <c r="F85" s="87" t="str">
        <f>VLOOKUP($A85,'Выгр Кат'!$A:$R,F$1,0)</f>
        <v>260207S</v>
      </c>
      <c r="G85" s="5" t="s">
        <v>8</v>
      </c>
      <c r="H85" s="14" t="s">
        <v>51</v>
      </c>
      <c r="I85" s="77">
        <f>VLOOKUP(G85,'отчет Eplex'!$B:$E,4,0)</f>
        <v>1050</v>
      </c>
      <c r="J85" s="14" t="s">
        <v>3</v>
      </c>
      <c r="K85" s="63">
        <v>2</v>
      </c>
      <c r="L85" s="98">
        <f t="shared" si="13"/>
        <v>2310</v>
      </c>
      <c r="M85" s="14">
        <f>VLOOKUP(L85,Наценка!$A$1:$B$8,2,1)</f>
        <v>1.47</v>
      </c>
      <c r="N85" s="99">
        <f t="shared" si="14"/>
        <v>3395.7</v>
      </c>
      <c r="O85" s="98">
        <f t="shared" si="22"/>
        <v>3390</v>
      </c>
      <c r="P85" s="87">
        <f>VLOOKUP($A85,'Выгр Кат'!$A:$R,P$1,0)</f>
        <v>2310</v>
      </c>
      <c r="Q85" s="87">
        <f>VLOOKUP($A85,'Выгр Кат'!$A:$R,Q$1,0)</f>
        <v>3390</v>
      </c>
      <c r="R85" s="75">
        <f t="shared" si="15"/>
        <v>0</v>
      </c>
      <c r="S85" s="75">
        <f t="shared" si="16"/>
        <v>0</v>
      </c>
      <c r="T85" s="96">
        <f t="shared" si="17"/>
        <v>0</v>
      </c>
      <c r="U85" s="76">
        <f t="shared" si="18"/>
        <v>3152.7</v>
      </c>
      <c r="V85" s="94" t="str">
        <f>IFERROR((VLOOKUP($A85,'Из ГУГЛа'!$B:$G,V$1,0)+X85)*W85,VLOOKUP($A85,'Из ГУГЛа'!$B:$G,V$1,0))</f>
        <v/>
      </c>
      <c r="W85" s="70">
        <v>1</v>
      </c>
      <c r="X85" s="70"/>
      <c r="Y85" s="89">
        <f t="shared" si="19"/>
        <v>0.36480519480519469</v>
      </c>
      <c r="Z85" s="89" t="str">
        <f t="shared" si="20"/>
        <v/>
      </c>
      <c r="AA85" s="89" t="str">
        <f t="shared" si="21"/>
        <v/>
      </c>
      <c r="AB85" s="90"/>
    </row>
    <row r="86" spans="1:29" ht="60.75" thickBot="1">
      <c r="A86" s="77">
        <v>219518</v>
      </c>
      <c r="B86" s="87">
        <f>VLOOKUP($A86,'Выгр Кат'!$A:$R,B$1,0)</f>
        <v>29449</v>
      </c>
      <c r="C86" s="88" t="str">
        <f>VLOOKUP($A86,'Выгр Кат'!$A:$R,C$1,0)</f>
        <v>Тормозные диски ASP MENSAN передние, вентилируемые с перфорацией и проточками для Лада Ларгус, Веста</v>
      </c>
      <c r="D86" s="87" t="str">
        <f>VLOOKUP($A86,'Выгр Кат'!$A:$R,D$1,0)</f>
        <v>Y</v>
      </c>
      <c r="E86" s="87" t="str">
        <f>VLOOKUP($A86,'Выгр Кат'!$A:$R,E$1,0)</f>
        <v>1</v>
      </c>
      <c r="F86" s="87" t="str">
        <f>VLOOKUP($A86,'Выгр Кат'!$A:$R,F$1,0)</f>
        <v>270222S</v>
      </c>
      <c r="G86" s="5" t="s">
        <v>13</v>
      </c>
      <c r="H86" s="14" t="s">
        <v>51</v>
      </c>
      <c r="I86" s="77">
        <f>VLOOKUP(G86,'отчет Eplex'!$B:$E,4,0)</f>
        <v>1999</v>
      </c>
      <c r="J86" s="14" t="s">
        <v>3</v>
      </c>
      <c r="K86" s="63">
        <v>2</v>
      </c>
      <c r="L86" s="98">
        <f t="shared" si="13"/>
        <v>4398</v>
      </c>
      <c r="M86" s="14">
        <f>VLOOKUP(L86,Наценка!$A$1:$B$8,2,1)</f>
        <v>1.47</v>
      </c>
      <c r="N86" s="106">
        <f>L86*1.23*100/93</f>
        <v>5816.7096774193551</v>
      </c>
      <c r="O86" s="98">
        <f t="shared" si="22"/>
        <v>5890</v>
      </c>
      <c r="P86" s="87">
        <f>VLOOKUP($A86,'Выгр Кат'!$A:$R,P$1,0)</f>
        <v>4397.8</v>
      </c>
      <c r="Q86" s="87">
        <f>VLOOKUP($A86,'Выгр Кат'!$A:$R,Q$1,0)</f>
        <v>5890</v>
      </c>
      <c r="R86" s="75">
        <f t="shared" si="15"/>
        <v>-0.1999999999998181</v>
      </c>
      <c r="S86" s="75">
        <f t="shared" si="16"/>
        <v>0</v>
      </c>
      <c r="T86" s="96">
        <f t="shared" si="17"/>
        <v>4.5475216007234676E-5</v>
      </c>
      <c r="U86" s="76">
        <f t="shared" si="18"/>
        <v>5477.7</v>
      </c>
      <c r="V86" s="94">
        <f>IFERROR((VLOOKUP($A86,'Из ГУГЛа'!$B:$G,V$1,0)+X86)*W86,VLOOKUP($A86,'Из ГУГЛа'!$B:$G,V$1,0))</f>
        <v>5290</v>
      </c>
      <c r="W86" s="70">
        <v>1</v>
      </c>
      <c r="X86" s="70"/>
      <c r="Y86" s="89">
        <f t="shared" si="19"/>
        <v>0.24549795361527971</v>
      </c>
      <c r="Z86" s="89">
        <f t="shared" si="20"/>
        <v>-3.5482041587901664E-2</v>
      </c>
      <c r="AA86" s="89">
        <f t="shared" si="21"/>
        <v>0.20281946339245116</v>
      </c>
      <c r="AB86" s="95">
        <v>5290</v>
      </c>
      <c r="AC86" s="18" t="s">
        <v>4443</v>
      </c>
    </row>
    <row r="87" spans="1:29" ht="30.75" thickTop="1">
      <c r="A87" s="77">
        <v>219509</v>
      </c>
      <c r="B87" s="87">
        <f>VLOOKUP($A87,'Выгр Кат'!$A:$R,B$1,0)</f>
        <v>29451</v>
      </c>
      <c r="C87" s="88" t="str">
        <f>VLOOKUP($A87,'Выгр Кат'!$A:$R,C$1,0)</f>
        <v>Тормозные диски ASP MENSAN задние для Лада Веста, XRAY</v>
      </c>
      <c r="D87" s="87" t="str">
        <f>VLOOKUP($A87,'Выгр Кат'!$A:$R,D$1,0)</f>
        <v>Y</v>
      </c>
      <c r="E87" s="87" t="str">
        <f>VLOOKUP($A87,'Выгр Кат'!$A:$R,E$1,0)</f>
        <v>1</v>
      </c>
      <c r="F87" s="87" t="str">
        <f>VLOOKUP($A87,'Выгр Кат'!$A:$R,F$1,0)</f>
        <v>270122</v>
      </c>
      <c r="G87" s="64">
        <v>270122</v>
      </c>
      <c r="H87" s="14" t="s">
        <v>51</v>
      </c>
      <c r="I87" s="77">
        <f>VLOOKUP(G87,'отчет Eplex'!$B:$E,4,0)</f>
        <v>0</v>
      </c>
      <c r="J87" s="14" t="s">
        <v>3</v>
      </c>
      <c r="K87" s="63">
        <v>2</v>
      </c>
      <c r="L87" s="97">
        <f>P87</f>
        <v>2300</v>
      </c>
      <c r="M87" s="14">
        <f>VLOOKUP(L87,Наценка!$A$1:$B$8,2,1)</f>
        <v>1.47</v>
      </c>
      <c r="N87" s="99">
        <f t="shared" si="14"/>
        <v>3381</v>
      </c>
      <c r="O87" s="98">
        <f t="shared" si="22"/>
        <v>3390</v>
      </c>
      <c r="P87" s="87">
        <f>VLOOKUP($A87,'Выгр Кат'!$A:$R,P$1,0)</f>
        <v>2300</v>
      </c>
      <c r="Q87" s="87">
        <f>VLOOKUP($A87,'Выгр Кат'!$A:$R,Q$1,0)</f>
        <v>3390</v>
      </c>
      <c r="R87" s="75">
        <f t="shared" si="15"/>
        <v>0</v>
      </c>
      <c r="S87" s="75">
        <f t="shared" si="16"/>
        <v>0</v>
      </c>
      <c r="T87" s="96">
        <f t="shared" si="17"/>
        <v>0</v>
      </c>
      <c r="U87" s="76">
        <f t="shared" si="18"/>
        <v>3152.7</v>
      </c>
      <c r="V87" s="94" t="str">
        <f>IFERROR((VLOOKUP($A87,'Из ГУГЛа'!$B:$G,V$1,0)+X87)*W87,VLOOKUP($A87,'Из ГУГЛа'!$B:$G,V$1,0))</f>
        <v/>
      </c>
      <c r="W87" s="70">
        <v>1</v>
      </c>
      <c r="X87" s="70"/>
      <c r="Y87" s="89">
        <f t="shared" si="19"/>
        <v>0.37073913043478246</v>
      </c>
      <c r="Z87" s="89" t="str">
        <f t="shared" si="20"/>
        <v/>
      </c>
      <c r="AA87" s="89" t="str">
        <f t="shared" si="21"/>
        <v/>
      </c>
      <c r="AB87" s="90"/>
    </row>
    <row r="91" spans="1:29">
      <c r="N91" s="99">
        <f t="shared" ref="N91" si="23">L91*M91</f>
        <v>0</v>
      </c>
    </row>
    <row r="92" spans="1:29">
      <c r="N92" s="100">
        <f>AB92*1</f>
        <v>0</v>
      </c>
    </row>
    <row r="93" spans="1:29">
      <c r="N93" s="101">
        <f>AB93*1.02</f>
        <v>0</v>
      </c>
    </row>
    <row r="94" spans="1:29">
      <c r="N94" s="102">
        <f>AB94*1.04</f>
        <v>0</v>
      </c>
    </row>
    <row r="95" spans="1:29">
      <c r="N95" s="103">
        <f>AB95*1.05</f>
        <v>0</v>
      </c>
    </row>
    <row r="96" spans="1:29">
      <c r="N96" s="103">
        <f>AB96*1.06</f>
        <v>0</v>
      </c>
    </row>
    <row r="97" spans="14:14">
      <c r="N97" s="104">
        <f>AB97*1.07</f>
        <v>0</v>
      </c>
    </row>
    <row r="98" spans="14:14">
      <c r="N98" s="105">
        <f>AB98*1.08</f>
        <v>0</v>
      </c>
    </row>
    <row r="99" spans="14:14">
      <c r="N99" s="106">
        <f>L99*1.23*100/93</f>
        <v>0</v>
      </c>
    </row>
  </sheetData>
  <autoFilter ref="A2:AC87" xr:uid="{00000000-0001-0000-0000-000000000000}"/>
  <conditionalFormatting sqref="G1:G1048576">
    <cfRule type="duplicateValues" dxfId="8" priority="19"/>
  </conditionalFormatting>
  <conditionalFormatting sqref="Z3:Z87">
    <cfRule type="cellIs" dxfId="7" priority="6" operator="lessThan">
      <formula>0%</formula>
    </cfRule>
  </conditionalFormatting>
  <conditionalFormatting sqref="AA3:AA87 Y3:Y87">
    <cfRule type="cellIs" dxfId="6" priority="5" operator="lessThan">
      <formula>$U$1</formula>
    </cfRule>
  </conditionalFormatting>
  <conditionalFormatting sqref="V3:V87">
    <cfRule type="expression" dxfId="5" priority="4">
      <formula>VALUE(V3)&lt;&gt;AB3</formula>
    </cfRule>
  </conditionalFormatting>
  <conditionalFormatting sqref="C3:C87">
    <cfRule type="expression" dxfId="4" priority="2">
      <formula>OR(D3="N",E3="0")</formula>
    </cfRule>
  </conditionalFormatting>
  <conditionalFormatting sqref="T3:T87">
    <cfRule type="cellIs" dxfId="3" priority="1" operator="greaterThan">
      <formula>0.2</formula>
    </cfRule>
  </conditionalFormatting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A6F5A-DA73-4F6C-AB77-A60C8B2DB776}">
  <sheetPr codeName="Лист2"/>
  <dimension ref="A1:D87"/>
  <sheetViews>
    <sheetView topLeftCell="A64" workbookViewId="0">
      <selection activeCell="B90" sqref="B90"/>
    </sheetView>
  </sheetViews>
  <sheetFormatPr defaultRowHeight="15"/>
  <cols>
    <col min="1" max="1" width="6" style="41" customWidth="1"/>
    <col min="2" max="2" width="13.7109375" style="41" customWidth="1"/>
    <col min="3" max="3" width="10" style="11" customWidth="1"/>
    <col min="4" max="4" width="11" style="11" customWidth="1"/>
  </cols>
  <sheetData>
    <row r="1" spans="1:4">
      <c r="D1" s="59">
        <v>0</v>
      </c>
    </row>
    <row r="2" spans="1:4">
      <c r="A2" s="4" t="s">
        <v>1</v>
      </c>
      <c r="B2" s="4" t="s">
        <v>308</v>
      </c>
      <c r="C2" s="15" t="s">
        <v>4413</v>
      </c>
      <c r="D2" s="40" t="s">
        <v>4411</v>
      </c>
    </row>
    <row r="3" spans="1:4">
      <c r="A3" s="3">
        <v>29491</v>
      </c>
      <c r="B3" s="5" t="s">
        <v>4409</v>
      </c>
      <c r="C3" s="14" t="s">
        <v>51</v>
      </c>
      <c r="D3" s="9">
        <v>130</v>
      </c>
    </row>
    <row r="4" spans="1:4">
      <c r="A4" s="3">
        <v>29492</v>
      </c>
      <c r="B4" s="5" t="s">
        <v>34</v>
      </c>
      <c r="C4" s="14" t="s">
        <v>51</v>
      </c>
      <c r="D4" s="9">
        <v>125</v>
      </c>
    </row>
    <row r="5" spans="1:4">
      <c r="A5" s="3">
        <v>29493</v>
      </c>
      <c r="B5" s="5" t="s">
        <v>4410</v>
      </c>
      <c r="C5" s="14" t="s">
        <v>51</v>
      </c>
      <c r="D5" s="9">
        <v>155</v>
      </c>
    </row>
    <row r="6" spans="1:4">
      <c r="A6" s="3">
        <v>36337</v>
      </c>
      <c r="B6" s="5" t="s">
        <v>45</v>
      </c>
      <c r="C6" s="14" t="s">
        <v>51</v>
      </c>
      <c r="D6" s="9">
        <v>164</v>
      </c>
    </row>
    <row r="7" spans="1:4">
      <c r="A7" s="3">
        <v>29459</v>
      </c>
      <c r="B7" s="5" t="s">
        <v>19</v>
      </c>
      <c r="C7" s="14" t="s">
        <v>51</v>
      </c>
      <c r="D7" s="9">
        <v>337</v>
      </c>
    </row>
    <row r="8" spans="1:4">
      <c r="A8" s="6">
        <v>29476</v>
      </c>
      <c r="B8" s="5" t="s">
        <v>26</v>
      </c>
      <c r="C8" s="14" t="s">
        <v>51</v>
      </c>
      <c r="D8" s="9">
        <v>357</v>
      </c>
    </row>
    <row r="9" spans="1:4">
      <c r="A9" s="3">
        <v>29496</v>
      </c>
      <c r="B9" s="5" t="s">
        <v>36</v>
      </c>
      <c r="C9" s="14" t="s">
        <v>51</v>
      </c>
      <c r="D9" s="9">
        <v>395</v>
      </c>
    </row>
    <row r="10" spans="1:4">
      <c r="A10" s="6">
        <v>29461</v>
      </c>
      <c r="B10" s="5" t="s">
        <v>20</v>
      </c>
      <c r="C10" s="14" t="s">
        <v>51</v>
      </c>
      <c r="D10" s="9">
        <v>388</v>
      </c>
    </row>
    <row r="11" spans="1:4">
      <c r="A11" s="6">
        <v>29464</v>
      </c>
      <c r="B11" s="5" t="s">
        <v>22</v>
      </c>
      <c r="C11" s="14" t="s">
        <v>51</v>
      </c>
      <c r="D11" s="9">
        <v>371</v>
      </c>
    </row>
    <row r="12" spans="1:4">
      <c r="A12" s="3">
        <v>29462</v>
      </c>
      <c r="B12" s="5" t="s">
        <v>21</v>
      </c>
      <c r="C12" s="14" t="s">
        <v>51</v>
      </c>
      <c r="D12" s="9">
        <v>371</v>
      </c>
    </row>
    <row r="13" spans="1:4">
      <c r="A13" s="6">
        <v>29498</v>
      </c>
      <c r="B13" s="5" t="s">
        <v>37</v>
      </c>
      <c r="C13" s="14" t="s">
        <v>51</v>
      </c>
      <c r="D13" s="9">
        <v>415</v>
      </c>
    </row>
    <row r="14" spans="1:4">
      <c r="A14" s="6">
        <v>29490</v>
      </c>
      <c r="B14" s="5" t="s">
        <v>33</v>
      </c>
      <c r="C14" s="14" t="s">
        <v>51</v>
      </c>
      <c r="D14" s="9">
        <v>464</v>
      </c>
    </row>
    <row r="15" spans="1:4">
      <c r="A15" s="6">
        <v>29485</v>
      </c>
      <c r="B15" s="5" t="s">
        <v>31</v>
      </c>
      <c r="C15" s="14" t="s">
        <v>51</v>
      </c>
      <c r="D15" s="9">
        <v>435</v>
      </c>
    </row>
    <row r="16" spans="1:4">
      <c r="A16" s="3">
        <v>29487</v>
      </c>
      <c r="B16" s="5" t="s">
        <v>362</v>
      </c>
      <c r="C16" s="14" t="s">
        <v>51</v>
      </c>
      <c r="D16" s="9">
        <v>503</v>
      </c>
    </row>
    <row r="17" spans="1:4">
      <c r="A17" s="6">
        <v>29502</v>
      </c>
      <c r="B17" s="5" t="s">
        <v>41</v>
      </c>
      <c r="C17" s="14" t="s">
        <v>51</v>
      </c>
      <c r="D17" s="9">
        <v>506</v>
      </c>
    </row>
    <row r="18" spans="1:4">
      <c r="A18" s="6">
        <v>29454</v>
      </c>
      <c r="B18" s="5" t="s">
        <v>17</v>
      </c>
      <c r="C18" s="14" t="s">
        <v>51</v>
      </c>
      <c r="D18" s="9">
        <v>539</v>
      </c>
    </row>
    <row r="19" spans="1:4">
      <c r="A19" s="3">
        <v>29479</v>
      </c>
      <c r="B19" s="5" t="s">
        <v>28</v>
      </c>
      <c r="C19" s="14" t="s">
        <v>51</v>
      </c>
      <c r="D19" s="9">
        <v>612</v>
      </c>
    </row>
    <row r="20" spans="1:4">
      <c r="A20" s="3">
        <v>29481</v>
      </c>
      <c r="B20" s="5" t="s">
        <v>29</v>
      </c>
      <c r="C20" s="14" t="s">
        <v>51</v>
      </c>
      <c r="D20" s="9">
        <v>635</v>
      </c>
    </row>
    <row r="21" spans="1:4">
      <c r="A21" s="6">
        <v>29456</v>
      </c>
      <c r="B21" s="5" t="s">
        <v>18</v>
      </c>
      <c r="C21" s="14" t="s">
        <v>51</v>
      </c>
      <c r="D21" s="9">
        <v>557</v>
      </c>
    </row>
    <row r="22" spans="1:4">
      <c r="A22" s="6">
        <v>29468</v>
      </c>
      <c r="B22" s="5" t="s">
        <v>24</v>
      </c>
      <c r="C22" s="14" t="s">
        <v>51</v>
      </c>
      <c r="D22" s="9">
        <v>562</v>
      </c>
    </row>
    <row r="23" spans="1:4">
      <c r="A23" s="6">
        <v>29483</v>
      </c>
      <c r="B23" s="5" t="s">
        <v>30</v>
      </c>
      <c r="C23" s="14" t="s">
        <v>51</v>
      </c>
      <c r="D23" s="9">
        <v>514</v>
      </c>
    </row>
    <row r="24" spans="1:4">
      <c r="A24" s="3">
        <v>29478</v>
      </c>
      <c r="B24" s="5" t="s">
        <v>27</v>
      </c>
      <c r="C24" s="14" t="s">
        <v>51</v>
      </c>
      <c r="D24" s="9">
        <v>1003</v>
      </c>
    </row>
    <row r="25" spans="1:4">
      <c r="A25" s="3">
        <v>29494</v>
      </c>
      <c r="B25" s="5" t="s">
        <v>35</v>
      </c>
      <c r="C25" s="14" t="s">
        <v>51</v>
      </c>
      <c r="D25" s="9">
        <v>610</v>
      </c>
    </row>
    <row r="26" spans="1:4">
      <c r="A26" s="3">
        <v>29499</v>
      </c>
      <c r="B26" s="5" t="s">
        <v>38</v>
      </c>
      <c r="C26" s="14" t="s">
        <v>51</v>
      </c>
      <c r="D26" s="9">
        <v>625</v>
      </c>
    </row>
    <row r="27" spans="1:4">
      <c r="A27" s="6">
        <v>29489</v>
      </c>
      <c r="B27" s="5" t="s">
        <v>241</v>
      </c>
      <c r="C27" s="14" t="s">
        <v>51</v>
      </c>
      <c r="D27" s="9">
        <v>635</v>
      </c>
    </row>
    <row r="28" spans="1:4">
      <c r="A28" s="6">
        <v>29453</v>
      </c>
      <c r="B28" s="5" t="s">
        <v>16</v>
      </c>
      <c r="C28" s="14" t="s">
        <v>51</v>
      </c>
      <c r="D28" s="9">
        <v>645</v>
      </c>
    </row>
    <row r="29" spans="1:4">
      <c r="A29" s="6">
        <v>29500</v>
      </c>
      <c r="B29" s="5" t="s">
        <v>39</v>
      </c>
      <c r="C29" s="14" t="s">
        <v>51</v>
      </c>
      <c r="D29" s="9">
        <v>675</v>
      </c>
    </row>
    <row r="30" spans="1:4">
      <c r="A30" s="3">
        <v>29501</v>
      </c>
      <c r="B30" s="5" t="s">
        <v>40</v>
      </c>
      <c r="C30" s="14" t="s">
        <v>51</v>
      </c>
      <c r="D30" s="9">
        <v>726</v>
      </c>
    </row>
    <row r="31" spans="1:4">
      <c r="A31" s="6">
        <v>29465</v>
      </c>
      <c r="B31" s="5" t="s">
        <v>23</v>
      </c>
      <c r="C31" s="14" t="s">
        <v>51</v>
      </c>
      <c r="D31" s="9">
        <v>521</v>
      </c>
    </row>
    <row r="32" spans="1:4">
      <c r="A32" s="3">
        <v>29452</v>
      </c>
      <c r="B32" s="5" t="s">
        <v>4408</v>
      </c>
      <c r="C32" s="14" t="s">
        <v>51</v>
      </c>
      <c r="D32" s="9">
        <v>1306</v>
      </c>
    </row>
    <row r="33" spans="1:4">
      <c r="A33" s="3">
        <v>29475</v>
      </c>
      <c r="B33" s="5" t="s">
        <v>25</v>
      </c>
      <c r="C33" s="14" t="s">
        <v>51</v>
      </c>
      <c r="D33" s="9">
        <v>839</v>
      </c>
    </row>
    <row r="34" spans="1:4">
      <c r="A34" s="3">
        <v>29428</v>
      </c>
      <c r="B34" s="13" t="s">
        <v>4</v>
      </c>
      <c r="C34" s="14" t="s">
        <v>51</v>
      </c>
      <c r="D34" s="9">
        <v>2200</v>
      </c>
    </row>
    <row r="35" spans="1:4">
      <c r="A35" s="6">
        <v>29417</v>
      </c>
      <c r="B35" s="5" t="s">
        <v>2</v>
      </c>
      <c r="C35" s="14" t="s">
        <v>51</v>
      </c>
      <c r="D35" s="9">
        <v>2500</v>
      </c>
    </row>
    <row r="36" spans="1:4">
      <c r="A36" s="6">
        <v>29477</v>
      </c>
      <c r="B36" s="5" t="s">
        <v>42</v>
      </c>
      <c r="C36" s="14" t="s">
        <v>51</v>
      </c>
      <c r="D36" s="9">
        <v>401</v>
      </c>
    </row>
    <row r="37" spans="1:4">
      <c r="A37" s="3">
        <v>36837</v>
      </c>
      <c r="B37" s="5" t="s">
        <v>58</v>
      </c>
      <c r="C37" s="14" t="s">
        <v>51</v>
      </c>
      <c r="D37" s="9">
        <v>373</v>
      </c>
    </row>
    <row r="38" spans="1:4">
      <c r="A38" s="6">
        <v>36838</v>
      </c>
      <c r="B38" s="5" t="s">
        <v>63</v>
      </c>
      <c r="C38" s="14" t="s">
        <v>51</v>
      </c>
      <c r="D38" s="9">
        <v>895</v>
      </c>
    </row>
    <row r="39" spans="1:4">
      <c r="A39" s="3">
        <v>36839</v>
      </c>
      <c r="B39" s="5" t="s">
        <v>64</v>
      </c>
      <c r="C39" s="14" t="s">
        <v>51</v>
      </c>
      <c r="D39" s="9">
        <v>895</v>
      </c>
    </row>
    <row r="40" spans="1:4">
      <c r="A40" s="3">
        <v>36840</v>
      </c>
      <c r="B40" s="5" t="s">
        <v>69</v>
      </c>
      <c r="C40" s="14" t="s">
        <v>51</v>
      </c>
      <c r="D40" s="9">
        <v>446</v>
      </c>
    </row>
    <row r="41" spans="1:4">
      <c r="A41" s="6">
        <v>36841</v>
      </c>
      <c r="B41" s="5" t="s">
        <v>59</v>
      </c>
      <c r="C41" s="14" t="s">
        <v>51</v>
      </c>
      <c r="D41" s="9">
        <v>1767</v>
      </c>
    </row>
    <row r="42" spans="1:4">
      <c r="A42" s="6">
        <v>36842</v>
      </c>
      <c r="B42" s="5" t="s">
        <v>62</v>
      </c>
      <c r="C42" s="14" t="s">
        <v>51</v>
      </c>
      <c r="D42" s="9">
        <v>1626</v>
      </c>
    </row>
    <row r="43" spans="1:4">
      <c r="A43" s="3">
        <v>36843</v>
      </c>
      <c r="B43" s="5" t="s">
        <v>66</v>
      </c>
      <c r="C43" s="14" t="s">
        <v>51</v>
      </c>
      <c r="D43" s="9">
        <v>1193</v>
      </c>
    </row>
    <row r="44" spans="1:4">
      <c r="A44" s="3">
        <v>36844</v>
      </c>
      <c r="B44" s="5" t="s">
        <v>68</v>
      </c>
      <c r="C44" s="14" t="s">
        <v>51</v>
      </c>
      <c r="D44" s="9">
        <v>1343</v>
      </c>
    </row>
    <row r="45" spans="1:4">
      <c r="A45" s="3">
        <v>36845</v>
      </c>
      <c r="B45" s="5" t="s">
        <v>273</v>
      </c>
      <c r="C45" s="14" t="s">
        <v>51</v>
      </c>
      <c r="D45" s="9">
        <v>2050</v>
      </c>
    </row>
    <row r="46" spans="1:4">
      <c r="A46" s="3">
        <v>36846</v>
      </c>
      <c r="B46" s="5" t="s">
        <v>274</v>
      </c>
      <c r="C46" s="14" t="s">
        <v>51</v>
      </c>
      <c r="D46" s="9">
        <v>1486</v>
      </c>
    </row>
    <row r="47" spans="1:4">
      <c r="A47" s="3">
        <v>36847</v>
      </c>
      <c r="B47" s="5" t="s">
        <v>275</v>
      </c>
      <c r="C47" s="14" t="s">
        <v>51</v>
      </c>
      <c r="D47" s="9">
        <v>1635</v>
      </c>
    </row>
    <row r="48" spans="1:4">
      <c r="A48" s="6">
        <v>36848</v>
      </c>
      <c r="B48" s="5" t="s">
        <v>283</v>
      </c>
      <c r="C48" s="14" t="s">
        <v>51</v>
      </c>
      <c r="D48" s="9">
        <v>1188</v>
      </c>
    </row>
    <row r="49" spans="1:4">
      <c r="A49" s="3">
        <v>36849</v>
      </c>
      <c r="B49" s="5" t="s">
        <v>285</v>
      </c>
      <c r="C49" s="14" t="s">
        <v>51</v>
      </c>
      <c r="D49" s="9">
        <v>1090</v>
      </c>
    </row>
    <row r="50" spans="1:4">
      <c r="A50" s="6">
        <v>36850</v>
      </c>
      <c r="B50" s="5" t="s">
        <v>286</v>
      </c>
      <c r="C50" s="14" t="s">
        <v>51</v>
      </c>
      <c r="D50" s="9">
        <v>990</v>
      </c>
    </row>
    <row r="51" spans="1:4">
      <c r="A51" s="3">
        <v>36851</v>
      </c>
      <c r="B51" s="5" t="s">
        <v>287</v>
      </c>
      <c r="C51" s="14" t="s">
        <v>51</v>
      </c>
      <c r="D51" s="9">
        <v>1437</v>
      </c>
    </row>
    <row r="52" spans="1:4">
      <c r="A52" s="6">
        <v>36852</v>
      </c>
      <c r="B52" s="5" t="s">
        <v>289</v>
      </c>
      <c r="C52" s="14" t="s">
        <v>51</v>
      </c>
      <c r="D52" s="9">
        <v>1684</v>
      </c>
    </row>
    <row r="53" spans="1:4">
      <c r="A53" s="6">
        <v>36853</v>
      </c>
      <c r="B53" s="5" t="s">
        <v>291</v>
      </c>
      <c r="C53" s="14" t="s">
        <v>51</v>
      </c>
      <c r="D53" s="9">
        <v>1487</v>
      </c>
    </row>
    <row r="54" spans="1:4">
      <c r="A54" s="6">
        <v>36854</v>
      </c>
      <c r="B54" s="5" t="s">
        <v>292</v>
      </c>
      <c r="C54" s="14" t="s">
        <v>51</v>
      </c>
      <c r="D54" s="9">
        <v>1402</v>
      </c>
    </row>
    <row r="55" spans="1:4">
      <c r="A55" s="3">
        <v>36855</v>
      </c>
      <c r="B55" s="5" t="s">
        <v>294</v>
      </c>
      <c r="C55" s="14" t="s">
        <v>51</v>
      </c>
      <c r="D55" s="9">
        <v>1685</v>
      </c>
    </row>
    <row r="56" spans="1:4">
      <c r="A56" s="6">
        <v>36856</v>
      </c>
      <c r="B56" s="5" t="s">
        <v>296</v>
      </c>
      <c r="C56" s="14" t="s">
        <v>51</v>
      </c>
      <c r="D56" s="9">
        <v>1327</v>
      </c>
    </row>
    <row r="57" spans="1:4">
      <c r="A57" s="3">
        <v>36866</v>
      </c>
      <c r="B57" s="5" t="s">
        <v>298</v>
      </c>
      <c r="C57" s="14" t="s">
        <v>51</v>
      </c>
      <c r="D57" s="9">
        <v>1601</v>
      </c>
    </row>
    <row r="58" spans="1:4">
      <c r="A58" s="3">
        <v>36868</v>
      </c>
      <c r="B58" s="5" t="s">
        <v>72</v>
      </c>
      <c r="C58" s="14" t="s">
        <v>51</v>
      </c>
      <c r="D58" s="9">
        <v>110</v>
      </c>
    </row>
    <row r="59" spans="1:4">
      <c r="A59" s="3">
        <v>36871</v>
      </c>
      <c r="B59" s="5" t="s">
        <v>129</v>
      </c>
      <c r="C59" s="14" t="s">
        <v>51</v>
      </c>
      <c r="D59" s="9">
        <v>2824</v>
      </c>
    </row>
    <row r="60" spans="1:4">
      <c r="A60" s="3">
        <v>36872</v>
      </c>
      <c r="B60" s="5" t="s">
        <v>131</v>
      </c>
      <c r="C60" s="14" t="s">
        <v>51</v>
      </c>
      <c r="D60" s="9">
        <v>2824</v>
      </c>
    </row>
    <row r="61" spans="1:4">
      <c r="A61" s="6">
        <v>36875</v>
      </c>
      <c r="B61" s="5" t="s">
        <v>157</v>
      </c>
      <c r="C61" s="14" t="s">
        <v>51</v>
      </c>
      <c r="D61" s="9">
        <v>530</v>
      </c>
    </row>
    <row r="62" spans="1:4">
      <c r="A62" s="3">
        <v>36876</v>
      </c>
      <c r="B62" s="5" t="s">
        <v>159</v>
      </c>
      <c r="C62" s="14" t="s">
        <v>51</v>
      </c>
      <c r="D62" s="9">
        <v>650</v>
      </c>
    </row>
    <row r="63" spans="1:4">
      <c r="A63" s="6">
        <v>36877</v>
      </c>
      <c r="B63" s="5" t="s">
        <v>165</v>
      </c>
      <c r="C63" s="14" t="s">
        <v>51</v>
      </c>
      <c r="D63" s="9">
        <v>1326</v>
      </c>
    </row>
    <row r="64" spans="1:4">
      <c r="A64" s="3">
        <v>36881</v>
      </c>
      <c r="B64" s="13" t="s">
        <v>307</v>
      </c>
      <c r="C64" s="14" t="s">
        <v>51</v>
      </c>
      <c r="D64" s="9">
        <v>2503</v>
      </c>
    </row>
    <row r="65" spans="1:4">
      <c r="A65" s="6">
        <v>36883</v>
      </c>
      <c r="B65" s="5" t="s">
        <v>230</v>
      </c>
      <c r="C65" s="14" t="s">
        <v>51</v>
      </c>
      <c r="D65" s="9">
        <v>853</v>
      </c>
    </row>
    <row r="66" spans="1:4">
      <c r="A66" s="2">
        <v>41048</v>
      </c>
      <c r="B66" s="39" t="s">
        <v>314</v>
      </c>
      <c r="C66" s="14" t="s">
        <v>51</v>
      </c>
      <c r="D66" s="9">
        <v>446</v>
      </c>
    </row>
    <row r="67" spans="1:4">
      <c r="A67" s="1">
        <v>41064</v>
      </c>
      <c r="B67" s="9" t="s">
        <v>93</v>
      </c>
      <c r="C67" s="14" t="s">
        <v>51</v>
      </c>
      <c r="D67" s="9">
        <v>650</v>
      </c>
    </row>
    <row r="68" spans="1:4">
      <c r="A68" s="1">
        <v>41066</v>
      </c>
      <c r="B68" s="9" t="s">
        <v>95</v>
      </c>
      <c r="C68" s="14" t="s">
        <v>51</v>
      </c>
      <c r="D68" s="9">
        <v>440</v>
      </c>
    </row>
    <row r="69" spans="1:4">
      <c r="A69" s="1">
        <v>41081</v>
      </c>
      <c r="B69" s="9" t="s">
        <v>137</v>
      </c>
      <c r="C69" s="14" t="s">
        <v>51</v>
      </c>
      <c r="D69" s="9">
        <v>542</v>
      </c>
    </row>
    <row r="70" spans="1:4">
      <c r="A70" s="1">
        <v>41088</v>
      </c>
      <c r="B70" s="9" t="s">
        <v>139</v>
      </c>
      <c r="C70" s="14" t="s">
        <v>51</v>
      </c>
      <c r="D70" s="9">
        <v>550</v>
      </c>
    </row>
    <row r="71" spans="1:4">
      <c r="A71" s="1">
        <v>41089</v>
      </c>
      <c r="B71" s="9" t="s">
        <v>339</v>
      </c>
      <c r="C71" s="14" t="s">
        <v>51</v>
      </c>
      <c r="D71" s="9">
        <v>1184</v>
      </c>
    </row>
    <row r="72" spans="1:4">
      <c r="A72" s="1">
        <v>41101</v>
      </c>
      <c r="B72" s="9" t="s">
        <v>341</v>
      </c>
      <c r="C72" s="14" t="s">
        <v>51</v>
      </c>
      <c r="D72" s="9">
        <v>1243</v>
      </c>
    </row>
    <row r="73" spans="1:4">
      <c r="A73" s="1">
        <v>41113</v>
      </c>
      <c r="B73" s="9" t="s">
        <v>299</v>
      </c>
      <c r="C73" s="14" t="s">
        <v>51</v>
      </c>
      <c r="D73" s="9">
        <v>3963</v>
      </c>
    </row>
    <row r="74" spans="1:4">
      <c r="A74" s="1">
        <v>41117</v>
      </c>
      <c r="B74" s="9" t="s">
        <v>327</v>
      </c>
      <c r="C74" s="14" t="s">
        <v>51</v>
      </c>
      <c r="D74" s="9">
        <v>3534</v>
      </c>
    </row>
    <row r="75" spans="1:4">
      <c r="A75" s="61">
        <v>41122</v>
      </c>
      <c r="B75" s="9" t="s">
        <v>328</v>
      </c>
      <c r="C75" s="14" t="s">
        <v>51</v>
      </c>
      <c r="D75" s="9">
        <v>3728</v>
      </c>
    </row>
    <row r="76" spans="1:4">
      <c r="A76" s="61">
        <v>41136</v>
      </c>
      <c r="B76" s="9" t="s">
        <v>329</v>
      </c>
      <c r="C76" s="14" t="s">
        <v>51</v>
      </c>
      <c r="D76" s="9">
        <v>3841</v>
      </c>
    </row>
    <row r="77" spans="1:4">
      <c r="A77" s="1">
        <v>41301</v>
      </c>
      <c r="B77" s="9" t="s">
        <v>330</v>
      </c>
      <c r="C77" s="14" t="s">
        <v>51</v>
      </c>
      <c r="D77" s="9">
        <v>5266</v>
      </c>
    </row>
    <row r="78" spans="1:4">
      <c r="A78" s="61">
        <v>29432</v>
      </c>
      <c r="B78" s="58" t="s">
        <v>6</v>
      </c>
      <c r="C78" s="14" t="s">
        <v>51</v>
      </c>
      <c r="D78" s="9">
        <v>1890</v>
      </c>
    </row>
    <row r="79" spans="1:4">
      <c r="A79" s="61">
        <v>29433</v>
      </c>
      <c r="B79" s="13" t="s">
        <v>7</v>
      </c>
      <c r="C79" s="14" t="s">
        <v>51</v>
      </c>
      <c r="D79" s="9">
        <v>2210</v>
      </c>
    </row>
    <row r="80" spans="1:4">
      <c r="A80" s="61">
        <v>29439</v>
      </c>
      <c r="B80" s="13" t="s">
        <v>9</v>
      </c>
      <c r="C80" s="14" t="s">
        <v>51</v>
      </c>
      <c r="D80" s="9">
        <v>5644</v>
      </c>
    </row>
    <row r="81" spans="1:4">
      <c r="A81" s="61">
        <v>29446</v>
      </c>
      <c r="B81" s="13" t="s">
        <v>11</v>
      </c>
      <c r="C81" s="14" t="s">
        <v>51</v>
      </c>
      <c r="D81" s="9">
        <v>5179</v>
      </c>
    </row>
    <row r="82" spans="1:4">
      <c r="A82" s="61">
        <v>29430</v>
      </c>
      <c r="B82" s="13" t="s">
        <v>5</v>
      </c>
      <c r="C82" s="14" t="s">
        <v>51</v>
      </c>
      <c r="D82" s="9">
        <v>1783</v>
      </c>
    </row>
    <row r="83" spans="1:4">
      <c r="A83" s="61">
        <v>29441</v>
      </c>
      <c r="B83" s="5" t="s">
        <v>10</v>
      </c>
      <c r="C83" s="14" t="s">
        <v>51</v>
      </c>
      <c r="D83" s="9">
        <v>3292</v>
      </c>
    </row>
    <row r="84" spans="1:4">
      <c r="A84" s="61">
        <v>29447</v>
      </c>
      <c r="B84" s="13" t="s">
        <v>12</v>
      </c>
      <c r="C84" s="14" t="s">
        <v>51</v>
      </c>
      <c r="D84" s="9">
        <v>3415</v>
      </c>
    </row>
    <row r="85" spans="1:4">
      <c r="A85" s="61">
        <v>29437</v>
      </c>
      <c r="B85" s="5" t="s">
        <v>8</v>
      </c>
      <c r="C85" s="14" t="s">
        <v>51</v>
      </c>
      <c r="D85" s="9">
        <v>2082</v>
      </c>
    </row>
    <row r="86" spans="1:4">
      <c r="A86" s="61">
        <v>29449</v>
      </c>
      <c r="B86" s="5" t="s">
        <v>13</v>
      </c>
      <c r="C86" s="14" t="s">
        <v>51</v>
      </c>
      <c r="D86" s="9">
        <v>5483</v>
      </c>
    </row>
    <row r="87" spans="1:4">
      <c r="A87" s="61">
        <v>29451</v>
      </c>
      <c r="B87" s="64">
        <v>270122</v>
      </c>
      <c r="C87" s="14" t="s">
        <v>51</v>
      </c>
      <c r="D87" s="9">
        <v>2300</v>
      </c>
    </row>
  </sheetData>
  <conditionalFormatting sqref="B88:B1048576 B1:B66">
    <cfRule type="duplicateValues" dxfId="2" priority="3"/>
  </conditionalFormatting>
  <conditionalFormatting sqref="B78:B86">
    <cfRule type="duplicateValues" dxfId="1" priority="2"/>
  </conditionalFormatting>
  <conditionalFormatting sqref="B87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DE76B-5A8A-4DB9-8B44-34270959A880}">
  <sheetPr codeName="Лист3"/>
  <dimension ref="A2:M87"/>
  <sheetViews>
    <sheetView showGridLines="0" showZeros="0" workbookViewId="0">
      <pane xSplit="7" ySplit="2" topLeftCell="H69" activePane="bottomRight" state="frozen"/>
      <selection pane="topRight"/>
      <selection pane="bottomLeft"/>
      <selection pane="bottomRight" activeCell="D89" sqref="D89"/>
    </sheetView>
  </sheetViews>
  <sheetFormatPr defaultColWidth="12.140625" defaultRowHeight="14.25" customHeight="1"/>
  <cols>
    <col min="1" max="1" width="4.28515625" style="41" customWidth="1"/>
    <col min="2" max="2" width="21.42578125" style="44" customWidth="1"/>
    <col min="3" max="3" width="21.42578125" style="43" customWidth="1"/>
    <col min="4" max="5" width="11.42578125" style="41" customWidth="1"/>
    <col min="6" max="7" width="21.42578125" style="42" customWidth="1"/>
    <col min="8" max="13" width="11.42578125" style="41" customWidth="1"/>
    <col min="14" max="16384" width="12.140625" style="41"/>
  </cols>
  <sheetData>
    <row r="2" spans="1:13" ht="14.25" customHeight="1">
      <c r="A2" s="55" t="s">
        <v>4420</v>
      </c>
      <c r="B2" s="57" t="s">
        <v>308</v>
      </c>
      <c r="C2" s="56" t="s">
        <v>4413</v>
      </c>
      <c r="D2" s="55" t="s">
        <v>48</v>
      </c>
      <c r="E2" s="55" t="s">
        <v>4419</v>
      </c>
      <c r="F2" s="54" t="s">
        <v>0</v>
      </c>
      <c r="G2" s="54" t="s">
        <v>4418</v>
      </c>
      <c r="H2" s="50" t="s">
        <v>4484</v>
      </c>
      <c r="I2" s="50" t="s">
        <v>4485</v>
      </c>
      <c r="J2" s="50" t="s">
        <v>4486</v>
      </c>
      <c r="K2" s="50" t="s">
        <v>4487</v>
      </c>
      <c r="L2" s="50" t="s">
        <v>4488</v>
      </c>
      <c r="M2" s="50" t="s">
        <v>4489</v>
      </c>
    </row>
    <row r="3" spans="1:13" ht="14.25" customHeight="1">
      <c r="A3" s="45">
        <v>2</v>
      </c>
      <c r="B3" s="49" t="s">
        <v>4409</v>
      </c>
      <c r="C3" s="48" t="s">
        <v>51</v>
      </c>
      <c r="D3" s="47">
        <v>130</v>
      </c>
      <c r="E3" s="45">
        <v>139.74</v>
      </c>
      <c r="F3" s="46" t="s">
        <v>4484</v>
      </c>
      <c r="G3" s="46" t="s">
        <v>4416</v>
      </c>
      <c r="H3" s="45">
        <v>139.74</v>
      </c>
      <c r="I3" s="45">
        <v>182</v>
      </c>
      <c r="J3" s="41">
        <v>163.51</v>
      </c>
      <c r="M3" s="45"/>
    </row>
    <row r="4" spans="1:13" ht="14.25" customHeight="1">
      <c r="A4" s="50">
        <v>3</v>
      </c>
      <c r="B4" s="52" t="s">
        <v>34</v>
      </c>
      <c r="C4" s="51" t="s">
        <v>51</v>
      </c>
      <c r="D4" s="47">
        <v>125</v>
      </c>
      <c r="E4" s="50">
        <v>125.14</v>
      </c>
      <c r="F4" s="53" t="s">
        <v>4484</v>
      </c>
      <c r="G4" s="53" t="s">
        <v>4416</v>
      </c>
      <c r="H4" s="50">
        <v>125.14</v>
      </c>
      <c r="I4" s="50">
        <v>137</v>
      </c>
      <c r="K4" s="41">
        <v>150</v>
      </c>
      <c r="M4" s="50"/>
    </row>
    <row r="5" spans="1:13" ht="14.25" customHeight="1">
      <c r="A5" s="45">
        <v>4</v>
      </c>
      <c r="B5" s="49" t="s">
        <v>4410</v>
      </c>
      <c r="C5" s="48" t="s">
        <v>51</v>
      </c>
      <c r="D5" s="47">
        <v>155</v>
      </c>
      <c r="E5" s="45">
        <v>148.08000000000001</v>
      </c>
      <c r="F5" s="46" t="s">
        <v>4484</v>
      </c>
      <c r="G5" s="46" t="s">
        <v>4416</v>
      </c>
      <c r="H5" s="45">
        <v>148.08000000000001</v>
      </c>
      <c r="I5" s="45">
        <v>193</v>
      </c>
      <c r="J5" s="41">
        <v>173.42</v>
      </c>
      <c r="M5" s="45"/>
    </row>
    <row r="6" spans="1:13" ht="14.25" customHeight="1">
      <c r="A6" s="50">
        <v>5</v>
      </c>
      <c r="B6" s="52" t="s">
        <v>45</v>
      </c>
      <c r="C6" s="51" t="s">
        <v>51</v>
      </c>
      <c r="D6" s="47">
        <v>164</v>
      </c>
      <c r="E6" s="50">
        <v>158.51</v>
      </c>
      <c r="F6" s="53" t="s">
        <v>4484</v>
      </c>
      <c r="G6" s="53" t="s">
        <v>4416</v>
      </c>
      <c r="H6" s="50">
        <v>158.51</v>
      </c>
      <c r="I6" s="50">
        <v>165</v>
      </c>
      <c r="J6" s="41">
        <v>160</v>
      </c>
      <c r="K6" s="50"/>
    </row>
    <row r="7" spans="1:13" ht="14.25" customHeight="1">
      <c r="A7" s="45">
        <v>6</v>
      </c>
      <c r="B7" s="49" t="s">
        <v>19</v>
      </c>
      <c r="C7" s="48" t="s">
        <v>51</v>
      </c>
      <c r="D7" s="47">
        <v>337</v>
      </c>
      <c r="E7" s="45">
        <v>347.58</v>
      </c>
      <c r="F7" s="46" t="s">
        <v>4487</v>
      </c>
      <c r="G7" s="46" t="s">
        <v>4416</v>
      </c>
      <c r="H7" s="45">
        <v>352.56</v>
      </c>
      <c r="I7" s="45">
        <v>366</v>
      </c>
      <c r="K7" s="41">
        <v>347.58</v>
      </c>
      <c r="L7" s="45"/>
    </row>
    <row r="8" spans="1:13" ht="14.25" customHeight="1">
      <c r="A8" s="50">
        <v>7</v>
      </c>
      <c r="B8" s="52" t="s">
        <v>26</v>
      </c>
      <c r="C8" s="51" t="s">
        <v>51</v>
      </c>
      <c r="D8" s="50">
        <v>357</v>
      </c>
      <c r="E8" s="47">
        <v>321</v>
      </c>
      <c r="F8" s="53" t="s">
        <v>4485</v>
      </c>
      <c r="G8" s="53" t="s">
        <v>4416</v>
      </c>
      <c r="H8" s="50">
        <v>321.18</v>
      </c>
      <c r="I8" s="41">
        <v>321</v>
      </c>
      <c r="K8" s="41">
        <v>360</v>
      </c>
      <c r="L8" s="50"/>
    </row>
    <row r="9" spans="1:13" ht="14.25" customHeight="1">
      <c r="A9" s="45">
        <v>8</v>
      </c>
      <c r="B9" s="49" t="s">
        <v>36</v>
      </c>
      <c r="C9" s="48" t="s">
        <v>51</v>
      </c>
      <c r="D9" s="45">
        <v>395</v>
      </c>
      <c r="E9" s="47">
        <v>527.66</v>
      </c>
      <c r="F9" s="46" t="s">
        <v>4484</v>
      </c>
      <c r="G9" s="46" t="s">
        <v>4416</v>
      </c>
      <c r="H9" s="45">
        <v>527.66</v>
      </c>
      <c r="I9" s="45"/>
      <c r="J9" s="45">
        <v>535</v>
      </c>
      <c r="L9" s="41">
        <v>532</v>
      </c>
    </row>
    <row r="10" spans="1:13" ht="14.25" customHeight="1">
      <c r="A10" s="50">
        <v>9</v>
      </c>
      <c r="B10" s="52" t="s">
        <v>20</v>
      </c>
      <c r="C10" s="51" t="s">
        <v>51</v>
      </c>
      <c r="D10" s="47">
        <v>388</v>
      </c>
      <c r="E10" s="50">
        <v>418.03</v>
      </c>
      <c r="F10" s="53" t="s">
        <v>4487</v>
      </c>
      <c r="G10" s="53" t="s">
        <v>4416</v>
      </c>
      <c r="H10" s="50">
        <v>422.33</v>
      </c>
      <c r="I10" s="50">
        <v>440</v>
      </c>
      <c r="K10" s="41">
        <v>418.03</v>
      </c>
      <c r="L10" s="50"/>
    </row>
    <row r="11" spans="1:13" ht="14.25" customHeight="1">
      <c r="A11" s="45">
        <v>10</v>
      </c>
      <c r="B11" s="49" t="s">
        <v>22</v>
      </c>
      <c r="C11" s="48" t="s">
        <v>51</v>
      </c>
      <c r="D11" s="45">
        <v>371</v>
      </c>
      <c r="E11" s="47">
        <v>422.73</v>
      </c>
      <c r="F11" s="46" t="s">
        <v>4487</v>
      </c>
      <c r="G11" s="46" t="s">
        <v>4416</v>
      </c>
      <c r="H11" s="45">
        <v>443.7</v>
      </c>
      <c r="I11" s="45">
        <v>445</v>
      </c>
      <c r="K11" s="45">
        <v>422.73</v>
      </c>
    </row>
    <row r="12" spans="1:13" ht="14.25" customHeight="1">
      <c r="A12" s="50">
        <v>11</v>
      </c>
      <c r="B12" s="52" t="s">
        <v>21</v>
      </c>
      <c r="C12" s="51" t="s">
        <v>51</v>
      </c>
      <c r="D12" s="50">
        <v>371</v>
      </c>
      <c r="E12" s="47">
        <v>427.43</v>
      </c>
      <c r="F12" s="53" t="s">
        <v>4487</v>
      </c>
      <c r="G12" s="53" t="s">
        <v>4416</v>
      </c>
      <c r="H12" s="50">
        <v>431.72</v>
      </c>
      <c r="I12" s="50">
        <v>450</v>
      </c>
      <c r="J12" s="50"/>
      <c r="K12" s="41">
        <v>427.43</v>
      </c>
    </row>
    <row r="13" spans="1:13" ht="14.25" customHeight="1">
      <c r="A13" s="45">
        <v>12</v>
      </c>
      <c r="B13" s="49" t="s">
        <v>37</v>
      </c>
      <c r="C13" s="48" t="s">
        <v>51</v>
      </c>
      <c r="D13" s="45">
        <v>415</v>
      </c>
      <c r="E13" s="47">
        <v>497.88</v>
      </c>
      <c r="F13" s="46" t="s">
        <v>4487</v>
      </c>
      <c r="G13" s="46" t="s">
        <v>4416</v>
      </c>
      <c r="H13" s="45">
        <v>522.44000000000005</v>
      </c>
      <c r="I13" s="45">
        <v>524</v>
      </c>
      <c r="K13" s="45">
        <v>497.88</v>
      </c>
    </row>
    <row r="14" spans="1:13" ht="14.25" customHeight="1">
      <c r="A14" s="50">
        <v>13</v>
      </c>
      <c r="B14" s="52" t="s">
        <v>33</v>
      </c>
      <c r="C14" s="51" t="s">
        <v>51</v>
      </c>
      <c r="D14" s="50">
        <v>464</v>
      </c>
      <c r="E14" s="47">
        <v>478.65</v>
      </c>
      <c r="F14" s="53" t="s">
        <v>4484</v>
      </c>
      <c r="G14" s="53" t="s">
        <v>4416</v>
      </c>
      <c r="H14" s="50">
        <v>478.65</v>
      </c>
      <c r="I14" s="50">
        <v>532</v>
      </c>
      <c r="J14" s="41">
        <v>485</v>
      </c>
      <c r="K14" s="50"/>
    </row>
    <row r="15" spans="1:13" ht="14.25" customHeight="1">
      <c r="A15" s="45">
        <v>14</v>
      </c>
      <c r="B15" s="49" t="s">
        <v>31</v>
      </c>
      <c r="C15" s="48" t="s">
        <v>51</v>
      </c>
      <c r="D15" s="45">
        <v>435</v>
      </c>
      <c r="E15" s="47">
        <v>717.28</v>
      </c>
      <c r="F15" s="46" t="s">
        <v>4486</v>
      </c>
      <c r="G15" s="46" t="s">
        <v>4416</v>
      </c>
      <c r="H15" s="45">
        <v>749.77</v>
      </c>
      <c r="I15" s="45"/>
      <c r="J15" s="45">
        <v>717.28</v>
      </c>
      <c r="L15" s="41">
        <v>756</v>
      </c>
    </row>
    <row r="16" spans="1:13" ht="14.25" customHeight="1">
      <c r="A16" s="50">
        <v>15</v>
      </c>
      <c r="B16" s="52" t="s">
        <v>362</v>
      </c>
      <c r="C16" s="51" t="s">
        <v>51</v>
      </c>
      <c r="D16" s="50">
        <v>503</v>
      </c>
      <c r="E16" s="41">
        <v>707.84</v>
      </c>
      <c r="F16" s="42" t="s">
        <v>4486</v>
      </c>
      <c r="G16" s="42" t="s">
        <v>4416</v>
      </c>
      <c r="H16" s="41">
        <v>739.35</v>
      </c>
      <c r="J16" s="41">
        <v>707.84</v>
      </c>
      <c r="L16" s="41">
        <v>746</v>
      </c>
    </row>
    <row r="17" spans="1:13" ht="14.25" customHeight="1">
      <c r="A17" s="45">
        <v>16</v>
      </c>
      <c r="B17" s="49" t="s">
        <v>41</v>
      </c>
      <c r="C17" s="48" t="s">
        <v>51</v>
      </c>
      <c r="D17" s="45">
        <v>506</v>
      </c>
      <c r="E17" s="47">
        <v>624.64</v>
      </c>
      <c r="F17" s="46" t="s">
        <v>4484</v>
      </c>
      <c r="G17" s="46" t="s">
        <v>4416</v>
      </c>
      <c r="H17" s="45">
        <v>624.64</v>
      </c>
      <c r="I17" s="45">
        <v>631</v>
      </c>
      <c r="J17" s="45"/>
      <c r="M17" s="41">
        <v>630.59</v>
      </c>
    </row>
    <row r="18" spans="1:13" ht="14.25" customHeight="1">
      <c r="A18" s="50">
        <v>17</v>
      </c>
      <c r="B18" s="52" t="s">
        <v>17</v>
      </c>
      <c r="C18" s="51" t="s">
        <v>51</v>
      </c>
      <c r="D18" s="50">
        <v>539</v>
      </c>
      <c r="E18" s="47">
        <v>526.61</v>
      </c>
      <c r="F18" s="53" t="s">
        <v>4484</v>
      </c>
      <c r="G18" s="53" t="s">
        <v>4416</v>
      </c>
      <c r="H18" s="50">
        <v>526.61</v>
      </c>
      <c r="I18" s="50">
        <v>548</v>
      </c>
      <c r="J18" s="50"/>
      <c r="K18" s="41">
        <v>541</v>
      </c>
    </row>
    <row r="19" spans="1:13" ht="14.25" customHeight="1">
      <c r="A19" s="45">
        <v>18</v>
      </c>
      <c r="B19" s="49" t="s">
        <v>28</v>
      </c>
      <c r="C19" s="48" t="s">
        <v>51</v>
      </c>
      <c r="D19" s="45">
        <v>612</v>
      </c>
      <c r="E19" s="47">
        <v>641.32000000000005</v>
      </c>
      <c r="F19" s="46" t="s">
        <v>4484</v>
      </c>
      <c r="G19" s="46" t="s">
        <v>4416</v>
      </c>
      <c r="H19" s="45">
        <v>641.32000000000005</v>
      </c>
      <c r="I19" s="45">
        <v>675</v>
      </c>
      <c r="K19" s="45">
        <v>695.16</v>
      </c>
    </row>
    <row r="20" spans="1:13" ht="14.25" customHeight="1">
      <c r="A20" s="50">
        <v>19</v>
      </c>
      <c r="B20" s="52" t="s">
        <v>29</v>
      </c>
      <c r="C20" s="51" t="s">
        <v>51</v>
      </c>
      <c r="D20" s="50">
        <v>635</v>
      </c>
      <c r="E20" s="47">
        <v>798.78</v>
      </c>
      <c r="F20" s="53" t="s">
        <v>4484</v>
      </c>
      <c r="G20" s="53" t="s">
        <v>4416</v>
      </c>
      <c r="H20" s="41">
        <v>798.78</v>
      </c>
      <c r="I20" s="50">
        <v>889</v>
      </c>
      <c r="J20" s="50"/>
      <c r="L20" s="41">
        <v>806</v>
      </c>
    </row>
    <row r="21" spans="1:13" ht="14.25" customHeight="1">
      <c r="A21" s="45">
        <v>20</v>
      </c>
      <c r="B21" s="49" t="s">
        <v>18</v>
      </c>
      <c r="C21" s="48" t="s">
        <v>51</v>
      </c>
      <c r="D21" s="45">
        <v>557</v>
      </c>
      <c r="E21" s="47">
        <v>591.27</v>
      </c>
      <c r="F21" s="46" t="s">
        <v>4484</v>
      </c>
      <c r="G21" s="46" t="s">
        <v>4416</v>
      </c>
      <c r="H21" s="45">
        <v>591.27</v>
      </c>
      <c r="I21" s="45">
        <v>592</v>
      </c>
      <c r="L21" s="45">
        <v>596</v>
      </c>
    </row>
    <row r="22" spans="1:13" ht="14.25" customHeight="1">
      <c r="A22" s="50">
        <v>21</v>
      </c>
      <c r="B22" s="52" t="s">
        <v>24</v>
      </c>
      <c r="C22" s="51" t="s">
        <v>51</v>
      </c>
      <c r="D22" s="50">
        <v>562</v>
      </c>
      <c r="E22" s="47">
        <v>587.15</v>
      </c>
      <c r="F22" s="53" t="s">
        <v>4484</v>
      </c>
      <c r="G22" s="53" t="s">
        <v>4416</v>
      </c>
      <c r="H22" s="50">
        <v>587.15</v>
      </c>
      <c r="I22" s="50">
        <v>592</v>
      </c>
      <c r="K22" s="50"/>
      <c r="L22" s="41">
        <v>596</v>
      </c>
    </row>
    <row r="23" spans="1:13" ht="14.25" customHeight="1">
      <c r="A23" s="45">
        <v>22</v>
      </c>
      <c r="B23" s="49" t="s">
        <v>30</v>
      </c>
      <c r="C23" s="48" t="s">
        <v>51</v>
      </c>
      <c r="D23" s="45">
        <v>514</v>
      </c>
      <c r="E23" s="47">
        <v>717.28</v>
      </c>
      <c r="F23" s="46" t="s">
        <v>4486</v>
      </c>
      <c r="G23" s="46" t="s">
        <v>4416</v>
      </c>
      <c r="H23" s="45">
        <v>749.77</v>
      </c>
      <c r="I23" s="45"/>
      <c r="J23" s="45">
        <v>717.28</v>
      </c>
      <c r="L23" s="41">
        <v>756</v>
      </c>
    </row>
    <row r="24" spans="1:13" ht="14.25" customHeight="1">
      <c r="A24" s="50">
        <v>23</v>
      </c>
      <c r="B24" s="52" t="s">
        <v>27</v>
      </c>
      <c r="C24" s="51" t="s">
        <v>51</v>
      </c>
      <c r="D24" s="47">
        <v>1003</v>
      </c>
      <c r="E24" s="50">
        <v>798.78</v>
      </c>
      <c r="F24" s="53" t="s">
        <v>4484</v>
      </c>
      <c r="G24" s="53" t="s">
        <v>4416</v>
      </c>
      <c r="H24" s="50">
        <v>798.78</v>
      </c>
      <c r="I24" s="50">
        <v>889</v>
      </c>
      <c r="J24" s="50"/>
      <c r="L24" s="41">
        <v>806</v>
      </c>
    </row>
    <row r="25" spans="1:13" ht="14.25" customHeight="1">
      <c r="A25" s="45">
        <v>24</v>
      </c>
      <c r="B25" s="49" t="s">
        <v>35</v>
      </c>
      <c r="C25" s="48" t="s">
        <v>51</v>
      </c>
      <c r="D25" s="45">
        <v>610</v>
      </c>
      <c r="E25" s="47">
        <v>625</v>
      </c>
      <c r="F25" s="46" t="s">
        <v>4486</v>
      </c>
      <c r="G25" s="46" t="s">
        <v>4416</v>
      </c>
      <c r="H25" s="45">
        <v>641.32000000000005</v>
      </c>
      <c r="I25" s="45"/>
      <c r="J25" s="41">
        <v>625</v>
      </c>
      <c r="K25" s="45"/>
      <c r="L25" s="41">
        <v>647</v>
      </c>
    </row>
    <row r="26" spans="1:13" ht="14.25" customHeight="1">
      <c r="A26" s="50">
        <v>25</v>
      </c>
      <c r="B26" s="52" t="s">
        <v>38</v>
      </c>
      <c r="C26" s="51" t="s">
        <v>51</v>
      </c>
      <c r="D26" s="50">
        <v>625</v>
      </c>
      <c r="E26" s="47">
        <v>635</v>
      </c>
      <c r="F26" s="53" t="s">
        <v>4486</v>
      </c>
      <c r="G26" s="53" t="s">
        <v>4416</v>
      </c>
      <c r="H26" s="50">
        <v>661.14</v>
      </c>
      <c r="I26" s="50"/>
      <c r="J26" s="50">
        <v>635</v>
      </c>
      <c r="L26" s="41">
        <v>667</v>
      </c>
    </row>
    <row r="27" spans="1:13" ht="14.25" customHeight="1">
      <c r="A27" s="45">
        <v>26</v>
      </c>
      <c r="B27" s="49" t="s">
        <v>241</v>
      </c>
      <c r="C27" s="48" t="s">
        <v>51</v>
      </c>
      <c r="D27" s="47">
        <v>635</v>
      </c>
      <c r="E27" s="45">
        <v>641.32000000000005</v>
      </c>
      <c r="F27" s="46" t="s">
        <v>4484</v>
      </c>
      <c r="G27" s="46" t="s">
        <v>4416</v>
      </c>
      <c r="H27" s="45">
        <v>641.32000000000005</v>
      </c>
      <c r="I27" s="45"/>
      <c r="J27" s="41">
        <v>650</v>
      </c>
      <c r="K27" s="45"/>
      <c r="L27" s="41">
        <v>647</v>
      </c>
    </row>
    <row r="28" spans="1:13" ht="14.25" customHeight="1">
      <c r="A28" s="50">
        <v>27</v>
      </c>
      <c r="B28" s="52" t="s">
        <v>16</v>
      </c>
      <c r="C28" s="51" t="s">
        <v>51</v>
      </c>
      <c r="D28" s="47">
        <v>645</v>
      </c>
      <c r="E28" s="50">
        <v>662.85</v>
      </c>
      <c r="F28" s="53" t="s">
        <v>4484</v>
      </c>
      <c r="G28" s="53" t="s">
        <v>4416</v>
      </c>
      <c r="H28" s="50">
        <v>662.85</v>
      </c>
      <c r="I28" s="50">
        <v>720</v>
      </c>
      <c r="K28" s="50">
        <v>684.82</v>
      </c>
    </row>
    <row r="29" spans="1:13" ht="14.25" customHeight="1">
      <c r="A29" s="45">
        <v>28</v>
      </c>
      <c r="B29" s="49" t="s">
        <v>39</v>
      </c>
      <c r="C29" s="48" t="s">
        <v>51</v>
      </c>
      <c r="D29" s="47">
        <v>675</v>
      </c>
      <c r="E29" s="45">
        <v>672</v>
      </c>
      <c r="F29" s="46" t="s">
        <v>4488</v>
      </c>
      <c r="G29" s="46" t="s">
        <v>4416</v>
      </c>
      <c r="H29" s="45">
        <v>697.63</v>
      </c>
      <c r="I29" s="45"/>
      <c r="J29" s="41">
        <v>675</v>
      </c>
      <c r="L29" s="41">
        <v>672</v>
      </c>
      <c r="M29" s="45"/>
    </row>
    <row r="30" spans="1:13" ht="14.25" customHeight="1">
      <c r="A30" s="50">
        <v>29</v>
      </c>
      <c r="B30" s="52" t="s">
        <v>40</v>
      </c>
      <c r="C30" s="51" t="s">
        <v>51</v>
      </c>
      <c r="D30" s="50">
        <v>726</v>
      </c>
      <c r="E30" s="41">
        <v>787</v>
      </c>
      <c r="F30" s="42" t="s">
        <v>4486</v>
      </c>
      <c r="G30" s="42" t="s">
        <v>4416</v>
      </c>
      <c r="H30" s="41">
        <v>820.68</v>
      </c>
      <c r="I30" s="41">
        <v>864</v>
      </c>
      <c r="J30" s="41">
        <v>787</v>
      </c>
    </row>
    <row r="31" spans="1:13" ht="14.25" customHeight="1">
      <c r="A31" s="45">
        <v>30</v>
      </c>
      <c r="B31" s="49" t="s">
        <v>23</v>
      </c>
      <c r="C31" s="48" t="s">
        <v>51</v>
      </c>
      <c r="D31" s="47">
        <v>521</v>
      </c>
      <c r="E31" s="45">
        <v>563.63</v>
      </c>
      <c r="F31" s="46" t="s">
        <v>4484</v>
      </c>
      <c r="G31" s="46" t="s">
        <v>4416</v>
      </c>
      <c r="H31" s="45">
        <v>563.63</v>
      </c>
      <c r="I31" s="45">
        <v>568</v>
      </c>
      <c r="K31" s="45"/>
      <c r="L31" s="41">
        <v>572</v>
      </c>
    </row>
    <row r="32" spans="1:13" ht="14.25" customHeight="1">
      <c r="A32" s="50">
        <v>31</v>
      </c>
      <c r="B32" s="52" t="s">
        <v>4408</v>
      </c>
      <c r="C32" s="51" t="s">
        <v>51</v>
      </c>
      <c r="D32" s="50">
        <v>1306</v>
      </c>
      <c r="E32" s="47">
        <v>896.6</v>
      </c>
      <c r="F32" s="53" t="s">
        <v>4486</v>
      </c>
      <c r="G32" s="53" t="s">
        <v>4416</v>
      </c>
      <c r="H32" s="50">
        <v>1454.57</v>
      </c>
      <c r="I32" s="50">
        <v>1515</v>
      </c>
      <c r="J32" s="41">
        <v>896.6</v>
      </c>
      <c r="L32" s="50"/>
    </row>
    <row r="33" spans="1:13" ht="14.25" customHeight="1">
      <c r="A33" s="45">
        <v>32</v>
      </c>
      <c r="B33" s="49" t="s">
        <v>25</v>
      </c>
      <c r="C33" s="48" t="s">
        <v>51</v>
      </c>
      <c r="D33" s="45">
        <v>839</v>
      </c>
      <c r="E33" s="47">
        <v>833.2</v>
      </c>
      <c r="F33" s="46" t="s">
        <v>4484</v>
      </c>
      <c r="G33" s="46" t="s">
        <v>4416</v>
      </c>
      <c r="H33" s="45">
        <v>833.2</v>
      </c>
      <c r="I33" s="45">
        <v>877</v>
      </c>
      <c r="J33" s="45">
        <v>919.15</v>
      </c>
    </row>
    <row r="34" spans="1:13" ht="14.25" customHeight="1">
      <c r="A34" s="50">
        <v>33</v>
      </c>
      <c r="B34" s="73">
        <v>260101</v>
      </c>
      <c r="C34" s="51" t="s">
        <v>51</v>
      </c>
      <c r="D34" s="47">
        <v>2200</v>
      </c>
      <c r="E34" s="50">
        <v>1125</v>
      </c>
      <c r="F34" s="53" t="s">
        <v>4486</v>
      </c>
      <c r="G34" s="53" t="s">
        <v>4416</v>
      </c>
      <c r="H34" s="50">
        <v>1161.42</v>
      </c>
      <c r="I34" s="50">
        <v>1222</v>
      </c>
      <c r="J34" s="50">
        <v>1125</v>
      </c>
    </row>
    <row r="35" spans="1:13" ht="14.25" customHeight="1">
      <c r="A35" s="45">
        <v>34</v>
      </c>
      <c r="B35" s="49" t="s">
        <v>2</v>
      </c>
      <c r="C35" s="48" t="s">
        <v>51</v>
      </c>
      <c r="D35" s="45">
        <v>2500</v>
      </c>
    </row>
    <row r="36" spans="1:13" ht="14.25" customHeight="1">
      <c r="A36" s="50">
        <v>35</v>
      </c>
      <c r="B36" s="52" t="s">
        <v>42</v>
      </c>
      <c r="C36" s="51" t="s">
        <v>51</v>
      </c>
      <c r="D36" s="50">
        <v>401</v>
      </c>
      <c r="E36" s="41">
        <v>702</v>
      </c>
      <c r="F36" s="42" t="s">
        <v>4485</v>
      </c>
      <c r="G36" s="42" t="s">
        <v>4490</v>
      </c>
      <c r="I36" s="41">
        <v>702</v>
      </c>
    </row>
    <row r="37" spans="1:13" ht="14.25" customHeight="1">
      <c r="A37" s="45">
        <v>36</v>
      </c>
      <c r="B37" s="49" t="s">
        <v>58</v>
      </c>
      <c r="C37" s="48" t="s">
        <v>51</v>
      </c>
      <c r="D37" s="45">
        <v>373</v>
      </c>
      <c r="E37" s="47">
        <v>324.08999999999997</v>
      </c>
      <c r="F37" s="46" t="s">
        <v>4487</v>
      </c>
      <c r="G37" s="46" t="s">
        <v>4416</v>
      </c>
      <c r="H37" s="41">
        <v>327.44</v>
      </c>
      <c r="I37" s="41">
        <v>341</v>
      </c>
      <c r="J37" s="45"/>
      <c r="K37" s="41">
        <v>324.08999999999997</v>
      </c>
      <c r="L37" s="45"/>
    </row>
    <row r="38" spans="1:13" ht="14.25" customHeight="1">
      <c r="A38" s="50">
        <v>37</v>
      </c>
      <c r="B38" s="52" t="s">
        <v>63</v>
      </c>
      <c r="C38" s="51" t="s">
        <v>51</v>
      </c>
      <c r="D38" s="50">
        <v>895</v>
      </c>
      <c r="E38" s="47">
        <v>919.75</v>
      </c>
      <c r="F38" s="53" t="s">
        <v>4484</v>
      </c>
      <c r="G38" s="53" t="s">
        <v>4416</v>
      </c>
      <c r="H38" s="50">
        <v>919.75</v>
      </c>
      <c r="I38" s="50">
        <v>977</v>
      </c>
      <c r="J38" s="50"/>
      <c r="K38" s="41">
        <v>1014.6</v>
      </c>
    </row>
    <row r="39" spans="1:13" ht="14.25" customHeight="1">
      <c r="A39" s="45">
        <v>38</v>
      </c>
      <c r="B39" s="49" t="s">
        <v>64</v>
      </c>
      <c r="C39" s="48" t="s">
        <v>51</v>
      </c>
      <c r="D39" s="45">
        <v>895</v>
      </c>
      <c r="E39" s="47">
        <v>836.07</v>
      </c>
      <c r="F39" s="46" t="s">
        <v>4487</v>
      </c>
      <c r="G39" s="46" t="s">
        <v>4416</v>
      </c>
      <c r="H39" s="45">
        <v>872.41</v>
      </c>
      <c r="I39" s="45">
        <v>879</v>
      </c>
      <c r="J39" s="45"/>
      <c r="K39" s="41">
        <v>836.07</v>
      </c>
    </row>
    <row r="40" spans="1:13" ht="14.25" customHeight="1">
      <c r="A40" s="50">
        <v>39</v>
      </c>
      <c r="B40" s="52" t="s">
        <v>69</v>
      </c>
      <c r="C40" s="51" t="s">
        <v>51</v>
      </c>
      <c r="D40" s="50">
        <v>446</v>
      </c>
      <c r="E40" s="47">
        <v>516.66999999999996</v>
      </c>
      <c r="F40" s="53" t="s">
        <v>4487</v>
      </c>
      <c r="G40" s="53" t="s">
        <v>4416</v>
      </c>
      <c r="H40" s="50">
        <v>521.4</v>
      </c>
      <c r="I40" s="50">
        <v>543</v>
      </c>
      <c r="J40" s="50"/>
      <c r="K40" s="41">
        <v>516.66999999999996</v>
      </c>
    </row>
    <row r="41" spans="1:13" ht="14.25" customHeight="1">
      <c r="A41" s="45">
        <v>40</v>
      </c>
      <c r="B41" s="49" t="s">
        <v>59</v>
      </c>
      <c r="C41" s="48" t="s">
        <v>51</v>
      </c>
      <c r="D41" s="45">
        <v>1767</v>
      </c>
      <c r="E41" s="47">
        <v>1770.67</v>
      </c>
      <c r="F41" s="46" t="s">
        <v>4484</v>
      </c>
      <c r="G41" s="46" t="s">
        <v>4416</v>
      </c>
      <c r="H41" s="45">
        <v>1770.67</v>
      </c>
      <c r="I41" s="45">
        <v>1773</v>
      </c>
      <c r="K41" s="45">
        <v>1971.8</v>
      </c>
    </row>
    <row r="42" spans="1:13" ht="15">
      <c r="A42" s="50">
        <v>41</v>
      </c>
      <c r="B42" s="52" t="s">
        <v>62</v>
      </c>
      <c r="C42" s="51" t="s">
        <v>51</v>
      </c>
      <c r="D42" s="50">
        <v>1626</v>
      </c>
      <c r="E42" s="47">
        <v>1689.98</v>
      </c>
      <c r="F42" s="53" t="s">
        <v>4487</v>
      </c>
      <c r="G42" s="53" t="s">
        <v>4416</v>
      </c>
      <c r="H42" s="50">
        <v>1703.94</v>
      </c>
      <c r="I42" s="50"/>
      <c r="J42" s="50"/>
      <c r="K42" s="41">
        <v>1689.98</v>
      </c>
      <c r="L42" s="41">
        <v>1744</v>
      </c>
    </row>
    <row r="43" spans="1:13" ht="15">
      <c r="A43" s="45">
        <v>42</v>
      </c>
      <c r="B43" s="49" t="s">
        <v>66</v>
      </c>
      <c r="C43" s="48" t="s">
        <v>51</v>
      </c>
      <c r="D43" s="45">
        <v>1193</v>
      </c>
      <c r="E43" s="47">
        <v>1129</v>
      </c>
      <c r="F43" s="46" t="s">
        <v>4487</v>
      </c>
      <c r="G43" s="46" t="s">
        <v>4416</v>
      </c>
      <c r="H43" s="45"/>
      <c r="I43" s="45">
        <v>1185</v>
      </c>
      <c r="J43" s="45"/>
      <c r="K43" s="41">
        <v>1129</v>
      </c>
      <c r="M43" s="41">
        <v>1200</v>
      </c>
    </row>
    <row r="44" spans="1:13" ht="15">
      <c r="A44" s="50">
        <v>43</v>
      </c>
      <c r="B44" s="52" t="s">
        <v>68</v>
      </c>
      <c r="C44" s="51" t="s">
        <v>51</v>
      </c>
      <c r="D44" s="50">
        <v>1343</v>
      </c>
      <c r="E44" s="47">
        <v>1223.2</v>
      </c>
      <c r="F44" s="53" t="s">
        <v>4484</v>
      </c>
      <c r="G44" s="53" t="s">
        <v>4416</v>
      </c>
      <c r="H44" s="50">
        <v>1223.2</v>
      </c>
      <c r="I44" s="50">
        <v>1225</v>
      </c>
      <c r="J44" s="50"/>
      <c r="K44" s="41">
        <v>1362.13</v>
      </c>
    </row>
    <row r="45" spans="1:13" ht="15">
      <c r="A45" s="45">
        <v>44</v>
      </c>
      <c r="B45" s="49" t="s">
        <v>273</v>
      </c>
      <c r="C45" s="48" t="s">
        <v>51</v>
      </c>
      <c r="D45" s="45">
        <v>2050</v>
      </c>
      <c r="E45" s="47">
        <v>2050</v>
      </c>
      <c r="F45" s="46" t="s">
        <v>4486</v>
      </c>
      <c r="G45" s="46" t="s">
        <v>4416</v>
      </c>
      <c r="H45" s="45">
        <v>2152.34</v>
      </c>
      <c r="I45" s="41">
        <v>2523</v>
      </c>
      <c r="J45" s="41">
        <v>2050</v>
      </c>
    </row>
    <row r="46" spans="1:13" ht="15">
      <c r="A46" s="50">
        <v>45</v>
      </c>
      <c r="B46" s="52" t="s">
        <v>274</v>
      </c>
      <c r="C46" s="51" t="s">
        <v>51</v>
      </c>
      <c r="D46" s="47">
        <v>1486</v>
      </c>
      <c r="E46" s="50">
        <v>1411.34</v>
      </c>
      <c r="F46" s="53" t="s">
        <v>4484</v>
      </c>
      <c r="G46" s="53" t="s">
        <v>4416</v>
      </c>
      <c r="H46" s="50">
        <v>1411.34</v>
      </c>
      <c r="I46" s="50"/>
      <c r="J46" s="41">
        <v>1499</v>
      </c>
      <c r="M46" s="50">
        <v>1499</v>
      </c>
    </row>
    <row r="47" spans="1:13" ht="15">
      <c r="A47" s="45">
        <v>46</v>
      </c>
      <c r="B47" s="49" t="s">
        <v>275</v>
      </c>
      <c r="C47" s="48" t="s">
        <v>51</v>
      </c>
      <c r="D47" s="47">
        <v>1635</v>
      </c>
      <c r="E47" s="45">
        <v>1650</v>
      </c>
      <c r="F47" s="46" t="s">
        <v>4489</v>
      </c>
      <c r="G47" s="46" t="s">
        <v>4416</v>
      </c>
      <c r="H47" s="45">
        <v>1720.62</v>
      </c>
      <c r="I47" s="41">
        <v>1810</v>
      </c>
      <c r="K47" s="45"/>
      <c r="M47" s="45">
        <v>1650</v>
      </c>
    </row>
    <row r="48" spans="1:13" ht="15">
      <c r="A48" s="50">
        <v>47</v>
      </c>
      <c r="B48" s="52" t="s">
        <v>283</v>
      </c>
      <c r="C48" s="51" t="s">
        <v>51</v>
      </c>
      <c r="D48" s="50">
        <v>1188</v>
      </c>
      <c r="E48" s="47">
        <v>1249.07</v>
      </c>
      <c r="F48" s="53" t="s">
        <v>4484</v>
      </c>
      <c r="G48" s="53" t="s">
        <v>4416</v>
      </c>
      <c r="H48" s="50">
        <v>1249.07</v>
      </c>
      <c r="I48" s="50">
        <v>1318</v>
      </c>
      <c r="J48" s="41">
        <v>1397.02</v>
      </c>
      <c r="K48" s="50"/>
    </row>
    <row r="49" spans="1:13" ht="15">
      <c r="A49" s="45">
        <v>48</v>
      </c>
      <c r="B49" s="49" t="s">
        <v>285</v>
      </c>
      <c r="C49" s="48" t="s">
        <v>51</v>
      </c>
      <c r="D49" s="45">
        <v>1090</v>
      </c>
      <c r="E49" s="47"/>
      <c r="F49" s="46"/>
      <c r="G49" s="46"/>
      <c r="H49" s="45"/>
      <c r="J49" s="45"/>
      <c r="L49" s="45"/>
    </row>
    <row r="50" spans="1:13" ht="15">
      <c r="A50" s="50">
        <v>49</v>
      </c>
      <c r="B50" s="52" t="s">
        <v>286</v>
      </c>
      <c r="C50" s="51" t="s">
        <v>51</v>
      </c>
      <c r="D50" s="50">
        <v>990</v>
      </c>
      <c r="E50" s="47">
        <v>999</v>
      </c>
      <c r="F50" s="53" t="s">
        <v>4486</v>
      </c>
      <c r="G50" s="53" t="s">
        <v>4416</v>
      </c>
      <c r="H50" s="50">
        <v>1041.76</v>
      </c>
      <c r="I50" s="41">
        <v>1096</v>
      </c>
      <c r="J50" s="50">
        <v>999</v>
      </c>
      <c r="L50" s="50"/>
    </row>
    <row r="51" spans="1:13" ht="15">
      <c r="A51" s="45">
        <v>50</v>
      </c>
      <c r="B51" s="49" t="s">
        <v>287</v>
      </c>
      <c r="C51" s="48" t="s">
        <v>51</v>
      </c>
      <c r="D51" s="47">
        <v>1437</v>
      </c>
      <c r="E51" s="45">
        <v>1429.71</v>
      </c>
      <c r="F51" s="46" t="s">
        <v>4484</v>
      </c>
      <c r="G51" s="46" t="s">
        <v>4416</v>
      </c>
      <c r="H51" s="45">
        <v>1429.71</v>
      </c>
      <c r="I51" s="45">
        <v>1591</v>
      </c>
      <c r="M51" s="45">
        <v>1450</v>
      </c>
    </row>
    <row r="52" spans="1:13" ht="15">
      <c r="A52" s="50">
        <v>51</v>
      </c>
      <c r="B52" s="52" t="s">
        <v>289</v>
      </c>
      <c r="C52" s="51" t="s">
        <v>51</v>
      </c>
      <c r="D52" s="47">
        <v>1684</v>
      </c>
      <c r="E52" s="50">
        <v>1435</v>
      </c>
      <c r="F52" s="53" t="s">
        <v>4485</v>
      </c>
      <c r="G52" s="53" t="s">
        <v>4416</v>
      </c>
      <c r="H52" s="50">
        <v>1485.64</v>
      </c>
      <c r="I52" s="41">
        <v>1435</v>
      </c>
      <c r="K52" s="50">
        <v>1596.04</v>
      </c>
      <c r="M52" s="50"/>
    </row>
    <row r="53" spans="1:13" ht="15">
      <c r="A53" s="45">
        <v>52</v>
      </c>
      <c r="B53" s="49" t="s">
        <v>291</v>
      </c>
      <c r="C53" s="48" t="s">
        <v>51</v>
      </c>
      <c r="D53" s="47">
        <v>1487</v>
      </c>
      <c r="E53" s="45">
        <v>1138.74</v>
      </c>
      <c r="F53" s="46" t="s">
        <v>4484</v>
      </c>
      <c r="G53" s="46" t="s">
        <v>4416</v>
      </c>
      <c r="H53" s="45">
        <v>1138.74</v>
      </c>
      <c r="I53" s="41">
        <v>1141</v>
      </c>
      <c r="K53" s="45">
        <v>1268.19</v>
      </c>
      <c r="M53" s="45"/>
    </row>
    <row r="54" spans="1:13" ht="15">
      <c r="A54" s="50">
        <v>53</v>
      </c>
      <c r="B54" s="52" t="s">
        <v>292</v>
      </c>
      <c r="C54" s="51" t="s">
        <v>51</v>
      </c>
      <c r="D54" s="50">
        <v>1402</v>
      </c>
      <c r="E54" s="47">
        <v>1307.67</v>
      </c>
      <c r="F54" s="53" t="s">
        <v>4484</v>
      </c>
      <c r="G54" s="53" t="s">
        <v>4416</v>
      </c>
      <c r="H54" s="50">
        <v>1307.67</v>
      </c>
      <c r="I54" s="50">
        <v>1309</v>
      </c>
      <c r="J54" s="50"/>
      <c r="K54" s="41">
        <v>1456.07</v>
      </c>
    </row>
    <row r="55" spans="1:13" ht="15">
      <c r="A55" s="45">
        <v>54</v>
      </c>
      <c r="B55" s="49" t="s">
        <v>294</v>
      </c>
      <c r="C55" s="48" t="s">
        <v>51</v>
      </c>
      <c r="D55" s="47">
        <v>1685</v>
      </c>
      <c r="E55" s="45">
        <v>1433.85</v>
      </c>
      <c r="F55" s="46" t="s">
        <v>4484</v>
      </c>
      <c r="G55" s="46" t="s">
        <v>4416</v>
      </c>
      <c r="H55" s="41">
        <v>1433.85</v>
      </c>
      <c r="I55" s="45">
        <v>1436</v>
      </c>
      <c r="K55" s="45">
        <v>1626</v>
      </c>
      <c r="L55" s="45"/>
    </row>
    <row r="56" spans="1:13" ht="15">
      <c r="A56" s="50">
        <v>55</v>
      </c>
      <c r="B56" s="52" t="s">
        <v>296</v>
      </c>
      <c r="C56" s="51" t="s">
        <v>51</v>
      </c>
      <c r="D56" s="50">
        <v>1327</v>
      </c>
    </row>
    <row r="57" spans="1:13" ht="15">
      <c r="A57" s="45">
        <v>56</v>
      </c>
      <c r="B57" s="49" t="s">
        <v>298</v>
      </c>
      <c r="C57" s="48" t="s">
        <v>51</v>
      </c>
      <c r="D57" s="45">
        <v>1601</v>
      </c>
      <c r="E57" s="47">
        <v>1467.22</v>
      </c>
      <c r="F57" s="46" t="s">
        <v>4484</v>
      </c>
      <c r="G57" s="46" t="s">
        <v>4416</v>
      </c>
      <c r="H57" s="41">
        <v>1467.22</v>
      </c>
      <c r="I57" s="45">
        <v>1621</v>
      </c>
      <c r="J57" s="45">
        <v>1567.17</v>
      </c>
      <c r="L57" s="45"/>
    </row>
    <row r="58" spans="1:13" ht="15">
      <c r="A58" s="50">
        <v>57</v>
      </c>
      <c r="B58" s="52" t="s">
        <v>72</v>
      </c>
      <c r="C58" s="51" t="s">
        <v>51</v>
      </c>
      <c r="D58" s="47">
        <v>110</v>
      </c>
      <c r="E58" s="50">
        <v>105.32</v>
      </c>
      <c r="F58" s="53" t="s">
        <v>4484</v>
      </c>
      <c r="G58" s="53" t="s">
        <v>4416</v>
      </c>
      <c r="H58" s="50">
        <v>105.32</v>
      </c>
      <c r="I58" s="50">
        <v>121</v>
      </c>
      <c r="J58" s="41">
        <v>123.04</v>
      </c>
      <c r="M58" s="50"/>
    </row>
    <row r="59" spans="1:13" ht="15">
      <c r="A59" s="45">
        <v>58</v>
      </c>
      <c r="B59" s="49" t="s">
        <v>129</v>
      </c>
      <c r="C59" s="48" t="s">
        <v>51</v>
      </c>
      <c r="D59" s="47">
        <v>2824</v>
      </c>
      <c r="E59" s="45">
        <v>2763</v>
      </c>
      <c r="F59" s="46" t="s">
        <v>4488</v>
      </c>
      <c r="G59" s="46" t="s">
        <v>4416</v>
      </c>
      <c r="H59" s="45">
        <v>2809.3</v>
      </c>
      <c r="I59" s="45"/>
      <c r="J59" s="41">
        <v>2850</v>
      </c>
      <c r="L59" s="45">
        <v>2763</v>
      </c>
    </row>
    <row r="60" spans="1:13" ht="15">
      <c r="A60" s="50">
        <v>59</v>
      </c>
      <c r="B60" s="52" t="s">
        <v>131</v>
      </c>
      <c r="C60" s="51" t="s">
        <v>51</v>
      </c>
      <c r="D60" s="47">
        <v>2824</v>
      </c>
      <c r="E60" s="50">
        <v>2750</v>
      </c>
      <c r="F60" s="53" t="s">
        <v>4487</v>
      </c>
      <c r="G60" s="53" t="s">
        <v>4416</v>
      </c>
      <c r="H60" s="50">
        <v>2809.3</v>
      </c>
      <c r="I60" s="50"/>
      <c r="K60" s="41">
        <v>2750</v>
      </c>
      <c r="L60" s="50">
        <v>2763</v>
      </c>
    </row>
    <row r="61" spans="1:13" ht="15">
      <c r="A61" s="45">
        <v>60</v>
      </c>
      <c r="B61" s="49" t="s">
        <v>157</v>
      </c>
      <c r="C61" s="48" t="s">
        <v>51</v>
      </c>
      <c r="D61" s="47">
        <v>530</v>
      </c>
      <c r="E61" s="45">
        <v>632.98</v>
      </c>
      <c r="F61" s="46" t="s">
        <v>4484</v>
      </c>
      <c r="G61" s="46" t="s">
        <v>4416</v>
      </c>
      <c r="H61" s="45">
        <v>632.98</v>
      </c>
      <c r="I61" s="45">
        <v>634</v>
      </c>
      <c r="K61" s="41">
        <v>704.55</v>
      </c>
      <c r="M61" s="45"/>
    </row>
    <row r="62" spans="1:13" ht="15">
      <c r="A62" s="50">
        <v>61</v>
      </c>
      <c r="B62" s="52" t="s">
        <v>159</v>
      </c>
      <c r="C62" s="51" t="s">
        <v>51</v>
      </c>
      <c r="D62" s="47">
        <v>650</v>
      </c>
      <c r="E62" s="50">
        <v>632.98</v>
      </c>
      <c r="F62" s="53" t="s">
        <v>4484</v>
      </c>
      <c r="G62" s="53" t="s">
        <v>4416</v>
      </c>
      <c r="H62" s="50">
        <v>632.98</v>
      </c>
      <c r="I62" s="50">
        <v>634</v>
      </c>
      <c r="K62" s="41">
        <v>704.55</v>
      </c>
      <c r="M62" s="50"/>
    </row>
    <row r="63" spans="1:13" ht="15">
      <c r="A63" s="45">
        <v>62</v>
      </c>
      <c r="B63" s="49" t="s">
        <v>165</v>
      </c>
      <c r="C63" s="48" t="s">
        <v>51</v>
      </c>
      <c r="D63" s="45">
        <v>1326</v>
      </c>
      <c r="E63" s="41">
        <v>1200</v>
      </c>
      <c r="F63" s="42" t="s">
        <v>4486</v>
      </c>
      <c r="G63" s="42" t="s">
        <v>4416</v>
      </c>
      <c r="J63" s="41">
        <v>1200</v>
      </c>
    </row>
    <row r="64" spans="1:13" ht="15">
      <c r="A64" s="50">
        <v>63</v>
      </c>
      <c r="B64" s="73">
        <v>290107</v>
      </c>
      <c r="C64" s="51" t="s">
        <v>51</v>
      </c>
      <c r="D64" s="50">
        <v>2503</v>
      </c>
      <c r="E64" s="47">
        <v>2489.41</v>
      </c>
      <c r="F64" s="53" t="s">
        <v>4487</v>
      </c>
      <c r="G64" s="53" t="s">
        <v>4416</v>
      </c>
      <c r="H64" s="50">
        <v>2525.08</v>
      </c>
      <c r="I64" s="50"/>
      <c r="K64" s="41">
        <v>2489.41</v>
      </c>
      <c r="L64" s="50">
        <v>2569</v>
      </c>
    </row>
    <row r="65" spans="1:13" ht="15">
      <c r="A65" s="45">
        <v>64</v>
      </c>
      <c r="B65" s="49" t="s">
        <v>230</v>
      </c>
      <c r="C65" s="48" t="s">
        <v>51</v>
      </c>
      <c r="D65" s="45">
        <v>853</v>
      </c>
      <c r="E65" s="47">
        <v>899</v>
      </c>
      <c r="F65" s="46" t="s">
        <v>4486</v>
      </c>
      <c r="G65" s="46" t="s">
        <v>4416</v>
      </c>
      <c r="H65" s="45">
        <v>928.1</v>
      </c>
      <c r="I65" s="45">
        <v>977</v>
      </c>
      <c r="J65" s="41">
        <v>899</v>
      </c>
      <c r="L65" s="45"/>
    </row>
    <row r="66" spans="1:13" ht="15">
      <c r="A66" s="50">
        <v>65</v>
      </c>
      <c r="B66" s="52" t="s">
        <v>314</v>
      </c>
      <c r="C66" s="51" t="s">
        <v>51</v>
      </c>
      <c r="D66" s="50">
        <v>446</v>
      </c>
      <c r="E66" s="47">
        <v>444.23</v>
      </c>
      <c r="F66" s="53" t="s">
        <v>4484</v>
      </c>
      <c r="G66" s="53" t="s">
        <v>4416</v>
      </c>
      <c r="H66" s="50">
        <v>444.23</v>
      </c>
      <c r="I66" s="50">
        <v>445</v>
      </c>
      <c r="J66" s="50"/>
      <c r="K66" s="41">
        <v>450</v>
      </c>
    </row>
    <row r="67" spans="1:13" ht="15">
      <c r="A67" s="45">
        <v>66</v>
      </c>
      <c r="B67" s="49" t="s">
        <v>93</v>
      </c>
      <c r="C67" s="48" t="s">
        <v>51</v>
      </c>
      <c r="D67" s="45">
        <v>650</v>
      </c>
      <c r="E67" s="47">
        <v>677.14</v>
      </c>
      <c r="F67" s="46" t="s">
        <v>4484</v>
      </c>
      <c r="G67" s="46" t="s">
        <v>4416</v>
      </c>
      <c r="H67" s="45">
        <v>677.14</v>
      </c>
      <c r="I67" s="45">
        <v>724</v>
      </c>
      <c r="K67" s="45"/>
      <c r="M67" s="41">
        <v>788</v>
      </c>
    </row>
    <row r="68" spans="1:13" ht="15">
      <c r="A68" s="50">
        <v>67</v>
      </c>
      <c r="B68" s="52" t="s">
        <v>95</v>
      </c>
      <c r="C68" s="51" t="s">
        <v>51</v>
      </c>
      <c r="D68" s="47">
        <v>440</v>
      </c>
      <c r="E68" s="50">
        <v>435.89</v>
      </c>
      <c r="F68" s="53" t="s">
        <v>4484</v>
      </c>
      <c r="G68" s="53" t="s">
        <v>4416</v>
      </c>
      <c r="H68" s="50">
        <v>435.89</v>
      </c>
      <c r="I68" s="50">
        <v>482</v>
      </c>
      <c r="J68" s="50">
        <v>484.98</v>
      </c>
    </row>
    <row r="69" spans="1:13" ht="15">
      <c r="A69" s="45">
        <v>68</v>
      </c>
      <c r="B69" s="49" t="s">
        <v>137</v>
      </c>
      <c r="C69" s="48" t="s">
        <v>51</v>
      </c>
      <c r="D69" s="45">
        <v>542</v>
      </c>
      <c r="E69" s="47">
        <v>367.07</v>
      </c>
      <c r="F69" s="46" t="s">
        <v>4484</v>
      </c>
      <c r="G69" s="46" t="s">
        <v>4416</v>
      </c>
      <c r="H69" s="45">
        <v>367.07</v>
      </c>
      <c r="I69" s="45">
        <v>387</v>
      </c>
      <c r="J69" s="41">
        <v>469.15</v>
      </c>
      <c r="K69" s="45"/>
    </row>
    <row r="70" spans="1:13" ht="15">
      <c r="A70" s="50">
        <v>69</v>
      </c>
      <c r="B70" s="52" t="s">
        <v>139</v>
      </c>
      <c r="C70" s="51" t="s">
        <v>51</v>
      </c>
      <c r="D70" s="47">
        <v>550</v>
      </c>
      <c r="E70" s="50">
        <v>505.76</v>
      </c>
      <c r="F70" s="53" t="s">
        <v>4484</v>
      </c>
      <c r="G70" s="53" t="s">
        <v>4416</v>
      </c>
      <c r="H70" s="50">
        <v>505.76</v>
      </c>
      <c r="I70" s="50">
        <v>506</v>
      </c>
      <c r="K70" s="41">
        <v>562.70000000000005</v>
      </c>
      <c r="M70" s="50"/>
    </row>
    <row r="71" spans="1:13" ht="15">
      <c r="A71" s="45">
        <v>70</v>
      </c>
      <c r="B71" s="49" t="s">
        <v>339</v>
      </c>
      <c r="C71" s="48" t="s">
        <v>51</v>
      </c>
      <c r="D71" s="47">
        <v>1184</v>
      </c>
      <c r="E71" s="45">
        <v>1136.6500000000001</v>
      </c>
      <c r="F71" s="46" t="s">
        <v>4484</v>
      </c>
      <c r="G71" s="46" t="s">
        <v>4416</v>
      </c>
      <c r="H71" s="45">
        <v>1136.6500000000001</v>
      </c>
      <c r="I71" s="45">
        <v>1256</v>
      </c>
      <c r="J71" s="41">
        <v>1200</v>
      </c>
      <c r="K71" s="45"/>
    </row>
    <row r="72" spans="1:13" ht="15">
      <c r="A72" s="50">
        <v>71</v>
      </c>
      <c r="B72" s="52" t="s">
        <v>341</v>
      </c>
      <c r="C72" s="51" t="s">
        <v>51</v>
      </c>
      <c r="D72" s="50">
        <v>1243</v>
      </c>
      <c r="E72" s="47"/>
      <c r="F72" s="53"/>
      <c r="G72" s="53"/>
      <c r="J72" s="50"/>
      <c r="L72" s="50"/>
    </row>
    <row r="73" spans="1:13" ht="15">
      <c r="A73" s="45">
        <v>72</v>
      </c>
      <c r="B73" s="49" t="s">
        <v>299</v>
      </c>
      <c r="C73" s="48" t="s">
        <v>51</v>
      </c>
      <c r="D73" s="47">
        <v>3963</v>
      </c>
      <c r="E73" s="45">
        <v>3785.36</v>
      </c>
      <c r="F73" s="46" t="s">
        <v>4484</v>
      </c>
      <c r="G73" s="46" t="s">
        <v>4416</v>
      </c>
      <c r="H73" s="45">
        <v>3785.36</v>
      </c>
      <c r="I73" s="45">
        <v>4181</v>
      </c>
      <c r="J73" s="45">
        <v>4043.24</v>
      </c>
    </row>
    <row r="74" spans="1:13" ht="15">
      <c r="A74" s="50">
        <v>73</v>
      </c>
      <c r="B74" s="52" t="s">
        <v>327</v>
      </c>
      <c r="C74" s="51" t="s">
        <v>51</v>
      </c>
      <c r="D74" s="47">
        <v>3534</v>
      </c>
      <c r="E74" s="50">
        <v>3374.5</v>
      </c>
      <c r="F74" s="53" t="s">
        <v>4484</v>
      </c>
      <c r="G74" s="53" t="s">
        <v>4416</v>
      </c>
      <c r="H74" s="50">
        <v>3374.5</v>
      </c>
      <c r="I74" s="50">
        <v>3727</v>
      </c>
      <c r="J74" s="50">
        <v>3604.39</v>
      </c>
    </row>
    <row r="75" spans="1:13" ht="15">
      <c r="A75" s="45">
        <v>74</v>
      </c>
      <c r="B75" s="49" t="s">
        <v>328</v>
      </c>
      <c r="C75" s="48" t="s">
        <v>51</v>
      </c>
      <c r="D75" s="45">
        <v>3728</v>
      </c>
      <c r="E75" s="41">
        <v>6676</v>
      </c>
      <c r="F75" s="42" t="s">
        <v>4488</v>
      </c>
      <c r="G75" s="42" t="s">
        <v>4417</v>
      </c>
      <c r="K75" s="41">
        <v>6840.26</v>
      </c>
      <c r="L75" s="41">
        <v>6676</v>
      </c>
    </row>
    <row r="76" spans="1:13" ht="15">
      <c r="A76" s="50">
        <v>75</v>
      </c>
      <c r="B76" s="52" t="s">
        <v>329</v>
      </c>
      <c r="C76" s="51" t="s">
        <v>51</v>
      </c>
      <c r="D76" s="50">
        <v>3841</v>
      </c>
      <c r="E76" s="41">
        <v>7991</v>
      </c>
      <c r="F76" s="42" t="s">
        <v>4488</v>
      </c>
      <c r="G76" s="42" t="s">
        <v>4417</v>
      </c>
      <c r="K76" s="41">
        <v>8053.51</v>
      </c>
      <c r="L76" s="41">
        <v>7991</v>
      </c>
    </row>
    <row r="77" spans="1:13" ht="15">
      <c r="A77" s="45">
        <v>76</v>
      </c>
      <c r="B77" s="49" t="s">
        <v>330</v>
      </c>
      <c r="C77" s="48" t="s">
        <v>51</v>
      </c>
      <c r="D77" s="47">
        <v>5266</v>
      </c>
      <c r="E77" s="45">
        <v>6093.85</v>
      </c>
      <c r="F77" s="46" t="s">
        <v>4487</v>
      </c>
      <c r="G77" s="46" t="s">
        <v>4416</v>
      </c>
      <c r="H77" s="41">
        <v>6907.51</v>
      </c>
      <c r="I77" s="45"/>
      <c r="J77" s="45"/>
      <c r="K77" s="41">
        <v>6093.85</v>
      </c>
      <c r="L77" s="45">
        <v>6172</v>
      </c>
    </row>
    <row r="78" spans="1:13" ht="15">
      <c r="A78" s="50">
        <v>77</v>
      </c>
      <c r="B78" s="73">
        <v>260201</v>
      </c>
      <c r="C78" s="51" t="s">
        <v>51</v>
      </c>
      <c r="D78" s="47">
        <v>1890</v>
      </c>
      <c r="E78" s="50">
        <v>1033.3399999999999</v>
      </c>
      <c r="F78" s="53" t="s">
        <v>4487</v>
      </c>
      <c r="G78" s="53" t="s">
        <v>4416</v>
      </c>
      <c r="H78" s="50">
        <v>1041.76</v>
      </c>
      <c r="I78" s="50">
        <v>1086</v>
      </c>
      <c r="K78" s="50">
        <v>1033.3399999999999</v>
      </c>
    </row>
    <row r="79" spans="1:13" ht="15">
      <c r="A79" s="45">
        <v>78</v>
      </c>
      <c r="B79" s="74">
        <v>260207</v>
      </c>
      <c r="C79" s="48" t="s">
        <v>51</v>
      </c>
      <c r="D79" s="47">
        <v>2210</v>
      </c>
      <c r="E79" s="45">
        <v>1098.1600000000001</v>
      </c>
      <c r="F79" s="46" t="s">
        <v>4487</v>
      </c>
      <c r="G79" s="46" t="s">
        <v>4416</v>
      </c>
      <c r="H79" s="45">
        <v>1145.8900000000001</v>
      </c>
      <c r="I79" s="45">
        <v>1154</v>
      </c>
      <c r="K79" s="41">
        <v>1098.1600000000001</v>
      </c>
      <c r="L79" s="45"/>
    </row>
    <row r="80" spans="1:13" ht="15">
      <c r="A80" s="50">
        <v>79</v>
      </c>
      <c r="B80" s="73">
        <v>260206</v>
      </c>
      <c r="C80" s="51" t="s">
        <v>51</v>
      </c>
      <c r="D80" s="47">
        <v>5644</v>
      </c>
      <c r="E80" s="50">
        <v>1046.97</v>
      </c>
      <c r="F80" s="53" t="s">
        <v>4484</v>
      </c>
      <c r="G80" s="53" t="s">
        <v>4416</v>
      </c>
      <c r="H80" s="50">
        <v>1046.97</v>
      </c>
      <c r="I80" s="50">
        <v>1097</v>
      </c>
      <c r="J80" s="50"/>
      <c r="K80" s="41">
        <v>1211.46</v>
      </c>
    </row>
    <row r="81" spans="1:13" ht="15">
      <c r="A81" s="45">
        <v>80</v>
      </c>
      <c r="B81" s="74">
        <v>260205</v>
      </c>
      <c r="C81" s="48" t="s">
        <v>51</v>
      </c>
      <c r="D81" s="47">
        <v>5179</v>
      </c>
      <c r="E81" s="45">
        <v>1320</v>
      </c>
      <c r="F81" s="46" t="s">
        <v>4486</v>
      </c>
      <c r="G81" s="46" t="s">
        <v>4416</v>
      </c>
      <c r="H81" s="45">
        <v>1375.12</v>
      </c>
      <c r="I81" s="45">
        <v>1448</v>
      </c>
      <c r="J81" s="41">
        <v>1320</v>
      </c>
      <c r="L81" s="45"/>
    </row>
    <row r="82" spans="1:13" ht="15">
      <c r="A82" s="50">
        <v>81</v>
      </c>
      <c r="B82" s="73">
        <v>260202</v>
      </c>
      <c r="C82" s="51" t="s">
        <v>51</v>
      </c>
      <c r="D82" s="47">
        <v>1783</v>
      </c>
      <c r="E82" s="50">
        <v>1199</v>
      </c>
      <c r="F82" s="53" t="s">
        <v>4486</v>
      </c>
      <c r="G82" s="53" t="s">
        <v>4416</v>
      </c>
      <c r="H82" s="50">
        <v>1250.32</v>
      </c>
      <c r="I82" s="50">
        <v>1315</v>
      </c>
      <c r="J82" s="50">
        <v>1199</v>
      </c>
    </row>
    <row r="83" spans="1:13" ht="15">
      <c r="A83" s="45">
        <v>82</v>
      </c>
      <c r="B83" s="49" t="s">
        <v>10</v>
      </c>
      <c r="C83" s="48" t="s">
        <v>51</v>
      </c>
      <c r="D83" s="47">
        <v>3292</v>
      </c>
      <c r="E83" s="45">
        <v>1699</v>
      </c>
      <c r="F83" s="46" t="s">
        <v>4486</v>
      </c>
      <c r="G83" s="46" t="s">
        <v>4416</v>
      </c>
      <c r="H83" s="45">
        <v>1771.72</v>
      </c>
      <c r="I83" s="45">
        <v>1864</v>
      </c>
      <c r="J83" s="41">
        <v>1699</v>
      </c>
      <c r="L83" s="45"/>
    </row>
    <row r="84" spans="1:13" ht="15">
      <c r="A84" s="50">
        <v>83</v>
      </c>
      <c r="B84" s="73">
        <v>270222</v>
      </c>
      <c r="C84" s="51" t="s">
        <v>51</v>
      </c>
      <c r="D84" s="47">
        <v>3415</v>
      </c>
      <c r="E84" s="50">
        <v>1645</v>
      </c>
      <c r="F84" s="53" t="s">
        <v>4486</v>
      </c>
      <c r="G84" s="53" t="s">
        <v>4416</v>
      </c>
      <c r="H84" s="50"/>
      <c r="I84" s="50"/>
      <c r="J84" s="41">
        <v>1645</v>
      </c>
      <c r="K84" s="50"/>
      <c r="L84" s="41">
        <v>2106</v>
      </c>
      <c r="M84" s="41">
        <v>2211.37</v>
      </c>
    </row>
    <row r="85" spans="1:13" ht="15">
      <c r="A85" s="45">
        <v>84</v>
      </c>
      <c r="B85" s="49" t="s">
        <v>8</v>
      </c>
      <c r="C85" s="48" t="s">
        <v>51</v>
      </c>
      <c r="D85" s="47">
        <v>2082</v>
      </c>
      <c r="E85" s="45">
        <v>1050</v>
      </c>
      <c r="F85" s="46" t="s">
        <v>4486</v>
      </c>
      <c r="G85" s="46" t="s">
        <v>4416</v>
      </c>
      <c r="H85" s="45"/>
      <c r="I85" s="45"/>
      <c r="J85" s="41">
        <v>1050</v>
      </c>
      <c r="K85" s="45"/>
    </row>
    <row r="86" spans="1:13" ht="15">
      <c r="A86" s="50">
        <v>85</v>
      </c>
      <c r="B86" s="52" t="s">
        <v>13</v>
      </c>
      <c r="C86" s="51" t="s">
        <v>51</v>
      </c>
      <c r="D86" s="47">
        <v>5483</v>
      </c>
      <c r="E86" s="50">
        <v>1999</v>
      </c>
      <c r="F86" s="53" t="s">
        <v>4486</v>
      </c>
      <c r="G86" s="53" t="s">
        <v>4416</v>
      </c>
      <c r="H86" s="50">
        <v>2082.4699999999998</v>
      </c>
      <c r="I86" s="50">
        <v>2193</v>
      </c>
      <c r="J86" s="41">
        <v>1999</v>
      </c>
      <c r="K86" s="50"/>
    </row>
    <row r="87" spans="1:13" ht="15">
      <c r="A87" s="45">
        <v>86</v>
      </c>
      <c r="B87" s="74">
        <v>270122</v>
      </c>
      <c r="C87" s="48" t="s">
        <v>51</v>
      </c>
      <c r="D87" s="45">
        <v>2300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5FFBD-5BFC-49D4-A1C6-AA2349A2E505}">
  <sheetPr codeName="Лист4"/>
  <dimension ref="A1:E2343"/>
  <sheetViews>
    <sheetView topLeftCell="A2322" workbookViewId="0">
      <selection activeCell="B2347" sqref="B2347"/>
    </sheetView>
  </sheetViews>
  <sheetFormatPr defaultRowHeight="15"/>
  <cols>
    <col min="1" max="1" width="43.85546875" style="12" customWidth="1"/>
    <col min="2" max="3" width="12.42578125" style="12" customWidth="1"/>
    <col min="4" max="4" width="13.7109375" style="12" customWidth="1"/>
  </cols>
  <sheetData>
    <row r="1" spans="1:5">
      <c r="A1" s="19" t="s">
        <v>4307</v>
      </c>
      <c r="B1" s="20"/>
      <c r="C1" s="20"/>
      <c r="D1" s="20"/>
    </row>
    <row r="2" spans="1:5">
      <c r="A2" s="19"/>
      <c r="B2" s="20"/>
      <c r="C2" s="20"/>
      <c r="D2" s="20"/>
    </row>
    <row r="3" spans="1:5">
      <c r="A3" s="18"/>
      <c r="B3" s="18"/>
      <c r="C3" s="18"/>
      <c r="D3" s="18"/>
    </row>
    <row r="4" spans="1:5">
      <c r="A4" s="21" t="s">
        <v>46</v>
      </c>
      <c r="B4" s="22" t="s">
        <v>47</v>
      </c>
      <c r="C4" s="22" t="s">
        <v>364</v>
      </c>
      <c r="D4" s="22" t="s">
        <v>48</v>
      </c>
      <c r="E4" s="16" t="s">
        <v>306</v>
      </c>
    </row>
    <row r="5" spans="1:5">
      <c r="A5" s="23" t="s">
        <v>365</v>
      </c>
      <c r="B5" s="24"/>
      <c r="C5" s="24"/>
      <c r="D5" s="25"/>
      <c r="E5" t="e">
        <f>VLOOKUP(B5,Кат!G:J,3,0)</f>
        <v>#N/A</v>
      </c>
    </row>
    <row r="6" spans="1:5" ht="22.5">
      <c r="A6" s="26" t="s">
        <v>366</v>
      </c>
      <c r="B6" s="26" t="s">
        <v>367</v>
      </c>
      <c r="C6" s="26" t="s">
        <v>49</v>
      </c>
      <c r="D6" s="27">
        <v>480</v>
      </c>
      <c r="E6" t="e">
        <f>VLOOKUP(B6,Кат!G:J,3,0)</f>
        <v>#N/A</v>
      </c>
    </row>
    <row r="7" spans="1:5" ht="22.5">
      <c r="A7" s="26" t="s">
        <v>368</v>
      </c>
      <c r="B7" s="26" t="s">
        <v>369</v>
      </c>
      <c r="C7" s="26" t="s">
        <v>49</v>
      </c>
      <c r="D7" s="27">
        <v>495</v>
      </c>
      <c r="E7" t="e">
        <f>VLOOKUP(B7,Кат!G:J,3,0)</f>
        <v>#N/A</v>
      </c>
    </row>
    <row r="8" spans="1:5" ht="22.5">
      <c r="A8" s="26" t="s">
        <v>370</v>
      </c>
      <c r="B8" s="26" t="s">
        <v>371</v>
      </c>
      <c r="C8" s="26" t="s">
        <v>49</v>
      </c>
      <c r="D8" s="27">
        <v>915</v>
      </c>
      <c r="E8" t="e">
        <f>VLOOKUP(B8,Кат!G:J,3,0)</f>
        <v>#N/A</v>
      </c>
    </row>
    <row r="9" spans="1:5" ht="15" customHeight="1">
      <c r="A9" s="26" t="s">
        <v>372</v>
      </c>
      <c r="B9" s="26" t="s">
        <v>373</v>
      </c>
      <c r="C9" s="26" t="s">
        <v>49</v>
      </c>
      <c r="D9" s="27">
        <v>953</v>
      </c>
      <c r="E9" t="e">
        <f>VLOOKUP(B9,Кат!G:J,3,0)</f>
        <v>#N/A</v>
      </c>
    </row>
    <row r="10" spans="1:5">
      <c r="A10" s="26" t="s">
        <v>374</v>
      </c>
      <c r="B10" s="26" t="s">
        <v>375</v>
      </c>
      <c r="C10" s="26" t="s">
        <v>49</v>
      </c>
      <c r="D10" s="28">
        <v>1224</v>
      </c>
      <c r="E10" t="e">
        <f>VLOOKUP(B10,Кат!G:J,3,0)</f>
        <v>#N/A</v>
      </c>
    </row>
    <row r="11" spans="1:5" ht="22.5">
      <c r="A11" s="26" t="s">
        <v>376</v>
      </c>
      <c r="B11" s="26" t="s">
        <v>377</v>
      </c>
      <c r="C11" s="26" t="s">
        <v>49</v>
      </c>
      <c r="D11" s="27">
        <v>820</v>
      </c>
      <c r="E11" t="e">
        <f>VLOOKUP(B11,Кат!G:J,3,0)</f>
        <v>#N/A</v>
      </c>
    </row>
    <row r="12" spans="1:5" ht="22.5">
      <c r="A12" s="26" t="s">
        <v>4308</v>
      </c>
      <c r="B12" s="26" t="s">
        <v>4309</v>
      </c>
      <c r="C12" s="26" t="s">
        <v>49</v>
      </c>
      <c r="D12" s="28">
        <v>1290</v>
      </c>
      <c r="E12" t="e">
        <f>VLOOKUP(B12,Кат!G:J,3,0)</f>
        <v>#N/A</v>
      </c>
    </row>
    <row r="13" spans="1:5" ht="22.5">
      <c r="A13" s="26" t="s">
        <v>378</v>
      </c>
      <c r="B13" s="26" t="s">
        <v>379</v>
      </c>
      <c r="C13" s="26" t="s">
        <v>49</v>
      </c>
      <c r="D13" s="28">
        <v>1555</v>
      </c>
      <c r="E13" t="e">
        <f>VLOOKUP(B13,Кат!G:J,3,0)</f>
        <v>#N/A</v>
      </c>
    </row>
    <row r="14" spans="1:5">
      <c r="A14" s="23" t="s">
        <v>380</v>
      </c>
      <c r="B14" s="24"/>
      <c r="C14" s="24"/>
      <c r="D14" s="25"/>
      <c r="E14" t="e">
        <f>VLOOKUP(B14,Кат!G:J,3,0)</f>
        <v>#N/A</v>
      </c>
    </row>
    <row r="15" spans="1:5">
      <c r="A15" s="26" t="s">
        <v>4310</v>
      </c>
      <c r="B15" s="26" t="s">
        <v>4311</v>
      </c>
      <c r="C15" s="26" t="s">
        <v>49</v>
      </c>
      <c r="D15" s="28">
        <v>1650</v>
      </c>
      <c r="E15" t="e">
        <f>VLOOKUP(B15,Кат!G:J,3,0)</f>
        <v>#N/A</v>
      </c>
    </row>
    <row r="16" spans="1:5" ht="22.5">
      <c r="A16" s="26" t="s">
        <v>381</v>
      </c>
      <c r="B16" s="26" t="s">
        <v>382</v>
      </c>
      <c r="C16" s="26" t="s">
        <v>50</v>
      </c>
      <c r="D16" s="27">
        <v>893</v>
      </c>
      <c r="E16" t="e">
        <f>VLOOKUP(B16,Кат!G:J,3,0)</f>
        <v>#N/A</v>
      </c>
    </row>
    <row r="17" spans="1:5" ht="22.5">
      <c r="A17" s="26" t="s">
        <v>383</v>
      </c>
      <c r="B17" s="26" t="s">
        <v>384</v>
      </c>
      <c r="C17" s="26" t="s">
        <v>50</v>
      </c>
      <c r="D17" s="27">
        <v>540</v>
      </c>
      <c r="E17" t="e">
        <f>VLOOKUP(B17,Кат!G:J,3,0)</f>
        <v>#N/A</v>
      </c>
    </row>
    <row r="18" spans="1:5" ht="22.5">
      <c r="A18" s="26" t="s">
        <v>385</v>
      </c>
      <c r="B18" s="26" t="s">
        <v>386</v>
      </c>
      <c r="C18" s="26" t="s">
        <v>50</v>
      </c>
      <c r="D18" s="27">
        <v>175</v>
      </c>
      <c r="E18" t="e">
        <f>VLOOKUP(B18,Кат!G:J,3,0)</f>
        <v>#N/A</v>
      </c>
    </row>
    <row r="19" spans="1:5">
      <c r="A19" s="23" t="s">
        <v>387</v>
      </c>
      <c r="B19" s="24"/>
      <c r="C19" s="24"/>
      <c r="D19" s="25"/>
      <c r="E19" t="e">
        <f>VLOOKUP(B19,Кат!G:J,3,0)</f>
        <v>#N/A</v>
      </c>
    </row>
    <row r="20" spans="1:5">
      <c r="A20" s="29" t="s">
        <v>388</v>
      </c>
      <c r="B20" s="30"/>
      <c r="C20" s="30"/>
      <c r="D20" s="31"/>
      <c r="E20" t="e">
        <f>VLOOKUP(B20,Кат!G:J,3,0)</f>
        <v>#N/A</v>
      </c>
    </row>
    <row r="21" spans="1:5">
      <c r="A21" s="26" t="s">
        <v>389</v>
      </c>
      <c r="B21" s="26" t="s">
        <v>390</v>
      </c>
      <c r="C21" s="26" t="s">
        <v>49</v>
      </c>
      <c r="D21" s="28">
        <v>1312</v>
      </c>
      <c r="E21" t="e">
        <f>VLOOKUP(B21,Кат!G:J,3,0)</f>
        <v>#N/A</v>
      </c>
    </row>
    <row r="22" spans="1:5" ht="22.5">
      <c r="A22" s="26" t="s">
        <v>391</v>
      </c>
      <c r="B22" s="26" t="s">
        <v>392</v>
      </c>
      <c r="C22" s="26" t="s">
        <v>49</v>
      </c>
      <c r="D22" s="28">
        <v>1594</v>
      </c>
      <c r="E22" t="e">
        <f>VLOOKUP(B22,Кат!G:J,3,0)</f>
        <v>#N/A</v>
      </c>
    </row>
    <row r="23" spans="1:5">
      <c r="A23" s="26" t="s">
        <v>393</v>
      </c>
      <c r="B23" s="26" t="s">
        <v>394</v>
      </c>
      <c r="C23" s="26" t="s">
        <v>49</v>
      </c>
      <c r="D23" s="28">
        <v>1456</v>
      </c>
      <c r="E23" t="e">
        <f>VLOOKUP(B23,Кат!G:J,3,0)</f>
        <v>#N/A</v>
      </c>
    </row>
    <row r="24" spans="1:5" ht="22.5">
      <c r="A24" s="26" t="s">
        <v>395</v>
      </c>
      <c r="B24" s="26" t="s">
        <v>396</v>
      </c>
      <c r="C24" s="26" t="s">
        <v>49</v>
      </c>
      <c r="D24" s="28">
        <v>1872</v>
      </c>
      <c r="E24" t="e">
        <f>VLOOKUP(B24,Кат!G:J,3,0)</f>
        <v>#N/A</v>
      </c>
    </row>
    <row r="25" spans="1:5">
      <c r="A25" s="26" t="s">
        <v>397</v>
      </c>
      <c r="B25" s="26" t="s">
        <v>398</v>
      </c>
      <c r="C25" s="26" t="s">
        <v>49</v>
      </c>
      <c r="D25" s="28">
        <v>1941</v>
      </c>
      <c r="E25" t="e">
        <f>VLOOKUP(B25,Кат!G:J,3,0)</f>
        <v>#N/A</v>
      </c>
    </row>
    <row r="26" spans="1:5">
      <c r="A26" s="26" t="s">
        <v>399</v>
      </c>
      <c r="B26" s="26" t="s">
        <v>400</v>
      </c>
      <c r="C26" s="26" t="s">
        <v>49</v>
      </c>
      <c r="D26" s="28">
        <v>2702</v>
      </c>
      <c r="E26" t="e">
        <f>VLOOKUP(B26,Кат!G:J,3,0)</f>
        <v>#N/A</v>
      </c>
    </row>
    <row r="27" spans="1:5">
      <c r="A27" s="26" t="s">
        <v>401</v>
      </c>
      <c r="B27" s="26" t="s">
        <v>402</v>
      </c>
      <c r="C27" s="26" t="s">
        <v>49</v>
      </c>
      <c r="D27" s="28">
        <v>1671</v>
      </c>
      <c r="E27" t="e">
        <f>VLOOKUP(B27,Кат!G:J,3,0)</f>
        <v>#N/A</v>
      </c>
    </row>
    <row r="28" spans="1:5">
      <c r="A28" s="26" t="s">
        <v>403</v>
      </c>
      <c r="B28" s="26" t="s">
        <v>404</v>
      </c>
      <c r="C28" s="26" t="s">
        <v>49</v>
      </c>
      <c r="D28" s="28">
        <v>1823</v>
      </c>
      <c r="E28" t="e">
        <f>VLOOKUP(B28,Кат!G:J,3,0)</f>
        <v>#N/A</v>
      </c>
    </row>
    <row r="29" spans="1:5" ht="22.5">
      <c r="A29" s="26" t="s">
        <v>405</v>
      </c>
      <c r="B29" s="26" t="s">
        <v>406</v>
      </c>
      <c r="C29" s="26" t="s">
        <v>49</v>
      </c>
      <c r="D29" s="28">
        <v>2577</v>
      </c>
      <c r="E29" t="e">
        <f>VLOOKUP(B29,Кат!G:J,3,0)</f>
        <v>#N/A</v>
      </c>
    </row>
    <row r="30" spans="1:5" ht="22.5">
      <c r="A30" s="26" t="s">
        <v>407</v>
      </c>
      <c r="B30" s="26" t="s">
        <v>408</v>
      </c>
      <c r="C30" s="26" t="s">
        <v>49</v>
      </c>
      <c r="D30" s="27">
        <v>730</v>
      </c>
      <c r="E30" t="e">
        <f>VLOOKUP(B30,Кат!G:J,3,0)</f>
        <v>#N/A</v>
      </c>
    </row>
    <row r="31" spans="1:5">
      <c r="A31" s="26" t="s">
        <v>409</v>
      </c>
      <c r="B31" s="26" t="s">
        <v>410</v>
      </c>
      <c r="C31" s="26" t="s">
        <v>49</v>
      </c>
      <c r="D31" s="27">
        <v>730</v>
      </c>
      <c r="E31" t="e">
        <f>VLOOKUP(B31,Кат!G:J,3,0)</f>
        <v>#N/A</v>
      </c>
    </row>
    <row r="32" spans="1:5" ht="22.5">
      <c r="A32" s="26" t="s">
        <v>411</v>
      </c>
      <c r="B32" s="26" t="s">
        <v>412</v>
      </c>
      <c r="C32" s="26" t="s">
        <v>49</v>
      </c>
      <c r="D32" s="27">
        <v>730</v>
      </c>
      <c r="E32" t="e">
        <f>VLOOKUP(B32,Кат!G:J,3,0)</f>
        <v>#N/A</v>
      </c>
    </row>
    <row r="33" spans="1:5" ht="22.5">
      <c r="A33" s="26" t="s">
        <v>413</v>
      </c>
      <c r="B33" s="26" t="s">
        <v>414</v>
      </c>
      <c r="C33" s="26" t="s">
        <v>49</v>
      </c>
      <c r="D33" s="27">
        <v>730</v>
      </c>
      <c r="E33" t="e">
        <f>VLOOKUP(B33,Кат!G:J,3,0)</f>
        <v>#N/A</v>
      </c>
    </row>
    <row r="34" spans="1:5" ht="22.5">
      <c r="A34" s="26" t="s">
        <v>415</v>
      </c>
      <c r="B34" s="26" t="s">
        <v>416</v>
      </c>
      <c r="C34" s="26" t="s">
        <v>49</v>
      </c>
      <c r="D34" s="27">
        <v>730</v>
      </c>
      <c r="E34" t="e">
        <f>VLOOKUP(B34,Кат!G:J,3,0)</f>
        <v>#N/A</v>
      </c>
    </row>
    <row r="35" spans="1:5" ht="22.5">
      <c r="A35" s="26" t="s">
        <v>417</v>
      </c>
      <c r="B35" s="26" t="s">
        <v>418</v>
      </c>
      <c r="C35" s="26" t="s">
        <v>49</v>
      </c>
      <c r="D35" s="27">
        <v>730</v>
      </c>
      <c r="E35" t="e">
        <f>VLOOKUP(B35,Кат!G:J,3,0)</f>
        <v>#N/A</v>
      </c>
    </row>
    <row r="36" spans="1:5" ht="22.5">
      <c r="A36" s="26" t="s">
        <v>419</v>
      </c>
      <c r="B36" s="26" t="s">
        <v>420</v>
      </c>
      <c r="C36" s="26" t="s">
        <v>49</v>
      </c>
      <c r="D36" s="27">
        <v>955</v>
      </c>
      <c r="E36" t="e">
        <f>VLOOKUP(B36,Кат!G:J,3,0)</f>
        <v>#N/A</v>
      </c>
    </row>
    <row r="37" spans="1:5">
      <c r="A37" s="29" t="s">
        <v>421</v>
      </c>
      <c r="B37" s="30"/>
      <c r="C37" s="30"/>
      <c r="D37" s="31"/>
      <c r="E37" t="e">
        <f>VLOOKUP(B37,Кат!G:J,3,0)</f>
        <v>#N/A</v>
      </c>
    </row>
    <row r="38" spans="1:5">
      <c r="A38" s="26" t="s">
        <v>422</v>
      </c>
      <c r="B38" s="26" t="s">
        <v>423</v>
      </c>
      <c r="C38" s="26" t="s">
        <v>49</v>
      </c>
      <c r="D38" s="27">
        <v>989</v>
      </c>
      <c r="E38" t="e">
        <f>VLOOKUP(B38,Кат!G:J,3,0)</f>
        <v>#N/A</v>
      </c>
    </row>
    <row r="39" spans="1:5">
      <c r="A39" s="26" t="s">
        <v>424</v>
      </c>
      <c r="B39" s="26" t="s">
        <v>425</v>
      </c>
      <c r="C39" s="26" t="s">
        <v>49</v>
      </c>
      <c r="D39" s="28">
        <v>1180</v>
      </c>
      <c r="E39" t="e">
        <f>VLOOKUP(B39,Кат!G:J,3,0)</f>
        <v>#N/A</v>
      </c>
    </row>
    <row r="40" spans="1:5">
      <c r="A40" s="26" t="s">
        <v>426</v>
      </c>
      <c r="B40" s="26" t="s">
        <v>427</v>
      </c>
      <c r="C40" s="26" t="s">
        <v>49</v>
      </c>
      <c r="D40" s="28">
        <v>1083</v>
      </c>
      <c r="E40" t="e">
        <f>VLOOKUP(B40,Кат!G:J,3,0)</f>
        <v>#N/A</v>
      </c>
    </row>
    <row r="41" spans="1:5">
      <c r="A41" s="26" t="s">
        <v>428</v>
      </c>
      <c r="B41" s="26" t="s">
        <v>429</v>
      </c>
      <c r="C41" s="26" t="s">
        <v>49</v>
      </c>
      <c r="D41" s="28">
        <v>1309</v>
      </c>
      <c r="E41" t="e">
        <f>VLOOKUP(B41,Кат!G:J,3,0)</f>
        <v>#N/A</v>
      </c>
    </row>
    <row r="42" spans="1:5">
      <c r="A42" s="26" t="s">
        <v>430</v>
      </c>
      <c r="B42" s="26" t="s">
        <v>431</v>
      </c>
      <c r="C42" s="26" t="s">
        <v>49</v>
      </c>
      <c r="D42" s="28">
        <v>1083</v>
      </c>
      <c r="E42" t="e">
        <f>VLOOKUP(B42,Кат!G:J,3,0)</f>
        <v>#N/A</v>
      </c>
    </row>
    <row r="43" spans="1:5" ht="22.5">
      <c r="A43" s="26" t="s">
        <v>432</v>
      </c>
      <c r="B43" s="26" t="s">
        <v>433</v>
      </c>
      <c r="C43" s="26" t="s">
        <v>49</v>
      </c>
      <c r="D43" s="28">
        <v>1648</v>
      </c>
      <c r="E43" t="e">
        <f>VLOOKUP(B43,Кат!G:J,3,0)</f>
        <v>#N/A</v>
      </c>
    </row>
    <row r="44" spans="1:5" ht="22.5">
      <c r="A44" s="26" t="s">
        <v>434</v>
      </c>
      <c r="B44" s="26" t="s">
        <v>435</v>
      </c>
      <c r="C44" s="26" t="s">
        <v>49</v>
      </c>
      <c r="D44" s="28">
        <v>1962</v>
      </c>
      <c r="E44" t="e">
        <f>VLOOKUP(B44,Кат!G:J,3,0)</f>
        <v>#N/A</v>
      </c>
    </row>
    <row r="45" spans="1:5" ht="22.5">
      <c r="A45" s="26" t="s">
        <v>436</v>
      </c>
      <c r="B45" s="26" t="s">
        <v>437</v>
      </c>
      <c r="C45" s="26" t="s">
        <v>49</v>
      </c>
      <c r="D45" s="28">
        <v>1567</v>
      </c>
      <c r="E45" t="e">
        <f>VLOOKUP(B45,Кат!G:J,3,0)</f>
        <v>#N/A</v>
      </c>
    </row>
    <row r="46" spans="1:5" ht="22.5">
      <c r="A46" s="26" t="s">
        <v>438</v>
      </c>
      <c r="B46" s="26" t="s">
        <v>439</v>
      </c>
      <c r="C46" s="26" t="s">
        <v>49</v>
      </c>
      <c r="D46" s="28">
        <v>1813</v>
      </c>
      <c r="E46" t="e">
        <f>VLOOKUP(B46,Кат!G:J,3,0)</f>
        <v>#N/A</v>
      </c>
    </row>
    <row r="47" spans="1:5">
      <c r="A47" s="26" t="s">
        <v>440</v>
      </c>
      <c r="B47" s="26" t="s">
        <v>441</v>
      </c>
      <c r="C47" s="26" t="s">
        <v>49</v>
      </c>
      <c r="D47" s="28">
        <v>1272</v>
      </c>
      <c r="E47" t="e">
        <f>VLOOKUP(B47,Кат!G:J,3,0)</f>
        <v>#N/A</v>
      </c>
    </row>
    <row r="48" spans="1:5">
      <c r="A48" s="26" t="s">
        <v>442</v>
      </c>
      <c r="B48" s="26" t="s">
        <v>443</v>
      </c>
      <c r="C48" s="26" t="s">
        <v>49</v>
      </c>
      <c r="D48" s="28">
        <v>1506</v>
      </c>
      <c r="E48" t="e">
        <f>VLOOKUP(B48,Кат!G:J,3,0)</f>
        <v>#N/A</v>
      </c>
    </row>
    <row r="49" spans="1:5">
      <c r="A49" s="26" t="s">
        <v>444</v>
      </c>
      <c r="B49" s="26" t="s">
        <v>445</v>
      </c>
      <c r="C49" s="26" t="s">
        <v>49</v>
      </c>
      <c r="D49" s="28">
        <v>1678</v>
      </c>
      <c r="E49" t="e">
        <f>VLOOKUP(B49,Кат!G:J,3,0)</f>
        <v>#N/A</v>
      </c>
    </row>
    <row r="50" spans="1:5">
      <c r="A50" s="26" t="s">
        <v>446</v>
      </c>
      <c r="B50" s="26" t="s">
        <v>447</v>
      </c>
      <c r="C50" s="26" t="s">
        <v>49</v>
      </c>
      <c r="D50" s="28">
        <v>1381</v>
      </c>
      <c r="E50" t="e">
        <f>VLOOKUP(B50,Кат!G:J,3,0)</f>
        <v>#N/A</v>
      </c>
    </row>
    <row r="51" spans="1:5">
      <c r="A51" s="26" t="s">
        <v>448</v>
      </c>
      <c r="B51" s="26" t="s">
        <v>449</v>
      </c>
      <c r="C51" s="26" t="s">
        <v>49</v>
      </c>
      <c r="D51" s="28">
        <v>1178</v>
      </c>
      <c r="E51" t="e">
        <f>VLOOKUP(B51,Кат!G:J,3,0)</f>
        <v>#N/A</v>
      </c>
    </row>
    <row r="52" spans="1:5">
      <c r="A52" s="26" t="s">
        <v>450</v>
      </c>
      <c r="B52" s="26" t="s">
        <v>451</v>
      </c>
      <c r="C52" s="26" t="s">
        <v>49</v>
      </c>
      <c r="D52" s="28">
        <v>1340</v>
      </c>
      <c r="E52" t="e">
        <f>VLOOKUP(B52,Кат!G:J,3,0)</f>
        <v>#N/A</v>
      </c>
    </row>
    <row r="53" spans="1:5" ht="22.5">
      <c r="A53" s="26" t="s">
        <v>452</v>
      </c>
      <c r="B53" s="26" t="s">
        <v>453</v>
      </c>
      <c r="C53" s="26" t="s">
        <v>49</v>
      </c>
      <c r="D53" s="28">
        <v>1265</v>
      </c>
      <c r="E53" t="e">
        <f>VLOOKUP(B53,Кат!G:J,3,0)</f>
        <v>#N/A</v>
      </c>
    </row>
    <row r="54" spans="1:5" ht="22.5">
      <c r="A54" s="26" t="s">
        <v>454</v>
      </c>
      <c r="B54" s="26" t="s">
        <v>455</v>
      </c>
      <c r="C54" s="26" t="s">
        <v>49</v>
      </c>
      <c r="D54" s="28">
        <v>1834</v>
      </c>
      <c r="E54" t="e">
        <f>VLOOKUP(B54,Кат!G:J,3,0)</f>
        <v>#N/A</v>
      </c>
    </row>
    <row r="55" spans="1:5">
      <c r="A55" s="26" t="s">
        <v>456</v>
      </c>
      <c r="B55" s="26" t="s">
        <v>457</v>
      </c>
      <c r="C55" s="26" t="s">
        <v>49</v>
      </c>
      <c r="D55" s="28">
        <v>1238</v>
      </c>
      <c r="E55" t="e">
        <f>VLOOKUP(B55,Кат!G:J,3,0)</f>
        <v>#N/A</v>
      </c>
    </row>
    <row r="56" spans="1:5">
      <c r="A56" s="26" t="s">
        <v>458</v>
      </c>
      <c r="B56" s="26" t="s">
        <v>459</v>
      </c>
      <c r="C56" s="26" t="s">
        <v>49</v>
      </c>
      <c r="D56" s="28">
        <v>1388</v>
      </c>
      <c r="E56" t="e">
        <f>VLOOKUP(B56,Кат!G:J,3,0)</f>
        <v>#N/A</v>
      </c>
    </row>
    <row r="57" spans="1:5" ht="22.5">
      <c r="A57" s="26" t="s">
        <v>460</v>
      </c>
      <c r="B57" s="26" t="s">
        <v>461</v>
      </c>
      <c r="C57" s="26" t="s">
        <v>49</v>
      </c>
      <c r="D57" s="28">
        <v>1782</v>
      </c>
      <c r="E57" t="e">
        <f>VLOOKUP(B57,Кат!G:J,3,0)</f>
        <v>#N/A</v>
      </c>
    </row>
    <row r="58" spans="1:5">
      <c r="A58" s="26" t="s">
        <v>462</v>
      </c>
      <c r="B58" s="26" t="s">
        <v>463</v>
      </c>
      <c r="C58" s="26" t="s">
        <v>49</v>
      </c>
      <c r="D58" s="28">
        <v>1451</v>
      </c>
      <c r="E58" t="e">
        <f>VLOOKUP(B58,Кат!G:J,3,0)</f>
        <v>#N/A</v>
      </c>
    </row>
    <row r="59" spans="1:5">
      <c r="A59" s="26" t="s">
        <v>464</v>
      </c>
      <c r="B59" s="26" t="s">
        <v>465</v>
      </c>
      <c r="C59" s="26" t="s">
        <v>49</v>
      </c>
      <c r="D59" s="27">
        <v>427</v>
      </c>
      <c r="E59" t="e">
        <f>VLOOKUP(B59,Кат!G:J,3,0)</f>
        <v>#N/A</v>
      </c>
    </row>
    <row r="60" spans="1:5">
      <c r="A60" s="26" t="s">
        <v>466</v>
      </c>
      <c r="B60" s="26" t="s">
        <v>467</v>
      </c>
      <c r="C60" s="26" t="s">
        <v>49</v>
      </c>
      <c r="D60" s="27">
        <v>427</v>
      </c>
      <c r="E60" t="e">
        <f>VLOOKUP(B60,Кат!G:J,3,0)</f>
        <v>#N/A</v>
      </c>
    </row>
    <row r="61" spans="1:5">
      <c r="A61" s="26" t="s">
        <v>468</v>
      </c>
      <c r="B61" s="26" t="s">
        <v>469</v>
      </c>
      <c r="C61" s="26" t="s">
        <v>49</v>
      </c>
      <c r="D61" s="27">
        <v>427</v>
      </c>
      <c r="E61" t="e">
        <f>VLOOKUP(B61,Кат!G:J,3,0)</f>
        <v>#N/A</v>
      </c>
    </row>
    <row r="62" spans="1:5">
      <c r="A62" s="26" t="s">
        <v>470</v>
      </c>
      <c r="B62" s="26" t="s">
        <v>471</v>
      </c>
      <c r="C62" s="26" t="s">
        <v>49</v>
      </c>
      <c r="D62" s="27">
        <v>427</v>
      </c>
      <c r="E62" t="e">
        <f>VLOOKUP(B62,Кат!G:J,3,0)</f>
        <v>#N/A</v>
      </c>
    </row>
    <row r="63" spans="1:5" ht="22.5">
      <c r="A63" s="26" t="s">
        <v>472</v>
      </c>
      <c r="B63" s="26" t="s">
        <v>473</v>
      </c>
      <c r="C63" s="26" t="s">
        <v>49</v>
      </c>
      <c r="D63" s="27">
        <v>762</v>
      </c>
      <c r="E63" t="e">
        <f>VLOOKUP(B63,Кат!G:J,3,0)</f>
        <v>#N/A</v>
      </c>
    </row>
    <row r="64" spans="1:5" ht="22.5">
      <c r="A64" s="26" t="s">
        <v>474</v>
      </c>
      <c r="B64" s="26" t="s">
        <v>475</v>
      </c>
      <c r="C64" s="26" t="s">
        <v>49</v>
      </c>
      <c r="D64" s="27">
        <v>812</v>
      </c>
      <c r="E64" t="e">
        <f>VLOOKUP(B64,Кат!G:J,3,0)</f>
        <v>#N/A</v>
      </c>
    </row>
    <row r="65" spans="1:5" ht="22.5">
      <c r="A65" s="26" t="s">
        <v>476</v>
      </c>
      <c r="B65" s="26" t="s">
        <v>477</v>
      </c>
      <c r="C65" s="26" t="s">
        <v>49</v>
      </c>
      <c r="D65" s="27">
        <v>827</v>
      </c>
      <c r="E65" t="e">
        <f>VLOOKUP(B65,Кат!G:J,3,0)</f>
        <v>#N/A</v>
      </c>
    </row>
    <row r="66" spans="1:5" ht="22.5">
      <c r="A66" s="26" t="s">
        <v>478</v>
      </c>
      <c r="B66" s="26" t="s">
        <v>479</v>
      </c>
      <c r="C66" s="26" t="s">
        <v>49</v>
      </c>
      <c r="D66" s="28">
        <v>1817</v>
      </c>
      <c r="E66" t="e">
        <f>VLOOKUP(B66,Кат!G:J,3,0)</f>
        <v>#N/A</v>
      </c>
    </row>
    <row r="67" spans="1:5" ht="22.5">
      <c r="A67" s="26" t="s">
        <v>480</v>
      </c>
      <c r="B67" s="26" t="s">
        <v>481</v>
      </c>
      <c r="C67" s="26" t="s">
        <v>49</v>
      </c>
      <c r="D67" s="27">
        <v>439</v>
      </c>
      <c r="E67" t="e">
        <f>VLOOKUP(B67,Кат!G:J,3,0)</f>
        <v>#N/A</v>
      </c>
    </row>
    <row r="68" spans="1:5" ht="22.5">
      <c r="A68" s="26" t="s">
        <v>482</v>
      </c>
      <c r="B68" s="26" t="s">
        <v>483</v>
      </c>
      <c r="C68" s="26" t="s">
        <v>49</v>
      </c>
      <c r="D68" s="27">
        <v>439</v>
      </c>
      <c r="E68" t="e">
        <f>VLOOKUP(B68,Кат!G:J,3,0)</f>
        <v>#N/A</v>
      </c>
    </row>
    <row r="69" spans="1:5" ht="22.5">
      <c r="A69" s="26" t="s">
        <v>484</v>
      </c>
      <c r="B69" s="26" t="s">
        <v>485</v>
      </c>
      <c r="C69" s="26" t="s">
        <v>49</v>
      </c>
      <c r="D69" s="28">
        <v>3636</v>
      </c>
      <c r="E69" t="e">
        <f>VLOOKUP(B69,Кат!G:J,3,0)</f>
        <v>#N/A</v>
      </c>
    </row>
    <row r="70" spans="1:5" ht="22.5">
      <c r="A70" s="26" t="s">
        <v>486</v>
      </c>
      <c r="B70" s="26" t="s">
        <v>487</v>
      </c>
      <c r="C70" s="26" t="s">
        <v>49</v>
      </c>
      <c r="D70" s="27">
        <v>713</v>
      </c>
      <c r="E70" t="e">
        <f>VLOOKUP(B70,Кат!G:J,3,0)</f>
        <v>#N/A</v>
      </c>
    </row>
    <row r="71" spans="1:5">
      <c r="A71" s="26" t="s">
        <v>488</v>
      </c>
      <c r="B71" s="26" t="s">
        <v>489</v>
      </c>
      <c r="C71" s="26" t="s">
        <v>49</v>
      </c>
      <c r="D71" s="27">
        <v>713</v>
      </c>
      <c r="E71" t="e">
        <f>VLOOKUP(B71,Кат!G:J,3,0)</f>
        <v>#N/A</v>
      </c>
    </row>
    <row r="72" spans="1:5">
      <c r="A72" s="26" t="s">
        <v>490</v>
      </c>
      <c r="B72" s="26" t="s">
        <v>491</v>
      </c>
      <c r="C72" s="26" t="s">
        <v>49</v>
      </c>
      <c r="D72" s="27">
        <v>713</v>
      </c>
      <c r="E72" t="e">
        <f>VLOOKUP(B72,Кат!G:J,3,0)</f>
        <v>#N/A</v>
      </c>
    </row>
    <row r="73" spans="1:5" ht="22.5">
      <c r="A73" s="26" t="s">
        <v>492</v>
      </c>
      <c r="B73" s="26" t="s">
        <v>493</v>
      </c>
      <c r="C73" s="26" t="s">
        <v>49</v>
      </c>
      <c r="D73" s="27">
        <v>713</v>
      </c>
      <c r="E73" t="e">
        <f>VLOOKUP(B73,Кат!G:J,3,0)</f>
        <v>#N/A</v>
      </c>
    </row>
    <row r="74" spans="1:5">
      <c r="A74" s="26" t="s">
        <v>494</v>
      </c>
      <c r="B74" s="26" t="s">
        <v>495</v>
      </c>
      <c r="C74" s="26" t="s">
        <v>49</v>
      </c>
      <c r="D74" s="27">
        <v>713</v>
      </c>
      <c r="E74" t="e">
        <f>VLOOKUP(B74,Кат!G:J,3,0)</f>
        <v>#N/A</v>
      </c>
    </row>
    <row r="75" spans="1:5">
      <c r="A75" s="26" t="s">
        <v>496</v>
      </c>
      <c r="B75" s="26" t="s">
        <v>497</v>
      </c>
      <c r="C75" s="26" t="s">
        <v>49</v>
      </c>
      <c r="D75" s="27">
        <v>713</v>
      </c>
      <c r="E75" t="e">
        <f>VLOOKUP(B75,Кат!G:J,3,0)</f>
        <v>#N/A</v>
      </c>
    </row>
    <row r="76" spans="1:5">
      <c r="A76" s="29" t="s">
        <v>498</v>
      </c>
      <c r="B76" s="30"/>
      <c r="C76" s="30"/>
      <c r="D76" s="31"/>
      <c r="E76" t="e">
        <f>VLOOKUP(B76,Кат!G:J,3,0)</f>
        <v>#N/A</v>
      </c>
    </row>
    <row r="77" spans="1:5" ht="22.5">
      <c r="A77" s="26" t="s">
        <v>499</v>
      </c>
      <c r="B77" s="26" t="s">
        <v>500</v>
      </c>
      <c r="C77" s="26" t="s">
        <v>49</v>
      </c>
      <c r="D77" s="28">
        <v>2073</v>
      </c>
      <c r="E77" t="e">
        <f>VLOOKUP(B77,Кат!G:J,3,0)</f>
        <v>#N/A</v>
      </c>
    </row>
    <row r="78" spans="1:5" ht="22.5">
      <c r="A78" s="26" t="s">
        <v>501</v>
      </c>
      <c r="B78" s="26" t="s">
        <v>502</v>
      </c>
      <c r="C78" s="26" t="s">
        <v>49</v>
      </c>
      <c r="D78" s="28">
        <v>2432</v>
      </c>
      <c r="E78" t="e">
        <f>VLOOKUP(B78,Кат!G:J,3,0)</f>
        <v>#N/A</v>
      </c>
    </row>
    <row r="79" spans="1:5">
      <c r="A79" s="26" t="s">
        <v>503</v>
      </c>
      <c r="B79" s="26" t="s">
        <v>504</v>
      </c>
      <c r="C79" s="26" t="s">
        <v>49</v>
      </c>
      <c r="D79" s="28">
        <v>2035</v>
      </c>
      <c r="E79" t="e">
        <f>VLOOKUP(B79,Кат!G:J,3,0)</f>
        <v>#N/A</v>
      </c>
    </row>
    <row r="80" spans="1:5">
      <c r="A80" s="26" t="s">
        <v>505</v>
      </c>
      <c r="B80" s="26" t="s">
        <v>506</v>
      </c>
      <c r="C80" s="26" t="s">
        <v>49</v>
      </c>
      <c r="D80" s="28">
        <v>2394</v>
      </c>
      <c r="E80" t="e">
        <f>VLOOKUP(B80,Кат!G:J,3,0)</f>
        <v>#N/A</v>
      </c>
    </row>
    <row r="81" spans="1:5" ht="22.5">
      <c r="A81" s="26" t="s">
        <v>507</v>
      </c>
      <c r="B81" s="26" t="s">
        <v>508</v>
      </c>
      <c r="C81" s="26" t="s">
        <v>49</v>
      </c>
      <c r="D81" s="28">
        <v>2035</v>
      </c>
      <c r="E81" t="e">
        <f>VLOOKUP(B81,Кат!G:J,3,0)</f>
        <v>#N/A</v>
      </c>
    </row>
    <row r="82" spans="1:5" ht="22.5">
      <c r="A82" s="26" t="s">
        <v>509</v>
      </c>
      <c r="B82" s="26" t="s">
        <v>510</v>
      </c>
      <c r="C82" s="26" t="s">
        <v>49</v>
      </c>
      <c r="D82" s="28">
        <v>2188</v>
      </c>
      <c r="E82" t="e">
        <f>VLOOKUP(B82,Кат!G:J,3,0)</f>
        <v>#N/A</v>
      </c>
    </row>
    <row r="83" spans="1:5">
      <c r="A83" s="26" t="s">
        <v>511</v>
      </c>
      <c r="B83" s="26" t="s">
        <v>512</v>
      </c>
      <c r="C83" s="26" t="s">
        <v>49</v>
      </c>
      <c r="D83" s="28">
        <v>1326</v>
      </c>
      <c r="E83" t="e">
        <f>VLOOKUP(B83,Кат!G:J,3,0)</f>
        <v>#N/A</v>
      </c>
    </row>
    <row r="84" spans="1:5" ht="22.5">
      <c r="A84" s="26" t="s">
        <v>513</v>
      </c>
      <c r="B84" s="26" t="s">
        <v>514</v>
      </c>
      <c r="C84" s="26" t="s">
        <v>49</v>
      </c>
      <c r="D84" s="28">
        <v>1557</v>
      </c>
      <c r="E84" t="e">
        <f>VLOOKUP(B84,Кат!G:J,3,0)</f>
        <v>#N/A</v>
      </c>
    </row>
    <row r="85" spans="1:5" ht="22.5">
      <c r="A85" s="26" t="s">
        <v>513</v>
      </c>
      <c r="B85" s="26" t="s">
        <v>515</v>
      </c>
      <c r="C85" s="26" t="s">
        <v>49</v>
      </c>
      <c r="D85" s="28">
        <v>1557</v>
      </c>
      <c r="E85" t="e">
        <f>VLOOKUP(B85,Кат!G:J,3,0)</f>
        <v>#N/A</v>
      </c>
    </row>
    <row r="86" spans="1:5" ht="22.5">
      <c r="A86" s="26" t="s">
        <v>516</v>
      </c>
      <c r="B86" s="26" t="s">
        <v>517</v>
      </c>
      <c r="C86" s="26" t="s">
        <v>49</v>
      </c>
      <c r="D86" s="27">
        <v>456</v>
      </c>
      <c r="E86" t="e">
        <f>VLOOKUP(B86,Кат!G:J,3,0)</f>
        <v>#N/A</v>
      </c>
    </row>
    <row r="87" spans="1:5" ht="22.5">
      <c r="A87" s="26" t="s">
        <v>518</v>
      </c>
      <c r="B87" s="26" t="s">
        <v>519</v>
      </c>
      <c r="C87" s="26" t="s">
        <v>49</v>
      </c>
      <c r="D87" s="27">
        <v>634</v>
      </c>
      <c r="E87" t="e">
        <f>VLOOKUP(B87,Кат!G:J,3,0)</f>
        <v>#N/A</v>
      </c>
    </row>
    <row r="88" spans="1:5" ht="22.5">
      <c r="A88" s="26" t="s">
        <v>520</v>
      </c>
      <c r="B88" s="26" t="s">
        <v>521</v>
      </c>
      <c r="C88" s="26" t="s">
        <v>49</v>
      </c>
      <c r="D88" s="27">
        <v>634</v>
      </c>
      <c r="E88" t="e">
        <f>VLOOKUP(B88,Кат!G:J,3,0)</f>
        <v>#N/A</v>
      </c>
    </row>
    <row r="89" spans="1:5">
      <c r="A89" s="29" t="s">
        <v>522</v>
      </c>
      <c r="B89" s="30"/>
      <c r="C89" s="30"/>
      <c r="D89" s="31"/>
      <c r="E89" t="e">
        <f>VLOOKUP(B89,Кат!G:J,3,0)</f>
        <v>#N/A</v>
      </c>
    </row>
    <row r="90" spans="1:5" ht="22.5">
      <c r="A90" s="26" t="s">
        <v>523</v>
      </c>
      <c r="B90" s="26" t="s">
        <v>524</v>
      </c>
      <c r="C90" s="26" t="s">
        <v>49</v>
      </c>
      <c r="D90" s="28">
        <v>1564</v>
      </c>
      <c r="E90" t="e">
        <f>VLOOKUP(B90,Кат!G:J,3,0)</f>
        <v>#N/A</v>
      </c>
    </row>
    <row r="91" spans="1:5" ht="22.5">
      <c r="A91" s="26" t="s">
        <v>525</v>
      </c>
      <c r="B91" s="26" t="s">
        <v>526</v>
      </c>
      <c r="C91" s="26" t="s">
        <v>49</v>
      </c>
      <c r="D91" s="28">
        <v>1564</v>
      </c>
      <c r="E91" t="e">
        <f>VLOOKUP(B91,Кат!G:J,3,0)</f>
        <v>#N/A</v>
      </c>
    </row>
    <row r="92" spans="1:5" ht="22.5">
      <c r="A92" s="26" t="s">
        <v>527</v>
      </c>
      <c r="B92" s="26" t="s">
        <v>528</v>
      </c>
      <c r="C92" s="26" t="s">
        <v>49</v>
      </c>
      <c r="D92" s="28">
        <v>2502</v>
      </c>
      <c r="E92" t="e">
        <f>VLOOKUP(B92,Кат!G:J,3,0)</f>
        <v>#N/A</v>
      </c>
    </row>
    <row r="93" spans="1:5" ht="22.5">
      <c r="A93" s="26" t="s">
        <v>529</v>
      </c>
      <c r="B93" s="26" t="s">
        <v>530</v>
      </c>
      <c r="C93" s="26" t="s">
        <v>49</v>
      </c>
      <c r="D93" s="28">
        <v>2502</v>
      </c>
      <c r="E93" t="e">
        <f>VLOOKUP(B93,Кат!G:J,3,0)</f>
        <v>#N/A</v>
      </c>
    </row>
    <row r="94" spans="1:5" ht="22.5">
      <c r="A94" s="26" t="s">
        <v>531</v>
      </c>
      <c r="B94" s="26" t="s">
        <v>532</v>
      </c>
      <c r="C94" s="26" t="s">
        <v>49</v>
      </c>
      <c r="D94" s="28">
        <v>1093</v>
      </c>
      <c r="E94" t="e">
        <f>VLOOKUP(B94,Кат!G:J,3,0)</f>
        <v>#N/A</v>
      </c>
    </row>
    <row r="95" spans="1:5" ht="22.5">
      <c r="A95" s="26" t="s">
        <v>533</v>
      </c>
      <c r="B95" s="26" t="s">
        <v>534</v>
      </c>
      <c r="C95" s="26" t="s">
        <v>49</v>
      </c>
      <c r="D95" s="28">
        <v>1093</v>
      </c>
      <c r="E95" t="e">
        <f>VLOOKUP(B95,Кат!G:J,3,0)</f>
        <v>#N/A</v>
      </c>
    </row>
    <row r="96" spans="1:5" ht="22.5">
      <c r="A96" s="26" t="s">
        <v>535</v>
      </c>
      <c r="B96" s="26" t="s">
        <v>536</v>
      </c>
      <c r="C96" s="26" t="s">
        <v>49</v>
      </c>
      <c r="D96" s="28">
        <v>1093</v>
      </c>
      <c r="E96" t="e">
        <f>VLOOKUP(B96,Кат!G:J,3,0)</f>
        <v>#N/A</v>
      </c>
    </row>
    <row r="97" spans="1:5" ht="22.5">
      <c r="A97" s="26" t="s">
        <v>537</v>
      </c>
      <c r="B97" s="26" t="s">
        <v>538</v>
      </c>
      <c r="C97" s="26" t="s">
        <v>49</v>
      </c>
      <c r="D97" s="28">
        <v>1093</v>
      </c>
      <c r="E97" t="e">
        <f>VLOOKUP(B97,Кат!G:J,3,0)</f>
        <v>#N/A</v>
      </c>
    </row>
    <row r="98" spans="1:5" ht="22.5">
      <c r="A98" s="26" t="s">
        <v>539</v>
      </c>
      <c r="B98" s="26" t="s">
        <v>540</v>
      </c>
      <c r="C98" s="26" t="s">
        <v>49</v>
      </c>
      <c r="D98" s="28">
        <v>1093</v>
      </c>
      <c r="E98" t="e">
        <f>VLOOKUP(B98,Кат!G:J,3,0)</f>
        <v>#N/A</v>
      </c>
    </row>
    <row r="99" spans="1:5" ht="22.5">
      <c r="A99" s="26" t="s">
        <v>541</v>
      </c>
      <c r="B99" s="26" t="s">
        <v>542</v>
      </c>
      <c r="C99" s="26" t="s">
        <v>49</v>
      </c>
      <c r="D99" s="28">
        <v>1093</v>
      </c>
      <c r="E99" t="e">
        <f>VLOOKUP(B99,Кат!G:J,3,0)</f>
        <v>#N/A</v>
      </c>
    </row>
    <row r="100" spans="1:5" ht="22.5">
      <c r="A100" s="26" t="s">
        <v>543</v>
      </c>
      <c r="B100" s="26" t="s">
        <v>544</v>
      </c>
      <c r="C100" s="26" t="s">
        <v>49</v>
      </c>
      <c r="D100" s="28">
        <v>1093</v>
      </c>
      <c r="E100" t="e">
        <f>VLOOKUP(B100,Кат!G:J,3,0)</f>
        <v>#N/A</v>
      </c>
    </row>
    <row r="101" spans="1:5" ht="22.5">
      <c r="A101" s="26" t="s">
        <v>545</v>
      </c>
      <c r="B101" s="26" t="s">
        <v>546</v>
      </c>
      <c r="C101" s="26" t="s">
        <v>49</v>
      </c>
      <c r="D101" s="28">
        <v>1093</v>
      </c>
      <c r="E101" t="e">
        <f>VLOOKUP(B101,Кат!G:J,3,0)</f>
        <v>#N/A</v>
      </c>
    </row>
    <row r="102" spans="1:5" ht="22.5">
      <c r="A102" s="26" t="s">
        <v>547</v>
      </c>
      <c r="B102" s="26" t="s">
        <v>548</v>
      </c>
      <c r="C102" s="26" t="s">
        <v>49</v>
      </c>
      <c r="D102" s="28">
        <v>1093</v>
      </c>
      <c r="E102" t="e">
        <f>VLOOKUP(B102,Кат!G:J,3,0)</f>
        <v>#N/A</v>
      </c>
    </row>
    <row r="103" spans="1:5" ht="22.5">
      <c r="A103" s="26" t="s">
        <v>549</v>
      </c>
      <c r="B103" s="26" t="s">
        <v>550</v>
      </c>
      <c r="C103" s="26" t="s">
        <v>49</v>
      </c>
      <c r="D103" s="28">
        <v>1093</v>
      </c>
      <c r="E103" t="e">
        <f>VLOOKUP(B103,Кат!G:J,3,0)</f>
        <v>#N/A</v>
      </c>
    </row>
    <row r="104" spans="1:5" ht="22.5">
      <c r="A104" s="26" t="s">
        <v>551</v>
      </c>
      <c r="B104" s="26" t="s">
        <v>552</v>
      </c>
      <c r="C104" s="26" t="s">
        <v>49</v>
      </c>
      <c r="D104" s="28">
        <v>1093</v>
      </c>
      <c r="E104" t="e">
        <f>VLOOKUP(B104,Кат!G:J,3,0)</f>
        <v>#N/A</v>
      </c>
    </row>
    <row r="105" spans="1:5" ht="22.5">
      <c r="A105" s="26" t="s">
        <v>553</v>
      </c>
      <c r="B105" s="26" t="s">
        <v>554</v>
      </c>
      <c r="C105" s="26" t="s">
        <v>49</v>
      </c>
      <c r="D105" s="28">
        <v>1126</v>
      </c>
      <c r="E105" t="e">
        <f>VLOOKUP(B105,Кат!G:J,3,0)</f>
        <v>#N/A</v>
      </c>
    </row>
    <row r="106" spans="1:5" ht="22.5">
      <c r="A106" s="26" t="s">
        <v>555</v>
      </c>
      <c r="B106" s="26" t="s">
        <v>556</v>
      </c>
      <c r="C106" s="26" t="s">
        <v>49</v>
      </c>
      <c r="D106" s="28">
        <v>1126</v>
      </c>
      <c r="E106" t="e">
        <f>VLOOKUP(B106,Кат!G:J,3,0)</f>
        <v>#N/A</v>
      </c>
    </row>
    <row r="107" spans="1:5" ht="22.5">
      <c r="A107" s="26" t="s">
        <v>557</v>
      </c>
      <c r="B107" s="26" t="s">
        <v>558</v>
      </c>
      <c r="C107" s="26" t="s">
        <v>49</v>
      </c>
      <c r="D107" s="28">
        <v>1126</v>
      </c>
      <c r="E107" t="e">
        <f>VLOOKUP(B107,Кат!G:J,3,0)</f>
        <v>#N/A</v>
      </c>
    </row>
    <row r="108" spans="1:5" ht="22.5">
      <c r="A108" s="26" t="s">
        <v>559</v>
      </c>
      <c r="B108" s="26" t="s">
        <v>560</v>
      </c>
      <c r="C108" s="26" t="s">
        <v>49</v>
      </c>
      <c r="D108" s="28">
        <v>1126</v>
      </c>
      <c r="E108" t="e">
        <f>VLOOKUP(B108,Кат!G:J,3,0)</f>
        <v>#N/A</v>
      </c>
    </row>
    <row r="109" spans="1:5" ht="22.5">
      <c r="A109" s="26" t="s">
        <v>561</v>
      </c>
      <c r="B109" s="26" t="s">
        <v>562</v>
      </c>
      <c r="C109" s="26" t="s">
        <v>49</v>
      </c>
      <c r="D109" s="28">
        <v>1126</v>
      </c>
      <c r="E109" t="e">
        <f>VLOOKUP(B109,Кат!G:J,3,0)</f>
        <v>#N/A</v>
      </c>
    </row>
    <row r="110" spans="1:5" ht="22.5">
      <c r="A110" s="26" t="s">
        <v>563</v>
      </c>
      <c r="B110" s="26" t="s">
        <v>564</v>
      </c>
      <c r="C110" s="26" t="s">
        <v>49</v>
      </c>
      <c r="D110" s="28">
        <v>1205</v>
      </c>
      <c r="E110" t="e">
        <f>VLOOKUP(B110,Кат!G:J,3,0)</f>
        <v>#N/A</v>
      </c>
    </row>
    <row r="111" spans="1:5" ht="22.5">
      <c r="A111" s="26" t="s">
        <v>565</v>
      </c>
      <c r="B111" s="26" t="s">
        <v>566</v>
      </c>
      <c r="C111" s="26" t="s">
        <v>49</v>
      </c>
      <c r="D111" s="28">
        <v>2430</v>
      </c>
      <c r="E111" t="e">
        <f>VLOOKUP(B111,Кат!G:J,3,0)</f>
        <v>#N/A</v>
      </c>
    </row>
    <row r="112" spans="1:5" ht="22.5">
      <c r="A112" s="26" t="s">
        <v>567</v>
      </c>
      <c r="B112" s="26" t="s">
        <v>568</v>
      </c>
      <c r="C112" s="26" t="s">
        <v>49</v>
      </c>
      <c r="D112" s="28">
        <v>2430</v>
      </c>
      <c r="E112" t="e">
        <f>VLOOKUP(B112,Кат!G:J,3,0)</f>
        <v>#N/A</v>
      </c>
    </row>
    <row r="113" spans="1:5" ht="22.5">
      <c r="A113" s="26" t="s">
        <v>569</v>
      </c>
      <c r="B113" s="26" t="s">
        <v>570</v>
      </c>
      <c r="C113" s="26" t="s">
        <v>49</v>
      </c>
      <c r="D113" s="28">
        <v>2430</v>
      </c>
      <c r="E113" t="e">
        <f>VLOOKUP(B113,Кат!G:J,3,0)</f>
        <v>#N/A</v>
      </c>
    </row>
    <row r="114" spans="1:5" ht="22.5">
      <c r="A114" s="26" t="s">
        <v>571</v>
      </c>
      <c r="B114" s="26" t="s">
        <v>572</v>
      </c>
      <c r="C114" s="26" t="s">
        <v>49</v>
      </c>
      <c r="D114" s="28">
        <v>1436</v>
      </c>
      <c r="E114" t="e">
        <f>VLOOKUP(B114,Кат!G:J,3,0)</f>
        <v>#N/A</v>
      </c>
    </row>
    <row r="115" spans="1:5" ht="22.5">
      <c r="A115" s="26" t="s">
        <v>573</v>
      </c>
      <c r="B115" s="26" t="s">
        <v>574</v>
      </c>
      <c r="C115" s="26" t="s">
        <v>49</v>
      </c>
      <c r="D115" s="28">
        <v>1436</v>
      </c>
      <c r="E115" t="e">
        <f>VLOOKUP(B115,Кат!G:J,3,0)</f>
        <v>#N/A</v>
      </c>
    </row>
    <row r="116" spans="1:5" ht="22.5">
      <c r="A116" s="26" t="s">
        <v>575</v>
      </c>
      <c r="B116" s="26" t="s">
        <v>576</v>
      </c>
      <c r="C116" s="26" t="s">
        <v>49</v>
      </c>
      <c r="D116" s="28">
        <v>1436</v>
      </c>
      <c r="E116" t="e">
        <f>VLOOKUP(B116,Кат!G:J,3,0)</f>
        <v>#N/A</v>
      </c>
    </row>
    <row r="117" spans="1:5" ht="22.5">
      <c r="A117" s="26" t="s">
        <v>577</v>
      </c>
      <c r="B117" s="26" t="s">
        <v>578</v>
      </c>
      <c r="C117" s="26" t="s">
        <v>49</v>
      </c>
      <c r="D117" s="28">
        <v>1265</v>
      </c>
      <c r="E117" t="e">
        <f>VLOOKUP(B117,Кат!G:J,3,0)</f>
        <v>#N/A</v>
      </c>
    </row>
    <row r="118" spans="1:5" ht="22.5">
      <c r="A118" s="26" t="s">
        <v>579</v>
      </c>
      <c r="B118" s="26" t="s">
        <v>580</v>
      </c>
      <c r="C118" s="26" t="s">
        <v>49</v>
      </c>
      <c r="D118" s="28">
        <v>1148</v>
      </c>
      <c r="E118" t="e">
        <f>VLOOKUP(B118,Кат!G:J,3,0)</f>
        <v>#N/A</v>
      </c>
    </row>
    <row r="119" spans="1:5" ht="22.5">
      <c r="A119" s="26" t="s">
        <v>581</v>
      </c>
      <c r="B119" s="26" t="s">
        <v>582</v>
      </c>
      <c r="C119" s="26" t="s">
        <v>49</v>
      </c>
      <c r="D119" s="28">
        <v>1148</v>
      </c>
      <c r="E119" t="e">
        <f>VLOOKUP(B119,Кат!G:J,3,0)</f>
        <v>#N/A</v>
      </c>
    </row>
    <row r="120" spans="1:5" ht="22.5">
      <c r="A120" s="26" t="s">
        <v>583</v>
      </c>
      <c r="B120" s="26" t="s">
        <v>584</v>
      </c>
      <c r="C120" s="26" t="s">
        <v>49</v>
      </c>
      <c r="D120" s="28">
        <v>1148</v>
      </c>
      <c r="E120" t="e">
        <f>VLOOKUP(B120,Кат!G:J,3,0)</f>
        <v>#N/A</v>
      </c>
    </row>
    <row r="121" spans="1:5" ht="22.5">
      <c r="A121" s="26" t="s">
        <v>585</v>
      </c>
      <c r="B121" s="26" t="s">
        <v>586</v>
      </c>
      <c r="C121" s="26" t="s">
        <v>49</v>
      </c>
      <c r="D121" s="28">
        <v>1148</v>
      </c>
      <c r="E121" t="e">
        <f>VLOOKUP(B121,Кат!G:J,3,0)</f>
        <v>#N/A</v>
      </c>
    </row>
    <row r="122" spans="1:5" ht="22.5">
      <c r="A122" s="26" t="s">
        <v>587</v>
      </c>
      <c r="B122" s="26" t="s">
        <v>588</v>
      </c>
      <c r="C122" s="26" t="s">
        <v>49</v>
      </c>
      <c r="D122" s="28">
        <v>1148</v>
      </c>
      <c r="E122" t="e">
        <f>VLOOKUP(B122,Кат!G:J,3,0)</f>
        <v>#N/A</v>
      </c>
    </row>
    <row r="123" spans="1:5" ht="22.5">
      <c r="A123" s="26" t="s">
        <v>589</v>
      </c>
      <c r="B123" s="26" t="s">
        <v>590</v>
      </c>
      <c r="C123" s="26" t="s">
        <v>49</v>
      </c>
      <c r="D123" s="28">
        <v>1398</v>
      </c>
      <c r="E123" t="e">
        <f>VLOOKUP(B123,Кат!G:J,3,0)</f>
        <v>#N/A</v>
      </c>
    </row>
    <row r="124" spans="1:5" ht="22.5">
      <c r="A124" s="26" t="s">
        <v>591</v>
      </c>
      <c r="B124" s="26" t="s">
        <v>592</v>
      </c>
      <c r="C124" s="26" t="s">
        <v>49</v>
      </c>
      <c r="D124" s="28">
        <v>1398</v>
      </c>
      <c r="E124" t="e">
        <f>VLOOKUP(B124,Кат!G:J,3,0)</f>
        <v>#N/A</v>
      </c>
    </row>
    <row r="125" spans="1:5" ht="22.5">
      <c r="A125" s="26" t="s">
        <v>593</v>
      </c>
      <c r="B125" s="26" t="s">
        <v>594</v>
      </c>
      <c r="C125" s="26" t="s">
        <v>49</v>
      </c>
      <c r="D125" s="28">
        <v>1398</v>
      </c>
      <c r="E125" t="e">
        <f>VLOOKUP(B125,Кат!G:J,3,0)</f>
        <v>#N/A</v>
      </c>
    </row>
    <row r="126" spans="1:5" ht="22.5">
      <c r="A126" s="26" t="s">
        <v>595</v>
      </c>
      <c r="B126" s="26" t="s">
        <v>596</v>
      </c>
      <c r="C126" s="26" t="s">
        <v>49</v>
      </c>
      <c r="D126" s="28">
        <v>1398</v>
      </c>
      <c r="E126" t="e">
        <f>VLOOKUP(B126,Кат!G:J,3,0)</f>
        <v>#N/A</v>
      </c>
    </row>
    <row r="127" spans="1:5" ht="22.5">
      <c r="A127" s="26" t="s">
        <v>597</v>
      </c>
      <c r="B127" s="26" t="s">
        <v>598</v>
      </c>
      <c r="C127" s="26" t="s">
        <v>49</v>
      </c>
      <c r="D127" s="28">
        <v>1398</v>
      </c>
      <c r="E127" t="e">
        <f>VLOOKUP(B127,Кат!G:J,3,0)</f>
        <v>#N/A</v>
      </c>
    </row>
    <row r="128" spans="1:5" ht="22.5">
      <c r="A128" s="26" t="s">
        <v>599</v>
      </c>
      <c r="B128" s="26" t="s">
        <v>600</v>
      </c>
      <c r="C128" s="26" t="s">
        <v>49</v>
      </c>
      <c r="D128" s="28">
        <v>1398</v>
      </c>
      <c r="E128" t="e">
        <f>VLOOKUP(B128,Кат!G:J,3,0)</f>
        <v>#N/A</v>
      </c>
    </row>
    <row r="129" spans="1:5" ht="22.5">
      <c r="A129" s="26" t="s">
        <v>601</v>
      </c>
      <c r="B129" s="26" t="s">
        <v>602</v>
      </c>
      <c r="C129" s="26" t="s">
        <v>49</v>
      </c>
      <c r="D129" s="28">
        <v>1398</v>
      </c>
      <c r="E129" t="e">
        <f>VLOOKUP(B129,Кат!G:J,3,0)</f>
        <v>#N/A</v>
      </c>
    </row>
    <row r="130" spans="1:5" ht="22.5">
      <c r="A130" s="26" t="s">
        <v>603</v>
      </c>
      <c r="B130" s="26" t="s">
        <v>604</v>
      </c>
      <c r="C130" s="26" t="s">
        <v>49</v>
      </c>
      <c r="D130" s="28">
        <v>1398</v>
      </c>
      <c r="E130" t="e">
        <f>VLOOKUP(B130,Кат!G:J,3,0)</f>
        <v>#N/A</v>
      </c>
    </row>
    <row r="131" spans="1:5" ht="22.5">
      <c r="A131" s="26" t="s">
        <v>605</v>
      </c>
      <c r="B131" s="26" t="s">
        <v>606</v>
      </c>
      <c r="C131" s="26" t="s">
        <v>49</v>
      </c>
      <c r="D131" s="28">
        <v>1529</v>
      </c>
      <c r="E131" t="e">
        <f>VLOOKUP(B131,Кат!G:J,3,0)</f>
        <v>#N/A</v>
      </c>
    </row>
    <row r="132" spans="1:5" ht="22.5">
      <c r="A132" s="26" t="s">
        <v>607</v>
      </c>
      <c r="B132" s="26" t="s">
        <v>608</v>
      </c>
      <c r="C132" s="26" t="s">
        <v>49</v>
      </c>
      <c r="D132" s="28">
        <v>1529</v>
      </c>
      <c r="E132" t="e">
        <f>VLOOKUP(B132,Кат!G:J,3,0)</f>
        <v>#N/A</v>
      </c>
    </row>
    <row r="133" spans="1:5" ht="22.5">
      <c r="A133" s="26" t="s">
        <v>609</v>
      </c>
      <c r="B133" s="26" t="s">
        <v>610</v>
      </c>
      <c r="C133" s="26" t="s">
        <v>49</v>
      </c>
      <c r="D133" s="28">
        <v>1529</v>
      </c>
      <c r="E133" t="e">
        <f>VLOOKUP(B133,Кат!G:J,3,0)</f>
        <v>#N/A</v>
      </c>
    </row>
    <row r="134" spans="1:5" ht="22.5">
      <c r="A134" s="26" t="s">
        <v>611</v>
      </c>
      <c r="B134" s="26" t="s">
        <v>612</v>
      </c>
      <c r="C134" s="26" t="s">
        <v>49</v>
      </c>
      <c r="D134" s="28">
        <v>1449</v>
      </c>
      <c r="E134" t="e">
        <f>VLOOKUP(B134,Кат!G:J,3,0)</f>
        <v>#N/A</v>
      </c>
    </row>
    <row r="135" spans="1:5" ht="22.5">
      <c r="A135" s="26" t="s">
        <v>613</v>
      </c>
      <c r="B135" s="26" t="s">
        <v>614</v>
      </c>
      <c r="C135" s="26" t="s">
        <v>49</v>
      </c>
      <c r="D135" s="28">
        <v>1449</v>
      </c>
      <c r="E135" t="e">
        <f>VLOOKUP(B135,Кат!G:J,3,0)</f>
        <v>#N/A</v>
      </c>
    </row>
    <row r="136" spans="1:5" ht="22.5">
      <c r="A136" s="26" t="s">
        <v>615</v>
      </c>
      <c r="B136" s="26" t="s">
        <v>616</v>
      </c>
      <c r="C136" s="26" t="s">
        <v>49</v>
      </c>
      <c r="D136" s="28">
        <v>1449</v>
      </c>
      <c r="E136" t="e">
        <f>VLOOKUP(B136,Кат!G:J,3,0)</f>
        <v>#N/A</v>
      </c>
    </row>
    <row r="137" spans="1:5" ht="22.5">
      <c r="A137" s="26" t="s">
        <v>617</v>
      </c>
      <c r="B137" s="26" t="s">
        <v>618</v>
      </c>
      <c r="C137" s="26" t="s">
        <v>49</v>
      </c>
      <c r="D137" s="28">
        <v>1971</v>
      </c>
      <c r="E137" t="e">
        <f>VLOOKUP(B137,Кат!G:J,3,0)</f>
        <v>#N/A</v>
      </c>
    </row>
    <row r="138" spans="1:5" ht="22.5">
      <c r="A138" s="26" t="s">
        <v>619</v>
      </c>
      <c r="B138" s="26" t="s">
        <v>620</v>
      </c>
      <c r="C138" s="26" t="s">
        <v>49</v>
      </c>
      <c r="D138" s="28">
        <v>1971</v>
      </c>
      <c r="E138" t="e">
        <f>VLOOKUP(B138,Кат!G:J,3,0)</f>
        <v>#N/A</v>
      </c>
    </row>
    <row r="139" spans="1:5" ht="22.5">
      <c r="A139" s="26" t="s">
        <v>621</v>
      </c>
      <c r="B139" s="26" t="s">
        <v>622</v>
      </c>
      <c r="C139" s="26" t="s">
        <v>49</v>
      </c>
      <c r="D139" s="28">
        <v>1971</v>
      </c>
      <c r="E139" t="e">
        <f>VLOOKUP(B139,Кат!G:J,3,0)</f>
        <v>#N/A</v>
      </c>
    </row>
    <row r="140" spans="1:5" ht="22.5">
      <c r="A140" s="26" t="s">
        <v>623</v>
      </c>
      <c r="B140" s="26" t="s">
        <v>624</v>
      </c>
      <c r="C140" s="26" t="s">
        <v>49</v>
      </c>
      <c r="D140" s="28">
        <v>2073</v>
      </c>
      <c r="E140" t="e">
        <f>VLOOKUP(B140,Кат!G:J,3,0)</f>
        <v>#N/A</v>
      </c>
    </row>
    <row r="141" spans="1:5" ht="22.5">
      <c r="A141" s="26" t="s">
        <v>625</v>
      </c>
      <c r="B141" s="26" t="s">
        <v>626</v>
      </c>
      <c r="C141" s="26" t="s">
        <v>49</v>
      </c>
      <c r="D141" s="28">
        <v>2073</v>
      </c>
      <c r="E141" t="e">
        <f>VLOOKUP(B141,Кат!G:J,3,0)</f>
        <v>#N/A</v>
      </c>
    </row>
    <row r="142" spans="1:5" ht="22.5">
      <c r="A142" s="26" t="s">
        <v>627</v>
      </c>
      <c r="B142" s="26" t="s">
        <v>628</v>
      </c>
      <c r="C142" s="26" t="s">
        <v>49</v>
      </c>
      <c r="D142" s="28">
        <v>1635</v>
      </c>
      <c r="E142" t="e">
        <f>VLOOKUP(B142,Кат!G:J,3,0)</f>
        <v>#N/A</v>
      </c>
    </row>
    <row r="143" spans="1:5" ht="22.5">
      <c r="A143" s="26" t="s">
        <v>629</v>
      </c>
      <c r="B143" s="26" t="s">
        <v>630</v>
      </c>
      <c r="C143" s="26" t="s">
        <v>49</v>
      </c>
      <c r="D143" s="28">
        <v>2073</v>
      </c>
      <c r="E143" t="e">
        <f>VLOOKUP(B143,Кат!G:J,3,0)</f>
        <v>#N/A</v>
      </c>
    </row>
    <row r="144" spans="1:5">
      <c r="A144" s="29" t="s">
        <v>631</v>
      </c>
      <c r="B144" s="30"/>
      <c r="C144" s="30"/>
      <c r="D144" s="31"/>
      <c r="E144" t="e">
        <f>VLOOKUP(B144,Кат!G:J,3,0)</f>
        <v>#N/A</v>
      </c>
    </row>
    <row r="145" spans="1:5" ht="22.5">
      <c r="A145" s="26" t="s">
        <v>632</v>
      </c>
      <c r="B145" s="26" t="s">
        <v>633</v>
      </c>
      <c r="C145" s="26" t="s">
        <v>49</v>
      </c>
      <c r="D145" s="28">
        <v>2934</v>
      </c>
      <c r="E145" t="e">
        <f>VLOOKUP(B145,Кат!G:J,3,0)</f>
        <v>#N/A</v>
      </c>
    </row>
    <row r="146" spans="1:5" ht="22.5">
      <c r="A146" s="26" t="s">
        <v>634</v>
      </c>
      <c r="B146" s="26" t="s">
        <v>635</v>
      </c>
      <c r="C146" s="26" t="s">
        <v>49</v>
      </c>
      <c r="D146" s="28">
        <v>2934</v>
      </c>
      <c r="E146" t="e">
        <f>VLOOKUP(B146,Кат!G:J,3,0)</f>
        <v>#N/A</v>
      </c>
    </row>
    <row r="147" spans="1:5">
      <c r="A147" s="23" t="s">
        <v>636</v>
      </c>
      <c r="B147" s="24"/>
      <c r="C147" s="24"/>
      <c r="D147" s="25"/>
      <c r="E147" t="e">
        <f>VLOOKUP(B147,Кат!G:J,3,0)</f>
        <v>#N/A</v>
      </c>
    </row>
    <row r="148" spans="1:5">
      <c r="A148" s="26" t="s">
        <v>637</v>
      </c>
      <c r="B148" s="26" t="s">
        <v>638</v>
      </c>
      <c r="C148" s="26" t="s">
        <v>50</v>
      </c>
      <c r="D148" s="27">
        <v>688</v>
      </c>
      <c r="E148" t="e">
        <f>VLOOKUP(B148,Кат!G:J,3,0)</f>
        <v>#N/A</v>
      </c>
    </row>
    <row r="149" spans="1:5">
      <c r="A149" s="26" t="s">
        <v>639</v>
      </c>
      <c r="B149" s="26" t="s">
        <v>640</v>
      </c>
      <c r="C149" s="26" t="s">
        <v>50</v>
      </c>
      <c r="D149" s="27">
        <v>487</v>
      </c>
      <c r="E149" t="e">
        <f>VLOOKUP(B149,Кат!G:J,3,0)</f>
        <v>#N/A</v>
      </c>
    </row>
    <row r="150" spans="1:5" ht="22.5">
      <c r="A150" s="26" t="s">
        <v>641</v>
      </c>
      <c r="B150" s="26" t="s">
        <v>642</v>
      </c>
      <c r="C150" s="26" t="s">
        <v>50</v>
      </c>
      <c r="D150" s="27">
        <v>34.799999999999997</v>
      </c>
      <c r="E150" t="e">
        <f>VLOOKUP(B150,Кат!G:J,3,0)</f>
        <v>#N/A</v>
      </c>
    </row>
    <row r="151" spans="1:5" ht="22.5">
      <c r="A151" s="26" t="s">
        <v>643</v>
      </c>
      <c r="B151" s="26" t="s">
        <v>644</v>
      </c>
      <c r="C151" s="26" t="s">
        <v>50</v>
      </c>
      <c r="D151" s="27">
        <v>43.2</v>
      </c>
      <c r="E151" t="e">
        <f>VLOOKUP(B151,Кат!G:J,3,0)</f>
        <v>#N/A</v>
      </c>
    </row>
    <row r="152" spans="1:5" ht="22.5">
      <c r="A152" s="26" t="s">
        <v>645</v>
      </c>
      <c r="B152" s="26" t="s">
        <v>646</v>
      </c>
      <c r="C152" s="26" t="s">
        <v>50</v>
      </c>
      <c r="D152" s="28">
        <v>1145</v>
      </c>
      <c r="E152" t="e">
        <f>VLOOKUP(B152,Кат!G:J,3,0)</f>
        <v>#N/A</v>
      </c>
    </row>
    <row r="153" spans="1:5" ht="22.5">
      <c r="A153" s="26" t="s">
        <v>647</v>
      </c>
      <c r="B153" s="26" t="s">
        <v>648</v>
      </c>
      <c r="C153" s="26" t="s">
        <v>50</v>
      </c>
      <c r="D153" s="28">
        <v>1194</v>
      </c>
      <c r="E153" t="e">
        <f>VLOOKUP(B153,Кат!G:J,3,0)</f>
        <v>#N/A</v>
      </c>
    </row>
    <row r="154" spans="1:5" ht="22.5">
      <c r="A154" s="26" t="s">
        <v>649</v>
      </c>
      <c r="B154" s="26" t="s">
        <v>650</v>
      </c>
      <c r="C154" s="26" t="s">
        <v>50</v>
      </c>
      <c r="D154" s="28">
        <v>1333</v>
      </c>
      <c r="E154" t="e">
        <f>VLOOKUP(B154,Кат!G:J,3,0)</f>
        <v>#N/A</v>
      </c>
    </row>
    <row r="155" spans="1:5" ht="22.5">
      <c r="A155" s="26" t="s">
        <v>651</v>
      </c>
      <c r="B155" s="26" t="s">
        <v>652</v>
      </c>
      <c r="C155" s="26" t="s">
        <v>50</v>
      </c>
      <c r="D155" s="28">
        <v>1202</v>
      </c>
      <c r="E155" t="e">
        <f>VLOOKUP(B155,Кат!G:J,3,0)</f>
        <v>#N/A</v>
      </c>
    </row>
    <row r="156" spans="1:5" ht="22.5">
      <c r="A156" s="26" t="s">
        <v>653</v>
      </c>
      <c r="B156" s="26" t="s">
        <v>654</v>
      </c>
      <c r="C156" s="26" t="s">
        <v>50</v>
      </c>
      <c r="D156" s="28">
        <v>1195</v>
      </c>
      <c r="E156" t="e">
        <f>VLOOKUP(B156,Кат!G:J,3,0)</f>
        <v>#N/A</v>
      </c>
    </row>
    <row r="157" spans="1:5">
      <c r="A157" s="26" t="s">
        <v>655</v>
      </c>
      <c r="B157" s="26" t="s">
        <v>656</v>
      </c>
      <c r="C157" s="26" t="s">
        <v>50</v>
      </c>
      <c r="D157" s="27">
        <v>61.2</v>
      </c>
      <c r="E157" t="e">
        <f>VLOOKUP(B157,Кат!G:J,3,0)</f>
        <v>#N/A</v>
      </c>
    </row>
    <row r="158" spans="1:5">
      <c r="A158" s="26" t="s">
        <v>657</v>
      </c>
      <c r="B158" s="26" t="s">
        <v>658</v>
      </c>
      <c r="C158" s="26" t="s">
        <v>50</v>
      </c>
      <c r="D158" s="27">
        <v>61.2</v>
      </c>
      <c r="E158" t="e">
        <f>VLOOKUP(B158,Кат!G:J,3,0)</f>
        <v>#N/A</v>
      </c>
    </row>
    <row r="159" spans="1:5" ht="22.5">
      <c r="A159" s="26" t="s">
        <v>659</v>
      </c>
      <c r="B159" s="26" t="s">
        <v>660</v>
      </c>
      <c r="C159" s="26" t="s">
        <v>50</v>
      </c>
      <c r="D159" s="28">
        <v>1457</v>
      </c>
      <c r="E159" t="e">
        <f>VLOOKUP(B159,Кат!G:J,3,0)</f>
        <v>#N/A</v>
      </c>
    </row>
    <row r="160" spans="1:5" ht="22.5">
      <c r="A160" s="26" t="s">
        <v>661</v>
      </c>
      <c r="B160" s="26" t="s">
        <v>662</v>
      </c>
      <c r="C160" s="26" t="s">
        <v>50</v>
      </c>
      <c r="D160" s="28">
        <v>1409</v>
      </c>
      <c r="E160" t="e">
        <f>VLOOKUP(B160,Кат!G:J,3,0)</f>
        <v>#N/A</v>
      </c>
    </row>
    <row r="161" spans="1:5" ht="22.5">
      <c r="A161" s="26" t="s">
        <v>663</v>
      </c>
      <c r="B161" s="26" t="s">
        <v>664</v>
      </c>
      <c r="C161" s="26" t="s">
        <v>50</v>
      </c>
      <c r="D161" s="27">
        <v>370</v>
      </c>
      <c r="E161" t="e">
        <f>VLOOKUP(B161,Кат!G:J,3,0)</f>
        <v>#N/A</v>
      </c>
    </row>
    <row r="162" spans="1:5" ht="22.5">
      <c r="A162" s="26" t="s">
        <v>665</v>
      </c>
      <c r="B162" s="26" t="s">
        <v>666</v>
      </c>
      <c r="C162" s="26" t="s">
        <v>50</v>
      </c>
      <c r="D162" s="27">
        <v>370</v>
      </c>
      <c r="E162" t="e">
        <f>VLOOKUP(B162,Кат!G:J,3,0)</f>
        <v>#N/A</v>
      </c>
    </row>
    <row r="163" spans="1:5" ht="22.5">
      <c r="A163" s="26" t="s">
        <v>667</v>
      </c>
      <c r="B163" s="26" t="s">
        <v>668</v>
      </c>
      <c r="C163" s="26" t="s">
        <v>50</v>
      </c>
      <c r="D163" s="27">
        <v>128</v>
      </c>
      <c r="E163" t="e">
        <f>VLOOKUP(B163,Кат!G:J,3,0)</f>
        <v>#N/A</v>
      </c>
    </row>
    <row r="164" spans="1:5" ht="22.5">
      <c r="A164" s="26" t="s">
        <v>669</v>
      </c>
      <c r="B164" s="26" t="s">
        <v>670</v>
      </c>
      <c r="C164" s="26" t="s">
        <v>50</v>
      </c>
      <c r="D164" s="27">
        <v>128</v>
      </c>
      <c r="E164" t="e">
        <f>VLOOKUP(B164,Кат!G:J,3,0)</f>
        <v>#N/A</v>
      </c>
    </row>
    <row r="165" spans="1:5" ht="22.5">
      <c r="A165" s="26" t="s">
        <v>671</v>
      </c>
      <c r="B165" s="26" t="s">
        <v>672</v>
      </c>
      <c r="C165" s="26" t="s">
        <v>50</v>
      </c>
      <c r="D165" s="27">
        <v>569</v>
      </c>
      <c r="E165" t="e">
        <f>VLOOKUP(B165,Кат!G:J,3,0)</f>
        <v>#N/A</v>
      </c>
    </row>
    <row r="166" spans="1:5">
      <c r="A166" s="26" t="s">
        <v>673</v>
      </c>
      <c r="B166" s="26" t="s">
        <v>674</v>
      </c>
      <c r="C166" s="26" t="s">
        <v>50</v>
      </c>
      <c r="D166" s="27">
        <v>960</v>
      </c>
      <c r="E166" t="e">
        <f>VLOOKUP(B166,Кат!G:J,3,0)</f>
        <v>#N/A</v>
      </c>
    </row>
    <row r="167" spans="1:5">
      <c r="A167" s="26" t="s">
        <v>675</v>
      </c>
      <c r="B167" s="26" t="s">
        <v>676</v>
      </c>
      <c r="C167" s="26" t="s">
        <v>50</v>
      </c>
      <c r="D167" s="27">
        <v>420</v>
      </c>
      <c r="E167" t="e">
        <f>VLOOKUP(B167,Кат!G:J,3,0)</f>
        <v>#N/A</v>
      </c>
    </row>
    <row r="168" spans="1:5">
      <c r="A168" s="26" t="s">
        <v>677</v>
      </c>
      <c r="B168" s="26" t="s">
        <v>678</v>
      </c>
      <c r="C168" s="26" t="s">
        <v>49</v>
      </c>
      <c r="D168" s="27">
        <v>274</v>
      </c>
      <c r="E168" t="e">
        <f>VLOOKUP(B168,Кат!G:J,3,0)</f>
        <v>#N/A</v>
      </c>
    </row>
    <row r="169" spans="1:5" ht="22.5">
      <c r="A169" s="26" t="s">
        <v>679</v>
      </c>
      <c r="B169" s="26" t="s">
        <v>680</v>
      </c>
      <c r="C169" s="26" t="s">
        <v>49</v>
      </c>
      <c r="D169" s="27">
        <v>675</v>
      </c>
      <c r="E169" t="e">
        <f>VLOOKUP(B169,Кат!G:J,3,0)</f>
        <v>#N/A</v>
      </c>
    </row>
    <row r="170" spans="1:5" ht="22.5">
      <c r="A170" s="26" t="s">
        <v>681</v>
      </c>
      <c r="B170" s="26" t="s">
        <v>682</v>
      </c>
      <c r="C170" s="26" t="s">
        <v>49</v>
      </c>
      <c r="D170" s="27">
        <v>491</v>
      </c>
      <c r="E170" t="e">
        <f>VLOOKUP(B170,Кат!G:J,3,0)</f>
        <v>#N/A</v>
      </c>
    </row>
    <row r="171" spans="1:5">
      <c r="A171" s="26" t="s">
        <v>683</v>
      </c>
      <c r="B171" s="26" t="s">
        <v>684</v>
      </c>
      <c r="C171" s="26" t="s">
        <v>49</v>
      </c>
      <c r="D171" s="27">
        <v>596</v>
      </c>
      <c r="E171" t="e">
        <f>VLOOKUP(B171,Кат!G:J,3,0)</f>
        <v>#N/A</v>
      </c>
    </row>
    <row r="172" spans="1:5" ht="22.5">
      <c r="A172" s="26" t="s">
        <v>685</v>
      </c>
      <c r="B172" s="26" t="s">
        <v>686</v>
      </c>
      <c r="C172" s="26" t="s">
        <v>49</v>
      </c>
      <c r="D172" s="27">
        <v>354</v>
      </c>
      <c r="E172" t="e">
        <f>VLOOKUP(B172,Кат!G:J,3,0)</f>
        <v>#N/A</v>
      </c>
    </row>
    <row r="173" spans="1:5" ht="22.5">
      <c r="A173" s="26" t="s">
        <v>687</v>
      </c>
      <c r="B173" s="26" t="s">
        <v>688</v>
      </c>
      <c r="C173" s="26" t="s">
        <v>49</v>
      </c>
      <c r="D173" s="27">
        <v>364</v>
      </c>
      <c r="E173" t="e">
        <f>VLOOKUP(B173,Кат!G:J,3,0)</f>
        <v>#N/A</v>
      </c>
    </row>
    <row r="174" spans="1:5" ht="22.5">
      <c r="A174" s="26" t="s">
        <v>689</v>
      </c>
      <c r="B174" s="26" t="s">
        <v>690</v>
      </c>
      <c r="C174" s="26" t="s">
        <v>49</v>
      </c>
      <c r="D174" s="27">
        <v>816</v>
      </c>
      <c r="E174" t="e">
        <f>VLOOKUP(B174,Кат!G:J,3,0)</f>
        <v>#N/A</v>
      </c>
    </row>
    <row r="175" spans="1:5" ht="22.5">
      <c r="A175" s="26" t="s">
        <v>691</v>
      </c>
      <c r="B175" s="26" t="s">
        <v>692</v>
      </c>
      <c r="C175" s="26" t="s">
        <v>49</v>
      </c>
      <c r="D175" s="27">
        <v>355</v>
      </c>
      <c r="E175" t="e">
        <f>VLOOKUP(B175,Кат!G:J,3,0)</f>
        <v>#N/A</v>
      </c>
    </row>
    <row r="176" spans="1:5" ht="22.5">
      <c r="A176" s="26" t="s">
        <v>693</v>
      </c>
      <c r="B176" s="26" t="s">
        <v>694</v>
      </c>
      <c r="C176" s="26" t="s">
        <v>49</v>
      </c>
      <c r="D176" s="27">
        <v>537</v>
      </c>
      <c r="E176" t="e">
        <f>VLOOKUP(B176,Кат!G:J,3,0)</f>
        <v>#N/A</v>
      </c>
    </row>
    <row r="177" spans="1:5">
      <c r="A177" s="26" t="s">
        <v>695</v>
      </c>
      <c r="B177" s="26" t="s">
        <v>696</v>
      </c>
      <c r="C177" s="26" t="s">
        <v>50</v>
      </c>
      <c r="D177" s="27">
        <v>105</v>
      </c>
      <c r="E177" t="e">
        <f>VLOOKUP(B177,Кат!G:J,3,0)</f>
        <v>#N/A</v>
      </c>
    </row>
    <row r="178" spans="1:5" ht="22.5">
      <c r="A178" s="26" t="s">
        <v>697</v>
      </c>
      <c r="B178" s="26" t="s">
        <v>698</v>
      </c>
      <c r="C178" s="26" t="s">
        <v>50</v>
      </c>
      <c r="D178" s="27">
        <v>305</v>
      </c>
      <c r="E178" t="e">
        <f>VLOOKUP(B178,Кат!G:J,3,0)</f>
        <v>#N/A</v>
      </c>
    </row>
    <row r="179" spans="1:5">
      <c r="A179" s="26" t="s">
        <v>699</v>
      </c>
      <c r="B179" s="26" t="s">
        <v>700</v>
      </c>
      <c r="C179" s="26" t="s">
        <v>50</v>
      </c>
      <c r="D179" s="27">
        <v>728</v>
      </c>
      <c r="E179" t="e">
        <f>VLOOKUP(B179,Кат!G:J,3,0)</f>
        <v>#N/A</v>
      </c>
    </row>
    <row r="180" spans="1:5" ht="22.5">
      <c r="A180" s="26" t="s">
        <v>701</v>
      </c>
      <c r="B180" s="26" t="s">
        <v>702</v>
      </c>
      <c r="C180" s="26" t="s">
        <v>50</v>
      </c>
      <c r="D180" s="27">
        <v>8.4</v>
      </c>
      <c r="E180" t="e">
        <f>VLOOKUP(B180,Кат!G:J,3,0)</f>
        <v>#N/A</v>
      </c>
    </row>
    <row r="181" spans="1:5" ht="22.5">
      <c r="A181" s="26" t="s">
        <v>703</v>
      </c>
      <c r="B181" s="26" t="s">
        <v>704</v>
      </c>
      <c r="C181" s="26" t="s">
        <v>50</v>
      </c>
      <c r="D181" s="27">
        <v>121</v>
      </c>
      <c r="E181" t="e">
        <f>VLOOKUP(B181,Кат!G:J,3,0)</f>
        <v>#N/A</v>
      </c>
    </row>
    <row r="182" spans="1:5">
      <c r="A182" s="26" t="s">
        <v>705</v>
      </c>
      <c r="B182" s="26" t="s">
        <v>706</v>
      </c>
      <c r="C182" s="26" t="s">
        <v>50</v>
      </c>
      <c r="D182" s="27">
        <v>66</v>
      </c>
      <c r="E182" t="e">
        <f>VLOOKUP(B182,Кат!G:J,3,0)</f>
        <v>#N/A</v>
      </c>
    </row>
    <row r="183" spans="1:5" ht="22.5">
      <c r="A183" s="26" t="s">
        <v>707</v>
      </c>
      <c r="B183" s="26" t="s">
        <v>708</v>
      </c>
      <c r="C183" s="26" t="s">
        <v>50</v>
      </c>
      <c r="D183" s="27">
        <v>77.5</v>
      </c>
      <c r="E183" t="e">
        <f>VLOOKUP(B183,Кат!G:J,3,0)</f>
        <v>#N/A</v>
      </c>
    </row>
    <row r="184" spans="1:5">
      <c r="A184" s="26" t="s">
        <v>709</v>
      </c>
      <c r="B184" s="26" t="s">
        <v>710</v>
      </c>
      <c r="C184" s="26" t="s">
        <v>50</v>
      </c>
      <c r="D184" s="27">
        <v>194</v>
      </c>
      <c r="E184" t="e">
        <f>VLOOKUP(B184,Кат!G:J,3,0)</f>
        <v>#N/A</v>
      </c>
    </row>
    <row r="185" spans="1:5" ht="22.5">
      <c r="A185" s="26" t="s">
        <v>711</v>
      </c>
      <c r="B185" s="26" t="s">
        <v>712</v>
      </c>
      <c r="C185" s="26" t="s">
        <v>50</v>
      </c>
      <c r="D185" s="27">
        <v>36.4</v>
      </c>
      <c r="E185" t="e">
        <f>VLOOKUP(B185,Кат!G:J,3,0)</f>
        <v>#N/A</v>
      </c>
    </row>
    <row r="186" spans="1:5" ht="22.5">
      <c r="A186" s="26" t="s">
        <v>713</v>
      </c>
      <c r="B186" s="26" t="s">
        <v>714</v>
      </c>
      <c r="C186" s="26" t="s">
        <v>50</v>
      </c>
      <c r="D186" s="27">
        <v>32.1</v>
      </c>
      <c r="E186" t="e">
        <f>VLOOKUP(B186,Кат!G:J,3,0)</f>
        <v>#N/A</v>
      </c>
    </row>
    <row r="187" spans="1:5" ht="22.5">
      <c r="A187" s="26" t="s">
        <v>715</v>
      </c>
      <c r="B187" s="26" t="s">
        <v>716</v>
      </c>
      <c r="C187" s="26" t="s">
        <v>50</v>
      </c>
      <c r="D187" s="27">
        <v>207</v>
      </c>
      <c r="E187" t="e">
        <f>VLOOKUP(B187,Кат!G:J,3,0)</f>
        <v>#N/A</v>
      </c>
    </row>
    <row r="188" spans="1:5" ht="22.5">
      <c r="A188" s="26" t="s">
        <v>717</v>
      </c>
      <c r="B188" s="26" t="s">
        <v>718</v>
      </c>
      <c r="C188" s="26" t="s">
        <v>50</v>
      </c>
      <c r="D188" s="27">
        <v>740</v>
      </c>
      <c r="E188" t="e">
        <f>VLOOKUP(B188,Кат!G:J,3,0)</f>
        <v>#N/A</v>
      </c>
    </row>
    <row r="189" spans="1:5">
      <c r="A189" s="26" t="s">
        <v>719</v>
      </c>
      <c r="B189" s="26" t="s">
        <v>720</v>
      </c>
      <c r="C189" s="26" t="s">
        <v>50</v>
      </c>
      <c r="D189" s="27">
        <v>922</v>
      </c>
      <c r="E189" t="e">
        <f>VLOOKUP(B189,Кат!G:J,3,0)</f>
        <v>#N/A</v>
      </c>
    </row>
    <row r="190" spans="1:5">
      <c r="A190" s="26" t="s">
        <v>721</v>
      </c>
      <c r="B190" s="26" t="s">
        <v>722</v>
      </c>
      <c r="C190" s="26" t="s">
        <v>50</v>
      </c>
      <c r="D190" s="27">
        <v>80</v>
      </c>
      <c r="E190" t="e">
        <f>VLOOKUP(B190,Кат!G:J,3,0)</f>
        <v>#N/A</v>
      </c>
    </row>
    <row r="191" spans="1:5" ht="22.5">
      <c r="A191" s="26" t="s">
        <v>723</v>
      </c>
      <c r="B191" s="26" t="s">
        <v>724</v>
      </c>
      <c r="C191" s="26" t="s">
        <v>50</v>
      </c>
      <c r="D191" s="27">
        <v>36.5</v>
      </c>
      <c r="E191" t="e">
        <f>VLOOKUP(B191,Кат!G:J,3,0)</f>
        <v>#N/A</v>
      </c>
    </row>
    <row r="192" spans="1:5" ht="22.5">
      <c r="A192" s="26" t="s">
        <v>725</v>
      </c>
      <c r="B192" s="26" t="s">
        <v>726</v>
      </c>
      <c r="C192" s="26" t="s">
        <v>50</v>
      </c>
      <c r="D192" s="27">
        <v>120</v>
      </c>
      <c r="E192" t="e">
        <f>VLOOKUP(B192,Кат!G:J,3,0)</f>
        <v>#N/A</v>
      </c>
    </row>
    <row r="193" spans="1:5">
      <c r="A193" s="26" t="s">
        <v>727</v>
      </c>
      <c r="B193" s="26" t="s">
        <v>728</v>
      </c>
      <c r="C193" s="26" t="s">
        <v>50</v>
      </c>
      <c r="D193" s="27">
        <v>111</v>
      </c>
      <c r="E193" t="e">
        <f>VLOOKUP(B193,Кат!G:J,3,0)</f>
        <v>#N/A</v>
      </c>
    </row>
    <row r="194" spans="1:5" ht="22.5">
      <c r="A194" s="26" t="s">
        <v>729</v>
      </c>
      <c r="B194" s="26" t="s">
        <v>730</v>
      </c>
      <c r="C194" s="26" t="s">
        <v>50</v>
      </c>
      <c r="D194" s="27">
        <v>216</v>
      </c>
      <c r="E194" t="e">
        <f>VLOOKUP(B194,Кат!G:J,3,0)</f>
        <v>#N/A</v>
      </c>
    </row>
    <row r="195" spans="1:5">
      <c r="A195" s="26" t="s">
        <v>731</v>
      </c>
      <c r="B195" s="26" t="s">
        <v>732</v>
      </c>
      <c r="C195" s="26" t="s">
        <v>50</v>
      </c>
      <c r="D195" s="27">
        <v>267</v>
      </c>
      <c r="E195" t="e">
        <f>VLOOKUP(B195,Кат!G:J,3,0)</f>
        <v>#N/A</v>
      </c>
    </row>
    <row r="196" spans="1:5">
      <c r="A196" s="26" t="s">
        <v>733</v>
      </c>
      <c r="B196" s="26" t="s">
        <v>734</v>
      </c>
      <c r="C196" s="26" t="s">
        <v>50</v>
      </c>
      <c r="D196" s="27">
        <v>171</v>
      </c>
      <c r="E196" t="e">
        <f>VLOOKUP(B196,Кат!G:J,3,0)</f>
        <v>#N/A</v>
      </c>
    </row>
    <row r="197" spans="1:5">
      <c r="A197" s="26" t="s">
        <v>735</v>
      </c>
      <c r="B197" s="26" t="s">
        <v>736</v>
      </c>
      <c r="C197" s="26" t="s">
        <v>50</v>
      </c>
      <c r="D197" s="27">
        <v>177</v>
      </c>
      <c r="E197" t="e">
        <f>VLOOKUP(B197,Кат!G:J,3,0)</f>
        <v>#N/A</v>
      </c>
    </row>
    <row r="198" spans="1:5">
      <c r="A198" s="26" t="s">
        <v>737</v>
      </c>
      <c r="B198" s="26" t="s">
        <v>738</v>
      </c>
      <c r="C198" s="26" t="s">
        <v>50</v>
      </c>
      <c r="D198" s="27">
        <v>171</v>
      </c>
      <c r="E198" t="e">
        <f>VLOOKUP(B198,Кат!G:J,3,0)</f>
        <v>#N/A</v>
      </c>
    </row>
    <row r="199" spans="1:5">
      <c r="A199" s="26" t="s">
        <v>739</v>
      </c>
      <c r="B199" s="26" t="s">
        <v>740</v>
      </c>
      <c r="C199" s="26" t="s">
        <v>50</v>
      </c>
      <c r="D199" s="27">
        <v>195</v>
      </c>
      <c r="E199" t="e">
        <f>VLOOKUP(B199,Кат!G:J,3,0)</f>
        <v>#N/A</v>
      </c>
    </row>
    <row r="200" spans="1:5">
      <c r="A200" s="26" t="s">
        <v>741</v>
      </c>
      <c r="B200" s="26" t="s">
        <v>742</v>
      </c>
      <c r="C200" s="26" t="s">
        <v>50</v>
      </c>
      <c r="D200" s="27">
        <v>216</v>
      </c>
      <c r="E200" t="e">
        <f>VLOOKUP(B200,Кат!G:J,3,0)</f>
        <v>#N/A</v>
      </c>
    </row>
    <row r="201" spans="1:5">
      <c r="A201" s="26" t="s">
        <v>743</v>
      </c>
      <c r="B201" s="26" t="s">
        <v>744</v>
      </c>
      <c r="C201" s="26" t="s">
        <v>50</v>
      </c>
      <c r="D201" s="27">
        <v>194</v>
      </c>
      <c r="E201" t="e">
        <f>VLOOKUP(B201,Кат!G:J,3,0)</f>
        <v>#N/A</v>
      </c>
    </row>
    <row r="202" spans="1:5">
      <c r="A202" s="26" t="s">
        <v>745</v>
      </c>
      <c r="B202" s="26" t="s">
        <v>746</v>
      </c>
      <c r="C202" s="26" t="s">
        <v>50</v>
      </c>
      <c r="D202" s="27">
        <v>211</v>
      </c>
      <c r="E202" t="e">
        <f>VLOOKUP(B202,Кат!G:J,3,0)</f>
        <v>#N/A</v>
      </c>
    </row>
    <row r="203" spans="1:5" ht="33.75">
      <c r="A203" s="26" t="s">
        <v>747</v>
      </c>
      <c r="B203" s="26" t="s">
        <v>748</v>
      </c>
      <c r="C203" s="26" t="s">
        <v>50</v>
      </c>
      <c r="D203" s="27">
        <v>300</v>
      </c>
      <c r="E203" t="e">
        <f>VLOOKUP(B203,Кат!G:J,3,0)</f>
        <v>#N/A</v>
      </c>
    </row>
    <row r="204" spans="1:5">
      <c r="A204" s="26" t="s">
        <v>749</v>
      </c>
      <c r="B204" s="26" t="s">
        <v>750</v>
      </c>
      <c r="C204" s="26" t="s">
        <v>50</v>
      </c>
      <c r="D204" s="27">
        <v>143</v>
      </c>
      <c r="E204" t="e">
        <f>VLOOKUP(B204,Кат!G:J,3,0)</f>
        <v>#N/A</v>
      </c>
    </row>
    <row r="205" spans="1:5">
      <c r="A205" s="26" t="s">
        <v>751</v>
      </c>
      <c r="B205" s="26" t="s">
        <v>752</v>
      </c>
      <c r="C205" s="26" t="s">
        <v>50</v>
      </c>
      <c r="D205" s="27">
        <v>228</v>
      </c>
      <c r="E205" t="e">
        <f>VLOOKUP(B205,Кат!G:J,3,0)</f>
        <v>#N/A</v>
      </c>
    </row>
    <row r="206" spans="1:5" ht="22.5">
      <c r="A206" s="26" t="s">
        <v>753</v>
      </c>
      <c r="B206" s="26" t="s">
        <v>754</v>
      </c>
      <c r="C206" s="26" t="s">
        <v>50</v>
      </c>
      <c r="D206" s="27">
        <v>190</v>
      </c>
      <c r="E206" t="e">
        <f>VLOOKUP(B206,Кат!G:J,3,0)</f>
        <v>#N/A</v>
      </c>
    </row>
    <row r="207" spans="1:5">
      <c r="A207" s="26" t="s">
        <v>755</v>
      </c>
      <c r="B207" s="26" t="s">
        <v>756</v>
      </c>
      <c r="C207" s="26" t="s">
        <v>50</v>
      </c>
      <c r="D207" s="27">
        <v>114</v>
      </c>
      <c r="E207" t="e">
        <f>VLOOKUP(B207,Кат!G:J,3,0)</f>
        <v>#N/A</v>
      </c>
    </row>
    <row r="208" spans="1:5">
      <c r="A208" s="26" t="s">
        <v>757</v>
      </c>
      <c r="B208" s="26" t="s">
        <v>758</v>
      </c>
      <c r="C208" s="26" t="s">
        <v>50</v>
      </c>
      <c r="D208" s="27">
        <v>120</v>
      </c>
      <c r="E208" t="e">
        <f>VLOOKUP(B208,Кат!G:J,3,0)</f>
        <v>#N/A</v>
      </c>
    </row>
    <row r="209" spans="1:5">
      <c r="A209" s="26" t="s">
        <v>759</v>
      </c>
      <c r="B209" s="26" t="s">
        <v>760</v>
      </c>
      <c r="C209" s="26" t="s">
        <v>50</v>
      </c>
      <c r="D209" s="27">
        <v>138</v>
      </c>
      <c r="E209" t="e">
        <f>VLOOKUP(B209,Кат!G:J,3,0)</f>
        <v>#N/A</v>
      </c>
    </row>
    <row r="210" spans="1:5" ht="22.5">
      <c r="A210" s="26" t="s">
        <v>761</v>
      </c>
      <c r="B210" s="26" t="s">
        <v>762</v>
      </c>
      <c r="C210" s="26" t="s">
        <v>50</v>
      </c>
      <c r="D210" s="28">
        <v>1229</v>
      </c>
      <c r="E210" t="e">
        <f>VLOOKUP(B210,Кат!G:J,3,0)</f>
        <v>#N/A</v>
      </c>
    </row>
    <row r="211" spans="1:5" ht="22.5">
      <c r="A211" s="26" t="s">
        <v>763</v>
      </c>
      <c r="B211" s="26" t="s">
        <v>764</v>
      </c>
      <c r="C211" s="26" t="s">
        <v>50</v>
      </c>
      <c r="D211" s="28">
        <v>1088</v>
      </c>
      <c r="E211" t="e">
        <f>VLOOKUP(B211,Кат!G:J,3,0)</f>
        <v>#N/A</v>
      </c>
    </row>
    <row r="212" spans="1:5">
      <c r="A212" s="26" t="s">
        <v>765</v>
      </c>
      <c r="B212" s="26" t="s">
        <v>766</v>
      </c>
      <c r="C212" s="26" t="s">
        <v>50</v>
      </c>
      <c r="D212" s="27">
        <v>238</v>
      </c>
      <c r="E212" t="e">
        <f>VLOOKUP(B212,Кат!G:J,3,0)</f>
        <v>#N/A</v>
      </c>
    </row>
    <row r="213" spans="1:5" ht="22.5">
      <c r="A213" s="26" t="s">
        <v>767</v>
      </c>
      <c r="B213" s="26" t="s">
        <v>768</v>
      </c>
      <c r="C213" s="26" t="s">
        <v>50</v>
      </c>
      <c r="D213" s="27">
        <v>167</v>
      </c>
      <c r="E213" t="e">
        <f>VLOOKUP(B213,Кат!G:J,3,0)</f>
        <v>#N/A</v>
      </c>
    </row>
    <row r="214" spans="1:5" ht="22.5">
      <c r="A214" s="26" t="s">
        <v>769</v>
      </c>
      <c r="B214" s="26" t="s">
        <v>770</v>
      </c>
      <c r="C214" s="26" t="s">
        <v>50</v>
      </c>
      <c r="D214" s="27">
        <v>163</v>
      </c>
      <c r="E214" t="e">
        <f>VLOOKUP(B214,Кат!G:J,3,0)</f>
        <v>#N/A</v>
      </c>
    </row>
    <row r="215" spans="1:5">
      <c r="A215" s="26" t="s">
        <v>771</v>
      </c>
      <c r="B215" s="26" t="s">
        <v>772</v>
      </c>
      <c r="C215" s="26" t="s">
        <v>50</v>
      </c>
      <c r="D215" s="27">
        <v>174</v>
      </c>
      <c r="E215" t="e">
        <f>VLOOKUP(B215,Кат!G:J,3,0)</f>
        <v>#N/A</v>
      </c>
    </row>
    <row r="216" spans="1:5" ht="22.5">
      <c r="A216" s="26" t="s">
        <v>773</v>
      </c>
      <c r="B216" s="26" t="s">
        <v>774</v>
      </c>
      <c r="C216" s="26" t="s">
        <v>50</v>
      </c>
      <c r="D216" s="27">
        <v>119</v>
      </c>
      <c r="E216" t="e">
        <f>VLOOKUP(B216,Кат!G:J,3,0)</f>
        <v>#N/A</v>
      </c>
    </row>
    <row r="217" spans="1:5">
      <c r="A217" s="26" t="s">
        <v>775</v>
      </c>
      <c r="B217" s="26" t="s">
        <v>776</v>
      </c>
      <c r="C217" s="26" t="s">
        <v>50</v>
      </c>
      <c r="D217" s="27">
        <v>127</v>
      </c>
      <c r="E217" t="e">
        <f>VLOOKUP(B217,Кат!G:J,3,0)</f>
        <v>#N/A</v>
      </c>
    </row>
    <row r="218" spans="1:5">
      <c r="A218" s="26" t="s">
        <v>777</v>
      </c>
      <c r="B218" s="26" t="s">
        <v>778</v>
      </c>
      <c r="C218" s="26" t="s">
        <v>50</v>
      </c>
      <c r="D218" s="27">
        <v>185</v>
      </c>
      <c r="E218" t="e">
        <f>VLOOKUP(B218,Кат!G:J,3,0)</f>
        <v>#N/A</v>
      </c>
    </row>
    <row r="219" spans="1:5">
      <c r="A219" s="26" t="s">
        <v>779</v>
      </c>
      <c r="B219" s="26" t="s">
        <v>780</v>
      </c>
      <c r="C219" s="26" t="s">
        <v>50</v>
      </c>
      <c r="D219" s="27">
        <v>152</v>
      </c>
      <c r="E219" t="e">
        <f>VLOOKUP(B219,Кат!G:J,3,0)</f>
        <v>#N/A</v>
      </c>
    </row>
    <row r="220" spans="1:5" ht="22.5">
      <c r="A220" s="26" t="s">
        <v>781</v>
      </c>
      <c r="B220" s="26" t="s">
        <v>782</v>
      </c>
      <c r="C220" s="26" t="s">
        <v>50</v>
      </c>
      <c r="D220" s="27">
        <v>170</v>
      </c>
      <c r="E220" t="e">
        <f>VLOOKUP(B220,Кат!G:J,3,0)</f>
        <v>#N/A</v>
      </c>
    </row>
    <row r="221" spans="1:5" ht="33.75">
      <c r="A221" s="26" t="s">
        <v>783</v>
      </c>
      <c r="B221" s="26" t="s">
        <v>784</v>
      </c>
      <c r="C221" s="26" t="s">
        <v>50</v>
      </c>
      <c r="D221" s="27">
        <v>216</v>
      </c>
      <c r="E221" t="e">
        <f>VLOOKUP(B221,Кат!G:J,3,0)</f>
        <v>#N/A</v>
      </c>
    </row>
    <row r="222" spans="1:5" ht="22.5">
      <c r="A222" s="26" t="s">
        <v>785</v>
      </c>
      <c r="B222" s="26" t="s">
        <v>786</v>
      </c>
      <c r="C222" s="26" t="s">
        <v>50</v>
      </c>
      <c r="D222" s="27">
        <v>146</v>
      </c>
      <c r="E222" t="e">
        <f>VLOOKUP(B222,Кат!G:J,3,0)</f>
        <v>#N/A</v>
      </c>
    </row>
    <row r="223" spans="1:5" ht="22.5">
      <c r="A223" s="26" t="s">
        <v>787</v>
      </c>
      <c r="B223" s="26" t="s">
        <v>788</v>
      </c>
      <c r="C223" s="26" t="s">
        <v>50</v>
      </c>
      <c r="D223" s="27">
        <v>103</v>
      </c>
      <c r="E223" t="e">
        <f>VLOOKUP(B223,Кат!G:J,3,0)</f>
        <v>#N/A</v>
      </c>
    </row>
    <row r="224" spans="1:5">
      <c r="A224" s="26" t="s">
        <v>789</v>
      </c>
      <c r="B224" s="26" t="s">
        <v>790</v>
      </c>
      <c r="C224" s="26" t="s">
        <v>50</v>
      </c>
      <c r="D224" s="27">
        <v>148</v>
      </c>
      <c r="E224" t="e">
        <f>VLOOKUP(B224,Кат!G:J,3,0)</f>
        <v>#N/A</v>
      </c>
    </row>
    <row r="225" spans="1:5">
      <c r="A225" s="26" t="s">
        <v>791</v>
      </c>
      <c r="B225" s="26" t="s">
        <v>792</v>
      </c>
      <c r="C225" s="26" t="s">
        <v>50</v>
      </c>
      <c r="D225" s="27">
        <v>282</v>
      </c>
      <c r="E225" t="e">
        <f>VLOOKUP(B225,Кат!G:J,3,0)</f>
        <v>#N/A</v>
      </c>
    </row>
    <row r="226" spans="1:5" ht="22.5">
      <c r="A226" s="26" t="s">
        <v>793</v>
      </c>
      <c r="B226" s="26" t="s">
        <v>794</v>
      </c>
      <c r="C226" s="26" t="s">
        <v>50</v>
      </c>
      <c r="D226" s="27">
        <v>230</v>
      </c>
      <c r="E226" t="e">
        <f>VLOOKUP(B226,Кат!G:J,3,0)</f>
        <v>#N/A</v>
      </c>
    </row>
    <row r="227" spans="1:5">
      <c r="A227" s="26" t="s">
        <v>795</v>
      </c>
      <c r="B227" s="26" t="s">
        <v>796</v>
      </c>
      <c r="C227" s="26" t="s">
        <v>50</v>
      </c>
      <c r="D227" s="27">
        <v>305</v>
      </c>
      <c r="E227" t="e">
        <f>VLOOKUP(B227,Кат!G:J,3,0)</f>
        <v>#N/A</v>
      </c>
    </row>
    <row r="228" spans="1:5" ht="22.5">
      <c r="A228" s="26" t="s">
        <v>797</v>
      </c>
      <c r="B228" s="26" t="s">
        <v>798</v>
      </c>
      <c r="C228" s="26" t="s">
        <v>50</v>
      </c>
      <c r="D228" s="27">
        <v>413</v>
      </c>
      <c r="E228" t="e">
        <f>VLOOKUP(B228,Кат!G:J,3,0)</f>
        <v>#N/A</v>
      </c>
    </row>
    <row r="229" spans="1:5" ht="22.5">
      <c r="A229" s="26" t="s">
        <v>799</v>
      </c>
      <c r="B229" s="26" t="s">
        <v>800</v>
      </c>
      <c r="C229" s="26" t="s">
        <v>50</v>
      </c>
      <c r="D229" s="27">
        <v>243</v>
      </c>
      <c r="E229" t="e">
        <f>VLOOKUP(B229,Кат!G:J,3,0)</f>
        <v>#N/A</v>
      </c>
    </row>
    <row r="230" spans="1:5">
      <c r="A230" s="26" t="s">
        <v>801</v>
      </c>
      <c r="B230" s="26" t="s">
        <v>802</v>
      </c>
      <c r="C230" s="26" t="s">
        <v>50</v>
      </c>
      <c r="D230" s="27">
        <v>184</v>
      </c>
      <c r="E230" t="e">
        <f>VLOOKUP(B230,Кат!G:J,3,0)</f>
        <v>#N/A</v>
      </c>
    </row>
    <row r="231" spans="1:5">
      <c r="A231" s="26" t="s">
        <v>803</v>
      </c>
      <c r="B231" s="26" t="s">
        <v>804</v>
      </c>
      <c r="C231" s="26" t="s">
        <v>50</v>
      </c>
      <c r="D231" s="27">
        <v>257</v>
      </c>
      <c r="E231" t="e">
        <f>VLOOKUP(B231,Кат!G:J,3,0)</f>
        <v>#N/A</v>
      </c>
    </row>
    <row r="232" spans="1:5" ht="22.5">
      <c r="A232" s="26" t="s">
        <v>805</v>
      </c>
      <c r="B232" s="26" t="s">
        <v>806</v>
      </c>
      <c r="C232" s="26" t="s">
        <v>50</v>
      </c>
      <c r="D232" s="27">
        <v>346</v>
      </c>
      <c r="E232" t="e">
        <f>VLOOKUP(B232,Кат!G:J,3,0)</f>
        <v>#N/A</v>
      </c>
    </row>
    <row r="233" spans="1:5">
      <c r="A233" s="23" t="s">
        <v>51</v>
      </c>
      <c r="B233" s="24"/>
      <c r="C233" s="24"/>
      <c r="D233" s="25"/>
      <c r="E233" t="e">
        <f>VLOOKUP(B233,Кат!G:J,3,0)</f>
        <v>#N/A</v>
      </c>
    </row>
    <row r="234" spans="1:5">
      <c r="A234" s="29" t="s">
        <v>52</v>
      </c>
      <c r="B234" s="30"/>
      <c r="C234" s="30"/>
      <c r="D234" s="31"/>
      <c r="E234" t="e">
        <f>VLOOKUP(B234,Кат!G:J,3,0)</f>
        <v>#N/A</v>
      </c>
    </row>
    <row r="235" spans="1:5">
      <c r="A235" s="26" t="s">
        <v>53</v>
      </c>
      <c r="B235" s="26" t="s">
        <v>54</v>
      </c>
      <c r="C235" s="26" t="s">
        <v>50</v>
      </c>
      <c r="D235" s="28">
        <v>5325</v>
      </c>
      <c r="E235" t="e">
        <f>VLOOKUP(B235,Кат!G:J,3,0)</f>
        <v>#N/A</v>
      </c>
    </row>
    <row r="236" spans="1:5">
      <c r="A236" s="26" t="s">
        <v>55</v>
      </c>
      <c r="B236" s="26" t="s">
        <v>56</v>
      </c>
      <c r="C236" s="26" t="s">
        <v>50</v>
      </c>
      <c r="D236" s="28">
        <v>3950</v>
      </c>
      <c r="E236" t="e">
        <f>VLOOKUP(B236,Кат!G:J,3,0)</f>
        <v>#N/A</v>
      </c>
    </row>
    <row r="237" spans="1:5">
      <c r="A237" s="29" t="s">
        <v>57</v>
      </c>
      <c r="B237" s="30"/>
      <c r="C237" s="30"/>
      <c r="D237" s="31"/>
      <c r="E237" t="e">
        <f>VLOOKUP(B237,Кат!G:J,3,0)</f>
        <v>#N/A</v>
      </c>
    </row>
    <row r="238" spans="1:5">
      <c r="A238" s="26" t="s">
        <v>312</v>
      </c>
      <c r="B238" s="26" t="s">
        <v>58</v>
      </c>
      <c r="C238" s="26" t="s">
        <v>50</v>
      </c>
      <c r="D238" s="27">
        <v>264</v>
      </c>
      <c r="E238">
        <f>VLOOKUP(B238,Кат!G:J,3,0)</f>
        <v>324.08999999999997</v>
      </c>
    </row>
    <row r="239" spans="1:5">
      <c r="A239" s="26" t="s">
        <v>807</v>
      </c>
      <c r="B239" s="26" t="s">
        <v>59</v>
      </c>
      <c r="C239" s="26" t="s">
        <v>50</v>
      </c>
      <c r="D239" s="28">
        <v>1637</v>
      </c>
      <c r="E239">
        <f>VLOOKUP(B239,Кат!G:J,3,0)</f>
        <v>1770.67</v>
      </c>
    </row>
    <row r="240" spans="1:5">
      <c r="A240" s="26" t="s">
        <v>60</v>
      </c>
      <c r="B240" s="26" t="s">
        <v>61</v>
      </c>
      <c r="C240" s="26" t="s">
        <v>50</v>
      </c>
      <c r="D240" s="27">
        <v>526</v>
      </c>
      <c r="E240" t="e">
        <f>VLOOKUP(B240,Кат!G:J,3,0)</f>
        <v>#N/A</v>
      </c>
    </row>
    <row r="241" spans="1:5">
      <c r="A241" s="26" t="s">
        <v>65</v>
      </c>
      <c r="B241" s="26" t="s">
        <v>66</v>
      </c>
      <c r="C241" s="26" t="s">
        <v>50</v>
      </c>
      <c r="D241" s="27">
        <v>909</v>
      </c>
      <c r="E241">
        <f>VLOOKUP(B241,Кат!G:J,3,0)</f>
        <v>1129</v>
      </c>
    </row>
    <row r="242" spans="1:5">
      <c r="A242" s="26" t="s">
        <v>67</v>
      </c>
      <c r="B242" s="26" t="s">
        <v>68</v>
      </c>
      <c r="C242" s="26" t="s">
        <v>50</v>
      </c>
      <c r="D242" s="28">
        <v>1046</v>
      </c>
      <c r="E242">
        <f>VLOOKUP(B242,Кат!G:J,3,0)</f>
        <v>1223.2</v>
      </c>
    </row>
    <row r="243" spans="1:5" ht="22.5">
      <c r="A243" s="26" t="s">
        <v>313</v>
      </c>
      <c r="B243" s="26" t="s">
        <v>314</v>
      </c>
      <c r="C243" s="26" t="s">
        <v>50</v>
      </c>
      <c r="D243" s="27">
        <v>396</v>
      </c>
      <c r="E243">
        <f>VLOOKUP(B243,Кат!G:J,3,0)</f>
        <v>444.23</v>
      </c>
    </row>
    <row r="244" spans="1:5">
      <c r="A244" s="29" t="s">
        <v>70</v>
      </c>
      <c r="B244" s="30"/>
      <c r="C244" s="30"/>
      <c r="D244" s="31"/>
      <c r="E244" t="e">
        <f>VLOOKUP(B244,Кат!G:J,3,0)</f>
        <v>#N/A</v>
      </c>
    </row>
    <row r="245" spans="1:5" ht="22.5">
      <c r="A245" s="26" t="s">
        <v>71</v>
      </c>
      <c r="B245" s="26" t="s">
        <v>72</v>
      </c>
      <c r="C245" s="26" t="s">
        <v>50</v>
      </c>
      <c r="D245" s="27">
        <v>92</v>
      </c>
      <c r="E245">
        <f>VLOOKUP(B245,Кат!G:J,3,0)</f>
        <v>105.32</v>
      </c>
    </row>
    <row r="246" spans="1:5">
      <c r="A246" s="26" t="s">
        <v>73</v>
      </c>
      <c r="B246" s="26" t="s">
        <v>74</v>
      </c>
      <c r="C246" s="26" t="s">
        <v>50</v>
      </c>
      <c r="D246" s="27">
        <v>545</v>
      </c>
      <c r="E246" t="e">
        <f>VLOOKUP(B246,Кат!G:J,3,0)</f>
        <v>#N/A</v>
      </c>
    </row>
    <row r="247" spans="1:5" ht="22.5">
      <c r="A247" s="26" t="s">
        <v>75</v>
      </c>
      <c r="B247" s="26" t="s">
        <v>76</v>
      </c>
      <c r="C247" s="26" t="s">
        <v>50</v>
      </c>
      <c r="D247" s="27">
        <v>545</v>
      </c>
      <c r="E247" t="e">
        <f>VLOOKUP(B247,Кат!G:J,3,0)</f>
        <v>#N/A</v>
      </c>
    </row>
    <row r="248" spans="1:5" ht="22.5">
      <c r="A248" s="26" t="s">
        <v>77</v>
      </c>
      <c r="B248" s="26" t="s">
        <v>78</v>
      </c>
      <c r="C248" s="26" t="s">
        <v>50</v>
      </c>
      <c r="D248" s="27">
        <v>618</v>
      </c>
      <c r="E248" t="e">
        <f>VLOOKUP(B248,Кат!G:J,3,0)</f>
        <v>#N/A</v>
      </c>
    </row>
    <row r="249" spans="1:5" ht="22.5">
      <c r="A249" s="26" t="s">
        <v>79</v>
      </c>
      <c r="B249" s="26" t="s">
        <v>80</v>
      </c>
      <c r="C249" s="26" t="s">
        <v>50</v>
      </c>
      <c r="D249" s="27">
        <v>618</v>
      </c>
      <c r="E249" t="e">
        <f>VLOOKUP(B249,Кат!G:J,3,0)</f>
        <v>#N/A</v>
      </c>
    </row>
    <row r="250" spans="1:5" ht="22.5">
      <c r="A250" s="26" t="s">
        <v>81</v>
      </c>
      <c r="B250" s="26" t="s">
        <v>82</v>
      </c>
      <c r="C250" s="26" t="s">
        <v>50</v>
      </c>
      <c r="D250" s="27">
        <v>500</v>
      </c>
      <c r="E250" t="e">
        <f>VLOOKUP(B250,Кат!G:J,3,0)</f>
        <v>#N/A</v>
      </c>
    </row>
    <row r="251" spans="1:5" ht="22.5">
      <c r="A251" s="26" t="s">
        <v>83</v>
      </c>
      <c r="B251" s="26" t="s">
        <v>84</v>
      </c>
      <c r="C251" s="26" t="s">
        <v>50</v>
      </c>
      <c r="D251" s="27">
        <v>500</v>
      </c>
      <c r="E251" t="e">
        <f>VLOOKUP(B251,Кат!G:J,3,0)</f>
        <v>#N/A</v>
      </c>
    </row>
    <row r="252" spans="1:5" ht="22.5">
      <c r="A252" s="26" t="s">
        <v>85</v>
      </c>
      <c r="B252" s="26" t="s">
        <v>86</v>
      </c>
      <c r="C252" s="26" t="s">
        <v>50</v>
      </c>
      <c r="D252" s="27">
        <v>580</v>
      </c>
      <c r="E252" t="e">
        <f>VLOOKUP(B252,Кат!G:J,3,0)</f>
        <v>#N/A</v>
      </c>
    </row>
    <row r="253" spans="1:5" ht="22.5">
      <c r="A253" s="26" t="s">
        <v>87</v>
      </c>
      <c r="B253" s="26" t="s">
        <v>88</v>
      </c>
      <c r="C253" s="26" t="s">
        <v>50</v>
      </c>
      <c r="D253" s="27">
        <v>580</v>
      </c>
      <c r="E253" t="e">
        <f>VLOOKUP(B253,Кат!G:J,3,0)</f>
        <v>#N/A</v>
      </c>
    </row>
    <row r="254" spans="1:5" ht="22.5">
      <c r="A254" s="26" t="s">
        <v>89</v>
      </c>
      <c r="B254" s="26" t="s">
        <v>90</v>
      </c>
      <c r="C254" s="26" t="s">
        <v>50</v>
      </c>
      <c r="D254" s="28">
        <v>1182</v>
      </c>
      <c r="E254" t="e">
        <f>VLOOKUP(B254,Кат!G:J,3,0)</f>
        <v>#N/A</v>
      </c>
    </row>
    <row r="255" spans="1:5" ht="22.5">
      <c r="A255" s="26" t="s">
        <v>91</v>
      </c>
      <c r="B255" s="26" t="s">
        <v>92</v>
      </c>
      <c r="C255" s="26" t="s">
        <v>50</v>
      </c>
      <c r="D255" s="28">
        <v>1387</v>
      </c>
      <c r="E255" t="e">
        <f>VLOOKUP(B255,Кат!G:J,3,0)</f>
        <v>#N/A</v>
      </c>
    </row>
    <row r="256" spans="1:5" ht="22.5">
      <c r="A256" s="26" t="s">
        <v>332</v>
      </c>
      <c r="B256" s="26" t="s">
        <v>333</v>
      </c>
      <c r="C256" s="26" t="s">
        <v>50</v>
      </c>
      <c r="D256" s="28">
        <v>2728</v>
      </c>
      <c r="E256" t="e">
        <f>VLOOKUP(B256,Кат!G:J,3,0)</f>
        <v>#N/A</v>
      </c>
    </row>
    <row r="257" spans="1:5" ht="22.5">
      <c r="A257" s="26" t="s">
        <v>808</v>
      </c>
      <c r="B257" s="26" t="s">
        <v>93</v>
      </c>
      <c r="C257" s="26" t="s">
        <v>50</v>
      </c>
      <c r="D257" s="27">
        <v>500</v>
      </c>
      <c r="E257">
        <f>VLOOKUP(B257,Кат!G:J,3,0)</f>
        <v>677.14</v>
      </c>
    </row>
    <row r="258" spans="1:5" ht="22.5">
      <c r="A258" s="26" t="s">
        <v>94</v>
      </c>
      <c r="B258" s="26" t="s">
        <v>95</v>
      </c>
      <c r="C258" s="26" t="s">
        <v>50</v>
      </c>
      <c r="D258" s="27">
        <v>363</v>
      </c>
      <c r="E258">
        <f>VLOOKUP(B258,Кат!G:J,3,0)</f>
        <v>435.89</v>
      </c>
    </row>
    <row r="259" spans="1:5" ht="22.5">
      <c r="A259" s="26" t="s">
        <v>96</v>
      </c>
      <c r="B259" s="26" t="s">
        <v>97</v>
      </c>
      <c r="C259" s="26" t="s">
        <v>50</v>
      </c>
      <c r="D259" s="28">
        <v>2091</v>
      </c>
      <c r="E259" t="e">
        <f>VLOOKUP(B259,Кат!G:J,3,0)</f>
        <v>#N/A</v>
      </c>
    </row>
    <row r="260" spans="1:5" ht="22.5">
      <c r="A260" s="26" t="s">
        <v>98</v>
      </c>
      <c r="B260" s="26" t="s">
        <v>99</v>
      </c>
      <c r="C260" s="26" t="s">
        <v>50</v>
      </c>
      <c r="D260" s="28">
        <v>2091</v>
      </c>
      <c r="E260" t="e">
        <f>VLOOKUP(B260,Кат!G:J,3,0)</f>
        <v>#N/A</v>
      </c>
    </row>
    <row r="261" spans="1:5" ht="22.5">
      <c r="A261" s="26" t="s">
        <v>100</v>
      </c>
      <c r="B261" s="26" t="s">
        <v>101</v>
      </c>
      <c r="C261" s="26" t="s">
        <v>50</v>
      </c>
      <c r="D261" s="28">
        <v>1637</v>
      </c>
      <c r="E261" t="e">
        <f>VLOOKUP(B261,Кат!G:J,3,0)</f>
        <v>#N/A</v>
      </c>
    </row>
    <row r="262" spans="1:5" ht="22.5">
      <c r="A262" s="26" t="s">
        <v>102</v>
      </c>
      <c r="B262" s="26" t="s">
        <v>103</v>
      </c>
      <c r="C262" s="26" t="s">
        <v>50</v>
      </c>
      <c r="D262" s="28">
        <v>1637</v>
      </c>
      <c r="E262" t="e">
        <f>VLOOKUP(B262,Кат!G:J,3,0)</f>
        <v>#N/A</v>
      </c>
    </row>
    <row r="263" spans="1:5">
      <c r="A263" s="26" t="s">
        <v>104</v>
      </c>
      <c r="B263" s="26" t="s">
        <v>105</v>
      </c>
      <c r="C263" s="26" t="s">
        <v>50</v>
      </c>
      <c r="D263" s="28">
        <v>2182</v>
      </c>
      <c r="E263" t="e">
        <f>VLOOKUP(B263,Кат!G:J,3,0)</f>
        <v>#N/A</v>
      </c>
    </row>
    <row r="264" spans="1:5">
      <c r="A264" s="26" t="s">
        <v>106</v>
      </c>
      <c r="B264" s="26" t="s">
        <v>107</v>
      </c>
      <c r="C264" s="26" t="s">
        <v>50</v>
      </c>
      <c r="D264" s="28">
        <v>2182</v>
      </c>
      <c r="E264" t="e">
        <f>VLOOKUP(B264,Кат!G:J,3,0)</f>
        <v>#N/A</v>
      </c>
    </row>
    <row r="265" spans="1:5" ht="22.5">
      <c r="A265" s="26" t="s">
        <v>108</v>
      </c>
      <c r="B265" s="26" t="s">
        <v>109</v>
      </c>
      <c r="C265" s="26" t="s">
        <v>50</v>
      </c>
      <c r="D265" s="28">
        <v>2684</v>
      </c>
      <c r="E265" t="e">
        <f>VLOOKUP(B265,Кат!G:J,3,0)</f>
        <v>#N/A</v>
      </c>
    </row>
    <row r="266" spans="1:5" ht="22.5">
      <c r="A266" s="26" t="s">
        <v>110</v>
      </c>
      <c r="B266" s="26" t="s">
        <v>111</v>
      </c>
      <c r="C266" s="26" t="s">
        <v>50</v>
      </c>
      <c r="D266" s="28">
        <v>2684</v>
      </c>
      <c r="E266" t="e">
        <f>VLOOKUP(B266,Кат!G:J,3,0)</f>
        <v>#N/A</v>
      </c>
    </row>
    <row r="267" spans="1:5" ht="22.5">
      <c r="A267" s="26" t="s">
        <v>112</v>
      </c>
      <c r="B267" s="26" t="s">
        <v>113</v>
      </c>
      <c r="C267" s="26" t="s">
        <v>50</v>
      </c>
      <c r="D267" s="28">
        <v>1637</v>
      </c>
      <c r="E267" t="e">
        <f>VLOOKUP(B267,Кат!G:J,3,0)</f>
        <v>#N/A</v>
      </c>
    </row>
    <row r="268" spans="1:5" ht="22.5">
      <c r="A268" s="26" t="s">
        <v>114</v>
      </c>
      <c r="B268" s="26" t="s">
        <v>115</v>
      </c>
      <c r="C268" s="26" t="s">
        <v>50</v>
      </c>
      <c r="D268" s="28">
        <v>1637</v>
      </c>
      <c r="E268" t="e">
        <f>VLOOKUP(B268,Кат!G:J,3,0)</f>
        <v>#N/A</v>
      </c>
    </row>
    <row r="269" spans="1:5" ht="22.5">
      <c r="A269" s="26" t="s">
        <v>116</v>
      </c>
      <c r="B269" s="26" t="s">
        <v>117</v>
      </c>
      <c r="C269" s="26" t="s">
        <v>50</v>
      </c>
      <c r="D269" s="28">
        <v>1818</v>
      </c>
      <c r="E269" t="e">
        <f>VLOOKUP(B269,Кат!G:J,3,0)</f>
        <v>#N/A</v>
      </c>
    </row>
    <row r="270" spans="1:5" ht="22.5">
      <c r="A270" s="26" t="s">
        <v>118</v>
      </c>
      <c r="B270" s="26" t="s">
        <v>119</v>
      </c>
      <c r="C270" s="26" t="s">
        <v>50</v>
      </c>
      <c r="D270" s="28">
        <v>1818</v>
      </c>
      <c r="E270" t="e">
        <f>VLOOKUP(B270,Кат!G:J,3,0)</f>
        <v>#N/A</v>
      </c>
    </row>
    <row r="271" spans="1:5" ht="22.5">
      <c r="A271" s="26" t="s">
        <v>120</v>
      </c>
      <c r="B271" s="26" t="s">
        <v>121</v>
      </c>
      <c r="C271" s="26" t="s">
        <v>50</v>
      </c>
      <c r="D271" s="28">
        <v>1315</v>
      </c>
      <c r="E271" t="e">
        <f>VLOOKUP(B271,Кат!G:J,3,0)</f>
        <v>#N/A</v>
      </c>
    </row>
    <row r="272" spans="1:5" ht="22.5">
      <c r="A272" s="26" t="s">
        <v>122</v>
      </c>
      <c r="B272" s="26" t="s">
        <v>123</v>
      </c>
      <c r="C272" s="26" t="s">
        <v>50</v>
      </c>
      <c r="D272" s="28">
        <v>1315</v>
      </c>
      <c r="E272" t="e">
        <f>VLOOKUP(B272,Кат!G:J,3,0)</f>
        <v>#N/A</v>
      </c>
    </row>
    <row r="273" spans="1:5" ht="22.5">
      <c r="A273" s="26" t="s">
        <v>124</v>
      </c>
      <c r="B273" s="26" t="s">
        <v>125</v>
      </c>
      <c r="C273" s="26" t="s">
        <v>50</v>
      </c>
      <c r="D273" s="28">
        <v>1315</v>
      </c>
      <c r="E273" t="e">
        <f>VLOOKUP(B273,Кат!G:J,3,0)</f>
        <v>#N/A</v>
      </c>
    </row>
    <row r="274" spans="1:5" ht="22.5">
      <c r="A274" s="26" t="s">
        <v>126</v>
      </c>
      <c r="B274" s="26" t="s">
        <v>127</v>
      </c>
      <c r="C274" s="26" t="s">
        <v>50</v>
      </c>
      <c r="D274" s="28">
        <v>1315</v>
      </c>
      <c r="E274" t="e">
        <f>VLOOKUP(B274,Кат!G:J,3,0)</f>
        <v>#N/A</v>
      </c>
    </row>
    <row r="275" spans="1:5">
      <c r="A275" s="26" t="s">
        <v>128</v>
      </c>
      <c r="B275" s="26" t="s">
        <v>129</v>
      </c>
      <c r="C275" s="26" t="s">
        <v>50</v>
      </c>
      <c r="D275" s="28">
        <v>2138</v>
      </c>
      <c r="E275">
        <f>VLOOKUP(B275,Кат!G:J,3,0)</f>
        <v>2763</v>
      </c>
    </row>
    <row r="276" spans="1:5">
      <c r="A276" s="26" t="s">
        <v>130</v>
      </c>
      <c r="B276" s="26" t="s">
        <v>131</v>
      </c>
      <c r="C276" s="26" t="s">
        <v>50</v>
      </c>
      <c r="D276" s="28">
        <v>2138</v>
      </c>
      <c r="E276">
        <f>VLOOKUP(B276,Кат!G:J,3,0)</f>
        <v>2750</v>
      </c>
    </row>
    <row r="277" spans="1:5" ht="22.5">
      <c r="A277" s="26" t="s">
        <v>132</v>
      </c>
      <c r="B277" s="26" t="s">
        <v>133</v>
      </c>
      <c r="C277" s="26" t="s">
        <v>50</v>
      </c>
      <c r="D277" s="27">
        <v>363</v>
      </c>
      <c r="E277" t="e">
        <f>VLOOKUP(B277,Кат!G:J,3,0)</f>
        <v>#N/A</v>
      </c>
    </row>
    <row r="278" spans="1:5" ht="22.5">
      <c r="A278" s="26" t="s">
        <v>134</v>
      </c>
      <c r="B278" s="26" t="s">
        <v>135</v>
      </c>
      <c r="C278" s="26" t="s">
        <v>50</v>
      </c>
      <c r="D278" s="27">
        <v>169</v>
      </c>
      <c r="E278" t="e">
        <f>VLOOKUP(B278,Кат!G:J,3,0)</f>
        <v>#N/A</v>
      </c>
    </row>
    <row r="279" spans="1:5" ht="22.5">
      <c r="A279" s="26" t="s">
        <v>136</v>
      </c>
      <c r="B279" s="26" t="s">
        <v>137</v>
      </c>
      <c r="C279" s="26" t="s">
        <v>50</v>
      </c>
      <c r="D279" s="27">
        <v>382</v>
      </c>
      <c r="E279">
        <f>VLOOKUP(B279,Кат!G:J,3,0)</f>
        <v>550</v>
      </c>
    </row>
    <row r="280" spans="1:5" ht="22.5">
      <c r="A280" s="26" t="s">
        <v>138</v>
      </c>
      <c r="B280" s="26" t="s">
        <v>139</v>
      </c>
      <c r="C280" s="26" t="s">
        <v>50</v>
      </c>
      <c r="D280" s="27">
        <v>426</v>
      </c>
      <c r="E280">
        <f>VLOOKUP(B280,Кат!G:J,3,0)</f>
        <v>505.76</v>
      </c>
    </row>
    <row r="281" spans="1:5" ht="22.5">
      <c r="A281" s="26" t="s">
        <v>140</v>
      </c>
      <c r="B281" s="26" t="s">
        <v>141</v>
      </c>
      <c r="C281" s="26" t="s">
        <v>50</v>
      </c>
      <c r="D281" s="27">
        <v>473</v>
      </c>
      <c r="E281" t="e">
        <f>VLOOKUP(B281,Кат!G:J,3,0)</f>
        <v>#N/A</v>
      </c>
    </row>
    <row r="282" spans="1:5" ht="22.5">
      <c r="A282" s="26" t="s">
        <v>142</v>
      </c>
      <c r="B282" s="26" t="s">
        <v>143</v>
      </c>
      <c r="C282" s="26" t="s">
        <v>50</v>
      </c>
      <c r="D282" s="27">
        <v>460</v>
      </c>
      <c r="E282" t="e">
        <f>VLOOKUP(B282,Кат!G:J,3,0)</f>
        <v>#N/A</v>
      </c>
    </row>
    <row r="283" spans="1:5" ht="22.5">
      <c r="A283" s="26" t="s">
        <v>144</v>
      </c>
      <c r="B283" s="26" t="s">
        <v>145</v>
      </c>
      <c r="C283" s="26" t="s">
        <v>50</v>
      </c>
      <c r="D283" s="27">
        <v>442</v>
      </c>
      <c r="E283" t="e">
        <f>VLOOKUP(B283,Кат!G:J,3,0)</f>
        <v>#N/A</v>
      </c>
    </row>
    <row r="284" spans="1:5" ht="22.5">
      <c r="A284" s="26" t="s">
        <v>334</v>
      </c>
      <c r="B284" s="26" t="s">
        <v>335</v>
      </c>
      <c r="C284" s="26" t="s">
        <v>50</v>
      </c>
      <c r="D284" s="27">
        <v>573</v>
      </c>
      <c r="E284" t="e">
        <f>VLOOKUP(B284,Кат!G:J,3,0)</f>
        <v>#N/A</v>
      </c>
    </row>
    <row r="285" spans="1:5" ht="22.5">
      <c r="A285" s="26" t="s">
        <v>146</v>
      </c>
      <c r="B285" s="26" t="s">
        <v>147</v>
      </c>
      <c r="C285" s="26" t="s">
        <v>50</v>
      </c>
      <c r="D285" s="27">
        <v>592</v>
      </c>
      <c r="E285" t="e">
        <f>VLOOKUP(B285,Кат!G:J,3,0)</f>
        <v>#N/A</v>
      </c>
    </row>
    <row r="286" spans="1:5" ht="22.5">
      <c r="A286" s="26" t="s">
        <v>148</v>
      </c>
      <c r="B286" s="26" t="s">
        <v>149</v>
      </c>
      <c r="C286" s="26" t="s">
        <v>50</v>
      </c>
      <c r="D286" s="27">
        <v>370</v>
      </c>
      <c r="E286" t="e">
        <f>VLOOKUP(B286,Кат!G:J,3,0)</f>
        <v>#N/A</v>
      </c>
    </row>
    <row r="287" spans="1:5" ht="22.5">
      <c r="A287" s="26" t="s">
        <v>150</v>
      </c>
      <c r="B287" s="26" t="s">
        <v>151</v>
      </c>
      <c r="C287" s="26" t="s">
        <v>50</v>
      </c>
      <c r="D287" s="27">
        <v>545</v>
      </c>
      <c r="E287" t="e">
        <f>VLOOKUP(B287,Кат!G:J,3,0)</f>
        <v>#N/A</v>
      </c>
    </row>
    <row r="288" spans="1:5" ht="22.5">
      <c r="A288" s="26" t="s">
        <v>152</v>
      </c>
      <c r="B288" s="26" t="s">
        <v>153</v>
      </c>
      <c r="C288" s="26" t="s">
        <v>50</v>
      </c>
      <c r="D288" s="27">
        <v>199</v>
      </c>
      <c r="E288" t="e">
        <f>VLOOKUP(B288,Кат!G:J,3,0)</f>
        <v>#N/A</v>
      </c>
    </row>
    <row r="289" spans="1:5">
      <c r="A289" s="26" t="s">
        <v>154</v>
      </c>
      <c r="B289" s="26" t="s">
        <v>155</v>
      </c>
      <c r="C289" s="26" t="s">
        <v>50</v>
      </c>
      <c r="D289" s="27">
        <v>428</v>
      </c>
      <c r="E289" t="e">
        <f>VLOOKUP(B289,Кат!G:J,3,0)</f>
        <v>#N/A</v>
      </c>
    </row>
    <row r="290" spans="1:5">
      <c r="A290" s="26" t="s">
        <v>156</v>
      </c>
      <c r="B290" s="26" t="s">
        <v>157</v>
      </c>
      <c r="C290" s="26" t="s">
        <v>50</v>
      </c>
      <c r="D290" s="27">
        <v>497</v>
      </c>
      <c r="E290">
        <f>VLOOKUP(B290,Кат!G:J,3,0)</f>
        <v>632.98</v>
      </c>
    </row>
    <row r="291" spans="1:5">
      <c r="A291" s="26" t="s">
        <v>158</v>
      </c>
      <c r="B291" s="26" t="s">
        <v>159</v>
      </c>
      <c r="C291" s="26" t="s">
        <v>50</v>
      </c>
      <c r="D291" s="27">
        <v>497</v>
      </c>
      <c r="E291">
        <f>VLOOKUP(B291,Кат!G:J,3,0)</f>
        <v>608</v>
      </c>
    </row>
    <row r="292" spans="1:5">
      <c r="A292" s="26" t="s">
        <v>336</v>
      </c>
      <c r="B292" s="26" t="s">
        <v>337</v>
      </c>
      <c r="C292" s="26" t="s">
        <v>50</v>
      </c>
      <c r="D292" s="27">
        <v>724</v>
      </c>
      <c r="E292" t="e">
        <f>VLOOKUP(B292,Кат!G:J,3,0)</f>
        <v>#N/A</v>
      </c>
    </row>
    <row r="293" spans="1:5" ht="22.5">
      <c r="A293" s="26" t="s">
        <v>315</v>
      </c>
      <c r="B293" s="26" t="s">
        <v>316</v>
      </c>
      <c r="C293" s="26" t="s">
        <v>50</v>
      </c>
      <c r="D293" s="27">
        <v>372</v>
      </c>
      <c r="E293" t="e">
        <f>VLOOKUP(B293,Кат!G:J,3,0)</f>
        <v>#N/A</v>
      </c>
    </row>
    <row r="294" spans="1:5" ht="22.5">
      <c r="A294" s="26" t="s">
        <v>160</v>
      </c>
      <c r="B294" s="26" t="s">
        <v>161</v>
      </c>
      <c r="C294" s="26" t="s">
        <v>50</v>
      </c>
      <c r="D294" s="27">
        <v>372</v>
      </c>
      <c r="E294" t="e">
        <f>VLOOKUP(B294,Кат!G:J,3,0)</f>
        <v>#N/A</v>
      </c>
    </row>
    <row r="295" spans="1:5">
      <c r="A295" s="26" t="s">
        <v>162</v>
      </c>
      <c r="B295" s="26" t="s">
        <v>163</v>
      </c>
      <c r="C295" s="26" t="s">
        <v>50</v>
      </c>
      <c r="D295" s="27">
        <v>454</v>
      </c>
      <c r="E295" t="e">
        <f>VLOOKUP(B295,Кат!G:J,3,0)</f>
        <v>#N/A</v>
      </c>
    </row>
    <row r="296" spans="1:5">
      <c r="A296" s="29" t="s">
        <v>164</v>
      </c>
      <c r="B296" s="30"/>
      <c r="C296" s="30"/>
      <c r="D296" s="31"/>
      <c r="E296" t="e">
        <f>VLOOKUP(B296,Кат!G:J,3,0)</f>
        <v>#N/A</v>
      </c>
    </row>
    <row r="297" spans="1:5">
      <c r="A297" s="26" t="s">
        <v>338</v>
      </c>
      <c r="B297" s="26" t="s">
        <v>339</v>
      </c>
      <c r="C297" s="26" t="s">
        <v>50</v>
      </c>
      <c r="D297" s="27">
        <v>763</v>
      </c>
      <c r="E297">
        <f>VLOOKUP(B297,Кат!G:J,3,0)</f>
        <v>1136.6500000000001</v>
      </c>
    </row>
    <row r="298" spans="1:5">
      <c r="A298" s="26" t="s">
        <v>340</v>
      </c>
      <c r="B298" s="26" t="s">
        <v>341</v>
      </c>
      <c r="C298" s="26" t="s">
        <v>50</v>
      </c>
      <c r="D298" s="27">
        <v>828</v>
      </c>
      <c r="E298">
        <f>VLOOKUP(B298,Кат!G:J,3,0)</f>
        <v>0</v>
      </c>
    </row>
    <row r="299" spans="1:5">
      <c r="A299" s="29" t="s">
        <v>342</v>
      </c>
      <c r="B299" s="30"/>
      <c r="C299" s="30"/>
      <c r="D299" s="31"/>
      <c r="E299" t="e">
        <f>VLOOKUP(B299,Кат!G:J,3,0)</f>
        <v>#N/A</v>
      </c>
    </row>
    <row r="300" spans="1:5" ht="22.5">
      <c r="A300" s="26" t="s">
        <v>343</v>
      </c>
      <c r="B300" s="26" t="s">
        <v>299</v>
      </c>
      <c r="C300" s="26" t="s">
        <v>50</v>
      </c>
      <c r="D300" s="28">
        <v>3314</v>
      </c>
      <c r="E300">
        <f>VLOOKUP(B300,Кат!G:J,3,0)</f>
        <v>3785.36</v>
      </c>
    </row>
    <row r="301" spans="1:5" ht="22.5">
      <c r="A301" s="26" t="s">
        <v>344</v>
      </c>
      <c r="B301" s="26" t="s">
        <v>327</v>
      </c>
      <c r="C301" s="26" t="s">
        <v>50</v>
      </c>
      <c r="D301" s="28">
        <v>2955</v>
      </c>
      <c r="E301">
        <f>VLOOKUP(B301,Кат!G:J,3,0)</f>
        <v>3374.5</v>
      </c>
    </row>
    <row r="302" spans="1:5" ht="22.5">
      <c r="A302" s="26" t="s">
        <v>345</v>
      </c>
      <c r="B302" s="26" t="s">
        <v>328</v>
      </c>
      <c r="C302" s="26" t="s">
        <v>50</v>
      </c>
      <c r="D302" s="28">
        <v>3728</v>
      </c>
      <c r="E302">
        <f>VLOOKUP(B302,Кат!G:J,3,0)</f>
        <v>6676</v>
      </c>
    </row>
    <row r="303" spans="1:5" ht="22.5">
      <c r="A303" s="26" t="s">
        <v>346</v>
      </c>
      <c r="B303" s="26" t="s">
        <v>329</v>
      </c>
      <c r="C303" s="26" t="s">
        <v>50</v>
      </c>
      <c r="D303" s="28">
        <v>3841</v>
      </c>
      <c r="E303">
        <f>VLOOKUP(B303,Кат!G:J,3,0)</f>
        <v>7991</v>
      </c>
    </row>
    <row r="304" spans="1:5" ht="22.5">
      <c r="A304" s="26" t="s">
        <v>347</v>
      </c>
      <c r="B304" s="26" t="s">
        <v>330</v>
      </c>
      <c r="C304" s="26" t="s">
        <v>50</v>
      </c>
      <c r="D304" s="28">
        <v>4391</v>
      </c>
      <c r="E304">
        <f>VLOOKUP(B304,Кат!G:J,3,0)</f>
        <v>6093.85</v>
      </c>
    </row>
    <row r="305" spans="1:5" ht="22.5">
      <c r="A305" s="26" t="s">
        <v>348</v>
      </c>
      <c r="B305" s="26" t="s">
        <v>331</v>
      </c>
      <c r="C305" s="26" t="s">
        <v>50</v>
      </c>
      <c r="D305" s="28">
        <v>3074</v>
      </c>
      <c r="E305" t="e">
        <f>VLOOKUP(B305,Кат!G:J,3,0)</f>
        <v>#N/A</v>
      </c>
    </row>
    <row r="306" spans="1:5">
      <c r="A306" s="29" t="s">
        <v>166</v>
      </c>
      <c r="B306" s="30"/>
      <c r="C306" s="30"/>
      <c r="D306" s="31"/>
      <c r="E306" t="e">
        <f>VLOOKUP(B306,Кат!G:J,3,0)</f>
        <v>#N/A</v>
      </c>
    </row>
    <row r="307" spans="1:5" ht="22.5">
      <c r="A307" s="26" t="s">
        <v>317</v>
      </c>
      <c r="B307" s="32">
        <v>510103</v>
      </c>
      <c r="C307" s="26" t="s">
        <v>50</v>
      </c>
      <c r="D307" s="28">
        <v>1319</v>
      </c>
      <c r="E307" t="e">
        <f>VLOOKUP(B307,Кат!G:J,3,0)</f>
        <v>#N/A</v>
      </c>
    </row>
    <row r="308" spans="1:5" ht="22.5">
      <c r="A308" s="26" t="s">
        <v>167</v>
      </c>
      <c r="B308" s="32">
        <v>510101</v>
      </c>
      <c r="C308" s="26" t="s">
        <v>50</v>
      </c>
      <c r="D308" s="28">
        <v>1501</v>
      </c>
      <c r="E308" t="e">
        <f>VLOOKUP(B308,Кат!G:J,3,0)</f>
        <v>#N/A</v>
      </c>
    </row>
    <row r="309" spans="1:5" ht="22.5">
      <c r="A309" s="26" t="s">
        <v>168</v>
      </c>
      <c r="B309" s="32">
        <v>380102</v>
      </c>
      <c r="C309" s="26" t="s">
        <v>50</v>
      </c>
      <c r="D309" s="28">
        <v>1228</v>
      </c>
      <c r="E309" t="e">
        <f>VLOOKUP(B309,Кат!G:J,3,0)</f>
        <v>#N/A</v>
      </c>
    </row>
    <row r="310" spans="1:5">
      <c r="A310" s="26" t="s">
        <v>169</v>
      </c>
      <c r="B310" s="32">
        <v>340102</v>
      </c>
      <c r="C310" s="26" t="s">
        <v>50</v>
      </c>
      <c r="D310" s="28">
        <v>1501</v>
      </c>
      <c r="E310" t="e">
        <f>VLOOKUP(B310,Кат!G:J,3,0)</f>
        <v>#N/A</v>
      </c>
    </row>
    <row r="311" spans="1:5" ht="22.5">
      <c r="A311" s="26" t="s">
        <v>170</v>
      </c>
      <c r="B311" s="32">
        <v>270101</v>
      </c>
      <c r="C311" s="26" t="s">
        <v>50</v>
      </c>
      <c r="D311" s="28">
        <v>1474</v>
      </c>
      <c r="E311" t="e">
        <f>VLOOKUP(B311,Кат!G:J,3,0)</f>
        <v>#N/A</v>
      </c>
    </row>
    <row r="312" spans="1:5">
      <c r="A312" s="26" t="s">
        <v>171</v>
      </c>
      <c r="B312" s="32">
        <v>510219</v>
      </c>
      <c r="C312" s="26" t="s">
        <v>50</v>
      </c>
      <c r="D312" s="28">
        <v>1483</v>
      </c>
      <c r="E312" t="e">
        <f>VLOOKUP(B312,Кат!G:J,3,0)</f>
        <v>#N/A</v>
      </c>
    </row>
    <row r="313" spans="1:5" ht="22.5">
      <c r="A313" s="26" t="s">
        <v>172</v>
      </c>
      <c r="B313" s="32">
        <v>300205</v>
      </c>
      <c r="C313" s="26" t="s">
        <v>50</v>
      </c>
      <c r="D313" s="28">
        <v>1626</v>
      </c>
      <c r="E313" t="e">
        <f>VLOOKUP(B313,Кат!G:J,3,0)</f>
        <v>#N/A</v>
      </c>
    </row>
    <row r="314" spans="1:5">
      <c r="A314" s="26" t="s">
        <v>173</v>
      </c>
      <c r="B314" s="32">
        <v>340103</v>
      </c>
      <c r="C314" s="26" t="s">
        <v>50</v>
      </c>
      <c r="D314" s="28">
        <v>1528</v>
      </c>
      <c r="E314" t="e">
        <f>VLOOKUP(B314,Кат!G:J,3,0)</f>
        <v>#N/A</v>
      </c>
    </row>
    <row r="315" spans="1:5" ht="33.75">
      <c r="A315" s="26" t="s">
        <v>174</v>
      </c>
      <c r="B315" s="32">
        <v>290224</v>
      </c>
      <c r="C315" s="26" t="s">
        <v>50</v>
      </c>
      <c r="D315" s="28">
        <v>1285</v>
      </c>
      <c r="E315" t="e">
        <f>VLOOKUP(B315,Кат!G:J,3,0)</f>
        <v>#N/A</v>
      </c>
    </row>
    <row r="316" spans="1:5" ht="22.5">
      <c r="A316" s="26" t="s">
        <v>175</v>
      </c>
      <c r="B316" s="32">
        <v>290221</v>
      </c>
      <c r="C316" s="26" t="s">
        <v>50</v>
      </c>
      <c r="D316" s="28">
        <v>1365</v>
      </c>
      <c r="E316" t="e">
        <f>VLOOKUP(B316,Кат!G:J,3,0)</f>
        <v>#N/A</v>
      </c>
    </row>
    <row r="317" spans="1:5">
      <c r="A317" s="26" t="s">
        <v>176</v>
      </c>
      <c r="B317" s="32">
        <v>360202</v>
      </c>
      <c r="C317" s="26" t="s">
        <v>50</v>
      </c>
      <c r="D317" s="28">
        <v>1478</v>
      </c>
      <c r="E317" t="e">
        <f>VLOOKUP(B317,Кат!G:J,3,0)</f>
        <v>#N/A</v>
      </c>
    </row>
    <row r="318" spans="1:5" ht="22.5">
      <c r="A318" s="26" t="s">
        <v>177</v>
      </c>
      <c r="B318" s="32">
        <v>300212</v>
      </c>
      <c r="C318" s="26" t="s">
        <v>50</v>
      </c>
      <c r="D318" s="28">
        <v>1883</v>
      </c>
      <c r="E318" t="e">
        <f>VLOOKUP(B318,Кат!G:J,3,0)</f>
        <v>#N/A</v>
      </c>
    </row>
    <row r="319" spans="1:5">
      <c r="A319" s="26" t="s">
        <v>178</v>
      </c>
      <c r="B319" s="32">
        <v>410228</v>
      </c>
      <c r="C319" s="26" t="s">
        <v>50</v>
      </c>
      <c r="D319" s="28">
        <v>1989</v>
      </c>
      <c r="E319" t="e">
        <f>VLOOKUP(B319,Кат!G:J,3,0)</f>
        <v>#N/A</v>
      </c>
    </row>
    <row r="320" spans="1:5" ht="22.5">
      <c r="A320" s="26" t="s">
        <v>179</v>
      </c>
      <c r="B320" s="32">
        <v>300211</v>
      </c>
      <c r="C320" s="26" t="s">
        <v>50</v>
      </c>
      <c r="D320" s="28">
        <v>2729</v>
      </c>
      <c r="E320" t="e">
        <f>VLOOKUP(B320,Кат!G:J,3,0)</f>
        <v>#N/A</v>
      </c>
    </row>
    <row r="321" spans="1:5">
      <c r="A321" s="26" t="s">
        <v>180</v>
      </c>
      <c r="B321" s="32">
        <v>510218</v>
      </c>
      <c r="C321" s="26" t="s">
        <v>50</v>
      </c>
      <c r="D321" s="27">
        <v>553</v>
      </c>
      <c r="E321" t="e">
        <f>VLOOKUP(B321,Кат!G:J,3,0)</f>
        <v>#N/A</v>
      </c>
    </row>
    <row r="322" spans="1:5" ht="22.5">
      <c r="A322" s="26" t="s">
        <v>181</v>
      </c>
      <c r="B322" s="32">
        <v>510217</v>
      </c>
      <c r="C322" s="26" t="s">
        <v>50</v>
      </c>
      <c r="D322" s="28">
        <v>1547</v>
      </c>
      <c r="E322" t="e">
        <f>VLOOKUP(B322,Кат!G:J,3,0)</f>
        <v>#N/A</v>
      </c>
    </row>
    <row r="323" spans="1:5" ht="22.5">
      <c r="A323" s="26" t="s">
        <v>182</v>
      </c>
      <c r="B323" s="32">
        <v>380211</v>
      </c>
      <c r="C323" s="26" t="s">
        <v>50</v>
      </c>
      <c r="D323" s="28">
        <v>1328</v>
      </c>
      <c r="E323" t="e">
        <f>VLOOKUP(B323,Кат!G:J,3,0)</f>
        <v>#N/A</v>
      </c>
    </row>
    <row r="324" spans="1:5" ht="22.5">
      <c r="A324" s="26" t="s">
        <v>183</v>
      </c>
      <c r="B324" s="32">
        <v>380210</v>
      </c>
      <c r="C324" s="26" t="s">
        <v>50</v>
      </c>
      <c r="D324" s="28">
        <v>1091</v>
      </c>
      <c r="E324" t="e">
        <f>VLOOKUP(B324,Кат!G:J,3,0)</f>
        <v>#N/A</v>
      </c>
    </row>
    <row r="325" spans="1:5" ht="22.5">
      <c r="A325" s="26" t="s">
        <v>184</v>
      </c>
      <c r="B325" s="32">
        <v>300202</v>
      </c>
      <c r="C325" s="26" t="s">
        <v>50</v>
      </c>
      <c r="D325" s="28">
        <v>1865</v>
      </c>
      <c r="E325" t="e">
        <f>VLOOKUP(B325,Кат!G:J,3,0)</f>
        <v>#N/A</v>
      </c>
    </row>
    <row r="326" spans="1:5" ht="22.5">
      <c r="A326" s="26" t="s">
        <v>349</v>
      </c>
      <c r="B326" s="32">
        <v>290230</v>
      </c>
      <c r="C326" s="26" t="s">
        <v>50</v>
      </c>
      <c r="D326" s="28">
        <v>3605</v>
      </c>
      <c r="E326" t="e">
        <f>VLOOKUP(B326,Кат!G:J,3,0)</f>
        <v>#N/A</v>
      </c>
    </row>
    <row r="327" spans="1:5" ht="22.5">
      <c r="A327" s="26" t="s">
        <v>185</v>
      </c>
      <c r="B327" s="32">
        <v>290207</v>
      </c>
      <c r="C327" s="26" t="s">
        <v>50</v>
      </c>
      <c r="D327" s="28">
        <v>1865</v>
      </c>
      <c r="E327" t="e">
        <f>VLOOKUP(B327,Кат!G:J,3,0)</f>
        <v>#N/A</v>
      </c>
    </row>
    <row r="328" spans="1:5" ht="22.5">
      <c r="A328" s="26" t="s">
        <v>186</v>
      </c>
      <c r="B328" s="32">
        <v>290211</v>
      </c>
      <c r="C328" s="26" t="s">
        <v>50</v>
      </c>
      <c r="D328" s="28">
        <v>2728</v>
      </c>
      <c r="E328" t="e">
        <f>VLOOKUP(B328,Кат!G:J,3,0)</f>
        <v>#N/A</v>
      </c>
    </row>
    <row r="329" spans="1:5">
      <c r="A329" s="26" t="s">
        <v>350</v>
      </c>
      <c r="B329" s="32">
        <v>290217</v>
      </c>
      <c r="C329" s="26" t="s">
        <v>50</v>
      </c>
      <c r="D329" s="28">
        <v>1419</v>
      </c>
      <c r="E329" t="e">
        <f>VLOOKUP(B329,Кат!G:J,3,0)</f>
        <v>#N/A</v>
      </c>
    </row>
    <row r="330" spans="1:5" ht="22.5">
      <c r="A330" s="26" t="s">
        <v>351</v>
      </c>
      <c r="B330" s="32">
        <v>290227</v>
      </c>
      <c r="C330" s="26" t="s">
        <v>50</v>
      </c>
      <c r="D330" s="28">
        <v>2817</v>
      </c>
      <c r="E330" t="e">
        <f>VLOOKUP(B330,Кат!G:J,3,0)</f>
        <v>#N/A</v>
      </c>
    </row>
    <row r="331" spans="1:5">
      <c r="A331" s="26" t="s">
        <v>187</v>
      </c>
      <c r="B331" s="32">
        <v>340210</v>
      </c>
      <c r="C331" s="26" t="s">
        <v>50</v>
      </c>
      <c r="D331" s="28">
        <v>1683</v>
      </c>
      <c r="E331" t="e">
        <f>VLOOKUP(B331,Кат!G:J,3,0)</f>
        <v>#N/A</v>
      </c>
    </row>
    <row r="332" spans="1:5" ht="22.5">
      <c r="A332" s="26" t="s">
        <v>188</v>
      </c>
      <c r="B332" s="32">
        <v>300215</v>
      </c>
      <c r="C332" s="26" t="s">
        <v>50</v>
      </c>
      <c r="D332" s="28">
        <v>1409</v>
      </c>
      <c r="E332" t="e">
        <f>VLOOKUP(B332,Кат!G:J,3,0)</f>
        <v>#N/A</v>
      </c>
    </row>
    <row r="333" spans="1:5" ht="22.5">
      <c r="A333" s="26" t="s">
        <v>189</v>
      </c>
      <c r="B333" s="32">
        <v>300216</v>
      </c>
      <c r="C333" s="26" t="s">
        <v>50</v>
      </c>
      <c r="D333" s="28">
        <v>2588</v>
      </c>
      <c r="E333" t="e">
        <f>VLOOKUP(B333,Кат!G:J,3,0)</f>
        <v>#N/A</v>
      </c>
    </row>
    <row r="334" spans="1:5" ht="22.5">
      <c r="A334" s="26" t="s">
        <v>190</v>
      </c>
      <c r="B334" s="32">
        <v>350212</v>
      </c>
      <c r="C334" s="26" t="s">
        <v>50</v>
      </c>
      <c r="D334" s="28">
        <v>1910</v>
      </c>
      <c r="E334" t="e">
        <f>VLOOKUP(B334,Кат!G:J,3,0)</f>
        <v>#N/A</v>
      </c>
    </row>
    <row r="335" spans="1:5" ht="22.5">
      <c r="A335" s="26" t="s">
        <v>191</v>
      </c>
      <c r="B335" s="32">
        <v>370228</v>
      </c>
      <c r="C335" s="26" t="s">
        <v>50</v>
      </c>
      <c r="D335" s="28">
        <v>2072</v>
      </c>
      <c r="E335" t="e">
        <f>VLOOKUP(B335,Кат!G:J,3,0)</f>
        <v>#N/A</v>
      </c>
    </row>
    <row r="336" spans="1:5">
      <c r="A336" s="26" t="s">
        <v>192</v>
      </c>
      <c r="B336" s="32">
        <v>380206</v>
      </c>
      <c r="C336" s="26" t="s">
        <v>50</v>
      </c>
      <c r="D336" s="28">
        <v>1365</v>
      </c>
      <c r="E336" t="e">
        <f>VLOOKUP(B336,Кат!G:J,3,0)</f>
        <v>#N/A</v>
      </c>
    </row>
    <row r="337" spans="1:5">
      <c r="A337" s="26" t="s">
        <v>193</v>
      </c>
      <c r="B337" s="32">
        <v>380204</v>
      </c>
      <c r="C337" s="26" t="s">
        <v>50</v>
      </c>
      <c r="D337" s="28">
        <v>1774</v>
      </c>
      <c r="E337" t="e">
        <f>VLOOKUP(B337,Кат!G:J,3,0)</f>
        <v>#N/A</v>
      </c>
    </row>
    <row r="338" spans="1:5" ht="22.5">
      <c r="A338" s="26" t="s">
        <v>809</v>
      </c>
      <c r="B338" s="32">
        <v>270227</v>
      </c>
      <c r="C338" s="26" t="s">
        <v>50</v>
      </c>
      <c r="D338" s="28">
        <v>2000</v>
      </c>
      <c r="E338" t="e">
        <f>VLOOKUP(B338,Кат!G:J,3,0)</f>
        <v>#N/A</v>
      </c>
    </row>
    <row r="339" spans="1:5" ht="22.5">
      <c r="A339" s="26" t="s">
        <v>194</v>
      </c>
      <c r="B339" s="32">
        <v>270207</v>
      </c>
      <c r="C339" s="26" t="s">
        <v>50</v>
      </c>
      <c r="D339" s="28">
        <v>1182</v>
      </c>
      <c r="E339" t="e">
        <f>VLOOKUP(B339,Кат!G:J,3,0)</f>
        <v>#N/A</v>
      </c>
    </row>
    <row r="340" spans="1:5">
      <c r="A340" s="29" t="s">
        <v>195</v>
      </c>
      <c r="B340" s="30"/>
      <c r="C340" s="30"/>
      <c r="D340" s="31"/>
      <c r="E340" t="e">
        <f>VLOOKUP(B340,Кат!G:J,3,0)</f>
        <v>#N/A</v>
      </c>
    </row>
    <row r="341" spans="1:5">
      <c r="A341" s="26" t="s">
        <v>196</v>
      </c>
      <c r="B341" s="32">
        <v>550104</v>
      </c>
      <c r="C341" s="26" t="s">
        <v>50</v>
      </c>
      <c r="D341" s="28">
        <v>2273</v>
      </c>
      <c r="E341" t="e">
        <f>VLOOKUP(B341,Кат!G:J,3,0)</f>
        <v>#N/A</v>
      </c>
    </row>
    <row r="342" spans="1:5">
      <c r="A342" s="26" t="s">
        <v>352</v>
      </c>
      <c r="B342" s="32">
        <v>260101</v>
      </c>
      <c r="C342" s="26" t="s">
        <v>49</v>
      </c>
      <c r="D342" s="28">
        <v>1620</v>
      </c>
      <c r="E342">
        <f>VLOOKUP(B342,Кат!G:J,3,0)</f>
        <v>1125</v>
      </c>
    </row>
    <row r="343" spans="1:5" ht="22.5">
      <c r="A343" s="26" t="s">
        <v>197</v>
      </c>
      <c r="B343" s="32">
        <v>290107</v>
      </c>
      <c r="C343" s="26" t="s">
        <v>50</v>
      </c>
      <c r="D343" s="28">
        <v>1995</v>
      </c>
      <c r="E343">
        <f>VLOOKUP(B343,Кат!G:J,3,0)</f>
        <v>2489.41</v>
      </c>
    </row>
    <row r="344" spans="1:5" ht="22.5">
      <c r="A344" s="26" t="s">
        <v>810</v>
      </c>
      <c r="B344" s="32">
        <v>550205</v>
      </c>
      <c r="C344" s="26" t="s">
        <v>50</v>
      </c>
      <c r="D344" s="28">
        <v>2729</v>
      </c>
      <c r="E344" t="e">
        <f>VLOOKUP(B344,Кат!G:J,3,0)</f>
        <v>#N/A</v>
      </c>
    </row>
    <row r="345" spans="1:5">
      <c r="A345" s="26" t="s">
        <v>353</v>
      </c>
      <c r="B345" s="32">
        <v>260202</v>
      </c>
      <c r="C345" s="26" t="s">
        <v>49</v>
      </c>
      <c r="D345" s="28">
        <v>1430</v>
      </c>
      <c r="E345">
        <f>VLOOKUP(B345,Кат!G:J,3,0)</f>
        <v>1199</v>
      </c>
    </row>
    <row r="346" spans="1:5">
      <c r="A346" s="26" t="s">
        <v>354</v>
      </c>
      <c r="B346" s="32">
        <v>260201</v>
      </c>
      <c r="C346" s="26" t="s">
        <v>49</v>
      </c>
      <c r="D346" s="28">
        <v>1400</v>
      </c>
      <c r="E346">
        <f>VLOOKUP(B346,Кат!G:J,3,0)</f>
        <v>1033.3399999999999</v>
      </c>
    </row>
    <row r="347" spans="1:5" ht="22.5">
      <c r="A347" s="26" t="s">
        <v>355</v>
      </c>
      <c r="B347" s="32">
        <v>260206</v>
      </c>
      <c r="C347" s="26" t="s">
        <v>49</v>
      </c>
      <c r="D347" s="28">
        <v>1780</v>
      </c>
      <c r="E347">
        <f>VLOOKUP(B347,Кат!G:J,3,0)</f>
        <v>1046.97</v>
      </c>
    </row>
    <row r="348" spans="1:5">
      <c r="A348" s="26" t="s">
        <v>198</v>
      </c>
      <c r="B348" s="32">
        <v>260205</v>
      </c>
      <c r="C348" s="26" t="s">
        <v>49</v>
      </c>
      <c r="D348" s="28">
        <v>1920</v>
      </c>
      <c r="E348">
        <f>VLOOKUP(B348,Кат!G:J,3,0)</f>
        <v>1320</v>
      </c>
    </row>
    <row r="349" spans="1:5" ht="22.5">
      <c r="A349" s="26" t="s">
        <v>199</v>
      </c>
      <c r="B349" s="32">
        <v>270222</v>
      </c>
      <c r="C349" s="26" t="s">
        <v>50</v>
      </c>
      <c r="D349" s="28">
        <v>1345</v>
      </c>
      <c r="E349">
        <f>VLOOKUP(B349,Кат!G:J,3,0)</f>
        <v>1645</v>
      </c>
    </row>
    <row r="350" spans="1:5" ht="22.5">
      <c r="A350" s="26" t="s">
        <v>356</v>
      </c>
      <c r="B350" s="26" t="s">
        <v>8</v>
      </c>
      <c r="C350" s="26" t="s">
        <v>49</v>
      </c>
      <c r="D350" s="28">
        <v>1850</v>
      </c>
      <c r="E350">
        <f>VLOOKUP(B350,Кат!G:J,3,0)</f>
        <v>1050</v>
      </c>
    </row>
    <row r="351" spans="1:5" ht="22.5">
      <c r="A351" s="26" t="s">
        <v>357</v>
      </c>
      <c r="B351" s="26" t="s">
        <v>10</v>
      </c>
      <c r="C351" s="26" t="s">
        <v>49</v>
      </c>
      <c r="D351" s="28">
        <v>2350</v>
      </c>
      <c r="E351">
        <f>VLOOKUP(B351,Кат!G:J,3,0)</f>
        <v>1699</v>
      </c>
    </row>
    <row r="352" spans="1:5" ht="22.5">
      <c r="A352" s="26" t="s">
        <v>200</v>
      </c>
      <c r="B352" s="26" t="s">
        <v>13</v>
      </c>
      <c r="C352" s="26" t="s">
        <v>50</v>
      </c>
      <c r="D352" s="28">
        <v>1530</v>
      </c>
      <c r="E352">
        <f>VLOOKUP(B352,Кат!G:J,3,0)</f>
        <v>1999</v>
      </c>
    </row>
    <row r="353" spans="1:5" ht="22.5">
      <c r="A353" s="26" t="s">
        <v>201</v>
      </c>
      <c r="B353" s="32">
        <v>550203</v>
      </c>
      <c r="C353" s="26" t="s">
        <v>50</v>
      </c>
      <c r="D353" s="28">
        <v>1274</v>
      </c>
      <c r="E353" t="e">
        <f>VLOOKUP(B353,Кат!G:J,3,0)</f>
        <v>#N/A</v>
      </c>
    </row>
    <row r="354" spans="1:5" ht="22.5">
      <c r="A354" s="26" t="s">
        <v>202</v>
      </c>
      <c r="B354" s="32">
        <v>550201</v>
      </c>
      <c r="C354" s="26" t="s">
        <v>50</v>
      </c>
      <c r="D354" s="28">
        <v>1274</v>
      </c>
      <c r="E354" t="e">
        <f>VLOOKUP(B354,Кат!G:J,3,0)</f>
        <v>#N/A</v>
      </c>
    </row>
    <row r="355" spans="1:5" ht="22.5">
      <c r="A355" s="26" t="s">
        <v>203</v>
      </c>
      <c r="B355" s="32">
        <v>550202</v>
      </c>
      <c r="C355" s="26" t="s">
        <v>50</v>
      </c>
      <c r="D355" s="28">
        <v>1956</v>
      </c>
      <c r="E355" t="e">
        <f>VLOOKUP(B355,Кат!G:J,3,0)</f>
        <v>#N/A</v>
      </c>
    </row>
    <row r="356" spans="1:5">
      <c r="A356" s="29" t="s">
        <v>204</v>
      </c>
      <c r="B356" s="30"/>
      <c r="C356" s="30"/>
      <c r="D356" s="31"/>
      <c r="E356" t="e">
        <f>VLOOKUP(B356,Кат!G:J,3,0)</f>
        <v>#N/A</v>
      </c>
    </row>
    <row r="357" spans="1:5">
      <c r="A357" s="26" t="s">
        <v>205</v>
      </c>
      <c r="B357" s="26" t="s">
        <v>19</v>
      </c>
      <c r="C357" s="26" t="s">
        <v>49</v>
      </c>
      <c r="D357" s="27">
        <v>301</v>
      </c>
      <c r="E357">
        <f>VLOOKUP(B357,Кат!G:J,3,0)</f>
        <v>347.58</v>
      </c>
    </row>
    <row r="358" spans="1:5">
      <c r="A358" s="26" t="s">
        <v>206</v>
      </c>
      <c r="B358" s="26" t="s">
        <v>20</v>
      </c>
      <c r="C358" s="26" t="s">
        <v>49</v>
      </c>
      <c r="D358" s="27">
        <v>363</v>
      </c>
      <c r="E358">
        <f>VLOOKUP(B358,Кат!G:J,3,0)</f>
        <v>418.03</v>
      </c>
    </row>
    <row r="359" spans="1:5">
      <c r="A359" s="26" t="s">
        <v>207</v>
      </c>
      <c r="B359" s="26" t="s">
        <v>22</v>
      </c>
      <c r="C359" s="26" t="s">
        <v>49</v>
      </c>
      <c r="D359" s="27">
        <v>363</v>
      </c>
      <c r="E359">
        <f>VLOOKUP(B359,Кат!G:J,3,0)</f>
        <v>422.73</v>
      </c>
    </row>
    <row r="360" spans="1:5">
      <c r="A360" s="26" t="s">
        <v>208</v>
      </c>
      <c r="B360" s="26" t="s">
        <v>209</v>
      </c>
      <c r="C360" s="26" t="s">
        <v>49</v>
      </c>
      <c r="D360" s="27">
        <v>604</v>
      </c>
      <c r="E360" t="e">
        <f>VLOOKUP(B360,Кат!G:J,3,0)</f>
        <v>#N/A</v>
      </c>
    </row>
    <row r="361" spans="1:5" ht="22.5">
      <c r="A361" s="26" t="s">
        <v>210</v>
      </c>
      <c r="B361" s="26" t="s">
        <v>211</v>
      </c>
      <c r="C361" s="26" t="s">
        <v>49</v>
      </c>
      <c r="D361" s="27">
        <v>545</v>
      </c>
      <c r="E361" t="e">
        <f>VLOOKUP(B361,Кат!G:J,3,0)</f>
        <v>#N/A</v>
      </c>
    </row>
    <row r="362" spans="1:5" ht="22.5">
      <c r="A362" s="26" t="s">
        <v>212</v>
      </c>
      <c r="B362" s="26" t="s">
        <v>213</v>
      </c>
      <c r="C362" s="26" t="s">
        <v>49</v>
      </c>
      <c r="D362" s="27">
        <v>933</v>
      </c>
      <c r="E362" t="e">
        <f>VLOOKUP(B362,Кат!G:J,3,0)</f>
        <v>#N/A</v>
      </c>
    </row>
    <row r="363" spans="1:5" ht="22.5">
      <c r="A363" s="26" t="s">
        <v>214</v>
      </c>
      <c r="B363" s="26" t="s">
        <v>215</v>
      </c>
      <c r="C363" s="26" t="s">
        <v>49</v>
      </c>
      <c r="D363" s="27">
        <v>754</v>
      </c>
      <c r="E363" t="e">
        <f>VLOOKUP(B363,Кат!G:J,3,0)</f>
        <v>#N/A</v>
      </c>
    </row>
    <row r="364" spans="1:5" ht="22.5">
      <c r="A364" s="26" t="s">
        <v>318</v>
      </c>
      <c r="B364" s="26" t="s">
        <v>23</v>
      </c>
      <c r="C364" s="26" t="s">
        <v>49</v>
      </c>
      <c r="D364" s="27">
        <v>523</v>
      </c>
      <c r="E364">
        <f>VLOOKUP(B364,Кат!G:J,3,0)</f>
        <v>563.63</v>
      </c>
    </row>
    <row r="365" spans="1:5" ht="22.5">
      <c r="A365" s="26" t="s">
        <v>216</v>
      </c>
      <c r="B365" s="26" t="s">
        <v>24</v>
      </c>
      <c r="C365" s="26" t="s">
        <v>49</v>
      </c>
      <c r="D365" s="27">
        <v>545</v>
      </c>
      <c r="E365">
        <f>VLOOKUP(B365,Кат!G:J,3,0)</f>
        <v>587.15</v>
      </c>
    </row>
    <row r="366" spans="1:5" ht="22.5">
      <c r="A366" s="26" t="s">
        <v>358</v>
      </c>
      <c r="B366" s="26" t="s">
        <v>359</v>
      </c>
      <c r="C366" s="26" t="s">
        <v>49</v>
      </c>
      <c r="D366" s="27">
        <v>909</v>
      </c>
      <c r="E366" t="e">
        <f>VLOOKUP(B366,Кат!G:J,3,0)</f>
        <v>#N/A</v>
      </c>
    </row>
    <row r="367" spans="1:5">
      <c r="A367" s="26" t="s">
        <v>217</v>
      </c>
      <c r="B367" s="26" t="s">
        <v>218</v>
      </c>
      <c r="C367" s="26" t="s">
        <v>49</v>
      </c>
      <c r="D367" s="27">
        <v>637</v>
      </c>
      <c r="E367" t="e">
        <f>VLOOKUP(B367,Кат!G:J,3,0)</f>
        <v>#N/A</v>
      </c>
    </row>
    <row r="368" spans="1:5">
      <c r="A368" s="26" t="s">
        <v>219</v>
      </c>
      <c r="B368" s="26" t="s">
        <v>220</v>
      </c>
      <c r="C368" s="26" t="s">
        <v>49</v>
      </c>
      <c r="D368" s="27">
        <v>674</v>
      </c>
      <c r="E368" t="e">
        <f>VLOOKUP(B368,Кат!G:J,3,0)</f>
        <v>#N/A</v>
      </c>
    </row>
    <row r="369" spans="1:5" ht="22.5">
      <c r="A369" s="26" t="s">
        <v>221</v>
      </c>
      <c r="B369" s="26" t="s">
        <v>222</v>
      </c>
      <c r="C369" s="26" t="s">
        <v>49</v>
      </c>
      <c r="D369" s="27">
        <v>517</v>
      </c>
      <c r="E369" t="e">
        <f>VLOOKUP(B369,Кат!G:J,3,0)</f>
        <v>#N/A</v>
      </c>
    </row>
    <row r="370" spans="1:5" ht="22.5">
      <c r="A370" s="26" t="s">
        <v>223</v>
      </c>
      <c r="B370" s="26" t="s">
        <v>18</v>
      </c>
      <c r="C370" s="26" t="s">
        <v>49</v>
      </c>
      <c r="D370" s="27">
        <v>545</v>
      </c>
      <c r="E370">
        <f>VLOOKUP(B370,Кат!G:J,3,0)</f>
        <v>591.27</v>
      </c>
    </row>
    <row r="371" spans="1:5" ht="22.5">
      <c r="A371" s="26" t="s">
        <v>224</v>
      </c>
      <c r="B371" s="26" t="s">
        <v>16</v>
      </c>
      <c r="C371" s="26" t="s">
        <v>49</v>
      </c>
      <c r="D371" s="27">
        <v>592</v>
      </c>
      <c r="E371">
        <f>VLOOKUP(B371,Кат!G:J,3,0)</f>
        <v>662.85</v>
      </c>
    </row>
    <row r="372" spans="1:5" ht="22.5">
      <c r="A372" s="26" t="s">
        <v>225</v>
      </c>
      <c r="B372" s="26" t="s">
        <v>17</v>
      </c>
      <c r="C372" s="26" t="s">
        <v>49</v>
      </c>
      <c r="D372" s="27">
        <v>505</v>
      </c>
      <c r="E372">
        <f>VLOOKUP(B372,Кат!G:J,3,0)</f>
        <v>526.61</v>
      </c>
    </row>
    <row r="373" spans="1:5" ht="22.5">
      <c r="A373" s="26" t="s">
        <v>226</v>
      </c>
      <c r="B373" s="26" t="s">
        <v>227</v>
      </c>
      <c r="C373" s="26" t="s">
        <v>49</v>
      </c>
      <c r="D373" s="28">
        <v>1115</v>
      </c>
      <c r="E373" t="e">
        <f>VLOOKUP(B373,Кат!G:J,3,0)</f>
        <v>#N/A</v>
      </c>
    </row>
    <row r="374" spans="1:5" ht="22.5">
      <c r="A374" s="26" t="s">
        <v>228</v>
      </c>
      <c r="B374" s="26" t="s">
        <v>15</v>
      </c>
      <c r="C374" s="26" t="s">
        <v>49</v>
      </c>
      <c r="D374" s="27">
        <v>869</v>
      </c>
      <c r="E374" t="e">
        <f>VLOOKUP(B374,Кат!G:J,3,0)</f>
        <v>#N/A</v>
      </c>
    </row>
    <row r="375" spans="1:5">
      <c r="A375" s="26" t="s">
        <v>229</v>
      </c>
      <c r="B375" s="26" t="s">
        <v>230</v>
      </c>
      <c r="C375" s="26" t="s">
        <v>49</v>
      </c>
      <c r="D375" s="27">
        <v>818</v>
      </c>
      <c r="E375">
        <f>VLOOKUP(B375,Кат!G:J,3,0)</f>
        <v>899</v>
      </c>
    </row>
    <row r="376" spans="1:5" ht="22.5">
      <c r="A376" s="26" t="s">
        <v>319</v>
      </c>
      <c r="B376" s="26" t="s">
        <v>320</v>
      </c>
      <c r="C376" s="26" t="s">
        <v>49</v>
      </c>
      <c r="D376" s="27">
        <v>955</v>
      </c>
      <c r="E376" t="e">
        <f>VLOOKUP(B376,Кат!G:J,3,0)</f>
        <v>#N/A</v>
      </c>
    </row>
    <row r="377" spans="1:5" ht="22.5">
      <c r="A377" s="26" t="s">
        <v>231</v>
      </c>
      <c r="B377" s="26" t="s">
        <v>232</v>
      </c>
      <c r="C377" s="26" t="s">
        <v>49</v>
      </c>
      <c r="D377" s="27">
        <v>818</v>
      </c>
      <c r="E377" t="e">
        <f>VLOOKUP(B377,Кат!G:J,3,0)</f>
        <v>#N/A</v>
      </c>
    </row>
    <row r="378" spans="1:5" ht="22.5">
      <c r="A378" s="26" t="s">
        <v>233</v>
      </c>
      <c r="B378" s="26" t="s">
        <v>234</v>
      </c>
      <c r="C378" s="26" t="s">
        <v>49</v>
      </c>
      <c r="D378" s="27">
        <v>705</v>
      </c>
      <c r="E378" t="e">
        <f>VLOOKUP(B378,Кат!G:J,3,0)</f>
        <v>#N/A</v>
      </c>
    </row>
    <row r="379" spans="1:5" ht="22.5">
      <c r="A379" s="26" t="s">
        <v>235</v>
      </c>
      <c r="B379" s="26" t="s">
        <v>236</v>
      </c>
      <c r="C379" s="26" t="s">
        <v>49</v>
      </c>
      <c r="D379" s="27">
        <v>865</v>
      </c>
      <c r="E379" t="e">
        <f>VLOOKUP(B379,Кат!G:J,3,0)</f>
        <v>#N/A</v>
      </c>
    </row>
    <row r="380" spans="1:5">
      <c r="A380" s="29" t="s">
        <v>237</v>
      </c>
      <c r="B380" s="30"/>
      <c r="C380" s="30"/>
      <c r="D380" s="31"/>
      <c r="E380" t="e">
        <f>VLOOKUP(B380,Кат!G:J,3,0)</f>
        <v>#N/A</v>
      </c>
    </row>
    <row r="381" spans="1:5" ht="22.5">
      <c r="A381" s="26" t="s">
        <v>321</v>
      </c>
      <c r="B381" s="26" t="s">
        <v>42</v>
      </c>
      <c r="C381" s="26" t="s">
        <v>50</v>
      </c>
      <c r="D381" s="27">
        <v>401</v>
      </c>
      <c r="E381">
        <f>VLOOKUP(B381,Кат!G:J,3,0)</f>
        <v>702</v>
      </c>
    </row>
    <row r="382" spans="1:5" ht="22.5">
      <c r="A382" s="26" t="s">
        <v>238</v>
      </c>
      <c r="B382" s="26" t="s">
        <v>26</v>
      </c>
      <c r="C382" s="26" t="s">
        <v>50</v>
      </c>
      <c r="D382" s="27">
        <v>328</v>
      </c>
      <c r="E382">
        <f>VLOOKUP(B382,Кат!G:J,3,0)</f>
        <v>321</v>
      </c>
    </row>
    <row r="383" spans="1:5" ht="22.5">
      <c r="A383" s="26" t="s">
        <v>244</v>
      </c>
      <c r="B383" s="26" t="s">
        <v>41</v>
      </c>
      <c r="C383" s="26" t="s">
        <v>50</v>
      </c>
      <c r="D383" s="27">
        <v>464</v>
      </c>
      <c r="E383">
        <f>VLOOKUP(B383,Кат!G:J,3,0)</f>
        <v>624.64</v>
      </c>
    </row>
    <row r="384" spans="1:5" ht="22.5">
      <c r="A384" s="26" t="s">
        <v>245</v>
      </c>
      <c r="B384" s="26" t="s">
        <v>33</v>
      </c>
      <c r="C384" s="26" t="s">
        <v>50</v>
      </c>
      <c r="D384" s="27">
        <v>428</v>
      </c>
      <c r="E384">
        <f>VLOOKUP(B384,Кат!G:J,3,0)</f>
        <v>478.65</v>
      </c>
    </row>
    <row r="385" spans="1:5">
      <c r="A385" s="26" t="s">
        <v>246</v>
      </c>
      <c r="B385" s="26" t="s">
        <v>27</v>
      </c>
      <c r="C385" s="26" t="s">
        <v>49</v>
      </c>
      <c r="D385" s="27">
        <v>555</v>
      </c>
      <c r="E385">
        <f>VLOOKUP(B385,Кат!G:J,3,0)</f>
        <v>798.78</v>
      </c>
    </row>
    <row r="386" spans="1:5">
      <c r="A386" s="26" t="s">
        <v>247</v>
      </c>
      <c r="B386" s="26" t="s">
        <v>28</v>
      </c>
      <c r="C386" s="26" t="s">
        <v>49</v>
      </c>
      <c r="D386" s="27">
        <v>515</v>
      </c>
      <c r="E386">
        <f>VLOOKUP(B386,Кат!G:J,3,0)</f>
        <v>641.32000000000005</v>
      </c>
    </row>
    <row r="387" spans="1:5">
      <c r="A387" s="26" t="s">
        <v>811</v>
      </c>
      <c r="B387" s="26" t="s">
        <v>29</v>
      </c>
      <c r="C387" s="26" t="s">
        <v>49</v>
      </c>
      <c r="D387" s="27">
        <v>545</v>
      </c>
      <c r="E387">
        <f>VLOOKUP(B387,Кат!G:J,3,0)</f>
        <v>806</v>
      </c>
    </row>
    <row r="388" spans="1:5">
      <c r="A388" s="26" t="s">
        <v>812</v>
      </c>
      <c r="B388" s="26" t="s">
        <v>362</v>
      </c>
      <c r="C388" s="26" t="s">
        <v>50</v>
      </c>
      <c r="D388" s="27">
        <v>433</v>
      </c>
      <c r="E388">
        <f>VLOOKUP(B388,Кат!G:J,3,0)</f>
        <v>707.84</v>
      </c>
    </row>
    <row r="389" spans="1:5">
      <c r="A389" s="26" t="s">
        <v>322</v>
      </c>
      <c r="B389" s="26" t="s">
        <v>241</v>
      </c>
      <c r="C389" s="26" t="s">
        <v>50</v>
      </c>
      <c r="D389" s="27">
        <v>583</v>
      </c>
      <c r="E389">
        <f>VLOOKUP(B389,Кат!G:J,3,0)</f>
        <v>641.32000000000005</v>
      </c>
    </row>
    <row r="390" spans="1:5" ht="22.5">
      <c r="A390" s="26" t="s">
        <v>323</v>
      </c>
      <c r="B390" s="26" t="s">
        <v>242</v>
      </c>
      <c r="C390" s="26" t="s">
        <v>50</v>
      </c>
      <c r="D390" s="27">
        <v>510</v>
      </c>
      <c r="E390" t="e">
        <f>VLOOKUP(B390,Кат!G:J,3,0)</f>
        <v>#N/A</v>
      </c>
    </row>
    <row r="391" spans="1:5" ht="22.5">
      <c r="A391" s="26" t="s">
        <v>324</v>
      </c>
      <c r="B391" s="26" t="s">
        <v>243</v>
      </c>
      <c r="C391" s="26" t="s">
        <v>50</v>
      </c>
      <c r="D391" s="27">
        <v>454</v>
      </c>
      <c r="E391" t="e">
        <f>VLOOKUP(B391,Кат!G:J,3,0)</f>
        <v>#N/A</v>
      </c>
    </row>
    <row r="392" spans="1:5">
      <c r="A392" s="26" t="s">
        <v>325</v>
      </c>
      <c r="B392" s="26" t="s">
        <v>239</v>
      </c>
      <c r="C392" s="26" t="s">
        <v>50</v>
      </c>
      <c r="D392" s="27">
        <v>583</v>
      </c>
      <c r="E392" t="e">
        <f>VLOOKUP(B392,Кат!G:J,3,0)</f>
        <v>#N/A</v>
      </c>
    </row>
    <row r="393" spans="1:5">
      <c r="A393" s="26" t="s">
        <v>326</v>
      </c>
      <c r="B393" s="26" t="s">
        <v>240</v>
      </c>
      <c r="C393" s="26" t="s">
        <v>50</v>
      </c>
      <c r="D393" s="27">
        <v>637</v>
      </c>
      <c r="E393" t="e">
        <f>VLOOKUP(B393,Кат!G:J,3,0)</f>
        <v>#N/A</v>
      </c>
    </row>
    <row r="394" spans="1:5" ht="22.5">
      <c r="A394" s="26" t="s">
        <v>248</v>
      </c>
      <c r="B394" s="26" t="s">
        <v>249</v>
      </c>
      <c r="C394" s="26" t="s">
        <v>50</v>
      </c>
      <c r="D394" s="27">
        <v>428</v>
      </c>
      <c r="E394" t="e">
        <f>VLOOKUP(B394,Кат!G:J,3,0)</f>
        <v>#N/A</v>
      </c>
    </row>
    <row r="395" spans="1:5">
      <c r="A395" s="26" t="s">
        <v>250</v>
      </c>
      <c r="B395" s="26" t="s">
        <v>34</v>
      </c>
      <c r="C395" s="26" t="s">
        <v>50</v>
      </c>
      <c r="D395" s="27">
        <v>107</v>
      </c>
      <c r="E395">
        <f>VLOOKUP(B395,Кат!G:J,3,0)</f>
        <v>125.14</v>
      </c>
    </row>
    <row r="396" spans="1:5">
      <c r="A396" s="26" t="s">
        <v>251</v>
      </c>
      <c r="B396" s="26" t="s">
        <v>252</v>
      </c>
      <c r="C396" s="26" t="s">
        <v>50</v>
      </c>
      <c r="D396" s="27">
        <v>642</v>
      </c>
      <c r="E396" t="e">
        <f>VLOOKUP(B396,Кат!G:J,3,0)</f>
        <v>#N/A</v>
      </c>
    </row>
    <row r="397" spans="1:5">
      <c r="A397" s="26" t="s">
        <v>253</v>
      </c>
      <c r="B397" s="26" t="s">
        <v>35</v>
      </c>
      <c r="C397" s="26" t="s">
        <v>50</v>
      </c>
      <c r="D397" s="27">
        <v>555</v>
      </c>
      <c r="E397">
        <f>VLOOKUP(B397,Кат!G:J,3,0)</f>
        <v>625</v>
      </c>
    </row>
    <row r="398" spans="1:5">
      <c r="A398" s="26" t="s">
        <v>813</v>
      </c>
      <c r="B398" s="26" t="s">
        <v>36</v>
      </c>
      <c r="C398" s="26" t="s">
        <v>50</v>
      </c>
      <c r="D398" s="27">
        <v>360</v>
      </c>
      <c r="E398">
        <f>VLOOKUP(B398,Кат!G:J,3,0)</f>
        <v>527.66</v>
      </c>
    </row>
    <row r="399" spans="1:5">
      <c r="A399" s="26" t="s">
        <v>254</v>
      </c>
      <c r="B399" s="26" t="s">
        <v>37</v>
      </c>
      <c r="C399" s="26" t="s">
        <v>50</v>
      </c>
      <c r="D399" s="27">
        <v>403</v>
      </c>
      <c r="E399">
        <f>VLOOKUP(B399,Кат!G:J,3,0)</f>
        <v>497.88</v>
      </c>
    </row>
    <row r="400" spans="1:5">
      <c r="A400" s="26" t="s">
        <v>255</v>
      </c>
      <c r="B400" s="26" t="s">
        <v>38</v>
      </c>
      <c r="C400" s="26" t="s">
        <v>50</v>
      </c>
      <c r="D400" s="27">
        <v>569</v>
      </c>
      <c r="E400">
        <f>VLOOKUP(B400,Кат!G:J,3,0)</f>
        <v>635</v>
      </c>
    </row>
    <row r="401" spans="1:5">
      <c r="A401" s="26" t="s">
        <v>256</v>
      </c>
      <c r="B401" s="26" t="s">
        <v>39</v>
      </c>
      <c r="C401" s="26" t="s">
        <v>50</v>
      </c>
      <c r="D401" s="27">
        <v>601</v>
      </c>
      <c r="E401">
        <f>VLOOKUP(B401,Кат!G:J,3,0)</f>
        <v>672</v>
      </c>
    </row>
    <row r="402" spans="1:5">
      <c r="A402" s="26" t="s">
        <v>257</v>
      </c>
      <c r="B402" s="26" t="s">
        <v>40</v>
      </c>
      <c r="C402" s="26" t="s">
        <v>50</v>
      </c>
      <c r="D402" s="27">
        <v>624</v>
      </c>
      <c r="E402">
        <f>VLOOKUP(B402,Кат!G:J,3,0)</f>
        <v>787</v>
      </c>
    </row>
    <row r="403" spans="1:5">
      <c r="A403" s="29" t="s">
        <v>258</v>
      </c>
      <c r="B403" s="30"/>
      <c r="C403" s="30"/>
      <c r="D403" s="31"/>
      <c r="E403" t="e">
        <f>VLOOKUP(B403,Кат!G:J,3,0)</f>
        <v>#N/A</v>
      </c>
    </row>
    <row r="404" spans="1:5" ht="22.5">
      <c r="A404" s="26" t="s">
        <v>259</v>
      </c>
      <c r="B404" s="26" t="s">
        <v>260</v>
      </c>
      <c r="C404" s="26" t="s">
        <v>50</v>
      </c>
      <c r="D404" s="28">
        <v>1830</v>
      </c>
      <c r="E404" t="e">
        <f>VLOOKUP(B404,Кат!G:J,3,0)</f>
        <v>#N/A</v>
      </c>
    </row>
    <row r="405" spans="1:5" ht="22.5">
      <c r="A405" s="26" t="s">
        <v>261</v>
      </c>
      <c r="B405" s="26" t="s">
        <v>262</v>
      </c>
      <c r="C405" s="26" t="s">
        <v>50</v>
      </c>
      <c r="D405" s="28">
        <v>1830</v>
      </c>
      <c r="E405" t="e">
        <f>VLOOKUP(B405,Кат!G:J,3,0)</f>
        <v>#N/A</v>
      </c>
    </row>
    <row r="406" spans="1:5">
      <c r="A406" s="29" t="s">
        <v>263</v>
      </c>
      <c r="B406" s="30"/>
      <c r="C406" s="30"/>
      <c r="D406" s="31"/>
      <c r="E406" t="e">
        <f>VLOOKUP(B406,Кат!G:J,3,0)</f>
        <v>#N/A</v>
      </c>
    </row>
    <row r="407" spans="1:5">
      <c r="A407" s="26" t="s">
        <v>264</v>
      </c>
      <c r="B407" s="26" t="s">
        <v>45</v>
      </c>
      <c r="C407" s="26" t="s">
        <v>50</v>
      </c>
      <c r="D407" s="27">
        <v>137</v>
      </c>
      <c r="E407">
        <f>VLOOKUP(B407,Кат!G:J,3,0)</f>
        <v>158.51</v>
      </c>
    </row>
    <row r="408" spans="1:5">
      <c r="A408" s="26" t="s">
        <v>265</v>
      </c>
      <c r="B408" s="26" t="s">
        <v>266</v>
      </c>
      <c r="C408" s="26" t="s">
        <v>50</v>
      </c>
      <c r="D408" s="27">
        <v>272</v>
      </c>
      <c r="E408" t="e">
        <f>VLOOKUP(B408,Кат!G:J,3,0)</f>
        <v>#N/A</v>
      </c>
    </row>
    <row r="409" spans="1:5">
      <c r="A409" s="26" t="s">
        <v>267</v>
      </c>
      <c r="B409" s="26" t="s">
        <v>268</v>
      </c>
      <c r="C409" s="26" t="s">
        <v>50</v>
      </c>
      <c r="D409" s="27">
        <v>182</v>
      </c>
      <c r="E409" t="e">
        <f>VLOOKUP(B409,Кат!G:J,3,0)</f>
        <v>#N/A</v>
      </c>
    </row>
    <row r="410" spans="1:5" ht="22.5">
      <c r="A410" s="26" t="s">
        <v>269</v>
      </c>
      <c r="B410" s="26" t="s">
        <v>270</v>
      </c>
      <c r="C410" s="26" t="s">
        <v>50</v>
      </c>
      <c r="D410" s="27">
        <v>210</v>
      </c>
      <c r="E410" t="e">
        <f>VLOOKUP(B410,Кат!G:J,3,0)</f>
        <v>#N/A</v>
      </c>
    </row>
    <row r="411" spans="1:5">
      <c r="A411" s="29" t="s">
        <v>271</v>
      </c>
      <c r="B411" s="30"/>
      <c r="C411" s="30"/>
      <c r="D411" s="31"/>
      <c r="E411" t="e">
        <f>VLOOKUP(B411,Кат!G:J,3,0)</f>
        <v>#N/A</v>
      </c>
    </row>
    <row r="412" spans="1:5" ht="22.5">
      <c r="A412" s="26" t="s">
        <v>272</v>
      </c>
      <c r="B412" s="26" t="s">
        <v>273</v>
      </c>
      <c r="C412" s="26" t="s">
        <v>50</v>
      </c>
      <c r="D412" s="28">
        <v>1819</v>
      </c>
      <c r="E412">
        <f>VLOOKUP(B412,Кат!G:J,3,0)</f>
        <v>2050</v>
      </c>
    </row>
    <row r="413" spans="1:5" ht="22.5">
      <c r="A413" s="26" t="s">
        <v>276</v>
      </c>
      <c r="B413" s="26" t="s">
        <v>277</v>
      </c>
      <c r="C413" s="26" t="s">
        <v>50</v>
      </c>
      <c r="D413" s="28">
        <v>1393</v>
      </c>
      <c r="E413" t="e">
        <f>VLOOKUP(B413,Кат!G:J,3,0)</f>
        <v>#N/A</v>
      </c>
    </row>
    <row r="414" spans="1:5">
      <c r="A414" s="26" t="s">
        <v>278</v>
      </c>
      <c r="B414" s="26" t="s">
        <v>279</v>
      </c>
      <c r="C414" s="26" t="s">
        <v>50</v>
      </c>
      <c r="D414" s="28">
        <v>1318</v>
      </c>
      <c r="E414" t="e">
        <f>VLOOKUP(B414,Кат!G:J,3,0)</f>
        <v>#N/A</v>
      </c>
    </row>
    <row r="415" spans="1:5" ht="22.5">
      <c r="A415" s="26" t="s">
        <v>280</v>
      </c>
      <c r="B415" s="26" t="s">
        <v>281</v>
      </c>
      <c r="C415" s="26" t="s">
        <v>50</v>
      </c>
      <c r="D415" s="28">
        <v>1638</v>
      </c>
      <c r="E415" t="e">
        <f>VLOOKUP(B415,Кат!G:J,3,0)</f>
        <v>#N/A</v>
      </c>
    </row>
    <row r="416" spans="1:5" ht="22.5">
      <c r="A416" s="26" t="s">
        <v>282</v>
      </c>
      <c r="B416" s="26" t="s">
        <v>283</v>
      </c>
      <c r="C416" s="26" t="s">
        <v>50</v>
      </c>
      <c r="D416" s="28">
        <v>1091</v>
      </c>
      <c r="E416">
        <f>VLOOKUP(B416,Кат!G:J,3,0)</f>
        <v>1249.07</v>
      </c>
    </row>
    <row r="417" spans="1:5">
      <c r="A417" s="26" t="s">
        <v>284</v>
      </c>
      <c r="B417" s="26" t="s">
        <v>285</v>
      </c>
      <c r="C417" s="26" t="s">
        <v>50</v>
      </c>
      <c r="D417" s="27">
        <v>961</v>
      </c>
      <c r="E417">
        <f>VLOOKUP(B417,Кат!G:J,3,0)</f>
        <v>0</v>
      </c>
    </row>
    <row r="418" spans="1:5" ht="22.5">
      <c r="A418" s="26" t="s">
        <v>288</v>
      </c>
      <c r="B418" s="26" t="s">
        <v>289</v>
      </c>
      <c r="C418" s="26" t="s">
        <v>50</v>
      </c>
      <c r="D418" s="28">
        <v>1546</v>
      </c>
      <c r="E418">
        <f>VLOOKUP(B418,Кат!G:J,3,0)</f>
        <v>1435</v>
      </c>
    </row>
    <row r="419" spans="1:5" ht="22.5">
      <c r="A419" s="26" t="s">
        <v>290</v>
      </c>
      <c r="B419" s="26" t="s">
        <v>291</v>
      </c>
      <c r="C419" s="26" t="s">
        <v>50</v>
      </c>
      <c r="D419" s="28">
        <v>1365</v>
      </c>
      <c r="E419">
        <f>VLOOKUP(B419,Кат!G:J,3,0)</f>
        <v>1138.74</v>
      </c>
    </row>
    <row r="420" spans="1:5">
      <c r="A420" s="26" t="s">
        <v>814</v>
      </c>
      <c r="B420" s="26" t="s">
        <v>815</v>
      </c>
      <c r="C420" s="26" t="s">
        <v>50</v>
      </c>
      <c r="D420" s="28">
        <v>1528</v>
      </c>
      <c r="E420" t="e">
        <f>VLOOKUP(B420,Кат!G:J,3,0)</f>
        <v>#N/A</v>
      </c>
    </row>
    <row r="421" spans="1:5">
      <c r="A421" s="26" t="s">
        <v>816</v>
      </c>
      <c r="B421" s="26" t="s">
        <v>292</v>
      </c>
      <c r="C421" s="26" t="s">
        <v>50</v>
      </c>
      <c r="D421" s="28">
        <v>1410</v>
      </c>
      <c r="E421">
        <f>VLOOKUP(B421,Кат!G:J,3,0)</f>
        <v>1307.67</v>
      </c>
    </row>
    <row r="422" spans="1:5" ht="22.5">
      <c r="A422" s="26" t="s">
        <v>293</v>
      </c>
      <c r="B422" s="26" t="s">
        <v>294</v>
      </c>
      <c r="C422" s="26" t="s">
        <v>50</v>
      </c>
      <c r="D422" s="28">
        <v>1511</v>
      </c>
      <c r="E422">
        <f>VLOOKUP(B422,Кат!G:J,3,0)</f>
        <v>1433.85</v>
      </c>
    </row>
    <row r="423" spans="1:5" ht="22.5">
      <c r="A423" s="26" t="s">
        <v>295</v>
      </c>
      <c r="B423" s="26" t="s">
        <v>296</v>
      </c>
      <c r="C423" s="26" t="s">
        <v>50</v>
      </c>
      <c r="D423" s="28">
        <v>1327</v>
      </c>
      <c r="E423">
        <f>VLOOKUP(B423,Кат!G:J,3,0)</f>
        <v>0</v>
      </c>
    </row>
    <row r="424" spans="1:5" ht="22.5">
      <c r="A424" s="26" t="s">
        <v>297</v>
      </c>
      <c r="B424" s="26" t="s">
        <v>298</v>
      </c>
      <c r="C424" s="26" t="s">
        <v>50</v>
      </c>
      <c r="D424" s="28">
        <v>1324</v>
      </c>
      <c r="E424">
        <f>VLOOKUP(B424,Кат!G:J,3,0)</f>
        <v>1467.22</v>
      </c>
    </row>
    <row r="425" spans="1:5" ht="22.5">
      <c r="A425" s="26" t="s">
        <v>360</v>
      </c>
      <c r="B425" s="26" t="s">
        <v>361</v>
      </c>
      <c r="C425" s="26" t="s">
        <v>49</v>
      </c>
      <c r="D425" s="27">
        <v>431</v>
      </c>
      <c r="E425" t="e">
        <f>VLOOKUP(B425,Кат!G:J,3,0)</f>
        <v>#N/A</v>
      </c>
    </row>
    <row r="426" spans="1:5" ht="22.5">
      <c r="A426" s="26" t="s">
        <v>300</v>
      </c>
      <c r="B426" s="26" t="s">
        <v>301</v>
      </c>
      <c r="C426" s="26" t="s">
        <v>50</v>
      </c>
      <c r="D426" s="28">
        <v>6366</v>
      </c>
      <c r="E426" t="e">
        <f>VLOOKUP(B426,Кат!G:J,3,0)</f>
        <v>#N/A</v>
      </c>
    </row>
    <row r="427" spans="1:5" ht="22.5">
      <c r="A427" s="26" t="s">
        <v>302</v>
      </c>
      <c r="B427" s="26" t="s">
        <v>303</v>
      </c>
      <c r="C427" s="26" t="s">
        <v>50</v>
      </c>
      <c r="D427" s="27">
        <v>595</v>
      </c>
      <c r="E427" t="e">
        <f>VLOOKUP(B427,Кат!G:J,3,0)</f>
        <v>#N/A</v>
      </c>
    </row>
    <row r="428" spans="1:5">
      <c r="A428" s="23" t="s">
        <v>817</v>
      </c>
      <c r="B428" s="24"/>
      <c r="C428" s="24"/>
      <c r="D428" s="25"/>
      <c r="E428" t="e">
        <f>VLOOKUP(B428,Кат!G:J,3,0)</f>
        <v>#N/A</v>
      </c>
    </row>
    <row r="429" spans="1:5" ht="22.5">
      <c r="A429" s="26" t="s">
        <v>818</v>
      </c>
      <c r="B429" s="26" t="s">
        <v>819</v>
      </c>
      <c r="C429" s="26" t="s">
        <v>50</v>
      </c>
      <c r="D429" s="27">
        <v>266</v>
      </c>
      <c r="E429" t="e">
        <f>VLOOKUP(B429,Кат!G:J,3,0)</f>
        <v>#N/A</v>
      </c>
    </row>
    <row r="430" spans="1:5" ht="22.5">
      <c r="A430" s="26" t="s">
        <v>820</v>
      </c>
      <c r="B430" s="26" t="s">
        <v>821</v>
      </c>
      <c r="C430" s="26" t="s">
        <v>49</v>
      </c>
      <c r="D430" s="27">
        <v>117</v>
      </c>
      <c r="E430" t="e">
        <f>VLOOKUP(B430,Кат!G:J,3,0)</f>
        <v>#N/A</v>
      </c>
    </row>
    <row r="431" spans="1:5" ht="22.5">
      <c r="A431" s="26" t="s">
        <v>822</v>
      </c>
      <c r="B431" s="26" t="s">
        <v>823</v>
      </c>
      <c r="C431" s="26" t="s">
        <v>49</v>
      </c>
      <c r="D431" s="27">
        <v>80</v>
      </c>
      <c r="E431" t="e">
        <f>VLOOKUP(B431,Кат!G:J,3,0)</f>
        <v>#N/A</v>
      </c>
    </row>
    <row r="432" spans="1:5" ht="22.5">
      <c r="A432" s="26" t="s">
        <v>824</v>
      </c>
      <c r="B432" s="26" t="s">
        <v>825</v>
      </c>
      <c r="C432" s="26" t="s">
        <v>49</v>
      </c>
      <c r="D432" s="27">
        <v>545</v>
      </c>
      <c r="E432" t="e">
        <f>VLOOKUP(B432,Кат!G:J,3,0)</f>
        <v>#N/A</v>
      </c>
    </row>
    <row r="433" spans="1:5" ht="22.5">
      <c r="A433" s="26" t="s">
        <v>826</v>
      </c>
      <c r="B433" s="26" t="s">
        <v>827</v>
      </c>
      <c r="C433" s="26" t="s">
        <v>49</v>
      </c>
      <c r="D433" s="27">
        <v>508</v>
      </c>
      <c r="E433" t="e">
        <f>VLOOKUP(B433,Кат!G:J,3,0)</f>
        <v>#N/A</v>
      </c>
    </row>
    <row r="434" spans="1:5" ht="22.5">
      <c r="A434" s="26" t="s">
        <v>828</v>
      </c>
      <c r="B434" s="26" t="s">
        <v>829</v>
      </c>
      <c r="C434" s="26" t="s">
        <v>49</v>
      </c>
      <c r="D434" s="27">
        <v>230</v>
      </c>
      <c r="E434" t="e">
        <f>VLOOKUP(B434,Кат!G:J,3,0)</f>
        <v>#N/A</v>
      </c>
    </row>
    <row r="435" spans="1:5" ht="22.5">
      <c r="A435" s="26" t="s">
        <v>830</v>
      </c>
      <c r="B435" s="26" t="s">
        <v>831</v>
      </c>
      <c r="C435" s="26" t="s">
        <v>49</v>
      </c>
      <c r="D435" s="27">
        <v>169</v>
      </c>
      <c r="E435" t="e">
        <f>VLOOKUP(B435,Кат!G:J,3,0)</f>
        <v>#N/A</v>
      </c>
    </row>
    <row r="436" spans="1:5" ht="22.5">
      <c r="A436" s="26" t="s">
        <v>832</v>
      </c>
      <c r="B436" s="26" t="s">
        <v>833</v>
      </c>
      <c r="C436" s="26" t="s">
        <v>49</v>
      </c>
      <c r="D436" s="27">
        <v>248</v>
      </c>
      <c r="E436" t="e">
        <f>VLOOKUP(B436,Кат!G:J,3,0)</f>
        <v>#N/A</v>
      </c>
    </row>
    <row r="437" spans="1:5" ht="33.75">
      <c r="A437" s="26" t="s">
        <v>834</v>
      </c>
      <c r="B437" s="26" t="s">
        <v>835</v>
      </c>
      <c r="C437" s="26" t="s">
        <v>49</v>
      </c>
      <c r="D437" s="27">
        <v>156</v>
      </c>
      <c r="E437" t="e">
        <f>VLOOKUP(B437,Кат!G:J,3,0)</f>
        <v>#N/A</v>
      </c>
    </row>
    <row r="438" spans="1:5" ht="33.75">
      <c r="A438" s="26" t="s">
        <v>836</v>
      </c>
      <c r="B438" s="26" t="s">
        <v>837</v>
      </c>
      <c r="C438" s="26" t="s">
        <v>49</v>
      </c>
      <c r="D438" s="27">
        <v>572</v>
      </c>
      <c r="E438" t="e">
        <f>VLOOKUP(B438,Кат!G:J,3,0)</f>
        <v>#N/A</v>
      </c>
    </row>
    <row r="439" spans="1:5" ht="22.5">
      <c r="A439" s="26" t="s">
        <v>838</v>
      </c>
      <c r="B439" s="26" t="s">
        <v>839</v>
      </c>
      <c r="C439" s="26" t="s">
        <v>49</v>
      </c>
      <c r="D439" s="27">
        <v>218</v>
      </c>
      <c r="E439" t="e">
        <f>VLOOKUP(B439,Кат!G:J,3,0)</f>
        <v>#N/A</v>
      </c>
    </row>
    <row r="440" spans="1:5" ht="22.5">
      <c r="A440" s="26" t="s">
        <v>840</v>
      </c>
      <c r="B440" s="26" t="s">
        <v>841</v>
      </c>
      <c r="C440" s="26" t="s">
        <v>49</v>
      </c>
      <c r="D440" s="27">
        <v>236</v>
      </c>
      <c r="E440" t="e">
        <f>VLOOKUP(B440,Кат!G:J,3,0)</f>
        <v>#N/A</v>
      </c>
    </row>
    <row r="441" spans="1:5" ht="22.5">
      <c r="A441" s="26" t="s">
        <v>842</v>
      </c>
      <c r="B441" s="26" t="s">
        <v>843</v>
      </c>
      <c r="C441" s="26" t="s">
        <v>49</v>
      </c>
      <c r="D441" s="27">
        <v>820</v>
      </c>
      <c r="E441" t="e">
        <f>VLOOKUP(B441,Кат!G:J,3,0)</f>
        <v>#N/A</v>
      </c>
    </row>
    <row r="442" spans="1:5" ht="22.5">
      <c r="A442" s="26" t="s">
        <v>844</v>
      </c>
      <c r="B442" s="26" t="s">
        <v>845</v>
      </c>
      <c r="C442" s="26" t="s">
        <v>49</v>
      </c>
      <c r="D442" s="27">
        <v>608</v>
      </c>
      <c r="E442" t="e">
        <f>VLOOKUP(B442,Кат!G:J,3,0)</f>
        <v>#N/A</v>
      </c>
    </row>
    <row r="443" spans="1:5" ht="22.5">
      <c r="A443" s="26" t="s">
        <v>846</v>
      </c>
      <c r="B443" s="26" t="s">
        <v>847</v>
      </c>
      <c r="C443" s="26" t="s">
        <v>49</v>
      </c>
      <c r="D443" s="27">
        <v>287</v>
      </c>
      <c r="E443" t="e">
        <f>VLOOKUP(B443,Кат!G:J,3,0)</f>
        <v>#N/A</v>
      </c>
    </row>
    <row r="444" spans="1:5" ht="22.5">
      <c r="A444" s="26" t="s">
        <v>848</v>
      </c>
      <c r="B444" s="26" t="s">
        <v>849</v>
      </c>
      <c r="C444" s="26" t="s">
        <v>49</v>
      </c>
      <c r="D444" s="27">
        <v>159</v>
      </c>
      <c r="E444" t="e">
        <f>VLOOKUP(B444,Кат!G:J,3,0)</f>
        <v>#N/A</v>
      </c>
    </row>
    <row r="445" spans="1:5" ht="33.75">
      <c r="A445" s="26" t="s">
        <v>850</v>
      </c>
      <c r="B445" s="26" t="s">
        <v>851</v>
      </c>
      <c r="C445" s="26" t="s">
        <v>49</v>
      </c>
      <c r="D445" s="27">
        <v>165</v>
      </c>
      <c r="E445" t="e">
        <f>VLOOKUP(B445,Кат!G:J,3,0)</f>
        <v>#N/A</v>
      </c>
    </row>
    <row r="446" spans="1:5" ht="22.5">
      <c r="A446" s="26" t="s">
        <v>852</v>
      </c>
      <c r="B446" s="26" t="s">
        <v>853</v>
      </c>
      <c r="C446" s="26" t="s">
        <v>49</v>
      </c>
      <c r="D446" s="27">
        <v>224</v>
      </c>
      <c r="E446" t="e">
        <f>VLOOKUP(B446,Кат!G:J,3,0)</f>
        <v>#N/A</v>
      </c>
    </row>
    <row r="447" spans="1:5" ht="22.5">
      <c r="A447" s="26" t="s">
        <v>854</v>
      </c>
      <c r="B447" s="26" t="s">
        <v>855</v>
      </c>
      <c r="C447" s="26" t="s">
        <v>49</v>
      </c>
      <c r="D447" s="27">
        <v>508</v>
      </c>
      <c r="E447" t="e">
        <f>VLOOKUP(B447,Кат!G:J,3,0)</f>
        <v>#N/A</v>
      </c>
    </row>
    <row r="448" spans="1:5" ht="22.5">
      <c r="A448" s="26" t="s">
        <v>856</v>
      </c>
      <c r="B448" s="26" t="s">
        <v>857</v>
      </c>
      <c r="C448" s="26" t="s">
        <v>49</v>
      </c>
      <c r="D448" s="27">
        <v>564</v>
      </c>
      <c r="E448" t="e">
        <f>VLOOKUP(B448,Кат!G:J,3,0)</f>
        <v>#N/A</v>
      </c>
    </row>
    <row r="449" spans="1:5" ht="22.5">
      <c r="A449" s="26" t="s">
        <v>858</v>
      </c>
      <c r="B449" s="26" t="s">
        <v>859</v>
      </c>
      <c r="C449" s="26" t="s">
        <v>49</v>
      </c>
      <c r="D449" s="27">
        <v>173</v>
      </c>
      <c r="E449" t="e">
        <f>VLOOKUP(B449,Кат!G:J,3,0)</f>
        <v>#N/A</v>
      </c>
    </row>
    <row r="450" spans="1:5" ht="33.75">
      <c r="A450" s="26" t="s">
        <v>860</v>
      </c>
      <c r="B450" s="26" t="s">
        <v>861</v>
      </c>
      <c r="C450" s="26" t="s">
        <v>49</v>
      </c>
      <c r="D450" s="27">
        <v>224</v>
      </c>
      <c r="E450" t="e">
        <f>VLOOKUP(B450,Кат!G:J,3,0)</f>
        <v>#N/A</v>
      </c>
    </row>
    <row r="451" spans="1:5" ht="22.5">
      <c r="A451" s="26" t="s">
        <v>862</v>
      </c>
      <c r="B451" s="26" t="s">
        <v>863</v>
      </c>
      <c r="C451" s="26" t="s">
        <v>49</v>
      </c>
      <c r="D451" s="27">
        <v>199</v>
      </c>
      <c r="E451" t="e">
        <f>VLOOKUP(B451,Кат!G:J,3,0)</f>
        <v>#N/A</v>
      </c>
    </row>
    <row r="452" spans="1:5" ht="22.5">
      <c r="A452" s="26" t="s">
        <v>864</v>
      </c>
      <c r="B452" s="26" t="s">
        <v>865</v>
      </c>
      <c r="C452" s="26" t="s">
        <v>49</v>
      </c>
      <c r="D452" s="27">
        <v>200</v>
      </c>
      <c r="E452" t="e">
        <f>VLOOKUP(B452,Кат!G:J,3,0)</f>
        <v>#N/A</v>
      </c>
    </row>
    <row r="453" spans="1:5" ht="22.5">
      <c r="A453" s="26" t="s">
        <v>866</v>
      </c>
      <c r="B453" s="26" t="s">
        <v>867</v>
      </c>
      <c r="C453" s="26" t="s">
        <v>49</v>
      </c>
      <c r="D453" s="27">
        <v>237</v>
      </c>
      <c r="E453" t="e">
        <f>VLOOKUP(B453,Кат!G:J,3,0)</f>
        <v>#N/A</v>
      </c>
    </row>
    <row r="454" spans="1:5" ht="22.5">
      <c r="A454" s="26" t="s">
        <v>868</v>
      </c>
      <c r="B454" s="26" t="s">
        <v>869</v>
      </c>
      <c r="C454" s="26" t="s">
        <v>49</v>
      </c>
      <c r="D454" s="27">
        <v>209</v>
      </c>
      <c r="E454" t="e">
        <f>VLOOKUP(B454,Кат!G:J,3,0)</f>
        <v>#N/A</v>
      </c>
    </row>
    <row r="455" spans="1:5" ht="22.5">
      <c r="A455" s="26" t="s">
        <v>870</v>
      </c>
      <c r="B455" s="26" t="s">
        <v>871</v>
      </c>
      <c r="C455" s="26" t="s">
        <v>49</v>
      </c>
      <c r="D455" s="27">
        <v>274</v>
      </c>
      <c r="E455" t="e">
        <f>VLOOKUP(B455,Кат!G:J,3,0)</f>
        <v>#N/A</v>
      </c>
    </row>
    <row r="456" spans="1:5" ht="22.5">
      <c r="A456" s="26" t="s">
        <v>872</v>
      </c>
      <c r="B456" s="26" t="s">
        <v>873</v>
      </c>
      <c r="C456" s="26" t="s">
        <v>49</v>
      </c>
      <c r="D456" s="27">
        <v>306</v>
      </c>
      <c r="E456" t="e">
        <f>VLOOKUP(B456,Кат!G:J,3,0)</f>
        <v>#N/A</v>
      </c>
    </row>
    <row r="457" spans="1:5" ht="22.5">
      <c r="A457" s="26" t="s">
        <v>874</v>
      </c>
      <c r="B457" s="26" t="s">
        <v>875</v>
      </c>
      <c r="C457" s="26" t="s">
        <v>49</v>
      </c>
      <c r="D457" s="27">
        <v>306</v>
      </c>
      <c r="E457" t="e">
        <f>VLOOKUP(B457,Кат!G:J,3,0)</f>
        <v>#N/A</v>
      </c>
    </row>
    <row r="458" spans="1:5" ht="33.75">
      <c r="A458" s="26" t="s">
        <v>876</v>
      </c>
      <c r="B458" s="26" t="s">
        <v>877</v>
      </c>
      <c r="C458" s="26" t="s">
        <v>49</v>
      </c>
      <c r="D458" s="27">
        <v>406</v>
      </c>
      <c r="E458" t="e">
        <f>VLOOKUP(B458,Кат!G:J,3,0)</f>
        <v>#N/A</v>
      </c>
    </row>
    <row r="459" spans="1:5" ht="33.75">
      <c r="A459" s="26" t="s">
        <v>878</v>
      </c>
      <c r="B459" s="26" t="s">
        <v>879</v>
      </c>
      <c r="C459" s="26" t="s">
        <v>49</v>
      </c>
      <c r="D459" s="27">
        <v>292</v>
      </c>
      <c r="E459" t="e">
        <f>VLOOKUP(B459,Кат!G:J,3,0)</f>
        <v>#N/A</v>
      </c>
    </row>
    <row r="460" spans="1:5" ht="33.75">
      <c r="A460" s="26" t="s">
        <v>880</v>
      </c>
      <c r="B460" s="26" t="s">
        <v>881</v>
      </c>
      <c r="C460" s="26" t="s">
        <v>49</v>
      </c>
      <c r="D460" s="27">
        <v>337</v>
      </c>
      <c r="E460" t="e">
        <f>VLOOKUP(B460,Кат!G:J,3,0)</f>
        <v>#N/A</v>
      </c>
    </row>
    <row r="461" spans="1:5" ht="22.5">
      <c r="A461" s="26" t="s">
        <v>882</v>
      </c>
      <c r="B461" s="26" t="s">
        <v>883</v>
      </c>
      <c r="C461" s="26" t="s">
        <v>49</v>
      </c>
      <c r="D461" s="27">
        <v>251</v>
      </c>
      <c r="E461" t="e">
        <f>VLOOKUP(B461,Кат!G:J,3,0)</f>
        <v>#N/A</v>
      </c>
    </row>
    <row r="462" spans="1:5" ht="22.5">
      <c r="A462" s="26" t="s">
        <v>884</v>
      </c>
      <c r="B462" s="26" t="s">
        <v>885</v>
      </c>
      <c r="C462" s="26" t="s">
        <v>49</v>
      </c>
      <c r="D462" s="27">
        <v>229</v>
      </c>
      <c r="E462" t="e">
        <f>VLOOKUP(B462,Кат!G:J,3,0)</f>
        <v>#N/A</v>
      </c>
    </row>
    <row r="463" spans="1:5" ht="22.5">
      <c r="A463" s="26" t="s">
        <v>886</v>
      </c>
      <c r="B463" s="26" t="s">
        <v>887</v>
      </c>
      <c r="C463" s="26" t="s">
        <v>49</v>
      </c>
      <c r="D463" s="27">
        <v>355</v>
      </c>
      <c r="E463" t="e">
        <f>VLOOKUP(B463,Кат!G:J,3,0)</f>
        <v>#N/A</v>
      </c>
    </row>
    <row r="464" spans="1:5" ht="22.5">
      <c r="A464" s="26" t="s">
        <v>888</v>
      </c>
      <c r="B464" s="26" t="s">
        <v>889</v>
      </c>
      <c r="C464" s="26" t="s">
        <v>49</v>
      </c>
      <c r="D464" s="27">
        <v>281</v>
      </c>
      <c r="E464" t="e">
        <f>VLOOKUP(B464,Кат!G:J,3,0)</f>
        <v>#N/A</v>
      </c>
    </row>
    <row r="465" spans="1:5" ht="22.5">
      <c r="A465" s="26" t="s">
        <v>890</v>
      </c>
      <c r="B465" s="26" t="s">
        <v>891</v>
      </c>
      <c r="C465" s="26" t="s">
        <v>49</v>
      </c>
      <c r="D465" s="27">
        <v>191</v>
      </c>
      <c r="E465" t="e">
        <f>VLOOKUP(B465,Кат!G:J,3,0)</f>
        <v>#N/A</v>
      </c>
    </row>
    <row r="466" spans="1:5" ht="22.5">
      <c r="A466" s="26" t="s">
        <v>892</v>
      </c>
      <c r="B466" s="26" t="s">
        <v>893</v>
      </c>
      <c r="C466" s="26" t="s">
        <v>49</v>
      </c>
      <c r="D466" s="27">
        <v>239</v>
      </c>
      <c r="E466" t="e">
        <f>VLOOKUP(B466,Кат!G:J,3,0)</f>
        <v>#N/A</v>
      </c>
    </row>
    <row r="467" spans="1:5" ht="22.5">
      <c r="A467" s="26" t="s">
        <v>894</v>
      </c>
      <c r="B467" s="26" t="s">
        <v>895</v>
      </c>
      <c r="C467" s="26" t="s">
        <v>49</v>
      </c>
      <c r="D467" s="27">
        <v>275</v>
      </c>
      <c r="E467" t="e">
        <f>VLOOKUP(B467,Кат!G:J,3,0)</f>
        <v>#N/A</v>
      </c>
    </row>
    <row r="468" spans="1:5" ht="22.5">
      <c r="A468" s="26" t="s">
        <v>896</v>
      </c>
      <c r="B468" s="26" t="s">
        <v>897</v>
      </c>
      <c r="C468" s="26" t="s">
        <v>49</v>
      </c>
      <c r="D468" s="27">
        <v>362</v>
      </c>
      <c r="E468" t="e">
        <f>VLOOKUP(B468,Кат!G:J,3,0)</f>
        <v>#N/A</v>
      </c>
    </row>
    <row r="469" spans="1:5" ht="22.5">
      <c r="A469" s="26" t="s">
        <v>898</v>
      </c>
      <c r="B469" s="26" t="s">
        <v>899</v>
      </c>
      <c r="C469" s="26" t="s">
        <v>49</v>
      </c>
      <c r="D469" s="27">
        <v>71</v>
      </c>
      <c r="E469" t="e">
        <f>VLOOKUP(B469,Кат!G:J,3,0)</f>
        <v>#N/A</v>
      </c>
    </row>
    <row r="470" spans="1:5" ht="22.5">
      <c r="A470" s="26" t="s">
        <v>900</v>
      </c>
      <c r="B470" s="26" t="s">
        <v>901</v>
      </c>
      <c r="C470" s="26" t="s">
        <v>49</v>
      </c>
      <c r="D470" s="27">
        <v>131</v>
      </c>
      <c r="E470" t="e">
        <f>VLOOKUP(B470,Кат!G:J,3,0)</f>
        <v>#N/A</v>
      </c>
    </row>
    <row r="471" spans="1:5" ht="22.5">
      <c r="A471" s="26" t="s">
        <v>902</v>
      </c>
      <c r="B471" s="26" t="s">
        <v>903</v>
      </c>
      <c r="C471" s="26" t="s">
        <v>49</v>
      </c>
      <c r="D471" s="27">
        <v>523</v>
      </c>
      <c r="E471" t="e">
        <f>VLOOKUP(B471,Кат!G:J,3,0)</f>
        <v>#N/A</v>
      </c>
    </row>
    <row r="472" spans="1:5" ht="22.5">
      <c r="A472" s="26" t="s">
        <v>904</v>
      </c>
      <c r="B472" s="26" t="s">
        <v>905</v>
      </c>
      <c r="C472" s="26" t="s">
        <v>49</v>
      </c>
      <c r="D472" s="27">
        <v>156</v>
      </c>
      <c r="E472" t="e">
        <f>VLOOKUP(B472,Кат!G:J,3,0)</f>
        <v>#N/A</v>
      </c>
    </row>
    <row r="473" spans="1:5" ht="22.5">
      <c r="A473" s="26" t="s">
        <v>906</v>
      </c>
      <c r="B473" s="26" t="s">
        <v>907</v>
      </c>
      <c r="C473" s="26" t="s">
        <v>49</v>
      </c>
      <c r="D473" s="27">
        <v>519</v>
      </c>
      <c r="E473" t="e">
        <f>VLOOKUP(B473,Кат!G:J,3,0)</f>
        <v>#N/A</v>
      </c>
    </row>
    <row r="474" spans="1:5" ht="22.5">
      <c r="A474" s="26" t="s">
        <v>908</v>
      </c>
      <c r="B474" s="26" t="s">
        <v>909</v>
      </c>
      <c r="C474" s="26" t="s">
        <v>49</v>
      </c>
      <c r="D474" s="27">
        <v>472</v>
      </c>
      <c r="E474" t="e">
        <f>VLOOKUP(B474,Кат!G:J,3,0)</f>
        <v>#N/A</v>
      </c>
    </row>
    <row r="475" spans="1:5" ht="22.5">
      <c r="A475" s="26" t="s">
        <v>910</v>
      </c>
      <c r="B475" s="26" t="s">
        <v>911</v>
      </c>
      <c r="C475" s="26" t="s">
        <v>49</v>
      </c>
      <c r="D475" s="27">
        <v>86</v>
      </c>
      <c r="E475" t="e">
        <f>VLOOKUP(B475,Кат!G:J,3,0)</f>
        <v>#N/A</v>
      </c>
    </row>
    <row r="476" spans="1:5" ht="22.5">
      <c r="A476" s="26" t="s">
        <v>912</v>
      </c>
      <c r="B476" s="26" t="s">
        <v>913</v>
      </c>
      <c r="C476" s="26" t="s">
        <v>49</v>
      </c>
      <c r="D476" s="27">
        <v>260</v>
      </c>
      <c r="E476" t="e">
        <f>VLOOKUP(B476,Кат!G:J,3,0)</f>
        <v>#N/A</v>
      </c>
    </row>
    <row r="477" spans="1:5" ht="22.5">
      <c r="A477" s="26" t="s">
        <v>914</v>
      </c>
      <c r="B477" s="26" t="s">
        <v>915</v>
      </c>
      <c r="C477" s="26" t="s">
        <v>49</v>
      </c>
      <c r="D477" s="27">
        <v>111</v>
      </c>
      <c r="E477" t="e">
        <f>VLOOKUP(B477,Кат!G:J,3,0)</f>
        <v>#N/A</v>
      </c>
    </row>
    <row r="478" spans="1:5" ht="22.5">
      <c r="A478" s="26" t="s">
        <v>916</v>
      </c>
      <c r="B478" s="26" t="s">
        <v>917</v>
      </c>
      <c r="C478" s="26" t="s">
        <v>49</v>
      </c>
      <c r="D478" s="27">
        <v>234</v>
      </c>
      <c r="E478" t="e">
        <f>VLOOKUP(B478,Кат!G:J,3,0)</f>
        <v>#N/A</v>
      </c>
    </row>
    <row r="479" spans="1:5" ht="22.5">
      <c r="A479" s="26" t="s">
        <v>918</v>
      </c>
      <c r="B479" s="26" t="s">
        <v>919</v>
      </c>
      <c r="C479" s="26" t="s">
        <v>49</v>
      </c>
      <c r="D479" s="27">
        <v>505</v>
      </c>
      <c r="E479" t="e">
        <f>VLOOKUP(B479,Кат!G:J,3,0)</f>
        <v>#N/A</v>
      </c>
    </row>
    <row r="480" spans="1:5" ht="22.5">
      <c r="A480" s="26" t="s">
        <v>920</v>
      </c>
      <c r="B480" s="26" t="s">
        <v>921</v>
      </c>
      <c r="C480" s="26" t="s">
        <v>49</v>
      </c>
      <c r="D480" s="27">
        <v>249</v>
      </c>
      <c r="E480" t="e">
        <f>VLOOKUP(B480,Кат!G:J,3,0)</f>
        <v>#N/A</v>
      </c>
    </row>
    <row r="481" spans="1:5" ht="33.75">
      <c r="A481" s="26" t="s">
        <v>922</v>
      </c>
      <c r="B481" s="26" t="s">
        <v>923</v>
      </c>
      <c r="C481" s="26" t="s">
        <v>49</v>
      </c>
      <c r="D481" s="27">
        <v>224</v>
      </c>
      <c r="E481" t="e">
        <f>VLOOKUP(B481,Кат!G:J,3,0)</f>
        <v>#N/A</v>
      </c>
    </row>
    <row r="482" spans="1:5" ht="33.75">
      <c r="A482" s="26" t="s">
        <v>924</v>
      </c>
      <c r="B482" s="26" t="s">
        <v>925</v>
      </c>
      <c r="C482" s="26" t="s">
        <v>49</v>
      </c>
      <c r="D482" s="27">
        <v>204</v>
      </c>
      <c r="E482" t="e">
        <f>VLOOKUP(B482,Кат!G:J,3,0)</f>
        <v>#N/A</v>
      </c>
    </row>
    <row r="483" spans="1:5" ht="22.5">
      <c r="A483" s="26" t="s">
        <v>926</v>
      </c>
      <c r="B483" s="26" t="s">
        <v>927</v>
      </c>
      <c r="C483" s="26" t="s">
        <v>49</v>
      </c>
      <c r="D483" s="27">
        <v>263</v>
      </c>
      <c r="E483" t="e">
        <f>VLOOKUP(B483,Кат!G:J,3,0)</f>
        <v>#N/A</v>
      </c>
    </row>
    <row r="484" spans="1:5" ht="22.5">
      <c r="A484" s="26" t="s">
        <v>928</v>
      </c>
      <c r="B484" s="26" t="s">
        <v>929</v>
      </c>
      <c r="C484" s="26" t="s">
        <v>49</v>
      </c>
      <c r="D484" s="27">
        <v>635</v>
      </c>
      <c r="E484" t="e">
        <f>VLOOKUP(B484,Кат!G:J,3,0)</f>
        <v>#N/A</v>
      </c>
    </row>
    <row r="485" spans="1:5" ht="22.5">
      <c r="A485" s="26" t="s">
        <v>930</v>
      </c>
      <c r="B485" s="26" t="s">
        <v>931</v>
      </c>
      <c r="C485" s="26" t="s">
        <v>49</v>
      </c>
      <c r="D485" s="27">
        <v>162</v>
      </c>
      <c r="E485" t="e">
        <f>VLOOKUP(B485,Кат!G:J,3,0)</f>
        <v>#N/A</v>
      </c>
    </row>
    <row r="486" spans="1:5" ht="33.75">
      <c r="A486" s="26" t="s">
        <v>932</v>
      </c>
      <c r="B486" s="26" t="s">
        <v>933</v>
      </c>
      <c r="C486" s="26" t="s">
        <v>49</v>
      </c>
      <c r="D486" s="27">
        <v>185</v>
      </c>
      <c r="E486" t="e">
        <f>VLOOKUP(B486,Кат!G:J,3,0)</f>
        <v>#N/A</v>
      </c>
    </row>
    <row r="487" spans="1:5" ht="22.5">
      <c r="A487" s="26" t="s">
        <v>934</v>
      </c>
      <c r="B487" s="26" t="s">
        <v>935</v>
      </c>
      <c r="C487" s="26" t="s">
        <v>49</v>
      </c>
      <c r="D487" s="27">
        <v>143</v>
      </c>
      <c r="E487" t="e">
        <f>VLOOKUP(B487,Кат!G:J,3,0)</f>
        <v>#N/A</v>
      </c>
    </row>
    <row r="488" spans="1:5" ht="22.5">
      <c r="A488" s="26" t="s">
        <v>936</v>
      </c>
      <c r="B488" s="26" t="s">
        <v>937</v>
      </c>
      <c r="C488" s="26" t="s">
        <v>49</v>
      </c>
      <c r="D488" s="27">
        <v>160</v>
      </c>
      <c r="E488" t="e">
        <f>VLOOKUP(B488,Кат!G:J,3,0)</f>
        <v>#N/A</v>
      </c>
    </row>
    <row r="489" spans="1:5">
      <c r="A489" s="23" t="s">
        <v>938</v>
      </c>
      <c r="B489" s="24"/>
      <c r="C489" s="24"/>
      <c r="D489" s="25"/>
      <c r="E489" t="e">
        <f>VLOOKUP(B489,Кат!G:J,3,0)</f>
        <v>#N/A</v>
      </c>
    </row>
    <row r="490" spans="1:5">
      <c r="A490" s="26" t="s">
        <v>939</v>
      </c>
      <c r="B490" s="26" t="s">
        <v>940</v>
      </c>
      <c r="C490" s="26" t="s">
        <v>49</v>
      </c>
      <c r="D490" s="27">
        <v>462</v>
      </c>
      <c r="E490" t="e">
        <f>VLOOKUP(B490,Кат!G:J,3,0)</f>
        <v>#N/A</v>
      </c>
    </row>
    <row r="491" spans="1:5" ht="22.5">
      <c r="A491" s="26" t="s">
        <v>941</v>
      </c>
      <c r="B491" s="26" t="s">
        <v>942</v>
      </c>
      <c r="C491" s="26" t="s">
        <v>50</v>
      </c>
      <c r="D491" s="27">
        <v>455</v>
      </c>
      <c r="E491" t="e">
        <f>VLOOKUP(B491,Кат!G:J,3,0)</f>
        <v>#N/A</v>
      </c>
    </row>
    <row r="492" spans="1:5">
      <c r="A492" s="23" t="s">
        <v>943</v>
      </c>
      <c r="B492" s="24"/>
      <c r="C492" s="24"/>
      <c r="D492" s="25"/>
      <c r="E492" t="e">
        <f>VLOOKUP(B492,Кат!G:J,3,0)</f>
        <v>#N/A</v>
      </c>
    </row>
    <row r="493" spans="1:5" ht="22.5">
      <c r="A493" s="26" t="s">
        <v>944</v>
      </c>
      <c r="B493" s="26" t="s">
        <v>945</v>
      </c>
      <c r="C493" s="26" t="s">
        <v>49</v>
      </c>
      <c r="D493" s="28">
        <v>1730</v>
      </c>
      <c r="E493" t="e">
        <f>VLOOKUP(B493,Кат!G:J,3,0)</f>
        <v>#N/A</v>
      </c>
    </row>
    <row r="494" spans="1:5" ht="22.5">
      <c r="A494" s="26" t="s">
        <v>946</v>
      </c>
      <c r="B494" s="26" t="s">
        <v>947</v>
      </c>
      <c r="C494" s="26" t="s">
        <v>49</v>
      </c>
      <c r="D494" s="28">
        <v>2530</v>
      </c>
      <c r="E494" t="e">
        <f>VLOOKUP(B494,Кат!G:J,3,0)</f>
        <v>#N/A</v>
      </c>
    </row>
    <row r="495" spans="1:5">
      <c r="A495" s="26" t="s">
        <v>948</v>
      </c>
      <c r="B495" s="26" t="s">
        <v>949</v>
      </c>
      <c r="C495" s="26" t="s">
        <v>49</v>
      </c>
      <c r="D495" s="28">
        <v>1540</v>
      </c>
      <c r="E495" t="e">
        <f>VLOOKUP(B495,Кат!G:J,3,0)</f>
        <v>#N/A</v>
      </c>
    </row>
    <row r="496" spans="1:5">
      <c r="A496" s="26" t="s">
        <v>4312</v>
      </c>
      <c r="B496" s="26" t="s">
        <v>4313</v>
      </c>
      <c r="C496" s="26" t="s">
        <v>49</v>
      </c>
      <c r="D496" s="28">
        <v>1820</v>
      </c>
      <c r="E496" t="e">
        <f>VLOOKUP(B496,Кат!G:J,3,0)</f>
        <v>#N/A</v>
      </c>
    </row>
    <row r="497" spans="1:5" ht="22.5">
      <c r="A497" s="26" t="s">
        <v>950</v>
      </c>
      <c r="B497" s="26" t="s">
        <v>951</v>
      </c>
      <c r="C497" s="26" t="s">
        <v>49</v>
      </c>
      <c r="D497" s="28">
        <v>1980</v>
      </c>
      <c r="E497" t="e">
        <f>VLOOKUP(B497,Кат!G:J,3,0)</f>
        <v>#N/A</v>
      </c>
    </row>
    <row r="498" spans="1:5">
      <c r="A498" s="26" t="s">
        <v>952</v>
      </c>
      <c r="B498" s="26" t="s">
        <v>953</v>
      </c>
      <c r="C498" s="26" t="s">
        <v>49</v>
      </c>
      <c r="D498" s="28">
        <v>2030</v>
      </c>
      <c r="E498" t="e">
        <f>VLOOKUP(B498,Кат!G:J,3,0)</f>
        <v>#N/A</v>
      </c>
    </row>
    <row r="499" spans="1:5" ht="22.5">
      <c r="A499" s="26" t="s">
        <v>954</v>
      </c>
      <c r="B499" s="26" t="s">
        <v>955</v>
      </c>
      <c r="C499" s="26" t="s">
        <v>49</v>
      </c>
      <c r="D499" s="28">
        <v>2620</v>
      </c>
      <c r="E499" t="e">
        <f>VLOOKUP(B499,Кат!G:J,3,0)</f>
        <v>#N/A</v>
      </c>
    </row>
    <row r="500" spans="1:5" ht="22.5">
      <c r="A500" s="26" t="s">
        <v>956</v>
      </c>
      <c r="B500" s="26" t="s">
        <v>957</v>
      </c>
      <c r="C500" s="26" t="s">
        <v>49</v>
      </c>
      <c r="D500" s="28">
        <v>3080</v>
      </c>
      <c r="E500" t="e">
        <f>VLOOKUP(B500,Кат!G:J,3,0)</f>
        <v>#N/A</v>
      </c>
    </row>
    <row r="501" spans="1:5" ht="22.5">
      <c r="A501" s="26" t="s">
        <v>958</v>
      </c>
      <c r="B501" s="26" t="s">
        <v>959</v>
      </c>
      <c r="C501" s="26" t="s">
        <v>50</v>
      </c>
      <c r="D501" s="28">
        <v>1190</v>
      </c>
      <c r="E501" t="e">
        <f>VLOOKUP(B501,Кат!G:J,3,0)</f>
        <v>#N/A</v>
      </c>
    </row>
    <row r="502" spans="1:5" ht="22.5">
      <c r="A502" s="26" t="s">
        <v>960</v>
      </c>
      <c r="B502" s="26" t="s">
        <v>961</v>
      </c>
      <c r="C502" s="26" t="s">
        <v>50</v>
      </c>
      <c r="D502" s="27">
        <v>550</v>
      </c>
      <c r="E502" t="e">
        <f>VLOOKUP(B502,Кат!G:J,3,0)</f>
        <v>#N/A</v>
      </c>
    </row>
    <row r="503" spans="1:5">
      <c r="A503" s="26" t="s">
        <v>962</v>
      </c>
      <c r="B503" s="26"/>
      <c r="C503" s="26" t="s">
        <v>50</v>
      </c>
      <c r="D503" s="27">
        <v>710</v>
      </c>
      <c r="E503" t="e">
        <f>VLOOKUP(B503,Кат!G:J,3,0)</f>
        <v>#N/A</v>
      </c>
    </row>
    <row r="504" spans="1:5" ht="22.5">
      <c r="A504" s="26" t="s">
        <v>963</v>
      </c>
      <c r="B504" s="26" t="s">
        <v>964</v>
      </c>
      <c r="C504" s="26" t="s">
        <v>50</v>
      </c>
      <c r="D504" s="28">
        <v>1180</v>
      </c>
      <c r="E504" t="e">
        <f>VLOOKUP(B504,Кат!G:J,3,0)</f>
        <v>#N/A</v>
      </c>
    </row>
    <row r="505" spans="1:5">
      <c r="A505" s="23" t="s">
        <v>965</v>
      </c>
      <c r="B505" s="24"/>
      <c r="C505" s="24"/>
      <c r="D505" s="25"/>
      <c r="E505" t="e">
        <f>VLOOKUP(B505,Кат!G:J,3,0)</f>
        <v>#N/A</v>
      </c>
    </row>
    <row r="506" spans="1:5" ht="22.5">
      <c r="A506" s="26" t="s">
        <v>966</v>
      </c>
      <c r="B506" s="26" t="s">
        <v>967</v>
      </c>
      <c r="C506" s="26" t="s">
        <v>49</v>
      </c>
      <c r="D506" s="28">
        <v>1380</v>
      </c>
      <c r="E506" t="e">
        <f>VLOOKUP(B506,Кат!G:J,3,0)</f>
        <v>#N/A</v>
      </c>
    </row>
    <row r="507" spans="1:5" ht="22.5">
      <c r="A507" s="26" t="s">
        <v>968</v>
      </c>
      <c r="B507" s="26" t="s">
        <v>969</v>
      </c>
      <c r="C507" s="26" t="s">
        <v>49</v>
      </c>
      <c r="D507" s="28">
        <v>1430</v>
      </c>
      <c r="E507" t="e">
        <f>VLOOKUP(B507,Кат!G:J,3,0)</f>
        <v>#N/A</v>
      </c>
    </row>
    <row r="508" spans="1:5" ht="22.5">
      <c r="A508" s="26" t="s">
        <v>970</v>
      </c>
      <c r="B508" s="26" t="s">
        <v>971</v>
      </c>
      <c r="C508" s="26" t="s">
        <v>49</v>
      </c>
      <c r="D508" s="28">
        <v>1790</v>
      </c>
      <c r="E508" t="e">
        <f>VLOOKUP(B508,Кат!G:J,3,0)</f>
        <v>#N/A</v>
      </c>
    </row>
    <row r="509" spans="1:5" ht="22.5">
      <c r="A509" s="26" t="s">
        <v>972</v>
      </c>
      <c r="B509" s="26" t="s">
        <v>973</v>
      </c>
      <c r="C509" s="26" t="s">
        <v>49</v>
      </c>
      <c r="D509" s="28">
        <v>1930</v>
      </c>
      <c r="E509" t="e">
        <f>VLOOKUP(B509,Кат!G:J,3,0)</f>
        <v>#N/A</v>
      </c>
    </row>
    <row r="510" spans="1:5" ht="22.5">
      <c r="A510" s="26" t="s">
        <v>974</v>
      </c>
      <c r="B510" s="26" t="s">
        <v>975</v>
      </c>
      <c r="C510" s="26" t="s">
        <v>49</v>
      </c>
      <c r="D510" s="28">
        <v>2000</v>
      </c>
      <c r="E510" t="e">
        <f>VLOOKUP(B510,Кат!G:J,3,0)</f>
        <v>#N/A</v>
      </c>
    </row>
    <row r="511" spans="1:5" ht="22.5">
      <c r="A511" s="26" t="s">
        <v>976</v>
      </c>
      <c r="B511" s="26" t="s">
        <v>977</v>
      </c>
      <c r="C511" s="26" t="s">
        <v>49</v>
      </c>
      <c r="D511" s="28">
        <v>2525</v>
      </c>
      <c r="E511" t="e">
        <f>VLOOKUP(B511,Кат!G:J,3,0)</f>
        <v>#N/A</v>
      </c>
    </row>
    <row r="512" spans="1:5" ht="22.5">
      <c r="A512" s="26" t="s">
        <v>978</v>
      </c>
      <c r="B512" s="26" t="s">
        <v>979</v>
      </c>
      <c r="C512" s="26" t="s">
        <v>50</v>
      </c>
      <c r="D512" s="28">
        <v>1650</v>
      </c>
      <c r="E512" t="e">
        <f>VLOOKUP(B512,Кат!G:J,3,0)</f>
        <v>#N/A</v>
      </c>
    </row>
    <row r="513" spans="1:5" ht="22.5">
      <c r="A513" s="26" t="s">
        <v>980</v>
      </c>
      <c r="B513" s="26" t="s">
        <v>979</v>
      </c>
      <c r="C513" s="26" t="s">
        <v>50</v>
      </c>
      <c r="D513" s="28">
        <v>1665</v>
      </c>
      <c r="E513" t="e">
        <f>VLOOKUP(B513,Кат!G:J,3,0)</f>
        <v>#N/A</v>
      </c>
    </row>
    <row r="514" spans="1:5">
      <c r="A514" s="23" t="s">
        <v>981</v>
      </c>
      <c r="B514" s="24"/>
      <c r="C514" s="24"/>
      <c r="D514" s="25"/>
      <c r="E514" t="e">
        <f>VLOOKUP(B514,Кат!G:J,3,0)</f>
        <v>#N/A</v>
      </c>
    </row>
    <row r="515" spans="1:5">
      <c r="A515" s="26" t="s">
        <v>982</v>
      </c>
      <c r="B515" s="26" t="s">
        <v>983</v>
      </c>
      <c r="C515" s="26" t="s">
        <v>50</v>
      </c>
      <c r="D515" s="27">
        <v>285</v>
      </c>
      <c r="E515" t="e">
        <f>VLOOKUP(B515,Кат!G:J,3,0)</f>
        <v>#N/A</v>
      </c>
    </row>
    <row r="516" spans="1:5">
      <c r="A516" s="26" t="s">
        <v>984</v>
      </c>
      <c r="B516" s="26" t="s">
        <v>985</v>
      </c>
      <c r="C516" s="26" t="s">
        <v>50</v>
      </c>
      <c r="D516" s="27">
        <v>468</v>
      </c>
      <c r="E516" t="e">
        <f>VLOOKUP(B516,Кат!G:J,3,0)</f>
        <v>#N/A</v>
      </c>
    </row>
    <row r="517" spans="1:5" ht="22.5">
      <c r="A517" s="26" t="s">
        <v>986</v>
      </c>
      <c r="B517" s="26" t="s">
        <v>987</v>
      </c>
      <c r="C517" s="26" t="s">
        <v>50</v>
      </c>
      <c r="D517" s="27">
        <v>508</v>
      </c>
      <c r="E517" t="e">
        <f>VLOOKUP(B517,Кат!G:J,3,0)</f>
        <v>#N/A</v>
      </c>
    </row>
    <row r="518" spans="1:5" ht="22.5">
      <c r="A518" s="26" t="s">
        <v>988</v>
      </c>
      <c r="B518" s="26" t="s">
        <v>989</v>
      </c>
      <c r="C518" s="26" t="s">
        <v>50</v>
      </c>
      <c r="D518" s="27">
        <v>415</v>
      </c>
      <c r="E518" t="e">
        <f>VLOOKUP(B518,Кат!G:J,3,0)</f>
        <v>#N/A</v>
      </c>
    </row>
    <row r="519" spans="1:5" ht="22.5">
      <c r="A519" s="26" t="s">
        <v>990</v>
      </c>
      <c r="B519" s="26" t="s">
        <v>991</v>
      </c>
      <c r="C519" s="26" t="s">
        <v>50</v>
      </c>
      <c r="D519" s="28">
        <v>1234</v>
      </c>
      <c r="E519" t="e">
        <f>VLOOKUP(B519,Кат!G:J,3,0)</f>
        <v>#N/A</v>
      </c>
    </row>
    <row r="520" spans="1:5" ht="22.5">
      <c r="A520" s="26" t="s">
        <v>992</v>
      </c>
      <c r="B520" s="26" t="s">
        <v>993</v>
      </c>
      <c r="C520" s="26" t="s">
        <v>50</v>
      </c>
      <c r="D520" s="27">
        <v>675</v>
      </c>
      <c r="E520" t="e">
        <f>VLOOKUP(B520,Кат!G:J,3,0)</f>
        <v>#N/A</v>
      </c>
    </row>
    <row r="521" spans="1:5" ht="22.5">
      <c r="A521" s="26" t="s">
        <v>994</v>
      </c>
      <c r="B521" s="26" t="s">
        <v>995</v>
      </c>
      <c r="C521" s="26" t="s">
        <v>50</v>
      </c>
      <c r="D521" s="27">
        <v>532</v>
      </c>
      <c r="E521" t="e">
        <f>VLOOKUP(B521,Кат!G:J,3,0)</f>
        <v>#N/A</v>
      </c>
    </row>
    <row r="522" spans="1:5" ht="22.5">
      <c r="A522" s="26" t="s">
        <v>996</v>
      </c>
      <c r="B522" s="26" t="s">
        <v>997</v>
      </c>
      <c r="C522" s="26" t="s">
        <v>50</v>
      </c>
      <c r="D522" s="27">
        <v>588</v>
      </c>
      <c r="E522" t="e">
        <f>VLOOKUP(B522,Кат!G:J,3,0)</f>
        <v>#N/A</v>
      </c>
    </row>
    <row r="523" spans="1:5" ht="22.5">
      <c r="A523" s="26" t="s">
        <v>998</v>
      </c>
      <c r="B523" s="26" t="s">
        <v>999</v>
      </c>
      <c r="C523" s="26" t="s">
        <v>50</v>
      </c>
      <c r="D523" s="27">
        <v>453</v>
      </c>
      <c r="E523" t="e">
        <f>VLOOKUP(B523,Кат!G:J,3,0)</f>
        <v>#N/A</v>
      </c>
    </row>
    <row r="524" spans="1:5">
      <c r="A524" s="26" t="s">
        <v>1000</v>
      </c>
      <c r="B524" s="26" t="s">
        <v>1001</v>
      </c>
      <c r="C524" s="26" t="s">
        <v>49</v>
      </c>
      <c r="D524" s="28">
        <v>1584</v>
      </c>
      <c r="E524" t="e">
        <f>VLOOKUP(B524,Кат!G:J,3,0)</f>
        <v>#N/A</v>
      </c>
    </row>
    <row r="525" spans="1:5">
      <c r="A525" s="26" t="s">
        <v>1002</v>
      </c>
      <c r="B525" s="26" t="s">
        <v>1003</v>
      </c>
      <c r="C525" s="26" t="s">
        <v>50</v>
      </c>
      <c r="D525" s="27">
        <v>466</v>
      </c>
      <c r="E525" t="e">
        <f>VLOOKUP(B525,Кат!G:J,3,0)</f>
        <v>#N/A</v>
      </c>
    </row>
    <row r="526" spans="1:5">
      <c r="A526" s="26" t="s">
        <v>1004</v>
      </c>
      <c r="B526" s="26" t="s">
        <v>1005</v>
      </c>
      <c r="C526" s="26" t="s">
        <v>50</v>
      </c>
      <c r="D526" s="27">
        <v>340</v>
      </c>
      <c r="E526" t="e">
        <f>VLOOKUP(B526,Кат!G:J,3,0)</f>
        <v>#N/A</v>
      </c>
    </row>
    <row r="527" spans="1:5" ht="22.5">
      <c r="A527" s="26" t="s">
        <v>1006</v>
      </c>
      <c r="B527" s="26" t="s">
        <v>1007</v>
      </c>
      <c r="C527" s="26" t="s">
        <v>50</v>
      </c>
      <c r="D527" s="27">
        <v>413</v>
      </c>
      <c r="E527" t="e">
        <f>VLOOKUP(B527,Кат!G:J,3,0)</f>
        <v>#N/A</v>
      </c>
    </row>
    <row r="528" spans="1:5" ht="22.5">
      <c r="A528" s="26" t="s">
        <v>1008</v>
      </c>
      <c r="B528" s="26" t="s">
        <v>1009</v>
      </c>
      <c r="C528" s="26" t="s">
        <v>50</v>
      </c>
      <c r="D528" s="27">
        <v>790</v>
      </c>
      <c r="E528" t="e">
        <f>VLOOKUP(B528,Кат!G:J,3,0)</f>
        <v>#N/A</v>
      </c>
    </row>
    <row r="529" spans="1:5" ht="22.5">
      <c r="A529" s="26" t="s">
        <v>1010</v>
      </c>
      <c r="B529" s="26" t="s">
        <v>1011</v>
      </c>
      <c r="C529" s="26" t="s">
        <v>50</v>
      </c>
      <c r="D529" s="28">
        <v>1015</v>
      </c>
      <c r="E529" t="e">
        <f>VLOOKUP(B529,Кат!G:J,3,0)</f>
        <v>#N/A</v>
      </c>
    </row>
    <row r="530" spans="1:5">
      <c r="A530" s="26" t="s">
        <v>1012</v>
      </c>
      <c r="B530" s="26" t="s">
        <v>1013</v>
      </c>
      <c r="C530" s="26" t="s">
        <v>50</v>
      </c>
      <c r="D530" s="27">
        <v>795</v>
      </c>
      <c r="E530" t="e">
        <f>VLOOKUP(B530,Кат!G:J,3,0)</f>
        <v>#N/A</v>
      </c>
    </row>
    <row r="531" spans="1:5">
      <c r="A531" s="26" t="s">
        <v>1014</v>
      </c>
      <c r="B531" s="26" t="s">
        <v>1015</v>
      </c>
      <c r="C531" s="26" t="s">
        <v>50</v>
      </c>
      <c r="D531" s="28">
        <v>1290</v>
      </c>
      <c r="E531" t="e">
        <f>VLOOKUP(B531,Кат!G:J,3,0)</f>
        <v>#N/A</v>
      </c>
    </row>
    <row r="532" spans="1:5">
      <c r="A532" s="26" t="s">
        <v>1016</v>
      </c>
      <c r="B532" s="26" t="s">
        <v>1017</v>
      </c>
      <c r="C532" s="26" t="s">
        <v>50</v>
      </c>
      <c r="D532" s="28">
        <v>1070</v>
      </c>
      <c r="E532" t="e">
        <f>VLOOKUP(B532,Кат!G:J,3,0)</f>
        <v>#N/A</v>
      </c>
    </row>
    <row r="533" spans="1:5" ht="22.5">
      <c r="A533" s="26" t="s">
        <v>1018</v>
      </c>
      <c r="B533" s="26" t="s">
        <v>1019</v>
      </c>
      <c r="C533" s="26" t="s">
        <v>50</v>
      </c>
      <c r="D533" s="27">
        <v>720</v>
      </c>
      <c r="E533" t="e">
        <f>VLOOKUP(B533,Кат!G:J,3,0)</f>
        <v>#N/A</v>
      </c>
    </row>
    <row r="534" spans="1:5" ht="22.5">
      <c r="A534" s="26" t="s">
        <v>1020</v>
      </c>
      <c r="B534" s="26" t="s">
        <v>1021</v>
      </c>
      <c r="C534" s="26" t="s">
        <v>50</v>
      </c>
      <c r="D534" s="27">
        <v>950</v>
      </c>
      <c r="E534" t="e">
        <f>VLOOKUP(B534,Кат!G:J,3,0)</f>
        <v>#N/A</v>
      </c>
    </row>
    <row r="535" spans="1:5">
      <c r="A535" s="23" t="s">
        <v>1022</v>
      </c>
      <c r="B535" s="24"/>
      <c r="C535" s="24"/>
      <c r="D535" s="25"/>
      <c r="E535" t="e">
        <f>VLOOKUP(B535,Кат!G:J,3,0)</f>
        <v>#N/A</v>
      </c>
    </row>
    <row r="536" spans="1:5">
      <c r="A536" s="26" t="s">
        <v>1023</v>
      </c>
      <c r="B536" s="26" t="s">
        <v>1024</v>
      </c>
      <c r="C536" s="26" t="s">
        <v>49</v>
      </c>
      <c r="D536" s="27">
        <v>314</v>
      </c>
      <c r="E536" t="e">
        <f>VLOOKUP(B536,Кат!G:J,3,0)</f>
        <v>#N/A</v>
      </c>
    </row>
    <row r="537" spans="1:5">
      <c r="A537" s="26" t="s">
        <v>1025</v>
      </c>
      <c r="B537" s="26" t="s">
        <v>1026</v>
      </c>
      <c r="C537" s="26" t="s">
        <v>49</v>
      </c>
      <c r="D537" s="27">
        <v>335</v>
      </c>
      <c r="E537" t="e">
        <f>VLOOKUP(B537,Кат!G:J,3,0)</f>
        <v>#N/A</v>
      </c>
    </row>
    <row r="538" spans="1:5">
      <c r="A538" s="26" t="s">
        <v>1027</v>
      </c>
      <c r="B538" s="26" t="s">
        <v>1028</v>
      </c>
      <c r="C538" s="26" t="s">
        <v>49</v>
      </c>
      <c r="D538" s="27">
        <v>315</v>
      </c>
      <c r="E538" t="e">
        <f>VLOOKUP(B538,Кат!G:J,3,0)</f>
        <v>#N/A</v>
      </c>
    </row>
    <row r="539" spans="1:5">
      <c r="A539" s="26" t="s">
        <v>1029</v>
      </c>
      <c r="B539" s="26" t="s">
        <v>1030</v>
      </c>
      <c r="C539" s="26" t="s">
        <v>49</v>
      </c>
      <c r="D539" s="27">
        <v>737</v>
      </c>
      <c r="E539" t="e">
        <f>VLOOKUP(B539,Кат!G:J,3,0)</f>
        <v>#N/A</v>
      </c>
    </row>
    <row r="540" spans="1:5" ht="22.5">
      <c r="A540" s="26" t="s">
        <v>1031</v>
      </c>
      <c r="B540" s="26" t="s">
        <v>1032</v>
      </c>
      <c r="C540" s="26" t="s">
        <v>49</v>
      </c>
      <c r="D540" s="27">
        <v>462</v>
      </c>
      <c r="E540" t="e">
        <f>VLOOKUP(B540,Кат!G:J,3,0)</f>
        <v>#N/A</v>
      </c>
    </row>
    <row r="541" spans="1:5" ht="22.5">
      <c r="A541" s="26" t="s">
        <v>1033</v>
      </c>
      <c r="B541" s="26" t="s">
        <v>1034</v>
      </c>
      <c r="C541" s="26" t="s">
        <v>49</v>
      </c>
      <c r="D541" s="27">
        <v>540</v>
      </c>
      <c r="E541" t="e">
        <f>VLOOKUP(B541,Кат!G:J,3,0)</f>
        <v>#N/A</v>
      </c>
    </row>
    <row r="542" spans="1:5" ht="22.5">
      <c r="A542" s="26" t="s">
        <v>1035</v>
      </c>
      <c r="B542" s="26" t="s">
        <v>1036</v>
      </c>
      <c r="C542" s="26" t="s">
        <v>49</v>
      </c>
      <c r="D542" s="27">
        <v>490</v>
      </c>
      <c r="E542" t="e">
        <f>VLOOKUP(B542,Кат!G:J,3,0)</f>
        <v>#N/A</v>
      </c>
    </row>
    <row r="543" spans="1:5">
      <c r="A543" s="26" t="s">
        <v>1037</v>
      </c>
      <c r="B543" s="26" t="s">
        <v>1038</v>
      </c>
      <c r="C543" s="26" t="s">
        <v>49</v>
      </c>
      <c r="D543" s="27">
        <v>610</v>
      </c>
      <c r="E543" t="e">
        <f>VLOOKUP(B543,Кат!G:J,3,0)</f>
        <v>#N/A</v>
      </c>
    </row>
    <row r="544" spans="1:5">
      <c r="A544" s="26" t="s">
        <v>1039</v>
      </c>
      <c r="B544" s="26" t="s">
        <v>1040</v>
      </c>
      <c r="C544" s="26" t="s">
        <v>49</v>
      </c>
      <c r="D544" s="27">
        <v>480</v>
      </c>
      <c r="E544" t="e">
        <f>VLOOKUP(B544,Кат!G:J,3,0)</f>
        <v>#N/A</v>
      </c>
    </row>
    <row r="545" spans="1:5">
      <c r="A545" s="26" t="s">
        <v>1041</v>
      </c>
      <c r="B545" s="26" t="s">
        <v>1042</v>
      </c>
      <c r="C545" s="26" t="s">
        <v>49</v>
      </c>
      <c r="D545" s="27">
        <v>340</v>
      </c>
      <c r="E545" t="e">
        <f>VLOOKUP(B545,Кат!G:J,3,0)</f>
        <v>#N/A</v>
      </c>
    </row>
    <row r="546" spans="1:5">
      <c r="A546" s="23" t="s">
        <v>1043</v>
      </c>
      <c r="B546" s="24"/>
      <c r="C546" s="24"/>
      <c r="D546" s="25"/>
      <c r="E546" t="e">
        <f>VLOOKUP(B546,Кат!G:J,3,0)</f>
        <v>#N/A</v>
      </c>
    </row>
    <row r="547" spans="1:5">
      <c r="A547" s="26" t="s">
        <v>1044</v>
      </c>
      <c r="B547" s="26" t="s">
        <v>1045</v>
      </c>
      <c r="C547" s="26" t="s">
        <v>50</v>
      </c>
      <c r="D547" s="28">
        <v>1200</v>
      </c>
      <c r="E547" t="e">
        <f>VLOOKUP(B547,Кат!G:J,3,0)</f>
        <v>#N/A</v>
      </c>
    </row>
    <row r="548" spans="1:5">
      <c r="A548" s="23" t="s">
        <v>4314</v>
      </c>
      <c r="B548" s="24"/>
      <c r="C548" s="24"/>
      <c r="D548" s="25"/>
      <c r="E548" t="e">
        <f>VLOOKUP(B548,Кат!G:J,3,0)</f>
        <v>#N/A</v>
      </c>
    </row>
    <row r="549" spans="1:5" ht="22.5">
      <c r="A549" s="26" t="s">
        <v>4315</v>
      </c>
      <c r="B549" s="26" t="s">
        <v>4316</v>
      </c>
      <c r="C549" s="26" t="s">
        <v>50</v>
      </c>
      <c r="D549" s="27">
        <v>130</v>
      </c>
      <c r="E549" t="e">
        <f>VLOOKUP(B549,Кат!G:J,3,0)</f>
        <v>#N/A</v>
      </c>
    </row>
    <row r="550" spans="1:5">
      <c r="A550" s="23" t="s">
        <v>1046</v>
      </c>
      <c r="B550" s="24"/>
      <c r="C550" s="24"/>
      <c r="D550" s="25"/>
      <c r="E550" t="e">
        <f>VLOOKUP(B550,Кат!G:J,3,0)</f>
        <v>#N/A</v>
      </c>
    </row>
    <row r="551" spans="1:5">
      <c r="A551" s="29" t="s">
        <v>1047</v>
      </c>
      <c r="B551" s="30"/>
      <c r="C551" s="30"/>
      <c r="D551" s="31"/>
      <c r="E551" t="e">
        <f>VLOOKUP(B551,Кат!G:J,3,0)</f>
        <v>#N/A</v>
      </c>
    </row>
    <row r="552" spans="1:5">
      <c r="A552" s="26" t="s">
        <v>4317</v>
      </c>
      <c r="B552" s="26" t="s">
        <v>4318</v>
      </c>
      <c r="C552" s="26" t="s">
        <v>49</v>
      </c>
      <c r="D552" s="27">
        <v>565</v>
      </c>
      <c r="E552" t="e">
        <f>VLOOKUP(B552,Кат!G:J,3,0)</f>
        <v>#N/A</v>
      </c>
    </row>
    <row r="553" spans="1:5">
      <c r="A553" s="26" t="s">
        <v>4319</v>
      </c>
      <c r="B553" s="26" t="s">
        <v>4320</v>
      </c>
      <c r="C553" s="26" t="s">
        <v>49</v>
      </c>
      <c r="D553" s="27">
        <v>525</v>
      </c>
      <c r="E553" t="e">
        <f>VLOOKUP(B553,Кат!G:J,3,0)</f>
        <v>#N/A</v>
      </c>
    </row>
    <row r="554" spans="1:5">
      <c r="A554" s="26" t="s">
        <v>1048</v>
      </c>
      <c r="B554" s="26" t="s">
        <v>1049</v>
      </c>
      <c r="C554" s="26" t="s">
        <v>49</v>
      </c>
      <c r="D554" s="27">
        <v>565</v>
      </c>
      <c r="E554" t="e">
        <f>VLOOKUP(B554,Кат!G:J,3,0)</f>
        <v>#N/A</v>
      </c>
    </row>
    <row r="555" spans="1:5">
      <c r="A555" s="26" t="s">
        <v>1050</v>
      </c>
      <c r="B555" s="26" t="s">
        <v>1051</v>
      </c>
      <c r="C555" s="26" t="s">
        <v>49</v>
      </c>
      <c r="D555" s="27">
        <v>628</v>
      </c>
      <c r="E555" t="e">
        <f>VLOOKUP(B555,Кат!G:J,3,0)</f>
        <v>#N/A</v>
      </c>
    </row>
    <row r="556" spans="1:5">
      <c r="A556" s="29" t="s">
        <v>1052</v>
      </c>
      <c r="B556" s="30"/>
      <c r="C556" s="30"/>
      <c r="D556" s="31"/>
      <c r="E556" t="e">
        <f>VLOOKUP(B556,Кат!G:J,3,0)</f>
        <v>#N/A</v>
      </c>
    </row>
    <row r="557" spans="1:5">
      <c r="A557" s="26" t="s">
        <v>1053</v>
      </c>
      <c r="B557" s="26" t="s">
        <v>1054</v>
      </c>
      <c r="C557" s="26" t="s">
        <v>49</v>
      </c>
      <c r="D557" s="27">
        <v>775</v>
      </c>
      <c r="E557" t="e">
        <f>VLOOKUP(B557,Кат!G:J,3,0)</f>
        <v>#N/A</v>
      </c>
    </row>
    <row r="558" spans="1:5">
      <c r="A558" s="26" t="s">
        <v>1055</v>
      </c>
      <c r="B558" s="26" t="s">
        <v>1056</v>
      </c>
      <c r="C558" s="26" t="s">
        <v>49</v>
      </c>
      <c r="D558" s="27">
        <v>775</v>
      </c>
      <c r="E558" t="e">
        <f>VLOOKUP(B558,Кат!G:J,3,0)</f>
        <v>#N/A</v>
      </c>
    </row>
    <row r="559" spans="1:5">
      <c r="A559" s="29" t="s">
        <v>1057</v>
      </c>
      <c r="B559" s="30"/>
      <c r="C559" s="30"/>
      <c r="D559" s="31"/>
      <c r="E559" t="e">
        <f>VLOOKUP(B559,Кат!G:J,3,0)</f>
        <v>#N/A</v>
      </c>
    </row>
    <row r="560" spans="1:5">
      <c r="A560" s="26" t="s">
        <v>4321</v>
      </c>
      <c r="B560" s="26" t="s">
        <v>4322</v>
      </c>
      <c r="C560" s="26" t="s">
        <v>49</v>
      </c>
      <c r="D560" s="27">
        <v>415</v>
      </c>
      <c r="E560" t="e">
        <f>VLOOKUP(B560,Кат!G:J,3,0)</f>
        <v>#N/A</v>
      </c>
    </row>
    <row r="561" spans="1:5">
      <c r="A561" s="26" t="s">
        <v>4323</v>
      </c>
      <c r="B561" s="26" t="s">
        <v>4324</v>
      </c>
      <c r="C561" s="26" t="s">
        <v>49</v>
      </c>
      <c r="D561" s="27">
        <v>430</v>
      </c>
      <c r="E561" t="e">
        <f>VLOOKUP(B561,Кат!G:J,3,0)</f>
        <v>#N/A</v>
      </c>
    </row>
    <row r="562" spans="1:5" ht="22.5">
      <c r="A562" s="26" t="s">
        <v>1058</v>
      </c>
      <c r="B562" s="26" t="s">
        <v>1059</v>
      </c>
      <c r="C562" s="26" t="s">
        <v>49</v>
      </c>
      <c r="D562" s="27">
        <v>445</v>
      </c>
      <c r="E562" t="e">
        <f>VLOOKUP(B562,Кат!G:J,3,0)</f>
        <v>#N/A</v>
      </c>
    </row>
    <row r="563" spans="1:5" ht="22.5">
      <c r="A563" s="26" t="s">
        <v>1060</v>
      </c>
      <c r="B563" s="26" t="s">
        <v>1061</v>
      </c>
      <c r="C563" s="26" t="s">
        <v>49</v>
      </c>
      <c r="D563" s="27">
        <v>510</v>
      </c>
      <c r="E563" t="e">
        <f>VLOOKUP(B563,Кат!G:J,3,0)</f>
        <v>#N/A</v>
      </c>
    </row>
    <row r="564" spans="1:5">
      <c r="A564" s="26" t="s">
        <v>1062</v>
      </c>
      <c r="B564" s="26" t="s">
        <v>1063</v>
      </c>
      <c r="C564" s="26" t="s">
        <v>49</v>
      </c>
      <c r="D564" s="27">
        <v>475</v>
      </c>
      <c r="E564" t="e">
        <f>VLOOKUP(B564,Кат!G:J,3,0)</f>
        <v>#N/A</v>
      </c>
    </row>
    <row r="565" spans="1:5" ht="22.5">
      <c r="A565" s="26" t="s">
        <v>1064</v>
      </c>
      <c r="B565" s="26" t="s">
        <v>1065</v>
      </c>
      <c r="C565" s="26" t="s">
        <v>50</v>
      </c>
      <c r="D565" s="27">
        <v>189</v>
      </c>
      <c r="E565" t="e">
        <f>VLOOKUP(B565,Кат!G:J,3,0)</f>
        <v>#N/A</v>
      </c>
    </row>
    <row r="566" spans="1:5" ht="22.5">
      <c r="A566" s="26" t="s">
        <v>1066</v>
      </c>
      <c r="B566" s="26" t="s">
        <v>1067</v>
      </c>
      <c r="C566" s="26" t="s">
        <v>49</v>
      </c>
      <c r="D566" s="27">
        <v>690</v>
      </c>
      <c r="E566" t="e">
        <f>VLOOKUP(B566,Кат!G:J,3,0)</f>
        <v>#N/A</v>
      </c>
    </row>
    <row r="567" spans="1:5" ht="22.5">
      <c r="A567" s="26" t="s">
        <v>1068</v>
      </c>
      <c r="B567" s="26" t="s">
        <v>1069</v>
      </c>
      <c r="C567" s="26" t="s">
        <v>50</v>
      </c>
      <c r="D567" s="27">
        <v>200</v>
      </c>
      <c r="E567" t="e">
        <f>VLOOKUP(B567,Кат!G:J,3,0)</f>
        <v>#N/A</v>
      </c>
    </row>
    <row r="568" spans="1:5" ht="22.5">
      <c r="A568" s="26" t="s">
        <v>1070</v>
      </c>
      <c r="B568" s="26" t="s">
        <v>1071</v>
      </c>
      <c r="C568" s="26" t="s">
        <v>50</v>
      </c>
      <c r="D568" s="27">
        <v>190</v>
      </c>
      <c r="E568" t="e">
        <f>VLOOKUP(B568,Кат!G:J,3,0)</f>
        <v>#N/A</v>
      </c>
    </row>
    <row r="569" spans="1:5">
      <c r="A569" s="23" t="s">
        <v>1072</v>
      </c>
      <c r="B569" s="24"/>
      <c r="C569" s="24"/>
      <c r="D569" s="25"/>
      <c r="E569" t="e">
        <f>VLOOKUP(B569,Кат!G:J,3,0)</f>
        <v>#N/A</v>
      </c>
    </row>
    <row r="570" spans="1:5" ht="22.5">
      <c r="A570" s="26" t="s">
        <v>1073</v>
      </c>
      <c r="B570" s="26" t="s">
        <v>1074</v>
      </c>
      <c r="C570" s="26" t="s">
        <v>50</v>
      </c>
      <c r="D570" s="28">
        <v>3337</v>
      </c>
      <c r="E570" t="e">
        <f>VLOOKUP(B570,Кат!G:J,3,0)</f>
        <v>#N/A</v>
      </c>
    </row>
    <row r="571" spans="1:5">
      <c r="A571" s="23" t="s">
        <v>1075</v>
      </c>
      <c r="B571" s="24"/>
      <c r="C571" s="24"/>
      <c r="D571" s="25"/>
      <c r="E571" t="e">
        <f>VLOOKUP(B571,Кат!G:J,3,0)</f>
        <v>#N/A</v>
      </c>
    </row>
    <row r="572" spans="1:5">
      <c r="A572" s="26" t="s">
        <v>1076</v>
      </c>
      <c r="B572" s="26" t="s">
        <v>1077</v>
      </c>
      <c r="C572" s="26" t="s">
        <v>50</v>
      </c>
      <c r="D572" s="27">
        <v>120</v>
      </c>
      <c r="E572" t="e">
        <f>VLOOKUP(B572,Кат!G:J,3,0)</f>
        <v>#N/A</v>
      </c>
    </row>
    <row r="573" spans="1:5">
      <c r="A573" s="26" t="s">
        <v>1078</v>
      </c>
      <c r="B573" s="26" t="s">
        <v>1079</v>
      </c>
      <c r="C573" s="26" t="s">
        <v>50</v>
      </c>
      <c r="D573" s="27">
        <v>120</v>
      </c>
      <c r="E573" t="e">
        <f>VLOOKUP(B573,Кат!G:J,3,0)</f>
        <v>#N/A</v>
      </c>
    </row>
    <row r="574" spans="1:5">
      <c r="A574" s="26" t="s">
        <v>1080</v>
      </c>
      <c r="B574" s="26" t="s">
        <v>1081</v>
      </c>
      <c r="C574" s="26" t="s">
        <v>50</v>
      </c>
      <c r="D574" s="27">
        <v>120</v>
      </c>
      <c r="E574" t="e">
        <f>VLOOKUP(B574,Кат!G:J,3,0)</f>
        <v>#N/A</v>
      </c>
    </row>
    <row r="575" spans="1:5">
      <c r="A575" s="23" t="s">
        <v>1082</v>
      </c>
      <c r="B575" s="24"/>
      <c r="C575" s="24"/>
      <c r="D575" s="25"/>
      <c r="E575" t="e">
        <f>VLOOKUP(B575,Кат!G:J,3,0)</f>
        <v>#N/A</v>
      </c>
    </row>
    <row r="576" spans="1:5">
      <c r="A576" s="26" t="s">
        <v>1083</v>
      </c>
      <c r="B576" s="26" t="s">
        <v>1084</v>
      </c>
      <c r="C576" s="26" t="s">
        <v>50</v>
      </c>
      <c r="D576" s="28">
        <v>1735</v>
      </c>
      <c r="E576" t="e">
        <f>VLOOKUP(B576,Кат!G:J,3,0)</f>
        <v>#N/A</v>
      </c>
    </row>
    <row r="577" spans="1:5">
      <c r="A577" s="26" t="s">
        <v>1085</v>
      </c>
      <c r="B577" s="26" t="s">
        <v>1086</v>
      </c>
      <c r="C577" s="26" t="s">
        <v>50</v>
      </c>
      <c r="D577" s="27">
        <v>965</v>
      </c>
      <c r="E577" t="e">
        <f>VLOOKUP(B577,Кат!G:J,3,0)</f>
        <v>#N/A</v>
      </c>
    </row>
    <row r="578" spans="1:5">
      <c r="A578" s="26" t="s">
        <v>1087</v>
      </c>
      <c r="B578" s="26" t="s">
        <v>1088</v>
      </c>
      <c r="C578" s="26" t="s">
        <v>50</v>
      </c>
      <c r="D578" s="27">
        <v>630</v>
      </c>
      <c r="E578" t="e">
        <f>VLOOKUP(B578,Кат!G:J,3,0)</f>
        <v>#N/A</v>
      </c>
    </row>
    <row r="579" spans="1:5">
      <c r="A579" s="26" t="s">
        <v>4325</v>
      </c>
      <c r="B579" s="26" t="s">
        <v>4326</v>
      </c>
      <c r="C579" s="26" t="s">
        <v>50</v>
      </c>
      <c r="D579" s="28">
        <v>1045</v>
      </c>
      <c r="E579" t="e">
        <f>VLOOKUP(B579,Кат!G:J,3,0)</f>
        <v>#N/A</v>
      </c>
    </row>
    <row r="580" spans="1:5">
      <c r="A580" s="26" t="s">
        <v>1089</v>
      </c>
      <c r="B580" s="26" t="s">
        <v>1090</v>
      </c>
      <c r="C580" s="26" t="s">
        <v>50</v>
      </c>
      <c r="D580" s="28">
        <v>1140</v>
      </c>
      <c r="E580" t="e">
        <f>VLOOKUP(B580,Кат!G:J,3,0)</f>
        <v>#N/A</v>
      </c>
    </row>
    <row r="581" spans="1:5" ht="22.5">
      <c r="A581" s="26" t="s">
        <v>1091</v>
      </c>
      <c r="B581" s="26" t="s">
        <v>1092</v>
      </c>
      <c r="C581" s="26" t="s">
        <v>50</v>
      </c>
      <c r="D581" s="28">
        <v>1485</v>
      </c>
      <c r="E581" t="e">
        <f>VLOOKUP(B581,Кат!G:J,3,0)</f>
        <v>#N/A</v>
      </c>
    </row>
    <row r="582" spans="1:5" ht="22.5">
      <c r="A582" s="26" t="s">
        <v>1093</v>
      </c>
      <c r="B582" s="26" t="s">
        <v>1094</v>
      </c>
      <c r="C582" s="26" t="s">
        <v>49</v>
      </c>
      <c r="D582" s="28">
        <v>7150</v>
      </c>
      <c r="E582" t="e">
        <f>VLOOKUP(B582,Кат!G:J,3,0)</f>
        <v>#N/A</v>
      </c>
    </row>
    <row r="583" spans="1:5" ht="22.5">
      <c r="A583" s="26" t="s">
        <v>1095</v>
      </c>
      <c r="B583" s="26" t="s">
        <v>1096</v>
      </c>
      <c r="C583" s="26" t="s">
        <v>50</v>
      </c>
      <c r="D583" s="28">
        <v>4680</v>
      </c>
      <c r="E583" t="e">
        <f>VLOOKUP(B583,Кат!G:J,3,0)</f>
        <v>#N/A</v>
      </c>
    </row>
    <row r="584" spans="1:5">
      <c r="A584" s="23" t="s">
        <v>1097</v>
      </c>
      <c r="B584" s="24"/>
      <c r="C584" s="24"/>
      <c r="D584" s="25"/>
      <c r="E584" t="e">
        <f>VLOOKUP(B584,Кат!G:J,3,0)</f>
        <v>#N/A</v>
      </c>
    </row>
    <row r="585" spans="1:5" ht="22.5">
      <c r="A585" s="26" t="s">
        <v>1098</v>
      </c>
      <c r="B585" s="26" t="s">
        <v>1099</v>
      </c>
      <c r="C585" s="26" t="s">
        <v>50</v>
      </c>
      <c r="D585" s="27">
        <v>324</v>
      </c>
      <c r="E585" t="e">
        <f>VLOOKUP(B585,Кат!G:J,3,0)</f>
        <v>#N/A</v>
      </c>
    </row>
    <row r="586" spans="1:5" ht="22.5">
      <c r="A586" s="26" t="s">
        <v>1100</v>
      </c>
      <c r="B586" s="32">
        <v>19018251</v>
      </c>
      <c r="C586" s="26" t="s">
        <v>49</v>
      </c>
      <c r="D586" s="27">
        <v>309</v>
      </c>
      <c r="E586" t="e">
        <f>VLOOKUP(B586,Кат!G:J,3,0)</f>
        <v>#N/A</v>
      </c>
    </row>
    <row r="587" spans="1:5">
      <c r="A587" s="26" t="s">
        <v>1101</v>
      </c>
      <c r="B587" s="32">
        <v>19030310</v>
      </c>
      <c r="C587" s="26" t="s">
        <v>49</v>
      </c>
      <c r="D587" s="27">
        <v>545</v>
      </c>
      <c r="E587" t="e">
        <f>VLOOKUP(B587,Кат!G:J,3,0)</f>
        <v>#N/A</v>
      </c>
    </row>
    <row r="588" spans="1:5">
      <c r="A588" s="26" t="s">
        <v>1102</v>
      </c>
      <c r="B588" s="32">
        <v>19019857</v>
      </c>
      <c r="C588" s="26" t="s">
        <v>49</v>
      </c>
      <c r="D588" s="27">
        <v>475</v>
      </c>
      <c r="E588" t="e">
        <f>VLOOKUP(B588,Кат!G:J,3,0)</f>
        <v>#N/A</v>
      </c>
    </row>
    <row r="589" spans="1:5" ht="22.5">
      <c r="A589" s="26" t="s">
        <v>1103</v>
      </c>
      <c r="B589" s="32">
        <v>19036105</v>
      </c>
      <c r="C589" s="26" t="s">
        <v>49</v>
      </c>
      <c r="D589" s="28">
        <v>2921</v>
      </c>
      <c r="E589" t="e">
        <f>VLOOKUP(B589,Кат!G:J,3,0)</f>
        <v>#N/A</v>
      </c>
    </row>
    <row r="590" spans="1:5" ht="22.5">
      <c r="A590" s="26" t="s">
        <v>1104</v>
      </c>
      <c r="B590" s="26" t="s">
        <v>1105</v>
      </c>
      <c r="C590" s="26" t="s">
        <v>50</v>
      </c>
      <c r="D590" s="27">
        <v>656</v>
      </c>
      <c r="E590" t="e">
        <f>VLOOKUP(B590,Кат!G:J,3,0)</f>
        <v>#N/A</v>
      </c>
    </row>
    <row r="591" spans="1:5" ht="22.5">
      <c r="A591" s="26" t="s">
        <v>1106</v>
      </c>
      <c r="B591" s="26" t="s">
        <v>1107</v>
      </c>
      <c r="C591" s="26" t="s">
        <v>1108</v>
      </c>
      <c r="D591" s="27">
        <v>215</v>
      </c>
      <c r="E591" t="e">
        <f>VLOOKUP(B591,Кат!G:J,3,0)</f>
        <v>#N/A</v>
      </c>
    </row>
    <row r="592" spans="1:5" ht="22.5">
      <c r="A592" s="26" t="s">
        <v>1109</v>
      </c>
      <c r="B592" s="26" t="s">
        <v>1110</v>
      </c>
      <c r="C592" s="26" t="s">
        <v>50</v>
      </c>
      <c r="D592" s="27">
        <v>224</v>
      </c>
      <c r="E592" t="e">
        <f>VLOOKUP(B592,Кат!G:J,3,0)</f>
        <v>#N/A</v>
      </c>
    </row>
    <row r="593" spans="1:5" ht="22.5">
      <c r="A593" s="26" t="s">
        <v>1111</v>
      </c>
      <c r="B593" s="26" t="s">
        <v>1112</v>
      </c>
      <c r="C593" s="26" t="s">
        <v>50</v>
      </c>
      <c r="D593" s="27">
        <v>197</v>
      </c>
      <c r="E593" t="e">
        <f>VLOOKUP(B593,Кат!G:J,3,0)</f>
        <v>#N/A</v>
      </c>
    </row>
    <row r="594" spans="1:5" ht="22.5">
      <c r="A594" s="26" t="s">
        <v>4327</v>
      </c>
      <c r="B594" s="26" t="s">
        <v>4328</v>
      </c>
      <c r="C594" s="26" t="s">
        <v>50</v>
      </c>
      <c r="D594" s="27">
        <v>175</v>
      </c>
      <c r="E594" t="e">
        <f>VLOOKUP(B594,Кат!G:J,3,0)</f>
        <v>#N/A</v>
      </c>
    </row>
    <row r="595" spans="1:5" ht="22.5">
      <c r="A595" s="26" t="s">
        <v>1113</v>
      </c>
      <c r="B595" s="26" t="s">
        <v>1114</v>
      </c>
      <c r="C595" s="26" t="s">
        <v>50</v>
      </c>
      <c r="D595" s="27">
        <v>229</v>
      </c>
      <c r="E595" t="e">
        <f>VLOOKUP(B595,Кат!G:J,3,0)</f>
        <v>#N/A</v>
      </c>
    </row>
    <row r="596" spans="1:5">
      <c r="A596" s="26" t="s">
        <v>1115</v>
      </c>
      <c r="B596" s="26" t="s">
        <v>1116</v>
      </c>
      <c r="C596" s="26" t="s">
        <v>50</v>
      </c>
      <c r="D596" s="27">
        <v>208</v>
      </c>
      <c r="E596" t="e">
        <f>VLOOKUP(B596,Кат!G:J,3,0)</f>
        <v>#N/A</v>
      </c>
    </row>
    <row r="597" spans="1:5" ht="22.5">
      <c r="A597" s="26" t="s">
        <v>1117</v>
      </c>
      <c r="B597" s="26" t="s">
        <v>1118</v>
      </c>
      <c r="C597" s="26" t="s">
        <v>50</v>
      </c>
      <c r="D597" s="28">
        <v>1005</v>
      </c>
      <c r="E597" t="e">
        <f>VLOOKUP(B597,Кат!G:J,3,0)</f>
        <v>#N/A</v>
      </c>
    </row>
    <row r="598" spans="1:5" ht="22.5">
      <c r="A598" s="26" t="s">
        <v>1119</v>
      </c>
      <c r="B598" s="26" t="s">
        <v>1120</v>
      </c>
      <c r="C598" s="26" t="s">
        <v>50</v>
      </c>
      <c r="D598" s="27">
        <v>209</v>
      </c>
      <c r="E598" t="e">
        <f>VLOOKUP(B598,Кат!G:J,3,0)</f>
        <v>#N/A</v>
      </c>
    </row>
    <row r="599" spans="1:5" ht="22.5">
      <c r="A599" s="26" t="s">
        <v>1121</v>
      </c>
      <c r="B599" s="26" t="s">
        <v>1122</v>
      </c>
      <c r="C599" s="26" t="s">
        <v>50</v>
      </c>
      <c r="D599" s="27">
        <v>229</v>
      </c>
      <c r="E599" t="e">
        <f>VLOOKUP(B599,Кат!G:J,3,0)</f>
        <v>#N/A</v>
      </c>
    </row>
    <row r="600" spans="1:5" ht="22.5">
      <c r="A600" s="26" t="s">
        <v>1123</v>
      </c>
      <c r="B600" s="26" t="s">
        <v>1124</v>
      </c>
      <c r="C600" s="26" t="s">
        <v>50</v>
      </c>
      <c r="D600" s="27">
        <v>491</v>
      </c>
      <c r="E600" t="e">
        <f>VLOOKUP(B600,Кат!G:J,3,0)</f>
        <v>#N/A</v>
      </c>
    </row>
    <row r="601" spans="1:5" ht="22.5">
      <c r="A601" s="26" t="s">
        <v>1125</v>
      </c>
      <c r="B601" s="26" t="s">
        <v>1126</v>
      </c>
      <c r="C601" s="26" t="s">
        <v>50</v>
      </c>
      <c r="D601" s="27">
        <v>106</v>
      </c>
      <c r="E601" t="e">
        <f>VLOOKUP(B601,Кат!G:J,3,0)</f>
        <v>#N/A</v>
      </c>
    </row>
    <row r="602" spans="1:5" ht="22.5">
      <c r="A602" s="26" t="s">
        <v>1127</v>
      </c>
      <c r="B602" s="26" t="s">
        <v>1128</v>
      </c>
      <c r="C602" s="26" t="s">
        <v>50</v>
      </c>
      <c r="D602" s="27">
        <v>169</v>
      </c>
      <c r="E602" t="e">
        <f>VLOOKUP(B602,Кат!G:J,3,0)</f>
        <v>#N/A</v>
      </c>
    </row>
    <row r="603" spans="1:5" ht="22.5">
      <c r="A603" s="26" t="s">
        <v>1129</v>
      </c>
      <c r="B603" s="26" t="s">
        <v>1130</v>
      </c>
      <c r="C603" s="26" t="s">
        <v>50</v>
      </c>
      <c r="D603" s="27">
        <v>161</v>
      </c>
      <c r="E603" t="e">
        <f>VLOOKUP(B603,Кат!G:J,3,0)</f>
        <v>#N/A</v>
      </c>
    </row>
    <row r="604" spans="1:5" ht="22.5">
      <c r="A604" s="26" t="s">
        <v>1131</v>
      </c>
      <c r="B604" s="26" t="s">
        <v>1132</v>
      </c>
      <c r="C604" s="26" t="s">
        <v>50</v>
      </c>
      <c r="D604" s="27">
        <v>166</v>
      </c>
      <c r="E604" t="e">
        <f>VLOOKUP(B604,Кат!G:J,3,0)</f>
        <v>#N/A</v>
      </c>
    </row>
    <row r="605" spans="1:5" ht="22.5">
      <c r="A605" s="26" t="s">
        <v>1133</v>
      </c>
      <c r="B605" s="26" t="s">
        <v>1134</v>
      </c>
      <c r="C605" s="26" t="s">
        <v>50</v>
      </c>
      <c r="D605" s="27">
        <v>106</v>
      </c>
      <c r="E605" t="e">
        <f>VLOOKUP(B605,Кат!G:J,3,0)</f>
        <v>#N/A</v>
      </c>
    </row>
    <row r="606" spans="1:5" ht="22.5">
      <c r="A606" s="26" t="s">
        <v>1135</v>
      </c>
      <c r="B606" s="26" t="s">
        <v>1136</v>
      </c>
      <c r="C606" s="26" t="s">
        <v>50</v>
      </c>
      <c r="D606" s="27">
        <v>89</v>
      </c>
      <c r="E606" t="e">
        <f>VLOOKUP(B606,Кат!G:J,3,0)</f>
        <v>#N/A</v>
      </c>
    </row>
    <row r="607" spans="1:5" ht="22.5">
      <c r="A607" s="26" t="s">
        <v>1137</v>
      </c>
      <c r="B607" s="26" t="s">
        <v>1138</v>
      </c>
      <c r="C607" s="26" t="s">
        <v>50</v>
      </c>
      <c r="D607" s="27">
        <v>365</v>
      </c>
      <c r="E607" t="e">
        <f>VLOOKUP(B607,Кат!G:J,3,0)</f>
        <v>#N/A</v>
      </c>
    </row>
    <row r="608" spans="1:5" ht="22.5">
      <c r="A608" s="26" t="s">
        <v>1139</v>
      </c>
      <c r="B608" s="26" t="s">
        <v>1140</v>
      </c>
      <c r="C608" s="26" t="s">
        <v>50</v>
      </c>
      <c r="D608" s="27">
        <v>238</v>
      </c>
      <c r="E608" t="e">
        <f>VLOOKUP(B608,Кат!G:J,3,0)</f>
        <v>#N/A</v>
      </c>
    </row>
    <row r="609" spans="1:5" ht="22.5">
      <c r="A609" s="26" t="s">
        <v>1141</v>
      </c>
      <c r="B609" s="26" t="s">
        <v>1142</v>
      </c>
      <c r="C609" s="26" t="s">
        <v>50</v>
      </c>
      <c r="D609" s="27">
        <v>429</v>
      </c>
      <c r="E609" t="e">
        <f>VLOOKUP(B609,Кат!G:J,3,0)</f>
        <v>#N/A</v>
      </c>
    </row>
    <row r="610" spans="1:5" ht="22.5">
      <c r="A610" s="26" t="s">
        <v>1143</v>
      </c>
      <c r="B610" s="26" t="s">
        <v>1144</v>
      </c>
      <c r="C610" s="26" t="s">
        <v>50</v>
      </c>
      <c r="D610" s="27">
        <v>285</v>
      </c>
      <c r="E610" t="e">
        <f>VLOOKUP(B610,Кат!G:J,3,0)</f>
        <v>#N/A</v>
      </c>
    </row>
    <row r="611" spans="1:5" ht="22.5">
      <c r="A611" s="26" t="s">
        <v>1145</v>
      </c>
      <c r="B611" s="26" t="s">
        <v>1146</v>
      </c>
      <c r="C611" s="26" t="s">
        <v>50</v>
      </c>
      <c r="D611" s="27">
        <v>193</v>
      </c>
      <c r="E611" t="e">
        <f>VLOOKUP(B611,Кат!G:J,3,0)</f>
        <v>#N/A</v>
      </c>
    </row>
    <row r="612" spans="1:5" ht="22.5">
      <c r="A612" s="26" t="s">
        <v>1147</v>
      </c>
      <c r="B612" s="26" t="s">
        <v>1148</v>
      </c>
      <c r="C612" s="26" t="s">
        <v>50</v>
      </c>
      <c r="D612" s="27">
        <v>142</v>
      </c>
      <c r="E612" t="e">
        <f>VLOOKUP(B612,Кат!G:J,3,0)</f>
        <v>#N/A</v>
      </c>
    </row>
    <row r="613" spans="1:5" ht="22.5">
      <c r="A613" s="26" t="s">
        <v>1149</v>
      </c>
      <c r="B613" s="26" t="s">
        <v>1150</v>
      </c>
      <c r="C613" s="26" t="s">
        <v>50</v>
      </c>
      <c r="D613" s="27">
        <v>226</v>
      </c>
      <c r="E613" t="e">
        <f>VLOOKUP(B613,Кат!G:J,3,0)</f>
        <v>#N/A</v>
      </c>
    </row>
    <row r="614" spans="1:5" ht="22.5">
      <c r="A614" s="26" t="s">
        <v>1151</v>
      </c>
      <c r="B614" s="26" t="s">
        <v>1152</v>
      </c>
      <c r="C614" s="26" t="s">
        <v>50</v>
      </c>
      <c r="D614" s="27">
        <v>147</v>
      </c>
      <c r="E614" t="e">
        <f>VLOOKUP(B614,Кат!G:J,3,0)</f>
        <v>#N/A</v>
      </c>
    </row>
    <row r="615" spans="1:5">
      <c r="A615" s="23" t="s">
        <v>1153</v>
      </c>
      <c r="B615" s="24"/>
      <c r="C615" s="24"/>
      <c r="D615" s="25"/>
      <c r="E615" t="e">
        <f>VLOOKUP(B615,Кат!G:J,3,0)</f>
        <v>#N/A</v>
      </c>
    </row>
    <row r="616" spans="1:5" ht="22.5">
      <c r="A616" s="26" t="s">
        <v>1154</v>
      </c>
      <c r="B616" s="26" t="s">
        <v>1155</v>
      </c>
      <c r="C616" s="26" t="s">
        <v>50</v>
      </c>
      <c r="D616" s="27">
        <v>790</v>
      </c>
      <c r="E616" t="e">
        <f>VLOOKUP(B616,Кат!G:J,3,0)</f>
        <v>#N/A</v>
      </c>
    </row>
    <row r="617" spans="1:5">
      <c r="A617" s="26" t="s">
        <v>1156</v>
      </c>
      <c r="B617" s="26" t="s">
        <v>1157</v>
      </c>
      <c r="C617" s="26" t="s">
        <v>50</v>
      </c>
      <c r="D617" s="28">
        <v>1350</v>
      </c>
      <c r="E617" t="e">
        <f>VLOOKUP(B617,Кат!G:J,3,0)</f>
        <v>#N/A</v>
      </c>
    </row>
    <row r="618" spans="1:5">
      <c r="A618" s="26" t="s">
        <v>1158</v>
      </c>
      <c r="B618" s="26" t="s">
        <v>1159</v>
      </c>
      <c r="C618" s="26" t="s">
        <v>50</v>
      </c>
      <c r="D618" s="28">
        <v>1168</v>
      </c>
      <c r="E618" t="e">
        <f>VLOOKUP(B618,Кат!G:J,3,0)</f>
        <v>#N/A</v>
      </c>
    </row>
    <row r="619" spans="1:5">
      <c r="A619" s="26" t="s">
        <v>1160</v>
      </c>
      <c r="B619" s="26" t="s">
        <v>1161</v>
      </c>
      <c r="C619" s="26" t="s">
        <v>50</v>
      </c>
      <c r="D619" s="27">
        <v>800</v>
      </c>
      <c r="E619" t="e">
        <f>VLOOKUP(B619,Кат!G:J,3,0)</f>
        <v>#N/A</v>
      </c>
    </row>
    <row r="620" spans="1:5" ht="22.5">
      <c r="A620" s="26" t="s">
        <v>1162</v>
      </c>
      <c r="B620" s="26" t="s">
        <v>1163</v>
      </c>
      <c r="C620" s="26" t="s">
        <v>50</v>
      </c>
      <c r="D620" s="27">
        <v>847</v>
      </c>
      <c r="E620" t="e">
        <f>VLOOKUP(B620,Кат!G:J,3,0)</f>
        <v>#N/A</v>
      </c>
    </row>
    <row r="621" spans="1:5">
      <c r="A621" s="26" t="s">
        <v>1164</v>
      </c>
      <c r="B621" s="26" t="s">
        <v>1165</v>
      </c>
      <c r="C621" s="26" t="s">
        <v>50</v>
      </c>
      <c r="D621" s="28">
        <v>1015</v>
      </c>
      <c r="E621" t="e">
        <f>VLOOKUP(B621,Кат!G:J,3,0)</f>
        <v>#N/A</v>
      </c>
    </row>
    <row r="622" spans="1:5" ht="22.5">
      <c r="A622" s="26" t="s">
        <v>1166</v>
      </c>
      <c r="B622" s="26" t="s">
        <v>1167</v>
      </c>
      <c r="C622" s="26" t="s">
        <v>50</v>
      </c>
      <c r="D622" s="28">
        <v>1080</v>
      </c>
      <c r="E622" t="e">
        <f>VLOOKUP(B622,Кат!G:J,3,0)</f>
        <v>#N/A</v>
      </c>
    </row>
    <row r="623" spans="1:5" ht="22.5">
      <c r="A623" s="26" t="s">
        <v>1168</v>
      </c>
      <c r="B623" s="26" t="s">
        <v>1169</v>
      </c>
      <c r="C623" s="26" t="s">
        <v>50</v>
      </c>
      <c r="D623" s="28">
        <v>1360</v>
      </c>
      <c r="E623" t="e">
        <f>VLOOKUP(B623,Кат!G:J,3,0)</f>
        <v>#N/A</v>
      </c>
    </row>
    <row r="624" spans="1:5" ht="22.5">
      <c r="A624" s="26" t="s">
        <v>1170</v>
      </c>
      <c r="B624" s="26" t="s">
        <v>1171</v>
      </c>
      <c r="C624" s="26" t="s">
        <v>50</v>
      </c>
      <c r="D624" s="28">
        <v>1074</v>
      </c>
      <c r="E624" t="e">
        <f>VLOOKUP(B624,Кат!G:J,3,0)</f>
        <v>#N/A</v>
      </c>
    </row>
    <row r="625" spans="1:5">
      <c r="A625" s="23" t="s">
        <v>1172</v>
      </c>
      <c r="B625" s="24"/>
      <c r="C625" s="24"/>
      <c r="D625" s="25"/>
      <c r="E625" t="e">
        <f>VLOOKUP(B625,Кат!G:J,3,0)</f>
        <v>#N/A</v>
      </c>
    </row>
    <row r="626" spans="1:5">
      <c r="A626" s="29" t="s">
        <v>1173</v>
      </c>
      <c r="B626" s="30"/>
      <c r="C626" s="30"/>
      <c r="D626" s="31"/>
      <c r="E626" t="e">
        <f>VLOOKUP(B626,Кат!G:J,3,0)</f>
        <v>#N/A</v>
      </c>
    </row>
    <row r="627" spans="1:5" ht="22.5">
      <c r="A627" s="26" t="s">
        <v>1174</v>
      </c>
      <c r="B627" s="26" t="s">
        <v>1175</v>
      </c>
      <c r="C627" s="26" t="s">
        <v>49</v>
      </c>
      <c r="D627" s="27">
        <v>563</v>
      </c>
      <c r="E627" t="e">
        <f>VLOOKUP(B627,Кат!G:J,3,0)</f>
        <v>#N/A</v>
      </c>
    </row>
    <row r="628" spans="1:5">
      <c r="A628" s="26" t="s">
        <v>1176</v>
      </c>
      <c r="B628" s="26" t="s">
        <v>1177</v>
      </c>
      <c r="C628" s="26" t="s">
        <v>49</v>
      </c>
      <c r="D628" s="27">
        <v>828</v>
      </c>
      <c r="E628" t="e">
        <f>VLOOKUP(B628,Кат!G:J,3,0)</f>
        <v>#N/A</v>
      </c>
    </row>
    <row r="629" spans="1:5" ht="22.5">
      <c r="A629" s="26" t="s">
        <v>1178</v>
      </c>
      <c r="B629" s="26" t="s">
        <v>1179</v>
      </c>
      <c r="C629" s="26" t="s">
        <v>49</v>
      </c>
      <c r="D629" s="27">
        <v>475</v>
      </c>
      <c r="E629" t="e">
        <f>VLOOKUP(B629,Кат!G:J,3,0)</f>
        <v>#N/A</v>
      </c>
    </row>
    <row r="630" spans="1:5" ht="22.5">
      <c r="A630" s="26" t="s">
        <v>1180</v>
      </c>
      <c r="B630" s="26" t="s">
        <v>1181</v>
      </c>
      <c r="C630" s="26" t="s">
        <v>49</v>
      </c>
      <c r="D630" s="27">
        <v>430</v>
      </c>
      <c r="E630" t="e">
        <f>VLOOKUP(B630,Кат!G:J,3,0)</f>
        <v>#N/A</v>
      </c>
    </row>
    <row r="631" spans="1:5" ht="22.5">
      <c r="A631" s="26" t="s">
        <v>1182</v>
      </c>
      <c r="B631" s="26" t="s">
        <v>1183</v>
      </c>
      <c r="C631" s="26" t="s">
        <v>49</v>
      </c>
      <c r="D631" s="27">
        <v>535</v>
      </c>
      <c r="E631" t="e">
        <f>VLOOKUP(B631,Кат!G:J,3,0)</f>
        <v>#N/A</v>
      </c>
    </row>
    <row r="632" spans="1:5">
      <c r="A632" s="26" t="s">
        <v>1184</v>
      </c>
      <c r="B632" s="26" t="s">
        <v>1185</v>
      </c>
      <c r="C632" s="26" t="s">
        <v>49</v>
      </c>
      <c r="D632" s="27">
        <v>378</v>
      </c>
      <c r="E632" t="e">
        <f>VLOOKUP(B632,Кат!G:J,3,0)</f>
        <v>#N/A</v>
      </c>
    </row>
    <row r="633" spans="1:5">
      <c r="A633" s="26" t="s">
        <v>1186</v>
      </c>
      <c r="B633" s="26" t="s">
        <v>1187</v>
      </c>
      <c r="C633" s="26" t="s">
        <v>49</v>
      </c>
      <c r="D633" s="27">
        <v>420</v>
      </c>
      <c r="E633" t="e">
        <f>VLOOKUP(B633,Кат!G:J,3,0)</f>
        <v>#N/A</v>
      </c>
    </row>
    <row r="634" spans="1:5">
      <c r="A634" s="26" t="s">
        <v>1188</v>
      </c>
      <c r="B634" s="26" t="s">
        <v>1189</v>
      </c>
      <c r="C634" s="26" t="s">
        <v>49</v>
      </c>
      <c r="D634" s="27">
        <v>432</v>
      </c>
      <c r="E634" t="e">
        <f>VLOOKUP(B634,Кат!G:J,3,0)</f>
        <v>#N/A</v>
      </c>
    </row>
    <row r="635" spans="1:5" ht="22.5">
      <c r="A635" s="26" t="s">
        <v>1190</v>
      </c>
      <c r="B635" s="26" t="s">
        <v>1191</v>
      </c>
      <c r="C635" s="26" t="s">
        <v>49</v>
      </c>
      <c r="D635" s="27">
        <v>418</v>
      </c>
      <c r="E635" t="e">
        <f>VLOOKUP(B635,Кат!G:J,3,0)</f>
        <v>#N/A</v>
      </c>
    </row>
    <row r="636" spans="1:5">
      <c r="A636" s="26" t="s">
        <v>1192</v>
      </c>
      <c r="B636" s="26" t="s">
        <v>1193</v>
      </c>
      <c r="C636" s="26" t="s">
        <v>49</v>
      </c>
      <c r="D636" s="27">
        <v>655</v>
      </c>
      <c r="E636" t="e">
        <f>VLOOKUP(B636,Кат!G:J,3,0)</f>
        <v>#N/A</v>
      </c>
    </row>
    <row r="637" spans="1:5" ht="22.5">
      <c r="A637" s="26" t="s">
        <v>1194</v>
      </c>
      <c r="B637" s="26" t="s">
        <v>1195</v>
      </c>
      <c r="C637" s="26" t="s">
        <v>49</v>
      </c>
      <c r="D637" s="28">
        <v>1132</v>
      </c>
      <c r="E637" t="e">
        <f>VLOOKUP(B637,Кат!G:J,3,0)</f>
        <v>#N/A</v>
      </c>
    </row>
    <row r="638" spans="1:5" ht="22.5">
      <c r="A638" s="26" t="s">
        <v>1196</v>
      </c>
      <c r="B638" s="26" t="s">
        <v>1197</v>
      </c>
      <c r="C638" s="26" t="s">
        <v>49</v>
      </c>
      <c r="D638" s="27">
        <v>469</v>
      </c>
      <c r="E638" t="e">
        <f>VLOOKUP(B638,Кат!G:J,3,0)</f>
        <v>#N/A</v>
      </c>
    </row>
    <row r="639" spans="1:5" ht="22.5">
      <c r="A639" s="26" t="s">
        <v>1198</v>
      </c>
      <c r="B639" s="26" t="s">
        <v>1199</v>
      </c>
      <c r="C639" s="26" t="s">
        <v>49</v>
      </c>
      <c r="D639" s="27">
        <v>450</v>
      </c>
      <c r="E639" t="e">
        <f>VLOOKUP(B639,Кат!G:J,3,0)</f>
        <v>#N/A</v>
      </c>
    </row>
    <row r="640" spans="1:5" ht="22.5">
      <c r="A640" s="26" t="s">
        <v>1200</v>
      </c>
      <c r="B640" s="26" t="s">
        <v>1201</v>
      </c>
      <c r="C640" s="26" t="s">
        <v>49</v>
      </c>
      <c r="D640" s="27">
        <v>585</v>
      </c>
      <c r="E640" t="e">
        <f>VLOOKUP(B640,Кат!G:J,3,0)</f>
        <v>#N/A</v>
      </c>
    </row>
    <row r="641" spans="1:5" ht="22.5">
      <c r="A641" s="26" t="s">
        <v>1202</v>
      </c>
      <c r="B641" s="26" t="s">
        <v>1203</v>
      </c>
      <c r="C641" s="26" t="s">
        <v>49</v>
      </c>
      <c r="D641" s="27">
        <v>755</v>
      </c>
      <c r="E641" t="e">
        <f>VLOOKUP(B641,Кат!G:J,3,0)</f>
        <v>#N/A</v>
      </c>
    </row>
    <row r="642" spans="1:5">
      <c r="A642" s="26" t="s">
        <v>1204</v>
      </c>
      <c r="B642" s="26" t="s">
        <v>1205</v>
      </c>
      <c r="C642" s="26" t="s">
        <v>49</v>
      </c>
      <c r="D642" s="27">
        <v>572</v>
      </c>
      <c r="E642" t="e">
        <f>VLOOKUP(B642,Кат!G:J,3,0)</f>
        <v>#N/A</v>
      </c>
    </row>
    <row r="643" spans="1:5" ht="22.5">
      <c r="A643" s="26" t="s">
        <v>4329</v>
      </c>
      <c r="B643" s="26" t="s">
        <v>4330</v>
      </c>
      <c r="C643" s="26" t="s">
        <v>49</v>
      </c>
      <c r="D643" s="28">
        <v>1015</v>
      </c>
      <c r="E643" t="e">
        <f>VLOOKUP(B643,Кат!G:J,3,0)</f>
        <v>#N/A</v>
      </c>
    </row>
    <row r="644" spans="1:5" ht="22.5">
      <c r="A644" s="26" t="s">
        <v>1206</v>
      </c>
      <c r="B644" s="26" t="s">
        <v>1207</v>
      </c>
      <c r="C644" s="26" t="s">
        <v>49</v>
      </c>
      <c r="D644" s="27">
        <v>749</v>
      </c>
      <c r="E644" t="e">
        <f>VLOOKUP(B644,Кат!G:J,3,0)</f>
        <v>#N/A</v>
      </c>
    </row>
    <row r="645" spans="1:5">
      <c r="A645" s="29" t="s">
        <v>1208</v>
      </c>
      <c r="B645" s="30"/>
      <c r="C645" s="30"/>
      <c r="D645" s="31"/>
      <c r="E645" t="e">
        <f>VLOOKUP(B645,Кат!G:J,3,0)</f>
        <v>#N/A</v>
      </c>
    </row>
    <row r="646" spans="1:5" ht="22.5">
      <c r="A646" s="26" t="s">
        <v>1209</v>
      </c>
      <c r="B646" s="26" t="s">
        <v>1210</v>
      </c>
      <c r="C646" s="26" t="s">
        <v>49</v>
      </c>
      <c r="D646" s="27">
        <v>851</v>
      </c>
      <c r="E646" t="e">
        <f>VLOOKUP(B646,Кат!G:J,3,0)</f>
        <v>#N/A</v>
      </c>
    </row>
    <row r="647" spans="1:5" ht="22.5">
      <c r="A647" s="26" t="s">
        <v>1211</v>
      </c>
      <c r="B647" s="26" t="s">
        <v>1212</v>
      </c>
      <c r="C647" s="26" t="s">
        <v>49</v>
      </c>
      <c r="D647" s="27">
        <v>634</v>
      </c>
      <c r="E647" t="e">
        <f>VLOOKUP(B647,Кат!G:J,3,0)</f>
        <v>#N/A</v>
      </c>
    </row>
    <row r="648" spans="1:5" ht="22.5">
      <c r="A648" s="26" t="s">
        <v>1213</v>
      </c>
      <c r="B648" s="26" t="s">
        <v>1214</v>
      </c>
      <c r="C648" s="26" t="s">
        <v>49</v>
      </c>
      <c r="D648" s="27">
        <v>573</v>
      </c>
      <c r="E648" t="e">
        <f>VLOOKUP(B648,Кат!G:J,3,0)</f>
        <v>#N/A</v>
      </c>
    </row>
    <row r="649" spans="1:5" ht="22.5">
      <c r="A649" s="26" t="s">
        <v>1215</v>
      </c>
      <c r="B649" s="26" t="s">
        <v>1216</v>
      </c>
      <c r="C649" s="26" t="s">
        <v>49</v>
      </c>
      <c r="D649" s="27">
        <v>654</v>
      </c>
      <c r="E649" t="e">
        <f>VLOOKUP(B649,Кат!G:J,3,0)</f>
        <v>#N/A</v>
      </c>
    </row>
    <row r="650" spans="1:5">
      <c r="A650" s="23" t="s">
        <v>1217</v>
      </c>
      <c r="B650" s="24"/>
      <c r="C650" s="24"/>
      <c r="D650" s="25"/>
      <c r="E650" t="e">
        <f>VLOOKUP(B650,Кат!G:J,3,0)</f>
        <v>#N/A</v>
      </c>
    </row>
    <row r="651" spans="1:5">
      <c r="A651" s="26" t="s">
        <v>1218</v>
      </c>
      <c r="B651" s="32">
        <v>94532</v>
      </c>
      <c r="C651" s="26" t="s">
        <v>50</v>
      </c>
      <c r="D651" s="27">
        <v>975</v>
      </c>
      <c r="E651" t="e">
        <f>VLOOKUP(B651,Кат!G:J,3,0)</f>
        <v>#N/A</v>
      </c>
    </row>
    <row r="652" spans="1:5">
      <c r="A652" s="26" t="s">
        <v>1219</v>
      </c>
      <c r="B652" s="32">
        <v>94714</v>
      </c>
      <c r="C652" s="26" t="s">
        <v>50</v>
      </c>
      <c r="D652" s="28">
        <v>1246</v>
      </c>
      <c r="E652" t="e">
        <f>VLOOKUP(B652,Кат!G:J,3,0)</f>
        <v>#N/A</v>
      </c>
    </row>
    <row r="653" spans="1:5">
      <c r="A653" s="26" t="s">
        <v>1220</v>
      </c>
      <c r="B653" s="32">
        <v>94224</v>
      </c>
      <c r="C653" s="26" t="s">
        <v>50</v>
      </c>
      <c r="D653" s="28">
        <v>1066</v>
      </c>
      <c r="E653" t="e">
        <f>VLOOKUP(B653,Кат!G:J,3,0)</f>
        <v>#N/A</v>
      </c>
    </row>
    <row r="654" spans="1:5">
      <c r="A654" s="26" t="s">
        <v>1221</v>
      </c>
      <c r="B654" s="32">
        <v>941072</v>
      </c>
      <c r="C654" s="26" t="s">
        <v>50</v>
      </c>
      <c r="D654" s="28">
        <v>1533</v>
      </c>
      <c r="E654" t="e">
        <f>VLOOKUP(B654,Кат!G:J,3,0)</f>
        <v>#N/A</v>
      </c>
    </row>
    <row r="655" spans="1:5">
      <c r="A655" s="26" t="s">
        <v>1222</v>
      </c>
      <c r="B655" s="32">
        <v>941071</v>
      </c>
      <c r="C655" s="26" t="s">
        <v>50</v>
      </c>
      <c r="D655" s="28">
        <v>2130</v>
      </c>
      <c r="E655" t="e">
        <f>VLOOKUP(B655,Кат!G:J,3,0)</f>
        <v>#N/A</v>
      </c>
    </row>
    <row r="656" spans="1:5">
      <c r="A656" s="26" t="s">
        <v>1223</v>
      </c>
      <c r="B656" s="26" t="s">
        <v>1224</v>
      </c>
      <c r="C656" s="26" t="s">
        <v>50</v>
      </c>
      <c r="D656" s="27">
        <v>276</v>
      </c>
      <c r="E656" t="e">
        <f>VLOOKUP(B656,Кат!G:J,3,0)</f>
        <v>#N/A</v>
      </c>
    </row>
    <row r="657" spans="1:5">
      <c r="A657" s="26" t="s">
        <v>1225</v>
      </c>
      <c r="B657" s="26" t="s">
        <v>1226</v>
      </c>
      <c r="C657" s="26" t="s">
        <v>50</v>
      </c>
      <c r="D657" s="27">
        <v>240</v>
      </c>
      <c r="E657" t="e">
        <f>VLOOKUP(B657,Кат!G:J,3,0)</f>
        <v>#N/A</v>
      </c>
    </row>
    <row r="658" spans="1:5">
      <c r="A658" s="26" t="s">
        <v>1227</v>
      </c>
      <c r="B658" s="26" t="s">
        <v>1228</v>
      </c>
      <c r="C658" s="26" t="s">
        <v>50</v>
      </c>
      <c r="D658" s="27">
        <v>438</v>
      </c>
      <c r="E658" t="e">
        <f>VLOOKUP(B658,Кат!G:J,3,0)</f>
        <v>#N/A</v>
      </c>
    </row>
    <row r="659" spans="1:5">
      <c r="A659" s="26" t="s">
        <v>1229</v>
      </c>
      <c r="B659" s="26" t="s">
        <v>1230</v>
      </c>
      <c r="C659" s="26" t="s">
        <v>50</v>
      </c>
      <c r="D659" s="27">
        <v>632</v>
      </c>
      <c r="E659" t="e">
        <f>VLOOKUP(B659,Кат!G:J,3,0)</f>
        <v>#N/A</v>
      </c>
    </row>
    <row r="660" spans="1:5" ht="22.5">
      <c r="A660" s="26" t="s">
        <v>1231</v>
      </c>
      <c r="B660" s="26" t="s">
        <v>1232</v>
      </c>
      <c r="C660" s="26" t="s">
        <v>50</v>
      </c>
      <c r="D660" s="27">
        <v>624</v>
      </c>
      <c r="E660" t="e">
        <f>VLOOKUP(B660,Кат!G:J,3,0)</f>
        <v>#N/A</v>
      </c>
    </row>
    <row r="661" spans="1:5">
      <c r="A661" s="26" t="s">
        <v>1233</v>
      </c>
      <c r="B661" s="26" t="s">
        <v>1234</v>
      </c>
      <c r="C661" s="26" t="s">
        <v>50</v>
      </c>
      <c r="D661" s="27">
        <v>468</v>
      </c>
      <c r="E661" t="e">
        <f>VLOOKUP(B661,Кат!G:J,3,0)</f>
        <v>#N/A</v>
      </c>
    </row>
    <row r="662" spans="1:5">
      <c r="A662" s="26" t="s">
        <v>1235</v>
      </c>
      <c r="B662" s="26" t="s">
        <v>1236</v>
      </c>
      <c r="C662" s="26" t="s">
        <v>50</v>
      </c>
      <c r="D662" s="27">
        <v>687</v>
      </c>
      <c r="E662" t="e">
        <f>VLOOKUP(B662,Кат!G:J,3,0)</f>
        <v>#N/A</v>
      </c>
    </row>
    <row r="663" spans="1:5" ht="22.5">
      <c r="A663" s="26" t="s">
        <v>1237</v>
      </c>
      <c r="B663" s="26" t="s">
        <v>1238</v>
      </c>
      <c r="C663" s="26" t="s">
        <v>50</v>
      </c>
      <c r="D663" s="27">
        <v>374</v>
      </c>
      <c r="E663" t="e">
        <f>VLOOKUP(B663,Кат!G:J,3,0)</f>
        <v>#N/A</v>
      </c>
    </row>
    <row r="664" spans="1:5">
      <c r="A664" s="26" t="s">
        <v>1239</v>
      </c>
      <c r="B664" s="26" t="s">
        <v>1240</v>
      </c>
      <c r="C664" s="26" t="s">
        <v>50</v>
      </c>
      <c r="D664" s="27">
        <v>522</v>
      </c>
      <c r="E664" t="e">
        <f>VLOOKUP(B664,Кат!G:J,3,0)</f>
        <v>#N/A</v>
      </c>
    </row>
    <row r="665" spans="1:5" ht="22.5">
      <c r="A665" s="26" t="s">
        <v>1241</v>
      </c>
      <c r="B665" s="26" t="s">
        <v>1242</v>
      </c>
      <c r="C665" s="26" t="s">
        <v>50</v>
      </c>
      <c r="D665" s="27">
        <v>625</v>
      </c>
      <c r="E665" t="e">
        <f>VLOOKUP(B665,Кат!G:J,3,0)</f>
        <v>#N/A</v>
      </c>
    </row>
    <row r="666" spans="1:5" ht="22.5">
      <c r="A666" s="26" t="s">
        <v>1243</v>
      </c>
      <c r="B666" s="26" t="s">
        <v>1244</v>
      </c>
      <c r="C666" s="26" t="s">
        <v>50</v>
      </c>
      <c r="D666" s="27">
        <v>783</v>
      </c>
      <c r="E666" t="e">
        <f>VLOOKUP(B666,Кат!G:J,3,0)</f>
        <v>#N/A</v>
      </c>
    </row>
    <row r="667" spans="1:5" ht="22.5">
      <c r="A667" s="26" t="s">
        <v>1245</v>
      </c>
      <c r="B667" s="26" t="s">
        <v>1246</v>
      </c>
      <c r="C667" s="26" t="s">
        <v>50</v>
      </c>
      <c r="D667" s="27">
        <v>670</v>
      </c>
      <c r="E667" t="e">
        <f>VLOOKUP(B667,Кат!G:J,3,0)</f>
        <v>#N/A</v>
      </c>
    </row>
    <row r="668" spans="1:5">
      <c r="A668" s="26" t="s">
        <v>1247</v>
      </c>
      <c r="B668" s="26" t="s">
        <v>1248</v>
      </c>
      <c r="C668" s="26" t="s">
        <v>50</v>
      </c>
      <c r="D668" s="27">
        <v>522</v>
      </c>
      <c r="E668" t="e">
        <f>VLOOKUP(B668,Кат!G:J,3,0)</f>
        <v>#N/A</v>
      </c>
    </row>
    <row r="669" spans="1:5" ht="22.5">
      <c r="A669" s="26" t="s">
        <v>1249</v>
      </c>
      <c r="B669" s="26" t="s">
        <v>1250</v>
      </c>
      <c r="C669" s="26" t="s">
        <v>50</v>
      </c>
      <c r="D669" s="28">
        <v>1010</v>
      </c>
      <c r="E669" t="e">
        <f>VLOOKUP(B669,Кат!G:J,3,0)</f>
        <v>#N/A</v>
      </c>
    </row>
    <row r="670" spans="1:5" ht="22.5">
      <c r="A670" s="26" t="s">
        <v>1251</v>
      </c>
      <c r="B670" s="26" t="s">
        <v>1252</v>
      </c>
      <c r="C670" s="26" t="s">
        <v>50</v>
      </c>
      <c r="D670" s="27">
        <v>788</v>
      </c>
      <c r="E670" t="e">
        <f>VLOOKUP(B670,Кат!G:J,3,0)</f>
        <v>#N/A</v>
      </c>
    </row>
    <row r="671" spans="1:5" ht="22.5">
      <c r="A671" s="26" t="s">
        <v>1253</v>
      </c>
      <c r="B671" s="26" t="s">
        <v>1254</v>
      </c>
      <c r="C671" s="26" t="s">
        <v>50</v>
      </c>
      <c r="D671" s="27">
        <v>990</v>
      </c>
      <c r="E671" t="e">
        <f>VLOOKUP(B671,Кат!G:J,3,0)</f>
        <v>#N/A</v>
      </c>
    </row>
    <row r="672" spans="1:5" ht="22.5">
      <c r="A672" s="26" t="s">
        <v>1255</v>
      </c>
      <c r="B672" s="26" t="s">
        <v>1256</v>
      </c>
      <c r="C672" s="26" t="s">
        <v>50</v>
      </c>
      <c r="D672" s="27">
        <v>612</v>
      </c>
      <c r="E672" t="e">
        <f>VLOOKUP(B672,Кат!G:J,3,0)</f>
        <v>#N/A</v>
      </c>
    </row>
    <row r="673" spans="1:5">
      <c r="A673" s="26" t="s">
        <v>1257</v>
      </c>
      <c r="B673" s="26" t="s">
        <v>1258</v>
      </c>
      <c r="C673" s="26" t="s">
        <v>50</v>
      </c>
      <c r="D673" s="27">
        <v>676</v>
      </c>
      <c r="E673" t="e">
        <f>VLOOKUP(B673,Кат!G:J,3,0)</f>
        <v>#N/A</v>
      </c>
    </row>
    <row r="674" spans="1:5">
      <c r="A674" s="26" t="s">
        <v>1259</v>
      </c>
      <c r="B674" s="26" t="s">
        <v>1260</v>
      </c>
      <c r="C674" s="26" t="s">
        <v>50</v>
      </c>
      <c r="D674" s="27">
        <v>600</v>
      </c>
      <c r="E674" t="e">
        <f>VLOOKUP(B674,Кат!G:J,3,0)</f>
        <v>#N/A</v>
      </c>
    </row>
    <row r="675" spans="1:5" ht="22.5">
      <c r="A675" s="26" t="s">
        <v>1261</v>
      </c>
      <c r="B675" s="26" t="s">
        <v>1262</v>
      </c>
      <c r="C675" s="26" t="s">
        <v>50</v>
      </c>
      <c r="D675" s="27">
        <v>466</v>
      </c>
      <c r="E675" t="e">
        <f>VLOOKUP(B675,Кат!G:J,3,0)</f>
        <v>#N/A</v>
      </c>
    </row>
    <row r="676" spans="1:5" ht="22.5">
      <c r="A676" s="26" t="s">
        <v>1263</v>
      </c>
      <c r="B676" s="26" t="s">
        <v>1264</v>
      </c>
      <c r="C676" s="26" t="s">
        <v>50</v>
      </c>
      <c r="D676" s="27">
        <v>426</v>
      </c>
      <c r="E676" t="e">
        <f>VLOOKUP(B676,Кат!G:J,3,0)</f>
        <v>#N/A</v>
      </c>
    </row>
    <row r="677" spans="1:5" ht="22.5">
      <c r="A677" s="26" t="s">
        <v>1265</v>
      </c>
      <c r="B677" s="26" t="s">
        <v>1266</v>
      </c>
      <c r="C677" s="26" t="s">
        <v>50</v>
      </c>
      <c r="D677" s="27">
        <v>375</v>
      </c>
      <c r="E677" t="e">
        <f>VLOOKUP(B677,Кат!G:J,3,0)</f>
        <v>#N/A</v>
      </c>
    </row>
    <row r="678" spans="1:5">
      <c r="A678" s="26" t="s">
        <v>1267</v>
      </c>
      <c r="B678" s="32">
        <v>94660</v>
      </c>
      <c r="C678" s="26" t="s">
        <v>50</v>
      </c>
      <c r="D678" s="27">
        <v>908</v>
      </c>
      <c r="E678" t="e">
        <f>VLOOKUP(B678,Кат!G:J,3,0)</f>
        <v>#N/A</v>
      </c>
    </row>
    <row r="679" spans="1:5">
      <c r="A679" s="26" t="s">
        <v>1268</v>
      </c>
      <c r="B679" s="32">
        <v>94904</v>
      </c>
      <c r="C679" s="26" t="s">
        <v>50</v>
      </c>
      <c r="D679" s="28">
        <v>1268</v>
      </c>
      <c r="E679" t="e">
        <f>VLOOKUP(B679,Кат!G:J,3,0)</f>
        <v>#N/A</v>
      </c>
    </row>
    <row r="680" spans="1:5">
      <c r="A680" s="26" t="s">
        <v>1269</v>
      </c>
      <c r="B680" s="32">
        <v>94809</v>
      </c>
      <c r="C680" s="26" t="s">
        <v>50</v>
      </c>
      <c r="D680" s="27">
        <v>858</v>
      </c>
      <c r="E680" t="e">
        <f>VLOOKUP(B680,Кат!G:J,3,0)</f>
        <v>#N/A</v>
      </c>
    </row>
    <row r="681" spans="1:5">
      <c r="A681" s="26" t="s">
        <v>1270</v>
      </c>
      <c r="B681" s="32">
        <v>94266</v>
      </c>
      <c r="C681" s="26" t="s">
        <v>50</v>
      </c>
      <c r="D681" s="28">
        <v>1118</v>
      </c>
      <c r="E681" t="e">
        <f>VLOOKUP(B681,Кат!G:J,3,0)</f>
        <v>#N/A</v>
      </c>
    </row>
    <row r="682" spans="1:5" ht="22.5">
      <c r="A682" s="26" t="s">
        <v>1271</v>
      </c>
      <c r="B682" s="32">
        <v>94978</v>
      </c>
      <c r="C682" s="26" t="s">
        <v>50</v>
      </c>
      <c r="D682" s="28">
        <v>2060</v>
      </c>
      <c r="E682" t="e">
        <f>VLOOKUP(B682,Кат!G:J,3,0)</f>
        <v>#N/A</v>
      </c>
    </row>
    <row r="683" spans="1:5">
      <c r="A683" s="26" t="s">
        <v>1272</v>
      </c>
      <c r="B683" s="32">
        <v>94847</v>
      </c>
      <c r="C683" s="26" t="s">
        <v>50</v>
      </c>
      <c r="D683" s="28">
        <v>1412</v>
      </c>
      <c r="E683" t="e">
        <f>VLOOKUP(B683,Кат!G:J,3,0)</f>
        <v>#N/A</v>
      </c>
    </row>
    <row r="684" spans="1:5" ht="22.5">
      <c r="A684" s="26" t="s">
        <v>1273</v>
      </c>
      <c r="B684" s="32">
        <v>94997</v>
      </c>
      <c r="C684" s="26" t="s">
        <v>50</v>
      </c>
      <c r="D684" s="28">
        <v>1965</v>
      </c>
      <c r="E684" t="e">
        <f>VLOOKUP(B684,Кат!G:J,3,0)</f>
        <v>#N/A</v>
      </c>
    </row>
    <row r="685" spans="1:5">
      <c r="A685" s="26" t="s">
        <v>1274</v>
      </c>
      <c r="B685" s="32">
        <v>941059</v>
      </c>
      <c r="C685" s="26" t="s">
        <v>50</v>
      </c>
      <c r="D685" s="28">
        <v>1158</v>
      </c>
      <c r="E685" t="e">
        <f>VLOOKUP(B685,Кат!G:J,3,0)</f>
        <v>#N/A</v>
      </c>
    </row>
    <row r="686" spans="1:5" ht="22.5">
      <c r="A686" s="26" t="s">
        <v>1275</v>
      </c>
      <c r="B686" s="26" t="s">
        <v>1276</v>
      </c>
      <c r="C686" s="26" t="s">
        <v>50</v>
      </c>
      <c r="D686" s="27">
        <v>449</v>
      </c>
      <c r="E686" t="e">
        <f>VLOOKUP(B686,Кат!G:J,3,0)</f>
        <v>#N/A</v>
      </c>
    </row>
    <row r="687" spans="1:5" ht="22.5">
      <c r="A687" s="26" t="s">
        <v>1277</v>
      </c>
      <c r="B687" s="26" t="s">
        <v>1278</v>
      </c>
      <c r="C687" s="26" t="s">
        <v>49</v>
      </c>
      <c r="D687" s="28">
        <v>5150</v>
      </c>
      <c r="E687" t="e">
        <f>VLOOKUP(B687,Кат!G:J,3,0)</f>
        <v>#N/A</v>
      </c>
    </row>
    <row r="688" spans="1:5" ht="22.5">
      <c r="A688" s="26" t="s">
        <v>1279</v>
      </c>
      <c r="B688" s="26" t="s">
        <v>1280</v>
      </c>
      <c r="C688" s="26" t="s">
        <v>49</v>
      </c>
      <c r="D688" s="28">
        <v>5680</v>
      </c>
      <c r="E688" t="e">
        <f>VLOOKUP(B688,Кат!G:J,3,0)</f>
        <v>#N/A</v>
      </c>
    </row>
    <row r="689" spans="1:5" ht="22.5">
      <c r="A689" s="26" t="s">
        <v>1281</v>
      </c>
      <c r="B689" s="26" t="s">
        <v>1282</v>
      </c>
      <c r="C689" s="26" t="s">
        <v>49</v>
      </c>
      <c r="D689" s="28">
        <v>4535</v>
      </c>
      <c r="E689" t="e">
        <f>VLOOKUP(B689,Кат!G:J,3,0)</f>
        <v>#N/A</v>
      </c>
    </row>
    <row r="690" spans="1:5">
      <c r="A690" s="23" t="s">
        <v>1283</v>
      </c>
      <c r="B690" s="24"/>
      <c r="C690" s="24"/>
      <c r="D690" s="25"/>
      <c r="E690" t="e">
        <f>VLOOKUP(B690,Кат!G:J,3,0)</f>
        <v>#N/A</v>
      </c>
    </row>
    <row r="691" spans="1:5">
      <c r="A691" s="29" t="s">
        <v>1284</v>
      </c>
      <c r="B691" s="30"/>
      <c r="C691" s="30"/>
      <c r="D691" s="31"/>
      <c r="E691" t="e">
        <f>VLOOKUP(B691,Кат!G:J,3,0)</f>
        <v>#N/A</v>
      </c>
    </row>
    <row r="692" spans="1:5" ht="22.5">
      <c r="A692" s="26" t="s">
        <v>1285</v>
      </c>
      <c r="B692" s="26" t="s">
        <v>1286</v>
      </c>
      <c r="C692" s="26" t="s">
        <v>49</v>
      </c>
      <c r="D692" s="28">
        <v>3015</v>
      </c>
      <c r="E692" t="e">
        <f>VLOOKUP(B692,Кат!G:J,3,0)</f>
        <v>#N/A</v>
      </c>
    </row>
    <row r="693" spans="1:5" ht="22.5">
      <c r="A693" s="26" t="s">
        <v>1287</v>
      </c>
      <c r="B693" s="26" t="s">
        <v>1288</v>
      </c>
      <c r="C693" s="26" t="s">
        <v>49</v>
      </c>
      <c r="D693" s="28">
        <v>2870</v>
      </c>
      <c r="E693" t="e">
        <f>VLOOKUP(B693,Кат!G:J,3,0)</f>
        <v>#N/A</v>
      </c>
    </row>
    <row r="694" spans="1:5" ht="22.5">
      <c r="A694" s="26" t="s">
        <v>1289</v>
      </c>
      <c r="B694" s="26" t="s">
        <v>1290</v>
      </c>
      <c r="C694" s="26" t="s">
        <v>49</v>
      </c>
      <c r="D694" s="28">
        <v>2870</v>
      </c>
      <c r="E694" t="e">
        <f>VLOOKUP(B694,Кат!G:J,3,0)</f>
        <v>#N/A</v>
      </c>
    </row>
    <row r="695" spans="1:5" ht="22.5">
      <c r="A695" s="26" t="s">
        <v>1291</v>
      </c>
      <c r="B695" s="26" t="s">
        <v>1292</v>
      </c>
      <c r="C695" s="26" t="s">
        <v>49</v>
      </c>
      <c r="D695" s="28">
        <v>3015</v>
      </c>
      <c r="E695" t="e">
        <f>VLOOKUP(B695,Кат!G:J,3,0)</f>
        <v>#N/A</v>
      </c>
    </row>
    <row r="696" spans="1:5" ht="22.5">
      <c r="A696" s="26" t="s">
        <v>1293</v>
      </c>
      <c r="B696" s="26" t="s">
        <v>1294</v>
      </c>
      <c r="C696" s="26" t="s">
        <v>49</v>
      </c>
      <c r="D696" s="28">
        <v>2870</v>
      </c>
      <c r="E696" t="e">
        <f>VLOOKUP(B696,Кат!G:J,3,0)</f>
        <v>#N/A</v>
      </c>
    </row>
    <row r="697" spans="1:5" ht="22.5">
      <c r="A697" s="26" t="s">
        <v>1295</v>
      </c>
      <c r="B697" s="26" t="s">
        <v>1296</v>
      </c>
      <c r="C697" s="26" t="s">
        <v>49</v>
      </c>
      <c r="D697" s="28">
        <v>3015</v>
      </c>
      <c r="E697" t="e">
        <f>VLOOKUP(B697,Кат!G:J,3,0)</f>
        <v>#N/A</v>
      </c>
    </row>
    <row r="698" spans="1:5" ht="22.5">
      <c r="A698" s="26" t="s">
        <v>1297</v>
      </c>
      <c r="B698" s="26" t="s">
        <v>1298</v>
      </c>
      <c r="C698" s="26" t="s">
        <v>49</v>
      </c>
      <c r="D698" s="28">
        <v>2870</v>
      </c>
      <c r="E698" t="e">
        <f>VLOOKUP(B698,Кат!G:J,3,0)</f>
        <v>#N/A</v>
      </c>
    </row>
    <row r="699" spans="1:5" ht="22.5">
      <c r="A699" s="26" t="s">
        <v>1299</v>
      </c>
      <c r="B699" s="26" t="s">
        <v>1300</v>
      </c>
      <c r="C699" s="26" t="s">
        <v>49</v>
      </c>
      <c r="D699" s="28">
        <v>3625</v>
      </c>
      <c r="E699" t="e">
        <f>VLOOKUP(B699,Кат!G:J,3,0)</f>
        <v>#N/A</v>
      </c>
    </row>
    <row r="700" spans="1:5" ht="22.5">
      <c r="A700" s="26" t="s">
        <v>1301</v>
      </c>
      <c r="B700" s="26" t="s">
        <v>1302</v>
      </c>
      <c r="C700" s="26" t="s">
        <v>49</v>
      </c>
      <c r="D700" s="28">
        <v>4750</v>
      </c>
      <c r="E700" t="e">
        <f>VLOOKUP(B700,Кат!G:J,3,0)</f>
        <v>#N/A</v>
      </c>
    </row>
    <row r="701" spans="1:5" ht="22.5">
      <c r="A701" s="26" t="s">
        <v>1303</v>
      </c>
      <c r="B701" s="26" t="s">
        <v>1304</v>
      </c>
      <c r="C701" s="26" t="s">
        <v>49</v>
      </c>
      <c r="D701" s="28">
        <v>4605</v>
      </c>
      <c r="E701" t="e">
        <f>VLOOKUP(B701,Кат!G:J,3,0)</f>
        <v>#N/A</v>
      </c>
    </row>
    <row r="702" spans="1:5" ht="22.5">
      <c r="A702" s="26" t="s">
        <v>1305</v>
      </c>
      <c r="B702" s="26" t="s">
        <v>1306</v>
      </c>
      <c r="C702" s="26" t="s">
        <v>49</v>
      </c>
      <c r="D702" s="28">
        <v>4225</v>
      </c>
      <c r="E702" t="e">
        <f>VLOOKUP(B702,Кат!G:J,3,0)</f>
        <v>#N/A</v>
      </c>
    </row>
    <row r="703" spans="1:5" ht="22.5">
      <c r="A703" s="26" t="s">
        <v>1307</v>
      </c>
      <c r="B703" s="26" t="s">
        <v>1308</v>
      </c>
      <c r="C703" s="26" t="s">
        <v>49</v>
      </c>
      <c r="D703" s="28">
        <v>4370</v>
      </c>
      <c r="E703" t="e">
        <f>VLOOKUP(B703,Кат!G:J,3,0)</f>
        <v>#N/A</v>
      </c>
    </row>
    <row r="704" spans="1:5" ht="22.5">
      <c r="A704" s="26" t="s">
        <v>1309</v>
      </c>
      <c r="B704" s="26" t="s">
        <v>1310</v>
      </c>
      <c r="C704" s="26" t="s">
        <v>49</v>
      </c>
      <c r="D704" s="28">
        <v>4225</v>
      </c>
      <c r="E704" t="e">
        <f>VLOOKUP(B704,Кат!G:J,3,0)</f>
        <v>#N/A</v>
      </c>
    </row>
    <row r="705" spans="1:5" ht="22.5">
      <c r="A705" s="26" t="s">
        <v>1311</v>
      </c>
      <c r="B705" s="26" t="s">
        <v>1312</v>
      </c>
      <c r="C705" s="26" t="s">
        <v>49</v>
      </c>
      <c r="D705" s="28">
        <v>4605</v>
      </c>
      <c r="E705" t="e">
        <f>VLOOKUP(B705,Кат!G:J,3,0)</f>
        <v>#N/A</v>
      </c>
    </row>
    <row r="706" spans="1:5" ht="22.5">
      <c r="A706" s="26" t="s">
        <v>1313</v>
      </c>
      <c r="B706" s="26" t="s">
        <v>1314</v>
      </c>
      <c r="C706" s="26" t="s">
        <v>49</v>
      </c>
      <c r="D706" s="28">
        <v>6290</v>
      </c>
      <c r="E706" t="e">
        <f>VLOOKUP(B706,Кат!G:J,3,0)</f>
        <v>#N/A</v>
      </c>
    </row>
    <row r="707" spans="1:5" ht="22.5">
      <c r="A707" s="26" t="s">
        <v>1315</v>
      </c>
      <c r="B707" s="26" t="s">
        <v>1316</v>
      </c>
      <c r="C707" s="26" t="s">
        <v>49</v>
      </c>
      <c r="D707" s="28">
        <v>4605</v>
      </c>
      <c r="E707" t="e">
        <f>VLOOKUP(B707,Кат!G:J,3,0)</f>
        <v>#N/A</v>
      </c>
    </row>
    <row r="708" spans="1:5">
      <c r="A708" s="26" t="s">
        <v>1317</v>
      </c>
      <c r="B708" s="26"/>
      <c r="C708" s="26" t="s">
        <v>49</v>
      </c>
      <c r="D708" s="28">
        <v>1280</v>
      </c>
      <c r="E708" t="e">
        <f>VLOOKUP(B708,Кат!G:J,3,0)</f>
        <v>#N/A</v>
      </c>
    </row>
    <row r="709" spans="1:5">
      <c r="A709" s="26" t="s">
        <v>1318</v>
      </c>
      <c r="B709" s="26"/>
      <c r="C709" s="26" t="s">
        <v>49</v>
      </c>
      <c r="D709" s="28">
        <v>1280</v>
      </c>
      <c r="E709" t="e">
        <f>VLOOKUP(B709,Кат!G:J,3,0)</f>
        <v>#N/A</v>
      </c>
    </row>
    <row r="710" spans="1:5">
      <c r="A710" s="29" t="s">
        <v>1319</v>
      </c>
      <c r="B710" s="30"/>
      <c r="C710" s="30"/>
      <c r="D710" s="31"/>
      <c r="E710" t="e">
        <f>VLOOKUP(B710,Кат!G:J,3,0)</f>
        <v>#N/A</v>
      </c>
    </row>
    <row r="711" spans="1:5">
      <c r="A711" s="26" t="s">
        <v>1320</v>
      </c>
      <c r="B711" s="26" t="s">
        <v>1321</v>
      </c>
      <c r="C711" s="26" t="s">
        <v>50</v>
      </c>
      <c r="D711" s="27">
        <v>490</v>
      </c>
      <c r="E711" t="e">
        <f>VLOOKUP(B711,Кат!G:J,3,0)</f>
        <v>#N/A</v>
      </c>
    </row>
    <row r="712" spans="1:5">
      <c r="A712" s="26" t="s">
        <v>1322</v>
      </c>
      <c r="B712" s="26" t="s">
        <v>1323</v>
      </c>
      <c r="C712" s="26" t="s">
        <v>50</v>
      </c>
      <c r="D712" s="27">
        <v>874</v>
      </c>
      <c r="E712" t="e">
        <f>VLOOKUP(B712,Кат!G:J,3,0)</f>
        <v>#N/A</v>
      </c>
    </row>
    <row r="713" spans="1:5">
      <c r="A713" s="26" t="s">
        <v>1324</v>
      </c>
      <c r="B713" s="26" t="s">
        <v>1325</v>
      </c>
      <c r="C713" s="26" t="s">
        <v>50</v>
      </c>
      <c r="D713" s="27">
        <v>874</v>
      </c>
      <c r="E713" t="e">
        <f>VLOOKUP(B713,Кат!G:J,3,0)</f>
        <v>#N/A</v>
      </c>
    </row>
    <row r="714" spans="1:5">
      <c r="A714" s="26" t="s">
        <v>1326</v>
      </c>
      <c r="B714" s="26" t="s">
        <v>1327</v>
      </c>
      <c r="C714" s="26" t="s">
        <v>50</v>
      </c>
      <c r="D714" s="27">
        <v>552</v>
      </c>
      <c r="E714" t="e">
        <f>VLOOKUP(B714,Кат!G:J,3,0)</f>
        <v>#N/A</v>
      </c>
    </row>
    <row r="715" spans="1:5">
      <c r="A715" s="26" t="s">
        <v>1328</v>
      </c>
      <c r="B715" s="26" t="s">
        <v>1329</v>
      </c>
      <c r="C715" s="26" t="s">
        <v>50</v>
      </c>
      <c r="D715" s="27">
        <v>950</v>
      </c>
      <c r="E715" t="e">
        <f>VLOOKUP(B715,Кат!G:J,3,0)</f>
        <v>#N/A</v>
      </c>
    </row>
    <row r="716" spans="1:5">
      <c r="A716" s="26" t="s">
        <v>1330</v>
      </c>
      <c r="B716" s="26" t="s">
        <v>1331</v>
      </c>
      <c r="C716" s="26" t="s">
        <v>50</v>
      </c>
      <c r="D716" s="27">
        <v>568</v>
      </c>
      <c r="E716" t="e">
        <f>VLOOKUP(B716,Кат!G:J,3,0)</f>
        <v>#N/A</v>
      </c>
    </row>
    <row r="717" spans="1:5">
      <c r="A717" s="26" t="s">
        <v>1332</v>
      </c>
      <c r="B717" s="26" t="s">
        <v>1333</v>
      </c>
      <c r="C717" s="26" t="s">
        <v>50</v>
      </c>
      <c r="D717" s="27">
        <v>568</v>
      </c>
      <c r="E717" t="e">
        <f>VLOOKUP(B717,Кат!G:J,3,0)</f>
        <v>#N/A</v>
      </c>
    </row>
    <row r="718" spans="1:5">
      <c r="A718" s="26" t="s">
        <v>1334</v>
      </c>
      <c r="B718" s="26" t="s">
        <v>1335</v>
      </c>
      <c r="C718" s="26" t="s">
        <v>50</v>
      </c>
      <c r="D718" s="27">
        <v>746</v>
      </c>
      <c r="E718" t="e">
        <f>VLOOKUP(B718,Кат!G:J,3,0)</f>
        <v>#N/A</v>
      </c>
    </row>
    <row r="719" spans="1:5">
      <c r="A719" s="26" t="s">
        <v>1336</v>
      </c>
      <c r="B719" s="26" t="s">
        <v>1337</v>
      </c>
      <c r="C719" s="26" t="s">
        <v>50</v>
      </c>
      <c r="D719" s="27">
        <v>422</v>
      </c>
      <c r="E719" t="e">
        <f>VLOOKUP(B719,Кат!G:J,3,0)</f>
        <v>#N/A</v>
      </c>
    </row>
    <row r="720" spans="1:5">
      <c r="A720" s="26" t="s">
        <v>1338</v>
      </c>
      <c r="B720" s="26" t="s">
        <v>1339</v>
      </c>
      <c r="C720" s="26" t="s">
        <v>50</v>
      </c>
      <c r="D720" s="27">
        <v>363</v>
      </c>
      <c r="E720" t="e">
        <f>VLOOKUP(B720,Кат!G:J,3,0)</f>
        <v>#N/A</v>
      </c>
    </row>
    <row r="721" spans="1:5">
      <c r="A721" s="26" t="s">
        <v>1340</v>
      </c>
      <c r="B721" s="26" t="s">
        <v>1341</v>
      </c>
      <c r="C721" s="26" t="s">
        <v>50</v>
      </c>
      <c r="D721" s="27">
        <v>363</v>
      </c>
      <c r="E721" t="e">
        <f>VLOOKUP(B721,Кат!G:J,3,0)</f>
        <v>#N/A</v>
      </c>
    </row>
    <row r="722" spans="1:5">
      <c r="A722" s="26" t="s">
        <v>1342</v>
      </c>
      <c r="B722" s="26" t="s">
        <v>1343</v>
      </c>
      <c r="C722" s="26" t="s">
        <v>50</v>
      </c>
      <c r="D722" s="27">
        <v>363</v>
      </c>
      <c r="E722" t="e">
        <f>VLOOKUP(B722,Кат!G:J,3,0)</f>
        <v>#N/A</v>
      </c>
    </row>
    <row r="723" spans="1:5">
      <c r="A723" s="26" t="s">
        <v>1344</v>
      </c>
      <c r="B723" s="26" t="s">
        <v>1345</v>
      </c>
      <c r="C723" s="26" t="s">
        <v>49</v>
      </c>
      <c r="D723" s="28">
        <v>1620</v>
      </c>
      <c r="E723" t="e">
        <f>VLOOKUP(B723,Кат!G:J,3,0)</f>
        <v>#N/A</v>
      </c>
    </row>
    <row r="724" spans="1:5">
      <c r="A724" s="29" t="s">
        <v>1346</v>
      </c>
      <c r="B724" s="30"/>
      <c r="C724" s="30"/>
      <c r="D724" s="31"/>
      <c r="E724" t="e">
        <f>VLOOKUP(B724,Кат!G:J,3,0)</f>
        <v>#N/A</v>
      </c>
    </row>
    <row r="725" spans="1:5" ht="22.5">
      <c r="A725" s="26" t="s">
        <v>1347</v>
      </c>
      <c r="B725" s="26" t="s">
        <v>1348</v>
      </c>
      <c r="C725" s="26" t="s">
        <v>49</v>
      </c>
      <c r="D725" s="28">
        <v>3775</v>
      </c>
      <c r="E725" t="e">
        <f>VLOOKUP(B725,Кат!G:J,3,0)</f>
        <v>#N/A</v>
      </c>
    </row>
    <row r="726" spans="1:5" ht="22.5">
      <c r="A726" s="26" t="s">
        <v>1349</v>
      </c>
      <c r="B726" s="26" t="s">
        <v>1350</v>
      </c>
      <c r="C726" s="26" t="s">
        <v>49</v>
      </c>
      <c r="D726" s="28">
        <v>3775</v>
      </c>
      <c r="E726" t="e">
        <f>VLOOKUP(B726,Кат!G:J,3,0)</f>
        <v>#N/A</v>
      </c>
    </row>
    <row r="727" spans="1:5" ht="22.5">
      <c r="A727" s="26" t="s">
        <v>1351</v>
      </c>
      <c r="B727" s="26" t="s">
        <v>1352</v>
      </c>
      <c r="C727" s="26" t="s">
        <v>49</v>
      </c>
      <c r="D727" s="28">
        <v>3925</v>
      </c>
      <c r="E727" t="e">
        <f>VLOOKUP(B727,Кат!G:J,3,0)</f>
        <v>#N/A</v>
      </c>
    </row>
    <row r="728" spans="1:5" ht="22.5">
      <c r="A728" s="26" t="s">
        <v>1353</v>
      </c>
      <c r="B728" s="26" t="s">
        <v>1354</v>
      </c>
      <c r="C728" s="26" t="s">
        <v>49</v>
      </c>
      <c r="D728" s="28">
        <v>5750</v>
      </c>
      <c r="E728" t="e">
        <f>VLOOKUP(B728,Кат!G:J,3,0)</f>
        <v>#N/A</v>
      </c>
    </row>
    <row r="729" spans="1:5" ht="22.5">
      <c r="A729" s="26" t="s">
        <v>1355</v>
      </c>
      <c r="B729" s="26" t="s">
        <v>1356</v>
      </c>
      <c r="C729" s="26" t="s">
        <v>49</v>
      </c>
      <c r="D729" s="28">
        <v>6910</v>
      </c>
      <c r="E729" t="e">
        <f>VLOOKUP(B729,Кат!G:J,3,0)</f>
        <v>#N/A</v>
      </c>
    </row>
    <row r="730" spans="1:5">
      <c r="A730" s="23" t="s">
        <v>1357</v>
      </c>
      <c r="B730" s="24"/>
      <c r="C730" s="24"/>
      <c r="D730" s="25"/>
      <c r="E730" t="e">
        <f>VLOOKUP(B730,Кат!G:J,3,0)</f>
        <v>#N/A</v>
      </c>
    </row>
    <row r="731" spans="1:5">
      <c r="A731" s="26" t="s">
        <v>1358</v>
      </c>
      <c r="B731" s="32">
        <v>3047</v>
      </c>
      <c r="C731" s="26" t="s">
        <v>50</v>
      </c>
      <c r="D731" s="27">
        <v>185</v>
      </c>
      <c r="E731" t="e">
        <f>VLOOKUP(B731,Кат!G:J,3,0)</f>
        <v>#N/A</v>
      </c>
    </row>
    <row r="732" spans="1:5" ht="22.5">
      <c r="A732" s="26" t="s">
        <v>1359</v>
      </c>
      <c r="B732" s="26" t="s">
        <v>1360</v>
      </c>
      <c r="C732" s="26" t="s">
        <v>50</v>
      </c>
      <c r="D732" s="27">
        <v>200</v>
      </c>
      <c r="E732" t="e">
        <f>VLOOKUP(B732,Кат!G:J,3,0)</f>
        <v>#N/A</v>
      </c>
    </row>
    <row r="733" spans="1:5" ht="22.5">
      <c r="A733" s="26" t="s">
        <v>1361</v>
      </c>
      <c r="B733" s="26" t="s">
        <v>1362</v>
      </c>
      <c r="C733" s="26" t="s">
        <v>50</v>
      </c>
      <c r="D733" s="27">
        <v>185</v>
      </c>
      <c r="E733" t="e">
        <f>VLOOKUP(B733,Кат!G:J,3,0)</f>
        <v>#N/A</v>
      </c>
    </row>
    <row r="734" spans="1:5">
      <c r="A734" s="26" t="s">
        <v>1363</v>
      </c>
      <c r="B734" s="26" t="s">
        <v>1364</v>
      </c>
      <c r="C734" s="26" t="s">
        <v>49</v>
      </c>
      <c r="D734" s="27">
        <v>840</v>
      </c>
      <c r="E734" t="e">
        <f>VLOOKUP(B734,Кат!G:J,3,0)</f>
        <v>#N/A</v>
      </c>
    </row>
    <row r="735" spans="1:5">
      <c r="A735" s="26" t="s">
        <v>1365</v>
      </c>
      <c r="B735" s="26" t="s">
        <v>1366</v>
      </c>
      <c r="C735" s="26" t="s">
        <v>49</v>
      </c>
      <c r="D735" s="27">
        <v>820</v>
      </c>
      <c r="E735" t="e">
        <f>VLOOKUP(B735,Кат!G:J,3,0)</f>
        <v>#N/A</v>
      </c>
    </row>
    <row r="736" spans="1:5">
      <c r="A736" s="26" t="s">
        <v>1367</v>
      </c>
      <c r="B736" s="26" t="s">
        <v>1368</v>
      </c>
      <c r="C736" s="26" t="s">
        <v>49</v>
      </c>
      <c r="D736" s="28">
        <v>1100</v>
      </c>
      <c r="E736" t="e">
        <f>VLOOKUP(B736,Кат!G:J,3,0)</f>
        <v>#N/A</v>
      </c>
    </row>
    <row r="737" spans="1:5">
      <c r="A737" s="26" t="s">
        <v>1369</v>
      </c>
      <c r="B737" s="26" t="s">
        <v>1370</v>
      </c>
      <c r="C737" s="26" t="s">
        <v>49</v>
      </c>
      <c r="D737" s="28">
        <v>1180</v>
      </c>
      <c r="E737" t="e">
        <f>VLOOKUP(B737,Кат!G:J,3,0)</f>
        <v>#N/A</v>
      </c>
    </row>
    <row r="738" spans="1:5">
      <c r="A738" s="26" t="s">
        <v>1371</v>
      </c>
      <c r="B738" s="26" t="s">
        <v>1372</v>
      </c>
      <c r="C738" s="26" t="s">
        <v>49</v>
      </c>
      <c r="D738" s="28">
        <v>1100</v>
      </c>
      <c r="E738" t="e">
        <f>VLOOKUP(B738,Кат!G:J,3,0)</f>
        <v>#N/A</v>
      </c>
    </row>
    <row r="739" spans="1:5">
      <c r="A739" s="26" t="s">
        <v>1373</v>
      </c>
      <c r="B739" s="26" t="s">
        <v>1374</v>
      </c>
      <c r="C739" s="26" t="s">
        <v>49</v>
      </c>
      <c r="D739" s="28">
        <v>1440</v>
      </c>
      <c r="E739" t="e">
        <f>VLOOKUP(B739,Кат!G:J,3,0)</f>
        <v>#N/A</v>
      </c>
    </row>
    <row r="740" spans="1:5" ht="22.5">
      <c r="A740" s="26" t="s">
        <v>1375</v>
      </c>
      <c r="B740" s="26" t="s">
        <v>1376</v>
      </c>
      <c r="C740" s="26" t="s">
        <v>49</v>
      </c>
      <c r="D740" s="28">
        <v>1620</v>
      </c>
      <c r="E740" t="e">
        <f>VLOOKUP(B740,Кат!G:J,3,0)</f>
        <v>#N/A</v>
      </c>
    </row>
    <row r="741" spans="1:5">
      <c r="A741" s="23" t="s">
        <v>1377</v>
      </c>
      <c r="B741" s="24"/>
      <c r="C741" s="24"/>
      <c r="D741" s="25"/>
      <c r="E741" t="e">
        <f>VLOOKUP(B741,Кат!G:J,3,0)</f>
        <v>#N/A</v>
      </c>
    </row>
    <row r="742" spans="1:5" ht="22.5">
      <c r="A742" s="26" t="s">
        <v>1378</v>
      </c>
      <c r="B742" s="26" t="s">
        <v>1379</v>
      </c>
      <c r="C742" s="26" t="s">
        <v>50</v>
      </c>
      <c r="D742" s="28">
        <v>1919</v>
      </c>
      <c r="E742" t="e">
        <f>VLOOKUP(B742,Кат!G:J,3,0)</f>
        <v>#N/A</v>
      </c>
    </row>
    <row r="743" spans="1:5">
      <c r="A743" s="26" t="s">
        <v>1380</v>
      </c>
      <c r="B743" s="26" t="s">
        <v>1381</v>
      </c>
      <c r="C743" s="26" t="s">
        <v>50</v>
      </c>
      <c r="D743" s="28">
        <v>1289</v>
      </c>
      <c r="E743" t="e">
        <f>VLOOKUP(B743,Кат!G:J,3,0)</f>
        <v>#N/A</v>
      </c>
    </row>
    <row r="744" spans="1:5">
      <c r="A744" s="26" t="s">
        <v>1382</v>
      </c>
      <c r="B744" s="26" t="s">
        <v>1383</v>
      </c>
      <c r="C744" s="26" t="s">
        <v>50</v>
      </c>
      <c r="D744" s="28">
        <v>1316</v>
      </c>
      <c r="E744" t="e">
        <f>VLOOKUP(B744,Кат!G:J,3,0)</f>
        <v>#N/A</v>
      </c>
    </row>
    <row r="745" spans="1:5">
      <c r="A745" s="26" t="s">
        <v>1384</v>
      </c>
      <c r="B745" s="26" t="s">
        <v>1385</v>
      </c>
      <c r="C745" s="26" t="s">
        <v>50</v>
      </c>
      <c r="D745" s="28">
        <v>1356</v>
      </c>
      <c r="E745" t="e">
        <f>VLOOKUP(B745,Кат!G:J,3,0)</f>
        <v>#N/A</v>
      </c>
    </row>
    <row r="746" spans="1:5">
      <c r="A746" s="26" t="s">
        <v>1386</v>
      </c>
      <c r="B746" s="26" t="s">
        <v>1387</v>
      </c>
      <c r="C746" s="26" t="s">
        <v>50</v>
      </c>
      <c r="D746" s="28">
        <v>1427</v>
      </c>
      <c r="E746" t="e">
        <f>VLOOKUP(B746,Кат!G:J,3,0)</f>
        <v>#N/A</v>
      </c>
    </row>
    <row r="747" spans="1:5">
      <c r="A747" s="26" t="s">
        <v>1388</v>
      </c>
      <c r="B747" s="26" t="s">
        <v>1389</v>
      </c>
      <c r="C747" s="26" t="s">
        <v>50</v>
      </c>
      <c r="D747" s="28">
        <v>1427</v>
      </c>
      <c r="E747" t="e">
        <f>VLOOKUP(B747,Кат!G:J,3,0)</f>
        <v>#N/A</v>
      </c>
    </row>
    <row r="748" spans="1:5">
      <c r="A748" s="26" t="s">
        <v>1390</v>
      </c>
      <c r="B748" s="26" t="s">
        <v>1391</v>
      </c>
      <c r="C748" s="26" t="s">
        <v>50</v>
      </c>
      <c r="D748" s="28">
        <v>1427</v>
      </c>
      <c r="E748" t="e">
        <f>VLOOKUP(B748,Кат!G:J,3,0)</f>
        <v>#N/A</v>
      </c>
    </row>
    <row r="749" spans="1:5">
      <c r="A749" s="26" t="s">
        <v>1392</v>
      </c>
      <c r="B749" s="26" t="s">
        <v>1393</v>
      </c>
      <c r="C749" s="26" t="s">
        <v>50</v>
      </c>
      <c r="D749" s="28">
        <v>2036</v>
      </c>
      <c r="E749" t="e">
        <f>VLOOKUP(B749,Кат!G:J,3,0)</f>
        <v>#N/A</v>
      </c>
    </row>
    <row r="750" spans="1:5">
      <c r="A750" s="26" t="s">
        <v>1394</v>
      </c>
      <c r="B750" s="26" t="s">
        <v>1395</v>
      </c>
      <c r="C750" s="26" t="s">
        <v>50</v>
      </c>
      <c r="D750" s="28">
        <v>2005</v>
      </c>
      <c r="E750" t="e">
        <f>VLOOKUP(B750,Кат!G:J,3,0)</f>
        <v>#N/A</v>
      </c>
    </row>
    <row r="751" spans="1:5">
      <c r="A751" s="26" t="s">
        <v>1396</v>
      </c>
      <c r="B751" s="26" t="s">
        <v>1397</v>
      </c>
      <c r="C751" s="26" t="s">
        <v>50</v>
      </c>
      <c r="D751" s="28">
        <v>1872</v>
      </c>
      <c r="E751" t="e">
        <f>VLOOKUP(B751,Кат!G:J,3,0)</f>
        <v>#N/A</v>
      </c>
    </row>
    <row r="752" spans="1:5" ht="22.5">
      <c r="A752" s="26" t="s">
        <v>1398</v>
      </c>
      <c r="B752" s="26" t="s">
        <v>1399</v>
      </c>
      <c r="C752" s="26" t="s">
        <v>50</v>
      </c>
      <c r="D752" s="28">
        <v>2315</v>
      </c>
      <c r="E752" t="e">
        <f>VLOOKUP(B752,Кат!G:J,3,0)</f>
        <v>#N/A</v>
      </c>
    </row>
    <row r="753" spans="1:5">
      <c r="A753" s="26" t="s">
        <v>1400</v>
      </c>
      <c r="B753" s="26" t="s">
        <v>1401</v>
      </c>
      <c r="C753" s="26" t="s">
        <v>50</v>
      </c>
      <c r="D753" s="28">
        <v>2299</v>
      </c>
      <c r="E753" t="e">
        <f>VLOOKUP(B753,Кат!G:J,3,0)</f>
        <v>#N/A</v>
      </c>
    </row>
    <row r="754" spans="1:5">
      <c r="A754" s="26" t="s">
        <v>1402</v>
      </c>
      <c r="B754" s="26" t="s">
        <v>1403</v>
      </c>
      <c r="C754" s="26" t="s">
        <v>50</v>
      </c>
      <c r="D754" s="28">
        <v>2055</v>
      </c>
      <c r="E754" t="e">
        <f>VLOOKUP(B754,Кат!G:J,3,0)</f>
        <v>#N/A</v>
      </c>
    </row>
    <row r="755" spans="1:5">
      <c r="A755" s="26" t="s">
        <v>1404</v>
      </c>
      <c r="B755" s="26" t="s">
        <v>1405</v>
      </c>
      <c r="C755" s="26" t="s">
        <v>50</v>
      </c>
      <c r="D755" s="28">
        <v>11933</v>
      </c>
      <c r="E755" t="e">
        <f>VLOOKUP(B755,Кат!G:J,3,0)</f>
        <v>#N/A</v>
      </c>
    </row>
    <row r="756" spans="1:5" ht="22.5">
      <c r="A756" s="26" t="s">
        <v>1406</v>
      </c>
      <c r="B756" s="26" t="s">
        <v>1407</v>
      </c>
      <c r="C756" s="26" t="s">
        <v>50</v>
      </c>
      <c r="D756" s="28">
        <v>2497</v>
      </c>
      <c r="E756" t="e">
        <f>VLOOKUP(B756,Кат!G:J,3,0)</f>
        <v>#N/A</v>
      </c>
    </row>
    <row r="757" spans="1:5">
      <c r="A757" s="26" t="s">
        <v>1408</v>
      </c>
      <c r="B757" s="26" t="s">
        <v>1409</v>
      </c>
      <c r="C757" s="26" t="s">
        <v>50</v>
      </c>
      <c r="D757" s="28">
        <v>2374</v>
      </c>
      <c r="E757" t="e">
        <f>VLOOKUP(B757,Кат!G:J,3,0)</f>
        <v>#N/A</v>
      </c>
    </row>
    <row r="758" spans="1:5">
      <c r="A758" s="26" t="s">
        <v>1410</v>
      </c>
      <c r="B758" s="26" t="s">
        <v>1411</v>
      </c>
      <c r="C758" s="26" t="s">
        <v>50</v>
      </c>
      <c r="D758" s="28">
        <v>2739</v>
      </c>
      <c r="E758" t="e">
        <f>VLOOKUP(B758,Кат!G:J,3,0)</f>
        <v>#N/A</v>
      </c>
    </row>
    <row r="759" spans="1:5">
      <c r="A759" s="26" t="s">
        <v>1412</v>
      </c>
      <c r="B759" s="26" t="s">
        <v>1413</v>
      </c>
      <c r="C759" s="26" t="s">
        <v>50</v>
      </c>
      <c r="D759" s="28">
        <v>2582</v>
      </c>
      <c r="E759" t="e">
        <f>VLOOKUP(B759,Кат!G:J,3,0)</f>
        <v>#N/A</v>
      </c>
    </row>
    <row r="760" spans="1:5" ht="22.5">
      <c r="A760" s="26" t="s">
        <v>1414</v>
      </c>
      <c r="B760" s="26" t="s">
        <v>1415</v>
      </c>
      <c r="C760" s="26" t="s">
        <v>50</v>
      </c>
      <c r="D760" s="28">
        <v>2337</v>
      </c>
      <c r="E760" t="e">
        <f>VLOOKUP(B760,Кат!G:J,3,0)</f>
        <v>#N/A</v>
      </c>
    </row>
    <row r="761" spans="1:5">
      <c r="A761" s="26" t="s">
        <v>1416</v>
      </c>
      <c r="B761" s="26" t="s">
        <v>1417</v>
      </c>
      <c r="C761" s="26" t="s">
        <v>50</v>
      </c>
      <c r="D761" s="28">
        <v>1662</v>
      </c>
      <c r="E761" t="e">
        <f>VLOOKUP(B761,Кат!G:J,3,0)</f>
        <v>#N/A</v>
      </c>
    </row>
    <row r="762" spans="1:5">
      <c r="A762" s="26" t="s">
        <v>1418</v>
      </c>
      <c r="B762" s="26" t="s">
        <v>1419</v>
      </c>
      <c r="C762" s="26" t="s">
        <v>50</v>
      </c>
      <c r="D762" s="28">
        <v>2179</v>
      </c>
      <c r="E762" t="e">
        <f>VLOOKUP(B762,Кат!G:J,3,0)</f>
        <v>#N/A</v>
      </c>
    </row>
    <row r="763" spans="1:5">
      <c r="A763" s="26" t="s">
        <v>1420</v>
      </c>
      <c r="B763" s="26" t="s">
        <v>1421</v>
      </c>
      <c r="C763" s="26" t="s">
        <v>50</v>
      </c>
      <c r="D763" s="28">
        <v>1920</v>
      </c>
      <c r="E763" t="e">
        <f>VLOOKUP(B763,Кат!G:J,3,0)</f>
        <v>#N/A</v>
      </c>
    </row>
    <row r="764" spans="1:5">
      <c r="A764" s="26" t="s">
        <v>1422</v>
      </c>
      <c r="B764" s="26" t="s">
        <v>1423</v>
      </c>
      <c r="C764" s="26" t="s">
        <v>50</v>
      </c>
      <c r="D764" s="28">
        <v>1551</v>
      </c>
      <c r="E764" t="e">
        <f>VLOOKUP(B764,Кат!G:J,3,0)</f>
        <v>#N/A</v>
      </c>
    </row>
    <row r="765" spans="1:5" ht="22.5">
      <c r="A765" s="26" t="s">
        <v>1424</v>
      </c>
      <c r="B765" s="26" t="s">
        <v>1425</v>
      </c>
      <c r="C765" s="26" t="s">
        <v>50</v>
      </c>
      <c r="D765" s="28">
        <v>1493</v>
      </c>
      <c r="E765" t="e">
        <f>VLOOKUP(B765,Кат!G:J,3,0)</f>
        <v>#N/A</v>
      </c>
    </row>
    <row r="766" spans="1:5" ht="22.5">
      <c r="A766" s="26" t="s">
        <v>1426</v>
      </c>
      <c r="B766" s="26" t="s">
        <v>1427</v>
      </c>
      <c r="C766" s="26" t="s">
        <v>50</v>
      </c>
      <c r="D766" s="28">
        <v>1393</v>
      </c>
      <c r="E766" t="e">
        <f>VLOOKUP(B766,Кат!G:J,3,0)</f>
        <v>#N/A</v>
      </c>
    </row>
    <row r="767" spans="1:5" ht="22.5">
      <c r="A767" s="26" t="s">
        <v>1428</v>
      </c>
      <c r="B767" s="26" t="s">
        <v>1429</v>
      </c>
      <c r="C767" s="26" t="s">
        <v>50</v>
      </c>
      <c r="D767" s="28">
        <v>1393</v>
      </c>
      <c r="E767" t="e">
        <f>VLOOKUP(B767,Кат!G:J,3,0)</f>
        <v>#N/A</v>
      </c>
    </row>
    <row r="768" spans="1:5">
      <c r="A768" s="26" t="s">
        <v>1430</v>
      </c>
      <c r="B768" s="26" t="s">
        <v>1431</v>
      </c>
      <c r="C768" s="26" t="s">
        <v>50</v>
      </c>
      <c r="D768" s="28">
        <v>4222</v>
      </c>
      <c r="E768" t="e">
        <f>VLOOKUP(B768,Кат!G:J,3,0)</f>
        <v>#N/A</v>
      </c>
    </row>
    <row r="769" spans="1:5">
      <c r="A769" s="26" t="s">
        <v>1432</v>
      </c>
      <c r="B769" s="26" t="s">
        <v>1433</v>
      </c>
      <c r="C769" s="26" t="s">
        <v>50</v>
      </c>
      <c r="D769" s="28">
        <v>2454</v>
      </c>
      <c r="E769" t="e">
        <f>VLOOKUP(B769,Кат!G:J,3,0)</f>
        <v>#N/A</v>
      </c>
    </row>
    <row r="770" spans="1:5">
      <c r="A770" s="26" t="s">
        <v>1434</v>
      </c>
      <c r="B770" s="26" t="s">
        <v>1435</v>
      </c>
      <c r="C770" s="26" t="s">
        <v>50</v>
      </c>
      <c r="D770" s="28">
        <v>2273</v>
      </c>
      <c r="E770" t="e">
        <f>VLOOKUP(B770,Кат!G:J,3,0)</f>
        <v>#N/A</v>
      </c>
    </row>
    <row r="771" spans="1:5">
      <c r="A771" s="26" t="s">
        <v>1436</v>
      </c>
      <c r="B771" s="26" t="s">
        <v>1437</v>
      </c>
      <c r="C771" s="26" t="s">
        <v>50</v>
      </c>
      <c r="D771" s="28">
        <v>4949</v>
      </c>
      <c r="E771" t="e">
        <f>VLOOKUP(B771,Кат!G:J,3,0)</f>
        <v>#N/A</v>
      </c>
    </row>
    <row r="772" spans="1:5">
      <c r="A772" s="26" t="s">
        <v>1438</v>
      </c>
      <c r="B772" s="26" t="s">
        <v>1439</v>
      </c>
      <c r="C772" s="26" t="s">
        <v>50</v>
      </c>
      <c r="D772" s="28">
        <v>1811</v>
      </c>
      <c r="E772" t="e">
        <f>VLOOKUP(B772,Кат!G:J,3,0)</f>
        <v>#N/A</v>
      </c>
    </row>
    <row r="773" spans="1:5" ht="22.5">
      <c r="A773" s="26" t="s">
        <v>1440</v>
      </c>
      <c r="B773" s="26" t="s">
        <v>1441</v>
      </c>
      <c r="C773" s="26" t="s">
        <v>50</v>
      </c>
      <c r="D773" s="28">
        <v>2452</v>
      </c>
      <c r="E773" t="e">
        <f>VLOOKUP(B773,Кат!G:J,3,0)</f>
        <v>#N/A</v>
      </c>
    </row>
    <row r="774" spans="1:5" ht="22.5">
      <c r="A774" s="26" t="s">
        <v>1442</v>
      </c>
      <c r="B774" s="26" t="s">
        <v>1443</v>
      </c>
      <c r="C774" s="26" t="s">
        <v>50</v>
      </c>
      <c r="D774" s="28">
        <v>1907</v>
      </c>
      <c r="E774" t="e">
        <f>VLOOKUP(B774,Кат!G:J,3,0)</f>
        <v>#N/A</v>
      </c>
    </row>
    <row r="775" spans="1:5" ht="22.5">
      <c r="A775" s="26" t="s">
        <v>1444</v>
      </c>
      <c r="B775" s="26" t="s">
        <v>1445</v>
      </c>
      <c r="C775" s="26" t="s">
        <v>50</v>
      </c>
      <c r="D775" s="28">
        <v>2364</v>
      </c>
      <c r="E775" t="e">
        <f>VLOOKUP(B775,Кат!G:J,3,0)</f>
        <v>#N/A</v>
      </c>
    </row>
    <row r="776" spans="1:5" ht="33.75">
      <c r="A776" s="26" t="s">
        <v>1446</v>
      </c>
      <c r="B776" s="26" t="s">
        <v>1447</v>
      </c>
      <c r="C776" s="26" t="s">
        <v>50</v>
      </c>
      <c r="D776" s="28">
        <v>2623</v>
      </c>
      <c r="E776" t="e">
        <f>VLOOKUP(B776,Кат!G:J,3,0)</f>
        <v>#N/A</v>
      </c>
    </row>
    <row r="777" spans="1:5" ht="22.5">
      <c r="A777" s="26" t="s">
        <v>1448</v>
      </c>
      <c r="B777" s="26" t="s">
        <v>1449</v>
      </c>
      <c r="C777" s="26" t="s">
        <v>50</v>
      </c>
      <c r="D777" s="28">
        <v>2199</v>
      </c>
      <c r="E777" t="e">
        <f>VLOOKUP(B777,Кат!G:J,3,0)</f>
        <v>#N/A</v>
      </c>
    </row>
    <row r="778" spans="1:5" ht="22.5">
      <c r="A778" s="26" t="s">
        <v>1450</v>
      </c>
      <c r="B778" s="26" t="s">
        <v>1451</v>
      </c>
      <c r="C778" s="26" t="s">
        <v>50</v>
      </c>
      <c r="D778" s="28">
        <v>1636</v>
      </c>
      <c r="E778" t="e">
        <f>VLOOKUP(B778,Кат!G:J,3,0)</f>
        <v>#N/A</v>
      </c>
    </row>
    <row r="779" spans="1:5" ht="22.5">
      <c r="A779" s="26" t="s">
        <v>1452</v>
      </c>
      <c r="B779" s="26" t="s">
        <v>1453</v>
      </c>
      <c r="C779" s="26" t="s">
        <v>50</v>
      </c>
      <c r="D779" s="28">
        <v>1726</v>
      </c>
      <c r="E779" t="e">
        <f>VLOOKUP(B779,Кат!G:J,3,0)</f>
        <v>#N/A</v>
      </c>
    </row>
    <row r="780" spans="1:5" ht="22.5">
      <c r="A780" s="26" t="s">
        <v>1454</v>
      </c>
      <c r="B780" s="26" t="s">
        <v>1455</v>
      </c>
      <c r="C780" s="26" t="s">
        <v>50</v>
      </c>
      <c r="D780" s="28">
        <v>3693</v>
      </c>
      <c r="E780" t="e">
        <f>VLOOKUP(B780,Кат!G:J,3,0)</f>
        <v>#N/A</v>
      </c>
    </row>
    <row r="781" spans="1:5" ht="22.5">
      <c r="A781" s="26" t="s">
        <v>1456</v>
      </c>
      <c r="B781" s="26" t="s">
        <v>1457</v>
      </c>
      <c r="C781" s="26" t="s">
        <v>50</v>
      </c>
      <c r="D781" s="28">
        <v>3851</v>
      </c>
      <c r="E781" t="e">
        <f>VLOOKUP(B781,Кат!G:J,3,0)</f>
        <v>#N/A</v>
      </c>
    </row>
    <row r="782" spans="1:5" ht="22.5">
      <c r="A782" s="26" t="s">
        <v>1458</v>
      </c>
      <c r="B782" s="26" t="s">
        <v>1459</v>
      </c>
      <c r="C782" s="26" t="s">
        <v>50</v>
      </c>
      <c r="D782" s="28">
        <v>1881</v>
      </c>
      <c r="E782" t="e">
        <f>VLOOKUP(B782,Кат!G:J,3,0)</f>
        <v>#N/A</v>
      </c>
    </row>
    <row r="783" spans="1:5" ht="22.5">
      <c r="A783" s="26" t="s">
        <v>1460</v>
      </c>
      <c r="B783" s="26" t="s">
        <v>1461</v>
      </c>
      <c r="C783" s="26" t="s">
        <v>50</v>
      </c>
      <c r="D783" s="28">
        <v>1571</v>
      </c>
      <c r="E783" t="e">
        <f>VLOOKUP(B783,Кат!G:J,3,0)</f>
        <v>#N/A</v>
      </c>
    </row>
    <row r="784" spans="1:5" ht="22.5">
      <c r="A784" s="26" t="s">
        <v>1462</v>
      </c>
      <c r="B784" s="26" t="s">
        <v>1463</v>
      </c>
      <c r="C784" s="26" t="s">
        <v>50</v>
      </c>
      <c r="D784" s="28">
        <v>2151</v>
      </c>
      <c r="E784" t="e">
        <f>VLOOKUP(B784,Кат!G:J,3,0)</f>
        <v>#N/A</v>
      </c>
    </row>
    <row r="785" spans="1:5" ht="22.5">
      <c r="A785" s="26" t="s">
        <v>1464</v>
      </c>
      <c r="B785" s="26" t="s">
        <v>1465</v>
      </c>
      <c r="C785" s="26" t="s">
        <v>50</v>
      </c>
      <c r="D785" s="28">
        <v>1864</v>
      </c>
      <c r="E785" t="e">
        <f>VLOOKUP(B785,Кат!G:J,3,0)</f>
        <v>#N/A</v>
      </c>
    </row>
    <row r="786" spans="1:5" ht="22.5">
      <c r="A786" s="26" t="s">
        <v>1466</v>
      </c>
      <c r="B786" s="26" t="s">
        <v>1467</v>
      </c>
      <c r="C786" s="26" t="s">
        <v>50</v>
      </c>
      <c r="D786" s="28">
        <v>2119</v>
      </c>
      <c r="E786" t="e">
        <f>VLOOKUP(B786,Кат!G:J,3,0)</f>
        <v>#N/A</v>
      </c>
    </row>
    <row r="787" spans="1:5" ht="22.5">
      <c r="A787" s="26" t="s">
        <v>1468</v>
      </c>
      <c r="B787" s="26" t="s">
        <v>1469</v>
      </c>
      <c r="C787" s="26" t="s">
        <v>50</v>
      </c>
      <c r="D787" s="28">
        <v>2199</v>
      </c>
      <c r="E787" t="e">
        <f>VLOOKUP(B787,Кат!G:J,3,0)</f>
        <v>#N/A</v>
      </c>
    </row>
    <row r="788" spans="1:5" ht="22.5">
      <c r="A788" s="26" t="s">
        <v>1470</v>
      </c>
      <c r="B788" s="26" t="s">
        <v>1471</v>
      </c>
      <c r="C788" s="26" t="s">
        <v>50</v>
      </c>
      <c r="D788" s="28">
        <v>2762</v>
      </c>
      <c r="E788" t="e">
        <f>VLOOKUP(B788,Кат!G:J,3,0)</f>
        <v>#N/A</v>
      </c>
    </row>
    <row r="789" spans="1:5" ht="22.5">
      <c r="A789" s="26" t="s">
        <v>1472</v>
      </c>
      <c r="B789" s="26" t="s">
        <v>1473</v>
      </c>
      <c r="C789" s="26" t="s">
        <v>50</v>
      </c>
      <c r="D789" s="28">
        <v>5825</v>
      </c>
      <c r="E789" t="e">
        <f>VLOOKUP(B789,Кат!G:J,3,0)</f>
        <v>#N/A</v>
      </c>
    </row>
    <row r="790" spans="1:5" ht="33.75">
      <c r="A790" s="26" t="s">
        <v>1474</v>
      </c>
      <c r="B790" s="26" t="s">
        <v>1475</v>
      </c>
      <c r="C790" s="26" t="s">
        <v>50</v>
      </c>
      <c r="D790" s="28">
        <v>1282</v>
      </c>
      <c r="E790" t="e">
        <f>VLOOKUP(B790,Кат!G:J,3,0)</f>
        <v>#N/A</v>
      </c>
    </row>
    <row r="791" spans="1:5" ht="22.5">
      <c r="A791" s="26" t="s">
        <v>1476</v>
      </c>
      <c r="B791" s="26" t="s">
        <v>1477</v>
      </c>
      <c r="C791" s="26" t="s">
        <v>50</v>
      </c>
      <c r="D791" s="28">
        <v>1724</v>
      </c>
      <c r="E791" t="e">
        <f>VLOOKUP(B791,Кат!G:J,3,0)</f>
        <v>#N/A</v>
      </c>
    </row>
    <row r="792" spans="1:5">
      <c r="A792" s="23" t="s">
        <v>1478</v>
      </c>
      <c r="B792" s="24"/>
      <c r="C792" s="24"/>
      <c r="D792" s="25"/>
      <c r="E792" t="e">
        <f>VLOOKUP(B792,Кат!G:J,3,0)</f>
        <v>#N/A</v>
      </c>
    </row>
    <row r="793" spans="1:5" ht="22.5">
      <c r="A793" s="26" t="s">
        <v>1479</v>
      </c>
      <c r="B793" s="26" t="s">
        <v>1480</v>
      </c>
      <c r="C793" s="26" t="s">
        <v>50</v>
      </c>
      <c r="D793" s="27">
        <v>585</v>
      </c>
      <c r="E793" t="e">
        <f>VLOOKUP(B793,Кат!G:J,3,0)</f>
        <v>#N/A</v>
      </c>
    </row>
    <row r="794" spans="1:5" ht="22.5">
      <c r="A794" s="26" t="s">
        <v>4331</v>
      </c>
      <c r="B794" s="26" t="s">
        <v>4332</v>
      </c>
      <c r="C794" s="26" t="s">
        <v>50</v>
      </c>
      <c r="D794" s="27">
        <v>735</v>
      </c>
      <c r="E794" t="e">
        <f>VLOOKUP(B794,Кат!G:J,3,0)</f>
        <v>#N/A</v>
      </c>
    </row>
    <row r="795" spans="1:5" ht="22.5">
      <c r="A795" s="26" t="s">
        <v>1481</v>
      </c>
      <c r="B795" s="26" t="s">
        <v>1482</v>
      </c>
      <c r="C795" s="26" t="s">
        <v>50</v>
      </c>
      <c r="D795" s="27">
        <v>688</v>
      </c>
      <c r="E795" t="e">
        <f>VLOOKUP(B795,Кат!G:J,3,0)</f>
        <v>#N/A</v>
      </c>
    </row>
    <row r="796" spans="1:5">
      <c r="A796" s="23" t="s">
        <v>1483</v>
      </c>
      <c r="B796" s="24"/>
      <c r="C796" s="24"/>
      <c r="D796" s="25"/>
      <c r="E796" t="e">
        <f>VLOOKUP(B796,Кат!G:J,3,0)</f>
        <v>#N/A</v>
      </c>
    </row>
    <row r="797" spans="1:5" ht="22.5">
      <c r="A797" s="26" t="s">
        <v>4333</v>
      </c>
      <c r="B797" s="26" t="s">
        <v>4334</v>
      </c>
      <c r="C797" s="26" t="s">
        <v>50</v>
      </c>
      <c r="D797" s="28">
        <v>4598</v>
      </c>
      <c r="E797" t="e">
        <f>VLOOKUP(B797,Кат!G:J,3,0)</f>
        <v>#N/A</v>
      </c>
    </row>
    <row r="798" spans="1:5" ht="22.5">
      <c r="A798" s="26" t="s">
        <v>1484</v>
      </c>
      <c r="B798" s="26" t="s">
        <v>1485</v>
      </c>
      <c r="C798" s="26" t="s">
        <v>50</v>
      </c>
      <c r="D798" s="28">
        <v>5245</v>
      </c>
      <c r="E798" t="e">
        <f>VLOOKUP(B798,Кат!G:J,3,0)</f>
        <v>#N/A</v>
      </c>
    </row>
    <row r="799" spans="1:5" ht="22.5">
      <c r="A799" s="26" t="s">
        <v>1486</v>
      </c>
      <c r="B799" s="26" t="s">
        <v>1487</v>
      </c>
      <c r="C799" s="26" t="s">
        <v>50</v>
      </c>
      <c r="D799" s="28">
        <v>2367</v>
      </c>
      <c r="E799" t="e">
        <f>VLOOKUP(B799,Кат!G:J,3,0)</f>
        <v>#N/A</v>
      </c>
    </row>
    <row r="800" spans="1:5" ht="22.5">
      <c r="A800" s="26" t="s">
        <v>1488</v>
      </c>
      <c r="B800" s="26" t="s">
        <v>1489</v>
      </c>
      <c r="C800" s="26" t="s">
        <v>50</v>
      </c>
      <c r="D800" s="28">
        <v>2871</v>
      </c>
      <c r="E800" t="e">
        <f>VLOOKUP(B800,Кат!G:J,3,0)</f>
        <v>#N/A</v>
      </c>
    </row>
    <row r="801" spans="1:5" ht="22.5">
      <c r="A801" s="26" t="s">
        <v>1490</v>
      </c>
      <c r="B801" s="26" t="s">
        <v>1491</v>
      </c>
      <c r="C801" s="26" t="s">
        <v>50</v>
      </c>
      <c r="D801" s="28">
        <v>4327</v>
      </c>
      <c r="E801" t="e">
        <f>VLOOKUP(B801,Кат!G:J,3,0)</f>
        <v>#N/A</v>
      </c>
    </row>
    <row r="802" spans="1:5" ht="22.5">
      <c r="A802" s="26" t="s">
        <v>1492</v>
      </c>
      <c r="B802" s="26" t="s">
        <v>1493</v>
      </c>
      <c r="C802" s="26" t="s">
        <v>50</v>
      </c>
      <c r="D802" s="28">
        <v>3214</v>
      </c>
      <c r="E802" t="e">
        <f>VLOOKUP(B802,Кат!G:J,3,0)</f>
        <v>#N/A</v>
      </c>
    </row>
    <row r="803" spans="1:5" ht="22.5">
      <c r="A803" s="26" t="s">
        <v>1494</v>
      </c>
      <c r="B803" s="26" t="s">
        <v>1495</v>
      </c>
      <c r="C803" s="26" t="s">
        <v>50</v>
      </c>
      <c r="D803" s="28">
        <v>3503</v>
      </c>
      <c r="E803" t="e">
        <f>VLOOKUP(B803,Кат!G:J,3,0)</f>
        <v>#N/A</v>
      </c>
    </row>
    <row r="804" spans="1:5" ht="22.5">
      <c r="A804" s="26" t="s">
        <v>1496</v>
      </c>
      <c r="B804" s="26" t="s">
        <v>1497</v>
      </c>
      <c r="C804" s="26" t="s">
        <v>50</v>
      </c>
      <c r="D804" s="28">
        <v>4033</v>
      </c>
      <c r="E804" t="e">
        <f>VLOOKUP(B804,Кат!G:J,3,0)</f>
        <v>#N/A</v>
      </c>
    </row>
    <row r="805" spans="1:5" ht="22.5">
      <c r="A805" s="26" t="s">
        <v>1498</v>
      </c>
      <c r="B805" s="26" t="s">
        <v>1499</v>
      </c>
      <c r="C805" s="26" t="s">
        <v>50</v>
      </c>
      <c r="D805" s="28">
        <v>2996</v>
      </c>
      <c r="E805" t="e">
        <f>VLOOKUP(B805,Кат!G:J,3,0)</f>
        <v>#N/A</v>
      </c>
    </row>
    <row r="806" spans="1:5" ht="22.5">
      <c r="A806" s="26" t="s">
        <v>1500</v>
      </c>
      <c r="B806" s="26" t="s">
        <v>1501</v>
      </c>
      <c r="C806" s="26" t="s">
        <v>50</v>
      </c>
      <c r="D806" s="28">
        <v>4126</v>
      </c>
      <c r="E806" t="e">
        <f>VLOOKUP(B806,Кат!G:J,3,0)</f>
        <v>#N/A</v>
      </c>
    </row>
    <row r="807" spans="1:5" ht="22.5">
      <c r="A807" s="26" t="s">
        <v>1502</v>
      </c>
      <c r="B807" s="26" t="s">
        <v>1503</v>
      </c>
      <c r="C807" s="26" t="s">
        <v>50</v>
      </c>
      <c r="D807" s="28">
        <v>3214</v>
      </c>
      <c r="E807" t="e">
        <f>VLOOKUP(B807,Кат!G:J,3,0)</f>
        <v>#N/A</v>
      </c>
    </row>
    <row r="808" spans="1:5" ht="22.5">
      <c r="A808" s="26" t="s">
        <v>1504</v>
      </c>
      <c r="B808" s="26" t="s">
        <v>1505</v>
      </c>
      <c r="C808" s="26" t="s">
        <v>50</v>
      </c>
      <c r="D808" s="28">
        <v>4696</v>
      </c>
      <c r="E808" t="e">
        <f>VLOOKUP(B808,Кат!G:J,3,0)</f>
        <v>#N/A</v>
      </c>
    </row>
    <row r="809" spans="1:5" ht="22.5">
      <c r="A809" s="26" t="s">
        <v>1506</v>
      </c>
      <c r="B809" s="26" t="s">
        <v>1507</v>
      </c>
      <c r="C809" s="26" t="s">
        <v>50</v>
      </c>
      <c r="D809" s="28">
        <v>3658</v>
      </c>
      <c r="E809" t="e">
        <f>VLOOKUP(B809,Кат!G:J,3,0)</f>
        <v>#N/A</v>
      </c>
    </row>
    <row r="810" spans="1:5" ht="22.5">
      <c r="A810" s="26" t="s">
        <v>1508</v>
      </c>
      <c r="B810" s="26" t="s">
        <v>1509</v>
      </c>
      <c r="C810" s="26" t="s">
        <v>50</v>
      </c>
      <c r="D810" s="28">
        <v>4126</v>
      </c>
      <c r="E810" t="e">
        <f>VLOOKUP(B810,Кат!G:J,3,0)</f>
        <v>#N/A</v>
      </c>
    </row>
    <row r="811" spans="1:5" ht="22.5">
      <c r="A811" s="26" t="s">
        <v>1510</v>
      </c>
      <c r="B811" s="26" t="s">
        <v>1511</v>
      </c>
      <c r="C811" s="26" t="s">
        <v>50</v>
      </c>
      <c r="D811" s="28">
        <v>4923</v>
      </c>
      <c r="E811" t="e">
        <f>VLOOKUP(B811,Кат!G:J,3,0)</f>
        <v>#N/A</v>
      </c>
    </row>
    <row r="812" spans="1:5">
      <c r="A812" s="26" t="s">
        <v>1512</v>
      </c>
      <c r="B812" s="26" t="s">
        <v>1513</v>
      </c>
      <c r="C812" s="26" t="s">
        <v>50</v>
      </c>
      <c r="D812" s="28">
        <v>4033</v>
      </c>
      <c r="E812" t="e">
        <f>VLOOKUP(B812,Кат!G:J,3,0)</f>
        <v>#N/A</v>
      </c>
    </row>
    <row r="813" spans="1:5">
      <c r="A813" s="26" t="s">
        <v>1514</v>
      </c>
      <c r="B813" s="26" t="s">
        <v>1515</v>
      </c>
      <c r="C813" s="26" t="s">
        <v>50</v>
      </c>
      <c r="D813" s="28">
        <v>3060</v>
      </c>
      <c r="E813" t="e">
        <f>VLOOKUP(B813,Кат!G:J,3,0)</f>
        <v>#N/A</v>
      </c>
    </row>
    <row r="814" spans="1:5">
      <c r="A814" s="26" t="s">
        <v>1516</v>
      </c>
      <c r="B814" s="26" t="s">
        <v>1517</v>
      </c>
      <c r="C814" s="26" t="s">
        <v>50</v>
      </c>
      <c r="D814" s="27">
        <v>721</v>
      </c>
      <c r="E814" t="e">
        <f>VLOOKUP(B814,Кат!G:J,3,0)</f>
        <v>#N/A</v>
      </c>
    </row>
    <row r="815" spans="1:5">
      <c r="A815" s="26" t="s">
        <v>1518</v>
      </c>
      <c r="B815" s="26" t="s">
        <v>1519</v>
      </c>
      <c r="C815" s="26" t="s">
        <v>50</v>
      </c>
      <c r="D815" s="27">
        <v>721</v>
      </c>
      <c r="E815" t="e">
        <f>VLOOKUP(B815,Кат!G:J,3,0)</f>
        <v>#N/A</v>
      </c>
    </row>
    <row r="816" spans="1:5">
      <c r="A816" s="26" t="s">
        <v>1520</v>
      </c>
      <c r="B816" s="26" t="s">
        <v>1521</v>
      </c>
      <c r="C816" s="26" t="s">
        <v>50</v>
      </c>
      <c r="D816" s="27">
        <v>721</v>
      </c>
      <c r="E816" t="e">
        <f>VLOOKUP(B816,Кат!G:J,3,0)</f>
        <v>#N/A</v>
      </c>
    </row>
    <row r="817" spans="1:5">
      <c r="A817" s="26" t="s">
        <v>1522</v>
      </c>
      <c r="B817" s="26" t="s">
        <v>1523</v>
      </c>
      <c r="C817" s="26" t="s">
        <v>50</v>
      </c>
      <c r="D817" s="27">
        <v>658</v>
      </c>
      <c r="E817" t="e">
        <f>VLOOKUP(B817,Кат!G:J,3,0)</f>
        <v>#N/A</v>
      </c>
    </row>
    <row r="818" spans="1:5">
      <c r="A818" s="26" t="s">
        <v>1524</v>
      </c>
      <c r="B818" s="26" t="s">
        <v>1525</v>
      </c>
      <c r="C818" s="26" t="s">
        <v>50</v>
      </c>
      <c r="D818" s="27">
        <v>690</v>
      </c>
      <c r="E818" t="e">
        <f>VLOOKUP(B818,Кат!G:J,3,0)</f>
        <v>#N/A</v>
      </c>
    </row>
    <row r="819" spans="1:5">
      <c r="A819" s="26" t="s">
        <v>1526</v>
      </c>
      <c r="B819" s="26" t="s">
        <v>1527</v>
      </c>
      <c r="C819" s="26" t="s">
        <v>50</v>
      </c>
      <c r="D819" s="27">
        <v>970</v>
      </c>
      <c r="E819" t="e">
        <f>VLOOKUP(B819,Кат!G:J,3,0)</f>
        <v>#N/A</v>
      </c>
    </row>
    <row r="820" spans="1:5">
      <c r="A820" s="26" t="s">
        <v>1528</v>
      </c>
      <c r="B820" s="26" t="s">
        <v>1529</v>
      </c>
      <c r="C820" s="26" t="s">
        <v>50</v>
      </c>
      <c r="D820" s="28">
        <v>3067</v>
      </c>
      <c r="E820" t="e">
        <f>VLOOKUP(B820,Кат!G:J,3,0)</f>
        <v>#N/A</v>
      </c>
    </row>
    <row r="821" spans="1:5">
      <c r="A821" s="26" t="s">
        <v>1530</v>
      </c>
      <c r="B821" s="26" t="s">
        <v>1531</v>
      </c>
      <c r="C821" s="26" t="s">
        <v>50</v>
      </c>
      <c r="D821" s="28">
        <v>2390</v>
      </c>
      <c r="E821" t="e">
        <f>VLOOKUP(B821,Кат!G:J,3,0)</f>
        <v>#N/A</v>
      </c>
    </row>
    <row r="822" spans="1:5">
      <c r="A822" s="26" t="s">
        <v>1532</v>
      </c>
      <c r="B822" s="26" t="s">
        <v>1533</v>
      </c>
      <c r="C822" s="26" t="s">
        <v>50</v>
      </c>
      <c r="D822" s="28">
        <v>3216</v>
      </c>
      <c r="E822" t="e">
        <f>VLOOKUP(B822,Кат!G:J,3,0)</f>
        <v>#N/A</v>
      </c>
    </row>
    <row r="823" spans="1:5">
      <c r="A823" s="26" t="s">
        <v>1534</v>
      </c>
      <c r="B823" s="26" t="s">
        <v>1535</v>
      </c>
      <c r="C823" s="26" t="s">
        <v>50</v>
      </c>
      <c r="D823" s="28">
        <v>2390</v>
      </c>
      <c r="E823" t="e">
        <f>VLOOKUP(B823,Кат!G:J,3,0)</f>
        <v>#N/A</v>
      </c>
    </row>
    <row r="824" spans="1:5">
      <c r="A824" s="26" t="s">
        <v>1536</v>
      </c>
      <c r="B824" s="26" t="s">
        <v>1537</v>
      </c>
      <c r="C824" s="26" t="s">
        <v>50</v>
      </c>
      <c r="D824" s="28">
        <v>3216</v>
      </c>
      <c r="E824" t="e">
        <f>VLOOKUP(B824,Кат!G:J,3,0)</f>
        <v>#N/A</v>
      </c>
    </row>
    <row r="825" spans="1:5">
      <c r="A825" s="26" t="s">
        <v>1538</v>
      </c>
      <c r="B825" s="26" t="s">
        <v>1539</v>
      </c>
      <c r="C825" s="26" t="s">
        <v>50</v>
      </c>
      <c r="D825" s="28">
        <v>3771</v>
      </c>
      <c r="E825" t="e">
        <f>VLOOKUP(B825,Кат!G:J,3,0)</f>
        <v>#N/A</v>
      </c>
    </row>
    <row r="826" spans="1:5" ht="22.5">
      <c r="A826" s="26" t="s">
        <v>1540</v>
      </c>
      <c r="B826" s="26" t="s">
        <v>1541</v>
      </c>
      <c r="C826" s="26" t="s">
        <v>50</v>
      </c>
      <c r="D826" s="28">
        <v>2470</v>
      </c>
      <c r="E826" t="e">
        <f>VLOOKUP(B826,Кат!G:J,3,0)</f>
        <v>#N/A</v>
      </c>
    </row>
    <row r="827" spans="1:5">
      <c r="A827" s="26" t="s">
        <v>1542</v>
      </c>
      <c r="B827" s="26" t="s">
        <v>1543</v>
      </c>
      <c r="C827" s="26" t="s">
        <v>50</v>
      </c>
      <c r="D827" s="27">
        <v>560</v>
      </c>
      <c r="E827" t="e">
        <f>VLOOKUP(B827,Кат!G:J,3,0)</f>
        <v>#N/A</v>
      </c>
    </row>
    <row r="828" spans="1:5">
      <c r="A828" s="26" t="s">
        <v>1544</v>
      </c>
      <c r="B828" s="26" t="s">
        <v>1545</v>
      </c>
      <c r="C828" s="26" t="s">
        <v>50</v>
      </c>
      <c r="D828" s="27">
        <v>611</v>
      </c>
      <c r="E828" t="e">
        <f>VLOOKUP(B828,Кат!G:J,3,0)</f>
        <v>#N/A</v>
      </c>
    </row>
    <row r="829" spans="1:5" ht="22.5">
      <c r="A829" s="26" t="s">
        <v>1546</v>
      </c>
      <c r="B829" s="26" t="s">
        <v>1547</v>
      </c>
      <c r="C829" s="26" t="s">
        <v>50</v>
      </c>
      <c r="D829" s="27">
        <v>515</v>
      </c>
      <c r="E829" t="e">
        <f>VLOOKUP(B829,Кат!G:J,3,0)</f>
        <v>#N/A</v>
      </c>
    </row>
    <row r="830" spans="1:5">
      <c r="A830" s="23" t="s">
        <v>1548</v>
      </c>
      <c r="B830" s="24"/>
      <c r="C830" s="24"/>
      <c r="D830" s="25"/>
      <c r="E830" t="e">
        <f>VLOOKUP(B830,Кат!G:J,3,0)</f>
        <v>#N/A</v>
      </c>
    </row>
    <row r="831" spans="1:5">
      <c r="A831" s="26" t="s">
        <v>1549</v>
      </c>
      <c r="B831" s="26" t="s">
        <v>1550</v>
      </c>
      <c r="C831" s="26" t="s">
        <v>50</v>
      </c>
      <c r="D831" s="27">
        <v>108</v>
      </c>
      <c r="E831" t="e">
        <f>VLOOKUP(B831,Кат!G:J,3,0)</f>
        <v>#N/A</v>
      </c>
    </row>
    <row r="832" spans="1:5">
      <c r="A832" s="26" t="s">
        <v>1551</v>
      </c>
      <c r="B832" s="26" t="s">
        <v>1552</v>
      </c>
      <c r="C832" s="26" t="s">
        <v>50</v>
      </c>
      <c r="D832" s="27">
        <v>125</v>
      </c>
      <c r="E832" t="e">
        <f>VLOOKUP(B832,Кат!G:J,3,0)</f>
        <v>#N/A</v>
      </c>
    </row>
    <row r="833" spans="1:5">
      <c r="A833" s="23" t="s">
        <v>1553</v>
      </c>
      <c r="B833" s="24"/>
      <c r="C833" s="24"/>
      <c r="D833" s="25"/>
      <c r="E833" t="e">
        <f>VLOOKUP(B833,Кат!G:J,3,0)</f>
        <v>#N/A</v>
      </c>
    </row>
    <row r="834" spans="1:5">
      <c r="A834" s="26" t="s">
        <v>1554</v>
      </c>
      <c r="B834" s="32">
        <v>120221</v>
      </c>
      <c r="C834" s="26" t="s">
        <v>50</v>
      </c>
      <c r="D834" s="28">
        <v>1402</v>
      </c>
      <c r="E834" t="e">
        <f>VLOOKUP(B834,Кат!G:J,3,0)</f>
        <v>#N/A</v>
      </c>
    </row>
    <row r="835" spans="1:5">
      <c r="A835" s="26" t="s">
        <v>1555</v>
      </c>
      <c r="B835" s="32">
        <v>120821</v>
      </c>
      <c r="C835" s="26" t="s">
        <v>50</v>
      </c>
      <c r="D835" s="28">
        <v>1402</v>
      </c>
      <c r="E835" t="e">
        <f>VLOOKUP(B835,Кат!G:J,3,0)</f>
        <v>#N/A</v>
      </c>
    </row>
    <row r="836" spans="1:5">
      <c r="A836" s="26" t="s">
        <v>1556</v>
      </c>
      <c r="B836" s="32">
        <v>120822</v>
      </c>
      <c r="C836" s="26" t="s">
        <v>50</v>
      </c>
      <c r="D836" s="28">
        <v>1517</v>
      </c>
      <c r="E836" t="e">
        <f>VLOOKUP(B836,Кат!G:J,3,0)</f>
        <v>#N/A</v>
      </c>
    </row>
    <row r="837" spans="1:5">
      <c r="A837" s="26" t="s">
        <v>1557</v>
      </c>
      <c r="B837" s="32">
        <v>120321</v>
      </c>
      <c r="C837" s="26" t="s">
        <v>50</v>
      </c>
      <c r="D837" s="27">
        <v>952</v>
      </c>
      <c r="E837" t="e">
        <f>VLOOKUP(B837,Кат!G:J,3,0)</f>
        <v>#N/A</v>
      </c>
    </row>
    <row r="838" spans="1:5">
      <c r="A838" s="26" t="s">
        <v>1558</v>
      </c>
      <c r="B838" s="32">
        <v>120811</v>
      </c>
      <c r="C838" s="26" t="s">
        <v>50</v>
      </c>
      <c r="D838" s="28">
        <v>1402</v>
      </c>
      <c r="E838" t="e">
        <f>VLOOKUP(B838,Кат!G:J,3,0)</f>
        <v>#N/A</v>
      </c>
    </row>
    <row r="839" spans="1:5">
      <c r="A839" s="26" t="s">
        <v>1559</v>
      </c>
      <c r="B839" s="32">
        <v>120312</v>
      </c>
      <c r="C839" s="26" t="s">
        <v>50</v>
      </c>
      <c r="D839" s="27">
        <v>901</v>
      </c>
      <c r="E839" t="e">
        <f>VLOOKUP(B839,Кат!G:J,3,0)</f>
        <v>#N/A</v>
      </c>
    </row>
    <row r="840" spans="1:5" ht="22.5">
      <c r="A840" s="26" t="s">
        <v>1560</v>
      </c>
      <c r="B840" s="26" t="s">
        <v>1561</v>
      </c>
      <c r="C840" s="26" t="s">
        <v>50</v>
      </c>
      <c r="D840" s="28">
        <v>1610</v>
      </c>
      <c r="E840" t="e">
        <f>VLOOKUP(B840,Кат!G:J,3,0)</f>
        <v>#N/A</v>
      </c>
    </row>
    <row r="841" spans="1:5">
      <c r="A841" s="26" t="s">
        <v>1562</v>
      </c>
      <c r="B841" s="26" t="s">
        <v>1563</v>
      </c>
      <c r="C841" s="26" t="s">
        <v>50</v>
      </c>
      <c r="D841" s="27">
        <v>880</v>
      </c>
      <c r="E841" t="e">
        <f>VLOOKUP(B841,Кат!G:J,3,0)</f>
        <v>#N/A</v>
      </c>
    </row>
    <row r="842" spans="1:5">
      <c r="A842" s="26" t="s">
        <v>1564</v>
      </c>
      <c r="B842" s="26" t="s">
        <v>1565</v>
      </c>
      <c r="C842" s="26" t="s">
        <v>50</v>
      </c>
      <c r="D842" s="28">
        <v>1130</v>
      </c>
      <c r="E842" t="e">
        <f>VLOOKUP(B842,Кат!G:J,3,0)</f>
        <v>#N/A</v>
      </c>
    </row>
    <row r="843" spans="1:5" ht="22.5">
      <c r="A843" s="26" t="s">
        <v>1566</v>
      </c>
      <c r="B843" s="26" t="s">
        <v>1567</v>
      </c>
      <c r="C843" s="26" t="s">
        <v>50</v>
      </c>
      <c r="D843" s="27">
        <v>827</v>
      </c>
      <c r="E843" t="e">
        <f>VLOOKUP(B843,Кат!G:J,3,0)</f>
        <v>#N/A</v>
      </c>
    </row>
    <row r="844" spans="1:5">
      <c r="A844" s="26" t="s">
        <v>4335</v>
      </c>
      <c r="B844" s="26" t="s">
        <v>4336</v>
      </c>
      <c r="C844" s="26" t="s">
        <v>49</v>
      </c>
      <c r="D844" s="27">
        <v>478</v>
      </c>
      <c r="E844" t="e">
        <f>VLOOKUP(B844,Кат!G:J,3,0)</f>
        <v>#N/A</v>
      </c>
    </row>
    <row r="845" spans="1:5">
      <c r="A845" s="26" t="s">
        <v>1568</v>
      </c>
      <c r="B845" s="26" t="s">
        <v>1569</v>
      </c>
      <c r="C845" s="26" t="s">
        <v>50</v>
      </c>
      <c r="D845" s="27">
        <v>816</v>
      </c>
      <c r="E845" t="e">
        <f>VLOOKUP(B845,Кат!G:J,3,0)</f>
        <v>#N/A</v>
      </c>
    </row>
    <row r="846" spans="1:5">
      <c r="A846" s="26" t="s">
        <v>1570</v>
      </c>
      <c r="B846" s="26" t="s">
        <v>1571</v>
      </c>
      <c r="C846" s="26" t="s">
        <v>50</v>
      </c>
      <c r="D846" s="27">
        <v>886</v>
      </c>
      <c r="E846" t="e">
        <f>VLOOKUP(B846,Кат!G:J,3,0)</f>
        <v>#N/A</v>
      </c>
    </row>
    <row r="847" spans="1:5" ht="22.5">
      <c r="A847" s="26" t="s">
        <v>1572</v>
      </c>
      <c r="B847" s="26" t="s">
        <v>1573</v>
      </c>
      <c r="C847" s="26" t="s">
        <v>50</v>
      </c>
      <c r="D847" s="28">
        <v>1303</v>
      </c>
      <c r="E847" t="e">
        <f>VLOOKUP(B847,Кат!G:J,3,0)</f>
        <v>#N/A</v>
      </c>
    </row>
    <row r="848" spans="1:5" ht="22.5">
      <c r="A848" s="26" t="s">
        <v>1574</v>
      </c>
      <c r="B848" s="26" t="s">
        <v>1575</v>
      </c>
      <c r="C848" s="26" t="s">
        <v>50</v>
      </c>
      <c r="D848" s="28">
        <v>1555</v>
      </c>
      <c r="E848" t="e">
        <f>VLOOKUP(B848,Кат!G:J,3,0)</f>
        <v>#N/A</v>
      </c>
    </row>
    <row r="849" spans="1:5" ht="22.5">
      <c r="A849" s="26" t="s">
        <v>1576</v>
      </c>
      <c r="B849" s="26" t="s">
        <v>1577</v>
      </c>
      <c r="C849" s="26" t="s">
        <v>50</v>
      </c>
      <c r="D849" s="27">
        <v>612</v>
      </c>
      <c r="E849" t="e">
        <f>VLOOKUP(B849,Кат!G:J,3,0)</f>
        <v>#N/A</v>
      </c>
    </row>
    <row r="850" spans="1:5" ht="22.5">
      <c r="A850" s="26" t="s">
        <v>1578</v>
      </c>
      <c r="B850" s="26" t="s">
        <v>1579</v>
      </c>
      <c r="C850" s="26" t="s">
        <v>50</v>
      </c>
      <c r="D850" s="28">
        <v>1731</v>
      </c>
      <c r="E850" t="e">
        <f>VLOOKUP(B850,Кат!G:J,3,0)</f>
        <v>#N/A</v>
      </c>
    </row>
    <row r="851" spans="1:5" ht="22.5">
      <c r="A851" s="26" t="s">
        <v>1580</v>
      </c>
      <c r="B851" s="26" t="s">
        <v>1581</v>
      </c>
      <c r="C851" s="26" t="s">
        <v>50</v>
      </c>
      <c r="D851" s="28">
        <v>1420</v>
      </c>
      <c r="E851" t="e">
        <f>VLOOKUP(B851,Кат!G:J,3,0)</f>
        <v>#N/A</v>
      </c>
    </row>
    <row r="852" spans="1:5" ht="22.5">
      <c r="A852" s="26" t="s">
        <v>1582</v>
      </c>
      <c r="B852" s="26" t="s">
        <v>1583</v>
      </c>
      <c r="C852" s="26" t="s">
        <v>50</v>
      </c>
      <c r="D852" s="27">
        <v>803</v>
      </c>
      <c r="E852" t="e">
        <f>VLOOKUP(B852,Кат!G:J,3,0)</f>
        <v>#N/A</v>
      </c>
    </row>
    <row r="853" spans="1:5" ht="22.5">
      <c r="A853" s="26" t="s">
        <v>1584</v>
      </c>
      <c r="B853" s="26" t="s">
        <v>1585</v>
      </c>
      <c r="C853" s="26" t="s">
        <v>50</v>
      </c>
      <c r="D853" s="27">
        <v>685</v>
      </c>
      <c r="E853" t="e">
        <f>VLOOKUP(B853,Кат!G:J,3,0)</f>
        <v>#N/A</v>
      </c>
    </row>
    <row r="854" spans="1:5" ht="22.5">
      <c r="A854" s="26" t="s">
        <v>1586</v>
      </c>
      <c r="B854" s="26" t="s">
        <v>1587</v>
      </c>
      <c r="C854" s="26" t="s">
        <v>50</v>
      </c>
      <c r="D854" s="28">
        <v>1594</v>
      </c>
      <c r="E854" t="e">
        <f>VLOOKUP(B854,Кат!G:J,3,0)</f>
        <v>#N/A</v>
      </c>
    </row>
    <row r="855" spans="1:5" ht="22.5">
      <c r="A855" s="26" t="s">
        <v>1588</v>
      </c>
      <c r="B855" s="26" t="s">
        <v>1589</v>
      </c>
      <c r="C855" s="26" t="s">
        <v>50</v>
      </c>
      <c r="D855" s="28">
        <v>1186</v>
      </c>
      <c r="E855" t="e">
        <f>VLOOKUP(B855,Кат!G:J,3,0)</f>
        <v>#N/A</v>
      </c>
    </row>
    <row r="856" spans="1:5" ht="22.5">
      <c r="A856" s="26" t="s">
        <v>1590</v>
      </c>
      <c r="B856" s="26" t="s">
        <v>1591</v>
      </c>
      <c r="C856" s="26" t="s">
        <v>50</v>
      </c>
      <c r="D856" s="28">
        <v>1139</v>
      </c>
      <c r="E856" t="e">
        <f>VLOOKUP(B856,Кат!G:J,3,0)</f>
        <v>#N/A</v>
      </c>
    </row>
    <row r="857" spans="1:5" ht="22.5">
      <c r="A857" s="26" t="s">
        <v>1592</v>
      </c>
      <c r="B857" s="26" t="s">
        <v>1593</v>
      </c>
      <c r="C857" s="26" t="s">
        <v>50</v>
      </c>
      <c r="D857" s="28">
        <v>1413</v>
      </c>
      <c r="E857" t="e">
        <f>VLOOKUP(B857,Кат!G:J,3,0)</f>
        <v>#N/A</v>
      </c>
    </row>
    <row r="858" spans="1:5">
      <c r="A858" s="26" t="s">
        <v>1594</v>
      </c>
      <c r="B858" s="26" t="s">
        <v>1595</v>
      </c>
      <c r="C858" s="26" t="s">
        <v>50</v>
      </c>
      <c r="D858" s="27">
        <v>537</v>
      </c>
      <c r="E858" t="e">
        <f>VLOOKUP(B858,Кат!G:J,3,0)</f>
        <v>#N/A</v>
      </c>
    </row>
    <row r="859" spans="1:5">
      <c r="A859" s="26" t="s">
        <v>1596</v>
      </c>
      <c r="B859" s="26" t="s">
        <v>1597</v>
      </c>
      <c r="C859" s="26" t="s">
        <v>50</v>
      </c>
      <c r="D859" s="27">
        <v>605</v>
      </c>
      <c r="E859" t="e">
        <f>VLOOKUP(B859,Кат!G:J,3,0)</f>
        <v>#N/A</v>
      </c>
    </row>
    <row r="860" spans="1:5">
      <c r="A860" s="26" t="s">
        <v>1598</v>
      </c>
      <c r="B860" s="26" t="s">
        <v>1599</v>
      </c>
      <c r="C860" s="26" t="s">
        <v>50</v>
      </c>
      <c r="D860" s="27">
        <v>696</v>
      </c>
      <c r="E860" t="e">
        <f>VLOOKUP(B860,Кат!G:J,3,0)</f>
        <v>#N/A</v>
      </c>
    </row>
    <row r="861" spans="1:5" ht="22.5">
      <c r="A861" s="26" t="s">
        <v>1600</v>
      </c>
      <c r="B861" s="26" t="s">
        <v>1601</v>
      </c>
      <c r="C861" s="26" t="s">
        <v>50</v>
      </c>
      <c r="D861" s="27">
        <v>265</v>
      </c>
      <c r="E861" t="e">
        <f>VLOOKUP(B861,Кат!G:J,3,0)</f>
        <v>#N/A</v>
      </c>
    </row>
    <row r="862" spans="1:5" ht="22.5">
      <c r="A862" s="26" t="s">
        <v>1602</v>
      </c>
      <c r="B862" s="26" t="s">
        <v>1603</v>
      </c>
      <c r="C862" s="26" t="s">
        <v>50</v>
      </c>
      <c r="D862" s="27">
        <v>406</v>
      </c>
      <c r="E862" t="e">
        <f>VLOOKUP(B862,Кат!G:J,3,0)</f>
        <v>#N/A</v>
      </c>
    </row>
    <row r="863" spans="1:5" ht="22.5">
      <c r="A863" s="26" t="s">
        <v>1604</v>
      </c>
      <c r="B863" s="26" t="s">
        <v>1605</v>
      </c>
      <c r="C863" s="26" t="s">
        <v>50</v>
      </c>
      <c r="D863" s="27">
        <v>320</v>
      </c>
      <c r="E863" t="e">
        <f>VLOOKUP(B863,Кат!G:J,3,0)</f>
        <v>#N/A</v>
      </c>
    </row>
    <row r="864" spans="1:5" ht="22.5">
      <c r="A864" s="26" t="s">
        <v>1606</v>
      </c>
      <c r="B864" s="26" t="s">
        <v>1607</v>
      </c>
      <c r="C864" s="26" t="s">
        <v>50</v>
      </c>
      <c r="D864" s="27">
        <v>310</v>
      </c>
      <c r="E864" t="e">
        <f>VLOOKUP(B864,Кат!G:J,3,0)</f>
        <v>#N/A</v>
      </c>
    </row>
    <row r="865" spans="1:5" ht="22.5">
      <c r="A865" s="26" t="s">
        <v>1608</v>
      </c>
      <c r="B865" s="26" t="s">
        <v>1609</v>
      </c>
      <c r="C865" s="26" t="s">
        <v>50</v>
      </c>
      <c r="D865" s="27">
        <v>378</v>
      </c>
      <c r="E865" t="e">
        <f>VLOOKUP(B865,Кат!G:J,3,0)</f>
        <v>#N/A</v>
      </c>
    </row>
    <row r="866" spans="1:5" ht="22.5">
      <c r="A866" s="26" t="s">
        <v>1610</v>
      </c>
      <c r="B866" s="26" t="s">
        <v>1611</v>
      </c>
      <c r="C866" s="26" t="s">
        <v>50</v>
      </c>
      <c r="D866" s="27">
        <v>272</v>
      </c>
      <c r="E866" t="e">
        <f>VLOOKUP(B866,Кат!G:J,3,0)</f>
        <v>#N/A</v>
      </c>
    </row>
    <row r="867" spans="1:5" ht="22.5">
      <c r="A867" s="26" t="s">
        <v>1612</v>
      </c>
      <c r="B867" s="26" t="s">
        <v>1613</v>
      </c>
      <c r="C867" s="26" t="s">
        <v>50</v>
      </c>
      <c r="D867" s="27">
        <v>268</v>
      </c>
      <c r="E867" t="e">
        <f>VLOOKUP(B867,Кат!G:J,3,0)</f>
        <v>#N/A</v>
      </c>
    </row>
    <row r="868" spans="1:5" ht="22.5">
      <c r="A868" s="26" t="s">
        <v>1614</v>
      </c>
      <c r="B868" s="26" t="s">
        <v>1615</v>
      </c>
      <c r="C868" s="26" t="s">
        <v>50</v>
      </c>
      <c r="D868" s="27">
        <v>388</v>
      </c>
      <c r="E868" t="e">
        <f>VLOOKUP(B868,Кат!G:J,3,0)</f>
        <v>#N/A</v>
      </c>
    </row>
    <row r="869" spans="1:5" ht="22.5">
      <c r="A869" s="26" t="s">
        <v>1616</v>
      </c>
      <c r="B869" s="26" t="s">
        <v>1617</v>
      </c>
      <c r="C869" s="26" t="s">
        <v>50</v>
      </c>
      <c r="D869" s="27">
        <v>280</v>
      </c>
      <c r="E869" t="e">
        <f>VLOOKUP(B869,Кат!G:J,3,0)</f>
        <v>#N/A</v>
      </c>
    </row>
    <row r="870" spans="1:5" ht="22.5">
      <c r="A870" s="26" t="s">
        <v>1618</v>
      </c>
      <c r="B870" s="26" t="s">
        <v>1619</v>
      </c>
      <c r="C870" s="26" t="s">
        <v>50</v>
      </c>
      <c r="D870" s="27">
        <v>272</v>
      </c>
      <c r="E870" t="e">
        <f>VLOOKUP(B870,Кат!G:J,3,0)</f>
        <v>#N/A</v>
      </c>
    </row>
    <row r="871" spans="1:5" ht="22.5">
      <c r="A871" s="26" t="s">
        <v>1620</v>
      </c>
      <c r="B871" s="26" t="s">
        <v>1621</v>
      </c>
      <c r="C871" s="26" t="s">
        <v>50</v>
      </c>
      <c r="D871" s="27">
        <v>313</v>
      </c>
      <c r="E871" t="e">
        <f>VLOOKUP(B871,Кат!G:J,3,0)</f>
        <v>#N/A</v>
      </c>
    </row>
    <row r="872" spans="1:5" ht="22.5">
      <c r="A872" s="26" t="s">
        <v>1622</v>
      </c>
      <c r="B872" s="26" t="s">
        <v>1623</v>
      </c>
      <c r="C872" s="26" t="s">
        <v>50</v>
      </c>
      <c r="D872" s="27">
        <v>320</v>
      </c>
      <c r="E872" t="e">
        <f>VLOOKUP(B872,Кат!G:J,3,0)</f>
        <v>#N/A</v>
      </c>
    </row>
    <row r="873" spans="1:5">
      <c r="A873" s="26" t="s">
        <v>1624</v>
      </c>
      <c r="B873" s="26" t="s">
        <v>1625</v>
      </c>
      <c r="C873" s="26" t="s">
        <v>49</v>
      </c>
      <c r="D873" s="27">
        <v>305</v>
      </c>
      <c r="E873" t="e">
        <f>VLOOKUP(B873,Кат!G:J,3,0)</f>
        <v>#N/A</v>
      </c>
    </row>
    <row r="874" spans="1:5">
      <c r="A874" s="26" t="s">
        <v>1626</v>
      </c>
      <c r="B874" s="26" t="s">
        <v>1627</v>
      </c>
      <c r="C874" s="26" t="s">
        <v>49</v>
      </c>
      <c r="D874" s="27">
        <v>308</v>
      </c>
      <c r="E874" t="e">
        <f>VLOOKUP(B874,Кат!G:J,3,0)</f>
        <v>#N/A</v>
      </c>
    </row>
    <row r="875" spans="1:5">
      <c r="A875" s="26" t="s">
        <v>1628</v>
      </c>
      <c r="B875" s="26" t="s">
        <v>1629</v>
      </c>
      <c r="C875" s="26" t="s">
        <v>49</v>
      </c>
      <c r="D875" s="27">
        <v>308</v>
      </c>
      <c r="E875" t="e">
        <f>VLOOKUP(B875,Кат!G:J,3,0)</f>
        <v>#N/A</v>
      </c>
    </row>
    <row r="876" spans="1:5">
      <c r="A876" s="26" t="s">
        <v>1630</v>
      </c>
      <c r="B876" s="26" t="s">
        <v>1631</v>
      </c>
      <c r="C876" s="26" t="s">
        <v>49</v>
      </c>
      <c r="D876" s="27">
        <v>283</v>
      </c>
      <c r="E876" t="e">
        <f>VLOOKUP(B876,Кат!G:J,3,0)</f>
        <v>#N/A</v>
      </c>
    </row>
    <row r="877" spans="1:5">
      <c r="A877" s="26" t="s">
        <v>1632</v>
      </c>
      <c r="B877" s="26" t="s">
        <v>1633</v>
      </c>
      <c r="C877" s="26" t="s">
        <v>49</v>
      </c>
      <c r="D877" s="27">
        <v>283</v>
      </c>
      <c r="E877" t="e">
        <f>VLOOKUP(B877,Кат!G:J,3,0)</f>
        <v>#N/A</v>
      </c>
    </row>
    <row r="878" spans="1:5">
      <c r="A878" s="26" t="s">
        <v>1634</v>
      </c>
      <c r="B878" s="26" t="s">
        <v>1635</v>
      </c>
      <c r="C878" s="26" t="s">
        <v>49</v>
      </c>
      <c r="D878" s="27">
        <v>300</v>
      </c>
      <c r="E878" t="e">
        <f>VLOOKUP(B878,Кат!G:J,3,0)</f>
        <v>#N/A</v>
      </c>
    </row>
    <row r="879" spans="1:5">
      <c r="A879" s="26" t="s">
        <v>1636</v>
      </c>
      <c r="B879" s="26" t="s">
        <v>1637</v>
      </c>
      <c r="C879" s="26" t="s">
        <v>49</v>
      </c>
      <c r="D879" s="27">
        <v>320</v>
      </c>
      <c r="E879" t="e">
        <f>VLOOKUP(B879,Кат!G:J,3,0)</f>
        <v>#N/A</v>
      </c>
    </row>
    <row r="880" spans="1:5" ht="22.5">
      <c r="A880" s="26" t="s">
        <v>1638</v>
      </c>
      <c r="B880" s="26" t="s">
        <v>1639</v>
      </c>
      <c r="C880" s="26" t="s">
        <v>49</v>
      </c>
      <c r="D880" s="27">
        <v>380</v>
      </c>
      <c r="E880" t="e">
        <f>VLOOKUP(B880,Кат!G:J,3,0)</f>
        <v>#N/A</v>
      </c>
    </row>
    <row r="881" spans="1:5">
      <c r="A881" s="26" t="s">
        <v>1640</v>
      </c>
      <c r="B881" s="26" t="s">
        <v>1641</v>
      </c>
      <c r="C881" s="26" t="s">
        <v>49</v>
      </c>
      <c r="D881" s="27">
        <v>332</v>
      </c>
      <c r="E881" t="e">
        <f>VLOOKUP(B881,Кат!G:J,3,0)</f>
        <v>#N/A</v>
      </c>
    </row>
    <row r="882" spans="1:5" ht="22.5">
      <c r="A882" s="26" t="s">
        <v>1642</v>
      </c>
      <c r="B882" s="26" t="s">
        <v>1643</v>
      </c>
      <c r="C882" s="26" t="s">
        <v>49</v>
      </c>
      <c r="D882" s="27">
        <v>380</v>
      </c>
      <c r="E882" t="e">
        <f>VLOOKUP(B882,Кат!G:J,3,0)</f>
        <v>#N/A</v>
      </c>
    </row>
    <row r="883" spans="1:5" ht="22.5">
      <c r="A883" s="26" t="s">
        <v>1644</v>
      </c>
      <c r="B883" s="26" t="s">
        <v>1645</v>
      </c>
      <c r="C883" s="26" t="s">
        <v>49</v>
      </c>
      <c r="D883" s="27">
        <v>486</v>
      </c>
      <c r="E883" t="e">
        <f>VLOOKUP(B883,Кат!G:J,3,0)</f>
        <v>#N/A</v>
      </c>
    </row>
    <row r="884" spans="1:5" ht="22.5">
      <c r="A884" s="26" t="s">
        <v>1646</v>
      </c>
      <c r="B884" s="26" t="s">
        <v>1647</v>
      </c>
      <c r="C884" s="26" t="s">
        <v>50</v>
      </c>
      <c r="D884" s="27">
        <v>127</v>
      </c>
      <c r="E884" t="e">
        <f>VLOOKUP(B884,Кат!G:J,3,0)</f>
        <v>#N/A</v>
      </c>
    </row>
    <row r="885" spans="1:5" ht="22.5">
      <c r="A885" s="26" t="s">
        <v>1648</v>
      </c>
      <c r="B885" s="26" t="s">
        <v>1649</v>
      </c>
      <c r="C885" s="26" t="s">
        <v>50</v>
      </c>
      <c r="D885" s="27">
        <v>113</v>
      </c>
      <c r="E885" t="e">
        <f>VLOOKUP(B885,Кат!G:J,3,0)</f>
        <v>#N/A</v>
      </c>
    </row>
    <row r="886" spans="1:5" ht="22.5">
      <c r="A886" s="26" t="s">
        <v>1650</v>
      </c>
      <c r="B886" s="26" t="s">
        <v>1651</v>
      </c>
      <c r="C886" s="26" t="s">
        <v>50</v>
      </c>
      <c r="D886" s="27">
        <v>142</v>
      </c>
      <c r="E886" t="e">
        <f>VLOOKUP(B886,Кат!G:J,3,0)</f>
        <v>#N/A</v>
      </c>
    </row>
    <row r="887" spans="1:5" ht="22.5">
      <c r="A887" s="26" t="s">
        <v>1652</v>
      </c>
      <c r="B887" s="26" t="s">
        <v>1653</v>
      </c>
      <c r="C887" s="26" t="s">
        <v>50</v>
      </c>
      <c r="D887" s="27">
        <v>136</v>
      </c>
      <c r="E887" t="e">
        <f>VLOOKUP(B887,Кат!G:J,3,0)</f>
        <v>#N/A</v>
      </c>
    </row>
    <row r="888" spans="1:5" ht="22.5">
      <c r="A888" s="26" t="s">
        <v>1654</v>
      </c>
      <c r="B888" s="26" t="s">
        <v>1655</v>
      </c>
      <c r="C888" s="26" t="s">
        <v>50</v>
      </c>
      <c r="D888" s="27">
        <v>184</v>
      </c>
      <c r="E888" t="e">
        <f>VLOOKUP(B888,Кат!G:J,3,0)</f>
        <v>#N/A</v>
      </c>
    </row>
    <row r="889" spans="1:5" ht="22.5">
      <c r="A889" s="26" t="s">
        <v>1656</v>
      </c>
      <c r="B889" s="26" t="s">
        <v>1657</v>
      </c>
      <c r="C889" s="26" t="s">
        <v>50</v>
      </c>
      <c r="D889" s="27">
        <v>151</v>
      </c>
      <c r="E889" t="e">
        <f>VLOOKUP(B889,Кат!G:J,3,0)</f>
        <v>#N/A</v>
      </c>
    </row>
    <row r="890" spans="1:5" ht="22.5">
      <c r="A890" s="26" t="s">
        <v>1658</v>
      </c>
      <c r="B890" s="26" t="s">
        <v>1659</v>
      </c>
      <c r="C890" s="26" t="s">
        <v>50</v>
      </c>
      <c r="D890" s="27">
        <v>113</v>
      </c>
      <c r="E890" t="e">
        <f>VLOOKUP(B890,Кат!G:J,3,0)</f>
        <v>#N/A</v>
      </c>
    </row>
    <row r="891" spans="1:5">
      <c r="A891" s="26" t="s">
        <v>1660</v>
      </c>
      <c r="B891" s="26" t="s">
        <v>1661</v>
      </c>
      <c r="C891" s="26" t="s">
        <v>50</v>
      </c>
      <c r="D891" s="28">
        <v>2705</v>
      </c>
      <c r="E891" t="e">
        <f>VLOOKUP(B891,Кат!G:J,3,0)</f>
        <v>#N/A</v>
      </c>
    </row>
    <row r="892" spans="1:5">
      <c r="A892" s="26" t="s">
        <v>1662</v>
      </c>
      <c r="B892" s="26" t="s">
        <v>1663</v>
      </c>
      <c r="C892" s="26" t="s">
        <v>50</v>
      </c>
      <c r="D892" s="28">
        <v>2837</v>
      </c>
      <c r="E892" t="e">
        <f>VLOOKUP(B892,Кат!G:J,3,0)</f>
        <v>#N/A</v>
      </c>
    </row>
    <row r="893" spans="1:5">
      <c r="A893" s="26" t="s">
        <v>1664</v>
      </c>
      <c r="B893" s="26" t="s">
        <v>1665</v>
      </c>
      <c r="C893" s="26" t="s">
        <v>50</v>
      </c>
      <c r="D893" s="28">
        <v>2837</v>
      </c>
      <c r="E893" t="e">
        <f>VLOOKUP(B893,Кат!G:J,3,0)</f>
        <v>#N/A</v>
      </c>
    </row>
    <row r="894" spans="1:5" ht="22.5">
      <c r="A894" s="26" t="s">
        <v>1666</v>
      </c>
      <c r="B894" s="26" t="s">
        <v>1667</v>
      </c>
      <c r="C894" s="26" t="s">
        <v>50</v>
      </c>
      <c r="D894" s="27">
        <v>204</v>
      </c>
      <c r="E894" t="e">
        <f>VLOOKUP(B894,Кат!G:J,3,0)</f>
        <v>#N/A</v>
      </c>
    </row>
    <row r="895" spans="1:5" ht="22.5">
      <c r="A895" s="26" t="s">
        <v>1668</v>
      </c>
      <c r="B895" s="26" t="s">
        <v>1669</v>
      </c>
      <c r="C895" s="26" t="s">
        <v>50</v>
      </c>
      <c r="D895" s="27">
        <v>212</v>
      </c>
      <c r="E895" t="e">
        <f>VLOOKUP(B895,Кат!G:J,3,0)</f>
        <v>#N/A</v>
      </c>
    </row>
    <row r="896" spans="1:5" ht="22.5">
      <c r="A896" s="26" t="s">
        <v>1670</v>
      </c>
      <c r="B896" s="26" t="s">
        <v>1671</v>
      </c>
      <c r="C896" s="26" t="s">
        <v>50</v>
      </c>
      <c r="D896" s="27">
        <v>193</v>
      </c>
      <c r="E896" t="e">
        <f>VLOOKUP(B896,Кат!G:J,3,0)</f>
        <v>#N/A</v>
      </c>
    </row>
    <row r="897" spans="1:5" ht="22.5">
      <c r="A897" s="26" t="s">
        <v>1672</v>
      </c>
      <c r="B897" s="26" t="s">
        <v>1673</v>
      </c>
      <c r="C897" s="26" t="s">
        <v>50</v>
      </c>
      <c r="D897" s="27">
        <v>208</v>
      </c>
      <c r="E897" t="e">
        <f>VLOOKUP(B897,Кат!G:J,3,0)</f>
        <v>#N/A</v>
      </c>
    </row>
    <row r="898" spans="1:5" ht="22.5">
      <c r="A898" s="26" t="s">
        <v>1674</v>
      </c>
      <c r="B898" s="26" t="s">
        <v>1675</v>
      </c>
      <c r="C898" s="26" t="s">
        <v>50</v>
      </c>
      <c r="D898" s="27">
        <v>193</v>
      </c>
      <c r="E898" t="e">
        <f>VLOOKUP(B898,Кат!G:J,3,0)</f>
        <v>#N/A</v>
      </c>
    </row>
    <row r="899" spans="1:5">
      <c r="A899" s="26" t="s">
        <v>1676</v>
      </c>
      <c r="B899" s="26" t="s">
        <v>1677</v>
      </c>
      <c r="C899" s="26" t="s">
        <v>50</v>
      </c>
      <c r="D899" s="27">
        <v>220</v>
      </c>
      <c r="E899" t="e">
        <f>VLOOKUP(B899,Кат!G:J,3,0)</f>
        <v>#N/A</v>
      </c>
    </row>
    <row r="900" spans="1:5">
      <c r="A900" s="26" t="s">
        <v>1678</v>
      </c>
      <c r="B900" s="26" t="s">
        <v>1679</v>
      </c>
      <c r="C900" s="26" t="s">
        <v>50</v>
      </c>
      <c r="D900" s="27">
        <v>205</v>
      </c>
      <c r="E900" t="e">
        <f>VLOOKUP(B900,Кат!G:J,3,0)</f>
        <v>#N/A</v>
      </c>
    </row>
    <row r="901" spans="1:5">
      <c r="A901" s="26" t="s">
        <v>1680</v>
      </c>
      <c r="B901" s="26" t="s">
        <v>1681</v>
      </c>
      <c r="C901" s="26" t="s">
        <v>50</v>
      </c>
      <c r="D901" s="27">
        <v>266</v>
      </c>
      <c r="E901" t="e">
        <f>VLOOKUP(B901,Кат!G:J,3,0)</f>
        <v>#N/A</v>
      </c>
    </row>
    <row r="902" spans="1:5">
      <c r="A902" s="26" t="s">
        <v>1682</v>
      </c>
      <c r="B902" s="26" t="s">
        <v>1683</v>
      </c>
      <c r="C902" s="26" t="s">
        <v>50</v>
      </c>
      <c r="D902" s="27">
        <v>406</v>
      </c>
      <c r="E902" t="e">
        <f>VLOOKUP(B902,Кат!G:J,3,0)</f>
        <v>#N/A</v>
      </c>
    </row>
    <row r="903" spans="1:5" ht="22.5">
      <c r="A903" s="26" t="s">
        <v>1684</v>
      </c>
      <c r="B903" s="26" t="s">
        <v>1685</v>
      </c>
      <c r="C903" s="26" t="s">
        <v>50</v>
      </c>
      <c r="D903" s="27">
        <v>249</v>
      </c>
      <c r="E903" t="e">
        <f>VLOOKUP(B903,Кат!G:J,3,0)</f>
        <v>#N/A</v>
      </c>
    </row>
    <row r="904" spans="1:5">
      <c r="A904" s="26" t="s">
        <v>1686</v>
      </c>
      <c r="B904" s="26" t="s">
        <v>1687</v>
      </c>
      <c r="C904" s="26" t="s">
        <v>50</v>
      </c>
      <c r="D904" s="28">
        <v>1120</v>
      </c>
      <c r="E904" t="e">
        <f>VLOOKUP(B904,Кат!G:J,3,0)</f>
        <v>#N/A</v>
      </c>
    </row>
    <row r="905" spans="1:5">
      <c r="A905" s="26" t="s">
        <v>1688</v>
      </c>
      <c r="B905" s="26" t="s">
        <v>1689</v>
      </c>
      <c r="C905" s="26" t="s">
        <v>49</v>
      </c>
      <c r="D905" s="27">
        <v>277</v>
      </c>
      <c r="E905" t="e">
        <f>VLOOKUP(B905,Кат!G:J,3,0)</f>
        <v>#N/A</v>
      </c>
    </row>
    <row r="906" spans="1:5">
      <c r="A906" s="26" t="s">
        <v>1690</v>
      </c>
      <c r="B906" s="26" t="s">
        <v>1691</v>
      </c>
      <c r="C906" s="26" t="s">
        <v>49</v>
      </c>
      <c r="D906" s="27">
        <v>308</v>
      </c>
      <c r="E906" t="e">
        <f>VLOOKUP(B906,Кат!G:J,3,0)</f>
        <v>#N/A</v>
      </c>
    </row>
    <row r="907" spans="1:5">
      <c r="A907" s="23" t="s">
        <v>1692</v>
      </c>
      <c r="B907" s="24"/>
      <c r="C907" s="24"/>
      <c r="D907" s="25"/>
      <c r="E907" t="e">
        <f>VLOOKUP(B907,Кат!G:J,3,0)</f>
        <v>#N/A</v>
      </c>
    </row>
    <row r="908" spans="1:5">
      <c r="A908" s="26" t="s">
        <v>1693</v>
      </c>
      <c r="B908" s="26" t="s">
        <v>1694</v>
      </c>
      <c r="C908" s="26" t="s">
        <v>50</v>
      </c>
      <c r="D908" s="27">
        <v>252</v>
      </c>
      <c r="E908" t="e">
        <f>VLOOKUP(B908,Кат!G:J,3,0)</f>
        <v>#N/A</v>
      </c>
    </row>
    <row r="909" spans="1:5" ht="22.5">
      <c r="A909" s="26" t="s">
        <v>1695</v>
      </c>
      <c r="B909" s="26" t="s">
        <v>1696</v>
      </c>
      <c r="C909" s="26" t="s">
        <v>50</v>
      </c>
      <c r="D909" s="27">
        <v>210</v>
      </c>
      <c r="E909" t="e">
        <f>VLOOKUP(B909,Кат!G:J,3,0)</f>
        <v>#N/A</v>
      </c>
    </row>
    <row r="910" spans="1:5">
      <c r="A910" s="23" t="s">
        <v>1697</v>
      </c>
      <c r="B910" s="24"/>
      <c r="C910" s="24"/>
      <c r="D910" s="25"/>
      <c r="E910" t="e">
        <f>VLOOKUP(B910,Кат!G:J,3,0)</f>
        <v>#N/A</v>
      </c>
    </row>
    <row r="911" spans="1:5" ht="22.5">
      <c r="A911" s="26" t="s">
        <v>1698</v>
      </c>
      <c r="B911" s="26" t="s">
        <v>1699</v>
      </c>
      <c r="C911" s="26" t="s">
        <v>50</v>
      </c>
      <c r="D911" s="27">
        <v>808</v>
      </c>
      <c r="E911" t="e">
        <f>VLOOKUP(B911,Кат!G:J,3,0)</f>
        <v>#N/A</v>
      </c>
    </row>
    <row r="912" spans="1:5">
      <c r="A912" s="26" t="s">
        <v>1700</v>
      </c>
      <c r="B912" s="26" t="s">
        <v>1701</v>
      </c>
      <c r="C912" s="26" t="s">
        <v>50</v>
      </c>
      <c r="D912" s="27">
        <v>359</v>
      </c>
      <c r="E912" t="e">
        <f>VLOOKUP(B912,Кат!G:J,3,0)</f>
        <v>#N/A</v>
      </c>
    </row>
    <row r="913" spans="1:5" ht="22.5">
      <c r="A913" s="26" t="s">
        <v>1702</v>
      </c>
      <c r="B913" s="26" t="s">
        <v>1703</v>
      </c>
      <c r="C913" s="26" t="s">
        <v>50</v>
      </c>
      <c r="D913" s="27">
        <v>242</v>
      </c>
      <c r="E913" t="e">
        <f>VLOOKUP(B913,Кат!G:J,3,0)</f>
        <v>#N/A</v>
      </c>
    </row>
    <row r="914" spans="1:5" ht="22.5">
      <c r="A914" s="26" t="s">
        <v>1704</v>
      </c>
      <c r="B914" s="26" t="s">
        <v>1705</v>
      </c>
      <c r="C914" s="26" t="s">
        <v>50</v>
      </c>
      <c r="D914" s="27">
        <v>285</v>
      </c>
      <c r="E914" t="e">
        <f>VLOOKUP(B914,Кат!G:J,3,0)</f>
        <v>#N/A</v>
      </c>
    </row>
    <row r="915" spans="1:5">
      <c r="A915" s="26" t="s">
        <v>1706</v>
      </c>
      <c r="B915" s="26" t="s">
        <v>1707</v>
      </c>
      <c r="C915" s="26" t="s">
        <v>50</v>
      </c>
      <c r="D915" s="27">
        <v>402</v>
      </c>
      <c r="E915" t="e">
        <f>VLOOKUP(B915,Кат!G:J,3,0)</f>
        <v>#N/A</v>
      </c>
    </row>
    <row r="916" spans="1:5">
      <c r="A916" s="26" t="s">
        <v>1708</v>
      </c>
      <c r="B916" s="26" t="s">
        <v>1709</v>
      </c>
      <c r="C916" s="26" t="s">
        <v>50</v>
      </c>
      <c r="D916" s="27">
        <v>159</v>
      </c>
      <c r="E916" t="e">
        <f>VLOOKUP(B916,Кат!G:J,3,0)</f>
        <v>#N/A</v>
      </c>
    </row>
    <row r="917" spans="1:5" ht="22.5">
      <c r="A917" s="26" t="s">
        <v>1710</v>
      </c>
      <c r="B917" s="26" t="s">
        <v>1711</v>
      </c>
      <c r="C917" s="26" t="s">
        <v>50</v>
      </c>
      <c r="D917" s="27">
        <v>210</v>
      </c>
      <c r="E917" t="e">
        <f>VLOOKUP(B917,Кат!G:J,3,0)</f>
        <v>#N/A</v>
      </c>
    </row>
    <row r="918" spans="1:5">
      <c r="A918" s="26" t="s">
        <v>1712</v>
      </c>
      <c r="B918" s="26" t="s">
        <v>1713</v>
      </c>
      <c r="C918" s="26" t="s">
        <v>50</v>
      </c>
      <c r="D918" s="27">
        <v>701</v>
      </c>
      <c r="E918" t="e">
        <f>VLOOKUP(B918,Кат!G:J,3,0)</f>
        <v>#N/A</v>
      </c>
    </row>
    <row r="919" spans="1:5" ht="22.5">
      <c r="A919" s="26" t="s">
        <v>1714</v>
      </c>
      <c r="B919" s="26" t="s">
        <v>1715</v>
      </c>
      <c r="C919" s="26" t="s">
        <v>50</v>
      </c>
      <c r="D919" s="27">
        <v>238</v>
      </c>
      <c r="E919" t="e">
        <f>VLOOKUP(B919,Кат!G:J,3,0)</f>
        <v>#N/A</v>
      </c>
    </row>
    <row r="920" spans="1:5" ht="22.5">
      <c r="A920" s="26" t="s">
        <v>1716</v>
      </c>
      <c r="B920" s="26" t="s">
        <v>1717</v>
      </c>
      <c r="C920" s="26" t="s">
        <v>50</v>
      </c>
      <c r="D920" s="27">
        <v>843</v>
      </c>
      <c r="E920" t="e">
        <f>VLOOKUP(B920,Кат!G:J,3,0)</f>
        <v>#N/A</v>
      </c>
    </row>
    <row r="921" spans="1:5" ht="22.5">
      <c r="A921" s="26" t="s">
        <v>1718</v>
      </c>
      <c r="B921" s="26" t="s">
        <v>1719</v>
      </c>
      <c r="C921" s="26" t="s">
        <v>49</v>
      </c>
      <c r="D921" s="27">
        <v>506</v>
      </c>
      <c r="E921" t="e">
        <f>VLOOKUP(B921,Кат!G:J,3,0)</f>
        <v>#N/A</v>
      </c>
    </row>
    <row r="922" spans="1:5" ht="22.5">
      <c r="A922" s="26" t="s">
        <v>1720</v>
      </c>
      <c r="B922" s="26" t="s">
        <v>1721</v>
      </c>
      <c r="C922" s="26" t="s">
        <v>50</v>
      </c>
      <c r="D922" s="27">
        <v>143</v>
      </c>
      <c r="E922" t="e">
        <f>VLOOKUP(B922,Кат!G:J,3,0)</f>
        <v>#N/A</v>
      </c>
    </row>
    <row r="923" spans="1:5">
      <c r="A923" s="26" t="s">
        <v>4337</v>
      </c>
      <c r="B923" s="26" t="s">
        <v>4338</v>
      </c>
      <c r="C923" s="26" t="s">
        <v>50</v>
      </c>
      <c r="D923" s="27">
        <v>377</v>
      </c>
      <c r="E923" t="e">
        <f>VLOOKUP(B923,Кат!G:J,3,0)</f>
        <v>#N/A</v>
      </c>
    </row>
    <row r="924" spans="1:5" ht="22.5">
      <c r="A924" s="26" t="s">
        <v>1722</v>
      </c>
      <c r="B924" s="26" t="s">
        <v>1723</v>
      </c>
      <c r="C924" s="26" t="s">
        <v>50</v>
      </c>
      <c r="D924" s="27">
        <v>510</v>
      </c>
      <c r="E924" t="e">
        <f>VLOOKUP(B924,Кат!G:J,3,0)</f>
        <v>#N/A</v>
      </c>
    </row>
    <row r="925" spans="1:5" ht="22.5">
      <c r="A925" s="26" t="s">
        <v>1724</v>
      </c>
      <c r="B925" s="26" t="s">
        <v>1725</v>
      </c>
      <c r="C925" s="26" t="s">
        <v>50</v>
      </c>
      <c r="D925" s="27">
        <v>687</v>
      </c>
      <c r="E925" t="e">
        <f>VLOOKUP(B925,Кат!G:J,3,0)</f>
        <v>#N/A</v>
      </c>
    </row>
    <row r="926" spans="1:5" ht="22.5">
      <c r="A926" s="26" t="s">
        <v>1726</v>
      </c>
      <c r="B926" s="26" t="s">
        <v>1727</v>
      </c>
      <c r="C926" s="26" t="s">
        <v>50</v>
      </c>
      <c r="D926" s="27">
        <v>154</v>
      </c>
      <c r="E926" t="e">
        <f>VLOOKUP(B926,Кат!G:J,3,0)</f>
        <v>#N/A</v>
      </c>
    </row>
    <row r="927" spans="1:5" ht="22.5">
      <c r="A927" s="26" t="s">
        <v>1728</v>
      </c>
      <c r="B927" s="26" t="s">
        <v>1729</v>
      </c>
      <c r="C927" s="26" t="s">
        <v>50</v>
      </c>
      <c r="D927" s="27">
        <v>621</v>
      </c>
      <c r="E927" t="e">
        <f>VLOOKUP(B927,Кат!G:J,3,0)</f>
        <v>#N/A</v>
      </c>
    </row>
    <row r="928" spans="1:5" ht="22.5">
      <c r="A928" s="26" t="s">
        <v>1730</v>
      </c>
      <c r="B928" s="26" t="s">
        <v>1731</v>
      </c>
      <c r="C928" s="26" t="s">
        <v>50</v>
      </c>
      <c r="D928" s="27">
        <v>225</v>
      </c>
      <c r="E928" t="e">
        <f>VLOOKUP(B928,Кат!G:J,3,0)</f>
        <v>#N/A</v>
      </c>
    </row>
    <row r="929" spans="1:5" ht="22.5">
      <c r="A929" s="26" t="s">
        <v>1732</v>
      </c>
      <c r="B929" s="26" t="s">
        <v>1733</v>
      </c>
      <c r="C929" s="26" t="s">
        <v>50</v>
      </c>
      <c r="D929" s="28">
        <v>1145</v>
      </c>
      <c r="E929" t="e">
        <f>VLOOKUP(B929,Кат!G:J,3,0)</f>
        <v>#N/A</v>
      </c>
    </row>
    <row r="930" spans="1:5" ht="22.5">
      <c r="A930" s="26" t="s">
        <v>1734</v>
      </c>
      <c r="B930" s="26" t="s">
        <v>1735</v>
      </c>
      <c r="C930" s="26" t="s">
        <v>50</v>
      </c>
      <c r="D930" s="27">
        <v>865</v>
      </c>
      <c r="E930" t="e">
        <f>VLOOKUP(B930,Кат!G:J,3,0)</f>
        <v>#N/A</v>
      </c>
    </row>
    <row r="931" spans="1:5" ht="22.5">
      <c r="A931" s="26" t="s">
        <v>1736</v>
      </c>
      <c r="B931" s="26" t="s">
        <v>1737</v>
      </c>
      <c r="C931" s="26" t="s">
        <v>50</v>
      </c>
      <c r="D931" s="27">
        <v>225</v>
      </c>
      <c r="E931" t="e">
        <f>VLOOKUP(B931,Кат!G:J,3,0)</f>
        <v>#N/A</v>
      </c>
    </row>
    <row r="932" spans="1:5" ht="22.5">
      <c r="A932" s="26" t="s">
        <v>1738</v>
      </c>
      <c r="B932" s="26" t="s">
        <v>1739</v>
      </c>
      <c r="C932" s="26" t="s">
        <v>50</v>
      </c>
      <c r="D932" s="27">
        <v>554</v>
      </c>
      <c r="E932" t="e">
        <f>VLOOKUP(B932,Кат!G:J,3,0)</f>
        <v>#N/A</v>
      </c>
    </row>
    <row r="933" spans="1:5">
      <c r="A933" s="26" t="s">
        <v>1740</v>
      </c>
      <c r="B933" s="26" t="s">
        <v>1741</v>
      </c>
      <c r="C933" s="26" t="s">
        <v>50</v>
      </c>
      <c r="D933" s="27">
        <v>47</v>
      </c>
      <c r="E933" t="e">
        <f>VLOOKUP(B933,Кат!G:J,3,0)</f>
        <v>#N/A</v>
      </c>
    </row>
    <row r="934" spans="1:5" ht="22.5">
      <c r="A934" s="26" t="s">
        <v>1742</v>
      </c>
      <c r="B934" s="26" t="s">
        <v>1743</v>
      </c>
      <c r="C934" s="26" t="s">
        <v>50</v>
      </c>
      <c r="D934" s="27">
        <v>840</v>
      </c>
      <c r="E934" t="e">
        <f>VLOOKUP(B934,Кат!G:J,3,0)</f>
        <v>#N/A</v>
      </c>
    </row>
    <row r="935" spans="1:5" ht="22.5">
      <c r="A935" s="26" t="s">
        <v>1744</v>
      </c>
      <c r="B935" s="26" t="s">
        <v>1745</v>
      </c>
      <c r="C935" s="26" t="s">
        <v>50</v>
      </c>
      <c r="D935" s="27">
        <v>411</v>
      </c>
      <c r="E935" t="e">
        <f>VLOOKUP(B935,Кат!G:J,3,0)</f>
        <v>#N/A</v>
      </c>
    </row>
    <row r="936" spans="1:5" ht="22.5">
      <c r="A936" s="26" t="s">
        <v>1746</v>
      </c>
      <c r="B936" s="26" t="s">
        <v>1747</v>
      </c>
      <c r="C936" s="26" t="s">
        <v>50</v>
      </c>
      <c r="D936" s="27">
        <v>388</v>
      </c>
      <c r="E936" t="e">
        <f>VLOOKUP(B936,Кат!G:J,3,0)</f>
        <v>#N/A</v>
      </c>
    </row>
    <row r="937" spans="1:5" ht="22.5">
      <c r="A937" s="26" t="s">
        <v>1748</v>
      </c>
      <c r="B937" s="26" t="s">
        <v>1749</v>
      </c>
      <c r="C937" s="26" t="s">
        <v>50</v>
      </c>
      <c r="D937" s="27">
        <v>919</v>
      </c>
      <c r="E937" t="e">
        <f>VLOOKUP(B937,Кат!G:J,3,0)</f>
        <v>#N/A</v>
      </c>
    </row>
    <row r="938" spans="1:5" ht="22.5">
      <c r="A938" s="26" t="s">
        <v>1750</v>
      </c>
      <c r="B938" s="26" t="s">
        <v>1751</v>
      </c>
      <c r="C938" s="26" t="s">
        <v>50</v>
      </c>
      <c r="D938" s="27">
        <v>123</v>
      </c>
      <c r="E938" t="e">
        <f>VLOOKUP(B938,Кат!G:J,3,0)</f>
        <v>#N/A</v>
      </c>
    </row>
    <row r="939" spans="1:5">
      <c r="A939" s="26" t="s">
        <v>1752</v>
      </c>
      <c r="B939" s="26" t="s">
        <v>1753</v>
      </c>
      <c r="C939" s="26" t="s">
        <v>50</v>
      </c>
      <c r="D939" s="28">
        <v>1456</v>
      </c>
      <c r="E939" t="e">
        <f>VLOOKUP(B939,Кат!G:J,3,0)</f>
        <v>#N/A</v>
      </c>
    </row>
    <row r="940" spans="1:5" ht="22.5">
      <c r="A940" s="26" t="s">
        <v>1754</v>
      </c>
      <c r="B940" s="26" t="s">
        <v>1755</v>
      </c>
      <c r="C940" s="26" t="s">
        <v>50</v>
      </c>
      <c r="D940" s="27">
        <v>258</v>
      </c>
      <c r="E940" t="e">
        <f>VLOOKUP(B940,Кат!G:J,3,0)</f>
        <v>#N/A</v>
      </c>
    </row>
    <row r="941" spans="1:5" ht="22.5">
      <c r="A941" s="26" t="s">
        <v>1756</v>
      </c>
      <c r="B941" s="26" t="s">
        <v>1757</v>
      </c>
      <c r="C941" s="26" t="s">
        <v>50</v>
      </c>
      <c r="D941" s="27">
        <v>206</v>
      </c>
      <c r="E941" t="e">
        <f>VLOOKUP(B941,Кат!G:J,3,0)</f>
        <v>#N/A</v>
      </c>
    </row>
    <row r="942" spans="1:5" ht="22.5">
      <c r="A942" s="26" t="s">
        <v>1758</v>
      </c>
      <c r="B942" s="26" t="s">
        <v>1759</v>
      </c>
      <c r="C942" s="26" t="s">
        <v>50</v>
      </c>
      <c r="D942" s="27">
        <v>180</v>
      </c>
      <c r="E942" t="e">
        <f>VLOOKUP(B942,Кат!G:J,3,0)</f>
        <v>#N/A</v>
      </c>
    </row>
    <row r="943" spans="1:5">
      <c r="A943" s="26" t="s">
        <v>1760</v>
      </c>
      <c r="B943" s="26" t="s">
        <v>1761</v>
      </c>
      <c r="C943" s="26" t="s">
        <v>50</v>
      </c>
      <c r="D943" s="27">
        <v>145</v>
      </c>
      <c r="E943" t="e">
        <f>VLOOKUP(B943,Кат!G:J,3,0)</f>
        <v>#N/A</v>
      </c>
    </row>
    <row r="944" spans="1:5" ht="22.5">
      <c r="A944" s="26" t="s">
        <v>1762</v>
      </c>
      <c r="B944" s="26" t="s">
        <v>1763</v>
      </c>
      <c r="C944" s="26" t="s">
        <v>50</v>
      </c>
      <c r="D944" s="27">
        <v>188</v>
      </c>
      <c r="E944" t="e">
        <f>VLOOKUP(B944,Кат!G:J,3,0)</f>
        <v>#N/A</v>
      </c>
    </row>
    <row r="945" spans="1:5" ht="22.5">
      <c r="A945" s="26" t="s">
        <v>1764</v>
      </c>
      <c r="B945" s="26" t="s">
        <v>1765</v>
      </c>
      <c r="C945" s="26" t="s">
        <v>50</v>
      </c>
      <c r="D945" s="27">
        <v>171</v>
      </c>
      <c r="E945" t="e">
        <f>VLOOKUP(B945,Кат!G:J,3,0)</f>
        <v>#N/A</v>
      </c>
    </row>
    <row r="946" spans="1:5">
      <c r="A946" s="26" t="s">
        <v>1766</v>
      </c>
      <c r="B946" s="26" t="s">
        <v>1767</v>
      </c>
      <c r="C946" s="26" t="s">
        <v>50</v>
      </c>
      <c r="D946" s="28">
        <v>1850</v>
      </c>
      <c r="E946" t="e">
        <f>VLOOKUP(B946,Кат!G:J,3,0)</f>
        <v>#N/A</v>
      </c>
    </row>
    <row r="947" spans="1:5">
      <c r="A947" s="26" t="s">
        <v>1768</v>
      </c>
      <c r="B947" s="26" t="s">
        <v>1769</v>
      </c>
      <c r="C947" s="26" t="s">
        <v>50</v>
      </c>
      <c r="D947" s="27">
        <v>277</v>
      </c>
      <c r="E947" t="e">
        <f>VLOOKUP(B947,Кат!G:J,3,0)</f>
        <v>#N/A</v>
      </c>
    </row>
    <row r="948" spans="1:5">
      <c r="A948" s="26" t="s">
        <v>1770</v>
      </c>
      <c r="B948" s="26" t="s">
        <v>1771</v>
      </c>
      <c r="C948" s="26" t="s">
        <v>50</v>
      </c>
      <c r="D948" s="27">
        <v>197</v>
      </c>
      <c r="E948" t="e">
        <f>VLOOKUP(B948,Кат!G:J,3,0)</f>
        <v>#N/A</v>
      </c>
    </row>
    <row r="949" spans="1:5" ht="22.5">
      <c r="A949" s="26" t="s">
        <v>1772</v>
      </c>
      <c r="B949" s="26" t="s">
        <v>1773</v>
      </c>
      <c r="C949" s="26" t="s">
        <v>50</v>
      </c>
      <c r="D949" s="27">
        <v>403</v>
      </c>
      <c r="E949" t="e">
        <f>VLOOKUP(B949,Кат!G:J,3,0)</f>
        <v>#N/A</v>
      </c>
    </row>
    <row r="950" spans="1:5">
      <c r="A950" s="26" t="s">
        <v>1774</v>
      </c>
      <c r="B950" s="26" t="s">
        <v>1775</v>
      </c>
      <c r="C950" s="26" t="s">
        <v>50</v>
      </c>
      <c r="D950" s="27">
        <v>210</v>
      </c>
      <c r="E950" t="e">
        <f>VLOOKUP(B950,Кат!G:J,3,0)</f>
        <v>#N/A</v>
      </c>
    </row>
    <row r="951" spans="1:5">
      <c r="A951" s="26" t="s">
        <v>1776</v>
      </c>
      <c r="B951" s="26" t="s">
        <v>1777</v>
      </c>
      <c r="C951" s="26" t="s">
        <v>50</v>
      </c>
      <c r="D951" s="27">
        <v>320</v>
      </c>
      <c r="E951" t="e">
        <f>VLOOKUP(B951,Кат!G:J,3,0)</f>
        <v>#N/A</v>
      </c>
    </row>
    <row r="952" spans="1:5">
      <c r="A952" s="26" t="s">
        <v>1778</v>
      </c>
      <c r="B952" s="26" t="s">
        <v>1779</v>
      </c>
      <c r="C952" s="26" t="s">
        <v>50</v>
      </c>
      <c r="D952" s="27">
        <v>158</v>
      </c>
      <c r="E952" t="e">
        <f>VLOOKUP(B952,Кат!G:J,3,0)</f>
        <v>#N/A</v>
      </c>
    </row>
    <row r="953" spans="1:5">
      <c r="A953" s="23" t="s">
        <v>1780</v>
      </c>
      <c r="B953" s="24"/>
      <c r="C953" s="24"/>
      <c r="D953" s="25"/>
      <c r="E953" t="e">
        <f>VLOOKUP(B953,Кат!G:J,3,0)</f>
        <v>#N/A</v>
      </c>
    </row>
    <row r="954" spans="1:5" ht="22.5">
      <c r="A954" s="26" t="s">
        <v>1781</v>
      </c>
      <c r="B954" s="26" t="s">
        <v>1782</v>
      </c>
      <c r="C954" s="26" t="s">
        <v>50</v>
      </c>
      <c r="D954" s="27">
        <v>126</v>
      </c>
      <c r="E954" t="e">
        <f>VLOOKUP(B954,Кат!G:J,3,0)</f>
        <v>#N/A</v>
      </c>
    </row>
    <row r="955" spans="1:5" ht="22.5">
      <c r="A955" s="26" t="s">
        <v>1783</v>
      </c>
      <c r="B955" s="26" t="s">
        <v>1784</v>
      </c>
      <c r="C955" s="26" t="s">
        <v>50</v>
      </c>
      <c r="D955" s="28">
        <v>1172</v>
      </c>
      <c r="E955" t="e">
        <f>VLOOKUP(B955,Кат!G:J,3,0)</f>
        <v>#N/A</v>
      </c>
    </row>
    <row r="956" spans="1:5">
      <c r="A956" s="23" t="s">
        <v>1785</v>
      </c>
      <c r="B956" s="24"/>
      <c r="C956" s="24"/>
      <c r="D956" s="25"/>
      <c r="E956" t="e">
        <f>VLOOKUP(B956,Кат!G:J,3,0)</f>
        <v>#N/A</v>
      </c>
    </row>
    <row r="957" spans="1:5">
      <c r="A957" s="26" t="s">
        <v>1786</v>
      </c>
      <c r="B957" s="32">
        <v>5521</v>
      </c>
      <c r="C957" s="26" t="s">
        <v>50</v>
      </c>
      <c r="D957" s="27">
        <v>580</v>
      </c>
      <c r="E957" t="e">
        <f>VLOOKUP(B957,Кат!G:J,3,0)</f>
        <v>#N/A</v>
      </c>
    </row>
    <row r="958" spans="1:5">
      <c r="A958" s="26" t="s">
        <v>1787</v>
      </c>
      <c r="B958" s="32">
        <v>5539</v>
      </c>
      <c r="C958" s="26" t="s">
        <v>50</v>
      </c>
      <c r="D958" s="28">
        <v>1230</v>
      </c>
      <c r="E958" t="e">
        <f>VLOOKUP(B958,Кат!G:J,3,0)</f>
        <v>#N/A</v>
      </c>
    </row>
    <row r="959" spans="1:5">
      <c r="A959" s="26" t="s">
        <v>1788</v>
      </c>
      <c r="B959" s="26" t="s">
        <v>1789</v>
      </c>
      <c r="C959" s="26" t="s">
        <v>50</v>
      </c>
      <c r="D959" s="28">
        <v>1725</v>
      </c>
      <c r="E959" t="e">
        <f>VLOOKUP(B959,Кат!G:J,3,0)</f>
        <v>#N/A</v>
      </c>
    </row>
    <row r="960" spans="1:5">
      <c r="A960" s="26" t="s">
        <v>4339</v>
      </c>
      <c r="B960" s="26" t="s">
        <v>4340</v>
      </c>
      <c r="C960" s="26" t="s">
        <v>50</v>
      </c>
      <c r="D960" s="28">
        <v>3700</v>
      </c>
      <c r="E960" t="e">
        <f>VLOOKUP(B960,Кат!G:J,3,0)</f>
        <v>#N/A</v>
      </c>
    </row>
    <row r="961" spans="1:5">
      <c r="A961" s="26" t="s">
        <v>1790</v>
      </c>
      <c r="B961" s="26" t="s">
        <v>1791</v>
      </c>
      <c r="C961" s="26" t="s">
        <v>49</v>
      </c>
      <c r="D961" s="28">
        <v>6550</v>
      </c>
      <c r="E961" t="e">
        <f>VLOOKUP(B961,Кат!G:J,3,0)</f>
        <v>#N/A</v>
      </c>
    </row>
    <row r="962" spans="1:5" ht="22.5">
      <c r="A962" s="26" t="s">
        <v>1792</v>
      </c>
      <c r="B962" s="26" t="s">
        <v>1793</v>
      </c>
      <c r="C962" s="26" t="s">
        <v>49</v>
      </c>
      <c r="D962" s="28">
        <v>8300</v>
      </c>
      <c r="E962" t="e">
        <f>VLOOKUP(B962,Кат!G:J,3,0)</f>
        <v>#N/A</v>
      </c>
    </row>
    <row r="963" spans="1:5" ht="22.5">
      <c r="A963" s="26" t="s">
        <v>1794</v>
      </c>
      <c r="B963" s="26" t="s">
        <v>1795</v>
      </c>
      <c r="C963" s="26" t="s">
        <v>49</v>
      </c>
      <c r="D963" s="28">
        <v>7580</v>
      </c>
      <c r="E963" t="e">
        <f>VLOOKUP(B963,Кат!G:J,3,0)</f>
        <v>#N/A</v>
      </c>
    </row>
    <row r="964" spans="1:5">
      <c r="A964" s="26" t="s">
        <v>1796</v>
      </c>
      <c r="B964" s="26" t="s">
        <v>1797</v>
      </c>
      <c r="C964" s="26" t="s">
        <v>50</v>
      </c>
      <c r="D964" s="27">
        <v>730</v>
      </c>
      <c r="E964" t="e">
        <f>VLOOKUP(B964,Кат!G:J,3,0)</f>
        <v>#N/A</v>
      </c>
    </row>
    <row r="965" spans="1:5">
      <c r="A965" s="26" t="s">
        <v>1798</v>
      </c>
      <c r="B965" s="26" t="s">
        <v>1799</v>
      </c>
      <c r="C965" s="26" t="s">
        <v>50</v>
      </c>
      <c r="D965" s="27">
        <v>682</v>
      </c>
      <c r="E965" t="e">
        <f>VLOOKUP(B965,Кат!G:J,3,0)</f>
        <v>#N/A</v>
      </c>
    </row>
    <row r="966" spans="1:5">
      <c r="A966" s="26" t="s">
        <v>4341</v>
      </c>
      <c r="B966" s="26" t="s">
        <v>4342</v>
      </c>
      <c r="C966" s="26" t="s">
        <v>50</v>
      </c>
      <c r="D966" s="28">
        <v>1308</v>
      </c>
      <c r="E966" t="e">
        <f>VLOOKUP(B966,Кат!G:J,3,0)</f>
        <v>#N/A</v>
      </c>
    </row>
    <row r="967" spans="1:5" ht="22.5">
      <c r="A967" s="26" t="s">
        <v>1800</v>
      </c>
      <c r="B967" s="26" t="s">
        <v>1801</v>
      </c>
      <c r="C967" s="26" t="s">
        <v>50</v>
      </c>
      <c r="D967" s="28">
        <v>1550</v>
      </c>
      <c r="E967" t="e">
        <f>VLOOKUP(B967,Кат!G:J,3,0)</f>
        <v>#N/A</v>
      </c>
    </row>
    <row r="968" spans="1:5">
      <c r="A968" s="26" t="s">
        <v>1802</v>
      </c>
      <c r="B968" s="26" t="s">
        <v>1803</v>
      </c>
      <c r="C968" s="26" t="s">
        <v>50</v>
      </c>
      <c r="D968" s="28">
        <v>1480</v>
      </c>
      <c r="E968" t="e">
        <f>VLOOKUP(B968,Кат!G:J,3,0)</f>
        <v>#N/A</v>
      </c>
    </row>
    <row r="969" spans="1:5">
      <c r="A969" s="26" t="s">
        <v>1804</v>
      </c>
      <c r="B969" s="26" t="s">
        <v>1805</v>
      </c>
      <c r="C969" s="26" t="s">
        <v>50</v>
      </c>
      <c r="D969" s="28">
        <v>1080</v>
      </c>
      <c r="E969" t="e">
        <f>VLOOKUP(B969,Кат!G:J,3,0)</f>
        <v>#N/A</v>
      </c>
    </row>
    <row r="970" spans="1:5">
      <c r="A970" s="26" t="s">
        <v>1806</v>
      </c>
      <c r="B970" s="26" t="s">
        <v>1807</v>
      </c>
      <c r="C970" s="26" t="s">
        <v>50</v>
      </c>
      <c r="D970" s="28">
        <v>1015</v>
      </c>
      <c r="E970" t="e">
        <f>VLOOKUP(B970,Кат!G:J,3,0)</f>
        <v>#N/A</v>
      </c>
    </row>
    <row r="971" spans="1:5">
      <c r="A971" s="26" t="s">
        <v>1808</v>
      </c>
      <c r="B971" s="26" t="s">
        <v>1809</v>
      </c>
      <c r="C971" s="26" t="s">
        <v>50</v>
      </c>
      <c r="D971" s="27">
        <v>730</v>
      </c>
      <c r="E971" t="e">
        <f>VLOOKUP(B971,Кат!G:J,3,0)</f>
        <v>#N/A</v>
      </c>
    </row>
    <row r="972" spans="1:5">
      <c r="A972" s="26" t="s">
        <v>1810</v>
      </c>
      <c r="B972" s="26" t="s">
        <v>1811</v>
      </c>
      <c r="C972" s="26" t="s">
        <v>50</v>
      </c>
      <c r="D972" s="27">
        <v>740</v>
      </c>
      <c r="E972" t="e">
        <f>VLOOKUP(B972,Кат!G:J,3,0)</f>
        <v>#N/A</v>
      </c>
    </row>
    <row r="973" spans="1:5">
      <c r="A973" s="26" t="s">
        <v>1812</v>
      </c>
      <c r="B973" s="26" t="s">
        <v>1813</v>
      </c>
      <c r="C973" s="26" t="s">
        <v>50</v>
      </c>
      <c r="D973" s="28">
        <v>1030</v>
      </c>
      <c r="E973" t="e">
        <f>VLOOKUP(B973,Кат!G:J,3,0)</f>
        <v>#N/A</v>
      </c>
    </row>
    <row r="974" spans="1:5">
      <c r="A974" s="26" t="s">
        <v>1814</v>
      </c>
      <c r="B974" s="26" t="s">
        <v>1815</v>
      </c>
      <c r="C974" s="26" t="s">
        <v>50</v>
      </c>
      <c r="D974" s="28">
        <v>1240</v>
      </c>
      <c r="E974" t="e">
        <f>VLOOKUP(B974,Кат!G:J,3,0)</f>
        <v>#N/A</v>
      </c>
    </row>
    <row r="975" spans="1:5">
      <c r="A975" s="26" t="s">
        <v>1816</v>
      </c>
      <c r="B975" s="26" t="s">
        <v>1817</v>
      </c>
      <c r="C975" s="26" t="s">
        <v>49</v>
      </c>
      <c r="D975" s="28">
        <v>1825</v>
      </c>
      <c r="E975" t="e">
        <f>VLOOKUP(B975,Кат!G:J,3,0)</f>
        <v>#N/A</v>
      </c>
    </row>
    <row r="976" spans="1:5">
      <c r="A976" s="26" t="s">
        <v>1818</v>
      </c>
      <c r="B976" s="26" t="s">
        <v>1819</v>
      </c>
      <c r="C976" s="26" t="s">
        <v>49</v>
      </c>
      <c r="D976" s="28">
        <v>5080</v>
      </c>
      <c r="E976" t="e">
        <f>VLOOKUP(B976,Кат!G:J,3,0)</f>
        <v>#N/A</v>
      </c>
    </row>
    <row r="977" spans="1:5">
      <c r="A977" s="26" t="s">
        <v>1820</v>
      </c>
      <c r="B977" s="26" t="s">
        <v>1821</v>
      </c>
      <c r="C977" s="26" t="s">
        <v>49</v>
      </c>
      <c r="D977" s="28">
        <v>4640</v>
      </c>
      <c r="E977" t="e">
        <f>VLOOKUP(B977,Кат!G:J,3,0)</f>
        <v>#N/A</v>
      </c>
    </row>
    <row r="978" spans="1:5">
      <c r="A978" s="26" t="s">
        <v>1822</v>
      </c>
      <c r="B978" s="26" t="s">
        <v>1823</v>
      </c>
      <c r="C978" s="26" t="s">
        <v>49</v>
      </c>
      <c r="D978" s="28">
        <v>3050</v>
      </c>
      <c r="E978" t="e">
        <f>VLOOKUP(B978,Кат!G:J,3,0)</f>
        <v>#N/A</v>
      </c>
    </row>
    <row r="979" spans="1:5" ht="22.5">
      <c r="A979" s="26" t="s">
        <v>1824</v>
      </c>
      <c r="B979" s="26" t="s">
        <v>1825</v>
      </c>
      <c r="C979" s="26" t="s">
        <v>49</v>
      </c>
      <c r="D979" s="28">
        <v>6430</v>
      </c>
      <c r="E979" t="e">
        <f>VLOOKUP(B979,Кат!G:J,3,0)</f>
        <v>#N/A</v>
      </c>
    </row>
    <row r="980" spans="1:5">
      <c r="A980" s="26" t="s">
        <v>1826</v>
      </c>
      <c r="B980" s="26" t="s">
        <v>1827</v>
      </c>
      <c r="C980" s="26" t="s">
        <v>49</v>
      </c>
      <c r="D980" s="28">
        <v>6300</v>
      </c>
      <c r="E980" t="e">
        <f>VLOOKUP(B980,Кат!G:J,3,0)</f>
        <v>#N/A</v>
      </c>
    </row>
    <row r="981" spans="1:5" ht="22.5">
      <c r="A981" s="26" t="s">
        <v>4343</v>
      </c>
      <c r="B981" s="26" t="s">
        <v>4344</v>
      </c>
      <c r="C981" s="26" t="s">
        <v>49</v>
      </c>
      <c r="D981" s="28">
        <v>2060</v>
      </c>
      <c r="E981" t="e">
        <f>VLOOKUP(B981,Кат!G:J,3,0)</f>
        <v>#N/A</v>
      </c>
    </row>
    <row r="982" spans="1:5" ht="22.5">
      <c r="A982" s="26" t="s">
        <v>1828</v>
      </c>
      <c r="B982" s="26" t="s">
        <v>1829</v>
      </c>
      <c r="C982" s="26" t="s">
        <v>49</v>
      </c>
      <c r="D982" s="28">
        <v>3995</v>
      </c>
      <c r="E982" t="e">
        <f>VLOOKUP(B982,Кат!G:J,3,0)</f>
        <v>#N/A</v>
      </c>
    </row>
    <row r="983" spans="1:5">
      <c r="A983" s="23" t="s">
        <v>1830</v>
      </c>
      <c r="B983" s="24"/>
      <c r="C983" s="24"/>
      <c r="D983" s="25"/>
      <c r="E983" t="e">
        <f>VLOOKUP(B983,Кат!G:J,3,0)</f>
        <v>#N/A</v>
      </c>
    </row>
    <row r="984" spans="1:5">
      <c r="A984" s="26" t="s">
        <v>1831</v>
      </c>
      <c r="B984" s="26" t="s">
        <v>1832</v>
      </c>
      <c r="C984" s="26" t="s">
        <v>50</v>
      </c>
      <c r="D984" s="27">
        <v>820</v>
      </c>
      <c r="E984" t="e">
        <f>VLOOKUP(B984,Кат!G:J,3,0)</f>
        <v>#N/A</v>
      </c>
    </row>
    <row r="985" spans="1:5">
      <c r="A985" s="26" t="s">
        <v>1833</v>
      </c>
      <c r="B985" s="26"/>
      <c r="C985" s="26" t="s">
        <v>49</v>
      </c>
      <c r="D985" s="27">
        <v>70</v>
      </c>
      <c r="E985" t="e">
        <f>VLOOKUP(B985,Кат!G:J,3,0)</f>
        <v>#N/A</v>
      </c>
    </row>
    <row r="986" spans="1:5" ht="22.5">
      <c r="A986" s="26" t="s">
        <v>1834</v>
      </c>
      <c r="B986" s="26" t="s">
        <v>1835</v>
      </c>
      <c r="C986" s="26" t="s">
        <v>49</v>
      </c>
      <c r="D986" s="27">
        <v>70</v>
      </c>
      <c r="E986" t="e">
        <f>VLOOKUP(B986,Кат!G:J,3,0)</f>
        <v>#N/A</v>
      </c>
    </row>
    <row r="987" spans="1:5">
      <c r="A987" s="23" t="s">
        <v>1836</v>
      </c>
      <c r="B987" s="24"/>
      <c r="C987" s="24"/>
      <c r="D987" s="25"/>
      <c r="E987" t="e">
        <f>VLOOKUP(B987,Кат!G:J,3,0)</f>
        <v>#N/A</v>
      </c>
    </row>
    <row r="988" spans="1:5">
      <c r="A988" s="26" t="s">
        <v>1837</v>
      </c>
      <c r="B988" s="26" t="s">
        <v>1838</v>
      </c>
      <c r="C988" s="26" t="s">
        <v>50</v>
      </c>
      <c r="D988" s="28">
        <v>1930</v>
      </c>
      <c r="E988" t="e">
        <f>VLOOKUP(B988,Кат!G:J,3,0)</f>
        <v>#N/A</v>
      </c>
    </row>
    <row r="989" spans="1:5">
      <c r="A989" s="26" t="s">
        <v>1839</v>
      </c>
      <c r="B989" s="26" t="s">
        <v>1840</v>
      </c>
      <c r="C989" s="26" t="s">
        <v>50</v>
      </c>
      <c r="D989" s="28">
        <v>1640</v>
      </c>
      <c r="E989" t="e">
        <f>VLOOKUP(B989,Кат!G:J,3,0)</f>
        <v>#N/A</v>
      </c>
    </row>
    <row r="990" spans="1:5" ht="22.5">
      <c r="A990" s="26" t="s">
        <v>1841</v>
      </c>
      <c r="B990" s="26" t="s">
        <v>1842</v>
      </c>
      <c r="C990" s="26" t="s">
        <v>50</v>
      </c>
      <c r="D990" s="28">
        <v>1825</v>
      </c>
      <c r="E990" t="e">
        <f>VLOOKUP(B990,Кат!G:J,3,0)</f>
        <v>#N/A</v>
      </c>
    </row>
    <row r="991" spans="1:5">
      <c r="A991" s="23" t="s">
        <v>1843</v>
      </c>
      <c r="B991" s="24"/>
      <c r="C991" s="24"/>
      <c r="D991" s="25"/>
      <c r="E991" t="e">
        <f>VLOOKUP(B991,Кат!G:J,3,0)</f>
        <v>#N/A</v>
      </c>
    </row>
    <row r="992" spans="1:5">
      <c r="A992" s="26" t="s">
        <v>1844</v>
      </c>
      <c r="B992" s="26" t="s">
        <v>1845</v>
      </c>
      <c r="C992" s="26" t="s">
        <v>49</v>
      </c>
      <c r="D992" s="27">
        <v>199</v>
      </c>
      <c r="E992" t="e">
        <f>VLOOKUP(B992,Кат!G:J,3,0)</f>
        <v>#N/A</v>
      </c>
    </row>
    <row r="993" spans="1:5">
      <c r="A993" s="26" t="s">
        <v>1846</v>
      </c>
      <c r="B993" s="26" t="s">
        <v>1847</v>
      </c>
      <c r="C993" s="26" t="s">
        <v>49</v>
      </c>
      <c r="D993" s="27">
        <v>601</v>
      </c>
      <c r="E993" t="e">
        <f>VLOOKUP(B993,Кат!G:J,3,0)</f>
        <v>#N/A</v>
      </c>
    </row>
    <row r="994" spans="1:5">
      <c r="A994" s="26" t="s">
        <v>1848</v>
      </c>
      <c r="B994" s="26" t="s">
        <v>1849</v>
      </c>
      <c r="C994" s="26" t="s">
        <v>49</v>
      </c>
      <c r="D994" s="27">
        <v>524</v>
      </c>
      <c r="E994" t="e">
        <f>VLOOKUP(B994,Кат!G:J,3,0)</f>
        <v>#N/A</v>
      </c>
    </row>
    <row r="995" spans="1:5">
      <c r="A995" s="26" t="s">
        <v>1850</v>
      </c>
      <c r="B995" s="26" t="s">
        <v>1851</v>
      </c>
      <c r="C995" s="26" t="s">
        <v>49</v>
      </c>
      <c r="D995" s="27">
        <v>524</v>
      </c>
      <c r="E995" t="e">
        <f>VLOOKUP(B995,Кат!G:J,3,0)</f>
        <v>#N/A</v>
      </c>
    </row>
    <row r="996" spans="1:5">
      <c r="A996" s="26" t="s">
        <v>1852</v>
      </c>
      <c r="B996" s="26" t="s">
        <v>1853</v>
      </c>
      <c r="C996" s="26" t="s">
        <v>49</v>
      </c>
      <c r="D996" s="27">
        <v>438</v>
      </c>
      <c r="E996" t="e">
        <f>VLOOKUP(B996,Кат!G:J,3,0)</f>
        <v>#N/A</v>
      </c>
    </row>
    <row r="997" spans="1:5">
      <c r="A997" s="26" t="s">
        <v>1854</v>
      </c>
      <c r="B997" s="26" t="s">
        <v>1855</v>
      </c>
      <c r="C997" s="26" t="s">
        <v>49</v>
      </c>
      <c r="D997" s="27">
        <v>438</v>
      </c>
      <c r="E997" t="e">
        <f>VLOOKUP(B997,Кат!G:J,3,0)</f>
        <v>#N/A</v>
      </c>
    </row>
    <row r="998" spans="1:5">
      <c r="A998" s="26" t="s">
        <v>1856</v>
      </c>
      <c r="B998" s="26" t="s">
        <v>1857</v>
      </c>
      <c r="C998" s="26" t="s">
        <v>49</v>
      </c>
      <c r="D998" s="27">
        <v>418</v>
      </c>
      <c r="E998" t="e">
        <f>VLOOKUP(B998,Кат!G:J,3,0)</f>
        <v>#N/A</v>
      </c>
    </row>
    <row r="999" spans="1:5">
      <c r="A999" s="26" t="s">
        <v>1858</v>
      </c>
      <c r="B999" s="26" t="s">
        <v>1859</v>
      </c>
      <c r="C999" s="26" t="s">
        <v>49</v>
      </c>
      <c r="D999" s="27">
        <v>418</v>
      </c>
      <c r="E999" t="e">
        <f>VLOOKUP(B999,Кат!G:J,3,0)</f>
        <v>#N/A</v>
      </c>
    </row>
    <row r="1000" spans="1:5">
      <c r="A1000" s="26" t="s">
        <v>1860</v>
      </c>
      <c r="B1000" s="26" t="s">
        <v>1861</v>
      </c>
      <c r="C1000" s="26" t="s">
        <v>49</v>
      </c>
      <c r="D1000" s="28">
        <v>1571</v>
      </c>
      <c r="E1000" t="e">
        <f>VLOOKUP(B1000,Кат!G:J,3,0)</f>
        <v>#N/A</v>
      </c>
    </row>
    <row r="1001" spans="1:5">
      <c r="A1001" s="26" t="s">
        <v>1862</v>
      </c>
      <c r="B1001" s="26" t="s">
        <v>1863</v>
      </c>
      <c r="C1001" s="26" t="s">
        <v>49</v>
      </c>
      <c r="D1001" s="28">
        <v>2229</v>
      </c>
      <c r="E1001" t="e">
        <f>VLOOKUP(B1001,Кат!G:J,3,0)</f>
        <v>#N/A</v>
      </c>
    </row>
    <row r="1002" spans="1:5">
      <c r="A1002" s="26" t="s">
        <v>1864</v>
      </c>
      <c r="B1002" s="26" t="s">
        <v>1865</v>
      </c>
      <c r="C1002" s="26" t="s">
        <v>49</v>
      </c>
      <c r="D1002" s="27">
        <v>673</v>
      </c>
      <c r="E1002" t="e">
        <f>VLOOKUP(B1002,Кат!G:J,3,0)</f>
        <v>#N/A</v>
      </c>
    </row>
    <row r="1003" spans="1:5">
      <c r="A1003" s="26" t="s">
        <v>1866</v>
      </c>
      <c r="B1003" s="26" t="s">
        <v>1867</v>
      </c>
      <c r="C1003" s="26" t="s">
        <v>49</v>
      </c>
      <c r="D1003" s="28">
        <v>1105</v>
      </c>
      <c r="E1003" t="e">
        <f>VLOOKUP(B1003,Кат!G:J,3,0)</f>
        <v>#N/A</v>
      </c>
    </row>
    <row r="1004" spans="1:5">
      <c r="A1004" s="26" t="s">
        <v>1868</v>
      </c>
      <c r="B1004" s="26" t="s">
        <v>1869</v>
      </c>
      <c r="C1004" s="26" t="s">
        <v>49</v>
      </c>
      <c r="D1004" s="28">
        <v>1560</v>
      </c>
      <c r="E1004" t="e">
        <f>VLOOKUP(B1004,Кат!G:J,3,0)</f>
        <v>#N/A</v>
      </c>
    </row>
    <row r="1005" spans="1:5">
      <c r="A1005" s="26" t="s">
        <v>4345</v>
      </c>
      <c r="B1005" s="26" t="s">
        <v>4346</v>
      </c>
      <c r="C1005" s="26" t="s">
        <v>49</v>
      </c>
      <c r="D1005" s="27">
        <v>970</v>
      </c>
      <c r="E1005" t="e">
        <f>VLOOKUP(B1005,Кат!G:J,3,0)</f>
        <v>#N/A</v>
      </c>
    </row>
    <row r="1006" spans="1:5">
      <c r="A1006" s="26" t="s">
        <v>1870</v>
      </c>
      <c r="B1006" s="26" t="s">
        <v>1871</v>
      </c>
      <c r="C1006" s="26" t="s">
        <v>49</v>
      </c>
      <c r="D1006" s="28">
        <v>1560</v>
      </c>
      <c r="E1006" t="e">
        <f>VLOOKUP(B1006,Кат!G:J,3,0)</f>
        <v>#N/A</v>
      </c>
    </row>
    <row r="1007" spans="1:5">
      <c r="A1007" s="26" t="s">
        <v>4347</v>
      </c>
      <c r="B1007" s="26" t="s">
        <v>4348</v>
      </c>
      <c r="C1007" s="26" t="s">
        <v>49</v>
      </c>
      <c r="D1007" s="27">
        <v>500</v>
      </c>
      <c r="E1007" t="e">
        <f>VLOOKUP(B1007,Кат!G:J,3,0)</f>
        <v>#N/A</v>
      </c>
    </row>
    <row r="1008" spans="1:5">
      <c r="A1008" s="26" t="s">
        <v>1872</v>
      </c>
      <c r="B1008" s="26" t="s">
        <v>1873</v>
      </c>
      <c r="C1008" s="26" t="s">
        <v>49</v>
      </c>
      <c r="D1008" s="28">
        <v>2585</v>
      </c>
      <c r="E1008" t="e">
        <f>VLOOKUP(B1008,Кат!G:J,3,0)</f>
        <v>#N/A</v>
      </c>
    </row>
    <row r="1009" spans="1:5">
      <c r="A1009" s="26" t="s">
        <v>1874</v>
      </c>
      <c r="B1009" s="26" t="s">
        <v>1875</v>
      </c>
      <c r="C1009" s="26" t="s">
        <v>49</v>
      </c>
      <c r="D1009" s="28">
        <v>1600</v>
      </c>
      <c r="E1009" t="e">
        <f>VLOOKUP(B1009,Кат!G:J,3,0)</f>
        <v>#N/A</v>
      </c>
    </row>
    <row r="1010" spans="1:5" ht="22.5">
      <c r="A1010" s="26" t="s">
        <v>1876</v>
      </c>
      <c r="B1010" s="26" t="s">
        <v>1877</v>
      </c>
      <c r="C1010" s="26" t="s">
        <v>49</v>
      </c>
      <c r="D1010" s="28">
        <v>1170</v>
      </c>
      <c r="E1010" t="e">
        <f>VLOOKUP(B1010,Кат!G:J,3,0)</f>
        <v>#N/A</v>
      </c>
    </row>
    <row r="1011" spans="1:5">
      <c r="A1011" s="26" t="s">
        <v>1878</v>
      </c>
      <c r="B1011" s="26" t="s">
        <v>1879</v>
      </c>
      <c r="C1011" s="26" t="s">
        <v>49</v>
      </c>
      <c r="D1011" s="28">
        <v>1170</v>
      </c>
      <c r="E1011" t="e">
        <f>VLOOKUP(B1011,Кат!G:J,3,0)</f>
        <v>#N/A</v>
      </c>
    </row>
    <row r="1012" spans="1:5">
      <c r="A1012" s="26" t="s">
        <v>1880</v>
      </c>
      <c r="B1012" s="26" t="s">
        <v>1881</v>
      </c>
      <c r="C1012" s="26" t="s">
        <v>49</v>
      </c>
      <c r="D1012" s="28">
        <v>1170</v>
      </c>
      <c r="E1012" t="e">
        <f>VLOOKUP(B1012,Кат!G:J,3,0)</f>
        <v>#N/A</v>
      </c>
    </row>
    <row r="1013" spans="1:5">
      <c r="A1013" s="26" t="s">
        <v>1882</v>
      </c>
      <c r="B1013" s="26" t="s">
        <v>1883</v>
      </c>
      <c r="C1013" s="26" t="s">
        <v>49</v>
      </c>
      <c r="D1013" s="28">
        <v>1095</v>
      </c>
      <c r="E1013" t="e">
        <f>VLOOKUP(B1013,Кат!G:J,3,0)</f>
        <v>#N/A</v>
      </c>
    </row>
    <row r="1014" spans="1:5">
      <c r="A1014" s="26" t="s">
        <v>1884</v>
      </c>
      <c r="B1014" s="26" t="s">
        <v>1885</v>
      </c>
      <c r="C1014" s="26" t="s">
        <v>49</v>
      </c>
      <c r="D1014" s="28">
        <v>1095</v>
      </c>
      <c r="E1014" t="e">
        <f>VLOOKUP(B1014,Кат!G:J,3,0)</f>
        <v>#N/A</v>
      </c>
    </row>
    <row r="1015" spans="1:5">
      <c r="A1015" s="26" t="s">
        <v>1886</v>
      </c>
      <c r="B1015" s="26" t="s">
        <v>1887</v>
      </c>
      <c r="C1015" s="26" t="s">
        <v>49</v>
      </c>
      <c r="D1015" s="28">
        <v>1095</v>
      </c>
      <c r="E1015" t="e">
        <f>VLOOKUP(B1015,Кат!G:J,3,0)</f>
        <v>#N/A</v>
      </c>
    </row>
    <row r="1016" spans="1:5">
      <c r="A1016" s="26" t="s">
        <v>1888</v>
      </c>
      <c r="B1016" s="26" t="s">
        <v>1889</v>
      </c>
      <c r="C1016" s="26" t="s">
        <v>49</v>
      </c>
      <c r="D1016" s="27">
        <v>529</v>
      </c>
      <c r="E1016" t="e">
        <f>VLOOKUP(B1016,Кат!G:J,3,0)</f>
        <v>#N/A</v>
      </c>
    </row>
    <row r="1017" spans="1:5">
      <c r="A1017" s="26" t="s">
        <v>1890</v>
      </c>
      <c r="B1017" s="26" t="s">
        <v>1891</v>
      </c>
      <c r="C1017" s="26" t="s">
        <v>49</v>
      </c>
      <c r="D1017" s="27">
        <v>530</v>
      </c>
      <c r="E1017" t="e">
        <f>VLOOKUP(B1017,Кат!G:J,3,0)</f>
        <v>#N/A</v>
      </c>
    </row>
    <row r="1018" spans="1:5">
      <c r="A1018" s="26" t="s">
        <v>1892</v>
      </c>
      <c r="B1018" s="26" t="s">
        <v>1893</v>
      </c>
      <c r="C1018" s="26" t="s">
        <v>49</v>
      </c>
      <c r="D1018" s="28">
        <v>1585</v>
      </c>
      <c r="E1018" t="e">
        <f>VLOOKUP(B1018,Кат!G:J,3,0)</f>
        <v>#N/A</v>
      </c>
    </row>
    <row r="1019" spans="1:5">
      <c r="A1019" s="26" t="s">
        <v>1894</v>
      </c>
      <c r="B1019" s="26" t="s">
        <v>1895</v>
      </c>
      <c r="C1019" s="26" t="s">
        <v>49</v>
      </c>
      <c r="D1019" s="28">
        <v>1729</v>
      </c>
      <c r="E1019" t="e">
        <f>VLOOKUP(B1019,Кат!G:J,3,0)</f>
        <v>#N/A</v>
      </c>
    </row>
    <row r="1020" spans="1:5">
      <c r="A1020" s="26" t="s">
        <v>1896</v>
      </c>
      <c r="B1020" s="26" t="s">
        <v>1897</v>
      </c>
      <c r="C1020" s="26" t="s">
        <v>50</v>
      </c>
      <c r="D1020" s="27">
        <v>503</v>
      </c>
      <c r="E1020" t="e">
        <f>VLOOKUP(B1020,Кат!G:J,3,0)</f>
        <v>#N/A</v>
      </c>
    </row>
    <row r="1021" spans="1:5">
      <c r="A1021" s="26" t="s">
        <v>1898</v>
      </c>
      <c r="B1021" s="26" t="s">
        <v>1899</v>
      </c>
      <c r="C1021" s="26" t="s">
        <v>50</v>
      </c>
      <c r="D1021" s="27">
        <v>500</v>
      </c>
      <c r="E1021" t="e">
        <f>VLOOKUP(B1021,Кат!G:J,3,0)</f>
        <v>#N/A</v>
      </c>
    </row>
    <row r="1022" spans="1:5" ht="22.5">
      <c r="A1022" s="26" t="s">
        <v>1900</v>
      </c>
      <c r="B1022" s="26" t="s">
        <v>1901</v>
      </c>
      <c r="C1022" s="26" t="s">
        <v>50</v>
      </c>
      <c r="D1022" s="28">
        <v>1010</v>
      </c>
      <c r="E1022" t="e">
        <f>VLOOKUP(B1022,Кат!G:J,3,0)</f>
        <v>#N/A</v>
      </c>
    </row>
    <row r="1023" spans="1:5" ht="22.5">
      <c r="A1023" s="26" t="s">
        <v>1902</v>
      </c>
      <c r="B1023" s="26" t="s">
        <v>1903</v>
      </c>
      <c r="C1023" s="26" t="s">
        <v>50</v>
      </c>
      <c r="D1023" s="27">
        <v>577</v>
      </c>
      <c r="E1023" t="e">
        <f>VLOOKUP(B1023,Кат!G:J,3,0)</f>
        <v>#N/A</v>
      </c>
    </row>
    <row r="1024" spans="1:5">
      <c r="A1024" s="26" t="s">
        <v>1904</v>
      </c>
      <c r="B1024" s="26" t="s">
        <v>1905</v>
      </c>
      <c r="C1024" s="26" t="s">
        <v>50</v>
      </c>
      <c r="D1024" s="27">
        <v>500</v>
      </c>
      <c r="E1024" t="e">
        <f>VLOOKUP(B1024,Кат!G:J,3,0)</f>
        <v>#N/A</v>
      </c>
    </row>
    <row r="1025" spans="1:5" ht="22.5">
      <c r="A1025" s="26" t="s">
        <v>1906</v>
      </c>
      <c r="B1025" s="26" t="s">
        <v>1907</v>
      </c>
      <c r="C1025" s="26" t="s">
        <v>50</v>
      </c>
      <c r="D1025" s="28">
        <v>1004</v>
      </c>
      <c r="E1025" t="e">
        <f>VLOOKUP(B1025,Кат!G:J,3,0)</f>
        <v>#N/A</v>
      </c>
    </row>
    <row r="1026" spans="1:5">
      <c r="A1026" s="26" t="s">
        <v>1908</v>
      </c>
      <c r="B1026" s="26" t="s">
        <v>1909</v>
      </c>
      <c r="C1026" s="26" t="s">
        <v>50</v>
      </c>
      <c r="D1026" s="27">
        <v>361</v>
      </c>
      <c r="E1026" t="e">
        <f>VLOOKUP(B1026,Кат!G:J,3,0)</f>
        <v>#N/A</v>
      </c>
    </row>
    <row r="1027" spans="1:5">
      <c r="A1027" s="26" t="s">
        <v>1910</v>
      </c>
      <c r="B1027" s="26" t="s">
        <v>1911</v>
      </c>
      <c r="C1027" s="26" t="s">
        <v>49</v>
      </c>
      <c r="D1027" s="27">
        <v>700</v>
      </c>
      <c r="E1027" t="e">
        <f>VLOOKUP(B1027,Кат!G:J,3,0)</f>
        <v>#N/A</v>
      </c>
    </row>
    <row r="1028" spans="1:5">
      <c r="A1028" s="23" t="s">
        <v>1912</v>
      </c>
      <c r="B1028" s="24"/>
      <c r="C1028" s="24"/>
      <c r="D1028" s="25"/>
      <c r="E1028" t="e">
        <f>VLOOKUP(B1028,Кат!G:J,3,0)</f>
        <v>#N/A</v>
      </c>
    </row>
    <row r="1029" spans="1:5">
      <c r="A1029" s="26" t="s">
        <v>1913</v>
      </c>
      <c r="B1029" s="26" t="s">
        <v>1914</v>
      </c>
      <c r="C1029" s="26" t="s">
        <v>50</v>
      </c>
      <c r="D1029" s="27">
        <v>218</v>
      </c>
      <c r="E1029" t="e">
        <f>VLOOKUP(B1029,Кат!G:J,3,0)</f>
        <v>#N/A</v>
      </c>
    </row>
    <row r="1030" spans="1:5">
      <c r="A1030" s="26" t="s">
        <v>1915</v>
      </c>
      <c r="B1030" s="26" t="s">
        <v>1916</v>
      </c>
      <c r="C1030" s="26" t="s">
        <v>50</v>
      </c>
      <c r="D1030" s="27">
        <v>218</v>
      </c>
      <c r="E1030" t="e">
        <f>VLOOKUP(B1030,Кат!G:J,3,0)</f>
        <v>#N/A</v>
      </c>
    </row>
    <row r="1031" spans="1:5">
      <c r="A1031" s="26" t="s">
        <v>1917</v>
      </c>
      <c r="B1031" s="26" t="s">
        <v>1918</v>
      </c>
      <c r="C1031" s="26" t="s">
        <v>50</v>
      </c>
      <c r="D1031" s="27">
        <v>218</v>
      </c>
      <c r="E1031" t="e">
        <f>VLOOKUP(B1031,Кат!G:J,3,0)</f>
        <v>#N/A</v>
      </c>
    </row>
    <row r="1032" spans="1:5">
      <c r="A1032" s="26" t="s">
        <v>1919</v>
      </c>
      <c r="B1032" s="26" t="s">
        <v>1920</v>
      </c>
      <c r="C1032" s="26" t="s">
        <v>49</v>
      </c>
      <c r="D1032" s="27">
        <v>145</v>
      </c>
      <c r="E1032" t="e">
        <f>VLOOKUP(B1032,Кат!G:J,3,0)</f>
        <v>#N/A</v>
      </c>
    </row>
    <row r="1033" spans="1:5" ht="22.5">
      <c r="A1033" s="26" t="s">
        <v>1921</v>
      </c>
      <c r="B1033" s="26" t="s">
        <v>1922</v>
      </c>
      <c r="C1033" s="26" t="s">
        <v>49</v>
      </c>
      <c r="D1033" s="27">
        <v>206</v>
      </c>
      <c r="E1033" t="e">
        <f>VLOOKUP(B1033,Кат!G:J,3,0)</f>
        <v>#N/A</v>
      </c>
    </row>
    <row r="1034" spans="1:5">
      <c r="A1034" s="26" t="s">
        <v>1923</v>
      </c>
      <c r="B1034" s="26" t="s">
        <v>1924</v>
      </c>
      <c r="C1034" s="26" t="s">
        <v>49</v>
      </c>
      <c r="D1034" s="27">
        <v>108</v>
      </c>
      <c r="E1034" t="e">
        <f>VLOOKUP(B1034,Кат!G:J,3,0)</f>
        <v>#N/A</v>
      </c>
    </row>
    <row r="1035" spans="1:5" ht="22.5">
      <c r="A1035" s="26" t="s">
        <v>1925</v>
      </c>
      <c r="B1035" s="26" t="s">
        <v>1926</v>
      </c>
      <c r="C1035" s="26" t="s">
        <v>49</v>
      </c>
      <c r="D1035" s="27">
        <v>247</v>
      </c>
      <c r="E1035" t="e">
        <f>VLOOKUP(B1035,Кат!G:J,3,0)</f>
        <v>#N/A</v>
      </c>
    </row>
    <row r="1036" spans="1:5">
      <c r="A1036" s="26" t="s">
        <v>1927</v>
      </c>
      <c r="B1036" s="26" t="s">
        <v>1928</v>
      </c>
      <c r="C1036" s="26" t="s">
        <v>49</v>
      </c>
      <c r="D1036" s="27">
        <v>115</v>
      </c>
      <c r="E1036" t="e">
        <f>VLOOKUP(B1036,Кат!G:J,3,0)</f>
        <v>#N/A</v>
      </c>
    </row>
    <row r="1037" spans="1:5" ht="22.5">
      <c r="A1037" s="26" t="s">
        <v>1929</v>
      </c>
      <c r="B1037" s="26" t="s">
        <v>1930</v>
      </c>
      <c r="C1037" s="26" t="s">
        <v>49</v>
      </c>
      <c r="D1037" s="27">
        <v>163</v>
      </c>
      <c r="E1037" t="e">
        <f>VLOOKUP(B1037,Кат!G:J,3,0)</f>
        <v>#N/A</v>
      </c>
    </row>
    <row r="1038" spans="1:5">
      <c r="A1038" s="26" t="s">
        <v>1931</v>
      </c>
      <c r="B1038" s="26" t="s">
        <v>1932</v>
      </c>
      <c r="C1038" s="26" t="s">
        <v>49</v>
      </c>
      <c r="D1038" s="27">
        <v>124</v>
      </c>
      <c r="E1038" t="e">
        <f>VLOOKUP(B1038,Кат!G:J,3,0)</f>
        <v>#N/A</v>
      </c>
    </row>
    <row r="1039" spans="1:5" ht="22.5">
      <c r="A1039" s="26" t="s">
        <v>1933</v>
      </c>
      <c r="B1039" s="26" t="s">
        <v>1934</v>
      </c>
      <c r="C1039" s="26" t="s">
        <v>49</v>
      </c>
      <c r="D1039" s="27">
        <v>267</v>
      </c>
      <c r="E1039" t="e">
        <f>VLOOKUP(B1039,Кат!G:J,3,0)</f>
        <v>#N/A</v>
      </c>
    </row>
    <row r="1040" spans="1:5">
      <c r="A1040" s="26" t="s">
        <v>1935</v>
      </c>
      <c r="B1040" s="26" t="s">
        <v>1936</v>
      </c>
      <c r="C1040" s="26" t="s">
        <v>49</v>
      </c>
      <c r="D1040" s="27">
        <v>146</v>
      </c>
      <c r="E1040" t="e">
        <f>VLOOKUP(B1040,Кат!G:J,3,0)</f>
        <v>#N/A</v>
      </c>
    </row>
    <row r="1041" spans="1:5" ht="22.5">
      <c r="A1041" s="26" t="s">
        <v>1937</v>
      </c>
      <c r="B1041" s="26" t="s">
        <v>1938</v>
      </c>
      <c r="C1041" s="26" t="s">
        <v>49</v>
      </c>
      <c r="D1041" s="27">
        <v>196</v>
      </c>
      <c r="E1041" t="e">
        <f>VLOOKUP(B1041,Кат!G:J,3,0)</f>
        <v>#N/A</v>
      </c>
    </row>
    <row r="1042" spans="1:5" ht="22.5">
      <c r="A1042" s="26" t="s">
        <v>1939</v>
      </c>
      <c r="B1042" s="26" t="s">
        <v>1940</v>
      </c>
      <c r="C1042" s="26" t="s">
        <v>49</v>
      </c>
      <c r="D1042" s="27">
        <v>415</v>
      </c>
      <c r="E1042" t="e">
        <f>VLOOKUP(B1042,Кат!G:J,3,0)</f>
        <v>#N/A</v>
      </c>
    </row>
    <row r="1043" spans="1:5" ht="22.5">
      <c r="A1043" s="26" t="s">
        <v>1941</v>
      </c>
      <c r="B1043" s="26" t="s">
        <v>1942</v>
      </c>
      <c r="C1043" s="26" t="s">
        <v>49</v>
      </c>
      <c r="D1043" s="27">
        <v>356</v>
      </c>
      <c r="E1043" t="e">
        <f>VLOOKUP(B1043,Кат!G:J,3,0)</f>
        <v>#N/A</v>
      </c>
    </row>
    <row r="1044" spans="1:5" ht="22.5">
      <c r="A1044" s="26" t="s">
        <v>1943</v>
      </c>
      <c r="B1044" s="26" t="s">
        <v>1944</v>
      </c>
      <c r="C1044" s="26" t="s">
        <v>49</v>
      </c>
      <c r="D1044" s="27">
        <v>319</v>
      </c>
      <c r="E1044" t="e">
        <f>VLOOKUP(B1044,Кат!G:J,3,0)</f>
        <v>#N/A</v>
      </c>
    </row>
    <row r="1045" spans="1:5" ht="22.5">
      <c r="A1045" s="26" t="s">
        <v>1945</v>
      </c>
      <c r="B1045" s="26" t="s">
        <v>1946</v>
      </c>
      <c r="C1045" s="26" t="s">
        <v>49</v>
      </c>
      <c r="D1045" s="27">
        <v>221</v>
      </c>
      <c r="E1045" t="e">
        <f>VLOOKUP(B1045,Кат!G:J,3,0)</f>
        <v>#N/A</v>
      </c>
    </row>
    <row r="1046" spans="1:5">
      <c r="A1046" s="26" t="s">
        <v>1947</v>
      </c>
      <c r="B1046" s="26" t="s">
        <v>1948</v>
      </c>
      <c r="C1046" s="26" t="s">
        <v>50</v>
      </c>
      <c r="D1046" s="27">
        <v>535</v>
      </c>
      <c r="E1046" t="e">
        <f>VLOOKUP(B1046,Кат!G:J,3,0)</f>
        <v>#N/A</v>
      </c>
    </row>
    <row r="1047" spans="1:5">
      <c r="A1047" s="26" t="s">
        <v>1949</v>
      </c>
      <c r="B1047" s="26" t="s">
        <v>1950</v>
      </c>
      <c r="C1047" s="26" t="s">
        <v>50</v>
      </c>
      <c r="D1047" s="27">
        <v>736</v>
      </c>
      <c r="E1047" t="e">
        <f>VLOOKUP(B1047,Кат!G:J,3,0)</f>
        <v>#N/A</v>
      </c>
    </row>
    <row r="1048" spans="1:5" ht="22.5">
      <c r="A1048" s="26" t="s">
        <v>1951</v>
      </c>
      <c r="B1048" s="26" t="s">
        <v>1952</v>
      </c>
      <c r="C1048" s="26" t="s">
        <v>50</v>
      </c>
      <c r="D1048" s="27">
        <v>996</v>
      </c>
      <c r="E1048" t="e">
        <f>VLOOKUP(B1048,Кат!G:J,3,0)</f>
        <v>#N/A</v>
      </c>
    </row>
    <row r="1049" spans="1:5" ht="22.5">
      <c r="A1049" s="26" t="s">
        <v>1953</v>
      </c>
      <c r="B1049" s="26" t="s">
        <v>1954</v>
      </c>
      <c r="C1049" s="26" t="s">
        <v>50</v>
      </c>
      <c r="D1049" s="28">
        <v>1347</v>
      </c>
      <c r="E1049" t="e">
        <f>VLOOKUP(B1049,Кат!G:J,3,0)</f>
        <v>#N/A</v>
      </c>
    </row>
    <row r="1050" spans="1:5" ht="22.5">
      <c r="A1050" s="26" t="s">
        <v>1955</v>
      </c>
      <c r="B1050" s="26" t="s">
        <v>1956</v>
      </c>
      <c r="C1050" s="26" t="s">
        <v>50</v>
      </c>
      <c r="D1050" s="27">
        <v>856</v>
      </c>
      <c r="E1050" t="e">
        <f>VLOOKUP(B1050,Кат!G:J,3,0)</f>
        <v>#N/A</v>
      </c>
    </row>
    <row r="1051" spans="1:5" ht="22.5">
      <c r="A1051" s="26" t="s">
        <v>1957</v>
      </c>
      <c r="B1051" s="26" t="s">
        <v>1958</v>
      </c>
      <c r="C1051" s="26" t="s">
        <v>50</v>
      </c>
      <c r="D1051" s="27">
        <v>794</v>
      </c>
      <c r="E1051" t="e">
        <f>VLOOKUP(B1051,Кат!G:J,3,0)</f>
        <v>#N/A</v>
      </c>
    </row>
    <row r="1052" spans="1:5">
      <c r="A1052" s="26" t="s">
        <v>1959</v>
      </c>
      <c r="B1052" s="26" t="s">
        <v>1960</v>
      </c>
      <c r="C1052" s="26" t="s">
        <v>50</v>
      </c>
      <c r="D1052" s="28">
        <v>1694</v>
      </c>
      <c r="E1052" t="e">
        <f>VLOOKUP(B1052,Кат!G:J,3,0)</f>
        <v>#N/A</v>
      </c>
    </row>
    <row r="1053" spans="1:5">
      <c r="A1053" s="26" t="s">
        <v>1961</v>
      </c>
      <c r="B1053" s="26" t="s">
        <v>1962</v>
      </c>
      <c r="C1053" s="26" t="s">
        <v>50</v>
      </c>
      <c r="D1053" s="28">
        <v>1024</v>
      </c>
      <c r="E1053" t="e">
        <f>VLOOKUP(B1053,Кат!G:J,3,0)</f>
        <v>#N/A</v>
      </c>
    </row>
    <row r="1054" spans="1:5">
      <c r="A1054" s="26" t="s">
        <v>1963</v>
      </c>
      <c r="B1054" s="26" t="s">
        <v>1964</v>
      </c>
      <c r="C1054" s="26" t="s">
        <v>50</v>
      </c>
      <c r="D1054" s="28">
        <v>1559</v>
      </c>
      <c r="E1054" t="e">
        <f>VLOOKUP(B1054,Кат!G:J,3,0)</f>
        <v>#N/A</v>
      </c>
    </row>
    <row r="1055" spans="1:5">
      <c r="A1055" s="26" t="s">
        <v>1965</v>
      </c>
      <c r="B1055" s="26" t="s">
        <v>1966</v>
      </c>
      <c r="C1055" s="26" t="s">
        <v>50</v>
      </c>
      <c r="D1055" s="28">
        <v>1575</v>
      </c>
      <c r="E1055" t="e">
        <f>VLOOKUP(B1055,Кат!G:J,3,0)</f>
        <v>#N/A</v>
      </c>
    </row>
    <row r="1056" spans="1:5" ht="22.5">
      <c r="A1056" s="26" t="s">
        <v>1967</v>
      </c>
      <c r="B1056" s="26" t="s">
        <v>1968</v>
      </c>
      <c r="C1056" s="26" t="s">
        <v>49</v>
      </c>
      <c r="D1056" s="28">
        <v>2379</v>
      </c>
      <c r="E1056" t="e">
        <f>VLOOKUP(B1056,Кат!G:J,3,0)</f>
        <v>#N/A</v>
      </c>
    </row>
    <row r="1057" spans="1:5" ht="22.5">
      <c r="A1057" s="26" t="s">
        <v>1969</v>
      </c>
      <c r="B1057" s="26" t="s">
        <v>1970</v>
      </c>
      <c r="C1057" s="26" t="s">
        <v>49</v>
      </c>
      <c r="D1057" s="28">
        <v>2127</v>
      </c>
      <c r="E1057" t="e">
        <f>VLOOKUP(B1057,Кат!G:J,3,0)</f>
        <v>#N/A</v>
      </c>
    </row>
    <row r="1058" spans="1:5">
      <c r="A1058" s="26" t="s">
        <v>1971</v>
      </c>
      <c r="B1058" s="26" t="s">
        <v>1972</v>
      </c>
      <c r="C1058" s="26" t="s">
        <v>49</v>
      </c>
      <c r="D1058" s="28">
        <v>3501</v>
      </c>
      <c r="E1058" t="e">
        <f>VLOOKUP(B1058,Кат!G:J,3,0)</f>
        <v>#N/A</v>
      </c>
    </row>
    <row r="1059" spans="1:5">
      <c r="A1059" s="26" t="s">
        <v>1973</v>
      </c>
      <c r="B1059" s="26" t="s">
        <v>1974</v>
      </c>
      <c r="C1059" s="26" t="s">
        <v>49</v>
      </c>
      <c r="D1059" s="28">
        <v>1248</v>
      </c>
      <c r="E1059" t="e">
        <f>VLOOKUP(B1059,Кат!G:J,3,0)</f>
        <v>#N/A</v>
      </c>
    </row>
    <row r="1060" spans="1:5">
      <c r="A1060" s="26" t="s">
        <v>1975</v>
      </c>
      <c r="B1060" s="26" t="s">
        <v>1976</v>
      </c>
      <c r="C1060" s="26" t="s">
        <v>49</v>
      </c>
      <c r="D1060" s="28">
        <v>1451</v>
      </c>
      <c r="E1060" t="e">
        <f>VLOOKUP(B1060,Кат!G:J,3,0)</f>
        <v>#N/A</v>
      </c>
    </row>
    <row r="1061" spans="1:5">
      <c r="A1061" s="26" t="s">
        <v>1977</v>
      </c>
      <c r="B1061" s="26" t="s">
        <v>1978</v>
      </c>
      <c r="C1061" s="26" t="s">
        <v>49</v>
      </c>
      <c r="D1061" s="28">
        <v>1286</v>
      </c>
      <c r="E1061" t="e">
        <f>VLOOKUP(B1061,Кат!G:J,3,0)</f>
        <v>#N/A</v>
      </c>
    </row>
    <row r="1062" spans="1:5">
      <c r="A1062" s="26" t="s">
        <v>1979</v>
      </c>
      <c r="B1062" s="26" t="s">
        <v>1980</v>
      </c>
      <c r="C1062" s="26" t="s">
        <v>49</v>
      </c>
      <c r="D1062" s="28">
        <v>1326</v>
      </c>
      <c r="E1062" t="e">
        <f>VLOOKUP(B1062,Кат!G:J,3,0)</f>
        <v>#N/A</v>
      </c>
    </row>
    <row r="1063" spans="1:5" ht="22.5">
      <c r="A1063" s="26" t="s">
        <v>1981</v>
      </c>
      <c r="B1063" s="26" t="s">
        <v>1982</v>
      </c>
      <c r="C1063" s="26" t="s">
        <v>49</v>
      </c>
      <c r="D1063" s="28">
        <v>1616</v>
      </c>
      <c r="E1063" t="e">
        <f>VLOOKUP(B1063,Кат!G:J,3,0)</f>
        <v>#N/A</v>
      </c>
    </row>
    <row r="1064" spans="1:5">
      <c r="A1064" s="26" t="s">
        <v>1983</v>
      </c>
      <c r="B1064" s="26" t="s">
        <v>1984</v>
      </c>
      <c r="C1064" s="26" t="s">
        <v>49</v>
      </c>
      <c r="D1064" s="28">
        <v>1509</v>
      </c>
      <c r="E1064" t="e">
        <f>VLOOKUP(B1064,Кат!G:J,3,0)</f>
        <v>#N/A</v>
      </c>
    </row>
    <row r="1065" spans="1:5" ht="22.5">
      <c r="A1065" s="26" t="s">
        <v>1985</v>
      </c>
      <c r="B1065" s="26" t="s">
        <v>1986</v>
      </c>
      <c r="C1065" s="26" t="s">
        <v>49</v>
      </c>
      <c r="D1065" s="28">
        <v>1866</v>
      </c>
      <c r="E1065" t="e">
        <f>VLOOKUP(B1065,Кат!G:J,3,0)</f>
        <v>#N/A</v>
      </c>
    </row>
    <row r="1066" spans="1:5" ht="22.5">
      <c r="A1066" s="26" t="s">
        <v>1987</v>
      </c>
      <c r="B1066" s="26" t="s">
        <v>1988</v>
      </c>
      <c r="C1066" s="26" t="s">
        <v>49</v>
      </c>
      <c r="D1066" s="28">
        <v>1973</v>
      </c>
      <c r="E1066" t="e">
        <f>VLOOKUP(B1066,Кат!G:J,3,0)</f>
        <v>#N/A</v>
      </c>
    </row>
    <row r="1067" spans="1:5">
      <c r="A1067" s="26" t="s">
        <v>1989</v>
      </c>
      <c r="B1067" s="26" t="s">
        <v>1990</v>
      </c>
      <c r="C1067" s="26" t="s">
        <v>49</v>
      </c>
      <c r="D1067" s="28">
        <v>1644</v>
      </c>
      <c r="E1067" t="e">
        <f>VLOOKUP(B1067,Кат!G:J,3,0)</f>
        <v>#N/A</v>
      </c>
    </row>
    <row r="1068" spans="1:5" ht="22.5">
      <c r="A1068" s="26" t="s">
        <v>1991</v>
      </c>
      <c r="B1068" s="26" t="s">
        <v>1992</v>
      </c>
      <c r="C1068" s="26" t="s">
        <v>50</v>
      </c>
      <c r="D1068" s="28">
        <v>2292</v>
      </c>
      <c r="E1068" t="e">
        <f>VLOOKUP(B1068,Кат!G:J,3,0)</f>
        <v>#N/A</v>
      </c>
    </row>
    <row r="1069" spans="1:5">
      <c r="A1069" s="26" t="s">
        <v>1993</v>
      </c>
      <c r="B1069" s="26" t="s">
        <v>1994</v>
      </c>
      <c r="C1069" s="26" t="s">
        <v>50</v>
      </c>
      <c r="D1069" s="27">
        <v>591</v>
      </c>
      <c r="E1069" t="e">
        <f>VLOOKUP(B1069,Кат!G:J,3,0)</f>
        <v>#N/A</v>
      </c>
    </row>
    <row r="1070" spans="1:5">
      <c r="A1070" s="26" t="s">
        <v>1995</v>
      </c>
      <c r="B1070" s="26" t="s">
        <v>1996</v>
      </c>
      <c r="C1070" s="26" t="s">
        <v>50</v>
      </c>
      <c r="D1070" s="27">
        <v>639</v>
      </c>
      <c r="E1070" t="e">
        <f>VLOOKUP(B1070,Кат!G:J,3,0)</f>
        <v>#N/A</v>
      </c>
    </row>
    <row r="1071" spans="1:5">
      <c r="A1071" s="26" t="s">
        <v>1997</v>
      </c>
      <c r="B1071" s="26" t="s">
        <v>1998</v>
      </c>
      <c r="C1071" s="26" t="s">
        <v>50</v>
      </c>
      <c r="D1071" s="27">
        <v>591</v>
      </c>
      <c r="E1071" t="e">
        <f>VLOOKUP(B1071,Кат!G:J,3,0)</f>
        <v>#N/A</v>
      </c>
    </row>
    <row r="1072" spans="1:5">
      <c r="A1072" s="26" t="s">
        <v>1999</v>
      </c>
      <c r="B1072" s="26" t="s">
        <v>2000</v>
      </c>
      <c r="C1072" s="26" t="s">
        <v>50</v>
      </c>
      <c r="D1072" s="27">
        <v>644</v>
      </c>
      <c r="E1072" t="e">
        <f>VLOOKUP(B1072,Кат!G:J,3,0)</f>
        <v>#N/A</v>
      </c>
    </row>
    <row r="1073" spans="1:5">
      <c r="A1073" s="26" t="s">
        <v>2001</v>
      </c>
      <c r="B1073" s="26" t="s">
        <v>2002</v>
      </c>
      <c r="C1073" s="26" t="s">
        <v>50</v>
      </c>
      <c r="D1073" s="27">
        <v>822</v>
      </c>
      <c r="E1073" t="e">
        <f>VLOOKUP(B1073,Кат!G:J,3,0)</f>
        <v>#N/A</v>
      </c>
    </row>
    <row r="1074" spans="1:5">
      <c r="A1074" s="26" t="s">
        <v>2003</v>
      </c>
      <c r="B1074" s="26" t="s">
        <v>2004</v>
      </c>
      <c r="C1074" s="26" t="s">
        <v>50</v>
      </c>
      <c r="D1074" s="27">
        <v>861</v>
      </c>
      <c r="E1074" t="e">
        <f>VLOOKUP(B1074,Кат!G:J,3,0)</f>
        <v>#N/A</v>
      </c>
    </row>
    <row r="1075" spans="1:5">
      <c r="A1075" s="26" t="s">
        <v>2005</v>
      </c>
      <c r="B1075" s="26" t="s">
        <v>2006</v>
      </c>
      <c r="C1075" s="26" t="s">
        <v>50</v>
      </c>
      <c r="D1075" s="28">
        <v>1040</v>
      </c>
      <c r="E1075" t="e">
        <f>VLOOKUP(B1075,Кат!G:J,3,0)</f>
        <v>#N/A</v>
      </c>
    </row>
    <row r="1076" spans="1:5">
      <c r="A1076" s="26" t="s">
        <v>2007</v>
      </c>
      <c r="B1076" s="26" t="s">
        <v>2008</v>
      </c>
      <c r="C1076" s="26" t="s">
        <v>50</v>
      </c>
      <c r="D1076" s="27">
        <v>605</v>
      </c>
      <c r="E1076" t="e">
        <f>VLOOKUP(B1076,Кат!G:J,3,0)</f>
        <v>#N/A</v>
      </c>
    </row>
    <row r="1077" spans="1:5" ht="22.5">
      <c r="A1077" s="26" t="s">
        <v>2009</v>
      </c>
      <c r="B1077" s="26" t="s">
        <v>2010</v>
      </c>
      <c r="C1077" s="26" t="s">
        <v>50</v>
      </c>
      <c r="D1077" s="27">
        <v>610</v>
      </c>
      <c r="E1077" t="e">
        <f>VLOOKUP(B1077,Кат!G:J,3,0)</f>
        <v>#N/A</v>
      </c>
    </row>
    <row r="1078" spans="1:5" ht="22.5">
      <c r="A1078" s="26" t="s">
        <v>2011</v>
      </c>
      <c r="B1078" s="26" t="s">
        <v>2012</v>
      </c>
      <c r="C1078" s="26" t="s">
        <v>50</v>
      </c>
      <c r="D1078" s="28">
        <v>1026</v>
      </c>
      <c r="E1078" t="e">
        <f>VLOOKUP(B1078,Кат!G:J,3,0)</f>
        <v>#N/A</v>
      </c>
    </row>
    <row r="1079" spans="1:5">
      <c r="A1079" s="26" t="s">
        <v>2013</v>
      </c>
      <c r="B1079" s="26" t="s">
        <v>2014</v>
      </c>
      <c r="C1079" s="26" t="s">
        <v>50</v>
      </c>
      <c r="D1079" s="27">
        <v>499</v>
      </c>
      <c r="E1079" t="e">
        <f>VLOOKUP(B1079,Кат!G:J,3,0)</f>
        <v>#N/A</v>
      </c>
    </row>
    <row r="1080" spans="1:5">
      <c r="A1080" s="26" t="s">
        <v>2015</v>
      </c>
      <c r="B1080" s="26" t="s">
        <v>2016</v>
      </c>
      <c r="C1080" s="26" t="s">
        <v>50</v>
      </c>
      <c r="D1080" s="27">
        <v>542</v>
      </c>
      <c r="E1080" t="e">
        <f>VLOOKUP(B1080,Кат!G:J,3,0)</f>
        <v>#N/A</v>
      </c>
    </row>
    <row r="1081" spans="1:5" ht="22.5">
      <c r="A1081" s="26" t="s">
        <v>2017</v>
      </c>
      <c r="B1081" s="26" t="s">
        <v>2018</v>
      </c>
      <c r="C1081" s="26" t="s">
        <v>50</v>
      </c>
      <c r="D1081" s="27">
        <v>794</v>
      </c>
      <c r="E1081" t="e">
        <f>VLOOKUP(B1081,Кат!G:J,3,0)</f>
        <v>#N/A</v>
      </c>
    </row>
    <row r="1082" spans="1:5" ht="22.5">
      <c r="A1082" s="26" t="s">
        <v>2019</v>
      </c>
      <c r="B1082" s="26" t="s">
        <v>2020</v>
      </c>
      <c r="C1082" s="26" t="s">
        <v>50</v>
      </c>
      <c r="D1082" s="27">
        <v>523</v>
      </c>
      <c r="E1082" t="e">
        <f>VLOOKUP(B1082,Кат!G:J,3,0)</f>
        <v>#N/A</v>
      </c>
    </row>
    <row r="1083" spans="1:5" ht="22.5">
      <c r="A1083" s="26" t="s">
        <v>2021</v>
      </c>
      <c r="B1083" s="26" t="s">
        <v>2022</v>
      </c>
      <c r="C1083" s="26" t="s">
        <v>50</v>
      </c>
      <c r="D1083" s="27">
        <v>566</v>
      </c>
      <c r="E1083" t="e">
        <f>VLOOKUP(B1083,Кат!G:J,3,0)</f>
        <v>#N/A</v>
      </c>
    </row>
    <row r="1084" spans="1:5">
      <c r="A1084" s="26" t="s">
        <v>2023</v>
      </c>
      <c r="B1084" s="26" t="s">
        <v>2024</v>
      </c>
      <c r="C1084" s="26" t="s">
        <v>50</v>
      </c>
      <c r="D1084" s="27">
        <v>152</v>
      </c>
      <c r="E1084" t="e">
        <f>VLOOKUP(B1084,Кат!G:J,3,0)</f>
        <v>#N/A</v>
      </c>
    </row>
    <row r="1085" spans="1:5">
      <c r="A1085" s="26" t="s">
        <v>2025</v>
      </c>
      <c r="B1085" s="26" t="s">
        <v>2026</v>
      </c>
      <c r="C1085" s="26" t="s">
        <v>50</v>
      </c>
      <c r="D1085" s="27">
        <v>170</v>
      </c>
      <c r="E1085" t="e">
        <f>VLOOKUP(B1085,Кат!G:J,3,0)</f>
        <v>#N/A</v>
      </c>
    </row>
    <row r="1086" spans="1:5">
      <c r="A1086" s="26" t="s">
        <v>2027</v>
      </c>
      <c r="B1086" s="26" t="s">
        <v>2028</v>
      </c>
      <c r="C1086" s="26" t="s">
        <v>50</v>
      </c>
      <c r="D1086" s="27">
        <v>241</v>
      </c>
      <c r="E1086" t="e">
        <f>VLOOKUP(B1086,Кат!G:J,3,0)</f>
        <v>#N/A</v>
      </c>
    </row>
    <row r="1087" spans="1:5">
      <c r="A1087" s="26" t="s">
        <v>2029</v>
      </c>
      <c r="B1087" s="26" t="s">
        <v>2030</v>
      </c>
      <c r="C1087" s="26" t="s">
        <v>50</v>
      </c>
      <c r="D1087" s="27">
        <v>280</v>
      </c>
      <c r="E1087" t="e">
        <f>VLOOKUP(B1087,Кат!G:J,3,0)</f>
        <v>#N/A</v>
      </c>
    </row>
    <row r="1088" spans="1:5" ht="22.5">
      <c r="A1088" s="26" t="s">
        <v>2031</v>
      </c>
      <c r="B1088" s="26" t="s">
        <v>2032</v>
      </c>
      <c r="C1088" s="26" t="s">
        <v>50</v>
      </c>
      <c r="D1088" s="27">
        <v>251</v>
      </c>
      <c r="E1088" t="e">
        <f>VLOOKUP(B1088,Кат!G:J,3,0)</f>
        <v>#N/A</v>
      </c>
    </row>
    <row r="1089" spans="1:5">
      <c r="A1089" s="26" t="s">
        <v>2033</v>
      </c>
      <c r="B1089" s="26" t="s">
        <v>2034</v>
      </c>
      <c r="C1089" s="26" t="s">
        <v>50</v>
      </c>
      <c r="D1089" s="28">
        <v>1499</v>
      </c>
      <c r="E1089" t="e">
        <f>VLOOKUP(B1089,Кат!G:J,3,0)</f>
        <v>#N/A</v>
      </c>
    </row>
    <row r="1090" spans="1:5">
      <c r="A1090" s="26" t="s">
        <v>2035</v>
      </c>
      <c r="B1090" s="26" t="s">
        <v>2036</v>
      </c>
      <c r="C1090" s="26" t="s">
        <v>50</v>
      </c>
      <c r="D1090" s="28">
        <v>1751</v>
      </c>
      <c r="E1090" t="e">
        <f>VLOOKUP(B1090,Кат!G:J,3,0)</f>
        <v>#N/A</v>
      </c>
    </row>
    <row r="1091" spans="1:5">
      <c r="A1091" s="26" t="s">
        <v>2037</v>
      </c>
      <c r="B1091" s="26" t="s">
        <v>2038</v>
      </c>
      <c r="C1091" s="26" t="s">
        <v>50</v>
      </c>
      <c r="D1091" s="28">
        <v>1751</v>
      </c>
      <c r="E1091" t="e">
        <f>VLOOKUP(B1091,Кат!G:J,3,0)</f>
        <v>#N/A</v>
      </c>
    </row>
    <row r="1092" spans="1:5" ht="22.5">
      <c r="A1092" s="26" t="s">
        <v>2039</v>
      </c>
      <c r="B1092" s="26" t="s">
        <v>2040</v>
      </c>
      <c r="C1092" s="26" t="s">
        <v>50</v>
      </c>
      <c r="D1092" s="28">
        <v>1751</v>
      </c>
      <c r="E1092" t="e">
        <f>VLOOKUP(B1092,Кат!G:J,3,0)</f>
        <v>#N/A</v>
      </c>
    </row>
    <row r="1093" spans="1:5">
      <c r="A1093" s="26" t="s">
        <v>2041</v>
      </c>
      <c r="B1093" s="26" t="s">
        <v>2042</v>
      </c>
      <c r="C1093" s="26" t="s">
        <v>50</v>
      </c>
      <c r="D1093" s="28">
        <v>1751</v>
      </c>
      <c r="E1093" t="e">
        <f>VLOOKUP(B1093,Кат!G:J,3,0)</f>
        <v>#N/A</v>
      </c>
    </row>
    <row r="1094" spans="1:5">
      <c r="A1094" s="26" t="s">
        <v>2043</v>
      </c>
      <c r="B1094" s="26" t="s">
        <v>2044</v>
      </c>
      <c r="C1094" s="26" t="s">
        <v>50</v>
      </c>
      <c r="D1094" s="28">
        <v>1751</v>
      </c>
      <c r="E1094" t="e">
        <f>VLOOKUP(B1094,Кат!G:J,3,0)</f>
        <v>#N/A</v>
      </c>
    </row>
    <row r="1095" spans="1:5" ht="22.5">
      <c r="A1095" s="26" t="s">
        <v>2045</v>
      </c>
      <c r="B1095" s="26" t="s">
        <v>2046</v>
      </c>
      <c r="C1095" s="26" t="s">
        <v>50</v>
      </c>
      <c r="D1095" s="28">
        <v>1751</v>
      </c>
      <c r="E1095" t="e">
        <f>VLOOKUP(B1095,Кат!G:J,3,0)</f>
        <v>#N/A</v>
      </c>
    </row>
    <row r="1096" spans="1:5" ht="22.5">
      <c r="A1096" s="26" t="s">
        <v>2047</v>
      </c>
      <c r="B1096" s="26" t="s">
        <v>2048</v>
      </c>
      <c r="C1096" s="26" t="s">
        <v>50</v>
      </c>
      <c r="D1096" s="28">
        <v>1751</v>
      </c>
      <c r="E1096" t="e">
        <f>VLOOKUP(B1096,Кат!G:J,3,0)</f>
        <v>#N/A</v>
      </c>
    </row>
    <row r="1097" spans="1:5" ht="22.5">
      <c r="A1097" s="26" t="s">
        <v>2049</v>
      </c>
      <c r="B1097" s="26" t="s">
        <v>2050</v>
      </c>
      <c r="C1097" s="26" t="s">
        <v>50</v>
      </c>
      <c r="D1097" s="28">
        <v>1751</v>
      </c>
      <c r="E1097" t="e">
        <f>VLOOKUP(B1097,Кат!G:J,3,0)</f>
        <v>#N/A</v>
      </c>
    </row>
    <row r="1098" spans="1:5">
      <c r="A1098" s="26" t="s">
        <v>2051</v>
      </c>
      <c r="B1098" s="26" t="s">
        <v>2052</v>
      </c>
      <c r="C1098" s="26" t="s">
        <v>50</v>
      </c>
      <c r="D1098" s="28">
        <v>1245</v>
      </c>
      <c r="E1098" t="e">
        <f>VLOOKUP(B1098,Кат!G:J,3,0)</f>
        <v>#N/A</v>
      </c>
    </row>
    <row r="1099" spans="1:5">
      <c r="A1099" s="26" t="s">
        <v>2053</v>
      </c>
      <c r="B1099" s="26" t="s">
        <v>2054</v>
      </c>
      <c r="C1099" s="26" t="s">
        <v>50</v>
      </c>
      <c r="D1099" s="28">
        <v>1245</v>
      </c>
      <c r="E1099" t="e">
        <f>VLOOKUP(B1099,Кат!G:J,3,0)</f>
        <v>#N/A</v>
      </c>
    </row>
    <row r="1100" spans="1:5" ht="22.5">
      <c r="A1100" s="26" t="s">
        <v>2055</v>
      </c>
      <c r="B1100" s="26" t="s">
        <v>2056</v>
      </c>
      <c r="C1100" s="26" t="s">
        <v>50</v>
      </c>
      <c r="D1100" s="28">
        <v>1245</v>
      </c>
      <c r="E1100" t="e">
        <f>VLOOKUP(B1100,Кат!G:J,3,0)</f>
        <v>#N/A</v>
      </c>
    </row>
    <row r="1101" spans="1:5">
      <c r="A1101" s="26" t="s">
        <v>2057</v>
      </c>
      <c r="B1101" s="26" t="s">
        <v>2058</v>
      </c>
      <c r="C1101" s="26" t="s">
        <v>50</v>
      </c>
      <c r="D1101" s="27">
        <v>726</v>
      </c>
      <c r="E1101" t="e">
        <f>VLOOKUP(B1101,Кат!G:J,3,0)</f>
        <v>#N/A</v>
      </c>
    </row>
    <row r="1102" spans="1:5">
      <c r="A1102" s="26" t="s">
        <v>2059</v>
      </c>
      <c r="B1102" s="26" t="s">
        <v>2060</v>
      </c>
      <c r="C1102" s="26" t="s">
        <v>50</v>
      </c>
      <c r="D1102" s="27">
        <v>726</v>
      </c>
      <c r="E1102" t="e">
        <f>VLOOKUP(B1102,Кат!G:J,3,0)</f>
        <v>#N/A</v>
      </c>
    </row>
    <row r="1103" spans="1:5">
      <c r="A1103" s="26" t="s">
        <v>2061</v>
      </c>
      <c r="B1103" s="26" t="s">
        <v>2062</v>
      </c>
      <c r="C1103" s="26" t="s">
        <v>50</v>
      </c>
      <c r="D1103" s="27">
        <v>726</v>
      </c>
      <c r="E1103" t="e">
        <f>VLOOKUP(B1103,Кат!G:J,3,0)</f>
        <v>#N/A</v>
      </c>
    </row>
    <row r="1104" spans="1:5">
      <c r="A1104" s="26" t="s">
        <v>2063</v>
      </c>
      <c r="B1104" s="26" t="s">
        <v>2064</v>
      </c>
      <c r="C1104" s="26" t="s">
        <v>50</v>
      </c>
      <c r="D1104" s="27">
        <v>726</v>
      </c>
      <c r="E1104" t="e">
        <f>VLOOKUP(B1104,Кат!G:J,3,0)</f>
        <v>#N/A</v>
      </c>
    </row>
    <row r="1105" spans="1:5">
      <c r="A1105" s="26" t="s">
        <v>2065</v>
      </c>
      <c r="B1105" s="26" t="s">
        <v>2066</v>
      </c>
      <c r="C1105" s="26" t="s">
        <v>50</v>
      </c>
      <c r="D1105" s="27">
        <v>97</v>
      </c>
      <c r="E1105" t="e">
        <f>VLOOKUP(B1105,Кат!G:J,3,0)</f>
        <v>#N/A</v>
      </c>
    </row>
    <row r="1106" spans="1:5" ht="22.5">
      <c r="A1106" s="26" t="s">
        <v>2067</v>
      </c>
      <c r="B1106" s="26" t="s">
        <v>2068</v>
      </c>
      <c r="C1106" s="26" t="s">
        <v>50</v>
      </c>
      <c r="D1106" s="27">
        <v>166</v>
      </c>
      <c r="E1106" t="e">
        <f>VLOOKUP(B1106,Кат!G:J,3,0)</f>
        <v>#N/A</v>
      </c>
    </row>
    <row r="1107" spans="1:5">
      <c r="A1107" s="26" t="s">
        <v>2069</v>
      </c>
      <c r="B1107" s="26" t="s">
        <v>2070</v>
      </c>
      <c r="C1107" s="26" t="s">
        <v>50</v>
      </c>
      <c r="D1107" s="27">
        <v>426</v>
      </c>
      <c r="E1107" t="e">
        <f>VLOOKUP(B1107,Кат!G:J,3,0)</f>
        <v>#N/A</v>
      </c>
    </row>
    <row r="1108" spans="1:5">
      <c r="A1108" s="26" t="s">
        <v>2071</v>
      </c>
      <c r="B1108" s="26" t="s">
        <v>2072</v>
      </c>
      <c r="C1108" s="26" t="s">
        <v>50</v>
      </c>
      <c r="D1108" s="27">
        <v>426</v>
      </c>
      <c r="E1108" t="e">
        <f>VLOOKUP(B1108,Кат!G:J,3,0)</f>
        <v>#N/A</v>
      </c>
    </row>
    <row r="1109" spans="1:5">
      <c r="A1109" s="26" t="s">
        <v>2073</v>
      </c>
      <c r="B1109" s="26" t="s">
        <v>2074</v>
      </c>
      <c r="C1109" s="26" t="s">
        <v>49</v>
      </c>
      <c r="D1109" s="27">
        <v>461</v>
      </c>
      <c r="E1109" t="e">
        <f>VLOOKUP(B1109,Кат!G:J,3,0)</f>
        <v>#N/A</v>
      </c>
    </row>
    <row r="1110" spans="1:5" ht="22.5">
      <c r="A1110" s="26" t="s">
        <v>2075</v>
      </c>
      <c r="B1110" s="26" t="s">
        <v>2076</v>
      </c>
      <c r="C1110" s="26" t="s">
        <v>50</v>
      </c>
      <c r="D1110" s="27">
        <v>411</v>
      </c>
      <c r="E1110" t="e">
        <f>VLOOKUP(B1110,Кат!G:J,3,0)</f>
        <v>#N/A</v>
      </c>
    </row>
    <row r="1111" spans="1:5" ht="22.5">
      <c r="A1111" s="26" t="s">
        <v>2077</v>
      </c>
      <c r="B1111" s="26" t="s">
        <v>2078</v>
      </c>
      <c r="C1111" s="26" t="s">
        <v>50</v>
      </c>
      <c r="D1111" s="27">
        <v>411</v>
      </c>
      <c r="E1111" t="e">
        <f>VLOOKUP(B1111,Кат!G:J,3,0)</f>
        <v>#N/A</v>
      </c>
    </row>
    <row r="1112" spans="1:5" ht="22.5">
      <c r="A1112" s="26" t="s">
        <v>2079</v>
      </c>
      <c r="B1112" s="26" t="s">
        <v>2080</v>
      </c>
      <c r="C1112" s="26" t="s">
        <v>49</v>
      </c>
      <c r="D1112" s="27">
        <v>753</v>
      </c>
      <c r="E1112" t="e">
        <f>VLOOKUP(B1112,Кат!G:J,3,0)</f>
        <v>#N/A</v>
      </c>
    </row>
    <row r="1113" spans="1:5" ht="22.5">
      <c r="A1113" s="26" t="s">
        <v>2081</v>
      </c>
      <c r="B1113" s="26" t="s">
        <v>2082</v>
      </c>
      <c r="C1113" s="26" t="s">
        <v>49</v>
      </c>
      <c r="D1113" s="27">
        <v>494</v>
      </c>
      <c r="E1113" t="e">
        <f>VLOOKUP(B1113,Кат!G:J,3,0)</f>
        <v>#N/A</v>
      </c>
    </row>
    <row r="1114" spans="1:5" ht="22.5">
      <c r="A1114" s="26" t="s">
        <v>2083</v>
      </c>
      <c r="B1114" s="26" t="s">
        <v>2084</v>
      </c>
      <c r="C1114" s="26" t="s">
        <v>49</v>
      </c>
      <c r="D1114" s="27">
        <v>583</v>
      </c>
      <c r="E1114" t="e">
        <f>VLOOKUP(B1114,Кат!G:J,3,0)</f>
        <v>#N/A</v>
      </c>
    </row>
    <row r="1115" spans="1:5">
      <c r="A1115" s="26" t="s">
        <v>2085</v>
      </c>
      <c r="B1115" s="26" t="s">
        <v>2086</v>
      </c>
      <c r="C1115" s="26" t="s">
        <v>50</v>
      </c>
      <c r="D1115" s="27">
        <v>620</v>
      </c>
      <c r="E1115" t="e">
        <f>VLOOKUP(B1115,Кат!G:J,3,0)</f>
        <v>#N/A</v>
      </c>
    </row>
    <row r="1116" spans="1:5">
      <c r="A1116" s="26" t="s">
        <v>2087</v>
      </c>
      <c r="B1116" s="26" t="s">
        <v>2088</v>
      </c>
      <c r="C1116" s="26" t="s">
        <v>50</v>
      </c>
      <c r="D1116" s="27">
        <v>601</v>
      </c>
      <c r="E1116" t="e">
        <f>VLOOKUP(B1116,Кат!G:J,3,0)</f>
        <v>#N/A</v>
      </c>
    </row>
    <row r="1117" spans="1:5">
      <c r="A1117" s="26" t="s">
        <v>2089</v>
      </c>
      <c r="B1117" s="26" t="s">
        <v>2090</v>
      </c>
      <c r="C1117" s="26" t="s">
        <v>50</v>
      </c>
      <c r="D1117" s="27">
        <v>658</v>
      </c>
      <c r="E1117" t="e">
        <f>VLOOKUP(B1117,Кат!G:J,3,0)</f>
        <v>#N/A</v>
      </c>
    </row>
    <row r="1118" spans="1:5">
      <c r="A1118" s="26" t="s">
        <v>2091</v>
      </c>
      <c r="B1118" s="26" t="s">
        <v>2092</v>
      </c>
      <c r="C1118" s="26" t="s">
        <v>50</v>
      </c>
      <c r="D1118" s="27">
        <v>649</v>
      </c>
      <c r="E1118" t="e">
        <f>VLOOKUP(B1118,Кат!G:J,3,0)</f>
        <v>#N/A</v>
      </c>
    </row>
    <row r="1119" spans="1:5">
      <c r="A1119" s="26" t="s">
        <v>2093</v>
      </c>
      <c r="B1119" s="26" t="s">
        <v>2094</v>
      </c>
      <c r="C1119" s="26" t="s">
        <v>50</v>
      </c>
      <c r="D1119" s="27">
        <v>711</v>
      </c>
      <c r="E1119" t="e">
        <f>VLOOKUP(B1119,Кат!G:J,3,0)</f>
        <v>#N/A</v>
      </c>
    </row>
    <row r="1120" spans="1:5">
      <c r="A1120" s="26" t="s">
        <v>2095</v>
      </c>
      <c r="B1120" s="26" t="s">
        <v>2096</v>
      </c>
      <c r="C1120" s="26" t="s">
        <v>50</v>
      </c>
      <c r="D1120" s="27">
        <v>668</v>
      </c>
      <c r="E1120" t="e">
        <f>VLOOKUP(B1120,Кат!G:J,3,0)</f>
        <v>#N/A</v>
      </c>
    </row>
    <row r="1121" spans="1:5">
      <c r="A1121" s="26" t="s">
        <v>2097</v>
      </c>
      <c r="B1121" s="26" t="s">
        <v>2098</v>
      </c>
      <c r="C1121" s="26" t="s">
        <v>50</v>
      </c>
      <c r="D1121" s="27">
        <v>668</v>
      </c>
      <c r="E1121" t="e">
        <f>VLOOKUP(B1121,Кат!G:J,3,0)</f>
        <v>#N/A</v>
      </c>
    </row>
    <row r="1122" spans="1:5">
      <c r="A1122" s="26" t="s">
        <v>2099</v>
      </c>
      <c r="B1122" s="26" t="s">
        <v>2100</v>
      </c>
      <c r="C1122" s="26" t="s">
        <v>50</v>
      </c>
      <c r="D1122" s="27">
        <v>629</v>
      </c>
      <c r="E1122" t="e">
        <f>VLOOKUP(B1122,Кат!G:J,3,0)</f>
        <v>#N/A</v>
      </c>
    </row>
    <row r="1123" spans="1:5" ht="22.5">
      <c r="A1123" s="26" t="s">
        <v>2101</v>
      </c>
      <c r="B1123" s="26" t="s">
        <v>2102</v>
      </c>
      <c r="C1123" s="26" t="s">
        <v>50</v>
      </c>
      <c r="D1123" s="27">
        <v>996</v>
      </c>
      <c r="E1123" t="e">
        <f>VLOOKUP(B1123,Кат!G:J,3,0)</f>
        <v>#N/A</v>
      </c>
    </row>
    <row r="1124" spans="1:5">
      <c r="A1124" s="26" t="s">
        <v>2103</v>
      </c>
      <c r="B1124" s="26" t="s">
        <v>2104</v>
      </c>
      <c r="C1124" s="26" t="s">
        <v>50</v>
      </c>
      <c r="D1124" s="27">
        <v>962</v>
      </c>
      <c r="E1124" t="e">
        <f>VLOOKUP(B1124,Кат!G:J,3,0)</f>
        <v>#N/A</v>
      </c>
    </row>
    <row r="1125" spans="1:5" ht="22.5">
      <c r="A1125" s="26" t="s">
        <v>2105</v>
      </c>
      <c r="B1125" s="26" t="s">
        <v>2106</v>
      </c>
      <c r="C1125" s="26" t="s">
        <v>50</v>
      </c>
      <c r="D1125" s="27">
        <v>770</v>
      </c>
      <c r="E1125" t="e">
        <f>VLOOKUP(B1125,Кат!G:J,3,0)</f>
        <v>#N/A</v>
      </c>
    </row>
    <row r="1126" spans="1:5" ht="22.5">
      <c r="A1126" s="26" t="s">
        <v>2107</v>
      </c>
      <c r="B1126" s="26" t="s">
        <v>2108</v>
      </c>
      <c r="C1126" s="26" t="s">
        <v>50</v>
      </c>
      <c r="D1126" s="27">
        <v>770</v>
      </c>
      <c r="E1126" t="e">
        <f>VLOOKUP(B1126,Кат!G:J,3,0)</f>
        <v>#N/A</v>
      </c>
    </row>
    <row r="1127" spans="1:5" ht="22.5">
      <c r="A1127" s="26" t="s">
        <v>2109</v>
      </c>
      <c r="B1127" s="26" t="s">
        <v>2110</v>
      </c>
      <c r="C1127" s="26" t="s">
        <v>50</v>
      </c>
      <c r="D1127" s="27">
        <v>794</v>
      </c>
      <c r="E1127" t="e">
        <f>VLOOKUP(B1127,Кат!G:J,3,0)</f>
        <v>#N/A</v>
      </c>
    </row>
    <row r="1128" spans="1:5">
      <c r="A1128" s="26" t="s">
        <v>2111</v>
      </c>
      <c r="B1128" s="26" t="s">
        <v>2112</v>
      </c>
      <c r="C1128" s="26" t="s">
        <v>50</v>
      </c>
      <c r="D1128" s="27">
        <v>794</v>
      </c>
      <c r="E1128" t="e">
        <f>VLOOKUP(B1128,Кат!G:J,3,0)</f>
        <v>#N/A</v>
      </c>
    </row>
    <row r="1129" spans="1:5" ht="22.5">
      <c r="A1129" s="26" t="s">
        <v>2113</v>
      </c>
      <c r="B1129" s="26" t="s">
        <v>2114</v>
      </c>
      <c r="C1129" s="26" t="s">
        <v>50</v>
      </c>
      <c r="D1129" s="27">
        <v>359</v>
      </c>
      <c r="E1129" t="e">
        <f>VLOOKUP(B1129,Кат!G:J,3,0)</f>
        <v>#N/A</v>
      </c>
    </row>
    <row r="1130" spans="1:5" ht="22.5">
      <c r="A1130" s="26" t="s">
        <v>2115</v>
      </c>
      <c r="B1130" s="26" t="s">
        <v>2116</v>
      </c>
      <c r="C1130" s="26" t="s">
        <v>50</v>
      </c>
      <c r="D1130" s="27">
        <v>436</v>
      </c>
      <c r="E1130" t="e">
        <f>VLOOKUP(B1130,Кат!G:J,3,0)</f>
        <v>#N/A</v>
      </c>
    </row>
    <row r="1131" spans="1:5" ht="22.5">
      <c r="A1131" s="26" t="s">
        <v>2117</v>
      </c>
      <c r="B1131" s="26" t="s">
        <v>2118</v>
      </c>
      <c r="C1131" s="26" t="s">
        <v>50</v>
      </c>
      <c r="D1131" s="27">
        <v>987</v>
      </c>
      <c r="E1131" t="e">
        <f>VLOOKUP(B1131,Кат!G:J,3,0)</f>
        <v>#N/A</v>
      </c>
    </row>
    <row r="1132" spans="1:5">
      <c r="A1132" s="26" t="s">
        <v>2119</v>
      </c>
      <c r="B1132" s="26" t="s">
        <v>2120</v>
      </c>
      <c r="C1132" s="26" t="s">
        <v>50</v>
      </c>
      <c r="D1132" s="27">
        <v>630</v>
      </c>
      <c r="E1132" t="e">
        <f>VLOOKUP(B1132,Кат!G:J,3,0)</f>
        <v>#N/A</v>
      </c>
    </row>
    <row r="1133" spans="1:5">
      <c r="A1133" s="26" t="s">
        <v>2121</v>
      </c>
      <c r="B1133" s="26" t="s">
        <v>2122</v>
      </c>
      <c r="C1133" s="26" t="s">
        <v>50</v>
      </c>
      <c r="D1133" s="27">
        <v>546</v>
      </c>
      <c r="E1133" t="e">
        <f>VLOOKUP(B1133,Кат!G:J,3,0)</f>
        <v>#N/A</v>
      </c>
    </row>
    <row r="1134" spans="1:5">
      <c r="A1134" s="26" t="s">
        <v>2123</v>
      </c>
      <c r="B1134" s="26" t="s">
        <v>2124</v>
      </c>
      <c r="C1134" s="26" t="s">
        <v>50</v>
      </c>
      <c r="D1134" s="27">
        <v>659</v>
      </c>
      <c r="E1134" t="e">
        <f>VLOOKUP(B1134,Кат!G:J,3,0)</f>
        <v>#N/A</v>
      </c>
    </row>
    <row r="1135" spans="1:5">
      <c r="A1135" s="26" t="s">
        <v>2125</v>
      </c>
      <c r="B1135" s="26" t="s">
        <v>2126</v>
      </c>
      <c r="C1135" s="26" t="s">
        <v>50</v>
      </c>
      <c r="D1135" s="27">
        <v>630</v>
      </c>
      <c r="E1135" t="e">
        <f>VLOOKUP(B1135,Кат!G:J,3,0)</f>
        <v>#N/A</v>
      </c>
    </row>
    <row r="1136" spans="1:5" ht="22.5">
      <c r="A1136" s="26" t="s">
        <v>2127</v>
      </c>
      <c r="B1136" s="26" t="s">
        <v>2128</v>
      </c>
      <c r="C1136" s="26" t="s">
        <v>50</v>
      </c>
      <c r="D1136" s="27">
        <v>666</v>
      </c>
      <c r="E1136" t="e">
        <f>VLOOKUP(B1136,Кат!G:J,3,0)</f>
        <v>#N/A</v>
      </c>
    </row>
    <row r="1137" spans="1:5" ht="22.5">
      <c r="A1137" s="26" t="s">
        <v>2129</v>
      </c>
      <c r="B1137" s="26" t="s">
        <v>2130</v>
      </c>
      <c r="C1137" s="26" t="s">
        <v>50</v>
      </c>
      <c r="D1137" s="27">
        <v>666</v>
      </c>
      <c r="E1137" t="e">
        <f>VLOOKUP(B1137,Кат!G:J,3,0)</f>
        <v>#N/A</v>
      </c>
    </row>
    <row r="1138" spans="1:5" ht="22.5">
      <c r="A1138" s="26" t="s">
        <v>2131</v>
      </c>
      <c r="B1138" s="26" t="s">
        <v>2132</v>
      </c>
      <c r="C1138" s="26" t="s">
        <v>50</v>
      </c>
      <c r="D1138" s="27">
        <v>936</v>
      </c>
      <c r="E1138" t="e">
        <f>VLOOKUP(B1138,Кат!G:J,3,0)</f>
        <v>#N/A</v>
      </c>
    </row>
    <row r="1139" spans="1:5" ht="22.5">
      <c r="A1139" s="26" t="s">
        <v>2133</v>
      </c>
      <c r="B1139" s="26" t="s">
        <v>2134</v>
      </c>
      <c r="C1139" s="26" t="s">
        <v>50</v>
      </c>
      <c r="D1139" s="27">
        <v>596</v>
      </c>
      <c r="E1139" t="e">
        <f>VLOOKUP(B1139,Кат!G:J,3,0)</f>
        <v>#N/A</v>
      </c>
    </row>
    <row r="1140" spans="1:5" ht="22.5">
      <c r="A1140" s="26" t="s">
        <v>2135</v>
      </c>
      <c r="B1140" s="26" t="s">
        <v>2136</v>
      </c>
      <c r="C1140" s="26" t="s">
        <v>50</v>
      </c>
      <c r="D1140" s="27">
        <v>175</v>
      </c>
      <c r="E1140" t="e">
        <f>VLOOKUP(B1140,Кат!G:J,3,0)</f>
        <v>#N/A</v>
      </c>
    </row>
    <row r="1141" spans="1:5" ht="22.5">
      <c r="A1141" s="26" t="s">
        <v>2137</v>
      </c>
      <c r="B1141" s="26" t="s">
        <v>2138</v>
      </c>
      <c r="C1141" s="26" t="s">
        <v>50</v>
      </c>
      <c r="D1141" s="27">
        <v>175</v>
      </c>
      <c r="E1141" t="e">
        <f>VLOOKUP(B1141,Кат!G:J,3,0)</f>
        <v>#N/A</v>
      </c>
    </row>
    <row r="1142" spans="1:5" ht="22.5">
      <c r="A1142" s="26" t="s">
        <v>2139</v>
      </c>
      <c r="B1142" s="26" t="s">
        <v>2140</v>
      </c>
      <c r="C1142" s="26" t="s">
        <v>50</v>
      </c>
      <c r="D1142" s="27">
        <v>175</v>
      </c>
      <c r="E1142" t="e">
        <f>VLOOKUP(B1142,Кат!G:J,3,0)</f>
        <v>#N/A</v>
      </c>
    </row>
    <row r="1143" spans="1:5" ht="22.5">
      <c r="A1143" s="26" t="s">
        <v>2141</v>
      </c>
      <c r="B1143" s="26" t="s">
        <v>2142</v>
      </c>
      <c r="C1143" s="26" t="s">
        <v>50</v>
      </c>
      <c r="D1143" s="27">
        <v>301</v>
      </c>
      <c r="E1143" t="e">
        <f>VLOOKUP(B1143,Кат!G:J,3,0)</f>
        <v>#N/A</v>
      </c>
    </row>
    <row r="1144" spans="1:5" ht="22.5">
      <c r="A1144" s="26" t="s">
        <v>2143</v>
      </c>
      <c r="B1144" s="26" t="s">
        <v>2144</v>
      </c>
      <c r="C1144" s="26" t="s">
        <v>50</v>
      </c>
      <c r="D1144" s="27">
        <v>175</v>
      </c>
      <c r="E1144" t="e">
        <f>VLOOKUP(B1144,Кат!G:J,3,0)</f>
        <v>#N/A</v>
      </c>
    </row>
    <row r="1145" spans="1:5" ht="22.5">
      <c r="A1145" s="26" t="s">
        <v>2145</v>
      </c>
      <c r="B1145" s="26" t="s">
        <v>2146</v>
      </c>
      <c r="C1145" s="26" t="s">
        <v>50</v>
      </c>
      <c r="D1145" s="27">
        <v>175</v>
      </c>
      <c r="E1145" t="e">
        <f>VLOOKUP(B1145,Кат!G:J,3,0)</f>
        <v>#N/A</v>
      </c>
    </row>
    <row r="1146" spans="1:5" ht="22.5">
      <c r="A1146" s="26" t="s">
        <v>2147</v>
      </c>
      <c r="B1146" s="26" t="s">
        <v>2148</v>
      </c>
      <c r="C1146" s="26" t="s">
        <v>50</v>
      </c>
      <c r="D1146" s="27">
        <v>320</v>
      </c>
      <c r="E1146" t="e">
        <f>VLOOKUP(B1146,Кат!G:J,3,0)</f>
        <v>#N/A</v>
      </c>
    </row>
    <row r="1147" spans="1:5" ht="22.5">
      <c r="A1147" s="26" t="s">
        <v>2149</v>
      </c>
      <c r="B1147" s="26" t="s">
        <v>2150</v>
      </c>
      <c r="C1147" s="26" t="s">
        <v>50</v>
      </c>
      <c r="D1147" s="27">
        <v>359</v>
      </c>
      <c r="E1147" t="e">
        <f>VLOOKUP(B1147,Кат!G:J,3,0)</f>
        <v>#N/A</v>
      </c>
    </row>
    <row r="1148" spans="1:5" ht="22.5">
      <c r="A1148" s="26" t="s">
        <v>2151</v>
      </c>
      <c r="B1148" s="26" t="s">
        <v>2152</v>
      </c>
      <c r="C1148" s="26" t="s">
        <v>50</v>
      </c>
      <c r="D1148" s="27">
        <v>612</v>
      </c>
      <c r="E1148" t="e">
        <f>VLOOKUP(B1148,Кат!G:J,3,0)</f>
        <v>#N/A</v>
      </c>
    </row>
    <row r="1149" spans="1:5" ht="22.5">
      <c r="A1149" s="26" t="s">
        <v>2153</v>
      </c>
      <c r="B1149" s="26" t="s">
        <v>2154</v>
      </c>
      <c r="C1149" s="26" t="s">
        <v>50</v>
      </c>
      <c r="D1149" s="27">
        <v>710</v>
      </c>
      <c r="E1149" t="e">
        <f>VLOOKUP(B1149,Кат!G:J,3,0)</f>
        <v>#N/A</v>
      </c>
    </row>
    <row r="1150" spans="1:5">
      <c r="A1150" s="26" t="s">
        <v>2155</v>
      </c>
      <c r="B1150" s="26" t="s">
        <v>2156</v>
      </c>
      <c r="C1150" s="26" t="s">
        <v>50</v>
      </c>
      <c r="D1150" s="27">
        <v>716</v>
      </c>
      <c r="E1150" t="e">
        <f>VLOOKUP(B1150,Кат!G:J,3,0)</f>
        <v>#N/A</v>
      </c>
    </row>
    <row r="1151" spans="1:5" ht="22.5">
      <c r="A1151" s="26" t="s">
        <v>2157</v>
      </c>
      <c r="B1151" s="26" t="s">
        <v>2158</v>
      </c>
      <c r="C1151" s="26" t="s">
        <v>50</v>
      </c>
      <c r="D1151" s="27">
        <v>841</v>
      </c>
      <c r="E1151" t="e">
        <f>VLOOKUP(B1151,Кат!G:J,3,0)</f>
        <v>#N/A</v>
      </c>
    </row>
    <row r="1152" spans="1:5" ht="22.5">
      <c r="A1152" s="26" t="s">
        <v>2159</v>
      </c>
      <c r="B1152" s="26" t="s">
        <v>2160</v>
      </c>
      <c r="C1152" s="26" t="s">
        <v>50</v>
      </c>
      <c r="D1152" s="27">
        <v>262</v>
      </c>
      <c r="E1152" t="e">
        <f>VLOOKUP(B1152,Кат!G:J,3,0)</f>
        <v>#N/A</v>
      </c>
    </row>
    <row r="1153" spans="1:5" ht="22.5">
      <c r="A1153" s="26" t="s">
        <v>2161</v>
      </c>
      <c r="B1153" s="26" t="s">
        <v>2162</v>
      </c>
      <c r="C1153" s="26" t="s">
        <v>50</v>
      </c>
      <c r="D1153" s="27">
        <v>484</v>
      </c>
      <c r="E1153" t="e">
        <f>VLOOKUP(B1153,Кат!G:J,3,0)</f>
        <v>#N/A</v>
      </c>
    </row>
    <row r="1154" spans="1:5" ht="22.5">
      <c r="A1154" s="26" t="s">
        <v>2163</v>
      </c>
      <c r="B1154" s="26" t="s">
        <v>2164</v>
      </c>
      <c r="C1154" s="26" t="s">
        <v>50</v>
      </c>
      <c r="D1154" s="27">
        <v>560</v>
      </c>
      <c r="E1154" t="e">
        <f>VLOOKUP(B1154,Кат!G:J,3,0)</f>
        <v>#N/A</v>
      </c>
    </row>
    <row r="1155" spans="1:5" ht="22.5">
      <c r="A1155" s="26" t="s">
        <v>2165</v>
      </c>
      <c r="B1155" s="26" t="s">
        <v>2166</v>
      </c>
      <c r="C1155" s="26" t="s">
        <v>49</v>
      </c>
      <c r="D1155" s="27">
        <v>309</v>
      </c>
      <c r="E1155" t="e">
        <f>VLOOKUP(B1155,Кат!G:J,3,0)</f>
        <v>#N/A</v>
      </c>
    </row>
    <row r="1156" spans="1:5">
      <c r="A1156" s="26" t="s">
        <v>2167</v>
      </c>
      <c r="B1156" s="26" t="s">
        <v>2168</v>
      </c>
      <c r="C1156" s="26" t="s">
        <v>50</v>
      </c>
      <c r="D1156" s="27">
        <v>433</v>
      </c>
      <c r="E1156" t="e">
        <f>VLOOKUP(B1156,Кат!G:J,3,0)</f>
        <v>#N/A</v>
      </c>
    </row>
    <row r="1157" spans="1:5" ht="22.5">
      <c r="A1157" s="26" t="s">
        <v>2169</v>
      </c>
      <c r="B1157" s="26" t="s">
        <v>2170</v>
      </c>
      <c r="C1157" s="26" t="s">
        <v>50</v>
      </c>
      <c r="D1157" s="27">
        <v>278</v>
      </c>
      <c r="E1157" t="e">
        <f>VLOOKUP(B1157,Кат!G:J,3,0)</f>
        <v>#N/A</v>
      </c>
    </row>
    <row r="1158" spans="1:5">
      <c r="A1158" s="26" t="s">
        <v>2171</v>
      </c>
      <c r="B1158" s="26" t="s">
        <v>2172</v>
      </c>
      <c r="C1158" s="26" t="s">
        <v>50</v>
      </c>
      <c r="D1158" s="27">
        <v>496</v>
      </c>
      <c r="E1158" t="e">
        <f>VLOOKUP(B1158,Кат!G:J,3,0)</f>
        <v>#N/A</v>
      </c>
    </row>
    <row r="1159" spans="1:5">
      <c r="A1159" s="26" t="s">
        <v>2173</v>
      </c>
      <c r="B1159" s="26" t="s">
        <v>2174</v>
      </c>
      <c r="C1159" s="26" t="s">
        <v>50</v>
      </c>
      <c r="D1159" s="28">
        <v>2833</v>
      </c>
      <c r="E1159" t="e">
        <f>VLOOKUP(B1159,Кат!G:J,3,0)</f>
        <v>#N/A</v>
      </c>
    </row>
    <row r="1160" spans="1:5">
      <c r="A1160" s="26" t="s">
        <v>2175</v>
      </c>
      <c r="B1160" s="26" t="s">
        <v>2176</v>
      </c>
      <c r="C1160" s="26" t="s">
        <v>50</v>
      </c>
      <c r="D1160" s="28">
        <v>2882</v>
      </c>
      <c r="E1160" t="e">
        <f>VLOOKUP(B1160,Кат!G:J,3,0)</f>
        <v>#N/A</v>
      </c>
    </row>
    <row r="1161" spans="1:5">
      <c r="A1161" s="26" t="s">
        <v>2177</v>
      </c>
      <c r="B1161" s="26" t="s">
        <v>2178</v>
      </c>
      <c r="C1161" s="26" t="s">
        <v>50</v>
      </c>
      <c r="D1161" s="28">
        <v>3085</v>
      </c>
      <c r="E1161" t="e">
        <f>VLOOKUP(B1161,Кат!G:J,3,0)</f>
        <v>#N/A</v>
      </c>
    </row>
    <row r="1162" spans="1:5">
      <c r="A1162" s="26" t="s">
        <v>2179</v>
      </c>
      <c r="B1162" s="26" t="s">
        <v>2180</v>
      </c>
      <c r="C1162" s="26" t="s">
        <v>50</v>
      </c>
      <c r="D1162" s="28">
        <v>3191</v>
      </c>
      <c r="E1162" t="e">
        <f>VLOOKUP(B1162,Кат!G:J,3,0)</f>
        <v>#N/A</v>
      </c>
    </row>
    <row r="1163" spans="1:5">
      <c r="A1163" s="26" t="s">
        <v>2181</v>
      </c>
      <c r="B1163" s="26" t="s">
        <v>2182</v>
      </c>
      <c r="C1163" s="26" t="s">
        <v>50</v>
      </c>
      <c r="D1163" s="28">
        <v>2727</v>
      </c>
      <c r="E1163" t="e">
        <f>VLOOKUP(B1163,Кат!G:J,3,0)</f>
        <v>#N/A</v>
      </c>
    </row>
    <row r="1164" spans="1:5" ht="22.5">
      <c r="A1164" s="26" t="s">
        <v>2183</v>
      </c>
      <c r="B1164" s="26" t="s">
        <v>2184</v>
      </c>
      <c r="C1164" s="26" t="s">
        <v>50</v>
      </c>
      <c r="D1164" s="28">
        <v>2631</v>
      </c>
      <c r="E1164" t="e">
        <f>VLOOKUP(B1164,Кат!G:J,3,0)</f>
        <v>#N/A</v>
      </c>
    </row>
    <row r="1165" spans="1:5">
      <c r="A1165" s="26" t="s">
        <v>2185</v>
      </c>
      <c r="B1165" s="26" t="s">
        <v>2186</v>
      </c>
      <c r="C1165" s="26" t="s">
        <v>50</v>
      </c>
      <c r="D1165" s="28">
        <v>3191</v>
      </c>
      <c r="E1165" t="e">
        <f>VLOOKUP(B1165,Кат!G:J,3,0)</f>
        <v>#N/A</v>
      </c>
    </row>
    <row r="1166" spans="1:5">
      <c r="A1166" s="26" t="s">
        <v>2187</v>
      </c>
      <c r="B1166" s="26" t="s">
        <v>2188</v>
      </c>
      <c r="C1166" s="26" t="s">
        <v>50</v>
      </c>
      <c r="D1166" s="28">
        <v>3442</v>
      </c>
      <c r="E1166" t="e">
        <f>VLOOKUP(B1166,Кат!G:J,3,0)</f>
        <v>#N/A</v>
      </c>
    </row>
    <row r="1167" spans="1:5">
      <c r="A1167" s="26" t="s">
        <v>2189</v>
      </c>
      <c r="B1167" s="26" t="s">
        <v>2190</v>
      </c>
      <c r="C1167" s="26" t="s">
        <v>50</v>
      </c>
      <c r="D1167" s="28">
        <v>3191</v>
      </c>
      <c r="E1167" t="e">
        <f>VLOOKUP(B1167,Кат!G:J,3,0)</f>
        <v>#N/A</v>
      </c>
    </row>
    <row r="1168" spans="1:5">
      <c r="A1168" s="26" t="s">
        <v>2191</v>
      </c>
      <c r="B1168" s="26" t="s">
        <v>2192</v>
      </c>
      <c r="C1168" s="26" t="s">
        <v>50</v>
      </c>
      <c r="D1168" s="28">
        <v>3442</v>
      </c>
      <c r="E1168" t="e">
        <f>VLOOKUP(B1168,Кат!G:J,3,0)</f>
        <v>#N/A</v>
      </c>
    </row>
    <row r="1169" spans="1:5">
      <c r="A1169" s="26" t="s">
        <v>2193</v>
      </c>
      <c r="B1169" s="26" t="s">
        <v>2194</v>
      </c>
      <c r="C1169" s="26" t="s">
        <v>50</v>
      </c>
      <c r="D1169" s="28">
        <v>3191</v>
      </c>
      <c r="E1169" t="e">
        <f>VLOOKUP(B1169,Кат!G:J,3,0)</f>
        <v>#N/A</v>
      </c>
    </row>
    <row r="1170" spans="1:5">
      <c r="A1170" s="26" t="s">
        <v>2195</v>
      </c>
      <c r="B1170" s="26" t="s">
        <v>2196</v>
      </c>
      <c r="C1170" s="26" t="s">
        <v>50</v>
      </c>
      <c r="D1170" s="28">
        <v>2988</v>
      </c>
      <c r="E1170" t="e">
        <f>VLOOKUP(B1170,Кат!G:J,3,0)</f>
        <v>#N/A</v>
      </c>
    </row>
    <row r="1171" spans="1:5">
      <c r="A1171" s="26" t="s">
        <v>2197</v>
      </c>
      <c r="B1171" s="26" t="s">
        <v>2198</v>
      </c>
      <c r="C1171" s="26" t="s">
        <v>50</v>
      </c>
      <c r="D1171" s="27">
        <v>705</v>
      </c>
      <c r="E1171" t="e">
        <f>VLOOKUP(B1171,Кат!G:J,3,0)</f>
        <v>#N/A</v>
      </c>
    </row>
    <row r="1172" spans="1:5">
      <c r="A1172" s="26" t="s">
        <v>2199</v>
      </c>
      <c r="B1172" s="26" t="s">
        <v>2200</v>
      </c>
      <c r="C1172" s="26" t="s">
        <v>50</v>
      </c>
      <c r="D1172" s="27">
        <v>550</v>
      </c>
      <c r="E1172" t="e">
        <f>VLOOKUP(B1172,Кат!G:J,3,0)</f>
        <v>#N/A</v>
      </c>
    </row>
    <row r="1173" spans="1:5" ht="22.5">
      <c r="A1173" s="26" t="s">
        <v>2201</v>
      </c>
      <c r="B1173" s="26" t="s">
        <v>2202</v>
      </c>
      <c r="C1173" s="26" t="s">
        <v>50</v>
      </c>
      <c r="D1173" s="27">
        <v>599</v>
      </c>
      <c r="E1173" t="e">
        <f>VLOOKUP(B1173,Кат!G:J,3,0)</f>
        <v>#N/A</v>
      </c>
    </row>
    <row r="1174" spans="1:5">
      <c r="A1174" s="26" t="s">
        <v>2203</v>
      </c>
      <c r="B1174" s="26" t="s">
        <v>2204</v>
      </c>
      <c r="C1174" s="26" t="s">
        <v>50</v>
      </c>
      <c r="D1174" s="27">
        <v>420</v>
      </c>
      <c r="E1174" t="e">
        <f>VLOOKUP(B1174,Кат!G:J,3,0)</f>
        <v>#N/A</v>
      </c>
    </row>
    <row r="1175" spans="1:5">
      <c r="A1175" s="26" t="s">
        <v>2205</v>
      </c>
      <c r="B1175" s="26" t="s">
        <v>2206</v>
      </c>
      <c r="C1175" s="26" t="s">
        <v>50</v>
      </c>
      <c r="D1175" s="27">
        <v>579</v>
      </c>
      <c r="E1175" t="e">
        <f>VLOOKUP(B1175,Кат!G:J,3,0)</f>
        <v>#N/A</v>
      </c>
    </row>
    <row r="1176" spans="1:5">
      <c r="A1176" s="26" t="s">
        <v>2207</v>
      </c>
      <c r="B1176" s="26" t="s">
        <v>2208</v>
      </c>
      <c r="C1176" s="26" t="s">
        <v>50</v>
      </c>
      <c r="D1176" s="27">
        <v>629</v>
      </c>
      <c r="E1176" t="e">
        <f>VLOOKUP(B1176,Кат!G:J,3,0)</f>
        <v>#N/A</v>
      </c>
    </row>
    <row r="1177" spans="1:5">
      <c r="A1177" s="26" t="s">
        <v>2209</v>
      </c>
      <c r="B1177" s="26" t="s">
        <v>2210</v>
      </c>
      <c r="C1177" s="26" t="s">
        <v>50</v>
      </c>
      <c r="D1177" s="27">
        <v>550</v>
      </c>
      <c r="E1177" t="e">
        <f>VLOOKUP(B1177,Кат!G:J,3,0)</f>
        <v>#N/A</v>
      </c>
    </row>
    <row r="1178" spans="1:5" ht="22.5">
      <c r="A1178" s="26" t="s">
        <v>2211</v>
      </c>
      <c r="B1178" s="26" t="s">
        <v>2212</v>
      </c>
      <c r="C1178" s="26" t="s">
        <v>50</v>
      </c>
      <c r="D1178" s="28">
        <v>1891</v>
      </c>
      <c r="E1178" t="e">
        <f>VLOOKUP(B1178,Кат!G:J,3,0)</f>
        <v>#N/A</v>
      </c>
    </row>
    <row r="1179" spans="1:5" ht="22.5">
      <c r="A1179" s="26" t="s">
        <v>2213</v>
      </c>
      <c r="B1179" s="26" t="s">
        <v>2214</v>
      </c>
      <c r="C1179" s="26" t="s">
        <v>50</v>
      </c>
      <c r="D1179" s="28">
        <v>1891</v>
      </c>
      <c r="E1179" t="e">
        <f>VLOOKUP(B1179,Кат!G:J,3,0)</f>
        <v>#N/A</v>
      </c>
    </row>
    <row r="1180" spans="1:5" ht="22.5">
      <c r="A1180" s="26" t="s">
        <v>2215</v>
      </c>
      <c r="B1180" s="26" t="s">
        <v>2216</v>
      </c>
      <c r="C1180" s="26" t="s">
        <v>50</v>
      </c>
      <c r="D1180" s="28">
        <v>1189</v>
      </c>
      <c r="E1180" t="e">
        <f>VLOOKUP(B1180,Кат!G:J,3,0)</f>
        <v>#N/A</v>
      </c>
    </row>
    <row r="1181" spans="1:5">
      <c r="A1181" s="26" t="s">
        <v>2217</v>
      </c>
      <c r="B1181" s="26" t="s">
        <v>2218</v>
      </c>
      <c r="C1181" s="26" t="s">
        <v>50</v>
      </c>
      <c r="D1181" s="27">
        <v>616</v>
      </c>
      <c r="E1181" t="e">
        <f>VLOOKUP(B1181,Кат!G:J,3,0)</f>
        <v>#N/A</v>
      </c>
    </row>
    <row r="1182" spans="1:5">
      <c r="A1182" s="26" t="s">
        <v>2219</v>
      </c>
      <c r="B1182" s="26" t="s">
        <v>2220</v>
      </c>
      <c r="C1182" s="26" t="s">
        <v>50</v>
      </c>
      <c r="D1182" s="27">
        <v>738</v>
      </c>
      <c r="E1182" t="e">
        <f>VLOOKUP(B1182,Кат!G:J,3,0)</f>
        <v>#N/A</v>
      </c>
    </row>
    <row r="1183" spans="1:5">
      <c r="A1183" s="26" t="s">
        <v>2221</v>
      </c>
      <c r="B1183" s="26" t="s">
        <v>2222</v>
      </c>
      <c r="C1183" s="26" t="s">
        <v>50</v>
      </c>
      <c r="D1183" s="27">
        <v>575</v>
      </c>
      <c r="E1183" t="e">
        <f>VLOOKUP(B1183,Кат!G:J,3,0)</f>
        <v>#N/A</v>
      </c>
    </row>
    <row r="1184" spans="1:5">
      <c r="A1184" s="26" t="s">
        <v>2223</v>
      </c>
      <c r="B1184" s="26" t="s">
        <v>2224</v>
      </c>
      <c r="C1184" s="26" t="s">
        <v>50</v>
      </c>
      <c r="D1184" s="27">
        <v>564</v>
      </c>
      <c r="E1184" t="e">
        <f>VLOOKUP(B1184,Кат!G:J,3,0)</f>
        <v>#N/A</v>
      </c>
    </row>
    <row r="1185" spans="1:5">
      <c r="A1185" s="26" t="s">
        <v>2225</v>
      </c>
      <c r="B1185" s="26" t="s">
        <v>2226</v>
      </c>
      <c r="C1185" s="26" t="s">
        <v>50</v>
      </c>
      <c r="D1185" s="27">
        <v>585</v>
      </c>
      <c r="E1185" t="e">
        <f>VLOOKUP(B1185,Кат!G:J,3,0)</f>
        <v>#N/A</v>
      </c>
    </row>
    <row r="1186" spans="1:5">
      <c r="A1186" s="26" t="s">
        <v>2227</v>
      </c>
      <c r="B1186" s="26" t="s">
        <v>2228</v>
      </c>
      <c r="C1186" s="26" t="s">
        <v>50</v>
      </c>
      <c r="D1186" s="27">
        <v>605</v>
      </c>
      <c r="E1186" t="e">
        <f>VLOOKUP(B1186,Кат!G:J,3,0)</f>
        <v>#N/A</v>
      </c>
    </row>
    <row r="1187" spans="1:5">
      <c r="A1187" s="26" t="s">
        <v>2229</v>
      </c>
      <c r="B1187" s="26" t="s">
        <v>2230</v>
      </c>
      <c r="C1187" s="26" t="s">
        <v>50</v>
      </c>
      <c r="D1187" s="27">
        <v>630</v>
      </c>
      <c r="E1187" t="e">
        <f>VLOOKUP(B1187,Кат!G:J,3,0)</f>
        <v>#N/A</v>
      </c>
    </row>
    <row r="1188" spans="1:5" ht="22.5">
      <c r="A1188" s="26" t="s">
        <v>2231</v>
      </c>
      <c r="B1188" s="26" t="s">
        <v>2232</v>
      </c>
      <c r="C1188" s="26" t="s">
        <v>50</v>
      </c>
      <c r="D1188" s="28">
        <v>1394</v>
      </c>
      <c r="E1188" t="e">
        <f>VLOOKUP(B1188,Кат!G:J,3,0)</f>
        <v>#N/A</v>
      </c>
    </row>
    <row r="1189" spans="1:5" ht="22.5">
      <c r="A1189" s="26" t="s">
        <v>2233</v>
      </c>
      <c r="B1189" s="26" t="s">
        <v>2234</v>
      </c>
      <c r="C1189" s="26" t="s">
        <v>50</v>
      </c>
      <c r="D1189" s="28">
        <v>1404</v>
      </c>
      <c r="E1189" t="e">
        <f>VLOOKUP(B1189,Кат!G:J,3,0)</f>
        <v>#N/A</v>
      </c>
    </row>
    <row r="1190" spans="1:5" ht="22.5">
      <c r="A1190" s="26" t="s">
        <v>2235</v>
      </c>
      <c r="B1190" s="26" t="s">
        <v>2236</v>
      </c>
      <c r="C1190" s="26" t="s">
        <v>50</v>
      </c>
      <c r="D1190" s="28">
        <v>1891</v>
      </c>
      <c r="E1190" t="e">
        <f>VLOOKUP(B1190,Кат!G:J,3,0)</f>
        <v>#N/A</v>
      </c>
    </row>
    <row r="1191" spans="1:5" ht="22.5">
      <c r="A1191" s="26" t="s">
        <v>2237</v>
      </c>
      <c r="B1191" s="26" t="s">
        <v>2238</v>
      </c>
      <c r="C1191" s="26" t="s">
        <v>50</v>
      </c>
      <c r="D1191" s="27">
        <v>865</v>
      </c>
      <c r="E1191" t="e">
        <f>VLOOKUP(B1191,Кат!G:J,3,0)</f>
        <v>#N/A</v>
      </c>
    </row>
    <row r="1192" spans="1:5" ht="22.5">
      <c r="A1192" s="26" t="s">
        <v>2239</v>
      </c>
      <c r="B1192" s="26" t="s">
        <v>2240</v>
      </c>
      <c r="C1192" s="26" t="s">
        <v>50</v>
      </c>
      <c r="D1192" s="27">
        <v>549</v>
      </c>
      <c r="E1192" t="e">
        <f>VLOOKUP(B1192,Кат!G:J,3,0)</f>
        <v>#N/A</v>
      </c>
    </row>
    <row r="1193" spans="1:5">
      <c r="A1193" s="26" t="s">
        <v>2241</v>
      </c>
      <c r="B1193" s="26" t="s">
        <v>2242</v>
      </c>
      <c r="C1193" s="26" t="s">
        <v>50</v>
      </c>
      <c r="D1193" s="27">
        <v>640</v>
      </c>
      <c r="E1193" t="e">
        <f>VLOOKUP(B1193,Кат!G:J,3,0)</f>
        <v>#N/A</v>
      </c>
    </row>
    <row r="1194" spans="1:5" ht="22.5">
      <c r="A1194" s="26" t="s">
        <v>2243</v>
      </c>
      <c r="B1194" s="26" t="s">
        <v>2244</v>
      </c>
      <c r="C1194" s="26" t="s">
        <v>50</v>
      </c>
      <c r="D1194" s="27">
        <v>725</v>
      </c>
      <c r="E1194" t="e">
        <f>VLOOKUP(B1194,Кат!G:J,3,0)</f>
        <v>#N/A</v>
      </c>
    </row>
    <row r="1195" spans="1:5" ht="22.5">
      <c r="A1195" s="26" t="s">
        <v>2245</v>
      </c>
      <c r="B1195" s="26" t="s">
        <v>2246</v>
      </c>
      <c r="C1195" s="26" t="s">
        <v>50</v>
      </c>
      <c r="D1195" s="27">
        <v>725</v>
      </c>
      <c r="E1195" t="e">
        <f>VLOOKUP(B1195,Кат!G:J,3,0)</f>
        <v>#N/A</v>
      </c>
    </row>
    <row r="1196" spans="1:5">
      <c r="A1196" s="26" t="s">
        <v>2247</v>
      </c>
      <c r="B1196" s="26" t="s">
        <v>2248</v>
      </c>
      <c r="C1196" s="26" t="s">
        <v>50</v>
      </c>
      <c r="D1196" s="27">
        <v>482</v>
      </c>
      <c r="E1196" t="e">
        <f>VLOOKUP(B1196,Кат!G:J,3,0)</f>
        <v>#N/A</v>
      </c>
    </row>
    <row r="1197" spans="1:5">
      <c r="A1197" s="26" t="s">
        <v>2249</v>
      </c>
      <c r="B1197" s="26" t="s">
        <v>2250</v>
      </c>
      <c r="C1197" s="26" t="s">
        <v>50</v>
      </c>
      <c r="D1197" s="27">
        <v>736</v>
      </c>
      <c r="E1197" t="e">
        <f>VLOOKUP(B1197,Кат!G:J,3,0)</f>
        <v>#N/A</v>
      </c>
    </row>
    <row r="1198" spans="1:5" ht="22.5">
      <c r="A1198" s="26" t="s">
        <v>2251</v>
      </c>
      <c r="B1198" s="26" t="s">
        <v>2252</v>
      </c>
      <c r="C1198" s="26" t="s">
        <v>50</v>
      </c>
      <c r="D1198" s="28">
        <v>4402</v>
      </c>
      <c r="E1198" t="e">
        <f>VLOOKUP(B1198,Кат!G:J,3,0)</f>
        <v>#N/A</v>
      </c>
    </row>
    <row r="1199" spans="1:5" ht="22.5">
      <c r="A1199" s="26" t="s">
        <v>2253</v>
      </c>
      <c r="B1199" s="26" t="s">
        <v>2254</v>
      </c>
      <c r="C1199" s="26" t="s">
        <v>50</v>
      </c>
      <c r="D1199" s="28">
        <v>2736</v>
      </c>
      <c r="E1199" t="e">
        <f>VLOOKUP(B1199,Кат!G:J,3,0)</f>
        <v>#N/A</v>
      </c>
    </row>
    <row r="1200" spans="1:5" ht="22.5">
      <c r="A1200" s="26" t="s">
        <v>2255</v>
      </c>
      <c r="B1200" s="26" t="s">
        <v>2256</v>
      </c>
      <c r="C1200" s="26" t="s">
        <v>50</v>
      </c>
      <c r="D1200" s="28">
        <v>2520</v>
      </c>
      <c r="E1200" t="e">
        <f>VLOOKUP(B1200,Кат!G:J,3,0)</f>
        <v>#N/A</v>
      </c>
    </row>
    <row r="1201" spans="1:5" ht="22.5">
      <c r="A1201" s="26" t="s">
        <v>2257</v>
      </c>
      <c r="B1201" s="26" t="s">
        <v>2258</v>
      </c>
      <c r="C1201" s="26" t="s">
        <v>50</v>
      </c>
      <c r="D1201" s="28">
        <v>2214</v>
      </c>
      <c r="E1201" t="e">
        <f>VLOOKUP(B1201,Кат!G:J,3,0)</f>
        <v>#N/A</v>
      </c>
    </row>
    <row r="1202" spans="1:5" ht="22.5">
      <c r="A1202" s="26" t="s">
        <v>2259</v>
      </c>
      <c r="B1202" s="26" t="s">
        <v>2260</v>
      </c>
      <c r="C1202" s="26" t="s">
        <v>50</v>
      </c>
      <c r="D1202" s="28">
        <v>2787</v>
      </c>
      <c r="E1202" t="e">
        <f>VLOOKUP(B1202,Кат!G:J,3,0)</f>
        <v>#N/A</v>
      </c>
    </row>
    <row r="1203" spans="1:5" ht="22.5">
      <c r="A1203" s="26" t="s">
        <v>2261</v>
      </c>
      <c r="B1203" s="26" t="s">
        <v>2262</v>
      </c>
      <c r="C1203" s="26" t="s">
        <v>50</v>
      </c>
      <c r="D1203" s="28">
        <v>3518</v>
      </c>
      <c r="E1203" t="e">
        <f>VLOOKUP(B1203,Кат!G:J,3,0)</f>
        <v>#N/A</v>
      </c>
    </row>
    <row r="1204" spans="1:5" ht="22.5">
      <c r="A1204" s="26" t="s">
        <v>2263</v>
      </c>
      <c r="B1204" s="26" t="s">
        <v>2264</v>
      </c>
      <c r="C1204" s="26" t="s">
        <v>50</v>
      </c>
      <c r="D1204" s="28">
        <v>2906</v>
      </c>
      <c r="E1204" t="e">
        <f>VLOOKUP(B1204,Кат!G:J,3,0)</f>
        <v>#N/A</v>
      </c>
    </row>
    <row r="1205" spans="1:5" ht="22.5">
      <c r="A1205" s="26" t="s">
        <v>2265</v>
      </c>
      <c r="B1205" s="26" t="s">
        <v>2266</v>
      </c>
      <c r="C1205" s="26" t="s">
        <v>50</v>
      </c>
      <c r="D1205" s="28">
        <v>3445</v>
      </c>
      <c r="E1205" t="e">
        <f>VLOOKUP(B1205,Кат!G:J,3,0)</f>
        <v>#N/A</v>
      </c>
    </row>
    <row r="1206" spans="1:5">
      <c r="A1206" s="26" t="s">
        <v>2267</v>
      </c>
      <c r="B1206" s="26" t="s">
        <v>2268</v>
      </c>
      <c r="C1206" s="26" t="s">
        <v>50</v>
      </c>
      <c r="D1206" s="28">
        <v>1553</v>
      </c>
      <c r="E1206" t="e">
        <f>VLOOKUP(B1206,Кат!G:J,3,0)</f>
        <v>#N/A</v>
      </c>
    </row>
    <row r="1207" spans="1:5">
      <c r="A1207" s="26" t="s">
        <v>2269</v>
      </c>
      <c r="B1207" s="26" t="s">
        <v>2270</v>
      </c>
      <c r="C1207" s="26" t="s">
        <v>50</v>
      </c>
      <c r="D1207" s="28">
        <v>1818</v>
      </c>
      <c r="E1207" t="e">
        <f>VLOOKUP(B1207,Кат!G:J,3,0)</f>
        <v>#N/A</v>
      </c>
    </row>
    <row r="1208" spans="1:5" ht="22.5">
      <c r="A1208" s="26" t="s">
        <v>2271</v>
      </c>
      <c r="B1208" s="26" t="s">
        <v>2272</v>
      </c>
      <c r="C1208" s="26" t="s">
        <v>50</v>
      </c>
      <c r="D1208" s="28">
        <v>2366</v>
      </c>
      <c r="E1208" t="e">
        <f>VLOOKUP(B1208,Кат!G:J,3,0)</f>
        <v>#N/A</v>
      </c>
    </row>
    <row r="1209" spans="1:5">
      <c r="A1209" s="26" t="s">
        <v>2273</v>
      </c>
      <c r="B1209" s="26" t="s">
        <v>2274</v>
      </c>
      <c r="C1209" s="26" t="s">
        <v>50</v>
      </c>
      <c r="D1209" s="28">
        <v>1567</v>
      </c>
      <c r="E1209" t="e">
        <f>VLOOKUP(B1209,Кат!G:J,3,0)</f>
        <v>#N/A</v>
      </c>
    </row>
    <row r="1210" spans="1:5">
      <c r="A1210" s="26" t="s">
        <v>2275</v>
      </c>
      <c r="B1210" s="26" t="s">
        <v>2276</v>
      </c>
      <c r="C1210" s="26" t="s">
        <v>50</v>
      </c>
      <c r="D1210" s="28">
        <v>1567</v>
      </c>
      <c r="E1210" t="e">
        <f>VLOOKUP(B1210,Кат!G:J,3,0)</f>
        <v>#N/A</v>
      </c>
    </row>
    <row r="1211" spans="1:5">
      <c r="A1211" s="26" t="s">
        <v>2277</v>
      </c>
      <c r="B1211" s="26" t="s">
        <v>2278</v>
      </c>
      <c r="C1211" s="26" t="s">
        <v>50</v>
      </c>
      <c r="D1211" s="28">
        <v>1732</v>
      </c>
      <c r="E1211" t="e">
        <f>VLOOKUP(B1211,Кат!G:J,3,0)</f>
        <v>#N/A</v>
      </c>
    </row>
    <row r="1212" spans="1:5">
      <c r="A1212" s="26" t="s">
        <v>2279</v>
      </c>
      <c r="B1212" s="26" t="s">
        <v>2280</v>
      </c>
      <c r="C1212" s="26" t="s">
        <v>50</v>
      </c>
      <c r="D1212" s="28">
        <v>1557</v>
      </c>
      <c r="E1212" t="e">
        <f>VLOOKUP(B1212,Кат!G:J,3,0)</f>
        <v>#N/A</v>
      </c>
    </row>
    <row r="1213" spans="1:5">
      <c r="A1213" s="26" t="s">
        <v>2281</v>
      </c>
      <c r="B1213" s="26" t="s">
        <v>2282</v>
      </c>
      <c r="C1213" s="26" t="s">
        <v>50</v>
      </c>
      <c r="D1213" s="28">
        <v>1625</v>
      </c>
      <c r="E1213" t="e">
        <f>VLOOKUP(B1213,Кат!G:J,3,0)</f>
        <v>#N/A</v>
      </c>
    </row>
    <row r="1214" spans="1:5">
      <c r="A1214" s="26" t="s">
        <v>2283</v>
      </c>
      <c r="B1214" s="26" t="s">
        <v>2284</v>
      </c>
      <c r="C1214" s="26" t="s">
        <v>50</v>
      </c>
      <c r="D1214" s="28">
        <v>1934</v>
      </c>
      <c r="E1214" t="e">
        <f>VLOOKUP(B1214,Кат!G:J,3,0)</f>
        <v>#N/A</v>
      </c>
    </row>
    <row r="1215" spans="1:5">
      <c r="A1215" s="26" t="s">
        <v>2285</v>
      </c>
      <c r="B1215" s="26" t="s">
        <v>2286</v>
      </c>
      <c r="C1215" s="26" t="s">
        <v>50</v>
      </c>
      <c r="D1215" s="28">
        <v>1934</v>
      </c>
      <c r="E1215" t="e">
        <f>VLOOKUP(B1215,Кат!G:J,3,0)</f>
        <v>#N/A</v>
      </c>
    </row>
    <row r="1216" spans="1:5">
      <c r="A1216" s="26" t="s">
        <v>2287</v>
      </c>
      <c r="B1216" s="26" t="s">
        <v>2288</v>
      </c>
      <c r="C1216" s="26" t="s">
        <v>50</v>
      </c>
      <c r="D1216" s="28">
        <v>2002</v>
      </c>
      <c r="E1216" t="e">
        <f>VLOOKUP(B1216,Кат!G:J,3,0)</f>
        <v>#N/A</v>
      </c>
    </row>
    <row r="1217" spans="1:5">
      <c r="A1217" s="26" t="s">
        <v>2289</v>
      </c>
      <c r="B1217" s="26" t="s">
        <v>2290</v>
      </c>
      <c r="C1217" s="26" t="s">
        <v>50</v>
      </c>
      <c r="D1217" s="28">
        <v>1721</v>
      </c>
      <c r="E1217" t="e">
        <f>VLOOKUP(B1217,Кат!G:J,3,0)</f>
        <v>#N/A</v>
      </c>
    </row>
    <row r="1218" spans="1:5" ht="22.5">
      <c r="A1218" s="26" t="s">
        <v>2291</v>
      </c>
      <c r="B1218" s="26" t="s">
        <v>2292</v>
      </c>
      <c r="C1218" s="26" t="s">
        <v>50</v>
      </c>
      <c r="D1218" s="28">
        <v>2147</v>
      </c>
      <c r="E1218" t="e">
        <f>VLOOKUP(B1218,Кат!G:J,3,0)</f>
        <v>#N/A</v>
      </c>
    </row>
    <row r="1219" spans="1:5" ht="22.5">
      <c r="A1219" s="26" t="s">
        <v>2293</v>
      </c>
      <c r="B1219" s="26" t="s">
        <v>2294</v>
      </c>
      <c r="C1219" s="26" t="s">
        <v>50</v>
      </c>
      <c r="D1219" s="28">
        <v>2459</v>
      </c>
      <c r="E1219" t="e">
        <f>VLOOKUP(B1219,Кат!G:J,3,0)</f>
        <v>#N/A</v>
      </c>
    </row>
    <row r="1220" spans="1:5" ht="22.5">
      <c r="A1220" s="26" t="s">
        <v>2295</v>
      </c>
      <c r="B1220" s="26" t="s">
        <v>2296</v>
      </c>
      <c r="C1220" s="26" t="s">
        <v>50</v>
      </c>
      <c r="D1220" s="28">
        <v>2427</v>
      </c>
      <c r="E1220" t="e">
        <f>VLOOKUP(B1220,Кат!G:J,3,0)</f>
        <v>#N/A</v>
      </c>
    </row>
    <row r="1221" spans="1:5" ht="22.5">
      <c r="A1221" s="26" t="s">
        <v>2297</v>
      </c>
      <c r="B1221" s="26" t="s">
        <v>2298</v>
      </c>
      <c r="C1221" s="26" t="s">
        <v>50</v>
      </c>
      <c r="D1221" s="28">
        <v>2828</v>
      </c>
      <c r="E1221" t="e">
        <f>VLOOKUP(B1221,Кат!G:J,3,0)</f>
        <v>#N/A</v>
      </c>
    </row>
    <row r="1222" spans="1:5" ht="22.5">
      <c r="A1222" s="26" t="s">
        <v>2299</v>
      </c>
      <c r="B1222" s="26" t="s">
        <v>2300</v>
      </c>
      <c r="C1222" s="26" t="s">
        <v>50</v>
      </c>
      <c r="D1222" s="28">
        <v>3199</v>
      </c>
      <c r="E1222" t="e">
        <f>VLOOKUP(B1222,Кат!G:J,3,0)</f>
        <v>#N/A</v>
      </c>
    </row>
    <row r="1223" spans="1:5" ht="22.5">
      <c r="A1223" s="26" t="s">
        <v>2301</v>
      </c>
      <c r="B1223" s="26" t="s">
        <v>2302</v>
      </c>
      <c r="C1223" s="26" t="s">
        <v>50</v>
      </c>
      <c r="D1223" s="28">
        <v>4824</v>
      </c>
      <c r="E1223" t="e">
        <f>VLOOKUP(B1223,Кат!G:J,3,0)</f>
        <v>#N/A</v>
      </c>
    </row>
    <row r="1224" spans="1:5" ht="22.5">
      <c r="A1224" s="26" t="s">
        <v>2303</v>
      </c>
      <c r="B1224" s="26" t="s">
        <v>2304</v>
      </c>
      <c r="C1224" s="26" t="s">
        <v>50</v>
      </c>
      <c r="D1224" s="28">
        <v>3605</v>
      </c>
      <c r="E1224" t="e">
        <f>VLOOKUP(B1224,Кат!G:J,3,0)</f>
        <v>#N/A</v>
      </c>
    </row>
    <row r="1225" spans="1:5" ht="22.5">
      <c r="A1225" s="26" t="s">
        <v>2305</v>
      </c>
      <c r="B1225" s="26" t="s">
        <v>2306</v>
      </c>
      <c r="C1225" s="26" t="s">
        <v>50</v>
      </c>
      <c r="D1225" s="28">
        <v>9030</v>
      </c>
      <c r="E1225" t="e">
        <f>VLOOKUP(B1225,Кат!G:J,3,0)</f>
        <v>#N/A</v>
      </c>
    </row>
    <row r="1226" spans="1:5">
      <c r="A1226" s="26" t="s">
        <v>2307</v>
      </c>
      <c r="B1226" s="26" t="s">
        <v>2308</v>
      </c>
      <c r="C1226" s="26" t="s">
        <v>50</v>
      </c>
      <c r="D1226" s="27">
        <v>303</v>
      </c>
      <c r="E1226" t="e">
        <f>VLOOKUP(B1226,Кат!G:J,3,0)</f>
        <v>#N/A</v>
      </c>
    </row>
    <row r="1227" spans="1:5">
      <c r="A1227" s="26" t="s">
        <v>2309</v>
      </c>
      <c r="B1227" s="26" t="s">
        <v>2310</v>
      </c>
      <c r="C1227" s="26" t="s">
        <v>50</v>
      </c>
      <c r="D1227" s="27">
        <v>303</v>
      </c>
      <c r="E1227" t="e">
        <f>VLOOKUP(B1227,Кат!G:J,3,0)</f>
        <v>#N/A</v>
      </c>
    </row>
    <row r="1228" spans="1:5">
      <c r="A1228" s="26" t="s">
        <v>2311</v>
      </c>
      <c r="B1228" s="26" t="s">
        <v>2312</v>
      </c>
      <c r="C1228" s="26" t="s">
        <v>50</v>
      </c>
      <c r="D1228" s="27">
        <v>256</v>
      </c>
      <c r="E1228" t="e">
        <f>VLOOKUP(B1228,Кат!G:J,3,0)</f>
        <v>#N/A</v>
      </c>
    </row>
    <row r="1229" spans="1:5">
      <c r="A1229" s="26" t="s">
        <v>2313</v>
      </c>
      <c r="B1229" s="26" t="s">
        <v>2314</v>
      </c>
      <c r="C1229" s="26" t="s">
        <v>50</v>
      </c>
      <c r="D1229" s="27">
        <v>256</v>
      </c>
      <c r="E1229" t="e">
        <f>VLOOKUP(B1229,Кат!G:J,3,0)</f>
        <v>#N/A</v>
      </c>
    </row>
    <row r="1230" spans="1:5" ht="22.5">
      <c r="A1230" s="26" t="s">
        <v>2315</v>
      </c>
      <c r="B1230" s="26" t="s">
        <v>2316</v>
      </c>
      <c r="C1230" s="26" t="s">
        <v>50</v>
      </c>
      <c r="D1230" s="28">
        <v>1088</v>
      </c>
      <c r="E1230" t="e">
        <f>VLOOKUP(B1230,Кат!G:J,3,0)</f>
        <v>#N/A</v>
      </c>
    </row>
    <row r="1231" spans="1:5">
      <c r="A1231" s="26" t="s">
        <v>2317</v>
      </c>
      <c r="B1231" s="26" t="s">
        <v>2318</v>
      </c>
      <c r="C1231" s="26" t="s">
        <v>50</v>
      </c>
      <c r="D1231" s="28">
        <v>2879</v>
      </c>
      <c r="E1231" t="e">
        <f>VLOOKUP(B1231,Кат!G:J,3,0)</f>
        <v>#N/A</v>
      </c>
    </row>
    <row r="1232" spans="1:5">
      <c r="A1232" s="26" t="s">
        <v>2319</v>
      </c>
      <c r="B1232" s="26" t="s">
        <v>2320</v>
      </c>
      <c r="C1232" s="26" t="s">
        <v>50</v>
      </c>
      <c r="D1232" s="28">
        <v>3088</v>
      </c>
      <c r="E1232" t="e">
        <f>VLOOKUP(B1232,Кат!G:J,3,0)</f>
        <v>#N/A</v>
      </c>
    </row>
    <row r="1233" spans="1:5">
      <c r="A1233" s="26" t="s">
        <v>2321</v>
      </c>
      <c r="B1233" s="26" t="s">
        <v>2322</v>
      </c>
      <c r="C1233" s="26" t="s">
        <v>50</v>
      </c>
      <c r="D1233" s="28">
        <v>4362</v>
      </c>
      <c r="E1233" t="e">
        <f>VLOOKUP(B1233,Кат!G:J,3,0)</f>
        <v>#N/A</v>
      </c>
    </row>
    <row r="1234" spans="1:5" ht="22.5">
      <c r="A1234" s="26" t="s">
        <v>2323</v>
      </c>
      <c r="B1234" s="26" t="s">
        <v>2324</v>
      </c>
      <c r="C1234" s="26" t="s">
        <v>50</v>
      </c>
      <c r="D1234" s="27">
        <v>556</v>
      </c>
      <c r="E1234" t="e">
        <f>VLOOKUP(B1234,Кат!G:J,3,0)</f>
        <v>#N/A</v>
      </c>
    </row>
    <row r="1235" spans="1:5" ht="22.5">
      <c r="A1235" s="26" t="s">
        <v>2325</v>
      </c>
      <c r="B1235" s="26" t="s">
        <v>2326</v>
      </c>
      <c r="C1235" s="26" t="s">
        <v>50</v>
      </c>
      <c r="D1235" s="27">
        <v>581</v>
      </c>
      <c r="E1235" t="e">
        <f>VLOOKUP(B1235,Кат!G:J,3,0)</f>
        <v>#N/A</v>
      </c>
    </row>
    <row r="1236" spans="1:5">
      <c r="A1236" s="26" t="s">
        <v>2327</v>
      </c>
      <c r="B1236" s="26" t="s">
        <v>2328</v>
      </c>
      <c r="C1236" s="26" t="s">
        <v>50</v>
      </c>
      <c r="D1236" s="27">
        <v>349</v>
      </c>
      <c r="E1236" t="e">
        <f>VLOOKUP(B1236,Кат!G:J,3,0)</f>
        <v>#N/A</v>
      </c>
    </row>
    <row r="1237" spans="1:5">
      <c r="A1237" s="26" t="s">
        <v>2329</v>
      </c>
      <c r="B1237" s="26" t="s">
        <v>2330</v>
      </c>
      <c r="C1237" s="26" t="s">
        <v>50</v>
      </c>
      <c r="D1237" s="27">
        <v>238</v>
      </c>
      <c r="E1237" t="e">
        <f>VLOOKUP(B1237,Кат!G:J,3,0)</f>
        <v>#N/A</v>
      </c>
    </row>
    <row r="1238" spans="1:5">
      <c r="A1238" s="26" t="s">
        <v>2331</v>
      </c>
      <c r="B1238" s="26" t="s">
        <v>2332</v>
      </c>
      <c r="C1238" s="26" t="s">
        <v>50</v>
      </c>
      <c r="D1238" s="27">
        <v>368</v>
      </c>
      <c r="E1238" t="e">
        <f>VLOOKUP(B1238,Кат!G:J,3,0)</f>
        <v>#N/A</v>
      </c>
    </row>
    <row r="1239" spans="1:5">
      <c r="A1239" s="26" t="s">
        <v>2333</v>
      </c>
      <c r="B1239" s="26" t="s">
        <v>2334</v>
      </c>
      <c r="C1239" s="26" t="s">
        <v>50</v>
      </c>
      <c r="D1239" s="27">
        <v>368</v>
      </c>
      <c r="E1239" t="e">
        <f>VLOOKUP(B1239,Кат!G:J,3,0)</f>
        <v>#N/A</v>
      </c>
    </row>
    <row r="1240" spans="1:5">
      <c r="A1240" s="26" t="s">
        <v>2335</v>
      </c>
      <c r="B1240" s="26" t="s">
        <v>2336</v>
      </c>
      <c r="C1240" s="26" t="s">
        <v>50</v>
      </c>
      <c r="D1240" s="27">
        <v>238</v>
      </c>
      <c r="E1240" t="e">
        <f>VLOOKUP(B1240,Кат!G:J,3,0)</f>
        <v>#N/A</v>
      </c>
    </row>
    <row r="1241" spans="1:5">
      <c r="A1241" s="26" t="s">
        <v>2337</v>
      </c>
      <c r="B1241" s="26" t="s">
        <v>2338</v>
      </c>
      <c r="C1241" s="26" t="s">
        <v>50</v>
      </c>
      <c r="D1241" s="27">
        <v>238</v>
      </c>
      <c r="E1241" t="e">
        <f>VLOOKUP(B1241,Кат!G:J,3,0)</f>
        <v>#N/A</v>
      </c>
    </row>
    <row r="1242" spans="1:5" ht="22.5">
      <c r="A1242" s="26" t="s">
        <v>2339</v>
      </c>
      <c r="B1242" s="26" t="s">
        <v>2340</v>
      </c>
      <c r="C1242" s="26" t="s">
        <v>50</v>
      </c>
      <c r="D1242" s="27">
        <v>716</v>
      </c>
      <c r="E1242" t="e">
        <f>VLOOKUP(B1242,Кат!G:J,3,0)</f>
        <v>#N/A</v>
      </c>
    </row>
    <row r="1243" spans="1:5">
      <c r="A1243" s="26" t="s">
        <v>2341</v>
      </c>
      <c r="B1243" s="26" t="s">
        <v>2342</v>
      </c>
      <c r="C1243" s="26" t="s">
        <v>50</v>
      </c>
      <c r="D1243" s="27">
        <v>436</v>
      </c>
      <c r="E1243" t="e">
        <f>VLOOKUP(B1243,Кат!G:J,3,0)</f>
        <v>#N/A</v>
      </c>
    </row>
    <row r="1244" spans="1:5" ht="22.5">
      <c r="A1244" s="26" t="s">
        <v>2343</v>
      </c>
      <c r="B1244" s="26" t="s">
        <v>2344</v>
      </c>
      <c r="C1244" s="26" t="s">
        <v>50</v>
      </c>
      <c r="D1244" s="27">
        <v>542</v>
      </c>
      <c r="E1244" t="e">
        <f>VLOOKUP(B1244,Кат!G:J,3,0)</f>
        <v>#N/A</v>
      </c>
    </row>
    <row r="1245" spans="1:5">
      <c r="A1245" s="26" t="s">
        <v>2345</v>
      </c>
      <c r="B1245" s="26" t="s">
        <v>2346</v>
      </c>
      <c r="C1245" s="26" t="s">
        <v>50</v>
      </c>
      <c r="D1245" s="27">
        <v>286</v>
      </c>
      <c r="E1245" t="e">
        <f>VLOOKUP(B1245,Кат!G:J,3,0)</f>
        <v>#N/A</v>
      </c>
    </row>
    <row r="1246" spans="1:5">
      <c r="A1246" s="26" t="s">
        <v>2347</v>
      </c>
      <c r="B1246" s="26" t="s">
        <v>2348</v>
      </c>
      <c r="C1246" s="26" t="s">
        <v>50</v>
      </c>
      <c r="D1246" s="27">
        <v>542</v>
      </c>
      <c r="E1246" t="e">
        <f>VLOOKUP(B1246,Кат!G:J,3,0)</f>
        <v>#N/A</v>
      </c>
    </row>
    <row r="1247" spans="1:5">
      <c r="A1247" s="26" t="s">
        <v>2349</v>
      </c>
      <c r="B1247" s="26" t="s">
        <v>2350</v>
      </c>
      <c r="C1247" s="26" t="s">
        <v>50</v>
      </c>
      <c r="D1247" s="27">
        <v>716</v>
      </c>
      <c r="E1247" t="e">
        <f>VLOOKUP(B1247,Кат!G:J,3,0)</f>
        <v>#N/A</v>
      </c>
    </row>
    <row r="1248" spans="1:5" ht="22.5">
      <c r="A1248" s="26" t="s">
        <v>2351</v>
      </c>
      <c r="B1248" s="26" t="s">
        <v>2352</v>
      </c>
      <c r="C1248" s="26" t="s">
        <v>50</v>
      </c>
      <c r="D1248" s="27">
        <v>282</v>
      </c>
      <c r="E1248" t="e">
        <f>VLOOKUP(B1248,Кат!G:J,3,0)</f>
        <v>#N/A</v>
      </c>
    </row>
    <row r="1249" spans="1:5">
      <c r="A1249" s="26" t="s">
        <v>2353</v>
      </c>
      <c r="B1249" s="26" t="s">
        <v>2354</v>
      </c>
      <c r="C1249" s="26" t="s">
        <v>50</v>
      </c>
      <c r="D1249" s="27">
        <v>257</v>
      </c>
      <c r="E1249" t="e">
        <f>VLOOKUP(B1249,Кат!G:J,3,0)</f>
        <v>#N/A</v>
      </c>
    </row>
    <row r="1250" spans="1:5" ht="22.5">
      <c r="A1250" s="26" t="s">
        <v>2355</v>
      </c>
      <c r="B1250" s="26" t="s">
        <v>2356</v>
      </c>
      <c r="C1250" s="26" t="s">
        <v>50</v>
      </c>
      <c r="D1250" s="28">
        <v>2866</v>
      </c>
      <c r="E1250" t="e">
        <f>VLOOKUP(B1250,Кат!G:J,3,0)</f>
        <v>#N/A</v>
      </c>
    </row>
    <row r="1251" spans="1:5" ht="22.5">
      <c r="A1251" s="26" t="s">
        <v>2357</v>
      </c>
      <c r="B1251" s="26" t="s">
        <v>2358</v>
      </c>
      <c r="C1251" s="26" t="s">
        <v>50</v>
      </c>
      <c r="D1251" s="28">
        <v>2866</v>
      </c>
      <c r="E1251" t="e">
        <f>VLOOKUP(B1251,Кат!G:J,3,0)</f>
        <v>#N/A</v>
      </c>
    </row>
    <row r="1252" spans="1:5" ht="22.5">
      <c r="A1252" s="26" t="s">
        <v>2359</v>
      </c>
      <c r="B1252" s="26" t="s">
        <v>2360</v>
      </c>
      <c r="C1252" s="26" t="s">
        <v>50</v>
      </c>
      <c r="D1252" s="28">
        <v>2815</v>
      </c>
      <c r="E1252" t="e">
        <f>VLOOKUP(B1252,Кат!G:J,3,0)</f>
        <v>#N/A</v>
      </c>
    </row>
    <row r="1253" spans="1:5" ht="22.5">
      <c r="A1253" s="26" t="s">
        <v>2361</v>
      </c>
      <c r="B1253" s="26" t="s">
        <v>2362</v>
      </c>
      <c r="C1253" s="26" t="s">
        <v>50</v>
      </c>
      <c r="D1253" s="28">
        <v>2815</v>
      </c>
      <c r="E1253" t="e">
        <f>VLOOKUP(B1253,Кат!G:J,3,0)</f>
        <v>#N/A</v>
      </c>
    </row>
    <row r="1254" spans="1:5" ht="22.5">
      <c r="A1254" s="26" t="s">
        <v>2363</v>
      </c>
      <c r="B1254" s="26" t="s">
        <v>2364</v>
      </c>
      <c r="C1254" s="26" t="s">
        <v>50</v>
      </c>
      <c r="D1254" s="28">
        <v>2815</v>
      </c>
      <c r="E1254" t="e">
        <f>VLOOKUP(B1254,Кат!G:J,3,0)</f>
        <v>#N/A</v>
      </c>
    </row>
    <row r="1255" spans="1:5" ht="22.5">
      <c r="A1255" s="26" t="s">
        <v>2365</v>
      </c>
      <c r="B1255" s="26" t="s">
        <v>2366</v>
      </c>
      <c r="C1255" s="26" t="s">
        <v>50</v>
      </c>
      <c r="D1255" s="28">
        <v>2866</v>
      </c>
      <c r="E1255" t="e">
        <f>VLOOKUP(B1255,Кат!G:J,3,0)</f>
        <v>#N/A</v>
      </c>
    </row>
    <row r="1256" spans="1:5" ht="22.5">
      <c r="A1256" s="26" t="s">
        <v>2367</v>
      </c>
      <c r="B1256" s="26" t="s">
        <v>2368</v>
      </c>
      <c r="C1256" s="26" t="s">
        <v>50</v>
      </c>
      <c r="D1256" s="28">
        <v>3259</v>
      </c>
      <c r="E1256" t="e">
        <f>VLOOKUP(B1256,Кат!G:J,3,0)</f>
        <v>#N/A</v>
      </c>
    </row>
    <row r="1257" spans="1:5" ht="22.5">
      <c r="A1257" s="26" t="s">
        <v>2369</v>
      </c>
      <c r="B1257" s="26" t="s">
        <v>2370</v>
      </c>
      <c r="C1257" s="26" t="s">
        <v>50</v>
      </c>
      <c r="D1257" s="28">
        <v>2924</v>
      </c>
      <c r="E1257" t="e">
        <f>VLOOKUP(B1257,Кат!G:J,3,0)</f>
        <v>#N/A</v>
      </c>
    </row>
    <row r="1258" spans="1:5" ht="22.5">
      <c r="A1258" s="26" t="s">
        <v>2371</v>
      </c>
      <c r="B1258" s="26" t="s">
        <v>2372</v>
      </c>
      <c r="C1258" s="26" t="s">
        <v>50</v>
      </c>
      <c r="D1258" s="28">
        <v>3191</v>
      </c>
      <c r="E1258" t="e">
        <f>VLOOKUP(B1258,Кат!G:J,3,0)</f>
        <v>#N/A</v>
      </c>
    </row>
    <row r="1259" spans="1:5" ht="22.5">
      <c r="A1259" s="26" t="s">
        <v>2373</v>
      </c>
      <c r="B1259" s="26" t="s">
        <v>2374</v>
      </c>
      <c r="C1259" s="26" t="s">
        <v>50</v>
      </c>
      <c r="D1259" s="28">
        <v>2924</v>
      </c>
      <c r="E1259" t="e">
        <f>VLOOKUP(B1259,Кат!G:J,3,0)</f>
        <v>#N/A</v>
      </c>
    </row>
    <row r="1260" spans="1:5" ht="22.5">
      <c r="A1260" s="26" t="s">
        <v>2375</v>
      </c>
      <c r="B1260" s="26" t="s">
        <v>2376</v>
      </c>
      <c r="C1260" s="26" t="s">
        <v>50</v>
      </c>
      <c r="D1260" s="28">
        <v>3191</v>
      </c>
      <c r="E1260" t="e">
        <f>VLOOKUP(B1260,Кат!G:J,3,0)</f>
        <v>#N/A</v>
      </c>
    </row>
    <row r="1261" spans="1:5">
      <c r="A1261" s="26" t="s">
        <v>2377</v>
      </c>
      <c r="B1261" s="26" t="s">
        <v>2378</v>
      </c>
      <c r="C1261" s="26" t="s">
        <v>50</v>
      </c>
      <c r="D1261" s="28">
        <v>1327</v>
      </c>
      <c r="E1261" t="e">
        <f>VLOOKUP(B1261,Кат!G:J,3,0)</f>
        <v>#N/A</v>
      </c>
    </row>
    <row r="1262" spans="1:5">
      <c r="A1262" s="26" t="s">
        <v>2379</v>
      </c>
      <c r="B1262" s="26" t="s">
        <v>2380</v>
      </c>
      <c r="C1262" s="26" t="s">
        <v>50</v>
      </c>
      <c r="D1262" s="28">
        <v>1758</v>
      </c>
      <c r="E1262" t="e">
        <f>VLOOKUP(B1262,Кат!G:J,3,0)</f>
        <v>#N/A</v>
      </c>
    </row>
    <row r="1263" spans="1:5">
      <c r="A1263" s="26" t="s">
        <v>2381</v>
      </c>
      <c r="B1263" s="26" t="s">
        <v>2382</v>
      </c>
      <c r="C1263" s="26" t="s">
        <v>50</v>
      </c>
      <c r="D1263" s="28">
        <v>1758</v>
      </c>
      <c r="E1263" t="e">
        <f>VLOOKUP(B1263,Кат!G:J,3,0)</f>
        <v>#N/A</v>
      </c>
    </row>
    <row r="1264" spans="1:5">
      <c r="A1264" s="26" t="s">
        <v>2383</v>
      </c>
      <c r="B1264" s="26" t="s">
        <v>2384</v>
      </c>
      <c r="C1264" s="26" t="s">
        <v>50</v>
      </c>
      <c r="D1264" s="27">
        <v>429</v>
      </c>
      <c r="E1264" t="e">
        <f>VLOOKUP(B1264,Кат!G:J,3,0)</f>
        <v>#N/A</v>
      </c>
    </row>
    <row r="1265" spans="1:5">
      <c r="A1265" s="26" t="s">
        <v>2385</v>
      </c>
      <c r="B1265" s="26" t="s">
        <v>2386</v>
      </c>
      <c r="C1265" s="26" t="s">
        <v>50</v>
      </c>
      <c r="D1265" s="27">
        <v>422</v>
      </c>
      <c r="E1265" t="e">
        <f>VLOOKUP(B1265,Кат!G:J,3,0)</f>
        <v>#N/A</v>
      </c>
    </row>
    <row r="1266" spans="1:5">
      <c r="A1266" s="26" t="s">
        <v>2387</v>
      </c>
      <c r="B1266" s="26" t="s">
        <v>2388</v>
      </c>
      <c r="C1266" s="26" t="s">
        <v>50</v>
      </c>
      <c r="D1266" s="27">
        <v>422</v>
      </c>
      <c r="E1266" t="e">
        <f>VLOOKUP(B1266,Кат!G:J,3,0)</f>
        <v>#N/A</v>
      </c>
    </row>
    <row r="1267" spans="1:5">
      <c r="A1267" s="26" t="s">
        <v>2389</v>
      </c>
      <c r="B1267" s="26" t="s">
        <v>2390</v>
      </c>
      <c r="C1267" s="26" t="s">
        <v>50</v>
      </c>
      <c r="D1267" s="27">
        <v>753</v>
      </c>
      <c r="E1267" t="e">
        <f>VLOOKUP(B1267,Кат!G:J,3,0)</f>
        <v>#N/A</v>
      </c>
    </row>
    <row r="1268" spans="1:5">
      <c r="A1268" s="26" t="s">
        <v>2391</v>
      </c>
      <c r="B1268" s="26" t="s">
        <v>2392</v>
      </c>
      <c r="C1268" s="26" t="s">
        <v>50</v>
      </c>
      <c r="D1268" s="27">
        <v>750</v>
      </c>
      <c r="E1268" t="e">
        <f>VLOOKUP(B1268,Кат!G:J,3,0)</f>
        <v>#N/A</v>
      </c>
    </row>
    <row r="1269" spans="1:5">
      <c r="A1269" s="26" t="s">
        <v>2393</v>
      </c>
      <c r="B1269" s="26" t="s">
        <v>2394</v>
      </c>
      <c r="C1269" s="26" t="s">
        <v>49</v>
      </c>
      <c r="D1269" s="28">
        <v>2055</v>
      </c>
      <c r="E1269" t="e">
        <f>VLOOKUP(B1269,Кат!G:J,3,0)</f>
        <v>#N/A</v>
      </c>
    </row>
    <row r="1270" spans="1:5">
      <c r="A1270" s="26" t="s">
        <v>2395</v>
      </c>
      <c r="B1270" s="26" t="s">
        <v>2396</v>
      </c>
      <c r="C1270" s="26" t="s">
        <v>49</v>
      </c>
      <c r="D1270" s="28">
        <v>2108</v>
      </c>
      <c r="E1270" t="e">
        <f>VLOOKUP(B1270,Кат!G:J,3,0)</f>
        <v>#N/A</v>
      </c>
    </row>
    <row r="1271" spans="1:5">
      <c r="A1271" s="26" t="s">
        <v>2397</v>
      </c>
      <c r="B1271" s="26" t="s">
        <v>2398</v>
      </c>
      <c r="C1271" s="26" t="s">
        <v>49</v>
      </c>
      <c r="D1271" s="28">
        <v>2273</v>
      </c>
      <c r="E1271" t="e">
        <f>VLOOKUP(B1271,Кат!G:J,3,0)</f>
        <v>#N/A</v>
      </c>
    </row>
    <row r="1272" spans="1:5">
      <c r="A1272" s="26" t="s">
        <v>2399</v>
      </c>
      <c r="B1272" s="26" t="s">
        <v>2400</v>
      </c>
      <c r="C1272" s="26" t="s">
        <v>49</v>
      </c>
      <c r="D1272" s="28">
        <v>3081</v>
      </c>
      <c r="E1272" t="e">
        <f>VLOOKUP(B1272,Кат!G:J,3,0)</f>
        <v>#N/A</v>
      </c>
    </row>
    <row r="1273" spans="1:5">
      <c r="A1273" s="26" t="s">
        <v>2401</v>
      </c>
      <c r="B1273" s="26" t="s">
        <v>2402</v>
      </c>
      <c r="C1273" s="26" t="s">
        <v>49</v>
      </c>
      <c r="D1273" s="28">
        <v>2582</v>
      </c>
      <c r="E1273" t="e">
        <f>VLOOKUP(B1273,Кат!G:J,3,0)</f>
        <v>#N/A</v>
      </c>
    </row>
    <row r="1274" spans="1:5">
      <c r="A1274" s="26" t="s">
        <v>2403</v>
      </c>
      <c r="B1274" s="26" t="s">
        <v>2404</v>
      </c>
      <c r="C1274" s="26" t="s">
        <v>49</v>
      </c>
      <c r="D1274" s="28">
        <v>3579</v>
      </c>
      <c r="E1274" t="e">
        <f>VLOOKUP(B1274,Кат!G:J,3,0)</f>
        <v>#N/A</v>
      </c>
    </row>
    <row r="1275" spans="1:5" ht="22.5">
      <c r="A1275" s="26" t="s">
        <v>2405</v>
      </c>
      <c r="B1275" s="26" t="s">
        <v>2406</v>
      </c>
      <c r="C1275" s="26" t="s">
        <v>50</v>
      </c>
      <c r="D1275" s="27">
        <v>315</v>
      </c>
      <c r="E1275" t="e">
        <f>VLOOKUP(B1275,Кат!G:J,3,0)</f>
        <v>#N/A</v>
      </c>
    </row>
    <row r="1276" spans="1:5">
      <c r="A1276" s="26" t="s">
        <v>2407</v>
      </c>
      <c r="B1276" s="26" t="s">
        <v>2408</v>
      </c>
      <c r="C1276" s="26" t="s">
        <v>50</v>
      </c>
      <c r="D1276" s="27">
        <v>532</v>
      </c>
      <c r="E1276" t="e">
        <f>VLOOKUP(B1276,Кат!G:J,3,0)</f>
        <v>#N/A</v>
      </c>
    </row>
    <row r="1277" spans="1:5">
      <c r="A1277" s="26" t="s">
        <v>2409</v>
      </c>
      <c r="B1277" s="26" t="s">
        <v>2410</v>
      </c>
      <c r="C1277" s="26" t="s">
        <v>50</v>
      </c>
      <c r="D1277" s="27">
        <v>286</v>
      </c>
      <c r="E1277" t="e">
        <f>VLOOKUP(B1277,Кат!G:J,3,0)</f>
        <v>#N/A</v>
      </c>
    </row>
    <row r="1278" spans="1:5">
      <c r="A1278" s="26" t="s">
        <v>2411</v>
      </c>
      <c r="B1278" s="26" t="s">
        <v>2412</v>
      </c>
      <c r="C1278" s="26" t="s">
        <v>50</v>
      </c>
      <c r="D1278" s="27">
        <v>286</v>
      </c>
      <c r="E1278" t="e">
        <f>VLOOKUP(B1278,Кат!G:J,3,0)</f>
        <v>#N/A</v>
      </c>
    </row>
    <row r="1279" spans="1:5" ht="22.5">
      <c r="A1279" s="26" t="s">
        <v>2413</v>
      </c>
      <c r="B1279" s="26" t="s">
        <v>2414</v>
      </c>
      <c r="C1279" s="26" t="s">
        <v>50</v>
      </c>
      <c r="D1279" s="27">
        <v>321</v>
      </c>
      <c r="E1279" t="e">
        <f>VLOOKUP(B1279,Кат!G:J,3,0)</f>
        <v>#N/A</v>
      </c>
    </row>
    <row r="1280" spans="1:5" ht="22.5">
      <c r="A1280" s="26" t="s">
        <v>2415</v>
      </c>
      <c r="B1280" s="26" t="s">
        <v>2416</v>
      </c>
      <c r="C1280" s="26" t="s">
        <v>50</v>
      </c>
      <c r="D1280" s="27">
        <v>610</v>
      </c>
      <c r="E1280" t="e">
        <f>VLOOKUP(B1280,Кат!G:J,3,0)</f>
        <v>#N/A</v>
      </c>
    </row>
    <row r="1281" spans="1:5" ht="22.5">
      <c r="A1281" s="26" t="s">
        <v>2417</v>
      </c>
      <c r="B1281" s="26" t="s">
        <v>2418</v>
      </c>
      <c r="C1281" s="26" t="s">
        <v>50</v>
      </c>
      <c r="D1281" s="27">
        <v>286</v>
      </c>
      <c r="E1281" t="e">
        <f>VLOOKUP(B1281,Кат!G:J,3,0)</f>
        <v>#N/A</v>
      </c>
    </row>
    <row r="1282" spans="1:5" ht="22.5">
      <c r="A1282" s="26" t="s">
        <v>2419</v>
      </c>
      <c r="B1282" s="26" t="s">
        <v>2420</v>
      </c>
      <c r="C1282" s="26" t="s">
        <v>50</v>
      </c>
      <c r="D1282" s="27">
        <v>325</v>
      </c>
      <c r="E1282" t="e">
        <f>VLOOKUP(B1282,Кат!G:J,3,0)</f>
        <v>#N/A</v>
      </c>
    </row>
    <row r="1283" spans="1:5">
      <c r="A1283" s="26" t="s">
        <v>2421</v>
      </c>
      <c r="B1283" s="26" t="s">
        <v>2422</v>
      </c>
      <c r="C1283" s="26" t="s">
        <v>50</v>
      </c>
      <c r="D1283" s="27">
        <v>286</v>
      </c>
      <c r="E1283" t="e">
        <f>VLOOKUP(B1283,Кат!G:J,3,0)</f>
        <v>#N/A</v>
      </c>
    </row>
    <row r="1284" spans="1:5">
      <c r="A1284" s="26" t="s">
        <v>2423</v>
      </c>
      <c r="B1284" s="26" t="s">
        <v>2424</v>
      </c>
      <c r="C1284" s="26" t="s">
        <v>50</v>
      </c>
      <c r="D1284" s="27">
        <v>325</v>
      </c>
      <c r="E1284" t="e">
        <f>VLOOKUP(B1284,Кат!G:J,3,0)</f>
        <v>#N/A</v>
      </c>
    </row>
    <row r="1285" spans="1:5">
      <c r="A1285" s="26" t="s">
        <v>2425</v>
      </c>
      <c r="B1285" s="26" t="s">
        <v>2426</v>
      </c>
      <c r="C1285" s="26" t="s">
        <v>50</v>
      </c>
      <c r="D1285" s="27">
        <v>486</v>
      </c>
      <c r="E1285" t="e">
        <f>VLOOKUP(B1285,Кат!G:J,3,0)</f>
        <v>#N/A</v>
      </c>
    </row>
    <row r="1286" spans="1:5">
      <c r="A1286" s="26" t="s">
        <v>2427</v>
      </c>
      <c r="B1286" s="26" t="s">
        <v>2428</v>
      </c>
      <c r="C1286" s="26" t="s">
        <v>50</v>
      </c>
      <c r="D1286" s="27">
        <v>416</v>
      </c>
      <c r="E1286" t="e">
        <f>VLOOKUP(B1286,Кат!G:J,3,0)</f>
        <v>#N/A</v>
      </c>
    </row>
    <row r="1287" spans="1:5" ht="22.5">
      <c r="A1287" s="26" t="s">
        <v>2429</v>
      </c>
      <c r="B1287" s="26" t="s">
        <v>2430</v>
      </c>
      <c r="C1287" s="26" t="s">
        <v>50</v>
      </c>
      <c r="D1287" s="27">
        <v>314</v>
      </c>
      <c r="E1287" t="e">
        <f>VLOOKUP(B1287,Кат!G:J,3,0)</f>
        <v>#N/A</v>
      </c>
    </row>
    <row r="1288" spans="1:5" ht="22.5">
      <c r="A1288" s="26" t="s">
        <v>2431</v>
      </c>
      <c r="B1288" s="26" t="s">
        <v>2432</v>
      </c>
      <c r="C1288" s="26" t="s">
        <v>50</v>
      </c>
      <c r="D1288" s="27">
        <v>314</v>
      </c>
      <c r="E1288" t="e">
        <f>VLOOKUP(B1288,Кат!G:J,3,0)</f>
        <v>#N/A</v>
      </c>
    </row>
    <row r="1289" spans="1:5">
      <c r="A1289" s="26" t="s">
        <v>2433</v>
      </c>
      <c r="B1289" s="26" t="s">
        <v>2434</v>
      </c>
      <c r="C1289" s="26" t="s">
        <v>49</v>
      </c>
      <c r="D1289" s="28">
        <v>1721</v>
      </c>
      <c r="E1289" t="e">
        <f>VLOOKUP(B1289,Кат!G:J,3,0)</f>
        <v>#N/A</v>
      </c>
    </row>
    <row r="1290" spans="1:5">
      <c r="A1290" s="26" t="s">
        <v>2435</v>
      </c>
      <c r="B1290" s="26" t="s">
        <v>2436</v>
      </c>
      <c r="C1290" s="26" t="s">
        <v>49</v>
      </c>
      <c r="D1290" s="28">
        <v>1782</v>
      </c>
      <c r="E1290" t="e">
        <f>VLOOKUP(B1290,Кат!G:J,3,0)</f>
        <v>#N/A</v>
      </c>
    </row>
    <row r="1291" spans="1:5" ht="22.5">
      <c r="A1291" s="26" t="s">
        <v>2437</v>
      </c>
      <c r="B1291" s="26" t="s">
        <v>2438</v>
      </c>
      <c r="C1291" s="26" t="s">
        <v>50</v>
      </c>
      <c r="D1291" s="27">
        <v>242</v>
      </c>
      <c r="E1291" t="e">
        <f>VLOOKUP(B1291,Кат!G:J,3,0)</f>
        <v>#N/A</v>
      </c>
    </row>
    <row r="1292" spans="1:5" ht="22.5">
      <c r="A1292" s="26" t="s">
        <v>2439</v>
      </c>
      <c r="B1292" s="26" t="s">
        <v>2440</v>
      </c>
      <c r="C1292" s="26" t="s">
        <v>50</v>
      </c>
      <c r="D1292" s="27">
        <v>266</v>
      </c>
      <c r="E1292" t="e">
        <f>VLOOKUP(B1292,Кат!G:J,3,0)</f>
        <v>#N/A</v>
      </c>
    </row>
    <row r="1293" spans="1:5" ht="22.5">
      <c r="A1293" s="26" t="s">
        <v>2441</v>
      </c>
      <c r="B1293" s="26" t="s">
        <v>2442</v>
      </c>
      <c r="C1293" s="26" t="s">
        <v>50</v>
      </c>
      <c r="D1293" s="27">
        <v>252</v>
      </c>
      <c r="E1293" t="e">
        <f>VLOOKUP(B1293,Кат!G:J,3,0)</f>
        <v>#N/A</v>
      </c>
    </row>
    <row r="1294" spans="1:5" ht="22.5">
      <c r="A1294" s="26" t="s">
        <v>2443</v>
      </c>
      <c r="B1294" s="26" t="s">
        <v>2444</v>
      </c>
      <c r="C1294" s="26" t="s">
        <v>50</v>
      </c>
      <c r="D1294" s="27">
        <v>266</v>
      </c>
      <c r="E1294" t="e">
        <f>VLOOKUP(B1294,Кат!G:J,3,0)</f>
        <v>#N/A</v>
      </c>
    </row>
    <row r="1295" spans="1:5" ht="22.5">
      <c r="A1295" s="26" t="s">
        <v>2445</v>
      </c>
      <c r="B1295" s="26" t="s">
        <v>2446</v>
      </c>
      <c r="C1295" s="26" t="s">
        <v>50</v>
      </c>
      <c r="D1295" s="27">
        <v>252</v>
      </c>
      <c r="E1295" t="e">
        <f>VLOOKUP(B1295,Кат!G:J,3,0)</f>
        <v>#N/A</v>
      </c>
    </row>
    <row r="1296" spans="1:5">
      <c r="A1296" s="26" t="s">
        <v>2447</v>
      </c>
      <c r="B1296" s="26" t="s">
        <v>2448</v>
      </c>
      <c r="C1296" s="26" t="s">
        <v>50</v>
      </c>
      <c r="D1296" s="27">
        <v>252</v>
      </c>
      <c r="E1296" t="e">
        <f>VLOOKUP(B1296,Кат!G:J,3,0)</f>
        <v>#N/A</v>
      </c>
    </row>
    <row r="1297" spans="1:5">
      <c r="A1297" s="26" t="s">
        <v>2449</v>
      </c>
      <c r="B1297" s="26" t="s">
        <v>2450</v>
      </c>
      <c r="C1297" s="26" t="s">
        <v>50</v>
      </c>
      <c r="D1297" s="27">
        <v>174</v>
      </c>
      <c r="E1297" t="e">
        <f>VLOOKUP(B1297,Кат!G:J,3,0)</f>
        <v>#N/A</v>
      </c>
    </row>
    <row r="1298" spans="1:5">
      <c r="A1298" s="26" t="s">
        <v>2451</v>
      </c>
      <c r="B1298" s="26" t="s">
        <v>2452</v>
      </c>
      <c r="C1298" s="26" t="s">
        <v>50</v>
      </c>
      <c r="D1298" s="27">
        <v>174</v>
      </c>
      <c r="E1298" t="e">
        <f>VLOOKUP(B1298,Кат!G:J,3,0)</f>
        <v>#N/A</v>
      </c>
    </row>
    <row r="1299" spans="1:5">
      <c r="A1299" s="26" t="s">
        <v>2453</v>
      </c>
      <c r="B1299" s="26" t="s">
        <v>2454</v>
      </c>
      <c r="C1299" s="26" t="s">
        <v>50</v>
      </c>
      <c r="D1299" s="27">
        <v>484</v>
      </c>
      <c r="E1299" t="e">
        <f>VLOOKUP(B1299,Кат!G:J,3,0)</f>
        <v>#N/A</v>
      </c>
    </row>
    <row r="1300" spans="1:5">
      <c r="A1300" s="26" t="s">
        <v>2455</v>
      </c>
      <c r="B1300" s="26" t="s">
        <v>2456</v>
      </c>
      <c r="C1300" s="26" t="s">
        <v>50</v>
      </c>
      <c r="D1300" s="27">
        <v>494</v>
      </c>
      <c r="E1300" t="e">
        <f>VLOOKUP(B1300,Кат!G:J,3,0)</f>
        <v>#N/A</v>
      </c>
    </row>
    <row r="1301" spans="1:5">
      <c r="A1301" s="26" t="s">
        <v>2457</v>
      </c>
      <c r="B1301" s="26" t="s">
        <v>2458</v>
      </c>
      <c r="C1301" s="26" t="s">
        <v>50</v>
      </c>
      <c r="D1301" s="27">
        <v>237</v>
      </c>
      <c r="E1301" t="e">
        <f>VLOOKUP(B1301,Кат!G:J,3,0)</f>
        <v>#N/A</v>
      </c>
    </row>
    <row r="1302" spans="1:5">
      <c r="A1302" s="26" t="s">
        <v>2459</v>
      </c>
      <c r="B1302" s="26" t="s">
        <v>2460</v>
      </c>
      <c r="C1302" s="26" t="s">
        <v>50</v>
      </c>
      <c r="D1302" s="27">
        <v>402</v>
      </c>
      <c r="E1302" t="e">
        <f>VLOOKUP(B1302,Кат!G:J,3,0)</f>
        <v>#N/A</v>
      </c>
    </row>
    <row r="1303" spans="1:5" ht="22.5">
      <c r="A1303" s="26" t="s">
        <v>2461</v>
      </c>
      <c r="B1303" s="26" t="s">
        <v>2462</v>
      </c>
      <c r="C1303" s="26" t="s">
        <v>50</v>
      </c>
      <c r="D1303" s="27">
        <v>532</v>
      </c>
      <c r="E1303" t="e">
        <f>VLOOKUP(B1303,Кат!G:J,3,0)</f>
        <v>#N/A</v>
      </c>
    </row>
    <row r="1304" spans="1:5" ht="22.5">
      <c r="A1304" s="26" t="s">
        <v>2463</v>
      </c>
      <c r="B1304" s="26" t="s">
        <v>2464</v>
      </c>
      <c r="C1304" s="26" t="s">
        <v>50</v>
      </c>
      <c r="D1304" s="27">
        <v>532</v>
      </c>
      <c r="E1304" t="e">
        <f>VLOOKUP(B1304,Кат!G:J,3,0)</f>
        <v>#N/A</v>
      </c>
    </row>
    <row r="1305" spans="1:5" ht="22.5">
      <c r="A1305" s="26" t="s">
        <v>2465</v>
      </c>
      <c r="B1305" s="26" t="s">
        <v>2466</v>
      </c>
      <c r="C1305" s="26" t="s">
        <v>50</v>
      </c>
      <c r="D1305" s="27">
        <v>755</v>
      </c>
      <c r="E1305" t="e">
        <f>VLOOKUP(B1305,Кат!G:J,3,0)</f>
        <v>#N/A</v>
      </c>
    </row>
    <row r="1306" spans="1:5" ht="22.5">
      <c r="A1306" s="26" t="s">
        <v>2467</v>
      </c>
      <c r="B1306" s="26" t="s">
        <v>2468</v>
      </c>
      <c r="C1306" s="26" t="s">
        <v>50</v>
      </c>
      <c r="D1306" s="27">
        <v>755</v>
      </c>
      <c r="E1306" t="e">
        <f>VLOOKUP(B1306,Кат!G:J,3,0)</f>
        <v>#N/A</v>
      </c>
    </row>
    <row r="1307" spans="1:5">
      <c r="A1307" s="26" t="s">
        <v>2469</v>
      </c>
      <c r="B1307" s="26" t="s">
        <v>2470</v>
      </c>
      <c r="C1307" s="26" t="s">
        <v>50</v>
      </c>
      <c r="D1307" s="27">
        <v>350</v>
      </c>
      <c r="E1307" t="e">
        <f>VLOOKUP(B1307,Кат!G:J,3,0)</f>
        <v>#N/A</v>
      </c>
    </row>
    <row r="1308" spans="1:5" ht="22.5">
      <c r="A1308" s="26" t="s">
        <v>2471</v>
      </c>
      <c r="B1308" s="26" t="s">
        <v>2472</v>
      </c>
      <c r="C1308" s="26" t="s">
        <v>50</v>
      </c>
      <c r="D1308" s="27">
        <v>425</v>
      </c>
      <c r="E1308" t="e">
        <f>VLOOKUP(B1308,Кат!G:J,3,0)</f>
        <v>#N/A</v>
      </c>
    </row>
    <row r="1309" spans="1:5">
      <c r="A1309" s="26" t="s">
        <v>2473</v>
      </c>
      <c r="B1309" s="26" t="s">
        <v>2474</v>
      </c>
      <c r="C1309" s="26" t="s">
        <v>50</v>
      </c>
      <c r="D1309" s="27">
        <v>726</v>
      </c>
      <c r="E1309" t="e">
        <f>VLOOKUP(B1309,Кат!G:J,3,0)</f>
        <v>#N/A</v>
      </c>
    </row>
    <row r="1310" spans="1:5">
      <c r="A1310" s="26" t="s">
        <v>2475</v>
      </c>
      <c r="B1310" s="26" t="s">
        <v>2476</v>
      </c>
      <c r="C1310" s="26" t="s">
        <v>50</v>
      </c>
      <c r="D1310" s="28">
        <v>1317</v>
      </c>
      <c r="E1310" t="e">
        <f>VLOOKUP(B1310,Кат!G:J,3,0)</f>
        <v>#N/A</v>
      </c>
    </row>
    <row r="1311" spans="1:5">
      <c r="A1311" s="26" t="s">
        <v>2477</v>
      </c>
      <c r="B1311" s="26" t="s">
        <v>2478</v>
      </c>
      <c r="C1311" s="26" t="s">
        <v>50</v>
      </c>
      <c r="D1311" s="27">
        <v>851</v>
      </c>
      <c r="E1311" t="e">
        <f>VLOOKUP(B1311,Кат!G:J,3,0)</f>
        <v>#N/A</v>
      </c>
    </row>
    <row r="1312" spans="1:5">
      <c r="A1312" s="26" t="s">
        <v>2479</v>
      </c>
      <c r="B1312" s="26" t="s">
        <v>2480</v>
      </c>
      <c r="C1312" s="26" t="s">
        <v>50</v>
      </c>
      <c r="D1312" s="27">
        <v>751</v>
      </c>
      <c r="E1312" t="e">
        <f>VLOOKUP(B1312,Кат!G:J,3,0)</f>
        <v>#N/A</v>
      </c>
    </row>
    <row r="1313" spans="1:5">
      <c r="A1313" s="26" t="s">
        <v>2481</v>
      </c>
      <c r="B1313" s="26" t="s">
        <v>2482</v>
      </c>
      <c r="C1313" s="26" t="s">
        <v>50</v>
      </c>
      <c r="D1313" s="27">
        <v>916</v>
      </c>
      <c r="E1313" t="e">
        <f>VLOOKUP(B1313,Кат!G:J,3,0)</f>
        <v>#N/A</v>
      </c>
    </row>
    <row r="1314" spans="1:5">
      <c r="A1314" s="26" t="s">
        <v>2483</v>
      </c>
      <c r="B1314" s="26" t="s">
        <v>2484</v>
      </c>
      <c r="C1314" s="26" t="s">
        <v>50</v>
      </c>
      <c r="D1314" s="27">
        <v>319</v>
      </c>
      <c r="E1314" t="e">
        <f>VLOOKUP(B1314,Кат!G:J,3,0)</f>
        <v>#N/A</v>
      </c>
    </row>
    <row r="1315" spans="1:5">
      <c r="A1315" s="26" t="s">
        <v>2485</v>
      </c>
      <c r="B1315" s="26" t="s">
        <v>2486</v>
      </c>
      <c r="C1315" s="26" t="s">
        <v>50</v>
      </c>
      <c r="D1315" s="27">
        <v>319</v>
      </c>
      <c r="E1315" t="e">
        <f>VLOOKUP(B1315,Кат!G:J,3,0)</f>
        <v>#N/A</v>
      </c>
    </row>
    <row r="1316" spans="1:5">
      <c r="A1316" s="26" t="s">
        <v>2487</v>
      </c>
      <c r="B1316" s="26" t="s">
        <v>2488</v>
      </c>
      <c r="C1316" s="26" t="s">
        <v>50</v>
      </c>
      <c r="D1316" s="27">
        <v>350</v>
      </c>
      <c r="E1316" t="e">
        <f>VLOOKUP(B1316,Кат!G:J,3,0)</f>
        <v>#N/A</v>
      </c>
    </row>
    <row r="1317" spans="1:5">
      <c r="A1317" s="26" t="s">
        <v>2489</v>
      </c>
      <c r="B1317" s="26" t="s">
        <v>2490</v>
      </c>
      <c r="C1317" s="26" t="s">
        <v>50</v>
      </c>
      <c r="D1317" s="27">
        <v>350</v>
      </c>
      <c r="E1317" t="e">
        <f>VLOOKUP(B1317,Кат!G:J,3,0)</f>
        <v>#N/A</v>
      </c>
    </row>
    <row r="1318" spans="1:5">
      <c r="A1318" s="26" t="s">
        <v>2491</v>
      </c>
      <c r="B1318" s="26" t="s">
        <v>2492</v>
      </c>
      <c r="C1318" s="26" t="s">
        <v>50</v>
      </c>
      <c r="D1318" s="27">
        <v>257</v>
      </c>
      <c r="E1318" t="e">
        <f>VLOOKUP(B1318,Кат!G:J,3,0)</f>
        <v>#N/A</v>
      </c>
    </row>
    <row r="1319" spans="1:5">
      <c r="A1319" s="26" t="s">
        <v>2493</v>
      </c>
      <c r="B1319" s="26" t="s">
        <v>2494</v>
      </c>
      <c r="C1319" s="26" t="s">
        <v>50</v>
      </c>
      <c r="D1319" s="27">
        <v>257</v>
      </c>
      <c r="E1319" t="e">
        <f>VLOOKUP(B1319,Кат!G:J,3,0)</f>
        <v>#N/A</v>
      </c>
    </row>
    <row r="1320" spans="1:5">
      <c r="A1320" s="26" t="s">
        <v>2495</v>
      </c>
      <c r="B1320" s="26" t="s">
        <v>2496</v>
      </c>
      <c r="C1320" s="26" t="s">
        <v>50</v>
      </c>
      <c r="D1320" s="27">
        <v>247</v>
      </c>
      <c r="E1320" t="e">
        <f>VLOOKUP(B1320,Кат!G:J,3,0)</f>
        <v>#N/A</v>
      </c>
    </row>
    <row r="1321" spans="1:5">
      <c r="A1321" s="26" t="s">
        <v>2497</v>
      </c>
      <c r="B1321" s="26" t="s">
        <v>2498</v>
      </c>
      <c r="C1321" s="26" t="s">
        <v>50</v>
      </c>
      <c r="D1321" s="27">
        <v>266</v>
      </c>
      <c r="E1321" t="e">
        <f>VLOOKUP(B1321,Кат!G:J,3,0)</f>
        <v>#N/A</v>
      </c>
    </row>
    <row r="1322" spans="1:5" ht="22.5">
      <c r="A1322" s="26" t="s">
        <v>2499</v>
      </c>
      <c r="B1322" s="26" t="s">
        <v>2500</v>
      </c>
      <c r="C1322" s="26" t="s">
        <v>50</v>
      </c>
      <c r="D1322" s="27">
        <v>266</v>
      </c>
      <c r="E1322" t="e">
        <f>VLOOKUP(B1322,Кат!G:J,3,0)</f>
        <v>#N/A</v>
      </c>
    </row>
    <row r="1323" spans="1:5" ht="22.5">
      <c r="A1323" s="26" t="s">
        <v>2501</v>
      </c>
      <c r="B1323" s="26" t="s">
        <v>2502</v>
      </c>
      <c r="C1323" s="26" t="s">
        <v>50</v>
      </c>
      <c r="D1323" s="27">
        <v>320</v>
      </c>
      <c r="E1323" t="e">
        <f>VLOOKUP(B1323,Кат!G:J,3,0)</f>
        <v>#N/A</v>
      </c>
    </row>
    <row r="1324" spans="1:5">
      <c r="A1324" s="26" t="s">
        <v>2503</v>
      </c>
      <c r="B1324" s="26" t="s">
        <v>2504</v>
      </c>
      <c r="C1324" s="26" t="s">
        <v>50</v>
      </c>
      <c r="D1324" s="27">
        <v>945</v>
      </c>
      <c r="E1324" t="e">
        <f>VLOOKUP(B1324,Кат!G:J,3,0)</f>
        <v>#N/A</v>
      </c>
    </row>
    <row r="1325" spans="1:5">
      <c r="A1325" s="26" t="s">
        <v>2505</v>
      </c>
      <c r="B1325" s="26" t="s">
        <v>2506</v>
      </c>
      <c r="C1325" s="26" t="s">
        <v>50</v>
      </c>
      <c r="D1325" s="28">
        <v>1010</v>
      </c>
      <c r="E1325" t="e">
        <f>VLOOKUP(B1325,Кат!G:J,3,0)</f>
        <v>#N/A</v>
      </c>
    </row>
    <row r="1326" spans="1:5">
      <c r="A1326" s="26" t="s">
        <v>2507</v>
      </c>
      <c r="B1326" s="26" t="s">
        <v>2508</v>
      </c>
      <c r="C1326" s="26" t="s">
        <v>50</v>
      </c>
      <c r="D1326" s="27">
        <v>977</v>
      </c>
      <c r="E1326" t="e">
        <f>VLOOKUP(B1326,Кат!G:J,3,0)</f>
        <v>#N/A</v>
      </c>
    </row>
    <row r="1327" spans="1:5">
      <c r="A1327" s="26" t="s">
        <v>2509</v>
      </c>
      <c r="B1327" s="26" t="s">
        <v>2510</v>
      </c>
      <c r="C1327" s="26" t="s">
        <v>50</v>
      </c>
      <c r="D1327" s="28">
        <v>1306</v>
      </c>
      <c r="E1327" t="e">
        <f>VLOOKUP(B1327,Кат!G:J,3,0)</f>
        <v>#N/A</v>
      </c>
    </row>
    <row r="1328" spans="1:5">
      <c r="A1328" s="26" t="s">
        <v>2511</v>
      </c>
      <c r="B1328" s="26" t="s">
        <v>2512</v>
      </c>
      <c r="C1328" s="26" t="s">
        <v>50</v>
      </c>
      <c r="D1328" s="28">
        <v>1306</v>
      </c>
      <c r="E1328" t="e">
        <f>VLOOKUP(B1328,Кат!G:J,3,0)</f>
        <v>#N/A</v>
      </c>
    </row>
    <row r="1329" spans="1:5">
      <c r="A1329" s="26" t="s">
        <v>2513</v>
      </c>
      <c r="B1329" s="26" t="s">
        <v>2514</v>
      </c>
      <c r="C1329" s="26" t="s">
        <v>50</v>
      </c>
      <c r="D1329" s="28">
        <v>1431</v>
      </c>
      <c r="E1329" t="e">
        <f>VLOOKUP(B1329,Кат!G:J,3,0)</f>
        <v>#N/A</v>
      </c>
    </row>
    <row r="1330" spans="1:5" ht="22.5">
      <c r="A1330" s="26" t="s">
        <v>2515</v>
      </c>
      <c r="B1330" s="26" t="s">
        <v>2516</v>
      </c>
      <c r="C1330" s="26" t="s">
        <v>50</v>
      </c>
      <c r="D1330" s="28">
        <v>1431</v>
      </c>
      <c r="E1330" t="e">
        <f>VLOOKUP(B1330,Кат!G:J,3,0)</f>
        <v>#N/A</v>
      </c>
    </row>
    <row r="1331" spans="1:5">
      <c r="A1331" s="26" t="s">
        <v>2517</v>
      </c>
      <c r="B1331" s="26" t="s">
        <v>2518</v>
      </c>
      <c r="C1331" s="26" t="s">
        <v>50</v>
      </c>
      <c r="D1331" s="28">
        <v>1306</v>
      </c>
      <c r="E1331" t="e">
        <f>VLOOKUP(B1331,Кат!G:J,3,0)</f>
        <v>#N/A</v>
      </c>
    </row>
    <row r="1332" spans="1:5">
      <c r="A1332" s="26" t="s">
        <v>2519</v>
      </c>
      <c r="B1332" s="26" t="s">
        <v>2520</v>
      </c>
      <c r="C1332" s="26" t="s">
        <v>50</v>
      </c>
      <c r="D1332" s="28">
        <v>1306</v>
      </c>
      <c r="E1332" t="e">
        <f>VLOOKUP(B1332,Кат!G:J,3,0)</f>
        <v>#N/A</v>
      </c>
    </row>
    <row r="1333" spans="1:5">
      <c r="A1333" s="26" t="s">
        <v>2521</v>
      </c>
      <c r="B1333" s="26" t="s">
        <v>2522</v>
      </c>
      <c r="C1333" s="26" t="s">
        <v>50</v>
      </c>
      <c r="D1333" s="28">
        <v>1431</v>
      </c>
      <c r="E1333" t="e">
        <f>VLOOKUP(B1333,Кат!G:J,3,0)</f>
        <v>#N/A</v>
      </c>
    </row>
    <row r="1334" spans="1:5" ht="22.5">
      <c r="A1334" s="26" t="s">
        <v>2523</v>
      </c>
      <c r="B1334" s="26" t="s">
        <v>2524</v>
      </c>
      <c r="C1334" s="26" t="s">
        <v>50</v>
      </c>
      <c r="D1334" s="28">
        <v>1431</v>
      </c>
      <c r="E1334" t="e">
        <f>VLOOKUP(B1334,Кат!G:J,3,0)</f>
        <v>#N/A</v>
      </c>
    </row>
    <row r="1335" spans="1:5">
      <c r="A1335" s="26" t="s">
        <v>2525</v>
      </c>
      <c r="B1335" s="26" t="s">
        <v>2526</v>
      </c>
      <c r="C1335" s="26" t="s">
        <v>50</v>
      </c>
      <c r="D1335" s="28">
        <v>1557</v>
      </c>
      <c r="E1335" t="e">
        <f>VLOOKUP(B1335,Кат!G:J,3,0)</f>
        <v>#N/A</v>
      </c>
    </row>
    <row r="1336" spans="1:5" ht="22.5">
      <c r="A1336" s="26" t="s">
        <v>2527</v>
      </c>
      <c r="B1336" s="26" t="s">
        <v>2528</v>
      </c>
      <c r="C1336" s="26" t="s">
        <v>50</v>
      </c>
      <c r="D1336" s="28">
        <v>1557</v>
      </c>
      <c r="E1336" t="e">
        <f>VLOOKUP(B1336,Кат!G:J,3,0)</f>
        <v>#N/A</v>
      </c>
    </row>
    <row r="1337" spans="1:5">
      <c r="A1337" s="26" t="s">
        <v>2529</v>
      </c>
      <c r="B1337" s="26" t="s">
        <v>2530</v>
      </c>
      <c r="C1337" s="26" t="s">
        <v>50</v>
      </c>
      <c r="D1337" s="27">
        <v>705</v>
      </c>
      <c r="E1337" t="e">
        <f>VLOOKUP(B1337,Кат!G:J,3,0)</f>
        <v>#N/A</v>
      </c>
    </row>
    <row r="1338" spans="1:5">
      <c r="A1338" s="26" t="s">
        <v>2531</v>
      </c>
      <c r="B1338" s="26" t="s">
        <v>2532</v>
      </c>
      <c r="C1338" s="26" t="s">
        <v>50</v>
      </c>
      <c r="D1338" s="27">
        <v>725</v>
      </c>
      <c r="E1338" t="e">
        <f>VLOOKUP(B1338,Кат!G:J,3,0)</f>
        <v>#N/A</v>
      </c>
    </row>
    <row r="1339" spans="1:5">
      <c r="A1339" s="26" t="s">
        <v>2533</v>
      </c>
      <c r="B1339" s="26" t="s">
        <v>2534</v>
      </c>
      <c r="C1339" s="26" t="s">
        <v>50</v>
      </c>
      <c r="D1339" s="27">
        <v>967</v>
      </c>
      <c r="E1339" t="e">
        <f>VLOOKUP(B1339,Кат!G:J,3,0)</f>
        <v>#N/A</v>
      </c>
    </row>
    <row r="1340" spans="1:5">
      <c r="A1340" s="26" t="s">
        <v>2535</v>
      </c>
      <c r="B1340" s="26" t="s">
        <v>2536</v>
      </c>
      <c r="C1340" s="26" t="s">
        <v>50</v>
      </c>
      <c r="D1340" s="27">
        <v>967</v>
      </c>
      <c r="E1340" t="e">
        <f>VLOOKUP(B1340,Кат!G:J,3,0)</f>
        <v>#N/A</v>
      </c>
    </row>
    <row r="1341" spans="1:5">
      <c r="A1341" s="26" t="s">
        <v>2537</v>
      </c>
      <c r="B1341" s="26" t="s">
        <v>2538</v>
      </c>
      <c r="C1341" s="26" t="s">
        <v>50</v>
      </c>
      <c r="D1341" s="28">
        <v>1036</v>
      </c>
      <c r="E1341" t="e">
        <f>VLOOKUP(B1341,Кат!G:J,3,0)</f>
        <v>#N/A</v>
      </c>
    </row>
    <row r="1342" spans="1:5">
      <c r="A1342" s="26" t="s">
        <v>2539</v>
      </c>
      <c r="B1342" s="26" t="s">
        <v>2540</v>
      </c>
      <c r="C1342" s="26" t="s">
        <v>50</v>
      </c>
      <c r="D1342" s="27">
        <v>830</v>
      </c>
      <c r="E1342" t="e">
        <f>VLOOKUP(B1342,Кат!G:J,3,0)</f>
        <v>#N/A</v>
      </c>
    </row>
    <row r="1343" spans="1:5">
      <c r="A1343" s="26" t="s">
        <v>2541</v>
      </c>
      <c r="B1343" s="26" t="s">
        <v>2542</v>
      </c>
      <c r="C1343" s="26" t="s">
        <v>50</v>
      </c>
      <c r="D1343" s="28">
        <v>1257</v>
      </c>
      <c r="E1343" t="e">
        <f>VLOOKUP(B1343,Кат!G:J,3,0)</f>
        <v>#N/A</v>
      </c>
    </row>
    <row r="1344" spans="1:5">
      <c r="A1344" s="26" t="s">
        <v>2543</v>
      </c>
      <c r="B1344" s="26" t="s">
        <v>2544</v>
      </c>
      <c r="C1344" s="26" t="s">
        <v>50</v>
      </c>
      <c r="D1344" s="28">
        <v>1257</v>
      </c>
      <c r="E1344" t="e">
        <f>VLOOKUP(B1344,Кат!G:J,3,0)</f>
        <v>#N/A</v>
      </c>
    </row>
    <row r="1345" spans="1:5" ht="22.5">
      <c r="A1345" s="26" t="s">
        <v>2545</v>
      </c>
      <c r="B1345" s="26" t="s">
        <v>2546</v>
      </c>
      <c r="C1345" s="26" t="s">
        <v>50</v>
      </c>
      <c r="D1345" s="27">
        <v>188</v>
      </c>
      <c r="E1345" t="e">
        <f>VLOOKUP(B1345,Кат!G:J,3,0)</f>
        <v>#N/A</v>
      </c>
    </row>
    <row r="1346" spans="1:5" ht="22.5">
      <c r="A1346" s="26" t="s">
        <v>2547</v>
      </c>
      <c r="B1346" s="26" t="s">
        <v>2548</v>
      </c>
      <c r="C1346" s="26" t="s">
        <v>50</v>
      </c>
      <c r="D1346" s="27">
        <v>179</v>
      </c>
      <c r="E1346" t="e">
        <f>VLOOKUP(B1346,Кат!G:J,3,0)</f>
        <v>#N/A</v>
      </c>
    </row>
    <row r="1347" spans="1:5">
      <c r="A1347" s="23" t="s">
        <v>2549</v>
      </c>
      <c r="B1347" s="24"/>
      <c r="C1347" s="24"/>
      <c r="D1347" s="25"/>
      <c r="E1347" t="e">
        <f>VLOOKUP(B1347,Кат!G:J,3,0)</f>
        <v>#N/A</v>
      </c>
    </row>
    <row r="1348" spans="1:5">
      <c r="A1348" s="26" t="s">
        <v>2550</v>
      </c>
      <c r="B1348" s="26" t="s">
        <v>2551</v>
      </c>
      <c r="C1348" s="26" t="s">
        <v>50</v>
      </c>
      <c r="D1348" s="27">
        <v>995</v>
      </c>
      <c r="E1348" t="e">
        <f>VLOOKUP(B1348,Кат!G:J,3,0)</f>
        <v>#N/A</v>
      </c>
    </row>
    <row r="1349" spans="1:5">
      <c r="A1349" s="26" t="s">
        <v>2552</v>
      </c>
      <c r="B1349" s="26" t="s">
        <v>2553</v>
      </c>
      <c r="C1349" s="26" t="s">
        <v>50</v>
      </c>
      <c r="D1349" s="28">
        <v>1205</v>
      </c>
      <c r="E1349" t="e">
        <f>VLOOKUP(B1349,Кат!G:J,3,0)</f>
        <v>#N/A</v>
      </c>
    </row>
    <row r="1350" spans="1:5">
      <c r="A1350" s="26" t="s">
        <v>2554</v>
      </c>
      <c r="B1350" s="26" t="s">
        <v>2555</v>
      </c>
      <c r="C1350" s="26" t="s">
        <v>50</v>
      </c>
      <c r="D1350" s="28">
        <v>1125</v>
      </c>
      <c r="E1350" t="e">
        <f>VLOOKUP(B1350,Кат!G:J,3,0)</f>
        <v>#N/A</v>
      </c>
    </row>
    <row r="1351" spans="1:5">
      <c r="A1351" s="26" t="s">
        <v>2556</v>
      </c>
      <c r="B1351" s="26" t="s">
        <v>2557</v>
      </c>
      <c r="C1351" s="26" t="s">
        <v>50</v>
      </c>
      <c r="D1351" s="28">
        <v>1194</v>
      </c>
      <c r="E1351" t="e">
        <f>VLOOKUP(B1351,Кат!G:J,3,0)</f>
        <v>#N/A</v>
      </c>
    </row>
    <row r="1352" spans="1:5">
      <c r="A1352" s="26" t="s">
        <v>2558</v>
      </c>
      <c r="B1352" s="26" t="s">
        <v>2559</v>
      </c>
      <c r="C1352" s="26" t="s">
        <v>50</v>
      </c>
      <c r="D1352" s="27">
        <v>250</v>
      </c>
      <c r="E1352" t="e">
        <f>VLOOKUP(B1352,Кат!G:J,3,0)</f>
        <v>#N/A</v>
      </c>
    </row>
    <row r="1353" spans="1:5">
      <c r="A1353" s="26" t="s">
        <v>2560</v>
      </c>
      <c r="B1353" s="26" t="s">
        <v>2561</v>
      </c>
      <c r="C1353" s="26" t="s">
        <v>50</v>
      </c>
      <c r="D1353" s="27">
        <v>250</v>
      </c>
      <c r="E1353" t="e">
        <f>VLOOKUP(B1353,Кат!G:J,3,0)</f>
        <v>#N/A</v>
      </c>
    </row>
    <row r="1354" spans="1:5">
      <c r="A1354" s="26" t="s">
        <v>2562</v>
      </c>
      <c r="B1354" s="26" t="s">
        <v>2563</v>
      </c>
      <c r="C1354" s="26" t="s">
        <v>50</v>
      </c>
      <c r="D1354" s="27">
        <v>250</v>
      </c>
      <c r="E1354" t="e">
        <f>VLOOKUP(B1354,Кат!G:J,3,0)</f>
        <v>#N/A</v>
      </c>
    </row>
    <row r="1355" spans="1:5">
      <c r="A1355" s="23" t="s">
        <v>2564</v>
      </c>
      <c r="B1355" s="24"/>
      <c r="C1355" s="24"/>
      <c r="D1355" s="25"/>
      <c r="E1355" t="e">
        <f>VLOOKUP(B1355,Кат!G:J,3,0)</f>
        <v>#N/A</v>
      </c>
    </row>
    <row r="1356" spans="1:5" ht="22.5">
      <c r="A1356" s="26" t="s">
        <v>2565</v>
      </c>
      <c r="B1356" s="32">
        <v>530053610</v>
      </c>
      <c r="C1356" s="26" t="s">
        <v>49</v>
      </c>
      <c r="D1356" s="28">
        <v>6975</v>
      </c>
      <c r="E1356" t="e">
        <f>VLOOKUP(B1356,Кат!G:J,3,0)</f>
        <v>#N/A</v>
      </c>
    </row>
    <row r="1357" spans="1:5">
      <c r="A1357" s="26" t="s">
        <v>2566</v>
      </c>
      <c r="B1357" s="26" t="s">
        <v>2567</v>
      </c>
      <c r="C1357" s="26" t="s">
        <v>50</v>
      </c>
      <c r="D1357" s="27">
        <v>840</v>
      </c>
      <c r="E1357" t="e">
        <f>VLOOKUP(B1357,Кат!G:J,3,0)</f>
        <v>#N/A</v>
      </c>
    </row>
    <row r="1358" spans="1:5">
      <c r="A1358" s="23" t="s">
        <v>2568</v>
      </c>
      <c r="B1358" s="24"/>
      <c r="C1358" s="24"/>
      <c r="D1358" s="25"/>
      <c r="E1358" t="e">
        <f>VLOOKUP(B1358,Кат!G:J,3,0)</f>
        <v>#N/A</v>
      </c>
    </row>
    <row r="1359" spans="1:5">
      <c r="A1359" s="26" t="s">
        <v>2569</v>
      </c>
      <c r="B1359" s="26" t="s">
        <v>2570</v>
      </c>
      <c r="C1359" s="26" t="s">
        <v>50</v>
      </c>
      <c r="D1359" s="27">
        <v>290</v>
      </c>
      <c r="E1359" t="e">
        <f>VLOOKUP(B1359,Кат!G:J,3,0)</f>
        <v>#N/A</v>
      </c>
    </row>
    <row r="1360" spans="1:5">
      <c r="A1360" s="26" t="s">
        <v>2571</v>
      </c>
      <c r="B1360" s="26" t="s">
        <v>2572</v>
      </c>
      <c r="C1360" s="26" t="s">
        <v>50</v>
      </c>
      <c r="D1360" s="27">
        <v>295</v>
      </c>
      <c r="E1360" t="e">
        <f>VLOOKUP(B1360,Кат!G:J,3,0)</f>
        <v>#N/A</v>
      </c>
    </row>
    <row r="1361" spans="1:5">
      <c r="A1361" s="26" t="s">
        <v>2573</v>
      </c>
      <c r="B1361" s="26" t="s">
        <v>2574</v>
      </c>
      <c r="C1361" s="26" t="s">
        <v>50</v>
      </c>
      <c r="D1361" s="27">
        <v>360</v>
      </c>
      <c r="E1361" t="e">
        <f>VLOOKUP(B1361,Кат!G:J,3,0)</f>
        <v>#N/A</v>
      </c>
    </row>
    <row r="1362" spans="1:5">
      <c r="A1362" s="23" t="s">
        <v>2575</v>
      </c>
      <c r="B1362" s="24"/>
      <c r="C1362" s="24"/>
      <c r="D1362" s="25"/>
      <c r="E1362" t="e">
        <f>VLOOKUP(B1362,Кат!G:J,3,0)</f>
        <v>#N/A</v>
      </c>
    </row>
    <row r="1363" spans="1:5">
      <c r="A1363" s="29" t="s">
        <v>2576</v>
      </c>
      <c r="B1363" s="30"/>
      <c r="C1363" s="30"/>
      <c r="D1363" s="31"/>
      <c r="E1363" t="e">
        <f>VLOOKUP(B1363,Кат!G:J,3,0)</f>
        <v>#N/A</v>
      </c>
    </row>
    <row r="1364" spans="1:5" ht="22.5">
      <c r="A1364" s="26" t="s">
        <v>2577</v>
      </c>
      <c r="B1364" s="26" t="s">
        <v>2578</v>
      </c>
      <c r="C1364" s="26" t="s">
        <v>49</v>
      </c>
      <c r="D1364" s="28">
        <v>7072</v>
      </c>
      <c r="E1364" t="e">
        <f>VLOOKUP(B1364,Кат!G:J,3,0)</f>
        <v>#N/A</v>
      </c>
    </row>
    <row r="1365" spans="1:5" ht="22.5">
      <c r="A1365" s="26" t="s">
        <v>2579</v>
      </c>
      <c r="B1365" s="26" t="s">
        <v>2580</v>
      </c>
      <c r="C1365" s="26" t="s">
        <v>49</v>
      </c>
      <c r="D1365" s="28">
        <v>3978</v>
      </c>
      <c r="E1365" t="e">
        <f>VLOOKUP(B1365,Кат!G:J,3,0)</f>
        <v>#N/A</v>
      </c>
    </row>
    <row r="1366" spans="1:5" ht="22.5">
      <c r="A1366" s="26" t="s">
        <v>2581</v>
      </c>
      <c r="B1366" s="26" t="s">
        <v>2582</v>
      </c>
      <c r="C1366" s="26" t="s">
        <v>49</v>
      </c>
      <c r="D1366" s="28">
        <v>5083</v>
      </c>
      <c r="E1366" t="e">
        <f>VLOOKUP(B1366,Кат!G:J,3,0)</f>
        <v>#N/A</v>
      </c>
    </row>
    <row r="1367" spans="1:5" ht="22.5">
      <c r="A1367" s="26" t="s">
        <v>2583</v>
      </c>
      <c r="B1367" s="26" t="s">
        <v>2584</v>
      </c>
      <c r="C1367" s="26" t="s">
        <v>49</v>
      </c>
      <c r="D1367" s="28">
        <v>5746</v>
      </c>
      <c r="E1367" t="e">
        <f>VLOOKUP(B1367,Кат!G:J,3,0)</f>
        <v>#N/A</v>
      </c>
    </row>
    <row r="1368" spans="1:5" ht="22.5">
      <c r="A1368" s="26" t="s">
        <v>2585</v>
      </c>
      <c r="B1368" s="26" t="s">
        <v>2586</v>
      </c>
      <c r="C1368" s="26" t="s">
        <v>49</v>
      </c>
      <c r="D1368" s="28">
        <v>4420</v>
      </c>
      <c r="E1368" t="e">
        <f>VLOOKUP(B1368,Кат!G:J,3,0)</f>
        <v>#N/A</v>
      </c>
    </row>
    <row r="1369" spans="1:5">
      <c r="A1369" s="26" t="s">
        <v>2587</v>
      </c>
      <c r="B1369" s="26" t="s">
        <v>2588</v>
      </c>
      <c r="C1369" s="26" t="s">
        <v>49</v>
      </c>
      <c r="D1369" s="28">
        <v>3183</v>
      </c>
      <c r="E1369" t="e">
        <f>VLOOKUP(B1369,Кат!G:J,3,0)</f>
        <v>#N/A</v>
      </c>
    </row>
    <row r="1370" spans="1:5" ht="22.5">
      <c r="A1370" s="26" t="s">
        <v>2589</v>
      </c>
      <c r="B1370" s="26" t="s">
        <v>2590</v>
      </c>
      <c r="C1370" s="26" t="s">
        <v>49</v>
      </c>
      <c r="D1370" s="28">
        <v>5481</v>
      </c>
      <c r="E1370" t="e">
        <f>VLOOKUP(B1370,Кат!G:J,3,0)</f>
        <v>#N/A</v>
      </c>
    </row>
    <row r="1371" spans="1:5" ht="22.5">
      <c r="A1371" s="26" t="s">
        <v>2591</v>
      </c>
      <c r="B1371" s="26" t="s">
        <v>2592</v>
      </c>
      <c r="C1371" s="26" t="s">
        <v>49</v>
      </c>
      <c r="D1371" s="28">
        <v>4596</v>
      </c>
      <c r="E1371" t="e">
        <f>VLOOKUP(B1371,Кат!G:J,3,0)</f>
        <v>#N/A</v>
      </c>
    </row>
    <row r="1372" spans="1:5" ht="22.5">
      <c r="A1372" s="26" t="s">
        <v>2593</v>
      </c>
      <c r="B1372" s="26" t="s">
        <v>2594</v>
      </c>
      <c r="C1372" s="26" t="s">
        <v>49</v>
      </c>
      <c r="D1372" s="28">
        <v>3448</v>
      </c>
      <c r="E1372" t="e">
        <f>VLOOKUP(B1372,Кат!G:J,3,0)</f>
        <v>#N/A</v>
      </c>
    </row>
    <row r="1373" spans="1:5" ht="22.5">
      <c r="A1373" s="26" t="s">
        <v>2595</v>
      </c>
      <c r="B1373" s="26" t="s">
        <v>2596</v>
      </c>
      <c r="C1373" s="26" t="s">
        <v>49</v>
      </c>
      <c r="D1373" s="28">
        <v>4420</v>
      </c>
      <c r="E1373" t="e">
        <f>VLOOKUP(B1373,Кат!G:J,3,0)</f>
        <v>#N/A</v>
      </c>
    </row>
    <row r="1374" spans="1:5">
      <c r="A1374" s="26" t="s">
        <v>2597</v>
      </c>
      <c r="B1374" s="26" t="s">
        <v>2598</v>
      </c>
      <c r="C1374" s="26" t="s">
        <v>49</v>
      </c>
      <c r="D1374" s="28">
        <v>4420</v>
      </c>
      <c r="E1374" t="e">
        <f>VLOOKUP(B1374,Кат!G:J,3,0)</f>
        <v>#N/A</v>
      </c>
    </row>
    <row r="1375" spans="1:5" ht="22.5">
      <c r="A1375" s="26" t="s">
        <v>2599</v>
      </c>
      <c r="B1375" s="26" t="s">
        <v>2600</v>
      </c>
      <c r="C1375" s="26" t="s">
        <v>49</v>
      </c>
      <c r="D1375" s="28">
        <v>4420</v>
      </c>
      <c r="E1375" t="e">
        <f>VLOOKUP(B1375,Кат!G:J,3,0)</f>
        <v>#N/A</v>
      </c>
    </row>
    <row r="1376" spans="1:5" ht="22.5">
      <c r="A1376" s="26" t="s">
        <v>2601</v>
      </c>
      <c r="B1376" s="26" t="s">
        <v>2602</v>
      </c>
      <c r="C1376" s="26" t="s">
        <v>49</v>
      </c>
      <c r="D1376" s="28">
        <v>3360</v>
      </c>
      <c r="E1376" t="e">
        <f>VLOOKUP(B1376,Кат!G:J,3,0)</f>
        <v>#N/A</v>
      </c>
    </row>
    <row r="1377" spans="1:5" ht="22.5">
      <c r="A1377" s="26" t="s">
        <v>2603</v>
      </c>
      <c r="B1377" s="26" t="s">
        <v>2604</v>
      </c>
      <c r="C1377" s="26" t="s">
        <v>49</v>
      </c>
      <c r="D1377" s="28">
        <v>3978</v>
      </c>
      <c r="E1377" t="e">
        <f>VLOOKUP(B1377,Кат!G:J,3,0)</f>
        <v>#N/A</v>
      </c>
    </row>
    <row r="1378" spans="1:5" ht="22.5">
      <c r="A1378" s="26" t="s">
        <v>2605</v>
      </c>
      <c r="B1378" s="26" t="s">
        <v>2606</v>
      </c>
      <c r="C1378" s="26" t="s">
        <v>49</v>
      </c>
      <c r="D1378" s="28">
        <v>5658</v>
      </c>
      <c r="E1378" t="e">
        <f>VLOOKUP(B1378,Кат!G:J,3,0)</f>
        <v>#N/A</v>
      </c>
    </row>
    <row r="1379" spans="1:5" ht="22.5">
      <c r="A1379" s="26" t="s">
        <v>2607</v>
      </c>
      <c r="B1379" s="26" t="s">
        <v>2608</v>
      </c>
      <c r="C1379" s="26" t="s">
        <v>49</v>
      </c>
      <c r="D1379" s="28">
        <v>3978</v>
      </c>
      <c r="E1379" t="e">
        <f>VLOOKUP(B1379,Кат!G:J,3,0)</f>
        <v>#N/A</v>
      </c>
    </row>
    <row r="1380" spans="1:5" ht="22.5">
      <c r="A1380" s="26" t="s">
        <v>2609</v>
      </c>
      <c r="B1380" s="26" t="s">
        <v>2610</v>
      </c>
      <c r="C1380" s="26" t="s">
        <v>49</v>
      </c>
      <c r="D1380" s="28">
        <v>3978</v>
      </c>
      <c r="E1380" t="e">
        <f>VLOOKUP(B1380,Кат!G:J,3,0)</f>
        <v>#N/A</v>
      </c>
    </row>
    <row r="1381" spans="1:5">
      <c r="A1381" s="26" t="s">
        <v>2611</v>
      </c>
      <c r="B1381" s="26" t="s">
        <v>2612</v>
      </c>
      <c r="C1381" s="26" t="s">
        <v>49</v>
      </c>
      <c r="D1381" s="28">
        <v>4420</v>
      </c>
      <c r="E1381" t="e">
        <f>VLOOKUP(B1381,Кат!G:J,3,0)</f>
        <v>#N/A</v>
      </c>
    </row>
    <row r="1382" spans="1:5" ht="22.5">
      <c r="A1382" s="26" t="s">
        <v>2613</v>
      </c>
      <c r="B1382" s="26" t="s">
        <v>2614</v>
      </c>
      <c r="C1382" s="26" t="s">
        <v>49</v>
      </c>
      <c r="D1382" s="28">
        <v>5172</v>
      </c>
      <c r="E1382" t="e">
        <f>VLOOKUP(B1382,Кат!G:J,3,0)</f>
        <v>#N/A</v>
      </c>
    </row>
    <row r="1383" spans="1:5" ht="22.5">
      <c r="A1383" s="26" t="s">
        <v>2615</v>
      </c>
      <c r="B1383" s="26" t="s">
        <v>2616</v>
      </c>
      <c r="C1383" s="26" t="s">
        <v>49</v>
      </c>
      <c r="D1383" s="28">
        <v>5304</v>
      </c>
      <c r="E1383" t="e">
        <f>VLOOKUP(B1383,Кат!G:J,3,0)</f>
        <v>#N/A</v>
      </c>
    </row>
    <row r="1384" spans="1:5" ht="22.5">
      <c r="A1384" s="26" t="s">
        <v>2617</v>
      </c>
      <c r="B1384" s="26" t="s">
        <v>2618</v>
      </c>
      <c r="C1384" s="26" t="s">
        <v>49</v>
      </c>
      <c r="D1384" s="28">
        <v>4509</v>
      </c>
      <c r="E1384" t="e">
        <f>VLOOKUP(B1384,Кат!G:J,3,0)</f>
        <v>#N/A</v>
      </c>
    </row>
    <row r="1385" spans="1:5" ht="22.5">
      <c r="A1385" s="26" t="s">
        <v>2619</v>
      </c>
      <c r="B1385" s="26" t="s">
        <v>2620</v>
      </c>
      <c r="C1385" s="26" t="s">
        <v>49</v>
      </c>
      <c r="D1385" s="28">
        <v>3196</v>
      </c>
      <c r="E1385" t="e">
        <f>VLOOKUP(B1385,Кат!G:J,3,0)</f>
        <v>#N/A</v>
      </c>
    </row>
    <row r="1386" spans="1:5" ht="22.5">
      <c r="A1386" s="26" t="s">
        <v>2621</v>
      </c>
      <c r="B1386" s="26" t="s">
        <v>2622</v>
      </c>
      <c r="C1386" s="26" t="s">
        <v>49</v>
      </c>
      <c r="D1386" s="28">
        <v>3677</v>
      </c>
      <c r="E1386" t="e">
        <f>VLOOKUP(B1386,Кат!G:J,3,0)</f>
        <v>#N/A</v>
      </c>
    </row>
    <row r="1387" spans="1:5" ht="22.5">
      <c r="A1387" s="26" t="s">
        <v>2623</v>
      </c>
      <c r="B1387" s="26" t="s">
        <v>2624</v>
      </c>
      <c r="C1387" s="26" t="s">
        <v>49</v>
      </c>
      <c r="D1387" s="28">
        <v>4072</v>
      </c>
      <c r="E1387" t="e">
        <f>VLOOKUP(B1387,Кат!G:J,3,0)</f>
        <v>#N/A</v>
      </c>
    </row>
    <row r="1388" spans="1:5">
      <c r="A1388" s="26" t="s">
        <v>2625</v>
      </c>
      <c r="B1388" s="26" t="s">
        <v>2626</v>
      </c>
      <c r="C1388" s="26" t="s">
        <v>49</v>
      </c>
      <c r="D1388" s="28">
        <v>3940</v>
      </c>
      <c r="E1388" t="e">
        <f>VLOOKUP(B1388,Кат!G:J,3,0)</f>
        <v>#N/A</v>
      </c>
    </row>
    <row r="1389" spans="1:5" ht="22.5">
      <c r="A1389" s="26" t="s">
        <v>2627</v>
      </c>
      <c r="B1389" s="26" t="s">
        <v>2628</v>
      </c>
      <c r="C1389" s="26" t="s">
        <v>49</v>
      </c>
      <c r="D1389" s="28">
        <v>4862</v>
      </c>
      <c r="E1389" t="e">
        <f>VLOOKUP(B1389,Кат!G:J,3,0)</f>
        <v>#N/A</v>
      </c>
    </row>
    <row r="1390" spans="1:5">
      <c r="A1390" s="29" t="s">
        <v>2629</v>
      </c>
      <c r="B1390" s="30"/>
      <c r="C1390" s="30"/>
      <c r="D1390" s="31"/>
      <c r="E1390" t="e">
        <f>VLOOKUP(B1390,Кат!G:J,3,0)</f>
        <v>#N/A</v>
      </c>
    </row>
    <row r="1391" spans="1:5">
      <c r="A1391" s="26" t="s">
        <v>2630</v>
      </c>
      <c r="B1391" s="26" t="s">
        <v>2631</v>
      </c>
      <c r="C1391" s="26" t="s">
        <v>50</v>
      </c>
      <c r="D1391" s="28">
        <v>2163</v>
      </c>
      <c r="E1391" t="e">
        <f>VLOOKUP(B1391,Кат!G:J,3,0)</f>
        <v>#N/A</v>
      </c>
    </row>
    <row r="1392" spans="1:5">
      <c r="A1392" s="26" t="s">
        <v>2632</v>
      </c>
      <c r="B1392" s="26" t="s">
        <v>2633</v>
      </c>
      <c r="C1392" s="26" t="s">
        <v>49</v>
      </c>
      <c r="D1392" s="28">
        <v>2463</v>
      </c>
      <c r="E1392" t="e">
        <f>VLOOKUP(B1392,Кат!G:J,3,0)</f>
        <v>#N/A</v>
      </c>
    </row>
    <row r="1393" spans="1:5">
      <c r="A1393" s="26" t="s">
        <v>2634</v>
      </c>
      <c r="B1393" s="26" t="s">
        <v>2635</v>
      </c>
      <c r="C1393" s="26" t="s">
        <v>49</v>
      </c>
      <c r="D1393" s="28">
        <v>2919</v>
      </c>
      <c r="E1393" t="e">
        <f>VLOOKUP(B1393,Кат!G:J,3,0)</f>
        <v>#N/A</v>
      </c>
    </row>
    <row r="1394" spans="1:5">
      <c r="A1394" s="26" t="s">
        <v>2636</v>
      </c>
      <c r="B1394" s="26" t="s">
        <v>2637</v>
      </c>
      <c r="C1394" s="26" t="s">
        <v>49</v>
      </c>
      <c r="D1394" s="28">
        <v>2675</v>
      </c>
      <c r="E1394" t="e">
        <f>VLOOKUP(B1394,Кат!G:J,3,0)</f>
        <v>#N/A</v>
      </c>
    </row>
    <row r="1395" spans="1:5">
      <c r="A1395" s="26" t="s">
        <v>2638</v>
      </c>
      <c r="B1395" s="26" t="s">
        <v>2639</v>
      </c>
      <c r="C1395" s="26" t="s">
        <v>49</v>
      </c>
      <c r="D1395" s="28">
        <v>2675</v>
      </c>
      <c r="E1395" t="e">
        <f>VLOOKUP(B1395,Кат!G:J,3,0)</f>
        <v>#N/A</v>
      </c>
    </row>
    <row r="1396" spans="1:5">
      <c r="A1396" s="26" t="s">
        <v>2640</v>
      </c>
      <c r="B1396" s="26" t="s">
        <v>2641</v>
      </c>
      <c r="C1396" s="26" t="s">
        <v>49</v>
      </c>
      <c r="D1396" s="28">
        <v>2855</v>
      </c>
      <c r="E1396" t="e">
        <f>VLOOKUP(B1396,Кат!G:J,3,0)</f>
        <v>#N/A</v>
      </c>
    </row>
    <row r="1397" spans="1:5">
      <c r="A1397" s="26" t="s">
        <v>2642</v>
      </c>
      <c r="B1397" s="26" t="s">
        <v>2643</v>
      </c>
      <c r="C1397" s="26" t="s">
        <v>49</v>
      </c>
      <c r="D1397" s="28">
        <v>2900</v>
      </c>
      <c r="E1397" t="e">
        <f>VLOOKUP(B1397,Кат!G:J,3,0)</f>
        <v>#N/A</v>
      </c>
    </row>
    <row r="1398" spans="1:5">
      <c r="A1398" s="26" t="s">
        <v>2644</v>
      </c>
      <c r="B1398" s="26" t="s">
        <v>2645</v>
      </c>
      <c r="C1398" s="26" t="s">
        <v>49</v>
      </c>
      <c r="D1398" s="28">
        <v>3660</v>
      </c>
      <c r="E1398" t="e">
        <f>VLOOKUP(B1398,Кат!G:J,3,0)</f>
        <v>#N/A</v>
      </c>
    </row>
    <row r="1399" spans="1:5">
      <c r="A1399" s="26" t="s">
        <v>2646</v>
      </c>
      <c r="B1399" s="26" t="s">
        <v>2647</v>
      </c>
      <c r="C1399" s="26" t="s">
        <v>49</v>
      </c>
      <c r="D1399" s="28">
        <v>3212</v>
      </c>
      <c r="E1399" t="e">
        <f>VLOOKUP(B1399,Кат!G:J,3,0)</f>
        <v>#N/A</v>
      </c>
    </row>
    <row r="1400" spans="1:5" ht="22.5">
      <c r="A1400" s="26" t="s">
        <v>2648</v>
      </c>
      <c r="B1400" s="26" t="s">
        <v>2649</v>
      </c>
      <c r="C1400" s="26" t="s">
        <v>49</v>
      </c>
      <c r="D1400" s="28">
        <v>4010</v>
      </c>
      <c r="E1400" t="e">
        <f>VLOOKUP(B1400,Кат!G:J,3,0)</f>
        <v>#N/A</v>
      </c>
    </row>
    <row r="1401" spans="1:5" ht="22.5">
      <c r="A1401" s="26" t="s">
        <v>2650</v>
      </c>
      <c r="B1401" s="26" t="s">
        <v>2651</v>
      </c>
      <c r="C1401" s="26" t="s">
        <v>49</v>
      </c>
      <c r="D1401" s="28">
        <v>4215</v>
      </c>
      <c r="E1401" t="e">
        <f>VLOOKUP(B1401,Кат!G:J,3,0)</f>
        <v>#N/A</v>
      </c>
    </row>
    <row r="1402" spans="1:5" ht="22.5">
      <c r="A1402" s="26" t="s">
        <v>2652</v>
      </c>
      <c r="B1402" s="26" t="s">
        <v>2653</v>
      </c>
      <c r="C1402" s="26" t="s">
        <v>49</v>
      </c>
      <c r="D1402" s="28">
        <v>4865</v>
      </c>
      <c r="E1402" t="e">
        <f>VLOOKUP(B1402,Кат!G:J,3,0)</f>
        <v>#N/A</v>
      </c>
    </row>
    <row r="1403" spans="1:5" ht="22.5">
      <c r="A1403" s="26" t="s">
        <v>2654</v>
      </c>
      <c r="B1403" s="26" t="s">
        <v>2655</v>
      </c>
      <c r="C1403" s="26" t="s">
        <v>49</v>
      </c>
      <c r="D1403" s="28">
        <v>5045</v>
      </c>
      <c r="E1403" t="e">
        <f>VLOOKUP(B1403,Кат!G:J,3,0)</f>
        <v>#N/A</v>
      </c>
    </row>
    <row r="1404" spans="1:5" ht="22.5">
      <c r="A1404" s="26" t="s">
        <v>2656</v>
      </c>
      <c r="B1404" s="26" t="s">
        <v>2657</v>
      </c>
      <c r="C1404" s="26" t="s">
        <v>49</v>
      </c>
      <c r="D1404" s="28">
        <v>6038</v>
      </c>
      <c r="E1404" t="e">
        <f>VLOOKUP(B1404,Кат!G:J,3,0)</f>
        <v>#N/A</v>
      </c>
    </row>
    <row r="1405" spans="1:5" ht="22.5">
      <c r="A1405" s="26" t="s">
        <v>2658</v>
      </c>
      <c r="B1405" s="26" t="s">
        <v>2659</v>
      </c>
      <c r="C1405" s="26" t="s">
        <v>49</v>
      </c>
      <c r="D1405" s="28">
        <v>5137</v>
      </c>
      <c r="E1405" t="e">
        <f>VLOOKUP(B1405,Кат!G:J,3,0)</f>
        <v>#N/A</v>
      </c>
    </row>
    <row r="1406" spans="1:5">
      <c r="A1406" s="26" t="s">
        <v>2660</v>
      </c>
      <c r="B1406" s="26" t="s">
        <v>2661</v>
      </c>
      <c r="C1406" s="26" t="s">
        <v>49</v>
      </c>
      <c r="D1406" s="28">
        <v>8480</v>
      </c>
      <c r="E1406" t="e">
        <f>VLOOKUP(B1406,Кат!G:J,3,0)</f>
        <v>#N/A</v>
      </c>
    </row>
    <row r="1407" spans="1:5">
      <c r="A1407" s="26" t="s">
        <v>2662</v>
      </c>
      <c r="B1407" s="26" t="s">
        <v>2663</v>
      </c>
      <c r="C1407" s="26" t="s">
        <v>49</v>
      </c>
      <c r="D1407" s="28">
        <v>5227</v>
      </c>
      <c r="E1407" t="e">
        <f>VLOOKUP(B1407,Кат!G:J,3,0)</f>
        <v>#N/A</v>
      </c>
    </row>
    <row r="1408" spans="1:5">
      <c r="A1408" s="23" t="s">
        <v>2664</v>
      </c>
      <c r="B1408" s="24"/>
      <c r="C1408" s="24"/>
      <c r="D1408" s="25"/>
      <c r="E1408" t="e">
        <f>VLOOKUP(B1408,Кат!G:J,3,0)</f>
        <v>#N/A</v>
      </c>
    </row>
    <row r="1409" spans="1:5" ht="22.5">
      <c r="A1409" s="26" t="s">
        <v>2665</v>
      </c>
      <c r="B1409" s="26" t="s">
        <v>2666</v>
      </c>
      <c r="C1409" s="26" t="s">
        <v>50</v>
      </c>
      <c r="D1409" s="27">
        <v>109</v>
      </c>
      <c r="E1409" t="e">
        <f>VLOOKUP(B1409,Кат!G:J,3,0)</f>
        <v>#N/A</v>
      </c>
    </row>
    <row r="1410" spans="1:5" ht="22.5">
      <c r="A1410" s="26" t="s">
        <v>2667</v>
      </c>
      <c r="B1410" s="26" t="s">
        <v>2668</v>
      </c>
      <c r="C1410" s="26" t="s">
        <v>50</v>
      </c>
      <c r="D1410" s="27">
        <v>109</v>
      </c>
      <c r="E1410" t="e">
        <f>VLOOKUP(B1410,Кат!G:J,3,0)</f>
        <v>#N/A</v>
      </c>
    </row>
    <row r="1411" spans="1:5">
      <c r="A1411" s="26" t="s">
        <v>2669</v>
      </c>
      <c r="B1411" s="26" t="s">
        <v>2670</v>
      </c>
      <c r="C1411" s="26" t="s">
        <v>50</v>
      </c>
      <c r="D1411" s="27">
        <v>760</v>
      </c>
      <c r="E1411" t="e">
        <f>VLOOKUP(B1411,Кат!G:J,3,0)</f>
        <v>#N/A</v>
      </c>
    </row>
    <row r="1412" spans="1:5">
      <c r="A1412" s="26" t="s">
        <v>2671</v>
      </c>
      <c r="B1412" s="26" t="s">
        <v>2672</v>
      </c>
      <c r="C1412" s="26" t="s">
        <v>50</v>
      </c>
      <c r="D1412" s="28">
        <v>1235</v>
      </c>
      <c r="E1412" t="e">
        <f>VLOOKUP(B1412,Кат!G:J,3,0)</f>
        <v>#N/A</v>
      </c>
    </row>
    <row r="1413" spans="1:5" ht="22.5">
      <c r="A1413" s="26" t="s">
        <v>2673</v>
      </c>
      <c r="B1413" s="26" t="s">
        <v>2674</v>
      </c>
      <c r="C1413" s="26" t="s">
        <v>50</v>
      </c>
      <c r="D1413" s="28">
        <v>1070</v>
      </c>
      <c r="E1413" t="e">
        <f>VLOOKUP(B1413,Кат!G:J,3,0)</f>
        <v>#N/A</v>
      </c>
    </row>
    <row r="1414" spans="1:5">
      <c r="A1414" s="26" t="s">
        <v>2675</v>
      </c>
      <c r="B1414" s="26" t="s">
        <v>2676</v>
      </c>
      <c r="C1414" s="26" t="s">
        <v>50</v>
      </c>
      <c r="D1414" s="27">
        <v>785</v>
      </c>
      <c r="E1414" t="e">
        <f>VLOOKUP(B1414,Кат!G:J,3,0)</f>
        <v>#N/A</v>
      </c>
    </row>
    <row r="1415" spans="1:5">
      <c r="A1415" s="26" t="s">
        <v>2677</v>
      </c>
      <c r="B1415" s="26" t="s">
        <v>2678</v>
      </c>
      <c r="C1415" s="26" t="s">
        <v>50</v>
      </c>
      <c r="D1415" s="27">
        <v>955</v>
      </c>
      <c r="E1415" t="e">
        <f>VLOOKUP(B1415,Кат!G:J,3,0)</f>
        <v>#N/A</v>
      </c>
    </row>
    <row r="1416" spans="1:5">
      <c r="A1416" s="26" t="s">
        <v>2679</v>
      </c>
      <c r="B1416" s="26" t="s">
        <v>2680</v>
      </c>
      <c r="C1416" s="26" t="s">
        <v>50</v>
      </c>
      <c r="D1416" s="28">
        <v>1210</v>
      </c>
      <c r="E1416" t="e">
        <f>VLOOKUP(B1416,Кат!G:J,3,0)</f>
        <v>#N/A</v>
      </c>
    </row>
    <row r="1417" spans="1:5">
      <c r="A1417" s="26" t="s">
        <v>2681</v>
      </c>
      <c r="B1417" s="26" t="s">
        <v>2682</v>
      </c>
      <c r="C1417" s="26" t="s">
        <v>50</v>
      </c>
      <c r="D1417" s="28">
        <v>1305</v>
      </c>
      <c r="E1417" t="e">
        <f>VLOOKUP(B1417,Кат!G:J,3,0)</f>
        <v>#N/A</v>
      </c>
    </row>
    <row r="1418" spans="1:5">
      <c r="A1418" s="23" t="s">
        <v>2683</v>
      </c>
      <c r="B1418" s="24"/>
      <c r="C1418" s="24"/>
      <c r="D1418" s="25"/>
      <c r="E1418" t="e">
        <f>VLOOKUP(B1418,Кат!G:J,3,0)</f>
        <v>#N/A</v>
      </c>
    </row>
    <row r="1419" spans="1:5">
      <c r="A1419" s="26" t="s">
        <v>2684</v>
      </c>
      <c r="B1419" s="26" t="s">
        <v>2685</v>
      </c>
      <c r="C1419" s="26" t="s">
        <v>50</v>
      </c>
      <c r="D1419" s="28">
        <v>3975</v>
      </c>
      <c r="E1419" t="e">
        <f>VLOOKUP(B1419,Кат!G:J,3,0)</f>
        <v>#N/A</v>
      </c>
    </row>
    <row r="1420" spans="1:5">
      <c r="A1420" s="26" t="s">
        <v>2686</v>
      </c>
      <c r="B1420" s="26" t="s">
        <v>2687</v>
      </c>
      <c r="C1420" s="26" t="s">
        <v>50</v>
      </c>
      <c r="D1420" s="27">
        <v>653</v>
      </c>
      <c r="E1420" t="e">
        <f>VLOOKUP(B1420,Кат!G:J,3,0)</f>
        <v>#N/A</v>
      </c>
    </row>
    <row r="1421" spans="1:5" ht="22.5">
      <c r="A1421" s="26" t="s">
        <v>2688</v>
      </c>
      <c r="B1421" s="26" t="s">
        <v>2689</v>
      </c>
      <c r="C1421" s="26" t="s">
        <v>50</v>
      </c>
      <c r="D1421" s="27">
        <v>715</v>
      </c>
      <c r="E1421" t="e">
        <f>VLOOKUP(B1421,Кат!G:J,3,0)</f>
        <v>#N/A</v>
      </c>
    </row>
    <row r="1422" spans="1:5" ht="22.5">
      <c r="A1422" s="26" t="s">
        <v>2690</v>
      </c>
      <c r="B1422" s="32">
        <v>30593</v>
      </c>
      <c r="C1422" s="26" t="s">
        <v>50</v>
      </c>
      <c r="D1422" s="27">
        <v>144</v>
      </c>
      <c r="E1422" t="e">
        <f>VLOOKUP(B1422,Кат!G:J,3,0)</f>
        <v>#N/A</v>
      </c>
    </row>
    <row r="1423" spans="1:5">
      <c r="A1423" s="26" t="s">
        <v>2691</v>
      </c>
      <c r="B1423" s="26" t="s">
        <v>2692</v>
      </c>
      <c r="C1423" s="26" t="s">
        <v>50</v>
      </c>
      <c r="D1423" s="27">
        <v>267</v>
      </c>
      <c r="E1423" t="e">
        <f>VLOOKUP(B1423,Кат!G:J,3,0)</f>
        <v>#N/A</v>
      </c>
    </row>
    <row r="1424" spans="1:5">
      <c r="A1424" s="26" t="s">
        <v>2693</v>
      </c>
      <c r="B1424" s="26" t="s">
        <v>2694</v>
      </c>
      <c r="C1424" s="26" t="s">
        <v>50</v>
      </c>
      <c r="D1424" s="27">
        <v>814</v>
      </c>
      <c r="E1424" t="e">
        <f>VLOOKUP(B1424,Кат!G:J,3,0)</f>
        <v>#N/A</v>
      </c>
    </row>
    <row r="1425" spans="1:5">
      <c r="A1425" s="26" t="s">
        <v>2695</v>
      </c>
      <c r="B1425" s="26" t="s">
        <v>2696</v>
      </c>
      <c r="C1425" s="26" t="s">
        <v>50</v>
      </c>
      <c r="D1425" s="27">
        <v>980</v>
      </c>
      <c r="E1425" t="e">
        <f>VLOOKUP(B1425,Кат!G:J,3,0)</f>
        <v>#N/A</v>
      </c>
    </row>
    <row r="1426" spans="1:5" ht="22.5">
      <c r="A1426" s="26" t="s">
        <v>2697</v>
      </c>
      <c r="B1426" s="32">
        <v>55059</v>
      </c>
      <c r="C1426" s="26" t="s">
        <v>50</v>
      </c>
      <c r="D1426" s="27">
        <v>205</v>
      </c>
      <c r="E1426" t="e">
        <f>VLOOKUP(B1426,Кат!G:J,3,0)</f>
        <v>#N/A</v>
      </c>
    </row>
    <row r="1427" spans="1:5">
      <c r="A1427" s="26" t="s">
        <v>2698</v>
      </c>
      <c r="B1427" s="26" t="s">
        <v>2699</v>
      </c>
      <c r="C1427" s="26" t="s">
        <v>50</v>
      </c>
      <c r="D1427" s="27">
        <v>516</v>
      </c>
      <c r="E1427" t="e">
        <f>VLOOKUP(B1427,Кат!G:J,3,0)</f>
        <v>#N/A</v>
      </c>
    </row>
    <row r="1428" spans="1:5" ht="22.5">
      <c r="A1428" s="26" t="s">
        <v>2700</v>
      </c>
      <c r="B1428" s="26" t="s">
        <v>2701</v>
      </c>
      <c r="C1428" s="26" t="s">
        <v>49</v>
      </c>
      <c r="D1428" s="27">
        <v>360</v>
      </c>
      <c r="E1428" t="e">
        <f>VLOOKUP(B1428,Кат!G:J,3,0)</f>
        <v>#N/A</v>
      </c>
    </row>
    <row r="1429" spans="1:5">
      <c r="A1429" s="26" t="s">
        <v>2702</v>
      </c>
      <c r="B1429" s="26" t="s">
        <v>2703</v>
      </c>
      <c r="C1429" s="26" t="s">
        <v>50</v>
      </c>
      <c r="D1429" s="28">
        <v>3150</v>
      </c>
      <c r="E1429" t="e">
        <f>VLOOKUP(B1429,Кат!G:J,3,0)</f>
        <v>#N/A</v>
      </c>
    </row>
    <row r="1430" spans="1:5">
      <c r="A1430" s="26" t="s">
        <v>2704</v>
      </c>
      <c r="B1430" s="26" t="s">
        <v>2705</v>
      </c>
      <c r="C1430" s="26" t="s">
        <v>50</v>
      </c>
      <c r="D1430" s="27">
        <v>910</v>
      </c>
      <c r="E1430" t="e">
        <f>VLOOKUP(B1430,Кат!G:J,3,0)</f>
        <v>#N/A</v>
      </c>
    </row>
    <row r="1431" spans="1:5">
      <c r="A1431" s="26" t="s">
        <v>2706</v>
      </c>
      <c r="B1431" s="26" t="s">
        <v>2707</v>
      </c>
      <c r="C1431" s="26" t="s">
        <v>50</v>
      </c>
      <c r="D1431" s="27">
        <v>514</v>
      </c>
      <c r="E1431" t="e">
        <f>VLOOKUP(B1431,Кат!G:J,3,0)</f>
        <v>#N/A</v>
      </c>
    </row>
    <row r="1432" spans="1:5">
      <c r="A1432" s="23" t="s">
        <v>2708</v>
      </c>
      <c r="B1432" s="24"/>
      <c r="C1432" s="24"/>
      <c r="D1432" s="25"/>
      <c r="E1432" t="e">
        <f>VLOOKUP(B1432,Кат!G:J,3,0)</f>
        <v>#N/A</v>
      </c>
    </row>
    <row r="1433" spans="1:5">
      <c r="A1433" s="26" t="s">
        <v>2709</v>
      </c>
      <c r="B1433" s="32">
        <v>620019816</v>
      </c>
      <c r="C1433" s="26" t="s">
        <v>49</v>
      </c>
      <c r="D1433" s="28">
        <v>3380</v>
      </c>
      <c r="E1433" t="e">
        <f>VLOOKUP(B1433,Кат!G:J,3,0)</f>
        <v>#N/A</v>
      </c>
    </row>
    <row r="1434" spans="1:5">
      <c r="A1434" s="26" t="s">
        <v>2710</v>
      </c>
      <c r="B1434" s="32">
        <v>620316600</v>
      </c>
      <c r="C1434" s="26" t="s">
        <v>49</v>
      </c>
      <c r="D1434" s="28">
        <v>4000</v>
      </c>
      <c r="E1434" t="e">
        <f>VLOOKUP(B1434,Кат!G:J,3,0)</f>
        <v>#N/A</v>
      </c>
    </row>
    <row r="1435" spans="1:5" ht="22.5">
      <c r="A1435" s="26" t="s">
        <v>2711</v>
      </c>
      <c r="B1435" s="32">
        <v>620342709</v>
      </c>
      <c r="C1435" s="26" t="s">
        <v>49</v>
      </c>
      <c r="D1435" s="28">
        <v>5300</v>
      </c>
      <c r="E1435" t="e">
        <f>VLOOKUP(B1435,Кат!G:J,3,0)</f>
        <v>#N/A</v>
      </c>
    </row>
    <row r="1436" spans="1:5">
      <c r="A1436" s="23" t="s">
        <v>2712</v>
      </c>
      <c r="B1436" s="24"/>
      <c r="C1436" s="24"/>
      <c r="D1436" s="25"/>
      <c r="E1436" t="e">
        <f>VLOOKUP(B1436,Кат!G:J,3,0)</f>
        <v>#N/A</v>
      </c>
    </row>
    <row r="1437" spans="1:5">
      <c r="A1437" s="26" t="s">
        <v>2713</v>
      </c>
      <c r="B1437" s="26" t="s">
        <v>2714</v>
      </c>
      <c r="C1437" s="26" t="s">
        <v>50</v>
      </c>
      <c r="D1437" s="27">
        <v>288</v>
      </c>
      <c r="E1437" t="e">
        <f>VLOOKUP(B1437,Кат!G:J,3,0)</f>
        <v>#N/A</v>
      </c>
    </row>
    <row r="1438" spans="1:5">
      <c r="A1438" s="26" t="s">
        <v>2715</v>
      </c>
      <c r="B1438" s="26" t="s">
        <v>2716</v>
      </c>
      <c r="C1438" s="26" t="s">
        <v>50</v>
      </c>
      <c r="D1438" s="27">
        <v>680</v>
      </c>
      <c r="E1438" t="e">
        <f>VLOOKUP(B1438,Кат!G:J,3,0)</f>
        <v>#N/A</v>
      </c>
    </row>
    <row r="1439" spans="1:5">
      <c r="A1439" s="26" t="s">
        <v>2717</v>
      </c>
      <c r="B1439" s="26" t="s">
        <v>2718</v>
      </c>
      <c r="C1439" s="26" t="s">
        <v>50</v>
      </c>
      <c r="D1439" s="27">
        <v>338</v>
      </c>
      <c r="E1439" t="e">
        <f>VLOOKUP(B1439,Кат!G:J,3,0)</f>
        <v>#N/A</v>
      </c>
    </row>
    <row r="1440" spans="1:5">
      <c r="A1440" s="26" t="s">
        <v>2719</v>
      </c>
      <c r="B1440" s="26" t="s">
        <v>2720</v>
      </c>
      <c r="C1440" s="26" t="s">
        <v>49</v>
      </c>
      <c r="D1440" s="28">
        <v>1050</v>
      </c>
      <c r="E1440" t="e">
        <f>VLOOKUP(B1440,Кат!G:J,3,0)</f>
        <v>#N/A</v>
      </c>
    </row>
    <row r="1441" spans="1:5">
      <c r="A1441" s="26" t="s">
        <v>2721</v>
      </c>
      <c r="B1441" s="26" t="s">
        <v>2722</v>
      </c>
      <c r="C1441" s="26" t="s">
        <v>49</v>
      </c>
      <c r="D1441" s="28">
        <v>2315</v>
      </c>
      <c r="E1441" t="e">
        <f>VLOOKUP(B1441,Кат!G:J,3,0)</f>
        <v>#N/A</v>
      </c>
    </row>
    <row r="1442" spans="1:5" ht="22.5">
      <c r="A1442" s="26" t="s">
        <v>2723</v>
      </c>
      <c r="B1442" s="26" t="s">
        <v>2724</v>
      </c>
      <c r="C1442" s="26" t="s">
        <v>49</v>
      </c>
      <c r="D1442" s="28">
        <v>2255</v>
      </c>
      <c r="E1442" t="e">
        <f>VLOOKUP(B1442,Кат!G:J,3,0)</f>
        <v>#N/A</v>
      </c>
    </row>
    <row r="1443" spans="1:5">
      <c r="A1443" s="26" t="s">
        <v>2725</v>
      </c>
      <c r="B1443" s="26" t="s">
        <v>2726</v>
      </c>
      <c r="C1443" s="26" t="s">
        <v>49</v>
      </c>
      <c r="D1443" s="28">
        <v>3480</v>
      </c>
      <c r="E1443" t="e">
        <f>VLOOKUP(B1443,Кат!G:J,3,0)</f>
        <v>#N/A</v>
      </c>
    </row>
    <row r="1444" spans="1:5">
      <c r="A1444" s="26" t="s">
        <v>2727</v>
      </c>
      <c r="B1444" s="26" t="s">
        <v>2728</v>
      </c>
      <c r="C1444" s="26" t="s">
        <v>50</v>
      </c>
      <c r="D1444" s="27">
        <v>945</v>
      </c>
      <c r="E1444" t="e">
        <f>VLOOKUP(B1444,Кат!G:J,3,0)</f>
        <v>#N/A</v>
      </c>
    </row>
    <row r="1445" spans="1:5">
      <c r="A1445" s="26" t="s">
        <v>2729</v>
      </c>
      <c r="B1445" s="26" t="s">
        <v>2730</v>
      </c>
      <c r="C1445" s="26" t="s">
        <v>50</v>
      </c>
      <c r="D1445" s="27">
        <v>740</v>
      </c>
      <c r="E1445" t="e">
        <f>VLOOKUP(B1445,Кат!G:J,3,0)</f>
        <v>#N/A</v>
      </c>
    </row>
    <row r="1446" spans="1:5">
      <c r="A1446" s="23" t="s">
        <v>2731</v>
      </c>
      <c r="B1446" s="24"/>
      <c r="C1446" s="24"/>
      <c r="D1446" s="25"/>
      <c r="E1446" t="e">
        <f>VLOOKUP(B1446,Кат!G:J,3,0)</f>
        <v>#N/A</v>
      </c>
    </row>
    <row r="1447" spans="1:5">
      <c r="A1447" s="26" t="s">
        <v>2732</v>
      </c>
      <c r="B1447" s="26" t="s">
        <v>2733</v>
      </c>
      <c r="C1447" s="26" t="s">
        <v>50</v>
      </c>
      <c r="D1447" s="27">
        <v>480</v>
      </c>
      <c r="E1447" t="e">
        <f>VLOOKUP(B1447,Кат!G:J,3,0)</f>
        <v>#N/A</v>
      </c>
    </row>
    <row r="1448" spans="1:5">
      <c r="A1448" s="23" t="s">
        <v>2734</v>
      </c>
      <c r="B1448" s="24"/>
      <c r="C1448" s="24"/>
      <c r="D1448" s="25"/>
      <c r="E1448" t="e">
        <f>VLOOKUP(B1448,Кат!G:J,3,0)</f>
        <v>#N/A</v>
      </c>
    </row>
    <row r="1449" spans="1:5" ht="22.5">
      <c r="A1449" s="26" t="s">
        <v>2735</v>
      </c>
      <c r="B1449" s="26" t="s">
        <v>2736</v>
      </c>
      <c r="C1449" s="26" t="s">
        <v>50</v>
      </c>
      <c r="D1449" s="28">
        <v>1780</v>
      </c>
      <c r="E1449" t="e">
        <f>VLOOKUP(B1449,Кат!G:J,3,0)</f>
        <v>#N/A</v>
      </c>
    </row>
    <row r="1450" spans="1:5" ht="22.5">
      <c r="A1450" s="26" t="s">
        <v>2737</v>
      </c>
      <c r="B1450" s="26" t="s">
        <v>2738</v>
      </c>
      <c r="C1450" s="26" t="s">
        <v>50</v>
      </c>
      <c r="D1450" s="28">
        <v>1780</v>
      </c>
      <c r="E1450" t="e">
        <f>VLOOKUP(B1450,Кат!G:J,3,0)</f>
        <v>#N/A</v>
      </c>
    </row>
    <row r="1451" spans="1:5" ht="22.5">
      <c r="A1451" s="26" t="s">
        <v>2739</v>
      </c>
      <c r="B1451" s="26" t="s">
        <v>2740</v>
      </c>
      <c r="C1451" s="26" t="s">
        <v>50</v>
      </c>
      <c r="D1451" s="27">
        <v>951</v>
      </c>
      <c r="E1451" t="e">
        <f>VLOOKUP(B1451,Кат!G:J,3,0)</f>
        <v>#N/A</v>
      </c>
    </row>
    <row r="1452" spans="1:5">
      <c r="A1452" s="26" t="s">
        <v>2741</v>
      </c>
      <c r="B1452" s="26" t="s">
        <v>2742</v>
      </c>
      <c r="C1452" s="26" t="s">
        <v>50</v>
      </c>
      <c r="D1452" s="27">
        <v>400</v>
      </c>
      <c r="E1452" t="e">
        <f>VLOOKUP(B1452,Кат!G:J,3,0)</f>
        <v>#N/A</v>
      </c>
    </row>
    <row r="1453" spans="1:5" ht="22.5">
      <c r="A1453" s="26" t="s">
        <v>2743</v>
      </c>
      <c r="B1453" s="26" t="s">
        <v>2744</v>
      </c>
      <c r="C1453" s="26" t="s">
        <v>50</v>
      </c>
      <c r="D1453" s="28">
        <v>1050</v>
      </c>
      <c r="E1453" t="e">
        <f>VLOOKUP(B1453,Кат!G:J,3,0)</f>
        <v>#N/A</v>
      </c>
    </row>
    <row r="1454" spans="1:5">
      <c r="A1454" s="26" t="s">
        <v>2745</v>
      </c>
      <c r="B1454" s="26" t="s">
        <v>2746</v>
      </c>
      <c r="C1454" s="26" t="s">
        <v>50</v>
      </c>
      <c r="D1454" s="27">
        <v>385</v>
      </c>
      <c r="E1454" t="e">
        <f>VLOOKUP(B1454,Кат!G:J,3,0)</f>
        <v>#N/A</v>
      </c>
    </row>
    <row r="1455" spans="1:5">
      <c r="A1455" s="26" t="s">
        <v>2747</v>
      </c>
      <c r="B1455" s="26" t="s">
        <v>2748</v>
      </c>
      <c r="C1455" s="26" t="s">
        <v>50</v>
      </c>
      <c r="D1455" s="27">
        <v>340</v>
      </c>
      <c r="E1455" t="e">
        <f>VLOOKUP(B1455,Кат!G:J,3,0)</f>
        <v>#N/A</v>
      </c>
    </row>
    <row r="1456" spans="1:5">
      <c r="A1456" s="26" t="s">
        <v>2749</v>
      </c>
      <c r="B1456" s="26" t="s">
        <v>2750</v>
      </c>
      <c r="C1456" s="26" t="s">
        <v>50</v>
      </c>
      <c r="D1456" s="27">
        <v>300</v>
      </c>
      <c r="E1456" t="e">
        <f>VLOOKUP(B1456,Кат!G:J,3,0)</f>
        <v>#N/A</v>
      </c>
    </row>
    <row r="1457" spans="1:5">
      <c r="A1457" s="26" t="s">
        <v>4349</v>
      </c>
      <c r="B1457" s="26" t="s">
        <v>4350</v>
      </c>
      <c r="C1457" s="26" t="s">
        <v>50</v>
      </c>
      <c r="D1457" s="27">
        <v>400</v>
      </c>
      <c r="E1457" t="e">
        <f>VLOOKUP(B1457,Кат!G:J,3,0)</f>
        <v>#N/A</v>
      </c>
    </row>
    <row r="1458" spans="1:5">
      <c r="A1458" s="26" t="s">
        <v>2751</v>
      </c>
      <c r="B1458" s="26" t="s">
        <v>2752</v>
      </c>
      <c r="C1458" s="26" t="s">
        <v>50</v>
      </c>
      <c r="D1458" s="27">
        <v>411</v>
      </c>
      <c r="E1458" t="e">
        <f>VLOOKUP(B1458,Кат!G:J,3,0)</f>
        <v>#N/A</v>
      </c>
    </row>
    <row r="1459" spans="1:5">
      <c r="A1459" s="26" t="s">
        <v>2753</v>
      </c>
      <c r="B1459" s="26" t="s">
        <v>2754</v>
      </c>
      <c r="C1459" s="26" t="s">
        <v>50</v>
      </c>
      <c r="D1459" s="27">
        <v>310</v>
      </c>
      <c r="E1459" t="e">
        <f>VLOOKUP(B1459,Кат!G:J,3,0)</f>
        <v>#N/A</v>
      </c>
    </row>
    <row r="1460" spans="1:5" ht="22.5">
      <c r="A1460" s="26" t="s">
        <v>2755</v>
      </c>
      <c r="B1460" s="26" t="s">
        <v>2756</v>
      </c>
      <c r="C1460" s="26" t="s">
        <v>50</v>
      </c>
      <c r="D1460" s="27">
        <v>530</v>
      </c>
      <c r="E1460" t="e">
        <f>VLOOKUP(B1460,Кат!G:J,3,0)</f>
        <v>#N/A</v>
      </c>
    </row>
    <row r="1461" spans="1:5">
      <c r="A1461" s="26" t="s">
        <v>2757</v>
      </c>
      <c r="B1461" s="26" t="s">
        <v>2758</v>
      </c>
      <c r="C1461" s="26" t="s">
        <v>50</v>
      </c>
      <c r="D1461" s="27">
        <v>530</v>
      </c>
      <c r="E1461" t="e">
        <f>VLOOKUP(B1461,Кат!G:J,3,0)</f>
        <v>#N/A</v>
      </c>
    </row>
    <row r="1462" spans="1:5" ht="22.5">
      <c r="A1462" s="26" t="s">
        <v>2759</v>
      </c>
      <c r="B1462" s="26" t="s">
        <v>2760</v>
      </c>
      <c r="C1462" s="26" t="s">
        <v>50</v>
      </c>
      <c r="D1462" s="27">
        <v>389</v>
      </c>
      <c r="E1462" t="e">
        <f>VLOOKUP(B1462,Кат!G:J,3,0)</f>
        <v>#N/A</v>
      </c>
    </row>
    <row r="1463" spans="1:5" ht="22.5">
      <c r="A1463" s="26" t="s">
        <v>2761</v>
      </c>
      <c r="B1463" s="26" t="s">
        <v>2762</v>
      </c>
      <c r="C1463" s="26" t="s">
        <v>50</v>
      </c>
      <c r="D1463" s="27">
        <v>690</v>
      </c>
      <c r="E1463" t="e">
        <f>VLOOKUP(B1463,Кат!G:J,3,0)</f>
        <v>#N/A</v>
      </c>
    </row>
    <row r="1464" spans="1:5" ht="22.5">
      <c r="A1464" s="26" t="s">
        <v>2763</v>
      </c>
      <c r="B1464" s="26" t="s">
        <v>2764</v>
      </c>
      <c r="C1464" s="26" t="s">
        <v>50</v>
      </c>
      <c r="D1464" s="27">
        <v>627</v>
      </c>
      <c r="E1464" t="e">
        <f>VLOOKUP(B1464,Кат!G:J,3,0)</f>
        <v>#N/A</v>
      </c>
    </row>
    <row r="1465" spans="1:5" ht="22.5">
      <c r="A1465" s="26" t="s">
        <v>2765</v>
      </c>
      <c r="B1465" s="26" t="s">
        <v>2766</v>
      </c>
      <c r="C1465" s="26" t="s">
        <v>50</v>
      </c>
      <c r="D1465" s="27">
        <v>585</v>
      </c>
      <c r="E1465" t="e">
        <f>VLOOKUP(B1465,Кат!G:J,3,0)</f>
        <v>#N/A</v>
      </c>
    </row>
    <row r="1466" spans="1:5">
      <c r="A1466" s="26" t="s">
        <v>2767</v>
      </c>
      <c r="B1466" s="26" t="s">
        <v>2768</v>
      </c>
      <c r="C1466" s="26" t="s">
        <v>50</v>
      </c>
      <c r="D1466" s="27">
        <v>755</v>
      </c>
      <c r="E1466" t="e">
        <f>VLOOKUP(B1466,Кат!G:J,3,0)</f>
        <v>#N/A</v>
      </c>
    </row>
    <row r="1467" spans="1:5" ht="22.5">
      <c r="A1467" s="26" t="s">
        <v>2769</v>
      </c>
      <c r="B1467" s="26" t="s">
        <v>2770</v>
      </c>
      <c r="C1467" s="26" t="s">
        <v>50</v>
      </c>
      <c r="D1467" s="28">
        <v>1540</v>
      </c>
      <c r="E1467" t="e">
        <f>VLOOKUP(B1467,Кат!G:J,3,0)</f>
        <v>#N/A</v>
      </c>
    </row>
    <row r="1468" spans="1:5" ht="22.5">
      <c r="A1468" s="26" t="s">
        <v>2771</v>
      </c>
      <c r="B1468" s="26" t="s">
        <v>2772</v>
      </c>
      <c r="C1468" s="26" t="s">
        <v>49</v>
      </c>
      <c r="D1468" s="28">
        <v>2268</v>
      </c>
      <c r="E1468" t="e">
        <f>VLOOKUP(B1468,Кат!G:J,3,0)</f>
        <v>#N/A</v>
      </c>
    </row>
    <row r="1469" spans="1:5">
      <c r="A1469" s="23" t="s">
        <v>2773</v>
      </c>
      <c r="B1469" s="24"/>
      <c r="C1469" s="24"/>
      <c r="D1469" s="25"/>
      <c r="E1469" t="e">
        <f>VLOOKUP(B1469,Кат!G:J,3,0)</f>
        <v>#N/A</v>
      </c>
    </row>
    <row r="1470" spans="1:5" ht="22.5">
      <c r="A1470" s="26" t="s">
        <v>2774</v>
      </c>
      <c r="B1470" s="26" t="s">
        <v>2775</v>
      </c>
      <c r="C1470" s="26" t="s">
        <v>49</v>
      </c>
      <c r="D1470" s="28">
        <v>1330</v>
      </c>
      <c r="E1470" t="e">
        <f>VLOOKUP(B1470,Кат!G:J,3,0)</f>
        <v>#N/A</v>
      </c>
    </row>
    <row r="1471" spans="1:5">
      <c r="A1471" s="26" t="s">
        <v>2776</v>
      </c>
      <c r="B1471" s="26"/>
      <c r="C1471" s="26" t="s">
        <v>49</v>
      </c>
      <c r="D1471" s="27">
        <v>412</v>
      </c>
      <c r="E1471" t="e">
        <f>VLOOKUP(B1471,Кат!G:J,3,0)</f>
        <v>#N/A</v>
      </c>
    </row>
    <row r="1472" spans="1:5">
      <c r="A1472" s="26" t="s">
        <v>2777</v>
      </c>
      <c r="B1472" s="26"/>
      <c r="C1472" s="26" t="s">
        <v>50</v>
      </c>
      <c r="D1472" s="27">
        <v>270</v>
      </c>
      <c r="E1472" t="e">
        <f>VLOOKUP(B1472,Кат!G:J,3,0)</f>
        <v>#N/A</v>
      </c>
    </row>
    <row r="1473" spans="1:5">
      <c r="A1473" s="26" t="s">
        <v>4351</v>
      </c>
      <c r="B1473" s="26" t="s">
        <v>4352</v>
      </c>
      <c r="C1473" s="26" t="s">
        <v>50</v>
      </c>
      <c r="D1473" s="27">
        <v>313</v>
      </c>
      <c r="E1473" t="e">
        <f>VLOOKUP(B1473,Кат!G:J,3,0)</f>
        <v>#N/A</v>
      </c>
    </row>
    <row r="1474" spans="1:5" ht="22.5">
      <c r="A1474" s="26" t="s">
        <v>2778</v>
      </c>
      <c r="B1474" s="26" t="s">
        <v>2779</v>
      </c>
      <c r="C1474" s="26" t="s">
        <v>50</v>
      </c>
      <c r="D1474" s="27">
        <v>53</v>
      </c>
      <c r="E1474" t="e">
        <f>VLOOKUP(B1474,Кат!G:J,3,0)</f>
        <v>#N/A</v>
      </c>
    </row>
    <row r="1475" spans="1:5">
      <c r="A1475" s="23" t="s">
        <v>2780</v>
      </c>
      <c r="B1475" s="24"/>
      <c r="C1475" s="24"/>
      <c r="D1475" s="25"/>
      <c r="E1475" t="e">
        <f>VLOOKUP(B1475,Кат!G:J,3,0)</f>
        <v>#N/A</v>
      </c>
    </row>
    <row r="1476" spans="1:5">
      <c r="A1476" s="26" t="s">
        <v>2781</v>
      </c>
      <c r="B1476" s="26" t="s">
        <v>2782</v>
      </c>
      <c r="C1476" s="26" t="s">
        <v>49</v>
      </c>
      <c r="D1476" s="28">
        <v>2900</v>
      </c>
      <c r="E1476" t="e">
        <f>VLOOKUP(B1476,Кат!G:J,3,0)</f>
        <v>#N/A</v>
      </c>
    </row>
    <row r="1477" spans="1:5">
      <c r="A1477" s="23" t="s">
        <v>2783</v>
      </c>
      <c r="B1477" s="24"/>
      <c r="C1477" s="24"/>
      <c r="D1477" s="25"/>
      <c r="E1477" t="e">
        <f>VLOOKUP(B1477,Кат!G:J,3,0)</f>
        <v>#N/A</v>
      </c>
    </row>
    <row r="1478" spans="1:5" ht="22.5">
      <c r="A1478" s="26" t="s">
        <v>2784</v>
      </c>
      <c r="B1478" s="26" t="s">
        <v>2785</v>
      </c>
      <c r="C1478" s="26" t="s">
        <v>50</v>
      </c>
      <c r="D1478" s="27">
        <v>367</v>
      </c>
      <c r="E1478" t="e">
        <f>VLOOKUP(B1478,Кат!G:J,3,0)</f>
        <v>#N/A</v>
      </c>
    </row>
    <row r="1479" spans="1:5">
      <c r="A1479" s="26" t="s">
        <v>2786</v>
      </c>
      <c r="B1479" s="26" t="s">
        <v>2787</v>
      </c>
      <c r="C1479" s="26" t="s">
        <v>50</v>
      </c>
      <c r="D1479" s="27">
        <v>375</v>
      </c>
      <c r="E1479" t="e">
        <f>VLOOKUP(B1479,Кат!G:J,3,0)</f>
        <v>#N/A</v>
      </c>
    </row>
    <row r="1480" spans="1:5" ht="22.5">
      <c r="A1480" s="26" t="s">
        <v>2788</v>
      </c>
      <c r="B1480" s="26" t="s">
        <v>2789</v>
      </c>
      <c r="C1480" s="26" t="s">
        <v>50</v>
      </c>
      <c r="D1480" s="27">
        <v>399</v>
      </c>
      <c r="E1480" t="e">
        <f>VLOOKUP(B1480,Кат!G:J,3,0)</f>
        <v>#N/A</v>
      </c>
    </row>
    <row r="1481" spans="1:5">
      <c r="A1481" s="26" t="s">
        <v>2790</v>
      </c>
      <c r="B1481" s="26" t="s">
        <v>2791</v>
      </c>
      <c r="C1481" s="26" t="s">
        <v>50</v>
      </c>
      <c r="D1481" s="27">
        <v>399</v>
      </c>
      <c r="E1481" t="e">
        <f>VLOOKUP(B1481,Кат!G:J,3,0)</f>
        <v>#N/A</v>
      </c>
    </row>
    <row r="1482" spans="1:5" ht="22.5">
      <c r="A1482" s="26" t="s">
        <v>2792</v>
      </c>
      <c r="B1482" s="26" t="s">
        <v>2793</v>
      </c>
      <c r="C1482" s="26" t="s">
        <v>50</v>
      </c>
      <c r="D1482" s="27">
        <v>450</v>
      </c>
      <c r="E1482" t="e">
        <f>VLOOKUP(B1482,Кат!G:J,3,0)</f>
        <v>#N/A</v>
      </c>
    </row>
    <row r="1483" spans="1:5" ht="22.5">
      <c r="A1483" s="26" t="s">
        <v>2794</v>
      </c>
      <c r="B1483" s="26" t="s">
        <v>2795</v>
      </c>
      <c r="C1483" s="26" t="s">
        <v>50</v>
      </c>
      <c r="D1483" s="27">
        <v>450</v>
      </c>
      <c r="E1483" t="e">
        <f>VLOOKUP(B1483,Кат!G:J,3,0)</f>
        <v>#N/A</v>
      </c>
    </row>
    <row r="1484" spans="1:5" ht="22.5">
      <c r="A1484" s="26" t="s">
        <v>2796</v>
      </c>
      <c r="B1484" s="26" t="s">
        <v>2797</v>
      </c>
      <c r="C1484" s="26" t="s">
        <v>50</v>
      </c>
      <c r="D1484" s="27">
        <v>897</v>
      </c>
      <c r="E1484" t="e">
        <f>VLOOKUP(B1484,Кат!G:J,3,0)</f>
        <v>#N/A</v>
      </c>
    </row>
    <row r="1485" spans="1:5" ht="22.5">
      <c r="A1485" s="26" t="s">
        <v>2798</v>
      </c>
      <c r="B1485" s="26" t="s">
        <v>2799</v>
      </c>
      <c r="C1485" s="26" t="s">
        <v>50</v>
      </c>
      <c r="D1485" s="27">
        <v>897</v>
      </c>
      <c r="E1485" t="e">
        <f>VLOOKUP(B1485,Кат!G:J,3,0)</f>
        <v>#N/A</v>
      </c>
    </row>
    <row r="1486" spans="1:5" ht="22.5">
      <c r="A1486" s="26" t="s">
        <v>2800</v>
      </c>
      <c r="B1486" s="26" t="s">
        <v>2801</v>
      </c>
      <c r="C1486" s="26" t="s">
        <v>50</v>
      </c>
      <c r="D1486" s="27">
        <v>800</v>
      </c>
      <c r="E1486" t="e">
        <f>VLOOKUP(B1486,Кат!G:J,3,0)</f>
        <v>#N/A</v>
      </c>
    </row>
    <row r="1487" spans="1:5" ht="22.5">
      <c r="A1487" s="26" t="s">
        <v>2802</v>
      </c>
      <c r="B1487" s="26" t="s">
        <v>2803</v>
      </c>
      <c r="C1487" s="26" t="s">
        <v>50</v>
      </c>
      <c r="D1487" s="27">
        <v>800</v>
      </c>
      <c r="E1487" t="e">
        <f>VLOOKUP(B1487,Кат!G:J,3,0)</f>
        <v>#N/A</v>
      </c>
    </row>
    <row r="1488" spans="1:5" ht="22.5">
      <c r="A1488" s="26" t="s">
        <v>2804</v>
      </c>
      <c r="B1488" s="26" t="s">
        <v>2805</v>
      </c>
      <c r="C1488" s="26" t="s">
        <v>50</v>
      </c>
      <c r="D1488" s="27">
        <v>358</v>
      </c>
      <c r="E1488" t="e">
        <f>VLOOKUP(B1488,Кат!G:J,3,0)</f>
        <v>#N/A</v>
      </c>
    </row>
    <row r="1489" spans="1:5">
      <c r="A1489" s="26" t="s">
        <v>2806</v>
      </c>
      <c r="B1489" s="26" t="s">
        <v>2807</v>
      </c>
      <c r="C1489" s="26" t="s">
        <v>50</v>
      </c>
      <c r="D1489" s="27">
        <v>403</v>
      </c>
      <c r="E1489" t="e">
        <f>VLOOKUP(B1489,Кат!G:J,3,0)</f>
        <v>#N/A</v>
      </c>
    </row>
    <row r="1490" spans="1:5" ht="22.5">
      <c r="A1490" s="26" t="s">
        <v>2808</v>
      </c>
      <c r="B1490" s="26" t="s">
        <v>2809</v>
      </c>
      <c r="C1490" s="26" t="s">
        <v>50</v>
      </c>
      <c r="D1490" s="27">
        <v>449</v>
      </c>
      <c r="E1490" t="e">
        <f>VLOOKUP(B1490,Кат!G:J,3,0)</f>
        <v>#N/A</v>
      </c>
    </row>
    <row r="1491" spans="1:5" ht="22.5">
      <c r="A1491" s="26" t="s">
        <v>2810</v>
      </c>
      <c r="B1491" s="26" t="s">
        <v>2811</v>
      </c>
      <c r="C1491" s="26" t="s">
        <v>50</v>
      </c>
      <c r="D1491" s="27">
        <v>189</v>
      </c>
      <c r="E1491" t="e">
        <f>VLOOKUP(B1491,Кат!G:J,3,0)</f>
        <v>#N/A</v>
      </c>
    </row>
    <row r="1492" spans="1:5" ht="22.5">
      <c r="A1492" s="26" t="s">
        <v>4353</v>
      </c>
      <c r="B1492" s="26" t="s">
        <v>4354</v>
      </c>
      <c r="C1492" s="26" t="s">
        <v>50</v>
      </c>
      <c r="D1492" s="27">
        <v>189</v>
      </c>
      <c r="E1492" t="e">
        <f>VLOOKUP(B1492,Кат!G:J,3,0)</f>
        <v>#N/A</v>
      </c>
    </row>
    <row r="1493" spans="1:5">
      <c r="A1493" s="26" t="s">
        <v>2812</v>
      </c>
      <c r="B1493" s="26" t="s">
        <v>2813</v>
      </c>
      <c r="C1493" s="26" t="s">
        <v>50</v>
      </c>
      <c r="D1493" s="27">
        <v>225</v>
      </c>
      <c r="E1493" t="e">
        <f>VLOOKUP(B1493,Кат!G:J,3,0)</f>
        <v>#N/A</v>
      </c>
    </row>
    <row r="1494" spans="1:5">
      <c r="A1494" s="26" t="s">
        <v>2814</v>
      </c>
      <c r="B1494" s="26" t="s">
        <v>2815</v>
      </c>
      <c r="C1494" s="26" t="s">
        <v>50</v>
      </c>
      <c r="D1494" s="27">
        <v>225</v>
      </c>
      <c r="E1494" t="e">
        <f>VLOOKUP(B1494,Кат!G:J,3,0)</f>
        <v>#N/A</v>
      </c>
    </row>
    <row r="1495" spans="1:5" ht="22.5">
      <c r="A1495" s="26" t="s">
        <v>2816</v>
      </c>
      <c r="B1495" s="26" t="s">
        <v>2817</v>
      </c>
      <c r="C1495" s="26" t="s">
        <v>50</v>
      </c>
      <c r="D1495" s="27">
        <v>225</v>
      </c>
      <c r="E1495" t="e">
        <f>VLOOKUP(B1495,Кат!G:J,3,0)</f>
        <v>#N/A</v>
      </c>
    </row>
    <row r="1496" spans="1:5">
      <c r="A1496" s="26" t="s">
        <v>2818</v>
      </c>
      <c r="B1496" s="26" t="s">
        <v>2819</v>
      </c>
      <c r="C1496" s="26" t="s">
        <v>50</v>
      </c>
      <c r="D1496" s="27">
        <v>225</v>
      </c>
      <c r="E1496" t="e">
        <f>VLOOKUP(B1496,Кат!G:J,3,0)</f>
        <v>#N/A</v>
      </c>
    </row>
    <row r="1497" spans="1:5">
      <c r="A1497" s="26" t="s">
        <v>2820</v>
      </c>
      <c r="B1497" s="26" t="s">
        <v>2821</v>
      </c>
      <c r="C1497" s="26" t="s">
        <v>50</v>
      </c>
      <c r="D1497" s="27">
        <v>225</v>
      </c>
      <c r="E1497" t="e">
        <f>VLOOKUP(B1497,Кат!G:J,3,0)</f>
        <v>#N/A</v>
      </c>
    </row>
    <row r="1498" spans="1:5">
      <c r="A1498" s="26" t="s">
        <v>2822</v>
      </c>
      <c r="B1498" s="26" t="s">
        <v>2823</v>
      </c>
      <c r="C1498" s="26" t="s">
        <v>50</v>
      </c>
      <c r="D1498" s="27">
        <v>225</v>
      </c>
      <c r="E1498" t="e">
        <f>VLOOKUP(B1498,Кат!G:J,3,0)</f>
        <v>#N/A</v>
      </c>
    </row>
    <row r="1499" spans="1:5" ht="22.5">
      <c r="A1499" s="26" t="s">
        <v>2824</v>
      </c>
      <c r="B1499" s="26" t="s">
        <v>2825</v>
      </c>
      <c r="C1499" s="26" t="s">
        <v>50</v>
      </c>
      <c r="D1499" s="27">
        <v>225</v>
      </c>
      <c r="E1499" t="e">
        <f>VLOOKUP(B1499,Кат!G:J,3,0)</f>
        <v>#N/A</v>
      </c>
    </row>
    <row r="1500" spans="1:5">
      <c r="A1500" s="26" t="s">
        <v>2826</v>
      </c>
      <c r="B1500" s="26" t="s">
        <v>2827</v>
      </c>
      <c r="C1500" s="26" t="s">
        <v>50</v>
      </c>
      <c r="D1500" s="27">
        <v>279</v>
      </c>
      <c r="E1500" t="e">
        <f>VLOOKUP(B1500,Кат!G:J,3,0)</f>
        <v>#N/A</v>
      </c>
    </row>
    <row r="1501" spans="1:5">
      <c r="A1501" s="26" t="s">
        <v>2828</v>
      </c>
      <c r="B1501" s="26" t="s">
        <v>2829</v>
      </c>
      <c r="C1501" s="26" t="s">
        <v>50</v>
      </c>
      <c r="D1501" s="27">
        <v>302</v>
      </c>
      <c r="E1501" t="e">
        <f>VLOOKUP(B1501,Кат!G:J,3,0)</f>
        <v>#N/A</v>
      </c>
    </row>
    <row r="1502" spans="1:5" ht="22.5">
      <c r="A1502" s="26" t="s">
        <v>2830</v>
      </c>
      <c r="B1502" s="26" t="s">
        <v>2831</v>
      </c>
      <c r="C1502" s="26" t="s">
        <v>50</v>
      </c>
      <c r="D1502" s="27">
        <v>340</v>
      </c>
      <c r="E1502" t="e">
        <f>VLOOKUP(B1502,Кат!G:J,3,0)</f>
        <v>#N/A</v>
      </c>
    </row>
    <row r="1503" spans="1:5">
      <c r="A1503" s="23" t="s">
        <v>2832</v>
      </c>
      <c r="B1503" s="24"/>
      <c r="C1503" s="24"/>
      <c r="D1503" s="25"/>
      <c r="E1503" t="e">
        <f>VLOOKUP(B1503,Кат!G:J,3,0)</f>
        <v>#N/A</v>
      </c>
    </row>
    <row r="1504" spans="1:5">
      <c r="A1504" s="29" t="s">
        <v>2833</v>
      </c>
      <c r="B1504" s="30"/>
      <c r="C1504" s="30"/>
      <c r="D1504" s="31"/>
      <c r="E1504" t="e">
        <f>VLOOKUP(B1504,Кат!G:J,3,0)</f>
        <v>#N/A</v>
      </c>
    </row>
    <row r="1505" spans="1:5" ht="22.5">
      <c r="A1505" s="26" t="s">
        <v>2834</v>
      </c>
      <c r="B1505" s="26" t="s">
        <v>2835</v>
      </c>
      <c r="C1505" s="26" t="s">
        <v>49</v>
      </c>
      <c r="D1505" s="27">
        <v>82</v>
      </c>
      <c r="E1505" t="e">
        <f>VLOOKUP(B1505,Кат!G:J,3,0)</f>
        <v>#N/A</v>
      </c>
    </row>
    <row r="1506" spans="1:5" ht="22.5">
      <c r="A1506" s="26" t="s">
        <v>2836</v>
      </c>
      <c r="B1506" s="26" t="s">
        <v>2837</v>
      </c>
      <c r="C1506" s="26" t="s">
        <v>49</v>
      </c>
      <c r="D1506" s="27">
        <v>115</v>
      </c>
      <c r="E1506" t="e">
        <f>VLOOKUP(B1506,Кат!G:J,3,0)</f>
        <v>#N/A</v>
      </c>
    </row>
    <row r="1507" spans="1:5" ht="22.5">
      <c r="A1507" s="26" t="s">
        <v>2838</v>
      </c>
      <c r="B1507" s="26" t="s">
        <v>2839</v>
      </c>
      <c r="C1507" s="26" t="s">
        <v>49</v>
      </c>
      <c r="D1507" s="27">
        <v>175</v>
      </c>
      <c r="E1507" t="e">
        <f>VLOOKUP(B1507,Кат!G:J,3,0)</f>
        <v>#N/A</v>
      </c>
    </row>
    <row r="1508" spans="1:5">
      <c r="A1508" s="26" t="s">
        <v>2840</v>
      </c>
      <c r="B1508" s="26" t="s">
        <v>2841</v>
      </c>
      <c r="C1508" s="26" t="s">
        <v>49</v>
      </c>
      <c r="D1508" s="27">
        <v>320</v>
      </c>
      <c r="E1508" t="e">
        <f>VLOOKUP(B1508,Кат!G:J,3,0)</f>
        <v>#N/A</v>
      </c>
    </row>
    <row r="1509" spans="1:5">
      <c r="A1509" s="26" t="s">
        <v>2842</v>
      </c>
      <c r="B1509" s="26" t="s">
        <v>2843</v>
      </c>
      <c r="C1509" s="26" t="s">
        <v>1108</v>
      </c>
      <c r="D1509" s="27">
        <v>320</v>
      </c>
      <c r="E1509" t="e">
        <f>VLOOKUP(B1509,Кат!G:J,3,0)</f>
        <v>#N/A</v>
      </c>
    </row>
    <row r="1510" spans="1:5">
      <c r="A1510" s="26" t="s">
        <v>2844</v>
      </c>
      <c r="B1510" s="26" t="s">
        <v>2845</v>
      </c>
      <c r="C1510" s="26" t="s">
        <v>1108</v>
      </c>
      <c r="D1510" s="27">
        <v>320</v>
      </c>
      <c r="E1510" t="e">
        <f>VLOOKUP(B1510,Кат!G:J,3,0)</f>
        <v>#N/A</v>
      </c>
    </row>
    <row r="1511" spans="1:5">
      <c r="A1511" s="26" t="s">
        <v>2846</v>
      </c>
      <c r="B1511" s="26" t="s">
        <v>2847</v>
      </c>
      <c r="C1511" s="26" t="s">
        <v>1108</v>
      </c>
      <c r="D1511" s="27">
        <v>320</v>
      </c>
      <c r="E1511" t="e">
        <f>VLOOKUP(B1511,Кат!G:J,3,0)</f>
        <v>#N/A</v>
      </c>
    </row>
    <row r="1512" spans="1:5">
      <c r="A1512" s="26" t="s">
        <v>2848</v>
      </c>
      <c r="B1512" s="26" t="s">
        <v>2849</v>
      </c>
      <c r="C1512" s="26" t="s">
        <v>1108</v>
      </c>
      <c r="D1512" s="27">
        <v>320</v>
      </c>
      <c r="E1512" t="e">
        <f>VLOOKUP(B1512,Кат!G:J,3,0)</f>
        <v>#N/A</v>
      </c>
    </row>
    <row r="1513" spans="1:5">
      <c r="A1513" s="26" t="s">
        <v>2850</v>
      </c>
      <c r="B1513" s="26" t="s">
        <v>2851</v>
      </c>
      <c r="C1513" s="26" t="s">
        <v>1108</v>
      </c>
      <c r="D1513" s="27">
        <v>320</v>
      </c>
      <c r="E1513" t="e">
        <f>VLOOKUP(B1513,Кат!G:J,3,0)</f>
        <v>#N/A</v>
      </c>
    </row>
    <row r="1514" spans="1:5">
      <c r="A1514" s="26" t="s">
        <v>2852</v>
      </c>
      <c r="B1514" s="26" t="s">
        <v>2853</v>
      </c>
      <c r="C1514" s="26" t="s">
        <v>1108</v>
      </c>
      <c r="D1514" s="27">
        <v>320</v>
      </c>
      <c r="E1514" t="e">
        <f>VLOOKUP(B1514,Кат!G:J,3,0)</f>
        <v>#N/A</v>
      </c>
    </row>
    <row r="1515" spans="1:5">
      <c r="A1515" s="26" t="s">
        <v>2854</v>
      </c>
      <c r="B1515" s="26" t="s">
        <v>2855</v>
      </c>
      <c r="C1515" s="26" t="s">
        <v>1108</v>
      </c>
      <c r="D1515" s="27">
        <v>320</v>
      </c>
      <c r="E1515" t="e">
        <f>VLOOKUP(B1515,Кат!G:J,3,0)</f>
        <v>#N/A</v>
      </c>
    </row>
    <row r="1516" spans="1:5">
      <c r="A1516" s="26" t="s">
        <v>2856</v>
      </c>
      <c r="B1516" s="26" t="s">
        <v>2857</v>
      </c>
      <c r="C1516" s="26" t="s">
        <v>1108</v>
      </c>
      <c r="D1516" s="27">
        <v>320</v>
      </c>
      <c r="E1516" t="e">
        <f>VLOOKUP(B1516,Кат!G:J,3,0)</f>
        <v>#N/A</v>
      </c>
    </row>
    <row r="1517" spans="1:5">
      <c r="A1517" s="26" t="s">
        <v>2858</v>
      </c>
      <c r="B1517" s="26" t="s">
        <v>2859</v>
      </c>
      <c r="C1517" s="26" t="s">
        <v>1108</v>
      </c>
      <c r="D1517" s="27">
        <v>320</v>
      </c>
      <c r="E1517" t="e">
        <f>VLOOKUP(B1517,Кат!G:J,3,0)</f>
        <v>#N/A</v>
      </c>
    </row>
    <row r="1518" spans="1:5" ht="22.5">
      <c r="A1518" s="26" t="s">
        <v>2860</v>
      </c>
      <c r="B1518" s="26" t="s">
        <v>2861</v>
      </c>
      <c r="C1518" s="26" t="s">
        <v>1108</v>
      </c>
      <c r="D1518" s="27">
        <v>395.9</v>
      </c>
      <c r="E1518" t="e">
        <f>VLOOKUP(B1518,Кат!G:J,3,0)</f>
        <v>#N/A</v>
      </c>
    </row>
    <row r="1519" spans="1:5" ht="22.5">
      <c r="A1519" s="26" t="s">
        <v>2862</v>
      </c>
      <c r="B1519" s="26" t="s">
        <v>2863</v>
      </c>
      <c r="C1519" s="26" t="s">
        <v>1108</v>
      </c>
      <c r="D1519" s="27">
        <v>395.9</v>
      </c>
      <c r="E1519" t="e">
        <f>VLOOKUP(B1519,Кат!G:J,3,0)</f>
        <v>#N/A</v>
      </c>
    </row>
    <row r="1520" spans="1:5" ht="22.5">
      <c r="A1520" s="26" t="s">
        <v>2864</v>
      </c>
      <c r="B1520" s="26" t="s">
        <v>2865</v>
      </c>
      <c r="C1520" s="26" t="s">
        <v>1108</v>
      </c>
      <c r="D1520" s="27">
        <v>395.9</v>
      </c>
      <c r="E1520" t="e">
        <f>VLOOKUP(B1520,Кат!G:J,3,0)</f>
        <v>#N/A</v>
      </c>
    </row>
    <row r="1521" spans="1:5" ht="22.5">
      <c r="A1521" s="26" t="s">
        <v>2866</v>
      </c>
      <c r="B1521" s="26" t="s">
        <v>2867</v>
      </c>
      <c r="C1521" s="26" t="s">
        <v>1108</v>
      </c>
      <c r="D1521" s="27">
        <v>395.9</v>
      </c>
      <c r="E1521" t="e">
        <f>VLOOKUP(B1521,Кат!G:J,3,0)</f>
        <v>#N/A</v>
      </c>
    </row>
    <row r="1522" spans="1:5">
      <c r="A1522" s="26" t="s">
        <v>2868</v>
      </c>
      <c r="B1522" s="26" t="s">
        <v>2869</v>
      </c>
      <c r="C1522" s="26" t="s">
        <v>1108</v>
      </c>
      <c r="D1522" s="27">
        <v>333</v>
      </c>
      <c r="E1522" t="e">
        <f>VLOOKUP(B1522,Кат!G:J,3,0)</f>
        <v>#N/A</v>
      </c>
    </row>
    <row r="1523" spans="1:5">
      <c r="A1523" s="26" t="s">
        <v>2870</v>
      </c>
      <c r="B1523" s="26" t="s">
        <v>2871</v>
      </c>
      <c r="C1523" s="26" t="s">
        <v>1108</v>
      </c>
      <c r="D1523" s="27">
        <v>333</v>
      </c>
      <c r="E1523" t="e">
        <f>VLOOKUP(B1523,Кат!G:J,3,0)</f>
        <v>#N/A</v>
      </c>
    </row>
    <row r="1524" spans="1:5">
      <c r="A1524" s="26" t="s">
        <v>2872</v>
      </c>
      <c r="B1524" s="26" t="s">
        <v>2873</v>
      </c>
      <c r="C1524" s="26" t="s">
        <v>1108</v>
      </c>
      <c r="D1524" s="27">
        <v>333</v>
      </c>
      <c r="E1524" t="e">
        <f>VLOOKUP(B1524,Кат!G:J,3,0)</f>
        <v>#N/A</v>
      </c>
    </row>
    <row r="1525" spans="1:5" ht="22.5">
      <c r="A1525" s="26" t="s">
        <v>2874</v>
      </c>
      <c r="B1525" s="26" t="s">
        <v>2875</v>
      </c>
      <c r="C1525" s="26" t="s">
        <v>1108</v>
      </c>
      <c r="D1525" s="27">
        <v>333</v>
      </c>
      <c r="E1525" t="e">
        <f>VLOOKUP(B1525,Кат!G:J,3,0)</f>
        <v>#N/A</v>
      </c>
    </row>
    <row r="1526" spans="1:5">
      <c r="A1526" s="26" t="s">
        <v>4355</v>
      </c>
      <c r="B1526" s="26" t="s">
        <v>4356</v>
      </c>
      <c r="C1526" s="26" t="s">
        <v>1108</v>
      </c>
      <c r="D1526" s="27">
        <v>333</v>
      </c>
      <c r="E1526" t="e">
        <f>VLOOKUP(B1526,Кат!G:J,3,0)</f>
        <v>#N/A</v>
      </c>
    </row>
    <row r="1527" spans="1:5">
      <c r="A1527" s="26" t="s">
        <v>2876</v>
      </c>
      <c r="B1527" s="26" t="s">
        <v>2877</v>
      </c>
      <c r="C1527" s="26" t="s">
        <v>1108</v>
      </c>
      <c r="D1527" s="27">
        <v>333</v>
      </c>
      <c r="E1527" t="e">
        <f>VLOOKUP(B1527,Кат!G:J,3,0)</f>
        <v>#N/A</v>
      </c>
    </row>
    <row r="1528" spans="1:5">
      <c r="A1528" s="26" t="s">
        <v>2878</v>
      </c>
      <c r="B1528" s="26" t="s">
        <v>2879</v>
      </c>
      <c r="C1528" s="26" t="s">
        <v>1108</v>
      </c>
      <c r="D1528" s="27">
        <v>333</v>
      </c>
      <c r="E1528" t="e">
        <f>VLOOKUP(B1528,Кат!G:J,3,0)</f>
        <v>#N/A</v>
      </c>
    </row>
    <row r="1529" spans="1:5" ht="22.5">
      <c r="A1529" s="26" t="s">
        <v>2880</v>
      </c>
      <c r="B1529" s="26" t="s">
        <v>2881</v>
      </c>
      <c r="C1529" s="26" t="s">
        <v>1108</v>
      </c>
      <c r="D1529" s="27">
        <v>680</v>
      </c>
      <c r="E1529" t="e">
        <f>VLOOKUP(B1529,Кат!G:J,3,0)</f>
        <v>#N/A</v>
      </c>
    </row>
    <row r="1530" spans="1:5" ht="22.5">
      <c r="A1530" s="26" t="s">
        <v>2882</v>
      </c>
      <c r="B1530" s="26" t="s">
        <v>2883</v>
      </c>
      <c r="C1530" s="26" t="s">
        <v>1108</v>
      </c>
      <c r="D1530" s="27">
        <v>680</v>
      </c>
      <c r="E1530" t="e">
        <f>VLOOKUP(B1530,Кат!G:J,3,0)</f>
        <v>#N/A</v>
      </c>
    </row>
    <row r="1531" spans="1:5" ht="22.5">
      <c r="A1531" s="26" t="s">
        <v>2884</v>
      </c>
      <c r="B1531" s="26" t="s">
        <v>2885</v>
      </c>
      <c r="C1531" s="26" t="s">
        <v>1108</v>
      </c>
      <c r="D1531" s="27">
        <v>680</v>
      </c>
      <c r="E1531" t="e">
        <f>VLOOKUP(B1531,Кат!G:J,3,0)</f>
        <v>#N/A</v>
      </c>
    </row>
    <row r="1532" spans="1:5" ht="22.5">
      <c r="A1532" s="26" t="s">
        <v>2886</v>
      </c>
      <c r="B1532" s="26" t="s">
        <v>2887</v>
      </c>
      <c r="C1532" s="26" t="s">
        <v>1108</v>
      </c>
      <c r="D1532" s="27">
        <v>680</v>
      </c>
      <c r="E1532" t="e">
        <f>VLOOKUP(B1532,Кат!G:J,3,0)</f>
        <v>#N/A</v>
      </c>
    </row>
    <row r="1533" spans="1:5" ht="22.5">
      <c r="A1533" s="26" t="s">
        <v>2888</v>
      </c>
      <c r="B1533" s="26" t="s">
        <v>2889</v>
      </c>
      <c r="C1533" s="26" t="s">
        <v>1108</v>
      </c>
      <c r="D1533" s="27">
        <v>680</v>
      </c>
      <c r="E1533" t="e">
        <f>VLOOKUP(B1533,Кат!G:J,3,0)</f>
        <v>#N/A</v>
      </c>
    </row>
    <row r="1534" spans="1:5" ht="22.5">
      <c r="A1534" s="26" t="s">
        <v>2890</v>
      </c>
      <c r="B1534" s="26" t="s">
        <v>2891</v>
      </c>
      <c r="C1534" s="26" t="s">
        <v>1108</v>
      </c>
      <c r="D1534" s="27">
        <v>680</v>
      </c>
      <c r="E1534" t="e">
        <f>VLOOKUP(B1534,Кат!G:J,3,0)</f>
        <v>#N/A</v>
      </c>
    </row>
    <row r="1535" spans="1:5" ht="22.5">
      <c r="A1535" s="26" t="s">
        <v>2892</v>
      </c>
      <c r="B1535" s="26" t="s">
        <v>2893</v>
      </c>
      <c r="C1535" s="26" t="s">
        <v>1108</v>
      </c>
      <c r="D1535" s="27">
        <v>680</v>
      </c>
      <c r="E1535" t="e">
        <f>VLOOKUP(B1535,Кат!G:J,3,0)</f>
        <v>#N/A</v>
      </c>
    </row>
    <row r="1536" spans="1:5">
      <c r="A1536" s="29" t="s">
        <v>2894</v>
      </c>
      <c r="B1536" s="30"/>
      <c r="C1536" s="30"/>
      <c r="D1536" s="31"/>
      <c r="E1536" t="e">
        <f>VLOOKUP(B1536,Кат!G:J,3,0)</f>
        <v>#N/A</v>
      </c>
    </row>
    <row r="1537" spans="1:5" ht="22.5">
      <c r="A1537" s="26" t="s">
        <v>2895</v>
      </c>
      <c r="B1537" s="26" t="s">
        <v>2896</v>
      </c>
      <c r="C1537" s="26" t="s">
        <v>50</v>
      </c>
      <c r="D1537" s="27">
        <v>181.2</v>
      </c>
      <c r="E1537" t="e">
        <f>VLOOKUP(B1537,Кат!G:J,3,0)</f>
        <v>#N/A</v>
      </c>
    </row>
    <row r="1538" spans="1:5" ht="22.5">
      <c r="A1538" s="26" t="s">
        <v>2897</v>
      </c>
      <c r="B1538" s="26" t="s">
        <v>2898</v>
      </c>
      <c r="C1538" s="26" t="s">
        <v>50</v>
      </c>
      <c r="D1538" s="27">
        <v>181.2</v>
      </c>
      <c r="E1538" t="e">
        <f>VLOOKUP(B1538,Кат!G:J,3,0)</f>
        <v>#N/A</v>
      </c>
    </row>
    <row r="1539" spans="1:5" ht="22.5">
      <c r="A1539" s="26" t="s">
        <v>2899</v>
      </c>
      <c r="B1539" s="26" t="s">
        <v>2900</v>
      </c>
      <c r="C1539" s="26" t="s">
        <v>50</v>
      </c>
      <c r="D1539" s="27">
        <v>181.2</v>
      </c>
      <c r="E1539" t="e">
        <f>VLOOKUP(B1539,Кат!G:J,3,0)</f>
        <v>#N/A</v>
      </c>
    </row>
    <row r="1540" spans="1:5" ht="22.5">
      <c r="A1540" s="26" t="s">
        <v>2901</v>
      </c>
      <c r="B1540" s="26" t="s">
        <v>2902</v>
      </c>
      <c r="C1540" s="26" t="s">
        <v>50</v>
      </c>
      <c r="D1540" s="27">
        <v>103.6</v>
      </c>
      <c r="E1540" t="e">
        <f>VLOOKUP(B1540,Кат!G:J,3,0)</f>
        <v>#N/A</v>
      </c>
    </row>
    <row r="1541" spans="1:5" ht="22.5">
      <c r="A1541" s="26" t="s">
        <v>2903</v>
      </c>
      <c r="B1541" s="26" t="s">
        <v>2904</v>
      </c>
      <c r="C1541" s="26" t="s">
        <v>50</v>
      </c>
      <c r="D1541" s="27">
        <v>150</v>
      </c>
      <c r="E1541" t="e">
        <f>VLOOKUP(B1541,Кат!G:J,3,0)</f>
        <v>#N/A</v>
      </c>
    </row>
    <row r="1542" spans="1:5" ht="22.5">
      <c r="A1542" s="26" t="s">
        <v>2905</v>
      </c>
      <c r="B1542" s="26" t="s">
        <v>2906</v>
      </c>
      <c r="C1542" s="26" t="s">
        <v>50</v>
      </c>
      <c r="D1542" s="27">
        <v>150</v>
      </c>
      <c r="E1542" t="e">
        <f>VLOOKUP(B1542,Кат!G:J,3,0)</f>
        <v>#N/A</v>
      </c>
    </row>
    <row r="1543" spans="1:5" ht="22.5">
      <c r="A1543" s="26" t="s">
        <v>2907</v>
      </c>
      <c r="B1543" s="26" t="s">
        <v>2908</v>
      </c>
      <c r="C1543" s="26" t="s">
        <v>50</v>
      </c>
      <c r="D1543" s="27">
        <v>150</v>
      </c>
      <c r="E1543" t="e">
        <f>VLOOKUP(B1543,Кат!G:J,3,0)</f>
        <v>#N/A</v>
      </c>
    </row>
    <row r="1544" spans="1:5" ht="22.5">
      <c r="A1544" s="26" t="s">
        <v>2909</v>
      </c>
      <c r="B1544" s="26" t="s">
        <v>2910</v>
      </c>
      <c r="C1544" s="26" t="s">
        <v>50</v>
      </c>
      <c r="D1544" s="27">
        <v>150</v>
      </c>
      <c r="E1544" t="e">
        <f>VLOOKUP(B1544,Кат!G:J,3,0)</f>
        <v>#N/A</v>
      </c>
    </row>
    <row r="1545" spans="1:5" ht="22.5">
      <c r="A1545" s="26" t="s">
        <v>2911</v>
      </c>
      <c r="B1545" s="26" t="s">
        <v>2912</v>
      </c>
      <c r="C1545" s="26" t="s">
        <v>50</v>
      </c>
      <c r="D1545" s="27">
        <v>150</v>
      </c>
      <c r="E1545" t="e">
        <f>VLOOKUP(B1545,Кат!G:J,3,0)</f>
        <v>#N/A</v>
      </c>
    </row>
    <row r="1546" spans="1:5" ht="22.5">
      <c r="A1546" s="26" t="s">
        <v>2913</v>
      </c>
      <c r="B1546" s="26" t="s">
        <v>2914</v>
      </c>
      <c r="C1546" s="26" t="s">
        <v>50</v>
      </c>
      <c r="D1546" s="27">
        <v>88.9</v>
      </c>
      <c r="E1546" t="e">
        <f>VLOOKUP(B1546,Кат!G:J,3,0)</f>
        <v>#N/A</v>
      </c>
    </row>
    <row r="1547" spans="1:5" ht="22.5">
      <c r="A1547" s="26" t="s">
        <v>2915</v>
      </c>
      <c r="B1547" s="26" t="s">
        <v>2916</v>
      </c>
      <c r="C1547" s="26" t="s">
        <v>50</v>
      </c>
      <c r="D1547" s="27">
        <v>88.9</v>
      </c>
      <c r="E1547" t="e">
        <f>VLOOKUP(B1547,Кат!G:J,3,0)</f>
        <v>#N/A</v>
      </c>
    </row>
    <row r="1548" spans="1:5" ht="22.5">
      <c r="A1548" s="26" t="s">
        <v>2917</v>
      </c>
      <c r="B1548" s="26" t="s">
        <v>2918</v>
      </c>
      <c r="C1548" s="26" t="s">
        <v>50</v>
      </c>
      <c r="D1548" s="27">
        <v>88.9</v>
      </c>
      <c r="E1548" t="e">
        <f>VLOOKUP(B1548,Кат!G:J,3,0)</f>
        <v>#N/A</v>
      </c>
    </row>
    <row r="1549" spans="1:5" ht="22.5">
      <c r="A1549" s="26" t="s">
        <v>2919</v>
      </c>
      <c r="B1549" s="26" t="s">
        <v>2920</v>
      </c>
      <c r="C1549" s="26" t="s">
        <v>50</v>
      </c>
      <c r="D1549" s="27">
        <v>88.9</v>
      </c>
      <c r="E1549" t="e">
        <f>VLOOKUP(B1549,Кат!G:J,3,0)</f>
        <v>#N/A</v>
      </c>
    </row>
    <row r="1550" spans="1:5" ht="22.5">
      <c r="A1550" s="26" t="s">
        <v>2921</v>
      </c>
      <c r="B1550" s="26" t="s">
        <v>2922</v>
      </c>
      <c r="C1550" s="26" t="s">
        <v>50</v>
      </c>
      <c r="D1550" s="27">
        <v>88.9</v>
      </c>
      <c r="E1550" t="e">
        <f>VLOOKUP(B1550,Кат!G:J,3,0)</f>
        <v>#N/A</v>
      </c>
    </row>
    <row r="1551" spans="1:5" ht="22.5">
      <c r="A1551" s="26" t="s">
        <v>2923</v>
      </c>
      <c r="B1551" s="26" t="s">
        <v>2924</v>
      </c>
      <c r="C1551" s="26" t="s">
        <v>50</v>
      </c>
      <c r="D1551" s="27">
        <v>93.9</v>
      </c>
      <c r="E1551" t="e">
        <f>VLOOKUP(B1551,Кат!G:J,3,0)</f>
        <v>#N/A</v>
      </c>
    </row>
    <row r="1552" spans="1:5" ht="22.5">
      <c r="A1552" s="26" t="s">
        <v>2925</v>
      </c>
      <c r="B1552" s="26" t="s">
        <v>2926</v>
      </c>
      <c r="C1552" s="26" t="s">
        <v>50</v>
      </c>
      <c r="D1552" s="27">
        <v>93.9</v>
      </c>
      <c r="E1552" t="e">
        <f>VLOOKUP(B1552,Кат!G:J,3,0)</f>
        <v>#N/A</v>
      </c>
    </row>
    <row r="1553" spans="1:5" ht="22.5">
      <c r="A1553" s="26" t="s">
        <v>2927</v>
      </c>
      <c r="B1553" s="26" t="s">
        <v>2928</v>
      </c>
      <c r="C1553" s="26" t="s">
        <v>50</v>
      </c>
      <c r="D1553" s="27">
        <v>93.9</v>
      </c>
      <c r="E1553" t="e">
        <f>VLOOKUP(B1553,Кат!G:J,3,0)</f>
        <v>#N/A</v>
      </c>
    </row>
    <row r="1554" spans="1:5" ht="22.5">
      <c r="A1554" s="26" t="s">
        <v>2929</v>
      </c>
      <c r="B1554" s="26" t="s">
        <v>2930</v>
      </c>
      <c r="C1554" s="26" t="s">
        <v>50</v>
      </c>
      <c r="D1554" s="27">
        <v>93.9</v>
      </c>
      <c r="E1554" t="e">
        <f>VLOOKUP(B1554,Кат!G:J,3,0)</f>
        <v>#N/A</v>
      </c>
    </row>
    <row r="1555" spans="1:5" ht="22.5">
      <c r="A1555" s="26" t="s">
        <v>2931</v>
      </c>
      <c r="B1555" s="26" t="s">
        <v>2932</v>
      </c>
      <c r="C1555" s="26" t="s">
        <v>50</v>
      </c>
      <c r="D1555" s="27">
        <v>93.9</v>
      </c>
      <c r="E1555" t="e">
        <f>VLOOKUP(B1555,Кат!G:J,3,0)</f>
        <v>#N/A</v>
      </c>
    </row>
    <row r="1556" spans="1:5" ht="22.5">
      <c r="A1556" s="26" t="s">
        <v>2933</v>
      </c>
      <c r="B1556" s="26" t="s">
        <v>2934</v>
      </c>
      <c r="C1556" s="26" t="s">
        <v>50</v>
      </c>
      <c r="D1556" s="27">
        <v>229.7</v>
      </c>
      <c r="E1556" t="e">
        <f>VLOOKUP(B1556,Кат!G:J,3,0)</f>
        <v>#N/A</v>
      </c>
    </row>
    <row r="1557" spans="1:5" ht="22.5">
      <c r="A1557" s="26" t="s">
        <v>2935</v>
      </c>
      <c r="B1557" s="26" t="s">
        <v>2936</v>
      </c>
      <c r="C1557" s="26" t="s">
        <v>50</v>
      </c>
      <c r="D1557" s="27">
        <v>229.7</v>
      </c>
      <c r="E1557" t="e">
        <f>VLOOKUP(B1557,Кат!G:J,3,0)</f>
        <v>#N/A</v>
      </c>
    </row>
    <row r="1558" spans="1:5" ht="22.5">
      <c r="A1558" s="26" t="s">
        <v>2937</v>
      </c>
      <c r="B1558" s="26" t="s">
        <v>2938</v>
      </c>
      <c r="C1558" s="26" t="s">
        <v>50</v>
      </c>
      <c r="D1558" s="27">
        <v>229.7</v>
      </c>
      <c r="E1558" t="e">
        <f>VLOOKUP(B1558,Кат!G:J,3,0)</f>
        <v>#N/A</v>
      </c>
    </row>
    <row r="1559" spans="1:5" ht="22.5">
      <c r="A1559" s="26" t="s">
        <v>2939</v>
      </c>
      <c r="B1559" s="26" t="s">
        <v>2940</v>
      </c>
      <c r="C1559" s="26" t="s">
        <v>50</v>
      </c>
      <c r="D1559" s="27">
        <v>200.5</v>
      </c>
      <c r="E1559" t="e">
        <f>VLOOKUP(B1559,Кат!G:J,3,0)</f>
        <v>#N/A</v>
      </c>
    </row>
    <row r="1560" spans="1:5" ht="22.5">
      <c r="A1560" s="26" t="s">
        <v>2941</v>
      </c>
      <c r="B1560" s="26" t="s">
        <v>2942</v>
      </c>
      <c r="C1560" s="26" t="s">
        <v>50</v>
      </c>
      <c r="D1560" s="27">
        <v>200.5</v>
      </c>
      <c r="E1560" t="e">
        <f>VLOOKUP(B1560,Кат!G:J,3,0)</f>
        <v>#N/A</v>
      </c>
    </row>
    <row r="1561" spans="1:5" ht="22.5">
      <c r="A1561" s="26" t="s">
        <v>2943</v>
      </c>
      <c r="B1561" s="26" t="s">
        <v>2944</v>
      </c>
      <c r="C1561" s="26" t="s">
        <v>50</v>
      </c>
      <c r="D1561" s="27">
        <v>200.5</v>
      </c>
      <c r="E1561" t="e">
        <f>VLOOKUP(B1561,Кат!G:J,3,0)</f>
        <v>#N/A</v>
      </c>
    </row>
    <row r="1562" spans="1:5" ht="22.5">
      <c r="A1562" s="26" t="s">
        <v>2945</v>
      </c>
      <c r="B1562" s="26" t="s">
        <v>2946</v>
      </c>
      <c r="C1562" s="26" t="s">
        <v>50</v>
      </c>
      <c r="D1562" s="27">
        <v>200.5</v>
      </c>
      <c r="E1562" t="e">
        <f>VLOOKUP(B1562,Кат!G:J,3,0)</f>
        <v>#N/A</v>
      </c>
    </row>
    <row r="1563" spans="1:5" ht="22.5">
      <c r="A1563" s="26" t="s">
        <v>2947</v>
      </c>
      <c r="B1563" s="26" t="s">
        <v>2948</v>
      </c>
      <c r="C1563" s="26" t="s">
        <v>50</v>
      </c>
      <c r="D1563" s="27">
        <v>200.5</v>
      </c>
      <c r="E1563" t="e">
        <f>VLOOKUP(B1563,Кат!G:J,3,0)</f>
        <v>#N/A</v>
      </c>
    </row>
    <row r="1564" spans="1:5" ht="22.5">
      <c r="A1564" s="26" t="s">
        <v>2949</v>
      </c>
      <c r="B1564" s="26" t="s">
        <v>2950</v>
      </c>
      <c r="C1564" s="26" t="s">
        <v>50</v>
      </c>
      <c r="D1564" s="27">
        <v>206.8</v>
      </c>
      <c r="E1564" t="e">
        <f>VLOOKUP(B1564,Кат!G:J,3,0)</f>
        <v>#N/A</v>
      </c>
    </row>
    <row r="1565" spans="1:5" ht="22.5">
      <c r="A1565" s="26" t="s">
        <v>2951</v>
      </c>
      <c r="B1565" s="26" t="s">
        <v>2952</v>
      </c>
      <c r="C1565" s="26" t="s">
        <v>50</v>
      </c>
      <c r="D1565" s="27">
        <v>206.8</v>
      </c>
      <c r="E1565" t="e">
        <f>VLOOKUP(B1565,Кат!G:J,3,0)</f>
        <v>#N/A</v>
      </c>
    </row>
    <row r="1566" spans="1:5" ht="22.5">
      <c r="A1566" s="26" t="s">
        <v>2953</v>
      </c>
      <c r="B1566" s="26" t="s">
        <v>2954</v>
      </c>
      <c r="C1566" s="26" t="s">
        <v>50</v>
      </c>
      <c r="D1566" s="27">
        <v>206.8</v>
      </c>
      <c r="E1566" t="e">
        <f>VLOOKUP(B1566,Кат!G:J,3,0)</f>
        <v>#N/A</v>
      </c>
    </row>
    <row r="1567" spans="1:5" ht="22.5">
      <c r="A1567" s="26" t="s">
        <v>2955</v>
      </c>
      <c r="B1567" s="26" t="s">
        <v>2956</v>
      </c>
      <c r="C1567" s="26" t="s">
        <v>50</v>
      </c>
      <c r="D1567" s="27">
        <v>206.8</v>
      </c>
      <c r="E1567" t="e">
        <f>VLOOKUP(B1567,Кат!G:J,3,0)</f>
        <v>#N/A</v>
      </c>
    </row>
    <row r="1568" spans="1:5" ht="22.5">
      <c r="A1568" s="26" t="s">
        <v>2957</v>
      </c>
      <c r="B1568" s="26" t="s">
        <v>2958</v>
      </c>
      <c r="C1568" s="26" t="s">
        <v>50</v>
      </c>
      <c r="D1568" s="27">
        <v>206.8</v>
      </c>
      <c r="E1568" t="e">
        <f>VLOOKUP(B1568,Кат!G:J,3,0)</f>
        <v>#N/A</v>
      </c>
    </row>
    <row r="1569" spans="1:5" ht="22.5">
      <c r="A1569" s="26" t="s">
        <v>2959</v>
      </c>
      <c r="B1569" s="26" t="s">
        <v>2960</v>
      </c>
      <c r="C1569" s="26" t="s">
        <v>50</v>
      </c>
      <c r="D1569" s="27">
        <v>206.8</v>
      </c>
      <c r="E1569" t="e">
        <f>VLOOKUP(B1569,Кат!G:J,3,0)</f>
        <v>#N/A</v>
      </c>
    </row>
    <row r="1570" spans="1:5" ht="22.5">
      <c r="A1570" s="26" t="s">
        <v>2961</v>
      </c>
      <c r="B1570" s="26" t="s">
        <v>2962</v>
      </c>
      <c r="C1570" s="26" t="s">
        <v>50</v>
      </c>
      <c r="D1570" s="27">
        <v>206.8</v>
      </c>
      <c r="E1570" t="e">
        <f>VLOOKUP(B1570,Кат!G:J,3,0)</f>
        <v>#N/A</v>
      </c>
    </row>
    <row r="1571" spans="1:5">
      <c r="A1571" s="26" t="s">
        <v>2963</v>
      </c>
      <c r="B1571" s="26" t="s">
        <v>2964</v>
      </c>
      <c r="C1571" s="26" t="s">
        <v>50</v>
      </c>
      <c r="D1571" s="27">
        <v>202.2</v>
      </c>
      <c r="E1571" t="e">
        <f>VLOOKUP(B1571,Кат!G:J,3,0)</f>
        <v>#N/A</v>
      </c>
    </row>
    <row r="1572" spans="1:5">
      <c r="A1572" s="26" t="s">
        <v>2965</v>
      </c>
      <c r="B1572" s="26" t="s">
        <v>2966</v>
      </c>
      <c r="C1572" s="26" t="s">
        <v>50</v>
      </c>
      <c r="D1572" s="27">
        <v>202.2</v>
      </c>
      <c r="E1572" t="e">
        <f>VLOOKUP(B1572,Кат!G:J,3,0)</f>
        <v>#N/A</v>
      </c>
    </row>
    <row r="1573" spans="1:5">
      <c r="A1573" s="26" t="s">
        <v>2967</v>
      </c>
      <c r="B1573" s="26" t="s">
        <v>2968</v>
      </c>
      <c r="C1573" s="26" t="s">
        <v>50</v>
      </c>
      <c r="D1573" s="27">
        <v>202.2</v>
      </c>
      <c r="E1573" t="e">
        <f>VLOOKUP(B1573,Кат!G:J,3,0)</f>
        <v>#N/A</v>
      </c>
    </row>
    <row r="1574" spans="1:5">
      <c r="A1574" s="26" t="s">
        <v>2969</v>
      </c>
      <c r="B1574" s="26" t="s">
        <v>2970</v>
      </c>
      <c r="C1574" s="26" t="s">
        <v>50</v>
      </c>
      <c r="D1574" s="27">
        <v>202.2</v>
      </c>
      <c r="E1574" t="e">
        <f>VLOOKUP(B1574,Кат!G:J,3,0)</f>
        <v>#N/A</v>
      </c>
    </row>
    <row r="1575" spans="1:5">
      <c r="A1575" s="26" t="s">
        <v>2971</v>
      </c>
      <c r="B1575" s="26" t="s">
        <v>2972</v>
      </c>
      <c r="C1575" s="26" t="s">
        <v>50</v>
      </c>
      <c r="D1575" s="27">
        <v>70.7</v>
      </c>
      <c r="E1575" t="e">
        <f>VLOOKUP(B1575,Кат!G:J,3,0)</f>
        <v>#N/A</v>
      </c>
    </row>
    <row r="1576" spans="1:5">
      <c r="A1576" s="26" t="s">
        <v>2973</v>
      </c>
      <c r="B1576" s="26" t="s">
        <v>2974</v>
      </c>
      <c r="C1576" s="26" t="s">
        <v>50</v>
      </c>
      <c r="D1576" s="27">
        <v>70.7</v>
      </c>
      <c r="E1576" t="e">
        <f>VLOOKUP(B1576,Кат!G:J,3,0)</f>
        <v>#N/A</v>
      </c>
    </row>
    <row r="1577" spans="1:5">
      <c r="A1577" s="26" t="s">
        <v>2975</v>
      </c>
      <c r="B1577" s="26" t="s">
        <v>2976</v>
      </c>
      <c r="C1577" s="26" t="s">
        <v>50</v>
      </c>
      <c r="D1577" s="27">
        <v>70.7</v>
      </c>
      <c r="E1577" t="e">
        <f>VLOOKUP(B1577,Кат!G:J,3,0)</f>
        <v>#N/A</v>
      </c>
    </row>
    <row r="1578" spans="1:5">
      <c r="A1578" s="26" t="s">
        <v>2977</v>
      </c>
      <c r="B1578" s="26" t="s">
        <v>2978</v>
      </c>
      <c r="C1578" s="26" t="s">
        <v>50</v>
      </c>
      <c r="D1578" s="27">
        <v>70.7</v>
      </c>
      <c r="E1578" t="e">
        <f>VLOOKUP(B1578,Кат!G:J,3,0)</f>
        <v>#N/A</v>
      </c>
    </row>
    <row r="1579" spans="1:5">
      <c r="A1579" s="26" t="s">
        <v>2979</v>
      </c>
      <c r="B1579" s="26" t="s">
        <v>2980</v>
      </c>
      <c r="C1579" s="26" t="s">
        <v>50</v>
      </c>
      <c r="D1579" s="27">
        <v>70.7</v>
      </c>
      <c r="E1579" t="e">
        <f>VLOOKUP(B1579,Кат!G:J,3,0)</f>
        <v>#N/A</v>
      </c>
    </row>
    <row r="1580" spans="1:5" ht="22.5">
      <c r="A1580" s="26" t="s">
        <v>2981</v>
      </c>
      <c r="B1580" s="26" t="s">
        <v>2982</v>
      </c>
      <c r="C1580" s="26" t="s">
        <v>50</v>
      </c>
      <c r="D1580" s="27">
        <v>160.1</v>
      </c>
      <c r="E1580" t="e">
        <f>VLOOKUP(B1580,Кат!G:J,3,0)</f>
        <v>#N/A</v>
      </c>
    </row>
    <row r="1581" spans="1:5">
      <c r="A1581" s="29" t="s">
        <v>2983</v>
      </c>
      <c r="B1581" s="30"/>
      <c r="C1581" s="30"/>
      <c r="D1581" s="31"/>
      <c r="E1581" t="e">
        <f>VLOOKUP(B1581,Кат!G:J,3,0)</f>
        <v>#N/A</v>
      </c>
    </row>
    <row r="1582" spans="1:5" ht="22.5">
      <c r="A1582" s="26" t="s">
        <v>2984</v>
      </c>
      <c r="B1582" s="26" t="s">
        <v>2985</v>
      </c>
      <c r="C1582" s="26" t="s">
        <v>50</v>
      </c>
      <c r="D1582" s="27">
        <v>99.6</v>
      </c>
      <c r="E1582" t="e">
        <f>VLOOKUP(B1582,Кат!G:J,3,0)</f>
        <v>#N/A</v>
      </c>
    </row>
    <row r="1583" spans="1:5" ht="22.5">
      <c r="A1583" s="26" t="s">
        <v>2986</v>
      </c>
      <c r="B1583" s="26" t="s">
        <v>2987</v>
      </c>
      <c r="C1583" s="26" t="s">
        <v>50</v>
      </c>
      <c r="D1583" s="27">
        <v>85.1</v>
      </c>
      <c r="E1583" t="e">
        <f>VLOOKUP(B1583,Кат!G:J,3,0)</f>
        <v>#N/A</v>
      </c>
    </row>
    <row r="1584" spans="1:5" ht="22.5">
      <c r="A1584" s="26" t="s">
        <v>2988</v>
      </c>
      <c r="B1584" s="26" t="s">
        <v>2989</v>
      </c>
      <c r="C1584" s="26" t="s">
        <v>50</v>
      </c>
      <c r="D1584" s="27">
        <v>370.3</v>
      </c>
      <c r="E1584" t="e">
        <f>VLOOKUP(B1584,Кат!G:J,3,0)</f>
        <v>#N/A</v>
      </c>
    </row>
    <row r="1585" spans="1:5" ht="22.5">
      <c r="A1585" s="26" t="s">
        <v>2990</v>
      </c>
      <c r="B1585" s="32">
        <v>1851509</v>
      </c>
      <c r="C1585" s="26" t="s">
        <v>1108</v>
      </c>
      <c r="D1585" s="27">
        <v>94.5</v>
      </c>
      <c r="E1585" t="e">
        <f>VLOOKUP(B1585,Кат!G:J,3,0)</f>
        <v>#N/A</v>
      </c>
    </row>
    <row r="1586" spans="1:5" ht="22.5">
      <c r="A1586" s="26" t="s">
        <v>2991</v>
      </c>
      <c r="B1586" s="32">
        <v>1855509</v>
      </c>
      <c r="C1586" s="26" t="s">
        <v>1108</v>
      </c>
      <c r="D1586" s="27">
        <v>99.3</v>
      </c>
      <c r="E1586" t="e">
        <f>VLOOKUP(B1586,Кат!G:J,3,0)</f>
        <v>#N/A</v>
      </c>
    </row>
    <row r="1587" spans="1:5" ht="22.5">
      <c r="A1587" s="26" t="s">
        <v>2992</v>
      </c>
      <c r="B1587" s="32">
        <v>1853079</v>
      </c>
      <c r="C1587" s="26" t="s">
        <v>1108</v>
      </c>
      <c r="D1587" s="27">
        <v>100.8</v>
      </c>
      <c r="E1587" t="e">
        <f>VLOOKUP(B1587,Кат!G:J,3,0)</f>
        <v>#N/A</v>
      </c>
    </row>
    <row r="1588" spans="1:5" ht="22.5">
      <c r="A1588" s="26" t="s">
        <v>2993</v>
      </c>
      <c r="B1588" s="32">
        <v>1857209</v>
      </c>
      <c r="C1588" s="26" t="s">
        <v>1108</v>
      </c>
      <c r="D1588" s="27">
        <v>126</v>
      </c>
      <c r="E1588" t="e">
        <f>VLOOKUP(B1588,Кат!G:J,3,0)</f>
        <v>#N/A</v>
      </c>
    </row>
    <row r="1589" spans="1:5" ht="22.5">
      <c r="A1589" s="26" t="s">
        <v>2994</v>
      </c>
      <c r="B1589" s="32">
        <v>1852009</v>
      </c>
      <c r="C1589" s="26" t="s">
        <v>1108</v>
      </c>
      <c r="D1589" s="27">
        <v>66.7</v>
      </c>
      <c r="E1589" t="e">
        <f>VLOOKUP(B1589,Кат!G:J,3,0)</f>
        <v>#N/A</v>
      </c>
    </row>
    <row r="1590" spans="1:5" ht="22.5">
      <c r="A1590" s="26" t="s">
        <v>2995</v>
      </c>
      <c r="B1590" s="32">
        <v>1856009</v>
      </c>
      <c r="C1590" s="26" t="s">
        <v>1108</v>
      </c>
      <c r="D1590" s="27">
        <v>99.3</v>
      </c>
      <c r="E1590" t="e">
        <f>VLOOKUP(B1590,Кат!G:J,3,0)</f>
        <v>#N/A</v>
      </c>
    </row>
    <row r="1591" spans="1:5" ht="22.5">
      <c r="A1591" s="26" t="s">
        <v>2996</v>
      </c>
      <c r="B1591" s="32">
        <v>1862009</v>
      </c>
      <c r="C1591" s="26" t="s">
        <v>1108</v>
      </c>
      <c r="D1591" s="27">
        <v>135</v>
      </c>
      <c r="E1591" t="e">
        <f>VLOOKUP(B1591,Кат!G:J,3,0)</f>
        <v>#N/A</v>
      </c>
    </row>
    <row r="1592" spans="1:5" ht="22.5">
      <c r="A1592" s="26" t="s">
        <v>2997</v>
      </c>
      <c r="B1592" s="32">
        <v>1863259</v>
      </c>
      <c r="C1592" s="26" t="s">
        <v>1108</v>
      </c>
      <c r="D1592" s="27">
        <v>263.10000000000002</v>
      </c>
      <c r="E1592" t="e">
        <f>VLOOKUP(B1592,Кат!G:J,3,0)</f>
        <v>#N/A</v>
      </c>
    </row>
    <row r="1593" spans="1:5">
      <c r="A1593" s="26" t="s">
        <v>2998</v>
      </c>
      <c r="B1593" s="32">
        <v>1506655</v>
      </c>
      <c r="C1593" s="26" t="s">
        <v>50</v>
      </c>
      <c r="D1593" s="27">
        <v>103.8</v>
      </c>
      <c r="E1593" t="e">
        <f>VLOOKUP(B1593,Кат!G:J,3,0)</f>
        <v>#N/A</v>
      </c>
    </row>
    <row r="1594" spans="1:5" ht="22.5">
      <c r="A1594" s="26" t="s">
        <v>2999</v>
      </c>
      <c r="B1594" s="26" t="s">
        <v>3000</v>
      </c>
      <c r="C1594" s="26" t="s">
        <v>50</v>
      </c>
      <c r="D1594" s="27">
        <v>28.9</v>
      </c>
      <c r="E1594" t="e">
        <f>VLOOKUP(B1594,Кат!G:J,3,0)</f>
        <v>#N/A</v>
      </c>
    </row>
    <row r="1595" spans="1:5" ht="22.5">
      <c r="A1595" s="26" t="s">
        <v>3001</v>
      </c>
      <c r="B1595" s="26" t="s">
        <v>3002</v>
      </c>
      <c r="C1595" s="26" t="s">
        <v>50</v>
      </c>
      <c r="D1595" s="27">
        <v>42.3</v>
      </c>
      <c r="E1595" t="e">
        <f>VLOOKUP(B1595,Кат!G:J,3,0)</f>
        <v>#N/A</v>
      </c>
    </row>
    <row r="1596" spans="1:5" ht="22.5">
      <c r="A1596" s="26" t="s">
        <v>3003</v>
      </c>
      <c r="B1596" s="26" t="s">
        <v>3004</v>
      </c>
      <c r="C1596" s="26" t="s">
        <v>50</v>
      </c>
      <c r="D1596" s="27">
        <v>116.7</v>
      </c>
      <c r="E1596" t="e">
        <f>VLOOKUP(B1596,Кат!G:J,3,0)</f>
        <v>#N/A</v>
      </c>
    </row>
    <row r="1597" spans="1:5" ht="22.5">
      <c r="A1597" s="26" t="s">
        <v>3005</v>
      </c>
      <c r="B1597" s="33">
        <v>100302</v>
      </c>
      <c r="C1597" s="26" t="s">
        <v>50</v>
      </c>
      <c r="D1597" s="27">
        <v>335.5</v>
      </c>
      <c r="E1597" t="e">
        <f>VLOOKUP(B1597,Кат!G:J,3,0)</f>
        <v>#N/A</v>
      </c>
    </row>
    <row r="1598" spans="1:5" ht="22.5">
      <c r="A1598" s="26" t="s">
        <v>3006</v>
      </c>
      <c r="B1598" s="32">
        <v>2508683</v>
      </c>
      <c r="C1598" s="26" t="s">
        <v>50</v>
      </c>
      <c r="D1598" s="27">
        <v>329.2</v>
      </c>
      <c r="E1598" t="e">
        <f>VLOOKUP(B1598,Кат!G:J,3,0)</f>
        <v>#N/A</v>
      </c>
    </row>
    <row r="1599" spans="1:5" ht="22.5">
      <c r="A1599" s="26" t="s">
        <v>3007</v>
      </c>
      <c r="B1599" s="32">
        <v>4510090</v>
      </c>
      <c r="C1599" s="26" t="s">
        <v>1108</v>
      </c>
      <c r="D1599" s="27">
        <v>54.1</v>
      </c>
      <c r="E1599" t="e">
        <f>VLOOKUP(B1599,Кат!G:J,3,0)</f>
        <v>#N/A</v>
      </c>
    </row>
    <row r="1600" spans="1:5" ht="22.5">
      <c r="A1600" s="26" t="s">
        <v>3008</v>
      </c>
      <c r="B1600" s="32">
        <v>4510091</v>
      </c>
      <c r="C1600" s="26" t="s">
        <v>1108</v>
      </c>
      <c r="D1600" s="27">
        <v>54.1</v>
      </c>
      <c r="E1600" t="e">
        <f>VLOOKUP(B1600,Кат!G:J,3,0)</f>
        <v>#N/A</v>
      </c>
    </row>
    <row r="1601" spans="1:5" ht="22.5">
      <c r="A1601" s="26" t="s">
        <v>3009</v>
      </c>
      <c r="B1601" s="32">
        <v>4510092</v>
      </c>
      <c r="C1601" s="26" t="s">
        <v>1108</v>
      </c>
      <c r="D1601" s="27">
        <v>63.6</v>
      </c>
      <c r="E1601" t="e">
        <f>VLOOKUP(B1601,Кат!G:J,3,0)</f>
        <v>#N/A</v>
      </c>
    </row>
    <row r="1602" spans="1:5">
      <c r="A1602" s="23" t="s">
        <v>3010</v>
      </c>
      <c r="B1602" s="24"/>
      <c r="C1602" s="24"/>
      <c r="D1602" s="25"/>
      <c r="E1602" t="e">
        <f>VLOOKUP(B1602,Кат!G:J,3,0)</f>
        <v>#N/A</v>
      </c>
    </row>
    <row r="1603" spans="1:5" ht="22.5">
      <c r="A1603" s="26" t="s">
        <v>3011</v>
      </c>
      <c r="B1603" s="32">
        <v>7084</v>
      </c>
      <c r="C1603" s="26" t="s">
        <v>49</v>
      </c>
      <c r="D1603" s="28">
        <v>1480</v>
      </c>
      <c r="E1603" t="e">
        <f>VLOOKUP(B1603,Кат!G:J,3,0)</f>
        <v>#N/A</v>
      </c>
    </row>
    <row r="1604" spans="1:5">
      <c r="A1604" s="26" t="s">
        <v>3012</v>
      </c>
      <c r="B1604" s="32">
        <v>5282</v>
      </c>
      <c r="C1604" s="26" t="s">
        <v>49</v>
      </c>
      <c r="D1604" s="27">
        <v>980</v>
      </c>
      <c r="E1604" t="e">
        <f>VLOOKUP(B1604,Кат!G:J,3,0)</f>
        <v>#N/A</v>
      </c>
    </row>
    <row r="1605" spans="1:5">
      <c r="A1605" s="26" t="s">
        <v>3013</v>
      </c>
      <c r="B1605" s="32">
        <v>5339</v>
      </c>
      <c r="C1605" s="26" t="s">
        <v>49</v>
      </c>
      <c r="D1605" s="27">
        <v>870</v>
      </c>
      <c r="E1605" t="e">
        <f>VLOOKUP(B1605,Кат!G:J,3,0)</f>
        <v>#N/A</v>
      </c>
    </row>
    <row r="1606" spans="1:5">
      <c r="A1606" s="23" t="s">
        <v>3014</v>
      </c>
      <c r="B1606" s="24"/>
      <c r="C1606" s="24"/>
      <c r="D1606" s="25"/>
      <c r="E1606" t="e">
        <f>VLOOKUP(B1606,Кат!G:J,3,0)</f>
        <v>#N/A</v>
      </c>
    </row>
    <row r="1607" spans="1:5">
      <c r="A1607" s="29" t="s">
        <v>3015</v>
      </c>
      <c r="B1607" s="30"/>
      <c r="C1607" s="30"/>
      <c r="D1607" s="31"/>
      <c r="E1607" t="e">
        <f>VLOOKUP(B1607,Кат!G:J,3,0)</f>
        <v>#N/A</v>
      </c>
    </row>
    <row r="1608" spans="1:5">
      <c r="A1608" s="26" t="s">
        <v>3016</v>
      </c>
      <c r="B1608" s="26" t="s">
        <v>3017</v>
      </c>
      <c r="C1608" s="26" t="s">
        <v>50</v>
      </c>
      <c r="D1608" s="27">
        <v>21.5</v>
      </c>
      <c r="E1608" t="e">
        <f>VLOOKUP(B1608,Кат!G:J,3,0)</f>
        <v>#N/A</v>
      </c>
    </row>
    <row r="1609" spans="1:5">
      <c r="A1609" s="26" t="s">
        <v>3018</v>
      </c>
      <c r="B1609" s="26" t="s">
        <v>3019</v>
      </c>
      <c r="C1609" s="26" t="s">
        <v>50</v>
      </c>
      <c r="D1609" s="27">
        <v>19.100000000000001</v>
      </c>
      <c r="E1609" t="e">
        <f>VLOOKUP(B1609,Кат!G:J,3,0)</f>
        <v>#N/A</v>
      </c>
    </row>
    <row r="1610" spans="1:5">
      <c r="A1610" s="26" t="s">
        <v>3020</v>
      </c>
      <c r="B1610" s="26" t="s">
        <v>3021</v>
      </c>
      <c r="C1610" s="26" t="s">
        <v>50</v>
      </c>
      <c r="D1610" s="27">
        <v>28.1</v>
      </c>
      <c r="E1610" t="e">
        <f>VLOOKUP(B1610,Кат!G:J,3,0)</f>
        <v>#N/A</v>
      </c>
    </row>
    <row r="1611" spans="1:5">
      <c r="A1611" s="29" t="s">
        <v>3022</v>
      </c>
      <c r="B1611" s="30"/>
      <c r="C1611" s="30"/>
      <c r="D1611" s="31"/>
      <c r="E1611" t="e">
        <f>VLOOKUP(B1611,Кат!G:J,3,0)</f>
        <v>#N/A</v>
      </c>
    </row>
    <row r="1612" spans="1:5">
      <c r="A1612" s="26" t="s">
        <v>3023</v>
      </c>
      <c r="B1612" s="26" t="s">
        <v>3024</v>
      </c>
      <c r="C1612" s="26" t="s">
        <v>50</v>
      </c>
      <c r="D1612" s="27">
        <v>18.899999999999999</v>
      </c>
      <c r="E1612" t="e">
        <f>VLOOKUP(B1612,Кат!G:J,3,0)</f>
        <v>#N/A</v>
      </c>
    </row>
    <row r="1613" spans="1:5">
      <c r="A1613" s="26" t="s">
        <v>3025</v>
      </c>
      <c r="B1613" s="26" t="s">
        <v>3026</v>
      </c>
      <c r="C1613" s="26" t="s">
        <v>50</v>
      </c>
      <c r="D1613" s="27">
        <v>19.3</v>
      </c>
      <c r="E1613" t="e">
        <f>VLOOKUP(B1613,Кат!G:J,3,0)</f>
        <v>#N/A</v>
      </c>
    </row>
    <row r="1614" spans="1:5">
      <c r="A1614" s="26" t="s">
        <v>3027</v>
      </c>
      <c r="B1614" s="26" t="s">
        <v>3028</v>
      </c>
      <c r="C1614" s="26" t="s">
        <v>50</v>
      </c>
      <c r="D1614" s="27">
        <v>19.2</v>
      </c>
      <c r="E1614" t="e">
        <f>VLOOKUP(B1614,Кат!G:J,3,0)</f>
        <v>#N/A</v>
      </c>
    </row>
    <row r="1615" spans="1:5">
      <c r="A1615" s="26" t="s">
        <v>3029</v>
      </c>
      <c r="B1615" s="26" t="s">
        <v>3030</v>
      </c>
      <c r="C1615" s="26" t="s">
        <v>50</v>
      </c>
      <c r="D1615" s="27">
        <v>21.5</v>
      </c>
      <c r="E1615" t="e">
        <f>VLOOKUP(B1615,Кат!G:J,3,0)</f>
        <v>#N/A</v>
      </c>
    </row>
    <row r="1616" spans="1:5">
      <c r="A1616" s="26" t="s">
        <v>3031</v>
      </c>
      <c r="B1616" s="26" t="s">
        <v>3032</v>
      </c>
      <c r="C1616" s="26" t="s">
        <v>50</v>
      </c>
      <c r="D1616" s="27">
        <v>21.5</v>
      </c>
      <c r="E1616" t="e">
        <f>VLOOKUP(B1616,Кат!G:J,3,0)</f>
        <v>#N/A</v>
      </c>
    </row>
    <row r="1617" spans="1:5">
      <c r="A1617" s="26" t="s">
        <v>3033</v>
      </c>
      <c r="B1617" s="26" t="s">
        <v>3034</v>
      </c>
      <c r="C1617" s="26" t="s">
        <v>50</v>
      </c>
      <c r="D1617" s="27">
        <v>23.7</v>
      </c>
      <c r="E1617" t="e">
        <f>VLOOKUP(B1617,Кат!G:J,3,0)</f>
        <v>#N/A</v>
      </c>
    </row>
    <row r="1618" spans="1:5">
      <c r="A1618" s="26" t="s">
        <v>3035</v>
      </c>
      <c r="B1618" s="26" t="s">
        <v>3036</v>
      </c>
      <c r="C1618" s="26" t="s">
        <v>50</v>
      </c>
      <c r="D1618" s="27">
        <v>24.2</v>
      </c>
      <c r="E1618" t="e">
        <f>VLOOKUP(B1618,Кат!G:J,3,0)</f>
        <v>#N/A</v>
      </c>
    </row>
    <row r="1619" spans="1:5">
      <c r="A1619" s="26" t="s">
        <v>3037</v>
      </c>
      <c r="B1619" s="26" t="s">
        <v>3038</v>
      </c>
      <c r="C1619" s="26" t="s">
        <v>50</v>
      </c>
      <c r="D1619" s="27">
        <v>24.5</v>
      </c>
      <c r="E1619" t="e">
        <f>VLOOKUP(B1619,Кат!G:J,3,0)</f>
        <v>#N/A</v>
      </c>
    </row>
    <row r="1620" spans="1:5">
      <c r="A1620" s="26" t="s">
        <v>3039</v>
      </c>
      <c r="B1620" s="26" t="s">
        <v>3040</v>
      </c>
      <c r="C1620" s="26" t="s">
        <v>50</v>
      </c>
      <c r="D1620" s="27">
        <v>25.9</v>
      </c>
      <c r="E1620" t="e">
        <f>VLOOKUP(B1620,Кат!G:J,3,0)</f>
        <v>#N/A</v>
      </c>
    </row>
    <row r="1621" spans="1:5">
      <c r="A1621" s="26" t="s">
        <v>3041</v>
      </c>
      <c r="B1621" s="26" t="s">
        <v>3042</v>
      </c>
      <c r="C1621" s="26" t="s">
        <v>50</v>
      </c>
      <c r="D1621" s="27">
        <v>26.4</v>
      </c>
      <c r="E1621" t="e">
        <f>VLOOKUP(B1621,Кат!G:J,3,0)</f>
        <v>#N/A</v>
      </c>
    </row>
    <row r="1622" spans="1:5">
      <c r="A1622" s="26" t="s">
        <v>3043</v>
      </c>
      <c r="B1622" s="26" t="s">
        <v>3044</v>
      </c>
      <c r="C1622" s="26" t="s">
        <v>50</v>
      </c>
      <c r="D1622" s="27">
        <v>28.9</v>
      </c>
      <c r="E1622" t="e">
        <f>VLOOKUP(B1622,Кат!G:J,3,0)</f>
        <v>#N/A</v>
      </c>
    </row>
    <row r="1623" spans="1:5">
      <c r="A1623" s="26" t="s">
        <v>3045</v>
      </c>
      <c r="B1623" s="26" t="s">
        <v>3046</v>
      </c>
      <c r="C1623" s="26" t="s">
        <v>50</v>
      </c>
      <c r="D1623" s="27">
        <v>33.4</v>
      </c>
      <c r="E1623" t="e">
        <f>VLOOKUP(B1623,Кат!G:J,3,0)</f>
        <v>#N/A</v>
      </c>
    </row>
    <row r="1624" spans="1:5">
      <c r="A1624" s="26" t="s">
        <v>3047</v>
      </c>
      <c r="B1624" s="26" t="s">
        <v>3048</v>
      </c>
      <c r="C1624" s="26" t="s">
        <v>50</v>
      </c>
      <c r="D1624" s="27">
        <v>34.4</v>
      </c>
      <c r="E1624" t="e">
        <f>VLOOKUP(B1624,Кат!G:J,3,0)</f>
        <v>#N/A</v>
      </c>
    </row>
    <row r="1625" spans="1:5">
      <c r="A1625" s="26" t="s">
        <v>3049</v>
      </c>
      <c r="B1625" s="26" t="s">
        <v>3050</v>
      </c>
      <c r="C1625" s="26" t="s">
        <v>50</v>
      </c>
      <c r="D1625" s="27">
        <v>35.700000000000003</v>
      </c>
      <c r="E1625" t="e">
        <f>VLOOKUP(B1625,Кат!G:J,3,0)</f>
        <v>#N/A</v>
      </c>
    </row>
    <row r="1626" spans="1:5">
      <c r="A1626" s="23" t="s">
        <v>3051</v>
      </c>
      <c r="B1626" s="24"/>
      <c r="C1626" s="24"/>
      <c r="D1626" s="25"/>
      <c r="E1626" t="e">
        <f>VLOOKUP(B1626,Кат!G:J,3,0)</f>
        <v>#N/A</v>
      </c>
    </row>
    <row r="1627" spans="1:5">
      <c r="A1627" s="26" t="s">
        <v>3052</v>
      </c>
      <c r="B1627" s="33">
        <v>190052</v>
      </c>
      <c r="C1627" s="26" t="s">
        <v>50</v>
      </c>
      <c r="D1627" s="27">
        <v>98</v>
      </c>
      <c r="E1627" t="e">
        <f>VLOOKUP(B1627,Кат!G:J,3,0)</f>
        <v>#N/A</v>
      </c>
    </row>
    <row r="1628" spans="1:5">
      <c r="A1628" s="26" t="s">
        <v>3053</v>
      </c>
      <c r="B1628" s="33">
        <v>180052</v>
      </c>
      <c r="C1628" s="26" t="s">
        <v>50</v>
      </c>
      <c r="D1628" s="27">
        <v>98</v>
      </c>
      <c r="E1628" t="e">
        <f>VLOOKUP(B1628,Кат!G:J,3,0)</f>
        <v>#N/A</v>
      </c>
    </row>
    <row r="1629" spans="1:5">
      <c r="A1629" s="23" t="s">
        <v>3054</v>
      </c>
      <c r="B1629" s="24"/>
      <c r="C1629" s="24"/>
      <c r="D1629" s="25"/>
      <c r="E1629" t="e">
        <f>VLOOKUP(B1629,Кат!G:J,3,0)</f>
        <v>#N/A</v>
      </c>
    </row>
    <row r="1630" spans="1:5" ht="22.5">
      <c r="A1630" s="26" t="s">
        <v>3055</v>
      </c>
      <c r="B1630" s="26" t="s">
        <v>3056</v>
      </c>
      <c r="C1630" s="26" t="s">
        <v>49</v>
      </c>
      <c r="D1630" s="27">
        <v>780</v>
      </c>
      <c r="E1630" t="e">
        <f>VLOOKUP(B1630,Кат!G:J,3,0)</f>
        <v>#N/A</v>
      </c>
    </row>
    <row r="1631" spans="1:5" ht="22.5">
      <c r="A1631" s="26" t="s">
        <v>3057</v>
      </c>
      <c r="B1631" s="26" t="s">
        <v>3058</v>
      </c>
      <c r="C1631" s="26" t="s">
        <v>49</v>
      </c>
      <c r="D1631" s="27">
        <v>930</v>
      </c>
      <c r="E1631" t="e">
        <f>VLOOKUP(B1631,Кат!G:J,3,0)</f>
        <v>#N/A</v>
      </c>
    </row>
    <row r="1632" spans="1:5" ht="22.5">
      <c r="A1632" s="26" t="s">
        <v>3059</v>
      </c>
      <c r="B1632" s="26" t="s">
        <v>3060</v>
      </c>
      <c r="C1632" s="26" t="s">
        <v>49</v>
      </c>
      <c r="D1632" s="27">
        <v>762</v>
      </c>
      <c r="E1632" t="e">
        <f>VLOOKUP(B1632,Кат!G:J,3,0)</f>
        <v>#N/A</v>
      </c>
    </row>
    <row r="1633" spans="1:5">
      <c r="A1633" s="26" t="s">
        <v>3061</v>
      </c>
      <c r="B1633" s="26" t="s">
        <v>3062</v>
      </c>
      <c r="C1633" s="26" t="s">
        <v>49</v>
      </c>
      <c r="D1633" s="27">
        <v>305</v>
      </c>
      <c r="E1633" t="e">
        <f>VLOOKUP(B1633,Кат!G:J,3,0)</f>
        <v>#N/A</v>
      </c>
    </row>
    <row r="1634" spans="1:5">
      <c r="A1634" s="26" t="s">
        <v>3063</v>
      </c>
      <c r="B1634" s="26" t="s">
        <v>3064</v>
      </c>
      <c r="C1634" s="26" t="s">
        <v>49</v>
      </c>
      <c r="D1634" s="27">
        <v>305</v>
      </c>
      <c r="E1634" t="e">
        <f>VLOOKUP(B1634,Кат!G:J,3,0)</f>
        <v>#N/A</v>
      </c>
    </row>
    <row r="1635" spans="1:5">
      <c r="A1635" s="26" t="s">
        <v>3065</v>
      </c>
      <c r="B1635" s="26" t="s">
        <v>3066</v>
      </c>
      <c r="C1635" s="26" t="s">
        <v>49</v>
      </c>
      <c r="D1635" s="27">
        <v>305</v>
      </c>
      <c r="E1635" t="e">
        <f>VLOOKUP(B1635,Кат!G:J,3,0)</f>
        <v>#N/A</v>
      </c>
    </row>
    <row r="1636" spans="1:5">
      <c r="A1636" s="23" t="s">
        <v>3067</v>
      </c>
      <c r="B1636" s="24"/>
      <c r="C1636" s="24"/>
      <c r="D1636" s="25"/>
      <c r="E1636" t="e">
        <f>VLOOKUP(B1636,Кат!G:J,3,0)</f>
        <v>#N/A</v>
      </c>
    </row>
    <row r="1637" spans="1:5">
      <c r="A1637" s="26" t="s">
        <v>3068</v>
      </c>
      <c r="B1637" s="26" t="s">
        <v>3069</v>
      </c>
      <c r="C1637" s="26" t="s">
        <v>50</v>
      </c>
      <c r="D1637" s="27">
        <v>794</v>
      </c>
      <c r="E1637" t="e">
        <f>VLOOKUP(B1637,Кат!G:J,3,0)</f>
        <v>#N/A</v>
      </c>
    </row>
    <row r="1638" spans="1:5">
      <c r="A1638" s="26" t="s">
        <v>4357</v>
      </c>
      <c r="B1638" s="26" t="s">
        <v>4358</v>
      </c>
      <c r="C1638" s="26" t="s">
        <v>50</v>
      </c>
      <c r="D1638" s="27">
        <v>851</v>
      </c>
      <c r="E1638" t="e">
        <f>VLOOKUP(B1638,Кат!G:J,3,0)</f>
        <v>#N/A</v>
      </c>
    </row>
    <row r="1639" spans="1:5">
      <c r="A1639" s="26" t="s">
        <v>4359</v>
      </c>
      <c r="B1639" s="26" t="s">
        <v>4360</v>
      </c>
      <c r="C1639" s="26" t="s">
        <v>50</v>
      </c>
      <c r="D1639" s="27">
        <v>262</v>
      </c>
      <c r="E1639" t="e">
        <f>VLOOKUP(B1639,Кат!G:J,3,0)</f>
        <v>#N/A</v>
      </c>
    </row>
    <row r="1640" spans="1:5">
      <c r="A1640" s="26" t="s">
        <v>3070</v>
      </c>
      <c r="B1640" s="26" t="s">
        <v>3071</v>
      </c>
      <c r="C1640" s="26" t="s">
        <v>50</v>
      </c>
      <c r="D1640" s="27">
        <v>534</v>
      </c>
      <c r="E1640" t="e">
        <f>VLOOKUP(B1640,Кат!G:J,3,0)</f>
        <v>#N/A</v>
      </c>
    </row>
    <row r="1641" spans="1:5" ht="22.5">
      <c r="A1641" s="26" t="s">
        <v>3072</v>
      </c>
      <c r="B1641" s="26" t="s">
        <v>3073</v>
      </c>
      <c r="C1641" s="26" t="s">
        <v>50</v>
      </c>
      <c r="D1641" s="27">
        <v>511</v>
      </c>
      <c r="E1641" t="e">
        <f>VLOOKUP(B1641,Кат!G:J,3,0)</f>
        <v>#N/A</v>
      </c>
    </row>
    <row r="1642" spans="1:5">
      <c r="A1642" s="26" t="s">
        <v>3074</v>
      </c>
      <c r="B1642" s="26" t="s">
        <v>3075</v>
      </c>
      <c r="C1642" s="26" t="s">
        <v>50</v>
      </c>
      <c r="D1642" s="27">
        <v>829</v>
      </c>
      <c r="E1642" t="e">
        <f>VLOOKUP(B1642,Кат!G:J,3,0)</f>
        <v>#N/A</v>
      </c>
    </row>
    <row r="1643" spans="1:5">
      <c r="A1643" s="26" t="s">
        <v>3076</v>
      </c>
      <c r="B1643" s="26" t="s">
        <v>3077</v>
      </c>
      <c r="C1643" s="26" t="s">
        <v>50</v>
      </c>
      <c r="D1643" s="27">
        <v>840</v>
      </c>
      <c r="E1643" t="e">
        <f>VLOOKUP(B1643,Кат!G:J,3,0)</f>
        <v>#N/A</v>
      </c>
    </row>
    <row r="1644" spans="1:5">
      <c r="A1644" s="26" t="s">
        <v>3078</v>
      </c>
      <c r="B1644" s="26" t="s">
        <v>3079</v>
      </c>
      <c r="C1644" s="26" t="s">
        <v>50</v>
      </c>
      <c r="D1644" s="27">
        <v>568</v>
      </c>
      <c r="E1644" t="e">
        <f>VLOOKUP(B1644,Кат!G:J,3,0)</f>
        <v>#N/A</v>
      </c>
    </row>
    <row r="1645" spans="1:5" ht="22.5">
      <c r="A1645" s="26" t="s">
        <v>3080</v>
      </c>
      <c r="B1645" s="26" t="s">
        <v>3081</v>
      </c>
      <c r="C1645" s="26" t="s">
        <v>49</v>
      </c>
      <c r="D1645" s="28">
        <v>1566</v>
      </c>
      <c r="E1645" t="e">
        <f>VLOOKUP(B1645,Кат!G:J,3,0)</f>
        <v>#N/A</v>
      </c>
    </row>
    <row r="1646" spans="1:5" ht="22.5">
      <c r="A1646" s="26" t="s">
        <v>3082</v>
      </c>
      <c r="B1646" s="26" t="s">
        <v>3083</v>
      </c>
      <c r="C1646" s="26" t="s">
        <v>50</v>
      </c>
      <c r="D1646" s="27">
        <v>815</v>
      </c>
      <c r="E1646" t="e">
        <f>VLOOKUP(B1646,Кат!G:J,3,0)</f>
        <v>#N/A</v>
      </c>
    </row>
    <row r="1647" spans="1:5">
      <c r="A1647" s="26" t="s">
        <v>3084</v>
      </c>
      <c r="B1647" s="26" t="s">
        <v>3085</v>
      </c>
      <c r="C1647" s="26" t="s">
        <v>50</v>
      </c>
      <c r="D1647" s="27">
        <v>568</v>
      </c>
      <c r="E1647" t="e">
        <f>VLOOKUP(B1647,Кат!G:J,3,0)</f>
        <v>#N/A</v>
      </c>
    </row>
    <row r="1648" spans="1:5" ht="22.5">
      <c r="A1648" s="26" t="s">
        <v>3086</v>
      </c>
      <c r="B1648" s="26" t="s">
        <v>3087</v>
      </c>
      <c r="C1648" s="26" t="s">
        <v>50</v>
      </c>
      <c r="D1648" s="27">
        <v>965</v>
      </c>
      <c r="E1648" t="e">
        <f>VLOOKUP(B1648,Кат!G:J,3,0)</f>
        <v>#N/A</v>
      </c>
    </row>
    <row r="1649" spans="1:5" ht="22.5">
      <c r="A1649" s="26" t="s">
        <v>3088</v>
      </c>
      <c r="B1649" s="26" t="s">
        <v>3089</v>
      </c>
      <c r="C1649" s="26" t="s">
        <v>50</v>
      </c>
      <c r="D1649" s="28">
        <v>1418</v>
      </c>
      <c r="E1649" t="e">
        <f>VLOOKUP(B1649,Кат!G:J,3,0)</f>
        <v>#N/A</v>
      </c>
    </row>
    <row r="1650" spans="1:5" ht="22.5">
      <c r="A1650" s="26" t="s">
        <v>3090</v>
      </c>
      <c r="B1650" s="26" t="s">
        <v>3091</v>
      </c>
      <c r="C1650" s="26" t="s">
        <v>50</v>
      </c>
      <c r="D1650" s="27">
        <v>794</v>
      </c>
      <c r="E1650" t="e">
        <f>VLOOKUP(B1650,Кат!G:J,3,0)</f>
        <v>#N/A</v>
      </c>
    </row>
    <row r="1651" spans="1:5">
      <c r="A1651" s="26" t="s">
        <v>3092</v>
      </c>
      <c r="B1651" s="26" t="s">
        <v>3093</v>
      </c>
      <c r="C1651" s="26" t="s">
        <v>50</v>
      </c>
      <c r="D1651" s="27">
        <v>397</v>
      </c>
      <c r="E1651" t="e">
        <f>VLOOKUP(B1651,Кат!G:J,3,0)</f>
        <v>#N/A</v>
      </c>
    </row>
    <row r="1652" spans="1:5">
      <c r="A1652" s="26" t="s">
        <v>3094</v>
      </c>
      <c r="B1652" s="26" t="s">
        <v>3095</v>
      </c>
      <c r="C1652" s="26" t="s">
        <v>50</v>
      </c>
      <c r="D1652" s="27">
        <v>341</v>
      </c>
      <c r="E1652" t="e">
        <f>VLOOKUP(B1652,Кат!G:J,3,0)</f>
        <v>#N/A</v>
      </c>
    </row>
    <row r="1653" spans="1:5">
      <c r="A1653" s="26" t="s">
        <v>3096</v>
      </c>
      <c r="B1653" s="26" t="s">
        <v>3097</v>
      </c>
      <c r="C1653" s="26" t="s">
        <v>50</v>
      </c>
      <c r="D1653" s="27">
        <v>318</v>
      </c>
      <c r="E1653" t="e">
        <f>VLOOKUP(B1653,Кат!G:J,3,0)</f>
        <v>#N/A</v>
      </c>
    </row>
    <row r="1654" spans="1:5">
      <c r="A1654" s="26" t="s">
        <v>3098</v>
      </c>
      <c r="B1654" s="26" t="s">
        <v>3099</v>
      </c>
      <c r="C1654" s="26" t="s">
        <v>50</v>
      </c>
      <c r="D1654" s="27">
        <v>693</v>
      </c>
      <c r="E1654" t="e">
        <f>VLOOKUP(B1654,Кат!G:J,3,0)</f>
        <v>#N/A</v>
      </c>
    </row>
    <row r="1655" spans="1:5">
      <c r="A1655" s="26" t="s">
        <v>3100</v>
      </c>
      <c r="B1655" s="26" t="s">
        <v>3101</v>
      </c>
      <c r="C1655" s="26" t="s">
        <v>50</v>
      </c>
      <c r="D1655" s="27">
        <v>693</v>
      </c>
      <c r="E1655" t="e">
        <f>VLOOKUP(B1655,Кат!G:J,3,0)</f>
        <v>#N/A</v>
      </c>
    </row>
    <row r="1656" spans="1:5">
      <c r="A1656" s="26" t="s">
        <v>3102</v>
      </c>
      <c r="B1656" s="26" t="s">
        <v>3103</v>
      </c>
      <c r="C1656" s="26" t="s">
        <v>50</v>
      </c>
      <c r="D1656" s="27">
        <v>397</v>
      </c>
      <c r="E1656" t="e">
        <f>VLOOKUP(B1656,Кат!G:J,3,0)</f>
        <v>#N/A</v>
      </c>
    </row>
    <row r="1657" spans="1:5" ht="22.5">
      <c r="A1657" s="26" t="s">
        <v>3104</v>
      </c>
      <c r="B1657" s="26" t="s">
        <v>3105</v>
      </c>
      <c r="C1657" s="26" t="s">
        <v>50</v>
      </c>
      <c r="D1657" s="27">
        <v>330</v>
      </c>
      <c r="E1657" t="e">
        <f>VLOOKUP(B1657,Кат!G:J,3,0)</f>
        <v>#N/A</v>
      </c>
    </row>
    <row r="1658" spans="1:5" ht="22.5">
      <c r="A1658" s="26" t="s">
        <v>3106</v>
      </c>
      <c r="B1658" s="26" t="s">
        <v>3107</v>
      </c>
      <c r="C1658" s="26" t="s">
        <v>50</v>
      </c>
      <c r="D1658" s="27">
        <v>387</v>
      </c>
      <c r="E1658" t="e">
        <f>VLOOKUP(B1658,Кат!G:J,3,0)</f>
        <v>#N/A</v>
      </c>
    </row>
    <row r="1659" spans="1:5">
      <c r="A1659" s="26" t="s">
        <v>3108</v>
      </c>
      <c r="B1659" s="26" t="s">
        <v>3109</v>
      </c>
      <c r="C1659" s="26" t="s">
        <v>50</v>
      </c>
      <c r="D1659" s="28">
        <v>1815</v>
      </c>
      <c r="E1659" t="e">
        <f>VLOOKUP(B1659,Кат!G:J,3,0)</f>
        <v>#N/A</v>
      </c>
    </row>
    <row r="1660" spans="1:5" ht="22.5">
      <c r="A1660" s="26" t="s">
        <v>3110</v>
      </c>
      <c r="B1660" s="26" t="s">
        <v>3111</v>
      </c>
      <c r="C1660" s="26" t="s">
        <v>50</v>
      </c>
      <c r="D1660" s="27">
        <v>273</v>
      </c>
      <c r="E1660" t="e">
        <f>VLOOKUP(B1660,Кат!G:J,3,0)</f>
        <v>#N/A</v>
      </c>
    </row>
    <row r="1661" spans="1:5">
      <c r="A1661" s="23" t="s">
        <v>3112</v>
      </c>
      <c r="B1661" s="24"/>
      <c r="C1661" s="24"/>
      <c r="D1661" s="25"/>
      <c r="E1661" t="e">
        <f>VLOOKUP(B1661,Кат!G:J,3,0)</f>
        <v>#N/A</v>
      </c>
    </row>
    <row r="1662" spans="1:5" ht="24">
      <c r="A1662" s="29" t="s">
        <v>3113</v>
      </c>
      <c r="B1662" s="30"/>
      <c r="C1662" s="30"/>
      <c r="D1662" s="31"/>
      <c r="E1662" t="e">
        <f>VLOOKUP(B1662,Кат!G:J,3,0)</f>
        <v>#N/A</v>
      </c>
    </row>
    <row r="1663" spans="1:5" ht="22.5">
      <c r="A1663" s="26" t="s">
        <v>3114</v>
      </c>
      <c r="B1663" s="26" t="s">
        <v>3115</v>
      </c>
      <c r="C1663" s="26" t="s">
        <v>50</v>
      </c>
      <c r="D1663" s="27">
        <v>190</v>
      </c>
      <c r="E1663" t="e">
        <f>VLOOKUP(B1663,Кат!G:J,3,0)</f>
        <v>#N/A</v>
      </c>
    </row>
    <row r="1664" spans="1:5">
      <c r="A1664" s="26" t="s">
        <v>3116</v>
      </c>
      <c r="B1664" s="26" t="s">
        <v>3117</v>
      </c>
      <c r="C1664" s="26" t="s">
        <v>50</v>
      </c>
      <c r="D1664" s="27">
        <v>200</v>
      </c>
      <c r="E1664" t="e">
        <f>VLOOKUP(B1664,Кат!G:J,3,0)</f>
        <v>#N/A</v>
      </c>
    </row>
    <row r="1665" spans="1:5" ht="22.5">
      <c r="A1665" s="26" t="s">
        <v>3118</v>
      </c>
      <c r="B1665" s="26" t="s">
        <v>3119</v>
      </c>
      <c r="C1665" s="26" t="s">
        <v>50</v>
      </c>
      <c r="D1665" s="27">
        <v>290</v>
      </c>
      <c r="E1665" t="e">
        <f>VLOOKUP(B1665,Кат!G:J,3,0)</f>
        <v>#N/A</v>
      </c>
    </row>
    <row r="1666" spans="1:5">
      <c r="A1666" s="26" t="s">
        <v>3120</v>
      </c>
      <c r="B1666" s="26" t="s">
        <v>3121</v>
      </c>
      <c r="C1666" s="26" t="s">
        <v>50</v>
      </c>
      <c r="D1666" s="27">
        <v>280</v>
      </c>
      <c r="E1666" t="e">
        <f>VLOOKUP(B1666,Кат!G:J,3,0)</f>
        <v>#N/A</v>
      </c>
    </row>
    <row r="1667" spans="1:5" ht="22.5">
      <c r="A1667" s="26" t="s">
        <v>3122</v>
      </c>
      <c r="B1667" s="26" t="s">
        <v>3123</v>
      </c>
      <c r="C1667" s="26" t="s">
        <v>50</v>
      </c>
      <c r="D1667" s="27">
        <v>330</v>
      </c>
      <c r="E1667" t="e">
        <f>VLOOKUP(B1667,Кат!G:J,3,0)</f>
        <v>#N/A</v>
      </c>
    </row>
    <row r="1668" spans="1:5" ht="22.5">
      <c r="A1668" s="26" t="s">
        <v>3124</v>
      </c>
      <c r="B1668" s="26" t="s">
        <v>3125</v>
      </c>
      <c r="C1668" s="26" t="s">
        <v>50</v>
      </c>
      <c r="D1668" s="27">
        <v>420</v>
      </c>
      <c r="E1668" t="e">
        <f>VLOOKUP(B1668,Кат!G:J,3,0)</f>
        <v>#N/A</v>
      </c>
    </row>
    <row r="1669" spans="1:5" ht="22.5">
      <c r="A1669" s="26" t="s">
        <v>3126</v>
      </c>
      <c r="B1669" s="26" t="s">
        <v>3127</v>
      </c>
      <c r="C1669" s="26" t="s">
        <v>50</v>
      </c>
      <c r="D1669" s="27">
        <v>380</v>
      </c>
      <c r="E1669" t="e">
        <f>VLOOKUP(B1669,Кат!G:J,3,0)</f>
        <v>#N/A</v>
      </c>
    </row>
    <row r="1670" spans="1:5">
      <c r="A1670" s="29" t="s">
        <v>3128</v>
      </c>
      <c r="B1670" s="30"/>
      <c r="C1670" s="30"/>
      <c r="D1670" s="31"/>
      <c r="E1670" t="e">
        <f>VLOOKUP(B1670,Кат!G:J,3,0)</f>
        <v>#N/A</v>
      </c>
    </row>
    <row r="1671" spans="1:5">
      <c r="A1671" s="26" t="s">
        <v>3129</v>
      </c>
      <c r="B1671" s="26" t="s">
        <v>3130</v>
      </c>
      <c r="C1671" s="26" t="s">
        <v>50</v>
      </c>
      <c r="D1671" s="27">
        <v>95</v>
      </c>
      <c r="E1671" t="e">
        <f>VLOOKUP(B1671,Кат!G:J,3,0)</f>
        <v>#N/A</v>
      </c>
    </row>
    <row r="1672" spans="1:5" ht="22.5">
      <c r="A1672" s="26" t="s">
        <v>3131</v>
      </c>
      <c r="B1672" s="26" t="s">
        <v>3132</v>
      </c>
      <c r="C1672" s="26" t="s">
        <v>50</v>
      </c>
      <c r="D1672" s="27">
        <v>120</v>
      </c>
      <c r="E1672" t="e">
        <f>VLOOKUP(B1672,Кат!G:J,3,0)</f>
        <v>#N/A</v>
      </c>
    </row>
    <row r="1673" spans="1:5" ht="22.5">
      <c r="A1673" s="26" t="s">
        <v>3133</v>
      </c>
      <c r="B1673" s="26" t="s">
        <v>3134</v>
      </c>
      <c r="C1673" s="26" t="s">
        <v>50</v>
      </c>
      <c r="D1673" s="27">
        <v>90</v>
      </c>
      <c r="E1673" t="e">
        <f>VLOOKUP(B1673,Кат!G:J,3,0)</f>
        <v>#N/A</v>
      </c>
    </row>
    <row r="1674" spans="1:5">
      <c r="A1674" s="26" t="s">
        <v>3135</v>
      </c>
      <c r="B1674" s="26" t="s">
        <v>3136</v>
      </c>
      <c r="C1674" s="26" t="s">
        <v>50</v>
      </c>
      <c r="D1674" s="27">
        <v>285</v>
      </c>
      <c r="E1674" t="e">
        <f>VLOOKUP(B1674,Кат!G:J,3,0)</f>
        <v>#N/A</v>
      </c>
    </row>
    <row r="1675" spans="1:5" ht="22.5">
      <c r="A1675" s="26" t="s">
        <v>3137</v>
      </c>
      <c r="B1675" s="26" t="s">
        <v>3138</v>
      </c>
      <c r="C1675" s="26" t="s">
        <v>50</v>
      </c>
      <c r="D1675" s="27">
        <v>310</v>
      </c>
      <c r="E1675" t="e">
        <f>VLOOKUP(B1675,Кат!G:J,3,0)</f>
        <v>#N/A</v>
      </c>
    </row>
    <row r="1676" spans="1:5" ht="22.5">
      <c r="A1676" s="26" t="s">
        <v>3139</v>
      </c>
      <c r="B1676" s="26" t="s">
        <v>3140</v>
      </c>
      <c r="C1676" s="26" t="s">
        <v>50</v>
      </c>
      <c r="D1676" s="27">
        <v>195</v>
      </c>
      <c r="E1676" t="e">
        <f>VLOOKUP(B1676,Кат!G:J,3,0)</f>
        <v>#N/A</v>
      </c>
    </row>
    <row r="1677" spans="1:5" ht="22.5">
      <c r="A1677" s="26" t="s">
        <v>3141</v>
      </c>
      <c r="B1677" s="26" t="s">
        <v>3142</v>
      </c>
      <c r="C1677" s="26" t="s">
        <v>50</v>
      </c>
      <c r="D1677" s="27">
        <v>240</v>
      </c>
      <c r="E1677" t="e">
        <f>VLOOKUP(B1677,Кат!G:J,3,0)</f>
        <v>#N/A</v>
      </c>
    </row>
    <row r="1678" spans="1:5" ht="22.5">
      <c r="A1678" s="26" t="s">
        <v>3143</v>
      </c>
      <c r="B1678" s="26" t="s">
        <v>3144</v>
      </c>
      <c r="C1678" s="26" t="s">
        <v>50</v>
      </c>
      <c r="D1678" s="27">
        <v>300</v>
      </c>
      <c r="E1678" t="e">
        <f>VLOOKUP(B1678,Кат!G:J,3,0)</f>
        <v>#N/A</v>
      </c>
    </row>
    <row r="1679" spans="1:5">
      <c r="A1679" s="26" t="s">
        <v>3145</v>
      </c>
      <c r="B1679" s="26" t="s">
        <v>3146</v>
      </c>
      <c r="C1679" s="26" t="s">
        <v>50</v>
      </c>
      <c r="D1679" s="27">
        <v>140</v>
      </c>
      <c r="E1679" t="e">
        <f>VLOOKUP(B1679,Кат!G:J,3,0)</f>
        <v>#N/A</v>
      </c>
    </row>
    <row r="1680" spans="1:5" ht="22.5">
      <c r="A1680" s="26" t="s">
        <v>3147</v>
      </c>
      <c r="B1680" s="26" t="s">
        <v>3148</v>
      </c>
      <c r="C1680" s="26" t="s">
        <v>50</v>
      </c>
      <c r="D1680" s="27">
        <v>410</v>
      </c>
      <c r="E1680" t="e">
        <f>VLOOKUP(B1680,Кат!G:J,3,0)</f>
        <v>#N/A</v>
      </c>
    </row>
    <row r="1681" spans="1:5" ht="22.5">
      <c r="A1681" s="26" t="s">
        <v>3149</v>
      </c>
      <c r="B1681" s="26" t="s">
        <v>3150</v>
      </c>
      <c r="C1681" s="26" t="s">
        <v>50</v>
      </c>
      <c r="D1681" s="27">
        <v>480</v>
      </c>
      <c r="E1681" t="e">
        <f>VLOOKUP(B1681,Кат!G:J,3,0)</f>
        <v>#N/A</v>
      </c>
    </row>
    <row r="1682" spans="1:5" ht="22.5">
      <c r="A1682" s="26" t="s">
        <v>3151</v>
      </c>
      <c r="B1682" s="26" t="s">
        <v>3152</v>
      </c>
      <c r="C1682" s="26" t="s">
        <v>50</v>
      </c>
      <c r="D1682" s="27">
        <v>470</v>
      </c>
      <c r="E1682" t="e">
        <f>VLOOKUP(B1682,Кат!G:J,3,0)</f>
        <v>#N/A</v>
      </c>
    </row>
    <row r="1683" spans="1:5" ht="22.5">
      <c r="A1683" s="26" t="s">
        <v>3153</v>
      </c>
      <c r="B1683" s="26" t="s">
        <v>3154</v>
      </c>
      <c r="C1683" s="26" t="s">
        <v>50</v>
      </c>
      <c r="D1683" s="27">
        <v>85</v>
      </c>
      <c r="E1683" t="e">
        <f>VLOOKUP(B1683,Кат!G:J,3,0)</f>
        <v>#N/A</v>
      </c>
    </row>
    <row r="1684" spans="1:5" ht="22.5">
      <c r="A1684" s="26" t="s">
        <v>3155</v>
      </c>
      <c r="B1684" s="26" t="s">
        <v>3156</v>
      </c>
      <c r="C1684" s="26" t="s">
        <v>50</v>
      </c>
      <c r="D1684" s="27">
        <v>210</v>
      </c>
      <c r="E1684" t="e">
        <f>VLOOKUP(B1684,Кат!G:J,3,0)</f>
        <v>#N/A</v>
      </c>
    </row>
    <row r="1685" spans="1:5" ht="22.5">
      <c r="A1685" s="26" t="s">
        <v>3157</v>
      </c>
      <c r="B1685" s="26" t="s">
        <v>3158</v>
      </c>
      <c r="C1685" s="26" t="s">
        <v>50</v>
      </c>
      <c r="D1685" s="27">
        <v>95</v>
      </c>
      <c r="E1685" t="e">
        <f>VLOOKUP(B1685,Кат!G:J,3,0)</f>
        <v>#N/A</v>
      </c>
    </row>
    <row r="1686" spans="1:5">
      <c r="A1686" s="29" t="s">
        <v>3159</v>
      </c>
      <c r="B1686" s="30"/>
      <c r="C1686" s="30"/>
      <c r="D1686" s="31"/>
      <c r="E1686" t="e">
        <f>VLOOKUP(B1686,Кат!G:J,3,0)</f>
        <v>#N/A</v>
      </c>
    </row>
    <row r="1687" spans="1:5" ht="22.5">
      <c r="A1687" s="26" t="s">
        <v>3160</v>
      </c>
      <c r="B1687" s="26" t="s">
        <v>3161</v>
      </c>
      <c r="C1687" s="26" t="s">
        <v>50</v>
      </c>
      <c r="D1687" s="27">
        <v>615</v>
      </c>
      <c r="E1687" t="e">
        <f>VLOOKUP(B1687,Кат!G:J,3,0)</f>
        <v>#N/A</v>
      </c>
    </row>
    <row r="1688" spans="1:5" ht="22.5">
      <c r="A1688" s="26" t="s">
        <v>3162</v>
      </c>
      <c r="B1688" s="26" t="s">
        <v>3163</v>
      </c>
      <c r="C1688" s="26" t="s">
        <v>50</v>
      </c>
      <c r="D1688" s="27">
        <v>230</v>
      </c>
      <c r="E1688" t="e">
        <f>VLOOKUP(B1688,Кат!G:J,3,0)</f>
        <v>#N/A</v>
      </c>
    </row>
    <row r="1689" spans="1:5" ht="22.5">
      <c r="A1689" s="26" t="s">
        <v>3164</v>
      </c>
      <c r="B1689" s="26" t="s">
        <v>3165</v>
      </c>
      <c r="C1689" s="26" t="s">
        <v>50</v>
      </c>
      <c r="D1689" s="27">
        <v>240</v>
      </c>
      <c r="E1689" t="e">
        <f>VLOOKUP(B1689,Кат!G:J,3,0)</f>
        <v>#N/A</v>
      </c>
    </row>
    <row r="1690" spans="1:5" ht="22.5">
      <c r="A1690" s="26" t="s">
        <v>3166</v>
      </c>
      <c r="B1690" s="26" t="s">
        <v>3167</v>
      </c>
      <c r="C1690" s="26" t="s">
        <v>50</v>
      </c>
      <c r="D1690" s="27">
        <v>590</v>
      </c>
      <c r="E1690" t="e">
        <f>VLOOKUP(B1690,Кат!G:J,3,0)</f>
        <v>#N/A</v>
      </c>
    </row>
    <row r="1691" spans="1:5" ht="22.5">
      <c r="A1691" s="26" t="s">
        <v>3168</v>
      </c>
      <c r="B1691" s="26" t="s">
        <v>3169</v>
      </c>
      <c r="C1691" s="26" t="s">
        <v>50</v>
      </c>
      <c r="D1691" s="28">
        <v>1950</v>
      </c>
      <c r="E1691" t="e">
        <f>VLOOKUP(B1691,Кат!G:J,3,0)</f>
        <v>#N/A</v>
      </c>
    </row>
    <row r="1692" spans="1:5">
      <c r="A1692" s="26" t="s">
        <v>3170</v>
      </c>
      <c r="B1692" s="26" t="s">
        <v>3171</v>
      </c>
      <c r="C1692" s="26" t="s">
        <v>50</v>
      </c>
      <c r="D1692" s="27">
        <v>430</v>
      </c>
      <c r="E1692" t="e">
        <f>VLOOKUP(B1692,Кат!G:J,3,0)</f>
        <v>#N/A</v>
      </c>
    </row>
    <row r="1693" spans="1:5">
      <c r="A1693" s="26" t="s">
        <v>3172</v>
      </c>
      <c r="B1693" s="26" t="s">
        <v>3173</v>
      </c>
      <c r="C1693" s="26" t="s">
        <v>50</v>
      </c>
      <c r="D1693" s="27">
        <v>450</v>
      </c>
      <c r="E1693" t="e">
        <f>VLOOKUP(B1693,Кат!G:J,3,0)</f>
        <v>#N/A</v>
      </c>
    </row>
    <row r="1694" spans="1:5" ht="22.5">
      <c r="A1694" s="26" t="s">
        <v>3174</v>
      </c>
      <c r="B1694" s="26" t="s">
        <v>3175</v>
      </c>
      <c r="C1694" s="26" t="s">
        <v>50</v>
      </c>
      <c r="D1694" s="28">
        <v>1800</v>
      </c>
      <c r="E1694" t="e">
        <f>VLOOKUP(B1694,Кат!G:J,3,0)</f>
        <v>#N/A</v>
      </c>
    </row>
    <row r="1695" spans="1:5" ht="22.5">
      <c r="A1695" s="26" t="s">
        <v>3176</v>
      </c>
      <c r="B1695" s="26" t="s">
        <v>3177</v>
      </c>
      <c r="C1695" s="26" t="s">
        <v>50</v>
      </c>
      <c r="D1695" s="27">
        <v>280</v>
      </c>
      <c r="E1695" t="e">
        <f>VLOOKUP(B1695,Кат!G:J,3,0)</f>
        <v>#N/A</v>
      </c>
    </row>
    <row r="1696" spans="1:5">
      <c r="A1696" s="26" t="s">
        <v>3178</v>
      </c>
      <c r="B1696" s="26" t="s">
        <v>3179</v>
      </c>
      <c r="C1696" s="26" t="s">
        <v>50</v>
      </c>
      <c r="D1696" s="27">
        <v>230</v>
      </c>
      <c r="E1696" t="e">
        <f>VLOOKUP(B1696,Кат!G:J,3,0)</f>
        <v>#N/A</v>
      </c>
    </row>
    <row r="1697" spans="1:5" ht="22.5">
      <c r="A1697" s="26" t="s">
        <v>3180</v>
      </c>
      <c r="B1697" s="26" t="s">
        <v>3181</v>
      </c>
      <c r="C1697" s="26" t="s">
        <v>50</v>
      </c>
      <c r="D1697" s="27">
        <v>260</v>
      </c>
      <c r="E1697" t="e">
        <f>VLOOKUP(B1697,Кат!G:J,3,0)</f>
        <v>#N/A</v>
      </c>
    </row>
    <row r="1698" spans="1:5">
      <c r="A1698" s="23" t="s">
        <v>3182</v>
      </c>
      <c r="B1698" s="24"/>
      <c r="C1698" s="24"/>
      <c r="D1698" s="25"/>
      <c r="E1698" t="e">
        <f>VLOOKUP(B1698,Кат!G:J,3,0)</f>
        <v>#N/A</v>
      </c>
    </row>
    <row r="1699" spans="1:5">
      <c r="A1699" s="26" t="s">
        <v>3183</v>
      </c>
      <c r="B1699" s="26" t="s">
        <v>3184</v>
      </c>
      <c r="C1699" s="26" t="s">
        <v>49</v>
      </c>
      <c r="D1699" s="28">
        <v>5870</v>
      </c>
      <c r="E1699" t="e">
        <f>VLOOKUP(B1699,Кат!G:J,3,0)</f>
        <v>#N/A</v>
      </c>
    </row>
    <row r="1700" spans="1:5">
      <c r="A1700" s="23" t="s">
        <v>3185</v>
      </c>
      <c r="B1700" s="24"/>
      <c r="C1700" s="24"/>
      <c r="D1700" s="25"/>
      <c r="E1700" t="e">
        <f>VLOOKUP(B1700,Кат!G:J,3,0)</f>
        <v>#N/A</v>
      </c>
    </row>
    <row r="1701" spans="1:5">
      <c r="A1701" s="26" t="s">
        <v>3186</v>
      </c>
      <c r="B1701" s="26" t="s">
        <v>3187</v>
      </c>
      <c r="C1701" s="26" t="s">
        <v>49</v>
      </c>
      <c r="D1701" s="27">
        <v>550</v>
      </c>
      <c r="E1701" t="e">
        <f>VLOOKUP(B1701,Кат!G:J,3,0)</f>
        <v>#N/A</v>
      </c>
    </row>
    <row r="1702" spans="1:5">
      <c r="A1702" s="26" t="s">
        <v>3188</v>
      </c>
      <c r="B1702" s="26" t="s">
        <v>3189</v>
      </c>
      <c r="C1702" s="26" t="s">
        <v>49</v>
      </c>
      <c r="D1702" s="27">
        <v>550</v>
      </c>
      <c r="E1702" t="e">
        <f>VLOOKUP(B1702,Кат!G:J,3,0)</f>
        <v>#N/A</v>
      </c>
    </row>
    <row r="1703" spans="1:5">
      <c r="A1703" s="26" t="s">
        <v>4361</v>
      </c>
      <c r="B1703" s="26" t="s">
        <v>4362</v>
      </c>
      <c r="C1703" s="26" t="s">
        <v>49</v>
      </c>
      <c r="D1703" s="27">
        <v>588</v>
      </c>
      <c r="E1703" t="e">
        <f>VLOOKUP(B1703,Кат!G:J,3,0)</f>
        <v>#N/A</v>
      </c>
    </row>
    <row r="1704" spans="1:5" ht="22.5">
      <c r="A1704" s="26" t="s">
        <v>4363</v>
      </c>
      <c r="B1704" s="26" t="s">
        <v>4364</v>
      </c>
      <c r="C1704" s="26" t="s">
        <v>49</v>
      </c>
      <c r="D1704" s="28">
        <v>1394</v>
      </c>
      <c r="E1704" t="e">
        <f>VLOOKUP(B1704,Кат!G:J,3,0)</f>
        <v>#N/A</v>
      </c>
    </row>
    <row r="1705" spans="1:5" ht="22.5">
      <c r="A1705" s="26" t="s">
        <v>4365</v>
      </c>
      <c r="B1705" s="26" t="s">
        <v>4366</v>
      </c>
      <c r="C1705" s="26" t="s">
        <v>49</v>
      </c>
      <c r="D1705" s="28">
        <v>1535</v>
      </c>
      <c r="E1705" t="e">
        <f>VLOOKUP(B1705,Кат!G:J,3,0)</f>
        <v>#N/A</v>
      </c>
    </row>
    <row r="1706" spans="1:5" ht="22.5">
      <c r="A1706" s="26" t="s">
        <v>3190</v>
      </c>
      <c r="B1706" s="26" t="s">
        <v>3191</v>
      </c>
      <c r="C1706" s="26" t="s">
        <v>49</v>
      </c>
      <c r="D1706" s="27">
        <v>863</v>
      </c>
      <c r="E1706" t="e">
        <f>VLOOKUP(B1706,Кат!G:J,3,0)</f>
        <v>#N/A</v>
      </c>
    </row>
    <row r="1707" spans="1:5" ht="22.5">
      <c r="A1707" s="26" t="s">
        <v>3192</v>
      </c>
      <c r="B1707" s="26" t="s">
        <v>3193</v>
      </c>
      <c r="C1707" s="26" t="s">
        <v>49</v>
      </c>
      <c r="D1707" s="28">
        <v>1330</v>
      </c>
      <c r="E1707" t="e">
        <f>VLOOKUP(B1707,Кат!G:J,3,0)</f>
        <v>#N/A</v>
      </c>
    </row>
    <row r="1708" spans="1:5" ht="22.5">
      <c r="A1708" s="26" t="s">
        <v>3194</v>
      </c>
      <c r="B1708" s="26" t="s">
        <v>3195</v>
      </c>
      <c r="C1708" s="26" t="s">
        <v>49</v>
      </c>
      <c r="D1708" s="28">
        <v>1050</v>
      </c>
      <c r="E1708" t="e">
        <f>VLOOKUP(B1708,Кат!G:J,3,0)</f>
        <v>#N/A</v>
      </c>
    </row>
    <row r="1709" spans="1:5" ht="22.5">
      <c r="A1709" s="26" t="s">
        <v>3196</v>
      </c>
      <c r="B1709" s="26" t="s">
        <v>3197</v>
      </c>
      <c r="C1709" s="26" t="s">
        <v>49</v>
      </c>
      <c r="D1709" s="28">
        <v>1169</v>
      </c>
      <c r="E1709" t="e">
        <f>VLOOKUP(B1709,Кат!G:J,3,0)</f>
        <v>#N/A</v>
      </c>
    </row>
    <row r="1710" spans="1:5" ht="22.5">
      <c r="A1710" s="26" t="s">
        <v>3198</v>
      </c>
      <c r="B1710" s="26" t="s">
        <v>3199</v>
      </c>
      <c r="C1710" s="26" t="s">
        <v>49</v>
      </c>
      <c r="D1710" s="28">
        <v>1237</v>
      </c>
      <c r="E1710" t="e">
        <f>VLOOKUP(B1710,Кат!G:J,3,0)</f>
        <v>#N/A</v>
      </c>
    </row>
    <row r="1711" spans="1:5" ht="22.5">
      <c r="A1711" s="26" t="s">
        <v>3200</v>
      </c>
      <c r="B1711" s="26" t="s">
        <v>3201</v>
      </c>
      <c r="C1711" s="26" t="s">
        <v>49</v>
      </c>
      <c r="D1711" s="28">
        <v>1325</v>
      </c>
      <c r="E1711" t="e">
        <f>VLOOKUP(B1711,Кат!G:J,3,0)</f>
        <v>#N/A</v>
      </c>
    </row>
    <row r="1712" spans="1:5">
      <c r="A1712" s="23" t="s">
        <v>3202</v>
      </c>
      <c r="B1712" s="24"/>
      <c r="C1712" s="24"/>
      <c r="D1712" s="25"/>
      <c r="E1712" t="e">
        <f>VLOOKUP(B1712,Кат!G:J,3,0)</f>
        <v>#N/A</v>
      </c>
    </row>
    <row r="1713" spans="1:5">
      <c r="A1713" s="29" t="s">
        <v>3203</v>
      </c>
      <c r="B1713" s="30"/>
      <c r="C1713" s="30"/>
      <c r="D1713" s="31"/>
      <c r="E1713" t="e">
        <f>VLOOKUP(B1713,Кат!G:J,3,0)</f>
        <v>#N/A</v>
      </c>
    </row>
    <row r="1714" spans="1:5">
      <c r="A1714" s="26" t="s">
        <v>3204</v>
      </c>
      <c r="B1714" s="26" t="s">
        <v>3205</v>
      </c>
      <c r="C1714" s="26" t="s">
        <v>50</v>
      </c>
      <c r="D1714" s="27">
        <v>648</v>
      </c>
      <c r="E1714" t="e">
        <f>VLOOKUP(B1714,Кат!G:J,3,0)</f>
        <v>#N/A</v>
      </c>
    </row>
    <row r="1715" spans="1:5">
      <c r="A1715" s="26" t="s">
        <v>3206</v>
      </c>
      <c r="B1715" s="26" t="s">
        <v>3207</v>
      </c>
      <c r="C1715" s="26" t="s">
        <v>50</v>
      </c>
      <c r="D1715" s="28">
        <v>1235</v>
      </c>
      <c r="E1715" t="e">
        <f>VLOOKUP(B1715,Кат!G:J,3,0)</f>
        <v>#N/A</v>
      </c>
    </row>
    <row r="1716" spans="1:5" ht="22.5">
      <c r="A1716" s="26" t="s">
        <v>3208</v>
      </c>
      <c r="B1716" s="26" t="s">
        <v>3209</v>
      </c>
      <c r="C1716" s="26" t="s">
        <v>49</v>
      </c>
      <c r="D1716" s="28">
        <v>3352</v>
      </c>
      <c r="E1716" t="e">
        <f>VLOOKUP(B1716,Кат!G:J,3,0)</f>
        <v>#N/A</v>
      </c>
    </row>
    <row r="1717" spans="1:5" ht="22.5">
      <c r="A1717" s="26" t="s">
        <v>3210</v>
      </c>
      <c r="B1717" s="26" t="s">
        <v>3211</v>
      </c>
      <c r="C1717" s="26" t="s">
        <v>49</v>
      </c>
      <c r="D1717" s="28">
        <v>2220</v>
      </c>
      <c r="E1717" t="e">
        <f>VLOOKUP(B1717,Кат!G:J,3,0)</f>
        <v>#N/A</v>
      </c>
    </row>
    <row r="1718" spans="1:5" ht="22.5">
      <c r="A1718" s="26" t="s">
        <v>3212</v>
      </c>
      <c r="B1718" s="26" t="s">
        <v>3213</v>
      </c>
      <c r="C1718" s="26" t="s">
        <v>49</v>
      </c>
      <c r="D1718" s="28">
        <v>7058</v>
      </c>
      <c r="E1718" t="e">
        <f>VLOOKUP(B1718,Кат!G:J,3,0)</f>
        <v>#N/A</v>
      </c>
    </row>
    <row r="1719" spans="1:5" ht="22.5">
      <c r="A1719" s="26" t="s">
        <v>3214</v>
      </c>
      <c r="B1719" s="26" t="s">
        <v>3215</v>
      </c>
      <c r="C1719" s="26" t="s">
        <v>50</v>
      </c>
      <c r="D1719" s="28">
        <v>5129</v>
      </c>
      <c r="E1719" t="e">
        <f>VLOOKUP(B1719,Кат!G:J,3,0)</f>
        <v>#N/A</v>
      </c>
    </row>
    <row r="1720" spans="1:5" ht="22.5">
      <c r="A1720" s="26" t="s">
        <v>3216</v>
      </c>
      <c r="B1720" s="26" t="s">
        <v>3217</v>
      </c>
      <c r="C1720" s="26" t="s">
        <v>50</v>
      </c>
      <c r="D1720" s="28">
        <v>5337</v>
      </c>
      <c r="E1720" t="e">
        <f>VLOOKUP(B1720,Кат!G:J,3,0)</f>
        <v>#N/A</v>
      </c>
    </row>
    <row r="1721" spans="1:5">
      <c r="A1721" s="26" t="s">
        <v>3218</v>
      </c>
      <c r="B1721" s="26" t="s">
        <v>3219</v>
      </c>
      <c r="C1721" s="26" t="s">
        <v>50</v>
      </c>
      <c r="D1721" s="27">
        <v>350</v>
      </c>
      <c r="E1721" t="e">
        <f>VLOOKUP(B1721,Кат!G:J,3,0)</f>
        <v>#N/A</v>
      </c>
    </row>
    <row r="1722" spans="1:5" ht="22.5">
      <c r="A1722" s="26" t="s">
        <v>3220</v>
      </c>
      <c r="B1722" s="26" t="s">
        <v>3221</v>
      </c>
      <c r="C1722" s="26" t="s">
        <v>50</v>
      </c>
      <c r="D1722" s="27">
        <v>862</v>
      </c>
      <c r="E1722" t="e">
        <f>VLOOKUP(B1722,Кат!G:J,3,0)</f>
        <v>#N/A</v>
      </c>
    </row>
    <row r="1723" spans="1:5" ht="22.5">
      <c r="A1723" s="26" t="s">
        <v>3222</v>
      </c>
      <c r="B1723" s="26" t="s">
        <v>3223</v>
      </c>
      <c r="C1723" s="26" t="s">
        <v>50</v>
      </c>
      <c r="D1723" s="27">
        <v>853</v>
      </c>
      <c r="E1723" t="e">
        <f>VLOOKUP(B1723,Кат!G:J,3,0)</f>
        <v>#N/A</v>
      </c>
    </row>
    <row r="1724" spans="1:5">
      <c r="A1724" s="26" t="s">
        <v>3224</v>
      </c>
      <c r="B1724" s="26" t="s">
        <v>3225</v>
      </c>
      <c r="C1724" s="26" t="s">
        <v>50</v>
      </c>
      <c r="D1724" s="27">
        <v>624</v>
      </c>
      <c r="E1724" t="e">
        <f>VLOOKUP(B1724,Кат!G:J,3,0)</f>
        <v>#N/A</v>
      </c>
    </row>
    <row r="1725" spans="1:5">
      <c r="A1725" s="26" t="s">
        <v>3226</v>
      </c>
      <c r="B1725" s="26" t="s">
        <v>3227</v>
      </c>
      <c r="C1725" s="26" t="s">
        <v>50</v>
      </c>
      <c r="D1725" s="27">
        <v>381</v>
      </c>
      <c r="E1725" t="e">
        <f>VLOOKUP(B1725,Кат!G:J,3,0)</f>
        <v>#N/A</v>
      </c>
    </row>
    <row r="1726" spans="1:5">
      <c r="A1726" s="26" t="s">
        <v>3228</v>
      </c>
      <c r="B1726" s="26" t="s">
        <v>3229</v>
      </c>
      <c r="C1726" s="26" t="s">
        <v>50</v>
      </c>
      <c r="D1726" s="27">
        <v>484</v>
      </c>
      <c r="E1726" t="e">
        <f>VLOOKUP(B1726,Кат!G:J,3,0)</f>
        <v>#N/A</v>
      </c>
    </row>
    <row r="1727" spans="1:5" ht="22.5">
      <c r="A1727" s="26" t="s">
        <v>3230</v>
      </c>
      <c r="B1727" s="26" t="s">
        <v>3231</v>
      </c>
      <c r="C1727" s="26" t="s">
        <v>50</v>
      </c>
      <c r="D1727" s="28">
        <v>3245</v>
      </c>
      <c r="E1727" t="e">
        <f>VLOOKUP(B1727,Кат!G:J,3,0)</f>
        <v>#N/A</v>
      </c>
    </row>
    <row r="1728" spans="1:5">
      <c r="A1728" s="26" t="s">
        <v>3232</v>
      </c>
      <c r="B1728" s="26" t="s">
        <v>3233</v>
      </c>
      <c r="C1728" s="26" t="s">
        <v>50</v>
      </c>
      <c r="D1728" s="28">
        <v>2000</v>
      </c>
      <c r="E1728" t="e">
        <f>VLOOKUP(B1728,Кат!G:J,3,0)</f>
        <v>#N/A</v>
      </c>
    </row>
    <row r="1729" spans="1:5">
      <c r="A1729" s="26" t="s">
        <v>3234</v>
      </c>
      <c r="B1729" s="26" t="s">
        <v>3235</v>
      </c>
      <c r="C1729" s="26" t="s">
        <v>49</v>
      </c>
      <c r="D1729" s="28">
        <v>2509</v>
      </c>
      <c r="E1729" t="e">
        <f>VLOOKUP(B1729,Кат!G:J,3,0)</f>
        <v>#N/A</v>
      </c>
    </row>
    <row r="1730" spans="1:5" ht="22.5">
      <c r="A1730" s="26" t="s">
        <v>3236</v>
      </c>
      <c r="B1730" s="26" t="s">
        <v>3237</v>
      </c>
      <c r="C1730" s="26" t="s">
        <v>50</v>
      </c>
      <c r="D1730" s="28">
        <v>1363</v>
      </c>
      <c r="E1730" t="e">
        <f>VLOOKUP(B1730,Кат!G:J,3,0)</f>
        <v>#N/A</v>
      </c>
    </row>
    <row r="1731" spans="1:5" ht="22.5">
      <c r="A1731" s="26" t="s">
        <v>3238</v>
      </c>
      <c r="B1731" s="26" t="s">
        <v>3239</v>
      </c>
      <c r="C1731" s="26" t="s">
        <v>50</v>
      </c>
      <c r="D1731" s="28">
        <v>1693</v>
      </c>
      <c r="E1731" t="e">
        <f>VLOOKUP(B1731,Кат!G:J,3,0)</f>
        <v>#N/A</v>
      </c>
    </row>
    <row r="1732" spans="1:5" ht="22.5">
      <c r="A1732" s="26" t="s">
        <v>3240</v>
      </c>
      <c r="B1732" s="26" t="s">
        <v>3241</v>
      </c>
      <c r="C1732" s="26" t="s">
        <v>50</v>
      </c>
      <c r="D1732" s="28">
        <v>1395</v>
      </c>
      <c r="E1732" t="e">
        <f>VLOOKUP(B1732,Кат!G:J,3,0)</f>
        <v>#N/A</v>
      </c>
    </row>
    <row r="1733" spans="1:5" ht="22.5">
      <c r="A1733" s="26" t="s">
        <v>3242</v>
      </c>
      <c r="B1733" s="26" t="s">
        <v>3243</v>
      </c>
      <c r="C1733" s="26" t="s">
        <v>50</v>
      </c>
      <c r="D1733" s="27">
        <v>313</v>
      </c>
      <c r="E1733" t="e">
        <f>VLOOKUP(B1733,Кат!G:J,3,0)</f>
        <v>#N/A</v>
      </c>
    </row>
    <row r="1734" spans="1:5" ht="22.5">
      <c r="A1734" s="26" t="s">
        <v>3244</v>
      </c>
      <c r="B1734" s="26" t="s">
        <v>3245</v>
      </c>
      <c r="C1734" s="26" t="s">
        <v>50</v>
      </c>
      <c r="D1734" s="27">
        <v>277</v>
      </c>
      <c r="E1734" t="e">
        <f>VLOOKUP(B1734,Кат!G:J,3,0)</f>
        <v>#N/A</v>
      </c>
    </row>
    <row r="1735" spans="1:5" ht="22.5">
      <c r="A1735" s="26" t="s">
        <v>3246</v>
      </c>
      <c r="B1735" s="26" t="s">
        <v>3247</v>
      </c>
      <c r="C1735" s="26" t="s">
        <v>50</v>
      </c>
      <c r="D1735" s="27">
        <v>417</v>
      </c>
      <c r="E1735" t="e">
        <f>VLOOKUP(B1735,Кат!G:J,3,0)</f>
        <v>#N/A</v>
      </c>
    </row>
    <row r="1736" spans="1:5" ht="22.5">
      <c r="A1736" s="26" t="s">
        <v>3248</v>
      </c>
      <c r="B1736" s="26" t="s">
        <v>3249</v>
      </c>
      <c r="C1736" s="26" t="s">
        <v>50</v>
      </c>
      <c r="D1736" s="27">
        <v>355</v>
      </c>
      <c r="E1736" t="e">
        <f>VLOOKUP(B1736,Кат!G:J,3,0)</f>
        <v>#N/A</v>
      </c>
    </row>
    <row r="1737" spans="1:5" ht="22.5">
      <c r="A1737" s="26" t="s">
        <v>3250</v>
      </c>
      <c r="B1737" s="26" t="s">
        <v>3251</v>
      </c>
      <c r="C1737" s="26" t="s">
        <v>50</v>
      </c>
      <c r="D1737" s="27">
        <v>283</v>
      </c>
      <c r="E1737" t="e">
        <f>VLOOKUP(B1737,Кат!G:J,3,0)</f>
        <v>#N/A</v>
      </c>
    </row>
    <row r="1738" spans="1:5" ht="22.5">
      <c r="A1738" s="26" t="s">
        <v>3252</v>
      </c>
      <c r="B1738" s="26" t="s">
        <v>3253</v>
      </c>
      <c r="C1738" s="26" t="s">
        <v>50</v>
      </c>
      <c r="D1738" s="28">
        <v>1240</v>
      </c>
      <c r="E1738" t="e">
        <f>VLOOKUP(B1738,Кат!G:J,3,0)</f>
        <v>#N/A</v>
      </c>
    </row>
    <row r="1739" spans="1:5" ht="22.5">
      <c r="A1739" s="26" t="s">
        <v>3254</v>
      </c>
      <c r="B1739" s="26" t="s">
        <v>3255</v>
      </c>
      <c r="C1739" s="26" t="s">
        <v>50</v>
      </c>
      <c r="D1739" s="28">
        <v>2211</v>
      </c>
      <c r="E1739" t="e">
        <f>VLOOKUP(B1739,Кат!G:J,3,0)</f>
        <v>#N/A</v>
      </c>
    </row>
    <row r="1740" spans="1:5" ht="22.5">
      <c r="A1740" s="26" t="s">
        <v>3256</v>
      </c>
      <c r="B1740" s="26" t="s">
        <v>3257</v>
      </c>
      <c r="C1740" s="26" t="s">
        <v>50</v>
      </c>
      <c r="D1740" s="28">
        <v>1417</v>
      </c>
      <c r="E1740" t="e">
        <f>VLOOKUP(B1740,Кат!G:J,3,0)</f>
        <v>#N/A</v>
      </c>
    </row>
    <row r="1741" spans="1:5" ht="22.5">
      <c r="A1741" s="26" t="s">
        <v>3258</v>
      </c>
      <c r="B1741" s="26" t="s">
        <v>3259</v>
      </c>
      <c r="C1741" s="26" t="s">
        <v>50</v>
      </c>
      <c r="D1741" s="28">
        <v>2603</v>
      </c>
      <c r="E1741" t="e">
        <f>VLOOKUP(B1741,Кат!G:J,3,0)</f>
        <v>#N/A</v>
      </c>
    </row>
    <row r="1742" spans="1:5" ht="22.5">
      <c r="A1742" s="26" t="s">
        <v>3260</v>
      </c>
      <c r="B1742" s="26" t="s">
        <v>3261</v>
      </c>
      <c r="C1742" s="26" t="s">
        <v>50</v>
      </c>
      <c r="D1742" s="28">
        <v>1068</v>
      </c>
      <c r="E1742" t="e">
        <f>VLOOKUP(B1742,Кат!G:J,3,0)</f>
        <v>#N/A</v>
      </c>
    </row>
    <row r="1743" spans="1:5" ht="22.5">
      <c r="A1743" s="26" t="s">
        <v>3262</v>
      </c>
      <c r="B1743" s="26" t="s">
        <v>3263</v>
      </c>
      <c r="C1743" s="26" t="s">
        <v>50</v>
      </c>
      <c r="D1743" s="28">
        <v>1583</v>
      </c>
      <c r="E1743" t="e">
        <f>VLOOKUP(B1743,Кат!G:J,3,0)</f>
        <v>#N/A</v>
      </c>
    </row>
    <row r="1744" spans="1:5" ht="22.5">
      <c r="A1744" s="26" t="s">
        <v>3264</v>
      </c>
      <c r="B1744" s="26" t="s">
        <v>3265</v>
      </c>
      <c r="C1744" s="26" t="s">
        <v>50</v>
      </c>
      <c r="D1744" s="28">
        <v>3930</v>
      </c>
      <c r="E1744" t="e">
        <f>VLOOKUP(B1744,Кат!G:J,3,0)</f>
        <v>#N/A</v>
      </c>
    </row>
    <row r="1745" spans="1:5" ht="22.5">
      <c r="A1745" s="26" t="s">
        <v>3266</v>
      </c>
      <c r="B1745" s="26" t="s">
        <v>3267</v>
      </c>
      <c r="C1745" s="26" t="s">
        <v>50</v>
      </c>
      <c r="D1745" s="28">
        <v>1594</v>
      </c>
      <c r="E1745" t="e">
        <f>VLOOKUP(B1745,Кат!G:J,3,0)</f>
        <v>#N/A</v>
      </c>
    </row>
    <row r="1746" spans="1:5">
      <c r="A1746" s="26" t="s">
        <v>3268</v>
      </c>
      <c r="B1746" s="26" t="s">
        <v>3269</v>
      </c>
      <c r="C1746" s="26" t="s">
        <v>50</v>
      </c>
      <c r="D1746" s="27">
        <v>705</v>
      </c>
      <c r="E1746" t="e">
        <f>VLOOKUP(B1746,Кат!G:J,3,0)</f>
        <v>#N/A</v>
      </c>
    </row>
    <row r="1747" spans="1:5">
      <c r="A1747" s="26" t="s">
        <v>3270</v>
      </c>
      <c r="B1747" s="26" t="s">
        <v>3271</v>
      </c>
      <c r="C1747" s="26" t="s">
        <v>50</v>
      </c>
      <c r="D1747" s="28">
        <v>1365</v>
      </c>
      <c r="E1747" t="e">
        <f>VLOOKUP(B1747,Кат!G:J,3,0)</f>
        <v>#N/A</v>
      </c>
    </row>
    <row r="1748" spans="1:5" ht="22.5">
      <c r="A1748" s="26" t="s">
        <v>3272</v>
      </c>
      <c r="B1748" s="26" t="s">
        <v>3273</v>
      </c>
      <c r="C1748" s="26" t="s">
        <v>50</v>
      </c>
      <c r="D1748" s="28">
        <v>2375</v>
      </c>
      <c r="E1748" t="e">
        <f>VLOOKUP(B1748,Кат!G:J,3,0)</f>
        <v>#N/A</v>
      </c>
    </row>
    <row r="1749" spans="1:5" ht="22.5">
      <c r="A1749" s="26" t="s">
        <v>3274</v>
      </c>
      <c r="B1749" s="26" t="s">
        <v>3275</v>
      </c>
      <c r="C1749" s="26" t="s">
        <v>50</v>
      </c>
      <c r="D1749" s="28">
        <v>1417</v>
      </c>
      <c r="E1749" t="e">
        <f>VLOOKUP(B1749,Кат!G:J,3,0)</f>
        <v>#N/A</v>
      </c>
    </row>
    <row r="1750" spans="1:5" ht="22.5">
      <c r="A1750" s="26" t="s">
        <v>3276</v>
      </c>
      <c r="B1750" s="26" t="s">
        <v>3277</v>
      </c>
      <c r="C1750" s="26" t="s">
        <v>50</v>
      </c>
      <c r="D1750" s="28">
        <v>1525</v>
      </c>
      <c r="E1750" t="e">
        <f>VLOOKUP(B1750,Кат!G:J,3,0)</f>
        <v>#N/A</v>
      </c>
    </row>
    <row r="1751" spans="1:5" ht="22.5">
      <c r="A1751" s="26" t="s">
        <v>3278</v>
      </c>
      <c r="B1751" s="26" t="s">
        <v>3279</v>
      </c>
      <c r="C1751" s="26" t="s">
        <v>50</v>
      </c>
      <c r="D1751" s="28">
        <v>5278</v>
      </c>
      <c r="E1751" t="e">
        <f>VLOOKUP(B1751,Кат!G:J,3,0)</f>
        <v>#N/A</v>
      </c>
    </row>
    <row r="1752" spans="1:5" ht="33.75">
      <c r="A1752" s="26" t="s">
        <v>3280</v>
      </c>
      <c r="B1752" s="26" t="s">
        <v>3281</v>
      </c>
      <c r="C1752" s="26" t="s">
        <v>50</v>
      </c>
      <c r="D1752" s="28">
        <v>1443</v>
      </c>
      <c r="E1752" t="e">
        <f>VLOOKUP(B1752,Кат!G:J,3,0)</f>
        <v>#N/A</v>
      </c>
    </row>
    <row r="1753" spans="1:5" ht="22.5">
      <c r="A1753" s="26" t="s">
        <v>3282</v>
      </c>
      <c r="B1753" s="26" t="s">
        <v>3283</v>
      </c>
      <c r="C1753" s="26" t="s">
        <v>50</v>
      </c>
      <c r="D1753" s="27">
        <v>926</v>
      </c>
      <c r="E1753" t="e">
        <f>VLOOKUP(B1753,Кат!G:J,3,0)</f>
        <v>#N/A</v>
      </c>
    </row>
    <row r="1754" spans="1:5" ht="22.5">
      <c r="A1754" s="26" t="s">
        <v>3284</v>
      </c>
      <c r="B1754" s="26" t="s">
        <v>3285</v>
      </c>
      <c r="C1754" s="26" t="s">
        <v>50</v>
      </c>
      <c r="D1754" s="28">
        <v>1842</v>
      </c>
      <c r="E1754" t="e">
        <f>VLOOKUP(B1754,Кат!G:J,3,0)</f>
        <v>#N/A</v>
      </c>
    </row>
    <row r="1755" spans="1:5" ht="22.5">
      <c r="A1755" s="26" t="s">
        <v>3286</v>
      </c>
      <c r="B1755" s="26" t="s">
        <v>3287</v>
      </c>
      <c r="C1755" s="26" t="s">
        <v>50</v>
      </c>
      <c r="D1755" s="28">
        <v>1586</v>
      </c>
      <c r="E1755" t="e">
        <f>VLOOKUP(B1755,Кат!G:J,3,0)</f>
        <v>#N/A</v>
      </c>
    </row>
    <row r="1756" spans="1:5" ht="22.5">
      <c r="A1756" s="26" t="s">
        <v>3288</v>
      </c>
      <c r="B1756" s="26" t="s">
        <v>3289</v>
      </c>
      <c r="C1756" s="26" t="s">
        <v>50</v>
      </c>
      <c r="D1756" s="28">
        <v>1190</v>
      </c>
      <c r="E1756" t="e">
        <f>VLOOKUP(B1756,Кат!G:J,3,0)</f>
        <v>#N/A</v>
      </c>
    </row>
    <row r="1757" spans="1:5" ht="22.5">
      <c r="A1757" s="26" t="s">
        <v>3290</v>
      </c>
      <c r="B1757" s="26" t="s">
        <v>3291</v>
      </c>
      <c r="C1757" s="26" t="s">
        <v>50</v>
      </c>
      <c r="D1757" s="28">
        <v>1562</v>
      </c>
      <c r="E1757" t="e">
        <f>VLOOKUP(B1757,Кат!G:J,3,0)</f>
        <v>#N/A</v>
      </c>
    </row>
    <row r="1758" spans="1:5" ht="22.5">
      <c r="A1758" s="26" t="s">
        <v>3292</v>
      </c>
      <c r="B1758" s="26" t="s">
        <v>3293</v>
      </c>
      <c r="C1758" s="26" t="s">
        <v>50</v>
      </c>
      <c r="D1758" s="28">
        <v>1473</v>
      </c>
      <c r="E1758" t="e">
        <f>VLOOKUP(B1758,Кат!G:J,3,0)</f>
        <v>#N/A</v>
      </c>
    </row>
    <row r="1759" spans="1:5" ht="22.5">
      <c r="A1759" s="26" t="s">
        <v>3294</v>
      </c>
      <c r="B1759" s="26" t="s">
        <v>3295</v>
      </c>
      <c r="C1759" s="26" t="s">
        <v>50</v>
      </c>
      <c r="D1759" s="28">
        <v>1134</v>
      </c>
      <c r="E1759" t="e">
        <f>VLOOKUP(B1759,Кат!G:J,3,0)</f>
        <v>#N/A</v>
      </c>
    </row>
    <row r="1760" spans="1:5" ht="22.5">
      <c r="A1760" s="26" t="s">
        <v>3296</v>
      </c>
      <c r="B1760" s="26" t="s">
        <v>3297</v>
      </c>
      <c r="C1760" s="26" t="s">
        <v>50</v>
      </c>
      <c r="D1760" s="27">
        <v>320</v>
      </c>
      <c r="E1760" t="e">
        <f>VLOOKUP(B1760,Кат!G:J,3,0)</f>
        <v>#N/A</v>
      </c>
    </row>
    <row r="1761" spans="1:5" ht="22.5">
      <c r="A1761" s="26" t="s">
        <v>3298</v>
      </c>
      <c r="B1761" s="26" t="s">
        <v>3299</v>
      </c>
      <c r="C1761" s="26" t="s">
        <v>50</v>
      </c>
      <c r="D1761" s="27">
        <v>790</v>
      </c>
      <c r="E1761" t="e">
        <f>VLOOKUP(B1761,Кат!G:J,3,0)</f>
        <v>#N/A</v>
      </c>
    </row>
    <row r="1762" spans="1:5" ht="22.5">
      <c r="A1762" s="26" t="s">
        <v>3300</v>
      </c>
      <c r="B1762" s="26" t="s">
        <v>3301</v>
      </c>
      <c r="C1762" s="26" t="s">
        <v>50</v>
      </c>
      <c r="D1762" s="27">
        <v>596</v>
      </c>
      <c r="E1762" t="e">
        <f>VLOOKUP(B1762,Кат!G:J,3,0)</f>
        <v>#N/A</v>
      </c>
    </row>
    <row r="1763" spans="1:5" ht="22.5">
      <c r="A1763" s="26" t="s">
        <v>3302</v>
      </c>
      <c r="B1763" s="26" t="s">
        <v>3303</v>
      </c>
      <c r="C1763" s="26" t="s">
        <v>50</v>
      </c>
      <c r="D1763" s="27">
        <v>630</v>
      </c>
      <c r="E1763" t="e">
        <f>VLOOKUP(B1763,Кат!G:J,3,0)</f>
        <v>#N/A</v>
      </c>
    </row>
    <row r="1764" spans="1:5" ht="22.5">
      <c r="A1764" s="26" t="s">
        <v>3304</v>
      </c>
      <c r="B1764" s="32">
        <v>6305</v>
      </c>
      <c r="C1764" s="26" t="s">
        <v>50</v>
      </c>
      <c r="D1764" s="27">
        <v>587</v>
      </c>
      <c r="E1764" t="e">
        <f>VLOOKUP(B1764,Кат!G:J,3,0)</f>
        <v>#N/A</v>
      </c>
    </row>
    <row r="1765" spans="1:5" ht="22.5">
      <c r="A1765" s="26" t="s">
        <v>3305</v>
      </c>
      <c r="B1765" s="26" t="s">
        <v>3306</v>
      </c>
      <c r="C1765" s="26" t="s">
        <v>50</v>
      </c>
      <c r="D1765" s="28">
        <v>1058</v>
      </c>
      <c r="E1765" t="e">
        <f>VLOOKUP(B1765,Кат!G:J,3,0)</f>
        <v>#N/A</v>
      </c>
    </row>
    <row r="1766" spans="1:5" ht="22.5">
      <c r="A1766" s="26" t="s">
        <v>3307</v>
      </c>
      <c r="B1766" s="26" t="s">
        <v>3308</v>
      </c>
      <c r="C1766" s="26" t="s">
        <v>50</v>
      </c>
      <c r="D1766" s="28">
        <v>1180</v>
      </c>
      <c r="E1766" t="e">
        <f>VLOOKUP(B1766,Кат!G:J,3,0)</f>
        <v>#N/A</v>
      </c>
    </row>
    <row r="1767" spans="1:5" ht="22.5">
      <c r="A1767" s="26" t="s">
        <v>3309</v>
      </c>
      <c r="B1767" s="26" t="s">
        <v>3310</v>
      </c>
      <c r="C1767" s="26" t="s">
        <v>49</v>
      </c>
      <c r="D1767" s="28">
        <v>2355</v>
      </c>
      <c r="E1767" t="e">
        <f>VLOOKUP(B1767,Кат!G:J,3,0)</f>
        <v>#N/A</v>
      </c>
    </row>
    <row r="1768" spans="1:5" ht="22.5">
      <c r="A1768" s="26" t="s">
        <v>3311</v>
      </c>
      <c r="B1768" s="26" t="s">
        <v>3312</v>
      </c>
      <c r="C1768" s="26" t="s">
        <v>49</v>
      </c>
      <c r="D1768" s="28">
        <v>2981</v>
      </c>
      <c r="E1768" t="e">
        <f>VLOOKUP(B1768,Кат!G:J,3,0)</f>
        <v>#N/A</v>
      </c>
    </row>
    <row r="1769" spans="1:5" ht="22.5">
      <c r="A1769" s="26" t="s">
        <v>3313</v>
      </c>
      <c r="B1769" s="26" t="s">
        <v>3314</v>
      </c>
      <c r="C1769" s="26" t="s">
        <v>49</v>
      </c>
      <c r="D1769" s="28">
        <v>2762</v>
      </c>
      <c r="E1769" t="e">
        <f>VLOOKUP(B1769,Кат!G:J,3,0)</f>
        <v>#N/A</v>
      </c>
    </row>
    <row r="1770" spans="1:5">
      <c r="A1770" s="26" t="s">
        <v>3315</v>
      </c>
      <c r="B1770" s="26" t="s">
        <v>3316</v>
      </c>
      <c r="C1770" s="26" t="s">
        <v>49</v>
      </c>
      <c r="D1770" s="28">
        <v>9100</v>
      </c>
      <c r="E1770" t="e">
        <f>VLOOKUP(B1770,Кат!G:J,3,0)</f>
        <v>#N/A</v>
      </c>
    </row>
    <row r="1771" spans="1:5">
      <c r="A1771" s="26" t="s">
        <v>3317</v>
      </c>
      <c r="B1771" s="26" t="s">
        <v>3318</v>
      </c>
      <c r="C1771" s="26" t="s">
        <v>50</v>
      </c>
      <c r="D1771" s="27">
        <v>885</v>
      </c>
      <c r="E1771" t="e">
        <f>VLOOKUP(B1771,Кат!G:J,3,0)</f>
        <v>#N/A</v>
      </c>
    </row>
    <row r="1772" spans="1:5" ht="22.5">
      <c r="A1772" s="26" t="s">
        <v>3319</v>
      </c>
      <c r="B1772" s="26" t="s">
        <v>3320</v>
      </c>
      <c r="C1772" s="26" t="s">
        <v>49</v>
      </c>
      <c r="D1772" s="28">
        <v>7976</v>
      </c>
      <c r="E1772" t="e">
        <f>VLOOKUP(B1772,Кат!G:J,3,0)</f>
        <v>#N/A</v>
      </c>
    </row>
    <row r="1773" spans="1:5">
      <c r="A1773" s="23" t="s">
        <v>3321</v>
      </c>
      <c r="B1773" s="24"/>
      <c r="C1773" s="24"/>
      <c r="D1773" s="25"/>
      <c r="E1773" t="e">
        <f>VLOOKUP(B1773,Кат!G:J,3,0)</f>
        <v>#N/A</v>
      </c>
    </row>
    <row r="1774" spans="1:5" ht="22.5">
      <c r="A1774" s="26" t="s">
        <v>3322</v>
      </c>
      <c r="B1774" s="26" t="s">
        <v>3323</v>
      </c>
      <c r="C1774" s="26" t="s">
        <v>49</v>
      </c>
      <c r="D1774" s="27">
        <v>855</v>
      </c>
      <c r="E1774" t="e">
        <f>VLOOKUP(B1774,Кат!G:J,3,0)</f>
        <v>#N/A</v>
      </c>
    </row>
    <row r="1775" spans="1:5">
      <c r="A1775" s="26" t="s">
        <v>3324</v>
      </c>
      <c r="B1775" s="26" t="s">
        <v>3325</v>
      </c>
      <c r="C1775" s="26" t="s">
        <v>49</v>
      </c>
      <c r="D1775" s="27">
        <v>585</v>
      </c>
      <c r="E1775" t="e">
        <f>VLOOKUP(B1775,Кат!G:J,3,0)</f>
        <v>#N/A</v>
      </c>
    </row>
    <row r="1776" spans="1:5">
      <c r="A1776" s="26" t="s">
        <v>3326</v>
      </c>
      <c r="B1776" s="26" t="s">
        <v>3327</v>
      </c>
      <c r="C1776" s="26" t="s">
        <v>49</v>
      </c>
      <c r="D1776" s="27">
        <v>775</v>
      </c>
      <c r="E1776" t="e">
        <f>VLOOKUP(B1776,Кат!G:J,3,0)</f>
        <v>#N/A</v>
      </c>
    </row>
    <row r="1777" spans="1:5">
      <c r="A1777" s="26" t="s">
        <v>3328</v>
      </c>
      <c r="B1777" s="26" t="s">
        <v>3329</v>
      </c>
      <c r="C1777" s="26" t="s">
        <v>49</v>
      </c>
      <c r="D1777" s="28">
        <v>1360</v>
      </c>
      <c r="E1777" t="e">
        <f>VLOOKUP(B1777,Кат!G:J,3,0)</f>
        <v>#N/A</v>
      </c>
    </row>
    <row r="1778" spans="1:5">
      <c r="A1778" s="26" t="s">
        <v>3330</v>
      </c>
      <c r="B1778" s="26" t="s">
        <v>3331</v>
      </c>
      <c r="C1778" s="26" t="s">
        <v>49</v>
      </c>
      <c r="D1778" s="27">
        <v>675</v>
      </c>
      <c r="E1778" t="e">
        <f>VLOOKUP(B1778,Кат!G:J,3,0)</f>
        <v>#N/A</v>
      </c>
    </row>
    <row r="1779" spans="1:5" ht="22.5">
      <c r="A1779" s="26" t="s">
        <v>3332</v>
      </c>
      <c r="B1779" s="26" t="s">
        <v>3333</v>
      </c>
      <c r="C1779" s="26" t="s">
        <v>49</v>
      </c>
      <c r="D1779" s="27">
        <v>820</v>
      </c>
      <c r="E1779" t="e">
        <f>VLOOKUP(B1779,Кат!G:J,3,0)</f>
        <v>#N/A</v>
      </c>
    </row>
    <row r="1780" spans="1:5">
      <c r="A1780" s="23" t="s">
        <v>3334</v>
      </c>
      <c r="B1780" s="24"/>
      <c r="C1780" s="24"/>
      <c r="D1780" s="25"/>
      <c r="E1780" t="e">
        <f>VLOOKUP(B1780,Кат!G:J,3,0)</f>
        <v>#N/A</v>
      </c>
    </row>
    <row r="1781" spans="1:5" ht="22.5">
      <c r="A1781" s="26" t="s">
        <v>3335</v>
      </c>
      <c r="B1781" s="26" t="s">
        <v>3336</v>
      </c>
      <c r="C1781" s="26" t="s">
        <v>49</v>
      </c>
      <c r="D1781" s="27">
        <v>170</v>
      </c>
      <c r="E1781" t="e">
        <f>VLOOKUP(B1781,Кат!G:J,3,0)</f>
        <v>#N/A</v>
      </c>
    </row>
    <row r="1782" spans="1:5">
      <c r="A1782" s="23" t="s">
        <v>4367</v>
      </c>
      <c r="B1782" s="24"/>
      <c r="C1782" s="24"/>
      <c r="D1782" s="25"/>
      <c r="E1782" t="e">
        <f>VLOOKUP(B1782,Кат!G:J,3,0)</f>
        <v>#N/A</v>
      </c>
    </row>
    <row r="1783" spans="1:5" ht="22.5">
      <c r="A1783" s="26" t="s">
        <v>4368</v>
      </c>
      <c r="B1783" s="26" t="s">
        <v>4369</v>
      </c>
      <c r="C1783" s="26" t="s">
        <v>50</v>
      </c>
      <c r="D1783" s="27">
        <v>432</v>
      </c>
      <c r="E1783" t="e">
        <f>VLOOKUP(B1783,Кат!G:J,3,0)</f>
        <v>#N/A</v>
      </c>
    </row>
    <row r="1784" spans="1:5">
      <c r="A1784" s="23" t="s">
        <v>3337</v>
      </c>
      <c r="B1784" s="24"/>
      <c r="C1784" s="24"/>
      <c r="D1784" s="25"/>
      <c r="E1784" t="e">
        <f>VLOOKUP(B1784,Кат!G:J,3,0)</f>
        <v>#N/A</v>
      </c>
    </row>
    <row r="1785" spans="1:5">
      <c r="A1785" s="29" t="s">
        <v>4370</v>
      </c>
      <c r="B1785" s="30"/>
      <c r="C1785" s="30"/>
      <c r="D1785" s="31"/>
      <c r="E1785" t="e">
        <f>VLOOKUP(B1785,Кат!G:J,3,0)</f>
        <v>#N/A</v>
      </c>
    </row>
    <row r="1786" spans="1:5">
      <c r="A1786" s="26" t="s">
        <v>4371</v>
      </c>
      <c r="B1786" s="26" t="s">
        <v>4372</v>
      </c>
      <c r="C1786" s="26" t="s">
        <v>49</v>
      </c>
      <c r="D1786" s="27">
        <v>313</v>
      </c>
      <c r="E1786" t="e">
        <f>VLOOKUP(B1786,Кат!G:J,3,0)</f>
        <v>#N/A</v>
      </c>
    </row>
    <row r="1787" spans="1:5">
      <c r="A1787" s="26" t="s">
        <v>4373</v>
      </c>
      <c r="B1787" s="26" t="s">
        <v>4374</v>
      </c>
      <c r="C1787" s="26" t="s">
        <v>49</v>
      </c>
      <c r="D1787" s="27">
        <v>338</v>
      </c>
      <c r="E1787" t="e">
        <f>VLOOKUP(B1787,Кат!G:J,3,0)</f>
        <v>#N/A</v>
      </c>
    </row>
    <row r="1788" spans="1:5">
      <c r="A1788" s="26" t="s">
        <v>4375</v>
      </c>
      <c r="B1788" s="26" t="s">
        <v>4376</v>
      </c>
      <c r="C1788" s="26" t="s">
        <v>49</v>
      </c>
      <c r="D1788" s="27">
        <v>338</v>
      </c>
      <c r="E1788" t="e">
        <f>VLOOKUP(B1788,Кат!G:J,3,0)</f>
        <v>#N/A</v>
      </c>
    </row>
    <row r="1789" spans="1:5">
      <c r="A1789" s="26" t="s">
        <v>4377</v>
      </c>
      <c r="B1789" s="26" t="s">
        <v>4378</v>
      </c>
      <c r="C1789" s="26" t="s">
        <v>49</v>
      </c>
      <c r="D1789" s="27">
        <v>338</v>
      </c>
      <c r="E1789" t="e">
        <f>VLOOKUP(B1789,Кат!G:J,3,0)</f>
        <v>#N/A</v>
      </c>
    </row>
    <row r="1790" spans="1:5" ht="22.5">
      <c r="A1790" s="26" t="s">
        <v>4379</v>
      </c>
      <c r="B1790" s="26" t="s">
        <v>4380</v>
      </c>
      <c r="C1790" s="26" t="s">
        <v>49</v>
      </c>
      <c r="D1790" s="27">
        <v>373</v>
      </c>
      <c r="E1790" t="e">
        <f>VLOOKUP(B1790,Кат!G:J,3,0)</f>
        <v>#N/A</v>
      </c>
    </row>
    <row r="1791" spans="1:5">
      <c r="A1791" s="26" t="s">
        <v>4381</v>
      </c>
      <c r="B1791" s="26" t="s">
        <v>4382</v>
      </c>
      <c r="C1791" s="26" t="s">
        <v>49</v>
      </c>
      <c r="D1791" s="27">
        <v>323</v>
      </c>
      <c r="E1791" t="e">
        <f>VLOOKUP(B1791,Кат!G:J,3,0)</f>
        <v>#N/A</v>
      </c>
    </row>
    <row r="1792" spans="1:5" ht="22.5">
      <c r="A1792" s="26" t="s">
        <v>4383</v>
      </c>
      <c r="B1792" s="26" t="s">
        <v>4384</v>
      </c>
      <c r="C1792" s="26" t="s">
        <v>49</v>
      </c>
      <c r="D1792" s="27">
        <v>338</v>
      </c>
      <c r="E1792" t="e">
        <f>VLOOKUP(B1792,Кат!G:J,3,0)</f>
        <v>#N/A</v>
      </c>
    </row>
    <row r="1793" spans="1:5" ht="22.5">
      <c r="A1793" s="26" t="s">
        <v>4385</v>
      </c>
      <c r="B1793" s="26" t="s">
        <v>4386</v>
      </c>
      <c r="C1793" s="26" t="s">
        <v>49</v>
      </c>
      <c r="D1793" s="27">
        <v>573</v>
      </c>
      <c r="E1793" t="e">
        <f>VLOOKUP(B1793,Кат!G:J,3,0)</f>
        <v>#N/A</v>
      </c>
    </row>
    <row r="1794" spans="1:5" ht="22.5">
      <c r="A1794" s="26" t="s">
        <v>4387</v>
      </c>
      <c r="B1794" s="26" t="s">
        <v>4388</v>
      </c>
      <c r="C1794" s="26" t="s">
        <v>49</v>
      </c>
      <c r="D1794" s="27">
        <v>485</v>
      </c>
      <c r="E1794" t="e">
        <f>VLOOKUP(B1794,Кат!G:J,3,0)</f>
        <v>#N/A</v>
      </c>
    </row>
    <row r="1795" spans="1:5" ht="22.5">
      <c r="A1795" s="26" t="s">
        <v>4389</v>
      </c>
      <c r="B1795" s="26" t="s">
        <v>4390</v>
      </c>
      <c r="C1795" s="26" t="s">
        <v>49</v>
      </c>
      <c r="D1795" s="27">
        <v>515</v>
      </c>
      <c r="E1795" t="e">
        <f>VLOOKUP(B1795,Кат!G:J,3,0)</f>
        <v>#N/A</v>
      </c>
    </row>
    <row r="1796" spans="1:5" ht="22.5">
      <c r="A1796" s="26" t="s">
        <v>4391</v>
      </c>
      <c r="B1796" s="26" t="s">
        <v>4392</v>
      </c>
      <c r="C1796" s="26" t="s">
        <v>49</v>
      </c>
      <c r="D1796" s="27">
        <v>610</v>
      </c>
      <c r="E1796" t="e">
        <f>VLOOKUP(B1796,Кат!G:J,3,0)</f>
        <v>#N/A</v>
      </c>
    </row>
    <row r="1797" spans="1:5">
      <c r="A1797" s="29" t="s">
        <v>3338</v>
      </c>
      <c r="B1797" s="30"/>
      <c r="C1797" s="30"/>
      <c r="D1797" s="31"/>
      <c r="E1797" t="e">
        <f>VLOOKUP(B1797,Кат!G:J,3,0)</f>
        <v>#N/A</v>
      </c>
    </row>
    <row r="1798" spans="1:5">
      <c r="A1798" s="26" t="s">
        <v>3339</v>
      </c>
      <c r="B1798" s="26" t="s">
        <v>3340</v>
      </c>
      <c r="C1798" s="26" t="s">
        <v>50</v>
      </c>
      <c r="D1798" s="27">
        <v>16.7</v>
      </c>
      <c r="E1798" t="e">
        <f>VLOOKUP(B1798,Кат!G:J,3,0)</f>
        <v>#N/A</v>
      </c>
    </row>
    <row r="1799" spans="1:5">
      <c r="A1799" s="26" t="s">
        <v>3341</v>
      </c>
      <c r="B1799" s="26" t="s">
        <v>3342</v>
      </c>
      <c r="C1799" s="26" t="s">
        <v>50</v>
      </c>
      <c r="D1799" s="27">
        <v>21.3</v>
      </c>
      <c r="E1799" t="e">
        <f>VLOOKUP(B1799,Кат!G:J,3,0)</f>
        <v>#N/A</v>
      </c>
    </row>
    <row r="1800" spans="1:5">
      <c r="A1800" s="26" t="s">
        <v>3343</v>
      </c>
      <c r="B1800" s="26" t="s">
        <v>3344</v>
      </c>
      <c r="C1800" s="26" t="s">
        <v>50</v>
      </c>
      <c r="D1800" s="27">
        <v>16.7</v>
      </c>
      <c r="E1800" t="e">
        <f>VLOOKUP(B1800,Кат!G:J,3,0)</f>
        <v>#N/A</v>
      </c>
    </row>
    <row r="1801" spans="1:5">
      <c r="A1801" s="26" t="s">
        <v>3345</v>
      </c>
      <c r="B1801" s="26" t="s">
        <v>3346</v>
      </c>
      <c r="C1801" s="26" t="s">
        <v>50</v>
      </c>
      <c r="D1801" s="27">
        <v>42.6</v>
      </c>
      <c r="E1801" t="e">
        <f>VLOOKUP(B1801,Кат!G:J,3,0)</f>
        <v>#N/A</v>
      </c>
    </row>
    <row r="1802" spans="1:5">
      <c r="A1802" s="26" t="s">
        <v>3347</v>
      </c>
      <c r="B1802" s="26" t="s">
        <v>3348</v>
      </c>
      <c r="C1802" s="26" t="s">
        <v>50</v>
      </c>
      <c r="D1802" s="27">
        <v>16.7</v>
      </c>
      <c r="E1802" t="e">
        <f>VLOOKUP(B1802,Кат!G:J,3,0)</f>
        <v>#N/A</v>
      </c>
    </row>
    <row r="1803" spans="1:5">
      <c r="A1803" s="26" t="s">
        <v>3349</v>
      </c>
      <c r="B1803" s="26" t="s">
        <v>3350</v>
      </c>
      <c r="C1803" s="26" t="s">
        <v>50</v>
      </c>
      <c r="D1803" s="27">
        <v>16.7</v>
      </c>
      <c r="E1803" t="e">
        <f>VLOOKUP(B1803,Кат!G:J,3,0)</f>
        <v>#N/A</v>
      </c>
    </row>
    <row r="1804" spans="1:5">
      <c r="A1804" s="26" t="s">
        <v>3351</v>
      </c>
      <c r="B1804" s="26" t="s">
        <v>3352</v>
      </c>
      <c r="C1804" s="26" t="s">
        <v>50</v>
      </c>
      <c r="D1804" s="27">
        <v>16.7</v>
      </c>
      <c r="E1804" t="e">
        <f>VLOOKUP(B1804,Кат!G:J,3,0)</f>
        <v>#N/A</v>
      </c>
    </row>
    <row r="1805" spans="1:5">
      <c r="A1805" s="26" t="s">
        <v>3353</v>
      </c>
      <c r="B1805" s="26" t="s">
        <v>3354</v>
      </c>
      <c r="C1805" s="26" t="s">
        <v>50</v>
      </c>
      <c r="D1805" s="27">
        <v>100.1</v>
      </c>
      <c r="E1805" t="e">
        <f>VLOOKUP(B1805,Кат!G:J,3,0)</f>
        <v>#N/A</v>
      </c>
    </row>
    <row r="1806" spans="1:5" ht="22.5">
      <c r="A1806" s="26" t="s">
        <v>3355</v>
      </c>
      <c r="B1806" s="26" t="s">
        <v>3356</v>
      </c>
      <c r="C1806" s="26" t="s">
        <v>50</v>
      </c>
      <c r="D1806" s="27">
        <v>364.2</v>
      </c>
      <c r="E1806" t="e">
        <f>VLOOKUP(B1806,Кат!G:J,3,0)</f>
        <v>#N/A</v>
      </c>
    </row>
    <row r="1807" spans="1:5" ht="22.5">
      <c r="A1807" s="26" t="s">
        <v>3357</v>
      </c>
      <c r="B1807" s="26" t="s">
        <v>3358</v>
      </c>
      <c r="C1807" s="26" t="s">
        <v>50</v>
      </c>
      <c r="D1807" s="27">
        <v>174.8</v>
      </c>
      <c r="E1807" t="e">
        <f>VLOOKUP(B1807,Кат!G:J,3,0)</f>
        <v>#N/A</v>
      </c>
    </row>
    <row r="1808" spans="1:5">
      <c r="A1808" s="26" t="s">
        <v>4393</v>
      </c>
      <c r="B1808" s="26" t="s">
        <v>4394</v>
      </c>
      <c r="C1808" s="26" t="s">
        <v>50</v>
      </c>
      <c r="D1808" s="27">
        <v>128.30000000000001</v>
      </c>
      <c r="E1808" t="e">
        <f>VLOOKUP(B1808,Кат!G:J,3,0)</f>
        <v>#N/A</v>
      </c>
    </row>
    <row r="1809" spans="1:5" ht="22.5">
      <c r="A1809" s="26" t="s">
        <v>4395</v>
      </c>
      <c r="B1809" s="26" t="s">
        <v>4396</v>
      </c>
      <c r="C1809" s="26" t="s">
        <v>50</v>
      </c>
      <c r="D1809" s="27">
        <v>444.8</v>
      </c>
      <c r="E1809" t="e">
        <f>VLOOKUP(B1809,Кат!G:J,3,0)</f>
        <v>#N/A</v>
      </c>
    </row>
    <row r="1810" spans="1:5" ht="22.5">
      <c r="A1810" s="26" t="s">
        <v>3359</v>
      </c>
      <c r="B1810" s="26" t="s">
        <v>3360</v>
      </c>
      <c r="C1810" s="26" t="s">
        <v>50</v>
      </c>
      <c r="D1810" s="27">
        <v>228.6</v>
      </c>
      <c r="E1810" t="e">
        <f>VLOOKUP(B1810,Кат!G:J,3,0)</f>
        <v>#N/A</v>
      </c>
    </row>
    <row r="1811" spans="1:5" ht="22.5">
      <c r="A1811" s="26" t="s">
        <v>3361</v>
      </c>
      <c r="B1811" s="26" t="s">
        <v>3362</v>
      </c>
      <c r="C1811" s="26" t="s">
        <v>50</v>
      </c>
      <c r="D1811" s="27">
        <v>468.6</v>
      </c>
      <c r="E1811" t="e">
        <f>VLOOKUP(B1811,Кат!G:J,3,0)</f>
        <v>#N/A</v>
      </c>
    </row>
    <row r="1812" spans="1:5" ht="22.5">
      <c r="A1812" s="26" t="s">
        <v>4397</v>
      </c>
      <c r="B1812" s="26" t="s">
        <v>4398</v>
      </c>
      <c r="C1812" s="26" t="s">
        <v>50</v>
      </c>
      <c r="D1812" s="27">
        <v>249.3</v>
      </c>
      <c r="E1812" t="e">
        <f>VLOOKUP(B1812,Кат!G:J,3,0)</f>
        <v>#N/A</v>
      </c>
    </row>
    <row r="1813" spans="1:5">
      <c r="A1813" s="29" t="s">
        <v>3363</v>
      </c>
      <c r="B1813" s="30"/>
      <c r="C1813" s="30"/>
      <c r="D1813" s="31"/>
      <c r="E1813" t="e">
        <f>VLOOKUP(B1813,Кат!G:J,3,0)</f>
        <v>#N/A</v>
      </c>
    </row>
    <row r="1814" spans="1:5">
      <c r="A1814" s="26" t="s">
        <v>3364</v>
      </c>
      <c r="B1814" s="26" t="s">
        <v>3365</v>
      </c>
      <c r="C1814" s="26" t="s">
        <v>50</v>
      </c>
      <c r="D1814" s="27">
        <v>242.9</v>
      </c>
      <c r="E1814" t="e">
        <f>VLOOKUP(B1814,Кат!G:J,3,0)</f>
        <v>#N/A</v>
      </c>
    </row>
    <row r="1815" spans="1:5">
      <c r="A1815" s="26" t="s">
        <v>3366</v>
      </c>
      <c r="B1815" s="26" t="s">
        <v>3367</v>
      </c>
      <c r="C1815" s="26" t="s">
        <v>50</v>
      </c>
      <c r="D1815" s="27">
        <v>242.9</v>
      </c>
      <c r="E1815" t="e">
        <f>VLOOKUP(B1815,Кат!G:J,3,0)</f>
        <v>#N/A</v>
      </c>
    </row>
    <row r="1816" spans="1:5">
      <c r="A1816" s="26" t="s">
        <v>3368</v>
      </c>
      <c r="B1816" s="26" t="s">
        <v>3369</v>
      </c>
      <c r="C1816" s="26" t="s">
        <v>50</v>
      </c>
      <c r="D1816" s="27">
        <v>245.2</v>
      </c>
      <c r="E1816" t="e">
        <f>VLOOKUP(B1816,Кат!G:J,3,0)</f>
        <v>#N/A</v>
      </c>
    </row>
    <row r="1817" spans="1:5">
      <c r="A1817" s="26" t="s">
        <v>3370</v>
      </c>
      <c r="B1817" s="26" t="s">
        <v>3371</v>
      </c>
      <c r="C1817" s="26" t="s">
        <v>50</v>
      </c>
      <c r="D1817" s="27">
        <v>245.2</v>
      </c>
      <c r="E1817" t="e">
        <f>VLOOKUP(B1817,Кат!G:J,3,0)</f>
        <v>#N/A</v>
      </c>
    </row>
    <row r="1818" spans="1:5">
      <c r="A1818" s="26" t="s">
        <v>3372</v>
      </c>
      <c r="B1818" s="26" t="s">
        <v>3373</v>
      </c>
      <c r="C1818" s="26" t="s">
        <v>50</v>
      </c>
      <c r="D1818" s="27">
        <v>245.2</v>
      </c>
      <c r="E1818" t="e">
        <f>VLOOKUP(B1818,Кат!G:J,3,0)</f>
        <v>#N/A</v>
      </c>
    </row>
    <row r="1819" spans="1:5">
      <c r="A1819" s="26" t="s">
        <v>3374</v>
      </c>
      <c r="B1819" s="26" t="s">
        <v>3375</v>
      </c>
      <c r="C1819" s="26" t="s">
        <v>50</v>
      </c>
      <c r="D1819" s="27">
        <v>245.2</v>
      </c>
      <c r="E1819" t="e">
        <f>VLOOKUP(B1819,Кат!G:J,3,0)</f>
        <v>#N/A</v>
      </c>
    </row>
    <row r="1820" spans="1:5">
      <c r="A1820" s="26" t="s">
        <v>3376</v>
      </c>
      <c r="B1820" s="26" t="s">
        <v>3377</v>
      </c>
      <c r="C1820" s="26" t="s">
        <v>50</v>
      </c>
      <c r="D1820" s="27">
        <v>245.2</v>
      </c>
      <c r="E1820" t="e">
        <f>VLOOKUP(B1820,Кат!G:J,3,0)</f>
        <v>#N/A</v>
      </c>
    </row>
    <row r="1821" spans="1:5">
      <c r="A1821" s="26" t="s">
        <v>3378</v>
      </c>
      <c r="B1821" s="26" t="s">
        <v>3379</v>
      </c>
      <c r="C1821" s="26" t="s">
        <v>50</v>
      </c>
      <c r="D1821" s="27">
        <v>245.2</v>
      </c>
      <c r="E1821" t="e">
        <f>VLOOKUP(B1821,Кат!G:J,3,0)</f>
        <v>#N/A</v>
      </c>
    </row>
    <row r="1822" spans="1:5">
      <c r="A1822" s="26" t="s">
        <v>3380</v>
      </c>
      <c r="B1822" s="26" t="s">
        <v>3381</v>
      </c>
      <c r="C1822" s="26" t="s">
        <v>50</v>
      </c>
      <c r="D1822" s="27">
        <v>262.5</v>
      </c>
      <c r="E1822" t="e">
        <f>VLOOKUP(B1822,Кат!G:J,3,0)</f>
        <v>#N/A</v>
      </c>
    </row>
    <row r="1823" spans="1:5">
      <c r="A1823" s="26" t="s">
        <v>3382</v>
      </c>
      <c r="B1823" s="26" t="s">
        <v>3383</v>
      </c>
      <c r="C1823" s="26" t="s">
        <v>50</v>
      </c>
      <c r="D1823" s="27">
        <v>262.5</v>
      </c>
      <c r="E1823" t="e">
        <f>VLOOKUP(B1823,Кат!G:J,3,0)</f>
        <v>#N/A</v>
      </c>
    </row>
    <row r="1824" spans="1:5">
      <c r="A1824" s="26" t="s">
        <v>3384</v>
      </c>
      <c r="B1824" s="26" t="s">
        <v>3385</v>
      </c>
      <c r="C1824" s="26" t="s">
        <v>50</v>
      </c>
      <c r="D1824" s="27">
        <v>265</v>
      </c>
      <c r="E1824" t="e">
        <f>VLOOKUP(B1824,Кат!G:J,3,0)</f>
        <v>#N/A</v>
      </c>
    </row>
    <row r="1825" spans="1:5">
      <c r="A1825" s="26" t="s">
        <v>3386</v>
      </c>
      <c r="B1825" s="26" t="s">
        <v>3387</v>
      </c>
      <c r="C1825" s="26" t="s">
        <v>50</v>
      </c>
      <c r="D1825" s="27">
        <v>265</v>
      </c>
      <c r="E1825" t="e">
        <f>VLOOKUP(B1825,Кат!G:J,3,0)</f>
        <v>#N/A</v>
      </c>
    </row>
    <row r="1826" spans="1:5">
      <c r="A1826" s="26" t="s">
        <v>3388</v>
      </c>
      <c r="B1826" s="26" t="s">
        <v>3389</v>
      </c>
      <c r="C1826" s="26" t="s">
        <v>50</v>
      </c>
      <c r="D1826" s="27">
        <v>265</v>
      </c>
      <c r="E1826" t="e">
        <f>VLOOKUP(B1826,Кат!G:J,3,0)</f>
        <v>#N/A</v>
      </c>
    </row>
    <row r="1827" spans="1:5">
      <c r="A1827" s="26" t="s">
        <v>3390</v>
      </c>
      <c r="B1827" s="26" t="s">
        <v>3391</v>
      </c>
      <c r="C1827" s="26" t="s">
        <v>50</v>
      </c>
      <c r="D1827" s="27">
        <v>265</v>
      </c>
      <c r="E1827" t="e">
        <f>VLOOKUP(B1827,Кат!G:J,3,0)</f>
        <v>#N/A</v>
      </c>
    </row>
    <row r="1828" spans="1:5">
      <c r="A1828" s="26" t="s">
        <v>3392</v>
      </c>
      <c r="B1828" s="26" t="s">
        <v>3393</v>
      </c>
      <c r="C1828" s="26" t="s">
        <v>50</v>
      </c>
      <c r="D1828" s="27">
        <v>265</v>
      </c>
      <c r="E1828" t="e">
        <f>VLOOKUP(B1828,Кат!G:J,3,0)</f>
        <v>#N/A</v>
      </c>
    </row>
    <row r="1829" spans="1:5" ht="22.5">
      <c r="A1829" s="26" t="s">
        <v>3394</v>
      </c>
      <c r="B1829" s="26" t="s">
        <v>3395</v>
      </c>
      <c r="C1829" s="26" t="s">
        <v>50</v>
      </c>
      <c r="D1829" s="27">
        <v>297.8</v>
      </c>
      <c r="E1829" t="e">
        <f>VLOOKUP(B1829,Кат!G:J,3,0)</f>
        <v>#N/A</v>
      </c>
    </row>
    <row r="1830" spans="1:5" ht="22.5">
      <c r="A1830" s="26" t="s">
        <v>3396</v>
      </c>
      <c r="B1830" s="26" t="s">
        <v>3397</v>
      </c>
      <c r="C1830" s="26" t="s">
        <v>50</v>
      </c>
      <c r="D1830" s="27">
        <v>297.8</v>
      </c>
      <c r="E1830" t="e">
        <f>VLOOKUP(B1830,Кат!G:J,3,0)</f>
        <v>#N/A</v>
      </c>
    </row>
    <row r="1831" spans="1:5" ht="22.5">
      <c r="A1831" s="26" t="s">
        <v>3398</v>
      </c>
      <c r="B1831" s="26" t="s">
        <v>3399</v>
      </c>
      <c r="C1831" s="26" t="s">
        <v>50</v>
      </c>
      <c r="D1831" s="27">
        <v>297.8</v>
      </c>
      <c r="E1831" t="e">
        <f>VLOOKUP(B1831,Кат!G:J,3,0)</f>
        <v>#N/A</v>
      </c>
    </row>
    <row r="1832" spans="1:5" ht="22.5">
      <c r="A1832" s="26" t="s">
        <v>3400</v>
      </c>
      <c r="B1832" s="26" t="s">
        <v>3401</v>
      </c>
      <c r="C1832" s="26" t="s">
        <v>50</v>
      </c>
      <c r="D1832" s="27">
        <v>297.8</v>
      </c>
      <c r="E1832" t="e">
        <f>VLOOKUP(B1832,Кат!G:J,3,0)</f>
        <v>#N/A</v>
      </c>
    </row>
    <row r="1833" spans="1:5" ht="22.5">
      <c r="A1833" s="26" t="s">
        <v>3402</v>
      </c>
      <c r="B1833" s="26" t="s">
        <v>3403</v>
      </c>
      <c r="C1833" s="26" t="s">
        <v>50</v>
      </c>
      <c r="D1833" s="27">
        <v>297.8</v>
      </c>
      <c r="E1833" t="e">
        <f>VLOOKUP(B1833,Кат!G:J,3,0)</f>
        <v>#N/A</v>
      </c>
    </row>
    <row r="1834" spans="1:5" ht="22.5">
      <c r="A1834" s="26" t="s">
        <v>3404</v>
      </c>
      <c r="B1834" s="26" t="s">
        <v>3405</v>
      </c>
      <c r="C1834" s="26" t="s">
        <v>50</v>
      </c>
      <c r="D1834" s="27">
        <v>297.8</v>
      </c>
      <c r="E1834" t="e">
        <f>VLOOKUP(B1834,Кат!G:J,3,0)</f>
        <v>#N/A</v>
      </c>
    </row>
    <row r="1835" spans="1:5" ht="22.5">
      <c r="A1835" s="26" t="s">
        <v>3406</v>
      </c>
      <c r="B1835" s="26" t="s">
        <v>3407</v>
      </c>
      <c r="C1835" s="26" t="s">
        <v>50</v>
      </c>
      <c r="D1835" s="27">
        <v>297.8</v>
      </c>
      <c r="E1835" t="e">
        <f>VLOOKUP(B1835,Кат!G:J,3,0)</f>
        <v>#N/A</v>
      </c>
    </row>
    <row r="1836" spans="1:5" ht="22.5">
      <c r="A1836" s="26" t="s">
        <v>3408</v>
      </c>
      <c r="B1836" s="26" t="s">
        <v>3409</v>
      </c>
      <c r="C1836" s="26" t="s">
        <v>50</v>
      </c>
      <c r="D1836" s="27">
        <v>274.89999999999998</v>
      </c>
      <c r="E1836" t="e">
        <f>VLOOKUP(B1836,Кат!G:J,3,0)</f>
        <v>#N/A</v>
      </c>
    </row>
    <row r="1837" spans="1:5" ht="22.5">
      <c r="A1837" s="26" t="s">
        <v>3410</v>
      </c>
      <c r="B1837" s="26" t="s">
        <v>3411</v>
      </c>
      <c r="C1837" s="26" t="s">
        <v>1108</v>
      </c>
      <c r="D1837" s="27">
        <v>327.8</v>
      </c>
      <c r="E1837" t="e">
        <f>VLOOKUP(B1837,Кат!G:J,3,0)</f>
        <v>#N/A</v>
      </c>
    </row>
    <row r="1838" spans="1:5" ht="22.5">
      <c r="A1838" s="26" t="s">
        <v>3412</v>
      </c>
      <c r="B1838" s="26" t="s">
        <v>3413</v>
      </c>
      <c r="C1838" s="26" t="s">
        <v>1108</v>
      </c>
      <c r="D1838" s="27">
        <v>327.8</v>
      </c>
      <c r="E1838" t="e">
        <f>VLOOKUP(B1838,Кат!G:J,3,0)</f>
        <v>#N/A</v>
      </c>
    </row>
    <row r="1839" spans="1:5" ht="22.5">
      <c r="A1839" s="26" t="s">
        <v>3414</v>
      </c>
      <c r="B1839" s="26" t="s">
        <v>3415</v>
      </c>
      <c r="C1839" s="26" t="s">
        <v>1108</v>
      </c>
      <c r="D1839" s="27">
        <v>327.8</v>
      </c>
      <c r="E1839" t="e">
        <f>VLOOKUP(B1839,Кат!G:J,3,0)</f>
        <v>#N/A</v>
      </c>
    </row>
    <row r="1840" spans="1:5" ht="22.5">
      <c r="A1840" s="26" t="s">
        <v>3416</v>
      </c>
      <c r="B1840" s="26" t="s">
        <v>3417</v>
      </c>
      <c r="C1840" s="26" t="s">
        <v>1108</v>
      </c>
      <c r="D1840" s="27">
        <v>327.8</v>
      </c>
      <c r="E1840" t="e">
        <f>VLOOKUP(B1840,Кат!G:J,3,0)</f>
        <v>#N/A</v>
      </c>
    </row>
    <row r="1841" spans="1:5" ht="22.5">
      <c r="A1841" s="26" t="s">
        <v>3418</v>
      </c>
      <c r="B1841" s="26" t="s">
        <v>3419</v>
      </c>
      <c r="C1841" s="26" t="s">
        <v>1108</v>
      </c>
      <c r="D1841" s="27">
        <v>327.8</v>
      </c>
      <c r="E1841" t="e">
        <f>VLOOKUP(B1841,Кат!G:J,3,0)</f>
        <v>#N/A</v>
      </c>
    </row>
    <row r="1842" spans="1:5" ht="22.5">
      <c r="A1842" s="26" t="s">
        <v>3420</v>
      </c>
      <c r="B1842" s="26" t="s">
        <v>3421</v>
      </c>
      <c r="C1842" s="26" t="s">
        <v>1108</v>
      </c>
      <c r="D1842" s="27">
        <v>327.8</v>
      </c>
      <c r="E1842" t="e">
        <f>VLOOKUP(B1842,Кат!G:J,3,0)</f>
        <v>#N/A</v>
      </c>
    </row>
    <row r="1843" spans="1:5" ht="22.5">
      <c r="A1843" s="26" t="s">
        <v>3422</v>
      </c>
      <c r="B1843" s="26" t="s">
        <v>3423</v>
      </c>
      <c r="C1843" s="26" t="s">
        <v>1108</v>
      </c>
      <c r="D1843" s="27">
        <v>327.8</v>
      </c>
      <c r="E1843" t="e">
        <f>VLOOKUP(B1843,Кат!G:J,3,0)</f>
        <v>#N/A</v>
      </c>
    </row>
    <row r="1844" spans="1:5" ht="22.5">
      <c r="A1844" s="26" t="s">
        <v>3424</v>
      </c>
      <c r="B1844" s="26" t="s">
        <v>3425</v>
      </c>
      <c r="C1844" s="26" t="s">
        <v>50</v>
      </c>
      <c r="D1844" s="27">
        <v>116.9</v>
      </c>
      <c r="E1844" t="e">
        <f>VLOOKUP(B1844,Кат!G:J,3,0)</f>
        <v>#N/A</v>
      </c>
    </row>
    <row r="1845" spans="1:5" ht="22.5">
      <c r="A1845" s="26" t="s">
        <v>3426</v>
      </c>
      <c r="B1845" s="26" t="s">
        <v>3427</v>
      </c>
      <c r="C1845" s="26" t="s">
        <v>50</v>
      </c>
      <c r="D1845" s="27">
        <v>116.9</v>
      </c>
      <c r="E1845" t="e">
        <f>VLOOKUP(B1845,Кат!G:J,3,0)</f>
        <v>#N/A</v>
      </c>
    </row>
    <row r="1846" spans="1:5" ht="22.5">
      <c r="A1846" s="26" t="s">
        <v>3428</v>
      </c>
      <c r="B1846" s="26" t="s">
        <v>3429</v>
      </c>
      <c r="C1846" s="26" t="s">
        <v>50</v>
      </c>
      <c r="D1846" s="27">
        <v>116.9</v>
      </c>
      <c r="E1846" t="e">
        <f>VLOOKUP(B1846,Кат!G:J,3,0)</f>
        <v>#N/A</v>
      </c>
    </row>
    <row r="1847" spans="1:5" ht="22.5">
      <c r="A1847" s="26" t="s">
        <v>3430</v>
      </c>
      <c r="B1847" s="26" t="s">
        <v>3431</v>
      </c>
      <c r="C1847" s="26" t="s">
        <v>50</v>
      </c>
      <c r="D1847" s="27">
        <v>116.9</v>
      </c>
      <c r="E1847" t="e">
        <f>VLOOKUP(B1847,Кат!G:J,3,0)</f>
        <v>#N/A</v>
      </c>
    </row>
    <row r="1848" spans="1:5" ht="22.5">
      <c r="A1848" s="26" t="s">
        <v>3432</v>
      </c>
      <c r="B1848" s="26" t="s">
        <v>3433</v>
      </c>
      <c r="C1848" s="26" t="s">
        <v>50</v>
      </c>
      <c r="D1848" s="27">
        <v>116.9</v>
      </c>
      <c r="E1848" t="e">
        <f>VLOOKUP(B1848,Кат!G:J,3,0)</f>
        <v>#N/A</v>
      </c>
    </row>
    <row r="1849" spans="1:5" ht="22.5">
      <c r="A1849" s="26" t="s">
        <v>3434</v>
      </c>
      <c r="B1849" s="26" t="s">
        <v>3435</v>
      </c>
      <c r="C1849" s="26" t="s">
        <v>50</v>
      </c>
      <c r="D1849" s="27">
        <v>116.9</v>
      </c>
      <c r="E1849" t="e">
        <f>VLOOKUP(B1849,Кат!G:J,3,0)</f>
        <v>#N/A</v>
      </c>
    </row>
    <row r="1850" spans="1:5" ht="22.5">
      <c r="A1850" s="26" t="s">
        <v>3436</v>
      </c>
      <c r="B1850" s="26" t="s">
        <v>3437</v>
      </c>
      <c r="C1850" s="26" t="s">
        <v>50</v>
      </c>
      <c r="D1850" s="27">
        <v>116.9</v>
      </c>
      <c r="E1850" t="e">
        <f>VLOOKUP(B1850,Кат!G:J,3,0)</f>
        <v>#N/A</v>
      </c>
    </row>
    <row r="1851" spans="1:5" ht="22.5">
      <c r="A1851" s="26" t="s">
        <v>3438</v>
      </c>
      <c r="B1851" s="26" t="s">
        <v>3439</v>
      </c>
      <c r="C1851" s="26" t="s">
        <v>50</v>
      </c>
      <c r="D1851" s="27">
        <v>116.9</v>
      </c>
      <c r="E1851" t="e">
        <f>VLOOKUP(B1851,Кат!G:J,3,0)</f>
        <v>#N/A</v>
      </c>
    </row>
    <row r="1852" spans="1:5">
      <c r="A1852" s="26" t="s">
        <v>3440</v>
      </c>
      <c r="B1852" s="26" t="s">
        <v>3441</v>
      </c>
      <c r="C1852" s="26" t="s">
        <v>49</v>
      </c>
      <c r="D1852" s="27">
        <v>114.1</v>
      </c>
      <c r="E1852" t="e">
        <f>VLOOKUP(B1852,Кат!G:J,3,0)</f>
        <v>#N/A</v>
      </c>
    </row>
    <row r="1853" spans="1:5">
      <c r="A1853" s="26" t="s">
        <v>3442</v>
      </c>
      <c r="B1853" s="26" t="s">
        <v>3443</v>
      </c>
      <c r="C1853" s="26" t="s">
        <v>49</v>
      </c>
      <c r="D1853" s="27">
        <v>103.2</v>
      </c>
      <c r="E1853" t="e">
        <f>VLOOKUP(B1853,Кат!G:J,3,0)</f>
        <v>#N/A</v>
      </c>
    </row>
    <row r="1854" spans="1:5">
      <c r="A1854" s="26" t="s">
        <v>3444</v>
      </c>
      <c r="B1854" s="26" t="s">
        <v>3445</v>
      </c>
      <c r="C1854" s="26" t="s">
        <v>49</v>
      </c>
      <c r="D1854" s="27">
        <v>284.89999999999998</v>
      </c>
      <c r="E1854" t="e">
        <f>VLOOKUP(B1854,Кат!G:J,3,0)</f>
        <v>#N/A</v>
      </c>
    </row>
    <row r="1855" spans="1:5">
      <c r="A1855" s="26" t="s">
        <v>3444</v>
      </c>
      <c r="B1855" s="26" t="s">
        <v>3446</v>
      </c>
      <c r="C1855" s="26" t="s">
        <v>49</v>
      </c>
      <c r="D1855" s="27">
        <v>107.8</v>
      </c>
      <c r="E1855" t="e">
        <f>VLOOKUP(B1855,Кат!G:J,3,0)</f>
        <v>#N/A</v>
      </c>
    </row>
    <row r="1856" spans="1:5" ht="22.5">
      <c r="A1856" s="26" t="s">
        <v>3447</v>
      </c>
      <c r="B1856" s="26" t="s">
        <v>3448</v>
      </c>
      <c r="C1856" s="26" t="s">
        <v>49</v>
      </c>
      <c r="D1856" s="27">
        <v>129.6</v>
      </c>
      <c r="E1856" t="e">
        <f>VLOOKUP(B1856,Кат!G:J,3,0)</f>
        <v>#N/A</v>
      </c>
    </row>
    <row r="1857" spans="1:5" ht="22.5">
      <c r="A1857" s="26" t="s">
        <v>3449</v>
      </c>
      <c r="B1857" s="26" t="s">
        <v>3450</v>
      </c>
      <c r="C1857" s="26" t="s">
        <v>49</v>
      </c>
      <c r="D1857" s="27">
        <v>119.2</v>
      </c>
      <c r="E1857" t="e">
        <f>VLOOKUP(B1857,Кат!G:J,3,0)</f>
        <v>#N/A</v>
      </c>
    </row>
    <row r="1858" spans="1:5">
      <c r="A1858" s="29" t="s">
        <v>3451</v>
      </c>
      <c r="B1858" s="30"/>
      <c r="C1858" s="30"/>
      <c r="D1858" s="31"/>
      <c r="E1858" t="e">
        <f>VLOOKUP(B1858,Кат!G:J,3,0)</f>
        <v>#N/A</v>
      </c>
    </row>
    <row r="1859" spans="1:5" ht="22.5">
      <c r="A1859" s="26" t="s">
        <v>3452</v>
      </c>
      <c r="B1859" s="26" t="s">
        <v>3453</v>
      </c>
      <c r="C1859" s="26" t="s">
        <v>49</v>
      </c>
      <c r="D1859" s="27">
        <v>639</v>
      </c>
      <c r="E1859" t="e">
        <f>VLOOKUP(B1859,Кат!G:J,3,0)</f>
        <v>#N/A</v>
      </c>
    </row>
    <row r="1860" spans="1:5" ht="22.5">
      <c r="A1860" s="26" t="s">
        <v>3454</v>
      </c>
      <c r="B1860" s="26" t="s">
        <v>3455</v>
      </c>
      <c r="C1860" s="26" t="s">
        <v>49</v>
      </c>
      <c r="D1860" s="28">
        <v>2369</v>
      </c>
      <c r="E1860" t="e">
        <f>VLOOKUP(B1860,Кат!G:J,3,0)</f>
        <v>#N/A</v>
      </c>
    </row>
    <row r="1861" spans="1:5" ht="22.5">
      <c r="A1861" s="26" t="s">
        <v>3456</v>
      </c>
      <c r="B1861" s="26" t="s">
        <v>3457</v>
      </c>
      <c r="C1861" s="26" t="s">
        <v>49</v>
      </c>
      <c r="D1861" s="28">
        <v>1466</v>
      </c>
      <c r="E1861" t="e">
        <f>VLOOKUP(B1861,Кат!G:J,3,0)</f>
        <v>#N/A</v>
      </c>
    </row>
    <row r="1862" spans="1:5" ht="22.5">
      <c r="A1862" s="26" t="s">
        <v>3458</v>
      </c>
      <c r="B1862" s="26" t="s">
        <v>3459</v>
      </c>
      <c r="C1862" s="26" t="s">
        <v>49</v>
      </c>
      <c r="D1862" s="28">
        <v>1815</v>
      </c>
      <c r="E1862" t="e">
        <f>VLOOKUP(B1862,Кат!G:J,3,0)</f>
        <v>#N/A</v>
      </c>
    </row>
    <row r="1863" spans="1:5" ht="22.5">
      <c r="A1863" s="26" t="s">
        <v>3460</v>
      </c>
      <c r="B1863" s="26" t="s">
        <v>3461</v>
      </c>
      <c r="C1863" s="26" t="s">
        <v>49</v>
      </c>
      <c r="D1863" s="28">
        <v>1271</v>
      </c>
      <c r="E1863" t="e">
        <f>VLOOKUP(B1863,Кат!G:J,3,0)</f>
        <v>#N/A</v>
      </c>
    </row>
    <row r="1864" spans="1:5" ht="22.5">
      <c r="A1864" s="26" t="s">
        <v>3462</v>
      </c>
      <c r="B1864" s="26" t="s">
        <v>3463</v>
      </c>
      <c r="C1864" s="26" t="s">
        <v>49</v>
      </c>
      <c r="D1864" s="28">
        <v>1264</v>
      </c>
      <c r="E1864" t="e">
        <f>VLOOKUP(B1864,Кат!G:J,3,0)</f>
        <v>#N/A</v>
      </c>
    </row>
    <row r="1865" spans="1:5" ht="22.5">
      <c r="A1865" s="26" t="s">
        <v>3464</v>
      </c>
      <c r="B1865" s="26" t="s">
        <v>3465</v>
      </c>
      <c r="C1865" s="26" t="s">
        <v>49</v>
      </c>
      <c r="D1865" s="28">
        <v>1418</v>
      </c>
      <c r="E1865" t="e">
        <f>VLOOKUP(B1865,Кат!G:J,3,0)</f>
        <v>#N/A</v>
      </c>
    </row>
    <row r="1866" spans="1:5">
      <c r="A1866" s="26" t="s">
        <v>3466</v>
      </c>
      <c r="B1866" s="26" t="s">
        <v>3467</v>
      </c>
      <c r="C1866" s="26" t="s">
        <v>49</v>
      </c>
      <c r="D1866" s="27">
        <v>997</v>
      </c>
      <c r="E1866" t="e">
        <f>VLOOKUP(B1866,Кат!G:J,3,0)</f>
        <v>#N/A</v>
      </c>
    </row>
    <row r="1867" spans="1:5" ht="22.5">
      <c r="A1867" s="26" t="s">
        <v>3468</v>
      </c>
      <c r="B1867" s="26" t="s">
        <v>3469</v>
      </c>
      <c r="C1867" s="26" t="s">
        <v>49</v>
      </c>
      <c r="D1867" s="28">
        <v>2002</v>
      </c>
      <c r="E1867" t="e">
        <f>VLOOKUP(B1867,Кат!G:J,3,0)</f>
        <v>#N/A</v>
      </c>
    </row>
    <row r="1868" spans="1:5">
      <c r="A1868" s="26" t="s">
        <v>3470</v>
      </c>
      <c r="B1868" s="26" t="s">
        <v>3471</v>
      </c>
      <c r="C1868" s="26" t="s">
        <v>49</v>
      </c>
      <c r="D1868" s="28">
        <v>1056</v>
      </c>
      <c r="E1868" t="e">
        <f>VLOOKUP(B1868,Кат!G:J,3,0)</f>
        <v>#N/A</v>
      </c>
    </row>
    <row r="1869" spans="1:5">
      <c r="A1869" s="26" t="s">
        <v>3472</v>
      </c>
      <c r="B1869" s="26" t="s">
        <v>3473</v>
      </c>
      <c r="C1869" s="26" t="s">
        <v>49</v>
      </c>
      <c r="D1869" s="27">
        <v>765</v>
      </c>
      <c r="E1869" t="e">
        <f>VLOOKUP(B1869,Кат!G:J,3,0)</f>
        <v>#N/A</v>
      </c>
    </row>
    <row r="1870" spans="1:5" ht="22.5">
      <c r="A1870" s="26" t="s">
        <v>3474</v>
      </c>
      <c r="B1870" s="26" t="s">
        <v>3475</v>
      </c>
      <c r="C1870" s="26" t="s">
        <v>49</v>
      </c>
      <c r="D1870" s="28">
        <v>1289</v>
      </c>
      <c r="E1870" t="e">
        <f>VLOOKUP(B1870,Кат!G:J,3,0)</f>
        <v>#N/A</v>
      </c>
    </row>
    <row r="1871" spans="1:5" ht="22.5">
      <c r="A1871" s="26" t="s">
        <v>3476</v>
      </c>
      <c r="B1871" s="26" t="s">
        <v>3477</v>
      </c>
      <c r="C1871" s="26" t="s">
        <v>49</v>
      </c>
      <c r="D1871" s="28">
        <v>1003</v>
      </c>
      <c r="E1871" t="e">
        <f>VLOOKUP(B1871,Кат!G:J,3,0)</f>
        <v>#N/A</v>
      </c>
    </row>
    <row r="1872" spans="1:5" ht="22.5">
      <c r="A1872" s="26" t="s">
        <v>3478</v>
      </c>
      <c r="B1872" s="26" t="s">
        <v>3479</v>
      </c>
      <c r="C1872" s="26" t="s">
        <v>49</v>
      </c>
      <c r="D1872" s="28">
        <v>1420</v>
      </c>
      <c r="E1872" t="e">
        <f>VLOOKUP(B1872,Кат!G:J,3,0)</f>
        <v>#N/A</v>
      </c>
    </row>
    <row r="1873" spans="1:5" ht="22.5">
      <c r="A1873" s="26" t="s">
        <v>3480</v>
      </c>
      <c r="B1873" s="26" t="s">
        <v>3481</v>
      </c>
      <c r="C1873" s="26" t="s">
        <v>49</v>
      </c>
      <c r="D1873" s="28">
        <v>1214</v>
      </c>
      <c r="E1873" t="e">
        <f>VLOOKUP(B1873,Кат!G:J,3,0)</f>
        <v>#N/A</v>
      </c>
    </row>
    <row r="1874" spans="1:5" ht="22.5">
      <c r="A1874" s="26" t="s">
        <v>3482</v>
      </c>
      <c r="B1874" s="26" t="s">
        <v>3483</v>
      </c>
      <c r="C1874" s="26" t="s">
        <v>49</v>
      </c>
      <c r="D1874" s="28">
        <v>1381</v>
      </c>
      <c r="E1874" t="e">
        <f>VLOOKUP(B1874,Кат!G:J,3,0)</f>
        <v>#N/A</v>
      </c>
    </row>
    <row r="1875" spans="1:5" ht="22.5">
      <c r="A1875" s="26" t="s">
        <v>3484</v>
      </c>
      <c r="B1875" s="26" t="s">
        <v>3485</v>
      </c>
      <c r="C1875" s="26" t="s">
        <v>49</v>
      </c>
      <c r="D1875" s="28">
        <v>1021</v>
      </c>
      <c r="E1875" t="e">
        <f>VLOOKUP(B1875,Кат!G:J,3,0)</f>
        <v>#N/A</v>
      </c>
    </row>
    <row r="1876" spans="1:5" ht="22.5">
      <c r="A1876" s="26" t="s">
        <v>3486</v>
      </c>
      <c r="B1876" s="26" t="s">
        <v>3487</v>
      </c>
      <c r="C1876" s="26" t="s">
        <v>49</v>
      </c>
      <c r="D1876" s="28">
        <v>1109</v>
      </c>
      <c r="E1876" t="e">
        <f>VLOOKUP(B1876,Кат!G:J,3,0)</f>
        <v>#N/A</v>
      </c>
    </row>
    <row r="1877" spans="1:5" ht="22.5">
      <c r="A1877" s="26" t="s">
        <v>3488</v>
      </c>
      <c r="B1877" s="26" t="s">
        <v>3489</v>
      </c>
      <c r="C1877" s="26" t="s">
        <v>49</v>
      </c>
      <c r="D1877" s="28">
        <v>1930</v>
      </c>
      <c r="E1877" t="e">
        <f>VLOOKUP(B1877,Кат!G:J,3,0)</f>
        <v>#N/A</v>
      </c>
    </row>
    <row r="1878" spans="1:5" ht="22.5">
      <c r="A1878" s="26" t="s">
        <v>3490</v>
      </c>
      <c r="B1878" s="26" t="s">
        <v>3491</v>
      </c>
      <c r="C1878" s="26" t="s">
        <v>49</v>
      </c>
      <c r="D1878" s="28">
        <v>1775</v>
      </c>
      <c r="E1878" t="e">
        <f>VLOOKUP(B1878,Кат!G:J,3,0)</f>
        <v>#N/A</v>
      </c>
    </row>
    <row r="1879" spans="1:5" ht="22.5">
      <c r="A1879" s="26" t="s">
        <v>3492</v>
      </c>
      <c r="B1879" s="26" t="s">
        <v>3493</v>
      </c>
      <c r="C1879" s="26" t="s">
        <v>49</v>
      </c>
      <c r="D1879" s="28">
        <v>1926</v>
      </c>
      <c r="E1879" t="e">
        <f>VLOOKUP(B1879,Кат!G:J,3,0)</f>
        <v>#N/A</v>
      </c>
    </row>
    <row r="1880" spans="1:5">
      <c r="A1880" s="26" t="s">
        <v>3494</v>
      </c>
      <c r="B1880" s="26" t="s">
        <v>3495</v>
      </c>
      <c r="C1880" s="26" t="s">
        <v>49</v>
      </c>
      <c r="D1880" s="27">
        <v>975</v>
      </c>
      <c r="E1880" t="e">
        <f>VLOOKUP(B1880,Кат!G:J,3,0)</f>
        <v>#N/A</v>
      </c>
    </row>
    <row r="1881" spans="1:5" ht="22.5">
      <c r="A1881" s="26" t="s">
        <v>3496</v>
      </c>
      <c r="B1881" s="26" t="s">
        <v>3497</v>
      </c>
      <c r="C1881" s="26" t="s">
        <v>49</v>
      </c>
      <c r="D1881" s="27">
        <v>632</v>
      </c>
      <c r="E1881" t="e">
        <f>VLOOKUP(B1881,Кат!G:J,3,0)</f>
        <v>#N/A</v>
      </c>
    </row>
    <row r="1882" spans="1:5" ht="22.5">
      <c r="A1882" s="26" t="s">
        <v>3498</v>
      </c>
      <c r="B1882" s="26" t="s">
        <v>3499</v>
      </c>
      <c r="C1882" s="26" t="s">
        <v>49</v>
      </c>
      <c r="D1882" s="27">
        <v>746</v>
      </c>
      <c r="E1882" t="e">
        <f>VLOOKUP(B1882,Кат!G:J,3,0)</f>
        <v>#N/A</v>
      </c>
    </row>
    <row r="1883" spans="1:5">
      <c r="A1883" s="26" t="s">
        <v>3500</v>
      </c>
      <c r="B1883" s="26" t="s">
        <v>3501</v>
      </c>
      <c r="C1883" s="26" t="s">
        <v>49</v>
      </c>
      <c r="D1883" s="28">
        <v>1244</v>
      </c>
      <c r="E1883" t="e">
        <f>VLOOKUP(B1883,Кат!G:J,3,0)</f>
        <v>#N/A</v>
      </c>
    </row>
    <row r="1884" spans="1:5" ht="22.5">
      <c r="A1884" s="26" t="s">
        <v>3502</v>
      </c>
      <c r="B1884" s="26" t="s">
        <v>3503</v>
      </c>
      <c r="C1884" s="26" t="s">
        <v>49</v>
      </c>
      <c r="D1884" s="28">
        <v>2192</v>
      </c>
      <c r="E1884" t="e">
        <f>VLOOKUP(B1884,Кат!G:J,3,0)</f>
        <v>#N/A</v>
      </c>
    </row>
    <row r="1885" spans="1:5" ht="22.5">
      <c r="A1885" s="26" t="s">
        <v>3504</v>
      </c>
      <c r="B1885" s="26" t="s">
        <v>3505</v>
      </c>
      <c r="C1885" s="26" t="s">
        <v>49</v>
      </c>
      <c r="D1885" s="27">
        <v>669</v>
      </c>
      <c r="E1885" t="e">
        <f>VLOOKUP(B1885,Кат!G:J,3,0)</f>
        <v>#N/A</v>
      </c>
    </row>
    <row r="1886" spans="1:5" ht="22.5">
      <c r="A1886" s="26" t="s">
        <v>3506</v>
      </c>
      <c r="B1886" s="26" t="s">
        <v>3507</v>
      </c>
      <c r="C1886" s="26" t="s">
        <v>49</v>
      </c>
      <c r="D1886" s="27">
        <v>834</v>
      </c>
      <c r="E1886" t="e">
        <f>VLOOKUP(B1886,Кат!G:J,3,0)</f>
        <v>#N/A</v>
      </c>
    </row>
    <row r="1887" spans="1:5" ht="22.5">
      <c r="A1887" s="26" t="s">
        <v>3508</v>
      </c>
      <c r="B1887" s="26" t="s">
        <v>3509</v>
      </c>
      <c r="C1887" s="26" t="s">
        <v>49</v>
      </c>
      <c r="D1887" s="28">
        <v>1327</v>
      </c>
      <c r="E1887" t="e">
        <f>VLOOKUP(B1887,Кат!G:J,3,0)</f>
        <v>#N/A</v>
      </c>
    </row>
    <row r="1888" spans="1:5" ht="22.5">
      <c r="A1888" s="26" t="s">
        <v>3510</v>
      </c>
      <c r="B1888" s="26" t="s">
        <v>3511</v>
      </c>
      <c r="C1888" s="26" t="s">
        <v>49</v>
      </c>
      <c r="D1888" s="28">
        <v>1085</v>
      </c>
      <c r="E1888" t="e">
        <f>VLOOKUP(B1888,Кат!G:J,3,0)</f>
        <v>#N/A</v>
      </c>
    </row>
    <row r="1889" spans="1:5" ht="22.5">
      <c r="A1889" s="26" t="s">
        <v>3512</v>
      </c>
      <c r="B1889" s="26" t="s">
        <v>3513</v>
      </c>
      <c r="C1889" s="26" t="s">
        <v>49</v>
      </c>
      <c r="D1889" s="28">
        <v>1857</v>
      </c>
      <c r="E1889" t="e">
        <f>VLOOKUP(B1889,Кат!G:J,3,0)</f>
        <v>#N/A</v>
      </c>
    </row>
    <row r="1890" spans="1:5">
      <c r="A1890" s="29" t="s">
        <v>3514</v>
      </c>
      <c r="B1890" s="30"/>
      <c r="C1890" s="30"/>
      <c r="D1890" s="31"/>
      <c r="E1890" t="e">
        <f>VLOOKUP(B1890,Кат!G:J,3,0)</f>
        <v>#N/A</v>
      </c>
    </row>
    <row r="1891" spans="1:5">
      <c r="A1891" s="26" t="s">
        <v>3515</v>
      </c>
      <c r="B1891" s="26" t="s">
        <v>3516</v>
      </c>
      <c r="C1891" s="26" t="s">
        <v>49</v>
      </c>
      <c r="D1891" s="27">
        <v>473</v>
      </c>
      <c r="E1891" t="e">
        <f>VLOOKUP(B1891,Кат!G:J,3,0)</f>
        <v>#N/A</v>
      </c>
    </row>
    <row r="1892" spans="1:5">
      <c r="A1892" s="26" t="s">
        <v>3517</v>
      </c>
      <c r="B1892" s="26" t="s">
        <v>3518</v>
      </c>
      <c r="C1892" s="26" t="s">
        <v>49</v>
      </c>
      <c r="D1892" s="27">
        <v>544</v>
      </c>
      <c r="E1892" t="e">
        <f>VLOOKUP(B1892,Кат!G:J,3,0)</f>
        <v>#N/A</v>
      </c>
    </row>
    <row r="1893" spans="1:5">
      <c r="A1893" s="26" t="s">
        <v>3519</v>
      </c>
      <c r="B1893" s="26" t="s">
        <v>3520</v>
      </c>
      <c r="C1893" s="26" t="s">
        <v>49</v>
      </c>
      <c r="D1893" s="27">
        <v>604</v>
      </c>
      <c r="E1893" t="e">
        <f>VLOOKUP(B1893,Кат!G:J,3,0)</f>
        <v>#N/A</v>
      </c>
    </row>
    <row r="1894" spans="1:5">
      <c r="A1894" s="26" t="s">
        <v>3521</v>
      </c>
      <c r="B1894" s="26" t="s">
        <v>3522</v>
      </c>
      <c r="C1894" s="26" t="s">
        <v>49</v>
      </c>
      <c r="D1894" s="27">
        <v>503</v>
      </c>
      <c r="E1894" t="e">
        <f>VLOOKUP(B1894,Кат!G:J,3,0)</f>
        <v>#N/A</v>
      </c>
    </row>
    <row r="1895" spans="1:5">
      <c r="A1895" s="26" t="s">
        <v>3523</v>
      </c>
      <c r="B1895" s="26" t="s">
        <v>3524</v>
      </c>
      <c r="C1895" s="26" t="s">
        <v>49</v>
      </c>
      <c r="D1895" s="27">
        <v>586</v>
      </c>
      <c r="E1895" t="e">
        <f>VLOOKUP(B1895,Кат!G:J,3,0)</f>
        <v>#N/A</v>
      </c>
    </row>
    <row r="1896" spans="1:5">
      <c r="A1896" s="26" t="s">
        <v>3525</v>
      </c>
      <c r="B1896" s="26" t="s">
        <v>3526</v>
      </c>
      <c r="C1896" s="26" t="s">
        <v>49</v>
      </c>
      <c r="D1896" s="27">
        <v>423</v>
      </c>
      <c r="E1896" t="e">
        <f>VLOOKUP(B1896,Кат!G:J,3,0)</f>
        <v>#N/A</v>
      </c>
    </row>
    <row r="1897" spans="1:5" ht="22.5">
      <c r="A1897" s="26" t="s">
        <v>3527</v>
      </c>
      <c r="B1897" s="26" t="s">
        <v>3528</v>
      </c>
      <c r="C1897" s="26" t="s">
        <v>49</v>
      </c>
      <c r="D1897" s="27">
        <v>709</v>
      </c>
      <c r="E1897" t="e">
        <f>VLOOKUP(B1897,Кат!G:J,3,0)</f>
        <v>#N/A</v>
      </c>
    </row>
    <row r="1898" spans="1:5">
      <c r="A1898" s="26" t="s">
        <v>3529</v>
      </c>
      <c r="B1898" s="26" t="s">
        <v>3530</v>
      </c>
      <c r="C1898" s="26" t="s">
        <v>49</v>
      </c>
      <c r="D1898" s="27">
        <v>226</v>
      </c>
      <c r="E1898" t="e">
        <f>VLOOKUP(B1898,Кат!G:J,3,0)</f>
        <v>#N/A</v>
      </c>
    </row>
    <row r="1899" spans="1:5">
      <c r="A1899" s="26" t="s">
        <v>3531</v>
      </c>
      <c r="B1899" s="26" t="s">
        <v>3532</v>
      </c>
      <c r="C1899" s="26" t="s">
        <v>49</v>
      </c>
      <c r="D1899" s="27">
        <v>558</v>
      </c>
      <c r="E1899" t="e">
        <f>VLOOKUP(B1899,Кат!G:J,3,0)</f>
        <v>#N/A</v>
      </c>
    </row>
    <row r="1900" spans="1:5" ht="22.5">
      <c r="A1900" s="26" t="s">
        <v>3533</v>
      </c>
      <c r="B1900" s="26" t="s">
        <v>3534</v>
      </c>
      <c r="C1900" s="26" t="s">
        <v>49</v>
      </c>
      <c r="D1900" s="27">
        <v>483</v>
      </c>
      <c r="E1900" t="e">
        <f>VLOOKUP(B1900,Кат!G:J,3,0)</f>
        <v>#N/A</v>
      </c>
    </row>
    <row r="1901" spans="1:5" ht="22.5">
      <c r="A1901" s="26" t="s">
        <v>3535</v>
      </c>
      <c r="B1901" s="26" t="s">
        <v>3536</v>
      </c>
      <c r="C1901" s="26" t="s">
        <v>49</v>
      </c>
      <c r="D1901" s="28">
        <v>1112</v>
      </c>
      <c r="E1901" t="e">
        <f>VLOOKUP(B1901,Кат!G:J,3,0)</f>
        <v>#N/A</v>
      </c>
    </row>
    <row r="1902" spans="1:5">
      <c r="A1902" s="26" t="s">
        <v>3537</v>
      </c>
      <c r="B1902" s="26" t="s">
        <v>3538</v>
      </c>
      <c r="C1902" s="26" t="s">
        <v>49</v>
      </c>
      <c r="D1902" s="28">
        <v>1236</v>
      </c>
      <c r="E1902" t="e">
        <f>VLOOKUP(B1902,Кат!G:J,3,0)</f>
        <v>#N/A</v>
      </c>
    </row>
    <row r="1903" spans="1:5" ht="22.5">
      <c r="A1903" s="26" t="s">
        <v>3539</v>
      </c>
      <c r="B1903" s="26" t="s">
        <v>3540</v>
      </c>
      <c r="C1903" s="26" t="s">
        <v>49</v>
      </c>
      <c r="D1903" s="27">
        <v>652</v>
      </c>
      <c r="E1903" t="e">
        <f>VLOOKUP(B1903,Кат!G:J,3,0)</f>
        <v>#N/A</v>
      </c>
    </row>
    <row r="1904" spans="1:5">
      <c r="A1904" s="26" t="s">
        <v>3541</v>
      </c>
      <c r="B1904" s="26" t="s">
        <v>3542</v>
      </c>
      <c r="C1904" s="26" t="s">
        <v>49</v>
      </c>
      <c r="D1904" s="27">
        <v>373</v>
      </c>
      <c r="E1904" t="e">
        <f>VLOOKUP(B1904,Кат!G:J,3,0)</f>
        <v>#N/A</v>
      </c>
    </row>
    <row r="1905" spans="1:5" ht="22.5">
      <c r="A1905" s="26" t="s">
        <v>3543</v>
      </c>
      <c r="B1905" s="26" t="s">
        <v>3544</v>
      </c>
      <c r="C1905" s="26" t="s">
        <v>49</v>
      </c>
      <c r="D1905" s="28">
        <v>1121</v>
      </c>
      <c r="E1905" t="e">
        <f>VLOOKUP(B1905,Кат!G:J,3,0)</f>
        <v>#N/A</v>
      </c>
    </row>
    <row r="1906" spans="1:5" ht="22.5">
      <c r="A1906" s="26" t="s">
        <v>3545</v>
      </c>
      <c r="B1906" s="26" t="s">
        <v>3546</v>
      </c>
      <c r="C1906" s="26" t="s">
        <v>49</v>
      </c>
      <c r="D1906" s="28">
        <v>1146</v>
      </c>
      <c r="E1906" t="e">
        <f>VLOOKUP(B1906,Кат!G:J,3,0)</f>
        <v>#N/A</v>
      </c>
    </row>
    <row r="1907" spans="1:5" ht="22.5">
      <c r="A1907" s="26" t="s">
        <v>3547</v>
      </c>
      <c r="B1907" s="26" t="s">
        <v>3548</v>
      </c>
      <c r="C1907" s="26" t="s">
        <v>49</v>
      </c>
      <c r="D1907" s="27">
        <v>639</v>
      </c>
      <c r="E1907" t="e">
        <f>VLOOKUP(B1907,Кат!G:J,3,0)</f>
        <v>#N/A</v>
      </c>
    </row>
    <row r="1908" spans="1:5">
      <c r="A1908" s="26" t="s">
        <v>3549</v>
      </c>
      <c r="B1908" s="26" t="s">
        <v>3550</v>
      </c>
      <c r="C1908" s="26" t="s">
        <v>49</v>
      </c>
      <c r="D1908" s="28">
        <v>1253</v>
      </c>
      <c r="E1908" t="e">
        <f>VLOOKUP(B1908,Кат!G:J,3,0)</f>
        <v>#N/A</v>
      </c>
    </row>
    <row r="1909" spans="1:5">
      <c r="A1909" s="26" t="s">
        <v>3551</v>
      </c>
      <c r="B1909" s="26" t="s">
        <v>3552</v>
      </c>
      <c r="C1909" s="26" t="s">
        <v>49</v>
      </c>
      <c r="D1909" s="27">
        <v>914</v>
      </c>
      <c r="E1909" t="e">
        <f>VLOOKUP(B1909,Кат!G:J,3,0)</f>
        <v>#N/A</v>
      </c>
    </row>
    <row r="1910" spans="1:5" ht="22.5">
      <c r="A1910" s="26" t="s">
        <v>3553</v>
      </c>
      <c r="B1910" s="26" t="s">
        <v>3554</v>
      </c>
      <c r="C1910" s="26" t="s">
        <v>49</v>
      </c>
      <c r="D1910" s="27">
        <v>905</v>
      </c>
      <c r="E1910" t="e">
        <f>VLOOKUP(B1910,Кат!G:J,3,0)</f>
        <v>#N/A</v>
      </c>
    </row>
    <row r="1911" spans="1:5" ht="22.5">
      <c r="A1911" s="26" t="s">
        <v>3555</v>
      </c>
      <c r="B1911" s="26" t="s">
        <v>3556</v>
      </c>
      <c r="C1911" s="26" t="s">
        <v>49</v>
      </c>
      <c r="D1911" s="27">
        <v>888</v>
      </c>
      <c r="E1911" t="e">
        <f>VLOOKUP(B1911,Кат!G:J,3,0)</f>
        <v>#N/A</v>
      </c>
    </row>
    <row r="1912" spans="1:5" ht="22.5">
      <c r="A1912" s="26" t="s">
        <v>3557</v>
      </c>
      <c r="B1912" s="26" t="s">
        <v>3558</v>
      </c>
      <c r="C1912" s="26" t="s">
        <v>49</v>
      </c>
      <c r="D1912" s="28">
        <v>1410</v>
      </c>
      <c r="E1912" t="e">
        <f>VLOOKUP(B1912,Кат!G:J,3,0)</f>
        <v>#N/A</v>
      </c>
    </row>
    <row r="1913" spans="1:5">
      <c r="A1913" s="26" t="s">
        <v>3559</v>
      </c>
      <c r="B1913" s="26" t="s">
        <v>3560</v>
      </c>
      <c r="C1913" s="26" t="s">
        <v>49</v>
      </c>
      <c r="D1913" s="28">
        <v>1080</v>
      </c>
      <c r="E1913" t="e">
        <f>VLOOKUP(B1913,Кат!G:J,3,0)</f>
        <v>#N/A</v>
      </c>
    </row>
    <row r="1914" spans="1:5">
      <c r="A1914" s="26" t="s">
        <v>3561</v>
      </c>
      <c r="B1914" s="26" t="s">
        <v>3562</v>
      </c>
      <c r="C1914" s="26" t="s">
        <v>49</v>
      </c>
      <c r="D1914" s="27">
        <v>556</v>
      </c>
      <c r="E1914" t="e">
        <f>VLOOKUP(B1914,Кат!G:J,3,0)</f>
        <v>#N/A</v>
      </c>
    </row>
    <row r="1915" spans="1:5">
      <c r="A1915" s="26" t="s">
        <v>3563</v>
      </c>
      <c r="B1915" s="26" t="s">
        <v>3564</v>
      </c>
      <c r="C1915" s="26" t="s">
        <v>49</v>
      </c>
      <c r="D1915" s="27">
        <v>652</v>
      </c>
      <c r="E1915" t="e">
        <f>VLOOKUP(B1915,Кат!G:J,3,0)</f>
        <v>#N/A</v>
      </c>
    </row>
    <row r="1916" spans="1:5">
      <c r="A1916" s="26" t="s">
        <v>3565</v>
      </c>
      <c r="B1916" s="26" t="s">
        <v>3566</v>
      </c>
      <c r="C1916" s="26" t="s">
        <v>49</v>
      </c>
      <c r="D1916" s="27">
        <v>499</v>
      </c>
      <c r="E1916" t="e">
        <f>VLOOKUP(B1916,Кат!G:J,3,0)</f>
        <v>#N/A</v>
      </c>
    </row>
    <row r="1917" spans="1:5">
      <c r="A1917" s="26" t="s">
        <v>3567</v>
      </c>
      <c r="B1917" s="26" t="s">
        <v>3568</v>
      </c>
      <c r="C1917" s="26" t="s">
        <v>49</v>
      </c>
      <c r="D1917" s="27">
        <v>578</v>
      </c>
      <c r="E1917" t="e">
        <f>VLOOKUP(B1917,Кат!G:J,3,0)</f>
        <v>#N/A</v>
      </c>
    </row>
    <row r="1918" spans="1:5">
      <c r="A1918" s="26" t="s">
        <v>3569</v>
      </c>
      <c r="B1918" s="26" t="s">
        <v>3570</v>
      </c>
      <c r="C1918" s="26" t="s">
        <v>49</v>
      </c>
      <c r="D1918" s="27">
        <v>732</v>
      </c>
      <c r="E1918" t="e">
        <f>VLOOKUP(B1918,Кат!G:J,3,0)</f>
        <v>#N/A</v>
      </c>
    </row>
    <row r="1919" spans="1:5" ht="22.5">
      <c r="A1919" s="26" t="s">
        <v>3571</v>
      </c>
      <c r="B1919" s="26" t="s">
        <v>3572</v>
      </c>
      <c r="C1919" s="26" t="s">
        <v>49</v>
      </c>
      <c r="D1919" s="27">
        <v>817</v>
      </c>
      <c r="E1919" t="e">
        <f>VLOOKUP(B1919,Кат!G:J,3,0)</f>
        <v>#N/A</v>
      </c>
    </row>
    <row r="1920" spans="1:5">
      <c r="A1920" s="26" t="s">
        <v>3573</v>
      </c>
      <c r="B1920" s="26" t="s">
        <v>3574</v>
      </c>
      <c r="C1920" s="26" t="s">
        <v>49</v>
      </c>
      <c r="D1920" s="27">
        <v>670</v>
      </c>
      <c r="E1920" t="e">
        <f>VLOOKUP(B1920,Кат!G:J,3,0)</f>
        <v>#N/A</v>
      </c>
    </row>
    <row r="1921" spans="1:5" ht="22.5">
      <c r="A1921" s="26" t="s">
        <v>3575</v>
      </c>
      <c r="B1921" s="26" t="s">
        <v>3576</v>
      </c>
      <c r="C1921" s="26" t="s">
        <v>49</v>
      </c>
      <c r="D1921" s="28">
        <v>1275</v>
      </c>
      <c r="E1921" t="e">
        <f>VLOOKUP(B1921,Кат!G:J,3,0)</f>
        <v>#N/A</v>
      </c>
    </row>
    <row r="1922" spans="1:5">
      <c r="A1922" s="26" t="s">
        <v>3577</v>
      </c>
      <c r="B1922" s="26" t="s">
        <v>3578</v>
      </c>
      <c r="C1922" s="26" t="s">
        <v>49</v>
      </c>
      <c r="D1922" s="27">
        <v>441</v>
      </c>
      <c r="E1922" t="e">
        <f>VLOOKUP(B1922,Кат!G:J,3,0)</f>
        <v>#N/A</v>
      </c>
    </row>
    <row r="1923" spans="1:5">
      <c r="A1923" s="26" t="s">
        <v>3579</v>
      </c>
      <c r="B1923" s="26" t="s">
        <v>3580</v>
      </c>
      <c r="C1923" s="26" t="s">
        <v>49</v>
      </c>
      <c r="D1923" s="28">
        <v>1377</v>
      </c>
      <c r="E1923" t="e">
        <f>VLOOKUP(B1923,Кат!G:J,3,0)</f>
        <v>#N/A</v>
      </c>
    </row>
    <row r="1924" spans="1:5" ht="22.5">
      <c r="A1924" s="26" t="s">
        <v>3581</v>
      </c>
      <c r="B1924" s="26" t="s">
        <v>3582</v>
      </c>
      <c r="C1924" s="26" t="s">
        <v>49</v>
      </c>
      <c r="D1924" s="28">
        <v>1239</v>
      </c>
      <c r="E1924" t="e">
        <f>VLOOKUP(B1924,Кат!G:J,3,0)</f>
        <v>#N/A</v>
      </c>
    </row>
    <row r="1925" spans="1:5" ht="22.5">
      <c r="A1925" s="26" t="s">
        <v>3583</v>
      </c>
      <c r="B1925" s="26" t="s">
        <v>3584</v>
      </c>
      <c r="C1925" s="26" t="s">
        <v>49</v>
      </c>
      <c r="D1925" s="27">
        <v>713</v>
      </c>
      <c r="E1925" t="e">
        <f>VLOOKUP(B1925,Кат!G:J,3,0)</f>
        <v>#N/A</v>
      </c>
    </row>
    <row r="1926" spans="1:5">
      <c r="A1926" s="23" t="s">
        <v>3585</v>
      </c>
      <c r="B1926" s="24"/>
      <c r="C1926" s="24"/>
      <c r="D1926" s="25"/>
      <c r="E1926" t="e">
        <f>VLOOKUP(B1926,Кат!G:J,3,0)</f>
        <v>#N/A</v>
      </c>
    </row>
    <row r="1927" spans="1:5" ht="22.5">
      <c r="A1927" s="26" t="s">
        <v>3586</v>
      </c>
      <c r="B1927" s="26" t="s">
        <v>3587</v>
      </c>
      <c r="C1927" s="26" t="s">
        <v>49</v>
      </c>
      <c r="D1927" s="27">
        <v>855</v>
      </c>
      <c r="E1927" t="e">
        <f>VLOOKUP(B1927,Кат!G:J,3,0)</f>
        <v>#N/A</v>
      </c>
    </row>
    <row r="1928" spans="1:5" ht="22.5">
      <c r="A1928" s="26" t="s">
        <v>3588</v>
      </c>
      <c r="B1928" s="26" t="s">
        <v>3589</v>
      </c>
      <c r="C1928" s="26" t="s">
        <v>49</v>
      </c>
      <c r="D1928" s="27">
        <v>680</v>
      </c>
      <c r="E1928" t="e">
        <f>VLOOKUP(B1928,Кат!G:J,3,0)</f>
        <v>#N/A</v>
      </c>
    </row>
    <row r="1929" spans="1:5" ht="22.5">
      <c r="A1929" s="26" t="s">
        <v>3590</v>
      </c>
      <c r="B1929" s="26" t="s">
        <v>3591</v>
      </c>
      <c r="C1929" s="26" t="s">
        <v>49</v>
      </c>
      <c r="D1929" s="27">
        <v>818</v>
      </c>
      <c r="E1929" t="e">
        <f>VLOOKUP(B1929,Кат!G:J,3,0)</f>
        <v>#N/A</v>
      </c>
    </row>
    <row r="1930" spans="1:5">
      <c r="A1930" s="26" t="s">
        <v>3592</v>
      </c>
      <c r="B1930" s="26" t="s">
        <v>3593</v>
      </c>
      <c r="C1930" s="26" t="s">
        <v>50</v>
      </c>
      <c r="D1930" s="27">
        <v>730</v>
      </c>
      <c r="E1930" t="e">
        <f>VLOOKUP(B1930,Кат!G:J,3,0)</f>
        <v>#N/A</v>
      </c>
    </row>
    <row r="1931" spans="1:5">
      <c r="A1931" s="26" t="s">
        <v>3594</v>
      </c>
      <c r="B1931" s="26" t="s">
        <v>3595</v>
      </c>
      <c r="C1931" s="26" t="s">
        <v>50</v>
      </c>
      <c r="D1931" s="27">
        <v>730</v>
      </c>
      <c r="E1931" t="e">
        <f>VLOOKUP(B1931,Кат!G:J,3,0)</f>
        <v>#N/A</v>
      </c>
    </row>
    <row r="1932" spans="1:5" ht="22.5">
      <c r="A1932" s="26" t="s">
        <v>3596</v>
      </c>
      <c r="B1932" s="26" t="s">
        <v>3597</v>
      </c>
      <c r="C1932" s="26" t="s">
        <v>50</v>
      </c>
      <c r="D1932" s="27">
        <v>565</v>
      </c>
      <c r="E1932" t="e">
        <f>VLOOKUP(B1932,Кат!G:J,3,0)</f>
        <v>#N/A</v>
      </c>
    </row>
    <row r="1933" spans="1:5" ht="22.5">
      <c r="A1933" s="26" t="s">
        <v>3598</v>
      </c>
      <c r="B1933" s="26" t="s">
        <v>3599</v>
      </c>
      <c r="C1933" s="26" t="s">
        <v>50</v>
      </c>
      <c r="D1933" s="27">
        <v>565</v>
      </c>
      <c r="E1933" t="e">
        <f>VLOOKUP(B1933,Кат!G:J,3,0)</f>
        <v>#N/A</v>
      </c>
    </row>
    <row r="1934" spans="1:5">
      <c r="A1934" s="26" t="s">
        <v>3600</v>
      </c>
      <c r="B1934" s="26" t="s">
        <v>3601</v>
      </c>
      <c r="C1934" s="26" t="s">
        <v>50</v>
      </c>
      <c r="D1934" s="27">
        <v>579</v>
      </c>
      <c r="E1934" t="e">
        <f>VLOOKUP(B1934,Кат!G:J,3,0)</f>
        <v>#N/A</v>
      </c>
    </row>
    <row r="1935" spans="1:5">
      <c r="A1935" s="26" t="s">
        <v>3602</v>
      </c>
      <c r="B1935" s="26" t="s">
        <v>3603</v>
      </c>
      <c r="C1935" s="26" t="s">
        <v>50</v>
      </c>
      <c r="D1935" s="27">
        <v>579</v>
      </c>
      <c r="E1935" t="e">
        <f>VLOOKUP(B1935,Кат!G:J,3,0)</f>
        <v>#N/A</v>
      </c>
    </row>
    <row r="1936" spans="1:5" ht="22.5">
      <c r="A1936" s="26" t="s">
        <v>3604</v>
      </c>
      <c r="B1936" s="26" t="s">
        <v>3605</v>
      </c>
      <c r="C1936" s="26" t="s">
        <v>50</v>
      </c>
      <c r="D1936" s="27">
        <v>452</v>
      </c>
      <c r="E1936" t="e">
        <f>VLOOKUP(B1936,Кат!G:J,3,0)</f>
        <v>#N/A</v>
      </c>
    </row>
    <row r="1937" spans="1:5">
      <c r="A1937" s="26" t="s">
        <v>3606</v>
      </c>
      <c r="B1937" s="26" t="s">
        <v>3607</v>
      </c>
      <c r="C1937" s="26" t="s">
        <v>50</v>
      </c>
      <c r="D1937" s="27">
        <v>752</v>
      </c>
      <c r="E1937" t="e">
        <f>VLOOKUP(B1937,Кат!G:J,3,0)</f>
        <v>#N/A</v>
      </c>
    </row>
    <row r="1938" spans="1:5">
      <c r="A1938" s="26" t="s">
        <v>4399</v>
      </c>
      <c r="B1938" s="26" t="s">
        <v>4400</v>
      </c>
      <c r="C1938" s="26" t="s">
        <v>50</v>
      </c>
      <c r="D1938" s="27">
        <v>473</v>
      </c>
      <c r="E1938" t="e">
        <f>VLOOKUP(B1938,Кат!G:J,3,0)</f>
        <v>#N/A</v>
      </c>
    </row>
    <row r="1939" spans="1:5">
      <c r="A1939" s="26" t="s">
        <v>3608</v>
      </c>
      <c r="B1939" s="26" t="s">
        <v>3609</v>
      </c>
      <c r="C1939" s="26" t="s">
        <v>50</v>
      </c>
      <c r="D1939" s="27">
        <v>555</v>
      </c>
      <c r="E1939" t="e">
        <f>VLOOKUP(B1939,Кат!G:J,3,0)</f>
        <v>#N/A</v>
      </c>
    </row>
    <row r="1940" spans="1:5">
      <c r="A1940" s="26" t="s">
        <v>4401</v>
      </c>
      <c r="B1940" s="26" t="s">
        <v>4402</v>
      </c>
      <c r="C1940" s="26" t="s">
        <v>50</v>
      </c>
      <c r="D1940" s="27">
        <v>658</v>
      </c>
      <c r="E1940" t="e">
        <f>VLOOKUP(B1940,Кат!G:J,3,0)</f>
        <v>#N/A</v>
      </c>
    </row>
    <row r="1941" spans="1:5">
      <c r="A1941" s="26" t="s">
        <v>3610</v>
      </c>
      <c r="B1941" s="26" t="s">
        <v>3611</v>
      </c>
      <c r="C1941" s="26" t="s">
        <v>50</v>
      </c>
      <c r="D1941" s="27">
        <v>600</v>
      </c>
      <c r="E1941" t="e">
        <f>VLOOKUP(B1941,Кат!G:J,3,0)</f>
        <v>#N/A</v>
      </c>
    </row>
    <row r="1942" spans="1:5">
      <c r="A1942" s="26" t="s">
        <v>3612</v>
      </c>
      <c r="B1942" s="26" t="s">
        <v>3613</v>
      </c>
      <c r="C1942" s="26" t="s">
        <v>50</v>
      </c>
      <c r="D1942" s="27">
        <v>504</v>
      </c>
      <c r="E1942" t="e">
        <f>VLOOKUP(B1942,Кат!G:J,3,0)</f>
        <v>#N/A</v>
      </c>
    </row>
    <row r="1943" spans="1:5">
      <c r="A1943" s="26" t="s">
        <v>3614</v>
      </c>
      <c r="B1943" s="26" t="s">
        <v>3615</v>
      </c>
      <c r="C1943" s="26" t="s">
        <v>50</v>
      </c>
      <c r="D1943" s="27">
        <v>340</v>
      </c>
      <c r="E1943" t="e">
        <f>VLOOKUP(B1943,Кат!G:J,3,0)</f>
        <v>#N/A</v>
      </c>
    </row>
    <row r="1944" spans="1:5">
      <c r="A1944" s="26" t="s">
        <v>3616</v>
      </c>
      <c r="B1944" s="26" t="s">
        <v>3617</v>
      </c>
      <c r="C1944" s="26" t="s">
        <v>50</v>
      </c>
      <c r="D1944" s="27">
        <v>435</v>
      </c>
      <c r="E1944" t="e">
        <f>VLOOKUP(B1944,Кат!G:J,3,0)</f>
        <v>#N/A</v>
      </c>
    </row>
    <row r="1945" spans="1:5">
      <c r="A1945" s="26" t="s">
        <v>3618</v>
      </c>
      <c r="B1945" s="26" t="s">
        <v>3619</v>
      </c>
      <c r="C1945" s="26" t="s">
        <v>50</v>
      </c>
      <c r="D1945" s="27">
        <v>440</v>
      </c>
      <c r="E1945" t="e">
        <f>VLOOKUP(B1945,Кат!G:J,3,0)</f>
        <v>#N/A</v>
      </c>
    </row>
    <row r="1946" spans="1:5">
      <c r="A1946" s="26" t="s">
        <v>3620</v>
      </c>
      <c r="B1946" s="26" t="s">
        <v>3621</v>
      </c>
      <c r="C1946" s="26" t="s">
        <v>50</v>
      </c>
      <c r="D1946" s="27">
        <v>388</v>
      </c>
      <c r="E1946" t="e">
        <f>VLOOKUP(B1946,Кат!G:J,3,0)</f>
        <v>#N/A</v>
      </c>
    </row>
    <row r="1947" spans="1:5">
      <c r="A1947" s="26" t="s">
        <v>3622</v>
      </c>
      <c r="B1947" s="26" t="s">
        <v>3623</v>
      </c>
      <c r="C1947" s="26" t="s">
        <v>50</v>
      </c>
      <c r="D1947" s="27">
        <v>555</v>
      </c>
      <c r="E1947" t="e">
        <f>VLOOKUP(B1947,Кат!G:J,3,0)</f>
        <v>#N/A</v>
      </c>
    </row>
    <row r="1948" spans="1:5">
      <c r="A1948" s="26" t="s">
        <v>3624</v>
      </c>
      <c r="B1948" s="26" t="s">
        <v>3625</v>
      </c>
      <c r="C1948" s="26" t="s">
        <v>50</v>
      </c>
      <c r="D1948" s="27">
        <v>555</v>
      </c>
      <c r="E1948" t="e">
        <f>VLOOKUP(B1948,Кат!G:J,3,0)</f>
        <v>#N/A</v>
      </c>
    </row>
    <row r="1949" spans="1:5">
      <c r="A1949" s="26" t="s">
        <v>3626</v>
      </c>
      <c r="B1949" s="26" t="s">
        <v>3627</v>
      </c>
      <c r="C1949" s="26" t="s">
        <v>50</v>
      </c>
      <c r="D1949" s="27">
        <v>436</v>
      </c>
      <c r="E1949" t="e">
        <f>VLOOKUP(B1949,Кат!G:J,3,0)</f>
        <v>#N/A</v>
      </c>
    </row>
    <row r="1950" spans="1:5">
      <c r="A1950" s="26" t="s">
        <v>3628</v>
      </c>
      <c r="B1950" s="26" t="s">
        <v>3629</v>
      </c>
      <c r="C1950" s="26" t="s">
        <v>50</v>
      </c>
      <c r="D1950" s="27">
        <v>456</v>
      </c>
      <c r="E1950" t="e">
        <f>VLOOKUP(B1950,Кат!G:J,3,0)</f>
        <v>#N/A</v>
      </c>
    </row>
    <row r="1951" spans="1:5">
      <c r="A1951" s="26" t="s">
        <v>3630</v>
      </c>
      <c r="B1951" s="26" t="s">
        <v>3631</v>
      </c>
      <c r="C1951" s="26" t="s">
        <v>50</v>
      </c>
      <c r="D1951" s="27">
        <v>425</v>
      </c>
      <c r="E1951" t="e">
        <f>VLOOKUP(B1951,Кат!G:J,3,0)</f>
        <v>#N/A</v>
      </c>
    </row>
    <row r="1952" spans="1:5">
      <c r="A1952" s="23" t="s">
        <v>3632</v>
      </c>
      <c r="B1952" s="24"/>
      <c r="C1952" s="24"/>
      <c r="D1952" s="25"/>
      <c r="E1952" t="e">
        <f>VLOOKUP(B1952,Кат!G:J,3,0)</f>
        <v>#N/A</v>
      </c>
    </row>
    <row r="1953" spans="1:5" ht="22.5">
      <c r="A1953" s="26" t="s">
        <v>3633</v>
      </c>
      <c r="B1953" s="26" t="s">
        <v>3634</v>
      </c>
      <c r="C1953" s="26" t="s">
        <v>50</v>
      </c>
      <c r="D1953" s="28">
        <v>9086</v>
      </c>
      <c r="E1953" t="e">
        <f>VLOOKUP(B1953,Кат!G:J,3,0)</f>
        <v>#N/A</v>
      </c>
    </row>
    <row r="1954" spans="1:5" ht="22.5">
      <c r="A1954" s="26" t="s">
        <v>3635</v>
      </c>
      <c r="B1954" s="26" t="s">
        <v>3636</v>
      </c>
      <c r="C1954" s="26" t="s">
        <v>50</v>
      </c>
      <c r="D1954" s="28">
        <v>9800</v>
      </c>
      <c r="E1954" t="e">
        <f>VLOOKUP(B1954,Кат!G:J,3,0)</f>
        <v>#N/A</v>
      </c>
    </row>
    <row r="1955" spans="1:5" ht="22.5">
      <c r="A1955" s="26" t="s">
        <v>3637</v>
      </c>
      <c r="B1955" s="26" t="s">
        <v>3638</v>
      </c>
      <c r="C1955" s="26" t="s">
        <v>50</v>
      </c>
      <c r="D1955" s="28">
        <v>9268</v>
      </c>
      <c r="E1955" t="e">
        <f>VLOOKUP(B1955,Кат!G:J,3,0)</f>
        <v>#N/A</v>
      </c>
    </row>
    <row r="1956" spans="1:5" ht="22.5">
      <c r="A1956" s="26" t="s">
        <v>3639</v>
      </c>
      <c r="B1956" s="26" t="s">
        <v>3640</v>
      </c>
      <c r="C1956" s="26" t="s">
        <v>50</v>
      </c>
      <c r="D1956" s="28">
        <v>10465</v>
      </c>
      <c r="E1956" t="e">
        <f>VLOOKUP(B1956,Кат!G:J,3,0)</f>
        <v>#N/A</v>
      </c>
    </row>
    <row r="1957" spans="1:5" ht="22.5">
      <c r="A1957" s="26" t="s">
        <v>3641</v>
      </c>
      <c r="B1957" s="26" t="s">
        <v>3642</v>
      </c>
      <c r="C1957" s="26" t="s">
        <v>50</v>
      </c>
      <c r="D1957" s="27">
        <v>805</v>
      </c>
      <c r="E1957" t="e">
        <f>VLOOKUP(B1957,Кат!G:J,3,0)</f>
        <v>#N/A</v>
      </c>
    </row>
    <row r="1958" spans="1:5">
      <c r="A1958" s="23" t="s">
        <v>3643</v>
      </c>
      <c r="B1958" s="24"/>
      <c r="C1958" s="24"/>
      <c r="D1958" s="25"/>
      <c r="E1958" t="e">
        <f>VLOOKUP(B1958,Кат!G:J,3,0)</f>
        <v>#N/A</v>
      </c>
    </row>
    <row r="1959" spans="1:5" ht="22.5">
      <c r="A1959" s="26" t="s">
        <v>3644</v>
      </c>
      <c r="B1959" s="26" t="s">
        <v>3645</v>
      </c>
      <c r="C1959" s="26" t="s">
        <v>50</v>
      </c>
      <c r="D1959" s="27">
        <v>484</v>
      </c>
      <c r="E1959" t="e">
        <f>VLOOKUP(B1959,Кат!G:J,3,0)</f>
        <v>#N/A</v>
      </c>
    </row>
    <row r="1960" spans="1:5" ht="22.5">
      <c r="A1960" s="26" t="s">
        <v>3646</v>
      </c>
      <c r="B1960" s="26" t="s">
        <v>3647</v>
      </c>
      <c r="C1960" s="26" t="s">
        <v>50</v>
      </c>
      <c r="D1960" s="27">
        <v>336</v>
      </c>
      <c r="E1960" t="e">
        <f>VLOOKUP(B1960,Кат!G:J,3,0)</f>
        <v>#N/A</v>
      </c>
    </row>
    <row r="1961" spans="1:5" ht="22.5">
      <c r="A1961" s="26" t="s">
        <v>3648</v>
      </c>
      <c r="B1961" s="26" t="s">
        <v>3649</v>
      </c>
      <c r="C1961" s="26" t="s">
        <v>50</v>
      </c>
      <c r="D1961" s="27">
        <v>240</v>
      </c>
      <c r="E1961" t="e">
        <f>VLOOKUP(B1961,Кат!G:J,3,0)</f>
        <v>#N/A</v>
      </c>
    </row>
    <row r="1962" spans="1:5">
      <c r="A1962" s="26" t="s">
        <v>3650</v>
      </c>
      <c r="B1962" s="26" t="s">
        <v>3651</v>
      </c>
      <c r="C1962" s="26" t="s">
        <v>50</v>
      </c>
      <c r="D1962" s="28">
        <v>1090</v>
      </c>
      <c r="E1962" t="e">
        <f>VLOOKUP(B1962,Кат!G:J,3,0)</f>
        <v>#N/A</v>
      </c>
    </row>
    <row r="1963" spans="1:5">
      <c r="A1963" s="26" t="s">
        <v>3652</v>
      </c>
      <c r="B1963" s="26" t="s">
        <v>3653</v>
      </c>
      <c r="C1963" s="26" t="s">
        <v>50</v>
      </c>
      <c r="D1963" s="27">
        <v>696</v>
      </c>
      <c r="E1963" t="e">
        <f>VLOOKUP(B1963,Кат!G:J,3,0)</f>
        <v>#N/A</v>
      </c>
    </row>
    <row r="1964" spans="1:5">
      <c r="A1964" s="26" t="s">
        <v>3654</v>
      </c>
      <c r="B1964" s="26" t="s">
        <v>3655</v>
      </c>
      <c r="C1964" s="26" t="s">
        <v>50</v>
      </c>
      <c r="D1964" s="27">
        <v>636</v>
      </c>
      <c r="E1964" t="e">
        <f>VLOOKUP(B1964,Кат!G:J,3,0)</f>
        <v>#N/A</v>
      </c>
    </row>
    <row r="1965" spans="1:5">
      <c r="A1965" s="26" t="s">
        <v>3656</v>
      </c>
      <c r="B1965" s="26" t="s">
        <v>3657</v>
      </c>
      <c r="C1965" s="26" t="s">
        <v>50</v>
      </c>
      <c r="D1965" s="27">
        <v>343</v>
      </c>
      <c r="E1965" t="e">
        <f>VLOOKUP(B1965,Кат!G:J,3,0)</f>
        <v>#N/A</v>
      </c>
    </row>
    <row r="1966" spans="1:5">
      <c r="A1966" s="26" t="s">
        <v>3658</v>
      </c>
      <c r="B1966" s="26" t="s">
        <v>3659</v>
      </c>
      <c r="C1966" s="26" t="s">
        <v>50</v>
      </c>
      <c r="D1966" s="27">
        <v>449</v>
      </c>
      <c r="E1966" t="e">
        <f>VLOOKUP(B1966,Кат!G:J,3,0)</f>
        <v>#N/A</v>
      </c>
    </row>
    <row r="1967" spans="1:5">
      <c r="A1967" s="26" t="s">
        <v>3660</v>
      </c>
      <c r="B1967" s="26" t="s">
        <v>3661</v>
      </c>
      <c r="C1967" s="26" t="s">
        <v>50</v>
      </c>
      <c r="D1967" s="27">
        <v>494</v>
      </c>
      <c r="E1967" t="e">
        <f>VLOOKUP(B1967,Кат!G:J,3,0)</f>
        <v>#N/A</v>
      </c>
    </row>
    <row r="1968" spans="1:5">
      <c r="A1968" s="26" t="s">
        <v>3662</v>
      </c>
      <c r="B1968" s="26" t="s">
        <v>3663</v>
      </c>
      <c r="C1968" s="26" t="s">
        <v>50</v>
      </c>
      <c r="D1968" s="27">
        <v>636</v>
      </c>
      <c r="E1968" t="e">
        <f>VLOOKUP(B1968,Кат!G:J,3,0)</f>
        <v>#N/A</v>
      </c>
    </row>
    <row r="1969" spans="1:5">
      <c r="A1969" s="26" t="s">
        <v>3664</v>
      </c>
      <c r="B1969" s="26" t="s">
        <v>3665</v>
      </c>
      <c r="C1969" s="26" t="s">
        <v>50</v>
      </c>
      <c r="D1969" s="27">
        <v>911</v>
      </c>
      <c r="E1969" t="e">
        <f>VLOOKUP(B1969,Кат!G:J,3,0)</f>
        <v>#N/A</v>
      </c>
    </row>
    <row r="1970" spans="1:5">
      <c r="A1970" s="26" t="s">
        <v>3666</v>
      </c>
      <c r="B1970" s="26" t="s">
        <v>3667</v>
      </c>
      <c r="C1970" s="26" t="s">
        <v>50</v>
      </c>
      <c r="D1970" s="27">
        <v>965</v>
      </c>
      <c r="E1970" t="e">
        <f>VLOOKUP(B1970,Кат!G:J,3,0)</f>
        <v>#N/A</v>
      </c>
    </row>
    <row r="1971" spans="1:5">
      <c r="A1971" s="26" t="s">
        <v>3668</v>
      </c>
      <c r="B1971" s="26" t="s">
        <v>3669</v>
      </c>
      <c r="C1971" s="26" t="s">
        <v>50</v>
      </c>
      <c r="D1971" s="27">
        <v>686</v>
      </c>
      <c r="E1971" t="e">
        <f>VLOOKUP(B1971,Кат!G:J,3,0)</f>
        <v>#N/A</v>
      </c>
    </row>
    <row r="1972" spans="1:5">
      <c r="A1972" s="26" t="s">
        <v>3670</v>
      </c>
      <c r="B1972" s="26" t="s">
        <v>3671</v>
      </c>
      <c r="C1972" s="26" t="s">
        <v>50</v>
      </c>
      <c r="D1972" s="27">
        <v>629</v>
      </c>
      <c r="E1972" t="e">
        <f>VLOOKUP(B1972,Кат!G:J,3,0)</f>
        <v>#N/A</v>
      </c>
    </row>
    <row r="1973" spans="1:5">
      <c r="A1973" s="26" t="s">
        <v>3672</v>
      </c>
      <c r="B1973" s="26" t="s">
        <v>3673</v>
      </c>
      <c r="C1973" s="26" t="s">
        <v>50</v>
      </c>
      <c r="D1973" s="27">
        <v>723</v>
      </c>
      <c r="E1973" t="e">
        <f>VLOOKUP(B1973,Кат!G:J,3,0)</f>
        <v>#N/A</v>
      </c>
    </row>
    <row r="1974" spans="1:5">
      <c r="A1974" s="26" t="s">
        <v>3674</v>
      </c>
      <c r="B1974" s="26" t="s">
        <v>3675</v>
      </c>
      <c r="C1974" s="26" t="s">
        <v>50</v>
      </c>
      <c r="D1974" s="27">
        <v>505</v>
      </c>
      <c r="E1974" t="e">
        <f>VLOOKUP(B1974,Кат!G:J,3,0)</f>
        <v>#N/A</v>
      </c>
    </row>
    <row r="1975" spans="1:5">
      <c r="A1975" s="26" t="s">
        <v>3676</v>
      </c>
      <c r="B1975" s="26" t="s">
        <v>3677</v>
      </c>
      <c r="C1975" s="26" t="s">
        <v>50</v>
      </c>
      <c r="D1975" s="27">
        <v>284</v>
      </c>
      <c r="E1975" t="e">
        <f>VLOOKUP(B1975,Кат!G:J,3,0)</f>
        <v>#N/A</v>
      </c>
    </row>
    <row r="1976" spans="1:5">
      <c r="A1976" s="26" t="s">
        <v>3678</v>
      </c>
      <c r="B1976" s="26" t="s">
        <v>3679</v>
      </c>
      <c r="C1976" s="26" t="s">
        <v>50</v>
      </c>
      <c r="D1976" s="27">
        <v>390</v>
      </c>
      <c r="E1976" t="e">
        <f>VLOOKUP(B1976,Кат!G:J,3,0)</f>
        <v>#N/A</v>
      </c>
    </row>
    <row r="1977" spans="1:5" ht="22.5">
      <c r="A1977" s="26" t="s">
        <v>3680</v>
      </c>
      <c r="B1977" s="26" t="s">
        <v>3681</v>
      </c>
      <c r="C1977" s="26" t="s">
        <v>50</v>
      </c>
      <c r="D1977" s="27">
        <v>218</v>
      </c>
      <c r="E1977" t="e">
        <f>VLOOKUP(B1977,Кат!G:J,3,0)</f>
        <v>#N/A</v>
      </c>
    </row>
    <row r="1978" spans="1:5">
      <c r="A1978" s="26" t="s">
        <v>3682</v>
      </c>
      <c r="B1978" s="26" t="s">
        <v>3683</v>
      </c>
      <c r="C1978" s="26" t="s">
        <v>50</v>
      </c>
      <c r="D1978" s="27">
        <v>148</v>
      </c>
      <c r="E1978" t="e">
        <f>VLOOKUP(B1978,Кат!G:J,3,0)</f>
        <v>#N/A</v>
      </c>
    </row>
    <row r="1979" spans="1:5">
      <c r="A1979" s="26" t="s">
        <v>3684</v>
      </c>
      <c r="B1979" s="26" t="s">
        <v>3685</v>
      </c>
      <c r="C1979" s="26" t="s">
        <v>50</v>
      </c>
      <c r="D1979" s="27">
        <v>165</v>
      </c>
      <c r="E1979" t="e">
        <f>VLOOKUP(B1979,Кат!G:J,3,0)</f>
        <v>#N/A</v>
      </c>
    </row>
    <row r="1980" spans="1:5">
      <c r="A1980" s="26" t="s">
        <v>3686</v>
      </c>
      <c r="B1980" s="26" t="s">
        <v>3687</v>
      </c>
      <c r="C1980" s="26" t="s">
        <v>50</v>
      </c>
      <c r="D1980" s="27">
        <v>234</v>
      </c>
      <c r="E1980" t="e">
        <f>VLOOKUP(B1980,Кат!G:J,3,0)</f>
        <v>#N/A</v>
      </c>
    </row>
    <row r="1981" spans="1:5">
      <c r="A1981" s="26" t="s">
        <v>3688</v>
      </c>
      <c r="B1981" s="26" t="s">
        <v>3689</v>
      </c>
      <c r="C1981" s="26" t="s">
        <v>50</v>
      </c>
      <c r="D1981" s="27">
        <v>464</v>
      </c>
      <c r="E1981" t="e">
        <f>VLOOKUP(B1981,Кат!G:J,3,0)</f>
        <v>#N/A</v>
      </c>
    </row>
    <row r="1982" spans="1:5">
      <c r="A1982" s="26" t="s">
        <v>3690</v>
      </c>
      <c r="B1982" s="26" t="s">
        <v>3691</v>
      </c>
      <c r="C1982" s="26" t="s">
        <v>50</v>
      </c>
      <c r="D1982" s="27">
        <v>371</v>
      </c>
      <c r="E1982" t="e">
        <f>VLOOKUP(B1982,Кат!G:J,3,0)</f>
        <v>#N/A</v>
      </c>
    </row>
    <row r="1983" spans="1:5">
      <c r="A1983" s="26" t="s">
        <v>3692</v>
      </c>
      <c r="B1983" s="26" t="s">
        <v>3693</v>
      </c>
      <c r="C1983" s="26" t="s">
        <v>50</v>
      </c>
      <c r="D1983" s="27">
        <v>471</v>
      </c>
      <c r="E1983" t="e">
        <f>VLOOKUP(B1983,Кат!G:J,3,0)</f>
        <v>#N/A</v>
      </c>
    </row>
    <row r="1984" spans="1:5">
      <c r="A1984" s="26" t="s">
        <v>3694</v>
      </c>
      <c r="B1984" s="26" t="s">
        <v>3695</v>
      </c>
      <c r="C1984" s="26" t="s">
        <v>50</v>
      </c>
      <c r="D1984" s="27">
        <v>262</v>
      </c>
      <c r="E1984" t="e">
        <f>VLOOKUP(B1984,Кат!G:J,3,0)</f>
        <v>#N/A</v>
      </c>
    </row>
    <row r="1985" spans="1:5">
      <c r="A1985" s="26" t="s">
        <v>3696</v>
      </c>
      <c r="B1985" s="26" t="s">
        <v>3697</v>
      </c>
      <c r="C1985" s="26" t="s">
        <v>50</v>
      </c>
      <c r="D1985" s="27">
        <v>355</v>
      </c>
      <c r="E1985" t="e">
        <f>VLOOKUP(B1985,Кат!G:J,3,0)</f>
        <v>#N/A</v>
      </c>
    </row>
    <row r="1986" spans="1:5">
      <c r="A1986" s="26" t="s">
        <v>3698</v>
      </c>
      <c r="B1986" s="26" t="s">
        <v>3699</v>
      </c>
      <c r="C1986" s="26" t="s">
        <v>50</v>
      </c>
      <c r="D1986" s="27">
        <v>240</v>
      </c>
      <c r="E1986" t="e">
        <f>VLOOKUP(B1986,Кат!G:J,3,0)</f>
        <v>#N/A</v>
      </c>
    </row>
    <row r="1987" spans="1:5">
      <c r="A1987" s="26" t="s">
        <v>3700</v>
      </c>
      <c r="B1987" s="26" t="s">
        <v>3701</v>
      </c>
      <c r="C1987" s="26" t="s">
        <v>50</v>
      </c>
      <c r="D1987" s="27">
        <v>211</v>
      </c>
      <c r="E1987" t="e">
        <f>VLOOKUP(B1987,Кат!G:J,3,0)</f>
        <v>#N/A</v>
      </c>
    </row>
    <row r="1988" spans="1:5">
      <c r="A1988" s="26" t="s">
        <v>3702</v>
      </c>
      <c r="B1988" s="26" t="s">
        <v>3703</v>
      </c>
      <c r="C1988" s="26" t="s">
        <v>50</v>
      </c>
      <c r="D1988" s="27">
        <v>263</v>
      </c>
      <c r="E1988" t="e">
        <f>VLOOKUP(B1988,Кат!G:J,3,0)</f>
        <v>#N/A</v>
      </c>
    </row>
    <row r="1989" spans="1:5">
      <c r="A1989" s="26" t="s">
        <v>3704</v>
      </c>
      <c r="B1989" s="26" t="s">
        <v>3705</v>
      </c>
      <c r="C1989" s="26" t="s">
        <v>50</v>
      </c>
      <c r="D1989" s="27">
        <v>319</v>
      </c>
      <c r="E1989" t="e">
        <f>VLOOKUP(B1989,Кат!G:J,3,0)</f>
        <v>#N/A</v>
      </c>
    </row>
    <row r="1990" spans="1:5">
      <c r="A1990" s="26" t="s">
        <v>3706</v>
      </c>
      <c r="B1990" s="26" t="s">
        <v>3707</v>
      </c>
      <c r="C1990" s="26" t="s">
        <v>50</v>
      </c>
      <c r="D1990" s="27">
        <v>402</v>
      </c>
      <c r="E1990" t="e">
        <f>VLOOKUP(B1990,Кат!G:J,3,0)</f>
        <v>#N/A</v>
      </c>
    </row>
    <row r="1991" spans="1:5">
      <c r="A1991" s="26" t="s">
        <v>3708</v>
      </c>
      <c r="B1991" s="26" t="s">
        <v>3709</v>
      </c>
      <c r="C1991" s="26" t="s">
        <v>50</v>
      </c>
      <c r="D1991" s="27">
        <v>294</v>
      </c>
      <c r="E1991" t="e">
        <f>VLOOKUP(B1991,Кат!G:J,3,0)</f>
        <v>#N/A</v>
      </c>
    </row>
    <row r="1992" spans="1:5">
      <c r="A1992" s="26" t="s">
        <v>3710</v>
      </c>
      <c r="B1992" s="26" t="s">
        <v>3711</v>
      </c>
      <c r="C1992" s="26" t="s">
        <v>50</v>
      </c>
      <c r="D1992" s="27">
        <v>323</v>
      </c>
      <c r="E1992" t="e">
        <f>VLOOKUP(B1992,Кат!G:J,3,0)</f>
        <v>#N/A</v>
      </c>
    </row>
    <row r="1993" spans="1:5">
      <c r="A1993" s="26" t="s">
        <v>3712</v>
      </c>
      <c r="B1993" s="26" t="s">
        <v>3713</v>
      </c>
      <c r="C1993" s="26" t="s">
        <v>50</v>
      </c>
      <c r="D1993" s="27">
        <v>284</v>
      </c>
      <c r="E1993" t="e">
        <f>VLOOKUP(B1993,Кат!G:J,3,0)</f>
        <v>#N/A</v>
      </c>
    </row>
    <row r="1994" spans="1:5">
      <c r="A1994" s="26" t="s">
        <v>3714</v>
      </c>
      <c r="B1994" s="26" t="s">
        <v>3715</v>
      </c>
      <c r="C1994" s="26" t="s">
        <v>50</v>
      </c>
      <c r="D1994" s="27">
        <v>264</v>
      </c>
      <c r="E1994" t="e">
        <f>VLOOKUP(B1994,Кат!G:J,3,0)</f>
        <v>#N/A</v>
      </c>
    </row>
    <row r="1995" spans="1:5">
      <c r="A1995" s="26" t="s">
        <v>3716</v>
      </c>
      <c r="B1995" s="26" t="s">
        <v>3717</v>
      </c>
      <c r="C1995" s="26" t="s">
        <v>50</v>
      </c>
      <c r="D1995" s="27">
        <v>340</v>
      </c>
      <c r="E1995" t="e">
        <f>VLOOKUP(B1995,Кат!G:J,3,0)</f>
        <v>#N/A</v>
      </c>
    </row>
    <row r="1996" spans="1:5">
      <c r="A1996" s="26" t="s">
        <v>3718</v>
      </c>
      <c r="B1996" s="26" t="s">
        <v>3719</v>
      </c>
      <c r="C1996" s="26" t="s">
        <v>50</v>
      </c>
      <c r="D1996" s="27">
        <v>274</v>
      </c>
      <c r="E1996" t="e">
        <f>VLOOKUP(B1996,Кат!G:J,3,0)</f>
        <v>#N/A</v>
      </c>
    </row>
    <row r="1997" spans="1:5">
      <c r="A1997" s="26" t="s">
        <v>3720</v>
      </c>
      <c r="B1997" s="26" t="s">
        <v>3721</v>
      </c>
      <c r="C1997" s="26" t="s">
        <v>50</v>
      </c>
      <c r="D1997" s="27">
        <v>299</v>
      </c>
      <c r="E1997" t="e">
        <f>VLOOKUP(B1997,Кат!G:J,3,0)</f>
        <v>#N/A</v>
      </c>
    </row>
    <row r="1998" spans="1:5">
      <c r="A1998" s="26" t="s">
        <v>3722</v>
      </c>
      <c r="B1998" s="26" t="s">
        <v>3723</v>
      </c>
      <c r="C1998" s="26" t="s">
        <v>50</v>
      </c>
      <c r="D1998" s="27">
        <v>305</v>
      </c>
      <c r="E1998" t="e">
        <f>VLOOKUP(B1998,Кат!G:J,3,0)</f>
        <v>#N/A</v>
      </c>
    </row>
    <row r="1999" spans="1:5">
      <c r="A1999" s="26" t="s">
        <v>3724</v>
      </c>
      <c r="B1999" s="26" t="s">
        <v>3725</v>
      </c>
      <c r="C1999" s="26" t="s">
        <v>50</v>
      </c>
      <c r="D1999" s="27">
        <v>532</v>
      </c>
      <c r="E1999" t="e">
        <f>VLOOKUP(B1999,Кат!G:J,3,0)</f>
        <v>#N/A</v>
      </c>
    </row>
    <row r="2000" spans="1:5">
      <c r="A2000" s="26" t="s">
        <v>3726</v>
      </c>
      <c r="B2000" s="26" t="s">
        <v>3727</v>
      </c>
      <c r="C2000" s="26" t="s">
        <v>50</v>
      </c>
      <c r="D2000" s="27">
        <v>811</v>
      </c>
      <c r="E2000" t="e">
        <f>VLOOKUP(B2000,Кат!G:J,3,0)</f>
        <v>#N/A</v>
      </c>
    </row>
    <row r="2001" spans="1:5">
      <c r="A2001" s="26" t="s">
        <v>3728</v>
      </c>
      <c r="B2001" s="26" t="s">
        <v>3729</v>
      </c>
      <c r="C2001" s="26" t="s">
        <v>50</v>
      </c>
      <c r="D2001" s="27">
        <v>477</v>
      </c>
      <c r="E2001" t="e">
        <f>VLOOKUP(B2001,Кат!G:J,3,0)</f>
        <v>#N/A</v>
      </c>
    </row>
    <row r="2002" spans="1:5">
      <c r="A2002" s="26" t="s">
        <v>3730</v>
      </c>
      <c r="B2002" s="26" t="s">
        <v>3731</v>
      </c>
      <c r="C2002" s="26" t="s">
        <v>50</v>
      </c>
      <c r="D2002" s="27">
        <v>466</v>
      </c>
      <c r="E2002" t="e">
        <f>VLOOKUP(B2002,Кат!G:J,3,0)</f>
        <v>#N/A</v>
      </c>
    </row>
    <row r="2003" spans="1:5">
      <c r="A2003" s="26" t="s">
        <v>3732</v>
      </c>
      <c r="B2003" s="26" t="s">
        <v>3733</v>
      </c>
      <c r="C2003" s="26" t="s">
        <v>50</v>
      </c>
      <c r="D2003" s="27">
        <v>316</v>
      </c>
      <c r="E2003" t="e">
        <f>VLOOKUP(B2003,Кат!G:J,3,0)</f>
        <v>#N/A</v>
      </c>
    </row>
    <row r="2004" spans="1:5">
      <c r="A2004" s="26" t="s">
        <v>3734</v>
      </c>
      <c r="B2004" s="26" t="s">
        <v>3735</v>
      </c>
      <c r="C2004" s="26" t="s">
        <v>50</v>
      </c>
      <c r="D2004" s="27">
        <v>302</v>
      </c>
      <c r="E2004" t="e">
        <f>VLOOKUP(B2004,Кат!G:J,3,0)</f>
        <v>#N/A</v>
      </c>
    </row>
    <row r="2005" spans="1:5">
      <c r="A2005" s="26" t="s">
        <v>3736</v>
      </c>
      <c r="B2005" s="26" t="s">
        <v>3737</v>
      </c>
      <c r="C2005" s="26" t="s">
        <v>50</v>
      </c>
      <c r="D2005" s="27">
        <v>374</v>
      </c>
      <c r="E2005" t="e">
        <f>VLOOKUP(B2005,Кат!G:J,3,0)</f>
        <v>#N/A</v>
      </c>
    </row>
    <row r="2006" spans="1:5">
      <c r="A2006" s="26" t="s">
        <v>3738</v>
      </c>
      <c r="B2006" s="26" t="s">
        <v>3739</v>
      </c>
      <c r="C2006" s="26" t="s">
        <v>50</v>
      </c>
      <c r="D2006" s="27">
        <v>301</v>
      </c>
      <c r="E2006" t="e">
        <f>VLOOKUP(B2006,Кат!G:J,3,0)</f>
        <v>#N/A</v>
      </c>
    </row>
    <row r="2007" spans="1:5">
      <c r="A2007" s="26" t="s">
        <v>3740</v>
      </c>
      <c r="B2007" s="26" t="s">
        <v>3741</v>
      </c>
      <c r="C2007" s="26" t="s">
        <v>50</v>
      </c>
      <c r="D2007" s="27">
        <v>288</v>
      </c>
      <c r="E2007" t="e">
        <f>VLOOKUP(B2007,Кат!G:J,3,0)</f>
        <v>#N/A</v>
      </c>
    </row>
    <row r="2008" spans="1:5">
      <c r="A2008" s="26" t="s">
        <v>3742</v>
      </c>
      <c r="B2008" s="26" t="s">
        <v>3743</v>
      </c>
      <c r="C2008" s="26" t="s">
        <v>50</v>
      </c>
      <c r="D2008" s="27">
        <v>326</v>
      </c>
      <c r="E2008" t="e">
        <f>VLOOKUP(B2008,Кат!G:J,3,0)</f>
        <v>#N/A</v>
      </c>
    </row>
    <row r="2009" spans="1:5">
      <c r="A2009" s="26" t="s">
        <v>3744</v>
      </c>
      <c r="B2009" s="26" t="s">
        <v>3745</v>
      </c>
      <c r="C2009" s="26" t="s">
        <v>50</v>
      </c>
      <c r="D2009" s="27">
        <v>423</v>
      </c>
      <c r="E2009" t="e">
        <f>VLOOKUP(B2009,Кат!G:J,3,0)</f>
        <v>#N/A</v>
      </c>
    </row>
    <row r="2010" spans="1:5">
      <c r="A2010" s="26" t="s">
        <v>3746</v>
      </c>
      <c r="B2010" s="26" t="s">
        <v>3747</v>
      </c>
      <c r="C2010" s="26" t="s">
        <v>50</v>
      </c>
      <c r="D2010" s="27">
        <v>464</v>
      </c>
      <c r="E2010" t="e">
        <f>VLOOKUP(B2010,Кат!G:J,3,0)</f>
        <v>#N/A</v>
      </c>
    </row>
    <row r="2011" spans="1:5">
      <c r="A2011" s="26" t="s">
        <v>3748</v>
      </c>
      <c r="B2011" s="26" t="s">
        <v>3749</v>
      </c>
      <c r="C2011" s="26" t="s">
        <v>50</v>
      </c>
      <c r="D2011" s="27">
        <v>387</v>
      </c>
      <c r="E2011" t="e">
        <f>VLOOKUP(B2011,Кат!G:J,3,0)</f>
        <v>#N/A</v>
      </c>
    </row>
    <row r="2012" spans="1:5">
      <c r="A2012" s="26" t="s">
        <v>3750</v>
      </c>
      <c r="B2012" s="26" t="s">
        <v>3751</v>
      </c>
      <c r="C2012" s="26" t="s">
        <v>50</v>
      </c>
      <c r="D2012" s="27">
        <v>384</v>
      </c>
      <c r="E2012" t="e">
        <f>VLOOKUP(B2012,Кат!G:J,3,0)</f>
        <v>#N/A</v>
      </c>
    </row>
    <row r="2013" spans="1:5">
      <c r="A2013" s="26" t="s">
        <v>3752</v>
      </c>
      <c r="B2013" s="26" t="s">
        <v>3753</v>
      </c>
      <c r="C2013" s="26" t="s">
        <v>50</v>
      </c>
      <c r="D2013" s="27">
        <v>613</v>
      </c>
      <c r="E2013" t="e">
        <f>VLOOKUP(B2013,Кат!G:J,3,0)</f>
        <v>#N/A</v>
      </c>
    </row>
    <row r="2014" spans="1:5">
      <c r="A2014" s="26" t="s">
        <v>3754</v>
      </c>
      <c r="B2014" s="26" t="s">
        <v>3755</v>
      </c>
      <c r="C2014" s="26" t="s">
        <v>50</v>
      </c>
      <c r="D2014" s="27">
        <v>294</v>
      </c>
      <c r="E2014" t="e">
        <f>VLOOKUP(B2014,Кат!G:J,3,0)</f>
        <v>#N/A</v>
      </c>
    </row>
    <row r="2015" spans="1:5">
      <c r="A2015" s="26" t="s">
        <v>3756</v>
      </c>
      <c r="B2015" s="26" t="s">
        <v>3757</v>
      </c>
      <c r="C2015" s="26" t="s">
        <v>50</v>
      </c>
      <c r="D2015" s="27">
        <v>887</v>
      </c>
      <c r="E2015" t="e">
        <f>VLOOKUP(B2015,Кат!G:J,3,0)</f>
        <v>#N/A</v>
      </c>
    </row>
    <row r="2016" spans="1:5">
      <c r="A2016" s="26" t="s">
        <v>3758</v>
      </c>
      <c r="B2016" s="26" t="s">
        <v>3759</v>
      </c>
      <c r="C2016" s="26" t="s">
        <v>50</v>
      </c>
      <c r="D2016" s="27">
        <v>302</v>
      </c>
      <c r="E2016" t="e">
        <f>VLOOKUP(B2016,Кат!G:J,3,0)</f>
        <v>#N/A</v>
      </c>
    </row>
    <row r="2017" spans="1:5">
      <c r="A2017" s="26" t="s">
        <v>3760</v>
      </c>
      <c r="B2017" s="26" t="s">
        <v>3761</v>
      </c>
      <c r="C2017" s="26" t="s">
        <v>50</v>
      </c>
      <c r="D2017" s="27">
        <v>568</v>
      </c>
      <c r="E2017" t="e">
        <f>VLOOKUP(B2017,Кат!G:J,3,0)</f>
        <v>#N/A</v>
      </c>
    </row>
    <row r="2018" spans="1:5">
      <c r="A2018" s="26" t="s">
        <v>3762</v>
      </c>
      <c r="B2018" s="26" t="s">
        <v>3763</v>
      </c>
      <c r="C2018" s="26" t="s">
        <v>50</v>
      </c>
      <c r="D2018" s="28">
        <v>1012</v>
      </c>
      <c r="E2018" t="e">
        <f>VLOOKUP(B2018,Кат!G:J,3,0)</f>
        <v>#N/A</v>
      </c>
    </row>
    <row r="2019" spans="1:5">
      <c r="A2019" s="26" t="s">
        <v>3764</v>
      </c>
      <c r="B2019" s="26" t="s">
        <v>3765</v>
      </c>
      <c r="C2019" s="26" t="s">
        <v>50</v>
      </c>
      <c r="D2019" s="27">
        <v>488</v>
      </c>
      <c r="E2019" t="e">
        <f>VLOOKUP(B2019,Кат!G:J,3,0)</f>
        <v>#N/A</v>
      </c>
    </row>
    <row r="2020" spans="1:5">
      <c r="A2020" s="26" t="s">
        <v>3766</v>
      </c>
      <c r="B2020" s="26" t="s">
        <v>3767</v>
      </c>
      <c r="C2020" s="26" t="s">
        <v>50</v>
      </c>
      <c r="D2020" s="27">
        <v>338</v>
      </c>
      <c r="E2020" t="e">
        <f>VLOOKUP(B2020,Кат!G:J,3,0)</f>
        <v>#N/A</v>
      </c>
    </row>
    <row r="2021" spans="1:5">
      <c r="A2021" s="26" t="s">
        <v>3768</v>
      </c>
      <c r="B2021" s="26" t="s">
        <v>3769</v>
      </c>
      <c r="C2021" s="26" t="s">
        <v>50</v>
      </c>
      <c r="D2021" s="27">
        <v>393</v>
      </c>
      <c r="E2021" t="e">
        <f>VLOOKUP(B2021,Кат!G:J,3,0)</f>
        <v>#N/A</v>
      </c>
    </row>
    <row r="2022" spans="1:5">
      <c r="A2022" s="26" t="s">
        <v>3770</v>
      </c>
      <c r="B2022" s="26" t="s">
        <v>3771</v>
      </c>
      <c r="C2022" s="26" t="s">
        <v>50</v>
      </c>
      <c r="D2022" s="27">
        <v>691</v>
      </c>
      <c r="E2022" t="e">
        <f>VLOOKUP(B2022,Кат!G:J,3,0)</f>
        <v>#N/A</v>
      </c>
    </row>
    <row r="2023" spans="1:5">
      <c r="A2023" s="26" t="s">
        <v>3772</v>
      </c>
      <c r="B2023" s="26" t="s">
        <v>3773</v>
      </c>
      <c r="C2023" s="26" t="s">
        <v>50</v>
      </c>
      <c r="D2023" s="27">
        <v>792</v>
      </c>
      <c r="E2023" t="e">
        <f>VLOOKUP(B2023,Кат!G:J,3,0)</f>
        <v>#N/A</v>
      </c>
    </row>
    <row r="2024" spans="1:5">
      <c r="A2024" s="26" t="s">
        <v>3774</v>
      </c>
      <c r="B2024" s="26" t="s">
        <v>3775</v>
      </c>
      <c r="C2024" s="26" t="s">
        <v>50</v>
      </c>
      <c r="D2024" s="27">
        <v>535</v>
      </c>
      <c r="E2024" t="e">
        <f>VLOOKUP(B2024,Кат!G:J,3,0)</f>
        <v>#N/A</v>
      </c>
    </row>
    <row r="2025" spans="1:5">
      <c r="A2025" s="26" t="s">
        <v>3776</v>
      </c>
      <c r="B2025" s="26" t="s">
        <v>3777</v>
      </c>
      <c r="C2025" s="26" t="s">
        <v>50</v>
      </c>
      <c r="D2025" s="27">
        <v>900</v>
      </c>
      <c r="E2025" t="e">
        <f>VLOOKUP(B2025,Кат!G:J,3,0)</f>
        <v>#N/A</v>
      </c>
    </row>
    <row r="2026" spans="1:5">
      <c r="A2026" s="26" t="s">
        <v>3778</v>
      </c>
      <c r="B2026" s="26" t="s">
        <v>3779</v>
      </c>
      <c r="C2026" s="26" t="s">
        <v>50</v>
      </c>
      <c r="D2026" s="28">
        <v>1811</v>
      </c>
      <c r="E2026" t="e">
        <f>VLOOKUP(B2026,Кат!G:J,3,0)</f>
        <v>#N/A</v>
      </c>
    </row>
    <row r="2027" spans="1:5">
      <c r="A2027" s="26" t="s">
        <v>3780</v>
      </c>
      <c r="B2027" s="26" t="s">
        <v>3781</v>
      </c>
      <c r="C2027" s="26" t="s">
        <v>50</v>
      </c>
      <c r="D2027" s="28">
        <v>2120</v>
      </c>
      <c r="E2027" t="e">
        <f>VLOOKUP(B2027,Кат!G:J,3,0)</f>
        <v>#N/A</v>
      </c>
    </row>
    <row r="2028" spans="1:5">
      <c r="A2028" s="26" t="s">
        <v>3782</v>
      </c>
      <c r="B2028" s="26" t="s">
        <v>3783</v>
      </c>
      <c r="C2028" s="26" t="s">
        <v>50</v>
      </c>
      <c r="D2028" s="27">
        <v>145</v>
      </c>
      <c r="E2028" t="e">
        <f>VLOOKUP(B2028,Кат!G:J,3,0)</f>
        <v>#N/A</v>
      </c>
    </row>
    <row r="2029" spans="1:5">
      <c r="A2029" s="26" t="s">
        <v>3784</v>
      </c>
      <c r="B2029" s="26" t="s">
        <v>3785</v>
      </c>
      <c r="C2029" s="26" t="s">
        <v>50</v>
      </c>
      <c r="D2029" s="27">
        <v>604</v>
      </c>
      <c r="E2029" t="e">
        <f>VLOOKUP(B2029,Кат!G:J,3,0)</f>
        <v>#N/A</v>
      </c>
    </row>
    <row r="2030" spans="1:5">
      <c r="A2030" s="26" t="s">
        <v>3786</v>
      </c>
      <c r="B2030" s="26" t="s">
        <v>3787</v>
      </c>
      <c r="C2030" s="26" t="s">
        <v>50</v>
      </c>
      <c r="D2030" s="27">
        <v>466</v>
      </c>
      <c r="E2030" t="e">
        <f>VLOOKUP(B2030,Кат!G:J,3,0)</f>
        <v>#N/A</v>
      </c>
    </row>
    <row r="2031" spans="1:5">
      <c r="A2031" s="26" t="s">
        <v>3788</v>
      </c>
      <c r="B2031" s="26" t="s">
        <v>3789</v>
      </c>
      <c r="C2031" s="26" t="s">
        <v>50</v>
      </c>
      <c r="D2031" s="28">
        <v>1164</v>
      </c>
      <c r="E2031" t="e">
        <f>VLOOKUP(B2031,Кат!G:J,3,0)</f>
        <v>#N/A</v>
      </c>
    </row>
    <row r="2032" spans="1:5">
      <c r="A2032" s="26" t="s">
        <v>3790</v>
      </c>
      <c r="B2032" s="26" t="s">
        <v>3791</v>
      </c>
      <c r="C2032" s="26" t="s">
        <v>50</v>
      </c>
      <c r="D2032" s="28">
        <v>1260</v>
      </c>
      <c r="E2032" t="e">
        <f>VLOOKUP(B2032,Кат!G:J,3,0)</f>
        <v>#N/A</v>
      </c>
    </row>
    <row r="2033" spans="1:5">
      <c r="A2033" s="26" t="s">
        <v>3792</v>
      </c>
      <c r="B2033" s="26" t="s">
        <v>3793</v>
      </c>
      <c r="C2033" s="26" t="s">
        <v>50</v>
      </c>
      <c r="D2033" s="27">
        <v>514</v>
      </c>
      <c r="E2033" t="e">
        <f>VLOOKUP(B2033,Кат!G:J,3,0)</f>
        <v>#N/A</v>
      </c>
    </row>
    <row r="2034" spans="1:5">
      <c r="A2034" s="26" t="s">
        <v>3794</v>
      </c>
      <c r="B2034" s="26" t="s">
        <v>3795</v>
      </c>
      <c r="C2034" s="26" t="s">
        <v>50</v>
      </c>
      <c r="D2034" s="28">
        <v>1532</v>
      </c>
      <c r="E2034" t="e">
        <f>VLOOKUP(B2034,Кат!G:J,3,0)</f>
        <v>#N/A</v>
      </c>
    </row>
    <row r="2035" spans="1:5">
      <c r="A2035" s="26" t="s">
        <v>3796</v>
      </c>
      <c r="B2035" s="26" t="s">
        <v>3797</v>
      </c>
      <c r="C2035" s="26" t="s">
        <v>50</v>
      </c>
      <c r="D2035" s="28">
        <v>1886</v>
      </c>
      <c r="E2035" t="e">
        <f>VLOOKUP(B2035,Кат!G:J,3,0)</f>
        <v>#N/A</v>
      </c>
    </row>
    <row r="2036" spans="1:5">
      <c r="A2036" s="26" t="s">
        <v>3798</v>
      </c>
      <c r="B2036" s="26" t="s">
        <v>3799</v>
      </c>
      <c r="C2036" s="26" t="s">
        <v>50</v>
      </c>
      <c r="D2036" s="27">
        <v>796</v>
      </c>
      <c r="E2036" t="e">
        <f>VLOOKUP(B2036,Кат!G:J,3,0)</f>
        <v>#N/A</v>
      </c>
    </row>
    <row r="2037" spans="1:5" ht="22.5">
      <c r="A2037" s="26" t="s">
        <v>3800</v>
      </c>
      <c r="B2037" s="26" t="s">
        <v>3801</v>
      </c>
      <c r="C2037" s="26" t="s">
        <v>50</v>
      </c>
      <c r="D2037" s="27">
        <v>170</v>
      </c>
      <c r="E2037" t="e">
        <f>VLOOKUP(B2037,Кат!G:J,3,0)</f>
        <v>#N/A</v>
      </c>
    </row>
    <row r="2038" spans="1:5">
      <c r="A2038" s="26" t="s">
        <v>3802</v>
      </c>
      <c r="B2038" s="26" t="s">
        <v>3803</v>
      </c>
      <c r="C2038" s="26" t="s">
        <v>50</v>
      </c>
      <c r="D2038" s="27">
        <v>216</v>
      </c>
      <c r="E2038" t="e">
        <f>VLOOKUP(B2038,Кат!G:J,3,0)</f>
        <v>#N/A</v>
      </c>
    </row>
    <row r="2039" spans="1:5" ht="22.5">
      <c r="A2039" s="26" t="s">
        <v>3804</v>
      </c>
      <c r="B2039" s="26" t="s">
        <v>3805</v>
      </c>
      <c r="C2039" s="26" t="s">
        <v>50</v>
      </c>
      <c r="D2039" s="27">
        <v>201</v>
      </c>
      <c r="E2039" t="e">
        <f>VLOOKUP(B2039,Кат!G:J,3,0)</f>
        <v>#N/A</v>
      </c>
    </row>
    <row r="2040" spans="1:5" ht="22.5">
      <c r="A2040" s="26" t="s">
        <v>3806</v>
      </c>
      <c r="B2040" s="26" t="s">
        <v>3807</v>
      </c>
      <c r="C2040" s="26" t="s">
        <v>50</v>
      </c>
      <c r="D2040" s="27">
        <v>301</v>
      </c>
      <c r="E2040" t="e">
        <f>VLOOKUP(B2040,Кат!G:J,3,0)</f>
        <v>#N/A</v>
      </c>
    </row>
    <row r="2041" spans="1:5">
      <c r="A2041" s="23" t="s">
        <v>3808</v>
      </c>
      <c r="B2041" s="24"/>
      <c r="C2041" s="24"/>
      <c r="D2041" s="25"/>
      <c r="E2041" t="e">
        <f>VLOOKUP(B2041,Кат!G:J,3,0)</f>
        <v>#N/A</v>
      </c>
    </row>
    <row r="2042" spans="1:5" ht="22.5">
      <c r="A2042" s="26" t="s">
        <v>3809</v>
      </c>
      <c r="B2042" s="32">
        <v>804527</v>
      </c>
      <c r="C2042" s="26" t="s">
        <v>50</v>
      </c>
      <c r="D2042" s="28">
        <v>4970</v>
      </c>
      <c r="E2042" t="e">
        <f>VLOOKUP(B2042,Кат!G:J,3,0)</f>
        <v>#N/A</v>
      </c>
    </row>
    <row r="2043" spans="1:5">
      <c r="A2043" s="26" t="s">
        <v>3810</v>
      </c>
      <c r="B2043" s="34">
        <v>3495</v>
      </c>
      <c r="C2043" s="26" t="s">
        <v>49</v>
      </c>
      <c r="D2043" s="28">
        <v>2820</v>
      </c>
      <c r="E2043" t="e">
        <f>VLOOKUP(B2043,Кат!G:J,3,0)</f>
        <v>#N/A</v>
      </c>
    </row>
    <row r="2044" spans="1:5">
      <c r="A2044" s="26" t="s">
        <v>3811</v>
      </c>
      <c r="B2044" s="32">
        <v>801122</v>
      </c>
      <c r="C2044" s="26" t="s">
        <v>49</v>
      </c>
      <c r="D2044" s="28">
        <v>2795</v>
      </c>
      <c r="E2044" t="e">
        <f>VLOOKUP(B2044,Кат!G:J,3,0)</f>
        <v>#N/A</v>
      </c>
    </row>
    <row r="2045" spans="1:5">
      <c r="A2045" s="26" t="s">
        <v>3812</v>
      </c>
      <c r="B2045" s="32">
        <v>826222</v>
      </c>
      <c r="C2045" s="26" t="s">
        <v>49</v>
      </c>
      <c r="D2045" s="28">
        <v>3420</v>
      </c>
      <c r="E2045" t="e">
        <f>VLOOKUP(B2045,Кат!G:J,3,0)</f>
        <v>#N/A</v>
      </c>
    </row>
    <row r="2046" spans="1:5">
      <c r="A2046" s="26" t="s">
        <v>3813</v>
      </c>
      <c r="B2046" s="32">
        <v>828003</v>
      </c>
      <c r="C2046" s="26" t="s">
        <v>49</v>
      </c>
      <c r="D2046" s="28">
        <v>3720</v>
      </c>
      <c r="E2046" t="e">
        <f>VLOOKUP(B2046,Кат!G:J,3,0)</f>
        <v>#N/A</v>
      </c>
    </row>
    <row r="2047" spans="1:5">
      <c r="A2047" s="26" t="s">
        <v>3814</v>
      </c>
      <c r="B2047" s="32">
        <v>832460</v>
      </c>
      <c r="C2047" s="26" t="s">
        <v>49</v>
      </c>
      <c r="D2047" s="28">
        <v>3870</v>
      </c>
      <c r="E2047" t="e">
        <f>VLOOKUP(B2047,Кат!G:J,3,0)</f>
        <v>#N/A</v>
      </c>
    </row>
    <row r="2048" spans="1:5">
      <c r="A2048" s="26" t="s">
        <v>3815</v>
      </c>
      <c r="B2048" s="32">
        <v>826474</v>
      </c>
      <c r="C2048" s="26" t="s">
        <v>49</v>
      </c>
      <c r="D2048" s="28">
        <v>4410</v>
      </c>
      <c r="E2048" t="e">
        <f>VLOOKUP(B2048,Кат!G:J,3,0)</f>
        <v>#N/A</v>
      </c>
    </row>
    <row r="2049" spans="1:5">
      <c r="A2049" s="23" t="s">
        <v>3816</v>
      </c>
      <c r="B2049" s="24"/>
      <c r="C2049" s="24"/>
      <c r="D2049" s="25"/>
      <c r="E2049" t="e">
        <f>VLOOKUP(B2049,Кат!G:J,3,0)</f>
        <v>#N/A</v>
      </c>
    </row>
    <row r="2050" spans="1:5" ht="22.5">
      <c r="A2050" s="26" t="s">
        <v>3817</v>
      </c>
      <c r="B2050" s="26" t="s">
        <v>3818</v>
      </c>
      <c r="C2050" s="26" t="s">
        <v>50</v>
      </c>
      <c r="D2050" s="28">
        <v>2120</v>
      </c>
      <c r="E2050" t="e">
        <f>VLOOKUP(B2050,Кат!G:J,3,0)</f>
        <v>#N/A</v>
      </c>
    </row>
    <row r="2051" spans="1:5">
      <c r="A2051" s="26" t="s">
        <v>3819</v>
      </c>
      <c r="B2051" s="26" t="s">
        <v>3820</v>
      </c>
      <c r="C2051" s="26" t="s">
        <v>49</v>
      </c>
      <c r="D2051" s="28">
        <v>2575</v>
      </c>
      <c r="E2051" t="e">
        <f>VLOOKUP(B2051,Кат!G:J,3,0)</f>
        <v>#N/A</v>
      </c>
    </row>
    <row r="2052" spans="1:5">
      <c r="A2052" s="26" t="s">
        <v>3821</v>
      </c>
      <c r="B2052" s="26" t="s">
        <v>3822</v>
      </c>
      <c r="C2052" s="26" t="s">
        <v>49</v>
      </c>
      <c r="D2052" s="28">
        <v>3470</v>
      </c>
      <c r="E2052" t="e">
        <f>VLOOKUP(B2052,Кат!G:J,3,0)</f>
        <v>#N/A</v>
      </c>
    </row>
    <row r="2053" spans="1:5" ht="22.5">
      <c r="A2053" s="26" t="s">
        <v>3823</v>
      </c>
      <c r="B2053" s="26" t="s">
        <v>3824</v>
      </c>
      <c r="C2053" s="26" t="s">
        <v>49</v>
      </c>
      <c r="D2053" s="28">
        <v>3510</v>
      </c>
      <c r="E2053" t="e">
        <f>VLOOKUP(B2053,Кат!G:J,3,0)</f>
        <v>#N/A</v>
      </c>
    </row>
    <row r="2054" spans="1:5">
      <c r="A2054" s="23" t="s">
        <v>3825</v>
      </c>
      <c r="B2054" s="24"/>
      <c r="C2054" s="24"/>
      <c r="D2054" s="25"/>
      <c r="E2054" t="e">
        <f>VLOOKUP(B2054,Кат!G:J,3,0)</f>
        <v>#N/A</v>
      </c>
    </row>
    <row r="2055" spans="1:5">
      <c r="A2055" s="26" t="s">
        <v>3826</v>
      </c>
      <c r="B2055" s="26" t="s">
        <v>3827</v>
      </c>
      <c r="C2055" s="26" t="s">
        <v>50</v>
      </c>
      <c r="D2055" s="27">
        <v>425</v>
      </c>
      <c r="E2055" t="e">
        <f>VLOOKUP(B2055,Кат!G:J,3,0)</f>
        <v>#N/A</v>
      </c>
    </row>
    <row r="2056" spans="1:5">
      <c r="A2056" s="26" t="s">
        <v>3828</v>
      </c>
      <c r="B2056" s="26" t="s">
        <v>3829</v>
      </c>
      <c r="C2056" s="26" t="s">
        <v>49</v>
      </c>
      <c r="D2056" s="27">
        <v>890</v>
      </c>
      <c r="E2056" t="e">
        <f>VLOOKUP(B2056,Кат!G:J,3,0)</f>
        <v>#N/A</v>
      </c>
    </row>
    <row r="2057" spans="1:5">
      <c r="A2057" s="26" t="s">
        <v>3830</v>
      </c>
      <c r="B2057" s="26" t="s">
        <v>3831</v>
      </c>
      <c r="C2057" s="26" t="s">
        <v>49</v>
      </c>
      <c r="D2057" s="27">
        <v>230</v>
      </c>
      <c r="E2057" t="e">
        <f>VLOOKUP(B2057,Кат!G:J,3,0)</f>
        <v>#N/A</v>
      </c>
    </row>
    <row r="2058" spans="1:5">
      <c r="A2058" s="26" t="s">
        <v>3832</v>
      </c>
      <c r="B2058" s="26" t="s">
        <v>3833</v>
      </c>
      <c r="C2058" s="26" t="s">
        <v>49</v>
      </c>
      <c r="D2058" s="27">
        <v>440</v>
      </c>
      <c r="E2058" t="e">
        <f>VLOOKUP(B2058,Кат!G:J,3,0)</f>
        <v>#N/A</v>
      </c>
    </row>
    <row r="2059" spans="1:5">
      <c r="A2059" s="26" t="s">
        <v>3834</v>
      </c>
      <c r="B2059" s="26" t="s">
        <v>3835</v>
      </c>
      <c r="C2059" s="26" t="s">
        <v>50</v>
      </c>
      <c r="D2059" s="27">
        <v>383</v>
      </c>
      <c r="E2059" t="e">
        <f>VLOOKUP(B2059,Кат!G:J,3,0)</f>
        <v>#N/A</v>
      </c>
    </row>
    <row r="2060" spans="1:5" ht="22.5">
      <c r="A2060" s="26" t="s">
        <v>3836</v>
      </c>
      <c r="B2060" s="26" t="s">
        <v>3837</v>
      </c>
      <c r="C2060" s="26" t="s">
        <v>50</v>
      </c>
      <c r="D2060" s="27">
        <v>182</v>
      </c>
      <c r="E2060" t="e">
        <f>VLOOKUP(B2060,Кат!G:J,3,0)</f>
        <v>#N/A</v>
      </c>
    </row>
    <row r="2061" spans="1:5" ht="22.5">
      <c r="A2061" s="26" t="s">
        <v>3838</v>
      </c>
      <c r="B2061" s="26" t="s">
        <v>3839</v>
      </c>
      <c r="C2061" s="26" t="s">
        <v>50</v>
      </c>
      <c r="D2061" s="27">
        <v>80</v>
      </c>
      <c r="E2061" t="e">
        <f>VLOOKUP(B2061,Кат!G:J,3,0)</f>
        <v>#N/A</v>
      </c>
    </row>
    <row r="2062" spans="1:5">
      <c r="A2062" s="23" t="s">
        <v>3840</v>
      </c>
      <c r="B2062" s="24"/>
      <c r="C2062" s="24"/>
      <c r="D2062" s="25"/>
      <c r="E2062" t="e">
        <f>VLOOKUP(B2062,Кат!G:J,3,0)</f>
        <v>#N/A</v>
      </c>
    </row>
    <row r="2063" spans="1:5" ht="22.5">
      <c r="A2063" s="26" t="s">
        <v>3841</v>
      </c>
      <c r="B2063" s="26" t="s">
        <v>3842</v>
      </c>
      <c r="C2063" s="26" t="s">
        <v>50</v>
      </c>
      <c r="D2063" s="27">
        <v>155</v>
      </c>
      <c r="E2063" t="e">
        <f>VLOOKUP(B2063,Кат!G:J,3,0)</f>
        <v>#N/A</v>
      </c>
    </row>
    <row r="2064" spans="1:5">
      <c r="A2064" s="26" t="s">
        <v>3843</v>
      </c>
      <c r="B2064" s="35">
        <v>167</v>
      </c>
      <c r="C2064" s="26" t="s">
        <v>50</v>
      </c>
      <c r="D2064" s="27">
        <v>605</v>
      </c>
      <c r="E2064" t="e">
        <f>VLOOKUP(B2064,Кат!G:J,3,0)</f>
        <v>#N/A</v>
      </c>
    </row>
    <row r="2065" spans="1:5" ht="22.5">
      <c r="A2065" s="26" t="s">
        <v>3844</v>
      </c>
      <c r="B2065" s="35">
        <v>90</v>
      </c>
      <c r="C2065" s="26" t="s">
        <v>49</v>
      </c>
      <c r="D2065" s="27">
        <v>675</v>
      </c>
      <c r="E2065" t="e">
        <f>VLOOKUP(B2065,Кат!G:J,3,0)</f>
        <v>#N/A</v>
      </c>
    </row>
    <row r="2066" spans="1:5">
      <c r="A2066" s="26" t="s">
        <v>3845</v>
      </c>
      <c r="B2066" s="35">
        <v>31</v>
      </c>
      <c r="C2066" s="26" t="s">
        <v>50</v>
      </c>
      <c r="D2066" s="27">
        <v>305</v>
      </c>
      <c r="E2066" t="e">
        <f>VLOOKUP(B2066,Кат!G:J,3,0)</f>
        <v>#N/A</v>
      </c>
    </row>
    <row r="2067" spans="1:5">
      <c r="A2067" s="26" t="s">
        <v>3846</v>
      </c>
      <c r="B2067" s="35">
        <v>32</v>
      </c>
      <c r="C2067" s="26" t="s">
        <v>50</v>
      </c>
      <c r="D2067" s="27">
        <v>305</v>
      </c>
      <c r="E2067" t="e">
        <f>VLOOKUP(B2067,Кат!G:J,3,0)</f>
        <v>#N/A</v>
      </c>
    </row>
    <row r="2068" spans="1:5" ht="22.5">
      <c r="A2068" s="26" t="s">
        <v>3847</v>
      </c>
      <c r="B2068" s="35">
        <v>164</v>
      </c>
      <c r="C2068" s="26" t="s">
        <v>50</v>
      </c>
      <c r="D2068" s="27">
        <v>428</v>
      </c>
      <c r="E2068" t="e">
        <f>VLOOKUP(B2068,Кат!G:J,3,0)</f>
        <v>#N/A</v>
      </c>
    </row>
    <row r="2069" spans="1:5">
      <c r="A2069" s="26" t="s">
        <v>3848</v>
      </c>
      <c r="B2069" s="35">
        <v>174</v>
      </c>
      <c r="C2069" s="26" t="s">
        <v>50</v>
      </c>
      <c r="D2069" s="27">
        <v>471</v>
      </c>
      <c r="E2069" t="e">
        <f>VLOOKUP(B2069,Кат!G:J,3,0)</f>
        <v>#N/A</v>
      </c>
    </row>
    <row r="2070" spans="1:5">
      <c r="A2070" s="23" t="s">
        <v>3849</v>
      </c>
      <c r="B2070" s="24"/>
      <c r="C2070" s="24"/>
      <c r="D2070" s="25"/>
      <c r="E2070" t="e">
        <f>VLOOKUP(B2070,Кат!G:J,3,0)</f>
        <v>#N/A</v>
      </c>
    </row>
    <row r="2071" spans="1:5" ht="24">
      <c r="A2071" s="29" t="s">
        <v>3850</v>
      </c>
      <c r="B2071" s="30"/>
      <c r="C2071" s="30"/>
      <c r="D2071" s="31"/>
      <c r="E2071" t="e">
        <f>VLOOKUP(B2071,Кат!G:J,3,0)</f>
        <v>#N/A</v>
      </c>
    </row>
    <row r="2072" spans="1:5" ht="22.5">
      <c r="A2072" s="26" t="s">
        <v>3851</v>
      </c>
      <c r="B2072" s="26" t="s">
        <v>3852</v>
      </c>
      <c r="C2072" s="26" t="s">
        <v>50</v>
      </c>
      <c r="D2072" s="27">
        <v>933</v>
      </c>
      <c r="E2072" t="e">
        <f>VLOOKUP(B2072,Кат!G:J,3,0)</f>
        <v>#N/A</v>
      </c>
    </row>
    <row r="2073" spans="1:5" ht="22.5">
      <c r="A2073" s="26" t="s">
        <v>3853</v>
      </c>
      <c r="B2073" s="26" t="s">
        <v>3854</v>
      </c>
      <c r="C2073" s="26" t="s">
        <v>50</v>
      </c>
      <c r="D2073" s="27">
        <v>933</v>
      </c>
      <c r="E2073" t="e">
        <f>VLOOKUP(B2073,Кат!G:J,3,0)</f>
        <v>#N/A</v>
      </c>
    </row>
    <row r="2074" spans="1:5" ht="22.5">
      <c r="A2074" s="26" t="s">
        <v>3855</v>
      </c>
      <c r="B2074" s="26" t="s">
        <v>3856</v>
      </c>
      <c r="C2074" s="26" t="s">
        <v>50</v>
      </c>
      <c r="D2074" s="27">
        <v>933</v>
      </c>
      <c r="E2074" t="e">
        <f>VLOOKUP(B2074,Кат!G:J,3,0)</f>
        <v>#N/A</v>
      </c>
    </row>
    <row r="2075" spans="1:5" ht="22.5">
      <c r="A2075" s="26" t="s">
        <v>3857</v>
      </c>
      <c r="B2075" s="26" t="s">
        <v>3858</v>
      </c>
      <c r="C2075" s="26" t="s">
        <v>50</v>
      </c>
      <c r="D2075" s="27">
        <v>933</v>
      </c>
      <c r="E2075" t="e">
        <f>VLOOKUP(B2075,Кат!G:J,3,0)</f>
        <v>#N/A</v>
      </c>
    </row>
    <row r="2076" spans="1:5" ht="22.5">
      <c r="A2076" s="26" t="s">
        <v>3859</v>
      </c>
      <c r="B2076" s="26" t="s">
        <v>3860</v>
      </c>
      <c r="C2076" s="26" t="s">
        <v>50</v>
      </c>
      <c r="D2076" s="27">
        <v>933</v>
      </c>
      <c r="E2076" t="e">
        <f>VLOOKUP(B2076,Кат!G:J,3,0)</f>
        <v>#N/A</v>
      </c>
    </row>
    <row r="2077" spans="1:5" ht="22.5">
      <c r="A2077" s="26" t="s">
        <v>3861</v>
      </c>
      <c r="B2077" s="26" t="s">
        <v>3862</v>
      </c>
      <c r="C2077" s="26" t="s">
        <v>50</v>
      </c>
      <c r="D2077" s="27">
        <v>933</v>
      </c>
      <c r="E2077" t="e">
        <f>VLOOKUP(B2077,Кат!G:J,3,0)</f>
        <v>#N/A</v>
      </c>
    </row>
    <row r="2078" spans="1:5" ht="22.5">
      <c r="A2078" s="26" t="s">
        <v>3863</v>
      </c>
      <c r="B2078" s="26" t="s">
        <v>3864</v>
      </c>
      <c r="C2078" s="26" t="s">
        <v>50</v>
      </c>
      <c r="D2078" s="27">
        <v>933</v>
      </c>
      <c r="E2078" t="e">
        <f>VLOOKUP(B2078,Кат!G:J,3,0)</f>
        <v>#N/A</v>
      </c>
    </row>
    <row r="2079" spans="1:5" ht="22.5">
      <c r="A2079" s="26" t="s">
        <v>3865</v>
      </c>
      <c r="B2079" s="26" t="s">
        <v>3866</v>
      </c>
      <c r="C2079" s="26" t="s">
        <v>50</v>
      </c>
      <c r="D2079" s="27">
        <v>933</v>
      </c>
      <c r="E2079" t="e">
        <f>VLOOKUP(B2079,Кат!G:J,3,0)</f>
        <v>#N/A</v>
      </c>
    </row>
    <row r="2080" spans="1:5">
      <c r="A2080" s="26" t="s">
        <v>3867</v>
      </c>
      <c r="B2080" s="26" t="s">
        <v>3868</v>
      </c>
      <c r="C2080" s="26" t="s">
        <v>50</v>
      </c>
      <c r="D2080" s="27">
        <v>933</v>
      </c>
      <c r="E2080" t="e">
        <f>VLOOKUP(B2080,Кат!G:J,3,0)</f>
        <v>#N/A</v>
      </c>
    </row>
    <row r="2081" spans="1:5" ht="22.5">
      <c r="A2081" s="26" t="s">
        <v>3869</v>
      </c>
      <c r="B2081" s="26" t="s">
        <v>3870</v>
      </c>
      <c r="C2081" s="26" t="s">
        <v>50</v>
      </c>
      <c r="D2081" s="27">
        <v>933</v>
      </c>
      <c r="E2081" t="e">
        <f>VLOOKUP(B2081,Кат!G:J,3,0)</f>
        <v>#N/A</v>
      </c>
    </row>
    <row r="2082" spans="1:5" ht="22.5">
      <c r="A2082" s="26" t="s">
        <v>3871</v>
      </c>
      <c r="B2082" s="26" t="s">
        <v>3872</v>
      </c>
      <c r="C2082" s="26" t="s">
        <v>50</v>
      </c>
      <c r="D2082" s="27">
        <v>933</v>
      </c>
      <c r="E2082" t="e">
        <f>VLOOKUP(B2082,Кат!G:J,3,0)</f>
        <v>#N/A</v>
      </c>
    </row>
    <row r="2083" spans="1:5" ht="22.5">
      <c r="A2083" s="26" t="s">
        <v>3873</v>
      </c>
      <c r="B2083" s="26" t="s">
        <v>3874</v>
      </c>
      <c r="C2083" s="26" t="s">
        <v>50</v>
      </c>
      <c r="D2083" s="27">
        <v>933</v>
      </c>
      <c r="E2083" t="e">
        <f>VLOOKUP(B2083,Кат!G:J,3,0)</f>
        <v>#N/A</v>
      </c>
    </row>
    <row r="2084" spans="1:5" ht="22.5">
      <c r="A2084" s="26" t="s">
        <v>3875</v>
      </c>
      <c r="B2084" s="26" t="s">
        <v>3876</v>
      </c>
      <c r="C2084" s="26" t="s">
        <v>50</v>
      </c>
      <c r="D2084" s="27">
        <v>933</v>
      </c>
      <c r="E2084" t="e">
        <f>VLOOKUP(B2084,Кат!G:J,3,0)</f>
        <v>#N/A</v>
      </c>
    </row>
    <row r="2085" spans="1:5" ht="22.5">
      <c r="A2085" s="26" t="s">
        <v>3877</v>
      </c>
      <c r="B2085" s="26" t="s">
        <v>3878</v>
      </c>
      <c r="C2085" s="26" t="s">
        <v>50</v>
      </c>
      <c r="D2085" s="27">
        <v>933</v>
      </c>
      <c r="E2085" t="e">
        <f>VLOOKUP(B2085,Кат!G:J,3,0)</f>
        <v>#N/A</v>
      </c>
    </row>
    <row r="2086" spans="1:5" ht="22.5">
      <c r="A2086" s="26" t="s">
        <v>3879</v>
      </c>
      <c r="B2086" s="26" t="s">
        <v>3880</v>
      </c>
      <c r="C2086" s="26" t="s">
        <v>50</v>
      </c>
      <c r="D2086" s="27">
        <v>933</v>
      </c>
      <c r="E2086" t="e">
        <f>VLOOKUP(B2086,Кат!G:J,3,0)</f>
        <v>#N/A</v>
      </c>
    </row>
    <row r="2087" spans="1:5" ht="22.5">
      <c r="A2087" s="26" t="s">
        <v>3881</v>
      </c>
      <c r="B2087" s="26" t="s">
        <v>3882</v>
      </c>
      <c r="C2087" s="26" t="s">
        <v>50</v>
      </c>
      <c r="D2087" s="27">
        <v>933</v>
      </c>
      <c r="E2087" t="e">
        <f>VLOOKUP(B2087,Кат!G:J,3,0)</f>
        <v>#N/A</v>
      </c>
    </row>
    <row r="2088" spans="1:5" ht="22.5">
      <c r="A2088" s="26" t="s">
        <v>3883</v>
      </c>
      <c r="B2088" s="26" t="s">
        <v>3884</v>
      </c>
      <c r="C2088" s="26" t="s">
        <v>50</v>
      </c>
      <c r="D2088" s="27">
        <v>933</v>
      </c>
      <c r="E2088" t="e">
        <f>VLOOKUP(B2088,Кат!G:J,3,0)</f>
        <v>#N/A</v>
      </c>
    </row>
    <row r="2089" spans="1:5" ht="22.5">
      <c r="A2089" s="26" t="s">
        <v>3885</v>
      </c>
      <c r="B2089" s="26" t="s">
        <v>3886</v>
      </c>
      <c r="C2089" s="26" t="s">
        <v>50</v>
      </c>
      <c r="D2089" s="27">
        <v>933</v>
      </c>
      <c r="E2089" t="e">
        <f>VLOOKUP(B2089,Кат!G:J,3,0)</f>
        <v>#N/A</v>
      </c>
    </row>
    <row r="2090" spans="1:5">
      <c r="A2090" s="26" t="s">
        <v>3887</v>
      </c>
      <c r="B2090" s="26" t="s">
        <v>3888</v>
      </c>
      <c r="C2090" s="26" t="s">
        <v>50</v>
      </c>
      <c r="D2090" s="27">
        <v>933</v>
      </c>
      <c r="E2090" t="e">
        <f>VLOOKUP(B2090,Кат!G:J,3,0)</f>
        <v>#N/A</v>
      </c>
    </row>
    <row r="2091" spans="1:5" ht="22.5">
      <c r="A2091" s="26" t="s">
        <v>3889</v>
      </c>
      <c r="B2091" s="26" t="s">
        <v>3890</v>
      </c>
      <c r="C2091" s="26" t="s">
        <v>50</v>
      </c>
      <c r="D2091" s="27">
        <v>933</v>
      </c>
      <c r="E2091" t="e">
        <f>VLOOKUP(B2091,Кат!G:J,3,0)</f>
        <v>#N/A</v>
      </c>
    </row>
    <row r="2092" spans="1:5" ht="22.5">
      <c r="A2092" s="26" t="s">
        <v>3891</v>
      </c>
      <c r="B2092" s="26" t="s">
        <v>3892</v>
      </c>
      <c r="C2092" s="26" t="s">
        <v>50</v>
      </c>
      <c r="D2092" s="27">
        <v>933</v>
      </c>
      <c r="E2092" t="e">
        <f>VLOOKUP(B2092,Кат!G:J,3,0)</f>
        <v>#N/A</v>
      </c>
    </row>
    <row r="2093" spans="1:5">
      <c r="A2093" s="26" t="s">
        <v>3893</v>
      </c>
      <c r="B2093" s="26" t="s">
        <v>3894</v>
      </c>
      <c r="C2093" s="26" t="s">
        <v>50</v>
      </c>
      <c r="D2093" s="27">
        <v>933</v>
      </c>
      <c r="E2093" t="e">
        <f>VLOOKUP(B2093,Кат!G:J,3,0)</f>
        <v>#N/A</v>
      </c>
    </row>
    <row r="2094" spans="1:5" ht="33.75">
      <c r="A2094" s="26" t="s">
        <v>3895</v>
      </c>
      <c r="B2094" s="26" t="s">
        <v>3896</v>
      </c>
      <c r="C2094" s="26" t="s">
        <v>50</v>
      </c>
      <c r="D2094" s="27">
        <v>933</v>
      </c>
      <c r="E2094" t="e">
        <f>VLOOKUP(B2094,Кат!G:J,3,0)</f>
        <v>#N/A</v>
      </c>
    </row>
    <row r="2095" spans="1:5" ht="22.5">
      <c r="A2095" s="26" t="s">
        <v>3897</v>
      </c>
      <c r="B2095" s="26" t="s">
        <v>3898</v>
      </c>
      <c r="C2095" s="26" t="s">
        <v>50</v>
      </c>
      <c r="D2095" s="27">
        <v>933</v>
      </c>
      <c r="E2095" t="e">
        <f>VLOOKUP(B2095,Кат!G:J,3,0)</f>
        <v>#N/A</v>
      </c>
    </row>
    <row r="2096" spans="1:5" ht="22.5">
      <c r="A2096" s="26" t="s">
        <v>3899</v>
      </c>
      <c r="B2096" s="26" t="s">
        <v>3900</v>
      </c>
      <c r="C2096" s="26" t="s">
        <v>50</v>
      </c>
      <c r="D2096" s="27">
        <v>933</v>
      </c>
      <c r="E2096" t="e">
        <f>VLOOKUP(B2096,Кат!G:J,3,0)</f>
        <v>#N/A</v>
      </c>
    </row>
    <row r="2097" spans="1:5">
      <c r="A2097" s="26" t="s">
        <v>3901</v>
      </c>
      <c r="B2097" s="26" t="s">
        <v>3902</v>
      </c>
      <c r="C2097" s="26" t="s">
        <v>50</v>
      </c>
      <c r="D2097" s="27">
        <v>933</v>
      </c>
      <c r="E2097" t="e">
        <f>VLOOKUP(B2097,Кат!G:J,3,0)</f>
        <v>#N/A</v>
      </c>
    </row>
    <row r="2098" spans="1:5" ht="22.5">
      <c r="A2098" s="26" t="s">
        <v>3903</v>
      </c>
      <c r="B2098" s="26" t="s">
        <v>3904</v>
      </c>
      <c r="C2098" s="26" t="s">
        <v>50</v>
      </c>
      <c r="D2098" s="27">
        <v>933</v>
      </c>
      <c r="E2098" t="e">
        <f>VLOOKUP(B2098,Кат!G:J,3,0)</f>
        <v>#N/A</v>
      </c>
    </row>
    <row r="2099" spans="1:5" ht="22.5">
      <c r="A2099" s="26" t="s">
        <v>3905</v>
      </c>
      <c r="B2099" s="26" t="s">
        <v>3906</v>
      </c>
      <c r="C2099" s="26" t="s">
        <v>50</v>
      </c>
      <c r="D2099" s="27">
        <v>933</v>
      </c>
      <c r="E2099" t="e">
        <f>VLOOKUP(B2099,Кат!G:J,3,0)</f>
        <v>#N/A</v>
      </c>
    </row>
    <row r="2100" spans="1:5" ht="22.5">
      <c r="A2100" s="26" t="s">
        <v>3907</v>
      </c>
      <c r="B2100" s="26" t="s">
        <v>3908</v>
      </c>
      <c r="C2100" s="26" t="s">
        <v>50</v>
      </c>
      <c r="D2100" s="27">
        <v>933</v>
      </c>
      <c r="E2100" t="e">
        <f>VLOOKUP(B2100,Кат!G:J,3,0)</f>
        <v>#N/A</v>
      </c>
    </row>
    <row r="2101" spans="1:5" ht="22.5">
      <c r="A2101" s="26" t="s">
        <v>3909</v>
      </c>
      <c r="B2101" s="26" t="s">
        <v>3910</v>
      </c>
      <c r="C2101" s="26" t="s">
        <v>50</v>
      </c>
      <c r="D2101" s="27">
        <v>933</v>
      </c>
      <c r="E2101" t="e">
        <f>VLOOKUP(B2101,Кат!G:J,3,0)</f>
        <v>#N/A</v>
      </c>
    </row>
    <row r="2102" spans="1:5">
      <c r="A2102" s="26" t="s">
        <v>3911</v>
      </c>
      <c r="B2102" s="26" t="s">
        <v>3912</v>
      </c>
      <c r="C2102" s="26" t="s">
        <v>50</v>
      </c>
      <c r="D2102" s="27">
        <v>933</v>
      </c>
      <c r="E2102" t="e">
        <f>VLOOKUP(B2102,Кат!G:J,3,0)</f>
        <v>#N/A</v>
      </c>
    </row>
    <row r="2103" spans="1:5" ht="22.5">
      <c r="A2103" s="26" t="s">
        <v>3913</v>
      </c>
      <c r="B2103" s="26" t="s">
        <v>3914</v>
      </c>
      <c r="C2103" s="26" t="s">
        <v>50</v>
      </c>
      <c r="D2103" s="27">
        <v>933</v>
      </c>
      <c r="E2103" t="e">
        <f>VLOOKUP(B2103,Кат!G:J,3,0)</f>
        <v>#N/A</v>
      </c>
    </row>
    <row r="2104" spans="1:5" ht="22.5">
      <c r="A2104" s="26" t="s">
        <v>3915</v>
      </c>
      <c r="B2104" s="26" t="s">
        <v>3916</v>
      </c>
      <c r="C2104" s="26" t="s">
        <v>50</v>
      </c>
      <c r="D2104" s="27">
        <v>933</v>
      </c>
      <c r="E2104" t="e">
        <f>VLOOKUP(B2104,Кат!G:J,3,0)</f>
        <v>#N/A</v>
      </c>
    </row>
    <row r="2105" spans="1:5" ht="22.5">
      <c r="A2105" s="26" t="s">
        <v>3917</v>
      </c>
      <c r="B2105" s="26" t="s">
        <v>3918</v>
      </c>
      <c r="C2105" s="26" t="s">
        <v>50</v>
      </c>
      <c r="D2105" s="27">
        <v>933</v>
      </c>
      <c r="E2105" t="e">
        <f>VLOOKUP(B2105,Кат!G:J,3,0)</f>
        <v>#N/A</v>
      </c>
    </row>
    <row r="2106" spans="1:5" ht="22.5">
      <c r="A2106" s="26" t="s">
        <v>3919</v>
      </c>
      <c r="B2106" s="26" t="s">
        <v>3920</v>
      </c>
      <c r="C2106" s="26" t="s">
        <v>50</v>
      </c>
      <c r="D2106" s="27">
        <v>933</v>
      </c>
      <c r="E2106" t="e">
        <f>VLOOKUP(B2106,Кат!G:J,3,0)</f>
        <v>#N/A</v>
      </c>
    </row>
    <row r="2107" spans="1:5" ht="22.5">
      <c r="A2107" s="26" t="s">
        <v>3921</v>
      </c>
      <c r="B2107" s="26" t="s">
        <v>3922</v>
      </c>
      <c r="C2107" s="26" t="s">
        <v>50</v>
      </c>
      <c r="D2107" s="27">
        <v>933</v>
      </c>
      <c r="E2107" t="e">
        <f>VLOOKUP(B2107,Кат!G:J,3,0)</f>
        <v>#N/A</v>
      </c>
    </row>
    <row r="2108" spans="1:5" ht="22.5">
      <c r="A2108" s="26" t="s">
        <v>3923</v>
      </c>
      <c r="B2108" s="26" t="s">
        <v>3924</v>
      </c>
      <c r="C2108" s="26" t="s">
        <v>50</v>
      </c>
      <c r="D2108" s="27">
        <v>933</v>
      </c>
      <c r="E2108" t="e">
        <f>VLOOKUP(B2108,Кат!G:J,3,0)</f>
        <v>#N/A</v>
      </c>
    </row>
    <row r="2109" spans="1:5">
      <c r="A2109" s="26" t="s">
        <v>3925</v>
      </c>
      <c r="B2109" s="26" t="s">
        <v>3926</v>
      </c>
      <c r="C2109" s="26" t="s">
        <v>50</v>
      </c>
      <c r="D2109" s="27">
        <v>933</v>
      </c>
      <c r="E2109" t="e">
        <f>VLOOKUP(B2109,Кат!G:J,3,0)</f>
        <v>#N/A</v>
      </c>
    </row>
    <row r="2110" spans="1:5" ht="22.5">
      <c r="A2110" s="26" t="s">
        <v>3927</v>
      </c>
      <c r="B2110" s="26" t="s">
        <v>3928</v>
      </c>
      <c r="C2110" s="26" t="s">
        <v>50</v>
      </c>
      <c r="D2110" s="27">
        <v>933</v>
      </c>
      <c r="E2110" t="e">
        <f>VLOOKUP(B2110,Кат!G:J,3,0)</f>
        <v>#N/A</v>
      </c>
    </row>
    <row r="2111" spans="1:5" ht="22.5">
      <c r="A2111" s="26" t="s">
        <v>3929</v>
      </c>
      <c r="B2111" s="26" t="s">
        <v>3930</v>
      </c>
      <c r="C2111" s="26" t="s">
        <v>50</v>
      </c>
      <c r="D2111" s="27">
        <v>933</v>
      </c>
      <c r="E2111" t="e">
        <f>VLOOKUP(B2111,Кат!G:J,3,0)</f>
        <v>#N/A</v>
      </c>
    </row>
    <row r="2112" spans="1:5" ht="22.5">
      <c r="A2112" s="26" t="s">
        <v>3931</v>
      </c>
      <c r="B2112" s="26" t="s">
        <v>3932</v>
      </c>
      <c r="C2112" s="26" t="s">
        <v>50</v>
      </c>
      <c r="D2112" s="27">
        <v>933</v>
      </c>
      <c r="E2112" t="e">
        <f>VLOOKUP(B2112,Кат!G:J,3,0)</f>
        <v>#N/A</v>
      </c>
    </row>
    <row r="2113" spans="1:5" ht="22.5">
      <c r="A2113" s="26" t="s">
        <v>3933</v>
      </c>
      <c r="B2113" s="26" t="s">
        <v>3934</v>
      </c>
      <c r="C2113" s="26" t="s">
        <v>50</v>
      </c>
      <c r="D2113" s="27">
        <v>933</v>
      </c>
      <c r="E2113" t="e">
        <f>VLOOKUP(B2113,Кат!G:J,3,0)</f>
        <v>#N/A</v>
      </c>
    </row>
    <row r="2114" spans="1:5" ht="22.5">
      <c r="A2114" s="26" t="s">
        <v>3935</v>
      </c>
      <c r="B2114" s="26" t="s">
        <v>3936</v>
      </c>
      <c r="C2114" s="26" t="s">
        <v>50</v>
      </c>
      <c r="D2114" s="27">
        <v>933</v>
      </c>
      <c r="E2114" t="e">
        <f>VLOOKUP(B2114,Кат!G:J,3,0)</f>
        <v>#N/A</v>
      </c>
    </row>
    <row r="2115" spans="1:5" ht="22.5">
      <c r="A2115" s="26" t="s">
        <v>3937</v>
      </c>
      <c r="B2115" s="26" t="s">
        <v>3938</v>
      </c>
      <c r="C2115" s="26" t="s">
        <v>50</v>
      </c>
      <c r="D2115" s="27">
        <v>933</v>
      </c>
      <c r="E2115" t="e">
        <f>VLOOKUP(B2115,Кат!G:J,3,0)</f>
        <v>#N/A</v>
      </c>
    </row>
    <row r="2116" spans="1:5" ht="22.5">
      <c r="A2116" s="26" t="s">
        <v>3939</v>
      </c>
      <c r="B2116" s="26" t="s">
        <v>3940</v>
      </c>
      <c r="C2116" s="26" t="s">
        <v>50</v>
      </c>
      <c r="D2116" s="27">
        <v>933</v>
      </c>
      <c r="E2116" t="e">
        <f>VLOOKUP(B2116,Кат!G:J,3,0)</f>
        <v>#N/A</v>
      </c>
    </row>
    <row r="2117" spans="1:5" ht="22.5">
      <c r="A2117" s="26" t="s">
        <v>3941</v>
      </c>
      <c r="B2117" s="26" t="s">
        <v>3942</v>
      </c>
      <c r="C2117" s="26" t="s">
        <v>50</v>
      </c>
      <c r="D2117" s="27">
        <v>933</v>
      </c>
      <c r="E2117" t="e">
        <f>VLOOKUP(B2117,Кат!G:J,3,0)</f>
        <v>#N/A</v>
      </c>
    </row>
    <row r="2118" spans="1:5" ht="22.5">
      <c r="A2118" s="26" t="s">
        <v>3943</v>
      </c>
      <c r="B2118" s="26" t="s">
        <v>3944</v>
      </c>
      <c r="C2118" s="26" t="s">
        <v>50</v>
      </c>
      <c r="D2118" s="27">
        <v>933</v>
      </c>
      <c r="E2118" t="e">
        <f>VLOOKUP(B2118,Кат!G:J,3,0)</f>
        <v>#N/A</v>
      </c>
    </row>
    <row r="2119" spans="1:5">
      <c r="A2119" s="26" t="s">
        <v>3945</v>
      </c>
      <c r="B2119" s="26" t="s">
        <v>3946</v>
      </c>
      <c r="C2119" s="26" t="s">
        <v>50</v>
      </c>
      <c r="D2119" s="28">
        <v>1415</v>
      </c>
      <c r="E2119" t="e">
        <f>VLOOKUP(B2119,Кат!G:J,3,0)</f>
        <v>#N/A</v>
      </c>
    </row>
    <row r="2120" spans="1:5" ht="22.5">
      <c r="A2120" s="26" t="s">
        <v>3947</v>
      </c>
      <c r="B2120" s="26" t="s">
        <v>3948</v>
      </c>
      <c r="C2120" s="26" t="s">
        <v>50</v>
      </c>
      <c r="D2120" s="28">
        <v>1826</v>
      </c>
      <c r="E2120" t="e">
        <f>VLOOKUP(B2120,Кат!G:J,3,0)</f>
        <v>#N/A</v>
      </c>
    </row>
    <row r="2121" spans="1:5">
      <c r="A2121" s="29" t="s">
        <v>3949</v>
      </c>
      <c r="B2121" s="30"/>
      <c r="C2121" s="30"/>
      <c r="D2121" s="31"/>
      <c r="E2121" t="e">
        <f>VLOOKUP(B2121,Кат!G:J,3,0)</f>
        <v>#N/A</v>
      </c>
    </row>
    <row r="2122" spans="1:5" ht="22.5">
      <c r="A2122" s="26" t="s">
        <v>3950</v>
      </c>
      <c r="B2122" s="26" t="s">
        <v>3951</v>
      </c>
      <c r="C2122" s="26" t="s">
        <v>50</v>
      </c>
      <c r="D2122" s="28">
        <v>1134</v>
      </c>
      <c r="E2122" t="e">
        <f>VLOOKUP(B2122,Кат!G:J,3,0)</f>
        <v>#N/A</v>
      </c>
    </row>
    <row r="2123" spans="1:5" ht="22.5">
      <c r="A2123" s="26" t="s">
        <v>3952</v>
      </c>
      <c r="B2123" s="26" t="s">
        <v>3953</v>
      </c>
      <c r="C2123" s="26" t="s">
        <v>50</v>
      </c>
      <c r="D2123" s="27">
        <v>605</v>
      </c>
      <c r="E2123" t="e">
        <f>VLOOKUP(B2123,Кат!G:J,3,0)</f>
        <v>#N/A</v>
      </c>
    </row>
    <row r="2124" spans="1:5" ht="22.5">
      <c r="A2124" s="26" t="s">
        <v>3954</v>
      </c>
      <c r="B2124" s="26" t="s">
        <v>3955</v>
      </c>
      <c r="C2124" s="26" t="s">
        <v>50</v>
      </c>
      <c r="D2124" s="27">
        <v>820</v>
      </c>
      <c r="E2124" t="e">
        <f>VLOOKUP(B2124,Кат!G:J,3,0)</f>
        <v>#N/A</v>
      </c>
    </row>
    <row r="2125" spans="1:5">
      <c r="A2125" s="26" t="s">
        <v>3956</v>
      </c>
      <c r="B2125" s="26" t="s">
        <v>3957</v>
      </c>
      <c r="C2125" s="26" t="s">
        <v>50</v>
      </c>
      <c r="D2125" s="27">
        <v>918</v>
      </c>
      <c r="E2125" t="e">
        <f>VLOOKUP(B2125,Кат!G:J,3,0)</f>
        <v>#N/A</v>
      </c>
    </row>
    <row r="2126" spans="1:5">
      <c r="A2126" s="26" t="s">
        <v>3958</v>
      </c>
      <c r="B2126" s="26" t="s">
        <v>3959</v>
      </c>
      <c r="C2126" s="26" t="s">
        <v>50</v>
      </c>
      <c r="D2126" s="27">
        <v>962</v>
      </c>
      <c r="E2126" t="e">
        <f>VLOOKUP(B2126,Кат!G:J,3,0)</f>
        <v>#N/A</v>
      </c>
    </row>
    <row r="2127" spans="1:5">
      <c r="A2127" s="26" t="s">
        <v>3960</v>
      </c>
      <c r="B2127" s="26" t="s">
        <v>3961</v>
      </c>
      <c r="C2127" s="26" t="s">
        <v>50</v>
      </c>
      <c r="D2127" s="27">
        <v>940</v>
      </c>
      <c r="E2127" t="e">
        <f>VLOOKUP(B2127,Кат!G:J,3,0)</f>
        <v>#N/A</v>
      </c>
    </row>
    <row r="2128" spans="1:5" ht="22.5">
      <c r="A2128" s="26" t="s">
        <v>3962</v>
      </c>
      <c r="B2128" s="26" t="s">
        <v>3963</v>
      </c>
      <c r="C2128" s="26" t="s">
        <v>50</v>
      </c>
      <c r="D2128" s="27">
        <v>785</v>
      </c>
      <c r="E2128" t="e">
        <f>VLOOKUP(B2128,Кат!G:J,3,0)</f>
        <v>#N/A</v>
      </c>
    </row>
    <row r="2129" spans="1:5">
      <c r="A2129" s="26" t="s">
        <v>3964</v>
      </c>
      <c r="B2129" s="26" t="s">
        <v>3965</v>
      </c>
      <c r="C2129" s="26" t="s">
        <v>50</v>
      </c>
      <c r="D2129" s="28">
        <v>1296</v>
      </c>
      <c r="E2129" t="e">
        <f>VLOOKUP(B2129,Кат!G:J,3,0)</f>
        <v>#N/A</v>
      </c>
    </row>
    <row r="2130" spans="1:5" ht="22.5">
      <c r="A2130" s="26" t="s">
        <v>3966</v>
      </c>
      <c r="B2130" s="26" t="s">
        <v>3967</v>
      </c>
      <c r="C2130" s="26" t="s">
        <v>50</v>
      </c>
      <c r="D2130" s="28">
        <v>1728</v>
      </c>
      <c r="E2130" t="e">
        <f>VLOOKUP(B2130,Кат!G:J,3,0)</f>
        <v>#N/A</v>
      </c>
    </row>
    <row r="2131" spans="1:5" ht="22.5">
      <c r="A2131" s="26" t="s">
        <v>3968</v>
      </c>
      <c r="B2131" s="26" t="s">
        <v>3969</v>
      </c>
      <c r="C2131" s="26" t="s">
        <v>50</v>
      </c>
      <c r="D2131" s="28">
        <v>1566</v>
      </c>
      <c r="E2131" t="e">
        <f>VLOOKUP(B2131,Кат!G:J,3,0)</f>
        <v>#N/A</v>
      </c>
    </row>
    <row r="2132" spans="1:5" ht="22.5">
      <c r="A2132" s="26" t="s">
        <v>3970</v>
      </c>
      <c r="B2132" s="26" t="s">
        <v>3971</v>
      </c>
      <c r="C2132" s="26" t="s">
        <v>50</v>
      </c>
      <c r="D2132" s="28">
        <v>1400</v>
      </c>
      <c r="E2132" t="e">
        <f>VLOOKUP(B2132,Кат!G:J,3,0)</f>
        <v>#N/A</v>
      </c>
    </row>
    <row r="2133" spans="1:5" ht="22.5">
      <c r="A2133" s="26" t="s">
        <v>3972</v>
      </c>
      <c r="B2133" s="26" t="s">
        <v>3973</v>
      </c>
      <c r="C2133" s="26" t="s">
        <v>50</v>
      </c>
      <c r="D2133" s="28">
        <v>1972</v>
      </c>
      <c r="E2133" t="e">
        <f>VLOOKUP(B2133,Кат!G:J,3,0)</f>
        <v>#N/A</v>
      </c>
    </row>
    <row r="2134" spans="1:5" ht="22.5">
      <c r="A2134" s="26" t="s">
        <v>3974</v>
      </c>
      <c r="B2134" s="26" t="s">
        <v>3975</v>
      </c>
      <c r="C2134" s="26" t="s">
        <v>50</v>
      </c>
      <c r="D2134" s="28">
        <v>2417</v>
      </c>
      <c r="E2134" t="e">
        <f>VLOOKUP(B2134,Кат!G:J,3,0)</f>
        <v>#N/A</v>
      </c>
    </row>
    <row r="2135" spans="1:5" ht="22.5">
      <c r="A2135" s="26" t="s">
        <v>3976</v>
      </c>
      <c r="B2135" s="26" t="s">
        <v>3977</v>
      </c>
      <c r="C2135" s="26" t="s">
        <v>50</v>
      </c>
      <c r="D2135" s="28">
        <v>1887</v>
      </c>
      <c r="E2135" t="e">
        <f>VLOOKUP(B2135,Кат!G:J,3,0)</f>
        <v>#N/A</v>
      </c>
    </row>
    <row r="2136" spans="1:5" ht="22.5">
      <c r="A2136" s="26" t="s">
        <v>3978</v>
      </c>
      <c r="B2136" s="26" t="s">
        <v>3979</v>
      </c>
      <c r="C2136" s="26" t="s">
        <v>50</v>
      </c>
      <c r="D2136" s="28">
        <v>1025</v>
      </c>
      <c r="E2136" t="e">
        <f>VLOOKUP(B2136,Кат!G:J,3,0)</f>
        <v>#N/A</v>
      </c>
    </row>
    <row r="2137" spans="1:5" ht="22.5">
      <c r="A2137" s="26" t="s">
        <v>3980</v>
      </c>
      <c r="B2137" s="26" t="s">
        <v>3981</v>
      </c>
      <c r="C2137" s="26" t="s">
        <v>50</v>
      </c>
      <c r="D2137" s="28">
        <v>1025</v>
      </c>
      <c r="E2137" t="e">
        <f>VLOOKUP(B2137,Кат!G:J,3,0)</f>
        <v>#N/A</v>
      </c>
    </row>
    <row r="2138" spans="1:5" ht="22.5">
      <c r="A2138" s="26" t="s">
        <v>3982</v>
      </c>
      <c r="B2138" s="26" t="s">
        <v>3983</v>
      </c>
      <c r="C2138" s="26" t="s">
        <v>50</v>
      </c>
      <c r="D2138" s="27">
        <v>885</v>
      </c>
      <c r="E2138" t="e">
        <f>VLOOKUP(B2138,Кат!G:J,3,0)</f>
        <v>#N/A</v>
      </c>
    </row>
    <row r="2139" spans="1:5" ht="22.5">
      <c r="A2139" s="26" t="s">
        <v>3984</v>
      </c>
      <c r="B2139" s="26" t="s">
        <v>3985</v>
      </c>
      <c r="C2139" s="26" t="s">
        <v>49</v>
      </c>
      <c r="D2139" s="27">
        <v>638</v>
      </c>
      <c r="E2139" t="e">
        <f>VLOOKUP(B2139,Кат!G:J,3,0)</f>
        <v>#N/A</v>
      </c>
    </row>
    <row r="2140" spans="1:5" ht="22.5">
      <c r="A2140" s="26" t="s">
        <v>3986</v>
      </c>
      <c r="B2140" s="26" t="s">
        <v>3987</v>
      </c>
      <c r="C2140" s="26" t="s">
        <v>49</v>
      </c>
      <c r="D2140" s="27">
        <v>680</v>
      </c>
      <c r="E2140" t="e">
        <f>VLOOKUP(B2140,Кат!G:J,3,0)</f>
        <v>#N/A</v>
      </c>
    </row>
    <row r="2141" spans="1:5" ht="22.5">
      <c r="A2141" s="26" t="s">
        <v>3988</v>
      </c>
      <c r="B2141" s="26" t="s">
        <v>3989</v>
      </c>
      <c r="C2141" s="26" t="s">
        <v>49</v>
      </c>
      <c r="D2141" s="27">
        <v>713</v>
      </c>
      <c r="E2141" t="e">
        <f>VLOOKUP(B2141,Кат!G:J,3,0)</f>
        <v>#N/A</v>
      </c>
    </row>
    <row r="2142" spans="1:5" ht="22.5">
      <c r="A2142" s="26" t="s">
        <v>3990</v>
      </c>
      <c r="B2142" s="26" t="s">
        <v>3991</v>
      </c>
      <c r="C2142" s="26" t="s">
        <v>49</v>
      </c>
      <c r="D2142" s="28">
        <v>2160</v>
      </c>
      <c r="E2142" t="e">
        <f>VLOOKUP(B2142,Кат!G:J,3,0)</f>
        <v>#N/A</v>
      </c>
    </row>
    <row r="2143" spans="1:5" ht="22.5">
      <c r="A2143" s="26" t="s">
        <v>3992</v>
      </c>
      <c r="B2143" s="26" t="s">
        <v>3993</v>
      </c>
      <c r="C2143" s="26" t="s">
        <v>49</v>
      </c>
      <c r="D2143" s="28">
        <v>2430</v>
      </c>
      <c r="E2143" t="e">
        <f>VLOOKUP(B2143,Кат!G:J,3,0)</f>
        <v>#N/A</v>
      </c>
    </row>
    <row r="2144" spans="1:5" ht="22.5">
      <c r="A2144" s="26" t="s">
        <v>3994</v>
      </c>
      <c r="B2144" s="26" t="s">
        <v>3995</v>
      </c>
      <c r="C2144" s="26" t="s">
        <v>49</v>
      </c>
      <c r="D2144" s="28">
        <v>2646</v>
      </c>
      <c r="E2144" t="e">
        <f>VLOOKUP(B2144,Кат!G:J,3,0)</f>
        <v>#N/A</v>
      </c>
    </row>
    <row r="2145" spans="1:5" ht="22.5">
      <c r="A2145" s="26" t="s">
        <v>3996</v>
      </c>
      <c r="B2145" s="26" t="s">
        <v>3997</v>
      </c>
      <c r="C2145" s="26" t="s">
        <v>49</v>
      </c>
      <c r="D2145" s="27">
        <v>800</v>
      </c>
      <c r="E2145" t="e">
        <f>VLOOKUP(B2145,Кат!G:J,3,0)</f>
        <v>#N/A</v>
      </c>
    </row>
    <row r="2146" spans="1:5" ht="22.5">
      <c r="A2146" s="26" t="s">
        <v>3998</v>
      </c>
      <c r="B2146" s="26" t="s">
        <v>3999</v>
      </c>
      <c r="C2146" s="26" t="s">
        <v>49</v>
      </c>
      <c r="D2146" s="27">
        <v>897</v>
      </c>
      <c r="E2146" t="e">
        <f>VLOOKUP(B2146,Кат!G:J,3,0)</f>
        <v>#N/A</v>
      </c>
    </row>
    <row r="2147" spans="1:5" ht="22.5">
      <c r="A2147" s="26" t="s">
        <v>4000</v>
      </c>
      <c r="B2147" s="26" t="s">
        <v>4001</v>
      </c>
      <c r="C2147" s="26" t="s">
        <v>49</v>
      </c>
      <c r="D2147" s="28">
        <v>1026</v>
      </c>
      <c r="E2147" t="e">
        <f>VLOOKUP(B2147,Кат!G:J,3,0)</f>
        <v>#N/A</v>
      </c>
    </row>
    <row r="2148" spans="1:5" ht="22.5">
      <c r="A2148" s="26" t="s">
        <v>4002</v>
      </c>
      <c r="B2148" s="26" t="s">
        <v>4003</v>
      </c>
      <c r="C2148" s="26" t="s">
        <v>49</v>
      </c>
      <c r="D2148" s="28">
        <v>1296</v>
      </c>
      <c r="E2148" t="e">
        <f>VLOOKUP(B2148,Кат!G:J,3,0)</f>
        <v>#N/A</v>
      </c>
    </row>
    <row r="2149" spans="1:5" ht="22.5">
      <c r="A2149" s="26" t="s">
        <v>4004</v>
      </c>
      <c r="B2149" s="26" t="s">
        <v>4005</v>
      </c>
      <c r="C2149" s="26" t="s">
        <v>49</v>
      </c>
      <c r="D2149" s="28">
        <v>1458</v>
      </c>
      <c r="E2149" t="e">
        <f>VLOOKUP(B2149,Кат!G:J,3,0)</f>
        <v>#N/A</v>
      </c>
    </row>
    <row r="2150" spans="1:5" ht="22.5">
      <c r="A2150" s="26" t="s">
        <v>4006</v>
      </c>
      <c r="B2150" s="26" t="s">
        <v>4007</v>
      </c>
      <c r="C2150" s="26" t="s">
        <v>49</v>
      </c>
      <c r="D2150" s="28">
        <v>1566</v>
      </c>
      <c r="E2150" t="e">
        <f>VLOOKUP(B2150,Кат!G:J,3,0)</f>
        <v>#N/A</v>
      </c>
    </row>
    <row r="2151" spans="1:5">
      <c r="A2151" s="29" t="s">
        <v>4008</v>
      </c>
      <c r="B2151" s="30"/>
      <c r="C2151" s="30"/>
      <c r="D2151" s="31"/>
      <c r="E2151" t="e">
        <f>VLOOKUP(B2151,Кат!G:J,3,0)</f>
        <v>#N/A</v>
      </c>
    </row>
    <row r="2152" spans="1:5" ht="22.5">
      <c r="A2152" s="26" t="s">
        <v>4009</v>
      </c>
      <c r="B2152" s="26" t="s">
        <v>4010</v>
      </c>
      <c r="C2152" s="26" t="s">
        <v>50</v>
      </c>
      <c r="D2152" s="28">
        <v>21650</v>
      </c>
      <c r="E2152" t="e">
        <f>VLOOKUP(B2152,Кат!G:J,3,0)</f>
        <v>#N/A</v>
      </c>
    </row>
    <row r="2153" spans="1:5" ht="22.5">
      <c r="A2153" s="26" t="s">
        <v>4011</v>
      </c>
      <c r="B2153" s="26" t="s">
        <v>4012</v>
      </c>
      <c r="C2153" s="26" t="s">
        <v>50</v>
      </c>
      <c r="D2153" s="28">
        <v>20650</v>
      </c>
      <c r="E2153" t="e">
        <f>VLOOKUP(B2153,Кат!G:J,3,0)</f>
        <v>#N/A</v>
      </c>
    </row>
    <row r="2154" spans="1:5">
      <c r="A2154" s="29" t="s">
        <v>4013</v>
      </c>
      <c r="B2154" s="30"/>
      <c r="C2154" s="30"/>
      <c r="D2154" s="31"/>
      <c r="E2154" t="e">
        <f>VLOOKUP(B2154,Кат!G:J,3,0)</f>
        <v>#N/A</v>
      </c>
    </row>
    <row r="2155" spans="1:5">
      <c r="A2155" s="26" t="s">
        <v>4014</v>
      </c>
      <c r="B2155" s="26" t="s">
        <v>4015</v>
      </c>
      <c r="C2155" s="26" t="s">
        <v>50</v>
      </c>
      <c r="D2155" s="28">
        <v>12705</v>
      </c>
      <c r="E2155" t="e">
        <f>VLOOKUP(B2155,Кат!G:J,3,0)</f>
        <v>#N/A</v>
      </c>
    </row>
    <row r="2156" spans="1:5" ht="22.5">
      <c r="A2156" s="26" t="s">
        <v>4016</v>
      </c>
      <c r="B2156" s="26" t="s">
        <v>4017</v>
      </c>
      <c r="C2156" s="26" t="s">
        <v>50</v>
      </c>
      <c r="D2156" s="28">
        <v>3795</v>
      </c>
      <c r="E2156" t="e">
        <f>VLOOKUP(B2156,Кат!G:J,3,0)</f>
        <v>#N/A</v>
      </c>
    </row>
    <row r="2157" spans="1:5" ht="24">
      <c r="A2157" s="36" t="s">
        <v>4018</v>
      </c>
      <c r="B2157" s="37"/>
      <c r="C2157" s="37"/>
      <c r="D2157" s="38"/>
      <c r="E2157" t="e">
        <f>VLOOKUP(B2157,Кат!G:J,3,0)</f>
        <v>#N/A</v>
      </c>
    </row>
    <row r="2158" spans="1:5" ht="22.5">
      <c r="A2158" s="26" t="s">
        <v>4019</v>
      </c>
      <c r="B2158" s="26" t="s">
        <v>4020</v>
      </c>
      <c r="C2158" s="26" t="s">
        <v>50</v>
      </c>
      <c r="D2158" s="28">
        <v>11550</v>
      </c>
      <c r="E2158" t="e">
        <f>VLOOKUP(B2158,Кат!G:J,3,0)</f>
        <v>#N/A</v>
      </c>
    </row>
    <row r="2159" spans="1:5" ht="22.5">
      <c r="A2159" s="26" t="s">
        <v>4021</v>
      </c>
      <c r="B2159" s="26" t="s">
        <v>4022</v>
      </c>
      <c r="C2159" s="26" t="s">
        <v>50</v>
      </c>
      <c r="D2159" s="28">
        <v>14795</v>
      </c>
      <c r="E2159" t="e">
        <f>VLOOKUP(B2159,Кат!G:J,3,0)</f>
        <v>#N/A</v>
      </c>
    </row>
    <row r="2160" spans="1:5" ht="22.5">
      <c r="A2160" s="26" t="s">
        <v>4023</v>
      </c>
      <c r="B2160" s="26" t="s">
        <v>4024</v>
      </c>
      <c r="C2160" s="26" t="s">
        <v>50</v>
      </c>
      <c r="D2160" s="28">
        <v>6426</v>
      </c>
      <c r="E2160" t="e">
        <f>VLOOKUP(B2160,Кат!G:J,3,0)</f>
        <v>#N/A</v>
      </c>
    </row>
    <row r="2161" spans="1:5" ht="22.5">
      <c r="A2161" s="26" t="s">
        <v>4025</v>
      </c>
      <c r="B2161" s="26" t="s">
        <v>4026</v>
      </c>
      <c r="C2161" s="26" t="s">
        <v>50</v>
      </c>
      <c r="D2161" s="28">
        <v>7722</v>
      </c>
      <c r="E2161" t="e">
        <f>VLOOKUP(B2161,Кат!G:J,3,0)</f>
        <v>#N/A</v>
      </c>
    </row>
    <row r="2162" spans="1:5">
      <c r="A2162" s="29" t="s">
        <v>4027</v>
      </c>
      <c r="B2162" s="30"/>
      <c r="C2162" s="30"/>
      <c r="D2162" s="31"/>
      <c r="E2162" t="e">
        <f>VLOOKUP(B2162,Кат!G:J,3,0)</f>
        <v>#N/A</v>
      </c>
    </row>
    <row r="2163" spans="1:5">
      <c r="A2163" s="26" t="s">
        <v>4028</v>
      </c>
      <c r="B2163" s="26" t="s">
        <v>4029</v>
      </c>
      <c r="C2163" s="26" t="s">
        <v>50</v>
      </c>
      <c r="D2163" s="27">
        <v>110</v>
      </c>
      <c r="E2163" t="e">
        <f>VLOOKUP(B2163,Кат!G:J,3,0)</f>
        <v>#N/A</v>
      </c>
    </row>
    <row r="2164" spans="1:5" ht="22.5">
      <c r="A2164" s="26" t="s">
        <v>4030</v>
      </c>
      <c r="B2164" s="26" t="s">
        <v>4031</v>
      </c>
      <c r="C2164" s="26" t="s">
        <v>49</v>
      </c>
      <c r="D2164" s="27">
        <v>150</v>
      </c>
      <c r="E2164" t="e">
        <f>VLOOKUP(B2164,Кат!G:J,3,0)</f>
        <v>#N/A</v>
      </c>
    </row>
    <row r="2165" spans="1:5">
      <c r="A2165" s="26" t="s">
        <v>4032</v>
      </c>
      <c r="B2165" s="26" t="s">
        <v>4033</v>
      </c>
      <c r="C2165" s="26" t="s">
        <v>50</v>
      </c>
      <c r="D2165" s="27">
        <v>30</v>
      </c>
      <c r="E2165" t="e">
        <f>VLOOKUP(B2165,Кат!G:J,3,0)</f>
        <v>#N/A</v>
      </c>
    </row>
    <row r="2166" spans="1:5">
      <c r="A2166" s="26" t="s">
        <v>4034</v>
      </c>
      <c r="B2166" s="26" t="s">
        <v>4035</v>
      </c>
      <c r="C2166" s="26" t="s">
        <v>50</v>
      </c>
      <c r="D2166" s="27">
        <v>10</v>
      </c>
      <c r="E2166" t="e">
        <f>VLOOKUP(B2166,Кат!G:J,3,0)</f>
        <v>#N/A</v>
      </c>
    </row>
    <row r="2167" spans="1:5">
      <c r="A2167" s="26" t="s">
        <v>4036</v>
      </c>
      <c r="B2167" s="26" t="s">
        <v>4037</v>
      </c>
      <c r="C2167" s="26" t="s">
        <v>50</v>
      </c>
      <c r="D2167" s="27">
        <v>70</v>
      </c>
      <c r="E2167" t="e">
        <f>VLOOKUP(B2167,Кат!G:J,3,0)</f>
        <v>#N/A</v>
      </c>
    </row>
    <row r="2168" spans="1:5">
      <c r="A2168" s="26" t="s">
        <v>4038</v>
      </c>
      <c r="B2168" s="26" t="s">
        <v>4039</v>
      </c>
      <c r="C2168" s="26" t="s">
        <v>50</v>
      </c>
      <c r="D2168" s="27">
        <v>70</v>
      </c>
      <c r="E2168" t="e">
        <f>VLOOKUP(B2168,Кат!G:J,3,0)</f>
        <v>#N/A</v>
      </c>
    </row>
    <row r="2169" spans="1:5">
      <c r="A2169" s="26" t="s">
        <v>4040</v>
      </c>
      <c r="B2169" s="26" t="s">
        <v>4041</v>
      </c>
      <c r="C2169" s="26" t="s">
        <v>50</v>
      </c>
      <c r="D2169" s="27">
        <v>66</v>
      </c>
      <c r="E2169" t="e">
        <f>VLOOKUP(B2169,Кат!G:J,3,0)</f>
        <v>#N/A</v>
      </c>
    </row>
    <row r="2170" spans="1:5">
      <c r="A2170" s="29" t="s">
        <v>4042</v>
      </c>
      <c r="B2170" s="30"/>
      <c r="C2170" s="30"/>
      <c r="D2170" s="31"/>
      <c r="E2170" t="e">
        <f>VLOOKUP(B2170,Кат!G:J,3,0)</f>
        <v>#N/A</v>
      </c>
    </row>
    <row r="2171" spans="1:5">
      <c r="A2171" s="26" t="s">
        <v>4043</v>
      </c>
      <c r="B2171" s="26" t="s">
        <v>4044</v>
      </c>
      <c r="C2171" s="26" t="s">
        <v>50</v>
      </c>
      <c r="D2171" s="27">
        <v>240</v>
      </c>
      <c r="E2171" t="e">
        <f>VLOOKUP(B2171,Кат!G:J,3,0)</f>
        <v>#N/A</v>
      </c>
    </row>
    <row r="2172" spans="1:5" ht="22.5">
      <c r="A2172" s="26" t="s">
        <v>4045</v>
      </c>
      <c r="B2172" s="26" t="s">
        <v>4046</v>
      </c>
      <c r="C2172" s="26" t="s">
        <v>50</v>
      </c>
      <c r="D2172" s="27">
        <v>68</v>
      </c>
      <c r="E2172" t="e">
        <f>VLOOKUP(B2172,Кат!G:J,3,0)</f>
        <v>#N/A</v>
      </c>
    </row>
    <row r="2173" spans="1:5" ht="22.5">
      <c r="A2173" s="26" t="s">
        <v>4047</v>
      </c>
      <c r="B2173" s="26" t="s">
        <v>4048</v>
      </c>
      <c r="C2173" s="26" t="s">
        <v>50</v>
      </c>
      <c r="D2173" s="27">
        <v>61</v>
      </c>
      <c r="E2173" t="e">
        <f>VLOOKUP(B2173,Кат!G:J,3,0)</f>
        <v>#N/A</v>
      </c>
    </row>
    <row r="2174" spans="1:5">
      <c r="A2174" s="26" t="s">
        <v>4049</v>
      </c>
      <c r="B2174" s="26" t="s">
        <v>4050</v>
      </c>
      <c r="C2174" s="26" t="s">
        <v>50</v>
      </c>
      <c r="D2174" s="27">
        <v>61</v>
      </c>
      <c r="E2174" t="e">
        <f>VLOOKUP(B2174,Кат!G:J,3,0)</f>
        <v>#N/A</v>
      </c>
    </row>
    <row r="2175" spans="1:5">
      <c r="A2175" s="26" t="s">
        <v>4051</v>
      </c>
      <c r="B2175" s="26" t="s">
        <v>4052</v>
      </c>
      <c r="C2175" s="26" t="s">
        <v>50</v>
      </c>
      <c r="D2175" s="27">
        <v>61</v>
      </c>
      <c r="E2175" t="e">
        <f>VLOOKUP(B2175,Кат!G:J,3,0)</f>
        <v>#N/A</v>
      </c>
    </row>
    <row r="2176" spans="1:5">
      <c r="A2176" s="26" t="s">
        <v>4053</v>
      </c>
      <c r="B2176" s="26" t="s">
        <v>4054</v>
      </c>
      <c r="C2176" s="26" t="s">
        <v>50</v>
      </c>
      <c r="D2176" s="27">
        <v>93</v>
      </c>
      <c r="E2176" t="e">
        <f>VLOOKUP(B2176,Кат!G:J,3,0)</f>
        <v>#N/A</v>
      </c>
    </row>
    <row r="2177" spans="1:5">
      <c r="A2177" s="26" t="s">
        <v>4055</v>
      </c>
      <c r="B2177" s="26" t="s">
        <v>4056</v>
      </c>
      <c r="C2177" s="26" t="s">
        <v>50</v>
      </c>
      <c r="D2177" s="27">
        <v>55</v>
      </c>
      <c r="E2177" t="e">
        <f>VLOOKUP(B2177,Кат!G:J,3,0)</f>
        <v>#N/A</v>
      </c>
    </row>
    <row r="2178" spans="1:5">
      <c r="A2178" s="26" t="s">
        <v>4057</v>
      </c>
      <c r="B2178" s="26" t="s">
        <v>4058</v>
      </c>
      <c r="C2178" s="26" t="s">
        <v>50</v>
      </c>
      <c r="D2178" s="27">
        <v>480</v>
      </c>
      <c r="E2178" t="e">
        <f>VLOOKUP(B2178,Кат!G:J,3,0)</f>
        <v>#N/A</v>
      </c>
    </row>
    <row r="2179" spans="1:5">
      <c r="A2179" s="26" t="s">
        <v>4059</v>
      </c>
      <c r="B2179" s="26" t="s">
        <v>4060</v>
      </c>
      <c r="C2179" s="26" t="s">
        <v>50</v>
      </c>
      <c r="D2179" s="27">
        <v>700</v>
      </c>
      <c r="E2179" t="e">
        <f>VLOOKUP(B2179,Кат!G:J,3,0)</f>
        <v>#N/A</v>
      </c>
    </row>
    <row r="2180" spans="1:5" ht="22.5">
      <c r="A2180" s="26" t="s">
        <v>4061</v>
      </c>
      <c r="B2180" s="26" t="s">
        <v>4062</v>
      </c>
      <c r="C2180" s="26" t="s">
        <v>49</v>
      </c>
      <c r="D2180" s="27">
        <v>540</v>
      </c>
      <c r="E2180" t="e">
        <f>VLOOKUP(B2180,Кат!G:J,3,0)</f>
        <v>#N/A</v>
      </c>
    </row>
    <row r="2181" spans="1:5" ht="22.5">
      <c r="A2181" s="26" t="s">
        <v>4063</v>
      </c>
      <c r="B2181" s="26" t="s">
        <v>4064</v>
      </c>
      <c r="C2181" s="26" t="s">
        <v>49</v>
      </c>
      <c r="D2181" s="27">
        <v>140</v>
      </c>
      <c r="E2181" t="e">
        <f>VLOOKUP(B2181,Кат!G:J,3,0)</f>
        <v>#N/A</v>
      </c>
    </row>
    <row r="2182" spans="1:5" ht="22.5">
      <c r="A2182" s="26" t="s">
        <v>4065</v>
      </c>
      <c r="B2182" s="26" t="s">
        <v>4066</v>
      </c>
      <c r="C2182" s="26" t="s">
        <v>50</v>
      </c>
      <c r="D2182" s="27">
        <v>78.5</v>
      </c>
      <c r="E2182" t="e">
        <f>VLOOKUP(B2182,Кат!G:J,3,0)</f>
        <v>#N/A</v>
      </c>
    </row>
    <row r="2183" spans="1:5" ht="22.5">
      <c r="A2183" s="26" t="s">
        <v>4067</v>
      </c>
      <c r="B2183" s="26" t="s">
        <v>4068</v>
      </c>
      <c r="C2183" s="26" t="s">
        <v>50</v>
      </c>
      <c r="D2183" s="27">
        <v>78</v>
      </c>
      <c r="E2183" t="e">
        <f>VLOOKUP(B2183,Кат!G:J,3,0)</f>
        <v>#N/A</v>
      </c>
    </row>
    <row r="2184" spans="1:5">
      <c r="A2184" s="29" t="s">
        <v>4069</v>
      </c>
      <c r="B2184" s="30"/>
      <c r="C2184" s="30"/>
      <c r="D2184" s="31"/>
      <c r="E2184" t="e">
        <f>VLOOKUP(B2184,Кат!G:J,3,0)</f>
        <v>#N/A</v>
      </c>
    </row>
    <row r="2185" spans="1:5">
      <c r="A2185" s="26" t="s">
        <v>4070</v>
      </c>
      <c r="B2185" s="26"/>
      <c r="C2185" s="26" t="s">
        <v>50</v>
      </c>
      <c r="D2185" s="27">
        <v>6</v>
      </c>
      <c r="E2185" t="e">
        <f>VLOOKUP(B2185,Кат!G:J,3,0)</f>
        <v>#N/A</v>
      </c>
    </row>
    <row r="2186" spans="1:5">
      <c r="A2186" s="26" t="s">
        <v>4071</v>
      </c>
      <c r="B2186" s="26" t="s">
        <v>4072</v>
      </c>
      <c r="C2186" s="26" t="s">
        <v>50</v>
      </c>
      <c r="D2186" s="27">
        <v>360</v>
      </c>
      <c r="E2186" t="e">
        <f>VLOOKUP(B2186,Кат!G:J,3,0)</f>
        <v>#N/A</v>
      </c>
    </row>
    <row r="2187" spans="1:5">
      <c r="A2187" s="26" t="s">
        <v>4073</v>
      </c>
      <c r="B2187" s="26" t="s">
        <v>4074</v>
      </c>
      <c r="C2187" s="26" t="s">
        <v>50</v>
      </c>
      <c r="D2187" s="27">
        <v>630</v>
      </c>
      <c r="E2187" t="e">
        <f>VLOOKUP(B2187,Кат!G:J,3,0)</f>
        <v>#N/A</v>
      </c>
    </row>
    <row r="2188" spans="1:5">
      <c r="A2188" s="26" t="s">
        <v>4075</v>
      </c>
      <c r="B2188" s="26" t="s">
        <v>4076</v>
      </c>
      <c r="C2188" s="26" t="s">
        <v>50</v>
      </c>
      <c r="D2188" s="28">
        <v>1620</v>
      </c>
      <c r="E2188" t="e">
        <f>VLOOKUP(B2188,Кат!G:J,3,0)</f>
        <v>#N/A</v>
      </c>
    </row>
    <row r="2189" spans="1:5">
      <c r="A2189" s="26" t="s">
        <v>4077</v>
      </c>
      <c r="B2189" s="26" t="s">
        <v>4078</v>
      </c>
      <c r="C2189" s="26" t="s">
        <v>50</v>
      </c>
      <c r="D2189" s="28">
        <v>1300</v>
      </c>
      <c r="E2189" t="e">
        <f>VLOOKUP(B2189,Кат!G:J,3,0)</f>
        <v>#N/A</v>
      </c>
    </row>
    <row r="2190" spans="1:5" ht="22.5">
      <c r="A2190" s="26" t="s">
        <v>4079</v>
      </c>
      <c r="B2190" s="26" t="s">
        <v>4080</v>
      </c>
      <c r="C2190" s="26" t="s">
        <v>50</v>
      </c>
      <c r="D2190" s="27">
        <v>850</v>
      </c>
      <c r="E2190" t="e">
        <f>VLOOKUP(B2190,Кат!G:J,3,0)</f>
        <v>#N/A</v>
      </c>
    </row>
    <row r="2191" spans="1:5" ht="22.5">
      <c r="A2191" s="26" t="s">
        <v>4081</v>
      </c>
      <c r="B2191" s="26" t="s">
        <v>4082</v>
      </c>
      <c r="C2191" s="26" t="s">
        <v>50</v>
      </c>
      <c r="D2191" s="27">
        <v>680</v>
      </c>
      <c r="E2191" t="e">
        <f>VLOOKUP(B2191,Кат!G:J,3,0)</f>
        <v>#N/A</v>
      </c>
    </row>
    <row r="2192" spans="1:5">
      <c r="A2192" s="26" t="s">
        <v>4083</v>
      </c>
      <c r="B2192" s="26" t="s">
        <v>4084</v>
      </c>
      <c r="C2192" s="26" t="s">
        <v>50</v>
      </c>
      <c r="D2192" s="27">
        <v>695</v>
      </c>
      <c r="E2192" t="e">
        <f>VLOOKUP(B2192,Кат!G:J,3,0)</f>
        <v>#N/A</v>
      </c>
    </row>
    <row r="2193" spans="1:5">
      <c r="A2193" s="26" t="s">
        <v>4085</v>
      </c>
      <c r="B2193" s="26" t="s">
        <v>4086</v>
      </c>
      <c r="C2193" s="26" t="s">
        <v>50</v>
      </c>
      <c r="D2193" s="27">
        <v>715</v>
      </c>
      <c r="E2193" t="e">
        <f>VLOOKUP(B2193,Кат!G:J,3,0)</f>
        <v>#N/A</v>
      </c>
    </row>
    <row r="2194" spans="1:5">
      <c r="A2194" s="26" t="s">
        <v>4087</v>
      </c>
      <c r="B2194" s="26" t="s">
        <v>4088</v>
      </c>
      <c r="C2194" s="26" t="s">
        <v>50</v>
      </c>
      <c r="D2194" s="27">
        <v>770</v>
      </c>
      <c r="E2194" t="e">
        <f>VLOOKUP(B2194,Кат!G:J,3,0)</f>
        <v>#N/A</v>
      </c>
    </row>
    <row r="2195" spans="1:5">
      <c r="A2195" s="26" t="s">
        <v>4089</v>
      </c>
      <c r="B2195" s="26" t="s">
        <v>4090</v>
      </c>
      <c r="C2195" s="26" t="s">
        <v>50</v>
      </c>
      <c r="D2195" s="28">
        <v>1566</v>
      </c>
      <c r="E2195" t="e">
        <f>VLOOKUP(B2195,Кат!G:J,3,0)</f>
        <v>#N/A</v>
      </c>
    </row>
    <row r="2196" spans="1:5" ht="22.5">
      <c r="A2196" s="26" t="s">
        <v>4091</v>
      </c>
      <c r="B2196" s="26" t="s">
        <v>4092</v>
      </c>
      <c r="C2196" s="26" t="s">
        <v>50</v>
      </c>
      <c r="D2196" s="27">
        <v>450</v>
      </c>
      <c r="E2196" t="e">
        <f>VLOOKUP(B2196,Кат!G:J,3,0)</f>
        <v>#N/A</v>
      </c>
    </row>
    <row r="2197" spans="1:5">
      <c r="A2197" s="26" t="s">
        <v>4093</v>
      </c>
      <c r="B2197" s="26" t="s">
        <v>4094</v>
      </c>
      <c r="C2197" s="26" t="s">
        <v>50</v>
      </c>
      <c r="D2197" s="28">
        <v>1566</v>
      </c>
      <c r="E2197" t="e">
        <f>VLOOKUP(B2197,Кат!G:J,3,0)</f>
        <v>#N/A</v>
      </c>
    </row>
    <row r="2198" spans="1:5">
      <c r="A2198" s="26" t="s">
        <v>4095</v>
      </c>
      <c r="B2198" s="26" t="s">
        <v>4096</v>
      </c>
      <c r="C2198" s="26" t="s">
        <v>50</v>
      </c>
      <c r="D2198" s="28">
        <v>1050</v>
      </c>
      <c r="E2198" t="e">
        <f>VLOOKUP(B2198,Кат!G:J,3,0)</f>
        <v>#N/A</v>
      </c>
    </row>
    <row r="2199" spans="1:5">
      <c r="A2199" s="26" t="s">
        <v>4097</v>
      </c>
      <c r="B2199" s="26" t="s">
        <v>4098</v>
      </c>
      <c r="C2199" s="26" t="s">
        <v>50</v>
      </c>
      <c r="D2199" s="27">
        <v>682.5</v>
      </c>
      <c r="E2199" t="e">
        <f>VLOOKUP(B2199,Кат!G:J,3,0)</f>
        <v>#N/A</v>
      </c>
    </row>
    <row r="2200" spans="1:5">
      <c r="A2200" s="26" t="s">
        <v>4099</v>
      </c>
      <c r="B2200" s="26" t="s">
        <v>4100</v>
      </c>
      <c r="C2200" s="26" t="s">
        <v>50</v>
      </c>
      <c r="D2200" s="27">
        <v>787.5</v>
      </c>
      <c r="E2200" t="e">
        <f>VLOOKUP(B2200,Кат!G:J,3,0)</f>
        <v>#N/A</v>
      </c>
    </row>
    <row r="2201" spans="1:5">
      <c r="A2201" s="29" t="s">
        <v>4101</v>
      </c>
      <c r="B2201" s="30"/>
      <c r="C2201" s="30"/>
      <c r="D2201" s="31"/>
      <c r="E2201" t="e">
        <f>VLOOKUP(B2201,Кат!G:J,3,0)</f>
        <v>#N/A</v>
      </c>
    </row>
    <row r="2202" spans="1:5" ht="22.5">
      <c r="A2202" s="26" t="s">
        <v>4102</v>
      </c>
      <c r="B2202" s="26" t="s">
        <v>4103</v>
      </c>
      <c r="C2202" s="26" t="s">
        <v>49</v>
      </c>
      <c r="D2202" s="27">
        <v>468</v>
      </c>
      <c r="E2202" t="e">
        <f>VLOOKUP(B2202,Кат!G:J,3,0)</f>
        <v>#N/A</v>
      </c>
    </row>
    <row r="2203" spans="1:5" ht="22.5">
      <c r="A2203" s="26" t="s">
        <v>4104</v>
      </c>
      <c r="B2203" s="26" t="s">
        <v>4105</v>
      </c>
      <c r="C2203" s="26" t="s">
        <v>49</v>
      </c>
      <c r="D2203" s="27">
        <v>405</v>
      </c>
      <c r="E2203" t="e">
        <f>VLOOKUP(B2203,Кат!G:J,3,0)</f>
        <v>#N/A</v>
      </c>
    </row>
    <row r="2204" spans="1:5" ht="22.5">
      <c r="A2204" s="26" t="s">
        <v>4106</v>
      </c>
      <c r="B2204" s="26" t="s">
        <v>4107</v>
      </c>
      <c r="C2204" s="26" t="s">
        <v>49</v>
      </c>
      <c r="D2204" s="27">
        <v>629</v>
      </c>
      <c r="E2204" t="e">
        <f>VLOOKUP(B2204,Кат!G:J,3,0)</f>
        <v>#N/A</v>
      </c>
    </row>
    <row r="2205" spans="1:5" ht="22.5">
      <c r="A2205" s="26" t="s">
        <v>4108</v>
      </c>
      <c r="B2205" s="26" t="s">
        <v>4109</v>
      </c>
      <c r="C2205" s="26" t="s">
        <v>49</v>
      </c>
      <c r="D2205" s="27">
        <v>405</v>
      </c>
      <c r="E2205" t="e">
        <f>VLOOKUP(B2205,Кат!G:J,3,0)</f>
        <v>#N/A</v>
      </c>
    </row>
    <row r="2206" spans="1:5" ht="22.5">
      <c r="A2206" s="26" t="s">
        <v>4110</v>
      </c>
      <c r="B2206" s="26" t="s">
        <v>4111</v>
      </c>
      <c r="C2206" s="26" t="s">
        <v>49</v>
      </c>
      <c r="D2206" s="27">
        <v>273</v>
      </c>
      <c r="E2206" t="e">
        <f>VLOOKUP(B2206,Кат!G:J,3,0)</f>
        <v>#N/A</v>
      </c>
    </row>
    <row r="2207" spans="1:5" ht="22.5">
      <c r="A2207" s="26" t="s">
        <v>4112</v>
      </c>
      <c r="B2207" s="26" t="s">
        <v>4113</v>
      </c>
      <c r="C2207" s="26" t="s">
        <v>49</v>
      </c>
      <c r="D2207" s="27">
        <v>288</v>
      </c>
      <c r="E2207" t="e">
        <f>VLOOKUP(B2207,Кат!G:J,3,0)</f>
        <v>#N/A</v>
      </c>
    </row>
    <row r="2208" spans="1:5" ht="22.5">
      <c r="A2208" s="26" t="s">
        <v>4114</v>
      </c>
      <c r="B2208" s="26" t="s">
        <v>4115</v>
      </c>
      <c r="C2208" s="26" t="s">
        <v>49</v>
      </c>
      <c r="D2208" s="27">
        <v>335</v>
      </c>
      <c r="E2208" t="e">
        <f>VLOOKUP(B2208,Кат!G:J,3,0)</f>
        <v>#N/A</v>
      </c>
    </row>
    <row r="2209" spans="1:5" ht="22.5">
      <c r="A2209" s="26" t="s">
        <v>4116</v>
      </c>
      <c r="B2209" s="26" t="s">
        <v>4117</v>
      </c>
      <c r="C2209" s="26" t="s">
        <v>49</v>
      </c>
      <c r="D2209" s="27">
        <v>345</v>
      </c>
      <c r="E2209" t="e">
        <f>VLOOKUP(B2209,Кат!G:J,3,0)</f>
        <v>#N/A</v>
      </c>
    </row>
    <row r="2210" spans="1:5" ht="22.5">
      <c r="A2210" s="26" t="s">
        <v>4118</v>
      </c>
      <c r="B2210" s="26" t="s">
        <v>4119</v>
      </c>
      <c r="C2210" s="26" t="s">
        <v>49</v>
      </c>
      <c r="D2210" s="27">
        <v>313</v>
      </c>
      <c r="E2210" t="e">
        <f>VLOOKUP(B2210,Кат!G:J,3,0)</f>
        <v>#N/A</v>
      </c>
    </row>
    <row r="2211" spans="1:5" ht="22.5">
      <c r="A2211" s="26" t="s">
        <v>4120</v>
      </c>
      <c r="B2211" s="26" t="s">
        <v>4121</v>
      </c>
      <c r="C2211" s="26" t="s">
        <v>49</v>
      </c>
      <c r="D2211" s="27">
        <v>498</v>
      </c>
      <c r="E2211" t="e">
        <f>VLOOKUP(B2211,Кат!G:J,3,0)</f>
        <v>#N/A</v>
      </c>
    </row>
    <row r="2212" spans="1:5" ht="22.5">
      <c r="A2212" s="26" t="s">
        <v>4122</v>
      </c>
      <c r="B2212" s="26" t="s">
        <v>4123</v>
      </c>
      <c r="C2212" s="26" t="s">
        <v>49</v>
      </c>
      <c r="D2212" s="27">
        <v>486</v>
      </c>
      <c r="E2212" t="e">
        <f>VLOOKUP(B2212,Кат!G:J,3,0)</f>
        <v>#N/A</v>
      </c>
    </row>
    <row r="2213" spans="1:5" ht="22.5">
      <c r="A2213" s="26" t="s">
        <v>4124</v>
      </c>
      <c r="B2213" s="26" t="s">
        <v>4125</v>
      </c>
      <c r="C2213" s="26" t="s">
        <v>49</v>
      </c>
      <c r="D2213" s="27">
        <v>616</v>
      </c>
      <c r="E2213" t="e">
        <f>VLOOKUP(B2213,Кат!G:J,3,0)</f>
        <v>#N/A</v>
      </c>
    </row>
    <row r="2214" spans="1:5" ht="22.5">
      <c r="A2214" s="26" t="s">
        <v>4126</v>
      </c>
      <c r="B2214" s="26" t="s">
        <v>4127</v>
      </c>
      <c r="C2214" s="26" t="s">
        <v>49</v>
      </c>
      <c r="D2214" s="27">
        <v>515</v>
      </c>
      <c r="E2214" t="e">
        <f>VLOOKUP(B2214,Кат!G:J,3,0)</f>
        <v>#N/A</v>
      </c>
    </row>
    <row r="2215" spans="1:5" ht="22.5">
      <c r="A2215" s="26" t="s">
        <v>4128</v>
      </c>
      <c r="B2215" s="26" t="s">
        <v>4129</v>
      </c>
      <c r="C2215" s="26" t="s">
        <v>49</v>
      </c>
      <c r="D2215" s="27">
        <v>436</v>
      </c>
      <c r="E2215" t="e">
        <f>VLOOKUP(B2215,Кат!G:J,3,0)</f>
        <v>#N/A</v>
      </c>
    </row>
    <row r="2216" spans="1:5" ht="33.75">
      <c r="A2216" s="26" t="s">
        <v>4130</v>
      </c>
      <c r="B2216" s="26" t="s">
        <v>4131</v>
      </c>
      <c r="C2216" s="26" t="s">
        <v>49</v>
      </c>
      <c r="D2216" s="27">
        <v>814</v>
      </c>
      <c r="E2216" t="e">
        <f>VLOOKUP(B2216,Кат!G:J,3,0)</f>
        <v>#N/A</v>
      </c>
    </row>
    <row r="2217" spans="1:5" ht="22.5">
      <c r="A2217" s="26" t="s">
        <v>4132</v>
      </c>
      <c r="B2217" s="26" t="s">
        <v>4133</v>
      </c>
      <c r="C2217" s="26" t="s">
        <v>49</v>
      </c>
      <c r="D2217" s="27">
        <v>830</v>
      </c>
      <c r="E2217" t="e">
        <f>VLOOKUP(B2217,Кат!G:J,3,0)</f>
        <v>#N/A</v>
      </c>
    </row>
    <row r="2218" spans="1:5" ht="22.5">
      <c r="A2218" s="26" t="s">
        <v>4134</v>
      </c>
      <c r="B2218" s="26" t="s">
        <v>4135</v>
      </c>
      <c r="C2218" s="26" t="s">
        <v>49</v>
      </c>
      <c r="D2218" s="27">
        <v>762</v>
      </c>
      <c r="E2218" t="e">
        <f>VLOOKUP(B2218,Кат!G:J,3,0)</f>
        <v>#N/A</v>
      </c>
    </row>
    <row r="2219" spans="1:5" ht="22.5">
      <c r="A2219" s="26" t="s">
        <v>4136</v>
      </c>
      <c r="B2219" s="26" t="s">
        <v>4137</v>
      </c>
      <c r="C2219" s="26" t="s">
        <v>49</v>
      </c>
      <c r="D2219" s="27">
        <v>756</v>
      </c>
      <c r="E2219" t="e">
        <f>VLOOKUP(B2219,Кат!G:J,3,0)</f>
        <v>#N/A</v>
      </c>
    </row>
    <row r="2220" spans="1:5" ht="33.75">
      <c r="A2220" s="26" t="s">
        <v>4138</v>
      </c>
      <c r="B2220" s="26" t="s">
        <v>4139</v>
      </c>
      <c r="C2220" s="26" t="s">
        <v>49</v>
      </c>
      <c r="D2220" s="27">
        <v>760</v>
      </c>
      <c r="E2220" t="e">
        <f>VLOOKUP(B2220,Кат!G:J,3,0)</f>
        <v>#N/A</v>
      </c>
    </row>
    <row r="2221" spans="1:5" ht="22.5">
      <c r="A2221" s="26" t="s">
        <v>4140</v>
      </c>
      <c r="B2221" s="26" t="s">
        <v>4141</v>
      </c>
      <c r="C2221" s="26" t="s">
        <v>49</v>
      </c>
      <c r="D2221" s="27">
        <v>940</v>
      </c>
      <c r="E2221" t="e">
        <f>VLOOKUP(B2221,Кат!G:J,3,0)</f>
        <v>#N/A</v>
      </c>
    </row>
    <row r="2222" spans="1:5">
      <c r="A2222" s="26" t="s">
        <v>4142</v>
      </c>
      <c r="B2222" s="26" t="s">
        <v>4143</v>
      </c>
      <c r="C2222" s="26" t="s">
        <v>49</v>
      </c>
      <c r="D2222" s="27">
        <v>394</v>
      </c>
      <c r="E2222" t="e">
        <f>VLOOKUP(B2222,Кат!G:J,3,0)</f>
        <v>#N/A</v>
      </c>
    </row>
    <row r="2223" spans="1:5" ht="22.5">
      <c r="A2223" s="26" t="s">
        <v>4144</v>
      </c>
      <c r="B2223" s="26" t="s">
        <v>4145</v>
      </c>
      <c r="C2223" s="26" t="s">
        <v>49</v>
      </c>
      <c r="D2223" s="28">
        <v>1113</v>
      </c>
      <c r="E2223" t="e">
        <f>VLOOKUP(B2223,Кат!G:J,3,0)</f>
        <v>#N/A</v>
      </c>
    </row>
    <row r="2224" spans="1:5" ht="22.5">
      <c r="A2224" s="26" t="s">
        <v>4146</v>
      </c>
      <c r="B2224" s="26" t="s">
        <v>4147</v>
      </c>
      <c r="C2224" s="26" t="s">
        <v>49</v>
      </c>
      <c r="D2224" s="27">
        <v>966</v>
      </c>
      <c r="E2224" t="e">
        <f>VLOOKUP(B2224,Кат!G:J,3,0)</f>
        <v>#N/A</v>
      </c>
    </row>
    <row r="2225" spans="1:5" ht="22.5">
      <c r="A2225" s="26" t="s">
        <v>4148</v>
      </c>
      <c r="B2225" s="26" t="s">
        <v>4149</v>
      </c>
      <c r="C2225" s="26" t="s">
        <v>49</v>
      </c>
      <c r="D2225" s="27">
        <v>497</v>
      </c>
      <c r="E2225" t="e">
        <f>VLOOKUP(B2225,Кат!G:J,3,0)</f>
        <v>#N/A</v>
      </c>
    </row>
    <row r="2226" spans="1:5" ht="22.5">
      <c r="A2226" s="26" t="s">
        <v>4150</v>
      </c>
      <c r="B2226" s="26" t="s">
        <v>4151</v>
      </c>
      <c r="C2226" s="26" t="s">
        <v>49</v>
      </c>
      <c r="D2226" s="27">
        <v>578</v>
      </c>
      <c r="E2226" t="e">
        <f>VLOOKUP(B2226,Кат!G:J,3,0)</f>
        <v>#N/A</v>
      </c>
    </row>
    <row r="2227" spans="1:5" ht="22.5">
      <c r="A2227" s="26" t="s">
        <v>4152</v>
      </c>
      <c r="B2227" s="26" t="s">
        <v>4153</v>
      </c>
      <c r="C2227" s="26" t="s">
        <v>49</v>
      </c>
      <c r="D2227" s="27">
        <v>483</v>
      </c>
      <c r="E2227" t="e">
        <f>VLOOKUP(B2227,Кат!G:J,3,0)</f>
        <v>#N/A</v>
      </c>
    </row>
    <row r="2228" spans="1:5" ht="22.5">
      <c r="A2228" s="26" t="s">
        <v>4154</v>
      </c>
      <c r="B2228" s="26" t="s">
        <v>4155</v>
      </c>
      <c r="C2228" s="26" t="s">
        <v>49</v>
      </c>
      <c r="D2228" s="28">
        <v>1029</v>
      </c>
      <c r="E2228" t="e">
        <f>VLOOKUP(B2228,Кат!G:J,3,0)</f>
        <v>#N/A</v>
      </c>
    </row>
    <row r="2229" spans="1:5">
      <c r="A2229" s="29" t="s">
        <v>4156</v>
      </c>
      <c r="B2229" s="30"/>
      <c r="C2229" s="30"/>
      <c r="D2229" s="31"/>
      <c r="E2229" t="e">
        <f>VLOOKUP(B2229,Кат!G:J,3,0)</f>
        <v>#N/A</v>
      </c>
    </row>
    <row r="2230" spans="1:5" ht="22.5">
      <c r="A2230" s="26" t="s">
        <v>4157</v>
      </c>
      <c r="B2230" s="26" t="s">
        <v>4158</v>
      </c>
      <c r="C2230" s="26" t="s">
        <v>50</v>
      </c>
      <c r="D2230" s="28">
        <v>13860</v>
      </c>
      <c r="E2230" t="e">
        <f>VLOOKUP(B2230,Кат!G:J,3,0)</f>
        <v>#N/A</v>
      </c>
    </row>
    <row r="2231" spans="1:5">
      <c r="A2231" s="26" t="s">
        <v>4159</v>
      </c>
      <c r="B2231" s="26" t="s">
        <v>4160</v>
      </c>
      <c r="C2231" s="26" t="s">
        <v>50</v>
      </c>
      <c r="D2231" s="28">
        <v>9020</v>
      </c>
      <c r="E2231" t="e">
        <f>VLOOKUP(B2231,Кат!G:J,3,0)</f>
        <v>#N/A</v>
      </c>
    </row>
    <row r="2232" spans="1:5">
      <c r="A2232" s="23" t="s">
        <v>4161</v>
      </c>
      <c r="B2232" s="24"/>
      <c r="C2232" s="24"/>
      <c r="D2232" s="25"/>
      <c r="E2232" t="e">
        <f>VLOOKUP(B2232,Кат!G:J,3,0)</f>
        <v>#N/A</v>
      </c>
    </row>
    <row r="2233" spans="1:5">
      <c r="A2233" s="26" t="s">
        <v>4162</v>
      </c>
      <c r="B2233" s="26"/>
      <c r="C2233" s="26" t="s">
        <v>50</v>
      </c>
      <c r="D2233" s="27">
        <v>970</v>
      </c>
      <c r="E2233" t="e">
        <f>VLOOKUP(B2233,Кат!G:J,3,0)</f>
        <v>#N/A</v>
      </c>
    </row>
    <row r="2234" spans="1:5">
      <c r="A2234" s="26" t="s">
        <v>4163</v>
      </c>
      <c r="B2234" s="26"/>
      <c r="C2234" s="26" t="s">
        <v>50</v>
      </c>
      <c r="D2234" s="28">
        <v>1675</v>
      </c>
      <c r="E2234" t="e">
        <f>VLOOKUP(B2234,Кат!G:J,3,0)</f>
        <v>#N/A</v>
      </c>
    </row>
    <row r="2235" spans="1:5">
      <c r="A2235" s="23" t="s">
        <v>4164</v>
      </c>
      <c r="B2235" s="24"/>
      <c r="C2235" s="24"/>
      <c r="D2235" s="25"/>
      <c r="E2235" t="e">
        <f>VLOOKUP(B2235,Кат!G:J,3,0)</f>
        <v>#N/A</v>
      </c>
    </row>
    <row r="2236" spans="1:5">
      <c r="A2236" s="29" t="s">
        <v>4165</v>
      </c>
      <c r="B2236" s="30"/>
      <c r="C2236" s="30"/>
      <c r="D2236" s="31"/>
      <c r="E2236" t="e">
        <f>VLOOKUP(B2236,Кат!G:J,3,0)</f>
        <v>#N/A</v>
      </c>
    </row>
    <row r="2237" spans="1:5">
      <c r="A2237" s="26" t="s">
        <v>4166</v>
      </c>
      <c r="B2237" s="26" t="s">
        <v>4167</v>
      </c>
      <c r="C2237" s="26" t="s">
        <v>50</v>
      </c>
      <c r="D2237" s="28">
        <v>1532</v>
      </c>
      <c r="E2237" t="e">
        <f>VLOOKUP(B2237,Кат!G:J,3,0)</f>
        <v>#N/A</v>
      </c>
    </row>
    <row r="2238" spans="1:5">
      <c r="A2238" s="26" t="s">
        <v>4168</v>
      </c>
      <c r="B2238" s="26" t="s">
        <v>4169</v>
      </c>
      <c r="C2238" s="26" t="s">
        <v>50</v>
      </c>
      <c r="D2238" s="27">
        <v>588</v>
      </c>
      <c r="E2238" t="e">
        <f>VLOOKUP(B2238,Кат!G:J,3,0)</f>
        <v>#N/A</v>
      </c>
    </row>
    <row r="2239" spans="1:5">
      <c r="A2239" s="26" t="s">
        <v>4170</v>
      </c>
      <c r="B2239" s="26"/>
      <c r="C2239" s="26" t="s">
        <v>50</v>
      </c>
      <c r="D2239" s="27">
        <v>100</v>
      </c>
      <c r="E2239" t="e">
        <f>VLOOKUP(B2239,Кат!G:J,3,0)</f>
        <v>#N/A</v>
      </c>
    </row>
    <row r="2240" spans="1:5">
      <c r="A2240" s="26" t="s">
        <v>4171</v>
      </c>
      <c r="B2240" s="26"/>
      <c r="C2240" s="26" t="s">
        <v>50</v>
      </c>
      <c r="D2240" s="27">
        <v>85</v>
      </c>
      <c r="E2240" t="e">
        <f>VLOOKUP(B2240,Кат!G:J,3,0)</f>
        <v>#N/A</v>
      </c>
    </row>
    <row r="2241" spans="1:5" ht="22.5">
      <c r="A2241" s="26" t="s">
        <v>4172</v>
      </c>
      <c r="B2241" s="26"/>
      <c r="C2241" s="26" t="s">
        <v>50</v>
      </c>
      <c r="D2241" s="27">
        <v>900</v>
      </c>
      <c r="E2241" t="e">
        <f>VLOOKUP(B2241,Кат!G:J,3,0)</f>
        <v>#N/A</v>
      </c>
    </row>
    <row r="2242" spans="1:5">
      <c r="A2242" s="26" t="s">
        <v>4173</v>
      </c>
      <c r="B2242" s="26"/>
      <c r="C2242" s="26" t="s">
        <v>49</v>
      </c>
      <c r="D2242" s="27">
        <v>440</v>
      </c>
      <c r="E2242" t="e">
        <f>VLOOKUP(B2242,Кат!G:J,3,0)</f>
        <v>#N/A</v>
      </c>
    </row>
    <row r="2243" spans="1:5">
      <c r="A2243" s="26" t="s">
        <v>4174</v>
      </c>
      <c r="B2243" s="26" t="s">
        <v>4175</v>
      </c>
      <c r="C2243" s="26" t="s">
        <v>50</v>
      </c>
      <c r="D2243" s="27">
        <v>70</v>
      </c>
      <c r="E2243" t="e">
        <f>VLOOKUP(B2243,Кат!G:J,3,0)</f>
        <v>#N/A</v>
      </c>
    </row>
    <row r="2244" spans="1:5" ht="22.5">
      <c r="A2244" s="26" t="s">
        <v>4176</v>
      </c>
      <c r="B2244" s="26" t="s">
        <v>4177</v>
      </c>
      <c r="C2244" s="26" t="s">
        <v>50</v>
      </c>
      <c r="D2244" s="27">
        <v>70</v>
      </c>
      <c r="E2244" t="e">
        <f>VLOOKUP(B2244,Кат!G:J,3,0)</f>
        <v>#N/A</v>
      </c>
    </row>
    <row r="2245" spans="1:5" ht="22.5">
      <c r="A2245" s="26" t="s">
        <v>4178</v>
      </c>
      <c r="B2245" s="26" t="s">
        <v>4179</v>
      </c>
      <c r="C2245" s="26" t="s">
        <v>50</v>
      </c>
      <c r="D2245" s="28">
        <v>1150</v>
      </c>
      <c r="E2245" t="e">
        <f>VLOOKUP(B2245,Кат!G:J,3,0)</f>
        <v>#N/A</v>
      </c>
    </row>
    <row r="2246" spans="1:5">
      <c r="A2246" s="23" t="s">
        <v>4180</v>
      </c>
      <c r="B2246" s="24"/>
      <c r="C2246" s="24"/>
      <c r="D2246" s="25"/>
      <c r="E2246" t="e">
        <f>VLOOKUP(B2246,Кат!G:J,3,0)</f>
        <v>#N/A</v>
      </c>
    </row>
    <row r="2247" spans="1:5">
      <c r="A2247" s="26" t="s">
        <v>4181</v>
      </c>
      <c r="B2247" s="26" t="s">
        <v>4182</v>
      </c>
      <c r="C2247" s="26" t="s">
        <v>50</v>
      </c>
      <c r="D2247" s="28">
        <v>1200</v>
      </c>
      <c r="E2247" t="e">
        <f>VLOOKUP(B2247,Кат!G:J,3,0)</f>
        <v>#N/A</v>
      </c>
    </row>
    <row r="2248" spans="1:5" ht="22.5">
      <c r="A2248" s="26" t="s">
        <v>4183</v>
      </c>
      <c r="B2248" s="26" t="s">
        <v>4184</v>
      </c>
      <c r="C2248" s="26" t="s">
        <v>50</v>
      </c>
      <c r="D2248" s="28">
        <v>1100</v>
      </c>
      <c r="E2248" t="e">
        <f>VLOOKUP(B2248,Кат!G:J,3,0)</f>
        <v>#N/A</v>
      </c>
    </row>
    <row r="2249" spans="1:5">
      <c r="A2249" s="23" t="s">
        <v>4185</v>
      </c>
      <c r="B2249" s="24"/>
      <c r="C2249" s="24"/>
      <c r="D2249" s="25"/>
      <c r="E2249" t="e">
        <f>VLOOKUP(B2249,Кат!G:J,3,0)</f>
        <v>#N/A</v>
      </c>
    </row>
    <row r="2250" spans="1:5">
      <c r="A2250" s="26" t="s">
        <v>4186</v>
      </c>
      <c r="B2250" s="26" t="s">
        <v>4187</v>
      </c>
      <c r="C2250" s="26" t="s">
        <v>49</v>
      </c>
      <c r="D2250" s="27">
        <v>450</v>
      </c>
      <c r="E2250" t="e">
        <f>VLOOKUP(B2250,Кат!G:J,3,0)</f>
        <v>#N/A</v>
      </c>
    </row>
    <row r="2251" spans="1:5">
      <c r="A2251" s="26" t="s">
        <v>4188</v>
      </c>
      <c r="B2251" s="26" t="s">
        <v>4189</v>
      </c>
      <c r="C2251" s="26" t="s">
        <v>49</v>
      </c>
      <c r="D2251" s="27">
        <v>440</v>
      </c>
      <c r="E2251" t="e">
        <f>VLOOKUP(B2251,Кат!G:J,3,0)</f>
        <v>#N/A</v>
      </c>
    </row>
    <row r="2252" spans="1:5">
      <c r="A2252" s="23" t="s">
        <v>4190</v>
      </c>
      <c r="B2252" s="24"/>
      <c r="C2252" s="24"/>
      <c r="D2252" s="25"/>
      <c r="E2252" t="e">
        <f>VLOOKUP(B2252,Кат!G:J,3,0)</f>
        <v>#N/A</v>
      </c>
    </row>
    <row r="2253" spans="1:5">
      <c r="A2253" s="29" t="s">
        <v>4191</v>
      </c>
      <c r="B2253" s="30"/>
      <c r="C2253" s="30"/>
      <c r="D2253" s="31"/>
      <c r="E2253" t="e">
        <f>VLOOKUP(B2253,Кат!G:J,3,0)</f>
        <v>#N/A</v>
      </c>
    </row>
    <row r="2254" spans="1:5">
      <c r="A2254" s="26" t="s">
        <v>4192</v>
      </c>
      <c r="B2254" s="26"/>
      <c r="C2254" s="26" t="s">
        <v>49</v>
      </c>
      <c r="D2254" s="27">
        <v>520</v>
      </c>
      <c r="E2254" t="e">
        <f>VLOOKUP(B2254,Кат!G:J,3,0)</f>
        <v>#N/A</v>
      </c>
    </row>
    <row r="2255" spans="1:5" ht="24">
      <c r="A2255" s="29" t="s">
        <v>4193</v>
      </c>
      <c r="B2255" s="30"/>
      <c r="C2255" s="30"/>
      <c r="D2255" s="31"/>
      <c r="E2255" t="e">
        <f>VLOOKUP(B2255,Кат!G:J,3,0)</f>
        <v>#N/A</v>
      </c>
    </row>
    <row r="2256" spans="1:5">
      <c r="A2256" s="26" t="s">
        <v>4194</v>
      </c>
      <c r="B2256" s="26"/>
      <c r="C2256" s="26" t="s">
        <v>49</v>
      </c>
      <c r="D2256" s="28">
        <v>2940</v>
      </c>
      <c r="E2256" t="e">
        <f>VLOOKUP(B2256,Кат!G:J,3,0)</f>
        <v>#N/A</v>
      </c>
    </row>
    <row r="2257" spans="1:5">
      <c r="A2257" s="26" t="s">
        <v>4195</v>
      </c>
      <c r="B2257" s="26"/>
      <c r="C2257" s="26" t="s">
        <v>49</v>
      </c>
      <c r="D2257" s="28">
        <v>2940</v>
      </c>
      <c r="E2257" t="e">
        <f>VLOOKUP(B2257,Кат!G:J,3,0)</f>
        <v>#N/A</v>
      </c>
    </row>
    <row r="2258" spans="1:5">
      <c r="A2258" s="26" t="s">
        <v>4196</v>
      </c>
      <c r="B2258" s="26"/>
      <c r="C2258" s="26" t="s">
        <v>49</v>
      </c>
      <c r="D2258" s="28">
        <v>2940</v>
      </c>
      <c r="E2258" t="e">
        <f>VLOOKUP(B2258,Кат!G:J,3,0)</f>
        <v>#N/A</v>
      </c>
    </row>
    <row r="2259" spans="1:5">
      <c r="A2259" s="26" t="s">
        <v>4197</v>
      </c>
      <c r="B2259" s="26"/>
      <c r="C2259" s="26" t="s">
        <v>49</v>
      </c>
      <c r="D2259" s="28">
        <v>2940</v>
      </c>
      <c r="E2259" t="e">
        <f>VLOOKUP(B2259,Кат!G:J,3,0)</f>
        <v>#N/A</v>
      </c>
    </row>
    <row r="2260" spans="1:5">
      <c r="A2260" s="26" t="s">
        <v>4198</v>
      </c>
      <c r="B2260" s="26"/>
      <c r="C2260" s="26" t="s">
        <v>49</v>
      </c>
      <c r="D2260" s="28">
        <v>2940</v>
      </c>
      <c r="E2260" t="e">
        <f>VLOOKUP(B2260,Кат!G:J,3,0)</f>
        <v>#N/A</v>
      </c>
    </row>
    <row r="2261" spans="1:5" ht="22.5">
      <c r="A2261" s="26" t="s">
        <v>4403</v>
      </c>
      <c r="B2261" s="26"/>
      <c r="C2261" s="26" t="s">
        <v>49</v>
      </c>
      <c r="D2261" s="28">
        <v>2940</v>
      </c>
      <c r="E2261" t="e">
        <f>VLOOKUP(B2261,Кат!G:J,3,0)</f>
        <v>#N/A</v>
      </c>
    </row>
    <row r="2262" spans="1:5" ht="22.5">
      <c r="A2262" s="26" t="s">
        <v>4199</v>
      </c>
      <c r="B2262" s="26"/>
      <c r="C2262" s="26" t="s">
        <v>49</v>
      </c>
      <c r="D2262" s="28">
        <v>2940</v>
      </c>
      <c r="E2262" t="e">
        <f>VLOOKUP(B2262,Кат!G:J,3,0)</f>
        <v>#N/A</v>
      </c>
    </row>
    <row r="2263" spans="1:5">
      <c r="A2263" s="29" t="s">
        <v>4200</v>
      </c>
      <c r="B2263" s="30"/>
      <c r="C2263" s="30"/>
      <c r="D2263" s="31"/>
      <c r="E2263" t="e">
        <f>VLOOKUP(B2263,Кат!G:J,3,0)</f>
        <v>#N/A</v>
      </c>
    </row>
    <row r="2264" spans="1:5">
      <c r="A2264" s="26" t="s">
        <v>4201</v>
      </c>
      <c r="B2264" s="26"/>
      <c r="C2264" s="26" t="s">
        <v>49</v>
      </c>
      <c r="D2264" s="28">
        <v>2120</v>
      </c>
      <c r="E2264" t="e">
        <f>VLOOKUP(B2264,Кат!G:J,3,0)</f>
        <v>#N/A</v>
      </c>
    </row>
    <row r="2265" spans="1:5">
      <c r="A2265" s="26" t="s">
        <v>4202</v>
      </c>
      <c r="B2265" s="26"/>
      <c r="C2265" s="26" t="s">
        <v>49</v>
      </c>
      <c r="D2265" s="28">
        <v>2120</v>
      </c>
      <c r="E2265" t="e">
        <f>VLOOKUP(B2265,Кат!G:J,3,0)</f>
        <v>#N/A</v>
      </c>
    </row>
    <row r="2266" spans="1:5">
      <c r="A2266" s="26" t="s">
        <v>4203</v>
      </c>
      <c r="B2266" s="26"/>
      <c r="C2266" s="26" t="s">
        <v>49</v>
      </c>
      <c r="D2266" s="28">
        <v>2120</v>
      </c>
      <c r="E2266" t="e">
        <f>VLOOKUP(B2266,Кат!G:J,3,0)</f>
        <v>#N/A</v>
      </c>
    </row>
    <row r="2267" spans="1:5">
      <c r="A2267" s="26" t="s">
        <v>4204</v>
      </c>
      <c r="B2267" s="26"/>
      <c r="C2267" s="26" t="s">
        <v>49</v>
      </c>
      <c r="D2267" s="28">
        <v>2120</v>
      </c>
      <c r="E2267" t="e">
        <f>VLOOKUP(B2267,Кат!G:J,3,0)</f>
        <v>#N/A</v>
      </c>
    </row>
    <row r="2268" spans="1:5">
      <c r="A2268" s="26" t="s">
        <v>4205</v>
      </c>
      <c r="B2268" s="26"/>
      <c r="C2268" s="26" t="s">
        <v>49</v>
      </c>
      <c r="D2268" s="28">
        <v>1780</v>
      </c>
      <c r="E2268" t="e">
        <f>VLOOKUP(B2268,Кат!G:J,3,0)</f>
        <v>#N/A</v>
      </c>
    </row>
    <row r="2269" spans="1:5">
      <c r="A2269" s="26" t="s">
        <v>4206</v>
      </c>
      <c r="B2269" s="26"/>
      <c r="C2269" s="26" t="s">
        <v>49</v>
      </c>
      <c r="D2269" s="28">
        <v>1780</v>
      </c>
      <c r="E2269" t="e">
        <f>VLOOKUP(B2269,Кат!G:J,3,0)</f>
        <v>#N/A</v>
      </c>
    </row>
    <row r="2270" spans="1:5">
      <c r="A2270" s="26" t="s">
        <v>4207</v>
      </c>
      <c r="B2270" s="26"/>
      <c r="C2270" s="26" t="s">
        <v>49</v>
      </c>
      <c r="D2270" s="28">
        <v>1780</v>
      </c>
      <c r="E2270" t="e">
        <f>VLOOKUP(B2270,Кат!G:J,3,0)</f>
        <v>#N/A</v>
      </c>
    </row>
    <row r="2271" spans="1:5">
      <c r="A2271" s="26" t="s">
        <v>4208</v>
      </c>
      <c r="B2271" s="26"/>
      <c r="C2271" s="26" t="s">
        <v>49</v>
      </c>
      <c r="D2271" s="28">
        <v>1385</v>
      </c>
      <c r="E2271" t="e">
        <f>VLOOKUP(B2271,Кат!G:J,3,0)</f>
        <v>#N/A</v>
      </c>
    </row>
    <row r="2272" spans="1:5">
      <c r="A2272" s="26" t="s">
        <v>4209</v>
      </c>
      <c r="B2272" s="26"/>
      <c r="C2272" s="26" t="s">
        <v>49</v>
      </c>
      <c r="D2272" s="28">
        <v>1385</v>
      </c>
      <c r="E2272" t="e">
        <f>VLOOKUP(B2272,Кат!G:J,3,0)</f>
        <v>#N/A</v>
      </c>
    </row>
    <row r="2273" spans="1:5">
      <c r="A2273" s="26" t="s">
        <v>4210</v>
      </c>
      <c r="B2273" s="26"/>
      <c r="C2273" s="26" t="s">
        <v>49</v>
      </c>
      <c r="D2273" s="28">
        <v>1385</v>
      </c>
      <c r="E2273" t="e">
        <f>VLOOKUP(B2273,Кат!G:J,3,0)</f>
        <v>#N/A</v>
      </c>
    </row>
    <row r="2274" spans="1:5">
      <c r="A2274" s="26" t="s">
        <v>4211</v>
      </c>
      <c r="B2274" s="26"/>
      <c r="C2274" s="26" t="s">
        <v>49</v>
      </c>
      <c r="D2274" s="28">
        <v>1385</v>
      </c>
      <c r="E2274" t="e">
        <f>VLOOKUP(B2274,Кат!G:J,3,0)</f>
        <v>#N/A</v>
      </c>
    </row>
    <row r="2275" spans="1:5">
      <c r="A2275" s="26" t="s">
        <v>4212</v>
      </c>
      <c r="B2275" s="26"/>
      <c r="C2275" s="26" t="s">
        <v>49</v>
      </c>
      <c r="D2275" s="28">
        <v>1385</v>
      </c>
      <c r="E2275" t="e">
        <f>VLOOKUP(B2275,Кат!G:J,3,0)</f>
        <v>#N/A</v>
      </c>
    </row>
    <row r="2276" spans="1:5">
      <c r="A2276" s="26" t="s">
        <v>4213</v>
      </c>
      <c r="B2276" s="26"/>
      <c r="C2276" s="26" t="s">
        <v>49</v>
      </c>
      <c r="D2276" s="28">
        <v>1385</v>
      </c>
      <c r="E2276" t="e">
        <f>VLOOKUP(B2276,Кат!G:J,3,0)</f>
        <v>#N/A</v>
      </c>
    </row>
    <row r="2277" spans="1:5">
      <c r="A2277" s="26" t="s">
        <v>4214</v>
      </c>
      <c r="B2277" s="26"/>
      <c r="C2277" s="26" t="s">
        <v>49</v>
      </c>
      <c r="D2277" s="28">
        <v>1385</v>
      </c>
      <c r="E2277" t="e">
        <f>VLOOKUP(B2277,Кат!G:J,3,0)</f>
        <v>#N/A</v>
      </c>
    </row>
    <row r="2278" spans="1:5">
      <c r="A2278" s="26" t="s">
        <v>4215</v>
      </c>
      <c r="B2278" s="26"/>
      <c r="C2278" s="26" t="s">
        <v>49</v>
      </c>
      <c r="D2278" s="28">
        <v>1385</v>
      </c>
      <c r="E2278" t="e">
        <f>VLOOKUP(B2278,Кат!G:J,3,0)</f>
        <v>#N/A</v>
      </c>
    </row>
    <row r="2279" spans="1:5">
      <c r="A2279" s="26" t="s">
        <v>4216</v>
      </c>
      <c r="B2279" s="26"/>
      <c r="C2279" s="26" t="s">
        <v>49</v>
      </c>
      <c r="D2279" s="28">
        <v>1385</v>
      </c>
      <c r="E2279" t="e">
        <f>VLOOKUP(B2279,Кат!G:J,3,0)</f>
        <v>#N/A</v>
      </c>
    </row>
    <row r="2280" spans="1:5">
      <c r="A2280" s="26" t="s">
        <v>4217</v>
      </c>
      <c r="B2280" s="26"/>
      <c r="C2280" s="26" t="s">
        <v>49</v>
      </c>
      <c r="D2280" s="28">
        <v>1400</v>
      </c>
      <c r="E2280" t="e">
        <f>VLOOKUP(B2280,Кат!G:J,3,0)</f>
        <v>#N/A</v>
      </c>
    </row>
    <row r="2281" spans="1:5">
      <c r="A2281" s="26" t="s">
        <v>4218</v>
      </c>
      <c r="B2281" s="26"/>
      <c r="C2281" s="26" t="s">
        <v>49</v>
      </c>
      <c r="D2281" s="28">
        <v>1400</v>
      </c>
      <c r="E2281" t="e">
        <f>VLOOKUP(B2281,Кат!G:J,3,0)</f>
        <v>#N/A</v>
      </c>
    </row>
    <row r="2282" spans="1:5">
      <c r="A2282" s="26" t="s">
        <v>4219</v>
      </c>
      <c r="B2282" s="26"/>
      <c r="C2282" s="26" t="s">
        <v>49</v>
      </c>
      <c r="D2282" s="28">
        <v>1400</v>
      </c>
      <c r="E2282" t="e">
        <f>VLOOKUP(B2282,Кат!G:J,3,0)</f>
        <v>#N/A</v>
      </c>
    </row>
    <row r="2283" spans="1:5">
      <c r="A2283" s="26" t="s">
        <v>4220</v>
      </c>
      <c r="B2283" s="26"/>
      <c r="C2283" s="26" t="s">
        <v>49</v>
      </c>
      <c r="D2283" s="28">
        <v>1425</v>
      </c>
      <c r="E2283" t="e">
        <f>VLOOKUP(B2283,Кат!G:J,3,0)</f>
        <v>#N/A</v>
      </c>
    </row>
    <row r="2284" spans="1:5">
      <c r="A2284" s="26" t="s">
        <v>4221</v>
      </c>
      <c r="B2284" s="26"/>
      <c r="C2284" s="26" t="s">
        <v>49</v>
      </c>
      <c r="D2284" s="28">
        <v>1425</v>
      </c>
      <c r="E2284" t="e">
        <f>VLOOKUP(B2284,Кат!G:J,3,0)</f>
        <v>#N/A</v>
      </c>
    </row>
    <row r="2285" spans="1:5">
      <c r="A2285" s="26" t="s">
        <v>4222</v>
      </c>
      <c r="B2285" s="26"/>
      <c r="C2285" s="26" t="s">
        <v>49</v>
      </c>
      <c r="D2285" s="28">
        <v>1425</v>
      </c>
      <c r="E2285" t="e">
        <f>VLOOKUP(B2285,Кат!G:J,3,0)</f>
        <v>#N/A</v>
      </c>
    </row>
    <row r="2286" spans="1:5">
      <c r="A2286" s="26" t="s">
        <v>4223</v>
      </c>
      <c r="B2286" s="26"/>
      <c r="C2286" s="26" t="s">
        <v>49</v>
      </c>
      <c r="D2286" s="28">
        <v>1765</v>
      </c>
      <c r="E2286" t="e">
        <f>VLOOKUP(B2286,Кат!G:J,3,0)</f>
        <v>#N/A</v>
      </c>
    </row>
    <row r="2287" spans="1:5">
      <c r="A2287" s="26" t="s">
        <v>4224</v>
      </c>
      <c r="B2287" s="26"/>
      <c r="C2287" s="26" t="s">
        <v>49</v>
      </c>
      <c r="D2287" s="28">
        <v>1765</v>
      </c>
      <c r="E2287" t="e">
        <f>VLOOKUP(B2287,Кат!G:J,3,0)</f>
        <v>#N/A</v>
      </c>
    </row>
    <row r="2288" spans="1:5">
      <c r="A2288" s="26" t="s">
        <v>4225</v>
      </c>
      <c r="B2288" s="26"/>
      <c r="C2288" s="26" t="s">
        <v>49</v>
      </c>
      <c r="D2288" s="28">
        <v>1435</v>
      </c>
      <c r="E2288" t="e">
        <f>VLOOKUP(B2288,Кат!G:J,3,0)</f>
        <v>#N/A</v>
      </c>
    </row>
    <row r="2289" spans="1:5">
      <c r="A2289" s="26" t="s">
        <v>4226</v>
      </c>
      <c r="B2289" s="26"/>
      <c r="C2289" s="26" t="s">
        <v>49</v>
      </c>
      <c r="D2289" s="28">
        <v>1435</v>
      </c>
      <c r="E2289" t="e">
        <f>VLOOKUP(B2289,Кат!G:J,3,0)</f>
        <v>#N/A</v>
      </c>
    </row>
    <row r="2290" spans="1:5">
      <c r="A2290" s="26" t="s">
        <v>4227</v>
      </c>
      <c r="B2290" s="26"/>
      <c r="C2290" s="26" t="s">
        <v>49</v>
      </c>
      <c r="D2290" s="28">
        <v>1435</v>
      </c>
      <c r="E2290" t="e">
        <f>VLOOKUP(B2290,Кат!G:J,3,0)</f>
        <v>#N/A</v>
      </c>
    </row>
    <row r="2291" spans="1:5" ht="22.5">
      <c r="A2291" s="26" t="s">
        <v>4228</v>
      </c>
      <c r="B2291" s="26"/>
      <c r="C2291" s="26" t="s">
        <v>49</v>
      </c>
      <c r="D2291" s="28">
        <v>1765</v>
      </c>
      <c r="E2291" t="e">
        <f>VLOOKUP(B2291,Кат!G:J,3,0)</f>
        <v>#N/A</v>
      </c>
    </row>
    <row r="2292" spans="1:5" ht="22.5">
      <c r="A2292" s="26" t="s">
        <v>4229</v>
      </c>
      <c r="B2292" s="26"/>
      <c r="C2292" s="26" t="s">
        <v>49</v>
      </c>
      <c r="D2292" s="28">
        <v>1765</v>
      </c>
      <c r="E2292" t="e">
        <f>VLOOKUP(B2292,Кат!G:J,3,0)</f>
        <v>#N/A</v>
      </c>
    </row>
    <row r="2293" spans="1:5" ht="22.5">
      <c r="A2293" s="26" t="s">
        <v>4230</v>
      </c>
      <c r="B2293" s="26"/>
      <c r="C2293" s="26" t="s">
        <v>49</v>
      </c>
      <c r="D2293" s="28">
        <v>1765</v>
      </c>
      <c r="E2293" t="e">
        <f>VLOOKUP(B2293,Кат!G:J,3,0)</f>
        <v>#N/A</v>
      </c>
    </row>
    <row r="2294" spans="1:5" ht="22.5">
      <c r="A2294" s="26" t="s">
        <v>4231</v>
      </c>
      <c r="B2294" s="26"/>
      <c r="C2294" s="26" t="s">
        <v>49</v>
      </c>
      <c r="D2294" s="28">
        <v>2060</v>
      </c>
      <c r="E2294" t="e">
        <f>VLOOKUP(B2294,Кат!G:J,3,0)</f>
        <v>#N/A</v>
      </c>
    </row>
    <row r="2295" spans="1:5" ht="22.5">
      <c r="A2295" s="26" t="s">
        <v>4232</v>
      </c>
      <c r="B2295" s="26"/>
      <c r="C2295" s="26" t="s">
        <v>49</v>
      </c>
      <c r="D2295" s="28">
        <v>2060</v>
      </c>
      <c r="E2295" t="e">
        <f>VLOOKUP(B2295,Кат!G:J,3,0)</f>
        <v>#N/A</v>
      </c>
    </row>
    <row r="2296" spans="1:5" ht="22.5">
      <c r="A2296" s="26" t="s">
        <v>4233</v>
      </c>
      <c r="B2296" s="26"/>
      <c r="C2296" s="26" t="s">
        <v>49</v>
      </c>
      <c r="D2296" s="28">
        <v>2060</v>
      </c>
      <c r="E2296" t="e">
        <f>VLOOKUP(B2296,Кат!G:J,3,0)</f>
        <v>#N/A</v>
      </c>
    </row>
    <row r="2297" spans="1:5">
      <c r="A2297" s="26" t="s">
        <v>4234</v>
      </c>
      <c r="B2297" s="26"/>
      <c r="C2297" s="26" t="s">
        <v>49</v>
      </c>
      <c r="D2297" s="28">
        <v>1425</v>
      </c>
      <c r="E2297" t="e">
        <f>VLOOKUP(B2297,Кат!G:J,3,0)</f>
        <v>#N/A</v>
      </c>
    </row>
    <row r="2298" spans="1:5">
      <c r="A2298" s="26" t="s">
        <v>4235</v>
      </c>
      <c r="B2298" s="26"/>
      <c r="C2298" s="26" t="s">
        <v>49</v>
      </c>
      <c r="D2298" s="28">
        <v>1425</v>
      </c>
      <c r="E2298" t="e">
        <f>VLOOKUP(B2298,Кат!G:J,3,0)</f>
        <v>#N/A</v>
      </c>
    </row>
    <row r="2299" spans="1:5">
      <c r="A2299" s="26" t="s">
        <v>4236</v>
      </c>
      <c r="B2299" s="26"/>
      <c r="C2299" s="26" t="s">
        <v>49</v>
      </c>
      <c r="D2299" s="28">
        <v>1425</v>
      </c>
      <c r="E2299" t="e">
        <f>VLOOKUP(B2299,Кат!G:J,3,0)</f>
        <v>#N/A</v>
      </c>
    </row>
    <row r="2300" spans="1:5">
      <c r="A2300" s="23" t="s">
        <v>4237</v>
      </c>
      <c r="B2300" s="24"/>
      <c r="C2300" s="24"/>
      <c r="D2300" s="25"/>
      <c r="E2300" t="e">
        <f>VLOOKUP(B2300,Кат!G:J,3,0)</f>
        <v>#N/A</v>
      </c>
    </row>
    <row r="2301" spans="1:5">
      <c r="A2301" s="26" t="s">
        <v>4238</v>
      </c>
      <c r="B2301" s="32">
        <v>71611</v>
      </c>
      <c r="C2301" s="26" t="s">
        <v>50</v>
      </c>
      <c r="D2301" s="27">
        <v>620</v>
      </c>
      <c r="E2301" t="e">
        <f>VLOOKUP(B2301,Кат!G:J,3,0)</f>
        <v>#N/A</v>
      </c>
    </row>
    <row r="2302" spans="1:5">
      <c r="A2302" s="26" t="s">
        <v>4239</v>
      </c>
      <c r="B2302" s="32">
        <v>71467</v>
      </c>
      <c r="C2302" s="26" t="s">
        <v>49</v>
      </c>
      <c r="D2302" s="28">
        <v>3805</v>
      </c>
      <c r="E2302" t="e">
        <f>VLOOKUP(B2302,Кат!G:J,3,0)</f>
        <v>#N/A</v>
      </c>
    </row>
    <row r="2303" spans="1:5" ht="22.5">
      <c r="A2303" s="26" t="s">
        <v>4240</v>
      </c>
      <c r="B2303" s="32">
        <v>71466</v>
      </c>
      <c r="C2303" s="26" t="s">
        <v>49</v>
      </c>
      <c r="D2303" s="28">
        <v>3690</v>
      </c>
      <c r="E2303" t="e">
        <f>VLOOKUP(B2303,Кат!G:J,3,0)</f>
        <v>#N/A</v>
      </c>
    </row>
    <row r="2304" spans="1:5" ht="22.5">
      <c r="A2304" s="26" t="s">
        <v>4241</v>
      </c>
      <c r="B2304" s="32">
        <v>71577</v>
      </c>
      <c r="C2304" s="26" t="s">
        <v>49</v>
      </c>
      <c r="D2304" s="28">
        <v>5505</v>
      </c>
      <c r="E2304" t="e">
        <f>VLOOKUP(B2304,Кат!G:J,3,0)</f>
        <v>#N/A</v>
      </c>
    </row>
    <row r="2305" spans="1:5">
      <c r="A2305" s="26" t="s">
        <v>4242</v>
      </c>
      <c r="B2305" s="32">
        <v>71455</v>
      </c>
      <c r="C2305" s="26" t="s">
        <v>49</v>
      </c>
      <c r="D2305" s="28">
        <v>5380</v>
      </c>
      <c r="E2305" t="e">
        <f>VLOOKUP(B2305,Кат!G:J,3,0)</f>
        <v>#N/A</v>
      </c>
    </row>
    <row r="2306" spans="1:5">
      <c r="A2306" s="23" t="s">
        <v>4243</v>
      </c>
      <c r="B2306" s="24"/>
      <c r="C2306" s="24"/>
      <c r="D2306" s="25"/>
      <c r="E2306" t="e">
        <f>VLOOKUP(B2306,Кат!G:J,3,0)</f>
        <v>#N/A</v>
      </c>
    </row>
    <row r="2307" spans="1:5">
      <c r="A2307" s="26" t="s">
        <v>4244</v>
      </c>
      <c r="B2307" s="26" t="s">
        <v>4245</v>
      </c>
      <c r="C2307" s="26" t="s">
        <v>50</v>
      </c>
      <c r="D2307" s="28">
        <v>6750</v>
      </c>
      <c r="E2307" t="e">
        <f>VLOOKUP(B2307,Кат!G:J,3,0)</f>
        <v>#N/A</v>
      </c>
    </row>
    <row r="2308" spans="1:5">
      <c r="A2308" s="26" t="s">
        <v>4246</v>
      </c>
      <c r="B2308" s="26" t="s">
        <v>4247</v>
      </c>
      <c r="C2308" s="26" t="s">
        <v>50</v>
      </c>
      <c r="D2308" s="28">
        <v>6250</v>
      </c>
      <c r="E2308" t="e">
        <f>VLOOKUP(B2308,Кат!G:J,3,0)</f>
        <v>#N/A</v>
      </c>
    </row>
    <row r="2309" spans="1:5">
      <c r="A2309" s="26" t="s">
        <v>4248</v>
      </c>
      <c r="B2309" s="26" t="s">
        <v>4249</v>
      </c>
      <c r="C2309" s="26" t="s">
        <v>50</v>
      </c>
      <c r="D2309" s="28">
        <v>7000</v>
      </c>
      <c r="E2309" t="e">
        <f>VLOOKUP(B2309,Кат!G:J,3,0)</f>
        <v>#N/A</v>
      </c>
    </row>
    <row r="2310" spans="1:5">
      <c r="A2310" s="26" t="s">
        <v>4250</v>
      </c>
      <c r="B2310" s="26" t="s">
        <v>4251</v>
      </c>
      <c r="C2310" s="26" t="s">
        <v>50</v>
      </c>
      <c r="D2310" s="28">
        <v>7000</v>
      </c>
      <c r="E2310" t="e">
        <f>VLOOKUP(B2310,Кат!G:J,3,0)</f>
        <v>#N/A</v>
      </c>
    </row>
    <row r="2311" spans="1:5">
      <c r="A2311" s="23" t="s">
        <v>4252</v>
      </c>
      <c r="B2311" s="24"/>
      <c r="C2311" s="24"/>
      <c r="D2311" s="25"/>
      <c r="E2311" t="e">
        <f>VLOOKUP(B2311,Кат!G:J,3,0)</f>
        <v>#N/A</v>
      </c>
    </row>
    <row r="2312" spans="1:5" ht="22.5">
      <c r="A2312" s="26" t="s">
        <v>4253</v>
      </c>
      <c r="B2312" s="26" t="s">
        <v>4254</v>
      </c>
      <c r="C2312" s="26" t="s">
        <v>50</v>
      </c>
      <c r="D2312" s="27">
        <v>200</v>
      </c>
      <c r="E2312" t="e">
        <f>VLOOKUP(B2312,Кат!G:J,3,0)</f>
        <v>#N/A</v>
      </c>
    </row>
    <row r="2313" spans="1:5">
      <c r="A2313" s="26" t="s">
        <v>4255</v>
      </c>
      <c r="B2313" s="26" t="s">
        <v>4256</v>
      </c>
      <c r="C2313" s="26" t="s">
        <v>50</v>
      </c>
      <c r="D2313" s="27">
        <v>205</v>
      </c>
      <c r="E2313" t="e">
        <f>VLOOKUP(B2313,Кат!G:J,3,0)</f>
        <v>#N/A</v>
      </c>
    </row>
    <row r="2314" spans="1:5">
      <c r="A2314" s="26" t="s">
        <v>4257</v>
      </c>
      <c r="B2314" s="26" t="s">
        <v>4258</v>
      </c>
      <c r="C2314" s="26" t="s">
        <v>50</v>
      </c>
      <c r="D2314" s="27">
        <v>135</v>
      </c>
      <c r="E2314" t="e">
        <f>VLOOKUP(B2314,Кат!G:J,3,0)</f>
        <v>#N/A</v>
      </c>
    </row>
    <row r="2315" spans="1:5">
      <c r="A2315" s="23" t="s">
        <v>4259</v>
      </c>
      <c r="B2315" s="24"/>
      <c r="C2315" s="24"/>
      <c r="D2315" s="25"/>
      <c r="E2315" t="e">
        <f>VLOOKUP(B2315,Кат!G:J,3,0)</f>
        <v>#N/A</v>
      </c>
    </row>
    <row r="2316" spans="1:5">
      <c r="A2316" s="26" t="s">
        <v>4260</v>
      </c>
      <c r="B2316" s="26" t="s">
        <v>4261</v>
      </c>
      <c r="C2316" s="26" t="s">
        <v>50</v>
      </c>
      <c r="D2316" s="27">
        <v>278</v>
      </c>
      <c r="E2316" t="e">
        <f>VLOOKUP(B2316,Кат!G:J,3,0)</f>
        <v>#N/A</v>
      </c>
    </row>
    <row r="2317" spans="1:5" ht="33.75">
      <c r="A2317" s="26" t="s">
        <v>4262</v>
      </c>
      <c r="B2317" s="26" t="s">
        <v>4263</v>
      </c>
      <c r="C2317" s="26" t="s">
        <v>49</v>
      </c>
      <c r="D2317" s="28">
        <v>1825</v>
      </c>
      <c r="E2317" t="e">
        <f>VLOOKUP(B2317,Кат!G:J,3,0)</f>
        <v>#N/A</v>
      </c>
    </row>
    <row r="2318" spans="1:5" ht="33.75">
      <c r="A2318" s="26" t="s">
        <v>4264</v>
      </c>
      <c r="B2318" s="26" t="s">
        <v>4265</v>
      </c>
      <c r="C2318" s="26" t="s">
        <v>49</v>
      </c>
      <c r="D2318" s="28">
        <v>2045</v>
      </c>
      <c r="E2318" t="e">
        <f>VLOOKUP(B2318,Кат!G:J,3,0)</f>
        <v>#N/A</v>
      </c>
    </row>
    <row r="2319" spans="1:5" ht="22.5">
      <c r="A2319" s="26" t="s">
        <v>4266</v>
      </c>
      <c r="B2319" s="26" t="s">
        <v>4267</v>
      </c>
      <c r="C2319" s="26" t="s">
        <v>50</v>
      </c>
      <c r="D2319" s="27">
        <v>257</v>
      </c>
      <c r="E2319" t="e">
        <f>VLOOKUP(B2319,Кат!G:J,3,0)</f>
        <v>#N/A</v>
      </c>
    </row>
    <row r="2320" spans="1:5">
      <c r="A2320" s="26" t="s">
        <v>4268</v>
      </c>
      <c r="B2320" s="26" t="s">
        <v>4269</v>
      </c>
      <c r="C2320" s="26" t="s">
        <v>50</v>
      </c>
      <c r="D2320" s="27">
        <v>385</v>
      </c>
      <c r="E2320" t="e">
        <f>VLOOKUP(B2320,Кат!G:J,3,0)</f>
        <v>#N/A</v>
      </c>
    </row>
    <row r="2321" spans="1:5" ht="22.5">
      <c r="A2321" s="26" t="s">
        <v>4270</v>
      </c>
      <c r="B2321" s="26" t="s">
        <v>4271</v>
      </c>
      <c r="C2321" s="26" t="s">
        <v>50</v>
      </c>
      <c r="D2321" s="27">
        <v>600</v>
      </c>
      <c r="E2321" t="e">
        <f>VLOOKUP(B2321,Кат!G:J,3,0)</f>
        <v>#N/A</v>
      </c>
    </row>
    <row r="2322" spans="1:5" ht="22.5">
      <c r="A2322" s="26" t="s">
        <v>4272</v>
      </c>
      <c r="B2322" s="26" t="s">
        <v>4273</v>
      </c>
      <c r="C2322" s="26" t="s">
        <v>50</v>
      </c>
      <c r="D2322" s="27">
        <v>600</v>
      </c>
      <c r="E2322" t="e">
        <f>VLOOKUP(B2322,Кат!G:J,3,0)</f>
        <v>#N/A</v>
      </c>
    </row>
    <row r="2323" spans="1:5">
      <c r="A2323" s="26" t="s">
        <v>4274</v>
      </c>
      <c r="B2323" s="26"/>
      <c r="C2323" s="26" t="s">
        <v>49</v>
      </c>
      <c r="D2323" s="27">
        <v>942</v>
      </c>
      <c r="E2323" t="e">
        <f>VLOOKUP(B2323,Кат!G:J,3,0)</f>
        <v>#N/A</v>
      </c>
    </row>
    <row r="2324" spans="1:5" ht="22.5">
      <c r="A2324" s="26" t="s">
        <v>4275</v>
      </c>
      <c r="B2324" s="26" t="s">
        <v>4276</v>
      </c>
      <c r="C2324" s="26" t="s">
        <v>50</v>
      </c>
      <c r="D2324" s="27">
        <v>439</v>
      </c>
      <c r="E2324" t="e">
        <f>VLOOKUP(B2324,Кат!G:J,3,0)</f>
        <v>#N/A</v>
      </c>
    </row>
    <row r="2325" spans="1:5" ht="22.5">
      <c r="A2325" s="26" t="s">
        <v>4277</v>
      </c>
      <c r="B2325" s="26" t="s">
        <v>4278</v>
      </c>
      <c r="C2325" s="26" t="s">
        <v>50</v>
      </c>
      <c r="D2325" s="27">
        <v>439</v>
      </c>
      <c r="E2325" t="e">
        <f>VLOOKUP(B2325,Кат!G:J,3,0)</f>
        <v>#N/A</v>
      </c>
    </row>
    <row r="2326" spans="1:5" ht="22.5">
      <c r="A2326" s="26" t="s">
        <v>4279</v>
      </c>
      <c r="B2326" s="26" t="s">
        <v>4280</v>
      </c>
      <c r="C2326" s="26" t="s">
        <v>49</v>
      </c>
      <c r="D2326" s="27">
        <v>632</v>
      </c>
      <c r="E2326" t="e">
        <f>VLOOKUP(B2326,Кат!G:J,3,0)</f>
        <v>#N/A</v>
      </c>
    </row>
    <row r="2327" spans="1:5" ht="22.5">
      <c r="A2327" s="26" t="s">
        <v>4281</v>
      </c>
      <c r="B2327" s="26" t="s">
        <v>4282</v>
      </c>
      <c r="C2327" s="26" t="s">
        <v>49</v>
      </c>
      <c r="D2327" s="27">
        <v>782</v>
      </c>
      <c r="E2327" t="e">
        <f>VLOOKUP(B2327,Кат!G:J,3,0)</f>
        <v>#N/A</v>
      </c>
    </row>
    <row r="2328" spans="1:5">
      <c r="A2328" s="26" t="s">
        <v>4283</v>
      </c>
      <c r="B2328" s="26" t="s">
        <v>4284</v>
      </c>
      <c r="C2328" s="26" t="s">
        <v>50</v>
      </c>
      <c r="D2328" s="27">
        <v>890</v>
      </c>
      <c r="E2328" t="e">
        <f>VLOOKUP(B2328,Кат!G:J,3,0)</f>
        <v>#N/A</v>
      </c>
    </row>
    <row r="2329" spans="1:5">
      <c r="A2329" s="26" t="s">
        <v>4285</v>
      </c>
      <c r="B2329" s="26" t="s">
        <v>4286</v>
      </c>
      <c r="C2329" s="26" t="s">
        <v>50</v>
      </c>
      <c r="D2329" s="27">
        <v>890</v>
      </c>
      <c r="E2329" t="e">
        <f>VLOOKUP(B2329,Кат!G:J,3,0)</f>
        <v>#N/A</v>
      </c>
    </row>
    <row r="2330" spans="1:5">
      <c r="A2330" s="26" t="s">
        <v>4287</v>
      </c>
      <c r="B2330" s="26" t="s">
        <v>4288</v>
      </c>
      <c r="C2330" s="26" t="s">
        <v>50</v>
      </c>
      <c r="D2330" s="27">
        <v>890</v>
      </c>
      <c r="E2330" t="e">
        <f>VLOOKUP(B2330,Кат!G:J,3,0)</f>
        <v>#N/A</v>
      </c>
    </row>
    <row r="2331" spans="1:5">
      <c r="A2331" s="26" t="s">
        <v>4289</v>
      </c>
      <c r="B2331" s="26" t="s">
        <v>4290</v>
      </c>
      <c r="C2331" s="26" t="s">
        <v>50</v>
      </c>
      <c r="D2331" s="27">
        <v>890</v>
      </c>
      <c r="E2331" t="e">
        <f>VLOOKUP(B2331,Кат!G:J,3,0)</f>
        <v>#N/A</v>
      </c>
    </row>
    <row r="2332" spans="1:5">
      <c r="A2332" s="26" t="s">
        <v>4291</v>
      </c>
      <c r="B2332" s="26"/>
      <c r="C2332" s="26" t="s">
        <v>50</v>
      </c>
      <c r="D2332" s="27">
        <v>610</v>
      </c>
      <c r="E2332" t="e">
        <f>VLOOKUP(B2332,Кат!G:J,3,0)</f>
        <v>#N/A</v>
      </c>
    </row>
    <row r="2333" spans="1:5">
      <c r="A2333" s="26" t="s">
        <v>4292</v>
      </c>
      <c r="B2333" s="26"/>
      <c r="C2333" s="26" t="s">
        <v>50</v>
      </c>
      <c r="D2333" s="27">
        <v>742</v>
      </c>
      <c r="E2333" t="e">
        <f>VLOOKUP(B2333,Кат!G:J,3,0)</f>
        <v>#N/A</v>
      </c>
    </row>
    <row r="2334" spans="1:5">
      <c r="A2334" s="26" t="s">
        <v>4293</v>
      </c>
      <c r="B2334" s="26"/>
      <c r="C2334" s="26" t="s">
        <v>50</v>
      </c>
      <c r="D2334" s="28">
        <v>1695</v>
      </c>
      <c r="E2334" t="e">
        <f>VLOOKUP(B2334,Кат!G:J,3,0)</f>
        <v>#N/A</v>
      </c>
    </row>
    <row r="2335" spans="1:5" ht="22.5">
      <c r="A2335" s="26" t="s">
        <v>4294</v>
      </c>
      <c r="B2335" s="26"/>
      <c r="C2335" s="26" t="s">
        <v>50</v>
      </c>
      <c r="D2335" s="27">
        <v>430</v>
      </c>
      <c r="E2335" t="e">
        <f>VLOOKUP(B2335,Кат!G:J,3,0)</f>
        <v>#N/A</v>
      </c>
    </row>
    <row r="2336" spans="1:5" ht="22.5">
      <c r="A2336" s="26" t="s">
        <v>4295</v>
      </c>
      <c r="B2336" s="26"/>
      <c r="C2336" s="26" t="s">
        <v>50</v>
      </c>
      <c r="D2336" s="27">
        <v>616</v>
      </c>
      <c r="E2336" t="e">
        <f>VLOOKUP(B2336,Кат!G:J,3,0)</f>
        <v>#N/A</v>
      </c>
    </row>
    <row r="2337" spans="1:5" ht="22.5">
      <c r="A2337" s="26" t="s">
        <v>4296</v>
      </c>
      <c r="B2337" s="26"/>
      <c r="C2337" s="26" t="s">
        <v>50</v>
      </c>
      <c r="D2337" s="27">
        <v>616</v>
      </c>
      <c r="E2337" t="e">
        <f>VLOOKUP(B2337,Кат!G:J,3,0)</f>
        <v>#N/A</v>
      </c>
    </row>
    <row r="2338" spans="1:5" ht="22.5">
      <c r="A2338" s="26" t="s">
        <v>4297</v>
      </c>
      <c r="B2338" s="26" t="s">
        <v>4298</v>
      </c>
      <c r="C2338" s="26" t="s">
        <v>50</v>
      </c>
      <c r="D2338" s="27">
        <v>540</v>
      </c>
      <c r="E2338" t="e">
        <f>VLOOKUP(B2338,Кат!G:J,3,0)</f>
        <v>#N/A</v>
      </c>
    </row>
    <row r="2339" spans="1:5" ht="22.5">
      <c r="A2339" s="26" t="s">
        <v>4299</v>
      </c>
      <c r="B2339" s="26" t="s">
        <v>4300</v>
      </c>
      <c r="C2339" s="26" t="s">
        <v>50</v>
      </c>
      <c r="D2339" s="27">
        <v>540</v>
      </c>
      <c r="E2339" t="e">
        <f>VLOOKUP(B2339,Кат!G:J,3,0)</f>
        <v>#N/A</v>
      </c>
    </row>
    <row r="2340" spans="1:5">
      <c r="A2340" s="26" t="s">
        <v>4404</v>
      </c>
      <c r="B2340" s="26" t="s">
        <v>4405</v>
      </c>
      <c r="C2340" s="26" t="s">
        <v>50</v>
      </c>
      <c r="D2340" s="27">
        <v>348</v>
      </c>
      <c r="E2340" t="e">
        <f>VLOOKUP(B2340,Кат!G:J,3,0)</f>
        <v>#N/A</v>
      </c>
    </row>
    <row r="2341" spans="1:5">
      <c r="A2341" s="26" t="s">
        <v>4301</v>
      </c>
      <c r="B2341" s="26" t="s">
        <v>4302</v>
      </c>
      <c r="C2341" s="26" t="s">
        <v>50</v>
      </c>
      <c r="D2341" s="27">
        <v>348</v>
      </c>
      <c r="E2341" t="e">
        <f>VLOOKUP(B2341,Кат!G:J,3,0)</f>
        <v>#N/A</v>
      </c>
    </row>
    <row r="2342" spans="1:5">
      <c r="A2342" s="26" t="s">
        <v>4303</v>
      </c>
      <c r="B2342" s="26" t="s">
        <v>4304</v>
      </c>
      <c r="C2342" s="26" t="s">
        <v>50</v>
      </c>
      <c r="D2342" s="27">
        <v>386</v>
      </c>
      <c r="E2342" t="e">
        <f>VLOOKUP(B2342,Кат!G:J,3,0)</f>
        <v>#N/A</v>
      </c>
    </row>
    <row r="2343" spans="1:5">
      <c r="A2343" s="26" t="s">
        <v>4305</v>
      </c>
      <c r="B2343" s="26" t="s">
        <v>4306</v>
      </c>
      <c r="C2343" s="26" t="s">
        <v>50</v>
      </c>
      <c r="D2343" s="27">
        <v>418</v>
      </c>
      <c r="E2343" t="e">
        <f>VLOOKUP(B2343,Кат!G:J,3,0)</f>
        <v>#N/A</v>
      </c>
    </row>
  </sheetData>
  <autoFilter ref="A4:E4" xr:uid="{E2F5FFBD-5BFC-49D4-A1C6-AA2349A2E50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E8"/>
  <sheetViews>
    <sheetView workbookViewId="0">
      <selection activeCell="B12" sqref="B12"/>
    </sheetView>
  </sheetViews>
  <sheetFormatPr defaultRowHeight="15"/>
  <sheetData>
    <row r="1" spans="1:5">
      <c r="A1" s="7">
        <v>0.1</v>
      </c>
      <c r="B1" s="17">
        <v>1.47</v>
      </c>
      <c r="D1" s="7">
        <v>0.1</v>
      </c>
      <c r="E1" s="7">
        <v>2</v>
      </c>
    </row>
    <row r="2" spans="1:5">
      <c r="A2" s="7">
        <v>100</v>
      </c>
      <c r="B2" s="17">
        <v>1.47</v>
      </c>
      <c r="D2" s="7">
        <v>100</v>
      </c>
      <c r="E2" s="7">
        <v>1.8</v>
      </c>
    </row>
    <row r="3" spans="1:5">
      <c r="A3" s="8">
        <v>300</v>
      </c>
      <c r="B3" s="17">
        <v>1.47</v>
      </c>
      <c r="D3" s="8">
        <v>300</v>
      </c>
      <c r="E3" s="8">
        <v>1.6</v>
      </c>
    </row>
    <row r="4" spans="1:5">
      <c r="A4" s="8">
        <v>500</v>
      </c>
      <c r="B4" s="17">
        <v>1.47</v>
      </c>
      <c r="D4" s="8">
        <v>500</v>
      </c>
      <c r="E4" s="8">
        <v>1.55</v>
      </c>
    </row>
    <row r="5" spans="1:5">
      <c r="A5" s="8">
        <v>1000</v>
      </c>
      <c r="B5" s="17">
        <v>1.47</v>
      </c>
      <c r="D5" s="8">
        <v>1000</v>
      </c>
      <c r="E5" s="8">
        <v>1.5</v>
      </c>
    </row>
    <row r="6" spans="1:5">
      <c r="A6" s="8">
        <v>2000</v>
      </c>
      <c r="B6" s="17">
        <v>1.47</v>
      </c>
      <c r="D6" s="8">
        <v>2000</v>
      </c>
      <c r="E6" s="8">
        <v>1.4</v>
      </c>
    </row>
    <row r="7" spans="1:5">
      <c r="A7" s="8">
        <v>5000</v>
      </c>
      <c r="B7" s="17">
        <v>1.47</v>
      </c>
      <c r="D7" s="8">
        <v>5000</v>
      </c>
      <c r="E7" s="8">
        <v>1.35</v>
      </c>
    </row>
    <row r="8" spans="1:5">
      <c r="A8" s="8">
        <v>10000</v>
      </c>
      <c r="B8" s="17">
        <v>1.47</v>
      </c>
      <c r="D8" s="8">
        <v>10000</v>
      </c>
      <c r="E8" s="8">
        <v>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AA4EB-D714-484A-80DA-F94AF99E2F9F}">
  <sheetPr codeName="Лист6"/>
  <dimension ref="A1:O86"/>
  <sheetViews>
    <sheetView showGridLines="0" workbookViewId="0">
      <pane ySplit="1" topLeftCell="A2" activePane="bottomLeft" state="frozen"/>
      <selection pane="bottomLeft" activeCell="C2" sqref="C2"/>
    </sheetView>
  </sheetViews>
  <sheetFormatPr defaultRowHeight="15"/>
  <cols>
    <col min="1" max="1" width="7" bestFit="1" customWidth="1"/>
    <col min="2" max="2" width="6.85546875" style="41" bestFit="1" customWidth="1"/>
    <col min="3" max="3" width="36.5703125" customWidth="1"/>
    <col min="4" max="4" width="7.5703125" bestFit="1" customWidth="1"/>
    <col min="5" max="5" width="19.5703125" bestFit="1" customWidth="1"/>
    <col min="6" max="6" width="20.85546875" bestFit="1" customWidth="1"/>
    <col min="7" max="7" width="13.28515625" bestFit="1" customWidth="1"/>
    <col min="8" max="8" width="8.42578125" bestFit="1" customWidth="1"/>
    <col min="9" max="9" width="10.85546875" bestFit="1" customWidth="1"/>
    <col min="10" max="10" width="25.140625" style="41" bestFit="1" customWidth="1"/>
    <col min="11" max="11" width="9.5703125" bestFit="1" customWidth="1"/>
    <col min="12" max="12" width="6.5703125" bestFit="1" customWidth="1"/>
    <col min="13" max="13" width="8" bestFit="1" customWidth="1"/>
    <col min="14" max="14" width="4.85546875" bestFit="1" customWidth="1"/>
    <col min="15" max="15" width="4.42578125" bestFit="1" customWidth="1"/>
  </cols>
  <sheetData>
    <row r="1" spans="1:15" ht="30">
      <c r="A1" s="108" t="s">
        <v>1</v>
      </c>
      <c r="B1" s="108" t="s">
        <v>4466</v>
      </c>
      <c r="C1" s="108" t="s">
        <v>4468</v>
      </c>
      <c r="D1" s="108" t="s">
        <v>4469</v>
      </c>
      <c r="E1" s="108" t="s">
        <v>4476</v>
      </c>
      <c r="F1" s="108" t="s">
        <v>4477</v>
      </c>
      <c r="G1" s="108" t="s">
        <v>0</v>
      </c>
      <c r="H1" s="108" t="s">
        <v>305</v>
      </c>
      <c r="I1" s="108" t="s">
        <v>363</v>
      </c>
      <c r="J1" s="108" t="s">
        <v>4470</v>
      </c>
      <c r="K1" s="108" t="s">
        <v>4471</v>
      </c>
      <c r="L1" s="108" t="s">
        <v>4478</v>
      </c>
      <c r="M1" s="108" t="s">
        <v>44</v>
      </c>
      <c r="N1" s="10"/>
      <c r="O1" s="10"/>
    </row>
    <row r="2" spans="1:15" ht="30">
      <c r="A2" s="109">
        <v>139101</v>
      </c>
      <c r="B2" s="109">
        <v>41117</v>
      </c>
      <c r="C2" s="110" t="s">
        <v>4491</v>
      </c>
      <c r="D2" s="110" t="s">
        <v>4472</v>
      </c>
      <c r="E2" s="110" t="s">
        <v>327</v>
      </c>
      <c r="F2" s="110" t="s">
        <v>327</v>
      </c>
      <c r="G2" s="110" t="s">
        <v>3</v>
      </c>
      <c r="H2" s="111">
        <v>3711.95</v>
      </c>
      <c r="I2" s="111">
        <v>5490</v>
      </c>
      <c r="J2" s="110"/>
      <c r="K2" s="110" t="s">
        <v>43</v>
      </c>
      <c r="L2" s="110"/>
      <c r="M2" s="110"/>
      <c r="N2" s="10" t="str">
        <f>_xlfn.CONCAT(K2,IF(L2&lt;&gt;"",_xlfn.CONCAT("ск",L2),""))</f>
        <v>1</v>
      </c>
      <c r="O2" s="10" t="str">
        <f>INDEX(Кат!$H:$H,MATCH($A2,Кат!$A:$A,0))</f>
        <v>ASP</v>
      </c>
    </row>
    <row r="3" spans="1:15" ht="45">
      <c r="A3" s="109">
        <v>139100</v>
      </c>
      <c r="B3" s="109">
        <v>41113</v>
      </c>
      <c r="C3" s="110" t="s">
        <v>4492</v>
      </c>
      <c r="D3" s="110" t="s">
        <v>4472</v>
      </c>
      <c r="E3" s="110" t="s">
        <v>299</v>
      </c>
      <c r="F3" s="110" t="s">
        <v>299</v>
      </c>
      <c r="G3" s="110" t="s">
        <v>3</v>
      </c>
      <c r="H3" s="111">
        <v>4163.8999999999996</v>
      </c>
      <c r="I3" s="111">
        <v>6190</v>
      </c>
      <c r="J3" s="110"/>
      <c r="K3" s="110" t="s">
        <v>43</v>
      </c>
      <c r="L3" s="110"/>
      <c r="M3" s="110"/>
      <c r="N3" s="10" t="str">
        <f t="shared" ref="N3:N66" si="0">_xlfn.CONCAT(K3,IF(L3&lt;&gt;"",_xlfn.CONCAT("ск",L3),""))</f>
        <v>1</v>
      </c>
      <c r="O3" s="10" t="str">
        <f>INDEX(Кат!$H:$H,MATCH($A3,Кат!$A:$A,0))</f>
        <v>ASP</v>
      </c>
    </row>
    <row r="4" spans="1:15" ht="60">
      <c r="A4" s="109">
        <v>139294</v>
      </c>
      <c r="B4" s="109">
        <v>41101</v>
      </c>
      <c r="C4" s="110" t="s">
        <v>4493</v>
      </c>
      <c r="D4" s="110" t="s">
        <v>4472</v>
      </c>
      <c r="E4" s="110" t="s">
        <v>341</v>
      </c>
      <c r="F4" s="110" t="s">
        <v>341</v>
      </c>
      <c r="G4" s="110" t="s">
        <v>3</v>
      </c>
      <c r="H4" s="111">
        <v>1593</v>
      </c>
      <c r="I4" s="111">
        <v>2390</v>
      </c>
      <c r="J4" s="110"/>
      <c r="K4" s="110" t="s">
        <v>4473</v>
      </c>
      <c r="L4" s="110"/>
      <c r="M4" s="110" t="s">
        <v>4472</v>
      </c>
      <c r="N4" s="10" t="str">
        <f t="shared" si="0"/>
        <v>0</v>
      </c>
      <c r="O4" s="10" t="str">
        <f>INDEX(Кат!$H:$H,MATCH($A4,Кат!$A:$A,0))</f>
        <v>ASP</v>
      </c>
    </row>
    <row r="5" spans="1:15" ht="45">
      <c r="A5" s="109">
        <v>139295</v>
      </c>
      <c r="B5" s="109">
        <v>41089</v>
      </c>
      <c r="C5" s="110" t="s">
        <v>4494</v>
      </c>
      <c r="D5" s="110" t="s">
        <v>4472</v>
      </c>
      <c r="E5" s="110" t="s">
        <v>339</v>
      </c>
      <c r="F5" s="110" t="s">
        <v>339</v>
      </c>
      <c r="G5" s="110" t="s">
        <v>3</v>
      </c>
      <c r="H5" s="111">
        <v>1250.32</v>
      </c>
      <c r="I5" s="111">
        <v>1890</v>
      </c>
      <c r="J5" s="110"/>
      <c r="K5" s="110" t="s">
        <v>43</v>
      </c>
      <c r="L5" s="110"/>
      <c r="M5" s="110"/>
      <c r="N5" s="10" t="str">
        <f t="shared" si="0"/>
        <v>1</v>
      </c>
      <c r="O5" s="10" t="str">
        <f>INDEX(Кат!$H:$H,MATCH($A5,Кат!$A:$A,0))</f>
        <v>ASP</v>
      </c>
    </row>
    <row r="6" spans="1:15" ht="30">
      <c r="A6" s="109">
        <v>139296</v>
      </c>
      <c r="B6" s="109">
        <v>36877</v>
      </c>
      <c r="C6" s="110" t="s">
        <v>4495</v>
      </c>
      <c r="D6" s="110" t="s">
        <v>4472</v>
      </c>
      <c r="E6" s="110" t="s">
        <v>165</v>
      </c>
      <c r="F6" s="110" t="s">
        <v>165</v>
      </c>
      <c r="G6" s="110" t="s">
        <v>3</v>
      </c>
      <c r="H6" s="111">
        <v>1320</v>
      </c>
      <c r="I6" s="111">
        <v>1990</v>
      </c>
      <c r="J6" s="110"/>
      <c r="K6" s="110" t="s">
        <v>4473</v>
      </c>
      <c r="L6" s="110"/>
      <c r="M6" s="110"/>
      <c r="N6" s="10" t="str">
        <f t="shared" si="0"/>
        <v>0</v>
      </c>
      <c r="O6" s="10" t="str">
        <f>INDEX(Кат!$H:$H,MATCH($A6,Кат!$A:$A,0))</f>
        <v>ASP</v>
      </c>
    </row>
    <row r="7" spans="1:15" ht="45">
      <c r="A7" s="109">
        <v>139816</v>
      </c>
      <c r="B7" s="109">
        <v>36868</v>
      </c>
      <c r="C7" s="110" t="s">
        <v>4496</v>
      </c>
      <c r="D7" s="110" t="s">
        <v>4472</v>
      </c>
      <c r="E7" s="110" t="s">
        <v>72</v>
      </c>
      <c r="F7" s="110" t="s">
        <v>72</v>
      </c>
      <c r="G7" s="110" t="s">
        <v>3</v>
      </c>
      <c r="H7" s="111">
        <v>115.85</v>
      </c>
      <c r="I7" s="111">
        <v>179</v>
      </c>
      <c r="J7" s="110"/>
      <c r="K7" s="110" t="s">
        <v>43</v>
      </c>
      <c r="L7" s="110"/>
      <c r="M7" s="110"/>
      <c r="N7" s="10" t="str">
        <f t="shared" si="0"/>
        <v>1</v>
      </c>
      <c r="O7" s="10" t="str">
        <f>INDEX(Кат!$H:$H,MATCH($A7,Кат!$A:$A,0))</f>
        <v>ASP</v>
      </c>
    </row>
    <row r="8" spans="1:15" ht="45">
      <c r="A8" s="109">
        <v>140840</v>
      </c>
      <c r="B8" s="109">
        <v>36843</v>
      </c>
      <c r="C8" s="110" t="s">
        <v>4497</v>
      </c>
      <c r="D8" s="110" t="s">
        <v>4472</v>
      </c>
      <c r="E8" s="110" t="s">
        <v>66</v>
      </c>
      <c r="F8" s="110" t="s">
        <v>66</v>
      </c>
      <c r="G8" s="110" t="s">
        <v>3</v>
      </c>
      <c r="H8" s="111">
        <v>1241.9000000000001</v>
      </c>
      <c r="I8" s="111">
        <v>1890</v>
      </c>
      <c r="J8" s="110"/>
      <c r="K8" s="110" t="s">
        <v>43</v>
      </c>
      <c r="L8" s="110"/>
      <c r="M8" s="110"/>
      <c r="N8" s="10" t="str">
        <f t="shared" si="0"/>
        <v>1</v>
      </c>
      <c r="O8" s="10" t="str">
        <f>INDEX(Кат!$H:$H,MATCH($A8,Кат!$A:$A,0))</f>
        <v>ASP</v>
      </c>
    </row>
    <row r="9" spans="1:15" ht="30">
      <c r="A9" s="109">
        <v>140842</v>
      </c>
      <c r="B9" s="109">
        <v>36841</v>
      </c>
      <c r="C9" s="110" t="s">
        <v>4498</v>
      </c>
      <c r="D9" s="110" t="s">
        <v>4472</v>
      </c>
      <c r="E9" s="110" t="s">
        <v>59</v>
      </c>
      <c r="F9" s="110" t="s">
        <v>59</v>
      </c>
      <c r="G9" s="110" t="s">
        <v>3</v>
      </c>
      <c r="H9" s="111">
        <v>1947.74</v>
      </c>
      <c r="I9" s="111">
        <v>2890</v>
      </c>
      <c r="J9" s="110"/>
      <c r="K9" s="110" t="s">
        <v>43</v>
      </c>
      <c r="L9" s="110"/>
      <c r="M9" s="110"/>
      <c r="N9" s="10" t="str">
        <f t="shared" si="0"/>
        <v>1</v>
      </c>
      <c r="O9" s="10" t="str">
        <f>INDEX(Кат!$H:$H,MATCH($A9,Кат!$A:$A,0))</f>
        <v>ASP</v>
      </c>
    </row>
    <row r="10" spans="1:15" ht="60">
      <c r="A10" s="109">
        <v>140841</v>
      </c>
      <c r="B10" s="109">
        <v>36842</v>
      </c>
      <c r="C10" s="110" t="s">
        <v>4499</v>
      </c>
      <c r="D10" s="110" t="s">
        <v>4472</v>
      </c>
      <c r="E10" s="110" t="s">
        <v>62</v>
      </c>
      <c r="F10" s="110" t="s">
        <v>62</v>
      </c>
      <c r="G10" s="110" t="s">
        <v>3</v>
      </c>
      <c r="H10" s="111">
        <v>1977</v>
      </c>
      <c r="I10" s="111">
        <v>2990</v>
      </c>
      <c r="J10" s="110"/>
      <c r="K10" s="110" t="s">
        <v>43</v>
      </c>
      <c r="L10" s="110"/>
      <c r="M10" s="110" t="s">
        <v>4472</v>
      </c>
      <c r="N10" s="10" t="str">
        <f t="shared" si="0"/>
        <v>1</v>
      </c>
      <c r="O10" s="10" t="str">
        <f>INDEX(Кат!$H:$H,MATCH($A10,Кат!$A:$A,0))</f>
        <v>ASP</v>
      </c>
    </row>
    <row r="11" spans="1:15" ht="30">
      <c r="A11" s="109">
        <v>140843</v>
      </c>
      <c r="B11" s="109">
        <v>36844</v>
      </c>
      <c r="C11" s="110" t="s">
        <v>4500</v>
      </c>
      <c r="D11" s="110" t="s">
        <v>4472</v>
      </c>
      <c r="E11" s="110" t="s">
        <v>68</v>
      </c>
      <c r="F11" s="110" t="s">
        <v>68</v>
      </c>
      <c r="G11" s="110" t="s">
        <v>3</v>
      </c>
      <c r="H11" s="111">
        <v>1345.52</v>
      </c>
      <c r="I11" s="111">
        <v>1990</v>
      </c>
      <c r="J11" s="110"/>
      <c r="K11" s="110" t="s">
        <v>43</v>
      </c>
      <c r="L11" s="110"/>
      <c r="M11" s="110"/>
      <c r="N11" s="10" t="str">
        <f t="shared" si="0"/>
        <v>1</v>
      </c>
      <c r="O11" s="10" t="str">
        <f>INDEX(Кат!$H:$H,MATCH($A11,Кат!$A:$A,0))</f>
        <v>ASP</v>
      </c>
    </row>
    <row r="12" spans="1:15" ht="45">
      <c r="A12" s="109">
        <v>150980</v>
      </c>
      <c r="B12" s="109">
        <v>36881</v>
      </c>
      <c r="C12" s="110" t="s">
        <v>4501</v>
      </c>
      <c r="D12" s="110" t="s">
        <v>4472</v>
      </c>
      <c r="E12" s="110" t="s">
        <v>307</v>
      </c>
      <c r="F12" s="110" t="s">
        <v>307</v>
      </c>
      <c r="G12" s="110" t="s">
        <v>3</v>
      </c>
      <c r="H12" s="111">
        <v>2738.35</v>
      </c>
      <c r="I12" s="111">
        <v>4090</v>
      </c>
      <c r="J12" s="110"/>
      <c r="K12" s="110" t="s">
        <v>43</v>
      </c>
      <c r="L12" s="110"/>
      <c r="M12" s="110"/>
      <c r="N12" s="10" t="str">
        <f t="shared" si="0"/>
        <v>1</v>
      </c>
      <c r="O12" s="10" t="str">
        <f>INDEX(Кат!$H:$H,MATCH($A12,Кат!$A:$A,0))</f>
        <v>ASP</v>
      </c>
    </row>
    <row r="13" spans="1:15" ht="75">
      <c r="A13" s="109">
        <v>151005</v>
      </c>
      <c r="B13" s="109">
        <v>36837</v>
      </c>
      <c r="C13" s="110" t="s">
        <v>4502</v>
      </c>
      <c r="D13" s="110" t="s">
        <v>4472</v>
      </c>
      <c r="E13" s="110" t="s">
        <v>58</v>
      </c>
      <c r="F13" s="110" t="s">
        <v>58</v>
      </c>
      <c r="G13" s="110" t="s">
        <v>3</v>
      </c>
      <c r="H13" s="111">
        <v>356.5</v>
      </c>
      <c r="I13" s="111">
        <v>529</v>
      </c>
      <c r="J13" s="110"/>
      <c r="K13" s="110" t="s">
        <v>43</v>
      </c>
      <c r="L13" s="110"/>
      <c r="M13" s="110"/>
      <c r="N13" s="10" t="str">
        <f t="shared" si="0"/>
        <v>1</v>
      </c>
      <c r="O13" s="10" t="str">
        <f>INDEX(Кат!$H:$H,MATCH($A13,Кат!$A:$A,0))</f>
        <v>ASP</v>
      </c>
    </row>
    <row r="14" spans="1:15" ht="30">
      <c r="A14" s="109">
        <v>151006</v>
      </c>
      <c r="B14" s="109">
        <v>36840</v>
      </c>
      <c r="C14" s="110" t="s">
        <v>4503</v>
      </c>
      <c r="D14" s="110" t="s">
        <v>4472</v>
      </c>
      <c r="E14" s="110" t="s">
        <v>69</v>
      </c>
      <c r="F14" s="110" t="s">
        <v>69</v>
      </c>
      <c r="G14" s="110" t="s">
        <v>3</v>
      </c>
      <c r="H14" s="111">
        <v>568.34</v>
      </c>
      <c r="I14" s="111">
        <v>839</v>
      </c>
      <c r="J14" s="110"/>
      <c r="K14" s="110" t="s">
        <v>43</v>
      </c>
      <c r="L14" s="110"/>
      <c r="M14" s="110"/>
      <c r="N14" s="10" t="str">
        <f t="shared" si="0"/>
        <v>1</v>
      </c>
      <c r="O14" s="10" t="str">
        <f>INDEX(Кат!$H:$H,MATCH($A14,Кат!$A:$A,0))</f>
        <v>ASP</v>
      </c>
    </row>
    <row r="15" spans="1:15" ht="45">
      <c r="A15" s="109">
        <v>151007</v>
      </c>
      <c r="B15" s="109">
        <v>41048</v>
      </c>
      <c r="C15" s="110" t="s">
        <v>4504</v>
      </c>
      <c r="D15" s="110" t="s">
        <v>4472</v>
      </c>
      <c r="E15" s="110" t="s">
        <v>314</v>
      </c>
      <c r="F15" s="110" t="s">
        <v>314</v>
      </c>
      <c r="G15" s="110" t="s">
        <v>3</v>
      </c>
      <c r="H15" s="111">
        <v>488.65</v>
      </c>
      <c r="I15" s="111">
        <v>719</v>
      </c>
      <c r="J15" s="110"/>
      <c r="K15" s="110" t="s">
        <v>43</v>
      </c>
      <c r="L15" s="110"/>
      <c r="M15" s="110"/>
      <c r="N15" s="10" t="str">
        <f t="shared" si="0"/>
        <v>1</v>
      </c>
      <c r="O15" s="10" t="str">
        <f>INDEX(Кат!$H:$H,MATCH($A15,Кат!$A:$A,0))</f>
        <v>ASP</v>
      </c>
    </row>
    <row r="16" spans="1:15" ht="45">
      <c r="A16" s="109">
        <v>181659</v>
      </c>
      <c r="B16" s="109">
        <v>41066</v>
      </c>
      <c r="C16" s="110" t="s">
        <v>4505</v>
      </c>
      <c r="D16" s="110" t="s">
        <v>4472</v>
      </c>
      <c r="E16" s="110" t="s">
        <v>95</v>
      </c>
      <c r="F16" s="110" t="s">
        <v>95</v>
      </c>
      <c r="G16" s="110" t="s">
        <v>3</v>
      </c>
      <c r="H16" s="111">
        <v>479.48</v>
      </c>
      <c r="I16" s="111">
        <v>709</v>
      </c>
      <c r="J16" s="110"/>
      <c r="K16" s="110" t="s">
        <v>43</v>
      </c>
      <c r="L16" s="110"/>
      <c r="M16" s="110"/>
      <c r="N16" s="10" t="str">
        <f t="shared" si="0"/>
        <v>1</v>
      </c>
      <c r="O16" s="10" t="str">
        <f>INDEX(Кат!$H:$H,MATCH($A16,Кат!$A:$A,0))</f>
        <v>ASP</v>
      </c>
    </row>
    <row r="17" spans="1:15" ht="45">
      <c r="A17" s="109">
        <v>181660</v>
      </c>
      <c r="B17" s="109">
        <v>41064</v>
      </c>
      <c r="C17" s="110" t="s">
        <v>4506</v>
      </c>
      <c r="D17" s="110" t="s">
        <v>4472</v>
      </c>
      <c r="E17" s="110" t="s">
        <v>93</v>
      </c>
      <c r="F17" s="110" t="s">
        <v>93</v>
      </c>
      <c r="G17" s="110" t="s">
        <v>3</v>
      </c>
      <c r="H17" s="111">
        <v>744.85</v>
      </c>
      <c r="I17" s="111">
        <v>1090</v>
      </c>
      <c r="J17" s="110"/>
      <c r="K17" s="110" t="s">
        <v>43</v>
      </c>
      <c r="L17" s="110"/>
      <c r="M17" s="110"/>
      <c r="N17" s="10" t="str">
        <f t="shared" si="0"/>
        <v>1</v>
      </c>
      <c r="O17" s="10" t="str">
        <f>INDEX(Кат!$H:$H,MATCH($A17,Кат!$A:$A,0))</f>
        <v>ASP</v>
      </c>
    </row>
    <row r="18" spans="1:15" ht="60">
      <c r="A18" s="109">
        <v>193361</v>
      </c>
      <c r="B18" s="109">
        <v>36838</v>
      </c>
      <c r="C18" s="110" t="s">
        <v>4507</v>
      </c>
      <c r="D18" s="110" t="s">
        <v>4472</v>
      </c>
      <c r="E18" s="110" t="s">
        <v>63</v>
      </c>
      <c r="F18" s="110" t="s">
        <v>63</v>
      </c>
      <c r="G18" s="110" t="s">
        <v>3</v>
      </c>
      <c r="H18" s="111">
        <v>1011.73</v>
      </c>
      <c r="I18" s="111">
        <v>1490</v>
      </c>
      <c r="J18" s="110"/>
      <c r="K18" s="110" t="s">
        <v>43</v>
      </c>
      <c r="L18" s="110"/>
      <c r="M18" s="110"/>
      <c r="N18" s="10" t="str">
        <f t="shared" si="0"/>
        <v>1</v>
      </c>
      <c r="O18" s="10" t="str">
        <f>INDEX(Кат!$H:$H,MATCH($A18,Кат!$A:$A,0))</f>
        <v>ASP</v>
      </c>
    </row>
    <row r="19" spans="1:15" ht="60">
      <c r="A19" s="109">
        <v>193362</v>
      </c>
      <c r="B19" s="109">
        <v>36839</v>
      </c>
      <c r="C19" s="110" t="s">
        <v>4508</v>
      </c>
      <c r="D19" s="110" t="s">
        <v>4472</v>
      </c>
      <c r="E19" s="110" t="s">
        <v>64</v>
      </c>
      <c r="F19" s="110" t="s">
        <v>64</v>
      </c>
      <c r="G19" s="110" t="s">
        <v>3</v>
      </c>
      <c r="H19" s="111">
        <v>919.68</v>
      </c>
      <c r="I19" s="111">
        <v>1390</v>
      </c>
      <c r="J19" s="110"/>
      <c r="K19" s="110" t="s">
        <v>43</v>
      </c>
      <c r="L19" s="110"/>
      <c r="M19" s="110"/>
      <c r="N19" s="10" t="str">
        <f t="shared" si="0"/>
        <v>1</v>
      </c>
      <c r="O19" s="10" t="str">
        <f>INDEX(Кат!$H:$H,MATCH($A19,Кат!$A:$A,0))</f>
        <v>ASP</v>
      </c>
    </row>
    <row r="20" spans="1:15" ht="30">
      <c r="A20" s="109">
        <v>202351</v>
      </c>
      <c r="B20" s="109">
        <v>41136</v>
      </c>
      <c r="C20" s="110" t="s">
        <v>4509</v>
      </c>
      <c r="D20" s="110" t="s">
        <v>4472</v>
      </c>
      <c r="E20" s="110" t="s">
        <v>329</v>
      </c>
      <c r="F20" s="110" t="s">
        <v>329</v>
      </c>
      <c r="G20" s="110" t="s">
        <v>3</v>
      </c>
      <c r="H20" s="111">
        <v>8790.1</v>
      </c>
      <c r="I20" s="111">
        <v>12990</v>
      </c>
      <c r="J20" s="110"/>
      <c r="K20" s="110" t="s">
        <v>43</v>
      </c>
      <c r="L20" s="110"/>
      <c r="M20" s="110" t="s">
        <v>4472</v>
      </c>
      <c r="N20" s="10" t="str">
        <f t="shared" si="0"/>
        <v>1</v>
      </c>
      <c r="O20" s="10" t="str">
        <f>INDEX(Кат!$H:$H,MATCH($A20,Кат!$A:$A,0))</f>
        <v>ASP</v>
      </c>
    </row>
    <row r="21" spans="1:15" ht="45">
      <c r="A21" s="109">
        <v>202352</v>
      </c>
      <c r="B21" s="109">
        <v>41122</v>
      </c>
      <c r="C21" s="110" t="s">
        <v>4510</v>
      </c>
      <c r="D21" s="110" t="s">
        <v>4472</v>
      </c>
      <c r="E21" s="110" t="s">
        <v>328</v>
      </c>
      <c r="F21" s="110" t="s">
        <v>328</v>
      </c>
      <c r="G21" s="110" t="s">
        <v>3</v>
      </c>
      <c r="H21" s="111">
        <v>7343.6</v>
      </c>
      <c r="I21" s="111">
        <v>10790</v>
      </c>
      <c r="J21" s="110"/>
      <c r="K21" s="110" t="s">
        <v>43</v>
      </c>
      <c r="L21" s="110"/>
      <c r="M21" s="110"/>
      <c r="N21" s="10" t="str">
        <f t="shared" si="0"/>
        <v>1</v>
      </c>
      <c r="O21" s="10" t="str">
        <f>INDEX(Кат!$H:$H,MATCH($A21,Кат!$A:$A,0))</f>
        <v>ASP</v>
      </c>
    </row>
    <row r="22" spans="1:15" ht="45">
      <c r="A22" s="109">
        <v>202391</v>
      </c>
      <c r="B22" s="109">
        <v>41301</v>
      </c>
      <c r="C22" s="110" t="s">
        <v>4511</v>
      </c>
      <c r="D22" s="110" t="s">
        <v>4472</v>
      </c>
      <c r="E22" s="110" t="s">
        <v>330</v>
      </c>
      <c r="F22" s="110" t="s">
        <v>330</v>
      </c>
      <c r="G22" s="110" t="s">
        <v>3</v>
      </c>
      <c r="H22" s="111">
        <v>6703.24</v>
      </c>
      <c r="I22" s="111">
        <v>9890</v>
      </c>
      <c r="J22" s="110"/>
      <c r="K22" s="110" t="s">
        <v>43</v>
      </c>
      <c r="L22" s="110"/>
      <c r="M22" s="110"/>
      <c r="N22" s="10" t="str">
        <f t="shared" si="0"/>
        <v>1</v>
      </c>
      <c r="O22" s="10" t="str">
        <f>INDEX(Кат!$H:$H,MATCH($A22,Кат!$A:$A,0))</f>
        <v>ASP</v>
      </c>
    </row>
    <row r="23" spans="1:15" ht="45">
      <c r="A23" s="109">
        <v>213027</v>
      </c>
      <c r="B23" s="109">
        <v>36871</v>
      </c>
      <c r="C23" s="110" t="s">
        <v>4512</v>
      </c>
      <c r="D23" s="110" t="s">
        <v>4472</v>
      </c>
      <c r="E23" s="110" t="s">
        <v>129</v>
      </c>
      <c r="F23" s="110" t="s">
        <v>129</v>
      </c>
      <c r="G23" s="110" t="s">
        <v>3</v>
      </c>
      <c r="H23" s="111">
        <v>3039.3</v>
      </c>
      <c r="I23" s="111">
        <v>4490</v>
      </c>
      <c r="J23" s="110"/>
      <c r="K23" s="110" t="s">
        <v>43</v>
      </c>
      <c r="L23" s="110"/>
      <c r="M23" s="110"/>
      <c r="N23" s="10" t="str">
        <f t="shared" si="0"/>
        <v>1</v>
      </c>
      <c r="O23" s="10" t="str">
        <f>INDEX(Кат!$H:$H,MATCH($A23,Кат!$A:$A,0))</f>
        <v>ASP</v>
      </c>
    </row>
    <row r="24" spans="1:15" ht="45">
      <c r="A24" s="109">
        <v>213028</v>
      </c>
      <c r="B24" s="109">
        <v>36872</v>
      </c>
      <c r="C24" s="110" t="s">
        <v>4513</v>
      </c>
      <c r="D24" s="110" t="s">
        <v>4472</v>
      </c>
      <c r="E24" s="110" t="s">
        <v>131</v>
      </c>
      <c r="F24" s="110" t="s">
        <v>131</v>
      </c>
      <c r="G24" s="110" t="s">
        <v>3</v>
      </c>
      <c r="H24" s="111">
        <v>3025</v>
      </c>
      <c r="I24" s="111">
        <v>4490</v>
      </c>
      <c r="J24" s="110"/>
      <c r="K24" s="110" t="s">
        <v>43</v>
      </c>
      <c r="L24" s="110"/>
      <c r="M24" s="110"/>
      <c r="N24" s="10" t="str">
        <f t="shared" si="0"/>
        <v>1</v>
      </c>
      <c r="O24" s="10" t="str">
        <f>INDEX(Кат!$H:$H,MATCH($A24,Кат!$A:$A,0))</f>
        <v>ASP</v>
      </c>
    </row>
    <row r="25" spans="1:15" ht="30">
      <c r="A25" s="109">
        <v>218711</v>
      </c>
      <c r="B25" s="109">
        <v>29417</v>
      </c>
      <c r="C25" s="110" t="s">
        <v>4514</v>
      </c>
      <c r="D25" s="110" t="s">
        <v>4472</v>
      </c>
      <c r="E25" s="110" t="s">
        <v>2</v>
      </c>
      <c r="F25" s="110" t="s">
        <v>2</v>
      </c>
      <c r="G25" s="110" t="s">
        <v>3</v>
      </c>
      <c r="H25" s="111">
        <v>2500</v>
      </c>
      <c r="I25" s="111">
        <v>3690</v>
      </c>
      <c r="J25" s="110"/>
      <c r="K25" s="110" t="s">
        <v>4473</v>
      </c>
      <c r="L25" s="110"/>
      <c r="M25" s="110"/>
      <c r="N25" s="10" t="str">
        <f t="shared" si="0"/>
        <v>0</v>
      </c>
      <c r="O25" s="10" t="str">
        <f>INDEX(Кат!$H:$H,MATCH($A25,Кат!$A:$A,0))</f>
        <v>ASP</v>
      </c>
    </row>
    <row r="26" spans="1:15">
      <c r="A26" s="109">
        <v>219410</v>
      </c>
      <c r="B26" s="109">
        <v>36337</v>
      </c>
      <c r="C26" s="110" t="s">
        <v>4515</v>
      </c>
      <c r="D26" s="110" t="s">
        <v>4472</v>
      </c>
      <c r="E26" s="110" t="s">
        <v>45</v>
      </c>
      <c r="F26" s="110"/>
      <c r="G26" s="110" t="s">
        <v>3</v>
      </c>
      <c r="H26" s="111">
        <v>174.36</v>
      </c>
      <c r="I26" s="111">
        <v>259</v>
      </c>
      <c r="J26" s="110"/>
      <c r="K26" s="110" t="s">
        <v>43</v>
      </c>
      <c r="L26" s="110" t="s">
        <v>43</v>
      </c>
      <c r="M26" s="110"/>
      <c r="N26" s="10" t="str">
        <f t="shared" si="0"/>
        <v>1ск1</v>
      </c>
      <c r="O26" s="10" t="str">
        <f>INDEX(Кат!$H:$H,MATCH($A26,Кат!$A:$A,0))</f>
        <v>ASP</v>
      </c>
    </row>
    <row r="27" spans="1:15" ht="60">
      <c r="A27" s="109">
        <v>219492</v>
      </c>
      <c r="B27" s="109">
        <v>29428</v>
      </c>
      <c r="C27" s="110" t="s">
        <v>4516</v>
      </c>
      <c r="D27" s="110" t="s">
        <v>4472</v>
      </c>
      <c r="E27" s="110" t="s">
        <v>4</v>
      </c>
      <c r="F27" s="110" t="s">
        <v>4</v>
      </c>
      <c r="G27" s="110" t="s">
        <v>3</v>
      </c>
      <c r="H27" s="111">
        <v>2475</v>
      </c>
      <c r="I27" s="111">
        <v>3290</v>
      </c>
      <c r="J27" s="110"/>
      <c r="K27" s="110" t="s">
        <v>43</v>
      </c>
      <c r="L27" s="110"/>
      <c r="M27" s="110"/>
      <c r="N27" s="10" t="str">
        <f t="shared" si="0"/>
        <v>1</v>
      </c>
      <c r="O27" s="10" t="str">
        <f>INDEX(Кат!$H:$H,MATCH($A27,Кат!$A:$A,0))</f>
        <v>ASP</v>
      </c>
    </row>
    <row r="28" spans="1:15" ht="30">
      <c r="A28" s="109">
        <v>219509</v>
      </c>
      <c r="B28" s="109">
        <v>29451</v>
      </c>
      <c r="C28" s="110" t="s">
        <v>4517</v>
      </c>
      <c r="D28" s="110" t="s">
        <v>4472</v>
      </c>
      <c r="E28" s="110" t="s">
        <v>14</v>
      </c>
      <c r="F28" s="110" t="s">
        <v>14</v>
      </c>
      <c r="G28" s="110" t="s">
        <v>3</v>
      </c>
      <c r="H28" s="111">
        <v>2300</v>
      </c>
      <c r="I28" s="111">
        <v>3390</v>
      </c>
      <c r="J28" s="110"/>
      <c r="K28" s="110" t="s">
        <v>43</v>
      </c>
      <c r="L28" s="110"/>
      <c r="M28" s="110" t="s">
        <v>4472</v>
      </c>
      <c r="N28" s="10" t="str">
        <f t="shared" si="0"/>
        <v>1</v>
      </c>
      <c r="O28" s="10" t="str">
        <f>INDEX(Кат!$H:$H,MATCH($A28,Кат!$A:$A,0))</f>
        <v>ASP</v>
      </c>
    </row>
    <row r="29" spans="1:15" ht="30">
      <c r="A29" s="109">
        <v>219510</v>
      </c>
      <c r="B29" s="109">
        <v>29430</v>
      </c>
      <c r="C29" s="110" t="s">
        <v>4518</v>
      </c>
      <c r="D29" s="110" t="s">
        <v>4472</v>
      </c>
      <c r="E29" s="110" t="s">
        <v>5</v>
      </c>
      <c r="F29" s="110" t="s">
        <v>5</v>
      </c>
      <c r="G29" s="110" t="s">
        <v>3</v>
      </c>
      <c r="H29" s="111">
        <v>2637.8</v>
      </c>
      <c r="I29" s="111">
        <v>3890</v>
      </c>
      <c r="J29" s="110"/>
      <c r="K29" s="110" t="s">
        <v>43</v>
      </c>
      <c r="L29" s="110"/>
      <c r="M29" s="110"/>
      <c r="N29" s="10" t="str">
        <f t="shared" si="0"/>
        <v>1</v>
      </c>
      <c r="O29" s="10" t="str">
        <f>INDEX(Кат!$H:$H,MATCH($A29,Кат!$A:$A,0))</f>
        <v>ASP</v>
      </c>
    </row>
    <row r="30" spans="1:15" ht="45">
      <c r="A30" s="109">
        <v>219511</v>
      </c>
      <c r="B30" s="109">
        <v>29446</v>
      </c>
      <c r="C30" s="110" t="s">
        <v>4519</v>
      </c>
      <c r="D30" s="110" t="s">
        <v>4472</v>
      </c>
      <c r="E30" s="110" t="s">
        <v>11</v>
      </c>
      <c r="F30" s="110" t="s">
        <v>11</v>
      </c>
      <c r="G30" s="110" t="s">
        <v>3</v>
      </c>
      <c r="H30" s="111">
        <v>2904</v>
      </c>
      <c r="I30" s="111">
        <v>3890</v>
      </c>
      <c r="J30" s="110"/>
      <c r="K30" s="110" t="s">
        <v>43</v>
      </c>
      <c r="L30" s="110"/>
      <c r="M30" s="110" t="s">
        <v>4472</v>
      </c>
      <c r="N30" s="10" t="str">
        <f t="shared" si="0"/>
        <v>1</v>
      </c>
      <c r="O30" s="10" t="str">
        <f>INDEX(Кат!$H:$H,MATCH($A30,Кат!$A:$A,0))</f>
        <v>ASP</v>
      </c>
    </row>
    <row r="31" spans="1:15" ht="60">
      <c r="A31" s="109">
        <v>219512</v>
      </c>
      <c r="B31" s="109">
        <v>29433</v>
      </c>
      <c r="C31" s="110" t="s">
        <v>4520</v>
      </c>
      <c r="D31" s="110" t="s">
        <v>4472</v>
      </c>
      <c r="E31" s="110" t="s">
        <v>7</v>
      </c>
      <c r="F31" s="110" t="s">
        <v>7</v>
      </c>
      <c r="G31" s="110" t="s">
        <v>3</v>
      </c>
      <c r="H31" s="111">
        <v>2415.9499999999998</v>
      </c>
      <c r="I31" s="111">
        <v>3290</v>
      </c>
      <c r="J31" s="110"/>
      <c r="K31" s="110" t="s">
        <v>43</v>
      </c>
      <c r="L31" s="110"/>
      <c r="M31" s="110"/>
      <c r="N31" s="10" t="str">
        <f t="shared" si="0"/>
        <v>1</v>
      </c>
      <c r="O31" s="10" t="str">
        <f>INDEX(Кат!$H:$H,MATCH($A31,Кат!$A:$A,0))</f>
        <v>ASP</v>
      </c>
    </row>
    <row r="32" spans="1:15" ht="75">
      <c r="A32" s="109">
        <v>219513</v>
      </c>
      <c r="B32" s="109">
        <v>29437</v>
      </c>
      <c r="C32" s="110" t="s">
        <v>4521</v>
      </c>
      <c r="D32" s="110" t="s">
        <v>4472</v>
      </c>
      <c r="E32" s="110" t="s">
        <v>8</v>
      </c>
      <c r="F32" s="110" t="s">
        <v>8</v>
      </c>
      <c r="G32" s="110" t="s">
        <v>3</v>
      </c>
      <c r="H32" s="111">
        <v>2310</v>
      </c>
      <c r="I32" s="111">
        <v>3390</v>
      </c>
      <c r="J32" s="110"/>
      <c r="K32" s="110" t="s">
        <v>43</v>
      </c>
      <c r="L32" s="110"/>
      <c r="M32" s="110"/>
      <c r="N32" s="10" t="str">
        <f t="shared" si="0"/>
        <v>1</v>
      </c>
      <c r="O32" s="10" t="str">
        <f>INDEX(Кат!$H:$H,MATCH($A32,Кат!$A:$A,0))</f>
        <v>ASP</v>
      </c>
    </row>
    <row r="33" spans="1:15" ht="45">
      <c r="A33" s="109">
        <v>219514</v>
      </c>
      <c r="B33" s="109">
        <v>29432</v>
      </c>
      <c r="C33" s="110" t="s">
        <v>4522</v>
      </c>
      <c r="D33" s="110" t="s">
        <v>4472</v>
      </c>
      <c r="E33" s="110" t="s">
        <v>6</v>
      </c>
      <c r="F33" s="110" t="s">
        <v>6</v>
      </c>
      <c r="G33" s="110" t="s">
        <v>3</v>
      </c>
      <c r="H33" s="111">
        <v>2273.35</v>
      </c>
      <c r="I33" s="111">
        <v>3090</v>
      </c>
      <c r="J33" s="110"/>
      <c r="K33" s="110" t="s">
        <v>43</v>
      </c>
      <c r="L33" s="110"/>
      <c r="M33" s="110"/>
      <c r="N33" s="10" t="str">
        <f t="shared" si="0"/>
        <v>1</v>
      </c>
      <c r="O33" s="10" t="str">
        <f>INDEX(Кат!$H:$H,MATCH($A33,Кат!$A:$A,0))</f>
        <v>ASP</v>
      </c>
    </row>
    <row r="34" spans="1:15" ht="90">
      <c r="A34" s="109">
        <v>219515</v>
      </c>
      <c r="B34" s="109">
        <v>29439</v>
      </c>
      <c r="C34" s="110" t="s">
        <v>4523</v>
      </c>
      <c r="D34" s="110" t="s">
        <v>4472</v>
      </c>
      <c r="E34" s="110" t="s">
        <v>9</v>
      </c>
      <c r="F34" s="110" t="s">
        <v>9</v>
      </c>
      <c r="G34" s="110" t="s">
        <v>3</v>
      </c>
      <c r="H34" s="111">
        <v>2303.33</v>
      </c>
      <c r="I34" s="111">
        <v>3390</v>
      </c>
      <c r="J34" s="110"/>
      <c r="K34" s="110" t="s">
        <v>43</v>
      </c>
      <c r="L34" s="110"/>
      <c r="M34" s="110"/>
      <c r="N34" s="10" t="str">
        <f t="shared" si="0"/>
        <v>1</v>
      </c>
      <c r="O34" s="10" t="str">
        <f>INDEX(Кат!$H:$H,MATCH($A34,Кат!$A:$A,0))</f>
        <v>ASP</v>
      </c>
    </row>
    <row r="35" spans="1:15" ht="90">
      <c r="A35" s="109">
        <v>219516</v>
      </c>
      <c r="B35" s="109">
        <v>29441</v>
      </c>
      <c r="C35" s="110" t="s">
        <v>4524</v>
      </c>
      <c r="D35" s="110" t="s">
        <v>4472</v>
      </c>
      <c r="E35" s="110" t="s">
        <v>10</v>
      </c>
      <c r="F35" s="110" t="s">
        <v>10</v>
      </c>
      <c r="G35" s="110" t="s">
        <v>3</v>
      </c>
      <c r="H35" s="111">
        <v>3737.8</v>
      </c>
      <c r="I35" s="111">
        <v>4990</v>
      </c>
      <c r="J35" s="110"/>
      <c r="K35" s="110" t="s">
        <v>43</v>
      </c>
      <c r="L35" s="110"/>
      <c r="M35" s="110" t="s">
        <v>4472</v>
      </c>
      <c r="N35" s="10" t="str">
        <f t="shared" si="0"/>
        <v>1</v>
      </c>
      <c r="O35" s="10" t="str">
        <f>INDEX(Кат!$H:$H,MATCH($A35,Кат!$A:$A,0))</f>
        <v>ASP</v>
      </c>
    </row>
    <row r="36" spans="1:15" ht="45">
      <c r="A36" s="109">
        <v>219517</v>
      </c>
      <c r="B36" s="109">
        <v>29447</v>
      </c>
      <c r="C36" s="110" t="s">
        <v>4525</v>
      </c>
      <c r="D36" s="110" t="s">
        <v>4472</v>
      </c>
      <c r="E36" s="110" t="s">
        <v>12</v>
      </c>
      <c r="F36" s="110" t="s">
        <v>12</v>
      </c>
      <c r="G36" s="110" t="s">
        <v>3</v>
      </c>
      <c r="H36" s="111">
        <v>3619</v>
      </c>
      <c r="I36" s="111">
        <v>5390</v>
      </c>
      <c r="J36" s="110"/>
      <c r="K36" s="110" t="s">
        <v>43</v>
      </c>
      <c r="L36" s="110"/>
      <c r="M36" s="110"/>
      <c r="N36" s="10" t="str">
        <f t="shared" si="0"/>
        <v>1</v>
      </c>
      <c r="O36" s="10" t="str">
        <f>INDEX(Кат!$H:$H,MATCH($A36,Кат!$A:$A,0))</f>
        <v>ASP</v>
      </c>
    </row>
    <row r="37" spans="1:15" ht="60">
      <c r="A37" s="109">
        <v>219518</v>
      </c>
      <c r="B37" s="109">
        <v>29449</v>
      </c>
      <c r="C37" s="110" t="s">
        <v>4526</v>
      </c>
      <c r="D37" s="110" t="s">
        <v>4472</v>
      </c>
      <c r="E37" s="110" t="s">
        <v>13</v>
      </c>
      <c r="F37" s="110" t="s">
        <v>13</v>
      </c>
      <c r="G37" s="110" t="s">
        <v>3</v>
      </c>
      <c r="H37" s="111">
        <v>4397.8</v>
      </c>
      <c r="I37" s="111">
        <v>5890</v>
      </c>
      <c r="J37" s="110"/>
      <c r="K37" s="110" t="s">
        <v>43</v>
      </c>
      <c r="L37" s="110"/>
      <c r="M37" s="110"/>
      <c r="N37" s="10" t="str">
        <f t="shared" si="0"/>
        <v>1</v>
      </c>
      <c r="O37" s="10" t="str">
        <f>INDEX(Кат!$H:$H,MATCH($A37,Кат!$A:$A,0))</f>
        <v>ASP</v>
      </c>
    </row>
    <row r="38" spans="1:15" ht="45">
      <c r="A38" s="109">
        <v>219573</v>
      </c>
      <c r="B38" s="109">
        <v>29453</v>
      </c>
      <c r="C38" s="110" t="s">
        <v>4527</v>
      </c>
      <c r="D38" s="110" t="s">
        <v>4472</v>
      </c>
      <c r="E38" s="110" t="s">
        <v>16</v>
      </c>
      <c r="F38" s="110" t="s">
        <v>16</v>
      </c>
      <c r="G38" s="110" t="s">
        <v>3</v>
      </c>
      <c r="H38" s="111">
        <v>729.14</v>
      </c>
      <c r="I38" s="111">
        <v>1090</v>
      </c>
      <c r="J38" s="110"/>
      <c r="K38" s="110" t="s">
        <v>43</v>
      </c>
      <c r="L38" s="110" t="s">
        <v>4407</v>
      </c>
      <c r="M38" s="110"/>
      <c r="N38" s="10" t="str">
        <f t="shared" si="0"/>
        <v>1ск4</v>
      </c>
      <c r="O38" s="10" t="str">
        <f>INDEX(Кат!$H:$H,MATCH($A38,Кат!$A:$A,0))</f>
        <v>ASP</v>
      </c>
    </row>
    <row r="39" spans="1:15" ht="45">
      <c r="A39" s="109">
        <v>219572</v>
      </c>
      <c r="B39" s="109">
        <v>29454</v>
      </c>
      <c r="C39" s="110" t="s">
        <v>4528</v>
      </c>
      <c r="D39" s="110" t="s">
        <v>4472</v>
      </c>
      <c r="E39" s="110" t="s">
        <v>17</v>
      </c>
      <c r="F39" s="110" t="s">
        <v>17</v>
      </c>
      <c r="G39" s="110" t="s">
        <v>3</v>
      </c>
      <c r="H39" s="111">
        <v>579.27</v>
      </c>
      <c r="I39" s="111">
        <v>859</v>
      </c>
      <c r="J39" s="110"/>
      <c r="K39" s="110" t="s">
        <v>43</v>
      </c>
      <c r="L39" s="110"/>
      <c r="M39" s="110"/>
      <c r="N39" s="10" t="str">
        <f t="shared" si="0"/>
        <v>1</v>
      </c>
      <c r="O39" s="10" t="str">
        <f>INDEX(Кат!$H:$H,MATCH($A39,Кат!$A:$A,0))</f>
        <v>ASP</v>
      </c>
    </row>
    <row r="40" spans="1:15" ht="30">
      <c r="A40" s="109">
        <v>219574</v>
      </c>
      <c r="B40" s="109">
        <v>36883</v>
      </c>
      <c r="C40" s="110" t="s">
        <v>4529</v>
      </c>
      <c r="D40" s="110" t="s">
        <v>4472</v>
      </c>
      <c r="E40" s="110" t="s">
        <v>230</v>
      </c>
      <c r="F40" s="110" t="s">
        <v>230</v>
      </c>
      <c r="G40" s="110" t="s">
        <v>3</v>
      </c>
      <c r="H40" s="111">
        <v>988.9</v>
      </c>
      <c r="I40" s="111">
        <v>1490</v>
      </c>
      <c r="J40" s="110"/>
      <c r="K40" s="110" t="s">
        <v>43</v>
      </c>
      <c r="L40" s="110"/>
      <c r="M40" s="110"/>
      <c r="N40" s="10" t="str">
        <f t="shared" si="0"/>
        <v>1</v>
      </c>
      <c r="O40" s="10" t="str">
        <f>INDEX(Кат!$H:$H,MATCH($A40,Кат!$A:$A,0))</f>
        <v>ASP</v>
      </c>
    </row>
    <row r="41" spans="1:15" ht="45">
      <c r="A41" s="109">
        <v>219575</v>
      </c>
      <c r="B41" s="109">
        <v>29456</v>
      </c>
      <c r="C41" s="110" t="s">
        <v>4530</v>
      </c>
      <c r="D41" s="110" t="s">
        <v>4472</v>
      </c>
      <c r="E41" s="110" t="s">
        <v>18</v>
      </c>
      <c r="F41" s="110" t="s">
        <v>18</v>
      </c>
      <c r="G41" s="110" t="s">
        <v>3</v>
      </c>
      <c r="H41" s="111">
        <v>650.4</v>
      </c>
      <c r="I41" s="111">
        <v>959</v>
      </c>
      <c r="J41" s="110"/>
      <c r="K41" s="110" t="s">
        <v>43</v>
      </c>
      <c r="L41" s="110"/>
      <c r="M41" s="110"/>
      <c r="N41" s="10" t="str">
        <f t="shared" si="0"/>
        <v>1</v>
      </c>
      <c r="O41" s="10" t="str">
        <f>INDEX(Кат!$H:$H,MATCH($A41,Кат!$A:$A,0))</f>
        <v>ASP</v>
      </c>
    </row>
    <row r="42" spans="1:15" ht="30">
      <c r="A42" s="109">
        <v>219576</v>
      </c>
      <c r="B42" s="109">
        <v>29452</v>
      </c>
      <c r="C42" s="110" t="s">
        <v>4531</v>
      </c>
      <c r="D42" s="110" t="s">
        <v>4472</v>
      </c>
      <c r="E42" s="110" t="s">
        <v>4408</v>
      </c>
      <c r="F42" s="110" t="s">
        <v>15</v>
      </c>
      <c r="G42" s="110" t="s">
        <v>3</v>
      </c>
      <c r="H42" s="111">
        <v>1665.4</v>
      </c>
      <c r="I42" s="111">
        <v>2490</v>
      </c>
      <c r="J42" s="110"/>
      <c r="K42" s="110" t="s">
        <v>43</v>
      </c>
      <c r="L42" s="110"/>
      <c r="M42" s="110"/>
      <c r="N42" s="10" t="str">
        <f t="shared" si="0"/>
        <v>1</v>
      </c>
      <c r="O42" s="10" t="str">
        <f>INDEX(Кат!$H:$H,MATCH($A42,Кат!$A:$A,0))</f>
        <v>ASP</v>
      </c>
    </row>
    <row r="43" spans="1:15" ht="30">
      <c r="A43" s="109">
        <v>219577</v>
      </c>
      <c r="B43" s="109">
        <v>29459</v>
      </c>
      <c r="C43" s="110" t="s">
        <v>4532</v>
      </c>
      <c r="D43" s="110" t="s">
        <v>4472</v>
      </c>
      <c r="E43" s="110" t="s">
        <v>19</v>
      </c>
      <c r="F43" s="110" t="s">
        <v>19</v>
      </c>
      <c r="G43" s="110" t="s">
        <v>3</v>
      </c>
      <c r="H43" s="111">
        <v>382.34</v>
      </c>
      <c r="I43" s="111">
        <v>569</v>
      </c>
      <c r="J43" s="110"/>
      <c r="K43" s="110" t="s">
        <v>43</v>
      </c>
      <c r="L43" s="110"/>
      <c r="M43" s="110"/>
      <c r="N43" s="10" t="str">
        <f t="shared" si="0"/>
        <v>1</v>
      </c>
      <c r="O43" s="10" t="str">
        <f>INDEX(Кат!$H:$H,MATCH($A43,Кат!$A:$A,0))</f>
        <v>ASP</v>
      </c>
    </row>
    <row r="44" spans="1:15" ht="45">
      <c r="A44" s="109">
        <v>219578</v>
      </c>
      <c r="B44" s="109">
        <v>29461</v>
      </c>
      <c r="C44" s="110" t="s">
        <v>4533</v>
      </c>
      <c r="D44" s="110" t="s">
        <v>4472</v>
      </c>
      <c r="E44" s="110" t="s">
        <v>20</v>
      </c>
      <c r="F44" s="110" t="s">
        <v>20</v>
      </c>
      <c r="G44" s="110" t="s">
        <v>3</v>
      </c>
      <c r="H44" s="111">
        <v>459.83</v>
      </c>
      <c r="I44" s="111">
        <v>679</v>
      </c>
      <c r="J44" s="110"/>
      <c r="K44" s="110" t="s">
        <v>43</v>
      </c>
      <c r="L44" s="110"/>
      <c r="M44" s="110"/>
      <c r="N44" s="10" t="str">
        <f t="shared" si="0"/>
        <v>1</v>
      </c>
      <c r="O44" s="10" t="str">
        <f>INDEX(Кат!$H:$H,MATCH($A44,Кат!$A:$A,0))</f>
        <v>ASP</v>
      </c>
    </row>
    <row r="45" spans="1:15" ht="45">
      <c r="A45" s="109">
        <v>219579</v>
      </c>
      <c r="B45" s="109">
        <v>29462</v>
      </c>
      <c r="C45" s="110" t="s">
        <v>4534</v>
      </c>
      <c r="D45" s="110" t="s">
        <v>4472</v>
      </c>
      <c r="E45" s="110" t="s">
        <v>21</v>
      </c>
      <c r="F45" s="110" t="s">
        <v>21</v>
      </c>
      <c r="G45" s="110" t="s">
        <v>3</v>
      </c>
      <c r="H45" s="111">
        <v>470.17</v>
      </c>
      <c r="I45" s="111">
        <v>699</v>
      </c>
      <c r="J45" s="110"/>
      <c r="K45" s="110" t="s">
        <v>43</v>
      </c>
      <c r="L45" s="110"/>
      <c r="M45" s="110"/>
      <c r="N45" s="10" t="str">
        <f t="shared" si="0"/>
        <v>1</v>
      </c>
      <c r="O45" s="10" t="str">
        <f>INDEX(Кат!$H:$H,MATCH($A45,Кат!$A:$A,0))</f>
        <v>ASP</v>
      </c>
    </row>
    <row r="46" spans="1:15" ht="30">
      <c r="A46" s="109">
        <v>219580</v>
      </c>
      <c r="B46" s="109">
        <v>29475</v>
      </c>
      <c r="C46" s="110" t="s">
        <v>4535</v>
      </c>
      <c r="D46" s="110" t="s">
        <v>4472</v>
      </c>
      <c r="E46" s="110" t="s">
        <v>25</v>
      </c>
      <c r="F46" s="110" t="s">
        <v>25</v>
      </c>
      <c r="G46" s="110" t="s">
        <v>3</v>
      </c>
      <c r="H46" s="111">
        <v>916.52</v>
      </c>
      <c r="I46" s="111">
        <v>1390</v>
      </c>
      <c r="J46" s="110"/>
      <c r="K46" s="110" t="s">
        <v>43</v>
      </c>
      <c r="L46" s="110"/>
      <c r="M46" s="110"/>
      <c r="N46" s="10" t="str">
        <f t="shared" si="0"/>
        <v>1</v>
      </c>
      <c r="O46" s="10" t="str">
        <f>INDEX(Кат!$H:$H,MATCH($A46,Кат!$A:$A,0))</f>
        <v>ASP</v>
      </c>
    </row>
    <row r="47" spans="1:15" ht="45">
      <c r="A47" s="109">
        <v>219581</v>
      </c>
      <c r="B47" s="109">
        <v>29468</v>
      </c>
      <c r="C47" s="110" t="s">
        <v>4536</v>
      </c>
      <c r="D47" s="110" t="s">
        <v>4472</v>
      </c>
      <c r="E47" s="110" t="s">
        <v>24</v>
      </c>
      <c r="F47" s="110" t="s">
        <v>24</v>
      </c>
      <c r="G47" s="110" t="s">
        <v>3</v>
      </c>
      <c r="H47" s="111">
        <v>645.87</v>
      </c>
      <c r="I47" s="111">
        <v>949</v>
      </c>
      <c r="J47" s="110"/>
      <c r="K47" s="110" t="s">
        <v>43</v>
      </c>
      <c r="L47" s="110"/>
      <c r="M47" s="110"/>
      <c r="N47" s="10" t="str">
        <f t="shared" si="0"/>
        <v>1</v>
      </c>
      <c r="O47" s="10" t="str">
        <f>INDEX(Кат!$H:$H,MATCH($A47,Кат!$A:$A,0))</f>
        <v>ASP</v>
      </c>
    </row>
    <row r="48" spans="1:15" ht="45">
      <c r="A48" s="109">
        <v>219582</v>
      </c>
      <c r="B48" s="109">
        <v>29465</v>
      </c>
      <c r="C48" s="110" t="s">
        <v>4537</v>
      </c>
      <c r="D48" s="110" t="s">
        <v>4472</v>
      </c>
      <c r="E48" s="110" t="s">
        <v>23</v>
      </c>
      <c r="F48" s="110" t="s">
        <v>23</v>
      </c>
      <c r="G48" s="110" t="s">
        <v>3</v>
      </c>
      <c r="H48" s="111">
        <v>619.99</v>
      </c>
      <c r="I48" s="111">
        <v>919</v>
      </c>
      <c r="J48" s="110"/>
      <c r="K48" s="110" t="s">
        <v>43</v>
      </c>
      <c r="L48" s="110"/>
      <c r="M48" s="110"/>
      <c r="N48" s="10" t="str">
        <f t="shared" si="0"/>
        <v>1</v>
      </c>
      <c r="O48" s="10" t="str">
        <f>INDEX(Кат!$H:$H,MATCH($A48,Кат!$A:$A,0))</f>
        <v>ASP</v>
      </c>
    </row>
    <row r="49" spans="1:15" ht="45">
      <c r="A49" s="109">
        <v>219583</v>
      </c>
      <c r="B49" s="109">
        <v>29464</v>
      </c>
      <c r="C49" s="110" t="s">
        <v>4538</v>
      </c>
      <c r="D49" s="110" t="s">
        <v>4472</v>
      </c>
      <c r="E49" s="110" t="s">
        <v>22</v>
      </c>
      <c r="F49" s="110" t="s">
        <v>22</v>
      </c>
      <c r="G49" s="110" t="s">
        <v>3</v>
      </c>
      <c r="H49" s="111">
        <v>465</v>
      </c>
      <c r="I49" s="111">
        <v>689</v>
      </c>
      <c r="J49" s="110"/>
      <c r="K49" s="110" t="s">
        <v>43</v>
      </c>
      <c r="L49" s="110"/>
      <c r="M49" s="110"/>
      <c r="N49" s="10" t="str">
        <f t="shared" si="0"/>
        <v>1</v>
      </c>
      <c r="O49" s="10" t="str">
        <f>INDEX(Кат!$H:$H,MATCH($A49,Кат!$A:$A,0))</f>
        <v>ASP</v>
      </c>
    </row>
    <row r="50" spans="1:15" ht="45">
      <c r="A50" s="109">
        <v>219741</v>
      </c>
      <c r="B50" s="109">
        <v>29477</v>
      </c>
      <c r="C50" s="110" t="s">
        <v>4539</v>
      </c>
      <c r="D50" s="110" t="s">
        <v>4472</v>
      </c>
      <c r="E50" s="110" t="s">
        <v>42</v>
      </c>
      <c r="F50" s="110" t="s">
        <v>42</v>
      </c>
      <c r="G50" s="110" t="s">
        <v>3</v>
      </c>
      <c r="H50" s="111">
        <v>772.2</v>
      </c>
      <c r="I50" s="111">
        <v>1190</v>
      </c>
      <c r="J50" s="110"/>
      <c r="K50" s="110" t="s">
        <v>43</v>
      </c>
      <c r="L50" s="110"/>
      <c r="M50" s="110"/>
      <c r="N50" s="10" t="str">
        <f t="shared" si="0"/>
        <v>1</v>
      </c>
      <c r="O50" s="10" t="str">
        <f>INDEX(Кат!$H:$H,MATCH($A50,Кат!$A:$A,0))</f>
        <v>ASP</v>
      </c>
    </row>
    <row r="51" spans="1:15" ht="45">
      <c r="A51" s="109">
        <v>219742</v>
      </c>
      <c r="B51" s="109">
        <v>29476</v>
      </c>
      <c r="C51" s="110" t="s">
        <v>4540</v>
      </c>
      <c r="D51" s="110" t="s">
        <v>4472</v>
      </c>
      <c r="E51" s="110" t="s">
        <v>26</v>
      </c>
      <c r="F51" s="110" t="s">
        <v>26</v>
      </c>
      <c r="G51" s="110" t="s">
        <v>3</v>
      </c>
      <c r="H51" s="111">
        <v>353.1</v>
      </c>
      <c r="I51" s="111">
        <v>519</v>
      </c>
      <c r="J51" s="110"/>
      <c r="K51" s="110" t="s">
        <v>43</v>
      </c>
      <c r="L51" s="110"/>
      <c r="M51" s="110"/>
      <c r="N51" s="10" t="str">
        <f t="shared" si="0"/>
        <v>1</v>
      </c>
      <c r="O51" s="10" t="str">
        <f>INDEX(Кат!$H:$H,MATCH($A51,Кат!$A:$A,0))</f>
        <v>ASP</v>
      </c>
    </row>
    <row r="52" spans="1:15" ht="30">
      <c r="A52" s="109">
        <v>219797</v>
      </c>
      <c r="B52" s="109">
        <v>29483</v>
      </c>
      <c r="C52" s="110" t="s">
        <v>4541</v>
      </c>
      <c r="D52" s="110" t="s">
        <v>4472</v>
      </c>
      <c r="E52" s="110" t="s">
        <v>30</v>
      </c>
      <c r="F52" s="110" t="s">
        <v>30</v>
      </c>
      <c r="G52" s="110" t="s">
        <v>3</v>
      </c>
      <c r="H52" s="111">
        <v>789.01</v>
      </c>
      <c r="I52" s="111">
        <v>1190</v>
      </c>
      <c r="J52" s="110"/>
      <c r="K52" s="110" t="s">
        <v>4473</v>
      </c>
      <c r="L52" s="110"/>
      <c r="M52" s="110"/>
      <c r="N52" s="10" t="str">
        <f t="shared" si="0"/>
        <v>0</v>
      </c>
      <c r="O52" s="10" t="str">
        <f>INDEX(Кат!$H:$H,MATCH($A52,Кат!$A:$A,0))</f>
        <v>ASP</v>
      </c>
    </row>
    <row r="53" spans="1:15" ht="30">
      <c r="A53" s="109">
        <v>219798</v>
      </c>
      <c r="B53" s="109">
        <v>29490</v>
      </c>
      <c r="C53" s="110" t="s">
        <v>4542</v>
      </c>
      <c r="D53" s="110" t="s">
        <v>4472</v>
      </c>
      <c r="E53" s="110" t="s">
        <v>33</v>
      </c>
      <c r="F53" s="110" t="s">
        <v>33</v>
      </c>
      <c r="G53" s="110" t="s">
        <v>3</v>
      </c>
      <c r="H53" s="111">
        <v>526.52</v>
      </c>
      <c r="I53" s="111">
        <v>779</v>
      </c>
      <c r="J53" s="110"/>
      <c r="K53" s="110" t="s">
        <v>43</v>
      </c>
      <c r="L53" s="110"/>
      <c r="M53" s="110"/>
      <c r="N53" s="10" t="str">
        <f t="shared" si="0"/>
        <v>1</v>
      </c>
      <c r="O53" s="10" t="str">
        <f>INDEX(Кат!$H:$H,MATCH($A53,Кат!$A:$A,0))</f>
        <v>ASP</v>
      </c>
    </row>
    <row r="54" spans="1:15" ht="30">
      <c r="A54" s="109">
        <v>219799</v>
      </c>
      <c r="B54" s="109">
        <v>29489</v>
      </c>
      <c r="C54" s="110" t="s">
        <v>4543</v>
      </c>
      <c r="D54" s="110" t="s">
        <v>4472</v>
      </c>
      <c r="E54" s="110" t="s">
        <v>32</v>
      </c>
      <c r="F54" s="110" t="s">
        <v>32</v>
      </c>
      <c r="G54" s="110" t="s">
        <v>3</v>
      </c>
      <c r="H54" s="111">
        <v>705.45</v>
      </c>
      <c r="I54" s="111">
        <v>1090</v>
      </c>
      <c r="J54" s="110"/>
      <c r="K54" s="110" t="s">
        <v>43</v>
      </c>
      <c r="L54" s="110"/>
      <c r="M54" s="110"/>
      <c r="N54" s="10" t="str">
        <f t="shared" si="0"/>
        <v>1</v>
      </c>
      <c r="O54" s="10" t="str">
        <f>INDEX(Кат!$H:$H,MATCH($A54,Кат!$A:$A,0))</f>
        <v>ASP</v>
      </c>
    </row>
    <row r="55" spans="1:15" ht="30">
      <c r="A55" s="109">
        <v>219800</v>
      </c>
      <c r="B55" s="109">
        <v>29485</v>
      </c>
      <c r="C55" s="110" t="s">
        <v>4544</v>
      </c>
      <c r="D55" s="110" t="s">
        <v>4472</v>
      </c>
      <c r="E55" s="110" t="s">
        <v>31</v>
      </c>
      <c r="F55" s="110" t="s">
        <v>31</v>
      </c>
      <c r="G55" s="110" t="s">
        <v>3</v>
      </c>
      <c r="H55" s="111">
        <v>789.01</v>
      </c>
      <c r="I55" s="111">
        <v>1190</v>
      </c>
      <c r="J55" s="110"/>
      <c r="K55" s="110" t="s">
        <v>43</v>
      </c>
      <c r="L55" s="110"/>
      <c r="M55" s="110"/>
      <c r="N55" s="10" t="str">
        <f t="shared" si="0"/>
        <v>1</v>
      </c>
      <c r="O55" s="10" t="str">
        <f>INDEX(Кат!$H:$H,MATCH($A55,Кат!$A:$A,0))</f>
        <v>ASP</v>
      </c>
    </row>
    <row r="56" spans="1:15" ht="30">
      <c r="A56" s="109">
        <v>219801</v>
      </c>
      <c r="B56" s="109">
        <v>29487</v>
      </c>
      <c r="C56" s="110" t="s">
        <v>4545</v>
      </c>
      <c r="D56" s="110" t="s">
        <v>4472</v>
      </c>
      <c r="E56" s="110" t="s">
        <v>362</v>
      </c>
      <c r="F56" s="110" t="s">
        <v>362</v>
      </c>
      <c r="G56" s="110" t="s">
        <v>3</v>
      </c>
      <c r="H56" s="111">
        <v>778.62</v>
      </c>
      <c r="I56" s="111">
        <v>1190</v>
      </c>
      <c r="J56" s="110"/>
      <c r="K56" s="110" t="s">
        <v>43</v>
      </c>
      <c r="L56" s="110"/>
      <c r="M56" s="110"/>
      <c r="N56" s="10" t="str">
        <f t="shared" si="0"/>
        <v>1</v>
      </c>
      <c r="O56" s="10" t="str">
        <f>INDEX(Кат!$H:$H,MATCH($A56,Кат!$A:$A,0))</f>
        <v>ASP</v>
      </c>
    </row>
    <row r="57" spans="1:15" ht="30">
      <c r="A57" s="109">
        <v>219802</v>
      </c>
      <c r="B57" s="109">
        <v>29491</v>
      </c>
      <c r="C57" s="110" t="s">
        <v>4546</v>
      </c>
      <c r="D57" s="110" t="s">
        <v>4472</v>
      </c>
      <c r="E57" s="110" t="s">
        <v>4409</v>
      </c>
      <c r="F57" s="110" t="s">
        <v>34</v>
      </c>
      <c r="G57" s="110" t="s">
        <v>3</v>
      </c>
      <c r="H57" s="111">
        <v>153.71</v>
      </c>
      <c r="I57" s="111">
        <v>229</v>
      </c>
      <c r="J57" s="110"/>
      <c r="K57" s="110" t="s">
        <v>43</v>
      </c>
      <c r="L57" s="110" t="s">
        <v>4407</v>
      </c>
      <c r="M57" s="110"/>
      <c r="N57" s="10" t="str">
        <f t="shared" si="0"/>
        <v>1ск4</v>
      </c>
      <c r="O57" s="10" t="str">
        <f>INDEX(Кат!$H:$H,MATCH($A57,Кат!$A:$A,0))</f>
        <v>ASP</v>
      </c>
    </row>
    <row r="58" spans="1:15" ht="30">
      <c r="A58" s="109">
        <v>219803</v>
      </c>
      <c r="B58" s="109">
        <v>29492</v>
      </c>
      <c r="C58" s="110" t="s">
        <v>4547</v>
      </c>
      <c r="D58" s="110" t="s">
        <v>4472</v>
      </c>
      <c r="E58" s="110" t="s">
        <v>34</v>
      </c>
      <c r="F58" s="110" t="s">
        <v>34</v>
      </c>
      <c r="G58" s="110" t="s">
        <v>3</v>
      </c>
      <c r="H58" s="111">
        <v>137.65</v>
      </c>
      <c r="I58" s="111">
        <v>209</v>
      </c>
      <c r="J58" s="110"/>
      <c r="K58" s="110" t="s">
        <v>43</v>
      </c>
      <c r="L58" s="110"/>
      <c r="M58" s="110"/>
      <c r="N58" s="10" t="str">
        <f t="shared" si="0"/>
        <v>1</v>
      </c>
      <c r="O58" s="10" t="str">
        <f>INDEX(Кат!$H:$H,MATCH($A58,Кат!$A:$A,0))</f>
        <v>ASP</v>
      </c>
    </row>
    <row r="59" spans="1:15" ht="45">
      <c r="A59" s="109">
        <v>219804</v>
      </c>
      <c r="B59" s="109">
        <v>29493</v>
      </c>
      <c r="C59" s="110" t="s">
        <v>4548</v>
      </c>
      <c r="D59" s="110" t="s">
        <v>4472</v>
      </c>
      <c r="E59" s="110" t="s">
        <v>4410</v>
      </c>
      <c r="F59" s="110" t="s">
        <v>34</v>
      </c>
      <c r="G59" s="110" t="s">
        <v>3</v>
      </c>
      <c r="H59" s="111">
        <v>162.88999999999999</v>
      </c>
      <c r="I59" s="111">
        <v>239</v>
      </c>
      <c r="J59" s="110"/>
      <c r="K59" s="110" t="s">
        <v>43</v>
      </c>
      <c r="L59" s="110"/>
      <c r="M59" s="110"/>
      <c r="N59" s="10" t="str">
        <f t="shared" si="0"/>
        <v>1</v>
      </c>
      <c r="O59" s="10" t="str">
        <f>INDEX(Кат!$H:$H,MATCH($A59,Кат!$A:$A,0))</f>
        <v>ASP</v>
      </c>
    </row>
    <row r="60" spans="1:15" ht="30">
      <c r="A60" s="109">
        <v>219840</v>
      </c>
      <c r="B60" s="109">
        <v>29496</v>
      </c>
      <c r="C60" s="110" t="s">
        <v>4549</v>
      </c>
      <c r="D60" s="110" t="s">
        <v>4472</v>
      </c>
      <c r="E60" s="110" t="s">
        <v>36</v>
      </c>
      <c r="F60" s="110" t="s">
        <v>36</v>
      </c>
      <c r="G60" s="110" t="s">
        <v>3</v>
      </c>
      <c r="H60" s="111">
        <v>580.42999999999995</v>
      </c>
      <c r="I60" s="111">
        <v>859</v>
      </c>
      <c r="J60" s="110"/>
      <c r="K60" s="110" t="s">
        <v>43</v>
      </c>
      <c r="L60" s="110"/>
      <c r="M60" s="110"/>
      <c r="N60" s="10" t="str">
        <f t="shared" si="0"/>
        <v>1</v>
      </c>
      <c r="O60" s="10" t="str">
        <f>INDEX(Кат!$H:$H,MATCH($A60,Кат!$A:$A,0))</f>
        <v>ASP</v>
      </c>
    </row>
    <row r="61" spans="1:15" ht="30">
      <c r="A61" s="109">
        <v>219841</v>
      </c>
      <c r="B61" s="109">
        <v>29498</v>
      </c>
      <c r="C61" s="110" t="s">
        <v>4550</v>
      </c>
      <c r="D61" s="110" t="s">
        <v>4472</v>
      </c>
      <c r="E61" s="110" t="s">
        <v>37</v>
      </c>
      <c r="F61" s="110" t="s">
        <v>37</v>
      </c>
      <c r="G61" s="110" t="s">
        <v>3</v>
      </c>
      <c r="H61" s="111">
        <v>547.66999999999996</v>
      </c>
      <c r="I61" s="111">
        <v>809</v>
      </c>
      <c r="J61" s="110"/>
      <c r="K61" s="110" t="s">
        <v>43</v>
      </c>
      <c r="L61" s="110"/>
      <c r="M61" s="110"/>
      <c r="N61" s="10" t="str">
        <f t="shared" si="0"/>
        <v>1</v>
      </c>
      <c r="O61" s="10" t="str">
        <f>INDEX(Кат!$H:$H,MATCH($A61,Кат!$A:$A,0))</f>
        <v>ASP</v>
      </c>
    </row>
    <row r="62" spans="1:15" ht="30">
      <c r="A62" s="109">
        <v>219842</v>
      </c>
      <c r="B62" s="109">
        <v>29501</v>
      </c>
      <c r="C62" s="110" t="s">
        <v>4551</v>
      </c>
      <c r="D62" s="110" t="s">
        <v>4472</v>
      </c>
      <c r="E62" s="110" t="s">
        <v>40</v>
      </c>
      <c r="F62" s="110" t="s">
        <v>40</v>
      </c>
      <c r="G62" s="110" t="s">
        <v>3</v>
      </c>
      <c r="H62" s="111">
        <v>865.7</v>
      </c>
      <c r="I62" s="111">
        <v>1290</v>
      </c>
      <c r="J62" s="110"/>
      <c r="K62" s="110" t="s">
        <v>43</v>
      </c>
      <c r="L62" s="110"/>
      <c r="M62" s="110"/>
      <c r="N62" s="10" t="str">
        <f t="shared" si="0"/>
        <v>1</v>
      </c>
      <c r="O62" s="10" t="str">
        <f>INDEX(Кат!$H:$H,MATCH($A62,Кат!$A:$A,0))</f>
        <v>ASP</v>
      </c>
    </row>
    <row r="63" spans="1:15" ht="30">
      <c r="A63" s="109">
        <v>219843</v>
      </c>
      <c r="B63" s="109">
        <v>29494</v>
      </c>
      <c r="C63" s="110" t="s">
        <v>4552</v>
      </c>
      <c r="D63" s="110" t="s">
        <v>4472</v>
      </c>
      <c r="E63" s="110" t="s">
        <v>35</v>
      </c>
      <c r="F63" s="110" t="s">
        <v>35</v>
      </c>
      <c r="G63" s="110" t="s">
        <v>3</v>
      </c>
      <c r="H63" s="111">
        <v>687.5</v>
      </c>
      <c r="I63" s="111">
        <v>1090</v>
      </c>
      <c r="J63" s="110"/>
      <c r="K63" s="110" t="s">
        <v>43</v>
      </c>
      <c r="L63" s="110"/>
      <c r="M63" s="110"/>
      <c r="N63" s="10" t="str">
        <f t="shared" si="0"/>
        <v>1</v>
      </c>
      <c r="O63" s="10" t="str">
        <f>INDEX(Кат!$H:$H,MATCH($A63,Кат!$A:$A,0))</f>
        <v>ASP</v>
      </c>
    </row>
    <row r="64" spans="1:15" ht="30">
      <c r="A64" s="109">
        <v>219844</v>
      </c>
      <c r="B64" s="109">
        <v>29502</v>
      </c>
      <c r="C64" s="110" t="s">
        <v>4553</v>
      </c>
      <c r="D64" s="110" t="s">
        <v>4472</v>
      </c>
      <c r="E64" s="110" t="s">
        <v>41</v>
      </c>
      <c r="F64" s="110" t="s">
        <v>41</v>
      </c>
      <c r="G64" s="110" t="s">
        <v>3</v>
      </c>
      <c r="H64" s="111">
        <v>687.1</v>
      </c>
      <c r="I64" s="111">
        <v>989</v>
      </c>
      <c r="J64" s="110"/>
      <c r="K64" s="110" t="s">
        <v>43</v>
      </c>
      <c r="L64" s="110"/>
      <c r="M64" s="110"/>
      <c r="N64" s="10" t="str">
        <f t="shared" si="0"/>
        <v>1</v>
      </c>
      <c r="O64" s="10" t="str">
        <f>INDEX(Кат!$H:$H,MATCH($A64,Кат!$A:$A,0))</f>
        <v>ASP</v>
      </c>
    </row>
    <row r="65" spans="1:15" ht="30">
      <c r="A65" s="109">
        <v>219845</v>
      </c>
      <c r="B65" s="109">
        <v>29499</v>
      </c>
      <c r="C65" s="110" t="s">
        <v>4554</v>
      </c>
      <c r="D65" s="110" t="s">
        <v>4472</v>
      </c>
      <c r="E65" s="110" t="s">
        <v>38</v>
      </c>
      <c r="F65" s="110" t="s">
        <v>38</v>
      </c>
      <c r="G65" s="110" t="s">
        <v>3</v>
      </c>
      <c r="H65" s="111">
        <v>698.5</v>
      </c>
      <c r="I65" s="111">
        <v>1090</v>
      </c>
      <c r="J65" s="110"/>
      <c r="K65" s="110" t="s">
        <v>43</v>
      </c>
      <c r="L65" s="110"/>
      <c r="M65" s="110"/>
      <c r="N65" s="10" t="str">
        <f t="shared" si="0"/>
        <v>1</v>
      </c>
      <c r="O65" s="10" t="str">
        <f>INDEX(Кат!$H:$H,MATCH($A65,Кат!$A:$A,0))</f>
        <v>ASP</v>
      </c>
    </row>
    <row r="66" spans="1:15" ht="30">
      <c r="A66" s="109">
        <v>219846</v>
      </c>
      <c r="B66" s="109">
        <v>29500</v>
      </c>
      <c r="C66" s="110" t="s">
        <v>4555</v>
      </c>
      <c r="D66" s="110" t="s">
        <v>4472</v>
      </c>
      <c r="E66" s="110" t="s">
        <v>39</v>
      </c>
      <c r="F66" s="110" t="s">
        <v>39</v>
      </c>
      <c r="G66" s="110" t="s">
        <v>3</v>
      </c>
      <c r="H66" s="111">
        <v>739.2</v>
      </c>
      <c r="I66" s="111">
        <v>1090</v>
      </c>
      <c r="J66" s="110"/>
      <c r="K66" s="110" t="s">
        <v>43</v>
      </c>
      <c r="L66" s="110"/>
      <c r="M66" s="110"/>
      <c r="N66" s="10" t="str">
        <f t="shared" si="0"/>
        <v>1</v>
      </c>
      <c r="O66" s="10" t="str">
        <f>INDEX(Кат!$H:$H,MATCH($A66,Кат!$A:$A,0))</f>
        <v>ASP</v>
      </c>
    </row>
    <row r="67" spans="1:15" ht="45">
      <c r="A67" s="109">
        <v>219895</v>
      </c>
      <c r="B67" s="109">
        <v>29479</v>
      </c>
      <c r="C67" s="110" t="s">
        <v>4556</v>
      </c>
      <c r="D67" s="110" t="s">
        <v>4472</v>
      </c>
      <c r="E67" s="110" t="s">
        <v>28</v>
      </c>
      <c r="F67" s="110" t="s">
        <v>28</v>
      </c>
      <c r="G67" s="110" t="s">
        <v>3</v>
      </c>
      <c r="H67" s="111">
        <v>705.45</v>
      </c>
      <c r="I67" s="111">
        <v>1090</v>
      </c>
      <c r="J67" s="110"/>
      <c r="K67" s="110" t="s">
        <v>43</v>
      </c>
      <c r="L67" s="110"/>
      <c r="M67" s="110"/>
      <c r="N67" s="10" t="str">
        <f t="shared" ref="N67:N86" si="1">_xlfn.CONCAT(K67,IF(L67&lt;&gt;"",_xlfn.CONCAT("ск",L67),""))</f>
        <v>1</v>
      </c>
      <c r="O67" s="10" t="str">
        <f>INDEX(Кат!$H:$H,MATCH($A67,Кат!$A:$A,0))</f>
        <v>ASP</v>
      </c>
    </row>
    <row r="68" spans="1:15" ht="30">
      <c r="A68" s="109">
        <v>219896</v>
      </c>
      <c r="B68" s="109">
        <v>29481</v>
      </c>
      <c r="C68" s="110" t="s">
        <v>4557</v>
      </c>
      <c r="D68" s="110" t="s">
        <v>4472</v>
      </c>
      <c r="E68" s="110" t="s">
        <v>29</v>
      </c>
      <c r="F68" s="110" t="s">
        <v>29</v>
      </c>
      <c r="G68" s="110" t="s">
        <v>3</v>
      </c>
      <c r="H68" s="111">
        <v>886.6</v>
      </c>
      <c r="I68" s="111">
        <v>1390</v>
      </c>
      <c r="J68" s="110"/>
      <c r="K68" s="110" t="s">
        <v>43</v>
      </c>
      <c r="L68" s="110"/>
      <c r="M68" s="110" t="s">
        <v>4472</v>
      </c>
      <c r="N68" s="10" t="str">
        <f t="shared" si="1"/>
        <v>1</v>
      </c>
      <c r="O68" s="10" t="str">
        <f>INDEX(Кат!$H:$H,MATCH($A68,Кат!$A:$A,0))</f>
        <v>ASP</v>
      </c>
    </row>
    <row r="69" spans="1:15" ht="45">
      <c r="A69" s="109">
        <v>219897</v>
      </c>
      <c r="B69" s="109">
        <v>29478</v>
      </c>
      <c r="C69" s="110" t="s">
        <v>4558</v>
      </c>
      <c r="D69" s="110" t="s">
        <v>4472</v>
      </c>
      <c r="E69" s="110" t="s">
        <v>27</v>
      </c>
      <c r="F69" s="110" t="s">
        <v>27</v>
      </c>
      <c r="G69" s="110" t="s">
        <v>3</v>
      </c>
      <c r="H69" s="111">
        <v>878.66</v>
      </c>
      <c r="I69" s="111">
        <v>1290</v>
      </c>
      <c r="J69" s="110"/>
      <c r="K69" s="110" t="s">
        <v>43</v>
      </c>
      <c r="L69" s="110" t="s">
        <v>4407</v>
      </c>
      <c r="M69" s="110"/>
      <c r="N69" s="10" t="str">
        <f t="shared" si="1"/>
        <v>1ск4</v>
      </c>
      <c r="O69" s="10" t="str">
        <f>INDEX(Кат!$H:$H,MATCH($A69,Кат!$A:$A,0))</f>
        <v>ASP</v>
      </c>
    </row>
    <row r="70" spans="1:15" ht="45">
      <c r="A70" s="109">
        <v>222886</v>
      </c>
      <c r="B70" s="109">
        <v>41088</v>
      </c>
      <c r="C70" s="110" t="s">
        <v>4559</v>
      </c>
      <c r="D70" s="110" t="s">
        <v>4472</v>
      </c>
      <c r="E70" s="110" t="s">
        <v>139</v>
      </c>
      <c r="F70" s="110" t="s">
        <v>139</v>
      </c>
      <c r="G70" s="110" t="s">
        <v>3</v>
      </c>
      <c r="H70" s="111">
        <v>556.34</v>
      </c>
      <c r="I70" s="111">
        <v>819</v>
      </c>
      <c r="J70" s="110"/>
      <c r="K70" s="110" t="s">
        <v>43</v>
      </c>
      <c r="L70" s="110"/>
      <c r="M70" s="110"/>
      <c r="N70" s="10" t="str">
        <f t="shared" si="1"/>
        <v>1</v>
      </c>
      <c r="O70" s="10" t="str">
        <f>INDEX(Кат!$H:$H,MATCH($A70,Кат!$A:$A,0))</f>
        <v>ASP</v>
      </c>
    </row>
    <row r="71" spans="1:15" ht="45">
      <c r="A71" s="109">
        <v>222887</v>
      </c>
      <c r="B71" s="109">
        <v>41081</v>
      </c>
      <c r="C71" s="110" t="s">
        <v>4560</v>
      </c>
      <c r="D71" s="110" t="s">
        <v>4472</v>
      </c>
      <c r="E71" s="110" t="s">
        <v>137</v>
      </c>
      <c r="F71" s="110" t="s">
        <v>137</v>
      </c>
      <c r="G71" s="110" t="s">
        <v>3</v>
      </c>
      <c r="H71" s="111">
        <v>605</v>
      </c>
      <c r="I71" s="111">
        <v>889</v>
      </c>
      <c r="J71" s="110"/>
      <c r="K71" s="110" t="s">
        <v>43</v>
      </c>
      <c r="L71" s="110"/>
      <c r="M71" s="110"/>
      <c r="N71" s="10" t="str">
        <f t="shared" si="1"/>
        <v>1</v>
      </c>
      <c r="O71" s="10" t="str">
        <f>INDEX(Кат!$H:$H,MATCH($A71,Кат!$A:$A,0))</f>
        <v>ASP</v>
      </c>
    </row>
    <row r="72" spans="1:15" ht="30">
      <c r="A72" s="109">
        <v>225466</v>
      </c>
      <c r="B72" s="109">
        <v>36875</v>
      </c>
      <c r="C72" s="110" t="s">
        <v>4561</v>
      </c>
      <c r="D72" s="110" t="s">
        <v>4472</v>
      </c>
      <c r="E72" s="110" t="s">
        <v>157</v>
      </c>
      <c r="F72" s="110" t="s">
        <v>157</v>
      </c>
      <c r="G72" s="110" t="s">
        <v>3</v>
      </c>
      <c r="H72" s="111">
        <v>696.28</v>
      </c>
      <c r="I72" s="111">
        <v>1090</v>
      </c>
      <c r="J72" s="110"/>
      <c r="K72" s="110" t="s">
        <v>43</v>
      </c>
      <c r="L72" s="110"/>
      <c r="M72" s="110"/>
      <c r="N72" s="10" t="str">
        <f t="shared" si="1"/>
        <v>1</v>
      </c>
      <c r="O72" s="10" t="str">
        <f>INDEX(Кат!$H:$H,MATCH($A72,Кат!$A:$A,0))</f>
        <v>ASP</v>
      </c>
    </row>
    <row r="73" spans="1:15" ht="30">
      <c r="A73" s="109">
        <v>225467</v>
      </c>
      <c r="B73" s="109">
        <v>36876</v>
      </c>
      <c r="C73" s="110" t="s">
        <v>4562</v>
      </c>
      <c r="D73" s="110" t="s">
        <v>4472</v>
      </c>
      <c r="E73" s="110" t="s">
        <v>159</v>
      </c>
      <c r="F73" s="110" t="s">
        <v>159</v>
      </c>
      <c r="G73" s="110" t="s">
        <v>3</v>
      </c>
      <c r="H73" s="111">
        <v>668.8</v>
      </c>
      <c r="I73" s="111">
        <v>989</v>
      </c>
      <c r="J73" s="110"/>
      <c r="K73" s="110" t="s">
        <v>43</v>
      </c>
      <c r="L73" s="110"/>
      <c r="M73" s="110"/>
      <c r="N73" s="10" t="str">
        <f t="shared" si="1"/>
        <v>1</v>
      </c>
      <c r="O73" s="10" t="str">
        <f>INDEX(Кат!$H:$H,MATCH($A73,Кат!$A:$A,0))</f>
        <v>ASP</v>
      </c>
    </row>
    <row r="74" spans="1:15" ht="45">
      <c r="A74" s="109">
        <v>226217</v>
      </c>
      <c r="B74" s="109">
        <v>36855</v>
      </c>
      <c r="C74" s="110" t="s">
        <v>4563</v>
      </c>
      <c r="D74" s="110" t="s">
        <v>4472</v>
      </c>
      <c r="E74" s="110" t="s">
        <v>294</v>
      </c>
      <c r="F74" s="110" t="s">
        <v>294</v>
      </c>
      <c r="G74" s="110" t="s">
        <v>3</v>
      </c>
      <c r="H74" s="111">
        <v>1577.24</v>
      </c>
      <c r="I74" s="111">
        <v>2390</v>
      </c>
      <c r="J74" s="110"/>
      <c r="K74" s="110" t="s">
        <v>43</v>
      </c>
      <c r="L74" s="110"/>
      <c r="M74" s="110"/>
      <c r="N74" s="10" t="str">
        <f t="shared" si="1"/>
        <v>1</v>
      </c>
      <c r="O74" s="10" t="str">
        <f>INDEX(Кат!$H:$H,MATCH($A74,Кат!$A:$A,0))</f>
        <v>ASP</v>
      </c>
    </row>
    <row r="75" spans="1:15" ht="45">
      <c r="A75" s="109">
        <v>226218</v>
      </c>
      <c r="B75" s="109">
        <v>36856</v>
      </c>
      <c r="C75" s="110" t="s">
        <v>4564</v>
      </c>
      <c r="D75" s="110" t="s">
        <v>4472</v>
      </c>
      <c r="E75" s="110" t="s">
        <v>296</v>
      </c>
      <c r="F75" s="110" t="s">
        <v>296</v>
      </c>
      <c r="G75" s="110" t="s">
        <v>3</v>
      </c>
      <c r="H75" s="111">
        <v>1327</v>
      </c>
      <c r="I75" s="111">
        <v>1990</v>
      </c>
      <c r="J75" s="110"/>
      <c r="K75" s="110" t="s">
        <v>43</v>
      </c>
      <c r="L75" s="110"/>
      <c r="M75" s="110"/>
      <c r="N75" s="10" t="str">
        <f t="shared" si="1"/>
        <v>1</v>
      </c>
      <c r="O75" s="10" t="str">
        <f>INDEX(Кат!$H:$H,MATCH($A75,Кат!$A:$A,0))</f>
        <v>ASP</v>
      </c>
    </row>
    <row r="76" spans="1:15" ht="30">
      <c r="A76" s="109">
        <v>226219</v>
      </c>
      <c r="B76" s="109">
        <v>36852</v>
      </c>
      <c r="C76" s="110" t="s">
        <v>4565</v>
      </c>
      <c r="D76" s="110" t="s">
        <v>4472</v>
      </c>
      <c r="E76" s="110" t="s">
        <v>289</v>
      </c>
      <c r="F76" s="110" t="s">
        <v>289</v>
      </c>
      <c r="G76" s="110" t="s">
        <v>3</v>
      </c>
      <c r="H76" s="111">
        <v>1578.5</v>
      </c>
      <c r="I76" s="111">
        <v>2390</v>
      </c>
      <c r="J76" s="110"/>
      <c r="K76" s="110" t="s">
        <v>43</v>
      </c>
      <c r="L76" s="110"/>
      <c r="M76" s="110"/>
      <c r="N76" s="10" t="str">
        <f t="shared" si="1"/>
        <v>1</v>
      </c>
      <c r="O76" s="10" t="str">
        <f>INDEX(Кат!$H:$H,MATCH($A76,Кат!$A:$A,0))</f>
        <v>ASP</v>
      </c>
    </row>
    <row r="77" spans="1:15" ht="30">
      <c r="A77" s="109">
        <v>226280</v>
      </c>
      <c r="B77" s="109">
        <v>36846</v>
      </c>
      <c r="C77" s="110" t="s">
        <v>4566</v>
      </c>
      <c r="D77" s="110" t="s">
        <v>4472</v>
      </c>
      <c r="E77" s="110" t="s">
        <v>274</v>
      </c>
      <c r="F77" s="110" t="s">
        <v>274</v>
      </c>
      <c r="G77" s="110" t="s">
        <v>3</v>
      </c>
      <c r="H77" s="111">
        <v>1552.47</v>
      </c>
      <c r="I77" s="111">
        <v>2290</v>
      </c>
      <c r="J77" s="110"/>
      <c r="K77" s="110" t="s">
        <v>43</v>
      </c>
      <c r="L77" s="110"/>
      <c r="M77" s="110"/>
      <c r="N77" s="10" t="str">
        <f t="shared" si="1"/>
        <v>1</v>
      </c>
      <c r="O77" s="10" t="str">
        <f>INDEX(Кат!$H:$H,MATCH($A77,Кат!$A:$A,0))</f>
        <v>ASP</v>
      </c>
    </row>
    <row r="78" spans="1:15" ht="60">
      <c r="A78" s="109">
        <v>226282</v>
      </c>
      <c r="B78" s="109">
        <v>36850</v>
      </c>
      <c r="C78" s="110" t="s">
        <v>4567</v>
      </c>
      <c r="D78" s="110" t="s">
        <v>4472</v>
      </c>
      <c r="E78" s="110" t="s">
        <v>286</v>
      </c>
      <c r="F78" s="110" t="s">
        <v>286</v>
      </c>
      <c r="G78" s="110" t="s">
        <v>3</v>
      </c>
      <c r="H78" s="111">
        <v>1098.9000000000001</v>
      </c>
      <c r="I78" s="111">
        <v>1690</v>
      </c>
      <c r="J78" s="110"/>
      <c r="K78" s="110" t="s">
        <v>43</v>
      </c>
      <c r="L78" s="110" t="s">
        <v>4407</v>
      </c>
      <c r="M78" s="110"/>
      <c r="N78" s="10" t="str">
        <f t="shared" si="1"/>
        <v>1ск4</v>
      </c>
      <c r="O78" s="10" t="str">
        <f>INDEX(Кат!$H:$H,MATCH($A78,Кат!$A:$A,0))</f>
        <v>ASP</v>
      </c>
    </row>
    <row r="79" spans="1:15" ht="30">
      <c r="A79" s="109">
        <v>226281</v>
      </c>
      <c r="B79" s="109">
        <v>36847</v>
      </c>
      <c r="C79" s="110" t="s">
        <v>4568</v>
      </c>
      <c r="D79" s="110" t="s">
        <v>4472</v>
      </c>
      <c r="E79" s="110" t="s">
        <v>275</v>
      </c>
      <c r="F79" s="110" t="s">
        <v>275</v>
      </c>
      <c r="G79" s="110" t="s">
        <v>3</v>
      </c>
      <c r="H79" s="111">
        <v>1815</v>
      </c>
      <c r="I79" s="111">
        <v>2690</v>
      </c>
      <c r="J79" s="110"/>
      <c r="K79" s="110" t="s">
        <v>43</v>
      </c>
      <c r="L79" s="110"/>
      <c r="M79" s="110"/>
      <c r="N79" s="10" t="str">
        <f t="shared" si="1"/>
        <v>1</v>
      </c>
      <c r="O79" s="10" t="str">
        <f>INDEX(Кат!$H:$H,MATCH($A79,Кат!$A:$A,0))</f>
        <v>ASP</v>
      </c>
    </row>
    <row r="80" spans="1:15" ht="45">
      <c r="A80" s="109">
        <v>226262</v>
      </c>
      <c r="B80" s="109">
        <v>36845</v>
      </c>
      <c r="C80" s="110" t="s">
        <v>4569</v>
      </c>
      <c r="D80" s="110" t="s">
        <v>4472</v>
      </c>
      <c r="E80" s="110" t="s">
        <v>273</v>
      </c>
      <c r="F80" s="110" t="s">
        <v>273</v>
      </c>
      <c r="G80" s="110" t="s">
        <v>3</v>
      </c>
      <c r="H80" s="111">
        <v>2255</v>
      </c>
      <c r="I80" s="111">
        <v>3390</v>
      </c>
      <c r="J80" s="110"/>
      <c r="K80" s="110" t="s">
        <v>43</v>
      </c>
      <c r="L80" s="110"/>
      <c r="M80" s="110"/>
      <c r="N80" s="10" t="str">
        <f t="shared" si="1"/>
        <v>1</v>
      </c>
      <c r="O80" s="10" t="str">
        <f>INDEX(Кат!$H:$H,MATCH($A80,Кат!$A:$A,0))</f>
        <v>ASP</v>
      </c>
    </row>
    <row r="81" spans="1:15" ht="30">
      <c r="A81" s="109">
        <v>226276</v>
      </c>
      <c r="B81" s="109">
        <v>36851</v>
      </c>
      <c r="C81" s="110" t="s">
        <v>4570</v>
      </c>
      <c r="D81" s="110" t="s">
        <v>4472</v>
      </c>
      <c r="E81" s="110" t="s">
        <v>287</v>
      </c>
      <c r="F81" s="110" t="s">
        <v>287</v>
      </c>
      <c r="G81" s="110" t="s">
        <v>3</v>
      </c>
      <c r="H81" s="111">
        <v>1572.68</v>
      </c>
      <c r="I81" s="111">
        <v>2390</v>
      </c>
      <c r="J81" s="110"/>
      <c r="K81" s="110" t="s">
        <v>43</v>
      </c>
      <c r="L81" s="110"/>
      <c r="M81" s="110"/>
      <c r="N81" s="10" t="str">
        <f t="shared" si="1"/>
        <v>1</v>
      </c>
      <c r="O81" s="10" t="str">
        <f>INDEX(Кат!$H:$H,MATCH($A81,Кат!$A:$A,0))</f>
        <v>ASP</v>
      </c>
    </row>
    <row r="82" spans="1:15" ht="45">
      <c r="A82" s="109">
        <v>226277</v>
      </c>
      <c r="B82" s="109">
        <v>36853</v>
      </c>
      <c r="C82" s="110" t="s">
        <v>4571</v>
      </c>
      <c r="D82" s="110" t="s">
        <v>4472</v>
      </c>
      <c r="E82" s="110" t="s">
        <v>291</v>
      </c>
      <c r="F82" s="110" t="s">
        <v>291</v>
      </c>
      <c r="G82" s="110" t="s">
        <v>3</v>
      </c>
      <c r="H82" s="111">
        <v>1252.6099999999999</v>
      </c>
      <c r="I82" s="111">
        <v>1890</v>
      </c>
      <c r="J82" s="110"/>
      <c r="K82" s="110" t="s">
        <v>43</v>
      </c>
      <c r="L82" s="110"/>
      <c r="M82" s="110"/>
      <c r="N82" s="10" t="str">
        <f t="shared" si="1"/>
        <v>1</v>
      </c>
      <c r="O82" s="10" t="str">
        <f>INDEX(Кат!$H:$H,MATCH($A82,Кат!$A:$A,0))</f>
        <v>ASP</v>
      </c>
    </row>
    <row r="83" spans="1:15" ht="45">
      <c r="A83" s="109">
        <v>226278</v>
      </c>
      <c r="B83" s="109">
        <v>36848</v>
      </c>
      <c r="C83" s="110" t="s">
        <v>4572</v>
      </c>
      <c r="D83" s="110" t="s">
        <v>4472</v>
      </c>
      <c r="E83" s="110" t="s">
        <v>283</v>
      </c>
      <c r="F83" s="110" t="s">
        <v>283</v>
      </c>
      <c r="G83" s="110" t="s">
        <v>3</v>
      </c>
      <c r="H83" s="111">
        <v>1373.98</v>
      </c>
      <c r="I83" s="111">
        <v>2090</v>
      </c>
      <c r="J83" s="110"/>
      <c r="K83" s="110" t="s">
        <v>43</v>
      </c>
      <c r="L83" s="110"/>
      <c r="M83" s="110"/>
      <c r="N83" s="10" t="str">
        <f t="shared" si="1"/>
        <v>1</v>
      </c>
      <c r="O83" s="10" t="str">
        <f>INDEX(Кат!$H:$H,MATCH($A83,Кат!$A:$A,0))</f>
        <v>ASP</v>
      </c>
    </row>
    <row r="84" spans="1:15" ht="45">
      <c r="A84" s="109">
        <v>226279</v>
      </c>
      <c r="B84" s="109">
        <v>36866</v>
      </c>
      <c r="C84" s="110" t="s">
        <v>4573</v>
      </c>
      <c r="D84" s="110" t="s">
        <v>4472</v>
      </c>
      <c r="E84" s="110" t="s">
        <v>298</v>
      </c>
      <c r="F84" s="110" t="s">
        <v>298</v>
      </c>
      <c r="G84" s="110" t="s">
        <v>3</v>
      </c>
      <c r="H84" s="111">
        <v>1613.94</v>
      </c>
      <c r="I84" s="111">
        <v>2390</v>
      </c>
      <c r="J84" s="110"/>
      <c r="K84" s="110" t="s">
        <v>43</v>
      </c>
      <c r="L84" s="110"/>
      <c r="M84" s="110"/>
      <c r="N84" s="10" t="str">
        <f t="shared" si="1"/>
        <v>1</v>
      </c>
      <c r="O84" s="10" t="str">
        <f>INDEX(Кат!$H:$H,MATCH($A84,Кат!$A:$A,0))</f>
        <v>ASP</v>
      </c>
    </row>
    <row r="85" spans="1:15" ht="30">
      <c r="A85" s="109">
        <v>226283</v>
      </c>
      <c r="B85" s="109">
        <v>36854</v>
      </c>
      <c r="C85" s="110" t="s">
        <v>4574</v>
      </c>
      <c r="D85" s="110" t="s">
        <v>4472</v>
      </c>
      <c r="E85" s="110" t="s">
        <v>292</v>
      </c>
      <c r="F85" s="110" t="s">
        <v>292</v>
      </c>
      <c r="G85" s="110" t="s">
        <v>3</v>
      </c>
      <c r="H85" s="111">
        <v>1438.44</v>
      </c>
      <c r="I85" s="111">
        <v>2190</v>
      </c>
      <c r="J85" s="110"/>
      <c r="K85" s="110" t="s">
        <v>43</v>
      </c>
      <c r="L85" s="110"/>
      <c r="M85" s="110"/>
      <c r="N85" s="10" t="str">
        <f t="shared" si="1"/>
        <v>1</v>
      </c>
      <c r="O85" s="10" t="str">
        <f>INDEX(Кат!$H:$H,MATCH($A85,Кат!$A:$A,0))</f>
        <v>ASP</v>
      </c>
    </row>
    <row r="86" spans="1:15" ht="45">
      <c r="A86" s="109">
        <v>226284</v>
      </c>
      <c r="B86" s="109">
        <v>36849</v>
      </c>
      <c r="C86" s="110" t="s">
        <v>4575</v>
      </c>
      <c r="D86" s="110" t="s">
        <v>4472</v>
      </c>
      <c r="E86" s="110" t="s">
        <v>285</v>
      </c>
      <c r="F86" s="110" t="s">
        <v>285</v>
      </c>
      <c r="G86" s="110" t="s">
        <v>3</v>
      </c>
      <c r="H86" s="111">
        <v>1276</v>
      </c>
      <c r="I86" s="111">
        <v>1890</v>
      </c>
      <c r="J86" s="110"/>
      <c r="K86" s="110" t="s">
        <v>4473</v>
      </c>
      <c r="L86" s="110"/>
      <c r="M86" s="110"/>
      <c r="N86" s="10" t="str">
        <f t="shared" si="1"/>
        <v>0</v>
      </c>
      <c r="O86" s="10" t="str">
        <f>INDEX(Кат!$H:$H,MATCH($A86,Кат!$A:$A,0))</f>
        <v>ASP</v>
      </c>
    </row>
  </sheetData>
  <autoFilter ref="A1:O86" xr:uid="{8A7AA4EB-D714-484A-80DA-F94AF99E2F9F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83D6-E044-4499-A2A7-3E81A74D526A}">
  <sheetPr codeName="Лист1">
    <tabColor rgb="FF92D050"/>
  </sheetPr>
  <dimension ref="A1:C87"/>
  <sheetViews>
    <sheetView topLeftCell="A53" workbookViewId="0">
      <selection activeCell="H68" sqref="H68"/>
    </sheetView>
  </sheetViews>
  <sheetFormatPr defaultRowHeight="15"/>
  <cols>
    <col min="1" max="1" width="7" style="41" bestFit="1" customWidth="1"/>
    <col min="2" max="2" width="9.42578125" style="41" customWidth="1"/>
  </cols>
  <sheetData>
    <row r="1" spans="1:3">
      <c r="B1" s="66"/>
    </row>
    <row r="2" spans="1:3">
      <c r="A2" s="4" t="s">
        <v>1</v>
      </c>
      <c r="B2" s="69" t="s">
        <v>4422</v>
      </c>
    </row>
    <row r="3" spans="1:3">
      <c r="A3" s="60">
        <v>219802</v>
      </c>
      <c r="B3" s="71"/>
    </row>
    <row r="4" spans="1:3">
      <c r="A4" s="60">
        <v>219803</v>
      </c>
      <c r="B4" s="71"/>
    </row>
    <row r="5" spans="1:3">
      <c r="A5" s="60">
        <v>219804</v>
      </c>
      <c r="B5" s="71"/>
    </row>
    <row r="6" spans="1:3">
      <c r="A6" s="60">
        <v>219410</v>
      </c>
      <c r="B6" s="71"/>
    </row>
    <row r="7" spans="1:3">
      <c r="A7" s="60">
        <v>219577</v>
      </c>
      <c r="B7" s="72" t="s">
        <v>4423</v>
      </c>
      <c r="C7" t="s">
        <v>4425</v>
      </c>
    </row>
    <row r="8" spans="1:3">
      <c r="A8" s="60">
        <v>219742</v>
      </c>
      <c r="B8" s="71"/>
    </row>
    <row r="9" spans="1:3">
      <c r="A9" s="60">
        <v>219840</v>
      </c>
      <c r="B9" s="71"/>
    </row>
    <row r="10" spans="1:3">
      <c r="A10" s="60">
        <v>219578</v>
      </c>
      <c r="B10" s="72">
        <v>669</v>
      </c>
      <c r="C10" t="s">
        <v>4426</v>
      </c>
    </row>
    <row r="11" spans="1:3">
      <c r="A11" s="60">
        <v>219583</v>
      </c>
      <c r="B11" s="72" t="s">
        <v>4424</v>
      </c>
      <c r="C11" t="s">
        <v>4427</v>
      </c>
    </row>
    <row r="12" spans="1:3">
      <c r="A12" s="60">
        <v>219579</v>
      </c>
      <c r="B12" s="72">
        <v>769</v>
      </c>
      <c r="C12" t="s">
        <v>4428</v>
      </c>
    </row>
    <row r="13" spans="1:3">
      <c r="A13" s="60">
        <v>219841</v>
      </c>
      <c r="B13" s="71"/>
    </row>
    <row r="14" spans="1:3">
      <c r="A14" s="60">
        <v>219798</v>
      </c>
      <c r="B14" s="71"/>
    </row>
    <row r="15" spans="1:3">
      <c r="A15" s="60">
        <v>219800</v>
      </c>
      <c r="B15" s="71"/>
    </row>
    <row r="16" spans="1:3">
      <c r="A16" s="60">
        <v>219801</v>
      </c>
      <c r="B16" s="71"/>
    </row>
    <row r="17" spans="1:3">
      <c r="A17" s="60">
        <v>219844</v>
      </c>
      <c r="B17" s="72">
        <v>890</v>
      </c>
      <c r="C17" t="s">
        <v>4429</v>
      </c>
    </row>
    <row r="18" spans="1:3">
      <c r="A18" s="60">
        <v>219572</v>
      </c>
      <c r="B18" s="72">
        <v>949</v>
      </c>
      <c r="C18" t="s">
        <v>4430</v>
      </c>
    </row>
    <row r="19" spans="1:3">
      <c r="A19" s="60">
        <v>219895</v>
      </c>
      <c r="B19" s="71"/>
    </row>
    <row r="20" spans="1:3">
      <c r="A20" s="60">
        <v>219896</v>
      </c>
      <c r="B20" s="71"/>
    </row>
    <row r="21" spans="1:3">
      <c r="A21" s="60">
        <v>219575</v>
      </c>
      <c r="B21" s="72">
        <v>969</v>
      </c>
      <c r="C21" t="s">
        <v>4431</v>
      </c>
    </row>
    <row r="22" spans="1:3">
      <c r="A22" s="60">
        <v>219581</v>
      </c>
      <c r="B22" s="72">
        <v>1190</v>
      </c>
      <c r="C22" t="s">
        <v>4432</v>
      </c>
    </row>
    <row r="23" spans="1:3">
      <c r="A23" s="60">
        <v>219797</v>
      </c>
      <c r="B23" s="71"/>
    </row>
    <row r="24" spans="1:3">
      <c r="A24" s="60">
        <v>219897</v>
      </c>
      <c r="B24" s="71"/>
    </row>
    <row r="25" spans="1:3">
      <c r="A25" s="60">
        <v>219843</v>
      </c>
      <c r="B25" s="71"/>
    </row>
    <row r="26" spans="1:3">
      <c r="A26" s="60">
        <v>219845</v>
      </c>
      <c r="B26" s="71"/>
    </row>
    <row r="27" spans="1:3">
      <c r="A27" s="60">
        <v>219799</v>
      </c>
      <c r="B27" s="71"/>
    </row>
    <row r="28" spans="1:3">
      <c r="A28" s="60">
        <v>219573</v>
      </c>
      <c r="B28" s="72">
        <v>990</v>
      </c>
      <c r="C28" t="s">
        <v>4433</v>
      </c>
    </row>
    <row r="29" spans="1:3">
      <c r="A29" s="60">
        <v>219846</v>
      </c>
      <c r="B29" s="71"/>
    </row>
    <row r="30" spans="1:3">
      <c r="A30" s="60">
        <v>219842</v>
      </c>
      <c r="B30" s="71"/>
    </row>
    <row r="31" spans="1:3">
      <c r="A31" s="60">
        <v>219582</v>
      </c>
      <c r="B31" s="72">
        <v>949</v>
      </c>
      <c r="C31" t="s">
        <v>4434</v>
      </c>
    </row>
    <row r="32" spans="1:3">
      <c r="A32" s="60">
        <v>219576</v>
      </c>
      <c r="B32" s="72">
        <v>1390</v>
      </c>
      <c r="C32" t="s">
        <v>4435</v>
      </c>
    </row>
    <row r="33" spans="1:3">
      <c r="A33" s="60">
        <v>219580</v>
      </c>
      <c r="B33" s="71"/>
    </row>
    <row r="34" spans="1:3">
      <c r="A34" s="60">
        <v>219492</v>
      </c>
      <c r="B34" s="72">
        <v>2890</v>
      </c>
      <c r="C34" t="s">
        <v>4436</v>
      </c>
    </row>
    <row r="35" spans="1:3">
      <c r="A35" s="60">
        <v>218711</v>
      </c>
      <c r="B35" s="72"/>
    </row>
    <row r="36" spans="1:3">
      <c r="A36" s="60">
        <v>219741</v>
      </c>
      <c r="B36" s="72">
        <v>769</v>
      </c>
      <c r="C36" t="s">
        <v>4437</v>
      </c>
    </row>
    <row r="37" spans="1:3">
      <c r="A37" s="60">
        <v>151005</v>
      </c>
      <c r="B37" s="71"/>
    </row>
    <row r="38" spans="1:3">
      <c r="A38" s="60">
        <v>193361</v>
      </c>
      <c r="B38" s="71"/>
    </row>
    <row r="39" spans="1:3">
      <c r="A39" s="60">
        <v>193362</v>
      </c>
      <c r="B39" s="71"/>
    </row>
    <row r="40" spans="1:3">
      <c r="A40" s="60">
        <v>151006</v>
      </c>
      <c r="B40" s="71"/>
    </row>
    <row r="41" spans="1:3">
      <c r="A41" s="60">
        <v>140842</v>
      </c>
      <c r="B41" s="71"/>
    </row>
    <row r="42" spans="1:3">
      <c r="A42" s="60">
        <v>140841</v>
      </c>
      <c r="B42" s="71"/>
    </row>
    <row r="43" spans="1:3">
      <c r="A43" s="60">
        <v>140840</v>
      </c>
      <c r="B43" s="71"/>
    </row>
    <row r="44" spans="1:3">
      <c r="A44" s="60">
        <v>140843</v>
      </c>
      <c r="B44" s="71"/>
    </row>
    <row r="45" spans="1:3">
      <c r="A45" s="60">
        <v>226262</v>
      </c>
      <c r="B45" s="71"/>
    </row>
    <row r="46" spans="1:3">
      <c r="A46" s="60">
        <v>226280</v>
      </c>
      <c r="B46" s="71"/>
    </row>
    <row r="47" spans="1:3">
      <c r="A47" s="60">
        <v>226281</v>
      </c>
      <c r="B47" s="71"/>
    </row>
    <row r="48" spans="1:3">
      <c r="A48" s="60">
        <v>226278</v>
      </c>
      <c r="B48" s="71"/>
    </row>
    <row r="49" spans="1:2">
      <c r="A49" s="60">
        <v>226284</v>
      </c>
      <c r="B49" s="71"/>
    </row>
    <row r="50" spans="1:2">
      <c r="A50" s="60">
        <v>226282</v>
      </c>
      <c r="B50" s="71"/>
    </row>
    <row r="51" spans="1:2">
      <c r="A51" s="60">
        <v>226276</v>
      </c>
      <c r="B51" s="71"/>
    </row>
    <row r="52" spans="1:2">
      <c r="A52" s="60">
        <v>226219</v>
      </c>
      <c r="B52" s="71"/>
    </row>
    <row r="53" spans="1:2">
      <c r="A53" s="60">
        <v>226277</v>
      </c>
      <c r="B53" s="71"/>
    </row>
    <row r="54" spans="1:2">
      <c r="A54" s="60">
        <v>226283</v>
      </c>
      <c r="B54" s="71"/>
    </row>
    <row r="55" spans="1:2">
      <c r="A55" s="60">
        <v>226217</v>
      </c>
      <c r="B55" s="71"/>
    </row>
    <row r="56" spans="1:2">
      <c r="A56" s="60">
        <v>226218</v>
      </c>
      <c r="B56" s="71"/>
    </row>
    <row r="57" spans="1:2">
      <c r="A57" s="60">
        <v>226279</v>
      </c>
      <c r="B57" s="71"/>
    </row>
    <row r="58" spans="1:2">
      <c r="A58" s="60">
        <v>139816</v>
      </c>
      <c r="B58" s="71"/>
    </row>
    <row r="59" spans="1:2">
      <c r="A59" s="60">
        <v>213027</v>
      </c>
      <c r="B59" s="71"/>
    </row>
    <row r="60" spans="1:2">
      <c r="A60" s="60">
        <v>213028</v>
      </c>
      <c r="B60" s="71"/>
    </row>
    <row r="61" spans="1:2">
      <c r="A61" s="60">
        <v>225466</v>
      </c>
      <c r="B61" s="71"/>
    </row>
    <row r="62" spans="1:2">
      <c r="A62" s="60">
        <v>225467</v>
      </c>
      <c r="B62" s="71"/>
    </row>
    <row r="63" spans="1:2">
      <c r="A63" s="60">
        <v>139296</v>
      </c>
      <c r="B63" s="71"/>
    </row>
    <row r="64" spans="1:2">
      <c r="A64" s="60">
        <v>150980</v>
      </c>
      <c r="B64" s="71"/>
    </row>
    <row r="65" spans="1:3">
      <c r="A65" s="60">
        <v>219574</v>
      </c>
      <c r="B65" s="71"/>
    </row>
    <row r="66" spans="1:3">
      <c r="A66" s="60">
        <v>151007</v>
      </c>
      <c r="B66" s="71"/>
    </row>
    <row r="67" spans="1:3">
      <c r="A67" s="60">
        <v>181660</v>
      </c>
      <c r="B67" s="71"/>
    </row>
    <row r="68" spans="1:3">
      <c r="A68" s="60">
        <v>181659</v>
      </c>
      <c r="B68" s="71"/>
    </row>
    <row r="69" spans="1:3">
      <c r="A69" s="60">
        <v>222887</v>
      </c>
      <c r="B69" s="71"/>
    </row>
    <row r="70" spans="1:3">
      <c r="A70" s="60">
        <v>222886</v>
      </c>
      <c r="B70" s="71"/>
    </row>
    <row r="71" spans="1:3">
      <c r="A71" s="60">
        <v>139295</v>
      </c>
      <c r="B71" s="71"/>
    </row>
    <row r="72" spans="1:3">
      <c r="A72" s="60">
        <v>139294</v>
      </c>
      <c r="B72" s="71"/>
    </row>
    <row r="73" spans="1:3">
      <c r="A73" s="60">
        <v>139100</v>
      </c>
      <c r="B73" s="71"/>
    </row>
    <row r="74" spans="1:3">
      <c r="A74" s="60">
        <v>139101</v>
      </c>
      <c r="B74" s="71"/>
    </row>
    <row r="75" spans="1:3">
      <c r="A75" s="60">
        <v>202352</v>
      </c>
      <c r="B75" s="71"/>
    </row>
    <row r="76" spans="1:3">
      <c r="A76" s="60">
        <v>202351</v>
      </c>
      <c r="B76" s="71"/>
    </row>
    <row r="77" spans="1:3">
      <c r="A77" s="60">
        <v>202391</v>
      </c>
      <c r="B77" s="71"/>
    </row>
    <row r="78" spans="1:3">
      <c r="A78" s="60">
        <v>219514</v>
      </c>
      <c r="B78" s="72">
        <v>2690</v>
      </c>
      <c r="C78" t="s">
        <v>4438</v>
      </c>
    </row>
    <row r="79" spans="1:3">
      <c r="A79" s="60">
        <v>219512</v>
      </c>
      <c r="B79" s="72">
        <v>2490</v>
      </c>
      <c r="C79" t="s">
        <v>4439</v>
      </c>
    </row>
    <row r="80" spans="1:3">
      <c r="A80" s="60">
        <v>219515</v>
      </c>
      <c r="B80" s="71"/>
    </row>
    <row r="81" spans="1:3">
      <c r="A81" s="60">
        <v>219511</v>
      </c>
      <c r="B81" s="72">
        <v>3090</v>
      </c>
      <c r="C81" t="s">
        <v>4441</v>
      </c>
    </row>
    <row r="82" spans="1:3">
      <c r="A82" s="60">
        <v>219510</v>
      </c>
      <c r="B82" s="72">
        <v>2490</v>
      </c>
      <c r="C82" t="s">
        <v>4442</v>
      </c>
    </row>
    <row r="83" spans="1:3">
      <c r="A83" s="60">
        <v>219516</v>
      </c>
      <c r="B83" s="72">
        <v>3990</v>
      </c>
      <c r="C83" t="s">
        <v>4440</v>
      </c>
    </row>
    <row r="84" spans="1:3">
      <c r="A84" s="60">
        <v>219517</v>
      </c>
      <c r="B84" s="71"/>
    </row>
    <row r="85" spans="1:3">
      <c r="A85" s="60">
        <v>219513</v>
      </c>
      <c r="B85" s="71"/>
    </row>
    <row r="86" spans="1:3">
      <c r="A86" s="60">
        <v>219518</v>
      </c>
      <c r="B86" s="72">
        <v>5290</v>
      </c>
      <c r="C86" t="s">
        <v>4443</v>
      </c>
    </row>
    <row r="87" spans="1:3">
      <c r="A87" s="60">
        <v>219509</v>
      </c>
      <c r="B87" s="71"/>
    </row>
  </sheetData>
  <hyperlinks>
    <hyperlink ref="B7" r:id="rId1" display="https://motorring.ru/product/13068" xr:uid="{2B3B14A7-7217-4241-A91E-44463DBF83B7}"/>
    <hyperlink ref="B10" r:id="rId2" display="https://motorring.ru/product/13069-tormoznye-kolodki-perednie-asp-mensan-dlya-peredneprivodnyh" xr:uid="{968F5137-8F01-4B66-9637-4FD5BF2699C9}"/>
    <hyperlink ref="B11" r:id="rId3" xr:uid="{920E40C9-3043-4C66-93BB-3B4C6899B35C}"/>
    <hyperlink ref="B12" r:id="rId4" display="https://motorring.ru/product/19692-komplekt-perednih-tormoznyh-kolodok-asp-vaz-2110-2111-2112" xr:uid="{7A495411-1B7B-4D41-A846-ECB2B8610F5E}"/>
    <hyperlink ref="B17" r:id="rId5" display="https://motorring.ru/product/37250-tros-scepleniya-asp-lada-largus-reno-logan-sandero" xr:uid="{54D480B5-E274-42FE-94BE-920FD17A7325}"/>
    <hyperlink ref="B18" r:id="rId6" display="https://motorring.ru/product/13065-tormoznye-kolodki-zadnie-asp-mensan-dlya-peredneprivodnyh" xr:uid="{D310D1CD-630C-424F-B8F0-E66E0D1259DA}"/>
    <hyperlink ref="B21" r:id="rId7" display="https://motorring.ru/product/13067-tormoznye-kolodki-zadnie-asp-mensan-dlya-lada-priora-kalina" xr:uid="{E5BAD3F3-918D-412C-8FF6-A2259A63A25A}"/>
    <hyperlink ref="B22" r:id="rId8" display="https://motorring.ru/product/13072-tormoznye-kolodki-perednie-asp-mensan-dlya-lada-largus" xr:uid="{68940872-D962-458C-A042-FA16163FFFEB}"/>
    <hyperlink ref="B28" r:id="rId9" display="https://motorring.ru/product/13064-tormoznye-kolodki-zadnie-asp-mensan-dlya-vaz-2101-2107-lada" xr:uid="{75E15867-F08C-4880-AF25-E3DDEC8156FC}"/>
    <hyperlink ref="B31" r:id="rId10" display="https://motorring.ru/product/13071-tormoznye-kolodki-perednie-asp-mensan-dlya-lada-largus" xr:uid="{F80391A2-583E-4AAB-A294-60D2FD9141AA}"/>
    <hyperlink ref="B32" r:id="rId11" display="https://motorring.ru/product/24319-tormoznye-kolodki-zadnie-asp-lada-largus" xr:uid="{A67BD0CE-85B6-425E-817E-BD4BA08AE802}"/>
    <hyperlink ref="B34" r:id="rId12" display="https://motorring.ru/product/13063-tormoznye-barabany-zadnie-chugun-asp-mensan-vaz-2108-21099" xr:uid="{294DC9F7-928D-440A-B8B3-50B33B55454C}"/>
    <hyperlink ref="B36" r:id="rId13" display="https://motorring.ru/product/37249-tros-privoda-akseleratora-gaza-asp-lada-largus" xr:uid="{53DEA436-BB2E-44A5-A7A5-DCD0DB401DA3}"/>
    <hyperlink ref="B78" r:id="rId14" display="https://motorring.ru/product/6987" xr:uid="{9D082EFE-2AB6-41A2-A619-C8372F0C0CA5}"/>
    <hyperlink ref="B79" r:id="rId15" display="https://motorring.ru/product/6988-ventiliruemye-tormoznye-diski-asp-2110-r13-bez-nasechek" xr:uid="{38F53644-4DFC-4046-8F4A-90918CC6BDBB}"/>
    <hyperlink ref="B83" r:id="rId16" display="https://motorring.ru/product/700-tormoznye-diski-asp-2112-sport-r14-nasechki-perforaciya" xr:uid="{F067EC73-DAE5-4941-B40F-BEBA74AA9DE6}"/>
    <hyperlink ref="B81" r:id="rId17" display="https://motorring.ru/product/6990-neventiliruemye-tormoznye-diski-asp-2121-r15-bez-nasechek" xr:uid="{2AA76A7E-67A9-4CDB-822B-48F1976DD4D3}"/>
    <hyperlink ref="B82" r:id="rId18" display="https://motorring.ru/product/6986" xr:uid="{917159B6-89EC-4C0C-A613-4E2F4BDADFEA}"/>
    <hyperlink ref="B86" r:id="rId19" display="https://motorring.ru/product/24313-tormoznye-diski-asp-nasechki-perforaciya-ventiliruemye-lada" xr:uid="{77C37754-951B-4536-BBCF-1C09793EB4A3}"/>
  </hyperlinks>
  <pageMargins left="0.7" right="0.7" top="0.75" bottom="0.75" header="0.3" footer="0.3"/>
  <pageSetup paperSize="9" orientation="portrait" r:id="rId20"/>
  <drawing r:id="rId21"/>
  <legacyDrawing r:id="rId22"/>
  <controls>
    <mc:AlternateContent xmlns:mc="http://schemas.openxmlformats.org/markup-compatibility/2006">
      <mc:Choice Requires="x14">
        <control shapeId="9217" r:id="rId23" name="CommandButton1">
          <controlPr defaultSize="0" autoLine="0" r:id="rId24">
            <anchor moveWithCells="1">
              <from>
                <xdr:col>8</xdr:col>
                <xdr:colOff>114300</xdr:colOff>
                <xdr:row>1</xdr:row>
                <xdr:rowOff>133350</xdr:rowOff>
              </from>
              <to>
                <xdr:col>9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9217" r:id="rId2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C12F-908B-4034-8300-F7FF02BB1153}">
  <sheetPr>
    <tabColor rgb="FF92D050"/>
  </sheetPr>
  <dimension ref="A1:T89"/>
  <sheetViews>
    <sheetView workbookViewId="0"/>
  </sheetViews>
  <sheetFormatPr defaultRowHeight="15"/>
  <cols>
    <col min="1" max="1" width="12.7109375" bestFit="1" customWidth="1"/>
    <col min="2" max="2" width="11.140625" bestFit="1" customWidth="1"/>
    <col min="3" max="3" width="13.28515625" bestFit="1" customWidth="1"/>
    <col min="4" max="4" width="81.140625" bestFit="1" customWidth="1"/>
    <col min="5" max="9" width="11.140625" bestFit="1" customWidth="1"/>
    <col min="10" max="20" width="12.140625" bestFit="1" customWidth="1"/>
  </cols>
  <sheetData>
    <row r="1" spans="1:20">
      <c r="A1" t="s">
        <v>4444</v>
      </c>
      <c r="B1" t="s">
        <v>4445</v>
      </c>
      <c r="C1" t="s">
        <v>4446</v>
      </c>
      <c r="D1" t="s">
        <v>4447</v>
      </c>
      <c r="E1" t="s">
        <v>4448</v>
      </c>
      <c r="F1" t="s">
        <v>4449</v>
      </c>
      <c r="G1" t="s">
        <v>4450</v>
      </c>
      <c r="H1" t="s">
        <v>4451</v>
      </c>
      <c r="I1" t="s">
        <v>4452</v>
      </c>
      <c r="J1" t="s">
        <v>4453</v>
      </c>
      <c r="K1" t="s">
        <v>4454</v>
      </c>
      <c r="L1" t="s">
        <v>4455</v>
      </c>
      <c r="M1" t="s">
        <v>4456</v>
      </c>
      <c r="N1" t="s">
        <v>4457</v>
      </c>
      <c r="O1" t="s">
        <v>4458</v>
      </c>
      <c r="P1" t="s">
        <v>4459</v>
      </c>
      <c r="Q1" t="s">
        <v>4460</v>
      </c>
      <c r="R1" t="s">
        <v>4461</v>
      </c>
      <c r="S1" t="s">
        <v>4462</v>
      </c>
      <c r="T1" t="s">
        <v>4463</v>
      </c>
    </row>
    <row r="2" spans="1:20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>
      <c r="A3" s="41" t="s">
        <v>4481</v>
      </c>
      <c r="B3" s="41" t="s">
        <v>4482</v>
      </c>
      <c r="C3" s="41" t="s">
        <v>4483</v>
      </c>
      <c r="D3" s="41" t="s">
        <v>4464</v>
      </c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>
      <c r="A4" s="41"/>
      <c r="B4" s="41" t="s">
        <v>1</v>
      </c>
      <c r="C4" s="41"/>
      <c r="D4" s="41" t="s">
        <v>4421</v>
      </c>
      <c r="E4" s="41" t="s">
        <v>48</v>
      </c>
      <c r="F4" s="41" t="s">
        <v>48</v>
      </c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>
      <c r="A5" s="41" t="s">
        <v>3</v>
      </c>
      <c r="B5" s="41">
        <v>219802</v>
      </c>
      <c r="C5" s="41"/>
      <c r="D5" s="41"/>
      <c r="E5" s="41"/>
      <c r="F5" s="41"/>
      <c r="G5" s="41" t="s">
        <v>4465</v>
      </c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</row>
    <row r="6" spans="1:20">
      <c r="A6" s="41" t="s">
        <v>3</v>
      </c>
      <c r="B6" s="41">
        <v>219803</v>
      </c>
      <c r="C6" s="41"/>
      <c r="D6" s="41"/>
      <c r="E6" s="41"/>
      <c r="F6" s="41"/>
      <c r="G6" s="41" t="s">
        <v>4465</v>
      </c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</row>
    <row r="7" spans="1:20">
      <c r="A7" s="41" t="s">
        <v>3</v>
      </c>
      <c r="B7" s="41">
        <v>219804</v>
      </c>
      <c r="C7" s="41"/>
      <c r="D7" s="41"/>
      <c r="E7" s="41"/>
      <c r="F7" s="41"/>
      <c r="G7" s="41" t="s">
        <v>4465</v>
      </c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1:20">
      <c r="A8" s="41" t="s">
        <v>3</v>
      </c>
      <c r="B8" s="41">
        <v>219410</v>
      </c>
      <c r="C8" s="41"/>
      <c r="D8" s="41"/>
      <c r="E8" s="41"/>
      <c r="F8" s="41"/>
      <c r="G8" s="41" t="s">
        <v>4465</v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</row>
    <row r="9" spans="1:20">
      <c r="A9" s="41" t="s">
        <v>3</v>
      </c>
      <c r="B9" s="41">
        <v>219577</v>
      </c>
      <c r="C9" s="41" t="s">
        <v>4423</v>
      </c>
      <c r="D9" s="41" t="s">
        <v>4425</v>
      </c>
      <c r="E9" s="41"/>
      <c r="F9" s="41"/>
      <c r="G9" s="41">
        <v>590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>
      <c r="A10" s="41" t="s">
        <v>3</v>
      </c>
      <c r="B10" s="41">
        <v>219742</v>
      </c>
      <c r="C10" s="41"/>
      <c r="D10" s="41"/>
      <c r="E10" s="41"/>
      <c r="F10" s="41"/>
      <c r="G10" s="41" t="s">
        <v>4465</v>
      </c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>
      <c r="A11" s="41" t="s">
        <v>3</v>
      </c>
      <c r="B11" s="41">
        <v>219840</v>
      </c>
      <c r="C11" s="41"/>
      <c r="D11" s="41"/>
      <c r="E11" s="41"/>
      <c r="F11" s="41"/>
      <c r="G11" s="41" t="s">
        <v>4465</v>
      </c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>
      <c r="A12" s="41" t="s">
        <v>3</v>
      </c>
      <c r="B12" s="41">
        <v>219578</v>
      </c>
      <c r="C12" s="41">
        <v>669</v>
      </c>
      <c r="D12" s="41" t="s">
        <v>4426</v>
      </c>
      <c r="E12" s="41"/>
      <c r="F12" s="41"/>
      <c r="G12" s="41">
        <v>790</v>
      </c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>
      <c r="A13" s="41" t="s">
        <v>3</v>
      </c>
      <c r="B13" s="41">
        <v>219583</v>
      </c>
      <c r="C13" s="41" t="s">
        <v>4424</v>
      </c>
      <c r="D13" s="41" t="s">
        <v>4427</v>
      </c>
      <c r="E13" s="41"/>
      <c r="F13" s="41"/>
      <c r="G13" s="41">
        <v>669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>
      <c r="A14" s="41" t="s">
        <v>3</v>
      </c>
      <c r="B14" s="41">
        <v>219579</v>
      </c>
      <c r="C14" s="41">
        <v>769</v>
      </c>
      <c r="D14" s="41" t="s">
        <v>4428</v>
      </c>
      <c r="E14" s="41"/>
      <c r="F14" s="41"/>
      <c r="G14" s="41">
        <v>769</v>
      </c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1" t="s">
        <v>3</v>
      </c>
      <c r="B15" s="41">
        <v>219841</v>
      </c>
      <c r="C15" s="41"/>
      <c r="D15" s="41"/>
      <c r="E15" s="41"/>
      <c r="F15" s="41"/>
      <c r="G15" s="41" t="s">
        <v>4465</v>
      </c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1" t="s">
        <v>3</v>
      </c>
      <c r="B16" s="41">
        <v>219798</v>
      </c>
      <c r="C16" s="41"/>
      <c r="D16" s="41"/>
      <c r="E16" s="41"/>
      <c r="F16" s="41"/>
      <c r="G16" s="41" t="s">
        <v>4465</v>
      </c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41" t="s">
        <v>3</v>
      </c>
      <c r="B17" s="41">
        <v>219800</v>
      </c>
      <c r="C17" s="41"/>
      <c r="D17" s="41"/>
      <c r="E17" s="41"/>
      <c r="F17" s="41"/>
      <c r="G17" s="41" t="s">
        <v>4465</v>
      </c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>
      <c r="A18" s="41" t="s">
        <v>3</v>
      </c>
      <c r="B18" s="41">
        <v>219801</v>
      </c>
      <c r="C18" s="41"/>
      <c r="D18" s="41"/>
      <c r="E18" s="41"/>
      <c r="F18" s="41"/>
      <c r="G18" s="41" t="s">
        <v>4465</v>
      </c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>
      <c r="A19" s="41" t="s">
        <v>3</v>
      </c>
      <c r="B19" s="41">
        <v>219844</v>
      </c>
      <c r="C19" s="41">
        <v>890</v>
      </c>
      <c r="D19" s="41" t="s">
        <v>4429</v>
      </c>
      <c r="E19" s="41"/>
      <c r="F19" s="41"/>
      <c r="G19" s="41">
        <v>949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>
      <c r="A20" s="41" t="s">
        <v>3</v>
      </c>
      <c r="B20" s="41">
        <v>219572</v>
      </c>
      <c r="C20" s="41">
        <v>949</v>
      </c>
      <c r="D20" s="41" t="s">
        <v>4430</v>
      </c>
      <c r="E20" s="41"/>
      <c r="F20" s="41"/>
      <c r="G20" s="41">
        <v>949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>
      <c r="A21" s="41" t="s">
        <v>3</v>
      </c>
      <c r="B21" s="41">
        <v>219895</v>
      </c>
      <c r="C21" s="41"/>
      <c r="D21" s="41"/>
      <c r="E21" s="41"/>
      <c r="F21" s="41"/>
      <c r="G21" s="41" t="s">
        <v>4465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>
      <c r="A22" s="41" t="s">
        <v>3</v>
      </c>
      <c r="B22" s="41">
        <v>219896</v>
      </c>
      <c r="C22" s="41"/>
      <c r="D22" s="41"/>
      <c r="E22" s="41"/>
      <c r="F22" s="41"/>
      <c r="G22" s="41" t="s">
        <v>4465</v>
      </c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>
      <c r="A23" s="41" t="s">
        <v>3</v>
      </c>
      <c r="B23" s="41">
        <v>219575</v>
      </c>
      <c r="C23" s="41">
        <v>969</v>
      </c>
      <c r="D23" s="41" t="s">
        <v>4431</v>
      </c>
      <c r="E23" s="41"/>
      <c r="F23" s="41"/>
      <c r="G23" s="41">
        <v>969</v>
      </c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>
      <c r="A24" s="41" t="s">
        <v>3</v>
      </c>
      <c r="B24" s="41">
        <v>219581</v>
      </c>
      <c r="C24" s="41">
        <v>1190</v>
      </c>
      <c r="D24" s="41" t="s">
        <v>4432</v>
      </c>
      <c r="E24" s="41"/>
      <c r="F24" s="41"/>
      <c r="G24" s="41">
        <v>1190</v>
      </c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>
      <c r="A25" s="41" t="s">
        <v>3</v>
      </c>
      <c r="B25" s="41">
        <v>219797</v>
      </c>
      <c r="C25" s="41"/>
      <c r="D25" s="41"/>
      <c r="E25" s="41"/>
      <c r="F25" s="41"/>
      <c r="G25" s="41" t="s">
        <v>4465</v>
      </c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>
      <c r="A26" s="41" t="s">
        <v>3</v>
      </c>
      <c r="B26" s="41">
        <v>219897</v>
      </c>
      <c r="C26" s="41"/>
      <c r="D26" s="41"/>
      <c r="E26" s="41"/>
      <c r="F26" s="41"/>
      <c r="G26" s="41" t="s">
        <v>4465</v>
      </c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>
      <c r="A27" s="41" t="s">
        <v>3</v>
      </c>
      <c r="B27" s="41">
        <v>219843</v>
      </c>
      <c r="C27" s="41"/>
      <c r="D27" s="41"/>
      <c r="E27" s="41"/>
      <c r="F27" s="41"/>
      <c r="G27" s="41" t="s">
        <v>4465</v>
      </c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>
      <c r="A28" s="41" t="s">
        <v>3</v>
      </c>
      <c r="B28" s="41">
        <v>219845</v>
      </c>
      <c r="C28" s="41"/>
      <c r="D28" s="41"/>
      <c r="E28" s="41"/>
      <c r="F28" s="41"/>
      <c r="G28" s="41" t="s">
        <v>4465</v>
      </c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>
      <c r="A29" s="41" t="s">
        <v>3</v>
      </c>
      <c r="B29" s="41">
        <v>219799</v>
      </c>
      <c r="C29" s="41"/>
      <c r="D29" s="41"/>
      <c r="E29" s="41"/>
      <c r="F29" s="41"/>
      <c r="G29" s="41" t="s">
        <v>4465</v>
      </c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>
      <c r="A30" s="41" t="s">
        <v>3</v>
      </c>
      <c r="B30" s="41">
        <v>219573</v>
      </c>
      <c r="C30" s="41">
        <v>990</v>
      </c>
      <c r="D30" s="41" t="s">
        <v>4433</v>
      </c>
      <c r="E30" s="41"/>
      <c r="F30" s="41"/>
      <c r="G30" s="41">
        <v>1090</v>
      </c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>
      <c r="A31" s="41" t="s">
        <v>3</v>
      </c>
      <c r="B31" s="41">
        <v>219846</v>
      </c>
      <c r="C31" s="41"/>
      <c r="D31" s="41"/>
      <c r="E31" s="41"/>
      <c r="F31" s="41"/>
      <c r="G31" s="41" t="s">
        <v>4465</v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>
      <c r="A32" s="41" t="s">
        <v>3</v>
      </c>
      <c r="B32" s="41">
        <v>219842</v>
      </c>
      <c r="C32" s="41"/>
      <c r="D32" s="41"/>
      <c r="E32" s="41"/>
      <c r="F32" s="41"/>
      <c r="G32" s="41" t="s">
        <v>4465</v>
      </c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>
      <c r="A33" s="41" t="s">
        <v>3</v>
      </c>
      <c r="B33" s="41">
        <v>219582</v>
      </c>
      <c r="C33" s="41">
        <v>949</v>
      </c>
      <c r="D33" s="41" t="s">
        <v>4434</v>
      </c>
      <c r="E33" s="41"/>
      <c r="F33" s="41"/>
      <c r="G33" s="41">
        <v>929</v>
      </c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>
      <c r="A34" s="41" t="s">
        <v>3</v>
      </c>
      <c r="B34" s="41">
        <v>219576</v>
      </c>
      <c r="C34" s="41">
        <v>1390</v>
      </c>
      <c r="D34" s="41" t="s">
        <v>4435</v>
      </c>
      <c r="E34" s="41"/>
      <c r="F34" s="41"/>
      <c r="G34" s="41">
        <v>1390</v>
      </c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>
      <c r="A35" s="41" t="s">
        <v>3</v>
      </c>
      <c r="B35" s="41">
        <v>219580</v>
      </c>
      <c r="C35" s="41"/>
      <c r="D35" s="41"/>
      <c r="E35" s="41"/>
      <c r="F35" s="41"/>
      <c r="G35" s="41" t="s">
        <v>4465</v>
      </c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>
      <c r="A36" s="41" t="s">
        <v>3</v>
      </c>
      <c r="B36" s="41">
        <v>219492</v>
      </c>
      <c r="C36" s="41">
        <v>2890</v>
      </c>
      <c r="D36" s="41" t="s">
        <v>4436</v>
      </c>
      <c r="E36" s="41"/>
      <c r="F36" s="41"/>
      <c r="G36" s="41">
        <v>2990</v>
      </c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>
      <c r="A37" s="41" t="s">
        <v>3</v>
      </c>
      <c r="B37" s="41">
        <v>218711</v>
      </c>
      <c r="C37" s="41"/>
      <c r="D37" s="41"/>
      <c r="E37" s="41"/>
      <c r="F37" s="41"/>
      <c r="G37" s="41" t="s">
        <v>4465</v>
      </c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>
      <c r="A38" s="41" t="s">
        <v>3</v>
      </c>
      <c r="B38" s="41">
        <v>219741</v>
      </c>
      <c r="C38" s="41">
        <v>769</v>
      </c>
      <c r="D38" s="41" t="s">
        <v>4437</v>
      </c>
      <c r="E38" s="41"/>
      <c r="F38" s="41"/>
      <c r="G38" s="41">
        <v>769</v>
      </c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>
      <c r="A39" s="41" t="s">
        <v>3</v>
      </c>
      <c r="B39" s="41">
        <v>151005</v>
      </c>
      <c r="C39" s="41"/>
      <c r="D39" s="41"/>
      <c r="E39" s="41"/>
      <c r="F39" s="41"/>
      <c r="G39" s="41" t="s">
        <v>4465</v>
      </c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>
      <c r="A40" s="41" t="s">
        <v>3</v>
      </c>
      <c r="B40" s="41">
        <v>193361</v>
      </c>
      <c r="C40" s="41"/>
      <c r="D40" s="41"/>
      <c r="E40" s="41"/>
      <c r="F40" s="41"/>
      <c r="G40" s="41" t="s">
        <v>4465</v>
      </c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>
      <c r="A41" s="41" t="s">
        <v>3</v>
      </c>
      <c r="B41" s="41">
        <v>193362</v>
      </c>
      <c r="C41" s="41"/>
      <c r="D41" s="41"/>
      <c r="E41" s="41"/>
      <c r="F41" s="41"/>
      <c r="G41" s="41" t="s">
        <v>4465</v>
      </c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>
      <c r="A42" s="41" t="s">
        <v>3</v>
      </c>
      <c r="B42" s="41">
        <v>151006</v>
      </c>
      <c r="C42" s="41"/>
      <c r="D42" s="41"/>
      <c r="E42" s="41"/>
      <c r="F42" s="41"/>
      <c r="G42" s="41" t="s">
        <v>4465</v>
      </c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>
      <c r="A43" s="41" t="s">
        <v>3</v>
      </c>
      <c r="B43" s="41">
        <v>140842</v>
      </c>
      <c r="C43" s="41"/>
      <c r="D43" s="41"/>
      <c r="E43" s="41"/>
      <c r="F43" s="41"/>
      <c r="G43" s="41" t="s">
        <v>4465</v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>
      <c r="A44" s="41" t="s">
        <v>3</v>
      </c>
      <c r="B44" s="41">
        <v>140841</v>
      </c>
      <c r="C44" s="41"/>
      <c r="D44" s="41"/>
      <c r="E44" s="41"/>
      <c r="F44" s="41"/>
      <c r="G44" s="41" t="s">
        <v>4465</v>
      </c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>
      <c r="A45" s="41" t="s">
        <v>3</v>
      </c>
      <c r="B45" s="41">
        <v>140840</v>
      </c>
      <c r="C45" s="41"/>
      <c r="D45" s="41"/>
      <c r="E45" s="41"/>
      <c r="F45" s="41"/>
      <c r="G45" s="41" t="s">
        <v>4465</v>
      </c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>
      <c r="A46" s="41" t="s">
        <v>3</v>
      </c>
      <c r="B46" s="41">
        <v>140843</v>
      </c>
      <c r="C46" s="41"/>
      <c r="D46" s="41"/>
      <c r="E46" s="41"/>
      <c r="F46" s="41"/>
      <c r="G46" s="41" t="s">
        <v>4465</v>
      </c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>
      <c r="A47" s="41" t="s">
        <v>3</v>
      </c>
      <c r="B47" s="41">
        <v>226262</v>
      </c>
      <c r="C47" s="41"/>
      <c r="D47" s="41"/>
      <c r="E47" s="41"/>
      <c r="F47" s="41"/>
      <c r="G47" s="41" t="s">
        <v>4465</v>
      </c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>
      <c r="A48" s="41" t="s">
        <v>3</v>
      </c>
      <c r="B48" s="41">
        <v>226280</v>
      </c>
      <c r="C48" s="41"/>
      <c r="D48" s="41"/>
      <c r="E48" s="41"/>
      <c r="F48" s="41"/>
      <c r="G48" s="41" t="s">
        <v>4465</v>
      </c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>
      <c r="A49" s="41" t="s">
        <v>3</v>
      </c>
      <c r="B49" s="41">
        <v>226281</v>
      </c>
      <c r="C49" s="41"/>
      <c r="D49" s="41"/>
      <c r="E49" s="41"/>
      <c r="F49" s="41"/>
      <c r="G49" s="41" t="s">
        <v>4465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>
      <c r="A50" s="41" t="s">
        <v>3</v>
      </c>
      <c r="B50" s="41">
        <v>226278</v>
      </c>
      <c r="C50" s="41"/>
      <c r="D50" s="41"/>
      <c r="E50" s="41"/>
      <c r="F50" s="41"/>
      <c r="G50" s="41" t="s">
        <v>4465</v>
      </c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51" spans="1:20">
      <c r="A51" s="41" t="s">
        <v>3</v>
      </c>
      <c r="B51" s="41">
        <v>226284</v>
      </c>
      <c r="C51" s="41"/>
      <c r="D51" s="41"/>
      <c r="E51" s="41"/>
      <c r="F51" s="41"/>
      <c r="G51" s="41" t="s">
        <v>4465</v>
      </c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</row>
    <row r="52" spans="1:20">
      <c r="A52" s="41" t="s">
        <v>3</v>
      </c>
      <c r="B52" s="41">
        <v>226282</v>
      </c>
      <c r="C52" s="41"/>
      <c r="D52" s="41"/>
      <c r="E52" s="41"/>
      <c r="F52" s="41"/>
      <c r="G52" s="41" t="s">
        <v>4465</v>
      </c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</row>
    <row r="53" spans="1:20">
      <c r="A53" s="41" t="s">
        <v>3</v>
      </c>
      <c r="B53" s="41">
        <v>226276</v>
      </c>
      <c r="C53" s="41"/>
      <c r="D53" s="41"/>
      <c r="E53" s="41"/>
      <c r="F53" s="41"/>
      <c r="G53" s="41" t="s">
        <v>4465</v>
      </c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</row>
    <row r="54" spans="1:20">
      <c r="A54" s="41" t="s">
        <v>3</v>
      </c>
      <c r="B54" s="41">
        <v>226219</v>
      </c>
      <c r="C54" s="41"/>
      <c r="D54" s="41"/>
      <c r="E54" s="41"/>
      <c r="F54" s="41"/>
      <c r="G54" s="41" t="s">
        <v>4465</v>
      </c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</row>
    <row r="55" spans="1:20">
      <c r="A55" s="41" t="s">
        <v>3</v>
      </c>
      <c r="B55" s="41">
        <v>226277</v>
      </c>
      <c r="C55" s="41"/>
      <c r="D55" s="41"/>
      <c r="E55" s="41"/>
      <c r="F55" s="41"/>
      <c r="G55" s="41" t="s">
        <v>4465</v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</row>
    <row r="56" spans="1:20">
      <c r="A56" s="41" t="s">
        <v>3</v>
      </c>
      <c r="B56" s="41">
        <v>226283</v>
      </c>
      <c r="C56" s="41"/>
      <c r="D56" s="41"/>
      <c r="E56" s="41"/>
      <c r="F56" s="41"/>
      <c r="G56" s="41" t="s">
        <v>4465</v>
      </c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</row>
    <row r="57" spans="1:20">
      <c r="A57" s="41" t="s">
        <v>3</v>
      </c>
      <c r="B57" s="41">
        <v>226217</v>
      </c>
      <c r="C57" s="41"/>
      <c r="D57" s="41"/>
      <c r="E57" s="41"/>
      <c r="F57" s="41"/>
      <c r="G57" s="41" t="s">
        <v>4465</v>
      </c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</row>
    <row r="58" spans="1:20">
      <c r="A58" s="41" t="s">
        <v>3</v>
      </c>
      <c r="B58" s="41">
        <v>226218</v>
      </c>
      <c r="C58" s="41"/>
      <c r="D58" s="41"/>
      <c r="E58" s="41"/>
      <c r="F58" s="41"/>
      <c r="G58" s="41" t="s">
        <v>4465</v>
      </c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</row>
    <row r="59" spans="1:20">
      <c r="A59" s="41" t="s">
        <v>3</v>
      </c>
      <c r="B59" s="41">
        <v>226279</v>
      </c>
      <c r="C59" s="41"/>
      <c r="D59" s="41"/>
      <c r="E59" s="41"/>
      <c r="F59" s="41"/>
      <c r="G59" s="41" t="s">
        <v>4465</v>
      </c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</row>
    <row r="60" spans="1:20">
      <c r="A60" s="41" t="s">
        <v>3</v>
      </c>
      <c r="B60" s="41">
        <v>139816</v>
      </c>
      <c r="C60" s="41"/>
      <c r="D60" s="41"/>
      <c r="E60" s="41"/>
      <c r="F60" s="41"/>
      <c r="G60" s="41" t="s">
        <v>4465</v>
      </c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</row>
    <row r="61" spans="1:20">
      <c r="A61" s="41" t="s">
        <v>3</v>
      </c>
      <c r="B61" s="41">
        <v>213027</v>
      </c>
      <c r="C61" s="41"/>
      <c r="D61" s="41"/>
      <c r="E61" s="41"/>
      <c r="F61" s="41"/>
      <c r="G61" s="41" t="s">
        <v>4465</v>
      </c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</row>
    <row r="62" spans="1:20">
      <c r="A62" s="41" t="s">
        <v>3</v>
      </c>
      <c r="B62" s="41">
        <v>213028</v>
      </c>
      <c r="C62" s="41"/>
      <c r="D62" s="41"/>
      <c r="E62" s="41"/>
      <c r="F62" s="41"/>
      <c r="G62" s="41" t="s">
        <v>4465</v>
      </c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</row>
    <row r="63" spans="1:20">
      <c r="A63" s="41" t="s">
        <v>3</v>
      </c>
      <c r="B63" s="41">
        <v>225466</v>
      </c>
      <c r="C63" s="41"/>
      <c r="D63" s="41"/>
      <c r="E63" s="41"/>
      <c r="F63" s="41"/>
      <c r="G63" s="41" t="s">
        <v>4465</v>
      </c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</row>
    <row r="64" spans="1:20">
      <c r="A64" s="41" t="s">
        <v>3</v>
      </c>
      <c r="B64" s="41">
        <v>225467</v>
      </c>
      <c r="C64" s="41"/>
      <c r="D64" s="41"/>
      <c r="E64" s="41"/>
      <c r="F64" s="41"/>
      <c r="G64" s="41" t="s">
        <v>4465</v>
      </c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</row>
    <row r="65" spans="1:20">
      <c r="A65" s="41" t="s">
        <v>3</v>
      </c>
      <c r="B65" s="41">
        <v>139296</v>
      </c>
      <c r="C65" s="41"/>
      <c r="D65" s="41"/>
      <c r="E65" s="41"/>
      <c r="F65" s="41"/>
      <c r="G65" s="41" t="s">
        <v>4465</v>
      </c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</row>
    <row r="66" spans="1:20">
      <c r="A66" s="41" t="s">
        <v>3</v>
      </c>
      <c r="B66" s="41">
        <v>150980</v>
      </c>
      <c r="C66" s="41"/>
      <c r="D66" s="41"/>
      <c r="E66" s="41"/>
      <c r="F66" s="41"/>
      <c r="G66" s="41" t="s">
        <v>4465</v>
      </c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</row>
    <row r="67" spans="1:20">
      <c r="A67" s="41" t="s">
        <v>3</v>
      </c>
      <c r="B67" s="41">
        <v>219574</v>
      </c>
      <c r="C67" s="41"/>
      <c r="D67" s="41"/>
      <c r="E67" s="41"/>
      <c r="F67" s="41"/>
      <c r="G67" s="41" t="s">
        <v>4465</v>
      </c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</row>
    <row r="68" spans="1:20">
      <c r="A68" s="41" t="s">
        <v>3</v>
      </c>
      <c r="B68" s="41">
        <v>151007</v>
      </c>
      <c r="C68" s="41"/>
      <c r="D68" s="41"/>
      <c r="E68" s="41"/>
      <c r="F68" s="41"/>
      <c r="G68" s="41" t="s">
        <v>4465</v>
      </c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</row>
    <row r="69" spans="1:20">
      <c r="A69" s="41" t="s">
        <v>3</v>
      </c>
      <c r="B69" s="41">
        <v>181660</v>
      </c>
      <c r="C69" s="41"/>
      <c r="D69" s="41"/>
      <c r="E69" s="41"/>
      <c r="F69" s="41"/>
      <c r="G69" s="41" t="s">
        <v>4465</v>
      </c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</row>
    <row r="70" spans="1:20">
      <c r="A70" s="41" t="s">
        <v>3</v>
      </c>
      <c r="B70" s="41">
        <v>181659</v>
      </c>
      <c r="C70" s="41"/>
      <c r="D70" s="41"/>
      <c r="E70" s="41"/>
      <c r="F70" s="41"/>
      <c r="G70" s="41" t="s">
        <v>4465</v>
      </c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</row>
    <row r="71" spans="1:20">
      <c r="A71" s="41" t="s">
        <v>3</v>
      </c>
      <c r="B71" s="41">
        <v>222887</v>
      </c>
      <c r="C71" s="41"/>
      <c r="D71" s="41"/>
      <c r="E71" s="41"/>
      <c r="F71" s="41"/>
      <c r="G71" s="41" t="s">
        <v>4465</v>
      </c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</row>
    <row r="72" spans="1:20">
      <c r="A72" s="41" t="s">
        <v>3</v>
      </c>
      <c r="B72" s="41">
        <v>222886</v>
      </c>
      <c r="C72" s="41"/>
      <c r="D72" s="41"/>
      <c r="E72" s="41"/>
      <c r="F72" s="41"/>
      <c r="G72" s="41" t="s">
        <v>4465</v>
      </c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</row>
    <row r="73" spans="1:20">
      <c r="A73" s="41" t="s">
        <v>3</v>
      </c>
      <c r="B73" s="41">
        <v>139295</v>
      </c>
      <c r="C73" s="41"/>
      <c r="D73" s="41"/>
      <c r="E73" s="41"/>
      <c r="F73" s="41"/>
      <c r="G73" s="41" t="s">
        <v>4465</v>
      </c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</row>
    <row r="74" spans="1:20">
      <c r="A74" s="41" t="s">
        <v>3</v>
      </c>
      <c r="B74" s="41">
        <v>139294</v>
      </c>
      <c r="C74" s="41"/>
      <c r="D74" s="41"/>
      <c r="E74" s="41"/>
      <c r="F74" s="41"/>
      <c r="G74" s="41" t="s">
        <v>4465</v>
      </c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</row>
    <row r="75" spans="1:20">
      <c r="A75" s="41" t="s">
        <v>3</v>
      </c>
      <c r="B75" s="41">
        <v>139100</v>
      </c>
      <c r="C75" s="41"/>
      <c r="D75" s="41"/>
      <c r="E75" s="41"/>
      <c r="F75" s="41"/>
      <c r="G75" s="41" t="s">
        <v>4465</v>
      </c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</row>
    <row r="76" spans="1:20">
      <c r="A76" s="41" t="s">
        <v>3</v>
      </c>
      <c r="B76" s="41">
        <v>139101</v>
      </c>
      <c r="C76" s="41"/>
      <c r="D76" s="41"/>
      <c r="E76" s="41"/>
      <c r="F76" s="41"/>
      <c r="G76" s="41" t="s">
        <v>4465</v>
      </c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</row>
    <row r="77" spans="1:20">
      <c r="A77" s="41" t="s">
        <v>3</v>
      </c>
      <c r="B77" s="41">
        <v>202352</v>
      </c>
      <c r="C77" s="41"/>
      <c r="D77" s="41"/>
      <c r="E77" s="41"/>
      <c r="F77" s="41"/>
      <c r="G77" s="41" t="s">
        <v>4465</v>
      </c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</row>
    <row r="78" spans="1:20">
      <c r="A78" s="41" t="s">
        <v>3</v>
      </c>
      <c r="B78" s="41">
        <v>202351</v>
      </c>
      <c r="C78" s="41"/>
      <c r="D78" s="41"/>
      <c r="E78" s="41"/>
      <c r="F78" s="41"/>
      <c r="G78" s="41" t="s">
        <v>4465</v>
      </c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</row>
    <row r="79" spans="1:20">
      <c r="A79" s="41" t="s">
        <v>3</v>
      </c>
      <c r="B79" s="41">
        <v>202391</v>
      </c>
      <c r="C79" s="41"/>
      <c r="D79" s="41"/>
      <c r="E79" s="41"/>
      <c r="F79" s="41"/>
      <c r="G79" s="41" t="s">
        <v>4465</v>
      </c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</row>
    <row r="80" spans="1:20">
      <c r="A80" s="41" t="s">
        <v>3</v>
      </c>
      <c r="B80" s="41">
        <v>219514</v>
      </c>
      <c r="C80" s="41">
        <v>2690</v>
      </c>
      <c r="D80" s="41" t="s">
        <v>4438</v>
      </c>
      <c r="E80" s="41"/>
      <c r="F80" s="41"/>
      <c r="G80" s="41">
        <v>2890</v>
      </c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</row>
    <row r="81" spans="1:20">
      <c r="A81" s="41" t="s">
        <v>3</v>
      </c>
      <c r="B81" s="41">
        <v>219512</v>
      </c>
      <c r="C81" s="41">
        <v>2490</v>
      </c>
      <c r="D81" s="41" t="s">
        <v>4439</v>
      </c>
      <c r="E81" s="41"/>
      <c r="F81" s="41"/>
      <c r="G81" s="41">
        <v>3090</v>
      </c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</row>
    <row r="82" spans="1:20">
      <c r="A82" s="41" t="s">
        <v>3</v>
      </c>
      <c r="B82" s="41">
        <v>219515</v>
      </c>
      <c r="C82" s="41"/>
      <c r="D82" s="41"/>
      <c r="E82" s="41"/>
      <c r="F82" s="41"/>
      <c r="G82" s="41" t="s">
        <v>4465</v>
      </c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</row>
    <row r="83" spans="1:20">
      <c r="A83" s="41" t="s">
        <v>3</v>
      </c>
      <c r="B83" s="41">
        <v>219511</v>
      </c>
      <c r="C83" s="41">
        <v>3090</v>
      </c>
      <c r="D83" s="41" t="s">
        <v>4441</v>
      </c>
      <c r="E83" s="41"/>
      <c r="F83" s="41"/>
      <c r="G83" s="41">
        <v>3390</v>
      </c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</row>
    <row r="84" spans="1:20">
      <c r="A84" s="41" t="s">
        <v>3</v>
      </c>
      <c r="B84" s="41">
        <v>219510</v>
      </c>
      <c r="C84" s="41">
        <v>2490</v>
      </c>
      <c r="D84" s="41" t="s">
        <v>4442</v>
      </c>
      <c r="E84" s="41"/>
      <c r="F84" s="41"/>
      <c r="G84" s="41">
        <v>2490</v>
      </c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</row>
    <row r="85" spans="1:20">
      <c r="A85" s="41" t="s">
        <v>3</v>
      </c>
      <c r="B85" s="41">
        <v>219516</v>
      </c>
      <c r="C85" s="41">
        <v>3990</v>
      </c>
      <c r="D85" s="41" t="s">
        <v>4440</v>
      </c>
      <c r="E85" s="41"/>
      <c r="F85" s="41"/>
      <c r="G85" s="41">
        <v>4290</v>
      </c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</row>
    <row r="86" spans="1:20">
      <c r="A86" s="41" t="s">
        <v>3</v>
      </c>
      <c r="B86" s="41">
        <v>219517</v>
      </c>
      <c r="C86" s="41"/>
      <c r="D86" s="41"/>
      <c r="E86" s="41"/>
      <c r="F86" s="41"/>
      <c r="G86" s="41" t="s">
        <v>4465</v>
      </c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</row>
    <row r="87" spans="1:20">
      <c r="A87" s="41" t="s">
        <v>3</v>
      </c>
      <c r="B87" s="41">
        <v>219513</v>
      </c>
      <c r="C87" s="41"/>
      <c r="D87" s="41"/>
      <c r="E87" s="41"/>
      <c r="F87" s="41"/>
      <c r="G87" s="41" t="s">
        <v>4465</v>
      </c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</row>
    <row r="88" spans="1:20">
      <c r="A88" s="41" t="s">
        <v>3</v>
      </c>
      <c r="B88" s="41">
        <v>219518</v>
      </c>
      <c r="C88" s="41">
        <v>5290</v>
      </c>
      <c r="D88" s="41" t="s">
        <v>4443</v>
      </c>
      <c r="E88" s="41"/>
      <c r="F88" s="41"/>
      <c r="G88" s="41">
        <v>5290</v>
      </c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</row>
    <row r="89" spans="1:20">
      <c r="A89" s="41" t="s">
        <v>3</v>
      </c>
      <c r="B89" s="41">
        <v>219509</v>
      </c>
      <c r="C89" s="41"/>
      <c r="D89" s="41"/>
      <c r="E89" s="41"/>
      <c r="F89" s="41"/>
      <c r="G89" s="41" t="s">
        <v>4465</v>
      </c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6A33CF-472C-489C-9106-BFD9E1A83C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Кат</vt:lpstr>
      <vt:lpstr>Проценка</vt:lpstr>
      <vt:lpstr>отчет Eplex</vt:lpstr>
      <vt:lpstr>Прайс</vt:lpstr>
      <vt:lpstr>Наценка</vt:lpstr>
      <vt:lpstr>Выгр Кат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2022-09-26T12:21:10Z</dcterms:created>
  <dcterms:modified xsi:type="dcterms:W3CDTF">2024-09-03T06:39:49Z</dcterms:modified>
</cp:coreProperties>
</file>