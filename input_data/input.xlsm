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tonk1x - NextCloud\TT data\Прайс-листы\"/>
    </mc:Choice>
  </mc:AlternateContent>
  <xr:revisionPtr revIDLastSave="0" documentId="13_ncr:1_{1EFD7101-3B87-4E5B-893A-F985D147A477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2" r:id="rId1"/>
    <sheet name="Торг" sheetId="3" r:id="rId2"/>
    <sheet name="Наценка" sheetId="10" r:id="rId3"/>
    <sheet name="Выгр Кат" sheetId="9" r:id="rId4"/>
    <sheet name="Выгр Торг" sheetId="8" r:id="rId5"/>
    <sheet name="Ссылки" sheetId="13" r:id="rId6"/>
    <sheet name="Из ГУГЛа" sheetId="14" r:id="rId7"/>
  </sheets>
  <definedNames>
    <definedName name="_xlnm._FilterDatabase" localSheetId="3" hidden="1">'Выгр Кат'!$A$1:$Q$1</definedName>
    <definedName name="_xlnm._FilterDatabase" localSheetId="4" hidden="1">'Выгр Торг'!$A$1:$R$1</definedName>
    <definedName name="_xlnm._FilterDatabase" localSheetId="0" hidden="1">Кат!$A$2:$AQ$52</definedName>
    <definedName name="_xlnm._FilterDatabase" localSheetId="1" hidden="1">Торг!$A$2:$AC$2</definedName>
    <definedName name="ExternalData_1" localSheetId="6" hidden="1">'Из ГУГЛа'!$A$1:$X$55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3" l="1" a="1"/>
  <c r="H1" i="13" s="1"/>
  <c r="F1" i="13" a="1"/>
  <c r="F1" i="13" s="1"/>
  <c r="B1" i="13" a="1"/>
  <c r="B1" i="13" s="1"/>
  <c r="H53" i="13" a="1"/>
  <c r="H53" i="13" s="1"/>
  <c r="F53" i="13" a="1"/>
  <c r="F53" i="13" s="1"/>
  <c r="D53" i="13" a="1"/>
  <c r="D53" i="13" s="1"/>
  <c r="B53" i="13" a="1"/>
  <c r="B53" i="13" s="1"/>
  <c r="A53" i="13" a="1"/>
  <c r="A53" i="13" s="1"/>
  <c r="D1" i="13" a="1"/>
  <c r="D1" i="13" s="1"/>
  <c r="A1" i="13" a="1"/>
  <c r="A1" i="13" s="1"/>
  <c r="W3" i="2"/>
  <c r="W4" i="2"/>
  <c r="W17" i="2"/>
  <c r="W43" i="2"/>
  <c r="M43" i="2" s="1"/>
  <c r="W42" i="2"/>
  <c r="W39" i="2"/>
  <c r="W33" i="2"/>
  <c r="AE1" i="2"/>
  <c r="W30" i="2"/>
  <c r="M30" i="2" s="1"/>
  <c r="AC4" i="2"/>
  <c r="AH4" i="2"/>
  <c r="AM4" i="2"/>
  <c r="AC5" i="2"/>
  <c r="AH5" i="2"/>
  <c r="AM5" i="2"/>
  <c r="AC6" i="2"/>
  <c r="AH6" i="2"/>
  <c r="AM6" i="2"/>
  <c r="AC7" i="2"/>
  <c r="AH7" i="2"/>
  <c r="AM7" i="2"/>
  <c r="AC8" i="2"/>
  <c r="AH8" i="2"/>
  <c r="AM8" i="2"/>
  <c r="AC9" i="2"/>
  <c r="AH9" i="2"/>
  <c r="AM9" i="2"/>
  <c r="AC10" i="2"/>
  <c r="AH10" i="2"/>
  <c r="AM10" i="2"/>
  <c r="AC11" i="2"/>
  <c r="AH11" i="2"/>
  <c r="AM11" i="2"/>
  <c r="AC12" i="2"/>
  <c r="AH12" i="2"/>
  <c r="AM12" i="2"/>
  <c r="AC13" i="2"/>
  <c r="AH13" i="2"/>
  <c r="AM13" i="2"/>
  <c r="AC14" i="2"/>
  <c r="AH14" i="2"/>
  <c r="AM14" i="2"/>
  <c r="AC15" i="2"/>
  <c r="AH15" i="2"/>
  <c r="AM15" i="2"/>
  <c r="AC16" i="2"/>
  <c r="AH16" i="2"/>
  <c r="AM16" i="2"/>
  <c r="AC17" i="2"/>
  <c r="AH17" i="2"/>
  <c r="AM17" i="2"/>
  <c r="AC18" i="2"/>
  <c r="AH18" i="2"/>
  <c r="AM18" i="2"/>
  <c r="AC19" i="2"/>
  <c r="AH19" i="2"/>
  <c r="AM19" i="2"/>
  <c r="AC20" i="2"/>
  <c r="AH20" i="2"/>
  <c r="AM20" i="2"/>
  <c r="AC21" i="2"/>
  <c r="AH21" i="2"/>
  <c r="AM21" i="2"/>
  <c r="AC22" i="2"/>
  <c r="AH22" i="2"/>
  <c r="AM22" i="2"/>
  <c r="AC23" i="2"/>
  <c r="AH23" i="2"/>
  <c r="AM23" i="2"/>
  <c r="AC24" i="2"/>
  <c r="AH24" i="2"/>
  <c r="AM24" i="2"/>
  <c r="AC25" i="2"/>
  <c r="AH25" i="2"/>
  <c r="AM25" i="2"/>
  <c r="AC26" i="2"/>
  <c r="AH26" i="2"/>
  <c r="AM26" i="2"/>
  <c r="AC27" i="2"/>
  <c r="AH27" i="2"/>
  <c r="AM27" i="2"/>
  <c r="AC28" i="2"/>
  <c r="AH28" i="2"/>
  <c r="AM28" i="2"/>
  <c r="AC29" i="2"/>
  <c r="AH29" i="2"/>
  <c r="AM29" i="2"/>
  <c r="AC30" i="2"/>
  <c r="AH30" i="2"/>
  <c r="AM30" i="2"/>
  <c r="AC31" i="2"/>
  <c r="AH31" i="2"/>
  <c r="AM31" i="2"/>
  <c r="AC32" i="2"/>
  <c r="AH32" i="2"/>
  <c r="AM32" i="2"/>
  <c r="AC33" i="2"/>
  <c r="AH33" i="2"/>
  <c r="AM33" i="2"/>
  <c r="AC34" i="2"/>
  <c r="AH34" i="2"/>
  <c r="AM34" i="2"/>
  <c r="AC35" i="2"/>
  <c r="AH35" i="2"/>
  <c r="AM35" i="2"/>
  <c r="AC36" i="2"/>
  <c r="AH36" i="2"/>
  <c r="AM36" i="2"/>
  <c r="AC37" i="2"/>
  <c r="AH37" i="2"/>
  <c r="AM37" i="2"/>
  <c r="AC38" i="2"/>
  <c r="AH38" i="2"/>
  <c r="AM38" i="2"/>
  <c r="AC39" i="2"/>
  <c r="AH39" i="2"/>
  <c r="AM39" i="2"/>
  <c r="AC40" i="2"/>
  <c r="AH40" i="2"/>
  <c r="AM40" i="2"/>
  <c r="AC41" i="2"/>
  <c r="AH41" i="2"/>
  <c r="AM41" i="2"/>
  <c r="AC42" i="2"/>
  <c r="AH42" i="2"/>
  <c r="AM42" i="2"/>
  <c r="AC43" i="2"/>
  <c r="AH43" i="2"/>
  <c r="AM43" i="2"/>
  <c r="AC44" i="2"/>
  <c r="AH44" i="2"/>
  <c r="AM44" i="2"/>
  <c r="AC45" i="2"/>
  <c r="AH45" i="2"/>
  <c r="AM45" i="2"/>
  <c r="AC46" i="2"/>
  <c r="AH46" i="2"/>
  <c r="AM46" i="2"/>
  <c r="AC47" i="2"/>
  <c r="AH47" i="2"/>
  <c r="AM47" i="2"/>
  <c r="AC48" i="2"/>
  <c r="AH48" i="2"/>
  <c r="AM48" i="2"/>
  <c r="AC49" i="2"/>
  <c r="AH49" i="2"/>
  <c r="AM49" i="2"/>
  <c r="AC50" i="2"/>
  <c r="AH50" i="2"/>
  <c r="AM50" i="2"/>
  <c r="AC51" i="2"/>
  <c r="AH51" i="2"/>
  <c r="AM51" i="2"/>
  <c r="AC52" i="2"/>
  <c r="AH52" i="2"/>
  <c r="AM52" i="2"/>
  <c r="AM3" i="2"/>
  <c r="AO1" i="2"/>
  <c r="AH3" i="2"/>
  <c r="AJ1" i="2"/>
  <c r="AC3" i="2" l="1"/>
  <c r="W13" i="2"/>
  <c r="P2" i="2"/>
  <c r="O2" i="2"/>
  <c r="H2" i="2"/>
  <c r="G2" i="2"/>
  <c r="F2" i="2"/>
  <c r="Q2" i="3"/>
  <c r="P2" i="3"/>
  <c r="I2" i="3"/>
  <c r="H2" i="3"/>
  <c r="G2" i="3"/>
  <c r="G3" i="3"/>
  <c r="H3" i="3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M65" i="2"/>
  <c r="M1" i="2"/>
  <c r="W50" i="2"/>
  <c r="M50" i="2" s="1"/>
  <c r="M42" i="2"/>
  <c r="M39" i="2"/>
  <c r="V33" i="2"/>
  <c r="W24" i="2"/>
  <c r="V24" i="2" s="1"/>
  <c r="W23" i="2"/>
  <c r="V23" i="2" s="1"/>
  <c r="W22" i="2"/>
  <c r="M22" i="2" s="1"/>
  <c r="W21" i="2"/>
  <c r="V21" i="2" s="1"/>
  <c r="W20" i="2"/>
  <c r="V20" i="2" s="1"/>
  <c r="W19" i="2"/>
  <c r="V19" i="2" s="1"/>
  <c r="M17" i="2"/>
  <c r="W16" i="2"/>
  <c r="M16" i="2" s="1"/>
  <c r="W15" i="2"/>
  <c r="M15" i="2" s="1"/>
  <c r="W14" i="2"/>
  <c r="M14" i="2" s="1"/>
  <c r="W12" i="2"/>
  <c r="V12" i="2" s="1"/>
  <c r="W11" i="2"/>
  <c r="M11" i="2" s="1"/>
  <c r="W10" i="2"/>
  <c r="V10" i="2" s="1"/>
  <c r="W9" i="2"/>
  <c r="V9" i="2" s="1"/>
  <c r="W8" i="2"/>
  <c r="V8" i="2" s="1"/>
  <c r="W6" i="2"/>
  <c r="V6" i="2" s="1"/>
  <c r="W5" i="2"/>
  <c r="M5" i="2" s="1"/>
  <c r="V4" i="2"/>
  <c r="M3" i="2"/>
  <c r="P52" i="2"/>
  <c r="M52" i="2" s="1"/>
  <c r="O52" i="2"/>
  <c r="Q52" i="2" s="1"/>
  <c r="P51" i="2"/>
  <c r="O51" i="2"/>
  <c r="Q51" i="2" s="1"/>
  <c r="P50" i="2"/>
  <c r="O50" i="2"/>
  <c r="Q50" i="2" s="1"/>
  <c r="P49" i="2"/>
  <c r="O49" i="2"/>
  <c r="Q49" i="2" s="1"/>
  <c r="P48" i="2"/>
  <c r="O48" i="2"/>
  <c r="Q48" i="2" s="1"/>
  <c r="P47" i="2"/>
  <c r="O47" i="2"/>
  <c r="Q47" i="2" s="1"/>
  <c r="P46" i="2"/>
  <c r="O46" i="2"/>
  <c r="Q46" i="2" s="1"/>
  <c r="P45" i="2"/>
  <c r="O45" i="2"/>
  <c r="Q45" i="2" s="1"/>
  <c r="P44" i="2"/>
  <c r="O44" i="2"/>
  <c r="Q44" i="2" s="1"/>
  <c r="P43" i="2"/>
  <c r="O43" i="2"/>
  <c r="Q43" i="2" s="1"/>
  <c r="P42" i="2"/>
  <c r="O42" i="2"/>
  <c r="Q42" i="2" s="1"/>
  <c r="P41" i="2"/>
  <c r="O41" i="2"/>
  <c r="Q41" i="2" s="1"/>
  <c r="P40" i="2"/>
  <c r="O40" i="2"/>
  <c r="Q40" i="2" s="1"/>
  <c r="P39" i="2"/>
  <c r="O39" i="2"/>
  <c r="Q39" i="2" s="1"/>
  <c r="P38" i="2"/>
  <c r="O38" i="2"/>
  <c r="Q38" i="2" s="1"/>
  <c r="P37" i="2"/>
  <c r="O37" i="2"/>
  <c r="Q37" i="2" s="1"/>
  <c r="P36" i="2"/>
  <c r="O36" i="2"/>
  <c r="Q36" i="2" s="1"/>
  <c r="P35" i="2"/>
  <c r="O35" i="2"/>
  <c r="Q35" i="2" s="1"/>
  <c r="P34" i="2"/>
  <c r="O34" i="2"/>
  <c r="Q34" i="2" s="1"/>
  <c r="P33" i="2"/>
  <c r="O33" i="2"/>
  <c r="Q33" i="2" s="1"/>
  <c r="P32" i="2"/>
  <c r="O32" i="2"/>
  <c r="Q32" i="2" s="1"/>
  <c r="P31" i="2"/>
  <c r="O31" i="2"/>
  <c r="Q31" i="2" s="1"/>
  <c r="P30" i="2"/>
  <c r="O30" i="2"/>
  <c r="Q30" i="2" s="1"/>
  <c r="P29" i="2"/>
  <c r="O29" i="2"/>
  <c r="P28" i="2"/>
  <c r="O28" i="2"/>
  <c r="Q28" i="2" s="1"/>
  <c r="P27" i="2"/>
  <c r="O27" i="2"/>
  <c r="Q27" i="2" s="1"/>
  <c r="P26" i="2"/>
  <c r="O26" i="2"/>
  <c r="Q26" i="2" s="1"/>
  <c r="P25" i="2"/>
  <c r="O25" i="2"/>
  <c r="Q25" i="2" s="1"/>
  <c r="P24" i="2"/>
  <c r="O24" i="2"/>
  <c r="Q24" i="2" s="1"/>
  <c r="P23" i="2"/>
  <c r="O23" i="2"/>
  <c r="Q23" i="2" s="1"/>
  <c r="P22" i="2"/>
  <c r="O22" i="2"/>
  <c r="Q22" i="2" s="1"/>
  <c r="P21" i="2"/>
  <c r="O21" i="2"/>
  <c r="Q21" i="2" s="1"/>
  <c r="P20" i="2"/>
  <c r="O20" i="2"/>
  <c r="Q20" i="2" s="1"/>
  <c r="P19" i="2"/>
  <c r="O19" i="2"/>
  <c r="Q19" i="2" s="1"/>
  <c r="P18" i="2"/>
  <c r="O18" i="2"/>
  <c r="Q18" i="2" s="1"/>
  <c r="P17" i="2"/>
  <c r="O17" i="2"/>
  <c r="Q17" i="2" s="1"/>
  <c r="P16" i="2"/>
  <c r="O16" i="2"/>
  <c r="Q16" i="2" s="1"/>
  <c r="P15" i="2"/>
  <c r="O15" i="2"/>
  <c r="Q15" i="2" s="1"/>
  <c r="P14" i="2"/>
  <c r="O14" i="2"/>
  <c r="Q14" i="2" s="1"/>
  <c r="P13" i="2"/>
  <c r="M13" i="2" s="1"/>
  <c r="O13" i="2"/>
  <c r="Q13" i="2" s="1"/>
  <c r="P12" i="2"/>
  <c r="O12" i="2"/>
  <c r="Q12" i="2" s="1"/>
  <c r="P11" i="2"/>
  <c r="O11" i="2"/>
  <c r="Q11" i="2" s="1"/>
  <c r="P10" i="2"/>
  <c r="O10" i="2"/>
  <c r="Q10" i="2" s="1"/>
  <c r="P9" i="2"/>
  <c r="O9" i="2"/>
  <c r="Q9" i="2" s="1"/>
  <c r="P8" i="2"/>
  <c r="O8" i="2"/>
  <c r="Q8" i="2" s="1"/>
  <c r="P7" i="2"/>
  <c r="M7" i="2" s="1"/>
  <c r="O7" i="2"/>
  <c r="Q7" i="2" s="1"/>
  <c r="P6" i="2"/>
  <c r="O6" i="2"/>
  <c r="Q6" i="2" s="1"/>
  <c r="P5" i="2"/>
  <c r="O5" i="2"/>
  <c r="Q5" i="2" s="1"/>
  <c r="P4" i="2"/>
  <c r="O4" i="2"/>
  <c r="Q4" i="2" s="1"/>
  <c r="P3" i="2"/>
  <c r="O3" i="2"/>
  <c r="H52" i="2"/>
  <c r="D52" i="2"/>
  <c r="C52" i="2"/>
  <c r="B52" i="2"/>
  <c r="H51" i="2"/>
  <c r="D51" i="2"/>
  <c r="C51" i="2"/>
  <c r="B51" i="2"/>
  <c r="H50" i="2"/>
  <c r="D50" i="2"/>
  <c r="C50" i="2"/>
  <c r="B50" i="2"/>
  <c r="H49" i="2"/>
  <c r="D49" i="2"/>
  <c r="C49" i="2"/>
  <c r="B49" i="2"/>
  <c r="H48" i="2"/>
  <c r="D48" i="2"/>
  <c r="C48" i="2"/>
  <c r="B48" i="2"/>
  <c r="H47" i="2"/>
  <c r="D47" i="2"/>
  <c r="C47" i="2"/>
  <c r="B47" i="2"/>
  <c r="H46" i="2"/>
  <c r="D46" i="2"/>
  <c r="C46" i="2"/>
  <c r="B46" i="2"/>
  <c r="H45" i="2"/>
  <c r="D45" i="2"/>
  <c r="C45" i="2"/>
  <c r="B45" i="2"/>
  <c r="H44" i="2"/>
  <c r="D44" i="2"/>
  <c r="C44" i="2"/>
  <c r="B44" i="2"/>
  <c r="H43" i="2"/>
  <c r="D43" i="2"/>
  <c r="C43" i="2"/>
  <c r="B43" i="2"/>
  <c r="H42" i="2"/>
  <c r="D42" i="2"/>
  <c r="C42" i="2"/>
  <c r="B42" i="2"/>
  <c r="H41" i="2"/>
  <c r="D41" i="2"/>
  <c r="C41" i="2"/>
  <c r="B41" i="2"/>
  <c r="H40" i="2"/>
  <c r="D40" i="2"/>
  <c r="C40" i="2"/>
  <c r="B40" i="2"/>
  <c r="H39" i="2"/>
  <c r="D39" i="2"/>
  <c r="C39" i="2"/>
  <c r="B39" i="2"/>
  <c r="H38" i="2"/>
  <c r="D38" i="2"/>
  <c r="C38" i="2"/>
  <c r="B38" i="2"/>
  <c r="H37" i="2"/>
  <c r="D37" i="2"/>
  <c r="C37" i="2"/>
  <c r="B37" i="2"/>
  <c r="H36" i="2"/>
  <c r="D36" i="2"/>
  <c r="C36" i="2"/>
  <c r="B36" i="2"/>
  <c r="H35" i="2"/>
  <c r="D35" i="2"/>
  <c r="C35" i="2"/>
  <c r="B35" i="2"/>
  <c r="H34" i="2"/>
  <c r="D34" i="2"/>
  <c r="C34" i="2"/>
  <c r="B34" i="2"/>
  <c r="H33" i="2"/>
  <c r="D33" i="2"/>
  <c r="C33" i="2"/>
  <c r="B33" i="2"/>
  <c r="H32" i="2"/>
  <c r="D32" i="2"/>
  <c r="C32" i="2"/>
  <c r="B32" i="2"/>
  <c r="H31" i="2"/>
  <c r="D31" i="2"/>
  <c r="C31" i="2"/>
  <c r="B31" i="2"/>
  <c r="H30" i="2"/>
  <c r="D30" i="2"/>
  <c r="C30" i="2"/>
  <c r="B30" i="2"/>
  <c r="H29" i="2"/>
  <c r="D29" i="2"/>
  <c r="C29" i="2"/>
  <c r="B29" i="2"/>
  <c r="H28" i="2"/>
  <c r="D28" i="2"/>
  <c r="C28" i="2"/>
  <c r="B28" i="2"/>
  <c r="H27" i="2"/>
  <c r="D27" i="2"/>
  <c r="C27" i="2"/>
  <c r="B27" i="2"/>
  <c r="H26" i="2"/>
  <c r="D26" i="2"/>
  <c r="C26" i="2"/>
  <c r="B26" i="2"/>
  <c r="H25" i="2"/>
  <c r="D25" i="2"/>
  <c r="C25" i="2"/>
  <c r="B25" i="2"/>
  <c r="H24" i="2"/>
  <c r="E24" i="2"/>
  <c r="D24" i="2"/>
  <c r="C24" i="2"/>
  <c r="B24" i="2"/>
  <c r="H23" i="2"/>
  <c r="D23" i="2"/>
  <c r="C23" i="2"/>
  <c r="B23" i="2"/>
  <c r="H22" i="2"/>
  <c r="D22" i="2"/>
  <c r="C22" i="2"/>
  <c r="B22" i="2"/>
  <c r="H21" i="2"/>
  <c r="D21" i="2"/>
  <c r="C21" i="2"/>
  <c r="B21" i="2"/>
  <c r="H20" i="2"/>
  <c r="D20" i="2"/>
  <c r="C20" i="2"/>
  <c r="B20" i="2"/>
  <c r="H19" i="2"/>
  <c r="D19" i="2"/>
  <c r="C19" i="2"/>
  <c r="B19" i="2"/>
  <c r="H18" i="2"/>
  <c r="D18" i="2"/>
  <c r="C18" i="2"/>
  <c r="B18" i="2"/>
  <c r="H17" i="2"/>
  <c r="D17" i="2"/>
  <c r="C17" i="2"/>
  <c r="B17" i="2"/>
  <c r="H16" i="2"/>
  <c r="D16" i="2"/>
  <c r="C16" i="2"/>
  <c r="B16" i="2"/>
  <c r="H15" i="2"/>
  <c r="D15" i="2"/>
  <c r="C15" i="2"/>
  <c r="B15" i="2"/>
  <c r="H14" i="2"/>
  <c r="D14" i="2"/>
  <c r="C14" i="2"/>
  <c r="B14" i="2"/>
  <c r="H13" i="2"/>
  <c r="D13" i="2"/>
  <c r="C13" i="2"/>
  <c r="B13" i="2"/>
  <c r="H12" i="2"/>
  <c r="D12" i="2"/>
  <c r="C12" i="2"/>
  <c r="B12" i="2"/>
  <c r="H11" i="2"/>
  <c r="D11" i="2"/>
  <c r="C11" i="2"/>
  <c r="B11" i="2"/>
  <c r="H10" i="2"/>
  <c r="E10" i="2"/>
  <c r="D10" i="2"/>
  <c r="C10" i="2"/>
  <c r="B10" i="2"/>
  <c r="H9" i="2"/>
  <c r="D9" i="2"/>
  <c r="C9" i="2"/>
  <c r="B9" i="2"/>
  <c r="H8" i="2"/>
  <c r="D8" i="2"/>
  <c r="C8" i="2"/>
  <c r="B8" i="2"/>
  <c r="H7" i="2"/>
  <c r="D7" i="2"/>
  <c r="C7" i="2"/>
  <c r="B7" i="2"/>
  <c r="H6" i="2"/>
  <c r="D6" i="2"/>
  <c r="C6" i="2"/>
  <c r="B6" i="2"/>
  <c r="H5" i="2"/>
  <c r="D5" i="2"/>
  <c r="C5" i="2"/>
  <c r="B5" i="2"/>
  <c r="H4" i="2"/>
  <c r="D4" i="2"/>
  <c r="C4" i="2"/>
  <c r="B4" i="2"/>
  <c r="H3" i="2"/>
  <c r="D3" i="2"/>
  <c r="B3" i="2"/>
  <c r="L4" i="2"/>
  <c r="X4" i="2"/>
  <c r="L5" i="2"/>
  <c r="X5" i="2"/>
  <c r="L6" i="2"/>
  <c r="X6" i="2"/>
  <c r="L7" i="2"/>
  <c r="V7" i="2"/>
  <c r="X7" i="2"/>
  <c r="L8" i="2"/>
  <c r="X8" i="2"/>
  <c r="L9" i="2"/>
  <c r="X9" i="2"/>
  <c r="L10" i="2"/>
  <c r="X10" i="2"/>
  <c r="L11" i="2"/>
  <c r="X11" i="2"/>
  <c r="L12" i="2"/>
  <c r="X12" i="2"/>
  <c r="L13" i="2"/>
  <c r="V13" i="2"/>
  <c r="X13" i="2"/>
  <c r="L14" i="2"/>
  <c r="X14" i="2"/>
  <c r="L15" i="2"/>
  <c r="X15" i="2"/>
  <c r="L16" i="2"/>
  <c r="X16" i="2"/>
  <c r="L17" i="2"/>
  <c r="V17" i="2"/>
  <c r="X17" i="2"/>
  <c r="L18" i="2"/>
  <c r="M18" i="2" s="1"/>
  <c r="N18" i="2" s="1"/>
  <c r="V18" i="2"/>
  <c r="X18" i="2"/>
  <c r="L19" i="2"/>
  <c r="X19" i="2"/>
  <c r="L20" i="2"/>
  <c r="X20" i="2"/>
  <c r="L21" i="2"/>
  <c r="X21" i="2"/>
  <c r="L22" i="2"/>
  <c r="X22" i="2"/>
  <c r="L23" i="2"/>
  <c r="X23" i="2"/>
  <c r="L24" i="2"/>
  <c r="X24" i="2"/>
  <c r="L25" i="2"/>
  <c r="M25" i="2" s="1"/>
  <c r="N25" i="2" s="1"/>
  <c r="V25" i="2"/>
  <c r="X25" i="2"/>
  <c r="L26" i="2"/>
  <c r="M26" i="2" s="1"/>
  <c r="N26" i="2" s="1"/>
  <c r="V26" i="2"/>
  <c r="X26" i="2"/>
  <c r="L27" i="2"/>
  <c r="M27" i="2" s="1"/>
  <c r="N27" i="2" s="1"/>
  <c r="V27" i="2"/>
  <c r="X27" i="2"/>
  <c r="L28" i="2"/>
  <c r="M28" i="2" s="1"/>
  <c r="N28" i="2" s="1"/>
  <c r="V28" i="2"/>
  <c r="X28" i="2"/>
  <c r="L29" i="2"/>
  <c r="M29" i="2" s="1"/>
  <c r="N29" i="2" s="1"/>
  <c r="Q29" i="2"/>
  <c r="V29" i="2"/>
  <c r="X29" i="2"/>
  <c r="L30" i="2"/>
  <c r="X30" i="2"/>
  <c r="L31" i="2"/>
  <c r="M31" i="2" s="1"/>
  <c r="N31" i="2" s="1"/>
  <c r="V31" i="2"/>
  <c r="X31" i="2"/>
  <c r="L32" i="2"/>
  <c r="M32" i="2" s="1"/>
  <c r="N32" i="2" s="1"/>
  <c r="V32" i="2"/>
  <c r="X32" i="2"/>
  <c r="L33" i="2"/>
  <c r="X33" i="2"/>
  <c r="L34" i="2"/>
  <c r="M34" i="2" s="1"/>
  <c r="N34" i="2" s="1"/>
  <c r="V34" i="2"/>
  <c r="X34" i="2"/>
  <c r="L35" i="2"/>
  <c r="M35" i="2" s="1"/>
  <c r="N35" i="2" s="1"/>
  <c r="V35" i="2"/>
  <c r="X35" i="2"/>
  <c r="L36" i="2"/>
  <c r="M36" i="2" s="1"/>
  <c r="N36" i="2" s="1"/>
  <c r="V36" i="2"/>
  <c r="X36" i="2"/>
  <c r="L37" i="2"/>
  <c r="M37" i="2" s="1"/>
  <c r="N37" i="2" s="1"/>
  <c r="V37" i="2"/>
  <c r="X37" i="2"/>
  <c r="L38" i="2"/>
  <c r="M38" i="2" s="1"/>
  <c r="N38" i="2" s="1"/>
  <c r="V38" i="2"/>
  <c r="X38" i="2"/>
  <c r="L39" i="2"/>
  <c r="X39" i="2"/>
  <c r="L40" i="2"/>
  <c r="M40" i="2" s="1"/>
  <c r="N40" i="2" s="1"/>
  <c r="V40" i="2"/>
  <c r="X40" i="2"/>
  <c r="L41" i="2"/>
  <c r="M41" i="2" s="1"/>
  <c r="N41" i="2" s="1"/>
  <c r="V41" i="2"/>
  <c r="X41" i="2"/>
  <c r="L42" i="2"/>
  <c r="X42" i="2"/>
  <c r="L43" i="2"/>
  <c r="V43" i="2"/>
  <c r="X43" i="2"/>
  <c r="L44" i="2"/>
  <c r="M44" i="2" s="1"/>
  <c r="N44" i="2" s="1"/>
  <c r="V44" i="2"/>
  <c r="X44" i="2"/>
  <c r="L45" i="2"/>
  <c r="M45" i="2" s="1"/>
  <c r="N45" i="2" s="1"/>
  <c r="V45" i="2"/>
  <c r="X45" i="2"/>
  <c r="L46" i="2"/>
  <c r="M46" i="2" s="1"/>
  <c r="N46" i="2" s="1"/>
  <c r="V46" i="2"/>
  <c r="X46" i="2"/>
  <c r="L47" i="2"/>
  <c r="M47" i="2" s="1"/>
  <c r="N47" i="2" s="1"/>
  <c r="V47" i="2"/>
  <c r="X47" i="2"/>
  <c r="L48" i="2"/>
  <c r="M48" i="2" s="1"/>
  <c r="N48" i="2" s="1"/>
  <c r="V48" i="2"/>
  <c r="X48" i="2"/>
  <c r="L49" i="2"/>
  <c r="M49" i="2" s="1"/>
  <c r="N49" i="2" s="1"/>
  <c r="V49" i="2"/>
  <c r="X49" i="2"/>
  <c r="L50" i="2"/>
  <c r="X50" i="2"/>
  <c r="L51" i="2"/>
  <c r="M51" i="2" s="1"/>
  <c r="N51" i="2" s="1"/>
  <c r="V51" i="2"/>
  <c r="X51" i="2"/>
  <c r="L52" i="2"/>
  <c r="V52" i="2"/>
  <c r="X52" i="2"/>
  <c r="P3" i="3"/>
  <c r="Q3" i="3"/>
  <c r="I3" i="3"/>
  <c r="E3" i="3"/>
  <c r="C3" i="3"/>
  <c r="P3" i="9"/>
  <c r="E4" i="2" s="1"/>
  <c r="Q3" i="9"/>
  <c r="P4" i="9"/>
  <c r="E5" i="2" s="1"/>
  <c r="Q4" i="9"/>
  <c r="P5" i="9"/>
  <c r="E6" i="2" s="1"/>
  <c r="Q5" i="9"/>
  <c r="P6" i="9"/>
  <c r="E7" i="2" s="1"/>
  <c r="Q6" i="9"/>
  <c r="P7" i="9"/>
  <c r="E8" i="2" s="1"/>
  <c r="Q7" i="9"/>
  <c r="P8" i="9"/>
  <c r="E9" i="2" s="1"/>
  <c r="Q8" i="9"/>
  <c r="P9" i="9"/>
  <c r="Q9" i="9"/>
  <c r="P10" i="9"/>
  <c r="E11" i="2" s="1"/>
  <c r="Q10" i="9"/>
  <c r="P11" i="9"/>
  <c r="E12" i="2" s="1"/>
  <c r="Q11" i="9"/>
  <c r="P12" i="9"/>
  <c r="E13" i="2" s="1"/>
  <c r="Q12" i="9"/>
  <c r="P13" i="9"/>
  <c r="E14" i="2" s="1"/>
  <c r="Q13" i="9"/>
  <c r="P14" i="9"/>
  <c r="E15" i="2" s="1"/>
  <c r="Q14" i="9"/>
  <c r="P15" i="9"/>
  <c r="E16" i="2" s="1"/>
  <c r="Q15" i="9"/>
  <c r="P16" i="9"/>
  <c r="E17" i="2" s="1"/>
  <c r="Q16" i="9"/>
  <c r="P17" i="9"/>
  <c r="E18" i="2" s="1"/>
  <c r="Q17" i="9"/>
  <c r="P18" i="9"/>
  <c r="E19" i="2" s="1"/>
  <c r="Q18" i="9"/>
  <c r="P19" i="9"/>
  <c r="E20" i="2" s="1"/>
  <c r="Q19" i="9"/>
  <c r="P20" i="9"/>
  <c r="E21" i="2" s="1"/>
  <c r="Q20" i="9"/>
  <c r="P21" i="9"/>
  <c r="E22" i="2" s="1"/>
  <c r="Q21" i="9"/>
  <c r="P22" i="9"/>
  <c r="E23" i="2" s="1"/>
  <c r="Q22" i="9"/>
  <c r="P23" i="9"/>
  <c r="Q23" i="9"/>
  <c r="P24" i="9"/>
  <c r="E25" i="2" s="1"/>
  <c r="Q24" i="9"/>
  <c r="P25" i="9"/>
  <c r="E26" i="2" s="1"/>
  <c r="Q25" i="9"/>
  <c r="P26" i="9"/>
  <c r="E27" i="2" s="1"/>
  <c r="Q26" i="9"/>
  <c r="P27" i="9"/>
  <c r="E28" i="2" s="1"/>
  <c r="Q27" i="9"/>
  <c r="P28" i="9"/>
  <c r="E29" i="2" s="1"/>
  <c r="Q28" i="9"/>
  <c r="P29" i="9"/>
  <c r="E30" i="2" s="1"/>
  <c r="Q29" i="9"/>
  <c r="P30" i="9"/>
  <c r="E31" i="2" s="1"/>
  <c r="Q30" i="9"/>
  <c r="P31" i="9"/>
  <c r="E32" i="2" s="1"/>
  <c r="Q31" i="9"/>
  <c r="P32" i="9"/>
  <c r="E33" i="2" s="1"/>
  <c r="Q32" i="9"/>
  <c r="P33" i="9"/>
  <c r="E34" i="2" s="1"/>
  <c r="Q33" i="9"/>
  <c r="P34" i="9"/>
  <c r="E35" i="2" s="1"/>
  <c r="Q34" i="9"/>
  <c r="P35" i="9"/>
  <c r="E36" i="2" s="1"/>
  <c r="Q35" i="9"/>
  <c r="P36" i="9"/>
  <c r="E37" i="2" s="1"/>
  <c r="Q36" i="9"/>
  <c r="P37" i="9"/>
  <c r="E38" i="2" s="1"/>
  <c r="Q37" i="9"/>
  <c r="P38" i="9"/>
  <c r="E39" i="2" s="1"/>
  <c r="Q38" i="9"/>
  <c r="P39" i="9"/>
  <c r="E40" i="2" s="1"/>
  <c r="Q39" i="9"/>
  <c r="P40" i="9"/>
  <c r="E41" i="2" s="1"/>
  <c r="Q40" i="9"/>
  <c r="P41" i="9"/>
  <c r="E42" i="2" s="1"/>
  <c r="Q41" i="9"/>
  <c r="P42" i="9"/>
  <c r="E43" i="2" s="1"/>
  <c r="Q42" i="9"/>
  <c r="P43" i="9"/>
  <c r="E44" i="2" s="1"/>
  <c r="Q43" i="9"/>
  <c r="P44" i="9"/>
  <c r="E45" i="2" s="1"/>
  <c r="Q44" i="9"/>
  <c r="P45" i="9"/>
  <c r="E46" i="2" s="1"/>
  <c r="Q45" i="9"/>
  <c r="P46" i="9"/>
  <c r="E47" i="2" s="1"/>
  <c r="Q46" i="9"/>
  <c r="P47" i="9"/>
  <c r="E48" i="2" s="1"/>
  <c r="Q47" i="9"/>
  <c r="P48" i="9"/>
  <c r="E49" i="2" s="1"/>
  <c r="Q48" i="9"/>
  <c r="P49" i="9"/>
  <c r="E50" i="2" s="1"/>
  <c r="Q49" i="9"/>
  <c r="P50" i="9"/>
  <c r="E51" i="2" s="1"/>
  <c r="Q50" i="9"/>
  <c r="P51" i="9"/>
  <c r="E52" i="2" s="1"/>
  <c r="Q51" i="9"/>
  <c r="R2" i="8"/>
  <c r="Q2" i="9"/>
  <c r="Y3" i="3"/>
  <c r="M3" i="3"/>
  <c r="D3" i="3"/>
  <c r="A3" i="3"/>
  <c r="X3" i="2"/>
  <c r="L3" i="2"/>
  <c r="C3" i="2"/>
  <c r="V50" i="2" l="1"/>
  <c r="V16" i="2"/>
  <c r="V11" i="2"/>
  <c r="R44" i="2"/>
  <c r="R32" i="2"/>
  <c r="N52" i="2"/>
  <c r="R52" i="2" s="1"/>
  <c r="M4" i="2"/>
  <c r="N4" i="2" s="1"/>
  <c r="S4" i="2" s="1"/>
  <c r="M6" i="2"/>
  <c r="N6" i="2" s="1"/>
  <c r="R6" i="2" s="1"/>
  <c r="M19" i="2"/>
  <c r="N19" i="2" s="1"/>
  <c r="V39" i="2"/>
  <c r="M20" i="2"/>
  <c r="N20" i="2" s="1"/>
  <c r="R20" i="2" s="1"/>
  <c r="V14" i="2"/>
  <c r="M21" i="2"/>
  <c r="N21" i="2" s="1"/>
  <c r="M8" i="2"/>
  <c r="N8" i="2" s="1"/>
  <c r="M9" i="2"/>
  <c r="N9" i="2" s="1"/>
  <c r="M23" i="2"/>
  <c r="N23" i="2" s="1"/>
  <c r="M10" i="2"/>
  <c r="N10" i="2" s="1"/>
  <c r="M24" i="2"/>
  <c r="N24" i="2" s="1"/>
  <c r="M12" i="2"/>
  <c r="N12" i="2" s="1"/>
  <c r="R12" i="2" s="1"/>
  <c r="M33" i="2"/>
  <c r="N33" i="2" s="1"/>
  <c r="S33" i="2" s="1"/>
  <c r="V30" i="2"/>
  <c r="N13" i="2"/>
  <c r="R13" i="2" s="1"/>
  <c r="N7" i="2"/>
  <c r="R7" i="2" s="1"/>
  <c r="N11" i="2"/>
  <c r="S11" i="2" s="1"/>
  <c r="V22" i="2"/>
  <c r="V42" i="2"/>
  <c r="N16" i="2"/>
  <c r="R16" i="2" s="1"/>
  <c r="V15" i="2"/>
  <c r="N15" i="2"/>
  <c r="S15" i="2" s="1"/>
  <c r="N14" i="2"/>
  <c r="S14" i="2" s="1"/>
  <c r="N22" i="2"/>
  <c r="S22" i="2" s="1"/>
  <c r="N5" i="2"/>
  <c r="R5" i="2" s="1"/>
  <c r="N50" i="2"/>
  <c r="R50" i="2" s="1"/>
  <c r="N43" i="2"/>
  <c r="R43" i="2" s="1"/>
  <c r="N17" i="2"/>
  <c r="S17" i="2" s="1"/>
  <c r="N30" i="2"/>
  <c r="R30" i="2" s="1"/>
  <c r="N42" i="2"/>
  <c r="S42" i="2" s="1"/>
  <c r="N39" i="2"/>
  <c r="S39" i="2" s="1"/>
  <c r="J1" i="2"/>
  <c r="V5" i="2"/>
  <c r="K1" i="3"/>
  <c r="R36" i="2"/>
  <c r="S36" i="2"/>
  <c r="R48" i="2"/>
  <c r="S48" i="2"/>
  <c r="S47" i="2"/>
  <c r="R47" i="2"/>
  <c r="R28" i="2"/>
  <c r="S28" i="2"/>
  <c r="R38" i="2"/>
  <c r="S38" i="2"/>
  <c r="R26" i="2"/>
  <c r="S26" i="2"/>
  <c r="S34" i="2"/>
  <c r="R34" i="2"/>
  <c r="S46" i="2"/>
  <c r="R46" i="2"/>
  <c r="R25" i="2"/>
  <c r="S25" i="2"/>
  <c r="R27" i="2"/>
  <c r="S27" i="2"/>
  <c r="R40" i="2"/>
  <c r="S40" i="2"/>
  <c r="R37" i="2"/>
  <c r="S37" i="2"/>
  <c r="R29" i="2"/>
  <c r="S29" i="2"/>
  <c r="R18" i="2"/>
  <c r="S18" i="2"/>
  <c r="R31" i="2"/>
  <c r="S31" i="2"/>
  <c r="R49" i="2"/>
  <c r="S49" i="2"/>
  <c r="R41" i="2"/>
  <c r="S41" i="2"/>
  <c r="R35" i="2"/>
  <c r="S35" i="2"/>
  <c r="R51" i="2"/>
  <c r="S51" i="2"/>
  <c r="R45" i="2"/>
  <c r="S45" i="2"/>
  <c r="S44" i="2"/>
  <c r="S32" i="2"/>
  <c r="AA1" i="3"/>
  <c r="Z1" i="2"/>
  <c r="S52" i="2" l="1"/>
  <c r="S13" i="2"/>
  <c r="U13" i="2" s="1"/>
  <c r="S7" i="2"/>
  <c r="R11" i="2"/>
  <c r="S6" i="2"/>
  <c r="T6" i="2" s="1"/>
  <c r="R17" i="2"/>
  <c r="S16" i="2"/>
  <c r="U16" i="2" s="1"/>
  <c r="S43" i="2"/>
  <c r="U43" i="2" s="1"/>
  <c r="R15" i="2"/>
  <c r="R8" i="2"/>
  <c r="S8" i="2"/>
  <c r="T8" i="2" s="1"/>
  <c r="R14" i="2"/>
  <c r="R22" i="2"/>
  <c r="R4" i="2"/>
  <c r="R21" i="2"/>
  <c r="S21" i="2"/>
  <c r="T21" i="2" s="1"/>
  <c r="R19" i="2"/>
  <c r="S19" i="2"/>
  <c r="U19" i="2" s="1"/>
  <c r="S50" i="2"/>
  <c r="T50" i="2" s="1"/>
  <c r="R42" i="2"/>
  <c r="R39" i="2"/>
  <c r="S5" i="2"/>
  <c r="U5" i="2" s="1"/>
  <c r="S30" i="2"/>
  <c r="T30" i="2" s="1"/>
  <c r="S10" i="2"/>
  <c r="T10" i="2" s="1"/>
  <c r="R10" i="2"/>
  <c r="S9" i="2"/>
  <c r="T9" i="2" s="1"/>
  <c r="R9" i="2"/>
  <c r="R24" i="2"/>
  <c r="S24" i="2"/>
  <c r="U24" i="2" s="1"/>
  <c r="R23" i="2"/>
  <c r="S23" i="2"/>
  <c r="T23" i="2" s="1"/>
  <c r="R33" i="2"/>
  <c r="S20" i="2"/>
  <c r="T20" i="2" s="1"/>
  <c r="S12" i="2"/>
  <c r="U12" i="2" s="1"/>
  <c r="U48" i="2"/>
  <c r="T48" i="2"/>
  <c r="U36" i="2"/>
  <c r="T36" i="2"/>
  <c r="U25" i="2"/>
  <c r="T25" i="2"/>
  <c r="T15" i="2"/>
  <c r="U15" i="2"/>
  <c r="T46" i="2"/>
  <c r="U46" i="2"/>
  <c r="T27" i="2"/>
  <c r="U27" i="2"/>
  <c r="U37" i="2"/>
  <c r="T37" i="2"/>
  <c r="T52" i="2"/>
  <c r="U52" i="2"/>
  <c r="U26" i="2"/>
  <c r="T26" i="2"/>
  <c r="U14" i="2"/>
  <c r="T14" i="2"/>
  <c r="T28" i="2"/>
  <c r="U28" i="2"/>
  <c r="T33" i="2"/>
  <c r="U33" i="2"/>
  <c r="T5" i="2"/>
  <c r="T42" i="2"/>
  <c r="U42" i="2"/>
  <c r="T34" i="2"/>
  <c r="U34" i="2"/>
  <c r="T39" i="2"/>
  <c r="U39" i="2"/>
  <c r="T40" i="2"/>
  <c r="U40" i="2"/>
  <c r="T7" i="2"/>
  <c r="U7" i="2"/>
  <c r="T22" i="2"/>
  <c r="U22" i="2"/>
  <c r="T32" i="2"/>
  <c r="U32" i="2"/>
  <c r="T11" i="2"/>
  <c r="U11" i="2"/>
  <c r="T47" i="2"/>
  <c r="U47" i="2"/>
  <c r="T41" i="2"/>
  <c r="U41" i="2"/>
  <c r="T29" i="2"/>
  <c r="U29" i="2"/>
  <c r="T31" i="2"/>
  <c r="U31" i="2"/>
  <c r="T51" i="2"/>
  <c r="U51" i="2"/>
  <c r="T4" i="2"/>
  <c r="U4" i="2"/>
  <c r="U6" i="2"/>
  <c r="T18" i="2"/>
  <c r="U18" i="2"/>
  <c r="T17" i="2"/>
  <c r="U17" i="2"/>
  <c r="U38" i="2"/>
  <c r="T38" i="2"/>
  <c r="T49" i="2"/>
  <c r="U49" i="2"/>
  <c r="T45" i="2"/>
  <c r="U45" i="2"/>
  <c r="T44" i="2"/>
  <c r="U44" i="2"/>
  <c r="T35" i="2"/>
  <c r="U35" i="2"/>
  <c r="M61" i="2"/>
  <c r="M64" i="2"/>
  <c r="M63" i="2"/>
  <c r="M62" i="2"/>
  <c r="M60" i="2"/>
  <c r="M59" i="2"/>
  <c r="M71" i="2"/>
  <c r="M75" i="2"/>
  <c r="M74" i="2"/>
  <c r="M73" i="2"/>
  <c r="M72" i="2"/>
  <c r="M70" i="2"/>
  <c r="M69" i="2"/>
  <c r="M80" i="2"/>
  <c r="M79" i="2"/>
  <c r="M85" i="2"/>
  <c r="M84" i="2"/>
  <c r="M83" i="2"/>
  <c r="M82" i="2"/>
  <c r="M81" i="2"/>
  <c r="M86" i="2"/>
  <c r="M76" i="2"/>
  <c r="M66" i="2"/>
  <c r="T16" i="2" l="1"/>
  <c r="T13" i="2"/>
  <c r="U8" i="2"/>
  <c r="T43" i="2"/>
  <c r="T19" i="2"/>
  <c r="U21" i="2"/>
  <c r="U50" i="2"/>
  <c r="U10" i="2"/>
  <c r="U23" i="2"/>
  <c r="T24" i="2"/>
  <c r="U9" i="2"/>
  <c r="U30" i="2"/>
  <c r="U20" i="2"/>
  <c r="T12" i="2"/>
  <c r="V3" i="2"/>
  <c r="W3" i="3"/>
  <c r="J4" i="10" l="1"/>
  <c r="Q3" i="2" l="1"/>
  <c r="Q2" i="8" l="1"/>
  <c r="F3" i="3" s="1"/>
  <c r="P2" i="9"/>
  <c r="E3" i="2" s="1"/>
  <c r="N3" i="2" l="1"/>
  <c r="N3" i="3"/>
  <c r="O3" i="3" s="1"/>
  <c r="T3" i="3" l="1"/>
  <c r="S3" i="3"/>
  <c r="S3" i="2"/>
  <c r="R3" i="2"/>
  <c r="W1" i="3"/>
  <c r="R3" i="3"/>
  <c r="V1" i="2"/>
  <c r="V3" i="3" l="1"/>
  <c r="U3" i="3"/>
  <c r="U1" i="3" s="1"/>
  <c r="U3" i="2"/>
  <c r="U1" i="2" s="1"/>
  <c r="T3" i="2"/>
  <c r="T1" i="2" s="1"/>
  <c r="V1" i="3"/>
  <c r="B13" i="10" l="1"/>
  <c r="B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7DE0A0-9BCA-4DEC-8DF6-D30D458CE7B2}" keepAlive="1" name="Запрос — АНВ" description="Соединение с запросом &quot;АНВ&quot; в книге." type="5" refreshedVersion="7" background="1" saveData="1">
    <dbPr connection="Provider=Microsoft.Mashup.OleDb.1;Data Source=$Workbook$;Location=АНВ;Extended Properties=&quot;&quot;" command="SELECT * FROM [АНВ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<sst xmlns="http://schemas.openxmlformats.org/spreadsheetml/2006/main" count="906" uniqueCount="205">
  <si>
    <t>Факт</t>
  </si>
  <si>
    <t>%</t>
  </si>
  <si>
    <t>Рек</t>
  </si>
  <si>
    <t>MR</t>
  </si>
  <si>
    <t>ID</t>
  </si>
  <si>
    <t>Наименование</t>
  </si>
  <si>
    <t>Артикул</t>
  </si>
  <si>
    <t>Поставщик</t>
  </si>
  <si>
    <t>1</t>
  </si>
  <si>
    <t>Код</t>
  </si>
  <si>
    <t>Элемент</t>
  </si>
  <si>
    <t>Y / N</t>
  </si>
  <si>
    <t>Кол-во</t>
  </si>
  <si>
    <t>Под заказ</t>
  </si>
  <si>
    <t>Элемент каталога</t>
  </si>
  <si>
    <t>Ряд</t>
  </si>
  <si>
    <t>РЦ</t>
  </si>
  <si>
    <t>Цвет</t>
  </si>
  <si>
    <t>Мат</t>
  </si>
  <si>
    <t>Лак</t>
  </si>
  <si>
    <t>Капот</t>
  </si>
  <si>
    <t>Бампер</t>
  </si>
  <si>
    <t>Крылья</t>
  </si>
  <si>
    <t>НБ</t>
  </si>
  <si>
    <t>Пороги</t>
  </si>
  <si>
    <t>Спойлер</t>
  </si>
  <si>
    <t>Воздухозаборник</t>
  </si>
  <si>
    <t>Багаж08/21</t>
  </si>
  <si>
    <t>Багаж</t>
  </si>
  <si>
    <t>Лип</t>
  </si>
  <si>
    <t>Капот цвет</t>
  </si>
  <si>
    <t>Арки</t>
  </si>
  <si>
    <t>зеркала</t>
  </si>
  <si>
    <t>реснички</t>
  </si>
  <si>
    <t>решетка</t>
  </si>
  <si>
    <t>жабо</t>
  </si>
  <si>
    <t>молдинги</t>
  </si>
  <si>
    <t>НЗФ</t>
  </si>
  <si>
    <t>ЗЦ</t>
  </si>
  <si>
    <t>Выбор</t>
  </si>
  <si>
    <t>Google</t>
  </si>
  <si>
    <t>Доп</t>
  </si>
  <si>
    <t>Алюминиевая сетка серебристая 100х15см, мелкая ячейка 5х10мм 1250</t>
  </si>
  <si>
    <t>Y</t>
  </si>
  <si>
    <t>АНВ</t>
  </si>
  <si>
    <t>Алюминиевая сетка серебристая 100х15см, средняя ячейка 8х16мм 1256</t>
  </si>
  <si>
    <t>Алюминиевая сетка серебристая 100х25см, мелкая ячейка 5х10мм 1251</t>
  </si>
  <si>
    <t>Алюминиевая сетка серебристая 100х25см, средняя ячейка 8х16мм 1257</t>
  </si>
  <si>
    <t>Алюминиевая сетка серебристая 100х40см, мелкая ячейка 5х10мм 1252</t>
  </si>
  <si>
    <t>Алюминиевая сетка серебристая 100х40см, средняя ячейка 8х16мм 1258</t>
  </si>
  <si>
    <t>Алюминиевая сетка серебристая 100х50см, мелкая ячейка 5х10мм 1253</t>
  </si>
  <si>
    <t>Алюминиевая сетка серебристая 100х50см, средняя ячейка 8х16мм 1259</t>
  </si>
  <si>
    <t>Алюминиевая сетка серебристая 120 х 40см, средняя ячейка 8х16мм 1261</t>
  </si>
  <si>
    <t>Алюминиевая сетка серебристая 120х25см, мелкая ячейка 5х10мм 1254</t>
  </si>
  <si>
    <t>Алюминиевая сетка серебристая 120х25см, средняя ячейка 8х16мм 1260</t>
  </si>
  <si>
    <t>0</t>
  </si>
  <si>
    <t>Алюминиевая сетка серебристая 120х40см, мелкая ячейка 5х10мм 1255</t>
  </si>
  <si>
    <t>Алюминиевая сетка черная 100х15см, средняя ячейка 8х16мм 1269</t>
  </si>
  <si>
    <t>Алюминиевая сетка черная 100х25см, крупная ячейка 16х25мм 1275</t>
  </si>
  <si>
    <t>Алюминиевая сетка черная 100х25см, мелкая ячейка 5х10мм 1264</t>
  </si>
  <si>
    <t>Алюминиевая сетка черная 100х40см, мелкая ячейка 5х10мм 1265</t>
  </si>
  <si>
    <t>Алюминиевая сетка черная 100х40см, средняя ячейка 8х16мм 1271</t>
  </si>
  <si>
    <t>Алюминиевая сетка черная 100х50см, средняя ячейка 8х16мм 1272</t>
  </si>
  <si>
    <t>Алюминиевая сетка черная 120х25см, мелкая ячейка 5х10мм 1267</t>
  </si>
  <si>
    <t>Алюминиевая сетка черная 120х25см, средняя ячейка 8х16мм 1273</t>
  </si>
  <si>
    <t>Алюминиевая сетка черная 120х40см, мелкая ячейка 5х10мм 1268</t>
  </si>
  <si>
    <t>Алюминиевая сетка черная 120х40см, средняя ячейка 8х16мм 1274</t>
  </si>
  <si>
    <t>Дефлектор ANV на капот для Лада Гранта FL</t>
  </si>
  <si>
    <t>N</t>
  </si>
  <si>
    <t>СЕК0152Т</t>
  </si>
  <si>
    <t>Дефлектор АNW заднего окна для ВАЗ 21099, 2115</t>
  </si>
  <si>
    <t>КК0075Т</t>
  </si>
  <si>
    <t>Дефлектор двери ANV для Лада Калина седан, хэтчбек, Калина 2 хэтчбек</t>
  </si>
  <si>
    <t>Дефлектор двери ANV для Лада Калина, Калина 2 универсал</t>
  </si>
  <si>
    <t>ДК0065С</t>
  </si>
  <si>
    <t>Дефлектор двери ANV для Лада Нива 4x4  5-ти дверная</t>
  </si>
  <si>
    <t>Дефлектор двери COBRA TUNING для Лада Нива 4x4 5-ти дверная</t>
  </si>
  <si>
    <t>Дефлектор двери комплект с большим уголком зеркала для ВАЗ 2110-2112, Лада Приора, Приора 2</t>
  </si>
  <si>
    <t>ДК0076С</t>
  </si>
  <si>
    <t>Дефлектор заднего окна ANV для ВАЗ 2110</t>
  </si>
  <si>
    <t>Дефлектор заднего окна ANV для Лада Веста седан</t>
  </si>
  <si>
    <t>Дефлектор заднего окна ANV для Лада Гранта лифтбек</t>
  </si>
  <si>
    <t>КК0081Т</t>
  </si>
  <si>
    <t>Дефлектор заднего окна ANV для Лада Гранта седан</t>
  </si>
  <si>
    <t>КК0080Т</t>
  </si>
  <si>
    <t>Дефлектор капота ANV для ВАЗ 2108-21099</t>
  </si>
  <si>
    <t>СК0053Т</t>
  </si>
  <si>
    <t>Дефлектор козырёк-спойлер заднего окна ANV для Лада Калина хэтчбек</t>
  </si>
  <si>
    <t>Дефлектор накладка капота ANV для Лада Веста</t>
  </si>
  <si>
    <t>СЕК0142Т</t>
  </si>
  <si>
    <t>Дефлектор накладка капота VT52 короткий для Лада Веста</t>
  </si>
  <si>
    <t>Дефлекторы боковых стёкол ANV ветровики для Лада Веста SW, SW Cross</t>
  </si>
  <si>
    <t>Дефлекторы боковых стекол ветровики COBRA TUNING для Лада Веста SW универсал</t>
  </si>
  <si>
    <t>Дефлекторы боковых стекол ветровики COBRA TUNING для Лада Веста седан</t>
  </si>
  <si>
    <t>Дефлекторы ветровики дверей для Шевроле Нива</t>
  </si>
  <si>
    <t>Дефлекторы дверей ANV для Лада Гранта седан</t>
  </si>
  <si>
    <t>ДК0061С</t>
  </si>
  <si>
    <t>Дефлекторы дверей ANV для Лада Ларгус</t>
  </si>
  <si>
    <t>ДК0069С</t>
  </si>
  <si>
    <t>Дефлекторы дверей ANV для Лада Приора седан, хэтчбек</t>
  </si>
  <si>
    <t>Дефлекторы дверей ANV для Лада Приора универсал</t>
  </si>
  <si>
    <t>Дефлекторы на двери ANV для Лада Веста седан</t>
  </si>
  <si>
    <t>Козырёк на заднее стекло ANV для Лада Нива 4x4</t>
  </si>
  <si>
    <t>КК0085Т</t>
  </si>
  <si>
    <t>Козырек солнцезащитный передний для Лада Нива 4х4</t>
  </si>
  <si>
    <t>Накладка дефлектор капота ANV для Лада Веста</t>
  </si>
  <si>
    <t>СЕК0141Т</t>
  </si>
  <si>
    <t>Прозрачная крышка ГРМ для 16V автомобилей ВАЗ, Лада</t>
  </si>
  <si>
    <t>Реснички на фары Bad Boy из оргстекла для ВАЗ 2104, 2105, 2107</t>
  </si>
  <si>
    <t>Реснички на фары Bad Boy из оргстекла для ВАЗ 2104, 2105, 2107 Без покраски</t>
  </si>
  <si>
    <t>https://motorring.ru/product/9969</t>
  </si>
  <si>
    <t>https://motorring.ru/product/9975</t>
  </si>
  <si>
    <t>https://motorring.ru/product/9980</t>
  </si>
  <si>
    <t>https://motorring.ru/product/9979-alyuminievaya-setka-serebristaya-120h25sm-srednyaya</t>
  </si>
  <si>
    <t>https://motorring.ru/product/9994</t>
  </si>
  <si>
    <t>https://motorring.ru/product/9990-alyuminievaya-setka-chernaya-sal-man-100h40sm-srednyaya</t>
  </si>
  <si>
    <t>https://motorring.ru/product/9973</t>
  </si>
  <si>
    <t>https://motorring.ru/product/9988</t>
  </si>
  <si>
    <t>https://motorring.ru/product/9970-alyuminievaya-setka-serebristaya-100h25sm-melkaya-yacheyka</t>
  </si>
  <si>
    <t>https://motorring.ru/product/9976</t>
  </si>
  <si>
    <t>https://motorring.ru/product/9971-alyuminievaya-setka-serebristaya-100h40sm-melkaya-yacheyka</t>
  </si>
  <si>
    <t>569 снят</t>
  </si>
  <si>
    <t>https://motorring.ru/product/9977</t>
  </si>
  <si>
    <t>https://motorring.ru/product/9972-alyuminievaya-setka-serebristaya-100h50sm-melkaya-yacheyka</t>
  </si>
  <si>
    <t>https://motorring.ru/product/9978-alyuminievaya-setka-serebristaya-sal-man-100h50sm-srednyaya</t>
  </si>
  <si>
    <t>https://motorring.ru/product/9974-alyuminievaya-setka-serebristaya-120h40sm-melkaya-yacheyka</t>
  </si>
  <si>
    <t>https://motorring.ru/product/9987-alyuminievaya-setka-chernaya-120h40sm-melkaya-yacheyka</t>
  </si>
  <si>
    <t>https://motorring.ru/product/9993-alyuminievaya-setka-chernaya-sal-man-120h40sm-srednyaya</t>
  </si>
  <si>
    <t>не нашел</t>
  </si>
  <si>
    <t>https://motorring.ru/product/9991-alyuminievaya-setka-chernaya-sal-man-100h50sm-srednyaya</t>
  </si>
  <si>
    <t>https://motorring.ru/product/9983-alyuminievaya-setka-chernaya-sal-man-100h25sm-melkaya</t>
  </si>
  <si>
    <t>https://motorring.ru/product/9986-alyuminievaya-setka-chernaya-sal-man-120h25sm-melkaya</t>
  </si>
  <si>
    <t>https://motorring.ru/product/9992-alyuminievaya-setka-chernaya-120h25sm-srednyaya-yacheyka</t>
  </si>
  <si>
    <t>https://motorring.ru/product/8692-deflektory-vetroviki-dverey-chevrolet-niva</t>
  </si>
  <si>
    <t>https://motorring.ru/product/32162-deflektory-bokovyh-okon-dlya-lada-vesta-sedan</t>
  </si>
  <si>
    <t>не то</t>
  </si>
  <si>
    <t>https://motorring.ru/product/8907-deflektor-muhoboyka-korotkiy-kapot-lada-vesta</t>
  </si>
  <si>
    <t>https://motorring.ru/product/10040-deflektor-kozyrek-zadnego-okna-lada-vesta-sedan</t>
  </si>
  <si>
    <t>https://motorring.ru/product/35598-nakladka-kozyrek-delta-lobovoe-steklo-dlya-lada-4h4-niva</t>
  </si>
  <si>
    <t>https://motorring.ru/product/1060-deflektory-vetroviki-dverey-5-dvernuyu-lada-niva-4h4</t>
  </si>
  <si>
    <t>OEM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</si>
  <si>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</si>
  <si>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</si>
  <si>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</si>
  <si>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</si>
  <si>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</si>
  <si>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</si>
  <si>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</si>
  <si>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</si>
  <si>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</si>
  <si>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</si>
  <si>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</si>
  <si>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</si>
  <si>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</si>
  <si>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</si>
  <si>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</si>
  <si>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</si>
  <si>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</si>
  <si>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</si>
  <si>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</si>
  <si>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</si>
  <si>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СВОД</t>
  </si>
  <si>
    <t>Данные</t>
  </si>
  <si>
    <t>Переменные</t>
  </si>
  <si>
    <t>https://docs.google.com/spreadsheets/d/1f8_y-lcqVEuKpceVw_F97NEKzue5YmQtx8GIXUS_2B8/export?format=xlsx</t>
  </si>
  <si>
    <t/>
  </si>
  <si>
    <t>Мин</t>
  </si>
  <si>
    <t>Макс</t>
  </si>
  <si>
    <t>Наименование элемента</t>
  </si>
  <si>
    <t>Кат/ номер</t>
  </si>
  <si>
    <t>Арт. пост.</t>
  </si>
  <si>
    <t>Ссылка</t>
  </si>
  <si>
    <t>Склад</t>
  </si>
  <si>
    <t>Код товара</t>
  </si>
  <si>
    <t>Кат. номер</t>
  </si>
  <si>
    <t>Ссылка на конкурентов</t>
  </si>
  <si>
    <t>Column21</t>
  </si>
  <si>
    <t>Column22</t>
  </si>
  <si>
    <t>Column23</t>
  </si>
  <si>
    <t>Column24</t>
  </si>
  <si>
    <t>-</t>
  </si>
  <si>
    <t>https://www.ozon.ru/product/setka-na-reshetku-radiatora-alyuminievaya-chernaya-15h100sm-yacheyka-10h5mm-1183736317/</t>
  </si>
  <si>
    <t>https://www.ozon.ru/product/setka-na-reshetku-radiatora-alyuminievaya-chernaya-25h100sm-yacheyka-10h5mm-748827345/</t>
  </si>
  <si>
    <t>https://www.ozon.ru/product/setka-dekorativnaya-srednyaya-yacheyka-alyuminiy-1054037429/</t>
  </si>
  <si>
    <t>https://www.ozon.ru/product/deflektory-bokovyh-okon-dlya-lada-niva-vaz-21314-5-ti-dvernyy-1993-2022-vetroviki-na-1542813306/</t>
  </si>
  <si>
    <t>https://www.ozon.ru/product/anv-air-window-deflector-10-pcs-1696531700/</t>
  </si>
  <si>
    <t>https://www.ozon.ru/product/deflektor-kapota-evro-krepezh-lada-vesta-2015-lada-vesta-527441813/</t>
  </si>
  <si>
    <t>https://www.ozon.ru/product/deflektory-bokovyh-okon-dlya-lada-vesta-lada-vesta-2015-2022-sedan-vetroviki-na-dveri-avtomobilya-1521828426/</t>
  </si>
  <si>
    <t>https://komponentavto.ru/catalog/kuzov/diffuzory_nakladki_moldingi/kozyrek_solntsezashchitnyy_peredniy_niva_4kh4</t>
  </si>
  <si>
    <t>https://33sport.ru/catalog/vneshniy_tyuning_vaz/vneshniy_tyuning_lada_vesta/deflektory_lada_vesta/deflektory_stekol_-vetroviki-_-cobra_tuning-_na_lada_vesta_sedan/</t>
  </si>
  <si>
    <t>https://33sport.ru/catalog/vneshniy_tyuning_vaz/vneshniy_tyuning_lada_vesta/deflektory_lada_vesta/deflektor_korotkiy_-nakladka-_kapota_na_lada_vesta/</t>
  </si>
  <si>
    <t>https://www.ozon.ru/product/deflektory-okon-azard-dlya-chevrolet-niva-1998-n-v-nakladnye-4-sht-286351368/</t>
  </si>
  <si>
    <t>https://www.car-team.ru/collection/vesta/product/deflektor-kozyrek-zadnego-stekla-na-lada-vesta-sedan</t>
  </si>
  <si>
    <t>https://33sport.ru/catalog/vneshniy_tyuning_vaz/vneshniy_tyuning_niva_4kh4/deflektory_na_dveri_dlya_lada_niva_4x4/deflektor_na_dveri_-cobra_tuning-_dlya_5-ti_dvernoy_niva/</t>
  </si>
  <si>
    <t>https://33sport.ru/catalog/aksessuary_dlya_avtomobilya/setka_alyuminevaya_/setka_alyuminievaya_serebristaya_120kh40sm-_srednyaya_yacheyka_-8kh16mm-_1261/</t>
  </si>
  <si>
    <t>https://www.avtoall.ru/reshetka_radiatora_setka__chernaya__120h40sm__romb_8h16mm__grille_tuning-281698/</t>
  </si>
  <si>
    <t>https://33sport.ru/catalog/aksessuary_dlya_avtomobilya/setka_alyuminevaya_/setka_alyuminievaya_serebristaya_120kh40sm-_melkaya_yacheyka_-5kh10mm-_1255/</t>
  </si>
  <si>
    <t>https://www.avtoall.ru/reshetka_radiatora_setka__chernaya__100h25sm__romb_5h10mm_-494434/</t>
  </si>
  <si>
    <t>https://www.avtoall.ru/reshetka_radiatora_setka__chernaya__100h25sm__romb_8h16mm_-500793/</t>
  </si>
  <si>
    <t>https://www.avtoall.ru/reshetka_radiatora_setka__chernaya__100h50sm__romb_8h16mm__grille_tuning-281713/</t>
  </si>
  <si>
    <t>https://www.avtoall.ru/reshetka_radiatora_setka__chernaya__120h40sm__romb_5h10mm__grille_tuning-584970/</t>
  </si>
  <si>
    <t>https://www.avtoall.ru/reshetka_radiatora_setka__chernaya__100h40sm__romb_5h10mm_-496989/</t>
  </si>
  <si>
    <t>https://www.avtoall.ru/reshetka_radiatora_setka__serebro__100h25sm__romb_8h16mm_-868128/</t>
  </si>
  <si>
    <t>https://www.avtoall.ru/reshetka_radiatora_setka__chernaya__100h40sm__romb_8h16mm_-500794/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</si>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</sst>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1"/>
      <charset val="204"/>
    </font>
    <font>
      <sz val="11"/>
      <name val="Calibri"/>
      <family val="2"/>
      <charset val="204"/>
    </font>
    <font>
      <sz val="8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14">
    <xf numFmtId="0" fontId="0" fillId="0" borderId="0"/>
    <xf numFmtId="0" fontId="3" fillId="0" borderId="4" applyNumberFormat="0" applyProtection="0">
      <alignment horizontal="left"/>
    </xf>
    <xf numFmtId="0" fontId="4" fillId="0" borderId="5" applyNumberFormat="0" applyAlignment="0" applyProtection="0"/>
    <xf numFmtId="0" fontId="5" fillId="0" borderId="6" applyNumberFormat="0" applyAlignment="0" applyProtection="0"/>
    <xf numFmtId="0" fontId="3" fillId="3" borderId="7" applyNumberFormat="0" applyProtection="0">
      <alignment horizontal="center" vertical="center"/>
    </xf>
    <xf numFmtId="0" fontId="2" fillId="4" borderId="8" applyNumberFormat="0" applyAlignment="0" applyProtection="0"/>
    <xf numFmtId="0" fontId="6" fillId="5" borderId="0" applyNumberFormat="0" applyBorder="0" applyAlignment="0" applyProtection="0"/>
    <xf numFmtId="0" fontId="12" fillId="6" borderId="9" applyNumberFormat="0" applyBorder="0" applyAlignment="0" applyProtection="0"/>
    <xf numFmtId="0" fontId="12" fillId="2" borderId="10" applyNumberFormat="0" applyBorder="0" applyAlignment="0" applyProtection="0"/>
    <xf numFmtId="0" fontId="12" fillId="7" borderId="11" applyNumberFormat="0" applyBorder="0" applyAlignment="0" applyProtection="0"/>
    <xf numFmtId="0" fontId="12" fillId="14" borderId="3" applyNumberFormat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14" fillId="18" borderId="0" applyNumberFormat="0" applyBorder="0" applyAlignment="0" applyProtection="0"/>
  </cellStyleXfs>
  <cellXfs count="64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9" fontId="10" fillId="8" borderId="3" xfId="0" applyNumberFormat="1" applyFont="1" applyFill="1" applyBorder="1" applyAlignment="1">
      <alignment horizontal="left" vertical="center"/>
    </xf>
    <xf numFmtId="0" fontId="10" fillId="8" borderId="3" xfId="0" applyFont="1" applyFill="1" applyBorder="1" applyAlignment="1">
      <alignment horizontal="left" vertical="center"/>
    </xf>
    <xf numFmtId="0" fontId="11" fillId="0" borderId="3" xfId="0" applyFont="1" applyBorder="1" applyAlignment="1">
      <alignment horizontal="left" vertical="top" wrapText="1"/>
    </xf>
    <xf numFmtId="0" fontId="11" fillId="12" borderId="3" xfId="0" applyFont="1" applyFill="1" applyBorder="1" applyAlignment="1">
      <alignment horizontal="left" vertical="top" wrapText="1"/>
    </xf>
    <xf numFmtId="9" fontId="11" fillId="8" borderId="3" xfId="11" applyFont="1" applyFill="1" applyBorder="1" applyAlignment="1">
      <alignment horizontal="left" vertical="top" wrapText="1"/>
    </xf>
    <xf numFmtId="2" fontId="10" fillId="8" borderId="3" xfId="0" applyNumberFormat="1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top" wrapText="1"/>
    </xf>
    <xf numFmtId="0" fontId="0" fillId="15" borderId="3" xfId="0" applyFill="1" applyBorder="1"/>
    <xf numFmtId="0" fontId="11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1" fontId="11" fillId="2" borderId="3" xfId="0" applyNumberFormat="1" applyFont="1" applyFill="1" applyBorder="1" applyAlignment="1">
      <alignment horizontal="left" vertical="top" wrapText="1"/>
    </xf>
    <xf numFmtId="1" fontId="11" fillId="13" borderId="3" xfId="0" applyNumberFormat="1" applyFont="1" applyFill="1" applyBorder="1" applyAlignment="1">
      <alignment horizontal="left" vertical="top" wrapText="1"/>
    </xf>
    <xf numFmtId="1" fontId="11" fillId="8" borderId="3" xfId="11" applyNumberFormat="1" applyFont="1" applyFill="1" applyBorder="1" applyAlignment="1">
      <alignment horizontal="left" vertical="top" wrapText="1"/>
    </xf>
    <xf numFmtId="1" fontId="11" fillId="0" borderId="3" xfId="0" applyNumberFormat="1" applyFont="1" applyBorder="1" applyAlignment="1">
      <alignment horizontal="left" vertical="top" wrapText="1"/>
    </xf>
    <xf numFmtId="1" fontId="1" fillId="2" borderId="3" xfId="0" applyNumberFormat="1" applyFont="1" applyFill="1" applyBorder="1" applyAlignment="1">
      <alignment horizontal="left" wrapText="1"/>
    </xf>
    <xf numFmtId="1" fontId="0" fillId="8" borderId="3" xfId="0" applyNumberFormat="1" applyFill="1" applyBorder="1" applyAlignment="1">
      <alignment horizontal="left"/>
    </xf>
    <xf numFmtId="1" fontId="0" fillId="9" borderId="3" xfId="0" applyNumberFormat="1" applyFill="1" applyBorder="1" applyAlignment="1">
      <alignment horizontal="left"/>
    </xf>
    <xf numFmtId="1" fontId="0" fillId="10" borderId="3" xfId="0" applyNumberFormat="1" applyFill="1" applyBorder="1" applyAlignment="1">
      <alignment horizontal="left"/>
    </xf>
    <xf numFmtId="1" fontId="0" fillId="11" borderId="3" xfId="0" applyNumberFormat="1" applyFill="1" applyBorder="1" applyAlignment="1">
      <alignment horizontal="left"/>
    </xf>
    <xf numFmtId="1" fontId="0" fillId="17" borderId="3" xfId="0" applyNumberFormat="1" applyFill="1" applyBorder="1" applyAlignment="1">
      <alignment horizontal="left"/>
    </xf>
    <xf numFmtId="1" fontId="1" fillId="7" borderId="3" xfId="0" applyNumberFormat="1" applyFont="1" applyFill="1" applyBorder="1" applyAlignment="1">
      <alignment horizontal="left" vertical="center"/>
    </xf>
    <xf numFmtId="1" fontId="1" fillId="16" borderId="3" xfId="0" applyNumberFormat="1" applyFont="1" applyFill="1" applyBorder="1" applyAlignment="1">
      <alignment horizontal="left" vertical="center"/>
    </xf>
    <xf numFmtId="0" fontId="0" fillId="14" borderId="0" xfId="0" applyFill="1"/>
    <xf numFmtId="1" fontId="0" fillId="0" borderId="0" xfId="0" applyNumberFormat="1" applyAlignment="1">
      <alignment horizontal="left"/>
    </xf>
    <xf numFmtId="0" fontId="7" fillId="0" borderId="0" xfId="12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9" fontId="0" fillId="0" borderId="0" xfId="11" applyFont="1" applyAlignment="1">
      <alignment horizontal="left"/>
    </xf>
    <xf numFmtId="9" fontId="0" fillId="2" borderId="3" xfId="0" applyNumberFormat="1" applyFill="1" applyBorder="1" applyAlignment="1">
      <alignment horizontal="left"/>
    </xf>
    <xf numFmtId="2" fontId="0" fillId="2" borderId="0" xfId="0" applyNumberFormat="1" applyFill="1" applyAlignment="1">
      <alignment horizontal="left"/>
    </xf>
    <xf numFmtId="0" fontId="9" fillId="0" borderId="3" xfId="0" applyFont="1" applyBorder="1" applyAlignment="1">
      <alignment horizontal="left" vertical="center" wrapText="1"/>
    </xf>
    <xf numFmtId="2" fontId="9" fillId="0" borderId="3" xfId="0" applyNumberFormat="1" applyFont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/>
    </xf>
    <xf numFmtId="2" fontId="0" fillId="0" borderId="3" xfId="0" applyNumberFormat="1" applyBorder="1" applyAlignment="1">
      <alignment horizontal="left"/>
    </xf>
    <xf numFmtId="1" fontId="0" fillId="0" borderId="3" xfId="0" applyNumberFormat="1" applyBorder="1" applyAlignment="1">
      <alignment horizontal="left"/>
    </xf>
    <xf numFmtId="9" fontId="8" fillId="0" borderId="3" xfId="11" applyFont="1" applyBorder="1" applyAlignment="1">
      <alignment horizontal="left" wrapText="1"/>
    </xf>
    <xf numFmtId="0" fontId="0" fillId="0" borderId="3" xfId="0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9" fontId="0" fillId="0" borderId="0" xfId="0" applyNumberFormat="1" applyAlignment="1">
      <alignment horizontal="left"/>
    </xf>
    <xf numFmtId="9" fontId="13" fillId="8" borderId="3" xfId="0" applyNumberFormat="1" applyFont="1" applyFill="1" applyBorder="1" applyAlignment="1">
      <alignment horizontal="left" vertical="center"/>
    </xf>
    <xf numFmtId="0" fontId="0" fillId="0" borderId="3" xfId="0" applyBorder="1" applyAlignment="1" applyProtection="1">
      <alignment horizontal="left" vertical="top" wrapText="1"/>
    </xf>
    <xf numFmtId="1" fontId="0" fillId="2" borderId="3" xfId="0" applyNumberFormat="1" applyFill="1" applyBorder="1" applyAlignment="1">
      <alignment horizontal="left"/>
    </xf>
    <xf numFmtId="1" fontId="14" fillId="18" borderId="3" xfId="13" applyNumberFormat="1" applyBorder="1" applyAlignment="1">
      <alignment horizontal="left"/>
    </xf>
    <xf numFmtId="0" fontId="7" fillId="0" borderId="0" xfId="12" applyFill="1"/>
    <xf numFmtId="1" fontId="13" fillId="8" borderId="3" xfId="0" applyNumberFormat="1" applyFont="1" applyFill="1" applyBorder="1" applyAlignment="1">
      <alignment horizontal="left" vertical="center"/>
    </xf>
    <xf numFmtId="1" fontId="10" fillId="8" borderId="3" xfId="0" applyNumberFormat="1" applyFont="1" applyFill="1" applyBorder="1" applyAlignment="1">
      <alignment horizontal="left" vertical="center"/>
    </xf>
    <xf numFmtId="9" fontId="0" fillId="0" borderId="0" xfId="0" applyNumberFormat="1"/>
    <xf numFmtId="1" fontId="9" fillId="0" borderId="3" xfId="0" applyNumberFormat="1" applyFont="1" applyBorder="1" applyAlignment="1">
      <alignment horizontal="left" vertical="center" wrapText="1"/>
    </xf>
    <xf numFmtId="0" fontId="0" fillId="19" borderId="3" xfId="0" applyFill="1" applyBorder="1" applyAlignment="1">
      <alignment horizontal="left" vertical="center"/>
    </xf>
    <xf numFmtId="0" fontId="0" fillId="20" borderId="3" xfId="0" applyFill="1" applyBorder="1" applyAlignment="1">
      <alignment horizontal="left" vertical="center"/>
    </xf>
    <xf numFmtId="0" fontId="7" fillId="21" borderId="0" xfId="12" applyFill="1"/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</cellXfs>
  <cellStyles count="14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Заголовок 1" xfId="7" builtinId="16" customBuiltin="1"/>
    <cellStyle name="Заголовок 2" xfId="8" builtinId="17" customBuiltin="1"/>
    <cellStyle name="Заголовок 3" xfId="9" builtinId="18" customBuiltin="1"/>
    <cellStyle name="Заголовок 4" xfId="10" builtinId="19" customBuiltin="1"/>
    <cellStyle name="Обычный" xfId="0" builtinId="0"/>
    <cellStyle name="Обычный 6" xfId="12" xr:uid="{DAAD6731-A1BF-489A-859B-17944932908D}"/>
    <cellStyle name="Плохой" xfId="13" builtinId="27"/>
    <cellStyle name="Процентный" xfId="11" builtinId="5"/>
  </cellStyles>
  <dxfs count="14"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43E4B67-A0D4-4AB7-A2EE-58A4D91B07A8}" autoFormatId="16" applyNumberFormats="0" applyBorderFormats="0" applyFontFormats="0" applyPatternFormats="0" applyAlignmentFormats="0" applyWidthHeightFormats="0">
  <queryTableRefresh nextId="25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B123A4-A159-4CD7-BFA4-D44CF859FEB4}" name="АНВ" displayName="АНВ" ref="A1:X55" tableType="queryTable" totalsRowShown="0" headerRowCellStyle="Обычный 6" dataCellStyle="Обычный 6">
  <autoFilter ref="A1:X55" xr:uid="{1CB123A4-A159-4CD7-BFA4-D44CF859FEB4}"/>
  <tableColumns count="24">
    <tableColumn id="1" xr3:uid="{13E73062-1916-4B0D-A2BF-53802B44A5E9}" uniqueName="1" name="Column1" queryTableFieldId="1" dataCellStyle="Обычный 6"/>
    <tableColumn id="2" xr3:uid="{CE317078-D94A-4ECC-9B81-1C82F31E0891}" uniqueName="2" name="Column2" queryTableFieldId="2" dataCellStyle="Обычный 6"/>
    <tableColumn id="3" xr3:uid="{6A1602FB-BBED-4C52-A344-9E307356E095}" uniqueName="3" name="Column3" queryTableFieldId="3" dataCellStyle="Обычный 6"/>
    <tableColumn id="4" xr3:uid="{8A18AD7D-2D79-43FE-BEE6-6D39313AA559}" uniqueName="4" name="Column4" queryTableFieldId="4" dataCellStyle="Обычный 6"/>
    <tableColumn id="5" xr3:uid="{B0E2CDA7-56BA-4694-9DD9-EF1D667035B0}" uniqueName="5" name="Column5" queryTableFieldId="5" dataCellStyle="Обычный 6"/>
    <tableColumn id="6" xr3:uid="{A75CB568-1661-46A7-A761-D3D76496C5C2}" uniqueName="6" name="Column6" queryTableFieldId="6" dataCellStyle="Обычный 6"/>
    <tableColumn id="7" xr3:uid="{CCFCF509-CE82-4792-8041-D7AA39672CAE}" uniqueName="7" name="Column7" queryTableFieldId="7" dataCellStyle="Обычный 6"/>
    <tableColumn id="8" xr3:uid="{6C366DB6-9B33-48AB-B434-85453DDB3EC9}" uniqueName="8" name="Column8" queryTableFieldId="8" dataCellStyle="Обычный 6"/>
    <tableColumn id="9" xr3:uid="{9D5F9D5F-1BEE-4087-8CAA-1C34A038D398}" uniqueName="9" name="Column9" queryTableFieldId="9" dataCellStyle="Обычный 6"/>
    <tableColumn id="10" xr3:uid="{84EF84D0-DC98-413F-9453-363C02FB5D79}" uniqueName="10" name="Column10" queryTableFieldId="10" dataCellStyle="Обычный 6"/>
    <tableColumn id="11" xr3:uid="{2743B0A5-F5DC-4BB9-972C-557CEFB0069F}" uniqueName="11" name="Column11" queryTableFieldId="11" dataCellStyle="Обычный 6"/>
    <tableColumn id="12" xr3:uid="{931FF2B5-D93B-4CBB-B182-CE5A0CB860B4}" uniqueName="12" name="Column12" queryTableFieldId="12" dataCellStyle="Обычный 6"/>
    <tableColumn id="13" xr3:uid="{A966C8DA-1C6E-481F-A62D-A8A6E4E4517B}" uniqueName="13" name="Column13" queryTableFieldId="13" dataCellStyle="Обычный 6"/>
    <tableColumn id="14" xr3:uid="{48D20524-7F46-4362-94EC-2D57E7493051}" uniqueName="14" name="Column14" queryTableFieldId="14" dataCellStyle="Обычный 6"/>
    <tableColumn id="15" xr3:uid="{E3FDDBD2-2600-45F8-91CE-46C5749D5AC4}" uniqueName="15" name="Column15" queryTableFieldId="15" dataCellStyle="Обычный 6"/>
    <tableColumn id="16" xr3:uid="{BDCFC656-4495-4276-BC2D-28A3F51EA857}" uniqueName="16" name="Column16" queryTableFieldId="16" dataCellStyle="Обычный 6"/>
    <tableColumn id="17" xr3:uid="{E9878ADD-2F1F-430D-826A-17FE70EF692C}" uniqueName="17" name="Column17" queryTableFieldId="17" dataCellStyle="Обычный 6"/>
    <tableColumn id="18" xr3:uid="{B60CFFBA-3C6F-492D-8F12-857ABC03D781}" uniqueName="18" name="Column18" queryTableFieldId="18" dataCellStyle="Обычный 6"/>
    <tableColumn id="19" xr3:uid="{042D8E9E-BDF0-4577-9827-CA45D62D5A81}" uniqueName="19" name="Column19" queryTableFieldId="19" dataCellStyle="Обычный 6"/>
    <tableColumn id="20" xr3:uid="{B02420FE-F569-42AE-90FE-D6522D40B944}" uniqueName="20" name="Column20" queryTableFieldId="20" dataCellStyle="Обычный 6"/>
    <tableColumn id="21" xr3:uid="{8CFD0253-4A8D-4ED7-BEE5-C415E4E45731}" uniqueName="21" name="Column21" queryTableFieldId="21" dataCellStyle="Обычный 6"/>
    <tableColumn id="22" xr3:uid="{8C4CEF4F-28FA-48EE-9D7F-3A74820F0D9E}" uniqueName="22" name="Column22" queryTableFieldId="22" dataCellStyle="Обычный 6"/>
    <tableColumn id="23" xr3:uid="{01CCEAD1-77C1-4EB8-B040-7BF5C96ED061}" uniqueName="23" name="Column23" queryTableFieldId="23" dataCellStyle="Обычный 6"/>
    <tableColumn id="24" xr3:uid="{760ABE16-148D-409F-8D3A-CBA21D45664F}" uniqueName="24" name="Column24" queryTableFieldId="24" dataCellStyle="Обычный 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14F5-A8BF-49DD-8C7D-B89E033D4112}">
  <sheetPr codeName="Лист2"/>
  <dimension ref="A1:AQ86"/>
  <sheetViews>
    <sheetView tabSelected="1" workbookViewId="0">
      <pane ySplit="2" topLeftCell="A3" activePane="bottomLeft" state="frozen"/>
      <selection activeCell="V2" sqref="V2"/>
      <selection pane="bottomLeft" activeCell="C5" sqref="C5"/>
    </sheetView>
  </sheetViews>
  <sheetFormatPr defaultRowHeight="15" outlineLevelCol="1" x14ac:dyDescent="0.25"/>
  <cols>
    <col min="1" max="2" width="7" style="28" bestFit="1" customWidth="1"/>
    <col min="3" max="3" width="37.42578125" style="29" bestFit="1" customWidth="1"/>
    <col min="4" max="4" width="2.42578125" style="28" bestFit="1" customWidth="1"/>
    <col min="5" max="5" width="4.85546875" style="28" bestFit="1" customWidth="1"/>
    <col min="6" max="6" width="7.140625" style="28" bestFit="1" customWidth="1"/>
    <col min="7" max="7" width="9.28515625" style="28" bestFit="1" customWidth="1"/>
    <col min="8" max="8" width="7.5703125" style="28" bestFit="1" customWidth="1"/>
    <col min="9" max="9" width="10.85546875" style="28" bestFit="1" customWidth="1"/>
    <col min="10" max="10" width="4.7109375" style="28" bestFit="1" customWidth="1"/>
    <col min="11" max="11" width="5.7109375" style="28" bestFit="1" customWidth="1"/>
    <col min="12" max="12" width="5.5703125" style="28" bestFit="1" customWidth="1"/>
    <col min="13" max="13" width="5.5703125" style="26" bestFit="1" customWidth="1"/>
    <col min="14" max="14" width="5.85546875" style="26" bestFit="1" customWidth="1"/>
    <col min="15" max="15" width="5.7109375" style="28" bestFit="1" customWidth="1"/>
    <col min="16" max="16" width="5.85546875" style="28" bestFit="1" customWidth="1"/>
    <col min="17" max="17" width="4.140625" style="28" customWidth="1"/>
    <col min="18" max="18" width="5.5703125" style="28" bestFit="1" customWidth="1"/>
    <col min="19" max="19" width="6.85546875" style="28" bestFit="1" customWidth="1"/>
    <col min="20" max="20" width="7.28515625" style="28" bestFit="1" customWidth="1"/>
    <col min="21" max="22" width="6.140625" style="28" bestFit="1" customWidth="1"/>
    <col min="23" max="23" width="8.5703125" style="28" bestFit="1" customWidth="1"/>
    <col min="24" max="24" width="8" style="26" hidden="1" customWidth="1" outlineLevel="1"/>
    <col min="25" max="25" width="2" style="28" hidden="1" customWidth="1" outlineLevel="1"/>
    <col min="26" max="26" width="6" style="28" hidden="1" customWidth="1" outlineLevel="1"/>
    <col min="27" max="27" width="5.85546875" style="28" bestFit="1" customWidth="1" collapsed="1"/>
    <col min="28" max="28" width="5.85546875" style="28" bestFit="1" customWidth="1"/>
    <col min="29" max="29" width="8" style="28" customWidth="1" outlineLevel="1"/>
    <col min="30" max="30" width="2" style="28" customWidth="1" outlineLevel="1"/>
    <col min="31" max="31" width="6" style="28" customWidth="1" outlineLevel="1"/>
    <col min="32" max="33" width="9.140625" style="28"/>
    <col min="34" max="34" width="8" style="28" hidden="1" customWidth="1" outlineLevel="1"/>
    <col min="35" max="35" width="2" style="28" hidden="1" customWidth="1" outlineLevel="1"/>
    <col min="36" max="36" width="6" style="28" hidden="1" customWidth="1" outlineLevel="1"/>
    <col min="37" max="37" width="9.140625" style="28" collapsed="1"/>
    <col min="38" max="38" width="9.140625" style="28"/>
    <col min="39" max="39" width="8" style="28" hidden="1" customWidth="1" outlineLevel="1"/>
    <col min="40" max="40" width="2" style="28" hidden="1" customWidth="1" outlineLevel="1"/>
    <col min="41" max="41" width="6" style="28" hidden="1" customWidth="1" outlineLevel="1"/>
    <col min="42" max="42" width="9.140625" style="28" collapsed="1"/>
    <col min="43" max="16384" width="9.140625" style="28"/>
  </cols>
  <sheetData>
    <row r="1" spans="1:43" x14ac:dyDescent="0.25">
      <c r="A1" s="29"/>
      <c r="B1" s="29">
        <v>2</v>
      </c>
      <c r="C1" s="29">
        <v>3</v>
      </c>
      <c r="D1" s="28">
        <v>4</v>
      </c>
      <c r="E1" s="28">
        <v>16</v>
      </c>
      <c r="F1" s="28">
        <v>5</v>
      </c>
      <c r="G1" s="28">
        <v>6</v>
      </c>
      <c r="H1" s="28">
        <v>7</v>
      </c>
      <c r="J1" s="30">
        <f>COUNT(Кат!$W:$W,Торг!$AB:$AB)/COUNT(Кат!$A:$A,Торг!$B:$B)</f>
        <v>0.50980392156862742</v>
      </c>
      <c r="M1" s="47">
        <f>P1</f>
        <v>11</v>
      </c>
      <c r="O1" s="28">
        <v>10</v>
      </c>
      <c r="P1" s="28">
        <v>11</v>
      </c>
      <c r="Q1" s="26"/>
      <c r="R1" s="26"/>
      <c r="S1" s="43">
        <v>0.2</v>
      </c>
      <c r="T1" s="31" t="str">
        <f>_xlfn.CONCAT(ROUND(MIN(T3:T9049)*100,0),"-",ROUND(MAX(T3:T9049)*100,0),"%")</f>
        <v>31-214%</v>
      </c>
      <c r="U1" s="31" t="str">
        <f>_xlfn.CONCAT(ROUND(SUBTOTAL(5,U3:U9049)*100,0)," - ",ROUND(SUBTOTAL(4,U3:U9049)*100,0),"%")</f>
        <v>2 - 15%</v>
      </c>
      <c r="V1" s="31" t="str">
        <f>_xlfn.CONCAT(ROUND(SUBTOTAL(5,V3:V90049)*100,0)," - ",ROUND(SUBTOTAL(4,V3:V90049)*100,0),"%")</f>
        <v>50 - 227%</v>
      </c>
      <c r="W1" s="32"/>
      <c r="X1" s="26">
        <v>10</v>
      </c>
      <c r="Z1" s="41">
        <f>AD1</f>
        <v>0</v>
      </c>
      <c r="AC1" s="26">
        <v>11</v>
      </c>
      <c r="AE1" s="54">
        <f>AN1</f>
        <v>0</v>
      </c>
      <c r="AH1" s="26">
        <v>12</v>
      </c>
      <c r="AJ1" s="41">
        <f>AN1</f>
        <v>0</v>
      </c>
      <c r="AM1" s="26">
        <v>13</v>
      </c>
      <c r="AO1" s="53">
        <f>AS1</f>
        <v>0</v>
      </c>
    </row>
    <row r="2" spans="1:43" ht="30" x14ac:dyDescent="0.25">
      <c r="A2" s="5" t="s">
        <v>4</v>
      </c>
      <c r="B2" s="6" t="s">
        <v>9</v>
      </c>
      <c r="C2" s="6" t="s">
        <v>5</v>
      </c>
      <c r="D2" s="6"/>
      <c r="E2" s="6"/>
      <c r="F2" s="6" t="str">
        <f>VLOOKUP($A2,'Выгр Кат'!$A:$T,F$1,0)</f>
        <v>Артикул</v>
      </c>
      <c r="G2" s="6" t="str">
        <f>VLOOKUP($A2,'Выгр Кат'!$A:$T,G$1,0)</f>
        <v>Кат/ номер</v>
      </c>
      <c r="H2" s="6" t="str">
        <f>VLOOKUP($A2,'Выгр Кат'!$A:$T,H$1,0)</f>
        <v>OEM</v>
      </c>
      <c r="I2" s="5" t="s">
        <v>6</v>
      </c>
      <c r="J2" s="5"/>
      <c r="K2" s="9" t="s">
        <v>38</v>
      </c>
      <c r="L2" s="5"/>
      <c r="M2" s="16"/>
      <c r="N2" s="13" t="s">
        <v>16</v>
      </c>
      <c r="O2" s="6" t="str">
        <f>VLOOKUP($A2,'Выгр Кат'!$A:$T,O$1,0)</f>
        <v>ЗЦ</v>
      </c>
      <c r="P2" s="6" t="str">
        <f>VLOOKUP($A2,'Выгр Кат'!$A:$T,P$1,0)</f>
        <v>РЦ</v>
      </c>
      <c r="Q2" s="14"/>
      <c r="R2" s="14"/>
      <c r="S2" s="7">
        <v>0.15</v>
      </c>
      <c r="T2" s="33" t="s">
        <v>0</v>
      </c>
      <c r="U2" s="33" t="s">
        <v>1</v>
      </c>
      <c r="V2" s="33" t="s">
        <v>2</v>
      </c>
      <c r="W2" s="34" t="s">
        <v>39</v>
      </c>
      <c r="X2" s="49" t="s">
        <v>40</v>
      </c>
      <c r="Y2" s="3"/>
      <c r="Z2" s="44" t="s">
        <v>41</v>
      </c>
      <c r="AA2" s="34" t="s">
        <v>3</v>
      </c>
      <c r="AB2" s="34" t="s">
        <v>3</v>
      </c>
      <c r="AC2" s="49" t="s">
        <v>40</v>
      </c>
      <c r="AD2" s="3"/>
      <c r="AE2" s="44" t="s">
        <v>41</v>
      </c>
      <c r="AF2" s="52">
        <v>2</v>
      </c>
      <c r="AG2" s="52">
        <v>2</v>
      </c>
      <c r="AH2" s="49" t="s">
        <v>40</v>
      </c>
      <c r="AI2" s="3"/>
      <c r="AJ2" s="44" t="s">
        <v>41</v>
      </c>
      <c r="AK2" s="52">
        <v>3</v>
      </c>
      <c r="AL2" s="52">
        <v>3</v>
      </c>
      <c r="AM2" s="49" t="s">
        <v>40</v>
      </c>
      <c r="AN2" s="3"/>
      <c r="AO2" s="44" t="s">
        <v>41</v>
      </c>
      <c r="AP2" s="52">
        <v>4</v>
      </c>
      <c r="AQ2" s="52">
        <v>4</v>
      </c>
    </row>
    <row r="3" spans="1:43" ht="30" x14ac:dyDescent="0.25">
      <c r="A3" s="36">
        <v>131836</v>
      </c>
      <c r="B3" s="36">
        <f>VLOOKUP($A3,'Выгр Кат'!$A:$T,B$1,0)</f>
        <v>9999</v>
      </c>
      <c r="C3" s="35" t="str">
        <f>VLOOKUP($A3,'Выгр Кат'!$A:$T,C$1,0)</f>
        <v>Алюминиевая сетка серебристая 100х15см, мелкая ячейка 5х10мм 1250</v>
      </c>
      <c r="D3" s="36" t="str">
        <f>VLOOKUP($A3,'Выгр Кат'!$A:$T,D$1,0)</f>
        <v>Y</v>
      </c>
      <c r="E3" s="36" t="str">
        <f>VLOOKUP($A3,'Выгр Кат'!$A:$T,E$1,0)</f>
        <v>1</v>
      </c>
      <c r="F3" s="36">
        <f>VLOOKUP($A3,'Выгр Кат'!$A:$T,F$1,0)</f>
        <v>0</v>
      </c>
      <c r="G3" s="36">
        <f>VLOOKUP($A3,'Выгр Кат'!$A:$T,G$1,0)</f>
        <v>0</v>
      </c>
      <c r="H3" s="36">
        <f>VLOOKUP($A3,'Выгр Кат'!$A:$T,H$1,0)</f>
        <v>0</v>
      </c>
      <c r="I3" s="36"/>
      <c r="J3" s="45" t="s">
        <v>44</v>
      </c>
      <c r="K3" s="46">
        <v>135</v>
      </c>
      <c r="L3" s="37">
        <f>VLOOKUP(K3,Наценка!$A$1:$B$8,2,1)</f>
        <v>1.8</v>
      </c>
      <c r="M3" s="23">
        <f t="shared" ref="M3:M6" si="0">W3*1.13</f>
        <v>354.82</v>
      </c>
      <c r="N3" s="17">
        <f>IF(M3&lt;=1000,(ROUNDUP(M3,-1)-1),(ROUNDUP(M3,-2)-10))</f>
        <v>359</v>
      </c>
      <c r="O3" s="36">
        <f>VLOOKUP($A3,'Выгр Кат'!$A:$T,O$1,0)</f>
        <v>135</v>
      </c>
      <c r="P3" s="36">
        <f>VLOOKUP($A3,'Выгр Кат'!$A:$T,P$1,0)</f>
        <v>359</v>
      </c>
      <c r="Q3" s="14">
        <f>O3-K3</f>
        <v>0</v>
      </c>
      <c r="R3" s="14">
        <f>P3-N3</f>
        <v>0</v>
      </c>
      <c r="S3" s="15">
        <f>IFERROR(ROUND(N3*(1-$S$2),),"")</f>
        <v>305</v>
      </c>
      <c r="T3" s="39">
        <f>IFERROR(S3/K3-1,"")</f>
        <v>1.2592592592592591</v>
      </c>
      <c r="U3" s="39">
        <f>IFERROR((W3-S3)/W3,"")</f>
        <v>2.8662420382165606E-2</v>
      </c>
      <c r="V3" s="39">
        <f>IFERROR(IF(W3="","",W3/K3-1),"")</f>
        <v>1.325925925925926</v>
      </c>
      <c r="W3" s="54">
        <f>AF3</f>
        <v>314</v>
      </c>
      <c r="X3" s="50" t="str">
        <f>IFERROR(ROUND((VLOOKUP($A3,'Из ГУГЛа'!$B:$AD,X$1,0)+Z3)*Y3,),VLOOKUP($A3,'Из ГУГЛа'!$B:$AD,X$1,0))</f>
        <v/>
      </c>
      <c r="Y3" s="4">
        <v>1</v>
      </c>
      <c r="Z3" s="4">
        <v>0</v>
      </c>
      <c r="AA3" s="40">
        <v>449</v>
      </c>
      <c r="AB3" s="40" t="s">
        <v>110</v>
      </c>
      <c r="AC3" s="50" t="str">
        <f>IFERROR(ROUND((VLOOKUP($A3,'Из ГУГЛа'!$B:$AD,AC$1,0)+AE3)*AD3,),VLOOKUP($A3,'Из ГУГЛа'!$B:$AD,AC$1,0))</f>
        <v/>
      </c>
      <c r="AD3" s="4">
        <v>1</v>
      </c>
      <c r="AE3" s="4">
        <v>0</v>
      </c>
      <c r="AF3" s="40">
        <v>314</v>
      </c>
      <c r="AG3" s="40" t="s">
        <v>181</v>
      </c>
      <c r="AH3" s="50" t="str">
        <f>IFERROR(ROUND((VLOOKUP($A3,'Из ГУГЛа'!$B:$AD,AH$1,0)+AJ3)*AI3,),VLOOKUP($A3,'Из ГУГЛа'!$B:$AD,AH$1,0))</f>
        <v/>
      </c>
      <c r="AI3" s="4">
        <v>1</v>
      </c>
      <c r="AJ3" s="4">
        <v>0</v>
      </c>
      <c r="AK3" s="40" t="s">
        <v>180</v>
      </c>
      <c r="AL3" s="40"/>
      <c r="AM3" s="50" t="str">
        <f>IFERROR(ROUND((VLOOKUP($A3,'Из ГУГЛа'!$B:$AD,AM$1,0)+AO3)*AN3,),VLOOKUP($A3,'Из ГУГЛа'!$B:$AD,AM$1,0))</f>
        <v/>
      </c>
      <c r="AN3" s="4">
        <v>1</v>
      </c>
      <c r="AO3" s="4">
        <v>0</v>
      </c>
      <c r="AP3" s="40" t="s">
        <v>180</v>
      </c>
      <c r="AQ3" s="40"/>
    </row>
    <row r="4" spans="1:43" ht="30" x14ac:dyDescent="0.25">
      <c r="A4" s="36">
        <v>131837</v>
      </c>
      <c r="B4" s="36">
        <f>VLOOKUP($A4,'Выгр Кат'!$A:$T,B$1,0)</f>
        <v>10005</v>
      </c>
      <c r="C4" s="35" t="str">
        <f>VLOOKUP($A4,'Выгр Кат'!$A:$T,C$1,0)</f>
        <v>Алюминиевая сетка серебристая 100х15см, средняя ячейка 8х16мм 1256</v>
      </c>
      <c r="D4" s="36" t="str">
        <f>VLOOKUP($A4,'Выгр Кат'!$A:$T,D$1,0)</f>
        <v>Y</v>
      </c>
      <c r="E4" s="36" t="str">
        <f>VLOOKUP($A4,'Выгр Кат'!$A:$T,E$1,0)</f>
        <v>1</v>
      </c>
      <c r="F4" s="36">
        <f>VLOOKUP($A4,'Выгр Кат'!$A:$T,F$1,0)</f>
        <v>0</v>
      </c>
      <c r="G4" s="36">
        <f>VLOOKUP($A4,'Выгр Кат'!$A:$T,G$1,0)</f>
        <v>0</v>
      </c>
      <c r="H4" s="36">
        <f>VLOOKUP($A4,'Выгр Кат'!$A:$T,H$1,0)</f>
        <v>0</v>
      </c>
      <c r="I4" s="36"/>
      <c r="J4" s="45" t="s">
        <v>44</v>
      </c>
      <c r="K4" s="46">
        <v>0</v>
      </c>
      <c r="L4" s="37" t="e">
        <f>VLOOKUP(K4,Наценка!$A$1:$B$8,2,1)</f>
        <v>#N/A</v>
      </c>
      <c r="M4" s="23">
        <f t="shared" si="0"/>
        <v>588.7299999999999</v>
      </c>
      <c r="N4" s="17">
        <f t="shared" ref="N4:N52" si="1">IF(M4&lt;=1000,(ROUNDUP(M4,-1)-1),(ROUNDUP(M4,-2)-10))</f>
        <v>589</v>
      </c>
      <c r="O4" s="36">
        <f>VLOOKUP($A4,'Выгр Кат'!$A:$T,O$1,0)</f>
        <v>0</v>
      </c>
      <c r="P4" s="36">
        <f>VLOOKUP($A4,'Выгр Кат'!$A:$T,P$1,0)</f>
        <v>589</v>
      </c>
      <c r="Q4" s="14">
        <f t="shared" ref="Q4:Q52" si="2">O4-K4</f>
        <v>0</v>
      </c>
      <c r="R4" s="14">
        <f t="shared" ref="R4:R52" si="3">P4-N4</f>
        <v>0</v>
      </c>
      <c r="S4" s="15">
        <f t="shared" ref="S4:S52" si="4">IFERROR(ROUND(N4*(1-$S$2),),"")</f>
        <v>501</v>
      </c>
      <c r="T4" s="39" t="str">
        <f t="shared" ref="T4:T52" si="5">IFERROR(S4/K4-1,"")</f>
        <v/>
      </c>
      <c r="U4" s="39">
        <f t="shared" ref="U4:U52" si="6">IFERROR((W4-S4)/W4,"")</f>
        <v>3.8387715930902108E-2</v>
      </c>
      <c r="V4" s="39" t="str">
        <f t="shared" ref="V4:V52" si="7">IFERROR(IF(W4="","",W4/K4-1),"")</f>
        <v/>
      </c>
      <c r="W4" s="54">
        <f>AF4</f>
        <v>521</v>
      </c>
      <c r="X4" s="50" t="str">
        <f>IFERROR(ROUND((VLOOKUP($A4,'Из ГУГЛа'!$B:$AD,X$1,0)+Z4)*Y4,),VLOOKUP($A4,'Из ГУГЛа'!$B:$AD,X$1,0))</f>
        <v/>
      </c>
      <c r="Y4" s="4">
        <v>1</v>
      </c>
      <c r="Z4" s="4">
        <v>0</v>
      </c>
      <c r="AA4" s="40">
        <v>459</v>
      </c>
      <c r="AB4" s="40" t="s">
        <v>111</v>
      </c>
      <c r="AC4" s="50" t="str">
        <f>IFERROR(ROUND((VLOOKUP($A4,'Из ГУГЛа'!$B:$AD,AC$1,0)+AE4)*AD4,),VLOOKUP($A4,'Из ГУГЛа'!$B:$AD,AC$1,0))</f>
        <v/>
      </c>
      <c r="AD4" s="4">
        <v>1</v>
      </c>
      <c r="AE4" s="4">
        <v>0</v>
      </c>
      <c r="AF4" s="40">
        <v>521</v>
      </c>
      <c r="AG4" s="40" t="s">
        <v>183</v>
      </c>
      <c r="AH4" s="50" t="str">
        <f>IFERROR(ROUND((VLOOKUP($A4,'Из ГУГЛа'!$B:$AD,AH$1,0)+AJ4)*AI4,),VLOOKUP($A4,'Из ГУГЛа'!$B:$AD,AH$1,0))</f>
        <v/>
      </c>
      <c r="AI4" s="4">
        <v>1</v>
      </c>
      <c r="AJ4" s="4">
        <v>0</v>
      </c>
      <c r="AK4" s="40" t="s">
        <v>180</v>
      </c>
      <c r="AL4" s="40"/>
      <c r="AM4" s="50" t="str">
        <f>IFERROR(ROUND((VLOOKUP($A4,'Из ГУГЛа'!$B:$AD,AM$1,0)+AO4)*AN4,),VLOOKUP($A4,'Из ГУГЛа'!$B:$AD,AM$1,0))</f>
        <v/>
      </c>
      <c r="AN4" s="4">
        <v>1</v>
      </c>
      <c r="AO4" s="4">
        <v>0</v>
      </c>
      <c r="AP4" s="40" t="s">
        <v>180</v>
      </c>
      <c r="AQ4" s="40"/>
    </row>
    <row r="5" spans="1:43" ht="30" x14ac:dyDescent="0.25">
      <c r="A5" s="36">
        <v>131839</v>
      </c>
      <c r="B5" s="36">
        <f>VLOOKUP($A5,'Выгр Кат'!$A:$T,B$1,0)</f>
        <v>10000</v>
      </c>
      <c r="C5" s="35" t="str">
        <f>VLOOKUP($A5,'Выгр Кат'!$A:$T,C$1,0)</f>
        <v>Алюминиевая сетка серебристая 100х25см, мелкая ячейка 5х10мм 1251</v>
      </c>
      <c r="D5" s="36" t="str">
        <f>VLOOKUP($A5,'Выгр Кат'!$A:$T,D$1,0)</f>
        <v>Y</v>
      </c>
      <c r="E5" s="36" t="str">
        <f>VLOOKUP($A5,'Выгр Кат'!$A:$T,E$1,0)</f>
        <v>1</v>
      </c>
      <c r="F5" s="36">
        <f>VLOOKUP($A5,'Выгр Кат'!$A:$T,F$1,0)</f>
        <v>0</v>
      </c>
      <c r="G5" s="36">
        <f>VLOOKUP($A5,'Выгр Кат'!$A:$T,G$1,0)</f>
        <v>0</v>
      </c>
      <c r="H5" s="36">
        <f>VLOOKUP($A5,'Выгр Кат'!$A:$T,H$1,0)</f>
        <v>0</v>
      </c>
      <c r="I5" s="36"/>
      <c r="J5" s="45" t="s">
        <v>44</v>
      </c>
      <c r="K5" s="46">
        <v>155</v>
      </c>
      <c r="L5" s="37">
        <f>VLOOKUP(K5,Наценка!$A$1:$B$8,2,1)</f>
        <v>1.8</v>
      </c>
      <c r="M5" s="23">
        <f t="shared" si="0"/>
        <v>440.69999999999993</v>
      </c>
      <c r="N5" s="17">
        <f t="shared" si="1"/>
        <v>449</v>
      </c>
      <c r="O5" s="36">
        <f>VLOOKUP($A5,'Выгр Кат'!$A:$T,O$1,0)</f>
        <v>155</v>
      </c>
      <c r="P5" s="36">
        <f>VLOOKUP($A5,'Выгр Кат'!$A:$T,P$1,0)</f>
        <v>449</v>
      </c>
      <c r="Q5" s="14">
        <f t="shared" si="2"/>
        <v>0</v>
      </c>
      <c r="R5" s="14">
        <f t="shared" si="3"/>
        <v>0</v>
      </c>
      <c r="S5" s="15">
        <f t="shared" si="4"/>
        <v>382</v>
      </c>
      <c r="T5" s="39">
        <f t="shared" si="5"/>
        <v>1.4645161290322579</v>
      </c>
      <c r="U5" s="39">
        <f t="shared" si="6"/>
        <v>2.0512820512820513E-2</v>
      </c>
      <c r="V5" s="39">
        <f t="shared" si="7"/>
        <v>1.5161290322580645</v>
      </c>
      <c r="W5" s="41">
        <f t="shared" ref="W5:W6" si="8">AA5</f>
        <v>390</v>
      </c>
      <c r="X5" s="50" t="str">
        <f>IFERROR(ROUND((VLOOKUP($A5,'Из ГУГЛа'!$B:$AD,X$1,0)+Z5)*Y5,),VLOOKUP($A5,'Из ГУГЛа'!$B:$AD,X$1,0))</f>
        <v/>
      </c>
      <c r="Y5" s="4">
        <v>1</v>
      </c>
      <c r="Z5" s="4">
        <v>0</v>
      </c>
      <c r="AA5" s="40">
        <v>390</v>
      </c>
      <c r="AB5" s="40" t="s">
        <v>118</v>
      </c>
      <c r="AC5" s="50" t="str">
        <f>IFERROR(ROUND((VLOOKUP($A5,'Из ГУГЛа'!$B:$AD,AC$1,0)+AE5)*AD5,),VLOOKUP($A5,'Из ГУГЛа'!$B:$AD,AC$1,0))</f>
        <v/>
      </c>
      <c r="AD5" s="4">
        <v>1</v>
      </c>
      <c r="AE5" s="4">
        <v>0</v>
      </c>
      <c r="AF5" s="40" t="s">
        <v>180</v>
      </c>
      <c r="AG5" s="40"/>
      <c r="AH5" s="50" t="str">
        <f>IFERROR(ROUND((VLOOKUP($A5,'Из ГУГЛа'!$B:$AD,AH$1,0)+AJ5)*AI5,),VLOOKUP($A5,'Из ГУГЛа'!$B:$AD,AH$1,0))</f>
        <v/>
      </c>
      <c r="AI5" s="4">
        <v>1</v>
      </c>
      <c r="AJ5" s="4">
        <v>0</v>
      </c>
      <c r="AK5" s="40" t="s">
        <v>180</v>
      </c>
      <c r="AL5" s="40"/>
      <c r="AM5" s="50" t="str">
        <f>IFERROR(ROUND((VLOOKUP($A5,'Из ГУГЛа'!$B:$AD,AM$1,0)+AO5)*AN5,),VLOOKUP($A5,'Из ГУГЛа'!$B:$AD,AM$1,0))</f>
        <v/>
      </c>
      <c r="AN5" s="4">
        <v>1</v>
      </c>
      <c r="AO5" s="4">
        <v>0</v>
      </c>
      <c r="AP5" s="40" t="s">
        <v>180</v>
      </c>
      <c r="AQ5" s="40"/>
    </row>
    <row r="6" spans="1:43" ht="30" x14ac:dyDescent="0.25">
      <c r="A6" s="36">
        <v>131840</v>
      </c>
      <c r="B6" s="36">
        <f>VLOOKUP($A6,'Выгр Кат'!$A:$T,B$1,0)</f>
        <v>10006</v>
      </c>
      <c r="C6" s="35" t="str">
        <f>VLOOKUP($A6,'Выгр Кат'!$A:$T,C$1,0)</f>
        <v>Алюминиевая сетка серебристая 100х25см, средняя ячейка 8х16мм 1257</v>
      </c>
      <c r="D6" s="36" t="str">
        <f>VLOOKUP($A6,'Выгр Кат'!$A:$T,D$1,0)</f>
        <v>Y</v>
      </c>
      <c r="E6" s="36" t="str">
        <f>VLOOKUP($A6,'Выгр Кат'!$A:$T,E$1,0)</f>
        <v>1</v>
      </c>
      <c r="F6" s="36">
        <f>VLOOKUP($A6,'Выгр Кат'!$A:$T,F$1,0)</f>
        <v>0</v>
      </c>
      <c r="G6" s="36">
        <f>VLOOKUP($A6,'Выгр Кат'!$A:$T,G$1,0)</f>
        <v>0</v>
      </c>
      <c r="H6" s="36">
        <f>VLOOKUP($A6,'Выгр Кат'!$A:$T,H$1,0)</f>
        <v>0</v>
      </c>
      <c r="I6" s="36"/>
      <c r="J6" s="45" t="s">
        <v>44</v>
      </c>
      <c r="K6" s="46">
        <v>0</v>
      </c>
      <c r="L6" s="37" t="e">
        <f>VLOOKUP(K6,Наценка!$A$1:$B$8,2,1)</f>
        <v>#N/A</v>
      </c>
      <c r="M6" s="23">
        <f t="shared" si="0"/>
        <v>327.7</v>
      </c>
      <c r="N6" s="17">
        <f t="shared" si="1"/>
        <v>329</v>
      </c>
      <c r="O6" s="36">
        <f>VLOOKUP($A6,'Выгр Кат'!$A:$T,O$1,0)</f>
        <v>0</v>
      </c>
      <c r="P6" s="36">
        <f>VLOOKUP($A6,'Выгр Кат'!$A:$T,P$1,0)</f>
        <v>329</v>
      </c>
      <c r="Q6" s="14">
        <f t="shared" si="2"/>
        <v>0</v>
      </c>
      <c r="R6" s="14">
        <f t="shared" si="3"/>
        <v>0</v>
      </c>
      <c r="S6" s="15">
        <f t="shared" si="4"/>
        <v>280</v>
      </c>
      <c r="T6" s="39" t="str">
        <f t="shared" si="5"/>
        <v/>
      </c>
      <c r="U6" s="39">
        <f t="shared" si="6"/>
        <v>3.4482758620689655E-2</v>
      </c>
      <c r="V6" s="39" t="str">
        <f t="shared" si="7"/>
        <v/>
      </c>
      <c r="W6" s="41">
        <f t="shared" si="8"/>
        <v>290</v>
      </c>
      <c r="X6" s="50" t="str">
        <f>IFERROR(ROUND((VLOOKUP($A6,'Из ГУГЛа'!$B:$AD,X$1,0)+Z6)*Y6,),VLOOKUP($A6,'Из ГУГЛа'!$B:$AD,X$1,0))</f>
        <v/>
      </c>
      <c r="Y6" s="4">
        <v>1</v>
      </c>
      <c r="Z6" s="4">
        <v>0</v>
      </c>
      <c r="AA6" s="40">
        <v>290</v>
      </c>
      <c r="AB6" s="40" t="s">
        <v>119</v>
      </c>
      <c r="AC6" s="50" t="str">
        <f>IFERROR(ROUND((VLOOKUP($A6,'Из ГУГЛа'!$B:$AD,AC$1,0)+AE6)*AD6,),VLOOKUP($A6,'Из ГУГЛа'!$B:$AD,AC$1,0))</f>
        <v/>
      </c>
      <c r="AD6" s="4">
        <v>1</v>
      </c>
      <c r="AE6" s="4">
        <v>0</v>
      </c>
      <c r="AF6" s="40" t="s">
        <v>180</v>
      </c>
      <c r="AG6" s="40"/>
      <c r="AH6" s="50" t="str">
        <f>IFERROR(ROUND((VLOOKUP($A6,'Из ГУГЛа'!$B:$AD,AH$1,0)+AJ6)*AI6,),VLOOKUP($A6,'Из ГУГЛа'!$B:$AD,AH$1,0))</f>
        <v/>
      </c>
      <c r="AI6" s="4">
        <v>1</v>
      </c>
      <c r="AJ6" s="4">
        <v>0</v>
      </c>
      <c r="AK6" s="40" t="s">
        <v>180</v>
      </c>
      <c r="AL6" s="40"/>
      <c r="AM6" s="50" t="str">
        <f>IFERROR(ROUND((VLOOKUP($A6,'Из ГУГЛа'!$B:$AD,AM$1,0)+AO6)*AN6,),VLOOKUP($A6,'Из ГУГЛа'!$B:$AD,AM$1,0))</f>
        <v/>
      </c>
      <c r="AN6" s="4">
        <v>1</v>
      </c>
      <c r="AO6" s="4">
        <v>0</v>
      </c>
      <c r="AP6" s="40">
        <v>630</v>
      </c>
      <c r="AQ6" s="40" t="s">
        <v>202</v>
      </c>
    </row>
    <row r="7" spans="1:43" ht="30" x14ac:dyDescent="0.25">
      <c r="A7" s="36">
        <v>131841</v>
      </c>
      <c r="B7" s="36">
        <f>VLOOKUP($A7,'Выгр Кат'!$A:$T,B$1,0)</f>
        <v>10001</v>
      </c>
      <c r="C7" s="35" t="str">
        <f>VLOOKUP($A7,'Выгр Кат'!$A:$T,C$1,0)</f>
        <v>Алюминиевая сетка серебристая 100х40см, мелкая ячейка 5х10мм 1252</v>
      </c>
      <c r="D7" s="36" t="str">
        <f>VLOOKUP($A7,'Выгр Кат'!$A:$T,D$1,0)</f>
        <v>Y</v>
      </c>
      <c r="E7" s="36" t="str">
        <f>VLOOKUP($A7,'Выгр Кат'!$A:$T,E$1,0)</f>
        <v>1</v>
      </c>
      <c r="F7" s="36">
        <f>VLOOKUP($A7,'Выгр Кат'!$A:$T,F$1,0)</f>
        <v>0</v>
      </c>
      <c r="G7" s="36">
        <f>VLOOKUP($A7,'Выгр Кат'!$A:$T,G$1,0)</f>
        <v>0</v>
      </c>
      <c r="H7" s="36">
        <f>VLOOKUP($A7,'Выгр Кат'!$A:$T,H$1,0)</f>
        <v>0</v>
      </c>
      <c r="I7" s="36"/>
      <c r="J7" s="45" t="s">
        <v>44</v>
      </c>
      <c r="K7" s="46">
        <v>0</v>
      </c>
      <c r="L7" s="37" t="e">
        <f>VLOOKUP(K7,Наценка!$A$1:$B$8,2,1)</f>
        <v>#N/A</v>
      </c>
      <c r="M7" s="47">
        <f>P7</f>
        <v>649</v>
      </c>
      <c r="N7" s="17">
        <f t="shared" si="1"/>
        <v>649</v>
      </c>
      <c r="O7" s="36">
        <f>VLOOKUP($A7,'Выгр Кат'!$A:$T,O$1,0)</f>
        <v>0</v>
      </c>
      <c r="P7" s="36">
        <f>VLOOKUP($A7,'Выгр Кат'!$A:$T,P$1,0)</f>
        <v>649</v>
      </c>
      <c r="Q7" s="14">
        <f t="shared" si="2"/>
        <v>0</v>
      </c>
      <c r="R7" s="14">
        <f t="shared" si="3"/>
        <v>0</v>
      </c>
      <c r="S7" s="15">
        <f t="shared" si="4"/>
        <v>552</v>
      </c>
      <c r="T7" s="39" t="str">
        <f t="shared" si="5"/>
        <v/>
      </c>
      <c r="U7" s="39" t="str">
        <f t="shared" si="6"/>
        <v/>
      </c>
      <c r="V7" s="39" t="str">
        <f t="shared" si="7"/>
        <v/>
      </c>
      <c r="W7" s="42"/>
      <c r="X7" s="50" t="str">
        <f>IFERROR(ROUND((VLOOKUP($A7,'Из ГУГЛа'!$B:$AD,X$1,0)+Z7)*Y7,),VLOOKUP($A7,'Из ГУГЛа'!$B:$AD,X$1,0))</f>
        <v/>
      </c>
      <c r="Y7" s="4">
        <v>1</v>
      </c>
      <c r="Z7" s="4">
        <v>0</v>
      </c>
      <c r="AA7" s="40" t="s">
        <v>121</v>
      </c>
      <c r="AB7" s="40" t="s">
        <v>120</v>
      </c>
      <c r="AC7" s="50" t="str">
        <f>IFERROR(ROUND((VLOOKUP($A7,'Из ГУГЛа'!$B:$AD,AC$1,0)+AE7)*AD7,),VLOOKUP($A7,'Из ГУГЛа'!$B:$AD,AC$1,0))</f>
        <v/>
      </c>
      <c r="AD7" s="4">
        <v>1</v>
      </c>
      <c r="AE7" s="4">
        <v>0</v>
      </c>
      <c r="AF7" s="40" t="s">
        <v>180</v>
      </c>
      <c r="AG7" s="40"/>
      <c r="AH7" s="50" t="str">
        <f>IFERROR(ROUND((VLOOKUP($A7,'Из ГУГЛа'!$B:$AD,AH$1,0)+AJ7)*AI7,),VLOOKUP($A7,'Из ГУГЛа'!$B:$AD,AH$1,0))</f>
        <v/>
      </c>
      <c r="AI7" s="4">
        <v>1</v>
      </c>
      <c r="AJ7" s="4">
        <v>0</v>
      </c>
      <c r="AK7" s="40" t="s">
        <v>180</v>
      </c>
      <c r="AL7" s="40"/>
      <c r="AM7" s="50" t="str">
        <f>IFERROR(ROUND((VLOOKUP($A7,'Из ГУГЛа'!$B:$AD,AM$1,0)+AO7)*AN7,),VLOOKUP($A7,'Из ГУГЛа'!$B:$AD,AM$1,0))</f>
        <v/>
      </c>
      <c r="AN7" s="4">
        <v>1</v>
      </c>
      <c r="AO7" s="4">
        <v>0</v>
      </c>
      <c r="AP7" s="40" t="s">
        <v>180</v>
      </c>
      <c r="AQ7" s="40"/>
    </row>
    <row r="8" spans="1:43" ht="30" x14ac:dyDescent="0.25">
      <c r="A8" s="36">
        <v>131842</v>
      </c>
      <c r="B8" s="36">
        <f>VLOOKUP($A8,'Выгр Кат'!$A:$T,B$1,0)</f>
        <v>10007</v>
      </c>
      <c r="C8" s="35" t="str">
        <f>VLOOKUP($A8,'Выгр Кат'!$A:$T,C$1,0)</f>
        <v>Алюминиевая сетка серебристая 100х40см, средняя ячейка 8х16мм 1258</v>
      </c>
      <c r="D8" s="36" t="str">
        <f>VLOOKUP($A8,'Выгр Кат'!$A:$T,D$1,0)</f>
        <v>Y</v>
      </c>
      <c r="E8" s="36" t="str">
        <f>VLOOKUP($A8,'Выгр Кат'!$A:$T,E$1,0)</f>
        <v>1</v>
      </c>
      <c r="F8" s="36">
        <f>VLOOKUP($A8,'Выгр Кат'!$A:$T,F$1,0)</f>
        <v>0</v>
      </c>
      <c r="G8" s="36">
        <f>VLOOKUP($A8,'Выгр Кат'!$A:$T,G$1,0)</f>
        <v>0</v>
      </c>
      <c r="H8" s="36">
        <f>VLOOKUP($A8,'Выгр Кат'!$A:$T,H$1,0)</f>
        <v>0</v>
      </c>
      <c r="I8" s="36"/>
      <c r="J8" s="45" t="s">
        <v>44</v>
      </c>
      <c r="K8" s="46">
        <v>0</v>
      </c>
      <c r="L8" s="37" t="e">
        <f>VLOOKUP(K8,Наценка!$A$1:$B$8,2,1)</f>
        <v>#N/A</v>
      </c>
      <c r="M8" s="23">
        <f t="shared" ref="M8:M12" si="9">W8*1.13</f>
        <v>484.77</v>
      </c>
      <c r="N8" s="17">
        <f t="shared" si="1"/>
        <v>489</v>
      </c>
      <c r="O8" s="36">
        <f>VLOOKUP($A8,'Выгр Кат'!$A:$T,O$1,0)</f>
        <v>0</v>
      </c>
      <c r="P8" s="36">
        <f>VLOOKUP($A8,'Выгр Кат'!$A:$T,P$1,0)</f>
        <v>489</v>
      </c>
      <c r="Q8" s="14">
        <f t="shared" si="2"/>
        <v>0</v>
      </c>
      <c r="R8" s="14">
        <f t="shared" si="3"/>
        <v>0</v>
      </c>
      <c r="S8" s="15">
        <f t="shared" si="4"/>
        <v>416</v>
      </c>
      <c r="T8" s="39" t="str">
        <f t="shared" si="5"/>
        <v/>
      </c>
      <c r="U8" s="39">
        <f t="shared" si="6"/>
        <v>3.0303030303030304E-2</v>
      </c>
      <c r="V8" s="39" t="str">
        <f t="shared" si="7"/>
        <v/>
      </c>
      <c r="W8" s="41">
        <f t="shared" ref="W8:W12" si="10">AA8</f>
        <v>429</v>
      </c>
      <c r="X8" s="50" t="str">
        <f>IFERROR(ROUND((VLOOKUP($A8,'Из ГУГЛа'!$B:$AD,X$1,0)+Z8)*Y8,),VLOOKUP($A8,'Из ГУГЛа'!$B:$AD,X$1,0))</f>
        <v/>
      </c>
      <c r="Y8" s="4">
        <v>1</v>
      </c>
      <c r="Z8" s="4">
        <v>0</v>
      </c>
      <c r="AA8" s="40">
        <v>429</v>
      </c>
      <c r="AB8" s="40" t="s">
        <v>122</v>
      </c>
      <c r="AC8" s="50" t="str">
        <f>IFERROR(ROUND((VLOOKUP($A8,'Из ГУГЛа'!$B:$AD,AC$1,0)+AE8)*AD8,),VLOOKUP($A8,'Из ГУГЛа'!$B:$AD,AC$1,0))</f>
        <v/>
      </c>
      <c r="AD8" s="4">
        <v>1</v>
      </c>
      <c r="AE8" s="4">
        <v>0</v>
      </c>
      <c r="AF8" s="40" t="s">
        <v>180</v>
      </c>
      <c r="AG8" s="40"/>
      <c r="AH8" s="50" t="str">
        <f>IFERROR(ROUND((VLOOKUP($A8,'Из ГУГЛа'!$B:$AD,AH$1,0)+AJ8)*AI8,),VLOOKUP($A8,'Из ГУГЛа'!$B:$AD,AH$1,0))</f>
        <v/>
      </c>
      <c r="AI8" s="4">
        <v>1</v>
      </c>
      <c r="AJ8" s="4">
        <v>0</v>
      </c>
      <c r="AK8" s="40" t="s">
        <v>180</v>
      </c>
      <c r="AL8" s="40"/>
      <c r="AM8" s="50" t="str">
        <f>IFERROR(ROUND((VLOOKUP($A8,'Из ГУГЛа'!$B:$AD,AM$1,0)+AO8)*AN8,),VLOOKUP($A8,'Из ГУГЛа'!$B:$AD,AM$1,0))</f>
        <v/>
      </c>
      <c r="AN8" s="4">
        <v>1</v>
      </c>
      <c r="AO8" s="4">
        <v>0</v>
      </c>
      <c r="AP8" s="40" t="s">
        <v>180</v>
      </c>
      <c r="AQ8" s="40"/>
    </row>
    <row r="9" spans="1:43" ht="30" x14ac:dyDescent="0.25">
      <c r="A9" s="36">
        <v>131843</v>
      </c>
      <c r="B9" s="36">
        <f>VLOOKUP($A9,'Выгр Кат'!$A:$T,B$1,0)</f>
        <v>10002</v>
      </c>
      <c r="C9" s="35" t="str">
        <f>VLOOKUP($A9,'Выгр Кат'!$A:$T,C$1,0)</f>
        <v>Алюминиевая сетка серебристая 100х50см, мелкая ячейка 5х10мм 1253</v>
      </c>
      <c r="D9" s="36" t="str">
        <f>VLOOKUP($A9,'Выгр Кат'!$A:$T,D$1,0)</f>
        <v>Y</v>
      </c>
      <c r="E9" s="36" t="str">
        <f>VLOOKUP($A9,'Выгр Кат'!$A:$T,E$1,0)</f>
        <v>1</v>
      </c>
      <c r="F9" s="36">
        <f>VLOOKUP($A9,'Выгр Кат'!$A:$T,F$1,0)</f>
        <v>0</v>
      </c>
      <c r="G9" s="36">
        <f>VLOOKUP($A9,'Выгр Кат'!$A:$T,G$1,0)</f>
        <v>0</v>
      </c>
      <c r="H9" s="36">
        <f>VLOOKUP($A9,'Выгр Кат'!$A:$T,H$1,0)</f>
        <v>0</v>
      </c>
      <c r="I9" s="36"/>
      <c r="J9" s="45" t="s">
        <v>44</v>
      </c>
      <c r="K9" s="46">
        <v>0</v>
      </c>
      <c r="L9" s="37" t="e">
        <f>VLOOKUP(K9,Наценка!$A$1:$B$8,2,1)</f>
        <v>#N/A</v>
      </c>
      <c r="M9" s="23">
        <f t="shared" si="9"/>
        <v>620.36999999999989</v>
      </c>
      <c r="N9" s="17">
        <f t="shared" si="1"/>
        <v>629</v>
      </c>
      <c r="O9" s="36">
        <f>VLOOKUP($A9,'Выгр Кат'!$A:$T,O$1,0)</f>
        <v>0</v>
      </c>
      <c r="P9" s="36">
        <f>VLOOKUP($A9,'Выгр Кат'!$A:$T,P$1,0)</f>
        <v>629</v>
      </c>
      <c r="Q9" s="14">
        <f t="shared" si="2"/>
        <v>0</v>
      </c>
      <c r="R9" s="14">
        <f t="shared" si="3"/>
        <v>0</v>
      </c>
      <c r="S9" s="15">
        <f t="shared" si="4"/>
        <v>535</v>
      </c>
      <c r="T9" s="39" t="str">
        <f t="shared" si="5"/>
        <v/>
      </c>
      <c r="U9" s="39">
        <f t="shared" si="6"/>
        <v>2.5500910746812388E-2</v>
      </c>
      <c r="V9" s="39" t="str">
        <f t="shared" si="7"/>
        <v/>
      </c>
      <c r="W9" s="41">
        <f t="shared" si="10"/>
        <v>549</v>
      </c>
      <c r="X9" s="50" t="str">
        <f>IFERROR(ROUND((VLOOKUP($A9,'Из ГУГЛа'!$B:$AD,X$1,0)+Z9)*Y9,),VLOOKUP($A9,'Из ГУГЛа'!$B:$AD,X$1,0))</f>
        <v/>
      </c>
      <c r="Y9" s="4">
        <v>1</v>
      </c>
      <c r="Z9" s="4">
        <v>0</v>
      </c>
      <c r="AA9" s="40">
        <v>549</v>
      </c>
      <c r="AB9" s="40" t="s">
        <v>123</v>
      </c>
      <c r="AC9" s="50" t="str">
        <f>IFERROR(ROUND((VLOOKUP($A9,'Из ГУГЛа'!$B:$AD,AC$1,0)+AE9)*AD9,),VLOOKUP($A9,'Из ГУГЛа'!$B:$AD,AC$1,0))</f>
        <v/>
      </c>
      <c r="AD9" s="4">
        <v>1</v>
      </c>
      <c r="AE9" s="4">
        <v>0</v>
      </c>
      <c r="AF9" s="40" t="s">
        <v>180</v>
      </c>
      <c r="AG9" s="40"/>
      <c r="AH9" s="50" t="str">
        <f>IFERROR(ROUND((VLOOKUP($A9,'Из ГУГЛа'!$B:$AD,AH$1,0)+AJ9)*AI9,),VLOOKUP($A9,'Из ГУГЛа'!$B:$AD,AH$1,0))</f>
        <v/>
      </c>
      <c r="AI9" s="4">
        <v>1</v>
      </c>
      <c r="AJ9" s="4">
        <v>0</v>
      </c>
      <c r="AK9" s="40" t="s">
        <v>180</v>
      </c>
      <c r="AL9" s="40"/>
      <c r="AM9" s="50" t="str">
        <f>IFERROR(ROUND((VLOOKUP($A9,'Из ГУГЛа'!$B:$AD,AM$1,0)+AO9)*AN9,),VLOOKUP($A9,'Из ГУГЛа'!$B:$AD,AM$1,0))</f>
        <v/>
      </c>
      <c r="AN9" s="4">
        <v>1</v>
      </c>
      <c r="AO9" s="4">
        <v>0</v>
      </c>
      <c r="AP9" s="40" t="s">
        <v>180</v>
      </c>
      <c r="AQ9" s="40"/>
    </row>
    <row r="10" spans="1:43" ht="30" x14ac:dyDescent="0.25">
      <c r="A10" s="36">
        <v>131844</v>
      </c>
      <c r="B10" s="36">
        <f>VLOOKUP($A10,'Выгр Кат'!$A:$T,B$1,0)</f>
        <v>10008</v>
      </c>
      <c r="C10" s="35" t="str">
        <f>VLOOKUP($A10,'Выгр Кат'!$A:$T,C$1,0)</f>
        <v>Алюминиевая сетка серебристая 100х50см, средняя ячейка 8х16мм 1259</v>
      </c>
      <c r="D10" s="36" t="str">
        <f>VLOOKUP($A10,'Выгр Кат'!$A:$T,D$1,0)</f>
        <v>Y</v>
      </c>
      <c r="E10" s="36" t="str">
        <f>VLOOKUP($A10,'Выгр Кат'!$A:$T,E$1,0)</f>
        <v>1</v>
      </c>
      <c r="F10" s="36">
        <f>VLOOKUP($A10,'Выгр Кат'!$A:$T,F$1,0)</f>
        <v>0</v>
      </c>
      <c r="G10" s="36">
        <f>VLOOKUP($A10,'Выгр Кат'!$A:$T,G$1,0)</f>
        <v>0</v>
      </c>
      <c r="H10" s="36">
        <f>VLOOKUP($A10,'Выгр Кат'!$A:$T,H$1,0)</f>
        <v>0</v>
      </c>
      <c r="I10" s="36"/>
      <c r="J10" s="45" t="s">
        <v>44</v>
      </c>
      <c r="K10" s="46">
        <v>0</v>
      </c>
      <c r="L10" s="37" t="e">
        <f>VLOOKUP(K10,Наценка!$A$1:$B$8,2,1)</f>
        <v>#N/A</v>
      </c>
      <c r="M10" s="23">
        <f t="shared" si="9"/>
        <v>620.36999999999989</v>
      </c>
      <c r="N10" s="17">
        <f t="shared" si="1"/>
        <v>629</v>
      </c>
      <c r="O10" s="36">
        <f>VLOOKUP($A10,'Выгр Кат'!$A:$T,O$1,0)</f>
        <v>0</v>
      </c>
      <c r="P10" s="36">
        <f>VLOOKUP($A10,'Выгр Кат'!$A:$T,P$1,0)</f>
        <v>629</v>
      </c>
      <c r="Q10" s="14">
        <f t="shared" si="2"/>
        <v>0</v>
      </c>
      <c r="R10" s="14">
        <f t="shared" si="3"/>
        <v>0</v>
      </c>
      <c r="S10" s="15">
        <f t="shared" si="4"/>
        <v>535</v>
      </c>
      <c r="T10" s="39" t="str">
        <f t="shared" si="5"/>
        <v/>
      </c>
      <c r="U10" s="39">
        <f t="shared" si="6"/>
        <v>2.5500910746812388E-2</v>
      </c>
      <c r="V10" s="39" t="str">
        <f t="shared" si="7"/>
        <v/>
      </c>
      <c r="W10" s="41">
        <f t="shared" si="10"/>
        <v>549</v>
      </c>
      <c r="X10" s="50" t="str">
        <f>IFERROR(ROUND((VLOOKUP($A10,'Из ГУГЛа'!$B:$AD,X$1,0)+Z10)*Y10,),VLOOKUP($A10,'Из ГУГЛа'!$B:$AD,X$1,0))</f>
        <v/>
      </c>
      <c r="Y10" s="4">
        <v>1</v>
      </c>
      <c r="Z10" s="4">
        <v>0</v>
      </c>
      <c r="AA10" s="40">
        <v>549</v>
      </c>
      <c r="AB10" s="40" t="s">
        <v>124</v>
      </c>
      <c r="AC10" s="50" t="str">
        <f>IFERROR(ROUND((VLOOKUP($A10,'Из ГУГЛа'!$B:$AD,AC$1,0)+AE10)*AD10,),VLOOKUP($A10,'Из ГУГЛа'!$B:$AD,AC$1,0))</f>
        <v/>
      </c>
      <c r="AD10" s="4">
        <v>1</v>
      </c>
      <c r="AE10" s="4">
        <v>0</v>
      </c>
      <c r="AF10" s="40" t="s">
        <v>180</v>
      </c>
      <c r="AG10" s="40"/>
      <c r="AH10" s="50" t="str">
        <f>IFERROR(ROUND((VLOOKUP($A10,'Из ГУГЛа'!$B:$AD,AH$1,0)+AJ10)*AI10,),VLOOKUP($A10,'Из ГУГЛа'!$B:$AD,AH$1,0))</f>
        <v/>
      </c>
      <c r="AI10" s="4">
        <v>1</v>
      </c>
      <c r="AJ10" s="4">
        <v>0</v>
      </c>
      <c r="AK10" s="40" t="s">
        <v>180</v>
      </c>
      <c r="AL10" s="40"/>
      <c r="AM10" s="50" t="str">
        <f>IFERROR(ROUND((VLOOKUP($A10,'Из ГУГЛа'!$B:$AD,AM$1,0)+AO10)*AN10,),VLOOKUP($A10,'Из ГУГЛа'!$B:$AD,AM$1,0))</f>
        <v/>
      </c>
      <c r="AN10" s="4">
        <v>1</v>
      </c>
      <c r="AO10" s="4">
        <v>0</v>
      </c>
      <c r="AP10" s="40" t="s">
        <v>180</v>
      </c>
      <c r="AQ10" s="40"/>
    </row>
    <row r="11" spans="1:43" ht="30" x14ac:dyDescent="0.25">
      <c r="A11" s="36">
        <v>131845</v>
      </c>
      <c r="B11" s="36">
        <f>VLOOKUP($A11,'Выгр Кат'!$A:$T,B$1,0)</f>
        <v>10010</v>
      </c>
      <c r="C11" s="35" t="str">
        <f>VLOOKUP($A11,'Выгр Кат'!$A:$T,C$1,0)</f>
        <v>Алюминиевая сетка серебристая 120 х 40см, средняя ячейка 8х16мм 1261</v>
      </c>
      <c r="D11" s="36" t="str">
        <f>VLOOKUP($A11,'Выгр Кат'!$A:$T,D$1,0)</f>
        <v>Y</v>
      </c>
      <c r="E11" s="36" t="str">
        <f>VLOOKUP($A11,'Выгр Кат'!$A:$T,E$1,0)</f>
        <v>1</v>
      </c>
      <c r="F11" s="36">
        <f>VLOOKUP($A11,'Выгр Кат'!$A:$T,F$1,0)</f>
        <v>0</v>
      </c>
      <c r="G11" s="36">
        <f>VLOOKUP($A11,'Выгр Кат'!$A:$T,G$1,0)</f>
        <v>0</v>
      </c>
      <c r="H11" s="36">
        <f>VLOOKUP($A11,'Выгр Кат'!$A:$T,H$1,0)</f>
        <v>0</v>
      </c>
      <c r="I11" s="36"/>
      <c r="J11" s="45" t="s">
        <v>44</v>
      </c>
      <c r="K11" s="46">
        <v>0</v>
      </c>
      <c r="L11" s="37" t="e">
        <f>VLOOKUP(K11,Наценка!$A$1:$B$8,2,1)</f>
        <v>#N/A</v>
      </c>
      <c r="M11" s="23">
        <f t="shared" si="9"/>
        <v>892.69999999999993</v>
      </c>
      <c r="N11" s="17">
        <f t="shared" si="1"/>
        <v>899</v>
      </c>
      <c r="O11" s="36">
        <f>VLOOKUP($A11,'Выгр Кат'!$A:$T,O$1,0)</f>
        <v>0</v>
      </c>
      <c r="P11" s="36">
        <f>VLOOKUP($A11,'Выгр Кат'!$A:$T,P$1,0)</f>
        <v>899</v>
      </c>
      <c r="Q11" s="14">
        <f t="shared" si="2"/>
        <v>0</v>
      </c>
      <c r="R11" s="14">
        <f t="shared" si="3"/>
        <v>0</v>
      </c>
      <c r="S11" s="15">
        <f t="shared" si="4"/>
        <v>764</v>
      </c>
      <c r="T11" s="39" t="str">
        <f t="shared" si="5"/>
        <v/>
      </c>
      <c r="U11" s="39">
        <f t="shared" si="6"/>
        <v>3.2911392405063293E-2</v>
      </c>
      <c r="V11" s="39" t="str">
        <f t="shared" si="7"/>
        <v/>
      </c>
      <c r="W11" s="41">
        <f t="shared" si="10"/>
        <v>790</v>
      </c>
      <c r="X11" s="50" t="str">
        <f>IFERROR(ROUND((VLOOKUP($A11,'Из ГУГЛа'!$B:$AD,X$1,0)+Z11)*Y11,),VLOOKUP($A11,'Из ГУГЛа'!$B:$AD,X$1,0))</f>
        <v/>
      </c>
      <c r="Y11" s="4">
        <v>1</v>
      </c>
      <c r="Z11" s="4">
        <v>0</v>
      </c>
      <c r="AA11" s="40">
        <v>790</v>
      </c>
      <c r="AB11" s="40" t="s">
        <v>112</v>
      </c>
      <c r="AC11" s="50" t="str">
        <f>IFERROR(ROUND((VLOOKUP($A11,'Из ГУГЛа'!$B:$AD,AC$1,0)+AE11)*AD11,),VLOOKUP($A11,'Из ГУГЛа'!$B:$AD,AC$1,0))</f>
        <v/>
      </c>
      <c r="AD11" s="4">
        <v>1</v>
      </c>
      <c r="AE11" s="4">
        <v>0</v>
      </c>
      <c r="AF11" s="40" t="s">
        <v>180</v>
      </c>
      <c r="AG11" s="40"/>
      <c r="AH11" s="50" t="str">
        <f>IFERROR(ROUND((VLOOKUP($A11,'Из ГУГЛа'!$B:$AD,AH$1,0)+AJ11)*AI11,),VLOOKUP($A11,'Из ГУГЛа'!$B:$AD,AH$1,0))</f>
        <v/>
      </c>
      <c r="AI11" s="4">
        <v>1</v>
      </c>
      <c r="AJ11" s="4">
        <v>0</v>
      </c>
      <c r="AK11" s="40">
        <v>936</v>
      </c>
      <c r="AL11" s="40" t="s">
        <v>194</v>
      </c>
      <c r="AM11" s="50" t="str">
        <f>IFERROR(ROUND((VLOOKUP($A11,'Из ГУГЛа'!$B:$AD,AM$1,0)+AO11)*AN11,),VLOOKUP($A11,'Из ГУГЛа'!$B:$AD,AM$1,0))</f>
        <v/>
      </c>
      <c r="AN11" s="4">
        <v>1</v>
      </c>
      <c r="AO11" s="4">
        <v>0</v>
      </c>
      <c r="AP11" s="40" t="s">
        <v>180</v>
      </c>
      <c r="AQ11" s="40"/>
    </row>
    <row r="12" spans="1:43" ht="30" x14ac:dyDescent="0.25">
      <c r="A12" s="36">
        <v>131846</v>
      </c>
      <c r="B12" s="36">
        <f>VLOOKUP($A12,'Выгр Кат'!$A:$T,B$1,0)</f>
        <v>10003</v>
      </c>
      <c r="C12" s="35" t="str">
        <f>VLOOKUP($A12,'Выгр Кат'!$A:$T,C$1,0)</f>
        <v>Алюминиевая сетка серебристая 120х25см, мелкая ячейка 5х10мм 1254</v>
      </c>
      <c r="D12" s="36" t="str">
        <f>VLOOKUP($A12,'Выгр Кат'!$A:$T,D$1,0)</f>
        <v>Y</v>
      </c>
      <c r="E12" s="36" t="str">
        <f>VLOOKUP($A12,'Выгр Кат'!$A:$T,E$1,0)</f>
        <v>1</v>
      </c>
      <c r="F12" s="36">
        <f>VLOOKUP($A12,'Выгр Кат'!$A:$T,F$1,0)</f>
        <v>0</v>
      </c>
      <c r="G12" s="36">
        <f>VLOOKUP($A12,'Выгр Кат'!$A:$T,G$1,0)</f>
        <v>0</v>
      </c>
      <c r="H12" s="36">
        <f>VLOOKUP($A12,'Выгр Кат'!$A:$T,H$1,0)</f>
        <v>0</v>
      </c>
      <c r="I12" s="36"/>
      <c r="J12" s="45" t="s">
        <v>44</v>
      </c>
      <c r="K12" s="46">
        <v>0</v>
      </c>
      <c r="L12" s="37" t="e">
        <f>VLOOKUP(K12,Наценка!$A$1:$B$8,2,1)</f>
        <v>#N/A</v>
      </c>
      <c r="M12" s="23">
        <f t="shared" si="9"/>
        <v>733.36999999999989</v>
      </c>
      <c r="N12" s="17">
        <f t="shared" si="1"/>
        <v>739</v>
      </c>
      <c r="O12" s="36">
        <f>VLOOKUP($A12,'Выгр Кат'!$A:$T,O$1,0)</f>
        <v>0</v>
      </c>
      <c r="P12" s="36">
        <f>VLOOKUP($A12,'Выгр Кат'!$A:$T,P$1,0)</f>
        <v>739</v>
      </c>
      <c r="Q12" s="14">
        <f t="shared" si="2"/>
        <v>0</v>
      </c>
      <c r="R12" s="14">
        <f t="shared" si="3"/>
        <v>0</v>
      </c>
      <c r="S12" s="15">
        <f t="shared" si="4"/>
        <v>628</v>
      </c>
      <c r="T12" s="39" t="str">
        <f t="shared" si="5"/>
        <v/>
      </c>
      <c r="U12" s="39">
        <f t="shared" si="6"/>
        <v>3.2357473035439135E-2</v>
      </c>
      <c r="V12" s="39" t="str">
        <f t="shared" si="7"/>
        <v/>
      </c>
      <c r="W12" s="41">
        <f t="shared" si="10"/>
        <v>649</v>
      </c>
      <c r="X12" s="50" t="str">
        <f>IFERROR(ROUND((VLOOKUP($A12,'Из ГУГЛа'!$B:$AD,X$1,0)+Z12)*Y12,),VLOOKUP($A12,'Из ГУГЛа'!$B:$AD,X$1,0))</f>
        <v/>
      </c>
      <c r="Y12" s="4">
        <v>1</v>
      </c>
      <c r="Z12" s="4">
        <v>0</v>
      </c>
      <c r="AA12" s="40">
        <v>649</v>
      </c>
      <c r="AB12" s="40" t="s">
        <v>116</v>
      </c>
      <c r="AC12" s="50" t="str">
        <f>IFERROR(ROUND((VLOOKUP($A12,'Из ГУГЛа'!$B:$AD,AC$1,0)+AE12)*AD12,),VLOOKUP($A12,'Из ГУГЛа'!$B:$AD,AC$1,0))</f>
        <v/>
      </c>
      <c r="AD12" s="4">
        <v>1</v>
      </c>
      <c r="AE12" s="4">
        <v>0</v>
      </c>
      <c r="AF12" s="40" t="s">
        <v>180</v>
      </c>
      <c r="AG12" s="40"/>
      <c r="AH12" s="50" t="str">
        <f>IFERROR(ROUND((VLOOKUP($A12,'Из ГУГЛа'!$B:$AD,AH$1,0)+AJ12)*AI12,),VLOOKUP($A12,'Из ГУГЛа'!$B:$AD,AH$1,0))</f>
        <v/>
      </c>
      <c r="AI12" s="4">
        <v>1</v>
      </c>
      <c r="AJ12" s="4">
        <v>0</v>
      </c>
      <c r="AK12" s="40" t="s">
        <v>180</v>
      </c>
      <c r="AL12" s="40"/>
      <c r="AM12" s="50" t="str">
        <f>IFERROR(ROUND((VLOOKUP($A12,'Из ГУГЛа'!$B:$AD,AM$1,0)+AO12)*AN12,),VLOOKUP($A12,'Из ГУГЛа'!$B:$AD,AM$1,0))</f>
        <v/>
      </c>
      <c r="AN12" s="4">
        <v>1</v>
      </c>
      <c r="AO12" s="4">
        <v>0</v>
      </c>
      <c r="AP12" s="40" t="s">
        <v>180</v>
      </c>
      <c r="AQ12" s="40"/>
    </row>
    <row r="13" spans="1:43" ht="30" x14ac:dyDescent="0.25">
      <c r="A13" s="36">
        <v>131847</v>
      </c>
      <c r="B13" s="36">
        <f>VLOOKUP($A13,'Выгр Кат'!$A:$T,B$1,0)</f>
        <v>10009</v>
      </c>
      <c r="C13" s="35" t="str">
        <f>VLOOKUP($A13,'Выгр Кат'!$A:$T,C$1,0)</f>
        <v>Алюминиевая сетка серебристая 120х25см, средняя ячейка 8х16мм 1260</v>
      </c>
      <c r="D13" s="36" t="str">
        <f>VLOOKUP($A13,'Выгр Кат'!$A:$T,D$1,0)</f>
        <v>Y</v>
      </c>
      <c r="E13" s="36" t="str">
        <f>VLOOKUP($A13,'Выгр Кат'!$A:$T,E$1,0)</f>
        <v>0</v>
      </c>
      <c r="F13" s="36">
        <f>VLOOKUP($A13,'Выгр Кат'!$A:$T,F$1,0)</f>
        <v>0</v>
      </c>
      <c r="G13" s="36">
        <f>VLOOKUP($A13,'Выгр Кат'!$A:$T,G$1,0)</f>
        <v>0</v>
      </c>
      <c r="H13" s="36">
        <f>VLOOKUP($A13,'Выгр Кат'!$A:$T,H$1,0)</f>
        <v>0</v>
      </c>
      <c r="I13" s="36"/>
      <c r="J13" s="45" t="s">
        <v>44</v>
      </c>
      <c r="K13" s="46">
        <v>0</v>
      </c>
      <c r="L13" s="37" t="e">
        <f>VLOOKUP(K13,Наценка!$A$1:$B$8,2,1)</f>
        <v>#N/A</v>
      </c>
      <c r="M13" s="47">
        <f>P13</f>
        <v>659</v>
      </c>
      <c r="N13" s="17">
        <f t="shared" si="1"/>
        <v>659</v>
      </c>
      <c r="O13" s="36">
        <f>VLOOKUP($A13,'Выгр Кат'!$A:$T,O$1,0)</f>
        <v>0</v>
      </c>
      <c r="P13" s="36">
        <f>VLOOKUP($A13,'Выгр Кат'!$A:$T,P$1,0)</f>
        <v>659</v>
      </c>
      <c r="Q13" s="14">
        <f t="shared" si="2"/>
        <v>0</v>
      </c>
      <c r="R13" s="14">
        <f t="shared" si="3"/>
        <v>0</v>
      </c>
      <c r="S13" s="15">
        <f t="shared" si="4"/>
        <v>560</v>
      </c>
      <c r="T13" s="39" t="str">
        <f t="shared" si="5"/>
        <v/>
      </c>
      <c r="U13" s="39">
        <f t="shared" si="6"/>
        <v>0.15022761760242792</v>
      </c>
      <c r="V13" s="39" t="str">
        <f t="shared" si="7"/>
        <v/>
      </c>
      <c r="W13" s="41">
        <f>AA13</f>
        <v>659</v>
      </c>
      <c r="X13" s="50" t="str">
        <f>IFERROR(ROUND((VLOOKUP($A13,'Из ГУГЛа'!$B:$AD,X$1,0)+Z13)*Y13,),VLOOKUP($A13,'Из ГУГЛа'!$B:$AD,X$1,0))</f>
        <v/>
      </c>
      <c r="Y13" s="4">
        <v>1</v>
      </c>
      <c r="Z13" s="4">
        <v>0</v>
      </c>
      <c r="AA13" s="40">
        <v>659</v>
      </c>
      <c r="AB13" s="40" t="s">
        <v>113</v>
      </c>
      <c r="AC13" s="50" t="str">
        <f>IFERROR(ROUND((VLOOKUP($A13,'Из ГУГЛа'!$B:$AD,AC$1,0)+AE13)*AD13,),VLOOKUP($A13,'Из ГУГЛа'!$B:$AD,AC$1,0))</f>
        <v/>
      </c>
      <c r="AD13" s="4">
        <v>1</v>
      </c>
      <c r="AE13" s="4">
        <v>0</v>
      </c>
      <c r="AF13" s="40" t="s">
        <v>180</v>
      </c>
      <c r="AG13" s="40"/>
      <c r="AH13" s="50" t="str">
        <f>IFERROR(ROUND((VLOOKUP($A13,'Из ГУГЛа'!$B:$AD,AH$1,0)+AJ13)*AI13,),VLOOKUP($A13,'Из ГУГЛа'!$B:$AD,AH$1,0))</f>
        <v/>
      </c>
      <c r="AI13" s="4">
        <v>1</v>
      </c>
      <c r="AJ13" s="4">
        <v>0</v>
      </c>
      <c r="AK13" s="40" t="s">
        <v>180</v>
      </c>
      <c r="AL13" s="40"/>
      <c r="AM13" s="50" t="str">
        <f>IFERROR(ROUND((VLOOKUP($A13,'Из ГУГЛа'!$B:$AD,AM$1,0)+AO13)*AN13,),VLOOKUP($A13,'Из ГУГЛа'!$B:$AD,AM$1,0))</f>
        <v/>
      </c>
      <c r="AN13" s="4">
        <v>1</v>
      </c>
      <c r="AO13" s="4">
        <v>0</v>
      </c>
      <c r="AP13" s="40" t="s">
        <v>180</v>
      </c>
      <c r="AQ13" s="40"/>
    </row>
    <row r="14" spans="1:43" ht="30" x14ac:dyDescent="0.25">
      <c r="A14" s="36">
        <v>131848</v>
      </c>
      <c r="B14" s="36">
        <f>VLOOKUP($A14,'Выгр Кат'!$A:$T,B$1,0)</f>
        <v>10004</v>
      </c>
      <c r="C14" s="35" t="str">
        <f>VLOOKUP($A14,'Выгр Кат'!$A:$T,C$1,0)</f>
        <v>Алюминиевая сетка серебристая 120х40см, мелкая ячейка 5х10мм 1255</v>
      </c>
      <c r="D14" s="36" t="str">
        <f>VLOOKUP($A14,'Выгр Кат'!$A:$T,D$1,0)</f>
        <v>Y</v>
      </c>
      <c r="E14" s="36" t="str">
        <f>VLOOKUP($A14,'Выгр Кат'!$A:$T,E$1,0)</f>
        <v>1</v>
      </c>
      <c r="F14" s="36">
        <f>VLOOKUP($A14,'Выгр Кат'!$A:$T,F$1,0)</f>
        <v>0</v>
      </c>
      <c r="G14" s="36">
        <f>VLOOKUP($A14,'Выгр Кат'!$A:$T,G$1,0)</f>
        <v>0</v>
      </c>
      <c r="H14" s="36">
        <f>VLOOKUP($A14,'Выгр Кат'!$A:$T,H$1,0)</f>
        <v>0</v>
      </c>
      <c r="I14" s="36"/>
      <c r="J14" s="45" t="s">
        <v>44</v>
      </c>
      <c r="K14" s="46">
        <v>0</v>
      </c>
      <c r="L14" s="37" t="e">
        <f>VLOOKUP(K14,Наценка!$A$1:$B$8,2,1)</f>
        <v>#N/A</v>
      </c>
      <c r="M14" s="23">
        <f t="shared" ref="M14:M17" si="11">W14*1.13</f>
        <v>666.69999999999993</v>
      </c>
      <c r="N14" s="17">
        <f t="shared" si="1"/>
        <v>669</v>
      </c>
      <c r="O14" s="36">
        <f>VLOOKUP($A14,'Выгр Кат'!$A:$T,O$1,0)</f>
        <v>0</v>
      </c>
      <c r="P14" s="36">
        <f>VLOOKUP($A14,'Выгр Кат'!$A:$T,P$1,0)</f>
        <v>669</v>
      </c>
      <c r="Q14" s="14">
        <f t="shared" si="2"/>
        <v>0</v>
      </c>
      <c r="R14" s="14">
        <f t="shared" si="3"/>
        <v>0</v>
      </c>
      <c r="S14" s="15">
        <f t="shared" si="4"/>
        <v>569</v>
      </c>
      <c r="T14" s="39" t="str">
        <f t="shared" si="5"/>
        <v/>
      </c>
      <c r="U14" s="39">
        <f t="shared" si="6"/>
        <v>3.5593220338983052E-2</v>
      </c>
      <c r="V14" s="39" t="str">
        <f t="shared" si="7"/>
        <v/>
      </c>
      <c r="W14" s="41">
        <f t="shared" ref="W14:W16" si="12">AA14</f>
        <v>590</v>
      </c>
      <c r="X14" s="50" t="str">
        <f>IFERROR(ROUND((VLOOKUP($A14,'Из ГУГЛа'!$B:$AD,X$1,0)+Z14)*Y14,),VLOOKUP($A14,'Из ГУГЛа'!$B:$AD,X$1,0))</f>
        <v/>
      </c>
      <c r="Y14" s="4">
        <v>1</v>
      </c>
      <c r="Z14" s="4">
        <v>0</v>
      </c>
      <c r="AA14" s="40">
        <v>590</v>
      </c>
      <c r="AB14" s="40" t="s">
        <v>125</v>
      </c>
      <c r="AC14" s="50" t="str">
        <f>IFERROR(ROUND((VLOOKUP($A14,'Из ГУГЛа'!$B:$AD,AC$1,0)+AE14)*AD14,),VLOOKUP($A14,'Из ГУГЛа'!$B:$AD,AC$1,0))</f>
        <v/>
      </c>
      <c r="AD14" s="4">
        <v>1</v>
      </c>
      <c r="AE14" s="4">
        <v>0</v>
      </c>
      <c r="AF14" s="40" t="s">
        <v>180</v>
      </c>
      <c r="AG14" s="40"/>
      <c r="AH14" s="50" t="str">
        <f>IFERROR(ROUND((VLOOKUP($A14,'Из ГУГЛа'!$B:$AD,AH$1,0)+AJ14)*AI14,),VLOOKUP($A14,'Из ГУГЛа'!$B:$AD,AH$1,0))</f>
        <v/>
      </c>
      <c r="AI14" s="4">
        <v>1</v>
      </c>
      <c r="AJ14" s="4">
        <v>0</v>
      </c>
      <c r="AK14" s="40">
        <v>948</v>
      </c>
      <c r="AL14" s="40" t="s">
        <v>196</v>
      </c>
      <c r="AM14" s="50" t="str">
        <f>IFERROR(ROUND((VLOOKUP($A14,'Из ГУГЛа'!$B:$AD,AM$1,0)+AO14)*AN14,),VLOOKUP($A14,'Из ГУГЛа'!$B:$AD,AM$1,0))</f>
        <v/>
      </c>
      <c r="AN14" s="4">
        <v>1</v>
      </c>
      <c r="AO14" s="4">
        <v>0</v>
      </c>
      <c r="AP14" s="40" t="s">
        <v>180</v>
      </c>
      <c r="AQ14" s="40"/>
    </row>
    <row r="15" spans="1:43" ht="30" x14ac:dyDescent="0.25">
      <c r="A15" s="36">
        <v>131850</v>
      </c>
      <c r="B15" s="36">
        <f>VLOOKUP($A15,'Выгр Кат'!$A:$T,B$1,0)</f>
        <v>10018</v>
      </c>
      <c r="C15" s="35" t="str">
        <f>VLOOKUP($A15,'Выгр Кат'!$A:$T,C$1,0)</f>
        <v>Алюминиевая сетка черная 100х15см, средняя ячейка 8х16мм 1269</v>
      </c>
      <c r="D15" s="36" t="str">
        <f>VLOOKUP($A15,'Выгр Кат'!$A:$T,D$1,0)</f>
        <v>Y</v>
      </c>
      <c r="E15" s="36" t="str">
        <f>VLOOKUP($A15,'Выгр Кат'!$A:$T,E$1,0)</f>
        <v>1</v>
      </c>
      <c r="F15" s="36">
        <f>VLOOKUP($A15,'Выгр Кат'!$A:$T,F$1,0)</f>
        <v>0</v>
      </c>
      <c r="G15" s="36">
        <f>VLOOKUP($A15,'Выгр Кат'!$A:$T,G$1,0)</f>
        <v>0</v>
      </c>
      <c r="H15" s="36">
        <f>VLOOKUP($A15,'Выгр Кат'!$A:$T,H$1,0)</f>
        <v>0</v>
      </c>
      <c r="I15" s="36"/>
      <c r="J15" s="45" t="s">
        <v>44</v>
      </c>
      <c r="K15" s="46">
        <v>0</v>
      </c>
      <c r="L15" s="37" t="e">
        <f>VLOOKUP(K15,Наценка!$A$1:$B$8,2,1)</f>
        <v>#N/A</v>
      </c>
      <c r="M15" s="23">
        <f t="shared" si="11"/>
        <v>518.66999999999996</v>
      </c>
      <c r="N15" s="17">
        <f t="shared" si="1"/>
        <v>519</v>
      </c>
      <c r="O15" s="36">
        <f>VLOOKUP($A15,'Выгр Кат'!$A:$T,O$1,0)</f>
        <v>0</v>
      </c>
      <c r="P15" s="36">
        <f>VLOOKUP($A15,'Выгр Кат'!$A:$T,P$1,0)</f>
        <v>519</v>
      </c>
      <c r="Q15" s="14">
        <f t="shared" si="2"/>
        <v>0</v>
      </c>
      <c r="R15" s="14">
        <f t="shared" si="3"/>
        <v>0</v>
      </c>
      <c r="S15" s="15">
        <f t="shared" si="4"/>
        <v>441</v>
      </c>
      <c r="T15" s="39" t="str">
        <f t="shared" si="5"/>
        <v/>
      </c>
      <c r="U15" s="39">
        <f t="shared" si="6"/>
        <v>3.9215686274509803E-2</v>
      </c>
      <c r="V15" s="39" t="str">
        <f t="shared" si="7"/>
        <v/>
      </c>
      <c r="W15" s="41">
        <f t="shared" si="12"/>
        <v>459</v>
      </c>
      <c r="X15" s="50" t="str">
        <f>IFERROR(ROUND((VLOOKUP($A15,'Из ГУГЛа'!$B:$AD,X$1,0)+Z15)*Y15,),VLOOKUP($A15,'Из ГУГЛа'!$B:$AD,X$1,0))</f>
        <v/>
      </c>
      <c r="Y15" s="4">
        <v>1</v>
      </c>
      <c r="Z15" s="4">
        <v>0</v>
      </c>
      <c r="AA15" s="40">
        <v>459</v>
      </c>
      <c r="AB15" s="40" t="s">
        <v>117</v>
      </c>
      <c r="AC15" s="50" t="str">
        <f>IFERROR(ROUND((VLOOKUP($A15,'Из ГУГЛа'!$B:$AD,AC$1,0)+AE15)*AD15,),VLOOKUP($A15,'Из ГУГЛа'!$B:$AD,AC$1,0))</f>
        <v/>
      </c>
      <c r="AD15" s="4">
        <v>1</v>
      </c>
      <c r="AE15" s="4">
        <v>0</v>
      </c>
      <c r="AF15" s="40" t="s">
        <v>180</v>
      </c>
      <c r="AG15" s="40"/>
      <c r="AH15" s="50" t="str">
        <f>IFERROR(ROUND((VLOOKUP($A15,'Из ГУГЛа'!$B:$AD,AH$1,0)+AJ15)*AI15,),VLOOKUP($A15,'Из ГУГЛа'!$B:$AD,AH$1,0))</f>
        <v/>
      </c>
      <c r="AI15" s="4">
        <v>1</v>
      </c>
      <c r="AJ15" s="4">
        <v>0</v>
      </c>
      <c r="AK15" s="40" t="s">
        <v>180</v>
      </c>
      <c r="AL15" s="40"/>
      <c r="AM15" s="50" t="str">
        <f>IFERROR(ROUND((VLOOKUP($A15,'Из ГУГЛа'!$B:$AD,AM$1,0)+AO15)*AN15,),VLOOKUP($A15,'Из ГУГЛа'!$B:$AD,AM$1,0))</f>
        <v/>
      </c>
      <c r="AN15" s="4">
        <v>1</v>
      </c>
      <c r="AO15" s="4">
        <v>0</v>
      </c>
      <c r="AP15" s="40" t="s">
        <v>180</v>
      </c>
      <c r="AQ15" s="40"/>
    </row>
    <row r="16" spans="1:43" ht="30" x14ac:dyDescent="0.25">
      <c r="A16" s="36">
        <v>131851</v>
      </c>
      <c r="B16" s="36">
        <f>VLOOKUP($A16,'Выгр Кат'!$A:$T,B$1,0)</f>
        <v>10024</v>
      </c>
      <c r="C16" s="35" t="str">
        <f>VLOOKUP($A16,'Выгр Кат'!$A:$T,C$1,0)</f>
        <v>Алюминиевая сетка черная 100х25см, крупная ячейка 16х25мм 1275</v>
      </c>
      <c r="D16" s="36" t="str">
        <f>VLOOKUP($A16,'Выгр Кат'!$A:$T,D$1,0)</f>
        <v>Y</v>
      </c>
      <c r="E16" s="36" t="str">
        <f>VLOOKUP($A16,'Выгр Кат'!$A:$T,E$1,0)</f>
        <v>1</v>
      </c>
      <c r="F16" s="36">
        <f>VLOOKUP($A16,'Выгр Кат'!$A:$T,F$1,0)</f>
        <v>0</v>
      </c>
      <c r="G16" s="36">
        <f>VLOOKUP($A16,'Выгр Кат'!$A:$T,G$1,0)</f>
        <v>0</v>
      </c>
      <c r="H16" s="36">
        <f>VLOOKUP($A16,'Выгр Кат'!$A:$T,H$1,0)</f>
        <v>0</v>
      </c>
      <c r="I16" s="36"/>
      <c r="J16" s="45" t="s">
        <v>44</v>
      </c>
      <c r="K16" s="46">
        <v>0</v>
      </c>
      <c r="L16" s="37" t="e">
        <f>VLOOKUP(K16,Наценка!$A$1:$B$8,2,1)</f>
        <v>#N/A</v>
      </c>
      <c r="M16" s="23">
        <f t="shared" si="11"/>
        <v>553.69999999999993</v>
      </c>
      <c r="N16" s="17">
        <f t="shared" si="1"/>
        <v>559</v>
      </c>
      <c r="O16" s="36">
        <f>VLOOKUP($A16,'Выгр Кат'!$A:$T,O$1,0)</f>
        <v>0</v>
      </c>
      <c r="P16" s="36">
        <f>VLOOKUP($A16,'Выгр Кат'!$A:$T,P$1,0)</f>
        <v>559</v>
      </c>
      <c r="Q16" s="14">
        <f t="shared" si="2"/>
        <v>0</v>
      </c>
      <c r="R16" s="14">
        <f t="shared" si="3"/>
        <v>0</v>
      </c>
      <c r="S16" s="15">
        <f t="shared" si="4"/>
        <v>475</v>
      </c>
      <c r="T16" s="39" t="str">
        <f t="shared" si="5"/>
        <v/>
      </c>
      <c r="U16" s="39">
        <f t="shared" si="6"/>
        <v>3.0612244897959183E-2</v>
      </c>
      <c r="V16" s="39" t="str">
        <f t="shared" si="7"/>
        <v/>
      </c>
      <c r="W16" s="41">
        <f t="shared" si="12"/>
        <v>490</v>
      </c>
      <c r="X16" s="50" t="str">
        <f>IFERROR(ROUND((VLOOKUP($A16,'Из ГУГЛа'!$B:$AD,X$1,0)+Z16)*Y16,),VLOOKUP($A16,'Из ГУГЛа'!$B:$AD,X$1,0))</f>
        <v/>
      </c>
      <c r="Y16" s="4">
        <v>1</v>
      </c>
      <c r="Z16" s="4">
        <v>0</v>
      </c>
      <c r="AA16" s="40">
        <v>490</v>
      </c>
      <c r="AB16" s="40" t="s">
        <v>114</v>
      </c>
      <c r="AC16" s="50" t="str">
        <f>IFERROR(ROUND((VLOOKUP($A16,'Из ГУГЛа'!$B:$AD,AC$1,0)+AE16)*AD16,),VLOOKUP($A16,'Из ГУГЛа'!$B:$AD,AC$1,0))</f>
        <v/>
      </c>
      <c r="AD16" s="4">
        <v>1</v>
      </c>
      <c r="AE16" s="4">
        <v>0</v>
      </c>
      <c r="AF16" s="40" t="s">
        <v>180</v>
      </c>
      <c r="AG16" s="40"/>
      <c r="AH16" s="50" t="str">
        <f>IFERROR(ROUND((VLOOKUP($A16,'Из ГУГЛа'!$B:$AD,AH$1,0)+AJ16)*AI16,),VLOOKUP($A16,'Из ГУГЛа'!$B:$AD,AH$1,0))</f>
        <v/>
      </c>
      <c r="AI16" s="4">
        <v>1</v>
      </c>
      <c r="AJ16" s="4">
        <v>0</v>
      </c>
      <c r="AK16" s="40" t="s">
        <v>180</v>
      </c>
      <c r="AL16" s="40"/>
      <c r="AM16" s="50" t="str">
        <f>IFERROR(ROUND((VLOOKUP($A16,'Из ГУГЛа'!$B:$AD,AM$1,0)+AO16)*AN16,),VLOOKUP($A16,'Из ГУГЛа'!$B:$AD,AM$1,0))</f>
        <v/>
      </c>
      <c r="AN16" s="4">
        <v>1</v>
      </c>
      <c r="AO16" s="4">
        <v>0</v>
      </c>
      <c r="AP16" s="40" t="s">
        <v>180</v>
      </c>
      <c r="AQ16" s="40"/>
    </row>
    <row r="17" spans="1:43" ht="30" x14ac:dyDescent="0.25">
      <c r="A17" s="36">
        <v>131852</v>
      </c>
      <c r="B17" s="36">
        <f>VLOOKUP($A17,'Выгр Кат'!$A:$T,B$1,0)</f>
        <v>10013</v>
      </c>
      <c r="C17" s="35" t="str">
        <f>VLOOKUP($A17,'Выгр Кат'!$A:$T,C$1,0)</f>
        <v>Алюминиевая сетка черная 100х25см, мелкая ячейка 5х10мм 1264</v>
      </c>
      <c r="D17" s="36" t="str">
        <f>VLOOKUP($A17,'Выгр Кат'!$A:$T,D$1,0)</f>
        <v>Y</v>
      </c>
      <c r="E17" s="36" t="str">
        <f>VLOOKUP($A17,'Выгр Кат'!$A:$T,E$1,0)</f>
        <v>1</v>
      </c>
      <c r="F17" s="36">
        <f>VLOOKUP($A17,'Выгр Кат'!$A:$T,F$1,0)</f>
        <v>0</v>
      </c>
      <c r="G17" s="36">
        <f>VLOOKUP($A17,'Выгр Кат'!$A:$T,G$1,0)</f>
        <v>0</v>
      </c>
      <c r="H17" s="36">
        <f>VLOOKUP($A17,'Выгр Кат'!$A:$T,H$1,0)</f>
        <v>0</v>
      </c>
      <c r="I17" s="36"/>
      <c r="J17" s="45" t="s">
        <v>44</v>
      </c>
      <c r="K17" s="46">
        <v>135</v>
      </c>
      <c r="L17" s="37">
        <f>VLOOKUP(K17,Наценка!$A$1:$B$8,2,1)</f>
        <v>1.8</v>
      </c>
      <c r="M17" s="23">
        <f t="shared" si="11"/>
        <v>498.32999999999993</v>
      </c>
      <c r="N17" s="17">
        <f t="shared" si="1"/>
        <v>499</v>
      </c>
      <c r="O17" s="36">
        <f>VLOOKUP($A17,'Выгр Кат'!$A:$T,O$1,0)</f>
        <v>135</v>
      </c>
      <c r="P17" s="36">
        <f>VLOOKUP($A17,'Выгр Кат'!$A:$T,P$1,0)</f>
        <v>499</v>
      </c>
      <c r="Q17" s="14">
        <f t="shared" si="2"/>
        <v>0</v>
      </c>
      <c r="R17" s="14">
        <f t="shared" si="3"/>
        <v>0</v>
      </c>
      <c r="S17" s="15">
        <f t="shared" si="4"/>
        <v>424</v>
      </c>
      <c r="T17" s="39">
        <f t="shared" si="5"/>
        <v>2.1407407407407408</v>
      </c>
      <c r="U17" s="39">
        <f t="shared" si="6"/>
        <v>3.8548752834467119E-2</v>
      </c>
      <c r="V17" s="39">
        <f t="shared" si="7"/>
        <v>2.2666666666666666</v>
      </c>
      <c r="W17" s="54">
        <f>AF17</f>
        <v>441</v>
      </c>
      <c r="X17" s="50" t="str">
        <f>IFERROR(ROUND((VLOOKUP($A17,'Из ГУГЛа'!$B:$AD,X$1,0)+Z17)*Y17,),VLOOKUP($A17,'Из ГУГЛа'!$B:$AD,X$1,0))</f>
        <v/>
      </c>
      <c r="Y17" s="4">
        <v>1</v>
      </c>
      <c r="Z17" s="4">
        <v>0</v>
      </c>
      <c r="AA17" s="40">
        <v>390</v>
      </c>
      <c r="AB17" s="40" t="s">
        <v>130</v>
      </c>
      <c r="AC17" s="50" t="str">
        <f>IFERROR(ROUND((VLOOKUP($A17,'Из ГУГЛа'!$B:$AD,AC$1,0)+AE17)*AD17,),VLOOKUP($A17,'Из ГУГЛа'!$B:$AD,AC$1,0))</f>
        <v/>
      </c>
      <c r="AD17" s="4">
        <v>1</v>
      </c>
      <c r="AE17" s="4">
        <v>0</v>
      </c>
      <c r="AF17" s="40">
        <v>441</v>
      </c>
      <c r="AG17" s="40" t="s">
        <v>182</v>
      </c>
      <c r="AH17" s="50" t="str">
        <f>IFERROR(ROUND((VLOOKUP($A17,'Из ГУГЛа'!$B:$AD,AH$1,0)+AJ17)*AI17,),VLOOKUP($A17,'Из ГУГЛа'!$B:$AD,AH$1,0))</f>
        <v/>
      </c>
      <c r="AI17" s="4">
        <v>1</v>
      </c>
      <c r="AJ17" s="4">
        <v>0</v>
      </c>
      <c r="AK17" s="40" t="s">
        <v>180</v>
      </c>
      <c r="AL17" s="40"/>
      <c r="AM17" s="50" t="str">
        <f>IFERROR(ROUND((VLOOKUP($A17,'Из ГУГЛа'!$B:$AD,AM$1,0)+AO17)*AN17,),VLOOKUP($A17,'Из ГУГЛа'!$B:$AD,AM$1,0))</f>
        <v/>
      </c>
      <c r="AN17" s="4">
        <v>1</v>
      </c>
      <c r="AO17" s="4">
        <v>0</v>
      </c>
      <c r="AP17" s="40">
        <v>630</v>
      </c>
      <c r="AQ17" s="40" t="s">
        <v>197</v>
      </c>
    </row>
    <row r="18" spans="1:43" ht="30" x14ac:dyDescent="0.25">
      <c r="A18" s="36">
        <v>131854</v>
      </c>
      <c r="B18" s="36">
        <f>VLOOKUP($A18,'Выгр Кат'!$A:$T,B$1,0)</f>
        <v>10014</v>
      </c>
      <c r="C18" s="35" t="str">
        <f>VLOOKUP($A18,'Выгр Кат'!$A:$T,C$1,0)</f>
        <v>Алюминиевая сетка черная 100х40см, мелкая ячейка 5х10мм 1265</v>
      </c>
      <c r="D18" s="36" t="str">
        <f>VLOOKUP($A18,'Выгр Кат'!$A:$T,D$1,0)</f>
        <v>Y</v>
      </c>
      <c r="E18" s="36" t="str">
        <f>VLOOKUP($A18,'Выгр Кат'!$A:$T,E$1,0)</f>
        <v>1</v>
      </c>
      <c r="F18" s="36">
        <f>VLOOKUP($A18,'Выгр Кат'!$A:$T,F$1,0)</f>
        <v>0</v>
      </c>
      <c r="G18" s="36">
        <f>VLOOKUP($A18,'Выгр Кат'!$A:$T,G$1,0)</f>
        <v>0</v>
      </c>
      <c r="H18" s="36">
        <f>VLOOKUP($A18,'Выгр Кат'!$A:$T,H$1,0)</f>
        <v>0</v>
      </c>
      <c r="I18" s="36"/>
      <c r="J18" s="45" t="s">
        <v>44</v>
      </c>
      <c r="K18" s="46">
        <v>300</v>
      </c>
      <c r="L18" s="37">
        <f>VLOOKUP(K18,Наценка!$A$1:$B$8,2,1)</f>
        <v>1.6</v>
      </c>
      <c r="M18" s="38">
        <f t="shared" ref="M18:M51" si="13">K18*L18</f>
        <v>480</v>
      </c>
      <c r="N18" s="17">
        <f t="shared" si="1"/>
        <v>479</v>
      </c>
      <c r="O18" s="36">
        <f>VLOOKUP($A18,'Выгр Кат'!$A:$T,O$1,0)</f>
        <v>300</v>
      </c>
      <c r="P18" s="36">
        <f>VLOOKUP($A18,'Выгр Кат'!$A:$T,P$1,0)</f>
        <v>479</v>
      </c>
      <c r="Q18" s="14">
        <f t="shared" si="2"/>
        <v>0</v>
      </c>
      <c r="R18" s="14">
        <f t="shared" si="3"/>
        <v>0</v>
      </c>
      <c r="S18" s="15">
        <f t="shared" si="4"/>
        <v>407</v>
      </c>
      <c r="T18" s="39">
        <f t="shared" si="5"/>
        <v>0.35666666666666669</v>
      </c>
      <c r="U18" s="39" t="str">
        <f t="shared" si="6"/>
        <v/>
      </c>
      <c r="V18" s="39" t="str">
        <f t="shared" si="7"/>
        <v/>
      </c>
      <c r="W18" s="42"/>
      <c r="X18" s="50" t="str">
        <f>IFERROR(ROUND((VLOOKUP($A18,'Из ГУГЛа'!$B:$AD,X$1,0)+Z18)*Y18,),VLOOKUP($A18,'Из ГУГЛа'!$B:$AD,X$1,0))</f>
        <v/>
      </c>
      <c r="Y18" s="4">
        <v>1</v>
      </c>
      <c r="Z18" s="4">
        <v>0</v>
      </c>
      <c r="AA18" s="40" t="s">
        <v>128</v>
      </c>
      <c r="AB18" s="40"/>
      <c r="AC18" s="50" t="str">
        <f>IFERROR(ROUND((VLOOKUP($A18,'Из ГУГЛа'!$B:$AD,AC$1,0)+AE18)*AD18,),VLOOKUP($A18,'Из ГУГЛа'!$B:$AD,AC$1,0))</f>
        <v/>
      </c>
      <c r="AD18" s="4">
        <v>1</v>
      </c>
      <c r="AE18" s="4">
        <v>0</v>
      </c>
      <c r="AF18" s="40" t="s">
        <v>180</v>
      </c>
      <c r="AG18" s="40"/>
      <c r="AH18" s="50" t="str">
        <f>IFERROR(ROUND((VLOOKUP($A18,'Из ГУГЛа'!$B:$AD,AH$1,0)+AJ18)*AI18,),VLOOKUP($A18,'Из ГУГЛа'!$B:$AD,AH$1,0))</f>
        <v/>
      </c>
      <c r="AI18" s="4">
        <v>1</v>
      </c>
      <c r="AJ18" s="4">
        <v>0</v>
      </c>
      <c r="AK18" s="40" t="s">
        <v>180</v>
      </c>
      <c r="AL18" s="40"/>
      <c r="AM18" s="50" t="str">
        <f>IFERROR(ROUND((VLOOKUP($A18,'Из ГУГЛа'!$B:$AD,AM$1,0)+AO18)*AN18,),VLOOKUP($A18,'Из ГУГЛа'!$B:$AD,AM$1,0))</f>
        <v/>
      </c>
      <c r="AN18" s="4">
        <v>1</v>
      </c>
      <c r="AO18" s="4">
        <v>0</v>
      </c>
      <c r="AP18" s="40">
        <v>920</v>
      </c>
      <c r="AQ18" s="40" t="s">
        <v>201</v>
      </c>
    </row>
    <row r="19" spans="1:43" ht="30" x14ac:dyDescent="0.25">
      <c r="A19" s="36">
        <v>131855</v>
      </c>
      <c r="B19" s="36">
        <f>VLOOKUP($A19,'Выгр Кат'!$A:$T,B$1,0)</f>
        <v>10020</v>
      </c>
      <c r="C19" s="35" t="str">
        <f>VLOOKUP($A19,'Выгр Кат'!$A:$T,C$1,0)</f>
        <v>Алюминиевая сетка черная 100х40см, средняя ячейка 8х16мм 1271</v>
      </c>
      <c r="D19" s="36" t="str">
        <f>VLOOKUP($A19,'Выгр Кат'!$A:$T,D$1,0)</f>
        <v>Y</v>
      </c>
      <c r="E19" s="36" t="str">
        <f>VLOOKUP($A19,'Выгр Кат'!$A:$T,E$1,0)</f>
        <v>1</v>
      </c>
      <c r="F19" s="36">
        <f>VLOOKUP($A19,'Выгр Кат'!$A:$T,F$1,0)</f>
        <v>0</v>
      </c>
      <c r="G19" s="36">
        <f>VLOOKUP($A19,'Выгр Кат'!$A:$T,G$1,0)</f>
        <v>0</v>
      </c>
      <c r="H19" s="36">
        <f>VLOOKUP($A19,'Выгр Кат'!$A:$T,H$1,0)</f>
        <v>0</v>
      </c>
      <c r="I19" s="36"/>
      <c r="J19" s="45" t="s">
        <v>44</v>
      </c>
      <c r="K19" s="46">
        <v>0</v>
      </c>
      <c r="L19" s="37" t="e">
        <f>VLOOKUP(K19,Наценка!$A$1:$B$8,2,1)</f>
        <v>#N/A</v>
      </c>
      <c r="M19" s="23">
        <f t="shared" ref="M19:M24" si="14">W19*1.13</f>
        <v>666.69999999999993</v>
      </c>
      <c r="N19" s="17">
        <f t="shared" si="1"/>
        <v>669</v>
      </c>
      <c r="O19" s="36">
        <f>VLOOKUP($A19,'Выгр Кат'!$A:$T,O$1,0)</f>
        <v>0</v>
      </c>
      <c r="P19" s="36">
        <f>VLOOKUP($A19,'Выгр Кат'!$A:$T,P$1,0)</f>
        <v>669</v>
      </c>
      <c r="Q19" s="14">
        <f t="shared" si="2"/>
        <v>0</v>
      </c>
      <c r="R19" s="14">
        <f t="shared" si="3"/>
        <v>0</v>
      </c>
      <c r="S19" s="15">
        <f t="shared" si="4"/>
        <v>569</v>
      </c>
      <c r="T19" s="39" t="str">
        <f t="shared" si="5"/>
        <v/>
      </c>
      <c r="U19" s="39">
        <f t="shared" si="6"/>
        <v>3.5593220338983052E-2</v>
      </c>
      <c r="V19" s="39" t="str">
        <f t="shared" si="7"/>
        <v/>
      </c>
      <c r="W19" s="41">
        <f t="shared" ref="W19:W24" si="15">AA19</f>
        <v>590</v>
      </c>
      <c r="X19" s="50" t="str">
        <f>IFERROR(ROUND((VLOOKUP($A19,'Из ГУГЛа'!$B:$AD,X$1,0)+Z19)*Y19,),VLOOKUP($A19,'Из ГУГЛа'!$B:$AD,X$1,0))</f>
        <v/>
      </c>
      <c r="Y19" s="4">
        <v>1</v>
      </c>
      <c r="Z19" s="4">
        <v>0</v>
      </c>
      <c r="AA19" s="40">
        <v>590</v>
      </c>
      <c r="AB19" s="40" t="s">
        <v>115</v>
      </c>
      <c r="AC19" s="50" t="str">
        <f>IFERROR(ROUND((VLOOKUP($A19,'Из ГУГЛа'!$B:$AD,AC$1,0)+AE19)*AD19,),VLOOKUP($A19,'Из ГУГЛа'!$B:$AD,AC$1,0))</f>
        <v/>
      </c>
      <c r="AD19" s="4">
        <v>1</v>
      </c>
      <c r="AE19" s="4">
        <v>0</v>
      </c>
      <c r="AF19" s="40" t="s">
        <v>180</v>
      </c>
      <c r="AG19" s="40"/>
      <c r="AH19" s="50" t="str">
        <f>IFERROR(ROUND((VLOOKUP($A19,'Из ГУГЛа'!$B:$AD,AH$1,0)+AJ19)*AI19,),VLOOKUP($A19,'Из ГУГЛа'!$B:$AD,AH$1,0))</f>
        <v/>
      </c>
      <c r="AI19" s="4">
        <v>1</v>
      </c>
      <c r="AJ19" s="4">
        <v>0</v>
      </c>
      <c r="AK19" s="40" t="s">
        <v>180</v>
      </c>
      <c r="AL19" s="40"/>
      <c r="AM19" s="50" t="str">
        <f>IFERROR(ROUND((VLOOKUP($A19,'Из ГУГЛа'!$B:$AD,AM$1,0)+AO19)*AN19,),VLOOKUP($A19,'Из ГУГЛа'!$B:$AD,AM$1,0))</f>
        <v/>
      </c>
      <c r="AN19" s="4">
        <v>1</v>
      </c>
      <c r="AO19" s="4">
        <v>0</v>
      </c>
      <c r="AP19" s="40">
        <v>900</v>
      </c>
      <c r="AQ19" s="40" t="s">
        <v>203</v>
      </c>
    </row>
    <row r="20" spans="1:43" ht="30" x14ac:dyDescent="0.25">
      <c r="A20" s="36">
        <v>131856</v>
      </c>
      <c r="B20" s="36">
        <f>VLOOKUP($A20,'Выгр Кат'!$A:$T,B$1,0)</f>
        <v>10021</v>
      </c>
      <c r="C20" s="35" t="str">
        <f>VLOOKUP($A20,'Выгр Кат'!$A:$T,C$1,0)</f>
        <v>Алюминиевая сетка черная 100х50см, средняя ячейка 8х16мм 1272</v>
      </c>
      <c r="D20" s="36" t="str">
        <f>VLOOKUP($A20,'Выгр Кат'!$A:$T,D$1,0)</f>
        <v>Y</v>
      </c>
      <c r="E20" s="36" t="str">
        <f>VLOOKUP($A20,'Выгр Кат'!$A:$T,E$1,0)</f>
        <v>1</v>
      </c>
      <c r="F20" s="36">
        <f>VLOOKUP($A20,'Выгр Кат'!$A:$T,F$1,0)</f>
        <v>0</v>
      </c>
      <c r="G20" s="36">
        <f>VLOOKUP($A20,'Выгр Кат'!$A:$T,G$1,0)</f>
        <v>0</v>
      </c>
      <c r="H20" s="36">
        <f>VLOOKUP($A20,'Выгр Кат'!$A:$T,H$1,0)</f>
        <v>0</v>
      </c>
      <c r="I20" s="36"/>
      <c r="J20" s="45" t="s">
        <v>44</v>
      </c>
      <c r="K20" s="46">
        <v>290</v>
      </c>
      <c r="L20" s="37">
        <f>VLOOKUP(K20,Наценка!$A$1:$B$8,2,1)</f>
        <v>1.8</v>
      </c>
      <c r="M20" s="23">
        <f t="shared" si="14"/>
        <v>666.69999999999993</v>
      </c>
      <c r="N20" s="17">
        <f t="shared" si="1"/>
        <v>669</v>
      </c>
      <c r="O20" s="36">
        <f>VLOOKUP($A20,'Выгр Кат'!$A:$T,O$1,0)</f>
        <v>290</v>
      </c>
      <c r="P20" s="36">
        <f>VLOOKUP($A20,'Выгр Кат'!$A:$T,P$1,0)</f>
        <v>669</v>
      </c>
      <c r="Q20" s="14">
        <f t="shared" si="2"/>
        <v>0</v>
      </c>
      <c r="R20" s="14">
        <f t="shared" si="3"/>
        <v>0</v>
      </c>
      <c r="S20" s="15">
        <f t="shared" si="4"/>
        <v>569</v>
      </c>
      <c r="T20" s="39">
        <f t="shared" si="5"/>
        <v>0.96206896551724141</v>
      </c>
      <c r="U20" s="39">
        <f t="shared" si="6"/>
        <v>3.5593220338983052E-2</v>
      </c>
      <c r="V20" s="39">
        <f t="shared" si="7"/>
        <v>1.0344827586206895</v>
      </c>
      <c r="W20" s="41">
        <f t="shared" si="15"/>
        <v>590</v>
      </c>
      <c r="X20" s="50" t="str">
        <f>IFERROR(ROUND((VLOOKUP($A20,'Из ГУГЛа'!$B:$AD,X$1,0)+Z20)*Y20,),VLOOKUP($A20,'Из ГУГЛа'!$B:$AD,X$1,0))</f>
        <v/>
      </c>
      <c r="Y20" s="4">
        <v>1</v>
      </c>
      <c r="Z20" s="4">
        <v>0</v>
      </c>
      <c r="AA20" s="40">
        <v>590</v>
      </c>
      <c r="AB20" s="40" t="s">
        <v>129</v>
      </c>
      <c r="AC20" s="50" t="str">
        <f>IFERROR(ROUND((VLOOKUP($A20,'Из ГУГЛа'!$B:$AD,AC$1,0)+AE20)*AD20,),VLOOKUP($A20,'Из ГУГЛа'!$B:$AD,AC$1,0))</f>
        <v/>
      </c>
      <c r="AD20" s="4">
        <v>1</v>
      </c>
      <c r="AE20" s="4">
        <v>0</v>
      </c>
      <c r="AF20" s="40" t="s">
        <v>180</v>
      </c>
      <c r="AG20" s="40"/>
      <c r="AH20" s="50" t="str">
        <f>IFERROR(ROUND((VLOOKUP($A20,'Из ГУГЛа'!$B:$AD,AH$1,0)+AJ20)*AI20,),VLOOKUP($A20,'Из ГУГЛа'!$B:$AD,AH$1,0))</f>
        <v/>
      </c>
      <c r="AI20" s="4">
        <v>1</v>
      </c>
      <c r="AJ20" s="4">
        <v>0</v>
      </c>
      <c r="AK20" s="40" t="s">
        <v>180</v>
      </c>
      <c r="AL20" s="40"/>
      <c r="AM20" s="50" t="str">
        <f>IFERROR(ROUND((VLOOKUP($A20,'Из ГУГЛа'!$B:$AD,AM$1,0)+AO20)*AN20,),VLOOKUP($A20,'Из ГУГЛа'!$B:$AD,AM$1,0))</f>
        <v/>
      </c>
      <c r="AN20" s="4">
        <v>1</v>
      </c>
      <c r="AO20" s="4">
        <v>0</v>
      </c>
      <c r="AP20" s="40">
        <v>1130</v>
      </c>
      <c r="AQ20" s="40" t="s">
        <v>199</v>
      </c>
    </row>
    <row r="21" spans="1:43" ht="30" x14ac:dyDescent="0.25">
      <c r="A21" s="36">
        <v>131857</v>
      </c>
      <c r="B21" s="36">
        <f>VLOOKUP($A21,'Выгр Кат'!$A:$T,B$1,0)</f>
        <v>10016</v>
      </c>
      <c r="C21" s="35" t="str">
        <f>VLOOKUP($A21,'Выгр Кат'!$A:$T,C$1,0)</f>
        <v>Алюминиевая сетка черная 120х25см, мелкая ячейка 5х10мм 1267</v>
      </c>
      <c r="D21" s="36" t="str">
        <f>VLOOKUP($A21,'Выгр Кат'!$A:$T,D$1,0)</f>
        <v>Y</v>
      </c>
      <c r="E21" s="36" t="str">
        <f>VLOOKUP($A21,'Выгр Кат'!$A:$T,E$1,0)</f>
        <v>1</v>
      </c>
      <c r="F21" s="36">
        <f>VLOOKUP($A21,'Выгр Кат'!$A:$T,F$1,0)</f>
        <v>0</v>
      </c>
      <c r="G21" s="36">
        <f>VLOOKUP($A21,'Выгр Кат'!$A:$T,G$1,0)</f>
        <v>0</v>
      </c>
      <c r="H21" s="36">
        <f>VLOOKUP($A21,'Выгр Кат'!$A:$T,H$1,0)</f>
        <v>0</v>
      </c>
      <c r="I21" s="36"/>
      <c r="J21" s="45" t="s">
        <v>44</v>
      </c>
      <c r="K21" s="46">
        <v>0</v>
      </c>
      <c r="L21" s="37" t="e">
        <f>VLOOKUP(K21,Наценка!$A$1:$B$8,2,1)</f>
        <v>#N/A</v>
      </c>
      <c r="M21" s="23">
        <f t="shared" si="14"/>
        <v>553.69999999999993</v>
      </c>
      <c r="N21" s="17">
        <f t="shared" si="1"/>
        <v>559</v>
      </c>
      <c r="O21" s="36">
        <f>VLOOKUP($A21,'Выгр Кат'!$A:$T,O$1,0)</f>
        <v>0</v>
      </c>
      <c r="P21" s="36">
        <f>VLOOKUP($A21,'Выгр Кат'!$A:$T,P$1,0)</f>
        <v>559</v>
      </c>
      <c r="Q21" s="14">
        <f t="shared" si="2"/>
        <v>0</v>
      </c>
      <c r="R21" s="14">
        <f t="shared" si="3"/>
        <v>0</v>
      </c>
      <c r="S21" s="15">
        <f t="shared" si="4"/>
        <v>475</v>
      </c>
      <c r="T21" s="39" t="str">
        <f t="shared" si="5"/>
        <v/>
      </c>
      <c r="U21" s="39">
        <f t="shared" si="6"/>
        <v>3.0612244897959183E-2</v>
      </c>
      <c r="V21" s="39" t="str">
        <f t="shared" si="7"/>
        <v/>
      </c>
      <c r="W21" s="41">
        <f t="shared" si="15"/>
        <v>490</v>
      </c>
      <c r="X21" s="50" t="str">
        <f>IFERROR(ROUND((VLOOKUP($A21,'Из ГУГЛа'!$B:$AD,X$1,0)+Z21)*Y21,),VLOOKUP($A21,'Из ГУГЛа'!$B:$AD,X$1,0))</f>
        <v/>
      </c>
      <c r="Y21" s="4">
        <v>1</v>
      </c>
      <c r="Z21" s="4">
        <v>0</v>
      </c>
      <c r="AA21" s="40">
        <v>490</v>
      </c>
      <c r="AB21" s="40" t="s">
        <v>131</v>
      </c>
      <c r="AC21" s="50" t="str">
        <f>IFERROR(ROUND((VLOOKUP($A21,'Из ГУГЛа'!$B:$AD,AC$1,0)+AE21)*AD21,),VLOOKUP($A21,'Из ГУГЛа'!$B:$AD,AC$1,0))</f>
        <v/>
      </c>
      <c r="AD21" s="4">
        <v>1</v>
      </c>
      <c r="AE21" s="4">
        <v>0</v>
      </c>
      <c r="AF21" s="40" t="s">
        <v>180</v>
      </c>
      <c r="AG21" s="40"/>
      <c r="AH21" s="50" t="str">
        <f>IFERROR(ROUND((VLOOKUP($A21,'Из ГУГЛа'!$B:$AD,AH$1,0)+AJ21)*AI21,),VLOOKUP($A21,'Из ГУГЛа'!$B:$AD,AH$1,0))</f>
        <v/>
      </c>
      <c r="AI21" s="4">
        <v>1</v>
      </c>
      <c r="AJ21" s="4">
        <v>0</v>
      </c>
      <c r="AK21" s="40" t="s">
        <v>180</v>
      </c>
      <c r="AL21" s="40"/>
      <c r="AM21" s="50" t="str">
        <f>IFERROR(ROUND((VLOOKUP($A21,'Из ГУГЛа'!$B:$AD,AM$1,0)+AO21)*AN21,),VLOOKUP($A21,'Из ГУГЛа'!$B:$AD,AM$1,0))</f>
        <v/>
      </c>
      <c r="AN21" s="4">
        <v>1</v>
      </c>
      <c r="AO21" s="4">
        <v>0</v>
      </c>
      <c r="AP21" s="40" t="s">
        <v>180</v>
      </c>
      <c r="AQ21" s="40"/>
    </row>
    <row r="22" spans="1:43" ht="30" x14ac:dyDescent="0.25">
      <c r="A22" s="36">
        <v>131858</v>
      </c>
      <c r="B22" s="36">
        <f>VLOOKUP($A22,'Выгр Кат'!$A:$T,B$1,0)</f>
        <v>10022</v>
      </c>
      <c r="C22" s="35" t="str">
        <f>VLOOKUP($A22,'Выгр Кат'!$A:$T,C$1,0)</f>
        <v>Алюминиевая сетка черная 120х25см, средняя ячейка 8х16мм 1273</v>
      </c>
      <c r="D22" s="36" t="str">
        <f>VLOOKUP($A22,'Выгр Кат'!$A:$T,D$1,0)</f>
        <v>Y</v>
      </c>
      <c r="E22" s="36" t="str">
        <f>VLOOKUP($A22,'Выгр Кат'!$A:$T,E$1,0)</f>
        <v>1</v>
      </c>
      <c r="F22" s="36">
        <f>VLOOKUP($A22,'Выгр Кат'!$A:$T,F$1,0)</f>
        <v>0</v>
      </c>
      <c r="G22" s="36">
        <f>VLOOKUP($A22,'Выгр Кат'!$A:$T,G$1,0)</f>
        <v>0</v>
      </c>
      <c r="H22" s="36">
        <f>VLOOKUP($A22,'Выгр Кат'!$A:$T,H$1,0)</f>
        <v>0</v>
      </c>
      <c r="I22" s="36"/>
      <c r="J22" s="45" t="s">
        <v>44</v>
      </c>
      <c r="K22" s="46">
        <v>0</v>
      </c>
      <c r="L22" s="37" t="e">
        <f>VLOOKUP(K22,Наценка!$A$1:$B$8,2,1)</f>
        <v>#N/A</v>
      </c>
      <c r="M22" s="23">
        <f t="shared" si="14"/>
        <v>440.69999999999993</v>
      </c>
      <c r="N22" s="17">
        <f t="shared" si="1"/>
        <v>449</v>
      </c>
      <c r="O22" s="36">
        <f>VLOOKUP($A22,'Выгр Кат'!$A:$T,O$1,0)</f>
        <v>0</v>
      </c>
      <c r="P22" s="36">
        <f>VLOOKUP($A22,'Выгр Кат'!$A:$T,P$1,0)</f>
        <v>449</v>
      </c>
      <c r="Q22" s="14">
        <f t="shared" si="2"/>
        <v>0</v>
      </c>
      <c r="R22" s="14">
        <f t="shared" si="3"/>
        <v>0</v>
      </c>
      <c r="S22" s="15">
        <f t="shared" si="4"/>
        <v>382</v>
      </c>
      <c r="T22" s="39" t="str">
        <f t="shared" si="5"/>
        <v/>
      </c>
      <c r="U22" s="39">
        <f t="shared" si="6"/>
        <v>2.0512820512820513E-2</v>
      </c>
      <c r="V22" s="39" t="str">
        <f t="shared" si="7"/>
        <v/>
      </c>
      <c r="W22" s="41">
        <f t="shared" si="15"/>
        <v>390</v>
      </c>
      <c r="X22" s="50" t="str">
        <f>IFERROR(ROUND((VLOOKUP($A22,'Из ГУГЛа'!$B:$AD,X$1,0)+Z22)*Y22,),VLOOKUP($A22,'Из ГУГЛа'!$B:$AD,X$1,0))</f>
        <v/>
      </c>
      <c r="Y22" s="4">
        <v>1</v>
      </c>
      <c r="Z22" s="4">
        <v>0</v>
      </c>
      <c r="AA22" s="40">
        <v>390</v>
      </c>
      <c r="AB22" s="40" t="s">
        <v>132</v>
      </c>
      <c r="AC22" s="50" t="str">
        <f>IFERROR(ROUND((VLOOKUP($A22,'Из ГУГЛа'!$B:$AD,AC$1,0)+AE22)*AD22,),VLOOKUP($A22,'Из ГУГЛа'!$B:$AD,AC$1,0))</f>
        <v/>
      </c>
      <c r="AD22" s="4">
        <v>1</v>
      </c>
      <c r="AE22" s="4">
        <v>0</v>
      </c>
      <c r="AF22" s="40" t="s">
        <v>180</v>
      </c>
      <c r="AG22" s="40"/>
      <c r="AH22" s="50" t="str">
        <f>IFERROR(ROUND((VLOOKUP($A22,'Из ГУГЛа'!$B:$AD,AH$1,0)+AJ22)*AI22,),VLOOKUP($A22,'Из ГУГЛа'!$B:$AD,AH$1,0))</f>
        <v/>
      </c>
      <c r="AI22" s="4">
        <v>1</v>
      </c>
      <c r="AJ22" s="4">
        <v>0</v>
      </c>
      <c r="AK22" s="40" t="s">
        <v>180</v>
      </c>
      <c r="AL22" s="40"/>
      <c r="AM22" s="50" t="str">
        <f>IFERROR(ROUND((VLOOKUP($A22,'Из ГУГЛа'!$B:$AD,AM$1,0)+AO22)*AN22,),VLOOKUP($A22,'Из ГУГЛа'!$B:$AD,AM$1,0))</f>
        <v/>
      </c>
      <c r="AN22" s="4">
        <v>1</v>
      </c>
      <c r="AO22" s="4">
        <v>0</v>
      </c>
      <c r="AP22" s="40">
        <v>630</v>
      </c>
      <c r="AQ22" s="40" t="s">
        <v>198</v>
      </c>
    </row>
    <row r="23" spans="1:43" ht="30" x14ac:dyDescent="0.25">
      <c r="A23" s="36">
        <v>131859</v>
      </c>
      <c r="B23" s="36">
        <f>VLOOKUP($A23,'Выгр Кат'!$A:$T,B$1,0)</f>
        <v>10017</v>
      </c>
      <c r="C23" s="35" t="str">
        <f>VLOOKUP($A23,'Выгр Кат'!$A:$T,C$1,0)</f>
        <v>Алюминиевая сетка черная 120х40см, мелкая ячейка 5х10мм 1268</v>
      </c>
      <c r="D23" s="36" t="str">
        <f>VLOOKUP($A23,'Выгр Кат'!$A:$T,D$1,0)</f>
        <v>Y</v>
      </c>
      <c r="E23" s="36" t="str">
        <f>VLOOKUP($A23,'Выгр Кат'!$A:$T,E$1,0)</f>
        <v>1</v>
      </c>
      <c r="F23" s="36">
        <f>VLOOKUP($A23,'Выгр Кат'!$A:$T,F$1,0)</f>
        <v>0</v>
      </c>
      <c r="G23" s="36">
        <f>VLOOKUP($A23,'Выгр Кат'!$A:$T,G$1,0)</f>
        <v>0</v>
      </c>
      <c r="H23" s="36">
        <f>VLOOKUP($A23,'Выгр Кат'!$A:$T,H$1,0)</f>
        <v>0</v>
      </c>
      <c r="I23" s="36"/>
      <c r="J23" s="45" t="s">
        <v>44</v>
      </c>
      <c r="K23" s="46">
        <v>300</v>
      </c>
      <c r="L23" s="37">
        <f>VLOOKUP(K23,Наценка!$A$1:$B$8,2,1)</f>
        <v>1.6</v>
      </c>
      <c r="M23" s="23">
        <f t="shared" si="14"/>
        <v>620.36999999999989</v>
      </c>
      <c r="N23" s="17">
        <f t="shared" si="1"/>
        <v>629</v>
      </c>
      <c r="O23" s="36">
        <f>VLOOKUP($A23,'Выгр Кат'!$A:$T,O$1,0)</f>
        <v>300</v>
      </c>
      <c r="P23" s="36">
        <f>VLOOKUP($A23,'Выгр Кат'!$A:$T,P$1,0)</f>
        <v>629</v>
      </c>
      <c r="Q23" s="14">
        <f t="shared" si="2"/>
        <v>0</v>
      </c>
      <c r="R23" s="14">
        <f t="shared" si="3"/>
        <v>0</v>
      </c>
      <c r="S23" s="15">
        <f t="shared" si="4"/>
        <v>535</v>
      </c>
      <c r="T23" s="39">
        <f t="shared" si="5"/>
        <v>0.78333333333333344</v>
      </c>
      <c r="U23" s="39">
        <f t="shared" si="6"/>
        <v>2.5500910746812388E-2</v>
      </c>
      <c r="V23" s="39">
        <f t="shared" si="7"/>
        <v>0.83000000000000007</v>
      </c>
      <c r="W23" s="41">
        <f t="shared" si="15"/>
        <v>549</v>
      </c>
      <c r="X23" s="50" t="str">
        <f>IFERROR(ROUND((VLOOKUP($A23,'Из ГУГЛа'!$B:$AD,X$1,0)+Z23)*Y23,),VLOOKUP($A23,'Из ГУГЛа'!$B:$AD,X$1,0))</f>
        <v/>
      </c>
      <c r="Y23" s="4">
        <v>1</v>
      </c>
      <c r="Z23" s="4">
        <v>0</v>
      </c>
      <c r="AA23" s="40">
        <v>549</v>
      </c>
      <c r="AB23" s="40" t="s">
        <v>126</v>
      </c>
      <c r="AC23" s="50" t="str">
        <f>IFERROR(ROUND((VLOOKUP($A23,'Из ГУГЛа'!$B:$AD,AC$1,0)+AE23)*AD23,),VLOOKUP($A23,'Из ГУГЛа'!$B:$AD,AC$1,0))</f>
        <v/>
      </c>
      <c r="AD23" s="4">
        <v>1</v>
      </c>
      <c r="AE23" s="4">
        <v>0</v>
      </c>
      <c r="AF23" s="40" t="s">
        <v>180</v>
      </c>
      <c r="AG23" s="40"/>
      <c r="AH23" s="50" t="str">
        <f>IFERROR(ROUND((VLOOKUP($A23,'Из ГУГЛа'!$B:$AD,AH$1,0)+AJ23)*AI23,),VLOOKUP($A23,'Из ГУГЛа'!$B:$AD,AH$1,0))</f>
        <v/>
      </c>
      <c r="AI23" s="4">
        <v>1</v>
      </c>
      <c r="AJ23" s="4">
        <v>0</v>
      </c>
      <c r="AK23" s="40" t="s">
        <v>180</v>
      </c>
      <c r="AL23" s="40"/>
      <c r="AM23" s="50" t="str">
        <f>IFERROR(ROUND((VLOOKUP($A23,'Из ГУГЛа'!$B:$AD,AM$1,0)+AO23)*AN23,),VLOOKUP($A23,'Из ГУГЛа'!$B:$AD,AM$1,0))</f>
        <v/>
      </c>
      <c r="AN23" s="4">
        <v>1</v>
      </c>
      <c r="AO23" s="4">
        <v>0</v>
      </c>
      <c r="AP23" s="40">
        <v>1080</v>
      </c>
      <c r="AQ23" s="40" t="s">
        <v>200</v>
      </c>
    </row>
    <row r="24" spans="1:43" ht="30" x14ac:dyDescent="0.25">
      <c r="A24" s="36">
        <v>131860</v>
      </c>
      <c r="B24" s="36">
        <f>VLOOKUP($A24,'Выгр Кат'!$A:$T,B$1,0)</f>
        <v>10023</v>
      </c>
      <c r="C24" s="35" t="str">
        <f>VLOOKUP($A24,'Выгр Кат'!$A:$T,C$1,0)</f>
        <v>Алюминиевая сетка черная 120х40см, средняя ячейка 8х16мм 1274</v>
      </c>
      <c r="D24" s="36" t="str">
        <f>VLOOKUP($A24,'Выгр Кат'!$A:$T,D$1,0)</f>
        <v>Y</v>
      </c>
      <c r="E24" s="36" t="str">
        <f>VLOOKUP($A24,'Выгр Кат'!$A:$T,E$1,0)</f>
        <v>1</v>
      </c>
      <c r="F24" s="36">
        <f>VLOOKUP($A24,'Выгр Кат'!$A:$T,F$1,0)</f>
        <v>0</v>
      </c>
      <c r="G24" s="36">
        <f>VLOOKUP($A24,'Выгр Кат'!$A:$T,G$1,0)</f>
        <v>0</v>
      </c>
      <c r="H24" s="36">
        <f>VLOOKUP($A24,'Выгр Кат'!$A:$T,H$1,0)</f>
        <v>0</v>
      </c>
      <c r="I24" s="36"/>
      <c r="J24" s="45" t="s">
        <v>44</v>
      </c>
      <c r="K24" s="46">
        <v>0</v>
      </c>
      <c r="L24" s="37" t="e">
        <f>VLOOKUP(K24,Наценка!$A$1:$B$8,2,1)</f>
        <v>#N/A</v>
      </c>
      <c r="M24" s="23">
        <f t="shared" si="14"/>
        <v>620.36999999999989</v>
      </c>
      <c r="N24" s="17">
        <f t="shared" si="1"/>
        <v>629</v>
      </c>
      <c r="O24" s="36">
        <f>VLOOKUP($A24,'Выгр Кат'!$A:$T,O$1,0)</f>
        <v>0</v>
      </c>
      <c r="P24" s="36">
        <f>VLOOKUP($A24,'Выгр Кат'!$A:$T,P$1,0)</f>
        <v>629</v>
      </c>
      <c r="Q24" s="14">
        <f t="shared" si="2"/>
        <v>0</v>
      </c>
      <c r="R24" s="14">
        <f t="shared" si="3"/>
        <v>0</v>
      </c>
      <c r="S24" s="15">
        <f t="shared" si="4"/>
        <v>535</v>
      </c>
      <c r="T24" s="39" t="str">
        <f t="shared" si="5"/>
        <v/>
      </c>
      <c r="U24" s="39">
        <f t="shared" si="6"/>
        <v>2.5500910746812388E-2</v>
      </c>
      <c r="V24" s="39" t="str">
        <f t="shared" si="7"/>
        <v/>
      </c>
      <c r="W24" s="41">
        <f t="shared" si="15"/>
        <v>549</v>
      </c>
      <c r="X24" s="50" t="str">
        <f>IFERROR(ROUND((VLOOKUP($A24,'Из ГУГЛа'!$B:$AD,X$1,0)+Z24)*Y24,),VLOOKUP($A24,'Из ГУГЛа'!$B:$AD,X$1,0))</f>
        <v/>
      </c>
      <c r="Y24" s="4">
        <v>1</v>
      </c>
      <c r="Z24" s="4">
        <v>0</v>
      </c>
      <c r="AA24" s="40">
        <v>549</v>
      </c>
      <c r="AB24" s="40" t="s">
        <v>127</v>
      </c>
      <c r="AC24" s="50" t="str">
        <f>IFERROR(ROUND((VLOOKUP($A24,'Из ГУГЛа'!$B:$AD,AC$1,0)+AE24)*AD24,),VLOOKUP($A24,'Из ГУГЛа'!$B:$AD,AC$1,0))</f>
        <v/>
      </c>
      <c r="AD24" s="4">
        <v>1</v>
      </c>
      <c r="AE24" s="4">
        <v>0</v>
      </c>
      <c r="AF24" s="40" t="s">
        <v>180</v>
      </c>
      <c r="AG24" s="40"/>
      <c r="AH24" s="50" t="str">
        <f>IFERROR(ROUND((VLOOKUP($A24,'Из ГУГЛа'!$B:$AD,AH$1,0)+AJ24)*AI24,),VLOOKUP($A24,'Из ГУГЛа'!$B:$AD,AH$1,0))</f>
        <v/>
      </c>
      <c r="AI24" s="4">
        <v>1</v>
      </c>
      <c r="AJ24" s="4">
        <v>0</v>
      </c>
      <c r="AK24" s="40" t="s">
        <v>180</v>
      </c>
      <c r="AL24" s="40"/>
      <c r="AM24" s="50" t="str">
        <f>IFERROR(ROUND((VLOOKUP($A24,'Из ГУГЛа'!$B:$AD,AM$1,0)+AO24)*AN24,),VLOOKUP($A24,'Из ГУГЛа'!$B:$AD,AM$1,0))</f>
        <v/>
      </c>
      <c r="AN24" s="4">
        <v>1</v>
      </c>
      <c r="AO24" s="4">
        <v>0</v>
      </c>
      <c r="AP24" s="40">
        <v>1080</v>
      </c>
      <c r="AQ24" s="40" t="s">
        <v>195</v>
      </c>
    </row>
    <row r="25" spans="1:43" ht="30" x14ac:dyDescent="0.25">
      <c r="A25" s="36">
        <v>143584</v>
      </c>
      <c r="B25" s="36">
        <f>VLOOKUP($A25,'Выгр Кат'!$A:$T,B$1,0)</f>
        <v>16810</v>
      </c>
      <c r="C25" s="35" t="str">
        <f>VLOOKUP($A25,'Выгр Кат'!$A:$T,C$1,0)</f>
        <v>Дефлектор ANV на капот для Лада Гранта FL</v>
      </c>
      <c r="D25" s="36" t="str">
        <f>VLOOKUP($A25,'Выгр Кат'!$A:$T,D$1,0)</f>
        <v>N</v>
      </c>
      <c r="E25" s="36" t="str">
        <f>VLOOKUP($A25,'Выгр Кат'!$A:$T,E$1,0)</f>
        <v>0</v>
      </c>
      <c r="F25" s="36">
        <f>VLOOKUP($A25,'Выгр Кат'!$A:$T,F$1,0)</f>
        <v>0</v>
      </c>
      <c r="G25" s="36" t="str">
        <f>VLOOKUP($A25,'Выгр Кат'!$A:$T,G$1,0)</f>
        <v>СЕК0152Т</v>
      </c>
      <c r="H25" s="36">
        <f>VLOOKUP($A25,'Выгр Кат'!$A:$T,H$1,0)</f>
        <v>0</v>
      </c>
      <c r="I25" s="36"/>
      <c r="J25" s="45" t="s">
        <v>44</v>
      </c>
      <c r="K25" s="46">
        <v>700</v>
      </c>
      <c r="L25" s="37">
        <f>VLOOKUP(K25,Наценка!$A$1:$B$8,2,1)</f>
        <v>1.55</v>
      </c>
      <c r="M25" s="38">
        <f t="shared" si="13"/>
        <v>1085</v>
      </c>
      <c r="N25" s="17">
        <f t="shared" si="1"/>
        <v>1090</v>
      </c>
      <c r="O25" s="36">
        <f>VLOOKUP($A25,'Выгр Кат'!$A:$T,O$1,0)</f>
        <v>700</v>
      </c>
      <c r="P25" s="36">
        <f>VLOOKUP($A25,'Выгр Кат'!$A:$T,P$1,0)</f>
        <v>1090</v>
      </c>
      <c r="Q25" s="14">
        <f t="shared" si="2"/>
        <v>0</v>
      </c>
      <c r="R25" s="14">
        <f t="shared" si="3"/>
        <v>0</v>
      </c>
      <c r="S25" s="15">
        <f t="shared" si="4"/>
        <v>927</v>
      </c>
      <c r="T25" s="39">
        <f t="shared" si="5"/>
        <v>0.32428571428571429</v>
      </c>
      <c r="U25" s="39" t="str">
        <f t="shared" si="6"/>
        <v/>
      </c>
      <c r="V25" s="39" t="str">
        <f t="shared" si="7"/>
        <v/>
      </c>
      <c r="W25" s="42"/>
      <c r="X25" s="50" t="str">
        <f>IFERROR(ROUND((VLOOKUP($A25,'Из ГУГЛа'!$B:$AD,X$1,0)+Z25)*Y25,),VLOOKUP($A25,'Из ГУГЛа'!$B:$AD,X$1,0))</f>
        <v/>
      </c>
      <c r="Y25" s="4">
        <v>1</v>
      </c>
      <c r="Z25" s="4">
        <v>0</v>
      </c>
      <c r="AA25" s="40"/>
      <c r="AB25" s="40"/>
      <c r="AC25" s="50" t="str">
        <f>IFERROR(ROUND((VLOOKUP($A25,'Из ГУГЛа'!$B:$AD,AC$1,0)+AE25)*AD25,),VLOOKUP($A25,'Из ГУГЛа'!$B:$AD,AC$1,0))</f>
        <v/>
      </c>
      <c r="AD25" s="4">
        <v>1</v>
      </c>
      <c r="AE25" s="4">
        <v>0</v>
      </c>
      <c r="AF25" s="40" t="s">
        <v>180</v>
      </c>
      <c r="AG25" s="40"/>
      <c r="AH25" s="50" t="str">
        <f>IFERROR(ROUND((VLOOKUP($A25,'Из ГУГЛа'!$B:$AD,AH$1,0)+AJ25)*AI25,),VLOOKUP($A25,'Из ГУГЛа'!$B:$AD,AH$1,0))</f>
        <v/>
      </c>
      <c r="AI25" s="4">
        <v>1</v>
      </c>
      <c r="AJ25" s="4">
        <v>0</v>
      </c>
      <c r="AK25" s="40" t="s">
        <v>180</v>
      </c>
      <c r="AL25" s="40"/>
      <c r="AM25" s="50" t="str">
        <f>IFERROR(ROUND((VLOOKUP($A25,'Из ГУГЛа'!$B:$AD,AM$1,0)+AO25)*AN25,),VLOOKUP($A25,'Из ГУГЛа'!$B:$AD,AM$1,0))</f>
        <v/>
      </c>
      <c r="AN25" s="4">
        <v>1</v>
      </c>
      <c r="AO25" s="4">
        <v>0</v>
      </c>
      <c r="AP25" s="40" t="s">
        <v>180</v>
      </c>
      <c r="AQ25" s="40"/>
    </row>
    <row r="26" spans="1:43" ht="30" x14ac:dyDescent="0.25">
      <c r="A26" s="36">
        <v>143588</v>
      </c>
      <c r="B26" s="36">
        <f>VLOOKUP($A26,'Выгр Кат'!$A:$T,B$1,0)</f>
        <v>34507</v>
      </c>
      <c r="C26" s="35" t="str">
        <f>VLOOKUP($A26,'Выгр Кат'!$A:$T,C$1,0)</f>
        <v>Дефлектор АNW заднего окна для ВАЗ 21099, 2115</v>
      </c>
      <c r="D26" s="36" t="str">
        <f>VLOOKUP($A26,'Выгр Кат'!$A:$T,D$1,0)</f>
        <v>N</v>
      </c>
      <c r="E26" s="36" t="str">
        <f>VLOOKUP($A26,'Выгр Кат'!$A:$T,E$1,0)</f>
        <v>1</v>
      </c>
      <c r="F26" s="36">
        <f>VLOOKUP($A26,'Выгр Кат'!$A:$T,F$1,0)</f>
        <v>0</v>
      </c>
      <c r="G26" s="36" t="str">
        <f>VLOOKUP($A26,'Выгр Кат'!$A:$T,G$1,0)</f>
        <v>КК0075Т</v>
      </c>
      <c r="H26" s="36">
        <f>VLOOKUP($A26,'Выгр Кат'!$A:$T,H$1,0)</f>
        <v>0</v>
      </c>
      <c r="I26" s="36"/>
      <c r="J26" s="45" t="s">
        <v>44</v>
      </c>
      <c r="K26" s="46">
        <v>410</v>
      </c>
      <c r="L26" s="37">
        <f>VLOOKUP(K26,Наценка!$A$1:$B$8,2,1)</f>
        <v>1.6</v>
      </c>
      <c r="M26" s="38">
        <f t="shared" si="13"/>
        <v>656</v>
      </c>
      <c r="N26" s="17">
        <f t="shared" si="1"/>
        <v>659</v>
      </c>
      <c r="O26" s="36">
        <f>VLOOKUP($A26,'Выгр Кат'!$A:$T,O$1,0)</f>
        <v>410</v>
      </c>
      <c r="P26" s="36">
        <f>VLOOKUP($A26,'Выгр Кат'!$A:$T,P$1,0)</f>
        <v>659</v>
      </c>
      <c r="Q26" s="14">
        <f t="shared" si="2"/>
        <v>0</v>
      </c>
      <c r="R26" s="14">
        <f t="shared" si="3"/>
        <v>0</v>
      </c>
      <c r="S26" s="15">
        <f t="shared" si="4"/>
        <v>560</v>
      </c>
      <c r="T26" s="39">
        <f t="shared" si="5"/>
        <v>0.36585365853658547</v>
      </c>
      <c r="U26" s="39" t="str">
        <f t="shared" si="6"/>
        <v/>
      </c>
      <c r="V26" s="39" t="str">
        <f t="shared" si="7"/>
        <v/>
      </c>
      <c r="W26" s="42"/>
      <c r="X26" s="50" t="str">
        <f>IFERROR(ROUND((VLOOKUP($A26,'Из ГУГЛа'!$B:$AD,X$1,0)+Z26)*Y26,),VLOOKUP($A26,'Из ГУГЛа'!$B:$AD,X$1,0))</f>
        <v/>
      </c>
      <c r="Y26" s="4">
        <v>1</v>
      </c>
      <c r="Z26" s="4">
        <v>0</v>
      </c>
      <c r="AA26" s="40"/>
      <c r="AB26" s="40"/>
      <c r="AC26" s="50" t="str">
        <f>IFERROR(ROUND((VLOOKUP($A26,'Из ГУГЛа'!$B:$AD,AC$1,0)+AE26)*AD26,),VLOOKUP($A26,'Из ГУГЛа'!$B:$AD,AC$1,0))</f>
        <v/>
      </c>
      <c r="AD26" s="4">
        <v>1</v>
      </c>
      <c r="AE26" s="4">
        <v>0</v>
      </c>
      <c r="AF26" s="40" t="s">
        <v>180</v>
      </c>
      <c r="AG26" s="40"/>
      <c r="AH26" s="50" t="str">
        <f>IFERROR(ROUND((VLOOKUP($A26,'Из ГУГЛа'!$B:$AD,AH$1,0)+AJ26)*AI26,),VLOOKUP($A26,'Из ГУГЛа'!$B:$AD,AH$1,0))</f>
        <v/>
      </c>
      <c r="AI26" s="4">
        <v>1</v>
      </c>
      <c r="AJ26" s="4">
        <v>0</v>
      </c>
      <c r="AK26" s="40" t="s">
        <v>180</v>
      </c>
      <c r="AL26" s="40"/>
      <c r="AM26" s="50" t="str">
        <f>IFERROR(ROUND((VLOOKUP($A26,'Из ГУГЛа'!$B:$AD,AM$1,0)+AO26)*AN26,),VLOOKUP($A26,'Из ГУГЛа'!$B:$AD,AM$1,0))</f>
        <v/>
      </c>
      <c r="AN26" s="4">
        <v>1</v>
      </c>
      <c r="AO26" s="4">
        <v>0</v>
      </c>
      <c r="AP26" s="40" t="s">
        <v>180</v>
      </c>
      <c r="AQ26" s="40"/>
    </row>
    <row r="27" spans="1:43" ht="45" x14ac:dyDescent="0.25">
      <c r="A27" s="36">
        <v>143598</v>
      </c>
      <c r="B27" s="36">
        <f>VLOOKUP($A27,'Выгр Кат'!$A:$T,B$1,0)</f>
        <v>7970</v>
      </c>
      <c r="C27" s="35" t="str">
        <f>VLOOKUP($A27,'Выгр Кат'!$A:$T,C$1,0)</f>
        <v>Дефлектор двери ANV для Лада Калина седан, хэтчбек, Калина 2 хэтчбек</v>
      </c>
      <c r="D27" s="36" t="str">
        <f>VLOOKUP($A27,'Выгр Кат'!$A:$T,D$1,0)</f>
        <v>N</v>
      </c>
      <c r="E27" s="36" t="str">
        <f>VLOOKUP($A27,'Выгр Кат'!$A:$T,E$1,0)</f>
        <v>1</v>
      </c>
      <c r="F27" s="36">
        <f>VLOOKUP($A27,'Выгр Кат'!$A:$T,F$1,0)</f>
        <v>0</v>
      </c>
      <c r="G27" s="36">
        <f>VLOOKUP($A27,'Выгр Кат'!$A:$T,G$1,0)</f>
        <v>0</v>
      </c>
      <c r="H27" s="36">
        <f>VLOOKUP($A27,'Выгр Кат'!$A:$T,H$1,0)</f>
        <v>0</v>
      </c>
      <c r="I27" s="36"/>
      <c r="J27" s="45" t="s">
        <v>44</v>
      </c>
      <c r="K27" s="46">
        <v>480</v>
      </c>
      <c r="L27" s="37">
        <f>VLOOKUP(K27,Наценка!$A$1:$B$8,2,1)</f>
        <v>1.6</v>
      </c>
      <c r="M27" s="38">
        <f t="shared" si="13"/>
        <v>768</v>
      </c>
      <c r="N27" s="17">
        <f t="shared" si="1"/>
        <v>769</v>
      </c>
      <c r="O27" s="36">
        <f>VLOOKUP($A27,'Выгр Кат'!$A:$T,O$1,0)</f>
        <v>480</v>
      </c>
      <c r="P27" s="36">
        <f>VLOOKUP($A27,'Выгр Кат'!$A:$T,P$1,0)</f>
        <v>769</v>
      </c>
      <c r="Q27" s="14">
        <f t="shared" si="2"/>
        <v>0</v>
      </c>
      <c r="R27" s="14">
        <f t="shared" si="3"/>
        <v>0</v>
      </c>
      <c r="S27" s="15">
        <f t="shared" si="4"/>
        <v>654</v>
      </c>
      <c r="T27" s="39">
        <f t="shared" si="5"/>
        <v>0.36250000000000004</v>
      </c>
      <c r="U27" s="39" t="str">
        <f t="shared" si="6"/>
        <v/>
      </c>
      <c r="V27" s="39" t="str">
        <f t="shared" si="7"/>
        <v/>
      </c>
      <c r="W27" s="42"/>
      <c r="X27" s="50" t="str">
        <f>IFERROR(ROUND((VLOOKUP($A27,'Из ГУГЛа'!$B:$AD,X$1,0)+Z27)*Y27,),VLOOKUP($A27,'Из ГУГЛа'!$B:$AD,X$1,0))</f>
        <v/>
      </c>
      <c r="Y27" s="4">
        <v>1</v>
      </c>
      <c r="Z27" s="4">
        <v>0</v>
      </c>
      <c r="AA27" s="40"/>
      <c r="AB27" s="40"/>
      <c r="AC27" s="50" t="str">
        <f>IFERROR(ROUND((VLOOKUP($A27,'Из ГУГЛа'!$B:$AD,AC$1,0)+AE27)*AD27,),VLOOKUP($A27,'Из ГУГЛа'!$B:$AD,AC$1,0))</f>
        <v/>
      </c>
      <c r="AD27" s="4">
        <v>1</v>
      </c>
      <c r="AE27" s="4">
        <v>0</v>
      </c>
      <c r="AF27" s="40" t="s">
        <v>180</v>
      </c>
      <c r="AG27" s="40"/>
      <c r="AH27" s="50" t="str">
        <f>IFERROR(ROUND((VLOOKUP($A27,'Из ГУГЛа'!$B:$AD,AH$1,0)+AJ27)*AI27,),VLOOKUP($A27,'Из ГУГЛа'!$B:$AD,AH$1,0))</f>
        <v/>
      </c>
      <c r="AI27" s="4">
        <v>1</v>
      </c>
      <c r="AJ27" s="4">
        <v>0</v>
      </c>
      <c r="AK27" s="40" t="s">
        <v>180</v>
      </c>
      <c r="AL27" s="40"/>
      <c r="AM27" s="50" t="str">
        <f>IFERROR(ROUND((VLOOKUP($A27,'Из ГУГЛа'!$B:$AD,AM$1,0)+AO27)*AN27,),VLOOKUP($A27,'Из ГУГЛа'!$B:$AD,AM$1,0))</f>
        <v/>
      </c>
      <c r="AN27" s="4">
        <v>1</v>
      </c>
      <c r="AO27" s="4">
        <v>0</v>
      </c>
      <c r="AP27" s="40" t="s">
        <v>180</v>
      </c>
      <c r="AQ27" s="40"/>
    </row>
    <row r="28" spans="1:43" ht="30" x14ac:dyDescent="0.25">
      <c r="A28" s="36">
        <v>143599</v>
      </c>
      <c r="B28" s="36">
        <f>VLOOKUP($A28,'Выгр Кат'!$A:$T,B$1,0)</f>
        <v>7972</v>
      </c>
      <c r="C28" s="35" t="str">
        <f>VLOOKUP($A28,'Выгр Кат'!$A:$T,C$1,0)</f>
        <v>Дефлектор двери ANV для Лада Калина, Калина 2 универсал</v>
      </c>
      <c r="D28" s="36" t="str">
        <f>VLOOKUP($A28,'Выгр Кат'!$A:$T,D$1,0)</f>
        <v>N</v>
      </c>
      <c r="E28" s="36" t="str">
        <f>VLOOKUP($A28,'Выгр Кат'!$A:$T,E$1,0)</f>
        <v>1</v>
      </c>
      <c r="F28" s="36">
        <f>VLOOKUP($A28,'Выгр Кат'!$A:$T,F$1,0)</f>
        <v>0</v>
      </c>
      <c r="G28" s="36" t="str">
        <f>VLOOKUP($A28,'Выгр Кат'!$A:$T,G$1,0)</f>
        <v>ДК0065С</v>
      </c>
      <c r="H28" s="36">
        <f>VLOOKUP($A28,'Выгр Кат'!$A:$T,H$1,0)</f>
        <v>0</v>
      </c>
      <c r="I28" s="36"/>
      <c r="J28" s="45" t="s">
        <v>44</v>
      </c>
      <c r="K28" s="46">
        <v>540</v>
      </c>
      <c r="L28" s="37">
        <f>VLOOKUP(K28,Наценка!$A$1:$B$8,2,1)</f>
        <v>1.55</v>
      </c>
      <c r="M28" s="38">
        <f t="shared" si="13"/>
        <v>837</v>
      </c>
      <c r="N28" s="17">
        <f t="shared" si="1"/>
        <v>839</v>
      </c>
      <c r="O28" s="36">
        <f>VLOOKUP($A28,'Выгр Кат'!$A:$T,O$1,0)</f>
        <v>540</v>
      </c>
      <c r="P28" s="36">
        <f>VLOOKUP($A28,'Выгр Кат'!$A:$T,P$1,0)</f>
        <v>839</v>
      </c>
      <c r="Q28" s="14">
        <f t="shared" si="2"/>
        <v>0</v>
      </c>
      <c r="R28" s="14">
        <f t="shared" si="3"/>
        <v>0</v>
      </c>
      <c r="S28" s="15">
        <f t="shared" si="4"/>
        <v>713</v>
      </c>
      <c r="T28" s="39">
        <f t="shared" si="5"/>
        <v>0.32037037037037042</v>
      </c>
      <c r="U28" s="39" t="str">
        <f t="shared" si="6"/>
        <v/>
      </c>
      <c r="V28" s="39" t="str">
        <f t="shared" si="7"/>
        <v/>
      </c>
      <c r="W28" s="42"/>
      <c r="X28" s="50" t="str">
        <f>IFERROR(ROUND((VLOOKUP($A28,'Из ГУГЛа'!$B:$AD,X$1,0)+Z28)*Y28,),VLOOKUP($A28,'Из ГУГЛа'!$B:$AD,X$1,0))</f>
        <v/>
      </c>
      <c r="Y28" s="4">
        <v>1</v>
      </c>
      <c r="Z28" s="4">
        <v>0</v>
      </c>
      <c r="AA28" s="40"/>
      <c r="AB28" s="40"/>
      <c r="AC28" s="50" t="str">
        <f>IFERROR(ROUND((VLOOKUP($A28,'Из ГУГЛа'!$B:$AD,AC$1,0)+AE28)*AD28,),VLOOKUP($A28,'Из ГУГЛа'!$B:$AD,AC$1,0))</f>
        <v/>
      </c>
      <c r="AD28" s="4">
        <v>1</v>
      </c>
      <c r="AE28" s="4">
        <v>0</v>
      </c>
      <c r="AF28" s="40" t="s">
        <v>180</v>
      </c>
      <c r="AG28" s="40"/>
      <c r="AH28" s="50" t="str">
        <f>IFERROR(ROUND((VLOOKUP($A28,'Из ГУГЛа'!$B:$AD,AH$1,0)+AJ28)*AI28,),VLOOKUP($A28,'Из ГУГЛа'!$B:$AD,AH$1,0))</f>
        <v/>
      </c>
      <c r="AI28" s="4">
        <v>1</v>
      </c>
      <c r="AJ28" s="4">
        <v>0</v>
      </c>
      <c r="AK28" s="40" t="s">
        <v>180</v>
      </c>
      <c r="AL28" s="40"/>
      <c r="AM28" s="50" t="str">
        <f>IFERROR(ROUND((VLOOKUP($A28,'Из ГУГЛа'!$B:$AD,AM$1,0)+AO28)*AN28,),VLOOKUP($A28,'Из ГУГЛа'!$B:$AD,AM$1,0))</f>
        <v/>
      </c>
      <c r="AN28" s="4">
        <v>1</v>
      </c>
      <c r="AO28" s="4">
        <v>0</v>
      </c>
      <c r="AP28" s="40" t="s">
        <v>180</v>
      </c>
      <c r="AQ28" s="40"/>
    </row>
    <row r="29" spans="1:43" ht="30" x14ac:dyDescent="0.25">
      <c r="A29" s="36">
        <v>143600</v>
      </c>
      <c r="B29" s="36">
        <f>VLOOKUP($A29,'Выгр Кат'!$A:$T,B$1,0)</f>
        <v>10246</v>
      </c>
      <c r="C29" s="35" t="str">
        <f>VLOOKUP($A29,'Выгр Кат'!$A:$T,C$1,0)</f>
        <v>Дефлектор двери ANV для Лада Нива 4x4  5-ти дверная</v>
      </c>
      <c r="D29" s="36" t="str">
        <f>VLOOKUP($A29,'Выгр Кат'!$A:$T,D$1,0)</f>
        <v>N</v>
      </c>
      <c r="E29" s="36" t="str">
        <f>VLOOKUP($A29,'Выгр Кат'!$A:$T,E$1,0)</f>
        <v>1</v>
      </c>
      <c r="F29" s="36">
        <f>VLOOKUP($A29,'Выгр Кат'!$A:$T,F$1,0)</f>
        <v>0</v>
      </c>
      <c r="G29" s="36">
        <f>VLOOKUP($A29,'Выгр Кат'!$A:$T,G$1,0)</f>
        <v>0</v>
      </c>
      <c r="H29" s="36">
        <f>VLOOKUP($A29,'Выгр Кат'!$A:$T,H$1,0)</f>
        <v>0</v>
      </c>
      <c r="I29" s="36"/>
      <c r="J29" s="45" t="s">
        <v>44</v>
      </c>
      <c r="K29" s="46">
        <v>540</v>
      </c>
      <c r="L29" s="37">
        <f>VLOOKUP(K29,Наценка!$A$1:$B$8,2,1)</f>
        <v>1.55</v>
      </c>
      <c r="M29" s="38">
        <f t="shared" si="13"/>
        <v>837</v>
      </c>
      <c r="N29" s="17">
        <f t="shared" si="1"/>
        <v>839</v>
      </c>
      <c r="O29" s="36">
        <f>VLOOKUP($A29,'Выгр Кат'!$A:$T,O$1,0)</f>
        <v>540</v>
      </c>
      <c r="P29" s="36">
        <f>VLOOKUP($A29,'Выгр Кат'!$A:$T,P$1,0)</f>
        <v>839</v>
      </c>
      <c r="Q29" s="14">
        <f t="shared" si="2"/>
        <v>0</v>
      </c>
      <c r="R29" s="14">
        <f t="shared" si="3"/>
        <v>0</v>
      </c>
      <c r="S29" s="15">
        <f t="shared" si="4"/>
        <v>713</v>
      </c>
      <c r="T29" s="39">
        <f t="shared" si="5"/>
        <v>0.32037037037037042</v>
      </c>
      <c r="U29" s="39" t="str">
        <f t="shared" si="6"/>
        <v/>
      </c>
      <c r="V29" s="39" t="str">
        <f t="shared" si="7"/>
        <v/>
      </c>
      <c r="W29" s="42"/>
      <c r="X29" s="50" t="str">
        <f>IFERROR(ROUND((VLOOKUP($A29,'Из ГУГЛа'!$B:$AD,X$1,0)+Z29)*Y29,),VLOOKUP($A29,'Из ГУГЛа'!$B:$AD,X$1,0))</f>
        <v/>
      </c>
      <c r="Y29" s="4">
        <v>1</v>
      </c>
      <c r="Z29" s="4">
        <v>0</v>
      </c>
      <c r="AA29" s="40"/>
      <c r="AB29" s="40"/>
      <c r="AC29" s="50" t="str">
        <f>IFERROR(ROUND((VLOOKUP($A29,'Из ГУГЛа'!$B:$AD,AC$1,0)+AE29)*AD29,),VLOOKUP($A29,'Из ГУГЛа'!$B:$AD,AC$1,0))</f>
        <v/>
      </c>
      <c r="AD29" s="4">
        <v>1</v>
      </c>
      <c r="AE29" s="4">
        <v>0</v>
      </c>
      <c r="AF29" s="40" t="s">
        <v>180</v>
      </c>
      <c r="AG29" s="40"/>
      <c r="AH29" s="50" t="str">
        <f>IFERROR(ROUND((VLOOKUP($A29,'Из ГУГЛа'!$B:$AD,AH$1,0)+AJ29)*AI29,),VLOOKUP($A29,'Из ГУГЛа'!$B:$AD,AH$1,0))</f>
        <v/>
      </c>
      <c r="AI29" s="4">
        <v>1</v>
      </c>
      <c r="AJ29" s="4">
        <v>0</v>
      </c>
      <c r="AK29" s="40" t="s">
        <v>180</v>
      </c>
      <c r="AL29" s="40"/>
      <c r="AM29" s="50" t="str">
        <f>IFERROR(ROUND((VLOOKUP($A29,'Из ГУГЛа'!$B:$AD,AM$1,0)+AO29)*AN29,),VLOOKUP($A29,'Из ГУГЛа'!$B:$AD,AM$1,0))</f>
        <v/>
      </c>
      <c r="AN29" s="4">
        <v>1</v>
      </c>
      <c r="AO29" s="4">
        <v>0</v>
      </c>
      <c r="AP29" s="40" t="s">
        <v>180</v>
      </c>
      <c r="AQ29" s="40"/>
    </row>
    <row r="30" spans="1:43" ht="30" x14ac:dyDescent="0.25">
      <c r="A30" s="36">
        <v>143604</v>
      </c>
      <c r="B30" s="36">
        <f>VLOOKUP($A30,'Выгр Кат'!$A:$T,B$1,0)</f>
        <v>18300</v>
      </c>
      <c r="C30" s="35" t="str">
        <f>VLOOKUP($A30,'Выгр Кат'!$A:$T,C$1,0)</f>
        <v>Дефлектор двери COBRA TUNING для Лада Нива 4x4 5-ти дверная</v>
      </c>
      <c r="D30" s="36" t="str">
        <f>VLOOKUP($A30,'Выгр Кат'!$A:$T,D$1,0)</f>
        <v>Y</v>
      </c>
      <c r="E30" s="36" t="str">
        <f>VLOOKUP($A30,'Выгр Кат'!$A:$T,E$1,0)</f>
        <v>1</v>
      </c>
      <c r="F30" s="36">
        <f>VLOOKUP($A30,'Выгр Кат'!$A:$T,F$1,0)</f>
        <v>0</v>
      </c>
      <c r="G30" s="36">
        <f>VLOOKUP($A30,'Выгр Кат'!$A:$T,G$1,0)</f>
        <v>0</v>
      </c>
      <c r="H30" s="36">
        <f>VLOOKUP($A30,'Выгр Кат'!$A:$T,H$1,0)</f>
        <v>0</v>
      </c>
      <c r="I30" s="36"/>
      <c r="J30" s="45" t="s">
        <v>44</v>
      </c>
      <c r="K30" s="46">
        <v>730</v>
      </c>
      <c r="L30" s="37">
        <f>VLOOKUP(K30,Наценка!$A$1:$B$8,2,1)</f>
        <v>1.55</v>
      </c>
      <c r="M30" s="23">
        <f>W30*1.08</f>
        <v>1634.0400000000002</v>
      </c>
      <c r="N30" s="17">
        <f t="shared" si="1"/>
        <v>1690</v>
      </c>
      <c r="O30" s="36">
        <f>VLOOKUP($A30,'Выгр Кат'!$A:$T,O$1,0)</f>
        <v>730</v>
      </c>
      <c r="P30" s="36">
        <f>VLOOKUP($A30,'Выгр Кат'!$A:$T,P$1,0)</f>
        <v>1690</v>
      </c>
      <c r="Q30" s="14">
        <f t="shared" si="2"/>
        <v>0</v>
      </c>
      <c r="R30" s="14">
        <f t="shared" si="3"/>
        <v>0</v>
      </c>
      <c r="S30" s="15">
        <f t="shared" si="4"/>
        <v>1437</v>
      </c>
      <c r="T30" s="39">
        <f t="shared" si="5"/>
        <v>0.96849315068493147</v>
      </c>
      <c r="U30" s="39">
        <f t="shared" si="6"/>
        <v>5.023132848645076E-2</v>
      </c>
      <c r="V30" s="39">
        <f t="shared" si="7"/>
        <v>1.0726027397260274</v>
      </c>
      <c r="W30" s="54">
        <f>AF30</f>
        <v>1513</v>
      </c>
      <c r="X30" s="50" t="str">
        <f>IFERROR(ROUND((VLOOKUP($A30,'Из ГУГЛа'!$B:$AD,X$1,0)+Z30)*Y30,),VLOOKUP($A30,'Из ГУГЛа'!$B:$AD,X$1,0))</f>
        <v/>
      </c>
      <c r="Y30" s="4">
        <v>1</v>
      </c>
      <c r="Z30" s="4">
        <v>0</v>
      </c>
      <c r="AA30" s="40">
        <v>1590</v>
      </c>
      <c r="AB30" s="40" t="s">
        <v>139</v>
      </c>
      <c r="AC30" s="50" t="str">
        <f>IFERROR(ROUND((VLOOKUP($A30,'Из ГУГЛа'!$B:$AD,AC$1,0)+AE30)*AD30,),VLOOKUP($A30,'Из ГУГЛа'!$B:$AD,AC$1,0))</f>
        <v/>
      </c>
      <c r="AD30" s="4">
        <v>1</v>
      </c>
      <c r="AE30" s="4">
        <v>0</v>
      </c>
      <c r="AF30" s="40">
        <v>1513</v>
      </c>
      <c r="AG30" s="40" t="s">
        <v>184</v>
      </c>
      <c r="AH30" s="50" t="str">
        <f>IFERROR(ROUND((VLOOKUP($A30,'Из ГУГЛа'!$B:$AD,AH$1,0)+AJ30)*AI30,),VLOOKUP($A30,'Из ГУГЛа'!$B:$AD,AH$1,0))</f>
        <v/>
      </c>
      <c r="AI30" s="4">
        <v>1</v>
      </c>
      <c r="AJ30" s="4">
        <v>0</v>
      </c>
      <c r="AK30" s="40">
        <v>1290</v>
      </c>
      <c r="AL30" s="40" t="s">
        <v>193</v>
      </c>
      <c r="AM30" s="50" t="str">
        <f>IFERROR(ROUND((VLOOKUP($A30,'Из ГУГЛа'!$B:$AD,AM$1,0)+AO30)*AN30,),VLOOKUP($A30,'Из ГУГЛа'!$B:$AD,AM$1,0))</f>
        <v/>
      </c>
      <c r="AN30" s="4">
        <v>1</v>
      </c>
      <c r="AO30" s="4">
        <v>0</v>
      </c>
      <c r="AP30" s="40" t="s">
        <v>180</v>
      </c>
      <c r="AQ30" s="40"/>
    </row>
    <row r="31" spans="1:43" ht="45" x14ac:dyDescent="0.25">
      <c r="A31" s="36">
        <v>143609</v>
      </c>
      <c r="B31" s="36">
        <f>VLOOKUP($A31,'Выгр Кат'!$A:$T,B$1,0)</f>
        <v>7395</v>
      </c>
      <c r="C31" s="35" t="str">
        <f>VLOOKUP($A31,'Выгр Кат'!$A:$T,C$1,0)</f>
        <v>Дефлектор двери комплект с большим уголком зеркала для ВАЗ 2110-2112, Лада Приора, Приора 2</v>
      </c>
      <c r="D31" s="36" t="str">
        <f>VLOOKUP($A31,'Выгр Кат'!$A:$T,D$1,0)</f>
        <v>N</v>
      </c>
      <c r="E31" s="36" t="str">
        <f>VLOOKUP($A31,'Выгр Кат'!$A:$T,E$1,0)</f>
        <v>0</v>
      </c>
      <c r="F31" s="36">
        <f>VLOOKUP($A31,'Выгр Кат'!$A:$T,F$1,0)</f>
        <v>0</v>
      </c>
      <c r="G31" s="36" t="str">
        <f>VLOOKUP($A31,'Выгр Кат'!$A:$T,G$1,0)</f>
        <v>ДК0076С</v>
      </c>
      <c r="H31" s="36">
        <f>VLOOKUP($A31,'Выгр Кат'!$A:$T,H$1,0)</f>
        <v>0</v>
      </c>
      <c r="I31" s="36"/>
      <c r="J31" s="45" t="s">
        <v>44</v>
      </c>
      <c r="K31" s="46">
        <v>390</v>
      </c>
      <c r="L31" s="37">
        <f>VLOOKUP(K31,Наценка!$A$1:$B$8,2,1)</f>
        <v>1.6</v>
      </c>
      <c r="M31" s="38">
        <f t="shared" si="13"/>
        <v>624</v>
      </c>
      <c r="N31" s="17">
        <f t="shared" si="1"/>
        <v>629</v>
      </c>
      <c r="O31" s="36">
        <f>VLOOKUP($A31,'Выгр Кат'!$A:$T,O$1,0)</f>
        <v>390</v>
      </c>
      <c r="P31" s="36">
        <f>VLOOKUP($A31,'Выгр Кат'!$A:$T,P$1,0)</f>
        <v>629</v>
      </c>
      <c r="Q31" s="14">
        <f t="shared" si="2"/>
        <v>0</v>
      </c>
      <c r="R31" s="14">
        <f t="shared" si="3"/>
        <v>0</v>
      </c>
      <c r="S31" s="15">
        <f t="shared" si="4"/>
        <v>535</v>
      </c>
      <c r="T31" s="39">
        <f t="shared" si="5"/>
        <v>0.37179487179487181</v>
      </c>
      <c r="U31" s="39" t="str">
        <f t="shared" si="6"/>
        <v/>
      </c>
      <c r="V31" s="39" t="str">
        <f t="shared" si="7"/>
        <v/>
      </c>
      <c r="W31" s="42"/>
      <c r="X31" s="50" t="str">
        <f>IFERROR(ROUND((VLOOKUP($A31,'Из ГУГЛа'!$B:$AD,X$1,0)+Z31)*Y31,),VLOOKUP($A31,'Из ГУГЛа'!$B:$AD,X$1,0))</f>
        <v/>
      </c>
      <c r="Y31" s="4">
        <v>1</v>
      </c>
      <c r="Z31" s="4">
        <v>0</v>
      </c>
      <c r="AA31" s="40"/>
      <c r="AB31" s="40"/>
      <c r="AC31" s="50" t="str">
        <f>IFERROR(ROUND((VLOOKUP($A31,'Из ГУГЛа'!$B:$AD,AC$1,0)+AE31)*AD31,),VLOOKUP($A31,'Из ГУГЛа'!$B:$AD,AC$1,0))</f>
        <v/>
      </c>
      <c r="AD31" s="4">
        <v>1</v>
      </c>
      <c r="AE31" s="4">
        <v>0</v>
      </c>
      <c r="AF31" s="40" t="s">
        <v>180</v>
      </c>
      <c r="AG31" s="40"/>
      <c r="AH31" s="50" t="str">
        <f>IFERROR(ROUND((VLOOKUP($A31,'Из ГУГЛа'!$B:$AD,AH$1,0)+AJ31)*AI31,),VLOOKUP($A31,'Из ГУГЛа'!$B:$AD,AH$1,0))</f>
        <v/>
      </c>
      <c r="AI31" s="4">
        <v>1</v>
      </c>
      <c r="AJ31" s="4">
        <v>0</v>
      </c>
      <c r="AK31" s="40" t="s">
        <v>180</v>
      </c>
      <c r="AL31" s="40"/>
      <c r="AM31" s="50" t="str">
        <f>IFERROR(ROUND((VLOOKUP($A31,'Из ГУГЛа'!$B:$AD,AM$1,0)+AO31)*AN31,),VLOOKUP($A31,'Из ГУГЛа'!$B:$AD,AM$1,0))</f>
        <v/>
      </c>
      <c r="AN31" s="4">
        <v>1</v>
      </c>
      <c r="AO31" s="4">
        <v>0</v>
      </c>
      <c r="AP31" s="40" t="s">
        <v>180</v>
      </c>
      <c r="AQ31" s="40"/>
    </row>
    <row r="32" spans="1:43" ht="30" x14ac:dyDescent="0.25">
      <c r="A32" s="36">
        <v>143633</v>
      </c>
      <c r="B32" s="36">
        <f>VLOOKUP($A32,'Выгр Кат'!$A:$T,B$1,0)</f>
        <v>27404</v>
      </c>
      <c r="C32" s="35" t="str">
        <f>VLOOKUP($A32,'Выгр Кат'!$A:$T,C$1,0)</f>
        <v>Дефлектор заднего окна ANV для ВАЗ 2110</v>
      </c>
      <c r="D32" s="36" t="str">
        <f>VLOOKUP($A32,'Выгр Кат'!$A:$T,D$1,0)</f>
        <v>N</v>
      </c>
      <c r="E32" s="36" t="str">
        <f>VLOOKUP($A32,'Выгр Кат'!$A:$T,E$1,0)</f>
        <v>1</v>
      </c>
      <c r="F32" s="36">
        <f>VLOOKUP($A32,'Выгр Кат'!$A:$T,F$1,0)</f>
        <v>0</v>
      </c>
      <c r="G32" s="36">
        <f>VLOOKUP($A32,'Выгр Кат'!$A:$T,G$1,0)</f>
        <v>0</v>
      </c>
      <c r="H32" s="36">
        <f>VLOOKUP($A32,'Выгр Кат'!$A:$T,H$1,0)</f>
        <v>0</v>
      </c>
      <c r="I32" s="36"/>
      <c r="J32" s="45" t="s">
        <v>44</v>
      </c>
      <c r="K32" s="46">
        <v>400</v>
      </c>
      <c r="L32" s="37">
        <f>VLOOKUP(K32,Наценка!$A$1:$B$8,2,1)</f>
        <v>1.6</v>
      </c>
      <c r="M32" s="38">
        <f t="shared" si="13"/>
        <v>640</v>
      </c>
      <c r="N32" s="17">
        <f t="shared" si="1"/>
        <v>639</v>
      </c>
      <c r="O32" s="36">
        <f>VLOOKUP($A32,'Выгр Кат'!$A:$T,O$1,0)</f>
        <v>400</v>
      </c>
      <c r="P32" s="36">
        <f>VLOOKUP($A32,'Выгр Кат'!$A:$T,P$1,0)</f>
        <v>639</v>
      </c>
      <c r="Q32" s="14">
        <f t="shared" si="2"/>
        <v>0</v>
      </c>
      <c r="R32" s="14">
        <f t="shared" si="3"/>
        <v>0</v>
      </c>
      <c r="S32" s="15">
        <f t="shared" si="4"/>
        <v>543</v>
      </c>
      <c r="T32" s="39">
        <f t="shared" si="5"/>
        <v>0.35749999999999993</v>
      </c>
      <c r="U32" s="39" t="str">
        <f t="shared" si="6"/>
        <v/>
      </c>
      <c r="V32" s="39" t="str">
        <f t="shared" si="7"/>
        <v/>
      </c>
      <c r="W32" s="42"/>
      <c r="X32" s="50" t="str">
        <f>IFERROR(ROUND((VLOOKUP($A32,'Из ГУГЛа'!$B:$AD,X$1,0)+Z32)*Y32,),VLOOKUP($A32,'Из ГУГЛа'!$B:$AD,X$1,0))</f>
        <v/>
      </c>
      <c r="Y32" s="4">
        <v>1</v>
      </c>
      <c r="Z32" s="4">
        <v>0</v>
      </c>
      <c r="AA32" s="40"/>
      <c r="AB32" s="40"/>
      <c r="AC32" s="50" t="str">
        <f>IFERROR(ROUND((VLOOKUP($A32,'Из ГУГЛа'!$B:$AD,AC$1,0)+AE32)*AD32,),VLOOKUP($A32,'Из ГУГЛа'!$B:$AD,AC$1,0))</f>
        <v/>
      </c>
      <c r="AD32" s="4">
        <v>1</v>
      </c>
      <c r="AE32" s="4">
        <v>0</v>
      </c>
      <c r="AF32" s="40" t="s">
        <v>180</v>
      </c>
      <c r="AG32" s="40"/>
      <c r="AH32" s="50" t="str">
        <f>IFERROR(ROUND((VLOOKUP($A32,'Из ГУГЛа'!$B:$AD,AH$1,0)+AJ32)*AI32,),VLOOKUP($A32,'Из ГУГЛа'!$B:$AD,AH$1,0))</f>
        <v/>
      </c>
      <c r="AI32" s="4">
        <v>1</v>
      </c>
      <c r="AJ32" s="4">
        <v>0</v>
      </c>
      <c r="AK32" s="40" t="s">
        <v>180</v>
      </c>
      <c r="AL32" s="40"/>
      <c r="AM32" s="50" t="str">
        <f>IFERROR(ROUND((VLOOKUP($A32,'Из ГУГЛа'!$B:$AD,AM$1,0)+AO32)*AN32,),VLOOKUP($A32,'Из ГУГЛа'!$B:$AD,AM$1,0))</f>
        <v/>
      </c>
      <c r="AN32" s="4">
        <v>1</v>
      </c>
      <c r="AO32" s="4">
        <v>0</v>
      </c>
      <c r="AP32" s="40" t="s">
        <v>180</v>
      </c>
      <c r="AQ32" s="40"/>
    </row>
    <row r="33" spans="1:43" ht="30" x14ac:dyDescent="0.25">
      <c r="A33" s="36">
        <v>143638</v>
      </c>
      <c r="B33" s="36">
        <f>VLOOKUP($A33,'Выгр Кат'!$A:$T,B$1,0)</f>
        <v>7981</v>
      </c>
      <c r="C33" s="35" t="str">
        <f>VLOOKUP($A33,'Выгр Кат'!$A:$T,C$1,0)</f>
        <v>Дефлектор заднего окна ANV для Лада Веста седан</v>
      </c>
      <c r="D33" s="36" t="str">
        <f>VLOOKUP($A33,'Выгр Кат'!$A:$T,D$1,0)</f>
        <v>Y</v>
      </c>
      <c r="E33" s="36" t="str">
        <f>VLOOKUP($A33,'Выгр Кат'!$A:$T,E$1,0)</f>
        <v>1</v>
      </c>
      <c r="F33" s="36">
        <f>VLOOKUP($A33,'Выгр Кат'!$A:$T,F$1,0)</f>
        <v>0</v>
      </c>
      <c r="G33" s="36">
        <f>VLOOKUP($A33,'Выгр Кат'!$A:$T,G$1,0)</f>
        <v>0</v>
      </c>
      <c r="H33" s="36">
        <f>VLOOKUP($A33,'Выгр Кат'!$A:$T,H$1,0)</f>
        <v>0</v>
      </c>
      <c r="I33" s="36"/>
      <c r="J33" s="45" t="s">
        <v>44</v>
      </c>
      <c r="K33" s="46">
        <v>380</v>
      </c>
      <c r="L33" s="37">
        <f>VLOOKUP(K33,Наценка!$A$1:$B$8,2,1)</f>
        <v>1.6</v>
      </c>
      <c r="M33" s="23">
        <f>W33*1.13</f>
        <v>1279.1599999999999</v>
      </c>
      <c r="N33" s="17">
        <f t="shared" si="1"/>
        <v>1290</v>
      </c>
      <c r="O33" s="36">
        <f>VLOOKUP($A33,'Выгр Кат'!$A:$T,O$1,0)</f>
        <v>380</v>
      </c>
      <c r="P33" s="36">
        <f>VLOOKUP($A33,'Выгр Кат'!$A:$T,P$1,0)</f>
        <v>1290</v>
      </c>
      <c r="Q33" s="14">
        <f t="shared" si="2"/>
        <v>0</v>
      </c>
      <c r="R33" s="14">
        <f t="shared" si="3"/>
        <v>0</v>
      </c>
      <c r="S33" s="15">
        <f t="shared" si="4"/>
        <v>1097</v>
      </c>
      <c r="T33" s="39">
        <f t="shared" si="5"/>
        <v>1.8868421052631579</v>
      </c>
      <c r="U33" s="39">
        <f t="shared" si="6"/>
        <v>3.0918727915194347E-2</v>
      </c>
      <c r="V33" s="39">
        <f t="shared" si="7"/>
        <v>1.9789473684210526</v>
      </c>
      <c r="W33" s="54">
        <f>AF33</f>
        <v>1132</v>
      </c>
      <c r="X33" s="50" t="str">
        <f>IFERROR(ROUND((VLOOKUP($A33,'Из ГУГЛа'!$B:$AD,X$1,0)+Z33)*Y33,),VLOOKUP($A33,'Из ГУГЛа'!$B:$AD,X$1,0))</f>
        <v/>
      </c>
      <c r="Y33" s="4">
        <v>1</v>
      </c>
      <c r="Z33" s="4">
        <v>0</v>
      </c>
      <c r="AA33" s="40">
        <v>1190</v>
      </c>
      <c r="AB33" s="40" t="s">
        <v>137</v>
      </c>
      <c r="AC33" s="50" t="str">
        <f>IFERROR(ROUND((VLOOKUP($A33,'Из ГУГЛа'!$B:$AD,AC$1,0)+AE33)*AD33,),VLOOKUP($A33,'Из ГУГЛа'!$B:$AD,AC$1,0))</f>
        <v/>
      </c>
      <c r="AD33" s="4">
        <v>1</v>
      </c>
      <c r="AE33" s="4">
        <v>0</v>
      </c>
      <c r="AF33" s="40">
        <v>1132</v>
      </c>
      <c r="AG33" s="40" t="s">
        <v>185</v>
      </c>
      <c r="AH33" s="50" t="str">
        <f>IFERROR(ROUND((VLOOKUP($A33,'Из ГУГЛа'!$B:$AD,AH$1,0)+AJ33)*AI33,),VLOOKUP($A33,'Из ГУГЛа'!$B:$AD,AH$1,0))</f>
        <v/>
      </c>
      <c r="AI33" s="4">
        <v>1</v>
      </c>
      <c r="AJ33" s="4">
        <v>0</v>
      </c>
      <c r="AK33" s="40">
        <v>940</v>
      </c>
      <c r="AL33" s="40" t="s">
        <v>192</v>
      </c>
      <c r="AM33" s="50" t="str">
        <f>IFERROR(ROUND((VLOOKUP($A33,'Из ГУГЛа'!$B:$AD,AM$1,0)+AO33)*AN33,),VLOOKUP($A33,'Из ГУГЛа'!$B:$AD,AM$1,0))</f>
        <v/>
      </c>
      <c r="AN33" s="4">
        <v>1</v>
      </c>
      <c r="AO33" s="4">
        <v>0</v>
      </c>
      <c r="AP33" s="40" t="s">
        <v>180</v>
      </c>
      <c r="AQ33" s="40"/>
    </row>
    <row r="34" spans="1:43" ht="30" x14ac:dyDescent="0.25">
      <c r="A34" s="36">
        <v>143634</v>
      </c>
      <c r="B34" s="36">
        <f>VLOOKUP($A34,'Выгр Кат'!$A:$T,B$1,0)</f>
        <v>7865</v>
      </c>
      <c r="C34" s="35" t="str">
        <f>VLOOKUP($A34,'Выгр Кат'!$A:$T,C$1,0)</f>
        <v>Дефлектор заднего окна ANV для Лада Гранта лифтбек</v>
      </c>
      <c r="D34" s="36" t="str">
        <f>VLOOKUP($A34,'Выгр Кат'!$A:$T,D$1,0)</f>
        <v>N</v>
      </c>
      <c r="E34" s="36" t="str">
        <f>VLOOKUP($A34,'Выгр Кат'!$A:$T,E$1,0)</f>
        <v>1</v>
      </c>
      <c r="F34" s="36">
        <f>VLOOKUP($A34,'Выгр Кат'!$A:$T,F$1,0)</f>
        <v>0</v>
      </c>
      <c r="G34" s="36" t="str">
        <f>VLOOKUP($A34,'Выгр Кат'!$A:$T,G$1,0)</f>
        <v>КК0081Т</v>
      </c>
      <c r="H34" s="36">
        <f>VLOOKUP($A34,'Выгр Кат'!$A:$T,H$1,0)</f>
        <v>0</v>
      </c>
      <c r="I34" s="36"/>
      <c r="J34" s="45" t="s">
        <v>44</v>
      </c>
      <c r="K34" s="46">
        <v>400</v>
      </c>
      <c r="L34" s="37">
        <f>VLOOKUP(K34,Наценка!$A$1:$B$8,2,1)</f>
        <v>1.6</v>
      </c>
      <c r="M34" s="38">
        <f t="shared" si="13"/>
        <v>640</v>
      </c>
      <c r="N34" s="17">
        <f t="shared" si="1"/>
        <v>639</v>
      </c>
      <c r="O34" s="36">
        <f>VLOOKUP($A34,'Выгр Кат'!$A:$T,O$1,0)</f>
        <v>400</v>
      </c>
      <c r="P34" s="36">
        <f>VLOOKUP($A34,'Выгр Кат'!$A:$T,P$1,0)</f>
        <v>639</v>
      </c>
      <c r="Q34" s="14">
        <f t="shared" si="2"/>
        <v>0</v>
      </c>
      <c r="R34" s="14">
        <f t="shared" si="3"/>
        <v>0</v>
      </c>
      <c r="S34" s="15">
        <f t="shared" si="4"/>
        <v>543</v>
      </c>
      <c r="T34" s="39">
        <f t="shared" si="5"/>
        <v>0.35749999999999993</v>
      </c>
      <c r="U34" s="39" t="str">
        <f t="shared" si="6"/>
        <v/>
      </c>
      <c r="V34" s="39" t="str">
        <f t="shared" si="7"/>
        <v/>
      </c>
      <c r="W34" s="42"/>
      <c r="X34" s="50" t="str">
        <f>IFERROR(ROUND((VLOOKUP($A34,'Из ГУГЛа'!$B:$AD,X$1,0)+Z34)*Y34,),VLOOKUP($A34,'Из ГУГЛа'!$B:$AD,X$1,0))</f>
        <v/>
      </c>
      <c r="Y34" s="4">
        <v>1</v>
      </c>
      <c r="Z34" s="4">
        <v>0</v>
      </c>
      <c r="AA34" s="40"/>
      <c r="AB34" s="40"/>
      <c r="AC34" s="50" t="str">
        <f>IFERROR(ROUND((VLOOKUP($A34,'Из ГУГЛа'!$B:$AD,AC$1,0)+AE34)*AD34,),VLOOKUP($A34,'Из ГУГЛа'!$B:$AD,AC$1,0))</f>
        <v/>
      </c>
      <c r="AD34" s="4">
        <v>1</v>
      </c>
      <c r="AE34" s="4">
        <v>0</v>
      </c>
      <c r="AF34" s="40" t="s">
        <v>180</v>
      </c>
      <c r="AG34" s="40"/>
      <c r="AH34" s="50" t="str">
        <f>IFERROR(ROUND((VLOOKUP($A34,'Из ГУГЛа'!$B:$AD,AH$1,0)+AJ34)*AI34,),VLOOKUP($A34,'Из ГУГЛа'!$B:$AD,AH$1,0))</f>
        <v/>
      </c>
      <c r="AI34" s="4">
        <v>1</v>
      </c>
      <c r="AJ34" s="4">
        <v>0</v>
      </c>
      <c r="AK34" s="40" t="s">
        <v>180</v>
      </c>
      <c r="AL34" s="40"/>
      <c r="AM34" s="50" t="str">
        <f>IFERROR(ROUND((VLOOKUP($A34,'Из ГУГЛа'!$B:$AD,AM$1,0)+AO34)*AN34,),VLOOKUP($A34,'Из ГУГЛа'!$B:$AD,AM$1,0))</f>
        <v/>
      </c>
      <c r="AN34" s="4">
        <v>1</v>
      </c>
      <c r="AO34" s="4">
        <v>0</v>
      </c>
      <c r="AP34" s="40" t="s">
        <v>180</v>
      </c>
      <c r="AQ34" s="40"/>
    </row>
    <row r="35" spans="1:43" ht="30" x14ac:dyDescent="0.25">
      <c r="A35" s="36">
        <v>143635</v>
      </c>
      <c r="B35" s="36">
        <f>VLOOKUP($A35,'Выгр Кат'!$A:$T,B$1,0)</f>
        <v>7863</v>
      </c>
      <c r="C35" s="35" t="str">
        <f>VLOOKUP($A35,'Выгр Кат'!$A:$T,C$1,0)</f>
        <v>Дефлектор заднего окна ANV для Лада Гранта седан</v>
      </c>
      <c r="D35" s="36" t="str">
        <f>VLOOKUP($A35,'Выгр Кат'!$A:$T,D$1,0)</f>
        <v>N</v>
      </c>
      <c r="E35" s="36" t="str">
        <f>VLOOKUP($A35,'Выгр Кат'!$A:$T,E$1,0)</f>
        <v>1</v>
      </c>
      <c r="F35" s="36">
        <f>VLOOKUP($A35,'Выгр Кат'!$A:$T,F$1,0)</f>
        <v>0</v>
      </c>
      <c r="G35" s="36" t="str">
        <f>VLOOKUP($A35,'Выгр Кат'!$A:$T,G$1,0)</f>
        <v>КК0080Т</v>
      </c>
      <c r="H35" s="36">
        <f>VLOOKUP($A35,'Выгр Кат'!$A:$T,H$1,0)</f>
        <v>0</v>
      </c>
      <c r="I35" s="36"/>
      <c r="J35" s="45" t="s">
        <v>44</v>
      </c>
      <c r="K35" s="46">
        <v>400</v>
      </c>
      <c r="L35" s="37">
        <f>VLOOKUP(K35,Наценка!$A$1:$B$8,2,1)</f>
        <v>1.6</v>
      </c>
      <c r="M35" s="38">
        <f t="shared" si="13"/>
        <v>640</v>
      </c>
      <c r="N35" s="17">
        <f t="shared" si="1"/>
        <v>639</v>
      </c>
      <c r="O35" s="36">
        <f>VLOOKUP($A35,'Выгр Кат'!$A:$T,O$1,0)</f>
        <v>400</v>
      </c>
      <c r="P35" s="36">
        <f>VLOOKUP($A35,'Выгр Кат'!$A:$T,P$1,0)</f>
        <v>639</v>
      </c>
      <c r="Q35" s="14">
        <f t="shared" si="2"/>
        <v>0</v>
      </c>
      <c r="R35" s="14">
        <f t="shared" si="3"/>
        <v>0</v>
      </c>
      <c r="S35" s="15">
        <f t="shared" si="4"/>
        <v>543</v>
      </c>
      <c r="T35" s="39">
        <f t="shared" si="5"/>
        <v>0.35749999999999993</v>
      </c>
      <c r="U35" s="39" t="str">
        <f t="shared" si="6"/>
        <v/>
      </c>
      <c r="V35" s="39" t="str">
        <f t="shared" si="7"/>
        <v/>
      </c>
      <c r="W35" s="42"/>
      <c r="X35" s="50" t="str">
        <f>IFERROR(ROUND((VLOOKUP($A35,'Из ГУГЛа'!$B:$AD,X$1,0)+Z35)*Y35,),VLOOKUP($A35,'Из ГУГЛа'!$B:$AD,X$1,0))</f>
        <v/>
      </c>
      <c r="Y35" s="4">
        <v>1</v>
      </c>
      <c r="Z35" s="4">
        <v>0</v>
      </c>
      <c r="AA35" s="40"/>
      <c r="AB35" s="40"/>
      <c r="AC35" s="50" t="str">
        <f>IFERROR(ROUND((VLOOKUP($A35,'Из ГУГЛа'!$B:$AD,AC$1,0)+AE35)*AD35,),VLOOKUP($A35,'Из ГУГЛа'!$B:$AD,AC$1,0))</f>
        <v/>
      </c>
      <c r="AD35" s="4">
        <v>1</v>
      </c>
      <c r="AE35" s="4">
        <v>0</v>
      </c>
      <c r="AF35" s="40" t="s">
        <v>180</v>
      </c>
      <c r="AG35" s="40"/>
      <c r="AH35" s="50" t="str">
        <f>IFERROR(ROUND((VLOOKUP($A35,'Из ГУГЛа'!$B:$AD,AH$1,0)+AJ35)*AI35,),VLOOKUP($A35,'Из ГУГЛа'!$B:$AD,AH$1,0))</f>
        <v/>
      </c>
      <c r="AI35" s="4">
        <v>1</v>
      </c>
      <c r="AJ35" s="4">
        <v>0</v>
      </c>
      <c r="AK35" s="40" t="s">
        <v>180</v>
      </c>
      <c r="AL35" s="40"/>
      <c r="AM35" s="50" t="str">
        <f>IFERROR(ROUND((VLOOKUP($A35,'Из ГУГЛа'!$B:$AD,AM$1,0)+AO35)*AN35,),VLOOKUP($A35,'Из ГУГЛа'!$B:$AD,AM$1,0))</f>
        <v/>
      </c>
      <c r="AN35" s="4">
        <v>1</v>
      </c>
      <c r="AO35" s="4">
        <v>0</v>
      </c>
      <c r="AP35" s="40" t="s">
        <v>180</v>
      </c>
      <c r="AQ35" s="40"/>
    </row>
    <row r="36" spans="1:43" ht="30" x14ac:dyDescent="0.25">
      <c r="A36" s="36">
        <v>143641</v>
      </c>
      <c r="B36" s="36">
        <f>VLOOKUP($A36,'Выгр Кат'!$A:$T,B$1,0)</f>
        <v>7436</v>
      </c>
      <c r="C36" s="35" t="str">
        <f>VLOOKUP($A36,'Выгр Кат'!$A:$T,C$1,0)</f>
        <v>Дефлектор капота ANV для ВАЗ 2108-21099</v>
      </c>
      <c r="D36" s="36" t="str">
        <f>VLOOKUP($A36,'Выгр Кат'!$A:$T,D$1,0)</f>
        <v>N</v>
      </c>
      <c r="E36" s="36" t="str">
        <f>VLOOKUP($A36,'Выгр Кат'!$A:$T,E$1,0)</f>
        <v>1</v>
      </c>
      <c r="F36" s="36">
        <f>VLOOKUP($A36,'Выгр Кат'!$A:$T,F$1,0)</f>
        <v>0</v>
      </c>
      <c r="G36" s="36" t="str">
        <f>VLOOKUP($A36,'Выгр Кат'!$A:$T,G$1,0)</f>
        <v>СК0053Т</v>
      </c>
      <c r="H36" s="36">
        <f>VLOOKUP($A36,'Выгр Кат'!$A:$T,H$1,0)</f>
        <v>0</v>
      </c>
      <c r="I36" s="36"/>
      <c r="J36" s="45" t="s">
        <v>44</v>
      </c>
      <c r="K36" s="46">
        <v>690</v>
      </c>
      <c r="L36" s="37">
        <f>VLOOKUP(K36,Наценка!$A$1:$B$8,2,1)</f>
        <v>1.55</v>
      </c>
      <c r="M36" s="38">
        <f t="shared" si="13"/>
        <v>1069.5</v>
      </c>
      <c r="N36" s="17">
        <f t="shared" si="1"/>
        <v>1090</v>
      </c>
      <c r="O36" s="36">
        <f>VLOOKUP($A36,'Выгр Кат'!$A:$T,O$1,0)</f>
        <v>690</v>
      </c>
      <c r="P36" s="36">
        <f>VLOOKUP($A36,'Выгр Кат'!$A:$T,P$1,0)</f>
        <v>1090</v>
      </c>
      <c r="Q36" s="14">
        <f t="shared" si="2"/>
        <v>0</v>
      </c>
      <c r="R36" s="14">
        <f t="shared" si="3"/>
        <v>0</v>
      </c>
      <c r="S36" s="15">
        <f t="shared" si="4"/>
        <v>927</v>
      </c>
      <c r="T36" s="39">
        <f t="shared" si="5"/>
        <v>0.34347826086956523</v>
      </c>
      <c r="U36" s="39" t="str">
        <f t="shared" si="6"/>
        <v/>
      </c>
      <c r="V36" s="39" t="str">
        <f t="shared" si="7"/>
        <v/>
      </c>
      <c r="W36" s="42"/>
      <c r="X36" s="50" t="str">
        <f>IFERROR(ROUND((VLOOKUP($A36,'Из ГУГЛа'!$B:$AD,X$1,0)+Z36)*Y36,),VLOOKUP($A36,'Из ГУГЛа'!$B:$AD,X$1,0))</f>
        <v/>
      </c>
      <c r="Y36" s="4">
        <v>1</v>
      </c>
      <c r="Z36" s="4">
        <v>0</v>
      </c>
      <c r="AA36" s="40"/>
      <c r="AB36" s="40"/>
      <c r="AC36" s="50" t="str">
        <f>IFERROR(ROUND((VLOOKUP($A36,'Из ГУГЛа'!$B:$AD,AC$1,0)+AE36)*AD36,),VLOOKUP($A36,'Из ГУГЛа'!$B:$AD,AC$1,0))</f>
        <v/>
      </c>
      <c r="AD36" s="4">
        <v>1</v>
      </c>
      <c r="AE36" s="4">
        <v>0</v>
      </c>
      <c r="AF36" s="40" t="s">
        <v>180</v>
      </c>
      <c r="AG36" s="40"/>
      <c r="AH36" s="50" t="str">
        <f>IFERROR(ROUND((VLOOKUP($A36,'Из ГУГЛа'!$B:$AD,AH$1,0)+AJ36)*AI36,),VLOOKUP($A36,'Из ГУГЛа'!$B:$AD,AH$1,0))</f>
        <v/>
      </c>
      <c r="AI36" s="4">
        <v>1</v>
      </c>
      <c r="AJ36" s="4">
        <v>0</v>
      </c>
      <c r="AK36" s="40" t="s">
        <v>180</v>
      </c>
      <c r="AL36" s="40"/>
      <c r="AM36" s="50" t="str">
        <f>IFERROR(ROUND((VLOOKUP($A36,'Из ГУГЛа'!$B:$AD,AM$1,0)+AO36)*AN36,),VLOOKUP($A36,'Из ГУГЛа'!$B:$AD,AM$1,0))</f>
        <v/>
      </c>
      <c r="AN36" s="4">
        <v>1</v>
      </c>
      <c r="AO36" s="4">
        <v>0</v>
      </c>
      <c r="AP36" s="40" t="s">
        <v>180</v>
      </c>
      <c r="AQ36" s="40"/>
    </row>
    <row r="37" spans="1:43" ht="30" x14ac:dyDescent="0.25">
      <c r="A37" s="36">
        <v>143593</v>
      </c>
      <c r="B37" s="36">
        <f>VLOOKUP($A37,'Выгр Кат'!$A:$T,B$1,0)</f>
        <v>7975</v>
      </c>
      <c r="C37" s="35" t="str">
        <f>VLOOKUP($A37,'Выгр Кат'!$A:$T,C$1,0)</f>
        <v>Дефлектор козырёк-спойлер заднего окна ANV для Лада Калина хэтчбек</v>
      </c>
      <c r="D37" s="36" t="str">
        <f>VLOOKUP($A37,'Выгр Кат'!$A:$T,D$1,0)</f>
        <v>N</v>
      </c>
      <c r="E37" s="36" t="str">
        <f>VLOOKUP($A37,'Выгр Кат'!$A:$T,E$1,0)</f>
        <v>0</v>
      </c>
      <c r="F37" s="36">
        <f>VLOOKUP($A37,'Выгр Кат'!$A:$T,F$1,0)</f>
        <v>0</v>
      </c>
      <c r="G37" s="36">
        <f>VLOOKUP($A37,'Выгр Кат'!$A:$T,G$1,0)</f>
        <v>0</v>
      </c>
      <c r="H37" s="36">
        <f>VLOOKUP($A37,'Выгр Кат'!$A:$T,H$1,0)</f>
        <v>0</v>
      </c>
      <c r="I37" s="36"/>
      <c r="J37" s="45" t="s">
        <v>44</v>
      </c>
      <c r="K37" s="46">
        <v>470</v>
      </c>
      <c r="L37" s="37">
        <f>VLOOKUP(K37,Наценка!$A$1:$B$8,2,1)</f>
        <v>1.6</v>
      </c>
      <c r="M37" s="38">
        <f t="shared" si="13"/>
        <v>752</v>
      </c>
      <c r="N37" s="17">
        <f t="shared" si="1"/>
        <v>759</v>
      </c>
      <c r="O37" s="36">
        <f>VLOOKUP($A37,'Выгр Кат'!$A:$T,O$1,0)</f>
        <v>470</v>
      </c>
      <c r="P37" s="36">
        <f>VLOOKUP($A37,'Выгр Кат'!$A:$T,P$1,0)</f>
        <v>759</v>
      </c>
      <c r="Q37" s="14">
        <f t="shared" si="2"/>
        <v>0</v>
      </c>
      <c r="R37" s="14">
        <f t="shared" si="3"/>
        <v>0</v>
      </c>
      <c r="S37" s="15">
        <f t="shared" si="4"/>
        <v>645</v>
      </c>
      <c r="T37" s="39">
        <f t="shared" si="5"/>
        <v>0.37234042553191493</v>
      </c>
      <c r="U37" s="39" t="str">
        <f t="shared" si="6"/>
        <v/>
      </c>
      <c r="V37" s="39" t="str">
        <f t="shared" si="7"/>
        <v/>
      </c>
      <c r="W37" s="42"/>
      <c r="X37" s="50" t="str">
        <f>IFERROR(ROUND((VLOOKUP($A37,'Из ГУГЛа'!$B:$AD,X$1,0)+Z37)*Y37,),VLOOKUP($A37,'Из ГУГЛа'!$B:$AD,X$1,0))</f>
        <v/>
      </c>
      <c r="Y37" s="4">
        <v>1</v>
      </c>
      <c r="Z37" s="4">
        <v>0</v>
      </c>
      <c r="AA37" s="40"/>
      <c r="AB37" s="40"/>
      <c r="AC37" s="50" t="str">
        <f>IFERROR(ROUND((VLOOKUP($A37,'Из ГУГЛа'!$B:$AD,AC$1,0)+AE37)*AD37,),VLOOKUP($A37,'Из ГУГЛа'!$B:$AD,AC$1,0))</f>
        <v/>
      </c>
      <c r="AD37" s="4">
        <v>1</v>
      </c>
      <c r="AE37" s="4">
        <v>0</v>
      </c>
      <c r="AF37" s="40" t="s">
        <v>180</v>
      </c>
      <c r="AG37" s="40"/>
      <c r="AH37" s="50" t="str">
        <f>IFERROR(ROUND((VLOOKUP($A37,'Из ГУГЛа'!$B:$AD,AH$1,0)+AJ37)*AI37,),VLOOKUP($A37,'Из ГУГЛа'!$B:$AD,AH$1,0))</f>
        <v/>
      </c>
      <c r="AI37" s="4">
        <v>1</v>
      </c>
      <c r="AJ37" s="4">
        <v>0</v>
      </c>
      <c r="AK37" s="40" t="s">
        <v>180</v>
      </c>
      <c r="AL37" s="40"/>
      <c r="AM37" s="50" t="str">
        <f>IFERROR(ROUND((VLOOKUP($A37,'Из ГУГЛа'!$B:$AD,AM$1,0)+AO37)*AN37,),VLOOKUP($A37,'Из ГУГЛа'!$B:$AD,AM$1,0))</f>
        <v/>
      </c>
      <c r="AN37" s="4">
        <v>1</v>
      </c>
      <c r="AO37" s="4">
        <v>0</v>
      </c>
      <c r="AP37" s="40" t="s">
        <v>180</v>
      </c>
      <c r="AQ37" s="40"/>
    </row>
    <row r="38" spans="1:43" ht="30" x14ac:dyDescent="0.25">
      <c r="A38" s="36">
        <v>143594</v>
      </c>
      <c r="B38" s="36">
        <f>VLOOKUP($A38,'Выгр Кат'!$A:$T,B$1,0)</f>
        <v>7979</v>
      </c>
      <c r="C38" s="35" t="str">
        <f>VLOOKUP($A38,'Выгр Кат'!$A:$T,C$1,0)</f>
        <v>Дефлектор накладка капота ANV для Лада Веста</v>
      </c>
      <c r="D38" s="36" t="str">
        <f>VLOOKUP($A38,'Выгр Кат'!$A:$T,D$1,0)</f>
        <v>N</v>
      </c>
      <c r="E38" s="36" t="str">
        <f>VLOOKUP($A38,'Выгр Кат'!$A:$T,E$1,0)</f>
        <v>1</v>
      </c>
      <c r="F38" s="36">
        <f>VLOOKUP($A38,'Выгр Кат'!$A:$T,F$1,0)</f>
        <v>0</v>
      </c>
      <c r="G38" s="36" t="str">
        <f>VLOOKUP($A38,'Выгр Кат'!$A:$T,G$1,0)</f>
        <v>СЕК0142Т</v>
      </c>
      <c r="H38" s="36">
        <f>VLOOKUP($A38,'Выгр Кат'!$A:$T,H$1,0)</f>
        <v>0</v>
      </c>
      <c r="I38" s="36"/>
      <c r="J38" s="45" t="s">
        <v>44</v>
      </c>
      <c r="K38" s="46">
        <v>820</v>
      </c>
      <c r="L38" s="37">
        <f>VLOOKUP(K38,Наценка!$A$1:$B$8,2,1)</f>
        <v>1.55</v>
      </c>
      <c r="M38" s="38">
        <f t="shared" si="13"/>
        <v>1271</v>
      </c>
      <c r="N38" s="17">
        <f t="shared" si="1"/>
        <v>1290</v>
      </c>
      <c r="O38" s="36">
        <f>VLOOKUP($A38,'Выгр Кат'!$A:$T,O$1,0)</f>
        <v>820</v>
      </c>
      <c r="P38" s="36">
        <f>VLOOKUP($A38,'Выгр Кат'!$A:$T,P$1,0)</f>
        <v>1290</v>
      </c>
      <c r="Q38" s="14">
        <f t="shared" si="2"/>
        <v>0</v>
      </c>
      <c r="R38" s="14">
        <f t="shared" si="3"/>
        <v>0</v>
      </c>
      <c r="S38" s="15">
        <f t="shared" si="4"/>
        <v>1097</v>
      </c>
      <c r="T38" s="39">
        <f t="shared" si="5"/>
        <v>0.33780487804878057</v>
      </c>
      <c r="U38" s="39" t="str">
        <f t="shared" si="6"/>
        <v/>
      </c>
      <c r="V38" s="39" t="str">
        <f t="shared" si="7"/>
        <v/>
      </c>
      <c r="W38" s="42"/>
      <c r="X38" s="50" t="str">
        <f>IFERROR(ROUND((VLOOKUP($A38,'Из ГУГЛа'!$B:$AD,X$1,0)+Z38)*Y38,),VLOOKUP($A38,'Из ГУГЛа'!$B:$AD,X$1,0))</f>
        <v/>
      </c>
      <c r="Y38" s="4">
        <v>1</v>
      </c>
      <c r="Z38" s="4">
        <v>0</v>
      </c>
      <c r="AA38" s="40"/>
      <c r="AB38" s="40"/>
      <c r="AC38" s="50" t="str">
        <f>IFERROR(ROUND((VLOOKUP($A38,'Из ГУГЛа'!$B:$AD,AC$1,0)+AE38)*AD38,),VLOOKUP($A38,'Из ГУГЛа'!$B:$AD,AC$1,0))</f>
        <v/>
      </c>
      <c r="AD38" s="4">
        <v>1</v>
      </c>
      <c r="AE38" s="4">
        <v>0</v>
      </c>
      <c r="AF38" s="40" t="s">
        <v>180</v>
      </c>
      <c r="AG38" s="40"/>
      <c r="AH38" s="50" t="str">
        <f>IFERROR(ROUND((VLOOKUP($A38,'Из ГУГЛа'!$B:$AD,AH$1,0)+AJ38)*AI38,),VLOOKUP($A38,'Из ГУГЛа'!$B:$AD,AH$1,0))</f>
        <v/>
      </c>
      <c r="AI38" s="4">
        <v>1</v>
      </c>
      <c r="AJ38" s="4">
        <v>0</v>
      </c>
      <c r="AK38" s="40" t="s">
        <v>180</v>
      </c>
      <c r="AL38" s="40"/>
      <c r="AM38" s="50" t="str">
        <f>IFERROR(ROUND((VLOOKUP($A38,'Из ГУГЛа'!$B:$AD,AM$1,0)+AO38)*AN38,),VLOOKUP($A38,'Из ГУГЛа'!$B:$AD,AM$1,0))</f>
        <v/>
      </c>
      <c r="AN38" s="4">
        <v>1</v>
      </c>
      <c r="AO38" s="4">
        <v>0</v>
      </c>
      <c r="AP38" s="40" t="s">
        <v>180</v>
      </c>
      <c r="AQ38" s="40"/>
    </row>
    <row r="39" spans="1:43" ht="30" x14ac:dyDescent="0.25">
      <c r="A39" s="36">
        <v>143595</v>
      </c>
      <c r="B39" s="36">
        <f>VLOOKUP($A39,'Выгр Кат'!$A:$T,B$1,0)</f>
        <v>7980</v>
      </c>
      <c r="C39" s="35" t="str">
        <f>VLOOKUP($A39,'Выгр Кат'!$A:$T,C$1,0)</f>
        <v>Дефлектор накладка капота VT52 короткий для Лада Веста</v>
      </c>
      <c r="D39" s="36" t="str">
        <f>VLOOKUP($A39,'Выгр Кат'!$A:$T,D$1,0)</f>
        <v>Y</v>
      </c>
      <c r="E39" s="36" t="str">
        <f>VLOOKUP($A39,'Выгр Кат'!$A:$T,E$1,0)</f>
        <v>1</v>
      </c>
      <c r="F39" s="36">
        <f>VLOOKUP($A39,'Выгр Кат'!$A:$T,F$1,0)</f>
        <v>0</v>
      </c>
      <c r="G39" s="36">
        <f>VLOOKUP($A39,'Выгр Кат'!$A:$T,G$1,0)</f>
        <v>0</v>
      </c>
      <c r="H39" s="36">
        <f>VLOOKUP($A39,'Выгр Кат'!$A:$T,H$1,0)</f>
        <v>0</v>
      </c>
      <c r="I39" s="36"/>
      <c r="J39" s="45" t="s">
        <v>44</v>
      </c>
      <c r="K39" s="46">
        <v>835</v>
      </c>
      <c r="L39" s="37">
        <f>VLOOKUP(K39,Наценка!$A$1:$B$8,2,1)</f>
        <v>1.55</v>
      </c>
      <c r="M39" s="23">
        <f>W39*1.1</f>
        <v>1622.5000000000002</v>
      </c>
      <c r="N39" s="17">
        <f t="shared" si="1"/>
        <v>1690</v>
      </c>
      <c r="O39" s="36">
        <f>VLOOKUP($A39,'Выгр Кат'!$A:$T,O$1,0)</f>
        <v>835</v>
      </c>
      <c r="P39" s="36">
        <f>VLOOKUP($A39,'Выгр Кат'!$A:$T,P$1,0)</f>
        <v>1690</v>
      </c>
      <c r="Q39" s="14">
        <f t="shared" si="2"/>
        <v>0</v>
      </c>
      <c r="R39" s="14">
        <f t="shared" si="3"/>
        <v>0</v>
      </c>
      <c r="S39" s="15">
        <f t="shared" si="4"/>
        <v>1437</v>
      </c>
      <c r="T39" s="39">
        <f t="shared" si="5"/>
        <v>0.72095808383233528</v>
      </c>
      <c r="U39" s="39">
        <f t="shared" si="6"/>
        <v>2.5762711864406779E-2</v>
      </c>
      <c r="V39" s="39">
        <f t="shared" si="7"/>
        <v>0.76646706586826352</v>
      </c>
      <c r="W39" s="54">
        <f>AF39</f>
        <v>1475</v>
      </c>
      <c r="X39" s="50" t="str">
        <f>IFERROR(ROUND((VLOOKUP($A39,'Из ГУГЛа'!$B:$AD,X$1,0)+Z39)*Y39,),VLOOKUP($A39,'Из ГУГЛа'!$B:$AD,X$1,0))</f>
        <v/>
      </c>
      <c r="Y39" s="4">
        <v>1</v>
      </c>
      <c r="Z39" s="4">
        <v>0</v>
      </c>
      <c r="AA39" s="40">
        <v>1690</v>
      </c>
      <c r="AB39" s="40" t="s">
        <v>136</v>
      </c>
      <c r="AC39" s="50" t="str">
        <f>IFERROR(ROUND((VLOOKUP($A39,'Из ГУГЛа'!$B:$AD,AC$1,0)+AE39)*AD39,),VLOOKUP($A39,'Из ГУГЛа'!$B:$AD,AC$1,0))</f>
        <v/>
      </c>
      <c r="AD39" s="4">
        <v>1</v>
      </c>
      <c r="AE39" s="4">
        <v>0</v>
      </c>
      <c r="AF39" s="40">
        <v>1475</v>
      </c>
      <c r="AG39" s="40" t="s">
        <v>186</v>
      </c>
      <c r="AH39" s="50" t="str">
        <f>IFERROR(ROUND((VLOOKUP($A39,'Из ГУГЛа'!$B:$AD,AH$1,0)+AJ39)*AI39,),VLOOKUP($A39,'Из ГУГЛа'!$B:$AD,AH$1,0))</f>
        <v/>
      </c>
      <c r="AI39" s="4">
        <v>1</v>
      </c>
      <c r="AJ39" s="4">
        <v>0</v>
      </c>
      <c r="AK39" s="40">
        <v>1249</v>
      </c>
      <c r="AL39" s="40" t="s">
        <v>190</v>
      </c>
      <c r="AM39" s="50" t="str">
        <f>IFERROR(ROUND((VLOOKUP($A39,'Из ГУГЛа'!$B:$AD,AM$1,0)+AO39)*AN39,),VLOOKUP($A39,'Из ГУГЛа'!$B:$AD,AM$1,0))</f>
        <v/>
      </c>
      <c r="AN39" s="4">
        <v>1</v>
      </c>
      <c r="AO39" s="4">
        <v>0</v>
      </c>
      <c r="AP39" s="40" t="s">
        <v>180</v>
      </c>
      <c r="AQ39" s="40"/>
    </row>
    <row r="40" spans="1:43" ht="45" x14ac:dyDescent="0.25">
      <c r="A40" s="36">
        <v>143676</v>
      </c>
      <c r="B40" s="36">
        <f>VLOOKUP($A40,'Выгр Кат'!$A:$T,B$1,0)</f>
        <v>17353</v>
      </c>
      <c r="C40" s="35" t="str">
        <f>VLOOKUP($A40,'Выгр Кат'!$A:$T,C$1,0)</f>
        <v>Дефлекторы боковых стёкол ANV ветровики для Лада Веста SW, SW Cross</v>
      </c>
      <c r="D40" s="36" t="str">
        <f>VLOOKUP($A40,'Выгр Кат'!$A:$T,D$1,0)</f>
        <v>N</v>
      </c>
      <c r="E40" s="36" t="str">
        <f>VLOOKUP($A40,'Выгр Кат'!$A:$T,E$1,0)</f>
        <v>1</v>
      </c>
      <c r="F40" s="36">
        <f>VLOOKUP($A40,'Выгр Кат'!$A:$T,F$1,0)</f>
        <v>0</v>
      </c>
      <c r="G40" s="36">
        <f>VLOOKUP($A40,'Выгр Кат'!$A:$T,G$1,0)</f>
        <v>0</v>
      </c>
      <c r="H40" s="36">
        <f>VLOOKUP($A40,'Выгр Кат'!$A:$T,H$1,0)</f>
        <v>0</v>
      </c>
      <c r="I40" s="36"/>
      <c r="J40" s="45" t="s">
        <v>44</v>
      </c>
      <c r="K40" s="46">
        <v>420</v>
      </c>
      <c r="L40" s="37">
        <f>VLOOKUP(K40,Наценка!$A$1:$B$8,2,1)</f>
        <v>1.6</v>
      </c>
      <c r="M40" s="38">
        <f t="shared" si="13"/>
        <v>672</v>
      </c>
      <c r="N40" s="17">
        <f t="shared" si="1"/>
        <v>679</v>
      </c>
      <c r="O40" s="36">
        <f>VLOOKUP($A40,'Выгр Кат'!$A:$T,O$1,0)</f>
        <v>420</v>
      </c>
      <c r="P40" s="36">
        <f>VLOOKUP($A40,'Выгр Кат'!$A:$T,P$1,0)</f>
        <v>679</v>
      </c>
      <c r="Q40" s="14">
        <f t="shared" si="2"/>
        <v>0</v>
      </c>
      <c r="R40" s="14">
        <f t="shared" si="3"/>
        <v>0</v>
      </c>
      <c r="S40" s="15">
        <f t="shared" si="4"/>
        <v>577</v>
      </c>
      <c r="T40" s="39">
        <f t="shared" si="5"/>
        <v>0.37380952380952381</v>
      </c>
      <c r="U40" s="39" t="str">
        <f t="shared" si="6"/>
        <v/>
      </c>
      <c r="V40" s="39" t="str">
        <f t="shared" si="7"/>
        <v/>
      </c>
      <c r="W40" s="42"/>
      <c r="X40" s="50" t="str">
        <f>IFERROR(ROUND((VLOOKUP($A40,'Из ГУГЛа'!$B:$AD,X$1,0)+Z40)*Y40,),VLOOKUP($A40,'Из ГУГЛа'!$B:$AD,X$1,0))</f>
        <v/>
      </c>
      <c r="Y40" s="4">
        <v>1</v>
      </c>
      <c r="Z40" s="4">
        <v>0</v>
      </c>
      <c r="AA40" s="40"/>
      <c r="AB40" s="40"/>
      <c r="AC40" s="50" t="str">
        <f>IFERROR(ROUND((VLOOKUP($A40,'Из ГУГЛа'!$B:$AD,AC$1,0)+AE40)*AD40,),VLOOKUP($A40,'Из ГУГЛа'!$B:$AD,AC$1,0))</f>
        <v/>
      </c>
      <c r="AD40" s="4">
        <v>1</v>
      </c>
      <c r="AE40" s="4">
        <v>0</v>
      </c>
      <c r="AF40" s="40" t="s">
        <v>180</v>
      </c>
      <c r="AG40" s="40"/>
      <c r="AH40" s="50" t="str">
        <f>IFERROR(ROUND((VLOOKUP($A40,'Из ГУГЛа'!$B:$AD,AH$1,0)+AJ40)*AI40,),VLOOKUP($A40,'Из ГУГЛа'!$B:$AD,AH$1,0))</f>
        <v/>
      </c>
      <c r="AI40" s="4">
        <v>1</v>
      </c>
      <c r="AJ40" s="4">
        <v>0</v>
      </c>
      <c r="AK40" s="40" t="s">
        <v>180</v>
      </c>
      <c r="AL40" s="40"/>
      <c r="AM40" s="50" t="str">
        <f>IFERROR(ROUND((VLOOKUP($A40,'Из ГУГЛа'!$B:$AD,AM$1,0)+AO40)*AN40,),VLOOKUP($A40,'Из ГУГЛа'!$B:$AD,AM$1,0))</f>
        <v/>
      </c>
      <c r="AN40" s="4">
        <v>1</v>
      </c>
      <c r="AO40" s="4">
        <v>0</v>
      </c>
      <c r="AP40" s="40" t="s">
        <v>180</v>
      </c>
      <c r="AQ40" s="40"/>
    </row>
    <row r="41" spans="1:43" ht="45" x14ac:dyDescent="0.25">
      <c r="A41" s="36">
        <v>143678</v>
      </c>
      <c r="B41" s="36">
        <f>VLOOKUP($A41,'Выгр Кат'!$A:$T,B$1,0)</f>
        <v>13490</v>
      </c>
      <c r="C41" s="35" t="str">
        <f>VLOOKUP($A41,'Выгр Кат'!$A:$T,C$1,0)</f>
        <v>Дефлекторы боковых стекол ветровики COBRA TUNING для Лада Веста SW универсал</v>
      </c>
      <c r="D41" s="36" t="str">
        <f>VLOOKUP($A41,'Выгр Кат'!$A:$T,D$1,0)</f>
        <v>N</v>
      </c>
      <c r="E41" s="36" t="str">
        <f>VLOOKUP($A41,'Выгр Кат'!$A:$T,E$1,0)</f>
        <v>0</v>
      </c>
      <c r="F41" s="36">
        <f>VLOOKUP($A41,'Выгр Кат'!$A:$T,F$1,0)</f>
        <v>0</v>
      </c>
      <c r="G41" s="36">
        <f>VLOOKUP($A41,'Выгр Кат'!$A:$T,G$1,0)</f>
        <v>0</v>
      </c>
      <c r="H41" s="36">
        <f>VLOOKUP($A41,'Выгр Кат'!$A:$T,H$1,0)</f>
        <v>0</v>
      </c>
      <c r="I41" s="36"/>
      <c r="J41" s="45" t="s">
        <v>44</v>
      </c>
      <c r="K41" s="46">
        <v>770</v>
      </c>
      <c r="L41" s="37">
        <f>VLOOKUP(K41,Наценка!$A$1:$B$8,2,1)</f>
        <v>1.55</v>
      </c>
      <c r="M41" s="38">
        <f t="shared" si="13"/>
        <v>1193.5</v>
      </c>
      <c r="N41" s="17">
        <f t="shared" si="1"/>
        <v>1190</v>
      </c>
      <c r="O41" s="36">
        <f>VLOOKUP($A41,'Выгр Кат'!$A:$T,O$1,0)</f>
        <v>770</v>
      </c>
      <c r="P41" s="36">
        <f>VLOOKUP($A41,'Выгр Кат'!$A:$T,P$1,0)</f>
        <v>1190</v>
      </c>
      <c r="Q41" s="14">
        <f t="shared" si="2"/>
        <v>0</v>
      </c>
      <c r="R41" s="14">
        <f t="shared" si="3"/>
        <v>0</v>
      </c>
      <c r="S41" s="15">
        <f t="shared" si="4"/>
        <v>1012</v>
      </c>
      <c r="T41" s="39">
        <f t="shared" si="5"/>
        <v>0.31428571428571428</v>
      </c>
      <c r="U41" s="39" t="str">
        <f t="shared" si="6"/>
        <v/>
      </c>
      <c r="V41" s="39" t="str">
        <f t="shared" si="7"/>
        <v/>
      </c>
      <c r="W41" s="42"/>
      <c r="X41" s="50" t="str">
        <f>IFERROR(ROUND((VLOOKUP($A41,'Из ГУГЛа'!$B:$AD,X$1,0)+Z41)*Y41,),VLOOKUP($A41,'Из ГУГЛа'!$B:$AD,X$1,0))</f>
        <v/>
      </c>
      <c r="Y41" s="4">
        <v>1</v>
      </c>
      <c r="Z41" s="4">
        <v>0</v>
      </c>
      <c r="AA41" s="40" t="s">
        <v>135</v>
      </c>
      <c r="AB41" s="40"/>
      <c r="AC41" s="50" t="str">
        <f>IFERROR(ROUND((VLOOKUP($A41,'Из ГУГЛа'!$B:$AD,AC$1,0)+AE41)*AD41,),VLOOKUP($A41,'Из ГУГЛа'!$B:$AD,AC$1,0))</f>
        <v/>
      </c>
      <c r="AD41" s="4">
        <v>1</v>
      </c>
      <c r="AE41" s="4">
        <v>0</v>
      </c>
      <c r="AF41" s="40" t="s">
        <v>180</v>
      </c>
      <c r="AG41" s="40"/>
      <c r="AH41" s="50" t="str">
        <f>IFERROR(ROUND((VLOOKUP($A41,'Из ГУГЛа'!$B:$AD,AH$1,0)+AJ41)*AI41,),VLOOKUP($A41,'Из ГУГЛа'!$B:$AD,AH$1,0))</f>
        <v/>
      </c>
      <c r="AI41" s="4">
        <v>1</v>
      </c>
      <c r="AJ41" s="4">
        <v>0</v>
      </c>
      <c r="AK41" s="40" t="s">
        <v>180</v>
      </c>
      <c r="AL41" s="40"/>
      <c r="AM41" s="50" t="str">
        <f>IFERROR(ROUND((VLOOKUP($A41,'Из ГУГЛа'!$B:$AD,AM$1,0)+AO41)*AN41,),VLOOKUP($A41,'Из ГУГЛа'!$B:$AD,AM$1,0))</f>
        <v/>
      </c>
      <c r="AN41" s="4">
        <v>1</v>
      </c>
      <c r="AO41" s="4">
        <v>0</v>
      </c>
      <c r="AP41" s="40" t="s">
        <v>180</v>
      </c>
      <c r="AQ41" s="40"/>
    </row>
    <row r="42" spans="1:43" ht="45" x14ac:dyDescent="0.25">
      <c r="A42" s="36">
        <v>143677</v>
      </c>
      <c r="B42" s="36">
        <f>VLOOKUP($A42,'Выгр Кат'!$A:$T,B$1,0)</f>
        <v>15376</v>
      </c>
      <c r="C42" s="35" t="str">
        <f>VLOOKUP($A42,'Выгр Кат'!$A:$T,C$1,0)</f>
        <v>Дефлекторы боковых стекол ветровики COBRA TUNING для Лада Веста седан</v>
      </c>
      <c r="D42" s="36" t="str">
        <f>VLOOKUP($A42,'Выгр Кат'!$A:$T,D$1,0)</f>
        <v>Y</v>
      </c>
      <c r="E42" s="36" t="str">
        <f>VLOOKUP($A42,'Выгр Кат'!$A:$T,E$1,0)</f>
        <v>1</v>
      </c>
      <c r="F42" s="36">
        <f>VLOOKUP($A42,'Выгр Кат'!$A:$T,F$1,0)</f>
        <v>0</v>
      </c>
      <c r="G42" s="36">
        <f>VLOOKUP($A42,'Выгр Кат'!$A:$T,G$1,0)</f>
        <v>0</v>
      </c>
      <c r="H42" s="36">
        <f>VLOOKUP($A42,'Выгр Кат'!$A:$T,H$1,0)</f>
        <v>0</v>
      </c>
      <c r="I42" s="36"/>
      <c r="J42" s="45" t="s">
        <v>44</v>
      </c>
      <c r="K42" s="46">
        <v>990</v>
      </c>
      <c r="L42" s="37">
        <f>VLOOKUP(K42,Наценка!$A$1:$B$8,2,1)</f>
        <v>1.55</v>
      </c>
      <c r="M42" s="23">
        <f t="shared" ref="M42" si="16">W42*1.13</f>
        <v>1675.7899999999997</v>
      </c>
      <c r="N42" s="17">
        <f t="shared" si="1"/>
        <v>1690</v>
      </c>
      <c r="O42" s="36">
        <f>VLOOKUP($A42,'Выгр Кат'!$A:$T,O$1,0)</f>
        <v>990</v>
      </c>
      <c r="P42" s="36">
        <f>VLOOKUP($A42,'Выгр Кат'!$A:$T,P$1,0)</f>
        <v>1690</v>
      </c>
      <c r="Q42" s="14">
        <f t="shared" si="2"/>
        <v>0</v>
      </c>
      <c r="R42" s="14">
        <f t="shared" si="3"/>
        <v>0</v>
      </c>
      <c r="S42" s="15">
        <f t="shared" si="4"/>
        <v>1437</v>
      </c>
      <c r="T42" s="39">
        <f t="shared" si="5"/>
        <v>0.45151515151515142</v>
      </c>
      <c r="U42" s="39">
        <f t="shared" si="6"/>
        <v>3.1018206338503034E-2</v>
      </c>
      <c r="V42" s="39">
        <f t="shared" si="7"/>
        <v>0.49797979797979797</v>
      </c>
      <c r="W42" s="54">
        <f>AF42</f>
        <v>1483</v>
      </c>
      <c r="X42" s="50" t="str">
        <f>IFERROR(ROUND((VLOOKUP($A42,'Из ГУГЛа'!$B:$AD,X$1,0)+Z42)*Y42,),VLOOKUP($A42,'Из ГУГЛа'!$B:$AD,X$1,0))</f>
        <v/>
      </c>
      <c r="Y42" s="4">
        <v>1</v>
      </c>
      <c r="Z42" s="4">
        <v>0</v>
      </c>
      <c r="AA42" s="40">
        <v>1390</v>
      </c>
      <c r="AB42" s="40" t="s">
        <v>134</v>
      </c>
      <c r="AC42" s="50" t="str">
        <f>IFERROR(ROUND((VLOOKUP($A42,'Из ГУГЛа'!$B:$AD,AC$1,0)+AE42)*AD42,),VLOOKUP($A42,'Из ГУГЛа'!$B:$AD,AC$1,0))</f>
        <v/>
      </c>
      <c r="AD42" s="4">
        <v>1</v>
      </c>
      <c r="AE42" s="4">
        <v>0</v>
      </c>
      <c r="AF42" s="40">
        <v>1483</v>
      </c>
      <c r="AG42" s="40" t="s">
        <v>187</v>
      </c>
      <c r="AH42" s="50" t="str">
        <f>IFERROR(ROUND((VLOOKUP($A42,'Из ГУГЛа'!$B:$AD,AH$1,0)+AJ42)*AI42,),VLOOKUP($A42,'Из ГУГЛа'!$B:$AD,AH$1,0))</f>
        <v/>
      </c>
      <c r="AI42" s="4">
        <v>1</v>
      </c>
      <c r="AJ42" s="4">
        <v>0</v>
      </c>
      <c r="AK42" s="40">
        <v>1390</v>
      </c>
      <c r="AL42" s="40" t="s">
        <v>189</v>
      </c>
      <c r="AM42" s="50" t="str">
        <f>IFERROR(ROUND((VLOOKUP($A42,'Из ГУГЛа'!$B:$AD,AM$1,0)+AO42)*AN42,),VLOOKUP($A42,'Из ГУГЛа'!$B:$AD,AM$1,0))</f>
        <v/>
      </c>
      <c r="AN42" s="4">
        <v>1</v>
      </c>
      <c r="AO42" s="4">
        <v>0</v>
      </c>
      <c r="AP42" s="40" t="s">
        <v>180</v>
      </c>
      <c r="AQ42" s="40"/>
    </row>
    <row r="43" spans="1:43" ht="30" x14ac:dyDescent="0.25">
      <c r="A43" s="36">
        <v>143675</v>
      </c>
      <c r="B43" s="36">
        <f>VLOOKUP($A43,'Выгр Кат'!$A:$T,B$1,0)</f>
        <v>19872</v>
      </c>
      <c r="C43" s="35" t="str">
        <f>VLOOKUP($A43,'Выгр Кат'!$A:$T,C$1,0)</f>
        <v>Дефлекторы ветровики дверей для Шевроле Нива</v>
      </c>
      <c r="D43" s="36" t="str">
        <f>VLOOKUP($A43,'Выгр Кат'!$A:$T,D$1,0)</f>
        <v>Y</v>
      </c>
      <c r="E43" s="36" t="str">
        <f>VLOOKUP($A43,'Выгр Кат'!$A:$T,E$1,0)</f>
        <v>1</v>
      </c>
      <c r="F43" s="36">
        <f>VLOOKUP($A43,'Выгр Кат'!$A:$T,F$1,0)</f>
        <v>0</v>
      </c>
      <c r="G43" s="36">
        <f>VLOOKUP($A43,'Выгр Кат'!$A:$T,G$1,0)</f>
        <v>0</v>
      </c>
      <c r="H43" s="36">
        <f>VLOOKUP($A43,'Выгр Кат'!$A:$T,H$1,0)</f>
        <v>0</v>
      </c>
      <c r="I43" s="36"/>
      <c r="J43" s="45" t="s">
        <v>44</v>
      </c>
      <c r="K43" s="46">
        <v>520</v>
      </c>
      <c r="L43" s="37">
        <f>VLOOKUP(K43,Наценка!$A$1:$B$8,2,1)</f>
        <v>1.55</v>
      </c>
      <c r="M43" s="23">
        <f>W43*1.08</f>
        <v>987.12000000000012</v>
      </c>
      <c r="N43" s="17">
        <f t="shared" si="1"/>
        <v>989</v>
      </c>
      <c r="O43" s="36">
        <f>VLOOKUP($A43,'Выгр Кат'!$A:$T,O$1,0)</f>
        <v>520</v>
      </c>
      <c r="P43" s="36">
        <f>VLOOKUP($A43,'Выгр Кат'!$A:$T,P$1,0)</f>
        <v>989</v>
      </c>
      <c r="Q43" s="14">
        <f t="shared" si="2"/>
        <v>0</v>
      </c>
      <c r="R43" s="14">
        <f t="shared" si="3"/>
        <v>0</v>
      </c>
      <c r="S43" s="15">
        <f t="shared" si="4"/>
        <v>841</v>
      </c>
      <c r="T43" s="39">
        <f t="shared" si="5"/>
        <v>0.61730769230769234</v>
      </c>
      <c r="U43" s="39">
        <f t="shared" si="6"/>
        <v>7.9868708971553612E-2</v>
      </c>
      <c r="V43" s="39">
        <f t="shared" si="7"/>
        <v>0.75769230769230766</v>
      </c>
      <c r="W43" s="54">
        <f>AF43</f>
        <v>914</v>
      </c>
      <c r="X43" s="50" t="str">
        <f>IFERROR(ROUND((VLOOKUP($A43,'Из ГУГЛа'!$B:$AD,X$1,0)+Z43)*Y43,),VLOOKUP($A43,'Из ГУГЛа'!$B:$AD,X$1,0))</f>
        <v/>
      </c>
      <c r="Y43" s="4">
        <v>1</v>
      </c>
      <c r="Z43" s="4">
        <v>0</v>
      </c>
      <c r="AA43" s="40">
        <v>1090</v>
      </c>
      <c r="AB43" s="40" t="s">
        <v>133</v>
      </c>
      <c r="AC43" s="50" t="str">
        <f>IFERROR(ROUND((VLOOKUP($A43,'Из ГУГЛа'!$B:$AD,AC$1,0)+AE43)*AD43,),VLOOKUP($A43,'Из ГУГЛа'!$B:$AD,AC$1,0))</f>
        <v/>
      </c>
      <c r="AD43" s="4">
        <v>1</v>
      </c>
      <c r="AE43" s="4">
        <v>0</v>
      </c>
      <c r="AF43" s="40">
        <v>914</v>
      </c>
      <c r="AG43" s="40" t="s">
        <v>191</v>
      </c>
      <c r="AH43" s="50" t="str">
        <f>IFERROR(ROUND((VLOOKUP($A43,'Из ГУГЛа'!$B:$AD,AH$1,0)+AJ43)*AI43,),VLOOKUP($A43,'Из ГУГЛа'!$B:$AD,AH$1,0))</f>
        <v/>
      </c>
      <c r="AI43" s="4">
        <v>1</v>
      </c>
      <c r="AJ43" s="4">
        <v>0</v>
      </c>
      <c r="AK43" s="40" t="s">
        <v>180</v>
      </c>
      <c r="AL43" s="40"/>
      <c r="AM43" s="50" t="str">
        <f>IFERROR(ROUND((VLOOKUP($A43,'Из ГУГЛа'!$B:$AD,AM$1,0)+AO43)*AN43,),VLOOKUP($A43,'Из ГУГЛа'!$B:$AD,AM$1,0))</f>
        <v/>
      </c>
      <c r="AN43" s="4">
        <v>1</v>
      </c>
      <c r="AO43" s="4">
        <v>0</v>
      </c>
      <c r="AP43" s="40" t="s">
        <v>180</v>
      </c>
      <c r="AQ43" s="40"/>
    </row>
    <row r="44" spans="1:43" ht="30" x14ac:dyDescent="0.25">
      <c r="A44" s="36">
        <v>143679</v>
      </c>
      <c r="B44" s="36">
        <f>VLOOKUP($A44,'Выгр Кат'!$A:$T,B$1,0)</f>
        <v>7860</v>
      </c>
      <c r="C44" s="35" t="str">
        <f>VLOOKUP($A44,'Выгр Кат'!$A:$T,C$1,0)</f>
        <v>Дефлекторы дверей ANV для Лада Гранта седан</v>
      </c>
      <c r="D44" s="36" t="str">
        <f>VLOOKUP($A44,'Выгр Кат'!$A:$T,D$1,0)</f>
        <v>N</v>
      </c>
      <c r="E44" s="36" t="str">
        <f>VLOOKUP($A44,'Выгр Кат'!$A:$T,E$1,0)</f>
        <v>1</v>
      </c>
      <c r="F44" s="36">
        <f>VLOOKUP($A44,'Выгр Кат'!$A:$T,F$1,0)</f>
        <v>0</v>
      </c>
      <c r="G44" s="36" t="str">
        <f>VLOOKUP($A44,'Выгр Кат'!$A:$T,G$1,0)</f>
        <v>ДК0061С</v>
      </c>
      <c r="H44" s="36">
        <f>VLOOKUP($A44,'Выгр Кат'!$A:$T,H$1,0)</f>
        <v>0</v>
      </c>
      <c r="I44" s="36"/>
      <c r="J44" s="45" t="s">
        <v>44</v>
      </c>
      <c r="K44" s="46">
        <v>480</v>
      </c>
      <c r="L44" s="37">
        <f>VLOOKUP(K44,Наценка!$A$1:$B$8,2,1)</f>
        <v>1.6</v>
      </c>
      <c r="M44" s="38">
        <f t="shared" si="13"/>
        <v>768</v>
      </c>
      <c r="N44" s="17">
        <f t="shared" si="1"/>
        <v>769</v>
      </c>
      <c r="O44" s="36">
        <f>VLOOKUP($A44,'Выгр Кат'!$A:$T,O$1,0)</f>
        <v>480</v>
      </c>
      <c r="P44" s="36">
        <f>VLOOKUP($A44,'Выгр Кат'!$A:$T,P$1,0)</f>
        <v>769</v>
      </c>
      <c r="Q44" s="14">
        <f t="shared" si="2"/>
        <v>0</v>
      </c>
      <c r="R44" s="14">
        <f t="shared" si="3"/>
        <v>0</v>
      </c>
      <c r="S44" s="15">
        <f t="shared" si="4"/>
        <v>654</v>
      </c>
      <c r="T44" s="39">
        <f t="shared" si="5"/>
        <v>0.36250000000000004</v>
      </c>
      <c r="U44" s="39" t="str">
        <f t="shared" si="6"/>
        <v/>
      </c>
      <c r="V44" s="39" t="str">
        <f t="shared" si="7"/>
        <v/>
      </c>
      <c r="W44" s="42"/>
      <c r="X44" s="50" t="str">
        <f>IFERROR(ROUND((VLOOKUP($A44,'Из ГУГЛа'!$B:$AD,X$1,0)+Z44)*Y44,),VLOOKUP($A44,'Из ГУГЛа'!$B:$AD,X$1,0))</f>
        <v/>
      </c>
      <c r="Y44" s="4">
        <v>1</v>
      </c>
      <c r="Z44" s="4">
        <v>0</v>
      </c>
      <c r="AA44" s="40"/>
      <c r="AB44" s="40"/>
      <c r="AC44" s="50" t="str">
        <f>IFERROR(ROUND((VLOOKUP($A44,'Из ГУГЛа'!$B:$AD,AC$1,0)+AE44)*AD44,),VLOOKUP($A44,'Из ГУГЛа'!$B:$AD,AC$1,0))</f>
        <v/>
      </c>
      <c r="AD44" s="4">
        <v>1</v>
      </c>
      <c r="AE44" s="4">
        <v>0</v>
      </c>
      <c r="AF44" s="40" t="s">
        <v>180</v>
      </c>
      <c r="AG44" s="40"/>
      <c r="AH44" s="50" t="str">
        <f>IFERROR(ROUND((VLOOKUP($A44,'Из ГУГЛа'!$B:$AD,AH$1,0)+AJ44)*AI44,),VLOOKUP($A44,'Из ГУГЛа'!$B:$AD,AH$1,0))</f>
        <v/>
      </c>
      <c r="AI44" s="4">
        <v>1</v>
      </c>
      <c r="AJ44" s="4">
        <v>0</v>
      </c>
      <c r="AK44" s="40" t="s">
        <v>180</v>
      </c>
      <c r="AL44" s="40"/>
      <c r="AM44" s="50" t="str">
        <f>IFERROR(ROUND((VLOOKUP($A44,'Из ГУГЛа'!$B:$AD,AM$1,0)+AO44)*AN44,),VLOOKUP($A44,'Из ГУГЛа'!$B:$AD,AM$1,0))</f>
        <v/>
      </c>
      <c r="AN44" s="4">
        <v>1</v>
      </c>
      <c r="AO44" s="4">
        <v>0</v>
      </c>
      <c r="AP44" s="40" t="s">
        <v>180</v>
      </c>
      <c r="AQ44" s="40"/>
    </row>
    <row r="45" spans="1:43" ht="30" x14ac:dyDescent="0.25">
      <c r="A45" s="36">
        <v>143680</v>
      </c>
      <c r="B45" s="36">
        <f>VLOOKUP($A45,'Выгр Кат'!$A:$T,B$1,0)</f>
        <v>6204</v>
      </c>
      <c r="C45" s="35" t="str">
        <f>VLOOKUP($A45,'Выгр Кат'!$A:$T,C$1,0)</f>
        <v>Дефлекторы дверей ANV для Лада Ларгус</v>
      </c>
      <c r="D45" s="36" t="str">
        <f>VLOOKUP($A45,'Выгр Кат'!$A:$T,D$1,0)</f>
        <v>N</v>
      </c>
      <c r="E45" s="36" t="str">
        <f>VLOOKUP($A45,'Выгр Кат'!$A:$T,E$1,0)</f>
        <v>1</v>
      </c>
      <c r="F45" s="36">
        <f>VLOOKUP($A45,'Выгр Кат'!$A:$T,F$1,0)</f>
        <v>0</v>
      </c>
      <c r="G45" s="36" t="str">
        <f>VLOOKUP($A45,'Выгр Кат'!$A:$T,G$1,0)</f>
        <v>ДК0069С</v>
      </c>
      <c r="H45" s="36">
        <f>VLOOKUP($A45,'Выгр Кат'!$A:$T,H$1,0)</f>
        <v>0</v>
      </c>
      <c r="I45" s="36"/>
      <c r="J45" s="45" t="s">
        <v>44</v>
      </c>
      <c r="K45" s="46">
        <v>460</v>
      </c>
      <c r="L45" s="37">
        <f>VLOOKUP(K45,Наценка!$A$1:$B$8,2,1)</f>
        <v>1.6</v>
      </c>
      <c r="M45" s="38">
        <f t="shared" si="13"/>
        <v>736</v>
      </c>
      <c r="N45" s="17">
        <f t="shared" si="1"/>
        <v>739</v>
      </c>
      <c r="O45" s="36">
        <f>VLOOKUP($A45,'Выгр Кат'!$A:$T,O$1,0)</f>
        <v>460</v>
      </c>
      <c r="P45" s="36">
        <f>VLOOKUP($A45,'Выгр Кат'!$A:$T,P$1,0)</f>
        <v>739</v>
      </c>
      <c r="Q45" s="14">
        <f t="shared" si="2"/>
        <v>0</v>
      </c>
      <c r="R45" s="14">
        <f t="shared" si="3"/>
        <v>0</v>
      </c>
      <c r="S45" s="15">
        <f t="shared" si="4"/>
        <v>628</v>
      </c>
      <c r="T45" s="39">
        <f t="shared" si="5"/>
        <v>0.36521739130434772</v>
      </c>
      <c r="U45" s="39" t="str">
        <f t="shared" si="6"/>
        <v/>
      </c>
      <c r="V45" s="39" t="str">
        <f t="shared" si="7"/>
        <v/>
      </c>
      <c r="W45" s="42"/>
      <c r="X45" s="50" t="str">
        <f>IFERROR(ROUND((VLOOKUP($A45,'Из ГУГЛа'!$B:$AD,X$1,0)+Z45)*Y45,),VLOOKUP($A45,'Из ГУГЛа'!$B:$AD,X$1,0))</f>
        <v/>
      </c>
      <c r="Y45" s="4">
        <v>1</v>
      </c>
      <c r="Z45" s="4">
        <v>0</v>
      </c>
      <c r="AA45" s="40"/>
      <c r="AB45" s="40"/>
      <c r="AC45" s="50" t="str">
        <f>IFERROR(ROUND((VLOOKUP($A45,'Из ГУГЛа'!$B:$AD,AC$1,0)+AE45)*AD45,),VLOOKUP($A45,'Из ГУГЛа'!$B:$AD,AC$1,0))</f>
        <v/>
      </c>
      <c r="AD45" s="4">
        <v>1</v>
      </c>
      <c r="AE45" s="4">
        <v>0</v>
      </c>
      <c r="AF45" s="40" t="s">
        <v>180</v>
      </c>
      <c r="AG45" s="40"/>
      <c r="AH45" s="50" t="str">
        <f>IFERROR(ROUND((VLOOKUP($A45,'Из ГУГЛа'!$B:$AD,AH$1,0)+AJ45)*AI45,),VLOOKUP($A45,'Из ГУГЛа'!$B:$AD,AH$1,0))</f>
        <v/>
      </c>
      <c r="AI45" s="4">
        <v>1</v>
      </c>
      <c r="AJ45" s="4">
        <v>0</v>
      </c>
      <c r="AK45" s="40" t="s">
        <v>180</v>
      </c>
      <c r="AL45" s="40"/>
      <c r="AM45" s="50" t="str">
        <f>IFERROR(ROUND((VLOOKUP($A45,'Из ГУГЛа'!$B:$AD,AM$1,0)+AO45)*AN45,),VLOOKUP($A45,'Из ГУГЛа'!$B:$AD,AM$1,0))</f>
        <v/>
      </c>
      <c r="AN45" s="4">
        <v>1</v>
      </c>
      <c r="AO45" s="4">
        <v>0</v>
      </c>
      <c r="AP45" s="40" t="s">
        <v>180</v>
      </c>
      <c r="AQ45" s="40"/>
    </row>
    <row r="46" spans="1:43" ht="30" x14ac:dyDescent="0.25">
      <c r="A46" s="36">
        <v>143681</v>
      </c>
      <c r="B46" s="36">
        <f>VLOOKUP($A46,'Выгр Кат'!$A:$T,B$1,0)</f>
        <v>6626</v>
      </c>
      <c r="C46" s="35" t="str">
        <f>VLOOKUP($A46,'Выгр Кат'!$A:$T,C$1,0)</f>
        <v>Дефлекторы дверей ANV для Лада Приора седан, хэтчбек</v>
      </c>
      <c r="D46" s="36" t="str">
        <f>VLOOKUP($A46,'Выгр Кат'!$A:$T,D$1,0)</f>
        <v>N</v>
      </c>
      <c r="E46" s="36" t="str">
        <f>VLOOKUP($A46,'Выгр Кат'!$A:$T,E$1,0)</f>
        <v>1</v>
      </c>
      <c r="F46" s="36">
        <f>VLOOKUP($A46,'Выгр Кат'!$A:$T,F$1,0)</f>
        <v>0</v>
      </c>
      <c r="G46" s="36" t="str">
        <f>VLOOKUP($A46,'Выгр Кат'!$A:$T,G$1,0)</f>
        <v>ДК0076С</v>
      </c>
      <c r="H46" s="36">
        <f>VLOOKUP($A46,'Выгр Кат'!$A:$T,H$1,0)</f>
        <v>0</v>
      </c>
      <c r="I46" s="36"/>
      <c r="J46" s="45" t="s">
        <v>44</v>
      </c>
      <c r="K46" s="46">
        <v>440</v>
      </c>
      <c r="L46" s="37">
        <f>VLOOKUP(K46,Наценка!$A$1:$B$8,2,1)</f>
        <v>1.6</v>
      </c>
      <c r="M46" s="38">
        <f t="shared" si="13"/>
        <v>704</v>
      </c>
      <c r="N46" s="17">
        <f t="shared" si="1"/>
        <v>709</v>
      </c>
      <c r="O46" s="36">
        <f>VLOOKUP($A46,'Выгр Кат'!$A:$T,O$1,0)</f>
        <v>440</v>
      </c>
      <c r="P46" s="36">
        <f>VLOOKUP($A46,'Выгр Кат'!$A:$T,P$1,0)</f>
        <v>709</v>
      </c>
      <c r="Q46" s="14">
        <f t="shared" si="2"/>
        <v>0</v>
      </c>
      <c r="R46" s="14">
        <f t="shared" si="3"/>
        <v>0</v>
      </c>
      <c r="S46" s="15">
        <f t="shared" si="4"/>
        <v>603</v>
      </c>
      <c r="T46" s="39">
        <f t="shared" si="5"/>
        <v>0.37045454545454537</v>
      </c>
      <c r="U46" s="39" t="str">
        <f t="shared" si="6"/>
        <v/>
      </c>
      <c r="V46" s="39" t="str">
        <f t="shared" si="7"/>
        <v/>
      </c>
      <c r="W46" s="42"/>
      <c r="X46" s="50" t="str">
        <f>IFERROR(ROUND((VLOOKUP($A46,'Из ГУГЛа'!$B:$AD,X$1,0)+Z46)*Y46,),VLOOKUP($A46,'Из ГУГЛа'!$B:$AD,X$1,0))</f>
        <v/>
      </c>
      <c r="Y46" s="4">
        <v>1</v>
      </c>
      <c r="Z46" s="4">
        <v>0</v>
      </c>
      <c r="AA46" s="40"/>
      <c r="AB46" s="40"/>
      <c r="AC46" s="50" t="str">
        <f>IFERROR(ROUND((VLOOKUP($A46,'Из ГУГЛа'!$B:$AD,AC$1,0)+AE46)*AD46,),VLOOKUP($A46,'Из ГУГЛа'!$B:$AD,AC$1,0))</f>
        <v/>
      </c>
      <c r="AD46" s="4">
        <v>1</v>
      </c>
      <c r="AE46" s="4">
        <v>0</v>
      </c>
      <c r="AF46" s="40" t="s">
        <v>180</v>
      </c>
      <c r="AG46" s="40"/>
      <c r="AH46" s="50" t="str">
        <f>IFERROR(ROUND((VLOOKUP($A46,'Из ГУГЛа'!$B:$AD,AH$1,0)+AJ46)*AI46,),VLOOKUP($A46,'Из ГУГЛа'!$B:$AD,AH$1,0))</f>
        <v/>
      </c>
      <c r="AI46" s="4">
        <v>1</v>
      </c>
      <c r="AJ46" s="4">
        <v>0</v>
      </c>
      <c r="AK46" s="40" t="s">
        <v>180</v>
      </c>
      <c r="AL46" s="40"/>
      <c r="AM46" s="50" t="str">
        <f>IFERROR(ROUND((VLOOKUP($A46,'Из ГУГЛа'!$B:$AD,AM$1,0)+AO46)*AN46,),VLOOKUP($A46,'Из ГУГЛа'!$B:$AD,AM$1,0))</f>
        <v/>
      </c>
      <c r="AN46" s="4">
        <v>1</v>
      </c>
      <c r="AO46" s="4">
        <v>0</v>
      </c>
      <c r="AP46" s="40" t="s">
        <v>180</v>
      </c>
      <c r="AQ46" s="40"/>
    </row>
    <row r="47" spans="1:43" ht="30" x14ac:dyDescent="0.25">
      <c r="A47" s="36">
        <v>143682</v>
      </c>
      <c r="B47" s="36">
        <f>VLOOKUP($A47,'Выгр Кат'!$A:$T,B$1,0)</f>
        <v>6627</v>
      </c>
      <c r="C47" s="35" t="str">
        <f>VLOOKUP($A47,'Выгр Кат'!$A:$T,C$1,0)</f>
        <v>Дефлекторы дверей ANV для Лада Приора универсал</v>
      </c>
      <c r="D47" s="36" t="str">
        <f>VLOOKUP($A47,'Выгр Кат'!$A:$T,D$1,0)</f>
        <v>N</v>
      </c>
      <c r="E47" s="36" t="str">
        <f>VLOOKUP($A47,'Выгр Кат'!$A:$T,E$1,0)</f>
        <v>1</v>
      </c>
      <c r="F47" s="36">
        <f>VLOOKUP($A47,'Выгр Кат'!$A:$T,F$1,0)</f>
        <v>0</v>
      </c>
      <c r="G47" s="36">
        <f>VLOOKUP($A47,'Выгр Кат'!$A:$T,G$1,0)</f>
        <v>0</v>
      </c>
      <c r="H47" s="36">
        <f>VLOOKUP($A47,'Выгр Кат'!$A:$T,H$1,0)</f>
        <v>0</v>
      </c>
      <c r="I47" s="36"/>
      <c r="J47" s="45" t="s">
        <v>44</v>
      </c>
      <c r="K47" s="46">
        <v>440</v>
      </c>
      <c r="L47" s="37">
        <f>VLOOKUP(K47,Наценка!$A$1:$B$8,2,1)</f>
        <v>1.6</v>
      </c>
      <c r="M47" s="38">
        <f t="shared" si="13"/>
        <v>704</v>
      </c>
      <c r="N47" s="17">
        <f t="shared" si="1"/>
        <v>709</v>
      </c>
      <c r="O47" s="36">
        <f>VLOOKUP($A47,'Выгр Кат'!$A:$T,O$1,0)</f>
        <v>440</v>
      </c>
      <c r="P47" s="36">
        <f>VLOOKUP($A47,'Выгр Кат'!$A:$T,P$1,0)</f>
        <v>709</v>
      </c>
      <c r="Q47" s="14">
        <f t="shared" si="2"/>
        <v>0</v>
      </c>
      <c r="R47" s="14">
        <f t="shared" si="3"/>
        <v>0</v>
      </c>
      <c r="S47" s="15">
        <f t="shared" si="4"/>
        <v>603</v>
      </c>
      <c r="T47" s="39">
        <f t="shared" si="5"/>
        <v>0.37045454545454537</v>
      </c>
      <c r="U47" s="39" t="str">
        <f t="shared" si="6"/>
        <v/>
      </c>
      <c r="V47" s="39" t="str">
        <f t="shared" si="7"/>
        <v/>
      </c>
      <c r="W47" s="42"/>
      <c r="X47" s="50" t="str">
        <f>IFERROR(ROUND((VLOOKUP($A47,'Из ГУГЛа'!$B:$AD,X$1,0)+Z47)*Y47,),VLOOKUP($A47,'Из ГУГЛа'!$B:$AD,X$1,0))</f>
        <v/>
      </c>
      <c r="Y47" s="4">
        <v>1</v>
      </c>
      <c r="Z47" s="4">
        <v>0</v>
      </c>
      <c r="AA47" s="40"/>
      <c r="AB47" s="40"/>
      <c r="AC47" s="50" t="str">
        <f>IFERROR(ROUND((VLOOKUP($A47,'Из ГУГЛа'!$B:$AD,AC$1,0)+AE47)*AD47,),VLOOKUP($A47,'Из ГУГЛа'!$B:$AD,AC$1,0))</f>
        <v/>
      </c>
      <c r="AD47" s="4">
        <v>1</v>
      </c>
      <c r="AE47" s="4">
        <v>0</v>
      </c>
      <c r="AF47" s="40" t="s">
        <v>180</v>
      </c>
      <c r="AG47" s="40"/>
      <c r="AH47" s="50" t="str">
        <f>IFERROR(ROUND((VLOOKUP($A47,'Из ГУГЛа'!$B:$AD,AH$1,0)+AJ47)*AI47,),VLOOKUP($A47,'Из ГУГЛа'!$B:$AD,AH$1,0))</f>
        <v/>
      </c>
      <c r="AI47" s="4">
        <v>1</v>
      </c>
      <c r="AJ47" s="4">
        <v>0</v>
      </c>
      <c r="AK47" s="40" t="s">
        <v>180</v>
      </c>
      <c r="AL47" s="40"/>
      <c r="AM47" s="50" t="str">
        <f>IFERROR(ROUND((VLOOKUP($A47,'Из ГУГЛа'!$B:$AD,AM$1,0)+AO47)*AN47,),VLOOKUP($A47,'Из ГУГЛа'!$B:$AD,AM$1,0))</f>
        <v/>
      </c>
      <c r="AN47" s="4">
        <v>1</v>
      </c>
      <c r="AO47" s="4">
        <v>0</v>
      </c>
      <c r="AP47" s="40" t="s">
        <v>180</v>
      </c>
      <c r="AQ47" s="40"/>
    </row>
    <row r="48" spans="1:43" ht="30" x14ac:dyDescent="0.25">
      <c r="A48" s="36">
        <v>143687</v>
      </c>
      <c r="B48" s="36">
        <f>VLOOKUP($A48,'Выгр Кат'!$A:$T,B$1,0)</f>
        <v>7982</v>
      </c>
      <c r="C48" s="35" t="str">
        <f>VLOOKUP($A48,'Выгр Кат'!$A:$T,C$1,0)</f>
        <v>Дефлекторы на двери ANV для Лада Веста седан</v>
      </c>
      <c r="D48" s="36" t="str">
        <f>VLOOKUP($A48,'Выгр Кат'!$A:$T,D$1,0)</f>
        <v>N</v>
      </c>
      <c r="E48" s="36" t="str">
        <f>VLOOKUP($A48,'Выгр Кат'!$A:$T,E$1,0)</f>
        <v>1</v>
      </c>
      <c r="F48" s="36">
        <f>VLOOKUP($A48,'Выгр Кат'!$A:$T,F$1,0)</f>
        <v>0</v>
      </c>
      <c r="G48" s="36">
        <f>VLOOKUP($A48,'Выгр Кат'!$A:$T,G$1,0)</f>
        <v>0</v>
      </c>
      <c r="H48" s="36">
        <f>VLOOKUP($A48,'Выгр Кат'!$A:$T,H$1,0)</f>
        <v>0</v>
      </c>
      <c r="I48" s="36"/>
      <c r="J48" s="45" t="s">
        <v>44</v>
      </c>
      <c r="K48" s="46">
        <v>420</v>
      </c>
      <c r="L48" s="37">
        <f>VLOOKUP(K48,Наценка!$A$1:$B$8,2,1)</f>
        <v>1.6</v>
      </c>
      <c r="M48" s="38">
        <f t="shared" si="13"/>
        <v>672</v>
      </c>
      <c r="N48" s="17">
        <f t="shared" si="1"/>
        <v>679</v>
      </c>
      <c r="O48" s="36">
        <f>VLOOKUP($A48,'Выгр Кат'!$A:$T,O$1,0)</f>
        <v>420</v>
      </c>
      <c r="P48" s="36">
        <f>VLOOKUP($A48,'Выгр Кат'!$A:$T,P$1,0)</f>
        <v>679</v>
      </c>
      <c r="Q48" s="14">
        <f t="shared" si="2"/>
        <v>0</v>
      </c>
      <c r="R48" s="14">
        <f t="shared" si="3"/>
        <v>0</v>
      </c>
      <c r="S48" s="15">
        <f t="shared" si="4"/>
        <v>577</v>
      </c>
      <c r="T48" s="39">
        <f t="shared" si="5"/>
        <v>0.37380952380952381</v>
      </c>
      <c r="U48" s="39" t="str">
        <f t="shared" si="6"/>
        <v/>
      </c>
      <c r="V48" s="39" t="str">
        <f t="shared" si="7"/>
        <v/>
      </c>
      <c r="W48" s="42"/>
      <c r="X48" s="50" t="str">
        <f>IFERROR(ROUND((VLOOKUP($A48,'Из ГУГЛа'!$B:$AD,X$1,0)+Z48)*Y48,),VLOOKUP($A48,'Из ГУГЛа'!$B:$AD,X$1,0))</f>
        <v/>
      </c>
      <c r="Y48" s="4">
        <v>1</v>
      </c>
      <c r="Z48" s="4">
        <v>0</v>
      </c>
      <c r="AA48" s="40"/>
      <c r="AB48" s="40"/>
      <c r="AC48" s="50" t="str">
        <f>IFERROR(ROUND((VLOOKUP($A48,'Из ГУГЛа'!$B:$AD,AC$1,0)+AE48)*AD48,),VLOOKUP($A48,'Из ГУГЛа'!$B:$AD,AC$1,0))</f>
        <v/>
      </c>
      <c r="AD48" s="4">
        <v>1</v>
      </c>
      <c r="AE48" s="4">
        <v>0</v>
      </c>
      <c r="AF48" s="40" t="s">
        <v>180</v>
      </c>
      <c r="AG48" s="40"/>
      <c r="AH48" s="50" t="str">
        <f>IFERROR(ROUND((VLOOKUP($A48,'Из ГУГЛа'!$B:$AD,AH$1,0)+AJ48)*AI48,),VLOOKUP($A48,'Из ГУГЛа'!$B:$AD,AH$1,0))</f>
        <v/>
      </c>
      <c r="AI48" s="4">
        <v>1</v>
      </c>
      <c r="AJ48" s="4">
        <v>0</v>
      </c>
      <c r="AK48" s="40" t="s">
        <v>180</v>
      </c>
      <c r="AL48" s="40"/>
      <c r="AM48" s="50" t="str">
        <f>IFERROR(ROUND((VLOOKUP($A48,'Из ГУГЛа'!$B:$AD,AM$1,0)+AO48)*AN48,),VLOOKUP($A48,'Из ГУГЛа'!$B:$AD,AM$1,0))</f>
        <v/>
      </c>
      <c r="AN48" s="4">
        <v>1</v>
      </c>
      <c r="AO48" s="4">
        <v>0</v>
      </c>
      <c r="AP48" s="40" t="s">
        <v>180</v>
      </c>
      <c r="AQ48" s="40"/>
    </row>
    <row r="49" spans="1:43" ht="30" x14ac:dyDescent="0.25">
      <c r="A49" s="36">
        <v>157890</v>
      </c>
      <c r="B49" s="36">
        <f>VLOOKUP($A49,'Выгр Кат'!$A:$T,B$1,0)</f>
        <v>12116</v>
      </c>
      <c r="C49" s="35" t="str">
        <f>VLOOKUP($A49,'Выгр Кат'!$A:$T,C$1,0)</f>
        <v>Козырёк на заднее стекло ANV для Лада Нива 4x4</v>
      </c>
      <c r="D49" s="36" t="str">
        <f>VLOOKUP($A49,'Выгр Кат'!$A:$T,D$1,0)</f>
        <v>N</v>
      </c>
      <c r="E49" s="36" t="str">
        <f>VLOOKUP($A49,'Выгр Кат'!$A:$T,E$1,0)</f>
        <v>1</v>
      </c>
      <c r="F49" s="36">
        <f>VLOOKUP($A49,'Выгр Кат'!$A:$T,F$1,0)</f>
        <v>0</v>
      </c>
      <c r="G49" s="36" t="str">
        <f>VLOOKUP($A49,'Выгр Кат'!$A:$T,G$1,0)</f>
        <v>КК0085Т</v>
      </c>
      <c r="H49" s="36">
        <f>VLOOKUP($A49,'Выгр Кат'!$A:$T,H$1,0)</f>
        <v>0</v>
      </c>
      <c r="I49" s="36"/>
      <c r="J49" s="45" t="s">
        <v>44</v>
      </c>
      <c r="K49" s="46">
        <v>400</v>
      </c>
      <c r="L49" s="37">
        <f>VLOOKUP(K49,Наценка!$A$1:$B$8,2,1)</f>
        <v>1.6</v>
      </c>
      <c r="M49" s="38">
        <f t="shared" si="13"/>
        <v>640</v>
      </c>
      <c r="N49" s="17">
        <f t="shared" si="1"/>
        <v>639</v>
      </c>
      <c r="O49" s="36">
        <f>VLOOKUP($A49,'Выгр Кат'!$A:$T,O$1,0)</f>
        <v>400</v>
      </c>
      <c r="P49" s="36">
        <f>VLOOKUP($A49,'Выгр Кат'!$A:$T,P$1,0)</f>
        <v>639</v>
      </c>
      <c r="Q49" s="14">
        <f t="shared" si="2"/>
        <v>0</v>
      </c>
      <c r="R49" s="14">
        <f t="shared" si="3"/>
        <v>0</v>
      </c>
      <c r="S49" s="15">
        <f t="shared" si="4"/>
        <v>543</v>
      </c>
      <c r="T49" s="39">
        <f t="shared" si="5"/>
        <v>0.35749999999999993</v>
      </c>
      <c r="U49" s="39" t="str">
        <f t="shared" si="6"/>
        <v/>
      </c>
      <c r="V49" s="39" t="str">
        <f t="shared" si="7"/>
        <v/>
      </c>
      <c r="W49" s="42"/>
      <c r="X49" s="50" t="str">
        <f>IFERROR(ROUND((VLOOKUP($A49,'Из ГУГЛа'!$B:$AD,X$1,0)+Z49)*Y49,),VLOOKUP($A49,'Из ГУГЛа'!$B:$AD,X$1,0))</f>
        <v/>
      </c>
      <c r="Y49" s="4">
        <v>1</v>
      </c>
      <c r="Z49" s="4">
        <v>0</v>
      </c>
      <c r="AA49" s="40"/>
      <c r="AB49" s="40"/>
      <c r="AC49" s="50" t="str">
        <f>IFERROR(ROUND((VLOOKUP($A49,'Из ГУГЛа'!$B:$AD,AC$1,0)+AE49)*AD49,),VLOOKUP($A49,'Из ГУГЛа'!$B:$AD,AC$1,0))</f>
        <v/>
      </c>
      <c r="AD49" s="4">
        <v>1</v>
      </c>
      <c r="AE49" s="4">
        <v>0</v>
      </c>
      <c r="AF49" s="40" t="s">
        <v>180</v>
      </c>
      <c r="AG49" s="40"/>
      <c r="AH49" s="50" t="str">
        <f>IFERROR(ROUND((VLOOKUP($A49,'Из ГУГЛа'!$B:$AD,AH$1,0)+AJ49)*AI49,),VLOOKUP($A49,'Из ГУГЛа'!$B:$AD,AH$1,0))</f>
        <v/>
      </c>
      <c r="AI49" s="4">
        <v>1</v>
      </c>
      <c r="AJ49" s="4">
        <v>0</v>
      </c>
      <c r="AK49" s="40" t="s">
        <v>180</v>
      </c>
      <c r="AL49" s="40"/>
      <c r="AM49" s="50" t="str">
        <f>IFERROR(ROUND((VLOOKUP($A49,'Из ГУГЛа'!$B:$AD,AM$1,0)+AO49)*AN49,),VLOOKUP($A49,'Из ГУГЛа'!$B:$AD,AM$1,0))</f>
        <v/>
      </c>
      <c r="AN49" s="4">
        <v>1</v>
      </c>
      <c r="AO49" s="4">
        <v>0</v>
      </c>
      <c r="AP49" s="40" t="s">
        <v>180</v>
      </c>
      <c r="AQ49" s="40"/>
    </row>
    <row r="50" spans="1:43" ht="30" x14ac:dyDescent="0.25">
      <c r="A50" s="36">
        <v>157910</v>
      </c>
      <c r="B50" s="36">
        <f>VLOOKUP($A50,'Выгр Кат'!$A:$T,B$1,0)</f>
        <v>12115</v>
      </c>
      <c r="C50" s="35" t="str">
        <f>VLOOKUP($A50,'Выгр Кат'!$A:$T,C$1,0)</f>
        <v>Козырек солнцезащитный передний для Лада Нива 4х4</v>
      </c>
      <c r="D50" s="36" t="str">
        <f>VLOOKUP($A50,'Выгр Кат'!$A:$T,D$1,0)</f>
        <v>Y</v>
      </c>
      <c r="E50" s="36" t="str">
        <f>VLOOKUP($A50,'Выгр Кат'!$A:$T,E$1,0)</f>
        <v>1ск5</v>
      </c>
      <c r="F50" s="36">
        <f>VLOOKUP($A50,'Выгр Кат'!$A:$T,F$1,0)</f>
        <v>0</v>
      </c>
      <c r="G50" s="36">
        <f>VLOOKUP($A50,'Выгр Кат'!$A:$T,G$1,0)</f>
        <v>0</v>
      </c>
      <c r="H50" s="36">
        <f>VLOOKUP($A50,'Выгр Кат'!$A:$T,H$1,0)</f>
        <v>0</v>
      </c>
      <c r="I50" s="36"/>
      <c r="J50" s="45" t="s">
        <v>44</v>
      </c>
      <c r="K50" s="46">
        <v>1300</v>
      </c>
      <c r="L50" s="37">
        <f>VLOOKUP(K50,Наценка!$A$1:$B$8,2,1)</f>
        <v>1.5</v>
      </c>
      <c r="M50" s="23">
        <f>W50*1.13</f>
        <v>2587.6999999999998</v>
      </c>
      <c r="N50" s="17">
        <f t="shared" si="1"/>
        <v>2590</v>
      </c>
      <c r="O50" s="36">
        <f>VLOOKUP($A50,'Выгр Кат'!$A:$T,O$1,0)</f>
        <v>1300</v>
      </c>
      <c r="P50" s="36">
        <f>VLOOKUP($A50,'Выгр Кат'!$A:$T,P$1,0)</f>
        <v>2590</v>
      </c>
      <c r="Q50" s="14">
        <f t="shared" si="2"/>
        <v>0</v>
      </c>
      <c r="R50" s="14">
        <f t="shared" si="3"/>
        <v>0</v>
      </c>
      <c r="S50" s="15">
        <f t="shared" si="4"/>
        <v>2202</v>
      </c>
      <c r="T50" s="39">
        <f t="shared" si="5"/>
        <v>0.69384615384615378</v>
      </c>
      <c r="U50" s="39">
        <f t="shared" si="6"/>
        <v>3.8427947598253277E-2</v>
      </c>
      <c r="V50" s="39">
        <f t="shared" si="7"/>
        <v>0.7615384615384615</v>
      </c>
      <c r="W50" s="41">
        <f>AA50</f>
        <v>2290</v>
      </c>
      <c r="X50" s="50" t="str">
        <f>IFERROR(ROUND((VLOOKUP($A50,'Из ГУГЛа'!$B:$AD,X$1,0)+Z50)*Y50,),VLOOKUP($A50,'Из ГУГЛа'!$B:$AD,X$1,0))</f>
        <v/>
      </c>
      <c r="Y50" s="4">
        <v>1</v>
      </c>
      <c r="Z50" s="4">
        <v>0</v>
      </c>
      <c r="AA50" s="40">
        <v>2290</v>
      </c>
      <c r="AB50" s="40" t="s">
        <v>138</v>
      </c>
      <c r="AC50" s="50" t="str">
        <f>IFERROR(ROUND((VLOOKUP($A50,'Из ГУГЛа'!$B:$AD,AC$1,0)+AE50)*AD50,),VLOOKUP($A50,'Из ГУГЛа'!$B:$AD,AC$1,0))</f>
        <v/>
      </c>
      <c r="AD50" s="4">
        <v>1</v>
      </c>
      <c r="AE50" s="4">
        <v>0</v>
      </c>
      <c r="AF50" s="40" t="s">
        <v>180</v>
      </c>
      <c r="AG50" s="40"/>
      <c r="AH50" s="50" t="str">
        <f>IFERROR(ROUND((VLOOKUP($A50,'Из ГУГЛа'!$B:$AD,AH$1,0)+AJ50)*AI50,),VLOOKUP($A50,'Из ГУГЛа'!$B:$AD,AH$1,0))</f>
        <v/>
      </c>
      <c r="AI50" s="4">
        <v>1</v>
      </c>
      <c r="AJ50" s="4">
        <v>0</v>
      </c>
      <c r="AK50" s="40">
        <v>2015</v>
      </c>
      <c r="AL50" s="40" t="s">
        <v>188</v>
      </c>
      <c r="AM50" s="50" t="str">
        <f>IFERROR(ROUND((VLOOKUP($A50,'Из ГУГЛа'!$B:$AD,AM$1,0)+AO50)*AN50,),VLOOKUP($A50,'Из ГУГЛа'!$B:$AD,AM$1,0))</f>
        <v/>
      </c>
      <c r="AN50" s="4">
        <v>1</v>
      </c>
      <c r="AO50" s="4">
        <v>0</v>
      </c>
      <c r="AP50" s="40" t="s">
        <v>180</v>
      </c>
      <c r="AQ50" s="40"/>
    </row>
    <row r="51" spans="1:43" ht="30" x14ac:dyDescent="0.25">
      <c r="A51" s="36">
        <v>274687</v>
      </c>
      <c r="B51" s="36">
        <f>VLOOKUP($A51,'Выгр Кат'!$A:$T,B$1,0)</f>
        <v>225729</v>
      </c>
      <c r="C51" s="35" t="str">
        <f>VLOOKUP($A51,'Выгр Кат'!$A:$T,C$1,0)</f>
        <v>Накладка дефлектор капота ANV для Лада Веста</v>
      </c>
      <c r="D51" s="36" t="str">
        <f>VLOOKUP($A51,'Выгр Кат'!$A:$T,D$1,0)</f>
        <v>N</v>
      </c>
      <c r="E51" s="36" t="str">
        <f>VLOOKUP($A51,'Выгр Кат'!$A:$T,E$1,0)</f>
        <v>1</v>
      </c>
      <c r="F51" s="36">
        <f>VLOOKUP($A51,'Выгр Кат'!$A:$T,F$1,0)</f>
        <v>0</v>
      </c>
      <c r="G51" s="36" t="str">
        <f>VLOOKUP($A51,'Выгр Кат'!$A:$T,G$1,0)</f>
        <v>СЕК0141Т</v>
      </c>
      <c r="H51" s="36">
        <f>VLOOKUP($A51,'Выгр Кат'!$A:$T,H$1,0)</f>
        <v>0</v>
      </c>
      <c r="I51" s="36"/>
      <c r="J51" s="45" t="s">
        <v>44</v>
      </c>
      <c r="K51" s="46">
        <v>600</v>
      </c>
      <c r="L51" s="37">
        <f>VLOOKUP(K51,Наценка!$A$1:$B$8,2,1)</f>
        <v>1.55</v>
      </c>
      <c r="M51" s="38">
        <f t="shared" si="13"/>
        <v>930</v>
      </c>
      <c r="N51" s="17">
        <f t="shared" si="1"/>
        <v>929</v>
      </c>
      <c r="O51" s="36">
        <f>VLOOKUP($A51,'Выгр Кат'!$A:$T,O$1,0)</f>
        <v>600</v>
      </c>
      <c r="P51" s="36">
        <f>VLOOKUP($A51,'Выгр Кат'!$A:$T,P$1,0)</f>
        <v>929</v>
      </c>
      <c r="Q51" s="14">
        <f t="shared" si="2"/>
        <v>0</v>
      </c>
      <c r="R51" s="14">
        <f t="shared" si="3"/>
        <v>0</v>
      </c>
      <c r="S51" s="15">
        <f t="shared" si="4"/>
        <v>790</v>
      </c>
      <c r="T51" s="39">
        <f t="shared" si="5"/>
        <v>0.31666666666666665</v>
      </c>
      <c r="U51" s="39" t="str">
        <f t="shared" si="6"/>
        <v/>
      </c>
      <c r="V51" s="39" t="str">
        <f t="shared" si="7"/>
        <v/>
      </c>
      <c r="W51" s="42"/>
      <c r="X51" s="50" t="str">
        <f>IFERROR(ROUND((VLOOKUP($A51,'Из ГУГЛа'!$B:$AD,X$1,0)+Z51)*Y51,),VLOOKUP($A51,'Из ГУГЛа'!$B:$AD,X$1,0))</f>
        <v/>
      </c>
      <c r="Y51" s="4">
        <v>1</v>
      </c>
      <c r="Z51" s="4">
        <v>0</v>
      </c>
      <c r="AA51" s="40"/>
      <c r="AB51" s="40"/>
      <c r="AC51" s="50" t="str">
        <f>IFERROR(ROUND((VLOOKUP($A51,'Из ГУГЛа'!$B:$AD,AC$1,0)+AE51)*AD51,),VLOOKUP($A51,'Из ГУГЛа'!$B:$AD,AC$1,0))</f>
        <v/>
      </c>
      <c r="AD51" s="4">
        <v>1</v>
      </c>
      <c r="AE51" s="4">
        <v>0</v>
      </c>
      <c r="AF51" s="40" t="s">
        <v>180</v>
      </c>
      <c r="AG51" s="40"/>
      <c r="AH51" s="50" t="str">
        <f>IFERROR(ROUND((VLOOKUP($A51,'Из ГУГЛа'!$B:$AD,AH$1,0)+AJ51)*AI51,),VLOOKUP($A51,'Из ГУГЛа'!$B:$AD,AH$1,0))</f>
        <v/>
      </c>
      <c r="AI51" s="4">
        <v>1</v>
      </c>
      <c r="AJ51" s="4">
        <v>0</v>
      </c>
      <c r="AK51" s="40" t="s">
        <v>180</v>
      </c>
      <c r="AL51" s="40"/>
      <c r="AM51" s="50" t="str">
        <f>IFERROR(ROUND((VLOOKUP($A51,'Из ГУГЛа'!$B:$AD,AM$1,0)+AO51)*AN51,),VLOOKUP($A51,'Из ГУГЛа'!$B:$AD,AM$1,0))</f>
        <v/>
      </c>
      <c r="AN51" s="4">
        <v>1</v>
      </c>
      <c r="AO51" s="4">
        <v>0</v>
      </c>
      <c r="AP51" s="40" t="s">
        <v>180</v>
      </c>
      <c r="AQ51" s="40"/>
    </row>
    <row r="52" spans="1:43" ht="30" x14ac:dyDescent="0.25">
      <c r="A52" s="36">
        <v>201309</v>
      </c>
      <c r="B52" s="36">
        <f>VLOOKUP($A52,'Выгр Кат'!$A:$T,B$1,0)</f>
        <v>909</v>
      </c>
      <c r="C52" s="35" t="str">
        <f>VLOOKUP($A52,'Выгр Кат'!$A:$T,C$1,0)</f>
        <v>Прозрачная крышка ГРМ для 16V автомобилей ВАЗ, Лада</v>
      </c>
      <c r="D52" s="36" t="str">
        <f>VLOOKUP($A52,'Выгр Кат'!$A:$T,D$1,0)</f>
        <v>Y</v>
      </c>
      <c r="E52" s="36" t="str">
        <f>VLOOKUP($A52,'Выгр Кат'!$A:$T,E$1,0)</f>
        <v>0</v>
      </c>
      <c r="F52" s="36">
        <f>VLOOKUP($A52,'Выгр Кат'!$A:$T,F$1,0)</f>
        <v>0</v>
      </c>
      <c r="G52" s="36">
        <f>VLOOKUP($A52,'Выгр Кат'!$A:$T,G$1,0)</f>
        <v>0</v>
      </c>
      <c r="H52" s="36">
        <f>VLOOKUP($A52,'Выгр Кат'!$A:$T,H$1,0)</f>
        <v>0</v>
      </c>
      <c r="I52" s="36"/>
      <c r="J52" s="45" t="s">
        <v>44</v>
      </c>
      <c r="K52" s="46">
        <v>3000</v>
      </c>
      <c r="L52" s="37">
        <f>VLOOKUP(K52,Наценка!$A$1:$B$8,2,1)</f>
        <v>1.4</v>
      </c>
      <c r="M52" s="47">
        <f>P52</f>
        <v>4990</v>
      </c>
      <c r="N52" s="17">
        <f t="shared" si="1"/>
        <v>4990</v>
      </c>
      <c r="O52" s="36">
        <f>VLOOKUP($A52,'Выгр Кат'!$A:$T,O$1,0)</f>
        <v>3000</v>
      </c>
      <c r="P52" s="36">
        <f>VLOOKUP($A52,'Выгр Кат'!$A:$T,P$1,0)</f>
        <v>4990</v>
      </c>
      <c r="Q52" s="14">
        <f t="shared" si="2"/>
        <v>0</v>
      </c>
      <c r="R52" s="14">
        <f t="shared" si="3"/>
        <v>0</v>
      </c>
      <c r="S52" s="15">
        <f t="shared" si="4"/>
        <v>4242</v>
      </c>
      <c r="T52" s="39">
        <f t="shared" si="5"/>
        <v>0.41399999999999992</v>
      </c>
      <c r="U52" s="39" t="str">
        <f t="shared" si="6"/>
        <v/>
      </c>
      <c r="V52" s="39" t="str">
        <f t="shared" si="7"/>
        <v/>
      </c>
      <c r="W52" s="42"/>
      <c r="X52" s="50" t="str">
        <f>IFERROR(ROUND((VLOOKUP($A52,'Из ГУГЛа'!$B:$AD,X$1,0)+Z52)*Y52,),VLOOKUP($A52,'Из ГУГЛа'!$B:$AD,X$1,0))</f>
        <v/>
      </c>
      <c r="Y52" s="4">
        <v>1</v>
      </c>
      <c r="Z52" s="4">
        <v>0</v>
      </c>
      <c r="AA52" s="40"/>
      <c r="AB52" s="40"/>
      <c r="AC52" s="50" t="str">
        <f>IFERROR(ROUND((VLOOKUP($A52,'Из ГУГЛа'!$B:$AD,AC$1,0)+AE52)*AD52,),VLOOKUP($A52,'Из ГУГЛа'!$B:$AD,AC$1,0))</f>
        <v/>
      </c>
      <c r="AD52" s="4">
        <v>1</v>
      </c>
      <c r="AE52" s="4">
        <v>0</v>
      </c>
      <c r="AF52" s="40" t="s">
        <v>180</v>
      </c>
      <c r="AG52" s="40"/>
      <c r="AH52" s="50" t="str">
        <f>IFERROR(ROUND((VLOOKUP($A52,'Из ГУГЛа'!$B:$AD,AH$1,0)+AJ52)*AI52,),VLOOKUP($A52,'Из ГУГЛа'!$B:$AD,AH$1,0))</f>
        <v/>
      </c>
      <c r="AI52" s="4">
        <v>1</v>
      </c>
      <c r="AJ52" s="4">
        <v>0</v>
      </c>
      <c r="AK52" s="40" t="s">
        <v>180</v>
      </c>
      <c r="AL52" s="40"/>
      <c r="AM52" s="50" t="str">
        <f>IFERROR(ROUND((VLOOKUP($A52,'Из ГУГЛа'!$B:$AD,AM$1,0)+AO52)*AN52,),VLOOKUP($A52,'Из ГУГЛа'!$B:$AD,AM$1,0))</f>
        <v/>
      </c>
      <c r="AN52" s="4">
        <v>1</v>
      </c>
      <c r="AO52" s="4">
        <v>0</v>
      </c>
      <c r="AP52" s="40" t="s">
        <v>180</v>
      </c>
      <c r="AQ52" s="40"/>
    </row>
    <row r="59" spans="1:43" x14ac:dyDescent="0.25">
      <c r="M59" s="18">
        <f>W59*1</f>
        <v>0</v>
      </c>
    </row>
    <row r="60" spans="1:43" x14ac:dyDescent="0.25">
      <c r="M60" s="19">
        <f>W60*1.02</f>
        <v>0</v>
      </c>
    </row>
    <row r="61" spans="1:43" x14ac:dyDescent="0.25">
      <c r="M61" s="20">
        <f>W61*1.04</f>
        <v>0</v>
      </c>
    </row>
    <row r="62" spans="1:43" x14ac:dyDescent="0.25">
      <c r="M62" s="21">
        <f>W62*1.05</f>
        <v>0</v>
      </c>
    </row>
    <row r="63" spans="1:43" x14ac:dyDescent="0.25">
      <c r="M63" s="21">
        <f>W63*1.06</f>
        <v>0</v>
      </c>
    </row>
    <row r="64" spans="1:43" x14ac:dyDescent="0.25">
      <c r="M64" s="22">
        <f>W64*1.07</f>
        <v>0</v>
      </c>
    </row>
    <row r="65" spans="13:13" x14ac:dyDescent="0.25">
      <c r="M65" s="23">
        <f>W65*1.13</f>
        <v>0</v>
      </c>
    </row>
    <row r="66" spans="13:13" x14ac:dyDescent="0.25">
      <c r="M66" s="24">
        <f>K66*1.2*100/93</f>
        <v>0</v>
      </c>
    </row>
    <row r="69" spans="13:13" x14ac:dyDescent="0.25">
      <c r="M69" s="18">
        <f>W69-10</f>
        <v>-10</v>
      </c>
    </row>
    <row r="70" spans="13:13" x14ac:dyDescent="0.25">
      <c r="M70" s="19">
        <f>W70-30</f>
        <v>-30</v>
      </c>
    </row>
    <row r="71" spans="13:13" x14ac:dyDescent="0.25">
      <c r="M71" s="20">
        <f>W71-100</f>
        <v>-100</v>
      </c>
    </row>
    <row r="72" spans="13:13" x14ac:dyDescent="0.25">
      <c r="M72" s="21">
        <f>W72</f>
        <v>0</v>
      </c>
    </row>
    <row r="73" spans="13:13" x14ac:dyDescent="0.25">
      <c r="M73" s="21">
        <f>W73*1.02</f>
        <v>0</v>
      </c>
    </row>
    <row r="74" spans="13:13" x14ac:dyDescent="0.25">
      <c r="M74" s="22">
        <f>W74*1.05</f>
        <v>0</v>
      </c>
    </row>
    <row r="75" spans="13:13" x14ac:dyDescent="0.25">
      <c r="M75" s="23">
        <f>W75*1.08</f>
        <v>0</v>
      </c>
    </row>
    <row r="76" spans="13:13" x14ac:dyDescent="0.25">
      <c r="M76" s="24">
        <f>K76*1.2</f>
        <v>0</v>
      </c>
    </row>
    <row r="79" spans="13:13" x14ac:dyDescent="0.25">
      <c r="M79" s="18">
        <f>W79-10</f>
        <v>-10</v>
      </c>
    </row>
    <row r="80" spans="13:13" x14ac:dyDescent="0.25">
      <c r="M80" s="19">
        <f>W80-30</f>
        <v>-30</v>
      </c>
    </row>
    <row r="81" spans="13:13" x14ac:dyDescent="0.25">
      <c r="M81" s="20">
        <f>W81-100</f>
        <v>-100</v>
      </c>
    </row>
    <row r="82" spans="13:13" x14ac:dyDescent="0.25">
      <c r="M82" s="21">
        <f>W82</f>
        <v>0</v>
      </c>
    </row>
    <row r="83" spans="13:13" x14ac:dyDescent="0.25">
      <c r="M83" s="21">
        <f>W83*1.02</f>
        <v>0</v>
      </c>
    </row>
    <row r="84" spans="13:13" x14ac:dyDescent="0.25">
      <c r="M84" s="22">
        <f>W84*1.05</f>
        <v>0</v>
      </c>
    </row>
    <row r="85" spans="13:13" x14ac:dyDescent="0.25">
      <c r="M85" s="23">
        <f>W85*1.08</f>
        <v>0</v>
      </c>
    </row>
    <row r="86" spans="13:13" x14ac:dyDescent="0.25">
      <c r="M86" s="24">
        <f>K86*1.24</f>
        <v>0</v>
      </c>
    </row>
  </sheetData>
  <autoFilter ref="A2:AQ52" xr:uid="{E48114F5-A8BF-49DD-8C7D-B89E033D4112}"/>
  <conditionalFormatting sqref="U3:U52">
    <cfRule type="cellIs" dxfId="13" priority="10" operator="lessThan">
      <formula>0%</formula>
    </cfRule>
  </conditionalFormatting>
  <conditionalFormatting sqref="V3:V52 T3:T52">
    <cfRule type="cellIs" dxfId="12" priority="9" operator="lessThan">
      <formula>$S$1</formula>
    </cfRule>
  </conditionalFormatting>
  <conditionalFormatting sqref="C3:C52">
    <cfRule type="expression" dxfId="11" priority="6">
      <formula>OR(D3="N",E3="0")</formula>
    </cfRule>
  </conditionalFormatting>
  <conditionalFormatting sqref="A3:A52">
    <cfRule type="expression" dxfId="10" priority="4">
      <formula>AND(ROUNDDOWN($R3,0)=0,ROUNDDOWN($Q3,0)=0)</formula>
    </cfRule>
  </conditionalFormatting>
  <conditionalFormatting sqref="X3:X52">
    <cfRule type="expression" dxfId="9" priority="13">
      <formula>VALUE(X3)&lt;&gt;AA3</formula>
    </cfRule>
  </conditionalFormatting>
  <conditionalFormatting sqref="AC3:AC52">
    <cfRule type="expression" dxfId="8" priority="3">
      <formula>VALUE(AC3)&lt;&gt;AF3</formula>
    </cfRule>
  </conditionalFormatting>
  <conditionalFormatting sqref="AH3:AH52">
    <cfRule type="expression" dxfId="7" priority="2">
      <formula>VALUE(AH3)&lt;&gt;AK3</formula>
    </cfRule>
  </conditionalFormatting>
  <conditionalFormatting sqref="AM3:AM52">
    <cfRule type="expression" dxfId="6" priority="1">
      <formula>VALUE(AM3)&lt;&gt;AP3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5357-F945-4D5A-AAB6-C9530077673D}">
  <sheetPr codeName="Лист3"/>
  <dimension ref="A1:AC3"/>
  <sheetViews>
    <sheetView workbookViewId="0">
      <pane ySplit="2" topLeftCell="A3" activePane="bottomLeft" state="frozen"/>
      <selection activeCell="V2" sqref="V2"/>
      <selection pane="bottomLeft" activeCell="H11" sqref="H11"/>
    </sheetView>
  </sheetViews>
  <sheetFormatPr defaultRowHeight="15" outlineLevelCol="1" x14ac:dyDescent="0.25"/>
  <cols>
    <col min="1" max="1" width="38.140625" style="28" bestFit="1" customWidth="1" outlineLevel="1"/>
    <col min="2" max="2" width="7" style="28" bestFit="1" customWidth="1"/>
    <col min="3" max="3" width="6.85546875" style="28" bestFit="1" customWidth="1"/>
    <col min="4" max="4" width="36.85546875" style="29" bestFit="1" customWidth="1"/>
    <col min="5" max="5" width="2" style="28" bestFit="1" customWidth="1"/>
    <col min="6" max="6" width="3" style="28" bestFit="1" customWidth="1"/>
    <col min="7" max="7" width="7.140625" style="28" bestFit="1" customWidth="1"/>
    <col min="8" max="8" width="6.85546875" style="28" bestFit="1" customWidth="1"/>
    <col min="9" max="9" width="7.5703125" style="28" bestFit="1" customWidth="1"/>
    <col min="10" max="10" width="10.85546875" style="28" bestFit="1" customWidth="1"/>
    <col min="11" max="11" width="4.7109375" style="28" bestFit="1" customWidth="1"/>
    <col min="12" max="12" width="5.7109375" style="28" bestFit="1" customWidth="1"/>
    <col min="13" max="13" width="4.5703125" style="28" bestFit="1" customWidth="1"/>
    <col min="14" max="14" width="4" style="26" bestFit="1" customWidth="1"/>
    <col min="15" max="15" width="5.85546875" style="26" bestFit="1" customWidth="1"/>
    <col min="16" max="17" width="4" style="28" bestFit="1" customWidth="1"/>
    <col min="18" max="19" width="3.5703125" style="26" customWidth="1"/>
    <col min="20" max="20" width="5.85546875" style="28" bestFit="1" customWidth="1"/>
    <col min="21" max="21" width="7.28515625" style="28" bestFit="1" customWidth="1"/>
    <col min="22" max="23" width="6.140625" style="28" bestFit="1" customWidth="1"/>
    <col min="24" max="24" width="8.5703125" style="28" bestFit="1" customWidth="1"/>
    <col min="25" max="25" width="8" style="28" bestFit="1" customWidth="1"/>
    <col min="26" max="26" width="2" style="28" bestFit="1" customWidth="1"/>
    <col min="27" max="27" width="6" style="28" bestFit="1" customWidth="1"/>
    <col min="28" max="29" width="5.85546875" style="28" bestFit="1" customWidth="1"/>
    <col min="30" max="16384" width="9.140625" style="28"/>
  </cols>
  <sheetData>
    <row r="1" spans="1:29" x14ac:dyDescent="0.25">
      <c r="C1" s="29">
        <v>2</v>
      </c>
      <c r="D1" s="29">
        <v>3</v>
      </c>
      <c r="E1" s="28">
        <v>4</v>
      </c>
      <c r="F1" s="28">
        <v>16</v>
      </c>
      <c r="G1" s="28">
        <v>5</v>
      </c>
      <c r="H1" s="28">
        <v>6</v>
      </c>
      <c r="I1" s="28">
        <v>7</v>
      </c>
      <c r="K1" s="30">
        <f>COUNT(Кат!$W:$W,Торг!$AB:$AB)/COUNT(Кат!$A:$A,Торг!$B:$B)</f>
        <v>0.50980392156862742</v>
      </c>
      <c r="P1" s="28">
        <v>10</v>
      </c>
      <c r="Q1" s="28">
        <v>11</v>
      </c>
      <c r="T1" s="43">
        <v>0.2</v>
      </c>
      <c r="U1" s="31" t="str">
        <f>_xlfn.CONCAT(ROUND(MIN(U3:U9000)*100,0),"-",ROUND(MAX(U3:U9000)*100,0),"%")</f>
        <v>84-84%</v>
      </c>
      <c r="V1" s="31" t="str">
        <f>_xlfn.CONCAT(ROUND(SUBTOTAL(5,V3:V9000)*100,0)," - ",ROUND(SUBTOTAL(4,V3:V9000)*100,0),"%")</f>
        <v>0 - 0%</v>
      </c>
      <c r="W1" s="31" t="str">
        <f>_xlfn.CONCAT(ROUND(SUBTOTAL(5,W3:W90000)*100,0)," - ",ROUND(SUBTOTAL(4,W3:W90000)*100,0),"%")</f>
        <v>0 - 0%</v>
      </c>
      <c r="X1" s="32"/>
      <c r="Y1" s="28">
        <v>6</v>
      </c>
      <c r="AA1" s="41">
        <f>AE1</f>
        <v>0</v>
      </c>
    </row>
    <row r="2" spans="1:29" ht="45" x14ac:dyDescent="0.25">
      <c r="A2" s="5" t="s">
        <v>10</v>
      </c>
      <c r="B2" s="5" t="s">
        <v>4</v>
      </c>
      <c r="C2" s="6" t="s">
        <v>9</v>
      </c>
      <c r="D2" s="6" t="s">
        <v>5</v>
      </c>
      <c r="E2" s="6"/>
      <c r="F2" s="6"/>
      <c r="G2" s="6" t="str">
        <f>VLOOKUP($B2,'Выгр Торг'!$B:$S,G$1,0)</f>
        <v>Артикул</v>
      </c>
      <c r="H2" s="6" t="str">
        <f>VLOOKUP($B2,'Выгр Торг'!$B:$S,H$1,0)</f>
        <v>Кат. номер</v>
      </c>
      <c r="I2" s="6" t="str">
        <f>VLOOKUP($B2,'Выгр Торг'!$B:$S,I$1,0)</f>
        <v>OEM</v>
      </c>
      <c r="J2" s="5" t="s">
        <v>6</v>
      </c>
      <c r="K2" s="5"/>
      <c r="L2" s="9" t="s">
        <v>38</v>
      </c>
      <c r="M2" s="5"/>
      <c r="N2" s="16"/>
      <c r="O2" s="13" t="s">
        <v>16</v>
      </c>
      <c r="P2" s="6" t="str">
        <f>VLOOKUP($B2,'Выгр Торг'!$B:$S,P$1,0)</f>
        <v>ЗЦ</v>
      </c>
      <c r="Q2" s="6" t="str">
        <f>VLOOKUP($B2,'Выгр Торг'!$B:$S,Q$1,0)</f>
        <v>РЦ</v>
      </c>
      <c r="R2" s="14"/>
      <c r="S2" s="14"/>
      <c r="T2" s="7">
        <v>0</v>
      </c>
      <c r="U2" s="33" t="s">
        <v>0</v>
      </c>
      <c r="V2" s="33" t="s">
        <v>1</v>
      </c>
      <c r="W2" s="33" t="s">
        <v>2</v>
      </c>
      <c r="X2" s="34" t="s">
        <v>39</v>
      </c>
      <c r="Y2" s="44" t="s">
        <v>40</v>
      </c>
      <c r="Z2" s="3"/>
      <c r="AA2" s="44" t="s">
        <v>41</v>
      </c>
      <c r="AB2" s="34" t="s">
        <v>3</v>
      </c>
      <c r="AC2" s="34" t="s">
        <v>3</v>
      </c>
    </row>
    <row r="3" spans="1:29" ht="45" x14ac:dyDescent="0.25">
      <c r="A3" s="35" t="str">
        <f>INDEX('Выгр Торг'!$A:$A,MATCH($B3,'Выгр Торг'!$B:$B,0))</f>
        <v>Реснички на фары Bad Boy из оргстекла для ВАЗ 2104, 2105, 2107</v>
      </c>
      <c r="B3" s="36">
        <v>204798</v>
      </c>
      <c r="C3" s="36">
        <f>VLOOKUP($B3,'Выгр Торг'!$B:$S,C$1,0)</f>
        <v>67157</v>
      </c>
      <c r="D3" s="35" t="str">
        <f>VLOOKUP($B3,'Выгр Торг'!$B:$S,D$1,0)</f>
        <v>Реснички на фары Bad Boy из оргстекла для ВАЗ 2104, 2105, 2107 Без покраски</v>
      </c>
      <c r="E3" s="36" t="str">
        <f>VLOOKUP($B3,'Выгр Торг'!$B:$S,E$1,0)</f>
        <v>N</v>
      </c>
      <c r="F3" s="36" t="str">
        <f>VLOOKUP($B3,'Выгр Торг'!$B:$S,F$1,0)</f>
        <v>1</v>
      </c>
      <c r="G3" s="36">
        <f>VLOOKUP($B3,'Выгр Торг'!$B:$S,G$1,0)</f>
        <v>0</v>
      </c>
      <c r="H3" s="36">
        <f>VLOOKUP($B3,'Выгр Торг'!$B:$S,H$1,0)</f>
        <v>0</v>
      </c>
      <c r="I3" s="36">
        <f>VLOOKUP($B3,'Выгр Торг'!$B:$S,I$1,0)</f>
        <v>0</v>
      </c>
      <c r="J3" s="36"/>
      <c r="K3" s="45" t="s">
        <v>44</v>
      </c>
      <c r="L3" s="46">
        <v>190</v>
      </c>
      <c r="M3" s="37">
        <f>VLOOKUP(L3,Наценка!$A$1:$B$8,2,1)</f>
        <v>1.8</v>
      </c>
      <c r="N3" s="38">
        <f>L3*M3</f>
        <v>342</v>
      </c>
      <c r="O3" s="17">
        <f>IF(N3&lt;=1000,(ROUNDUP(N3,-1)-1),(ROUNDUP(N3,-2)-10))</f>
        <v>349</v>
      </c>
      <c r="P3" s="36">
        <f>VLOOKUP($B3,'Выгр Торг'!$B:$S,P$1,0)</f>
        <v>190</v>
      </c>
      <c r="Q3" s="36">
        <f>VLOOKUP($B3,'Выгр Торг'!$B:$S,Q$1,0)</f>
        <v>349</v>
      </c>
      <c r="R3" s="14">
        <f>P3-L3</f>
        <v>0</v>
      </c>
      <c r="S3" s="14">
        <f>Q3-O3</f>
        <v>0</v>
      </c>
      <c r="T3" s="15">
        <f>IFERROR(ROUND(O3*(1-$T$2),),"")</f>
        <v>349</v>
      </c>
      <c r="U3" s="39">
        <f>IFERROR(T3/L3-1,"")</f>
        <v>0.83684210526315783</v>
      </c>
      <c r="V3" s="39" t="str">
        <f>IFERROR((X3-T3)/X3,"")</f>
        <v/>
      </c>
      <c r="W3" s="39" t="str">
        <f>IFERROR(IF(X3="","",X3/L3-1),"")</f>
        <v/>
      </c>
      <c r="X3" s="40"/>
      <c r="Y3" s="8" t="e">
        <f>IFERROR(ROUND((VLOOKUP($B3,'Из ГУГЛа'!$B:$AD,Y$1,0)+AA3)*Z3,),VLOOKUP($B3,'Из ГУГЛа'!$B:$AD,Y$1,0))</f>
        <v>#N/A</v>
      </c>
      <c r="Z3" s="4">
        <v>1</v>
      </c>
      <c r="AA3" s="4"/>
      <c r="AB3" s="40"/>
      <c r="AC3" s="40"/>
    </row>
  </sheetData>
  <autoFilter ref="A2:AC2" xr:uid="{F3985357-F945-4D5A-AAB6-C9530077673D}"/>
  <conditionalFormatting sqref="V3">
    <cfRule type="cellIs" dxfId="5" priority="7" operator="lessThan">
      <formula>0</formula>
    </cfRule>
  </conditionalFormatting>
  <conditionalFormatting sqref="W3 U3">
    <cfRule type="cellIs" dxfId="4" priority="6" operator="lessThan">
      <formula>$T$1</formula>
    </cfRule>
  </conditionalFormatting>
  <conditionalFormatting sqref="D3">
    <cfRule type="expression" dxfId="3" priority="3">
      <formula>OR(E3="N",F3="0")</formula>
    </cfRule>
  </conditionalFormatting>
  <conditionalFormatting sqref="B3">
    <cfRule type="expression" dxfId="2" priority="1">
      <formula>AND(ROUNDDOWN($R3,0)=0,ROUNDDOWN($S3,0)=0)</formula>
    </cfRule>
  </conditionalFormatting>
  <conditionalFormatting sqref="Y3">
    <cfRule type="expression" dxfId="1" priority="9">
      <formula>VALUE(Y3)&lt;&gt;AB3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42EC-EDF9-4C9D-9450-B2CC667DCADB}">
  <sheetPr codeName="Лист8"/>
  <dimension ref="A1:J27"/>
  <sheetViews>
    <sheetView workbookViewId="0">
      <selection activeCell="I16" sqref="I16"/>
    </sheetView>
  </sheetViews>
  <sheetFormatPr defaultRowHeight="15" x14ac:dyDescent="0.25"/>
  <sheetData>
    <row r="1" spans="1:10" x14ac:dyDescent="0.25">
      <c r="A1" s="1">
        <v>0.1</v>
      </c>
      <c r="B1" s="1">
        <v>2</v>
      </c>
      <c r="E1" t="s">
        <v>17</v>
      </c>
      <c r="F1" t="s">
        <v>18</v>
      </c>
      <c r="G1" t="s">
        <v>19</v>
      </c>
    </row>
    <row r="2" spans="1:10" x14ac:dyDescent="0.25">
      <c r="A2" s="1">
        <v>100</v>
      </c>
      <c r="B2" s="1">
        <v>1.8</v>
      </c>
      <c r="D2" t="s">
        <v>20</v>
      </c>
      <c r="E2">
        <v>5200</v>
      </c>
      <c r="F2">
        <v>5700</v>
      </c>
      <c r="G2">
        <v>6000</v>
      </c>
    </row>
    <row r="3" spans="1:10" x14ac:dyDescent="0.25">
      <c r="A3" s="2">
        <v>300</v>
      </c>
      <c r="B3" s="2">
        <v>1.6</v>
      </c>
      <c r="D3" t="s">
        <v>21</v>
      </c>
      <c r="E3">
        <v>4000</v>
      </c>
      <c r="F3">
        <v>4400</v>
      </c>
      <c r="G3">
        <v>5200</v>
      </c>
    </row>
    <row r="4" spans="1:10" x14ac:dyDescent="0.25">
      <c r="A4" s="2">
        <v>500</v>
      </c>
      <c r="B4" s="2">
        <v>1.55</v>
      </c>
      <c r="D4" t="s">
        <v>22</v>
      </c>
      <c r="E4">
        <v>4700</v>
      </c>
      <c r="F4">
        <v>4700</v>
      </c>
      <c r="G4">
        <v>4700</v>
      </c>
      <c r="I4" t="s">
        <v>30</v>
      </c>
      <c r="J4" s="25">
        <f>INDEX(Наценка!$D$1:$G$27,MATCH(LEFT(I4,SEARCH(" ",I4)-1),Наценка!$D$1:$D$27,0),MATCH(RIGHT(I4,LEN(I4)-SEARCH(" ",I4)),Наценка!$D$1:$G$1,0))</f>
        <v>5200</v>
      </c>
    </row>
    <row r="5" spans="1:10" x14ac:dyDescent="0.25">
      <c r="A5" s="2">
        <v>1000</v>
      </c>
      <c r="B5" s="2">
        <v>1.5</v>
      </c>
      <c r="D5" t="s">
        <v>23</v>
      </c>
      <c r="E5">
        <v>2200</v>
      </c>
    </row>
    <row r="6" spans="1:10" x14ac:dyDescent="0.25">
      <c r="A6" s="2">
        <v>2000</v>
      </c>
      <c r="B6" s="2">
        <v>1.4</v>
      </c>
      <c r="D6" t="s">
        <v>24</v>
      </c>
      <c r="E6">
        <v>1800</v>
      </c>
      <c r="F6">
        <v>2000</v>
      </c>
      <c r="G6">
        <v>2200</v>
      </c>
    </row>
    <row r="7" spans="1:10" x14ac:dyDescent="0.25">
      <c r="A7" s="2">
        <v>5000</v>
      </c>
      <c r="B7" s="2">
        <v>1.35</v>
      </c>
      <c r="D7" t="s">
        <v>25</v>
      </c>
      <c r="E7">
        <v>2000</v>
      </c>
    </row>
    <row r="8" spans="1:10" x14ac:dyDescent="0.25">
      <c r="A8" s="2">
        <v>10000</v>
      </c>
      <c r="B8" s="2">
        <v>1.3</v>
      </c>
      <c r="D8" t="s">
        <v>26</v>
      </c>
      <c r="E8">
        <v>500</v>
      </c>
    </row>
    <row r="9" spans="1:10" x14ac:dyDescent="0.25">
      <c r="D9" t="s">
        <v>27</v>
      </c>
      <c r="E9">
        <v>2700</v>
      </c>
      <c r="F9">
        <v>2700</v>
      </c>
      <c r="G9">
        <v>2700</v>
      </c>
    </row>
    <row r="10" spans="1:10" x14ac:dyDescent="0.25">
      <c r="D10" t="s">
        <v>28</v>
      </c>
      <c r="E10">
        <v>3700</v>
      </c>
      <c r="F10">
        <v>3700</v>
      </c>
      <c r="G10">
        <v>3700</v>
      </c>
    </row>
    <row r="11" spans="1:10" x14ac:dyDescent="0.25">
      <c r="D11" t="s">
        <v>31</v>
      </c>
      <c r="E11">
        <v>600</v>
      </c>
    </row>
    <row r="12" spans="1:10" x14ac:dyDescent="0.25">
      <c r="A12" t="s">
        <v>166</v>
      </c>
      <c r="B12" s="51">
        <f>MIN(Кат!$T:$T,Торг!$U:$U)</f>
        <v>0.31428571428571428</v>
      </c>
      <c r="D12" t="s">
        <v>32</v>
      </c>
      <c r="E12">
        <v>450</v>
      </c>
    </row>
    <row r="13" spans="1:10" x14ac:dyDescent="0.25">
      <c r="A13" t="s">
        <v>167</v>
      </c>
      <c r="B13" s="51">
        <f>MAX(Кат!$T:$T,Торг!$U:$U)</f>
        <v>2.1407407407407408</v>
      </c>
      <c r="D13" t="s">
        <v>33</v>
      </c>
      <c r="E13">
        <v>200</v>
      </c>
    </row>
    <row r="14" spans="1:10" x14ac:dyDescent="0.25">
      <c r="D14" t="s">
        <v>34</v>
      </c>
      <c r="E14">
        <v>400</v>
      </c>
      <c r="F14">
        <v>1000</v>
      </c>
      <c r="G14">
        <v>1000</v>
      </c>
    </row>
    <row r="15" spans="1:10" x14ac:dyDescent="0.25">
      <c r="D15" t="s">
        <v>35</v>
      </c>
      <c r="E15">
        <v>500</v>
      </c>
    </row>
    <row r="16" spans="1:10" x14ac:dyDescent="0.25">
      <c r="D16" t="s">
        <v>36</v>
      </c>
      <c r="E16">
        <v>600</v>
      </c>
    </row>
    <row r="17" spans="4:5" x14ac:dyDescent="0.25">
      <c r="D17" t="s">
        <v>37</v>
      </c>
      <c r="E17">
        <v>350</v>
      </c>
    </row>
    <row r="27" spans="4:5" x14ac:dyDescent="0.25">
      <c r="D27" t="s">
        <v>29</v>
      </c>
      <c r="E27">
        <v>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C524-75E8-45F1-91F9-F73EEA9D9316}">
  <sheetPr codeName="Лист4">
    <outlinePr summaryBelow="0"/>
  </sheetPr>
  <dimension ref="A1:Q51"/>
  <sheetViews>
    <sheetView showRuler="0" zoomScaleNormal="100" workbookViewId="0">
      <pane ySplit="1" topLeftCell="A44" activePane="bottomLeft" state="frozen"/>
      <selection pane="bottomLeft" sqref="A1:O51"/>
    </sheetView>
  </sheetViews>
  <sheetFormatPr defaultRowHeight="15" x14ac:dyDescent="0.25"/>
  <cols>
    <col min="1" max="2" width="7.7109375" style="12" customWidth="1"/>
    <col min="3" max="3" width="33.28515625" style="12" customWidth="1"/>
    <col min="4" max="7" width="22.28515625" style="12" customWidth="1"/>
    <col min="8" max="8" width="33.28515625" style="12" customWidth="1"/>
    <col min="9" max="9" width="22.28515625" style="12" customWidth="1"/>
    <col min="10" max="11" width="11.140625" style="12" customWidth="1"/>
    <col min="12" max="12" width="22.28515625" style="12" customWidth="1"/>
    <col min="13" max="13" width="11.140625" style="12" customWidth="1"/>
    <col min="14" max="14" width="7.42578125" style="12" customWidth="1"/>
    <col min="15" max="16" width="5.5703125" style="12" customWidth="1"/>
    <col min="17" max="16384" width="9.140625" style="12"/>
  </cols>
  <sheetData>
    <row r="1" spans="1:17" s="11" customFormat="1" ht="45" x14ac:dyDescent="0.25">
      <c r="A1" s="56" t="s">
        <v>4</v>
      </c>
      <c r="B1" s="56" t="s">
        <v>9</v>
      </c>
      <c r="C1" s="56" t="s">
        <v>168</v>
      </c>
      <c r="D1" s="56" t="s">
        <v>11</v>
      </c>
      <c r="E1" s="56" t="s">
        <v>6</v>
      </c>
      <c r="F1" s="56" t="s">
        <v>169</v>
      </c>
      <c r="G1" s="56" t="s">
        <v>140</v>
      </c>
      <c r="H1" s="56" t="s">
        <v>170</v>
      </c>
      <c r="I1" s="56" t="s">
        <v>7</v>
      </c>
      <c r="J1" s="56" t="s">
        <v>38</v>
      </c>
      <c r="K1" s="56" t="s">
        <v>16</v>
      </c>
      <c r="L1" s="56" t="s">
        <v>171</v>
      </c>
      <c r="M1" s="56" t="s">
        <v>12</v>
      </c>
      <c r="N1" s="56" t="s">
        <v>172</v>
      </c>
      <c r="O1" s="56" t="s">
        <v>13</v>
      </c>
      <c r="P1" s="10"/>
      <c r="Q1" s="10"/>
    </row>
    <row r="2" spans="1:17" ht="45" x14ac:dyDescent="0.25">
      <c r="A2" s="57">
        <v>131836</v>
      </c>
      <c r="B2" s="57">
        <v>9999</v>
      </c>
      <c r="C2" s="58" t="s">
        <v>42</v>
      </c>
      <c r="D2" s="58" t="s">
        <v>43</v>
      </c>
      <c r="E2" s="58"/>
      <c r="F2" s="58"/>
      <c r="G2" s="58"/>
      <c r="H2" s="58"/>
      <c r="I2" s="58" t="s">
        <v>44</v>
      </c>
      <c r="J2" s="59">
        <v>135</v>
      </c>
      <c r="K2" s="59">
        <v>359</v>
      </c>
      <c r="L2" s="58" t="s">
        <v>110</v>
      </c>
      <c r="M2" s="58" t="s">
        <v>8</v>
      </c>
      <c r="N2" s="58"/>
      <c r="O2" s="58" t="s">
        <v>43</v>
      </c>
      <c r="P2" s="10" t="str">
        <f>_xlfn.CONCAT(M2,IF(N2&lt;&gt;"",_xlfn.CONCAT("ск",N2),""))</f>
        <v>1</v>
      </c>
      <c r="Q2" s="10" t="str">
        <f>INDEX(Кат!$J:$J,MATCH($A2,Кат!$A:$A,0))</f>
        <v>АНВ</v>
      </c>
    </row>
    <row r="3" spans="1:17" ht="45" x14ac:dyDescent="0.25">
      <c r="A3" s="57">
        <v>131837</v>
      </c>
      <c r="B3" s="57">
        <v>10005</v>
      </c>
      <c r="C3" s="58" t="s">
        <v>45</v>
      </c>
      <c r="D3" s="58" t="s">
        <v>43</v>
      </c>
      <c r="E3" s="58"/>
      <c r="F3" s="58"/>
      <c r="G3" s="58"/>
      <c r="H3" s="58"/>
      <c r="I3" s="58" t="s">
        <v>44</v>
      </c>
      <c r="J3" s="59"/>
      <c r="K3" s="59">
        <v>589</v>
      </c>
      <c r="L3" s="58" t="s">
        <v>111</v>
      </c>
      <c r="M3" s="58" t="s">
        <v>8</v>
      </c>
      <c r="N3" s="58"/>
      <c r="O3" s="58" t="s">
        <v>43</v>
      </c>
      <c r="P3" s="10" t="str">
        <f t="shared" ref="P3:P51" si="0">_xlfn.CONCAT(M3,IF(N3&lt;&gt;"",_xlfn.CONCAT("ск",N3),""))</f>
        <v>1</v>
      </c>
      <c r="Q3" s="10" t="str">
        <f>INDEX(Кат!$J:$J,MATCH($A3,Кат!$A:$A,0))</f>
        <v>АНВ</v>
      </c>
    </row>
    <row r="4" spans="1:17" ht="75" x14ac:dyDescent="0.25">
      <c r="A4" s="57">
        <v>131839</v>
      </c>
      <c r="B4" s="57">
        <v>10000</v>
      </c>
      <c r="C4" s="58" t="s">
        <v>46</v>
      </c>
      <c r="D4" s="58" t="s">
        <v>43</v>
      </c>
      <c r="E4" s="58"/>
      <c r="F4" s="58"/>
      <c r="G4" s="58"/>
      <c r="H4" s="58"/>
      <c r="I4" s="58" t="s">
        <v>44</v>
      </c>
      <c r="J4" s="59">
        <v>155</v>
      </c>
      <c r="K4" s="59">
        <v>449</v>
      </c>
      <c r="L4" s="58" t="s">
        <v>118</v>
      </c>
      <c r="M4" s="58" t="s">
        <v>8</v>
      </c>
      <c r="N4" s="58"/>
      <c r="O4" s="58" t="s">
        <v>43</v>
      </c>
      <c r="P4" s="10" t="str">
        <f t="shared" si="0"/>
        <v>1</v>
      </c>
      <c r="Q4" s="10" t="str">
        <f>INDEX(Кат!$J:$J,MATCH($A4,Кат!$A:$A,0))</f>
        <v>АНВ</v>
      </c>
    </row>
    <row r="5" spans="1:17" ht="45" x14ac:dyDescent="0.25">
      <c r="A5" s="57">
        <v>131840</v>
      </c>
      <c r="B5" s="57">
        <v>10006</v>
      </c>
      <c r="C5" s="58" t="s">
        <v>47</v>
      </c>
      <c r="D5" s="58" t="s">
        <v>43</v>
      </c>
      <c r="E5" s="58"/>
      <c r="F5" s="58"/>
      <c r="G5" s="58"/>
      <c r="H5" s="58"/>
      <c r="I5" s="58" t="s">
        <v>44</v>
      </c>
      <c r="J5" s="59"/>
      <c r="K5" s="59">
        <v>329</v>
      </c>
      <c r="L5" s="58" t="s">
        <v>119</v>
      </c>
      <c r="M5" s="58" t="s">
        <v>8</v>
      </c>
      <c r="N5" s="58"/>
      <c r="O5" s="58" t="s">
        <v>43</v>
      </c>
      <c r="P5" s="10" t="str">
        <f t="shared" si="0"/>
        <v>1</v>
      </c>
      <c r="Q5" s="10" t="str">
        <f>INDEX(Кат!$J:$J,MATCH($A5,Кат!$A:$A,0))</f>
        <v>АНВ</v>
      </c>
    </row>
    <row r="6" spans="1:17" ht="45" x14ac:dyDescent="0.25">
      <c r="A6" s="57">
        <v>131841</v>
      </c>
      <c r="B6" s="57">
        <v>10001</v>
      </c>
      <c r="C6" s="58" t="s">
        <v>48</v>
      </c>
      <c r="D6" s="58" t="s">
        <v>43</v>
      </c>
      <c r="E6" s="58"/>
      <c r="F6" s="58"/>
      <c r="G6" s="58"/>
      <c r="H6" s="58"/>
      <c r="I6" s="58" t="s">
        <v>44</v>
      </c>
      <c r="J6" s="59"/>
      <c r="K6" s="59">
        <v>649</v>
      </c>
      <c r="L6" s="58"/>
      <c r="M6" s="58" t="s">
        <v>8</v>
      </c>
      <c r="N6" s="58"/>
      <c r="O6" s="58" t="s">
        <v>43</v>
      </c>
      <c r="P6" s="10" t="str">
        <f t="shared" si="0"/>
        <v>1</v>
      </c>
      <c r="Q6" s="10" t="str">
        <f>INDEX(Кат!$J:$J,MATCH($A6,Кат!$A:$A,0))</f>
        <v>АНВ</v>
      </c>
    </row>
    <row r="7" spans="1:17" ht="45" x14ac:dyDescent="0.25">
      <c r="A7" s="57">
        <v>131842</v>
      </c>
      <c r="B7" s="57">
        <v>10007</v>
      </c>
      <c r="C7" s="58" t="s">
        <v>49</v>
      </c>
      <c r="D7" s="58" t="s">
        <v>43</v>
      </c>
      <c r="E7" s="58"/>
      <c r="F7" s="58"/>
      <c r="G7" s="58"/>
      <c r="H7" s="58"/>
      <c r="I7" s="58" t="s">
        <v>44</v>
      </c>
      <c r="J7" s="59"/>
      <c r="K7" s="59">
        <v>489</v>
      </c>
      <c r="L7" s="58" t="s">
        <v>122</v>
      </c>
      <c r="M7" s="58" t="s">
        <v>8</v>
      </c>
      <c r="N7" s="58"/>
      <c r="O7" s="58" t="s">
        <v>43</v>
      </c>
      <c r="P7" s="10" t="str">
        <f t="shared" si="0"/>
        <v>1</v>
      </c>
      <c r="Q7" s="10" t="str">
        <f>INDEX(Кат!$J:$J,MATCH($A7,Кат!$A:$A,0))</f>
        <v>АНВ</v>
      </c>
    </row>
    <row r="8" spans="1:17" ht="75" x14ac:dyDescent="0.25">
      <c r="A8" s="57">
        <v>131843</v>
      </c>
      <c r="B8" s="57">
        <v>10002</v>
      </c>
      <c r="C8" s="58" t="s">
        <v>50</v>
      </c>
      <c r="D8" s="58" t="s">
        <v>43</v>
      </c>
      <c r="E8" s="58"/>
      <c r="F8" s="58"/>
      <c r="G8" s="58"/>
      <c r="H8" s="58"/>
      <c r="I8" s="58" t="s">
        <v>44</v>
      </c>
      <c r="J8" s="59"/>
      <c r="K8" s="59">
        <v>629</v>
      </c>
      <c r="L8" s="58" t="s">
        <v>123</v>
      </c>
      <c r="M8" s="58" t="s">
        <v>8</v>
      </c>
      <c r="N8" s="58"/>
      <c r="O8" s="58" t="s">
        <v>43</v>
      </c>
      <c r="P8" s="10" t="str">
        <f t="shared" si="0"/>
        <v>1</v>
      </c>
      <c r="Q8" s="10" t="str">
        <f>INDEX(Кат!$J:$J,MATCH($A8,Кат!$A:$A,0))</f>
        <v>АНВ</v>
      </c>
    </row>
    <row r="9" spans="1:17" ht="75" x14ac:dyDescent="0.25">
      <c r="A9" s="57">
        <v>131844</v>
      </c>
      <c r="B9" s="57">
        <v>10008</v>
      </c>
      <c r="C9" s="58" t="s">
        <v>51</v>
      </c>
      <c r="D9" s="58" t="s">
        <v>43</v>
      </c>
      <c r="E9" s="58"/>
      <c r="F9" s="58"/>
      <c r="G9" s="58"/>
      <c r="H9" s="58"/>
      <c r="I9" s="58" t="s">
        <v>44</v>
      </c>
      <c r="J9" s="59"/>
      <c r="K9" s="59">
        <v>629</v>
      </c>
      <c r="L9" s="58" t="s">
        <v>124</v>
      </c>
      <c r="M9" s="58" t="s">
        <v>8</v>
      </c>
      <c r="N9" s="58"/>
      <c r="O9" s="58" t="s">
        <v>43</v>
      </c>
      <c r="P9" s="10" t="str">
        <f t="shared" si="0"/>
        <v>1</v>
      </c>
      <c r="Q9" s="10" t="str">
        <f>INDEX(Кат!$J:$J,MATCH($A9,Кат!$A:$A,0))</f>
        <v>АНВ</v>
      </c>
    </row>
    <row r="10" spans="1:17" ht="45" x14ac:dyDescent="0.25">
      <c r="A10" s="57">
        <v>131845</v>
      </c>
      <c r="B10" s="57">
        <v>10010</v>
      </c>
      <c r="C10" s="58" t="s">
        <v>52</v>
      </c>
      <c r="D10" s="58" t="s">
        <v>43</v>
      </c>
      <c r="E10" s="58"/>
      <c r="F10" s="58"/>
      <c r="G10" s="58"/>
      <c r="H10" s="58"/>
      <c r="I10" s="58" t="s">
        <v>44</v>
      </c>
      <c r="J10" s="59"/>
      <c r="K10" s="59">
        <v>899</v>
      </c>
      <c r="L10" s="58" t="s">
        <v>112</v>
      </c>
      <c r="M10" s="58" t="s">
        <v>8</v>
      </c>
      <c r="N10" s="58"/>
      <c r="O10" s="58" t="s">
        <v>43</v>
      </c>
      <c r="P10" s="10" t="str">
        <f t="shared" si="0"/>
        <v>1</v>
      </c>
      <c r="Q10" s="10" t="str">
        <f>INDEX(Кат!$J:$J,MATCH($A10,Кат!$A:$A,0))</f>
        <v>АНВ</v>
      </c>
    </row>
    <row r="11" spans="1:17" ht="45" x14ac:dyDescent="0.25">
      <c r="A11" s="57">
        <v>131846</v>
      </c>
      <c r="B11" s="57">
        <v>10003</v>
      </c>
      <c r="C11" s="58" t="s">
        <v>53</v>
      </c>
      <c r="D11" s="58" t="s">
        <v>43</v>
      </c>
      <c r="E11" s="58"/>
      <c r="F11" s="58"/>
      <c r="G11" s="58"/>
      <c r="H11" s="58"/>
      <c r="I11" s="58" t="s">
        <v>44</v>
      </c>
      <c r="J11" s="59"/>
      <c r="K11" s="59">
        <v>739</v>
      </c>
      <c r="L11" s="58" t="s">
        <v>116</v>
      </c>
      <c r="M11" s="58" t="s">
        <v>8</v>
      </c>
      <c r="N11" s="58"/>
      <c r="O11" s="58" t="s">
        <v>43</v>
      </c>
      <c r="P11" s="10" t="str">
        <f t="shared" si="0"/>
        <v>1</v>
      </c>
      <c r="Q11" s="10" t="str">
        <f>INDEX(Кат!$J:$J,MATCH($A11,Кат!$A:$A,0))</f>
        <v>АНВ</v>
      </c>
    </row>
    <row r="12" spans="1:17" ht="45" x14ac:dyDescent="0.25">
      <c r="A12" s="57">
        <v>131847</v>
      </c>
      <c r="B12" s="57">
        <v>10009</v>
      </c>
      <c r="C12" s="58" t="s">
        <v>54</v>
      </c>
      <c r="D12" s="58" t="s">
        <v>43</v>
      </c>
      <c r="E12" s="58"/>
      <c r="F12" s="58"/>
      <c r="G12" s="58"/>
      <c r="H12" s="58"/>
      <c r="I12" s="58" t="s">
        <v>44</v>
      </c>
      <c r="J12" s="59"/>
      <c r="K12" s="59">
        <v>659</v>
      </c>
      <c r="L12" s="58"/>
      <c r="M12" s="58" t="s">
        <v>55</v>
      </c>
      <c r="N12" s="58"/>
      <c r="O12" s="58"/>
      <c r="P12" s="10" t="str">
        <f t="shared" si="0"/>
        <v>0</v>
      </c>
      <c r="Q12" s="10" t="str">
        <f>INDEX(Кат!$J:$J,MATCH($A12,Кат!$A:$A,0))</f>
        <v>АНВ</v>
      </c>
    </row>
    <row r="13" spans="1:17" ht="75" x14ac:dyDescent="0.25">
      <c r="A13" s="57">
        <v>131848</v>
      </c>
      <c r="B13" s="57">
        <v>10004</v>
      </c>
      <c r="C13" s="58" t="s">
        <v>56</v>
      </c>
      <c r="D13" s="58" t="s">
        <v>43</v>
      </c>
      <c r="E13" s="58"/>
      <c r="F13" s="58"/>
      <c r="G13" s="58"/>
      <c r="H13" s="58"/>
      <c r="I13" s="58" t="s">
        <v>44</v>
      </c>
      <c r="J13" s="59"/>
      <c r="K13" s="59">
        <v>669</v>
      </c>
      <c r="L13" s="58" t="s">
        <v>125</v>
      </c>
      <c r="M13" s="58" t="s">
        <v>8</v>
      </c>
      <c r="N13" s="58"/>
      <c r="O13" s="58" t="s">
        <v>43</v>
      </c>
      <c r="P13" s="10" t="str">
        <f t="shared" si="0"/>
        <v>1</v>
      </c>
      <c r="Q13" s="10" t="str">
        <f>INDEX(Кат!$J:$J,MATCH($A13,Кат!$A:$A,0))</f>
        <v>АНВ</v>
      </c>
    </row>
    <row r="14" spans="1:17" ht="45" x14ac:dyDescent="0.25">
      <c r="A14" s="57">
        <v>131850</v>
      </c>
      <c r="B14" s="57">
        <v>10018</v>
      </c>
      <c r="C14" s="58" t="s">
        <v>57</v>
      </c>
      <c r="D14" s="58" t="s">
        <v>43</v>
      </c>
      <c r="E14" s="58"/>
      <c r="F14" s="58"/>
      <c r="G14" s="58"/>
      <c r="H14" s="58"/>
      <c r="I14" s="58" t="s">
        <v>44</v>
      </c>
      <c r="J14" s="59"/>
      <c r="K14" s="59">
        <v>519</v>
      </c>
      <c r="L14" s="58" t="s">
        <v>117</v>
      </c>
      <c r="M14" s="58" t="s">
        <v>8</v>
      </c>
      <c r="N14" s="58"/>
      <c r="O14" s="58"/>
      <c r="P14" s="10" t="str">
        <f t="shared" si="0"/>
        <v>1</v>
      </c>
      <c r="Q14" s="10" t="str">
        <f>INDEX(Кат!$J:$J,MATCH($A14,Кат!$A:$A,0))</f>
        <v>АНВ</v>
      </c>
    </row>
    <row r="15" spans="1:17" ht="45" x14ac:dyDescent="0.25">
      <c r="A15" s="57">
        <v>131851</v>
      </c>
      <c r="B15" s="57">
        <v>10024</v>
      </c>
      <c r="C15" s="58" t="s">
        <v>58</v>
      </c>
      <c r="D15" s="58" t="s">
        <v>43</v>
      </c>
      <c r="E15" s="58"/>
      <c r="F15" s="58"/>
      <c r="G15" s="58"/>
      <c r="H15" s="58"/>
      <c r="I15" s="58" t="s">
        <v>44</v>
      </c>
      <c r="J15" s="59"/>
      <c r="K15" s="59">
        <v>559</v>
      </c>
      <c r="L15" s="58" t="s">
        <v>114</v>
      </c>
      <c r="M15" s="58" t="s">
        <v>8</v>
      </c>
      <c r="N15" s="58"/>
      <c r="O15" s="58" t="s">
        <v>43</v>
      </c>
      <c r="P15" s="10" t="str">
        <f t="shared" si="0"/>
        <v>1</v>
      </c>
      <c r="Q15" s="10" t="str">
        <f>INDEX(Кат!$J:$J,MATCH($A15,Кат!$A:$A,0))</f>
        <v>АНВ</v>
      </c>
    </row>
    <row r="16" spans="1:17" ht="75" x14ac:dyDescent="0.25">
      <c r="A16" s="57">
        <v>131852</v>
      </c>
      <c r="B16" s="57">
        <v>10013</v>
      </c>
      <c r="C16" s="58" t="s">
        <v>59</v>
      </c>
      <c r="D16" s="58" t="s">
        <v>43</v>
      </c>
      <c r="E16" s="58"/>
      <c r="F16" s="58"/>
      <c r="G16" s="58"/>
      <c r="H16" s="58"/>
      <c r="I16" s="58" t="s">
        <v>44</v>
      </c>
      <c r="J16" s="59">
        <v>135</v>
      </c>
      <c r="K16" s="59">
        <v>499</v>
      </c>
      <c r="L16" s="58" t="s">
        <v>130</v>
      </c>
      <c r="M16" s="58" t="s">
        <v>8</v>
      </c>
      <c r="N16" s="58"/>
      <c r="O16" s="58" t="s">
        <v>43</v>
      </c>
      <c r="P16" s="10" t="str">
        <f t="shared" si="0"/>
        <v>1</v>
      </c>
      <c r="Q16" s="10" t="str">
        <f>INDEX(Кат!$J:$J,MATCH($A16,Кат!$A:$A,0))</f>
        <v>АНВ</v>
      </c>
    </row>
    <row r="17" spans="1:17" ht="45" x14ac:dyDescent="0.25">
      <c r="A17" s="57">
        <v>131854</v>
      </c>
      <c r="B17" s="57">
        <v>10014</v>
      </c>
      <c r="C17" s="58" t="s">
        <v>60</v>
      </c>
      <c r="D17" s="58" t="s">
        <v>43</v>
      </c>
      <c r="E17" s="58"/>
      <c r="F17" s="58"/>
      <c r="G17" s="58"/>
      <c r="H17" s="58"/>
      <c r="I17" s="58" t="s">
        <v>44</v>
      </c>
      <c r="J17" s="59">
        <v>300</v>
      </c>
      <c r="K17" s="59">
        <v>479</v>
      </c>
      <c r="L17" s="58"/>
      <c r="M17" s="58" t="s">
        <v>8</v>
      </c>
      <c r="N17" s="58"/>
      <c r="O17" s="58" t="s">
        <v>43</v>
      </c>
      <c r="P17" s="10" t="str">
        <f t="shared" si="0"/>
        <v>1</v>
      </c>
      <c r="Q17" s="10" t="str">
        <f>INDEX(Кат!$J:$J,MATCH($A17,Кат!$A:$A,0))</f>
        <v>АНВ</v>
      </c>
    </row>
    <row r="18" spans="1:17" ht="75" x14ac:dyDescent="0.25">
      <c r="A18" s="57">
        <v>131855</v>
      </c>
      <c r="B18" s="57">
        <v>10020</v>
      </c>
      <c r="C18" s="58" t="s">
        <v>61</v>
      </c>
      <c r="D18" s="58" t="s">
        <v>43</v>
      </c>
      <c r="E18" s="58"/>
      <c r="F18" s="58"/>
      <c r="G18" s="58"/>
      <c r="H18" s="58"/>
      <c r="I18" s="58" t="s">
        <v>44</v>
      </c>
      <c r="J18" s="59"/>
      <c r="K18" s="59">
        <v>669</v>
      </c>
      <c r="L18" s="58" t="s">
        <v>115</v>
      </c>
      <c r="M18" s="58" t="s">
        <v>8</v>
      </c>
      <c r="N18" s="58"/>
      <c r="O18" s="58" t="s">
        <v>43</v>
      </c>
      <c r="P18" s="10" t="str">
        <f t="shared" si="0"/>
        <v>1</v>
      </c>
      <c r="Q18" s="10" t="str">
        <f>INDEX(Кат!$J:$J,MATCH($A18,Кат!$A:$A,0))</f>
        <v>АНВ</v>
      </c>
    </row>
    <row r="19" spans="1:17" ht="75" x14ac:dyDescent="0.25">
      <c r="A19" s="57">
        <v>131856</v>
      </c>
      <c r="B19" s="57">
        <v>10021</v>
      </c>
      <c r="C19" s="58" t="s">
        <v>62</v>
      </c>
      <c r="D19" s="58" t="s">
        <v>43</v>
      </c>
      <c r="E19" s="58"/>
      <c r="F19" s="58"/>
      <c r="G19" s="58"/>
      <c r="H19" s="58"/>
      <c r="I19" s="58" t="s">
        <v>44</v>
      </c>
      <c r="J19" s="59">
        <v>290</v>
      </c>
      <c r="K19" s="59">
        <v>669</v>
      </c>
      <c r="L19" s="58" t="s">
        <v>129</v>
      </c>
      <c r="M19" s="58" t="s">
        <v>8</v>
      </c>
      <c r="N19" s="58"/>
      <c r="O19" s="58" t="s">
        <v>43</v>
      </c>
      <c r="P19" s="10" t="str">
        <f t="shared" si="0"/>
        <v>1</v>
      </c>
      <c r="Q19" s="10" t="str">
        <f>INDEX(Кат!$J:$J,MATCH($A19,Кат!$A:$A,0))</f>
        <v>АНВ</v>
      </c>
    </row>
    <row r="20" spans="1:17" ht="75" x14ac:dyDescent="0.25">
      <c r="A20" s="57">
        <v>131857</v>
      </c>
      <c r="B20" s="57">
        <v>10016</v>
      </c>
      <c r="C20" s="58" t="s">
        <v>63</v>
      </c>
      <c r="D20" s="58" t="s">
        <v>43</v>
      </c>
      <c r="E20" s="58"/>
      <c r="F20" s="58"/>
      <c r="G20" s="58"/>
      <c r="H20" s="58"/>
      <c r="I20" s="58" t="s">
        <v>44</v>
      </c>
      <c r="J20" s="59"/>
      <c r="K20" s="59">
        <v>559</v>
      </c>
      <c r="L20" s="58" t="s">
        <v>131</v>
      </c>
      <c r="M20" s="58" t="s">
        <v>8</v>
      </c>
      <c r="N20" s="58"/>
      <c r="O20" s="58" t="s">
        <v>43</v>
      </c>
      <c r="P20" s="10" t="str">
        <f t="shared" si="0"/>
        <v>1</v>
      </c>
      <c r="Q20" s="10" t="str">
        <f>INDEX(Кат!$J:$J,MATCH($A20,Кат!$A:$A,0))</f>
        <v>АНВ</v>
      </c>
    </row>
    <row r="21" spans="1:17" ht="75" x14ac:dyDescent="0.25">
      <c r="A21" s="57">
        <v>131858</v>
      </c>
      <c r="B21" s="57">
        <v>10022</v>
      </c>
      <c r="C21" s="58" t="s">
        <v>64</v>
      </c>
      <c r="D21" s="58" t="s">
        <v>43</v>
      </c>
      <c r="E21" s="58"/>
      <c r="F21" s="58"/>
      <c r="G21" s="58"/>
      <c r="H21" s="58"/>
      <c r="I21" s="58" t="s">
        <v>44</v>
      </c>
      <c r="J21" s="59"/>
      <c r="K21" s="59">
        <v>449</v>
      </c>
      <c r="L21" s="58" t="s">
        <v>132</v>
      </c>
      <c r="M21" s="58" t="s">
        <v>8</v>
      </c>
      <c r="N21" s="58"/>
      <c r="O21" s="58" t="s">
        <v>43</v>
      </c>
      <c r="P21" s="10" t="str">
        <f t="shared" si="0"/>
        <v>1</v>
      </c>
      <c r="Q21" s="10" t="str">
        <f>INDEX(Кат!$J:$J,MATCH($A21,Кат!$A:$A,0))</f>
        <v>АНВ</v>
      </c>
    </row>
    <row r="22" spans="1:17" ht="75" x14ac:dyDescent="0.25">
      <c r="A22" s="57">
        <v>131859</v>
      </c>
      <c r="B22" s="57">
        <v>10017</v>
      </c>
      <c r="C22" s="58" t="s">
        <v>65</v>
      </c>
      <c r="D22" s="58" t="s">
        <v>43</v>
      </c>
      <c r="E22" s="58"/>
      <c r="F22" s="58"/>
      <c r="G22" s="58"/>
      <c r="H22" s="58"/>
      <c r="I22" s="58" t="s">
        <v>44</v>
      </c>
      <c r="J22" s="59">
        <v>300</v>
      </c>
      <c r="K22" s="59">
        <v>629</v>
      </c>
      <c r="L22" s="58" t="s">
        <v>126</v>
      </c>
      <c r="M22" s="58" t="s">
        <v>8</v>
      </c>
      <c r="N22" s="58"/>
      <c r="O22" s="58" t="s">
        <v>43</v>
      </c>
      <c r="P22" s="10" t="str">
        <f t="shared" si="0"/>
        <v>1</v>
      </c>
      <c r="Q22" s="10" t="str">
        <f>INDEX(Кат!$J:$J,MATCH($A22,Кат!$A:$A,0))</f>
        <v>АНВ</v>
      </c>
    </row>
    <row r="23" spans="1:17" ht="75" x14ac:dyDescent="0.25">
      <c r="A23" s="57">
        <v>131860</v>
      </c>
      <c r="B23" s="57">
        <v>10023</v>
      </c>
      <c r="C23" s="58" t="s">
        <v>66</v>
      </c>
      <c r="D23" s="58" t="s">
        <v>43</v>
      </c>
      <c r="E23" s="58"/>
      <c r="F23" s="58"/>
      <c r="G23" s="58"/>
      <c r="H23" s="58"/>
      <c r="I23" s="58" t="s">
        <v>44</v>
      </c>
      <c r="J23" s="59"/>
      <c r="K23" s="59">
        <v>629</v>
      </c>
      <c r="L23" s="58" t="s">
        <v>127</v>
      </c>
      <c r="M23" s="58" t="s">
        <v>8</v>
      </c>
      <c r="N23" s="58"/>
      <c r="O23" s="58" t="s">
        <v>43</v>
      </c>
      <c r="P23" s="10" t="str">
        <f t="shared" si="0"/>
        <v>1</v>
      </c>
      <c r="Q23" s="10" t="str">
        <f>INDEX(Кат!$J:$J,MATCH($A23,Кат!$A:$A,0))</f>
        <v>АНВ</v>
      </c>
    </row>
    <row r="24" spans="1:17" ht="30" x14ac:dyDescent="0.25">
      <c r="A24" s="57">
        <v>143584</v>
      </c>
      <c r="B24" s="57">
        <v>16810</v>
      </c>
      <c r="C24" s="58" t="s">
        <v>67</v>
      </c>
      <c r="D24" s="58" t="s">
        <v>68</v>
      </c>
      <c r="E24" s="58"/>
      <c r="F24" s="58" t="s">
        <v>69</v>
      </c>
      <c r="G24" s="58"/>
      <c r="H24" s="58"/>
      <c r="I24" s="58" t="s">
        <v>44</v>
      </c>
      <c r="J24" s="59">
        <v>700</v>
      </c>
      <c r="K24" s="59">
        <v>1090</v>
      </c>
      <c r="L24" s="58"/>
      <c r="M24" s="58" t="s">
        <v>55</v>
      </c>
      <c r="N24" s="58"/>
      <c r="O24" s="58"/>
      <c r="P24" s="10" t="str">
        <f t="shared" si="0"/>
        <v>0</v>
      </c>
      <c r="Q24" s="10" t="str">
        <f>INDEX(Кат!$J:$J,MATCH($A24,Кат!$A:$A,0))</f>
        <v>АНВ</v>
      </c>
    </row>
    <row r="25" spans="1:17" ht="30" x14ac:dyDescent="0.25">
      <c r="A25" s="57">
        <v>143588</v>
      </c>
      <c r="B25" s="57">
        <v>34507</v>
      </c>
      <c r="C25" s="58" t="s">
        <v>70</v>
      </c>
      <c r="D25" s="58" t="s">
        <v>68</v>
      </c>
      <c r="E25" s="58"/>
      <c r="F25" s="58" t="s">
        <v>71</v>
      </c>
      <c r="G25" s="58"/>
      <c r="H25" s="58"/>
      <c r="I25" s="58" t="s">
        <v>44</v>
      </c>
      <c r="J25" s="59">
        <v>410</v>
      </c>
      <c r="K25" s="59">
        <v>659</v>
      </c>
      <c r="L25" s="58"/>
      <c r="M25" s="58" t="s">
        <v>8</v>
      </c>
      <c r="N25" s="58"/>
      <c r="O25" s="58" t="s">
        <v>43</v>
      </c>
      <c r="P25" s="10" t="str">
        <f t="shared" si="0"/>
        <v>1</v>
      </c>
      <c r="Q25" s="10" t="str">
        <f>INDEX(Кат!$J:$J,MATCH($A25,Кат!$A:$A,0))</f>
        <v>АНВ</v>
      </c>
    </row>
    <row r="26" spans="1:17" ht="45" x14ac:dyDescent="0.25">
      <c r="A26" s="57">
        <v>143598</v>
      </c>
      <c r="B26" s="57">
        <v>7970</v>
      </c>
      <c r="C26" s="58" t="s">
        <v>72</v>
      </c>
      <c r="D26" s="58" t="s">
        <v>68</v>
      </c>
      <c r="E26" s="58"/>
      <c r="F26" s="58"/>
      <c r="G26" s="58"/>
      <c r="H26" s="58"/>
      <c r="I26" s="58" t="s">
        <v>44</v>
      </c>
      <c r="J26" s="59">
        <v>480</v>
      </c>
      <c r="K26" s="59">
        <v>769</v>
      </c>
      <c r="L26" s="58"/>
      <c r="M26" s="58" t="s">
        <v>8</v>
      </c>
      <c r="N26" s="58"/>
      <c r="O26" s="58"/>
      <c r="P26" s="10" t="str">
        <f t="shared" si="0"/>
        <v>1</v>
      </c>
      <c r="Q26" s="10" t="str">
        <f>INDEX(Кат!$J:$J,MATCH($A26,Кат!$A:$A,0))</f>
        <v>АНВ</v>
      </c>
    </row>
    <row r="27" spans="1:17" ht="30" x14ac:dyDescent="0.25">
      <c r="A27" s="57">
        <v>143599</v>
      </c>
      <c r="B27" s="57">
        <v>7972</v>
      </c>
      <c r="C27" s="58" t="s">
        <v>73</v>
      </c>
      <c r="D27" s="58" t="s">
        <v>68</v>
      </c>
      <c r="E27" s="58"/>
      <c r="F27" s="58" t="s">
        <v>74</v>
      </c>
      <c r="G27" s="58"/>
      <c r="H27" s="58"/>
      <c r="I27" s="58" t="s">
        <v>44</v>
      </c>
      <c r="J27" s="59">
        <v>540</v>
      </c>
      <c r="K27" s="59">
        <v>839</v>
      </c>
      <c r="L27" s="58"/>
      <c r="M27" s="58" t="s">
        <v>8</v>
      </c>
      <c r="N27" s="58"/>
      <c r="O27" s="58"/>
      <c r="P27" s="10" t="str">
        <f t="shared" si="0"/>
        <v>1</v>
      </c>
      <c r="Q27" s="10" t="str">
        <f>INDEX(Кат!$J:$J,MATCH($A27,Кат!$A:$A,0))</f>
        <v>АНВ</v>
      </c>
    </row>
    <row r="28" spans="1:17" ht="30" x14ac:dyDescent="0.25">
      <c r="A28" s="57">
        <v>143600</v>
      </c>
      <c r="B28" s="57">
        <v>10246</v>
      </c>
      <c r="C28" s="58" t="s">
        <v>75</v>
      </c>
      <c r="D28" s="58" t="s">
        <v>68</v>
      </c>
      <c r="E28" s="58"/>
      <c r="F28" s="58"/>
      <c r="G28" s="58"/>
      <c r="H28" s="58"/>
      <c r="I28" s="58" t="s">
        <v>44</v>
      </c>
      <c r="J28" s="59">
        <v>540</v>
      </c>
      <c r="K28" s="59">
        <v>839</v>
      </c>
      <c r="L28" s="58"/>
      <c r="M28" s="58" t="s">
        <v>8</v>
      </c>
      <c r="N28" s="58"/>
      <c r="O28" s="58"/>
      <c r="P28" s="10" t="str">
        <f t="shared" si="0"/>
        <v>1</v>
      </c>
      <c r="Q28" s="10" t="str">
        <f>INDEX(Кат!$J:$J,MATCH($A28,Кат!$A:$A,0))</f>
        <v>АНВ</v>
      </c>
    </row>
    <row r="29" spans="1:17" ht="75" x14ac:dyDescent="0.25">
      <c r="A29" s="57">
        <v>143604</v>
      </c>
      <c r="B29" s="57">
        <v>18300</v>
      </c>
      <c r="C29" s="58" t="s">
        <v>76</v>
      </c>
      <c r="D29" s="58" t="s">
        <v>43</v>
      </c>
      <c r="E29" s="58"/>
      <c r="F29" s="58"/>
      <c r="G29" s="58"/>
      <c r="H29" s="58"/>
      <c r="I29" s="58" t="s">
        <v>44</v>
      </c>
      <c r="J29" s="59">
        <v>730</v>
      </c>
      <c r="K29" s="59">
        <v>1690</v>
      </c>
      <c r="L29" s="58" t="s">
        <v>139</v>
      </c>
      <c r="M29" s="58" t="s">
        <v>8</v>
      </c>
      <c r="N29" s="58"/>
      <c r="O29" s="58" t="s">
        <v>43</v>
      </c>
      <c r="P29" s="10" t="str">
        <f t="shared" si="0"/>
        <v>1</v>
      </c>
      <c r="Q29" s="10" t="str">
        <f>INDEX(Кат!$J:$J,MATCH($A29,Кат!$A:$A,0))</f>
        <v>АНВ</v>
      </c>
    </row>
    <row r="30" spans="1:17" ht="60" x14ac:dyDescent="0.25">
      <c r="A30" s="57">
        <v>143609</v>
      </c>
      <c r="B30" s="57">
        <v>7395</v>
      </c>
      <c r="C30" s="58" t="s">
        <v>77</v>
      </c>
      <c r="D30" s="58" t="s">
        <v>68</v>
      </c>
      <c r="E30" s="58"/>
      <c r="F30" s="58" t="s">
        <v>78</v>
      </c>
      <c r="G30" s="58"/>
      <c r="H30" s="58"/>
      <c r="I30" s="58" t="s">
        <v>44</v>
      </c>
      <c r="J30" s="59">
        <v>390</v>
      </c>
      <c r="K30" s="59">
        <v>629</v>
      </c>
      <c r="L30" s="58"/>
      <c r="M30" s="58" t="s">
        <v>55</v>
      </c>
      <c r="N30" s="58"/>
      <c r="O30" s="58" t="s">
        <v>43</v>
      </c>
      <c r="P30" s="10" t="str">
        <f t="shared" si="0"/>
        <v>0</v>
      </c>
      <c r="Q30" s="10" t="str">
        <f>INDEX(Кат!$J:$J,MATCH($A30,Кат!$A:$A,0))</f>
        <v>АНВ</v>
      </c>
    </row>
    <row r="31" spans="1:17" ht="30" x14ac:dyDescent="0.25">
      <c r="A31" s="57">
        <v>143633</v>
      </c>
      <c r="B31" s="57">
        <v>27404</v>
      </c>
      <c r="C31" s="58" t="s">
        <v>79</v>
      </c>
      <c r="D31" s="58" t="s">
        <v>68</v>
      </c>
      <c r="E31" s="58"/>
      <c r="F31" s="58"/>
      <c r="G31" s="58"/>
      <c r="H31" s="58"/>
      <c r="I31" s="58" t="s">
        <v>44</v>
      </c>
      <c r="J31" s="59">
        <v>400</v>
      </c>
      <c r="K31" s="59">
        <v>639</v>
      </c>
      <c r="L31" s="58"/>
      <c r="M31" s="58" t="s">
        <v>8</v>
      </c>
      <c r="N31" s="58"/>
      <c r="O31" s="58"/>
      <c r="P31" s="10" t="str">
        <f t="shared" si="0"/>
        <v>1</v>
      </c>
      <c r="Q31" s="10" t="str">
        <f>INDEX(Кат!$J:$J,MATCH($A31,Кат!$A:$A,0))</f>
        <v>АНВ</v>
      </c>
    </row>
    <row r="32" spans="1:17" ht="60" x14ac:dyDescent="0.25">
      <c r="A32" s="57">
        <v>143638</v>
      </c>
      <c r="B32" s="57">
        <v>7981</v>
      </c>
      <c r="C32" s="58" t="s">
        <v>80</v>
      </c>
      <c r="D32" s="58" t="s">
        <v>43</v>
      </c>
      <c r="E32" s="58"/>
      <c r="F32" s="58"/>
      <c r="G32" s="58"/>
      <c r="H32" s="58"/>
      <c r="I32" s="58" t="s">
        <v>44</v>
      </c>
      <c r="J32" s="59">
        <v>380</v>
      </c>
      <c r="K32" s="59">
        <v>1290</v>
      </c>
      <c r="L32" s="58" t="s">
        <v>137</v>
      </c>
      <c r="M32" s="58" t="s">
        <v>8</v>
      </c>
      <c r="N32" s="58"/>
      <c r="O32" s="58"/>
      <c r="P32" s="10" t="str">
        <f t="shared" si="0"/>
        <v>1</v>
      </c>
      <c r="Q32" s="10" t="str">
        <f>INDEX(Кат!$J:$J,MATCH($A32,Кат!$A:$A,0))</f>
        <v>АНВ</v>
      </c>
    </row>
    <row r="33" spans="1:17" ht="30" x14ac:dyDescent="0.25">
      <c r="A33" s="57">
        <v>143634</v>
      </c>
      <c r="B33" s="57">
        <v>7865</v>
      </c>
      <c r="C33" s="58" t="s">
        <v>81</v>
      </c>
      <c r="D33" s="58" t="s">
        <v>68</v>
      </c>
      <c r="E33" s="58"/>
      <c r="F33" s="58" t="s">
        <v>82</v>
      </c>
      <c r="G33" s="58"/>
      <c r="H33" s="58"/>
      <c r="I33" s="58" t="s">
        <v>44</v>
      </c>
      <c r="J33" s="59">
        <v>400</v>
      </c>
      <c r="K33" s="59">
        <v>639</v>
      </c>
      <c r="L33" s="58"/>
      <c r="M33" s="58" t="s">
        <v>8</v>
      </c>
      <c r="N33" s="58"/>
      <c r="O33" s="58"/>
      <c r="P33" s="10" t="str">
        <f t="shared" si="0"/>
        <v>1</v>
      </c>
      <c r="Q33" s="10" t="str">
        <f>INDEX(Кат!$J:$J,MATCH($A33,Кат!$A:$A,0))</f>
        <v>АНВ</v>
      </c>
    </row>
    <row r="34" spans="1:17" ht="30" x14ac:dyDescent="0.25">
      <c r="A34" s="57">
        <v>143635</v>
      </c>
      <c r="B34" s="57">
        <v>7863</v>
      </c>
      <c r="C34" s="58" t="s">
        <v>83</v>
      </c>
      <c r="D34" s="58" t="s">
        <v>68</v>
      </c>
      <c r="E34" s="58"/>
      <c r="F34" s="58" t="s">
        <v>84</v>
      </c>
      <c r="G34" s="58"/>
      <c r="H34" s="58"/>
      <c r="I34" s="58" t="s">
        <v>44</v>
      </c>
      <c r="J34" s="59">
        <v>400</v>
      </c>
      <c r="K34" s="59">
        <v>639</v>
      </c>
      <c r="L34" s="58"/>
      <c r="M34" s="58" t="s">
        <v>8</v>
      </c>
      <c r="N34" s="58"/>
      <c r="O34" s="58"/>
      <c r="P34" s="10" t="str">
        <f t="shared" si="0"/>
        <v>1</v>
      </c>
      <c r="Q34" s="10" t="str">
        <f>INDEX(Кат!$J:$J,MATCH($A34,Кат!$A:$A,0))</f>
        <v>АНВ</v>
      </c>
    </row>
    <row r="35" spans="1:17" ht="30" x14ac:dyDescent="0.25">
      <c r="A35" s="57">
        <v>143641</v>
      </c>
      <c r="B35" s="57">
        <v>7436</v>
      </c>
      <c r="C35" s="58" t="s">
        <v>85</v>
      </c>
      <c r="D35" s="58" t="s">
        <v>68</v>
      </c>
      <c r="E35" s="58"/>
      <c r="F35" s="58" t="s">
        <v>86</v>
      </c>
      <c r="G35" s="58"/>
      <c r="H35" s="58"/>
      <c r="I35" s="58" t="s">
        <v>44</v>
      </c>
      <c r="J35" s="59">
        <v>690</v>
      </c>
      <c r="K35" s="59">
        <v>1090</v>
      </c>
      <c r="L35" s="58"/>
      <c r="M35" s="58" t="s">
        <v>8</v>
      </c>
      <c r="N35" s="58"/>
      <c r="O35" s="58"/>
      <c r="P35" s="10" t="str">
        <f t="shared" si="0"/>
        <v>1</v>
      </c>
      <c r="Q35" s="10" t="str">
        <f>INDEX(Кат!$J:$J,MATCH($A35,Кат!$A:$A,0))</f>
        <v>АНВ</v>
      </c>
    </row>
    <row r="36" spans="1:17" ht="45" x14ac:dyDescent="0.25">
      <c r="A36" s="57">
        <v>143593</v>
      </c>
      <c r="B36" s="57">
        <v>7975</v>
      </c>
      <c r="C36" s="58" t="s">
        <v>87</v>
      </c>
      <c r="D36" s="58" t="s">
        <v>68</v>
      </c>
      <c r="E36" s="58"/>
      <c r="F36" s="58"/>
      <c r="G36" s="58"/>
      <c r="H36" s="58"/>
      <c r="I36" s="58" t="s">
        <v>44</v>
      </c>
      <c r="J36" s="59">
        <v>470</v>
      </c>
      <c r="K36" s="59">
        <v>759</v>
      </c>
      <c r="L36" s="58"/>
      <c r="M36" s="58" t="s">
        <v>55</v>
      </c>
      <c r="N36" s="58"/>
      <c r="O36" s="58" t="s">
        <v>43</v>
      </c>
      <c r="P36" s="10" t="str">
        <f t="shared" si="0"/>
        <v>0</v>
      </c>
      <c r="Q36" s="10" t="str">
        <f>INDEX(Кат!$J:$J,MATCH($A36,Кат!$A:$A,0))</f>
        <v>АНВ</v>
      </c>
    </row>
    <row r="37" spans="1:17" ht="30" x14ac:dyDescent="0.25">
      <c r="A37" s="57">
        <v>143594</v>
      </c>
      <c r="B37" s="57">
        <v>7979</v>
      </c>
      <c r="C37" s="58" t="s">
        <v>88</v>
      </c>
      <c r="D37" s="58" t="s">
        <v>68</v>
      </c>
      <c r="E37" s="58"/>
      <c r="F37" s="58" t="s">
        <v>89</v>
      </c>
      <c r="G37" s="58"/>
      <c r="H37" s="58"/>
      <c r="I37" s="58" t="s">
        <v>44</v>
      </c>
      <c r="J37" s="59">
        <v>820</v>
      </c>
      <c r="K37" s="59">
        <v>1290</v>
      </c>
      <c r="L37" s="58"/>
      <c r="M37" s="58" t="s">
        <v>8</v>
      </c>
      <c r="N37" s="58"/>
      <c r="O37" s="58"/>
      <c r="P37" s="10" t="str">
        <f t="shared" si="0"/>
        <v>1</v>
      </c>
      <c r="Q37" s="10" t="str">
        <f>INDEX(Кат!$J:$J,MATCH($A37,Кат!$A:$A,0))</f>
        <v>АНВ</v>
      </c>
    </row>
    <row r="38" spans="1:17" ht="60" x14ac:dyDescent="0.25">
      <c r="A38" s="57">
        <v>143595</v>
      </c>
      <c r="B38" s="57">
        <v>7980</v>
      </c>
      <c r="C38" s="58" t="s">
        <v>90</v>
      </c>
      <c r="D38" s="58" t="s">
        <v>43</v>
      </c>
      <c r="E38" s="58"/>
      <c r="F38" s="58"/>
      <c r="G38" s="58"/>
      <c r="H38" s="58"/>
      <c r="I38" s="58" t="s">
        <v>44</v>
      </c>
      <c r="J38" s="59">
        <v>835</v>
      </c>
      <c r="K38" s="59">
        <v>1690</v>
      </c>
      <c r="L38" s="58" t="s">
        <v>136</v>
      </c>
      <c r="M38" s="58" t="s">
        <v>8</v>
      </c>
      <c r="N38" s="58"/>
      <c r="O38" s="58" t="s">
        <v>43</v>
      </c>
      <c r="P38" s="10" t="str">
        <f t="shared" si="0"/>
        <v>1</v>
      </c>
      <c r="Q38" s="10" t="str">
        <f>INDEX(Кат!$J:$J,MATCH($A38,Кат!$A:$A,0))</f>
        <v>АНВ</v>
      </c>
    </row>
    <row r="39" spans="1:17" ht="45" x14ac:dyDescent="0.25">
      <c r="A39" s="57">
        <v>143676</v>
      </c>
      <c r="B39" s="57">
        <v>17353</v>
      </c>
      <c r="C39" s="58" t="s">
        <v>91</v>
      </c>
      <c r="D39" s="58" t="s">
        <v>68</v>
      </c>
      <c r="E39" s="58"/>
      <c r="F39" s="58"/>
      <c r="G39" s="58"/>
      <c r="H39" s="58"/>
      <c r="I39" s="58" t="s">
        <v>44</v>
      </c>
      <c r="J39" s="59">
        <v>420</v>
      </c>
      <c r="K39" s="59">
        <v>679</v>
      </c>
      <c r="L39" s="58"/>
      <c r="M39" s="58" t="s">
        <v>8</v>
      </c>
      <c r="N39" s="58"/>
      <c r="O39" s="58" t="s">
        <v>43</v>
      </c>
      <c r="P39" s="10" t="str">
        <f t="shared" si="0"/>
        <v>1</v>
      </c>
      <c r="Q39" s="10" t="str">
        <f>INDEX(Кат!$J:$J,MATCH($A39,Кат!$A:$A,0))</f>
        <v>АНВ</v>
      </c>
    </row>
    <row r="40" spans="1:17" ht="45" x14ac:dyDescent="0.25">
      <c r="A40" s="57">
        <v>143678</v>
      </c>
      <c r="B40" s="57">
        <v>13490</v>
      </c>
      <c r="C40" s="58" t="s">
        <v>92</v>
      </c>
      <c r="D40" s="58" t="s">
        <v>68</v>
      </c>
      <c r="E40" s="58"/>
      <c r="F40" s="58"/>
      <c r="G40" s="58"/>
      <c r="H40" s="58"/>
      <c r="I40" s="58" t="s">
        <v>44</v>
      </c>
      <c r="J40" s="59">
        <v>770</v>
      </c>
      <c r="K40" s="59">
        <v>1190</v>
      </c>
      <c r="L40" s="58"/>
      <c r="M40" s="58" t="s">
        <v>55</v>
      </c>
      <c r="N40" s="58"/>
      <c r="O40" s="58" t="s">
        <v>43</v>
      </c>
      <c r="P40" s="10" t="str">
        <f t="shared" si="0"/>
        <v>0</v>
      </c>
      <c r="Q40" s="10" t="str">
        <f>INDEX(Кат!$J:$J,MATCH($A40,Кат!$A:$A,0))</f>
        <v>АНВ</v>
      </c>
    </row>
    <row r="41" spans="1:17" ht="60" x14ac:dyDescent="0.25">
      <c r="A41" s="57">
        <v>143677</v>
      </c>
      <c r="B41" s="57">
        <v>15376</v>
      </c>
      <c r="C41" s="58" t="s">
        <v>93</v>
      </c>
      <c r="D41" s="58" t="s">
        <v>43</v>
      </c>
      <c r="E41" s="58"/>
      <c r="F41" s="58"/>
      <c r="G41" s="58"/>
      <c r="H41" s="58"/>
      <c r="I41" s="58" t="s">
        <v>44</v>
      </c>
      <c r="J41" s="59">
        <v>990</v>
      </c>
      <c r="K41" s="59">
        <v>1690</v>
      </c>
      <c r="L41" s="58" t="s">
        <v>134</v>
      </c>
      <c r="M41" s="58" t="s">
        <v>8</v>
      </c>
      <c r="N41" s="58"/>
      <c r="O41" s="58" t="s">
        <v>43</v>
      </c>
      <c r="P41" s="10" t="str">
        <f t="shared" si="0"/>
        <v>1</v>
      </c>
      <c r="Q41" s="10" t="str">
        <f>INDEX(Кат!$J:$J,MATCH($A41,Кат!$A:$A,0))</f>
        <v>АНВ</v>
      </c>
    </row>
    <row r="42" spans="1:17" ht="60" x14ac:dyDescent="0.25">
      <c r="A42" s="57">
        <v>143675</v>
      </c>
      <c r="B42" s="57">
        <v>19872</v>
      </c>
      <c r="C42" s="58" t="s">
        <v>94</v>
      </c>
      <c r="D42" s="58" t="s">
        <v>43</v>
      </c>
      <c r="E42" s="58"/>
      <c r="F42" s="58"/>
      <c r="G42" s="58"/>
      <c r="H42" s="58"/>
      <c r="I42" s="58" t="s">
        <v>44</v>
      </c>
      <c r="J42" s="59">
        <v>520</v>
      </c>
      <c r="K42" s="59">
        <v>989</v>
      </c>
      <c r="L42" s="58" t="s">
        <v>133</v>
      </c>
      <c r="M42" s="58" t="s">
        <v>8</v>
      </c>
      <c r="N42" s="58"/>
      <c r="O42" s="58" t="s">
        <v>43</v>
      </c>
      <c r="P42" s="10" t="str">
        <f t="shared" si="0"/>
        <v>1</v>
      </c>
      <c r="Q42" s="10" t="str">
        <f>INDEX(Кат!$J:$J,MATCH($A42,Кат!$A:$A,0))</f>
        <v>АНВ</v>
      </c>
    </row>
    <row r="43" spans="1:17" ht="30" x14ac:dyDescent="0.25">
      <c r="A43" s="57">
        <v>143679</v>
      </c>
      <c r="B43" s="57">
        <v>7860</v>
      </c>
      <c r="C43" s="58" t="s">
        <v>95</v>
      </c>
      <c r="D43" s="58" t="s">
        <v>68</v>
      </c>
      <c r="E43" s="58"/>
      <c r="F43" s="58" t="s">
        <v>96</v>
      </c>
      <c r="G43" s="58"/>
      <c r="H43" s="58"/>
      <c r="I43" s="58" t="s">
        <v>44</v>
      </c>
      <c r="J43" s="59">
        <v>480</v>
      </c>
      <c r="K43" s="59">
        <v>769</v>
      </c>
      <c r="L43" s="58"/>
      <c r="M43" s="58" t="s">
        <v>8</v>
      </c>
      <c r="N43" s="58"/>
      <c r="O43" s="58"/>
      <c r="P43" s="10" t="str">
        <f t="shared" si="0"/>
        <v>1</v>
      </c>
      <c r="Q43" s="10" t="str">
        <f>INDEX(Кат!$J:$J,MATCH($A43,Кат!$A:$A,0))</f>
        <v>АНВ</v>
      </c>
    </row>
    <row r="44" spans="1:17" ht="30" x14ac:dyDescent="0.25">
      <c r="A44" s="57">
        <v>143680</v>
      </c>
      <c r="B44" s="57">
        <v>6204</v>
      </c>
      <c r="C44" s="58" t="s">
        <v>97</v>
      </c>
      <c r="D44" s="58" t="s">
        <v>68</v>
      </c>
      <c r="E44" s="58"/>
      <c r="F44" s="58" t="s">
        <v>98</v>
      </c>
      <c r="G44" s="58"/>
      <c r="H44" s="58"/>
      <c r="I44" s="58" t="s">
        <v>44</v>
      </c>
      <c r="J44" s="59">
        <v>460</v>
      </c>
      <c r="K44" s="59">
        <v>739</v>
      </c>
      <c r="L44" s="58"/>
      <c r="M44" s="58" t="s">
        <v>8</v>
      </c>
      <c r="N44" s="58"/>
      <c r="O44" s="58"/>
      <c r="P44" s="10" t="str">
        <f t="shared" si="0"/>
        <v>1</v>
      </c>
      <c r="Q44" s="10" t="str">
        <f>INDEX(Кат!$J:$J,MATCH($A44,Кат!$A:$A,0))</f>
        <v>АНВ</v>
      </c>
    </row>
    <row r="45" spans="1:17" ht="30" x14ac:dyDescent="0.25">
      <c r="A45" s="57">
        <v>143681</v>
      </c>
      <c r="B45" s="57">
        <v>6626</v>
      </c>
      <c r="C45" s="58" t="s">
        <v>99</v>
      </c>
      <c r="D45" s="58" t="s">
        <v>68</v>
      </c>
      <c r="E45" s="58"/>
      <c r="F45" s="58" t="s">
        <v>78</v>
      </c>
      <c r="G45" s="58"/>
      <c r="H45" s="58"/>
      <c r="I45" s="58" t="s">
        <v>44</v>
      </c>
      <c r="J45" s="59">
        <v>440</v>
      </c>
      <c r="K45" s="59">
        <v>709</v>
      </c>
      <c r="L45" s="58"/>
      <c r="M45" s="58" t="s">
        <v>8</v>
      </c>
      <c r="N45" s="58"/>
      <c r="O45" s="58"/>
      <c r="P45" s="10" t="str">
        <f t="shared" si="0"/>
        <v>1</v>
      </c>
      <c r="Q45" s="10" t="str">
        <f>INDEX(Кат!$J:$J,MATCH($A45,Кат!$A:$A,0))</f>
        <v>АНВ</v>
      </c>
    </row>
    <row r="46" spans="1:17" ht="30" x14ac:dyDescent="0.25">
      <c r="A46" s="57">
        <v>143682</v>
      </c>
      <c r="B46" s="57">
        <v>6627</v>
      </c>
      <c r="C46" s="58" t="s">
        <v>100</v>
      </c>
      <c r="D46" s="58" t="s">
        <v>68</v>
      </c>
      <c r="E46" s="58"/>
      <c r="F46" s="58"/>
      <c r="G46" s="58"/>
      <c r="H46" s="58"/>
      <c r="I46" s="58" t="s">
        <v>44</v>
      </c>
      <c r="J46" s="59">
        <v>440</v>
      </c>
      <c r="K46" s="59">
        <v>709</v>
      </c>
      <c r="L46" s="58"/>
      <c r="M46" s="58" t="s">
        <v>8</v>
      </c>
      <c r="N46" s="58"/>
      <c r="O46" s="58"/>
      <c r="P46" s="10" t="str">
        <f t="shared" si="0"/>
        <v>1</v>
      </c>
      <c r="Q46" s="10" t="str">
        <f>INDEX(Кат!$J:$J,MATCH($A46,Кат!$A:$A,0))</f>
        <v>АНВ</v>
      </c>
    </row>
    <row r="47" spans="1:17" ht="30" x14ac:dyDescent="0.25">
      <c r="A47" s="57">
        <v>143687</v>
      </c>
      <c r="B47" s="57">
        <v>7982</v>
      </c>
      <c r="C47" s="58" t="s">
        <v>101</v>
      </c>
      <c r="D47" s="58" t="s">
        <v>68</v>
      </c>
      <c r="E47" s="58"/>
      <c r="F47" s="58"/>
      <c r="G47" s="58"/>
      <c r="H47" s="58"/>
      <c r="I47" s="58" t="s">
        <v>44</v>
      </c>
      <c r="J47" s="59">
        <v>420</v>
      </c>
      <c r="K47" s="59">
        <v>679</v>
      </c>
      <c r="L47" s="58"/>
      <c r="M47" s="58" t="s">
        <v>8</v>
      </c>
      <c r="N47" s="58"/>
      <c r="O47" s="58"/>
      <c r="P47" s="10" t="str">
        <f t="shared" si="0"/>
        <v>1</v>
      </c>
      <c r="Q47" s="10" t="str">
        <f>INDEX(Кат!$J:$J,MATCH($A47,Кат!$A:$A,0))</f>
        <v>АНВ</v>
      </c>
    </row>
    <row r="48" spans="1:17" ht="30" x14ac:dyDescent="0.25">
      <c r="A48" s="57">
        <v>157890</v>
      </c>
      <c r="B48" s="57">
        <v>12116</v>
      </c>
      <c r="C48" s="58" t="s">
        <v>102</v>
      </c>
      <c r="D48" s="58" t="s">
        <v>68</v>
      </c>
      <c r="E48" s="58"/>
      <c r="F48" s="58" t="s">
        <v>103</v>
      </c>
      <c r="G48" s="58"/>
      <c r="H48" s="58"/>
      <c r="I48" s="58" t="s">
        <v>44</v>
      </c>
      <c r="J48" s="59">
        <v>400</v>
      </c>
      <c r="K48" s="59">
        <v>639</v>
      </c>
      <c r="L48" s="58"/>
      <c r="M48" s="58" t="s">
        <v>8</v>
      </c>
      <c r="N48" s="58"/>
      <c r="O48" s="58"/>
      <c r="P48" s="10" t="str">
        <f t="shared" si="0"/>
        <v>1</v>
      </c>
      <c r="Q48" s="10" t="str">
        <f>INDEX(Кат!$J:$J,MATCH($A48,Кат!$A:$A,0))</f>
        <v>АНВ</v>
      </c>
    </row>
    <row r="49" spans="1:17" ht="75" x14ac:dyDescent="0.25">
      <c r="A49" s="57">
        <v>157910</v>
      </c>
      <c r="B49" s="57">
        <v>12115</v>
      </c>
      <c r="C49" s="58" t="s">
        <v>104</v>
      </c>
      <c r="D49" s="58" t="s">
        <v>43</v>
      </c>
      <c r="E49" s="58"/>
      <c r="F49" s="58"/>
      <c r="G49" s="58"/>
      <c r="H49" s="58"/>
      <c r="I49" s="58" t="s">
        <v>44</v>
      </c>
      <c r="J49" s="59">
        <v>1300</v>
      </c>
      <c r="K49" s="59">
        <v>2590</v>
      </c>
      <c r="L49" s="58" t="s">
        <v>138</v>
      </c>
      <c r="M49" s="58" t="s">
        <v>8</v>
      </c>
      <c r="N49" s="58" t="s">
        <v>204</v>
      </c>
      <c r="O49" s="58" t="s">
        <v>43</v>
      </c>
      <c r="P49" s="10" t="str">
        <f t="shared" si="0"/>
        <v>1ск5</v>
      </c>
      <c r="Q49" s="10" t="str">
        <f>INDEX(Кат!$J:$J,MATCH($A49,Кат!$A:$A,0))</f>
        <v>АНВ</v>
      </c>
    </row>
    <row r="50" spans="1:17" ht="30" x14ac:dyDescent="0.25">
      <c r="A50" s="57">
        <v>274687</v>
      </c>
      <c r="B50" s="57">
        <v>225729</v>
      </c>
      <c r="C50" s="58" t="s">
        <v>105</v>
      </c>
      <c r="D50" s="58" t="s">
        <v>68</v>
      </c>
      <c r="E50" s="58"/>
      <c r="F50" s="58" t="s">
        <v>106</v>
      </c>
      <c r="G50" s="58"/>
      <c r="H50" s="58"/>
      <c r="I50" s="58" t="s">
        <v>44</v>
      </c>
      <c r="J50" s="59">
        <v>600</v>
      </c>
      <c r="K50" s="59">
        <v>929</v>
      </c>
      <c r="L50" s="58"/>
      <c r="M50" s="58" t="s">
        <v>8</v>
      </c>
      <c r="N50" s="58"/>
      <c r="O50" s="58"/>
      <c r="P50" s="10" t="str">
        <f t="shared" si="0"/>
        <v>1</v>
      </c>
      <c r="Q50" s="10" t="str">
        <f>INDEX(Кат!$J:$J,MATCH($A50,Кат!$A:$A,0))</f>
        <v>АНВ</v>
      </c>
    </row>
    <row r="51" spans="1:17" ht="30" x14ac:dyDescent="0.25">
      <c r="A51" s="57">
        <v>201309</v>
      </c>
      <c r="B51" s="57">
        <v>909</v>
      </c>
      <c r="C51" s="58" t="s">
        <v>107</v>
      </c>
      <c r="D51" s="58" t="s">
        <v>43</v>
      </c>
      <c r="E51" s="58"/>
      <c r="F51" s="58"/>
      <c r="G51" s="58"/>
      <c r="H51" s="58"/>
      <c r="I51" s="58" t="s">
        <v>44</v>
      </c>
      <c r="J51" s="59">
        <v>3000</v>
      </c>
      <c r="K51" s="59">
        <v>4990</v>
      </c>
      <c r="L51" s="58"/>
      <c r="M51" s="58" t="s">
        <v>55</v>
      </c>
      <c r="N51" s="58"/>
      <c r="O51" s="58"/>
      <c r="P51" s="10" t="str">
        <f t="shared" si="0"/>
        <v>0</v>
      </c>
      <c r="Q51" s="10" t="str">
        <f>INDEX(Кат!$J:$J,MATCH($A51,Кат!$A:$A,0))</f>
        <v>АНВ</v>
      </c>
    </row>
  </sheetData>
  <sheetProtection formatCells="0" formatColumns="0" formatRows="0" insertColumns="0" insertRows="0" insertHyperlinks="0" deleteColumns="0" deleteRows="0" sort="0" autoFilter="0" pivotTables="0"/>
  <autoFilter ref="A1:Q1" xr:uid="{3CF98838-0AE1-4844-9C7C-5FDF724B59B3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F5B9-D33B-4798-B96D-E73D092B3382}">
  <sheetPr codeName="Лист5">
    <outlinePr summaryBelow="0"/>
  </sheetPr>
  <dimension ref="A1:R2"/>
  <sheetViews>
    <sheetView showRuler="0" zoomScaleNormal="100" workbookViewId="0">
      <pane ySplit="1" topLeftCell="A2" activePane="bottomLeft" state="frozen"/>
      <selection activeCell="P2" sqref="P2"/>
      <selection pane="bottomLeft" sqref="A1:P2"/>
    </sheetView>
  </sheetViews>
  <sheetFormatPr defaultRowHeight="15" x14ac:dyDescent="0.25"/>
  <cols>
    <col min="1" max="1" width="22.28515625" style="12" customWidth="1"/>
    <col min="2" max="3" width="7.7109375" style="12" customWidth="1"/>
    <col min="4" max="4" width="22.28515625" style="12" customWidth="1"/>
    <col min="5" max="7" width="11.140625" style="12" customWidth="1"/>
    <col min="8" max="9" width="22.28515625" style="12" customWidth="1"/>
    <col min="10" max="11" width="8.85546875" style="12" customWidth="1"/>
    <col min="12" max="12" width="10.85546875" style="12" bestFit="1" customWidth="1"/>
    <col min="13" max="17" width="7.7109375" style="12" customWidth="1"/>
    <col min="18" max="16384" width="9.140625" style="12"/>
  </cols>
  <sheetData>
    <row r="1" spans="1:18" s="11" customFormat="1" ht="60" x14ac:dyDescent="0.25">
      <c r="A1" s="60" t="s">
        <v>14</v>
      </c>
      <c r="B1" s="60" t="s">
        <v>4</v>
      </c>
      <c r="C1" s="60" t="s">
        <v>173</v>
      </c>
      <c r="D1" s="60" t="s">
        <v>168</v>
      </c>
      <c r="E1" s="60" t="s">
        <v>11</v>
      </c>
      <c r="F1" s="60" t="s">
        <v>6</v>
      </c>
      <c r="G1" s="60" t="s">
        <v>174</v>
      </c>
      <c r="H1" s="60" t="s">
        <v>140</v>
      </c>
      <c r="I1" s="60" t="s">
        <v>170</v>
      </c>
      <c r="J1" s="60" t="s">
        <v>7</v>
      </c>
      <c r="K1" s="60" t="s">
        <v>38</v>
      </c>
      <c r="L1" s="60" t="s">
        <v>16</v>
      </c>
      <c r="M1" s="60" t="s">
        <v>175</v>
      </c>
      <c r="N1" s="60" t="s">
        <v>12</v>
      </c>
      <c r="O1" s="60" t="s">
        <v>15</v>
      </c>
      <c r="P1" s="60" t="s">
        <v>13</v>
      </c>
      <c r="Q1" s="10"/>
      <c r="R1" s="10"/>
    </row>
    <row r="2" spans="1:18" ht="60" x14ac:dyDescent="0.25">
      <c r="A2" s="62" t="s">
        <v>108</v>
      </c>
      <c r="B2" s="61">
        <v>204798</v>
      </c>
      <c r="C2" s="61">
        <v>67157</v>
      </c>
      <c r="D2" s="62" t="s">
        <v>109</v>
      </c>
      <c r="E2" s="62" t="s">
        <v>68</v>
      </c>
      <c r="F2" s="62"/>
      <c r="G2" s="62"/>
      <c r="H2" s="62"/>
      <c r="I2" s="62"/>
      <c r="J2" s="62" t="s">
        <v>44</v>
      </c>
      <c r="K2" s="63">
        <v>190</v>
      </c>
      <c r="L2" s="63">
        <v>349</v>
      </c>
      <c r="M2" s="62"/>
      <c r="N2" s="61">
        <v>1</v>
      </c>
      <c r="O2" s="61"/>
      <c r="P2" s="62"/>
      <c r="Q2" s="10" t="str">
        <f>_xlfn.CONCAT(N2,IF(O2&lt;&gt;"",_xlfn.CONCAT("ск",O2),""))</f>
        <v>1</v>
      </c>
      <c r="R2" s="10" t="str">
        <f>INDEX(Торг!$K:$K,MATCH($B2,Торг!$B:$B,0))</f>
        <v>АНВ</v>
      </c>
    </row>
  </sheetData>
  <sheetProtection formatCells="0" formatColumns="0" formatRows="0" insertColumns="0" insertRows="0" insertHyperlinks="0" deleteColumns="0" deleteRows="0" sort="0" autoFilter="0" pivotTables="0"/>
  <autoFilter ref="A1:R1" xr:uid="{1EDE69EF-D66C-47DB-90C8-0DCAEB832200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5E180-B0EE-4D96-AB5C-59A19C2F859E}">
  <sheetPr codeName="Лист6">
    <tabColor rgb="FF92D050"/>
  </sheetPr>
  <dimension ref="A1:I54"/>
  <sheetViews>
    <sheetView topLeftCell="A13" workbookViewId="0">
      <selection activeCell="K46" sqref="K46"/>
    </sheetView>
  </sheetViews>
  <sheetFormatPr defaultRowHeight="15" x14ac:dyDescent="0.25"/>
  <cols>
    <col min="1" max="1" width="11" bestFit="1" customWidth="1"/>
    <col min="2" max="2" width="11" bestFit="1" customWidth="1" collapsed="1"/>
    <col min="3" max="3" width="5.85546875" bestFit="1" customWidth="1"/>
    <col min="5" max="5" width="9.140625" collapsed="1"/>
  </cols>
  <sheetData>
    <row r="1" spans="1:9" s="27" customFormat="1" ht="14.25" customHeight="1" x14ac:dyDescent="0.25">
      <c r="A1" t="str" cm="1">
        <f t="array" ref="A1:A51">_xlfn._xlws.FILTER(Кат!$A:$A,Кат!$A:$A&lt;&gt;"")</f>
        <v>ID</v>
      </c>
      <c r="B1" t="str" cm="1">
        <f t="array" ref="B1:C51">_xlfn._xlws.FILTER(Кат!AA:AB,Кат!$A:$A&lt;&gt;"")</f>
        <v>MR</v>
      </c>
      <c r="C1" t="str">
        <v>MR</v>
      </c>
      <c r="D1" cm="1">
        <f t="array" ref="D1:E51">_xlfn._xlws.FILTER(Кат!AF:AG,Кат!$A:$A&lt;&gt;"")</f>
        <v>2</v>
      </c>
      <c r="E1">
        <v>2</v>
      </c>
      <c r="F1" cm="1">
        <f t="array" ref="F1:G51">_xlfn._xlws.FILTER(Кат!AK:AL,Кат!$A:$A&lt;&gt;"")</f>
        <v>3</v>
      </c>
      <c r="G1" s="27">
        <v>3</v>
      </c>
      <c r="H1" cm="1">
        <f t="array" ref="H1:I51">_xlfn._xlws.FILTER(Кат!AP:AQ,Кат!$A:$A&lt;&gt;"")</f>
        <v>4</v>
      </c>
      <c r="I1" s="27">
        <v>4</v>
      </c>
    </row>
    <row r="2" spans="1:9" s="27" customFormat="1" x14ac:dyDescent="0.25">
      <c r="A2">
        <v>131836</v>
      </c>
      <c r="B2">
        <v>449</v>
      </c>
      <c r="C2" t="str">
        <v>https://motorring.ru/product/9969</v>
      </c>
      <c r="D2">
        <v>314</v>
      </c>
      <c r="E2" t="str">
        <v>https://www.ozon.ru/product/setka-na-reshetku-radiatora-alyuminievaya-chernaya-15h100sm-yacheyka-10h5mm-1183736317/</v>
      </c>
      <c r="F2" s="27" t="str">
        <v>-</v>
      </c>
      <c r="G2" s="27">
        <v>0</v>
      </c>
      <c r="H2" s="27" t="str">
        <v>-</v>
      </c>
      <c r="I2" s="27">
        <v>0</v>
      </c>
    </row>
    <row r="3" spans="1:9" s="27" customFormat="1" x14ac:dyDescent="0.25">
      <c r="A3" s="27">
        <v>131837</v>
      </c>
      <c r="B3" s="27">
        <v>459</v>
      </c>
      <c r="C3" s="27" t="str">
        <v>https://motorring.ru/product/9975</v>
      </c>
      <c r="D3" s="27">
        <v>521</v>
      </c>
      <c r="E3" s="27" t="str">
        <v>https://www.ozon.ru/product/setka-dekorativnaya-srednyaya-yacheyka-alyuminiy-1054037429/</v>
      </c>
      <c r="F3" s="27" t="str">
        <v>-</v>
      </c>
      <c r="G3" s="27">
        <v>0</v>
      </c>
      <c r="H3" s="27" t="str">
        <v>-</v>
      </c>
      <c r="I3" s="27">
        <v>0</v>
      </c>
    </row>
    <row r="4" spans="1:9" s="27" customFormat="1" x14ac:dyDescent="0.25">
      <c r="A4" s="27">
        <v>131839</v>
      </c>
      <c r="B4" s="27">
        <v>390</v>
      </c>
      <c r="C4" s="27" t="str">
        <v>https://motorring.ru/product/9970-alyuminievaya-setka-serebristaya-100h25sm-melkaya-yacheyka</v>
      </c>
      <c r="D4" s="27" t="str">
        <v>-</v>
      </c>
      <c r="E4" s="27">
        <v>0</v>
      </c>
      <c r="F4" s="27" t="str">
        <v>-</v>
      </c>
      <c r="G4" s="27">
        <v>0</v>
      </c>
      <c r="H4" s="27" t="str">
        <v>-</v>
      </c>
      <c r="I4" s="27">
        <v>0</v>
      </c>
    </row>
    <row r="5" spans="1:9" s="27" customFormat="1" x14ac:dyDescent="0.25">
      <c r="A5" s="27">
        <v>131840</v>
      </c>
      <c r="B5" s="27">
        <v>290</v>
      </c>
      <c r="C5" s="27" t="str">
        <v>https://motorring.ru/product/9976</v>
      </c>
      <c r="D5" s="27" t="str">
        <v>-</v>
      </c>
      <c r="E5" s="27">
        <v>0</v>
      </c>
      <c r="F5" s="27" t="str">
        <v>-</v>
      </c>
      <c r="G5" s="27">
        <v>0</v>
      </c>
      <c r="H5" s="27">
        <v>630</v>
      </c>
      <c r="I5" s="27" t="str">
        <v>https://www.avtoall.ru/reshetka_radiatora_setka__serebro__100h25sm__romb_8h16mm_-868128/</v>
      </c>
    </row>
    <row r="6" spans="1:9" s="27" customFormat="1" x14ac:dyDescent="0.25">
      <c r="A6" s="27">
        <v>131841</v>
      </c>
      <c r="B6" s="27" t="str">
        <v>569 снят</v>
      </c>
      <c r="C6" s="27" t="str">
        <v>https://motorring.ru/product/9971-alyuminievaya-setka-serebristaya-100h40sm-melkaya-yacheyka</v>
      </c>
      <c r="D6" s="27" t="str">
        <v>-</v>
      </c>
      <c r="E6" s="27">
        <v>0</v>
      </c>
      <c r="F6" s="27" t="str">
        <v>-</v>
      </c>
      <c r="G6" s="27">
        <v>0</v>
      </c>
      <c r="H6" s="27" t="str">
        <v>-</v>
      </c>
      <c r="I6" s="27">
        <v>0</v>
      </c>
    </row>
    <row r="7" spans="1:9" s="27" customFormat="1" x14ac:dyDescent="0.25">
      <c r="A7" s="27">
        <v>131842</v>
      </c>
      <c r="B7" s="27">
        <v>429</v>
      </c>
      <c r="C7" s="27" t="str">
        <v>https://motorring.ru/product/9977</v>
      </c>
      <c r="D7" s="27" t="str">
        <v>-</v>
      </c>
      <c r="E7" s="27">
        <v>0</v>
      </c>
      <c r="F7" s="27" t="str">
        <v>-</v>
      </c>
      <c r="G7" s="27">
        <v>0</v>
      </c>
      <c r="H7" s="27" t="str">
        <v>-</v>
      </c>
      <c r="I7" s="27">
        <v>0</v>
      </c>
    </row>
    <row r="8" spans="1:9" s="27" customFormat="1" x14ac:dyDescent="0.25">
      <c r="A8" s="27">
        <v>131843</v>
      </c>
      <c r="B8" s="27">
        <v>549</v>
      </c>
      <c r="C8" s="27" t="str">
        <v>https://motorring.ru/product/9972-alyuminievaya-setka-serebristaya-100h50sm-melkaya-yacheyka</v>
      </c>
      <c r="D8" s="27" t="str">
        <v>-</v>
      </c>
      <c r="E8" s="27">
        <v>0</v>
      </c>
      <c r="F8" s="27" t="str">
        <v>-</v>
      </c>
      <c r="G8" s="27">
        <v>0</v>
      </c>
      <c r="H8" s="27" t="str">
        <v>-</v>
      </c>
      <c r="I8" s="27">
        <v>0</v>
      </c>
    </row>
    <row r="9" spans="1:9" s="27" customFormat="1" x14ac:dyDescent="0.25">
      <c r="A9" s="27">
        <v>131844</v>
      </c>
      <c r="B9" s="27">
        <v>549</v>
      </c>
      <c r="C9" s="27" t="str">
        <v>https://motorring.ru/product/9978-alyuminievaya-setka-serebristaya-sal-man-100h50sm-srednyaya</v>
      </c>
      <c r="D9" s="27" t="str">
        <v>-</v>
      </c>
      <c r="E9" s="27">
        <v>0</v>
      </c>
      <c r="F9" s="27" t="str">
        <v>-</v>
      </c>
      <c r="G9" s="27">
        <v>0</v>
      </c>
      <c r="H9" s="27" t="str">
        <v>-</v>
      </c>
      <c r="I9" s="27">
        <v>0</v>
      </c>
    </row>
    <row r="10" spans="1:9" s="27" customFormat="1" x14ac:dyDescent="0.25">
      <c r="A10" s="27">
        <v>131845</v>
      </c>
      <c r="B10" s="27">
        <v>790</v>
      </c>
      <c r="C10" s="27" t="str">
        <v>https://motorring.ru/product/9980</v>
      </c>
      <c r="D10" s="27" t="str">
        <v>-</v>
      </c>
      <c r="E10" s="27">
        <v>0</v>
      </c>
      <c r="F10" s="27">
        <v>936</v>
      </c>
      <c r="G10" s="27" t="str">
        <v>https://33sport.ru/catalog/aksessuary_dlya_avtomobilya/setka_alyuminevaya_/setka_alyuminievaya_serebristaya_120kh40sm-_srednyaya_yacheyka_-8kh16mm-_1261/</v>
      </c>
      <c r="H10" s="27" t="str">
        <v>-</v>
      </c>
      <c r="I10" s="27">
        <v>0</v>
      </c>
    </row>
    <row r="11" spans="1:9" s="27" customFormat="1" x14ac:dyDescent="0.25">
      <c r="A11" s="27">
        <v>131846</v>
      </c>
      <c r="B11" s="27">
        <v>649</v>
      </c>
      <c r="C11" s="27" t="str">
        <v>https://motorring.ru/product/9973</v>
      </c>
      <c r="D11" s="27" t="str">
        <v>-</v>
      </c>
      <c r="E11" s="27">
        <v>0</v>
      </c>
      <c r="F11" s="27" t="str">
        <v>-</v>
      </c>
      <c r="G11" s="27">
        <v>0</v>
      </c>
      <c r="H11" s="27" t="str">
        <v>-</v>
      </c>
      <c r="I11" s="27">
        <v>0</v>
      </c>
    </row>
    <row r="12" spans="1:9" s="27" customFormat="1" x14ac:dyDescent="0.25">
      <c r="A12" s="27">
        <v>131847</v>
      </c>
      <c r="B12" s="27">
        <v>659</v>
      </c>
      <c r="C12" s="27" t="str">
        <v>https://motorring.ru/product/9979-alyuminievaya-setka-serebristaya-120h25sm-srednyaya</v>
      </c>
      <c r="D12" s="27" t="str">
        <v>-</v>
      </c>
      <c r="E12" s="27">
        <v>0</v>
      </c>
      <c r="F12" s="27" t="str">
        <v>-</v>
      </c>
      <c r="G12" s="27">
        <v>0</v>
      </c>
      <c r="H12" s="27" t="str">
        <v>-</v>
      </c>
      <c r="I12" s="27">
        <v>0</v>
      </c>
    </row>
    <row r="13" spans="1:9" s="27" customFormat="1" x14ac:dyDescent="0.25">
      <c r="A13" s="27">
        <v>131848</v>
      </c>
      <c r="B13" s="27">
        <v>590</v>
      </c>
      <c r="C13" s="27" t="str">
        <v>https://motorring.ru/product/9974-alyuminievaya-setka-serebristaya-120h40sm-melkaya-yacheyka</v>
      </c>
      <c r="D13" s="27" t="str">
        <v>-</v>
      </c>
      <c r="E13" s="27">
        <v>0</v>
      </c>
      <c r="F13" s="27">
        <v>948</v>
      </c>
      <c r="G13" s="27" t="str">
        <v>https://33sport.ru/catalog/aksessuary_dlya_avtomobilya/setka_alyuminevaya_/setka_alyuminievaya_serebristaya_120kh40sm-_melkaya_yacheyka_-5kh10mm-_1255/</v>
      </c>
      <c r="H13" s="27" t="str">
        <v>-</v>
      </c>
      <c r="I13" s="27">
        <v>0</v>
      </c>
    </row>
    <row r="14" spans="1:9" s="27" customFormat="1" x14ac:dyDescent="0.25">
      <c r="A14" s="27">
        <v>131850</v>
      </c>
      <c r="B14" s="27">
        <v>459</v>
      </c>
      <c r="C14" s="27" t="str">
        <v>https://motorring.ru/product/9988</v>
      </c>
      <c r="D14" s="27" t="str">
        <v>-</v>
      </c>
      <c r="E14" s="27">
        <v>0</v>
      </c>
      <c r="F14" s="27" t="str">
        <v>-</v>
      </c>
      <c r="G14" s="27">
        <v>0</v>
      </c>
      <c r="H14" s="27" t="str">
        <v>-</v>
      </c>
      <c r="I14" s="27">
        <v>0</v>
      </c>
    </row>
    <row r="15" spans="1:9" s="27" customFormat="1" x14ac:dyDescent="0.25">
      <c r="A15" s="27">
        <v>131851</v>
      </c>
      <c r="B15" s="27">
        <v>490</v>
      </c>
      <c r="C15" s="27" t="str">
        <v>https://motorring.ru/product/9994</v>
      </c>
      <c r="D15" s="27" t="str">
        <v>-</v>
      </c>
      <c r="E15" s="27">
        <v>0</v>
      </c>
      <c r="F15" s="27" t="str">
        <v>-</v>
      </c>
      <c r="G15" s="27">
        <v>0</v>
      </c>
      <c r="H15" s="27" t="str">
        <v>-</v>
      </c>
      <c r="I15" s="27">
        <v>0</v>
      </c>
    </row>
    <row r="16" spans="1:9" s="27" customFormat="1" x14ac:dyDescent="0.25">
      <c r="A16" s="27">
        <v>131852</v>
      </c>
      <c r="B16" s="27">
        <v>390</v>
      </c>
      <c r="C16" s="27" t="str">
        <v>https://motorring.ru/product/9983-alyuminievaya-setka-chernaya-sal-man-100h25sm-melkaya</v>
      </c>
      <c r="D16" s="27">
        <v>441</v>
      </c>
      <c r="E16" s="27" t="str">
        <v>https://www.ozon.ru/product/setka-na-reshetku-radiatora-alyuminievaya-chernaya-25h100sm-yacheyka-10h5mm-748827345/</v>
      </c>
      <c r="F16" s="27" t="str">
        <v>-</v>
      </c>
      <c r="G16" s="27">
        <v>0</v>
      </c>
      <c r="H16" s="27">
        <v>630</v>
      </c>
      <c r="I16" s="27" t="str">
        <v>https://www.avtoall.ru/reshetka_radiatora_setka__chernaya__100h25sm__romb_5h10mm_-494434/</v>
      </c>
    </row>
    <row r="17" spans="1:9" s="27" customFormat="1" x14ac:dyDescent="0.25">
      <c r="A17" s="27">
        <v>131854</v>
      </c>
      <c r="B17" s="27" t="str">
        <v>не нашел</v>
      </c>
      <c r="C17" s="27">
        <v>0</v>
      </c>
      <c r="D17" s="27" t="str">
        <v>-</v>
      </c>
      <c r="E17" s="27">
        <v>0</v>
      </c>
      <c r="F17" s="27" t="str">
        <v>-</v>
      </c>
      <c r="G17" s="27">
        <v>0</v>
      </c>
      <c r="H17" s="27">
        <v>920</v>
      </c>
      <c r="I17" s="27" t="str">
        <v>https://www.avtoall.ru/reshetka_radiatora_setka__chernaya__100h40sm__romb_5h10mm_-496989/</v>
      </c>
    </row>
    <row r="18" spans="1:9" s="27" customFormat="1" x14ac:dyDescent="0.25">
      <c r="A18" s="27">
        <v>131855</v>
      </c>
      <c r="B18" s="27">
        <v>590</v>
      </c>
      <c r="C18" s="27" t="str">
        <v>https://motorring.ru/product/9990-alyuminievaya-setka-chernaya-sal-man-100h40sm-srednyaya</v>
      </c>
      <c r="D18" s="27" t="str">
        <v>-</v>
      </c>
      <c r="E18" s="27">
        <v>0</v>
      </c>
      <c r="F18" s="27" t="str">
        <v>-</v>
      </c>
      <c r="G18" s="27">
        <v>0</v>
      </c>
      <c r="H18" s="27">
        <v>900</v>
      </c>
      <c r="I18" s="27" t="str">
        <v>https://www.avtoall.ru/reshetka_radiatora_setka__chernaya__100h40sm__romb_8h16mm_-500794/</v>
      </c>
    </row>
    <row r="19" spans="1:9" s="27" customFormat="1" x14ac:dyDescent="0.25">
      <c r="A19" s="27">
        <v>131856</v>
      </c>
      <c r="B19" s="27">
        <v>590</v>
      </c>
      <c r="C19" s="27" t="str">
        <v>https://motorring.ru/product/9991-alyuminievaya-setka-chernaya-sal-man-100h50sm-srednyaya</v>
      </c>
      <c r="D19" s="27" t="str">
        <v>-</v>
      </c>
      <c r="E19" s="27">
        <v>0</v>
      </c>
      <c r="F19" s="27" t="str">
        <v>-</v>
      </c>
      <c r="G19" s="27">
        <v>0</v>
      </c>
      <c r="H19" s="27">
        <v>1130</v>
      </c>
      <c r="I19" s="27" t="str">
        <v>https://www.avtoall.ru/reshetka_radiatora_setka__chernaya__100h50sm__romb_8h16mm__grille_tuning-281713/</v>
      </c>
    </row>
    <row r="20" spans="1:9" s="27" customFormat="1" x14ac:dyDescent="0.25">
      <c r="A20" s="27">
        <v>131857</v>
      </c>
      <c r="B20" s="27">
        <v>490</v>
      </c>
      <c r="C20" s="27" t="str">
        <v>https://motorring.ru/product/9986-alyuminievaya-setka-chernaya-sal-man-120h25sm-melkaya</v>
      </c>
      <c r="D20" s="27" t="str">
        <v>-</v>
      </c>
      <c r="E20" s="27">
        <v>0</v>
      </c>
      <c r="F20" s="27" t="str">
        <v>-</v>
      </c>
      <c r="G20" s="27">
        <v>0</v>
      </c>
      <c r="H20" s="27" t="str">
        <v>-</v>
      </c>
      <c r="I20" s="27">
        <v>0</v>
      </c>
    </row>
    <row r="21" spans="1:9" s="27" customFormat="1" x14ac:dyDescent="0.25">
      <c r="A21" s="27">
        <v>131858</v>
      </c>
      <c r="B21" s="27">
        <v>390</v>
      </c>
      <c r="C21" s="27" t="str">
        <v>https://motorring.ru/product/9992-alyuminievaya-setka-chernaya-120h25sm-srednyaya-yacheyka</v>
      </c>
      <c r="D21" s="27" t="str">
        <v>-</v>
      </c>
      <c r="E21" s="27">
        <v>0</v>
      </c>
      <c r="F21" s="27" t="str">
        <v>-</v>
      </c>
      <c r="G21" s="27">
        <v>0</v>
      </c>
      <c r="H21" s="27">
        <v>630</v>
      </c>
      <c r="I21" s="27" t="str">
        <v>https://www.avtoall.ru/reshetka_radiatora_setka__chernaya__100h25sm__romb_8h16mm_-500793/</v>
      </c>
    </row>
    <row r="22" spans="1:9" s="27" customFormat="1" x14ac:dyDescent="0.25">
      <c r="A22" s="27">
        <v>131859</v>
      </c>
      <c r="B22" s="27">
        <v>549</v>
      </c>
      <c r="C22" s="27" t="str">
        <v>https://motorring.ru/product/9987-alyuminievaya-setka-chernaya-120h40sm-melkaya-yacheyka</v>
      </c>
      <c r="D22" s="27" t="str">
        <v>-</v>
      </c>
      <c r="E22" s="27">
        <v>0</v>
      </c>
      <c r="F22" s="27" t="str">
        <v>-</v>
      </c>
      <c r="G22" s="27">
        <v>0</v>
      </c>
      <c r="H22" s="27">
        <v>1080</v>
      </c>
      <c r="I22" s="27" t="str">
        <v>https://www.avtoall.ru/reshetka_radiatora_setka__chernaya__120h40sm__romb_5h10mm__grille_tuning-584970/</v>
      </c>
    </row>
    <row r="23" spans="1:9" s="27" customFormat="1" x14ac:dyDescent="0.25">
      <c r="A23" s="27">
        <v>131860</v>
      </c>
      <c r="B23" s="27">
        <v>549</v>
      </c>
      <c r="C23" s="27" t="str">
        <v>https://motorring.ru/product/9993-alyuminievaya-setka-chernaya-sal-man-120h40sm-srednyaya</v>
      </c>
      <c r="D23" s="27" t="str">
        <v>-</v>
      </c>
      <c r="E23" s="27">
        <v>0</v>
      </c>
      <c r="F23" s="27" t="str">
        <v>-</v>
      </c>
      <c r="G23" s="27">
        <v>0</v>
      </c>
      <c r="H23" s="27">
        <v>1080</v>
      </c>
      <c r="I23" s="27" t="str">
        <v>https://www.avtoall.ru/reshetka_radiatora_setka__chernaya__120h40sm__romb_8h16mm__grille_tuning-281698/</v>
      </c>
    </row>
    <row r="24" spans="1:9" s="27" customFormat="1" x14ac:dyDescent="0.25">
      <c r="A24" s="27">
        <v>143584</v>
      </c>
      <c r="B24" s="27">
        <v>0</v>
      </c>
      <c r="C24" s="27">
        <v>0</v>
      </c>
      <c r="D24" s="27" t="str">
        <v>-</v>
      </c>
      <c r="E24" s="27">
        <v>0</v>
      </c>
      <c r="F24" s="27" t="str">
        <v>-</v>
      </c>
      <c r="G24" s="27">
        <v>0</v>
      </c>
      <c r="H24" s="27" t="str">
        <v>-</v>
      </c>
      <c r="I24" s="27">
        <v>0</v>
      </c>
    </row>
    <row r="25" spans="1:9" s="27" customFormat="1" x14ac:dyDescent="0.25">
      <c r="A25" s="27">
        <v>143588</v>
      </c>
      <c r="B25" s="27">
        <v>0</v>
      </c>
      <c r="C25" s="27">
        <v>0</v>
      </c>
      <c r="D25" s="27" t="str">
        <v>-</v>
      </c>
      <c r="E25" s="27">
        <v>0</v>
      </c>
      <c r="F25" s="27" t="str">
        <v>-</v>
      </c>
      <c r="G25" s="27">
        <v>0</v>
      </c>
      <c r="H25" s="27" t="str">
        <v>-</v>
      </c>
      <c r="I25" s="27">
        <v>0</v>
      </c>
    </row>
    <row r="26" spans="1:9" s="27" customFormat="1" x14ac:dyDescent="0.25">
      <c r="A26" s="27">
        <v>143598</v>
      </c>
      <c r="B26" s="27">
        <v>0</v>
      </c>
      <c r="C26" s="27">
        <v>0</v>
      </c>
      <c r="D26" s="27" t="str">
        <v>-</v>
      </c>
      <c r="E26" s="27">
        <v>0</v>
      </c>
      <c r="F26" s="27" t="str">
        <v>-</v>
      </c>
      <c r="G26" s="27">
        <v>0</v>
      </c>
      <c r="H26" s="27" t="str">
        <v>-</v>
      </c>
      <c r="I26" s="27">
        <v>0</v>
      </c>
    </row>
    <row r="27" spans="1:9" s="27" customFormat="1" x14ac:dyDescent="0.25">
      <c r="A27" s="27">
        <v>143599</v>
      </c>
      <c r="B27" s="27">
        <v>0</v>
      </c>
      <c r="C27" s="27">
        <v>0</v>
      </c>
      <c r="D27" s="27" t="str">
        <v>-</v>
      </c>
      <c r="E27" s="27">
        <v>0</v>
      </c>
      <c r="F27" s="27" t="str">
        <v>-</v>
      </c>
      <c r="G27" s="27">
        <v>0</v>
      </c>
      <c r="H27" s="27" t="str">
        <v>-</v>
      </c>
      <c r="I27" s="27">
        <v>0</v>
      </c>
    </row>
    <row r="28" spans="1:9" s="27" customFormat="1" x14ac:dyDescent="0.25">
      <c r="A28" s="27">
        <v>143600</v>
      </c>
      <c r="B28" s="27">
        <v>0</v>
      </c>
      <c r="C28" s="27">
        <v>0</v>
      </c>
      <c r="D28" s="27" t="str">
        <v>-</v>
      </c>
      <c r="E28" s="27">
        <v>0</v>
      </c>
      <c r="F28" s="27" t="str">
        <v>-</v>
      </c>
      <c r="G28" s="27">
        <v>0</v>
      </c>
      <c r="H28" s="27" t="str">
        <v>-</v>
      </c>
      <c r="I28" s="27">
        <v>0</v>
      </c>
    </row>
    <row r="29" spans="1:9" s="27" customFormat="1" x14ac:dyDescent="0.25">
      <c r="A29" s="27">
        <v>143604</v>
      </c>
      <c r="B29" s="27">
        <v>1590</v>
      </c>
      <c r="C29" s="27" t="str">
        <v>https://motorring.ru/product/1060-deflektory-vetroviki-dverey-5-dvernuyu-lada-niva-4h4</v>
      </c>
      <c r="D29" s="27">
        <v>1513</v>
      </c>
      <c r="E29" s="27" t="str">
        <v>https://www.ozon.ru/product/deflektory-bokovyh-okon-dlya-lada-niva-vaz-21314-5-ti-dvernyy-1993-2022-vetroviki-na-1542813306/</v>
      </c>
      <c r="F29" s="27">
        <v>1290</v>
      </c>
      <c r="G29" s="27" t="str">
        <v>https://33sport.ru/catalog/vneshniy_tyuning_vaz/vneshniy_tyuning_niva_4kh4/deflektory_na_dveri_dlya_lada_niva_4x4/deflektor_na_dveri_-cobra_tuning-_dlya_5-ti_dvernoy_niva/</v>
      </c>
      <c r="H29" s="27" t="str">
        <v>-</v>
      </c>
      <c r="I29" s="27">
        <v>0</v>
      </c>
    </row>
    <row r="30" spans="1:9" s="27" customFormat="1" x14ac:dyDescent="0.25">
      <c r="A30" s="27">
        <v>143609</v>
      </c>
      <c r="B30" s="27">
        <v>0</v>
      </c>
      <c r="C30" s="27">
        <v>0</v>
      </c>
      <c r="D30" s="27" t="str">
        <v>-</v>
      </c>
      <c r="E30" s="27">
        <v>0</v>
      </c>
      <c r="F30" s="27" t="str">
        <v>-</v>
      </c>
      <c r="G30" s="27">
        <v>0</v>
      </c>
      <c r="H30" s="27" t="str">
        <v>-</v>
      </c>
      <c r="I30" s="27">
        <v>0</v>
      </c>
    </row>
    <row r="31" spans="1:9" s="27" customFormat="1" x14ac:dyDescent="0.25">
      <c r="A31" s="27">
        <v>143633</v>
      </c>
      <c r="B31" s="27">
        <v>0</v>
      </c>
      <c r="C31" s="27">
        <v>0</v>
      </c>
      <c r="D31" s="27" t="str">
        <v>-</v>
      </c>
      <c r="E31" s="27">
        <v>0</v>
      </c>
      <c r="F31" s="27" t="str">
        <v>-</v>
      </c>
      <c r="G31" s="27">
        <v>0</v>
      </c>
      <c r="H31" s="27" t="str">
        <v>-</v>
      </c>
      <c r="I31" s="27">
        <v>0</v>
      </c>
    </row>
    <row r="32" spans="1:9" s="27" customFormat="1" x14ac:dyDescent="0.25">
      <c r="A32" s="27">
        <v>143638</v>
      </c>
      <c r="B32" s="27">
        <v>1190</v>
      </c>
      <c r="C32" s="27" t="str">
        <v>https://motorring.ru/product/10040-deflektor-kozyrek-zadnego-okna-lada-vesta-sedan</v>
      </c>
      <c r="D32" s="27">
        <v>1132</v>
      </c>
      <c r="E32" s="27" t="str">
        <v>https://www.ozon.ru/product/anv-air-window-deflector-10-pcs-1696531700/</v>
      </c>
      <c r="F32" s="27">
        <v>940</v>
      </c>
      <c r="G32" s="27" t="str">
        <v>https://www.car-team.ru/collection/vesta/product/deflektor-kozyrek-zadnego-stekla-na-lada-vesta-sedan</v>
      </c>
      <c r="H32" s="27" t="str">
        <v>-</v>
      </c>
      <c r="I32" s="27">
        <v>0</v>
      </c>
    </row>
    <row r="33" spans="1:9" s="27" customFormat="1" x14ac:dyDescent="0.25">
      <c r="A33" s="27">
        <v>143634</v>
      </c>
      <c r="B33" s="27">
        <v>0</v>
      </c>
      <c r="C33" s="27">
        <v>0</v>
      </c>
      <c r="D33" s="27" t="str">
        <v>-</v>
      </c>
      <c r="E33" s="27">
        <v>0</v>
      </c>
      <c r="F33" s="27" t="str">
        <v>-</v>
      </c>
      <c r="G33" s="27">
        <v>0</v>
      </c>
      <c r="H33" s="27" t="str">
        <v>-</v>
      </c>
      <c r="I33" s="27">
        <v>0</v>
      </c>
    </row>
    <row r="34" spans="1:9" s="27" customFormat="1" x14ac:dyDescent="0.25">
      <c r="A34" s="27">
        <v>143635</v>
      </c>
      <c r="B34" s="27">
        <v>0</v>
      </c>
      <c r="C34" s="27">
        <v>0</v>
      </c>
      <c r="D34" s="27" t="str">
        <v>-</v>
      </c>
      <c r="E34" s="27">
        <v>0</v>
      </c>
      <c r="F34" s="27" t="str">
        <v>-</v>
      </c>
      <c r="G34" s="27">
        <v>0</v>
      </c>
      <c r="H34" s="27" t="str">
        <v>-</v>
      </c>
      <c r="I34" s="27">
        <v>0</v>
      </c>
    </row>
    <row r="35" spans="1:9" s="27" customFormat="1" x14ac:dyDescent="0.25">
      <c r="A35" s="27">
        <v>143641</v>
      </c>
      <c r="B35" s="27">
        <v>0</v>
      </c>
      <c r="C35" s="27">
        <v>0</v>
      </c>
      <c r="D35" s="27" t="str">
        <v>-</v>
      </c>
      <c r="E35" s="27">
        <v>0</v>
      </c>
      <c r="F35" s="27" t="str">
        <v>-</v>
      </c>
      <c r="G35" s="27">
        <v>0</v>
      </c>
      <c r="H35" s="27" t="str">
        <v>-</v>
      </c>
      <c r="I35" s="27">
        <v>0</v>
      </c>
    </row>
    <row r="36" spans="1:9" s="27" customFormat="1" x14ac:dyDescent="0.25">
      <c r="A36" s="27">
        <v>143593</v>
      </c>
      <c r="B36" s="27">
        <v>0</v>
      </c>
      <c r="C36" s="27">
        <v>0</v>
      </c>
      <c r="D36" s="27" t="str">
        <v>-</v>
      </c>
      <c r="E36" s="27">
        <v>0</v>
      </c>
      <c r="F36" s="27" t="str">
        <v>-</v>
      </c>
      <c r="G36" s="27">
        <v>0</v>
      </c>
      <c r="H36" s="27" t="str">
        <v>-</v>
      </c>
      <c r="I36" s="27">
        <v>0</v>
      </c>
    </row>
    <row r="37" spans="1:9" s="27" customFormat="1" x14ac:dyDescent="0.25">
      <c r="A37" s="27">
        <v>143594</v>
      </c>
      <c r="B37" s="27">
        <v>0</v>
      </c>
      <c r="C37" s="27">
        <v>0</v>
      </c>
      <c r="D37" s="27" t="str">
        <v>-</v>
      </c>
      <c r="E37" s="27">
        <v>0</v>
      </c>
      <c r="F37" s="27" t="str">
        <v>-</v>
      </c>
      <c r="G37" s="27">
        <v>0</v>
      </c>
      <c r="H37" s="27" t="str">
        <v>-</v>
      </c>
      <c r="I37" s="27">
        <v>0</v>
      </c>
    </row>
    <row r="38" spans="1:9" s="27" customFormat="1" x14ac:dyDescent="0.25">
      <c r="A38" s="27">
        <v>143595</v>
      </c>
      <c r="B38" s="27">
        <v>1690</v>
      </c>
      <c r="C38" s="27" t="str">
        <v>https://motorring.ru/product/8907-deflektor-muhoboyka-korotkiy-kapot-lada-vesta</v>
      </c>
      <c r="D38" s="27">
        <v>1475</v>
      </c>
      <c r="E38" s="27" t="str">
        <v>https://www.ozon.ru/product/deflektor-kapota-evro-krepezh-lada-vesta-2015-lada-vesta-527441813/</v>
      </c>
      <c r="F38" s="27">
        <v>1249</v>
      </c>
      <c r="G38" s="27" t="str">
        <v>https://33sport.ru/catalog/vneshniy_tyuning_vaz/vneshniy_tyuning_lada_vesta/deflektory_lada_vesta/deflektor_korotkiy_-nakladka-_kapota_na_lada_vesta/</v>
      </c>
      <c r="H38" s="27" t="str">
        <v>-</v>
      </c>
      <c r="I38" s="27">
        <v>0</v>
      </c>
    </row>
    <row r="39" spans="1:9" s="27" customFormat="1" x14ac:dyDescent="0.25">
      <c r="A39" s="27">
        <v>143676</v>
      </c>
      <c r="B39" s="27">
        <v>0</v>
      </c>
      <c r="C39" s="27">
        <v>0</v>
      </c>
      <c r="D39" s="27" t="str">
        <v>-</v>
      </c>
      <c r="E39" s="27">
        <v>0</v>
      </c>
      <c r="F39" s="27" t="str">
        <v>-</v>
      </c>
      <c r="G39" s="27">
        <v>0</v>
      </c>
      <c r="H39" s="27" t="str">
        <v>-</v>
      </c>
      <c r="I39" s="27">
        <v>0</v>
      </c>
    </row>
    <row r="40" spans="1:9" s="27" customFormat="1" x14ac:dyDescent="0.25">
      <c r="A40" s="27">
        <v>143678</v>
      </c>
      <c r="B40" s="27" t="str">
        <v>не то</v>
      </c>
      <c r="C40" s="27">
        <v>0</v>
      </c>
      <c r="D40" s="27" t="str">
        <v>-</v>
      </c>
      <c r="E40" s="27">
        <v>0</v>
      </c>
      <c r="F40" s="27" t="str">
        <v>-</v>
      </c>
      <c r="G40" s="27">
        <v>0</v>
      </c>
      <c r="H40" s="27" t="str">
        <v>-</v>
      </c>
      <c r="I40" s="27">
        <v>0</v>
      </c>
    </row>
    <row r="41" spans="1:9" s="27" customFormat="1" x14ac:dyDescent="0.25">
      <c r="A41" s="27">
        <v>143677</v>
      </c>
      <c r="B41" s="27">
        <v>1390</v>
      </c>
      <c r="C41" s="27" t="str">
        <v>https://motorring.ru/product/32162-deflektory-bokovyh-okon-dlya-lada-vesta-sedan</v>
      </c>
      <c r="D41" s="27">
        <v>1483</v>
      </c>
      <c r="E41" s="27" t="str">
        <v>https://www.ozon.ru/product/deflektory-bokovyh-okon-dlya-lada-vesta-lada-vesta-2015-2022-sedan-vetroviki-na-dveri-avtomobilya-1521828426/</v>
      </c>
      <c r="F41" s="27">
        <v>1390</v>
      </c>
      <c r="G41" s="27" t="str">
        <v>https://33sport.ru/catalog/vneshniy_tyuning_vaz/vneshniy_tyuning_lada_vesta/deflektory_lada_vesta/deflektory_stekol_-vetroviki-_-cobra_tuning-_na_lada_vesta_sedan/</v>
      </c>
      <c r="H41" s="27" t="str">
        <v>-</v>
      </c>
      <c r="I41" s="27">
        <v>0</v>
      </c>
    </row>
    <row r="42" spans="1:9" s="27" customFormat="1" x14ac:dyDescent="0.25">
      <c r="A42" s="27">
        <v>143675</v>
      </c>
      <c r="B42" s="27">
        <v>1090</v>
      </c>
      <c r="C42" s="27" t="str">
        <v>https://motorring.ru/product/8692-deflektory-vetroviki-dverey-chevrolet-niva</v>
      </c>
      <c r="D42" s="27">
        <v>914</v>
      </c>
      <c r="E42" s="27" t="str">
        <v>https://www.ozon.ru/product/deflektory-okon-azard-dlya-chevrolet-niva-1998-n-v-nakladnye-4-sht-286351368/</v>
      </c>
      <c r="F42" s="27" t="str">
        <v>-</v>
      </c>
      <c r="G42" s="27">
        <v>0</v>
      </c>
      <c r="H42" s="27" t="str">
        <v>-</v>
      </c>
      <c r="I42" s="27">
        <v>0</v>
      </c>
    </row>
    <row r="43" spans="1:9" s="27" customFormat="1" x14ac:dyDescent="0.25">
      <c r="A43" s="27">
        <v>143679</v>
      </c>
      <c r="B43" s="27">
        <v>0</v>
      </c>
      <c r="C43" s="27">
        <v>0</v>
      </c>
      <c r="D43" s="27" t="str">
        <v>-</v>
      </c>
      <c r="E43" s="27">
        <v>0</v>
      </c>
      <c r="F43" s="27" t="str">
        <v>-</v>
      </c>
      <c r="G43" s="27">
        <v>0</v>
      </c>
      <c r="H43" s="27" t="str">
        <v>-</v>
      </c>
      <c r="I43" s="27">
        <v>0</v>
      </c>
    </row>
    <row r="44" spans="1:9" s="27" customFormat="1" x14ac:dyDescent="0.25">
      <c r="A44" s="27">
        <v>143680</v>
      </c>
      <c r="B44" s="27">
        <v>0</v>
      </c>
      <c r="C44" s="27">
        <v>0</v>
      </c>
      <c r="D44" s="27" t="str">
        <v>-</v>
      </c>
      <c r="E44" s="27">
        <v>0</v>
      </c>
      <c r="F44" s="27" t="str">
        <v>-</v>
      </c>
      <c r="G44" s="27">
        <v>0</v>
      </c>
      <c r="H44" s="27" t="str">
        <v>-</v>
      </c>
      <c r="I44" s="27">
        <v>0</v>
      </c>
    </row>
    <row r="45" spans="1:9" s="27" customFormat="1" x14ac:dyDescent="0.25">
      <c r="A45" s="27">
        <v>143681</v>
      </c>
      <c r="B45" s="27">
        <v>0</v>
      </c>
      <c r="C45" s="27">
        <v>0</v>
      </c>
      <c r="D45" s="27" t="str">
        <v>-</v>
      </c>
      <c r="E45" s="27">
        <v>0</v>
      </c>
      <c r="F45" s="27" t="str">
        <v>-</v>
      </c>
      <c r="G45" s="27">
        <v>0</v>
      </c>
      <c r="H45" s="27" t="str">
        <v>-</v>
      </c>
      <c r="I45" s="27">
        <v>0</v>
      </c>
    </row>
    <row r="46" spans="1:9" s="27" customFormat="1" x14ac:dyDescent="0.25">
      <c r="A46" s="27">
        <v>143682</v>
      </c>
      <c r="B46" s="27">
        <v>0</v>
      </c>
      <c r="C46" s="27">
        <v>0</v>
      </c>
      <c r="D46" s="27" t="str">
        <v>-</v>
      </c>
      <c r="E46" s="27">
        <v>0</v>
      </c>
      <c r="F46" s="27" t="str">
        <v>-</v>
      </c>
      <c r="G46" s="27">
        <v>0</v>
      </c>
      <c r="H46" s="27" t="str">
        <v>-</v>
      </c>
      <c r="I46" s="27">
        <v>0</v>
      </c>
    </row>
    <row r="47" spans="1:9" s="27" customFormat="1" x14ac:dyDescent="0.25">
      <c r="A47" s="27">
        <v>143687</v>
      </c>
      <c r="B47" s="27">
        <v>0</v>
      </c>
      <c r="C47" s="27">
        <v>0</v>
      </c>
      <c r="D47" s="27" t="str">
        <v>-</v>
      </c>
      <c r="E47" s="27">
        <v>0</v>
      </c>
      <c r="F47" s="27" t="str">
        <v>-</v>
      </c>
      <c r="G47" s="27">
        <v>0</v>
      </c>
      <c r="H47" s="27" t="str">
        <v>-</v>
      </c>
      <c r="I47" s="27">
        <v>0</v>
      </c>
    </row>
    <row r="48" spans="1:9" s="27" customFormat="1" x14ac:dyDescent="0.25">
      <c r="A48" s="27">
        <v>157890</v>
      </c>
      <c r="B48" s="27">
        <v>0</v>
      </c>
      <c r="C48" s="27">
        <v>0</v>
      </c>
      <c r="D48" s="27" t="str">
        <v>-</v>
      </c>
      <c r="E48" s="27">
        <v>0</v>
      </c>
      <c r="F48" s="27" t="str">
        <v>-</v>
      </c>
      <c r="G48" s="27">
        <v>0</v>
      </c>
      <c r="H48" s="27" t="str">
        <v>-</v>
      </c>
      <c r="I48" s="27">
        <v>0</v>
      </c>
    </row>
    <row r="49" spans="1:9" s="27" customFormat="1" x14ac:dyDescent="0.25">
      <c r="A49" s="27">
        <v>157910</v>
      </c>
      <c r="B49" s="27">
        <v>2290</v>
      </c>
      <c r="C49" s="27" t="str">
        <v>https://motorring.ru/product/35598-nakladka-kozyrek-delta-lobovoe-steklo-dlya-lada-4h4-niva</v>
      </c>
      <c r="D49" s="27" t="str">
        <v>-</v>
      </c>
      <c r="E49" s="27">
        <v>0</v>
      </c>
      <c r="F49" s="27">
        <v>2015</v>
      </c>
      <c r="G49" s="27" t="str">
        <v>https://komponentavto.ru/catalog/kuzov/diffuzory_nakladki_moldingi/kozyrek_solntsezashchitnyy_peredniy_niva_4kh4</v>
      </c>
      <c r="H49" s="27" t="str">
        <v>-</v>
      </c>
      <c r="I49" s="27">
        <v>0</v>
      </c>
    </row>
    <row r="50" spans="1:9" s="27" customFormat="1" x14ac:dyDescent="0.25">
      <c r="A50" s="27">
        <v>274687</v>
      </c>
      <c r="B50" s="27">
        <v>0</v>
      </c>
      <c r="C50" s="27">
        <v>0</v>
      </c>
      <c r="D50" s="27" t="str">
        <v>-</v>
      </c>
      <c r="E50" s="27">
        <v>0</v>
      </c>
      <c r="F50" s="27" t="str">
        <v>-</v>
      </c>
      <c r="G50" s="27">
        <v>0</v>
      </c>
      <c r="H50" s="27" t="str">
        <v>-</v>
      </c>
      <c r="I50" s="27">
        <v>0</v>
      </c>
    </row>
    <row r="51" spans="1:9" s="27" customFormat="1" x14ac:dyDescent="0.25">
      <c r="A51" s="27">
        <v>201309</v>
      </c>
      <c r="B51" s="27">
        <v>0</v>
      </c>
      <c r="C51" s="27">
        <v>0</v>
      </c>
      <c r="D51" s="27" t="str">
        <v>-</v>
      </c>
      <c r="E51" s="27">
        <v>0</v>
      </c>
      <c r="F51" s="27" t="str">
        <v>-</v>
      </c>
      <c r="G51" s="27">
        <v>0</v>
      </c>
      <c r="H51" s="27" t="str">
        <v>-</v>
      </c>
      <c r="I51" s="27">
        <v>0</v>
      </c>
    </row>
    <row r="52" spans="1:9" s="55" customFormat="1" x14ac:dyDescent="0.25">
      <c r="A52" s="55" t="s">
        <v>180</v>
      </c>
    </row>
    <row r="53" spans="1:9" s="27" customFormat="1" x14ac:dyDescent="0.25">
      <c r="A53" t="str" cm="1">
        <f t="array" ref="A53:A54">_xlfn._xlws.FILTER(Торг!$B:$B,Торг!$B:$B&lt;&gt;"")</f>
        <v>ID</v>
      </c>
      <c r="B53" t="str" cm="1">
        <f t="array" ref="B53:C54">_xlfn._xlws.FILTER(Торг!AB:AC,Торг!$B:$B&lt;&gt;"")</f>
        <v>MR</v>
      </c>
      <c r="C53" t="str">
        <v>MR</v>
      </c>
      <c r="D53" cm="1">
        <f t="array" ref="D53:E54">_xlfn._xlws.FILTER(Торг!AG:AH,Торг!$B:$B&lt;&gt;"")</f>
        <v>0</v>
      </c>
      <c r="E53">
        <v>0</v>
      </c>
      <c r="F53" cm="1">
        <f t="array" ref="F53:G54">_xlfn._xlws.FILTER(Торг!AL:AM,Торг!$B:$B&lt;&gt;"")</f>
        <v>0</v>
      </c>
      <c r="G53" s="27">
        <v>0</v>
      </c>
      <c r="H53" cm="1">
        <f t="array" ref="H53:I54">_xlfn._xlws.FILTER(Торг!AQ:AR,Торг!$B:$B&lt;&gt;"")</f>
        <v>0</v>
      </c>
      <c r="I53" s="27">
        <v>0</v>
      </c>
    </row>
    <row r="54" spans="1:9" x14ac:dyDescent="0.25">
      <c r="A54">
        <v>204798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3AB65-D40D-4951-82FC-E7E37CE84FC5}">
  <sheetPr codeName="Лист7">
    <tabColor rgb="FF92D050"/>
  </sheetPr>
  <dimension ref="A1:X55"/>
  <sheetViews>
    <sheetView workbookViewId="0"/>
  </sheetViews>
  <sheetFormatPr defaultRowHeight="15" x14ac:dyDescent="0.25"/>
  <cols>
    <col min="1" max="2" width="11.140625" style="27" bestFit="1" customWidth="1"/>
    <col min="3" max="3" width="13.28515625" style="27" bestFit="1" customWidth="1"/>
    <col min="4" max="4" width="81.140625" style="27" bestFit="1" customWidth="1"/>
    <col min="5" max="9" width="11.140625" style="27" bestFit="1" customWidth="1"/>
    <col min="10" max="20" width="12.140625" style="27" bestFit="1" customWidth="1"/>
    <col min="21" max="24" width="12.140625" style="27" customWidth="1"/>
    <col min="25" max="16384" width="9.140625" style="27"/>
  </cols>
  <sheetData>
    <row r="1" spans="1:24" x14ac:dyDescent="0.25">
      <c r="A1" s="48" t="s">
        <v>141</v>
      </c>
      <c r="B1" s="48" t="s">
        <v>142</v>
      </c>
      <c r="C1" s="48" t="s">
        <v>143</v>
      </c>
      <c r="D1" s="48" t="s">
        <v>144</v>
      </c>
      <c r="E1" s="48" t="s">
        <v>145</v>
      </c>
      <c r="F1" s="48" t="s">
        <v>146</v>
      </c>
      <c r="G1" s="48" t="s">
        <v>147</v>
      </c>
      <c r="H1" s="48" t="s">
        <v>148</v>
      </c>
      <c r="I1" s="48" t="s">
        <v>149</v>
      </c>
      <c r="J1" s="48" t="s">
        <v>150</v>
      </c>
      <c r="K1" s="48" t="s">
        <v>151</v>
      </c>
      <c r="L1" s="48" t="s">
        <v>152</v>
      </c>
      <c r="M1" s="48" t="s">
        <v>153</v>
      </c>
      <c r="N1" s="48" t="s">
        <v>154</v>
      </c>
      <c r="O1" s="48" t="s">
        <v>155</v>
      </c>
      <c r="P1" s="48" t="s">
        <v>156</v>
      </c>
      <c r="Q1" s="48" t="s">
        <v>157</v>
      </c>
      <c r="R1" s="48" t="s">
        <v>158</v>
      </c>
      <c r="S1" s="48" t="s">
        <v>159</v>
      </c>
      <c r="T1" s="48" t="s">
        <v>160</v>
      </c>
      <c r="U1" t="s">
        <v>176</v>
      </c>
      <c r="V1" t="s">
        <v>177</v>
      </c>
      <c r="W1" t="s">
        <v>178</v>
      </c>
      <c r="X1" t="s">
        <v>179</v>
      </c>
    </row>
    <row r="2" spans="1:24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</row>
    <row r="3" spans="1:24" x14ac:dyDescent="0.25">
      <c r="A3"/>
      <c r="B3"/>
      <c r="C3"/>
      <c r="D3"/>
      <c r="E3"/>
      <c r="F3"/>
      <c r="G3"/>
      <c r="H3"/>
      <c r="I3"/>
      <c r="J3"/>
      <c r="K3">
        <v>0.54</v>
      </c>
      <c r="L3">
        <v>0</v>
      </c>
      <c r="M3">
        <v>0</v>
      </c>
      <c r="N3">
        <v>0</v>
      </c>
      <c r="O3">
        <v>0.54</v>
      </c>
      <c r="P3"/>
      <c r="Q3"/>
      <c r="R3"/>
      <c r="S3"/>
      <c r="T3"/>
      <c r="U3"/>
      <c r="V3"/>
      <c r="W3"/>
      <c r="X3"/>
    </row>
    <row r="4" spans="1:24" x14ac:dyDescent="0.25">
      <c r="A4" t="s">
        <v>161</v>
      </c>
      <c r="B4" t="s">
        <v>162</v>
      </c>
      <c r="C4" t="s">
        <v>163</v>
      </c>
      <c r="D4" t="s">
        <v>164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4" x14ac:dyDescent="0.25">
      <c r="A5"/>
      <c r="B5" t="s">
        <v>4</v>
      </c>
      <c r="C5" t="s">
        <v>3</v>
      </c>
      <c r="D5" t="s">
        <v>3</v>
      </c>
      <c r="E5">
        <v>2</v>
      </c>
      <c r="F5">
        <v>2</v>
      </c>
      <c r="G5">
        <v>3</v>
      </c>
      <c r="H5">
        <v>3</v>
      </c>
      <c r="I5">
        <v>4</v>
      </c>
      <c r="J5">
        <v>4</v>
      </c>
      <c r="K5" t="s">
        <v>3</v>
      </c>
      <c r="L5">
        <v>2</v>
      </c>
      <c r="M5">
        <v>3</v>
      </c>
      <c r="N5">
        <v>4</v>
      </c>
      <c r="O5"/>
      <c r="P5"/>
      <c r="Q5"/>
      <c r="R5"/>
      <c r="S5"/>
      <c r="T5"/>
      <c r="U5"/>
      <c r="V5"/>
      <c r="W5"/>
      <c r="X5"/>
    </row>
    <row r="6" spans="1:24" x14ac:dyDescent="0.25">
      <c r="A6" t="s">
        <v>44</v>
      </c>
      <c r="B6">
        <v>131836</v>
      </c>
      <c r="C6">
        <v>4490</v>
      </c>
      <c r="D6" t="s">
        <v>110</v>
      </c>
      <c r="E6"/>
      <c r="F6"/>
      <c r="G6"/>
      <c r="H6"/>
      <c r="I6"/>
      <c r="J6"/>
      <c r="K6" t="s">
        <v>165</v>
      </c>
      <c r="L6" t="s">
        <v>165</v>
      </c>
      <c r="M6" t="s">
        <v>165</v>
      </c>
      <c r="N6" t="s">
        <v>165</v>
      </c>
      <c r="O6" t="b">
        <v>1</v>
      </c>
      <c r="P6"/>
      <c r="Q6"/>
      <c r="R6"/>
      <c r="S6"/>
      <c r="T6"/>
      <c r="U6"/>
      <c r="V6"/>
      <c r="W6"/>
      <c r="X6"/>
    </row>
    <row r="7" spans="1:24" x14ac:dyDescent="0.25">
      <c r="A7" t="s">
        <v>44</v>
      </c>
      <c r="B7">
        <v>131837</v>
      </c>
      <c r="C7">
        <v>459</v>
      </c>
      <c r="D7" t="s">
        <v>111</v>
      </c>
      <c r="E7"/>
      <c r="F7"/>
      <c r="G7"/>
      <c r="H7"/>
      <c r="I7"/>
      <c r="J7"/>
      <c r="K7" t="s">
        <v>165</v>
      </c>
      <c r="L7" t="s">
        <v>165</v>
      </c>
      <c r="M7" t="s">
        <v>165</v>
      </c>
      <c r="N7" t="s">
        <v>165</v>
      </c>
      <c r="O7" t="b">
        <v>1</v>
      </c>
      <c r="P7"/>
      <c r="Q7"/>
      <c r="R7"/>
      <c r="S7"/>
      <c r="T7"/>
      <c r="U7"/>
      <c r="V7"/>
      <c r="W7"/>
      <c r="X7"/>
    </row>
    <row r="8" spans="1:24" x14ac:dyDescent="0.25">
      <c r="A8" t="s">
        <v>44</v>
      </c>
      <c r="B8">
        <v>131839</v>
      </c>
      <c r="C8">
        <v>390</v>
      </c>
      <c r="D8" t="s">
        <v>118</v>
      </c>
      <c r="E8"/>
      <c r="F8"/>
      <c r="G8"/>
      <c r="H8"/>
      <c r="I8"/>
      <c r="J8"/>
      <c r="K8" t="s">
        <v>165</v>
      </c>
      <c r="L8" t="s">
        <v>165</v>
      </c>
      <c r="M8" t="s">
        <v>165</v>
      </c>
      <c r="N8" t="s">
        <v>165</v>
      </c>
      <c r="O8" t="b">
        <v>1</v>
      </c>
      <c r="P8"/>
      <c r="Q8"/>
      <c r="R8"/>
      <c r="S8"/>
      <c r="T8"/>
      <c r="U8"/>
      <c r="V8"/>
      <c r="W8"/>
      <c r="X8"/>
    </row>
    <row r="9" spans="1:24" x14ac:dyDescent="0.25">
      <c r="A9" t="s">
        <v>44</v>
      </c>
      <c r="B9">
        <v>131840</v>
      </c>
      <c r="C9">
        <v>290</v>
      </c>
      <c r="D9" t="s">
        <v>119</v>
      </c>
      <c r="E9"/>
      <c r="F9"/>
      <c r="G9"/>
      <c r="H9"/>
      <c r="I9"/>
      <c r="J9"/>
      <c r="K9" t="s">
        <v>165</v>
      </c>
      <c r="L9" t="s">
        <v>165</v>
      </c>
      <c r="M9" t="s">
        <v>165</v>
      </c>
      <c r="N9" t="s">
        <v>165</v>
      </c>
      <c r="O9" t="b">
        <v>1</v>
      </c>
      <c r="P9"/>
      <c r="Q9"/>
      <c r="R9"/>
      <c r="S9"/>
      <c r="T9"/>
      <c r="U9"/>
      <c r="V9"/>
      <c r="W9"/>
      <c r="X9"/>
    </row>
    <row r="10" spans="1:24" x14ac:dyDescent="0.25">
      <c r="A10" t="s">
        <v>44</v>
      </c>
      <c r="B10">
        <v>131841</v>
      </c>
      <c r="C10" t="s">
        <v>121</v>
      </c>
      <c r="D10" t="s">
        <v>120</v>
      </c>
      <c r="E10"/>
      <c r="F10"/>
      <c r="G10"/>
      <c r="H10"/>
      <c r="I10"/>
      <c r="J10"/>
      <c r="K10" t="s">
        <v>165</v>
      </c>
      <c r="L10" t="s">
        <v>165</v>
      </c>
      <c r="M10" t="s">
        <v>165</v>
      </c>
      <c r="N10" t="s">
        <v>165</v>
      </c>
      <c r="O10" t="b">
        <v>1</v>
      </c>
      <c r="P10"/>
      <c r="Q10"/>
      <c r="R10"/>
      <c r="S10"/>
      <c r="T10"/>
      <c r="U10"/>
      <c r="V10"/>
      <c r="W10"/>
      <c r="X10"/>
    </row>
    <row r="11" spans="1:24" x14ac:dyDescent="0.25">
      <c r="A11" t="s">
        <v>44</v>
      </c>
      <c r="B11">
        <v>131842</v>
      </c>
      <c r="C11">
        <v>429</v>
      </c>
      <c r="D11" t="s">
        <v>122</v>
      </c>
      <c r="E11"/>
      <c r="F11"/>
      <c r="G11"/>
      <c r="H11"/>
      <c r="I11"/>
      <c r="J11"/>
      <c r="K11" t="s">
        <v>165</v>
      </c>
      <c r="L11" t="s">
        <v>165</v>
      </c>
      <c r="M11" t="s">
        <v>165</v>
      </c>
      <c r="N11" t="s">
        <v>165</v>
      </c>
      <c r="O11" t="b">
        <v>1</v>
      </c>
      <c r="P11"/>
      <c r="Q11"/>
      <c r="R11"/>
      <c r="S11"/>
      <c r="T11"/>
      <c r="U11"/>
      <c r="V11"/>
      <c r="W11"/>
      <c r="X11"/>
    </row>
    <row r="12" spans="1:24" x14ac:dyDescent="0.25">
      <c r="A12" t="s">
        <v>44</v>
      </c>
      <c r="B12">
        <v>131843</v>
      </c>
      <c r="C12">
        <v>549</v>
      </c>
      <c r="D12" t="s">
        <v>123</v>
      </c>
      <c r="E12"/>
      <c r="F12"/>
      <c r="G12"/>
      <c r="H12"/>
      <c r="I12"/>
      <c r="J12"/>
      <c r="K12" t="s">
        <v>165</v>
      </c>
      <c r="L12" t="s">
        <v>165</v>
      </c>
      <c r="M12" t="s">
        <v>165</v>
      </c>
      <c r="N12" t="s">
        <v>165</v>
      </c>
      <c r="O12" t="b">
        <v>1</v>
      </c>
      <c r="P12"/>
      <c r="Q12"/>
      <c r="R12"/>
      <c r="S12"/>
      <c r="T12"/>
      <c r="U12"/>
      <c r="V12"/>
      <c r="W12"/>
      <c r="X12"/>
    </row>
    <row r="13" spans="1:24" x14ac:dyDescent="0.25">
      <c r="A13" t="s">
        <v>44</v>
      </c>
      <c r="B13">
        <v>131844</v>
      </c>
      <c r="C13">
        <v>549</v>
      </c>
      <c r="D13" t="s">
        <v>124</v>
      </c>
      <c r="E13"/>
      <c r="F13"/>
      <c r="G13"/>
      <c r="H13"/>
      <c r="I13"/>
      <c r="J13"/>
      <c r="K13" t="s">
        <v>165</v>
      </c>
      <c r="L13" t="s">
        <v>165</v>
      </c>
      <c r="M13" t="s">
        <v>165</v>
      </c>
      <c r="N13" t="s">
        <v>165</v>
      </c>
      <c r="O13" t="b">
        <v>1</v>
      </c>
      <c r="P13"/>
      <c r="Q13"/>
      <c r="R13"/>
      <c r="S13"/>
      <c r="T13"/>
      <c r="U13"/>
      <c r="V13"/>
      <c r="W13"/>
      <c r="X13"/>
    </row>
    <row r="14" spans="1:24" x14ac:dyDescent="0.25">
      <c r="A14" t="s">
        <v>44</v>
      </c>
      <c r="B14">
        <v>131845</v>
      </c>
      <c r="C14">
        <v>790</v>
      </c>
      <c r="D14" t="s">
        <v>112</v>
      </c>
      <c r="E14"/>
      <c r="F14"/>
      <c r="G14"/>
      <c r="H14"/>
      <c r="I14"/>
      <c r="J14"/>
      <c r="K14" t="s">
        <v>165</v>
      </c>
      <c r="L14" t="s">
        <v>165</v>
      </c>
      <c r="M14" t="s">
        <v>165</v>
      </c>
      <c r="N14" t="s">
        <v>165</v>
      </c>
      <c r="O14" t="b">
        <v>1</v>
      </c>
      <c r="P14"/>
      <c r="Q14"/>
      <c r="R14"/>
      <c r="S14"/>
      <c r="T14"/>
      <c r="U14"/>
      <c r="V14"/>
      <c r="W14"/>
      <c r="X14"/>
    </row>
    <row r="15" spans="1:24" x14ac:dyDescent="0.25">
      <c r="A15" t="s">
        <v>44</v>
      </c>
      <c r="B15">
        <v>131846</v>
      </c>
      <c r="C15">
        <v>649</v>
      </c>
      <c r="D15" t="s">
        <v>116</v>
      </c>
      <c r="E15"/>
      <c r="F15"/>
      <c r="G15"/>
      <c r="H15"/>
      <c r="I15"/>
      <c r="J15"/>
      <c r="K15" t="s">
        <v>165</v>
      </c>
      <c r="L15" t="s">
        <v>165</v>
      </c>
      <c r="M15" t="s">
        <v>165</v>
      </c>
      <c r="N15" t="s">
        <v>165</v>
      </c>
      <c r="O15" t="b">
        <v>1</v>
      </c>
      <c r="P15"/>
      <c r="Q15"/>
      <c r="R15"/>
      <c r="S15"/>
      <c r="T15"/>
      <c r="U15"/>
      <c r="V15"/>
      <c r="W15"/>
      <c r="X15"/>
    </row>
    <row r="16" spans="1:24" x14ac:dyDescent="0.25">
      <c r="A16" t="s">
        <v>44</v>
      </c>
      <c r="B16">
        <v>131847</v>
      </c>
      <c r="C16">
        <v>659</v>
      </c>
      <c r="D16" t="s">
        <v>113</v>
      </c>
      <c r="E16"/>
      <c r="F16"/>
      <c r="G16"/>
      <c r="H16"/>
      <c r="I16"/>
      <c r="J16"/>
      <c r="K16" t="s">
        <v>165</v>
      </c>
      <c r="L16" t="s">
        <v>165</v>
      </c>
      <c r="M16" t="s">
        <v>165</v>
      </c>
      <c r="N16" t="s">
        <v>165</v>
      </c>
      <c r="O16" t="b">
        <v>1</v>
      </c>
      <c r="P16"/>
      <c r="Q16"/>
      <c r="R16"/>
      <c r="S16"/>
      <c r="T16"/>
      <c r="U16"/>
      <c r="V16"/>
      <c r="W16"/>
      <c r="X16"/>
    </row>
    <row r="17" spans="1:24" x14ac:dyDescent="0.25">
      <c r="A17" t="s">
        <v>44</v>
      </c>
      <c r="B17">
        <v>131848</v>
      </c>
      <c r="C17">
        <v>590</v>
      </c>
      <c r="D17" t="s">
        <v>125</v>
      </c>
      <c r="E17"/>
      <c r="F17"/>
      <c r="G17"/>
      <c r="H17"/>
      <c r="I17"/>
      <c r="J17"/>
      <c r="K17" t="s">
        <v>165</v>
      </c>
      <c r="L17" t="s">
        <v>165</v>
      </c>
      <c r="M17" t="s">
        <v>165</v>
      </c>
      <c r="N17" t="s">
        <v>165</v>
      </c>
      <c r="O17" t="b">
        <v>1</v>
      </c>
      <c r="P17"/>
      <c r="Q17"/>
      <c r="R17"/>
      <c r="S17"/>
      <c r="T17"/>
      <c r="U17"/>
      <c r="V17"/>
      <c r="W17"/>
      <c r="X17"/>
    </row>
    <row r="18" spans="1:24" x14ac:dyDescent="0.25">
      <c r="A18" t="s">
        <v>44</v>
      </c>
      <c r="B18">
        <v>131850</v>
      </c>
      <c r="C18">
        <v>459</v>
      </c>
      <c r="D18" t="s">
        <v>117</v>
      </c>
      <c r="E18"/>
      <c r="F18"/>
      <c r="G18"/>
      <c r="H18"/>
      <c r="I18"/>
      <c r="J18"/>
      <c r="K18" t="s">
        <v>165</v>
      </c>
      <c r="L18" t="s">
        <v>165</v>
      </c>
      <c r="M18" t="s">
        <v>165</v>
      </c>
      <c r="N18" t="s">
        <v>165</v>
      </c>
      <c r="O18" t="b">
        <v>1</v>
      </c>
      <c r="P18"/>
      <c r="Q18"/>
      <c r="R18"/>
      <c r="S18"/>
      <c r="T18"/>
      <c r="U18"/>
      <c r="V18"/>
      <c r="W18"/>
      <c r="X18"/>
    </row>
    <row r="19" spans="1:24" x14ac:dyDescent="0.25">
      <c r="A19" t="s">
        <v>44</v>
      </c>
      <c r="B19">
        <v>131851</v>
      </c>
      <c r="C19">
        <v>490</v>
      </c>
      <c r="D19" t="s">
        <v>114</v>
      </c>
      <c r="E19"/>
      <c r="F19"/>
      <c r="G19"/>
      <c r="H19"/>
      <c r="I19"/>
      <c r="J19"/>
      <c r="K19" t="s">
        <v>165</v>
      </c>
      <c r="L19" t="s">
        <v>165</v>
      </c>
      <c r="M19" t="s">
        <v>165</v>
      </c>
      <c r="N19" t="s">
        <v>165</v>
      </c>
      <c r="O19" t="b">
        <v>1</v>
      </c>
      <c r="P19"/>
      <c r="Q19"/>
      <c r="R19"/>
      <c r="S19"/>
      <c r="T19"/>
      <c r="U19"/>
      <c r="V19"/>
      <c r="W19"/>
      <c r="X19"/>
    </row>
    <row r="20" spans="1:24" x14ac:dyDescent="0.25">
      <c r="A20" t="s">
        <v>44</v>
      </c>
      <c r="B20">
        <v>131852</v>
      </c>
      <c r="C20">
        <v>390</v>
      </c>
      <c r="D20" t="s">
        <v>130</v>
      </c>
      <c r="E20"/>
      <c r="F20"/>
      <c r="G20"/>
      <c r="H20"/>
      <c r="I20"/>
      <c r="J20"/>
      <c r="K20" t="s">
        <v>165</v>
      </c>
      <c r="L20" t="s">
        <v>165</v>
      </c>
      <c r="M20" t="s">
        <v>165</v>
      </c>
      <c r="N20" t="s">
        <v>165</v>
      </c>
      <c r="O20" t="b">
        <v>1</v>
      </c>
      <c r="P20"/>
      <c r="Q20"/>
      <c r="R20"/>
      <c r="S20"/>
      <c r="T20"/>
      <c r="U20"/>
      <c r="V20"/>
      <c r="W20"/>
      <c r="X20"/>
    </row>
    <row r="21" spans="1:24" x14ac:dyDescent="0.25">
      <c r="A21" t="s">
        <v>44</v>
      </c>
      <c r="B21">
        <v>131854</v>
      </c>
      <c r="C21" t="s">
        <v>128</v>
      </c>
      <c r="D21"/>
      <c r="E21"/>
      <c r="F21"/>
      <c r="G21"/>
      <c r="H21"/>
      <c r="I21"/>
      <c r="J21"/>
      <c r="K21" t="s">
        <v>165</v>
      </c>
      <c r="L21" t="s">
        <v>165</v>
      </c>
      <c r="M21" t="s">
        <v>165</v>
      </c>
      <c r="N21" t="s">
        <v>165</v>
      </c>
      <c r="O21" t="b">
        <v>0</v>
      </c>
      <c r="P21"/>
      <c r="Q21"/>
      <c r="R21"/>
      <c r="S21"/>
      <c r="T21"/>
      <c r="U21"/>
      <c r="V21"/>
      <c r="W21"/>
      <c r="X21"/>
    </row>
    <row r="22" spans="1:24" x14ac:dyDescent="0.25">
      <c r="A22" t="s">
        <v>44</v>
      </c>
      <c r="B22">
        <v>131855</v>
      </c>
      <c r="C22">
        <v>590</v>
      </c>
      <c r="D22" t="s">
        <v>115</v>
      </c>
      <c r="E22"/>
      <c r="F22"/>
      <c r="G22"/>
      <c r="H22"/>
      <c r="I22"/>
      <c r="J22"/>
      <c r="K22" t="s">
        <v>165</v>
      </c>
      <c r="L22" t="s">
        <v>165</v>
      </c>
      <c r="M22" t="s">
        <v>165</v>
      </c>
      <c r="N22" t="s">
        <v>165</v>
      </c>
      <c r="O22" t="b">
        <v>1</v>
      </c>
      <c r="P22"/>
      <c r="Q22"/>
      <c r="R22"/>
      <c r="S22"/>
      <c r="T22"/>
      <c r="U22"/>
      <c r="V22"/>
      <c r="W22"/>
      <c r="X22"/>
    </row>
    <row r="23" spans="1:24" x14ac:dyDescent="0.25">
      <c r="A23" t="s">
        <v>44</v>
      </c>
      <c r="B23">
        <v>131856</v>
      </c>
      <c r="C23">
        <v>590</v>
      </c>
      <c r="D23" t="s">
        <v>129</v>
      </c>
      <c r="E23"/>
      <c r="F23"/>
      <c r="G23"/>
      <c r="H23"/>
      <c r="I23"/>
      <c r="J23"/>
      <c r="K23" t="s">
        <v>165</v>
      </c>
      <c r="L23" t="s">
        <v>165</v>
      </c>
      <c r="M23" t="s">
        <v>165</v>
      </c>
      <c r="N23" t="s">
        <v>165</v>
      </c>
      <c r="O23" t="b">
        <v>1</v>
      </c>
      <c r="P23"/>
      <c r="Q23"/>
      <c r="R23"/>
      <c r="S23"/>
      <c r="T23"/>
      <c r="U23"/>
      <c r="V23"/>
      <c r="W23"/>
      <c r="X23"/>
    </row>
    <row r="24" spans="1:24" x14ac:dyDescent="0.25">
      <c r="A24" t="s">
        <v>44</v>
      </c>
      <c r="B24">
        <v>131857</v>
      </c>
      <c r="C24">
        <v>490</v>
      </c>
      <c r="D24" t="s">
        <v>131</v>
      </c>
      <c r="E24"/>
      <c r="F24"/>
      <c r="G24"/>
      <c r="H24"/>
      <c r="I24"/>
      <c r="J24"/>
      <c r="K24" t="s">
        <v>165</v>
      </c>
      <c r="L24" t="s">
        <v>165</v>
      </c>
      <c r="M24" t="s">
        <v>165</v>
      </c>
      <c r="N24" t="s">
        <v>165</v>
      </c>
      <c r="O24" t="b">
        <v>1</v>
      </c>
      <c r="P24"/>
      <c r="Q24"/>
      <c r="R24"/>
      <c r="S24"/>
      <c r="T24"/>
      <c r="U24"/>
      <c r="V24"/>
      <c r="W24"/>
      <c r="X24"/>
    </row>
    <row r="25" spans="1:24" x14ac:dyDescent="0.25">
      <c r="A25" t="s">
        <v>44</v>
      </c>
      <c r="B25">
        <v>131858</v>
      </c>
      <c r="C25">
        <v>390</v>
      </c>
      <c r="D25" t="s">
        <v>132</v>
      </c>
      <c r="E25"/>
      <c r="F25"/>
      <c r="G25"/>
      <c r="H25"/>
      <c r="I25"/>
      <c r="J25"/>
      <c r="K25" t="s">
        <v>165</v>
      </c>
      <c r="L25" t="s">
        <v>165</v>
      </c>
      <c r="M25" t="s">
        <v>165</v>
      </c>
      <c r="N25" t="s">
        <v>165</v>
      </c>
      <c r="O25" t="b">
        <v>1</v>
      </c>
      <c r="P25"/>
      <c r="Q25"/>
      <c r="R25"/>
      <c r="S25"/>
      <c r="T25"/>
      <c r="U25"/>
      <c r="V25"/>
      <c r="W25"/>
      <c r="X25"/>
    </row>
    <row r="26" spans="1:24" x14ac:dyDescent="0.25">
      <c r="A26" t="s">
        <v>44</v>
      </c>
      <c r="B26">
        <v>131859</v>
      </c>
      <c r="C26">
        <v>549</v>
      </c>
      <c r="D26" t="s">
        <v>126</v>
      </c>
      <c r="E26"/>
      <c r="F26"/>
      <c r="G26"/>
      <c r="H26"/>
      <c r="I26"/>
      <c r="J26"/>
      <c r="K26" t="s">
        <v>165</v>
      </c>
      <c r="L26" t="s">
        <v>165</v>
      </c>
      <c r="M26" t="s">
        <v>165</v>
      </c>
      <c r="N26" t="s">
        <v>165</v>
      </c>
      <c r="O26" t="b">
        <v>1</v>
      </c>
      <c r="P26"/>
      <c r="Q26"/>
      <c r="R26"/>
      <c r="S26"/>
      <c r="T26"/>
      <c r="U26"/>
      <c r="V26"/>
      <c r="W26"/>
      <c r="X26"/>
    </row>
    <row r="27" spans="1:24" x14ac:dyDescent="0.25">
      <c r="A27" t="s">
        <v>44</v>
      </c>
      <c r="B27">
        <v>131860</v>
      </c>
      <c r="C27">
        <v>549</v>
      </c>
      <c r="D27" t="s">
        <v>127</v>
      </c>
      <c r="E27"/>
      <c r="F27"/>
      <c r="G27"/>
      <c r="H27"/>
      <c r="I27"/>
      <c r="J27"/>
      <c r="K27" t="s">
        <v>165</v>
      </c>
      <c r="L27" t="s">
        <v>165</v>
      </c>
      <c r="M27" t="s">
        <v>165</v>
      </c>
      <c r="N27" t="s">
        <v>165</v>
      </c>
      <c r="O27" t="b">
        <v>1</v>
      </c>
      <c r="P27"/>
      <c r="Q27"/>
      <c r="R27"/>
      <c r="S27"/>
      <c r="T27"/>
      <c r="U27"/>
      <c r="V27"/>
      <c r="W27"/>
      <c r="X27"/>
    </row>
    <row r="28" spans="1:24" x14ac:dyDescent="0.25">
      <c r="A28" t="s">
        <v>44</v>
      </c>
      <c r="B28">
        <v>143584</v>
      </c>
      <c r="C28"/>
      <c r="D28"/>
      <c r="E28"/>
      <c r="F28"/>
      <c r="G28"/>
      <c r="H28"/>
      <c r="I28"/>
      <c r="J28"/>
      <c r="K28" t="s">
        <v>165</v>
      </c>
      <c r="L28" t="s">
        <v>165</v>
      </c>
      <c r="M28" t="s">
        <v>165</v>
      </c>
      <c r="N28" t="s">
        <v>165</v>
      </c>
      <c r="O28" t="b">
        <v>0</v>
      </c>
      <c r="P28"/>
      <c r="Q28"/>
      <c r="R28"/>
      <c r="S28"/>
      <c r="T28"/>
      <c r="U28"/>
      <c r="V28"/>
      <c r="W28"/>
      <c r="X28"/>
    </row>
    <row r="29" spans="1:24" x14ac:dyDescent="0.25">
      <c r="A29" t="s">
        <v>44</v>
      </c>
      <c r="B29">
        <v>143588</v>
      </c>
      <c r="C29"/>
      <c r="D29"/>
      <c r="E29"/>
      <c r="F29"/>
      <c r="G29"/>
      <c r="H29"/>
      <c r="I29"/>
      <c r="J29"/>
      <c r="K29" t="s">
        <v>165</v>
      </c>
      <c r="L29" t="s">
        <v>165</v>
      </c>
      <c r="M29" t="s">
        <v>165</v>
      </c>
      <c r="N29" t="s">
        <v>165</v>
      </c>
      <c r="O29" t="b">
        <v>0</v>
      </c>
      <c r="P29"/>
      <c r="Q29"/>
      <c r="R29"/>
      <c r="S29"/>
      <c r="T29"/>
      <c r="U29"/>
      <c r="V29"/>
      <c r="W29"/>
      <c r="X29"/>
    </row>
    <row r="30" spans="1:24" x14ac:dyDescent="0.25">
      <c r="A30" t="s">
        <v>44</v>
      </c>
      <c r="B30">
        <v>143598</v>
      </c>
      <c r="C30"/>
      <c r="D30"/>
      <c r="E30"/>
      <c r="F30"/>
      <c r="G30"/>
      <c r="H30"/>
      <c r="I30"/>
      <c r="J30"/>
      <c r="K30" t="s">
        <v>165</v>
      </c>
      <c r="L30" t="s">
        <v>165</v>
      </c>
      <c r="M30" t="s">
        <v>165</v>
      </c>
      <c r="N30" t="s">
        <v>165</v>
      </c>
      <c r="O30" t="b">
        <v>0</v>
      </c>
      <c r="P30"/>
      <c r="Q30"/>
      <c r="R30"/>
      <c r="S30"/>
      <c r="T30"/>
      <c r="U30"/>
      <c r="V30"/>
      <c r="W30"/>
      <c r="X30"/>
    </row>
    <row r="31" spans="1:24" x14ac:dyDescent="0.25">
      <c r="A31" t="s">
        <v>44</v>
      </c>
      <c r="B31">
        <v>143599</v>
      </c>
      <c r="C31"/>
      <c r="D31"/>
      <c r="E31"/>
      <c r="F31"/>
      <c r="G31"/>
      <c r="H31"/>
      <c r="I31"/>
      <c r="J31"/>
      <c r="K31" t="s">
        <v>165</v>
      </c>
      <c r="L31" t="s">
        <v>165</v>
      </c>
      <c r="M31" t="s">
        <v>165</v>
      </c>
      <c r="N31" t="s">
        <v>165</v>
      </c>
      <c r="O31" t="b">
        <v>0</v>
      </c>
      <c r="P31"/>
      <c r="Q31"/>
      <c r="R31"/>
      <c r="S31"/>
      <c r="T31"/>
      <c r="U31"/>
      <c r="V31"/>
      <c r="W31"/>
      <c r="X31"/>
    </row>
    <row r="32" spans="1:24" x14ac:dyDescent="0.25">
      <c r="A32" t="s">
        <v>44</v>
      </c>
      <c r="B32">
        <v>143600</v>
      </c>
      <c r="C32"/>
      <c r="D32"/>
      <c r="E32"/>
      <c r="F32"/>
      <c r="G32"/>
      <c r="H32"/>
      <c r="I32"/>
      <c r="J32"/>
      <c r="K32" t="s">
        <v>165</v>
      </c>
      <c r="L32" t="s">
        <v>165</v>
      </c>
      <c r="M32" t="s">
        <v>165</v>
      </c>
      <c r="N32" t="s">
        <v>165</v>
      </c>
      <c r="O32" t="b">
        <v>0</v>
      </c>
      <c r="P32"/>
      <c r="Q32"/>
      <c r="R32"/>
      <c r="S32"/>
      <c r="T32"/>
      <c r="U32"/>
      <c r="V32"/>
      <c r="W32"/>
      <c r="X32"/>
    </row>
    <row r="33" spans="1:24" x14ac:dyDescent="0.25">
      <c r="A33" t="s">
        <v>44</v>
      </c>
      <c r="B33">
        <v>143604</v>
      </c>
      <c r="C33">
        <v>1590</v>
      </c>
      <c r="D33" t="s">
        <v>139</v>
      </c>
      <c r="E33"/>
      <c r="F33"/>
      <c r="G33"/>
      <c r="H33"/>
      <c r="I33"/>
      <c r="J33"/>
      <c r="K33" t="s">
        <v>165</v>
      </c>
      <c r="L33" t="s">
        <v>165</v>
      </c>
      <c r="M33" t="s">
        <v>165</v>
      </c>
      <c r="N33" t="s">
        <v>165</v>
      </c>
      <c r="O33" t="b">
        <v>1</v>
      </c>
      <c r="P33"/>
      <c r="Q33"/>
      <c r="R33"/>
      <c r="S33"/>
      <c r="T33"/>
      <c r="U33"/>
      <c r="V33"/>
      <c r="W33"/>
      <c r="X33"/>
    </row>
    <row r="34" spans="1:24" x14ac:dyDescent="0.25">
      <c r="A34" t="s">
        <v>44</v>
      </c>
      <c r="B34">
        <v>143609</v>
      </c>
      <c r="C34"/>
      <c r="D34"/>
      <c r="E34"/>
      <c r="F34"/>
      <c r="G34"/>
      <c r="H34"/>
      <c r="I34"/>
      <c r="J34"/>
      <c r="K34" t="s">
        <v>165</v>
      </c>
      <c r="L34" t="s">
        <v>165</v>
      </c>
      <c r="M34" t="s">
        <v>165</v>
      </c>
      <c r="N34" t="s">
        <v>165</v>
      </c>
      <c r="O34" t="b">
        <v>0</v>
      </c>
      <c r="P34"/>
      <c r="Q34"/>
      <c r="R34"/>
      <c r="S34"/>
      <c r="T34"/>
      <c r="U34"/>
      <c r="V34"/>
      <c r="W34"/>
      <c r="X34"/>
    </row>
    <row r="35" spans="1:24" x14ac:dyDescent="0.25">
      <c r="A35" t="s">
        <v>44</v>
      </c>
      <c r="B35">
        <v>143633</v>
      </c>
      <c r="C35"/>
      <c r="D35"/>
      <c r="E35"/>
      <c r="F35"/>
      <c r="G35"/>
      <c r="H35"/>
      <c r="I35"/>
      <c r="J35"/>
      <c r="K35" t="s">
        <v>165</v>
      </c>
      <c r="L35" t="s">
        <v>165</v>
      </c>
      <c r="M35" t="s">
        <v>165</v>
      </c>
      <c r="N35" t="s">
        <v>165</v>
      </c>
      <c r="O35" t="b">
        <v>0</v>
      </c>
      <c r="P35"/>
      <c r="Q35"/>
      <c r="R35"/>
      <c r="S35"/>
      <c r="T35"/>
      <c r="U35"/>
      <c r="V35"/>
      <c r="W35"/>
      <c r="X35"/>
    </row>
    <row r="36" spans="1:24" x14ac:dyDescent="0.25">
      <c r="A36" t="s">
        <v>44</v>
      </c>
      <c r="B36">
        <v>143638</v>
      </c>
      <c r="C36">
        <v>1190</v>
      </c>
      <c r="D36" t="s">
        <v>137</v>
      </c>
      <c r="E36"/>
      <c r="F36"/>
      <c r="G36"/>
      <c r="H36"/>
      <c r="I36"/>
      <c r="J36"/>
      <c r="K36" t="s">
        <v>165</v>
      </c>
      <c r="L36" t="s">
        <v>165</v>
      </c>
      <c r="M36" t="s">
        <v>165</v>
      </c>
      <c r="N36" t="s">
        <v>165</v>
      </c>
      <c r="O36" t="b">
        <v>1</v>
      </c>
      <c r="P36"/>
      <c r="Q36"/>
      <c r="R36"/>
      <c r="S36"/>
      <c r="T36"/>
      <c r="U36"/>
      <c r="V36"/>
      <c r="W36"/>
      <c r="X36"/>
    </row>
    <row r="37" spans="1:24" x14ac:dyDescent="0.25">
      <c r="A37" t="s">
        <v>44</v>
      </c>
      <c r="B37">
        <v>143634</v>
      </c>
      <c r="C37"/>
      <c r="D37"/>
      <c r="E37"/>
      <c r="F37"/>
      <c r="G37"/>
      <c r="H37"/>
      <c r="I37"/>
      <c r="J37"/>
      <c r="K37" t="s">
        <v>165</v>
      </c>
      <c r="L37" t="s">
        <v>165</v>
      </c>
      <c r="M37" t="s">
        <v>165</v>
      </c>
      <c r="N37" t="s">
        <v>165</v>
      </c>
      <c r="O37" t="b">
        <v>0</v>
      </c>
      <c r="P37"/>
      <c r="Q37"/>
      <c r="R37"/>
      <c r="S37"/>
      <c r="T37"/>
      <c r="U37"/>
      <c r="V37"/>
      <c r="W37"/>
      <c r="X37"/>
    </row>
    <row r="38" spans="1:24" x14ac:dyDescent="0.25">
      <c r="A38" t="s">
        <v>44</v>
      </c>
      <c r="B38">
        <v>143635</v>
      </c>
      <c r="C38"/>
      <c r="D38"/>
      <c r="E38"/>
      <c r="F38"/>
      <c r="G38"/>
      <c r="H38"/>
      <c r="I38"/>
      <c r="J38"/>
      <c r="K38" t="s">
        <v>165</v>
      </c>
      <c r="L38" t="s">
        <v>165</v>
      </c>
      <c r="M38" t="s">
        <v>165</v>
      </c>
      <c r="N38" t="s">
        <v>165</v>
      </c>
      <c r="O38" t="b">
        <v>0</v>
      </c>
      <c r="P38"/>
      <c r="Q38"/>
      <c r="R38"/>
      <c r="S38"/>
      <c r="T38"/>
      <c r="U38"/>
      <c r="V38"/>
      <c r="W38"/>
      <c r="X38"/>
    </row>
    <row r="39" spans="1:24" x14ac:dyDescent="0.25">
      <c r="A39" t="s">
        <v>44</v>
      </c>
      <c r="B39">
        <v>143641</v>
      </c>
      <c r="C39"/>
      <c r="D39"/>
      <c r="E39"/>
      <c r="F39"/>
      <c r="G39"/>
      <c r="H39"/>
      <c r="I39"/>
      <c r="J39"/>
      <c r="K39" t="s">
        <v>165</v>
      </c>
      <c r="L39" t="s">
        <v>165</v>
      </c>
      <c r="M39" t="s">
        <v>165</v>
      </c>
      <c r="N39" t="s">
        <v>165</v>
      </c>
      <c r="O39" t="b">
        <v>0</v>
      </c>
      <c r="P39"/>
      <c r="Q39"/>
      <c r="R39"/>
      <c r="S39"/>
      <c r="T39"/>
      <c r="U39"/>
      <c r="V39"/>
      <c r="W39"/>
      <c r="X39"/>
    </row>
    <row r="40" spans="1:24" x14ac:dyDescent="0.25">
      <c r="A40" t="s">
        <v>44</v>
      </c>
      <c r="B40">
        <v>143593</v>
      </c>
      <c r="C40"/>
      <c r="D40"/>
      <c r="E40"/>
      <c r="F40"/>
      <c r="G40"/>
      <c r="H40"/>
      <c r="I40"/>
      <c r="J40"/>
      <c r="K40" t="s">
        <v>165</v>
      </c>
      <c r="L40" t="s">
        <v>165</v>
      </c>
      <c r="M40" t="s">
        <v>165</v>
      </c>
      <c r="N40" t="s">
        <v>165</v>
      </c>
      <c r="O40" t="b">
        <v>0</v>
      </c>
      <c r="P40"/>
      <c r="Q40"/>
      <c r="R40"/>
      <c r="S40"/>
      <c r="T40"/>
      <c r="U40"/>
      <c r="V40"/>
      <c r="W40"/>
      <c r="X40"/>
    </row>
    <row r="41" spans="1:24" x14ac:dyDescent="0.25">
      <c r="A41" t="s">
        <v>44</v>
      </c>
      <c r="B41">
        <v>143594</v>
      </c>
      <c r="C41"/>
      <c r="D41"/>
      <c r="E41"/>
      <c r="F41"/>
      <c r="G41"/>
      <c r="H41"/>
      <c r="I41"/>
      <c r="J41"/>
      <c r="K41" t="s">
        <v>165</v>
      </c>
      <c r="L41" t="s">
        <v>165</v>
      </c>
      <c r="M41" t="s">
        <v>165</v>
      </c>
      <c r="N41" t="s">
        <v>165</v>
      </c>
      <c r="O41" t="b">
        <v>0</v>
      </c>
      <c r="P41"/>
      <c r="Q41"/>
      <c r="R41"/>
      <c r="S41"/>
      <c r="T41"/>
      <c r="U41"/>
      <c r="V41"/>
      <c r="W41"/>
      <c r="X41"/>
    </row>
    <row r="42" spans="1:24" x14ac:dyDescent="0.25">
      <c r="A42" t="s">
        <v>44</v>
      </c>
      <c r="B42">
        <v>143595</v>
      </c>
      <c r="C42">
        <v>1690</v>
      </c>
      <c r="D42" t="s">
        <v>136</v>
      </c>
      <c r="E42"/>
      <c r="F42"/>
      <c r="G42"/>
      <c r="H42"/>
      <c r="I42"/>
      <c r="J42"/>
      <c r="K42" t="s">
        <v>165</v>
      </c>
      <c r="L42" t="s">
        <v>165</v>
      </c>
      <c r="M42" t="s">
        <v>165</v>
      </c>
      <c r="N42" t="s">
        <v>165</v>
      </c>
      <c r="O42" t="b">
        <v>1</v>
      </c>
      <c r="P42"/>
      <c r="Q42"/>
      <c r="R42"/>
      <c r="S42"/>
      <c r="T42"/>
      <c r="U42"/>
      <c r="V42"/>
      <c r="W42"/>
      <c r="X42"/>
    </row>
    <row r="43" spans="1:24" x14ac:dyDescent="0.25">
      <c r="A43" t="s">
        <v>44</v>
      </c>
      <c r="B43">
        <v>143676</v>
      </c>
      <c r="C43"/>
      <c r="D43"/>
      <c r="E43"/>
      <c r="F43"/>
      <c r="G43"/>
      <c r="H43"/>
      <c r="I43"/>
      <c r="J43"/>
      <c r="K43" t="s">
        <v>165</v>
      </c>
      <c r="L43" t="s">
        <v>165</v>
      </c>
      <c r="M43" t="s">
        <v>165</v>
      </c>
      <c r="N43" t="s">
        <v>165</v>
      </c>
      <c r="O43" t="b">
        <v>0</v>
      </c>
      <c r="P43"/>
      <c r="Q43"/>
      <c r="R43"/>
      <c r="S43"/>
      <c r="T43"/>
      <c r="U43"/>
      <c r="V43"/>
      <c r="W43"/>
      <c r="X43"/>
    </row>
    <row r="44" spans="1:24" x14ac:dyDescent="0.25">
      <c r="A44" t="s">
        <v>44</v>
      </c>
      <c r="B44">
        <v>143678</v>
      </c>
      <c r="C44" t="s">
        <v>135</v>
      </c>
      <c r="D44"/>
      <c r="E44"/>
      <c r="F44"/>
      <c r="G44"/>
      <c r="H44"/>
      <c r="I44"/>
      <c r="J44"/>
      <c r="K44" t="s">
        <v>165</v>
      </c>
      <c r="L44" t="s">
        <v>165</v>
      </c>
      <c r="M44" t="s">
        <v>165</v>
      </c>
      <c r="N44" t="s">
        <v>165</v>
      </c>
      <c r="O44" t="b">
        <v>0</v>
      </c>
      <c r="P44"/>
      <c r="Q44"/>
      <c r="R44"/>
      <c r="S44"/>
      <c r="T44"/>
      <c r="U44"/>
      <c r="V44"/>
      <c r="W44"/>
      <c r="X44"/>
    </row>
    <row r="45" spans="1:24" x14ac:dyDescent="0.25">
      <c r="A45" t="s">
        <v>44</v>
      </c>
      <c r="B45">
        <v>143677</v>
      </c>
      <c r="C45">
        <v>1390</v>
      </c>
      <c r="D45" t="s">
        <v>134</v>
      </c>
      <c r="E45"/>
      <c r="F45"/>
      <c r="G45"/>
      <c r="H45"/>
      <c r="I45"/>
      <c r="J45"/>
      <c r="K45" t="s">
        <v>165</v>
      </c>
      <c r="L45" t="s">
        <v>165</v>
      </c>
      <c r="M45" t="s">
        <v>165</v>
      </c>
      <c r="N45" t="s">
        <v>165</v>
      </c>
      <c r="O45" t="b">
        <v>1</v>
      </c>
      <c r="P45"/>
      <c r="Q45"/>
      <c r="R45"/>
      <c r="S45"/>
      <c r="T45"/>
      <c r="U45"/>
      <c r="V45"/>
      <c r="W45"/>
      <c r="X45"/>
    </row>
    <row r="46" spans="1:24" x14ac:dyDescent="0.25">
      <c r="A46" t="s">
        <v>44</v>
      </c>
      <c r="B46">
        <v>143675</v>
      </c>
      <c r="C46">
        <v>1090</v>
      </c>
      <c r="D46" t="s">
        <v>133</v>
      </c>
      <c r="E46"/>
      <c r="F46"/>
      <c r="G46"/>
      <c r="H46"/>
      <c r="I46"/>
      <c r="J46"/>
      <c r="K46" t="s">
        <v>165</v>
      </c>
      <c r="L46" t="s">
        <v>165</v>
      </c>
      <c r="M46" t="s">
        <v>165</v>
      </c>
      <c r="N46" t="s">
        <v>165</v>
      </c>
      <c r="O46" t="b">
        <v>1</v>
      </c>
      <c r="P46"/>
      <c r="Q46"/>
      <c r="R46"/>
      <c r="S46"/>
      <c r="T46"/>
      <c r="U46"/>
      <c r="V46"/>
      <c r="W46"/>
      <c r="X46"/>
    </row>
    <row r="47" spans="1:24" x14ac:dyDescent="0.25">
      <c r="A47" t="s">
        <v>44</v>
      </c>
      <c r="B47">
        <v>143679</v>
      </c>
      <c r="C47"/>
      <c r="D47"/>
      <c r="E47"/>
      <c r="F47"/>
      <c r="G47"/>
      <c r="H47"/>
      <c r="I47"/>
      <c r="J47"/>
      <c r="K47" t="s">
        <v>165</v>
      </c>
      <c r="L47" t="s">
        <v>165</v>
      </c>
      <c r="M47" t="s">
        <v>165</v>
      </c>
      <c r="N47" t="s">
        <v>165</v>
      </c>
      <c r="O47" t="b">
        <v>0</v>
      </c>
      <c r="P47"/>
      <c r="Q47"/>
      <c r="R47"/>
      <c r="S47"/>
      <c r="T47"/>
      <c r="U47"/>
      <c r="V47"/>
      <c r="W47"/>
      <c r="X47"/>
    </row>
    <row r="48" spans="1:24" x14ac:dyDescent="0.25">
      <c r="A48" t="s">
        <v>44</v>
      </c>
      <c r="B48">
        <v>143680</v>
      </c>
      <c r="C48"/>
      <c r="D48"/>
      <c r="E48"/>
      <c r="F48"/>
      <c r="G48"/>
      <c r="H48"/>
      <c r="I48"/>
      <c r="J48"/>
      <c r="K48" t="s">
        <v>165</v>
      </c>
      <c r="L48" t="s">
        <v>165</v>
      </c>
      <c r="M48" t="s">
        <v>165</v>
      </c>
      <c r="N48" t="s">
        <v>165</v>
      </c>
      <c r="O48" t="b">
        <v>0</v>
      </c>
      <c r="P48"/>
      <c r="Q48"/>
      <c r="R48"/>
      <c r="S48"/>
      <c r="T48"/>
      <c r="U48"/>
      <c r="V48"/>
      <c r="W48"/>
      <c r="X48"/>
    </row>
    <row r="49" spans="1:24" x14ac:dyDescent="0.25">
      <c r="A49" t="s">
        <v>44</v>
      </c>
      <c r="B49">
        <v>143681</v>
      </c>
      <c r="C49"/>
      <c r="D49"/>
      <c r="E49"/>
      <c r="F49"/>
      <c r="G49"/>
      <c r="H49"/>
      <c r="I49"/>
      <c r="J49"/>
      <c r="K49" t="s">
        <v>165</v>
      </c>
      <c r="L49" t="s">
        <v>165</v>
      </c>
      <c r="M49" t="s">
        <v>165</v>
      </c>
      <c r="N49" t="s">
        <v>165</v>
      </c>
      <c r="O49" t="b">
        <v>0</v>
      </c>
      <c r="P49"/>
      <c r="Q49"/>
      <c r="R49"/>
      <c r="S49"/>
      <c r="T49"/>
      <c r="U49"/>
      <c r="V49"/>
      <c r="W49"/>
      <c r="X49"/>
    </row>
    <row r="50" spans="1:24" x14ac:dyDescent="0.25">
      <c r="A50" t="s">
        <v>44</v>
      </c>
      <c r="B50">
        <v>143682</v>
      </c>
      <c r="C50"/>
      <c r="D50"/>
      <c r="E50"/>
      <c r="F50"/>
      <c r="G50"/>
      <c r="H50"/>
      <c r="I50"/>
      <c r="J50"/>
      <c r="K50" t="s">
        <v>165</v>
      </c>
      <c r="L50" t="s">
        <v>165</v>
      </c>
      <c r="M50" t="s">
        <v>165</v>
      </c>
      <c r="N50" t="s">
        <v>165</v>
      </c>
      <c r="O50" t="b">
        <v>0</v>
      </c>
      <c r="P50"/>
      <c r="Q50"/>
      <c r="R50"/>
      <c r="S50"/>
      <c r="T50"/>
      <c r="U50"/>
      <c r="V50"/>
      <c r="W50"/>
      <c r="X50"/>
    </row>
    <row r="51" spans="1:24" x14ac:dyDescent="0.25">
      <c r="A51" t="s">
        <v>44</v>
      </c>
      <c r="B51">
        <v>143687</v>
      </c>
      <c r="C51"/>
      <c r="D51"/>
      <c r="E51"/>
      <c r="F51"/>
      <c r="G51"/>
      <c r="H51"/>
      <c r="I51"/>
      <c r="J51"/>
      <c r="K51" t="s">
        <v>165</v>
      </c>
      <c r="L51" t="s">
        <v>165</v>
      </c>
      <c r="M51" t="s">
        <v>165</v>
      </c>
      <c r="N51" t="s">
        <v>165</v>
      </c>
      <c r="O51" t="b">
        <v>0</v>
      </c>
      <c r="P51"/>
      <c r="Q51"/>
      <c r="R51"/>
      <c r="S51"/>
      <c r="T51"/>
      <c r="U51"/>
      <c r="V51"/>
      <c r="W51"/>
      <c r="X51"/>
    </row>
    <row r="52" spans="1:24" x14ac:dyDescent="0.25">
      <c r="A52" t="s">
        <v>44</v>
      </c>
      <c r="B52">
        <v>157890</v>
      </c>
      <c r="C52"/>
      <c r="D52"/>
      <c r="E52"/>
      <c r="F52"/>
      <c r="G52"/>
      <c r="H52"/>
      <c r="I52"/>
      <c r="J52"/>
      <c r="K52" t="s">
        <v>165</v>
      </c>
      <c r="L52" t="s">
        <v>165</v>
      </c>
      <c r="M52" t="s">
        <v>165</v>
      </c>
      <c r="N52" t="s">
        <v>165</v>
      </c>
      <c r="O52" t="b">
        <v>0</v>
      </c>
      <c r="P52"/>
      <c r="Q52"/>
      <c r="R52"/>
      <c r="S52"/>
      <c r="T52"/>
      <c r="U52"/>
      <c r="V52"/>
      <c r="W52"/>
      <c r="X52"/>
    </row>
    <row r="53" spans="1:24" x14ac:dyDescent="0.25">
      <c r="A53" t="s">
        <v>44</v>
      </c>
      <c r="B53">
        <v>157910</v>
      </c>
      <c r="C53">
        <v>2290</v>
      </c>
      <c r="D53" t="s">
        <v>138</v>
      </c>
      <c r="E53"/>
      <c r="F53"/>
      <c r="G53"/>
      <c r="H53"/>
      <c r="I53"/>
      <c r="J53"/>
      <c r="K53" t="s">
        <v>165</v>
      </c>
      <c r="L53" t="s">
        <v>165</v>
      </c>
      <c r="M53" t="s">
        <v>165</v>
      </c>
      <c r="N53" t="s">
        <v>165</v>
      </c>
      <c r="O53" t="b">
        <v>1</v>
      </c>
      <c r="P53"/>
      <c r="Q53"/>
      <c r="R53"/>
      <c r="S53"/>
      <c r="T53"/>
      <c r="U53"/>
      <c r="V53"/>
      <c r="W53"/>
      <c r="X53"/>
    </row>
    <row r="54" spans="1:24" x14ac:dyDescent="0.25">
      <c r="A54" t="s">
        <v>44</v>
      </c>
      <c r="B54">
        <v>274687</v>
      </c>
      <c r="C54"/>
      <c r="D54"/>
      <c r="E54"/>
      <c r="F54"/>
      <c r="G54"/>
      <c r="H54"/>
      <c r="I54"/>
      <c r="J54"/>
      <c r="K54" t="s">
        <v>165</v>
      </c>
      <c r="L54" t="s">
        <v>165</v>
      </c>
      <c r="M54" t="s">
        <v>165</v>
      </c>
      <c r="N54" t="s">
        <v>165</v>
      </c>
      <c r="O54" t="b">
        <v>0</v>
      </c>
      <c r="P54"/>
      <c r="Q54"/>
      <c r="R54"/>
      <c r="S54"/>
      <c r="T54"/>
      <c r="U54"/>
      <c r="V54"/>
      <c r="W54"/>
      <c r="X54"/>
    </row>
    <row r="55" spans="1:24" x14ac:dyDescent="0.25">
      <c r="A55" t="s">
        <v>44</v>
      </c>
      <c r="B55">
        <v>201309</v>
      </c>
      <c r="C55"/>
      <c r="D55"/>
      <c r="E55"/>
      <c r="F55"/>
      <c r="G55"/>
      <c r="H55"/>
      <c r="I55"/>
      <c r="J55"/>
      <c r="K55" t="s">
        <v>165</v>
      </c>
      <c r="L55" t="s">
        <v>165</v>
      </c>
      <c r="M55" t="s">
        <v>165</v>
      </c>
      <c r="N55" t="s">
        <v>165</v>
      </c>
      <c r="O55" t="b">
        <v>0</v>
      </c>
      <c r="P55"/>
      <c r="Q55"/>
      <c r="R55"/>
      <c r="S55"/>
      <c r="T55"/>
      <c r="U55"/>
      <c r="V55"/>
      <c r="W55"/>
      <c r="X55"/>
    </row>
  </sheetData>
  <phoneticPr fontId="1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B13E36-BF0C-4180-B89F-5ED6592C1C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User947</dc:creator>
  <cp:lastModifiedBy>Snab TimeTurbo</cp:lastModifiedBy>
  <dcterms:created xsi:type="dcterms:W3CDTF">2015-06-05T18:19:34Z</dcterms:created>
  <dcterms:modified xsi:type="dcterms:W3CDTF">2025-01-14T10:56:05Z</dcterms:modified>
</cp:coreProperties>
</file>