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9B8B50F1-0D19-4B38-B706-19D20D7F171B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Кат" sheetId="1" r:id="rId1"/>
    <sheet name="Торг" sheetId="6" r:id="rId2"/>
    <sheet name="Прайс" sheetId="2" r:id="rId3"/>
    <sheet name="Наценка" sheetId="3" r:id="rId4"/>
    <sheet name="Выгр Кат" sheetId="4" r:id="rId5"/>
    <sheet name="Выгр Торг" sheetId="5" r:id="rId6"/>
    <sheet name="Ссылки" sheetId="7" r:id="rId7"/>
    <sheet name="Из ГУГЛа" sheetId="8" r:id="rId8"/>
  </sheets>
  <definedNames>
    <definedName name="_xlnm._FilterDatabase" localSheetId="4" hidden="1">'Выгр Кат'!$A$1:$O$319</definedName>
    <definedName name="_xlnm._FilterDatabase" localSheetId="5" hidden="1">'Выгр Торг'!$A$1:$Q$53</definedName>
    <definedName name="_xlnm._FilterDatabase" localSheetId="0" hidden="1">Кат!$A$2:$Y$336</definedName>
    <definedName name="_xlnm._FilterDatabase" localSheetId="2" hidden="1">Прайс!$A$9:$I$3843</definedName>
    <definedName name="_xlnm._FilterDatabase" localSheetId="1" hidden="1">Торг!$B$2:$Y$3</definedName>
    <definedName name="ExternalData_1" localSheetId="7" hidden="1">'Из ГУГЛа'!$A$1:$S$717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36" i="1" l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1" i="1"/>
  <c r="J310" i="1"/>
  <c r="J309" i="1"/>
  <c r="J308" i="1"/>
  <c r="J307" i="1"/>
  <c r="J305" i="1"/>
  <c r="J302" i="1"/>
  <c r="J300" i="1"/>
  <c r="J297" i="1"/>
  <c r="J296" i="1"/>
  <c r="J295" i="1"/>
  <c r="J293" i="1"/>
  <c r="J292" i="1"/>
  <c r="J291" i="1"/>
  <c r="J289" i="1"/>
  <c r="J284" i="1"/>
  <c r="J281" i="1"/>
  <c r="J279" i="1"/>
  <c r="J278" i="1"/>
  <c r="J277" i="1"/>
  <c r="J276" i="1"/>
  <c r="J275" i="1"/>
  <c r="J274" i="1"/>
  <c r="J271" i="1"/>
  <c r="J268" i="1"/>
  <c r="J267" i="1"/>
  <c r="J253" i="1"/>
  <c r="J252" i="1"/>
  <c r="J251" i="1"/>
  <c r="J250" i="1"/>
  <c r="J248" i="1"/>
  <c r="J247" i="1"/>
  <c r="J246" i="1"/>
  <c r="J245" i="1"/>
  <c r="J244" i="1"/>
  <c r="J243" i="1"/>
  <c r="J242" i="1"/>
  <c r="J237" i="1"/>
  <c r="J236" i="1"/>
  <c r="J235" i="1"/>
  <c r="J228" i="1"/>
  <c r="J227" i="1"/>
  <c r="J226" i="1"/>
  <c r="J225" i="1"/>
  <c r="J224" i="1"/>
  <c r="J223" i="1"/>
  <c r="J221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4" i="1"/>
  <c r="J203" i="1"/>
  <c r="J202" i="1"/>
  <c r="J201" i="1"/>
  <c r="J200" i="1"/>
  <c r="J198" i="1"/>
  <c r="J197" i="1"/>
  <c r="J188" i="1"/>
  <c r="J187" i="1"/>
  <c r="J186" i="1"/>
  <c r="J185" i="1"/>
  <c r="J184" i="1"/>
  <c r="J183" i="1"/>
  <c r="J182" i="1"/>
  <c r="J181" i="1"/>
  <c r="J180" i="1"/>
  <c r="J179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4" i="1"/>
  <c r="J153" i="1"/>
  <c r="J152" i="1"/>
  <c r="J151" i="1"/>
  <c r="J148" i="1"/>
  <c r="J147" i="1"/>
  <c r="J145" i="1"/>
  <c r="J144" i="1"/>
  <c r="J143" i="1"/>
  <c r="J140" i="1"/>
  <c r="J139" i="1"/>
  <c r="J138" i="1"/>
  <c r="J136" i="1"/>
  <c r="J134" i="1"/>
  <c r="J133" i="1"/>
  <c r="J132" i="1"/>
  <c r="J131" i="1"/>
  <c r="J130" i="1"/>
  <c r="J128" i="1"/>
  <c r="J126" i="1"/>
  <c r="J124" i="1"/>
  <c r="J123" i="1"/>
  <c r="J122" i="1"/>
  <c r="J121" i="1"/>
  <c r="J118" i="1"/>
  <c r="J117" i="1"/>
  <c r="J115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7" i="1"/>
  <c r="J96" i="1"/>
  <c r="J94" i="1"/>
  <c r="J93" i="1"/>
  <c r="J92" i="1"/>
  <c r="J91" i="1"/>
  <c r="J90" i="1"/>
  <c r="J87" i="1"/>
  <c r="J86" i="1"/>
  <c r="J85" i="1"/>
  <c r="J83" i="1"/>
  <c r="J82" i="1"/>
  <c r="J80" i="1"/>
  <c r="J79" i="1"/>
  <c r="J75" i="1"/>
  <c r="J72" i="1"/>
  <c r="J71" i="1"/>
  <c r="J65" i="1"/>
  <c r="J64" i="1"/>
  <c r="J63" i="1"/>
  <c r="J62" i="1"/>
  <c r="J57" i="1"/>
  <c r="J56" i="1"/>
  <c r="J55" i="1"/>
  <c r="J53" i="1"/>
  <c r="J52" i="1"/>
  <c r="J51" i="1"/>
  <c r="J50" i="1"/>
  <c r="J49" i="1"/>
  <c r="J48" i="1"/>
  <c r="J42" i="1"/>
  <c r="J41" i="1"/>
  <c r="J40" i="1"/>
  <c r="J39" i="1"/>
  <c r="J38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9" i="1"/>
  <c r="F3844" i="2"/>
  <c r="G3844" i="2"/>
  <c r="H3844" i="2"/>
  <c r="F3845" i="2"/>
  <c r="G3845" i="2"/>
  <c r="H3845" i="2"/>
  <c r="F3846" i="2"/>
  <c r="G3846" i="2"/>
  <c r="H3846" i="2"/>
  <c r="F3847" i="2"/>
  <c r="G3847" i="2"/>
  <c r="H3847" i="2"/>
  <c r="F3848" i="2"/>
  <c r="G3848" i="2"/>
  <c r="H3848" i="2"/>
  <c r="F3849" i="2"/>
  <c r="G3849" i="2"/>
  <c r="H3849" i="2"/>
  <c r="F3850" i="2"/>
  <c r="G3850" i="2"/>
  <c r="H3850" i="2"/>
  <c r="F3851" i="2"/>
  <c r="G3851" i="2"/>
  <c r="H3851" i="2"/>
  <c r="F3852" i="2"/>
  <c r="G3852" i="2"/>
  <c r="H3852" i="2"/>
  <c r="F3853" i="2"/>
  <c r="G3853" i="2"/>
  <c r="H3853" i="2"/>
  <c r="F3854" i="2"/>
  <c r="G3854" i="2"/>
  <c r="H3854" i="2"/>
  <c r="F3855" i="2"/>
  <c r="G3855" i="2"/>
  <c r="H3855" i="2"/>
  <c r="F3856" i="2"/>
  <c r="G3856" i="2"/>
  <c r="H3856" i="2"/>
  <c r="F3857" i="2"/>
  <c r="G3857" i="2"/>
  <c r="H3857" i="2"/>
  <c r="F3858" i="2"/>
  <c r="G3858" i="2"/>
  <c r="H3858" i="2"/>
  <c r="F3859" i="2"/>
  <c r="G3859" i="2"/>
  <c r="H3859" i="2"/>
  <c r="F3860" i="2"/>
  <c r="G3860" i="2"/>
  <c r="H3860" i="2"/>
  <c r="F3861" i="2"/>
  <c r="G3861" i="2"/>
  <c r="H3861" i="2"/>
  <c r="F3862" i="2"/>
  <c r="G3862" i="2"/>
  <c r="H3862" i="2"/>
  <c r="F3863" i="2"/>
  <c r="G3863" i="2"/>
  <c r="H3863" i="2"/>
  <c r="F3864" i="2"/>
  <c r="G3864" i="2"/>
  <c r="H3864" i="2"/>
  <c r="F3865" i="2"/>
  <c r="G3865" i="2"/>
  <c r="H3865" i="2"/>
  <c r="F3866" i="2"/>
  <c r="G3866" i="2"/>
  <c r="H3866" i="2"/>
  <c r="F3867" i="2"/>
  <c r="G3867" i="2"/>
  <c r="H3867" i="2"/>
  <c r="F3868" i="2"/>
  <c r="G3868" i="2"/>
  <c r="H3868" i="2"/>
  <c r="F3869" i="2"/>
  <c r="G3869" i="2"/>
  <c r="H3869" i="2"/>
  <c r="F3870" i="2"/>
  <c r="G3870" i="2"/>
  <c r="H3870" i="2"/>
  <c r="F10" i="2"/>
  <c r="G10" i="2"/>
  <c r="F11" i="2"/>
  <c r="G11" i="2"/>
  <c r="F12" i="2"/>
  <c r="G12" i="2"/>
  <c r="F13" i="2"/>
  <c r="F14" i="2"/>
  <c r="F15" i="2"/>
  <c r="F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F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F220" i="2"/>
  <c r="F221" i="2"/>
  <c r="F222" i="2"/>
  <c r="G222" i="2"/>
  <c r="F223" i="2"/>
  <c r="G223" i="2"/>
  <c r="F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324" i="2"/>
  <c r="G324" i="2"/>
  <c r="F325" i="2"/>
  <c r="G325" i="2"/>
  <c r="F326" i="2"/>
  <c r="G326" i="2"/>
  <c r="F327" i="2"/>
  <c r="G327" i="2"/>
  <c r="F328" i="2"/>
  <c r="G328" i="2"/>
  <c r="F329" i="2"/>
  <c r="G329" i="2"/>
  <c r="F330" i="2"/>
  <c r="G330" i="2"/>
  <c r="F331" i="2"/>
  <c r="G331" i="2"/>
  <c r="F332" i="2"/>
  <c r="G332" i="2"/>
  <c r="F333" i="2"/>
  <c r="G333" i="2"/>
  <c r="F334" i="2"/>
  <c r="G334" i="2"/>
  <c r="F335" i="2"/>
  <c r="G335" i="2"/>
  <c r="F336" i="2"/>
  <c r="G336" i="2"/>
  <c r="F337" i="2"/>
  <c r="G337" i="2"/>
  <c r="F338" i="2"/>
  <c r="G338" i="2"/>
  <c r="F339" i="2"/>
  <c r="G339" i="2"/>
  <c r="F340" i="2"/>
  <c r="G340" i="2"/>
  <c r="F341" i="2"/>
  <c r="G341" i="2"/>
  <c r="F342" i="2"/>
  <c r="G342" i="2"/>
  <c r="F343" i="2"/>
  <c r="G343" i="2"/>
  <c r="F344" i="2"/>
  <c r="G344" i="2"/>
  <c r="F345" i="2"/>
  <c r="G345" i="2"/>
  <c r="F346" i="2"/>
  <c r="G346" i="2"/>
  <c r="F347" i="2"/>
  <c r="G347" i="2"/>
  <c r="F348" i="2"/>
  <c r="G348" i="2"/>
  <c r="F349" i="2"/>
  <c r="G349" i="2"/>
  <c r="F350" i="2"/>
  <c r="G350" i="2"/>
  <c r="F351" i="2"/>
  <c r="G351" i="2"/>
  <c r="F352" i="2"/>
  <c r="G352" i="2"/>
  <c r="F353" i="2"/>
  <c r="G353" i="2"/>
  <c r="F354" i="2"/>
  <c r="G354" i="2"/>
  <c r="F355" i="2"/>
  <c r="G355" i="2"/>
  <c r="F356" i="2"/>
  <c r="G356" i="2"/>
  <c r="F357" i="2"/>
  <c r="G357" i="2"/>
  <c r="F358" i="2"/>
  <c r="G358" i="2"/>
  <c r="F359" i="2"/>
  <c r="G359" i="2"/>
  <c r="F360" i="2"/>
  <c r="G360" i="2"/>
  <c r="F361" i="2"/>
  <c r="G361" i="2"/>
  <c r="F362" i="2"/>
  <c r="G362" i="2"/>
  <c r="F363" i="2"/>
  <c r="G363" i="2"/>
  <c r="F364" i="2"/>
  <c r="G364" i="2"/>
  <c r="F365" i="2"/>
  <c r="G365" i="2"/>
  <c r="F366" i="2"/>
  <c r="G366" i="2"/>
  <c r="F367" i="2"/>
  <c r="F368" i="2"/>
  <c r="F369" i="2"/>
  <c r="G369" i="2"/>
  <c r="F370" i="2"/>
  <c r="G370" i="2"/>
  <c r="F371" i="2"/>
  <c r="G371" i="2"/>
  <c r="F372" i="2"/>
  <c r="F373" i="2"/>
  <c r="G373" i="2"/>
  <c r="F374" i="2"/>
  <c r="F375" i="2"/>
  <c r="G375" i="2"/>
  <c r="F376" i="2"/>
  <c r="G376" i="2"/>
  <c r="F377" i="2"/>
  <c r="G377" i="2"/>
  <c r="F378" i="2"/>
  <c r="G378" i="2"/>
  <c r="F379" i="2"/>
  <c r="G379" i="2"/>
  <c r="F380" i="2"/>
  <c r="G380" i="2"/>
  <c r="F381" i="2"/>
  <c r="G381" i="2"/>
  <c r="F382" i="2"/>
  <c r="G382" i="2"/>
  <c r="F383" i="2"/>
  <c r="G383" i="2"/>
  <c r="F384" i="2"/>
  <c r="G384" i="2"/>
  <c r="F385" i="2"/>
  <c r="G385" i="2"/>
  <c r="F386" i="2"/>
  <c r="G386" i="2"/>
  <c r="F387" i="2"/>
  <c r="G387" i="2"/>
  <c r="F388" i="2"/>
  <c r="G388" i="2"/>
  <c r="F389" i="2"/>
  <c r="G389" i="2"/>
  <c r="F390" i="2"/>
  <c r="G390" i="2"/>
  <c r="F391" i="2"/>
  <c r="G391" i="2"/>
  <c r="F392" i="2"/>
  <c r="G392" i="2"/>
  <c r="F393" i="2"/>
  <c r="G393" i="2"/>
  <c r="F394" i="2"/>
  <c r="G394" i="2"/>
  <c r="F395" i="2"/>
  <c r="G395" i="2"/>
  <c r="F396" i="2"/>
  <c r="G396" i="2"/>
  <c r="F397" i="2"/>
  <c r="G397" i="2"/>
  <c r="F398" i="2"/>
  <c r="G398" i="2"/>
  <c r="F399" i="2"/>
  <c r="G399" i="2"/>
  <c r="F400" i="2"/>
  <c r="G400" i="2"/>
  <c r="F401" i="2"/>
  <c r="G401" i="2"/>
  <c r="F402" i="2"/>
  <c r="G402" i="2"/>
  <c r="F403" i="2"/>
  <c r="G403" i="2"/>
  <c r="F404" i="2"/>
  <c r="G404" i="2"/>
  <c r="F405" i="2"/>
  <c r="G405" i="2"/>
  <c r="F406" i="2"/>
  <c r="G406" i="2"/>
  <c r="F407" i="2"/>
  <c r="G407" i="2"/>
  <c r="F408" i="2"/>
  <c r="G408" i="2"/>
  <c r="F409" i="2"/>
  <c r="G409" i="2"/>
  <c r="F410" i="2"/>
  <c r="G410" i="2"/>
  <c r="F411" i="2"/>
  <c r="G411" i="2"/>
  <c r="F412" i="2"/>
  <c r="G412" i="2"/>
  <c r="F413" i="2"/>
  <c r="G413" i="2"/>
  <c r="F414" i="2"/>
  <c r="G414" i="2"/>
  <c r="F415" i="2"/>
  <c r="G415" i="2"/>
  <c r="F416" i="2"/>
  <c r="G416" i="2"/>
  <c r="F417" i="2"/>
  <c r="G417" i="2"/>
  <c r="F418" i="2"/>
  <c r="G418" i="2"/>
  <c r="F419" i="2"/>
  <c r="G419" i="2"/>
  <c r="F420" i="2"/>
  <c r="G420" i="2"/>
  <c r="F421" i="2"/>
  <c r="G421" i="2"/>
  <c r="F422" i="2"/>
  <c r="G422" i="2"/>
  <c r="F423" i="2"/>
  <c r="G423" i="2"/>
  <c r="F424" i="2"/>
  <c r="G424" i="2"/>
  <c r="F425" i="2"/>
  <c r="G425" i="2"/>
  <c r="F426" i="2"/>
  <c r="G426" i="2"/>
  <c r="F427" i="2"/>
  <c r="G427" i="2"/>
  <c r="F428" i="2"/>
  <c r="G428" i="2"/>
  <c r="F429" i="2"/>
  <c r="G429" i="2"/>
  <c r="F430" i="2"/>
  <c r="G430" i="2"/>
  <c r="F431" i="2"/>
  <c r="G431" i="2"/>
  <c r="F432" i="2"/>
  <c r="G432" i="2"/>
  <c r="F433" i="2"/>
  <c r="G433" i="2"/>
  <c r="F434" i="2"/>
  <c r="G434" i="2"/>
  <c r="F435" i="2"/>
  <c r="G435" i="2"/>
  <c r="F436" i="2"/>
  <c r="G436" i="2"/>
  <c r="F437" i="2"/>
  <c r="G437" i="2"/>
  <c r="F438" i="2"/>
  <c r="G438" i="2"/>
  <c r="F439" i="2"/>
  <c r="G439" i="2"/>
  <c r="F440" i="2"/>
  <c r="G440" i="2"/>
  <c r="F441" i="2"/>
  <c r="G441" i="2"/>
  <c r="F442" i="2"/>
  <c r="G442" i="2"/>
  <c r="F443" i="2"/>
  <c r="G443" i="2"/>
  <c r="F444" i="2"/>
  <c r="G444" i="2"/>
  <c r="F445" i="2"/>
  <c r="G445" i="2"/>
  <c r="F446" i="2"/>
  <c r="G446" i="2"/>
  <c r="F447" i="2"/>
  <c r="G447" i="2"/>
  <c r="F448" i="2"/>
  <c r="G448" i="2"/>
  <c r="F449" i="2"/>
  <c r="G449" i="2"/>
  <c r="F450" i="2"/>
  <c r="G450" i="2"/>
  <c r="F451" i="2"/>
  <c r="G451" i="2"/>
  <c r="F452" i="2"/>
  <c r="G452" i="2"/>
  <c r="F453" i="2"/>
  <c r="G453" i="2"/>
  <c r="F454" i="2"/>
  <c r="G454" i="2"/>
  <c r="F455" i="2"/>
  <c r="G455" i="2"/>
  <c r="F456" i="2"/>
  <c r="G456" i="2"/>
  <c r="F457" i="2"/>
  <c r="G457" i="2"/>
  <c r="F458" i="2"/>
  <c r="G458" i="2"/>
  <c r="F459" i="2"/>
  <c r="G459" i="2"/>
  <c r="F460" i="2"/>
  <c r="G460" i="2"/>
  <c r="F461" i="2"/>
  <c r="G461" i="2"/>
  <c r="F462" i="2"/>
  <c r="G462" i="2"/>
  <c r="F463" i="2"/>
  <c r="G463" i="2"/>
  <c r="F464" i="2"/>
  <c r="G464" i="2"/>
  <c r="F465" i="2"/>
  <c r="G465" i="2"/>
  <c r="F466" i="2"/>
  <c r="G466" i="2"/>
  <c r="F467" i="2"/>
  <c r="G467" i="2"/>
  <c r="F468" i="2"/>
  <c r="G468" i="2"/>
  <c r="F469" i="2"/>
  <c r="G469" i="2"/>
  <c r="F470" i="2"/>
  <c r="G470" i="2"/>
  <c r="F471" i="2"/>
  <c r="G471" i="2"/>
  <c r="F472" i="2"/>
  <c r="G472" i="2"/>
  <c r="F473" i="2"/>
  <c r="G473" i="2"/>
  <c r="F474" i="2"/>
  <c r="G474" i="2"/>
  <c r="F475" i="2"/>
  <c r="G475" i="2"/>
  <c r="F476" i="2"/>
  <c r="G476" i="2"/>
  <c r="F477" i="2"/>
  <c r="G477" i="2"/>
  <c r="F478" i="2"/>
  <c r="G478" i="2"/>
  <c r="F479" i="2"/>
  <c r="G479" i="2"/>
  <c r="F480" i="2"/>
  <c r="G480" i="2"/>
  <c r="F481" i="2"/>
  <c r="G481" i="2"/>
  <c r="F482" i="2"/>
  <c r="G482" i="2"/>
  <c r="F483" i="2"/>
  <c r="G483" i="2"/>
  <c r="F484" i="2"/>
  <c r="G484" i="2"/>
  <c r="F485" i="2"/>
  <c r="G485" i="2"/>
  <c r="F486" i="2"/>
  <c r="G486" i="2"/>
  <c r="F487" i="2"/>
  <c r="G487" i="2"/>
  <c r="F488" i="2"/>
  <c r="G488" i="2"/>
  <c r="F489" i="2"/>
  <c r="G489" i="2"/>
  <c r="F490" i="2"/>
  <c r="G490" i="2"/>
  <c r="F491" i="2"/>
  <c r="G491" i="2"/>
  <c r="F492" i="2"/>
  <c r="G492" i="2"/>
  <c r="F493" i="2"/>
  <c r="G493" i="2"/>
  <c r="F494" i="2"/>
  <c r="G494" i="2"/>
  <c r="F495" i="2"/>
  <c r="G495" i="2"/>
  <c r="F496" i="2"/>
  <c r="G496" i="2"/>
  <c r="F497" i="2"/>
  <c r="G497" i="2"/>
  <c r="F498" i="2"/>
  <c r="G498" i="2"/>
  <c r="F499" i="2"/>
  <c r="G499" i="2"/>
  <c r="F500" i="2"/>
  <c r="G500" i="2"/>
  <c r="F501" i="2"/>
  <c r="G501" i="2"/>
  <c r="F502" i="2"/>
  <c r="G502" i="2"/>
  <c r="F503" i="2"/>
  <c r="G503" i="2"/>
  <c r="F504" i="2"/>
  <c r="G504" i="2"/>
  <c r="F505" i="2"/>
  <c r="G505" i="2"/>
  <c r="F506" i="2"/>
  <c r="G506" i="2"/>
  <c r="F507" i="2"/>
  <c r="G507" i="2"/>
  <c r="F508" i="2"/>
  <c r="G508" i="2"/>
  <c r="F509" i="2"/>
  <c r="G509" i="2"/>
  <c r="F510" i="2"/>
  <c r="G510" i="2"/>
  <c r="F511" i="2"/>
  <c r="G511" i="2"/>
  <c r="F512" i="2"/>
  <c r="G512" i="2"/>
  <c r="F513" i="2"/>
  <c r="G513" i="2"/>
  <c r="F514" i="2"/>
  <c r="G514" i="2"/>
  <c r="F515" i="2"/>
  <c r="G515" i="2"/>
  <c r="F516" i="2"/>
  <c r="G516" i="2"/>
  <c r="F517" i="2"/>
  <c r="G517" i="2"/>
  <c r="F518" i="2"/>
  <c r="G518" i="2"/>
  <c r="F519" i="2"/>
  <c r="G519" i="2"/>
  <c r="F520" i="2"/>
  <c r="G520" i="2"/>
  <c r="F521" i="2"/>
  <c r="G521" i="2"/>
  <c r="F522" i="2"/>
  <c r="F523" i="2"/>
  <c r="F524" i="2"/>
  <c r="G524" i="2"/>
  <c r="F525" i="2"/>
  <c r="G525" i="2"/>
  <c r="F526" i="2"/>
  <c r="G526" i="2"/>
  <c r="F527" i="2"/>
  <c r="F528" i="2"/>
  <c r="F529" i="2"/>
  <c r="G529" i="2"/>
  <c r="F530" i="2"/>
  <c r="G530" i="2"/>
  <c r="F531" i="2"/>
  <c r="G531" i="2"/>
  <c r="F532" i="2"/>
  <c r="G532" i="2"/>
  <c r="F533" i="2"/>
  <c r="G533" i="2"/>
  <c r="F534" i="2"/>
  <c r="G534" i="2"/>
  <c r="F535" i="2"/>
  <c r="G535" i="2"/>
  <c r="F536" i="2"/>
  <c r="G536" i="2"/>
  <c r="F537" i="2"/>
  <c r="G537" i="2"/>
  <c r="F538" i="2"/>
  <c r="G538" i="2"/>
  <c r="F539" i="2"/>
  <c r="G539" i="2"/>
  <c r="F540" i="2"/>
  <c r="G540" i="2"/>
  <c r="F541" i="2"/>
  <c r="G541" i="2"/>
  <c r="F542" i="2"/>
  <c r="G542" i="2"/>
  <c r="F543" i="2"/>
  <c r="G543" i="2"/>
  <c r="F544" i="2"/>
  <c r="G544" i="2"/>
  <c r="F545" i="2"/>
  <c r="G545" i="2"/>
  <c r="F546" i="2"/>
  <c r="G546" i="2"/>
  <c r="F547" i="2"/>
  <c r="G547" i="2"/>
  <c r="F548" i="2"/>
  <c r="G548" i="2"/>
  <c r="F549" i="2"/>
  <c r="G549" i="2"/>
  <c r="F550" i="2"/>
  <c r="G550" i="2"/>
  <c r="F551" i="2"/>
  <c r="G551" i="2"/>
  <c r="F552" i="2"/>
  <c r="G552" i="2"/>
  <c r="F553" i="2"/>
  <c r="G553" i="2"/>
  <c r="F554" i="2"/>
  <c r="G554" i="2"/>
  <c r="F555" i="2"/>
  <c r="G555" i="2"/>
  <c r="F556" i="2"/>
  <c r="G556" i="2"/>
  <c r="F557" i="2"/>
  <c r="G557" i="2"/>
  <c r="F558" i="2"/>
  <c r="G558" i="2"/>
  <c r="F559" i="2"/>
  <c r="G559" i="2"/>
  <c r="F560" i="2"/>
  <c r="G560" i="2"/>
  <c r="F561" i="2"/>
  <c r="G561" i="2"/>
  <c r="F562" i="2"/>
  <c r="G562" i="2"/>
  <c r="F563" i="2"/>
  <c r="G563" i="2"/>
  <c r="F564" i="2"/>
  <c r="G564" i="2"/>
  <c r="F565" i="2"/>
  <c r="G565" i="2"/>
  <c r="F566" i="2"/>
  <c r="G566" i="2"/>
  <c r="F567" i="2"/>
  <c r="G567" i="2"/>
  <c r="F568" i="2"/>
  <c r="G568" i="2"/>
  <c r="F569" i="2"/>
  <c r="G569" i="2"/>
  <c r="F570" i="2"/>
  <c r="G570" i="2"/>
  <c r="F571" i="2"/>
  <c r="G571" i="2"/>
  <c r="F572" i="2"/>
  <c r="G572" i="2"/>
  <c r="F573" i="2"/>
  <c r="G573" i="2"/>
  <c r="F574" i="2"/>
  <c r="G574" i="2"/>
  <c r="F575" i="2"/>
  <c r="G575" i="2"/>
  <c r="F576" i="2"/>
  <c r="G576" i="2"/>
  <c r="F577" i="2"/>
  <c r="G577" i="2"/>
  <c r="F578" i="2"/>
  <c r="G578" i="2"/>
  <c r="F579" i="2"/>
  <c r="G579" i="2"/>
  <c r="F580" i="2"/>
  <c r="G580" i="2"/>
  <c r="F581" i="2"/>
  <c r="G581" i="2"/>
  <c r="F582" i="2"/>
  <c r="G582" i="2"/>
  <c r="F583" i="2"/>
  <c r="G583" i="2"/>
  <c r="F584" i="2"/>
  <c r="G584" i="2"/>
  <c r="F585" i="2"/>
  <c r="G585" i="2"/>
  <c r="F586" i="2"/>
  <c r="G586" i="2"/>
  <c r="F587" i="2"/>
  <c r="G587" i="2"/>
  <c r="F588" i="2"/>
  <c r="F589" i="2"/>
  <c r="G589" i="2"/>
  <c r="F590" i="2"/>
  <c r="F591" i="2"/>
  <c r="G591" i="2"/>
  <c r="F592" i="2"/>
  <c r="F593" i="2"/>
  <c r="G593" i="2"/>
  <c r="F594" i="2"/>
  <c r="G594" i="2"/>
  <c r="F595" i="2"/>
  <c r="G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G611" i="2"/>
  <c r="F612" i="2"/>
  <c r="G612" i="2"/>
  <c r="F613" i="2"/>
  <c r="G613" i="2"/>
  <c r="F614" i="2"/>
  <c r="F615" i="2"/>
  <c r="G615" i="2"/>
  <c r="F616" i="2"/>
  <c r="F617" i="2"/>
  <c r="G617" i="2"/>
  <c r="F618" i="2"/>
  <c r="G618" i="2"/>
  <c r="F619" i="2"/>
  <c r="G619" i="2"/>
  <c r="F620" i="2"/>
  <c r="G620" i="2"/>
  <c r="F621" i="2"/>
  <c r="G621" i="2"/>
  <c r="F622" i="2"/>
  <c r="G622" i="2"/>
  <c r="F623" i="2"/>
  <c r="G623" i="2"/>
  <c r="F624" i="2"/>
  <c r="G624" i="2"/>
  <c r="F625" i="2"/>
  <c r="G625" i="2"/>
  <c r="F626" i="2"/>
  <c r="G626" i="2"/>
  <c r="F627" i="2"/>
  <c r="G627" i="2"/>
  <c r="F628" i="2"/>
  <c r="G628" i="2"/>
  <c r="F629" i="2"/>
  <c r="G629" i="2"/>
  <c r="F630" i="2"/>
  <c r="G630" i="2"/>
  <c r="F631" i="2"/>
  <c r="G631" i="2"/>
  <c r="F632" i="2"/>
  <c r="G632" i="2"/>
  <c r="F633" i="2"/>
  <c r="G633" i="2"/>
  <c r="F634" i="2"/>
  <c r="G634" i="2"/>
  <c r="F635" i="2"/>
  <c r="G635" i="2"/>
  <c r="F636" i="2"/>
  <c r="G636" i="2"/>
  <c r="F637" i="2"/>
  <c r="G637" i="2"/>
  <c r="F638" i="2"/>
  <c r="G638" i="2"/>
  <c r="F639" i="2"/>
  <c r="G639" i="2"/>
  <c r="F640" i="2"/>
  <c r="G640" i="2"/>
  <c r="F641" i="2"/>
  <c r="G641" i="2"/>
  <c r="F642" i="2"/>
  <c r="G642" i="2"/>
  <c r="F643" i="2"/>
  <c r="G643" i="2"/>
  <c r="F644" i="2"/>
  <c r="G644" i="2"/>
  <c r="F645" i="2"/>
  <c r="G645" i="2"/>
  <c r="F646" i="2"/>
  <c r="G646" i="2"/>
  <c r="F647" i="2"/>
  <c r="G647" i="2"/>
  <c r="F648" i="2"/>
  <c r="G648" i="2"/>
  <c r="F649" i="2"/>
  <c r="G649" i="2"/>
  <c r="F650" i="2"/>
  <c r="G650" i="2"/>
  <c r="F651" i="2"/>
  <c r="F652" i="2"/>
  <c r="G652" i="2"/>
  <c r="F653" i="2"/>
  <c r="F654" i="2"/>
  <c r="G654" i="2"/>
  <c r="F655" i="2"/>
  <c r="G655" i="2"/>
  <c r="F656" i="2"/>
  <c r="G656" i="2"/>
  <c r="F657" i="2"/>
  <c r="G657" i="2"/>
  <c r="F658" i="2"/>
  <c r="G658" i="2"/>
  <c r="F659" i="2"/>
  <c r="G659" i="2"/>
  <c r="F660" i="2"/>
  <c r="G660" i="2"/>
  <c r="F661" i="2"/>
  <c r="G661" i="2"/>
  <c r="F662" i="2"/>
  <c r="G662" i="2"/>
  <c r="F663" i="2"/>
  <c r="G663" i="2"/>
  <c r="F664" i="2"/>
  <c r="G664" i="2"/>
  <c r="F665" i="2"/>
  <c r="G665" i="2"/>
  <c r="F666" i="2"/>
  <c r="G666" i="2"/>
  <c r="F667" i="2"/>
  <c r="G667" i="2"/>
  <c r="F668" i="2"/>
  <c r="G668" i="2"/>
  <c r="F669" i="2"/>
  <c r="G669" i="2"/>
  <c r="F670" i="2"/>
  <c r="G670" i="2"/>
  <c r="F671" i="2"/>
  <c r="G671" i="2"/>
  <c r="F672" i="2"/>
  <c r="G672" i="2"/>
  <c r="F673" i="2"/>
  <c r="F674" i="2"/>
  <c r="G674" i="2"/>
  <c r="F675" i="2"/>
  <c r="F676" i="2"/>
  <c r="G676" i="2"/>
  <c r="F677" i="2"/>
  <c r="G677" i="2"/>
  <c r="F678" i="2"/>
  <c r="G678" i="2"/>
  <c r="F679" i="2"/>
  <c r="G679" i="2"/>
  <c r="F680" i="2"/>
  <c r="G680" i="2"/>
  <c r="F681" i="2"/>
  <c r="G681" i="2"/>
  <c r="F682" i="2"/>
  <c r="G682" i="2"/>
  <c r="F683" i="2"/>
  <c r="G683" i="2"/>
  <c r="F684" i="2"/>
  <c r="G684" i="2"/>
  <c r="F685" i="2"/>
  <c r="G685" i="2"/>
  <c r="F686" i="2"/>
  <c r="G686" i="2"/>
  <c r="F687" i="2"/>
  <c r="G687" i="2"/>
  <c r="F688" i="2"/>
  <c r="G688" i="2"/>
  <c r="F689" i="2"/>
  <c r="G689" i="2"/>
  <c r="F690" i="2"/>
  <c r="G690" i="2"/>
  <c r="F691" i="2"/>
  <c r="G691" i="2"/>
  <c r="F692" i="2"/>
  <c r="G692" i="2"/>
  <c r="F693" i="2"/>
  <c r="G693" i="2"/>
  <c r="F694" i="2"/>
  <c r="G694" i="2"/>
  <c r="F695" i="2"/>
  <c r="G695" i="2"/>
  <c r="F696" i="2"/>
  <c r="G696" i="2"/>
  <c r="F697" i="2"/>
  <c r="G697" i="2"/>
  <c r="F698" i="2"/>
  <c r="G698" i="2"/>
  <c r="F699" i="2"/>
  <c r="G699" i="2"/>
  <c r="F700" i="2"/>
  <c r="G700" i="2"/>
  <c r="F701" i="2"/>
  <c r="G701" i="2"/>
  <c r="F702" i="2"/>
  <c r="G702" i="2"/>
  <c r="F703" i="2"/>
  <c r="G703" i="2"/>
  <c r="F704" i="2"/>
  <c r="G704" i="2"/>
  <c r="F705" i="2"/>
  <c r="G705" i="2"/>
  <c r="F706" i="2"/>
  <c r="G706" i="2"/>
  <c r="F707" i="2"/>
  <c r="G707" i="2"/>
  <c r="F708" i="2"/>
  <c r="G708" i="2"/>
  <c r="F709" i="2"/>
  <c r="G709" i="2"/>
  <c r="F710" i="2"/>
  <c r="G710" i="2"/>
  <c r="F711" i="2"/>
  <c r="G711" i="2"/>
  <c r="F712" i="2"/>
  <c r="G712" i="2"/>
  <c r="F713" i="2"/>
  <c r="G713" i="2"/>
  <c r="F714" i="2"/>
  <c r="G714" i="2"/>
  <c r="F715" i="2"/>
  <c r="G715" i="2"/>
  <c r="F716" i="2"/>
  <c r="G716" i="2"/>
  <c r="F717" i="2"/>
  <c r="G717" i="2"/>
  <c r="F718" i="2"/>
  <c r="G718" i="2"/>
  <c r="F719" i="2"/>
  <c r="G719" i="2"/>
  <c r="F720" i="2"/>
  <c r="G720" i="2"/>
  <c r="F721" i="2"/>
  <c r="G721" i="2"/>
  <c r="F722" i="2"/>
  <c r="G722" i="2"/>
  <c r="F723" i="2"/>
  <c r="G723" i="2"/>
  <c r="F724" i="2"/>
  <c r="G724" i="2"/>
  <c r="F725" i="2"/>
  <c r="G725" i="2"/>
  <c r="F726" i="2"/>
  <c r="G726" i="2"/>
  <c r="F727" i="2"/>
  <c r="G727" i="2"/>
  <c r="F728" i="2"/>
  <c r="G728" i="2"/>
  <c r="F729" i="2"/>
  <c r="G729" i="2"/>
  <c r="F730" i="2"/>
  <c r="G730" i="2"/>
  <c r="F731" i="2"/>
  <c r="G731" i="2"/>
  <c r="F732" i="2"/>
  <c r="G732" i="2"/>
  <c r="F733" i="2"/>
  <c r="G733" i="2"/>
  <c r="F734" i="2"/>
  <c r="G734" i="2"/>
  <c r="F735" i="2"/>
  <c r="G735" i="2"/>
  <c r="F736" i="2"/>
  <c r="G736" i="2"/>
  <c r="F737" i="2"/>
  <c r="G737" i="2"/>
  <c r="F738" i="2"/>
  <c r="G738" i="2"/>
  <c r="F739" i="2"/>
  <c r="G739" i="2"/>
  <c r="F740" i="2"/>
  <c r="G740" i="2"/>
  <c r="F741" i="2"/>
  <c r="G741" i="2"/>
  <c r="F742" i="2"/>
  <c r="G742" i="2"/>
  <c r="F743" i="2"/>
  <c r="G743" i="2"/>
  <c r="F744" i="2"/>
  <c r="G744" i="2"/>
  <c r="F745" i="2"/>
  <c r="G745" i="2"/>
  <c r="F746" i="2"/>
  <c r="G746" i="2"/>
  <c r="F747" i="2"/>
  <c r="G747" i="2"/>
  <c r="F748" i="2"/>
  <c r="G748" i="2"/>
  <c r="F749" i="2"/>
  <c r="G749" i="2"/>
  <c r="F750" i="2"/>
  <c r="G750" i="2"/>
  <c r="F751" i="2"/>
  <c r="G751" i="2"/>
  <c r="F752" i="2"/>
  <c r="G752" i="2"/>
  <c r="F753" i="2"/>
  <c r="G753" i="2"/>
  <c r="F754" i="2"/>
  <c r="G754" i="2"/>
  <c r="F755" i="2"/>
  <c r="G755" i="2"/>
  <c r="F756" i="2"/>
  <c r="G756" i="2"/>
  <c r="F757" i="2"/>
  <c r="G757" i="2"/>
  <c r="F758" i="2"/>
  <c r="G758" i="2"/>
  <c r="F759" i="2"/>
  <c r="G759" i="2"/>
  <c r="F760" i="2"/>
  <c r="G760" i="2"/>
  <c r="F761" i="2"/>
  <c r="G761" i="2"/>
  <c r="F762" i="2"/>
  <c r="G762" i="2"/>
  <c r="F763" i="2"/>
  <c r="G763" i="2"/>
  <c r="F764" i="2"/>
  <c r="G764" i="2"/>
  <c r="F765" i="2"/>
  <c r="G765" i="2"/>
  <c r="F766" i="2"/>
  <c r="G766" i="2"/>
  <c r="F767" i="2"/>
  <c r="G767" i="2"/>
  <c r="F768" i="2"/>
  <c r="G768" i="2"/>
  <c r="F769" i="2"/>
  <c r="G769" i="2"/>
  <c r="F770" i="2"/>
  <c r="G770" i="2"/>
  <c r="F771" i="2"/>
  <c r="G771" i="2"/>
  <c r="F772" i="2"/>
  <c r="G772" i="2"/>
  <c r="F773" i="2"/>
  <c r="G773" i="2"/>
  <c r="F774" i="2"/>
  <c r="G774" i="2"/>
  <c r="F775" i="2"/>
  <c r="G775" i="2"/>
  <c r="F776" i="2"/>
  <c r="G776" i="2"/>
  <c r="F777" i="2"/>
  <c r="G777" i="2"/>
  <c r="F778" i="2"/>
  <c r="G778" i="2"/>
  <c r="F779" i="2"/>
  <c r="G779" i="2"/>
  <c r="F780" i="2"/>
  <c r="G780" i="2"/>
  <c r="F781" i="2"/>
  <c r="G781" i="2"/>
  <c r="F782" i="2"/>
  <c r="G782" i="2"/>
  <c r="F783" i="2"/>
  <c r="G783" i="2"/>
  <c r="F784" i="2"/>
  <c r="G784" i="2"/>
  <c r="F785" i="2"/>
  <c r="G785" i="2"/>
  <c r="F786" i="2"/>
  <c r="G786" i="2"/>
  <c r="F787" i="2"/>
  <c r="G787" i="2"/>
  <c r="F788" i="2"/>
  <c r="G788" i="2"/>
  <c r="F789" i="2"/>
  <c r="G789" i="2"/>
  <c r="F790" i="2"/>
  <c r="G790" i="2"/>
  <c r="F791" i="2"/>
  <c r="G791" i="2"/>
  <c r="F792" i="2"/>
  <c r="G792" i="2"/>
  <c r="F793" i="2"/>
  <c r="G793" i="2"/>
  <c r="F794" i="2"/>
  <c r="G794" i="2"/>
  <c r="F795" i="2"/>
  <c r="G795" i="2"/>
  <c r="F796" i="2"/>
  <c r="G796" i="2"/>
  <c r="F797" i="2"/>
  <c r="G797" i="2"/>
  <c r="F798" i="2"/>
  <c r="G798" i="2"/>
  <c r="F799" i="2"/>
  <c r="G799" i="2"/>
  <c r="F800" i="2"/>
  <c r="G800" i="2"/>
  <c r="F801" i="2"/>
  <c r="G801" i="2"/>
  <c r="F802" i="2"/>
  <c r="G802" i="2"/>
  <c r="F803" i="2"/>
  <c r="G803" i="2"/>
  <c r="F804" i="2"/>
  <c r="G804" i="2"/>
  <c r="F805" i="2"/>
  <c r="G805" i="2"/>
  <c r="F806" i="2"/>
  <c r="G806" i="2"/>
  <c r="F807" i="2"/>
  <c r="G807" i="2"/>
  <c r="F808" i="2"/>
  <c r="G808" i="2"/>
  <c r="F809" i="2"/>
  <c r="G809" i="2"/>
  <c r="F810" i="2"/>
  <c r="G810" i="2"/>
  <c r="F811" i="2"/>
  <c r="G811" i="2"/>
  <c r="F812" i="2"/>
  <c r="G812" i="2"/>
  <c r="F813" i="2"/>
  <c r="G813" i="2"/>
  <c r="F814" i="2"/>
  <c r="G814" i="2"/>
  <c r="F815" i="2"/>
  <c r="G815" i="2"/>
  <c r="F816" i="2"/>
  <c r="G816" i="2"/>
  <c r="F817" i="2"/>
  <c r="G817" i="2"/>
  <c r="F818" i="2"/>
  <c r="G818" i="2"/>
  <c r="F819" i="2"/>
  <c r="G819" i="2"/>
  <c r="F820" i="2"/>
  <c r="G820" i="2"/>
  <c r="F821" i="2"/>
  <c r="G821" i="2"/>
  <c r="F822" i="2"/>
  <c r="G822" i="2"/>
  <c r="F823" i="2"/>
  <c r="G823" i="2"/>
  <c r="F824" i="2"/>
  <c r="G824" i="2"/>
  <c r="F825" i="2"/>
  <c r="G825" i="2"/>
  <c r="F826" i="2"/>
  <c r="G826" i="2"/>
  <c r="F827" i="2"/>
  <c r="G827" i="2"/>
  <c r="F828" i="2"/>
  <c r="G828" i="2"/>
  <c r="F829" i="2"/>
  <c r="G829" i="2"/>
  <c r="F830" i="2"/>
  <c r="G830" i="2"/>
  <c r="F831" i="2"/>
  <c r="G831" i="2"/>
  <c r="F832" i="2"/>
  <c r="G832" i="2"/>
  <c r="F833" i="2"/>
  <c r="G833" i="2"/>
  <c r="F834" i="2"/>
  <c r="G834" i="2"/>
  <c r="F835" i="2"/>
  <c r="G835" i="2"/>
  <c r="F836" i="2"/>
  <c r="G836" i="2"/>
  <c r="F837" i="2"/>
  <c r="G837" i="2"/>
  <c r="F838" i="2"/>
  <c r="G838" i="2"/>
  <c r="F839" i="2"/>
  <c r="G839" i="2"/>
  <c r="F840" i="2"/>
  <c r="G840" i="2"/>
  <c r="F841" i="2"/>
  <c r="G841" i="2"/>
  <c r="F842" i="2"/>
  <c r="G842" i="2"/>
  <c r="F843" i="2"/>
  <c r="G843" i="2"/>
  <c r="F844" i="2"/>
  <c r="G844" i="2"/>
  <c r="F845" i="2"/>
  <c r="G845" i="2"/>
  <c r="F846" i="2"/>
  <c r="G846" i="2"/>
  <c r="F847" i="2"/>
  <c r="G847" i="2"/>
  <c r="F848" i="2"/>
  <c r="G848" i="2"/>
  <c r="F849" i="2"/>
  <c r="G849" i="2"/>
  <c r="F850" i="2"/>
  <c r="G850" i="2"/>
  <c r="F851" i="2"/>
  <c r="G851" i="2"/>
  <c r="F852" i="2"/>
  <c r="G852" i="2"/>
  <c r="F853" i="2"/>
  <c r="G853" i="2"/>
  <c r="F854" i="2"/>
  <c r="G854" i="2"/>
  <c r="F855" i="2"/>
  <c r="G855" i="2"/>
  <c r="F856" i="2"/>
  <c r="G856" i="2"/>
  <c r="F857" i="2"/>
  <c r="G857" i="2"/>
  <c r="F858" i="2"/>
  <c r="G858" i="2"/>
  <c r="F859" i="2"/>
  <c r="G859" i="2"/>
  <c r="F860" i="2"/>
  <c r="G860" i="2"/>
  <c r="F861" i="2"/>
  <c r="G861" i="2"/>
  <c r="F862" i="2"/>
  <c r="F863" i="2"/>
  <c r="F864" i="2"/>
  <c r="G864" i="2"/>
  <c r="F865" i="2"/>
  <c r="G865" i="2"/>
  <c r="F866" i="2"/>
  <c r="G866" i="2"/>
  <c r="F867" i="2"/>
  <c r="G867" i="2"/>
  <c r="F868" i="2"/>
  <c r="G868" i="2"/>
  <c r="F869" i="2"/>
  <c r="F870" i="2"/>
  <c r="F871" i="2"/>
  <c r="G871" i="2"/>
  <c r="F872" i="2"/>
  <c r="G872" i="2"/>
  <c r="F873" i="2"/>
  <c r="G873" i="2"/>
  <c r="F874" i="2"/>
  <c r="G874" i="2"/>
  <c r="F875" i="2"/>
  <c r="G875" i="2"/>
  <c r="F876" i="2"/>
  <c r="G876" i="2"/>
  <c r="F877" i="2"/>
  <c r="G877" i="2"/>
  <c r="F878" i="2"/>
  <c r="G878" i="2"/>
  <c r="F879" i="2"/>
  <c r="G879" i="2"/>
  <c r="F880" i="2"/>
  <c r="G880" i="2"/>
  <c r="F881" i="2"/>
  <c r="G881" i="2"/>
  <c r="F882" i="2"/>
  <c r="G882" i="2"/>
  <c r="F883" i="2"/>
  <c r="G883" i="2"/>
  <c r="F884" i="2"/>
  <c r="G884" i="2"/>
  <c r="F885" i="2"/>
  <c r="G885" i="2"/>
  <c r="F886" i="2"/>
  <c r="G886" i="2"/>
  <c r="F887" i="2"/>
  <c r="G887" i="2"/>
  <c r="F888" i="2"/>
  <c r="G888" i="2"/>
  <c r="F889" i="2"/>
  <c r="G889" i="2"/>
  <c r="F890" i="2"/>
  <c r="G890" i="2"/>
  <c r="F891" i="2"/>
  <c r="F892" i="2"/>
  <c r="G892" i="2"/>
  <c r="F893" i="2"/>
  <c r="F894" i="2"/>
  <c r="G894" i="2"/>
  <c r="F895" i="2"/>
  <c r="G895" i="2"/>
  <c r="F896" i="2"/>
  <c r="G896" i="2"/>
  <c r="F897" i="2"/>
  <c r="G897" i="2"/>
  <c r="F898" i="2"/>
  <c r="G898" i="2"/>
  <c r="F899" i="2"/>
  <c r="G899" i="2"/>
  <c r="F900" i="2"/>
  <c r="G900" i="2"/>
  <c r="F901" i="2"/>
  <c r="G901" i="2"/>
  <c r="F902" i="2"/>
  <c r="G902" i="2"/>
  <c r="F903" i="2"/>
  <c r="G903" i="2"/>
  <c r="F904" i="2"/>
  <c r="G904" i="2"/>
  <c r="F905" i="2"/>
  <c r="G905" i="2"/>
  <c r="F906" i="2"/>
  <c r="F907" i="2"/>
  <c r="G907" i="2"/>
  <c r="F908" i="2"/>
  <c r="F909" i="2"/>
  <c r="G909" i="2"/>
  <c r="F910" i="2"/>
  <c r="G910" i="2"/>
  <c r="F911" i="2"/>
  <c r="G911" i="2"/>
  <c r="F912" i="2"/>
  <c r="G912" i="2"/>
  <c r="F913" i="2"/>
  <c r="G913" i="2"/>
  <c r="F914" i="2"/>
  <c r="G914" i="2"/>
  <c r="F915" i="2"/>
  <c r="G915" i="2"/>
  <c r="F916" i="2"/>
  <c r="G916" i="2"/>
  <c r="F917" i="2"/>
  <c r="F918" i="2"/>
  <c r="F919" i="2"/>
  <c r="F920" i="2"/>
  <c r="F921" i="2"/>
  <c r="F922" i="2"/>
  <c r="G922" i="2"/>
  <c r="F923" i="2"/>
  <c r="G923" i="2"/>
  <c r="F924" i="2"/>
  <c r="G924" i="2"/>
  <c r="F925" i="2"/>
  <c r="G925" i="2"/>
  <c r="F926" i="2"/>
  <c r="G926" i="2"/>
  <c r="F927" i="2"/>
  <c r="G927" i="2"/>
  <c r="F928" i="2"/>
  <c r="G928" i="2"/>
  <c r="F929" i="2"/>
  <c r="G929" i="2"/>
  <c r="F930" i="2"/>
  <c r="G930" i="2"/>
  <c r="F931" i="2"/>
  <c r="G931" i="2"/>
  <c r="F932" i="2"/>
  <c r="G932" i="2"/>
  <c r="F933" i="2"/>
  <c r="G933" i="2"/>
  <c r="F934" i="2"/>
  <c r="G934" i="2"/>
  <c r="F935" i="2"/>
  <c r="G935" i="2"/>
  <c r="F936" i="2"/>
  <c r="G936" i="2"/>
  <c r="F937" i="2"/>
  <c r="G937" i="2"/>
  <c r="F938" i="2"/>
  <c r="G938" i="2"/>
  <c r="F939" i="2"/>
  <c r="G939" i="2"/>
  <c r="F940" i="2"/>
  <c r="G940" i="2"/>
  <c r="F941" i="2"/>
  <c r="G941" i="2"/>
  <c r="F942" i="2"/>
  <c r="G942" i="2"/>
  <c r="F943" i="2"/>
  <c r="G943" i="2"/>
  <c r="F944" i="2"/>
  <c r="G944" i="2"/>
  <c r="F945" i="2"/>
  <c r="G945" i="2"/>
  <c r="F946" i="2"/>
  <c r="G946" i="2"/>
  <c r="F947" i="2"/>
  <c r="G947" i="2"/>
  <c r="F948" i="2"/>
  <c r="G948" i="2"/>
  <c r="F949" i="2"/>
  <c r="G949" i="2"/>
  <c r="F950" i="2"/>
  <c r="G950" i="2"/>
  <c r="F951" i="2"/>
  <c r="G951" i="2"/>
  <c r="F952" i="2"/>
  <c r="G952" i="2"/>
  <c r="F953" i="2"/>
  <c r="G953" i="2"/>
  <c r="F954" i="2"/>
  <c r="G954" i="2"/>
  <c r="F955" i="2"/>
  <c r="G955" i="2"/>
  <c r="F956" i="2"/>
  <c r="G956" i="2"/>
  <c r="F957" i="2"/>
  <c r="G957" i="2"/>
  <c r="F958" i="2"/>
  <c r="G958" i="2"/>
  <c r="F959" i="2"/>
  <c r="G959" i="2"/>
  <c r="F960" i="2"/>
  <c r="G960" i="2"/>
  <c r="F961" i="2"/>
  <c r="G961" i="2"/>
  <c r="F962" i="2"/>
  <c r="G962" i="2"/>
  <c r="F963" i="2"/>
  <c r="G963" i="2"/>
  <c r="F964" i="2"/>
  <c r="G964" i="2"/>
  <c r="F965" i="2"/>
  <c r="G965" i="2"/>
  <c r="F966" i="2"/>
  <c r="G966" i="2"/>
  <c r="F967" i="2"/>
  <c r="G967" i="2"/>
  <c r="F968" i="2"/>
  <c r="G968" i="2"/>
  <c r="F969" i="2"/>
  <c r="G969" i="2"/>
  <c r="F970" i="2"/>
  <c r="G970" i="2"/>
  <c r="F971" i="2"/>
  <c r="G971" i="2"/>
  <c r="F972" i="2"/>
  <c r="G972" i="2"/>
  <c r="F973" i="2"/>
  <c r="G973" i="2"/>
  <c r="F974" i="2"/>
  <c r="G974" i="2"/>
  <c r="F975" i="2"/>
  <c r="G975" i="2"/>
  <c r="F976" i="2"/>
  <c r="G976" i="2"/>
  <c r="F977" i="2"/>
  <c r="G977" i="2"/>
  <c r="F978" i="2"/>
  <c r="G978" i="2"/>
  <c r="F979" i="2"/>
  <c r="G979" i="2"/>
  <c r="F980" i="2"/>
  <c r="G980" i="2"/>
  <c r="F981" i="2"/>
  <c r="G981" i="2"/>
  <c r="F982" i="2"/>
  <c r="G982" i="2"/>
  <c r="F983" i="2"/>
  <c r="G983" i="2"/>
  <c r="F984" i="2"/>
  <c r="G984" i="2"/>
  <c r="F985" i="2"/>
  <c r="G985" i="2"/>
  <c r="F986" i="2"/>
  <c r="G986" i="2"/>
  <c r="F987" i="2"/>
  <c r="G987" i="2"/>
  <c r="F988" i="2"/>
  <c r="G988" i="2"/>
  <c r="F989" i="2"/>
  <c r="G989" i="2"/>
  <c r="F990" i="2"/>
  <c r="G990" i="2"/>
  <c r="F991" i="2"/>
  <c r="G991" i="2"/>
  <c r="F992" i="2"/>
  <c r="G992" i="2"/>
  <c r="F993" i="2"/>
  <c r="G993" i="2"/>
  <c r="F994" i="2"/>
  <c r="G994" i="2"/>
  <c r="F995" i="2"/>
  <c r="G995" i="2"/>
  <c r="F996" i="2"/>
  <c r="G996" i="2"/>
  <c r="F997" i="2"/>
  <c r="G997" i="2"/>
  <c r="F998" i="2"/>
  <c r="G998" i="2"/>
  <c r="F999" i="2"/>
  <c r="G999" i="2"/>
  <c r="F1000" i="2"/>
  <c r="G1000" i="2"/>
  <c r="F1001" i="2"/>
  <c r="G1001" i="2"/>
  <c r="F1002" i="2"/>
  <c r="G1002" i="2"/>
  <c r="F1003" i="2"/>
  <c r="G1003" i="2"/>
  <c r="F1004" i="2"/>
  <c r="G1004" i="2"/>
  <c r="F1005" i="2"/>
  <c r="G1005" i="2"/>
  <c r="F1006" i="2"/>
  <c r="G1006" i="2"/>
  <c r="F1007" i="2"/>
  <c r="G1007" i="2"/>
  <c r="F1008" i="2"/>
  <c r="G1008" i="2"/>
  <c r="F1009" i="2"/>
  <c r="G1009" i="2"/>
  <c r="F1010" i="2"/>
  <c r="G1010" i="2"/>
  <c r="F1011" i="2"/>
  <c r="G1011" i="2"/>
  <c r="F1012" i="2"/>
  <c r="G1012" i="2"/>
  <c r="F1013" i="2"/>
  <c r="G1013" i="2"/>
  <c r="F1014" i="2"/>
  <c r="G1014" i="2"/>
  <c r="F1015" i="2"/>
  <c r="G1015" i="2"/>
  <c r="F1016" i="2"/>
  <c r="G1016" i="2"/>
  <c r="F1017" i="2"/>
  <c r="G1017" i="2"/>
  <c r="F1018" i="2"/>
  <c r="G1018" i="2"/>
  <c r="F1019" i="2"/>
  <c r="G1019" i="2"/>
  <c r="F1020" i="2"/>
  <c r="G1020" i="2"/>
  <c r="F1021" i="2"/>
  <c r="G1021" i="2"/>
  <c r="F1022" i="2"/>
  <c r="G1022" i="2"/>
  <c r="F1023" i="2"/>
  <c r="G1023" i="2"/>
  <c r="F1024" i="2"/>
  <c r="G1024" i="2"/>
  <c r="F1025" i="2"/>
  <c r="G1025" i="2"/>
  <c r="F1026" i="2"/>
  <c r="G1026" i="2"/>
  <c r="F1027" i="2"/>
  <c r="G1027" i="2"/>
  <c r="F1028" i="2"/>
  <c r="G1028" i="2"/>
  <c r="F1029" i="2"/>
  <c r="G1029" i="2"/>
  <c r="F1030" i="2"/>
  <c r="G1030" i="2"/>
  <c r="F1031" i="2"/>
  <c r="F1032" i="2"/>
  <c r="G1032" i="2"/>
  <c r="F1033" i="2"/>
  <c r="G1033" i="2"/>
  <c r="F1034" i="2"/>
  <c r="F1035" i="2"/>
  <c r="F1036" i="2"/>
  <c r="G1036" i="2"/>
  <c r="F1037" i="2"/>
  <c r="F1038" i="2"/>
  <c r="F1039" i="2"/>
  <c r="G1039" i="2"/>
  <c r="F1040" i="2"/>
  <c r="G1040" i="2"/>
  <c r="F1041" i="2"/>
  <c r="G1041" i="2"/>
  <c r="F1042" i="2"/>
  <c r="G1042" i="2"/>
  <c r="F1043" i="2"/>
  <c r="G1043" i="2"/>
  <c r="F1044" i="2"/>
  <c r="G1044" i="2"/>
  <c r="F1045" i="2"/>
  <c r="F1046" i="2"/>
  <c r="G1046" i="2"/>
  <c r="F1047" i="2"/>
  <c r="G1047" i="2"/>
  <c r="F1048" i="2"/>
  <c r="F1049" i="2"/>
  <c r="G1049" i="2"/>
  <c r="F1050" i="2"/>
  <c r="G1050" i="2"/>
  <c r="F1051" i="2"/>
  <c r="G1051" i="2"/>
  <c r="F1052" i="2"/>
  <c r="G1052" i="2"/>
  <c r="F1053" i="2"/>
  <c r="G1053" i="2"/>
  <c r="F1054" i="2"/>
  <c r="G1054" i="2"/>
  <c r="F1055" i="2"/>
  <c r="G1055" i="2"/>
  <c r="F1056" i="2"/>
  <c r="G1056" i="2"/>
  <c r="F1057" i="2"/>
  <c r="G1057" i="2"/>
  <c r="F1058" i="2"/>
  <c r="G1058" i="2"/>
  <c r="F1059" i="2"/>
  <c r="G1059" i="2"/>
  <c r="F1060" i="2"/>
  <c r="G1060" i="2"/>
  <c r="F1061" i="2"/>
  <c r="G1061" i="2"/>
  <c r="F1062" i="2"/>
  <c r="G1062" i="2"/>
  <c r="F1063" i="2"/>
  <c r="G1063" i="2"/>
  <c r="F1064" i="2"/>
  <c r="G1064" i="2"/>
  <c r="F1065" i="2"/>
  <c r="G1065" i="2"/>
  <c r="F1066" i="2"/>
  <c r="G1066" i="2"/>
  <c r="F1067" i="2"/>
  <c r="G1067" i="2"/>
  <c r="F1068" i="2"/>
  <c r="G1068" i="2"/>
  <c r="F1069" i="2"/>
  <c r="G1069" i="2"/>
  <c r="F1070" i="2"/>
  <c r="G1070" i="2"/>
  <c r="F1071" i="2"/>
  <c r="G1071" i="2"/>
  <c r="F1072" i="2"/>
  <c r="G1072" i="2"/>
  <c r="F1073" i="2"/>
  <c r="G1073" i="2"/>
  <c r="F1074" i="2"/>
  <c r="G1074" i="2"/>
  <c r="F1075" i="2"/>
  <c r="G1075" i="2"/>
  <c r="F1076" i="2"/>
  <c r="G1076" i="2"/>
  <c r="F1077" i="2"/>
  <c r="G1077" i="2"/>
  <c r="F1078" i="2"/>
  <c r="G1078" i="2"/>
  <c r="F1079" i="2"/>
  <c r="G1079" i="2"/>
  <c r="F1080" i="2"/>
  <c r="G1080" i="2"/>
  <c r="F1081" i="2"/>
  <c r="G1081" i="2"/>
  <c r="F1082" i="2"/>
  <c r="G1082" i="2"/>
  <c r="F1083" i="2"/>
  <c r="G1083" i="2"/>
  <c r="F1084" i="2"/>
  <c r="G1084" i="2"/>
  <c r="F1085" i="2"/>
  <c r="G1085" i="2"/>
  <c r="F1086" i="2"/>
  <c r="G1086" i="2"/>
  <c r="F1087" i="2"/>
  <c r="G1087" i="2"/>
  <c r="F1088" i="2"/>
  <c r="G1088" i="2"/>
  <c r="F1089" i="2"/>
  <c r="G1089" i="2"/>
  <c r="F1090" i="2"/>
  <c r="G1090" i="2"/>
  <c r="F1091" i="2"/>
  <c r="G1091" i="2"/>
  <c r="F1092" i="2"/>
  <c r="G1092" i="2"/>
  <c r="F1093" i="2"/>
  <c r="G1093" i="2"/>
  <c r="F1094" i="2"/>
  <c r="G1094" i="2"/>
  <c r="F1095" i="2"/>
  <c r="G1095" i="2"/>
  <c r="F1096" i="2"/>
  <c r="G1096" i="2"/>
  <c r="F1097" i="2"/>
  <c r="G1097" i="2"/>
  <c r="F1098" i="2"/>
  <c r="G1098" i="2"/>
  <c r="F1099" i="2"/>
  <c r="G1099" i="2"/>
  <c r="F1100" i="2"/>
  <c r="G1100" i="2"/>
  <c r="F1101" i="2"/>
  <c r="G1101" i="2"/>
  <c r="F1102" i="2"/>
  <c r="G1102" i="2"/>
  <c r="F1103" i="2"/>
  <c r="G1103" i="2"/>
  <c r="F1104" i="2"/>
  <c r="G1104" i="2"/>
  <c r="F1105" i="2"/>
  <c r="G1105" i="2"/>
  <c r="F1106" i="2"/>
  <c r="G1106" i="2"/>
  <c r="F1107" i="2"/>
  <c r="G1107" i="2"/>
  <c r="F1108" i="2"/>
  <c r="G1108" i="2"/>
  <c r="F1109" i="2"/>
  <c r="G1109" i="2"/>
  <c r="F1110" i="2"/>
  <c r="G1110" i="2"/>
  <c r="F1111" i="2"/>
  <c r="G1111" i="2"/>
  <c r="F1112" i="2"/>
  <c r="G1112" i="2"/>
  <c r="F1113" i="2"/>
  <c r="G1113" i="2"/>
  <c r="F1114" i="2"/>
  <c r="G1114" i="2"/>
  <c r="F1115" i="2"/>
  <c r="G1115" i="2"/>
  <c r="F1116" i="2"/>
  <c r="G1116" i="2"/>
  <c r="F1117" i="2"/>
  <c r="G1117" i="2"/>
  <c r="F1118" i="2"/>
  <c r="G1118" i="2"/>
  <c r="F1119" i="2"/>
  <c r="G1119" i="2"/>
  <c r="F1120" i="2"/>
  <c r="G1120" i="2"/>
  <c r="F1121" i="2"/>
  <c r="G1121" i="2"/>
  <c r="F1122" i="2"/>
  <c r="G1122" i="2"/>
  <c r="F1123" i="2"/>
  <c r="G1123" i="2"/>
  <c r="F1124" i="2"/>
  <c r="G1124" i="2"/>
  <c r="F1125" i="2"/>
  <c r="G1125" i="2"/>
  <c r="F1126" i="2"/>
  <c r="G1126" i="2"/>
  <c r="F1127" i="2"/>
  <c r="G1127" i="2"/>
  <c r="F1128" i="2"/>
  <c r="G1128" i="2"/>
  <c r="F1129" i="2"/>
  <c r="G1129" i="2"/>
  <c r="F1130" i="2"/>
  <c r="G1130" i="2"/>
  <c r="F1131" i="2"/>
  <c r="G1131" i="2"/>
  <c r="F1132" i="2"/>
  <c r="G1132" i="2"/>
  <c r="F1133" i="2"/>
  <c r="G1133" i="2"/>
  <c r="F1134" i="2"/>
  <c r="G1134" i="2"/>
  <c r="F1135" i="2"/>
  <c r="G1135" i="2"/>
  <c r="F1136" i="2"/>
  <c r="G1136" i="2"/>
  <c r="F1137" i="2"/>
  <c r="G1137" i="2"/>
  <c r="F1138" i="2"/>
  <c r="G1138" i="2"/>
  <c r="F1139" i="2"/>
  <c r="G1139" i="2"/>
  <c r="F1140" i="2"/>
  <c r="G1140" i="2"/>
  <c r="F1141" i="2"/>
  <c r="G1141" i="2"/>
  <c r="F1142" i="2"/>
  <c r="G1142" i="2"/>
  <c r="F1143" i="2"/>
  <c r="G1143" i="2"/>
  <c r="F1144" i="2"/>
  <c r="G1144" i="2"/>
  <c r="F1145" i="2"/>
  <c r="G1145" i="2"/>
  <c r="F1146" i="2"/>
  <c r="G1146" i="2"/>
  <c r="F1147" i="2"/>
  <c r="G1147" i="2"/>
  <c r="F1148" i="2"/>
  <c r="G1148" i="2"/>
  <c r="F1149" i="2"/>
  <c r="G1149" i="2"/>
  <c r="F1150" i="2"/>
  <c r="G1150" i="2"/>
  <c r="F1151" i="2"/>
  <c r="G1151" i="2"/>
  <c r="F1152" i="2"/>
  <c r="G1152" i="2"/>
  <c r="F1153" i="2"/>
  <c r="G1153" i="2"/>
  <c r="F1154" i="2"/>
  <c r="G1154" i="2"/>
  <c r="F1155" i="2"/>
  <c r="G1155" i="2"/>
  <c r="F1156" i="2"/>
  <c r="G1156" i="2"/>
  <c r="F1157" i="2"/>
  <c r="G1157" i="2"/>
  <c r="F1158" i="2"/>
  <c r="G1158" i="2"/>
  <c r="F1159" i="2"/>
  <c r="G1159" i="2"/>
  <c r="F1160" i="2"/>
  <c r="G1160" i="2"/>
  <c r="F1161" i="2"/>
  <c r="G1161" i="2"/>
  <c r="F1162" i="2"/>
  <c r="G1162" i="2"/>
  <c r="F1163" i="2"/>
  <c r="G1163" i="2"/>
  <c r="F1164" i="2"/>
  <c r="G1164" i="2"/>
  <c r="F1165" i="2"/>
  <c r="G1165" i="2"/>
  <c r="F1166" i="2"/>
  <c r="G1166" i="2"/>
  <c r="F1167" i="2"/>
  <c r="G1167" i="2"/>
  <c r="F1168" i="2"/>
  <c r="G1168" i="2"/>
  <c r="F1169" i="2"/>
  <c r="G1169" i="2"/>
  <c r="F1170" i="2"/>
  <c r="G1170" i="2"/>
  <c r="F1171" i="2"/>
  <c r="G1171" i="2"/>
  <c r="F1172" i="2"/>
  <c r="G1172" i="2"/>
  <c r="F1173" i="2"/>
  <c r="G1173" i="2"/>
  <c r="F1174" i="2"/>
  <c r="G1174" i="2"/>
  <c r="F1175" i="2"/>
  <c r="G1175" i="2"/>
  <c r="F1176" i="2"/>
  <c r="G1176" i="2"/>
  <c r="F1177" i="2"/>
  <c r="G1177" i="2"/>
  <c r="F1178" i="2"/>
  <c r="G1178" i="2"/>
  <c r="F1179" i="2"/>
  <c r="G1179" i="2"/>
  <c r="F1180" i="2"/>
  <c r="G1180" i="2"/>
  <c r="F1181" i="2"/>
  <c r="G1181" i="2"/>
  <c r="F1182" i="2"/>
  <c r="G1182" i="2"/>
  <c r="F1183" i="2"/>
  <c r="G1183" i="2"/>
  <c r="F1184" i="2"/>
  <c r="G1184" i="2"/>
  <c r="F1185" i="2"/>
  <c r="G1185" i="2"/>
  <c r="F1186" i="2"/>
  <c r="G1186" i="2"/>
  <c r="F1187" i="2"/>
  <c r="G1187" i="2"/>
  <c r="F1188" i="2"/>
  <c r="G1188" i="2"/>
  <c r="F1189" i="2"/>
  <c r="G1189" i="2"/>
  <c r="F1190" i="2"/>
  <c r="G1190" i="2"/>
  <c r="F1191" i="2"/>
  <c r="G1191" i="2"/>
  <c r="F1192" i="2"/>
  <c r="G1192" i="2"/>
  <c r="F1193" i="2"/>
  <c r="G1193" i="2"/>
  <c r="F1194" i="2"/>
  <c r="G1194" i="2"/>
  <c r="F1195" i="2"/>
  <c r="G1195" i="2"/>
  <c r="F1196" i="2"/>
  <c r="G1196" i="2"/>
  <c r="F1197" i="2"/>
  <c r="G1197" i="2"/>
  <c r="F1198" i="2"/>
  <c r="G1198" i="2"/>
  <c r="F1199" i="2"/>
  <c r="G1199" i="2"/>
  <c r="F1200" i="2"/>
  <c r="G1200" i="2"/>
  <c r="F1201" i="2"/>
  <c r="G1201" i="2"/>
  <c r="F1202" i="2"/>
  <c r="G1202" i="2"/>
  <c r="F1203" i="2"/>
  <c r="G1203" i="2"/>
  <c r="F1204" i="2"/>
  <c r="G1204" i="2"/>
  <c r="F1205" i="2"/>
  <c r="G1205" i="2"/>
  <c r="F1206" i="2"/>
  <c r="G1206" i="2"/>
  <c r="F1207" i="2"/>
  <c r="G1207" i="2"/>
  <c r="F1208" i="2"/>
  <c r="G1208" i="2"/>
  <c r="F1209" i="2"/>
  <c r="G1209" i="2"/>
  <c r="F1210" i="2"/>
  <c r="G1210" i="2"/>
  <c r="F1211" i="2"/>
  <c r="G1211" i="2"/>
  <c r="F1212" i="2"/>
  <c r="G1212" i="2"/>
  <c r="F1213" i="2"/>
  <c r="G1213" i="2"/>
  <c r="F1214" i="2"/>
  <c r="G1214" i="2"/>
  <c r="F1215" i="2"/>
  <c r="G1215" i="2"/>
  <c r="F1216" i="2"/>
  <c r="G1216" i="2"/>
  <c r="F1217" i="2"/>
  <c r="G1217" i="2"/>
  <c r="F1218" i="2"/>
  <c r="G1218" i="2"/>
  <c r="F1219" i="2"/>
  <c r="G1219" i="2"/>
  <c r="F1220" i="2"/>
  <c r="G1220" i="2"/>
  <c r="F1221" i="2"/>
  <c r="G1221" i="2"/>
  <c r="F1222" i="2"/>
  <c r="G1222" i="2"/>
  <c r="F1223" i="2"/>
  <c r="G1223" i="2"/>
  <c r="F1224" i="2"/>
  <c r="G1224" i="2"/>
  <c r="F1225" i="2"/>
  <c r="G1225" i="2"/>
  <c r="F1226" i="2"/>
  <c r="G1226" i="2"/>
  <c r="F1227" i="2"/>
  <c r="G1227" i="2"/>
  <c r="F1228" i="2"/>
  <c r="G1228" i="2"/>
  <c r="F1229" i="2"/>
  <c r="G1229" i="2"/>
  <c r="F1230" i="2"/>
  <c r="G1230" i="2"/>
  <c r="F1231" i="2"/>
  <c r="G1231" i="2"/>
  <c r="F1232" i="2"/>
  <c r="G1232" i="2"/>
  <c r="F1233" i="2"/>
  <c r="G1233" i="2"/>
  <c r="F1234" i="2"/>
  <c r="G1234" i="2"/>
  <c r="F1235" i="2"/>
  <c r="G1235" i="2"/>
  <c r="F1236" i="2"/>
  <c r="G1236" i="2"/>
  <c r="F1237" i="2"/>
  <c r="G1237" i="2"/>
  <c r="F1238" i="2"/>
  <c r="G1238" i="2"/>
  <c r="F1239" i="2"/>
  <c r="G1239" i="2"/>
  <c r="F1240" i="2"/>
  <c r="G1240" i="2"/>
  <c r="F1241" i="2"/>
  <c r="G1241" i="2"/>
  <c r="F1242" i="2"/>
  <c r="G1242" i="2"/>
  <c r="F1243" i="2"/>
  <c r="G1243" i="2"/>
  <c r="F1244" i="2"/>
  <c r="G1244" i="2"/>
  <c r="F1245" i="2"/>
  <c r="G1245" i="2"/>
  <c r="F1246" i="2"/>
  <c r="G1246" i="2"/>
  <c r="F1247" i="2"/>
  <c r="G1247" i="2"/>
  <c r="F1248" i="2"/>
  <c r="G1248" i="2"/>
  <c r="F1249" i="2"/>
  <c r="G1249" i="2"/>
  <c r="F1250" i="2"/>
  <c r="G1250" i="2"/>
  <c r="F1251" i="2"/>
  <c r="G1251" i="2"/>
  <c r="F1252" i="2"/>
  <c r="G1252" i="2"/>
  <c r="F1253" i="2"/>
  <c r="G1253" i="2"/>
  <c r="F1254" i="2"/>
  <c r="G1254" i="2"/>
  <c r="F1255" i="2"/>
  <c r="G1255" i="2"/>
  <c r="F1256" i="2"/>
  <c r="G1256" i="2"/>
  <c r="F1257" i="2"/>
  <c r="G1257" i="2"/>
  <c r="F1258" i="2"/>
  <c r="G1258" i="2"/>
  <c r="F1259" i="2"/>
  <c r="G1259" i="2"/>
  <c r="F1260" i="2"/>
  <c r="G1260" i="2"/>
  <c r="F1261" i="2"/>
  <c r="G1261" i="2"/>
  <c r="F1262" i="2"/>
  <c r="G1262" i="2"/>
  <c r="F1263" i="2"/>
  <c r="G1263" i="2"/>
  <c r="F1264" i="2"/>
  <c r="G1264" i="2"/>
  <c r="F1265" i="2"/>
  <c r="G1265" i="2"/>
  <c r="F1266" i="2"/>
  <c r="G1266" i="2"/>
  <c r="F1267" i="2"/>
  <c r="G1267" i="2"/>
  <c r="F1268" i="2"/>
  <c r="G1268" i="2"/>
  <c r="F1269" i="2"/>
  <c r="G1269" i="2"/>
  <c r="F1270" i="2"/>
  <c r="G1270" i="2"/>
  <c r="F1271" i="2"/>
  <c r="G1271" i="2"/>
  <c r="F1272" i="2"/>
  <c r="G1272" i="2"/>
  <c r="F1273" i="2"/>
  <c r="G1273" i="2"/>
  <c r="F1274" i="2"/>
  <c r="G1274" i="2"/>
  <c r="F1275" i="2"/>
  <c r="G1275" i="2"/>
  <c r="F1276" i="2"/>
  <c r="G1276" i="2"/>
  <c r="F1277" i="2"/>
  <c r="G1277" i="2"/>
  <c r="F1278" i="2"/>
  <c r="G1278" i="2"/>
  <c r="F1279" i="2"/>
  <c r="G1279" i="2"/>
  <c r="F1280" i="2"/>
  <c r="G1280" i="2"/>
  <c r="F1281" i="2"/>
  <c r="G1281" i="2"/>
  <c r="F1282" i="2"/>
  <c r="G1282" i="2"/>
  <c r="F1283" i="2"/>
  <c r="G1283" i="2"/>
  <c r="F1284" i="2"/>
  <c r="G1284" i="2"/>
  <c r="F1285" i="2"/>
  <c r="G1285" i="2"/>
  <c r="F1286" i="2"/>
  <c r="G1286" i="2"/>
  <c r="F1287" i="2"/>
  <c r="G1287" i="2"/>
  <c r="F1288" i="2"/>
  <c r="G1288" i="2"/>
  <c r="F1289" i="2"/>
  <c r="G1289" i="2"/>
  <c r="F1290" i="2"/>
  <c r="G1290" i="2"/>
  <c r="F1291" i="2"/>
  <c r="G1291" i="2"/>
  <c r="F1292" i="2"/>
  <c r="G1292" i="2"/>
  <c r="F1293" i="2"/>
  <c r="G1293" i="2"/>
  <c r="F1294" i="2"/>
  <c r="G1294" i="2"/>
  <c r="F1295" i="2"/>
  <c r="G1295" i="2"/>
  <c r="F1296" i="2"/>
  <c r="G1296" i="2"/>
  <c r="F1297" i="2"/>
  <c r="G1297" i="2"/>
  <c r="F1298" i="2"/>
  <c r="G1298" i="2"/>
  <c r="F1299" i="2"/>
  <c r="G1299" i="2"/>
  <c r="F1300" i="2"/>
  <c r="G1300" i="2"/>
  <c r="F1301" i="2"/>
  <c r="G1301" i="2"/>
  <c r="F1302" i="2"/>
  <c r="G1302" i="2"/>
  <c r="F1303" i="2"/>
  <c r="G1303" i="2"/>
  <c r="F1304" i="2"/>
  <c r="G1304" i="2"/>
  <c r="F1305" i="2"/>
  <c r="G1305" i="2"/>
  <c r="F1306" i="2"/>
  <c r="F1307" i="2"/>
  <c r="F1308" i="2"/>
  <c r="F1309" i="2"/>
  <c r="G1309" i="2"/>
  <c r="F1310" i="2"/>
  <c r="G1310" i="2"/>
  <c r="F1311" i="2"/>
  <c r="G1311" i="2"/>
  <c r="F1312" i="2"/>
  <c r="G1312" i="2"/>
  <c r="F1313" i="2"/>
  <c r="F1314" i="2"/>
  <c r="F1315" i="2"/>
  <c r="F1316" i="2"/>
  <c r="G1316" i="2"/>
  <c r="F1317" i="2"/>
  <c r="G1317" i="2"/>
  <c r="F1318" i="2"/>
  <c r="G1318" i="2"/>
  <c r="F1319" i="2"/>
  <c r="G1319" i="2"/>
  <c r="F1320" i="2"/>
  <c r="G1320" i="2"/>
  <c r="F1321" i="2"/>
  <c r="G1321" i="2"/>
  <c r="F1322" i="2"/>
  <c r="G1322" i="2"/>
  <c r="F1323" i="2"/>
  <c r="G1323" i="2"/>
  <c r="F1324" i="2"/>
  <c r="G1324" i="2"/>
  <c r="F1325" i="2"/>
  <c r="G1325" i="2"/>
  <c r="F1326" i="2"/>
  <c r="G1326" i="2"/>
  <c r="F1327" i="2"/>
  <c r="G1327" i="2"/>
  <c r="F1328" i="2"/>
  <c r="G1328" i="2"/>
  <c r="F1329" i="2"/>
  <c r="G1329" i="2"/>
  <c r="F1330" i="2"/>
  <c r="G1330" i="2"/>
  <c r="F1331" i="2"/>
  <c r="G1331" i="2"/>
  <c r="F1332" i="2"/>
  <c r="G1332" i="2"/>
  <c r="F1333" i="2"/>
  <c r="G1333" i="2"/>
  <c r="F1334" i="2"/>
  <c r="G1334" i="2"/>
  <c r="F1335" i="2"/>
  <c r="G1335" i="2"/>
  <c r="F1336" i="2"/>
  <c r="G1336" i="2"/>
  <c r="F1337" i="2"/>
  <c r="G1337" i="2"/>
  <c r="F1338" i="2"/>
  <c r="G1338" i="2"/>
  <c r="F1339" i="2"/>
  <c r="G1339" i="2"/>
  <c r="F1340" i="2"/>
  <c r="G1340" i="2"/>
  <c r="F1341" i="2"/>
  <c r="G1341" i="2"/>
  <c r="F1342" i="2"/>
  <c r="G1342" i="2"/>
  <c r="F1343" i="2"/>
  <c r="G1343" i="2"/>
  <c r="F1344" i="2"/>
  <c r="G1344" i="2"/>
  <c r="F1345" i="2"/>
  <c r="G1345" i="2"/>
  <c r="F1346" i="2"/>
  <c r="G1346" i="2"/>
  <c r="F1347" i="2"/>
  <c r="G1347" i="2"/>
  <c r="F1348" i="2"/>
  <c r="G1348" i="2"/>
  <c r="F1349" i="2"/>
  <c r="G1349" i="2"/>
  <c r="F1350" i="2"/>
  <c r="G1350" i="2"/>
  <c r="F1351" i="2"/>
  <c r="G1351" i="2"/>
  <c r="F1352" i="2"/>
  <c r="G1352" i="2"/>
  <c r="F1353" i="2"/>
  <c r="G1353" i="2"/>
  <c r="F1354" i="2"/>
  <c r="G1354" i="2"/>
  <c r="F1355" i="2"/>
  <c r="G1355" i="2"/>
  <c r="F1356" i="2"/>
  <c r="G1356" i="2"/>
  <c r="F1357" i="2"/>
  <c r="G1357" i="2"/>
  <c r="F1358" i="2"/>
  <c r="G1358" i="2"/>
  <c r="F1359" i="2"/>
  <c r="G1359" i="2"/>
  <c r="F1360" i="2"/>
  <c r="G1360" i="2"/>
  <c r="F1361" i="2"/>
  <c r="G1361" i="2"/>
  <c r="F1362" i="2"/>
  <c r="G1362" i="2"/>
  <c r="F1363" i="2"/>
  <c r="G1363" i="2"/>
  <c r="F1364" i="2"/>
  <c r="G1364" i="2"/>
  <c r="F1365" i="2"/>
  <c r="G1365" i="2"/>
  <c r="F1366" i="2"/>
  <c r="G1366" i="2"/>
  <c r="F1367" i="2"/>
  <c r="G1367" i="2"/>
  <c r="F1368" i="2"/>
  <c r="G1368" i="2"/>
  <c r="F1369" i="2"/>
  <c r="G1369" i="2"/>
  <c r="F1370" i="2"/>
  <c r="G1370" i="2"/>
  <c r="F1371" i="2"/>
  <c r="G1371" i="2"/>
  <c r="F1372" i="2"/>
  <c r="G1372" i="2"/>
  <c r="F1373" i="2"/>
  <c r="G1373" i="2"/>
  <c r="F1374" i="2"/>
  <c r="G1374" i="2"/>
  <c r="F1375" i="2"/>
  <c r="G1375" i="2"/>
  <c r="F1376" i="2"/>
  <c r="G1376" i="2"/>
  <c r="F1377" i="2"/>
  <c r="G1377" i="2"/>
  <c r="F1378" i="2"/>
  <c r="G1378" i="2"/>
  <c r="F1379" i="2"/>
  <c r="G1379" i="2"/>
  <c r="F1380" i="2"/>
  <c r="G1380" i="2"/>
  <c r="F1381" i="2"/>
  <c r="G1381" i="2"/>
  <c r="F1382" i="2"/>
  <c r="G1382" i="2"/>
  <c r="F1383" i="2"/>
  <c r="G1383" i="2"/>
  <c r="F1384" i="2"/>
  <c r="G1384" i="2"/>
  <c r="F1385" i="2"/>
  <c r="G1385" i="2"/>
  <c r="F1386" i="2"/>
  <c r="G1386" i="2"/>
  <c r="F1387" i="2"/>
  <c r="G1387" i="2"/>
  <c r="F1388" i="2"/>
  <c r="G1388" i="2"/>
  <c r="F1389" i="2"/>
  <c r="G1389" i="2"/>
  <c r="F1390" i="2"/>
  <c r="G1390" i="2"/>
  <c r="F1391" i="2"/>
  <c r="G1391" i="2"/>
  <c r="F1392" i="2"/>
  <c r="G1392" i="2"/>
  <c r="F1393" i="2"/>
  <c r="G1393" i="2"/>
  <c r="F1394" i="2"/>
  <c r="G1394" i="2"/>
  <c r="F1395" i="2"/>
  <c r="G1395" i="2"/>
  <c r="F1396" i="2"/>
  <c r="F1397" i="2"/>
  <c r="G1397" i="2"/>
  <c r="F1398" i="2"/>
  <c r="F1399" i="2"/>
  <c r="G1399" i="2"/>
  <c r="F1400" i="2"/>
  <c r="G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G1415" i="2"/>
  <c r="F1416" i="2"/>
  <c r="F1417" i="2"/>
  <c r="F1418" i="2"/>
  <c r="F1419" i="2"/>
  <c r="F1420" i="2"/>
  <c r="F1421" i="2"/>
  <c r="G1421" i="2"/>
  <c r="F1422" i="2"/>
  <c r="F1423" i="2"/>
  <c r="F1424" i="2"/>
  <c r="G1424" i="2"/>
  <c r="F1425" i="2"/>
  <c r="F1426" i="2"/>
  <c r="F1427" i="2"/>
  <c r="G1427" i="2"/>
  <c r="F1428" i="2"/>
  <c r="F1429" i="2"/>
  <c r="F1430" i="2"/>
  <c r="G1430" i="2"/>
  <c r="F1431" i="2"/>
  <c r="G1431" i="2"/>
  <c r="F1432" i="2"/>
  <c r="F1433" i="2"/>
  <c r="G1433" i="2"/>
  <c r="F1434" i="2"/>
  <c r="F1435" i="2"/>
  <c r="G1435" i="2"/>
  <c r="F1436" i="2"/>
  <c r="F1437" i="2"/>
  <c r="F1438" i="2"/>
  <c r="F1439" i="2"/>
  <c r="G1439" i="2"/>
  <c r="F1440" i="2"/>
  <c r="F1441" i="2"/>
  <c r="G1441" i="2"/>
  <c r="F1442" i="2"/>
  <c r="F1443" i="2"/>
  <c r="F1444" i="2"/>
  <c r="F1445" i="2"/>
  <c r="G1445" i="2"/>
  <c r="F1446" i="2"/>
  <c r="F1447" i="2"/>
  <c r="G1447" i="2"/>
  <c r="F1448" i="2"/>
  <c r="G1448" i="2"/>
  <c r="F1449" i="2"/>
  <c r="G1449" i="2"/>
  <c r="F1450" i="2"/>
  <c r="F1451" i="2"/>
  <c r="G1451" i="2"/>
  <c r="F1452" i="2"/>
  <c r="G1452" i="2"/>
  <c r="F1453" i="2"/>
  <c r="G1453" i="2"/>
  <c r="F1454" i="2"/>
  <c r="G1454" i="2"/>
  <c r="F1455" i="2"/>
  <c r="G1455" i="2"/>
  <c r="F1456" i="2"/>
  <c r="G1456" i="2"/>
  <c r="F1457" i="2"/>
  <c r="G1457" i="2"/>
  <c r="F1458" i="2"/>
  <c r="G1458" i="2"/>
  <c r="F1459" i="2"/>
  <c r="G1459" i="2"/>
  <c r="F1460" i="2"/>
  <c r="G1460" i="2"/>
  <c r="F1461" i="2"/>
  <c r="G1461" i="2"/>
  <c r="F1462" i="2"/>
  <c r="G1462" i="2"/>
  <c r="F1463" i="2"/>
  <c r="G1463" i="2"/>
  <c r="F1464" i="2"/>
  <c r="G1464" i="2"/>
  <c r="F1465" i="2"/>
  <c r="G1465" i="2"/>
  <c r="F1466" i="2"/>
  <c r="G1466" i="2"/>
  <c r="F1467" i="2"/>
  <c r="G1467" i="2"/>
  <c r="F1468" i="2"/>
  <c r="G1468" i="2"/>
  <c r="F1469" i="2"/>
  <c r="G1469" i="2"/>
  <c r="F1470" i="2"/>
  <c r="G1470" i="2"/>
  <c r="F1471" i="2"/>
  <c r="G1471" i="2"/>
  <c r="F1472" i="2"/>
  <c r="G1472" i="2"/>
  <c r="F1473" i="2"/>
  <c r="G1473" i="2"/>
  <c r="F1474" i="2"/>
  <c r="F1475" i="2"/>
  <c r="G1475" i="2"/>
  <c r="F1476" i="2"/>
  <c r="G1476" i="2"/>
  <c r="F1477" i="2"/>
  <c r="G1477" i="2"/>
  <c r="F1478" i="2"/>
  <c r="G1478" i="2"/>
  <c r="F1479" i="2"/>
  <c r="G1479" i="2"/>
  <c r="F1480" i="2"/>
  <c r="F1481" i="2"/>
  <c r="G1481" i="2"/>
  <c r="F1482" i="2"/>
  <c r="G1482" i="2"/>
  <c r="F1483" i="2"/>
  <c r="G1483" i="2"/>
  <c r="F1484" i="2"/>
  <c r="F1485" i="2"/>
  <c r="G1485" i="2"/>
  <c r="F1486" i="2"/>
  <c r="G1486" i="2"/>
  <c r="F1487" i="2"/>
  <c r="G1487" i="2"/>
  <c r="F1488" i="2"/>
  <c r="G1488" i="2"/>
  <c r="F1489" i="2"/>
  <c r="G1489" i="2"/>
  <c r="F1490" i="2"/>
  <c r="F1491" i="2"/>
  <c r="G1491" i="2"/>
  <c r="F1492" i="2"/>
  <c r="G1492" i="2"/>
  <c r="F1493" i="2"/>
  <c r="G1493" i="2"/>
  <c r="F1494" i="2"/>
  <c r="G1494" i="2"/>
  <c r="F1495" i="2"/>
  <c r="G1495" i="2"/>
  <c r="F1496" i="2"/>
  <c r="G1496" i="2"/>
  <c r="F1497" i="2"/>
  <c r="G1497" i="2"/>
  <c r="F1498" i="2"/>
  <c r="G1498" i="2"/>
  <c r="F1499" i="2"/>
  <c r="F1500" i="2"/>
  <c r="F1501" i="2"/>
  <c r="F1502" i="2"/>
  <c r="F1503" i="2"/>
  <c r="G1503" i="2"/>
  <c r="F1504" i="2"/>
  <c r="G1504" i="2"/>
  <c r="F1505" i="2"/>
  <c r="F1506" i="2"/>
  <c r="F1507" i="2"/>
  <c r="F1508" i="2"/>
  <c r="F1509" i="2"/>
  <c r="F1510" i="2"/>
  <c r="G1510" i="2"/>
  <c r="F1511" i="2"/>
  <c r="G1511" i="2"/>
  <c r="F1512" i="2"/>
  <c r="F1513" i="2"/>
  <c r="F1514" i="2"/>
  <c r="F1515" i="2"/>
  <c r="G1515" i="2"/>
  <c r="F1516" i="2"/>
  <c r="G1516" i="2"/>
  <c r="F1517" i="2"/>
  <c r="F1518" i="2"/>
  <c r="G1518" i="2"/>
  <c r="F1519" i="2"/>
  <c r="G1519" i="2"/>
  <c r="F1520" i="2"/>
  <c r="G1520" i="2"/>
  <c r="F1521" i="2"/>
  <c r="G1521" i="2"/>
  <c r="F1522" i="2"/>
  <c r="G1522" i="2"/>
  <c r="F1523" i="2"/>
  <c r="G1523" i="2"/>
  <c r="F1524" i="2"/>
  <c r="G1524" i="2"/>
  <c r="F1525" i="2"/>
  <c r="G1525" i="2"/>
  <c r="F1526" i="2"/>
  <c r="G1526" i="2"/>
  <c r="F1527" i="2"/>
  <c r="G1527" i="2"/>
  <c r="F1528" i="2"/>
  <c r="G1528" i="2"/>
  <c r="F1529" i="2"/>
  <c r="G1529" i="2"/>
  <c r="F1530" i="2"/>
  <c r="G1530" i="2"/>
  <c r="F1531" i="2"/>
  <c r="G1531" i="2"/>
  <c r="F1532" i="2"/>
  <c r="G1532" i="2"/>
  <c r="F1533" i="2"/>
  <c r="G1533" i="2"/>
  <c r="F1534" i="2"/>
  <c r="G1534" i="2"/>
  <c r="F1535" i="2"/>
  <c r="G1535" i="2"/>
  <c r="F1536" i="2"/>
  <c r="G1536" i="2"/>
  <c r="F1537" i="2"/>
  <c r="G1537" i="2"/>
  <c r="F1538" i="2"/>
  <c r="G1538" i="2"/>
  <c r="F1539" i="2"/>
  <c r="G1539" i="2"/>
  <c r="F1540" i="2"/>
  <c r="G1540" i="2"/>
  <c r="F1541" i="2"/>
  <c r="G1541" i="2"/>
  <c r="F1542" i="2"/>
  <c r="G1542" i="2"/>
  <c r="F1543" i="2"/>
  <c r="G1543" i="2"/>
  <c r="F1544" i="2"/>
  <c r="G1544" i="2"/>
  <c r="F1545" i="2"/>
  <c r="G1545" i="2"/>
  <c r="F1546" i="2"/>
  <c r="G1546" i="2"/>
  <c r="F1547" i="2"/>
  <c r="G1547" i="2"/>
  <c r="F1548" i="2"/>
  <c r="G1548" i="2"/>
  <c r="F1549" i="2"/>
  <c r="G1549" i="2"/>
  <c r="F1550" i="2"/>
  <c r="G1550" i="2"/>
  <c r="F1551" i="2"/>
  <c r="G1551" i="2"/>
  <c r="F1552" i="2"/>
  <c r="G1552" i="2"/>
  <c r="F1553" i="2"/>
  <c r="G1553" i="2"/>
  <c r="F1554" i="2"/>
  <c r="G1554" i="2"/>
  <c r="F1555" i="2"/>
  <c r="G1555" i="2"/>
  <c r="F1556" i="2"/>
  <c r="G1556" i="2"/>
  <c r="F1557" i="2"/>
  <c r="G1557" i="2"/>
  <c r="F1558" i="2"/>
  <c r="G1558" i="2"/>
  <c r="F1559" i="2"/>
  <c r="G1559" i="2"/>
  <c r="F1560" i="2"/>
  <c r="G1560" i="2"/>
  <c r="F1561" i="2"/>
  <c r="G1561" i="2"/>
  <c r="F1562" i="2"/>
  <c r="G1562" i="2"/>
  <c r="F1563" i="2"/>
  <c r="G1563" i="2"/>
  <c r="F1564" i="2"/>
  <c r="G1564" i="2"/>
  <c r="F1565" i="2"/>
  <c r="G1565" i="2"/>
  <c r="F1566" i="2"/>
  <c r="G1566" i="2"/>
  <c r="F1567" i="2"/>
  <c r="G1567" i="2"/>
  <c r="F1568" i="2"/>
  <c r="G1568" i="2"/>
  <c r="F1569" i="2"/>
  <c r="G1569" i="2"/>
  <c r="F1570" i="2"/>
  <c r="G1570" i="2"/>
  <c r="F1571" i="2"/>
  <c r="G1571" i="2"/>
  <c r="F1572" i="2"/>
  <c r="G1572" i="2"/>
  <c r="F1573" i="2"/>
  <c r="G1573" i="2"/>
  <c r="F1574" i="2"/>
  <c r="G1574" i="2"/>
  <c r="F1575" i="2"/>
  <c r="G1575" i="2"/>
  <c r="F1576" i="2"/>
  <c r="G1576" i="2"/>
  <c r="F1577" i="2"/>
  <c r="G1577" i="2"/>
  <c r="F1578" i="2"/>
  <c r="G1578" i="2"/>
  <c r="F1579" i="2"/>
  <c r="G1579" i="2"/>
  <c r="F1580" i="2"/>
  <c r="G1580" i="2"/>
  <c r="F1581" i="2"/>
  <c r="G1581" i="2"/>
  <c r="F1582" i="2"/>
  <c r="G1582" i="2"/>
  <c r="F1583" i="2"/>
  <c r="G1583" i="2"/>
  <c r="F1584" i="2"/>
  <c r="G1584" i="2"/>
  <c r="F1585" i="2"/>
  <c r="G1585" i="2"/>
  <c r="F1586" i="2"/>
  <c r="G1586" i="2"/>
  <c r="F1587" i="2"/>
  <c r="G1587" i="2"/>
  <c r="F1588" i="2"/>
  <c r="G1588" i="2"/>
  <c r="F1589" i="2"/>
  <c r="G1589" i="2"/>
  <c r="F1590" i="2"/>
  <c r="G1590" i="2"/>
  <c r="F1591" i="2"/>
  <c r="G1591" i="2"/>
  <c r="F1592" i="2"/>
  <c r="G1592" i="2"/>
  <c r="F1593" i="2"/>
  <c r="G1593" i="2"/>
  <c r="F1594" i="2"/>
  <c r="G1594" i="2"/>
  <c r="F1595" i="2"/>
  <c r="G1595" i="2"/>
  <c r="F1596" i="2"/>
  <c r="G1596" i="2"/>
  <c r="F1597" i="2"/>
  <c r="G1597" i="2"/>
  <c r="F1598" i="2"/>
  <c r="G1598" i="2"/>
  <c r="F1599" i="2"/>
  <c r="G1599" i="2"/>
  <c r="F1600" i="2"/>
  <c r="G1600" i="2"/>
  <c r="F1601" i="2"/>
  <c r="G1601" i="2"/>
  <c r="F1602" i="2"/>
  <c r="G1602" i="2"/>
  <c r="F1603" i="2"/>
  <c r="G1603" i="2"/>
  <c r="F1604" i="2"/>
  <c r="G1604" i="2"/>
  <c r="F1605" i="2"/>
  <c r="G1605" i="2"/>
  <c r="F1606" i="2"/>
  <c r="G1606" i="2"/>
  <c r="F1607" i="2"/>
  <c r="G1607" i="2"/>
  <c r="F1608" i="2"/>
  <c r="G1608" i="2"/>
  <c r="F1609" i="2"/>
  <c r="G1609" i="2"/>
  <c r="F1610" i="2"/>
  <c r="G1610" i="2"/>
  <c r="F1611" i="2"/>
  <c r="G1611" i="2"/>
  <c r="F1612" i="2"/>
  <c r="G1612" i="2"/>
  <c r="F1613" i="2"/>
  <c r="G1613" i="2"/>
  <c r="F1614" i="2"/>
  <c r="G1614" i="2"/>
  <c r="F1615" i="2"/>
  <c r="G1615" i="2"/>
  <c r="F1616" i="2"/>
  <c r="G1616" i="2"/>
  <c r="F1617" i="2"/>
  <c r="G1617" i="2"/>
  <c r="F1618" i="2"/>
  <c r="G1618" i="2"/>
  <c r="F1619" i="2"/>
  <c r="G1619" i="2"/>
  <c r="F1620" i="2"/>
  <c r="G1620" i="2"/>
  <c r="F1621" i="2"/>
  <c r="G1621" i="2"/>
  <c r="F1622" i="2"/>
  <c r="G1622" i="2"/>
  <c r="F1623" i="2"/>
  <c r="G1623" i="2"/>
  <c r="F1624" i="2"/>
  <c r="G1624" i="2"/>
  <c r="F1625" i="2"/>
  <c r="G1625" i="2"/>
  <c r="F1626" i="2"/>
  <c r="G1626" i="2"/>
  <c r="F1627" i="2"/>
  <c r="G1627" i="2"/>
  <c r="F1628" i="2"/>
  <c r="G1628" i="2"/>
  <c r="F1629" i="2"/>
  <c r="G1629" i="2"/>
  <c r="F1630" i="2"/>
  <c r="G1630" i="2"/>
  <c r="F1631" i="2"/>
  <c r="G1631" i="2"/>
  <c r="F1632" i="2"/>
  <c r="G1632" i="2"/>
  <c r="F1633" i="2"/>
  <c r="G1633" i="2"/>
  <c r="F1634" i="2"/>
  <c r="G1634" i="2"/>
  <c r="F1635" i="2"/>
  <c r="G1635" i="2"/>
  <c r="F1636" i="2"/>
  <c r="G1636" i="2"/>
  <c r="F1637" i="2"/>
  <c r="G1637" i="2"/>
  <c r="F1638" i="2"/>
  <c r="G1638" i="2"/>
  <c r="F1639" i="2"/>
  <c r="G1639" i="2"/>
  <c r="F1640" i="2"/>
  <c r="G1640" i="2"/>
  <c r="F1641" i="2"/>
  <c r="G1641" i="2"/>
  <c r="F1642" i="2"/>
  <c r="G1642" i="2"/>
  <c r="F1643" i="2"/>
  <c r="G1643" i="2"/>
  <c r="F1644" i="2"/>
  <c r="G1644" i="2"/>
  <c r="F1645" i="2"/>
  <c r="G1645" i="2"/>
  <c r="F1646" i="2"/>
  <c r="G1646" i="2"/>
  <c r="F1647" i="2"/>
  <c r="G1647" i="2"/>
  <c r="F1648" i="2"/>
  <c r="G1648" i="2"/>
  <c r="F1649" i="2"/>
  <c r="G1649" i="2"/>
  <c r="F1650" i="2"/>
  <c r="G1650" i="2"/>
  <c r="F1651" i="2"/>
  <c r="G1651" i="2"/>
  <c r="F1652" i="2"/>
  <c r="G1652" i="2"/>
  <c r="F1653" i="2"/>
  <c r="G1653" i="2"/>
  <c r="F1654" i="2"/>
  <c r="G1654" i="2"/>
  <c r="F1655" i="2"/>
  <c r="G1655" i="2"/>
  <c r="F1656" i="2"/>
  <c r="G1656" i="2"/>
  <c r="F1657" i="2"/>
  <c r="G1657" i="2"/>
  <c r="F1658" i="2"/>
  <c r="G1658" i="2"/>
  <c r="F1659" i="2"/>
  <c r="G1659" i="2"/>
  <c r="F1660" i="2"/>
  <c r="G1660" i="2"/>
  <c r="F1661" i="2"/>
  <c r="G1661" i="2"/>
  <c r="F1662" i="2"/>
  <c r="G1662" i="2"/>
  <c r="F1663" i="2"/>
  <c r="G1663" i="2"/>
  <c r="F1664" i="2"/>
  <c r="G1664" i="2"/>
  <c r="F1665" i="2"/>
  <c r="G1665" i="2"/>
  <c r="F1666" i="2"/>
  <c r="G1666" i="2"/>
  <c r="F1667" i="2"/>
  <c r="G1667" i="2"/>
  <c r="F1668" i="2"/>
  <c r="G1668" i="2"/>
  <c r="F1669" i="2"/>
  <c r="G1669" i="2"/>
  <c r="F1670" i="2"/>
  <c r="G1670" i="2"/>
  <c r="F1671" i="2"/>
  <c r="G1671" i="2"/>
  <c r="F1672" i="2"/>
  <c r="G1672" i="2"/>
  <c r="F1673" i="2"/>
  <c r="G1673" i="2"/>
  <c r="F1674" i="2"/>
  <c r="G1674" i="2"/>
  <c r="F1675" i="2"/>
  <c r="G1675" i="2"/>
  <c r="F1676" i="2"/>
  <c r="G1676" i="2"/>
  <c r="F1677" i="2"/>
  <c r="G1677" i="2"/>
  <c r="F1678" i="2"/>
  <c r="G1678" i="2"/>
  <c r="F1679" i="2"/>
  <c r="G1679" i="2"/>
  <c r="F1680" i="2"/>
  <c r="G1680" i="2"/>
  <c r="F1681" i="2"/>
  <c r="G1681" i="2"/>
  <c r="F1682" i="2"/>
  <c r="G1682" i="2"/>
  <c r="F1683" i="2"/>
  <c r="G1683" i="2"/>
  <c r="F1684" i="2"/>
  <c r="G1684" i="2"/>
  <c r="F1685" i="2"/>
  <c r="G1685" i="2"/>
  <c r="F1686" i="2"/>
  <c r="G1686" i="2"/>
  <c r="F1687" i="2"/>
  <c r="G1687" i="2"/>
  <c r="F1688" i="2"/>
  <c r="G1688" i="2"/>
  <c r="F1689" i="2"/>
  <c r="G1689" i="2"/>
  <c r="F1690" i="2"/>
  <c r="G1690" i="2"/>
  <c r="F1691" i="2"/>
  <c r="G1691" i="2"/>
  <c r="F1692" i="2"/>
  <c r="G1692" i="2"/>
  <c r="F1693" i="2"/>
  <c r="G1693" i="2"/>
  <c r="F1694" i="2"/>
  <c r="G1694" i="2"/>
  <c r="F1695" i="2"/>
  <c r="G1695" i="2"/>
  <c r="F1696" i="2"/>
  <c r="G1696" i="2"/>
  <c r="F1697" i="2"/>
  <c r="G1697" i="2"/>
  <c r="F1698" i="2"/>
  <c r="G1698" i="2"/>
  <c r="F1699" i="2"/>
  <c r="G1699" i="2"/>
  <c r="F1700" i="2"/>
  <c r="G1700" i="2"/>
  <c r="F1701" i="2"/>
  <c r="G1701" i="2"/>
  <c r="F1702" i="2"/>
  <c r="G1702" i="2"/>
  <c r="F1703" i="2"/>
  <c r="G1703" i="2"/>
  <c r="F1704" i="2"/>
  <c r="G1704" i="2"/>
  <c r="F1705" i="2"/>
  <c r="G1705" i="2"/>
  <c r="F1706" i="2"/>
  <c r="G1706" i="2"/>
  <c r="F1707" i="2"/>
  <c r="G1707" i="2"/>
  <c r="F1708" i="2"/>
  <c r="G1708" i="2"/>
  <c r="F1709" i="2"/>
  <c r="G1709" i="2"/>
  <c r="F1710" i="2"/>
  <c r="G1710" i="2"/>
  <c r="F1711" i="2"/>
  <c r="G1711" i="2"/>
  <c r="F1712" i="2"/>
  <c r="G1712" i="2"/>
  <c r="F1713" i="2"/>
  <c r="G1713" i="2"/>
  <c r="F1714" i="2"/>
  <c r="G1714" i="2"/>
  <c r="F1715" i="2"/>
  <c r="G1715" i="2"/>
  <c r="F1716" i="2"/>
  <c r="G1716" i="2"/>
  <c r="F1717" i="2"/>
  <c r="G1717" i="2"/>
  <c r="F1718" i="2"/>
  <c r="G1718" i="2"/>
  <c r="F1719" i="2"/>
  <c r="G1719" i="2"/>
  <c r="F1720" i="2"/>
  <c r="G1720" i="2"/>
  <c r="F1721" i="2"/>
  <c r="G1721" i="2"/>
  <c r="F1722" i="2"/>
  <c r="G1722" i="2"/>
  <c r="F1723" i="2"/>
  <c r="G1723" i="2"/>
  <c r="F1724" i="2"/>
  <c r="G1724" i="2"/>
  <c r="F1725" i="2"/>
  <c r="G1725" i="2"/>
  <c r="F1726" i="2"/>
  <c r="G1726" i="2"/>
  <c r="F1727" i="2"/>
  <c r="G1727" i="2"/>
  <c r="F1728" i="2"/>
  <c r="G1728" i="2"/>
  <c r="F1729" i="2"/>
  <c r="G1729" i="2"/>
  <c r="F1730" i="2"/>
  <c r="G1730" i="2"/>
  <c r="F1731" i="2"/>
  <c r="G1731" i="2"/>
  <c r="F1732" i="2"/>
  <c r="G1732" i="2"/>
  <c r="F1733" i="2"/>
  <c r="G1733" i="2"/>
  <c r="F1734" i="2"/>
  <c r="G1734" i="2"/>
  <c r="F1735" i="2"/>
  <c r="G1735" i="2"/>
  <c r="F1736" i="2"/>
  <c r="G1736" i="2"/>
  <c r="F1737" i="2"/>
  <c r="G1737" i="2"/>
  <c r="F1738" i="2"/>
  <c r="F1739" i="2"/>
  <c r="F1740" i="2"/>
  <c r="G1740" i="2"/>
  <c r="F1741" i="2"/>
  <c r="G1741" i="2"/>
  <c r="F1742" i="2"/>
  <c r="G1742" i="2"/>
  <c r="F1743" i="2"/>
  <c r="F1744" i="2"/>
  <c r="G1744" i="2"/>
  <c r="F1745" i="2"/>
  <c r="F1746" i="2"/>
  <c r="F1747" i="2"/>
  <c r="F1748" i="2"/>
  <c r="G1748" i="2"/>
  <c r="F1749" i="2"/>
  <c r="F1750" i="2"/>
  <c r="F1751" i="2"/>
  <c r="F1752" i="2"/>
  <c r="G1752" i="2"/>
  <c r="F1753" i="2"/>
  <c r="F1754" i="2"/>
  <c r="F1755" i="2"/>
  <c r="F1756" i="2"/>
  <c r="F1757" i="2"/>
  <c r="F1758" i="2"/>
  <c r="F1759" i="2"/>
  <c r="F1760" i="2"/>
  <c r="F1761" i="2"/>
  <c r="F1762" i="2"/>
  <c r="G1762" i="2"/>
  <c r="F1763" i="2"/>
  <c r="G1763" i="2"/>
  <c r="F1764" i="2"/>
  <c r="F1765" i="2"/>
  <c r="F1766" i="2"/>
  <c r="G1766" i="2"/>
  <c r="F1767" i="2"/>
  <c r="G1767" i="2"/>
  <c r="F1768" i="2"/>
  <c r="F1769" i="2"/>
  <c r="F1770" i="2"/>
  <c r="F1771" i="2"/>
  <c r="F1772" i="2"/>
  <c r="F1773" i="2"/>
  <c r="F1774" i="2"/>
  <c r="G1774" i="2"/>
  <c r="F1775" i="2"/>
  <c r="F1776" i="2"/>
  <c r="F1777" i="2"/>
  <c r="F1778" i="2"/>
  <c r="F1779" i="2"/>
  <c r="F1780" i="2"/>
  <c r="F1781" i="2"/>
  <c r="F1782" i="2"/>
  <c r="G1782" i="2"/>
  <c r="F1783" i="2"/>
  <c r="F1784" i="2"/>
  <c r="G1784" i="2"/>
  <c r="F1785" i="2"/>
  <c r="F1786" i="2"/>
  <c r="G1786" i="2"/>
  <c r="F1787" i="2"/>
  <c r="G1787" i="2"/>
  <c r="F1788" i="2"/>
  <c r="G1788" i="2"/>
  <c r="F1789" i="2"/>
  <c r="G1789" i="2"/>
  <c r="F1790" i="2"/>
  <c r="G1790" i="2"/>
  <c r="F1791" i="2"/>
  <c r="G1791" i="2"/>
  <c r="F1792" i="2"/>
  <c r="G1792" i="2"/>
  <c r="F1793" i="2"/>
  <c r="F1794" i="2"/>
  <c r="G1794" i="2"/>
  <c r="F1795" i="2"/>
  <c r="G1795" i="2"/>
  <c r="F1796" i="2"/>
  <c r="G1796" i="2"/>
  <c r="F1797" i="2"/>
  <c r="G1797" i="2"/>
  <c r="F1798" i="2"/>
  <c r="G1798" i="2"/>
  <c r="F1799" i="2"/>
  <c r="G1799" i="2"/>
  <c r="F1800" i="2"/>
  <c r="G1800" i="2"/>
  <c r="F1801" i="2"/>
  <c r="F1802" i="2"/>
  <c r="G1802" i="2"/>
  <c r="F1803" i="2"/>
  <c r="G1803" i="2"/>
  <c r="F1804" i="2"/>
  <c r="G1804" i="2"/>
  <c r="F1805" i="2"/>
  <c r="G1805" i="2"/>
  <c r="F1806" i="2"/>
  <c r="G1806" i="2"/>
  <c r="F1807" i="2"/>
  <c r="G1807" i="2"/>
  <c r="F1808" i="2"/>
  <c r="G1808" i="2"/>
  <c r="F1809" i="2"/>
  <c r="G1809" i="2"/>
  <c r="F1810" i="2"/>
  <c r="G1810" i="2"/>
  <c r="F1811" i="2"/>
  <c r="G1811" i="2"/>
  <c r="F1812" i="2"/>
  <c r="G1812" i="2"/>
  <c r="F1813" i="2"/>
  <c r="G1813" i="2"/>
  <c r="F1814" i="2"/>
  <c r="G1814" i="2"/>
  <c r="F1815" i="2"/>
  <c r="G1815" i="2"/>
  <c r="F1816" i="2"/>
  <c r="G1816" i="2"/>
  <c r="F1817" i="2"/>
  <c r="G1817" i="2"/>
  <c r="F1818" i="2"/>
  <c r="G1818" i="2"/>
  <c r="F1819" i="2"/>
  <c r="G1819" i="2"/>
  <c r="F1820" i="2"/>
  <c r="G1820" i="2"/>
  <c r="F1821" i="2"/>
  <c r="G1821" i="2"/>
  <c r="F1822" i="2"/>
  <c r="F1823" i="2"/>
  <c r="F1824" i="2"/>
  <c r="F1825" i="2"/>
  <c r="F1826" i="2"/>
  <c r="F1827" i="2"/>
  <c r="G1827" i="2"/>
  <c r="F1828" i="2"/>
  <c r="F1829" i="2"/>
  <c r="G1829" i="2"/>
  <c r="F1830" i="2"/>
  <c r="F1831" i="2"/>
  <c r="F1832" i="2"/>
  <c r="F1833" i="2"/>
  <c r="F1834" i="2"/>
  <c r="F1835" i="2"/>
  <c r="F1836" i="2"/>
  <c r="F1837" i="2"/>
  <c r="F1838" i="2"/>
  <c r="F1839" i="2"/>
  <c r="F1840" i="2"/>
  <c r="G1840" i="2"/>
  <c r="F1841" i="2"/>
  <c r="F1842" i="2"/>
  <c r="G1842" i="2"/>
  <c r="F1843" i="2"/>
  <c r="G1843" i="2"/>
  <c r="F1844" i="2"/>
  <c r="F1845" i="2"/>
  <c r="G1845" i="2"/>
  <c r="F1846" i="2"/>
  <c r="F1847" i="2"/>
  <c r="F1848" i="2"/>
  <c r="F1849" i="2"/>
  <c r="F1850" i="2"/>
  <c r="F1851" i="2"/>
  <c r="G1851" i="2"/>
  <c r="F1852" i="2"/>
  <c r="G1852" i="2"/>
  <c r="F1853" i="2"/>
  <c r="G1853" i="2"/>
  <c r="F1854" i="2"/>
  <c r="G1854" i="2"/>
  <c r="F1855" i="2"/>
  <c r="F1856" i="2"/>
  <c r="F1857" i="2"/>
  <c r="G1857" i="2"/>
  <c r="F1858" i="2"/>
  <c r="F1859" i="2"/>
  <c r="G1859" i="2"/>
  <c r="F1860" i="2"/>
  <c r="G1860" i="2"/>
  <c r="F1861" i="2"/>
  <c r="G1861" i="2"/>
  <c r="F1862" i="2"/>
  <c r="G1862" i="2"/>
  <c r="F1863" i="2"/>
  <c r="F1864" i="2"/>
  <c r="F1865" i="2"/>
  <c r="F1866" i="2"/>
  <c r="F1867" i="2"/>
  <c r="F1868" i="2"/>
  <c r="F1869" i="2"/>
  <c r="F1870" i="2"/>
  <c r="G1870" i="2"/>
  <c r="F1871" i="2"/>
  <c r="G1871" i="2"/>
  <c r="F1872" i="2"/>
  <c r="F1873" i="2"/>
  <c r="F1874" i="2"/>
  <c r="F1875" i="2"/>
  <c r="F1876" i="2"/>
  <c r="F1877" i="2"/>
  <c r="F1878" i="2"/>
  <c r="F1879" i="2"/>
  <c r="F1880" i="2"/>
  <c r="G1880" i="2"/>
  <c r="F1881" i="2"/>
  <c r="F1882" i="2"/>
  <c r="G1882" i="2"/>
  <c r="F1883" i="2"/>
  <c r="F1884" i="2"/>
  <c r="F1885" i="2"/>
  <c r="G1885" i="2"/>
  <c r="F1886" i="2"/>
  <c r="F1887" i="2"/>
  <c r="F1888" i="2"/>
  <c r="G1888" i="2"/>
  <c r="F1889" i="2"/>
  <c r="G1889" i="2"/>
  <c r="F1890" i="2"/>
  <c r="G1890" i="2"/>
  <c r="F1891" i="2"/>
  <c r="F1892" i="2"/>
  <c r="G1892" i="2"/>
  <c r="F1893" i="2"/>
  <c r="F1894" i="2"/>
  <c r="G1894" i="2"/>
  <c r="F1895" i="2"/>
  <c r="G1895" i="2"/>
  <c r="F1896" i="2"/>
  <c r="G1896" i="2"/>
  <c r="F1897" i="2"/>
  <c r="G1897" i="2"/>
  <c r="F1898" i="2"/>
  <c r="G1898" i="2"/>
  <c r="F1899" i="2"/>
  <c r="G1899" i="2"/>
  <c r="F1900" i="2"/>
  <c r="G1900" i="2"/>
  <c r="F1901" i="2"/>
  <c r="G1901" i="2"/>
  <c r="F1902" i="2"/>
  <c r="F1903" i="2"/>
  <c r="G1903" i="2"/>
  <c r="F1904" i="2"/>
  <c r="F1905" i="2"/>
  <c r="F1906" i="2"/>
  <c r="G1906" i="2"/>
  <c r="F1907" i="2"/>
  <c r="G1907" i="2"/>
  <c r="F1908" i="2"/>
  <c r="G1908" i="2"/>
  <c r="F1909" i="2"/>
  <c r="G1909" i="2"/>
  <c r="F1910" i="2"/>
  <c r="G1910" i="2"/>
  <c r="F1911" i="2"/>
  <c r="G1911" i="2"/>
  <c r="F1912" i="2"/>
  <c r="G1912" i="2"/>
  <c r="F1913" i="2"/>
  <c r="G1913" i="2"/>
  <c r="F1914" i="2"/>
  <c r="G1914" i="2"/>
  <c r="F1915" i="2"/>
  <c r="G1915" i="2"/>
  <c r="F1916" i="2"/>
  <c r="F1917" i="2"/>
  <c r="G1917" i="2"/>
  <c r="F1918" i="2"/>
  <c r="G1918" i="2"/>
  <c r="F1919" i="2"/>
  <c r="G1919" i="2"/>
  <c r="F1920" i="2"/>
  <c r="G1920" i="2"/>
  <c r="F1921" i="2"/>
  <c r="G1921" i="2"/>
  <c r="F1922" i="2"/>
  <c r="G1922" i="2"/>
  <c r="F1923" i="2"/>
  <c r="G1923" i="2"/>
  <c r="F1924" i="2"/>
  <c r="G1924" i="2"/>
  <c r="F1925" i="2"/>
  <c r="G1925" i="2"/>
  <c r="F1926" i="2"/>
  <c r="G1926" i="2"/>
  <c r="F1927" i="2"/>
  <c r="G1927" i="2"/>
  <c r="F1928" i="2"/>
  <c r="G1928" i="2"/>
  <c r="F1929" i="2"/>
  <c r="G1929" i="2"/>
  <c r="F1930" i="2"/>
  <c r="G1930" i="2"/>
  <c r="F1931" i="2"/>
  <c r="G1931" i="2"/>
  <c r="F1932" i="2"/>
  <c r="G1932" i="2"/>
  <c r="F1933" i="2"/>
  <c r="G1933" i="2"/>
  <c r="F1934" i="2"/>
  <c r="G1934" i="2"/>
  <c r="F1935" i="2"/>
  <c r="G1935" i="2"/>
  <c r="F1936" i="2"/>
  <c r="G1936" i="2"/>
  <c r="F1937" i="2"/>
  <c r="G1937" i="2"/>
  <c r="F1938" i="2"/>
  <c r="G1938" i="2"/>
  <c r="F1939" i="2"/>
  <c r="G1939" i="2"/>
  <c r="F1940" i="2"/>
  <c r="G1940" i="2"/>
  <c r="F1941" i="2"/>
  <c r="G1941" i="2"/>
  <c r="F1942" i="2"/>
  <c r="G1942" i="2"/>
  <c r="F1943" i="2"/>
  <c r="G1943" i="2"/>
  <c r="F1944" i="2"/>
  <c r="G1944" i="2"/>
  <c r="F1945" i="2"/>
  <c r="G1945" i="2"/>
  <c r="F1946" i="2"/>
  <c r="G1946" i="2"/>
  <c r="F1947" i="2"/>
  <c r="G1947" i="2"/>
  <c r="F1948" i="2"/>
  <c r="G1948" i="2"/>
  <c r="F1949" i="2"/>
  <c r="G1949" i="2"/>
  <c r="F1950" i="2"/>
  <c r="G1950" i="2"/>
  <c r="F1951" i="2"/>
  <c r="G1951" i="2"/>
  <c r="F1952" i="2"/>
  <c r="G1952" i="2"/>
  <c r="F1953" i="2"/>
  <c r="G1953" i="2"/>
  <c r="F1954" i="2"/>
  <c r="G1954" i="2"/>
  <c r="F1955" i="2"/>
  <c r="G1955" i="2"/>
  <c r="F1956" i="2"/>
  <c r="G1956" i="2"/>
  <c r="F1957" i="2"/>
  <c r="G1957" i="2"/>
  <c r="F1958" i="2"/>
  <c r="G1958" i="2"/>
  <c r="F1959" i="2"/>
  <c r="G1959" i="2"/>
  <c r="F1960" i="2"/>
  <c r="G1960" i="2"/>
  <c r="F1961" i="2"/>
  <c r="G1961" i="2"/>
  <c r="F1962" i="2"/>
  <c r="G1962" i="2"/>
  <c r="F1963" i="2"/>
  <c r="G1963" i="2"/>
  <c r="F1964" i="2"/>
  <c r="G1964" i="2"/>
  <c r="F1965" i="2"/>
  <c r="F1966" i="2"/>
  <c r="G1966" i="2"/>
  <c r="F1967" i="2"/>
  <c r="G1967" i="2"/>
  <c r="F1968" i="2"/>
  <c r="F1969" i="2"/>
  <c r="F1970" i="2"/>
  <c r="F1971" i="2"/>
  <c r="G1971" i="2"/>
  <c r="F1972" i="2"/>
  <c r="G1972" i="2"/>
  <c r="F1973" i="2"/>
  <c r="G1973" i="2"/>
  <c r="F1974" i="2"/>
  <c r="F1975" i="2"/>
  <c r="F1976" i="2"/>
  <c r="F1977" i="2"/>
  <c r="F1978" i="2"/>
  <c r="F1979" i="2"/>
  <c r="F1980" i="2"/>
  <c r="F1981" i="2"/>
  <c r="F1982" i="2"/>
  <c r="G1982" i="2"/>
  <c r="F1983" i="2"/>
  <c r="F1984" i="2"/>
  <c r="F1985" i="2"/>
  <c r="G1985" i="2"/>
  <c r="F1986" i="2"/>
  <c r="G1986" i="2"/>
  <c r="F1987" i="2"/>
  <c r="F1988" i="2"/>
  <c r="F1989" i="2"/>
  <c r="G1989" i="2"/>
  <c r="F1990" i="2"/>
  <c r="G1990" i="2"/>
  <c r="F1991" i="2"/>
  <c r="F1992" i="2"/>
  <c r="F1993" i="2"/>
  <c r="F1994" i="2"/>
  <c r="G1994" i="2"/>
  <c r="F1995" i="2"/>
  <c r="G1995" i="2"/>
  <c r="F1996" i="2"/>
  <c r="G1996" i="2"/>
  <c r="F1997" i="2"/>
  <c r="F1998" i="2"/>
  <c r="F1999" i="2"/>
  <c r="F2000" i="2"/>
  <c r="F2001" i="2"/>
  <c r="F2002" i="2"/>
  <c r="F2003" i="2"/>
  <c r="F2004" i="2"/>
  <c r="F2005" i="2"/>
  <c r="G2005" i="2"/>
  <c r="F2006" i="2"/>
  <c r="F2007" i="2"/>
  <c r="F2008" i="2"/>
  <c r="G2008" i="2"/>
  <c r="F2009" i="2"/>
  <c r="G2009" i="2"/>
  <c r="F2010" i="2"/>
  <c r="F2011" i="2"/>
  <c r="F2012" i="2"/>
  <c r="G2012" i="2"/>
  <c r="F2013" i="2"/>
  <c r="G2013" i="2"/>
  <c r="F2014" i="2"/>
  <c r="G2014" i="2"/>
  <c r="F2015" i="2"/>
  <c r="G2015" i="2"/>
  <c r="F2016" i="2"/>
  <c r="G2016" i="2"/>
  <c r="F2017" i="2"/>
  <c r="G2017" i="2"/>
  <c r="F2018" i="2"/>
  <c r="G2018" i="2"/>
  <c r="F2019" i="2"/>
  <c r="G2019" i="2"/>
  <c r="F2020" i="2"/>
  <c r="G2020" i="2"/>
  <c r="F2021" i="2"/>
  <c r="G2021" i="2"/>
  <c r="F2022" i="2"/>
  <c r="G2022" i="2"/>
  <c r="F2023" i="2"/>
  <c r="G2023" i="2"/>
  <c r="F2024" i="2"/>
  <c r="G2024" i="2"/>
  <c r="F2025" i="2"/>
  <c r="G2025" i="2"/>
  <c r="F2026" i="2"/>
  <c r="G2026" i="2"/>
  <c r="F2027" i="2"/>
  <c r="G2027" i="2"/>
  <c r="F2028" i="2"/>
  <c r="G2028" i="2"/>
  <c r="F2029" i="2"/>
  <c r="G2029" i="2"/>
  <c r="F2030" i="2"/>
  <c r="G2030" i="2"/>
  <c r="F2031" i="2"/>
  <c r="G2031" i="2"/>
  <c r="F2032" i="2"/>
  <c r="G2032" i="2"/>
  <c r="F2033" i="2"/>
  <c r="G2033" i="2"/>
  <c r="F2034" i="2"/>
  <c r="G2034" i="2"/>
  <c r="F2035" i="2"/>
  <c r="G2035" i="2"/>
  <c r="F2036" i="2"/>
  <c r="G2036" i="2"/>
  <c r="F2037" i="2"/>
  <c r="G2037" i="2"/>
  <c r="F2038" i="2"/>
  <c r="G2038" i="2"/>
  <c r="F2039" i="2"/>
  <c r="G2039" i="2"/>
  <c r="F2040" i="2"/>
  <c r="G2040" i="2"/>
  <c r="F2041" i="2"/>
  <c r="G2041" i="2"/>
  <c r="F2042" i="2"/>
  <c r="G2042" i="2"/>
  <c r="F2043" i="2"/>
  <c r="G2043" i="2"/>
  <c r="F2044" i="2"/>
  <c r="G2044" i="2"/>
  <c r="F2045" i="2"/>
  <c r="G2045" i="2"/>
  <c r="F2046" i="2"/>
  <c r="G2046" i="2"/>
  <c r="F2047" i="2"/>
  <c r="G2047" i="2"/>
  <c r="F2048" i="2"/>
  <c r="G2048" i="2"/>
  <c r="F2049" i="2"/>
  <c r="G2049" i="2"/>
  <c r="F2050" i="2"/>
  <c r="G2050" i="2"/>
  <c r="F2051" i="2"/>
  <c r="G2051" i="2"/>
  <c r="F2052" i="2"/>
  <c r="G2052" i="2"/>
  <c r="F2053" i="2"/>
  <c r="G2053" i="2"/>
  <c r="F2054" i="2"/>
  <c r="G2054" i="2"/>
  <c r="F2055" i="2"/>
  <c r="G2055" i="2"/>
  <c r="F2056" i="2"/>
  <c r="G2056" i="2"/>
  <c r="F2057" i="2"/>
  <c r="G2057" i="2"/>
  <c r="F2058" i="2"/>
  <c r="G2058" i="2"/>
  <c r="F2059" i="2"/>
  <c r="G2059" i="2"/>
  <c r="F2060" i="2"/>
  <c r="G2060" i="2"/>
  <c r="F2061" i="2"/>
  <c r="G2061" i="2"/>
  <c r="F2062" i="2"/>
  <c r="G2062" i="2"/>
  <c r="F2063" i="2"/>
  <c r="G2063" i="2"/>
  <c r="F2064" i="2"/>
  <c r="G2064" i="2"/>
  <c r="F2065" i="2"/>
  <c r="G2065" i="2"/>
  <c r="F2066" i="2"/>
  <c r="G2066" i="2"/>
  <c r="F2067" i="2"/>
  <c r="G2067" i="2"/>
  <c r="F2068" i="2"/>
  <c r="G2068" i="2"/>
  <c r="F2069" i="2"/>
  <c r="G2069" i="2"/>
  <c r="F2070" i="2"/>
  <c r="G2070" i="2"/>
  <c r="F2071" i="2"/>
  <c r="G2071" i="2"/>
  <c r="F2072" i="2"/>
  <c r="G2072" i="2"/>
  <c r="F2073" i="2"/>
  <c r="G2073" i="2"/>
  <c r="F2074" i="2"/>
  <c r="G2074" i="2"/>
  <c r="F2075" i="2"/>
  <c r="G2075" i="2"/>
  <c r="F2076" i="2"/>
  <c r="G2076" i="2"/>
  <c r="F2077" i="2"/>
  <c r="G2077" i="2"/>
  <c r="F2078" i="2"/>
  <c r="G2078" i="2"/>
  <c r="F2079" i="2"/>
  <c r="G2079" i="2"/>
  <c r="F2080" i="2"/>
  <c r="G2080" i="2"/>
  <c r="F2081" i="2"/>
  <c r="G2081" i="2"/>
  <c r="F2082" i="2"/>
  <c r="G2082" i="2"/>
  <c r="F2083" i="2"/>
  <c r="G2083" i="2"/>
  <c r="F2084" i="2"/>
  <c r="G2084" i="2"/>
  <c r="F2085" i="2"/>
  <c r="G2085" i="2"/>
  <c r="F2086" i="2"/>
  <c r="G2086" i="2"/>
  <c r="F2087" i="2"/>
  <c r="G2087" i="2"/>
  <c r="F2088" i="2"/>
  <c r="G2088" i="2"/>
  <c r="F2089" i="2"/>
  <c r="G2089" i="2"/>
  <c r="F2090" i="2"/>
  <c r="G2090" i="2"/>
  <c r="F2091" i="2"/>
  <c r="G2091" i="2"/>
  <c r="F2092" i="2"/>
  <c r="G2092" i="2"/>
  <c r="F2093" i="2"/>
  <c r="G2093" i="2"/>
  <c r="F2094" i="2"/>
  <c r="G2094" i="2"/>
  <c r="F2095" i="2"/>
  <c r="G2095" i="2"/>
  <c r="F2096" i="2"/>
  <c r="G2096" i="2"/>
  <c r="F2097" i="2"/>
  <c r="G2097" i="2"/>
  <c r="F2098" i="2"/>
  <c r="G2098" i="2"/>
  <c r="F2099" i="2"/>
  <c r="G2099" i="2"/>
  <c r="F2100" i="2"/>
  <c r="G2100" i="2"/>
  <c r="F2101" i="2"/>
  <c r="G2101" i="2"/>
  <c r="F2102" i="2"/>
  <c r="G2102" i="2"/>
  <c r="F2103" i="2"/>
  <c r="G2103" i="2"/>
  <c r="F2104" i="2"/>
  <c r="G2104" i="2"/>
  <c r="F2105" i="2"/>
  <c r="G2105" i="2"/>
  <c r="F2106" i="2"/>
  <c r="G2106" i="2"/>
  <c r="F2107" i="2"/>
  <c r="G2107" i="2"/>
  <c r="F2108" i="2"/>
  <c r="G2108" i="2"/>
  <c r="F2109" i="2"/>
  <c r="G2109" i="2"/>
  <c r="F2110" i="2"/>
  <c r="G2110" i="2"/>
  <c r="F2111" i="2"/>
  <c r="G2111" i="2"/>
  <c r="F2112" i="2"/>
  <c r="G2112" i="2"/>
  <c r="F2113" i="2"/>
  <c r="G2113" i="2"/>
  <c r="F2114" i="2"/>
  <c r="G2114" i="2"/>
  <c r="F2115" i="2"/>
  <c r="G2115" i="2"/>
  <c r="F2116" i="2"/>
  <c r="G2116" i="2"/>
  <c r="F2117" i="2"/>
  <c r="G2117" i="2"/>
  <c r="F2118" i="2"/>
  <c r="G2118" i="2"/>
  <c r="F2119" i="2"/>
  <c r="G2119" i="2"/>
  <c r="F2120" i="2"/>
  <c r="G2120" i="2"/>
  <c r="F2121" i="2"/>
  <c r="G2121" i="2"/>
  <c r="F2122" i="2"/>
  <c r="G2122" i="2"/>
  <c r="F2123" i="2"/>
  <c r="G2123" i="2"/>
  <c r="F2124" i="2"/>
  <c r="G2124" i="2"/>
  <c r="F2125" i="2"/>
  <c r="G2125" i="2"/>
  <c r="F2126" i="2"/>
  <c r="G2126" i="2"/>
  <c r="F2127" i="2"/>
  <c r="G2127" i="2"/>
  <c r="F2128" i="2"/>
  <c r="G2128" i="2"/>
  <c r="F2129" i="2"/>
  <c r="G2129" i="2"/>
  <c r="F2130" i="2"/>
  <c r="G2130" i="2"/>
  <c r="F2131" i="2"/>
  <c r="G2131" i="2"/>
  <c r="F2132" i="2"/>
  <c r="G2132" i="2"/>
  <c r="F2133" i="2"/>
  <c r="G2133" i="2"/>
  <c r="F2134" i="2"/>
  <c r="G2134" i="2"/>
  <c r="F2135" i="2"/>
  <c r="G2135" i="2"/>
  <c r="F2136" i="2"/>
  <c r="G2136" i="2"/>
  <c r="F2137" i="2"/>
  <c r="G2137" i="2"/>
  <c r="F2138" i="2"/>
  <c r="G2138" i="2"/>
  <c r="F2139" i="2"/>
  <c r="G2139" i="2"/>
  <c r="F2140" i="2"/>
  <c r="F2141" i="2"/>
  <c r="F2142" i="2"/>
  <c r="F2143" i="2"/>
  <c r="G2143" i="2"/>
  <c r="F2144" i="2"/>
  <c r="G2144" i="2"/>
  <c r="F2145" i="2"/>
  <c r="G2145" i="2"/>
  <c r="F2146" i="2"/>
  <c r="G2146" i="2"/>
  <c r="F2147" i="2"/>
  <c r="G2147" i="2"/>
  <c r="F2148" i="2"/>
  <c r="G2148" i="2"/>
  <c r="F2149" i="2"/>
  <c r="G2149" i="2"/>
  <c r="F2150" i="2"/>
  <c r="G2150" i="2"/>
  <c r="F2151" i="2"/>
  <c r="G2151" i="2"/>
  <c r="F2152" i="2"/>
  <c r="G2152" i="2"/>
  <c r="F2153" i="2"/>
  <c r="G2153" i="2"/>
  <c r="F2154" i="2"/>
  <c r="G2154" i="2"/>
  <c r="F2155" i="2"/>
  <c r="G2155" i="2"/>
  <c r="F2156" i="2"/>
  <c r="G2156" i="2"/>
  <c r="F2157" i="2"/>
  <c r="G2157" i="2"/>
  <c r="F2158" i="2"/>
  <c r="G2158" i="2"/>
  <c r="F2159" i="2"/>
  <c r="G2159" i="2"/>
  <c r="F2160" i="2"/>
  <c r="G2160" i="2"/>
  <c r="F2161" i="2"/>
  <c r="G2161" i="2"/>
  <c r="F2162" i="2"/>
  <c r="G2162" i="2"/>
  <c r="F2163" i="2"/>
  <c r="G2163" i="2"/>
  <c r="F2164" i="2"/>
  <c r="G2164" i="2"/>
  <c r="F2165" i="2"/>
  <c r="G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G2187" i="2"/>
  <c r="F2188" i="2"/>
  <c r="G2188" i="2"/>
  <c r="F2189" i="2"/>
  <c r="G2189" i="2"/>
  <c r="F2190" i="2"/>
  <c r="G2190" i="2"/>
  <c r="F2191" i="2"/>
  <c r="G2191" i="2"/>
  <c r="F2192" i="2"/>
  <c r="G2192" i="2"/>
  <c r="F2193" i="2"/>
  <c r="G2193" i="2"/>
  <c r="F2194" i="2"/>
  <c r="G2194" i="2"/>
  <c r="F2195" i="2"/>
  <c r="G2195" i="2"/>
  <c r="F2196" i="2"/>
  <c r="G2196" i="2"/>
  <c r="F2197" i="2"/>
  <c r="G2197" i="2"/>
  <c r="F2198" i="2"/>
  <c r="G2198" i="2"/>
  <c r="F2199" i="2"/>
  <c r="G2199" i="2"/>
  <c r="F2200" i="2"/>
  <c r="G2200" i="2"/>
  <c r="F2201" i="2"/>
  <c r="G2201" i="2"/>
  <c r="F2202" i="2"/>
  <c r="G2202" i="2"/>
  <c r="F2203" i="2"/>
  <c r="G2203" i="2"/>
  <c r="F2204" i="2"/>
  <c r="G2204" i="2"/>
  <c r="F2205" i="2"/>
  <c r="G2205" i="2"/>
  <c r="F2206" i="2"/>
  <c r="G2206" i="2"/>
  <c r="F2207" i="2"/>
  <c r="G2207" i="2"/>
  <c r="F2208" i="2"/>
  <c r="G2208" i="2"/>
  <c r="F2209" i="2"/>
  <c r="G2209" i="2"/>
  <c r="F2210" i="2"/>
  <c r="G2210" i="2"/>
  <c r="F2211" i="2"/>
  <c r="F2212" i="2"/>
  <c r="G2212" i="2"/>
  <c r="F2213" i="2"/>
  <c r="G2213" i="2"/>
  <c r="F2214" i="2"/>
  <c r="F2215" i="2"/>
  <c r="F2216" i="2"/>
  <c r="G2216" i="2"/>
  <c r="F2217" i="2"/>
  <c r="F2218" i="2"/>
  <c r="F2219" i="2"/>
  <c r="G2219" i="2"/>
  <c r="F2220" i="2"/>
  <c r="G2220" i="2"/>
  <c r="F2221" i="2"/>
  <c r="G2221" i="2"/>
  <c r="F2222" i="2"/>
  <c r="G2222" i="2"/>
  <c r="F2223" i="2"/>
  <c r="F2224" i="2"/>
  <c r="G2224" i="2"/>
  <c r="F2225" i="2"/>
  <c r="G2225" i="2"/>
  <c r="F2226" i="2"/>
  <c r="G2226" i="2"/>
  <c r="F2227" i="2"/>
  <c r="G2227" i="2"/>
  <c r="F2228" i="2"/>
  <c r="G2228" i="2"/>
  <c r="F2229" i="2"/>
  <c r="G2229" i="2"/>
  <c r="F2230" i="2"/>
  <c r="G2230" i="2"/>
  <c r="F2231" i="2"/>
  <c r="G2231" i="2"/>
  <c r="F2232" i="2"/>
  <c r="G2232" i="2"/>
  <c r="F2233" i="2"/>
  <c r="F2234" i="2"/>
  <c r="G2234" i="2"/>
  <c r="F2235" i="2"/>
  <c r="F2236" i="2"/>
  <c r="F2237" i="2"/>
  <c r="G2237" i="2"/>
  <c r="F2238" i="2"/>
  <c r="F2239" i="2"/>
  <c r="F2240" i="2"/>
  <c r="G2240" i="2"/>
  <c r="F2241" i="2"/>
  <c r="G2241" i="2"/>
  <c r="F2242" i="2"/>
  <c r="G2242" i="2"/>
  <c r="F2243" i="2"/>
  <c r="G2243" i="2"/>
  <c r="F2244" i="2"/>
  <c r="G2244" i="2"/>
  <c r="F2245" i="2"/>
  <c r="F2246" i="2"/>
  <c r="G2246" i="2"/>
  <c r="F2247" i="2"/>
  <c r="G2247" i="2"/>
  <c r="F2248" i="2"/>
  <c r="G2248" i="2"/>
  <c r="F2249" i="2"/>
  <c r="G2249" i="2"/>
  <c r="F2250" i="2"/>
  <c r="G2250" i="2"/>
  <c r="F2251" i="2"/>
  <c r="G2251" i="2"/>
  <c r="F2252" i="2"/>
  <c r="G2252" i="2"/>
  <c r="F2253" i="2"/>
  <c r="G2253" i="2"/>
  <c r="F2254" i="2"/>
  <c r="G2254" i="2"/>
  <c r="F2255" i="2"/>
  <c r="G2255" i="2"/>
  <c r="F2256" i="2"/>
  <c r="G2256" i="2"/>
  <c r="F2257" i="2"/>
  <c r="G2257" i="2"/>
  <c r="F2258" i="2"/>
  <c r="G2258" i="2"/>
  <c r="F2259" i="2"/>
  <c r="G2259" i="2"/>
  <c r="F2260" i="2"/>
  <c r="G2260" i="2"/>
  <c r="F2261" i="2"/>
  <c r="G2261" i="2"/>
  <c r="F2262" i="2"/>
  <c r="G2262" i="2"/>
  <c r="F2263" i="2"/>
  <c r="G2263" i="2"/>
  <c r="F2264" i="2"/>
  <c r="G2264" i="2"/>
  <c r="F2265" i="2"/>
  <c r="G2265" i="2"/>
  <c r="F2266" i="2"/>
  <c r="G2266" i="2"/>
  <c r="F2267" i="2"/>
  <c r="G2267" i="2"/>
  <c r="F2268" i="2"/>
  <c r="G2268" i="2"/>
  <c r="F2269" i="2"/>
  <c r="G2269" i="2"/>
  <c r="F2270" i="2"/>
  <c r="G2270" i="2"/>
  <c r="F2271" i="2"/>
  <c r="G2271" i="2"/>
  <c r="F2272" i="2"/>
  <c r="G2272" i="2"/>
  <c r="F2273" i="2"/>
  <c r="G2273" i="2"/>
  <c r="F2274" i="2"/>
  <c r="G2274" i="2"/>
  <c r="F2275" i="2"/>
  <c r="G2275" i="2"/>
  <c r="F2276" i="2"/>
  <c r="G2276" i="2"/>
  <c r="F2277" i="2"/>
  <c r="G2277" i="2"/>
  <c r="F2278" i="2"/>
  <c r="G2278" i="2"/>
  <c r="F2279" i="2"/>
  <c r="G2279" i="2"/>
  <c r="F2280" i="2"/>
  <c r="G2280" i="2"/>
  <c r="F2281" i="2"/>
  <c r="G2281" i="2"/>
  <c r="F2282" i="2"/>
  <c r="G2282" i="2"/>
  <c r="F2283" i="2"/>
  <c r="G2283" i="2"/>
  <c r="F2284" i="2"/>
  <c r="G2284" i="2"/>
  <c r="F2285" i="2"/>
  <c r="G2285" i="2"/>
  <c r="F2286" i="2"/>
  <c r="G2286" i="2"/>
  <c r="F2287" i="2"/>
  <c r="G2287" i="2"/>
  <c r="F2288" i="2"/>
  <c r="G2288" i="2"/>
  <c r="F2289" i="2"/>
  <c r="G2289" i="2"/>
  <c r="F2290" i="2"/>
  <c r="G2290" i="2"/>
  <c r="F2291" i="2"/>
  <c r="G2291" i="2"/>
  <c r="F2292" i="2"/>
  <c r="G2292" i="2"/>
  <c r="F2293" i="2"/>
  <c r="G2293" i="2"/>
  <c r="F2294" i="2"/>
  <c r="G2294" i="2"/>
  <c r="F2295" i="2"/>
  <c r="G2295" i="2"/>
  <c r="F2296" i="2"/>
  <c r="G2296" i="2"/>
  <c r="F2297" i="2"/>
  <c r="G2297" i="2"/>
  <c r="F2298" i="2"/>
  <c r="G2298" i="2"/>
  <c r="F2299" i="2"/>
  <c r="F2300" i="2"/>
  <c r="F2301" i="2"/>
  <c r="G2301" i="2"/>
  <c r="F2302" i="2"/>
  <c r="F2303" i="2"/>
  <c r="F2304" i="2"/>
  <c r="F2305" i="2"/>
  <c r="G2305" i="2"/>
  <c r="F2306" i="2"/>
  <c r="G2306" i="2"/>
  <c r="F2307" i="2"/>
  <c r="G2307" i="2"/>
  <c r="F2308" i="2"/>
  <c r="G2308" i="2"/>
  <c r="F2309" i="2"/>
  <c r="G2309" i="2"/>
  <c r="F2310" i="2"/>
  <c r="G2310" i="2"/>
  <c r="F2311" i="2"/>
  <c r="G2311" i="2"/>
  <c r="F2312" i="2"/>
  <c r="G2312" i="2"/>
  <c r="F2313" i="2"/>
  <c r="G2313" i="2"/>
  <c r="F2314" i="2"/>
  <c r="G2314" i="2"/>
  <c r="F2315" i="2"/>
  <c r="G2315" i="2"/>
  <c r="F2316" i="2"/>
  <c r="G2316" i="2"/>
  <c r="F2317" i="2"/>
  <c r="G2317" i="2"/>
  <c r="F2318" i="2"/>
  <c r="G2318" i="2"/>
  <c r="F2319" i="2"/>
  <c r="G2319" i="2"/>
  <c r="F2320" i="2"/>
  <c r="F2321" i="2"/>
  <c r="F2322" i="2"/>
  <c r="G2322" i="2"/>
  <c r="F2323" i="2"/>
  <c r="F2324" i="2"/>
  <c r="F2325" i="2"/>
  <c r="F2326" i="2"/>
  <c r="G2326" i="2"/>
  <c r="F2327" i="2"/>
  <c r="G2327" i="2"/>
  <c r="F2328" i="2"/>
  <c r="G2328" i="2"/>
  <c r="F2329" i="2"/>
  <c r="G2329" i="2"/>
  <c r="F2330" i="2"/>
  <c r="G2330" i="2"/>
  <c r="F2331" i="2"/>
  <c r="G2331" i="2"/>
  <c r="F2332" i="2"/>
  <c r="G2332" i="2"/>
  <c r="F2333" i="2"/>
  <c r="G2333" i="2"/>
  <c r="F2334" i="2"/>
  <c r="G2334" i="2"/>
  <c r="F2335" i="2"/>
  <c r="G2335" i="2"/>
  <c r="F2336" i="2"/>
  <c r="G2336" i="2"/>
  <c r="F2337" i="2"/>
  <c r="G2337" i="2"/>
  <c r="F2338" i="2"/>
  <c r="G2338" i="2"/>
  <c r="F2339" i="2"/>
  <c r="G2339" i="2"/>
  <c r="F2340" i="2"/>
  <c r="G2340" i="2"/>
  <c r="F2341" i="2"/>
  <c r="G2341" i="2"/>
  <c r="F2342" i="2"/>
  <c r="F2343" i="2"/>
  <c r="G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G2356" i="2"/>
  <c r="F2357" i="2"/>
  <c r="G2357" i="2"/>
  <c r="F2358" i="2"/>
  <c r="G2358" i="2"/>
  <c r="F2359" i="2"/>
  <c r="G2359" i="2"/>
  <c r="F2360" i="2"/>
  <c r="G2360" i="2"/>
  <c r="F2361" i="2"/>
  <c r="G2361" i="2"/>
  <c r="F2362" i="2"/>
  <c r="G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G2375" i="2"/>
  <c r="F2376" i="2"/>
  <c r="G2376" i="2"/>
  <c r="F2377" i="2"/>
  <c r="G2377" i="2"/>
  <c r="F2378" i="2"/>
  <c r="G2378" i="2"/>
  <c r="F2379" i="2"/>
  <c r="G2379" i="2"/>
  <c r="F2380" i="2"/>
  <c r="G2380" i="2"/>
  <c r="F2381" i="2"/>
  <c r="G2381" i="2"/>
  <c r="F2382" i="2"/>
  <c r="G2382" i="2"/>
  <c r="F2383" i="2"/>
  <c r="G2383" i="2"/>
  <c r="F2384" i="2"/>
  <c r="G2384" i="2"/>
  <c r="F2385" i="2"/>
  <c r="G2385" i="2"/>
  <c r="F2386" i="2"/>
  <c r="G2386" i="2"/>
  <c r="F2387" i="2"/>
  <c r="G2387" i="2"/>
  <c r="F2388" i="2"/>
  <c r="G2388" i="2"/>
  <c r="F2389" i="2"/>
  <c r="G2389" i="2"/>
  <c r="F2390" i="2"/>
  <c r="G2390" i="2"/>
  <c r="F2391" i="2"/>
  <c r="G2391" i="2"/>
  <c r="F2392" i="2"/>
  <c r="G2392" i="2"/>
  <c r="F2393" i="2"/>
  <c r="G2393" i="2"/>
  <c r="F2394" i="2"/>
  <c r="G2394" i="2"/>
  <c r="F2395" i="2"/>
  <c r="G2395" i="2"/>
  <c r="F2396" i="2"/>
  <c r="G2396" i="2"/>
  <c r="F2397" i="2"/>
  <c r="G2397" i="2"/>
  <c r="F2398" i="2"/>
  <c r="G2398" i="2"/>
  <c r="F2399" i="2"/>
  <c r="G2399" i="2"/>
  <c r="F2400" i="2"/>
  <c r="G2400" i="2"/>
  <c r="F2401" i="2"/>
  <c r="G2401" i="2"/>
  <c r="F2402" i="2"/>
  <c r="G2402" i="2"/>
  <c r="F2403" i="2"/>
  <c r="G2403" i="2"/>
  <c r="F2404" i="2"/>
  <c r="G2404" i="2"/>
  <c r="F2405" i="2"/>
  <c r="G2405" i="2"/>
  <c r="F2406" i="2"/>
  <c r="G2406" i="2"/>
  <c r="F2407" i="2"/>
  <c r="G2407" i="2"/>
  <c r="F2408" i="2"/>
  <c r="G2408" i="2"/>
  <c r="F2409" i="2"/>
  <c r="G2409" i="2"/>
  <c r="F2410" i="2"/>
  <c r="G2410" i="2"/>
  <c r="F2411" i="2"/>
  <c r="G2411" i="2"/>
  <c r="F2412" i="2"/>
  <c r="G2412" i="2"/>
  <c r="F2413" i="2"/>
  <c r="G2413" i="2"/>
  <c r="F2414" i="2"/>
  <c r="G2414" i="2"/>
  <c r="F2415" i="2"/>
  <c r="G2415" i="2"/>
  <c r="F2416" i="2"/>
  <c r="G2416" i="2"/>
  <c r="F2417" i="2"/>
  <c r="G2417" i="2"/>
  <c r="F2418" i="2"/>
  <c r="G2418" i="2"/>
  <c r="F2419" i="2"/>
  <c r="G2419" i="2"/>
  <c r="F2420" i="2"/>
  <c r="G2420" i="2"/>
  <c r="F2421" i="2"/>
  <c r="G2421" i="2"/>
  <c r="F2422" i="2"/>
  <c r="G2422" i="2"/>
  <c r="F2423" i="2"/>
  <c r="G2423" i="2"/>
  <c r="F2424" i="2"/>
  <c r="G2424" i="2"/>
  <c r="F2425" i="2"/>
  <c r="G2425" i="2"/>
  <c r="F2426" i="2"/>
  <c r="G2426" i="2"/>
  <c r="F2427" i="2"/>
  <c r="G2427" i="2"/>
  <c r="F2428" i="2"/>
  <c r="G2428" i="2"/>
  <c r="F2429" i="2"/>
  <c r="G2429" i="2"/>
  <c r="F2430" i="2"/>
  <c r="G2430" i="2"/>
  <c r="F2431" i="2"/>
  <c r="G2431" i="2"/>
  <c r="F2432" i="2"/>
  <c r="G2432" i="2"/>
  <c r="F2433" i="2"/>
  <c r="G2433" i="2"/>
  <c r="F2434" i="2"/>
  <c r="G2434" i="2"/>
  <c r="F2435" i="2"/>
  <c r="G2435" i="2"/>
  <c r="F2436" i="2"/>
  <c r="G2436" i="2"/>
  <c r="F2437" i="2"/>
  <c r="G2437" i="2"/>
  <c r="F2438" i="2"/>
  <c r="G2438" i="2"/>
  <c r="F2439" i="2"/>
  <c r="G2439" i="2"/>
  <c r="F2440" i="2"/>
  <c r="G2440" i="2"/>
  <c r="F2441" i="2"/>
  <c r="G2441" i="2"/>
  <c r="F2442" i="2"/>
  <c r="G2442" i="2"/>
  <c r="F2443" i="2"/>
  <c r="G2443" i="2"/>
  <c r="F2444" i="2"/>
  <c r="G2444" i="2"/>
  <c r="F2445" i="2"/>
  <c r="G2445" i="2"/>
  <c r="F2446" i="2"/>
  <c r="G2446" i="2"/>
  <c r="F2447" i="2"/>
  <c r="G2447" i="2"/>
  <c r="F2448" i="2"/>
  <c r="G2448" i="2"/>
  <c r="F2449" i="2"/>
  <c r="G2449" i="2"/>
  <c r="F2450" i="2"/>
  <c r="G2450" i="2"/>
  <c r="F2451" i="2"/>
  <c r="G2451" i="2"/>
  <c r="F2452" i="2"/>
  <c r="G2452" i="2"/>
  <c r="F2453" i="2"/>
  <c r="G2453" i="2"/>
  <c r="F2454" i="2"/>
  <c r="G2454" i="2"/>
  <c r="F2455" i="2"/>
  <c r="G2455" i="2"/>
  <c r="F2456" i="2"/>
  <c r="G2456" i="2"/>
  <c r="F2457" i="2"/>
  <c r="G2457" i="2"/>
  <c r="F2458" i="2"/>
  <c r="G2458" i="2"/>
  <c r="F2459" i="2"/>
  <c r="G2459" i="2"/>
  <c r="F2460" i="2"/>
  <c r="G2460" i="2"/>
  <c r="F2461" i="2"/>
  <c r="G2461" i="2"/>
  <c r="F2462" i="2"/>
  <c r="G2462" i="2"/>
  <c r="F2463" i="2"/>
  <c r="G2463" i="2"/>
  <c r="F2464" i="2"/>
  <c r="G2464" i="2"/>
  <c r="F2465" i="2"/>
  <c r="G2465" i="2"/>
  <c r="F2466" i="2"/>
  <c r="G2466" i="2"/>
  <c r="F2467" i="2"/>
  <c r="G2467" i="2"/>
  <c r="F2468" i="2"/>
  <c r="G2468" i="2"/>
  <c r="F2469" i="2"/>
  <c r="G2469" i="2"/>
  <c r="F2470" i="2"/>
  <c r="G2470" i="2"/>
  <c r="F2471" i="2"/>
  <c r="G2471" i="2"/>
  <c r="F2472" i="2"/>
  <c r="G2472" i="2"/>
  <c r="F2473" i="2"/>
  <c r="G2473" i="2"/>
  <c r="F2474" i="2"/>
  <c r="G2474" i="2"/>
  <c r="F2475" i="2"/>
  <c r="G2475" i="2"/>
  <c r="F2476" i="2"/>
  <c r="G2476" i="2"/>
  <c r="F2477" i="2"/>
  <c r="G2477" i="2"/>
  <c r="F2478" i="2"/>
  <c r="G2478" i="2"/>
  <c r="F2479" i="2"/>
  <c r="G2479" i="2"/>
  <c r="F2480" i="2"/>
  <c r="G2480" i="2"/>
  <c r="F2481" i="2"/>
  <c r="G2481" i="2"/>
  <c r="F2482" i="2"/>
  <c r="G2482" i="2"/>
  <c r="F2483" i="2"/>
  <c r="G2483" i="2"/>
  <c r="F2484" i="2"/>
  <c r="G2484" i="2"/>
  <c r="F2485" i="2"/>
  <c r="G2485" i="2"/>
  <c r="F2486" i="2"/>
  <c r="G2486" i="2"/>
  <c r="F2487" i="2"/>
  <c r="G2487" i="2"/>
  <c r="F2488" i="2"/>
  <c r="G2488" i="2"/>
  <c r="F2489" i="2"/>
  <c r="G2489" i="2"/>
  <c r="F2490" i="2"/>
  <c r="G2490" i="2"/>
  <c r="F2491" i="2"/>
  <c r="G2491" i="2"/>
  <c r="F2492" i="2"/>
  <c r="G2492" i="2"/>
  <c r="F2493" i="2"/>
  <c r="G2493" i="2"/>
  <c r="F2494" i="2"/>
  <c r="G2494" i="2"/>
  <c r="F2495" i="2"/>
  <c r="G2495" i="2"/>
  <c r="F2496" i="2"/>
  <c r="G2496" i="2"/>
  <c r="F2497" i="2"/>
  <c r="G2497" i="2"/>
  <c r="F2498" i="2"/>
  <c r="G2498" i="2"/>
  <c r="F2499" i="2"/>
  <c r="G2499" i="2"/>
  <c r="F2500" i="2"/>
  <c r="G2500" i="2"/>
  <c r="F2501" i="2"/>
  <c r="G2501" i="2"/>
  <c r="F2502" i="2"/>
  <c r="G2502" i="2"/>
  <c r="F2503" i="2"/>
  <c r="G2503" i="2"/>
  <c r="F2504" i="2"/>
  <c r="G2504" i="2"/>
  <c r="F2505" i="2"/>
  <c r="G2505" i="2"/>
  <c r="F2506" i="2"/>
  <c r="G2506" i="2"/>
  <c r="F2507" i="2"/>
  <c r="G2507" i="2"/>
  <c r="F2508" i="2"/>
  <c r="G2508" i="2"/>
  <c r="F2509" i="2"/>
  <c r="G2509" i="2"/>
  <c r="F2510" i="2"/>
  <c r="G2510" i="2"/>
  <c r="F2511" i="2"/>
  <c r="G2511" i="2"/>
  <c r="F2512" i="2"/>
  <c r="G2512" i="2"/>
  <c r="F2513" i="2"/>
  <c r="G2513" i="2"/>
  <c r="F2514" i="2"/>
  <c r="G2514" i="2"/>
  <c r="F2515" i="2"/>
  <c r="G2515" i="2"/>
  <c r="F2516" i="2"/>
  <c r="G2516" i="2"/>
  <c r="F2517" i="2"/>
  <c r="G2517" i="2"/>
  <c r="F2518" i="2"/>
  <c r="G2518" i="2"/>
  <c r="F2519" i="2"/>
  <c r="G2519" i="2"/>
  <c r="F2520" i="2"/>
  <c r="G2520" i="2"/>
  <c r="F2521" i="2"/>
  <c r="G2521" i="2"/>
  <c r="F2522" i="2"/>
  <c r="G2522" i="2"/>
  <c r="F2523" i="2"/>
  <c r="G2523" i="2"/>
  <c r="F2524" i="2"/>
  <c r="G2524" i="2"/>
  <c r="F2525" i="2"/>
  <c r="G2525" i="2"/>
  <c r="F2526" i="2"/>
  <c r="G2526" i="2"/>
  <c r="F2527" i="2"/>
  <c r="G2527" i="2"/>
  <c r="F2528" i="2"/>
  <c r="G2528" i="2"/>
  <c r="F2529" i="2"/>
  <c r="G2529" i="2"/>
  <c r="F2530" i="2"/>
  <c r="G2530" i="2"/>
  <c r="F2531" i="2"/>
  <c r="G2531" i="2"/>
  <c r="F2532" i="2"/>
  <c r="G2532" i="2"/>
  <c r="F2533" i="2"/>
  <c r="G2533" i="2"/>
  <c r="F2534" i="2"/>
  <c r="G2534" i="2"/>
  <c r="F2535" i="2"/>
  <c r="G2535" i="2"/>
  <c r="F2536" i="2"/>
  <c r="G2536" i="2"/>
  <c r="F2537" i="2"/>
  <c r="G2537" i="2"/>
  <c r="F2538" i="2"/>
  <c r="G2538" i="2"/>
  <c r="F2539" i="2"/>
  <c r="G2539" i="2"/>
  <c r="F2540" i="2"/>
  <c r="G2540" i="2"/>
  <c r="F2541" i="2"/>
  <c r="G2541" i="2"/>
  <c r="F2542" i="2"/>
  <c r="G2542" i="2"/>
  <c r="F2543" i="2"/>
  <c r="G2543" i="2"/>
  <c r="F2544" i="2"/>
  <c r="G2544" i="2"/>
  <c r="F2545" i="2"/>
  <c r="G2545" i="2"/>
  <c r="F2546" i="2"/>
  <c r="G2546" i="2"/>
  <c r="F2547" i="2"/>
  <c r="G2547" i="2"/>
  <c r="F2548" i="2"/>
  <c r="G2548" i="2"/>
  <c r="F2549" i="2"/>
  <c r="G2549" i="2"/>
  <c r="F2550" i="2"/>
  <c r="G2550" i="2"/>
  <c r="F2551" i="2"/>
  <c r="G2551" i="2"/>
  <c r="F2552" i="2"/>
  <c r="G2552" i="2"/>
  <c r="F2553" i="2"/>
  <c r="G2553" i="2"/>
  <c r="F2554" i="2"/>
  <c r="G2554" i="2"/>
  <c r="F2555" i="2"/>
  <c r="G2555" i="2"/>
  <c r="F2556" i="2"/>
  <c r="G2556" i="2"/>
  <c r="F2557" i="2"/>
  <c r="G2557" i="2"/>
  <c r="F2558" i="2"/>
  <c r="G2558" i="2"/>
  <c r="F2559" i="2"/>
  <c r="G2559" i="2"/>
  <c r="F2560" i="2"/>
  <c r="G2560" i="2"/>
  <c r="F2561" i="2"/>
  <c r="G2561" i="2"/>
  <c r="F2562" i="2"/>
  <c r="G2562" i="2"/>
  <c r="F2563" i="2"/>
  <c r="G2563" i="2"/>
  <c r="F2564" i="2"/>
  <c r="F2565" i="2"/>
  <c r="G2565" i="2"/>
  <c r="F2566" i="2"/>
  <c r="G2566" i="2"/>
  <c r="F2567" i="2"/>
  <c r="G2567" i="2"/>
  <c r="F2568" i="2"/>
  <c r="G2568" i="2"/>
  <c r="F2569" i="2"/>
  <c r="G2569" i="2"/>
  <c r="F2570" i="2"/>
  <c r="G2570" i="2"/>
  <c r="F2571" i="2"/>
  <c r="G2571" i="2"/>
  <c r="F2572" i="2"/>
  <c r="G2572" i="2"/>
  <c r="F2573" i="2"/>
  <c r="G2573" i="2"/>
  <c r="F2574" i="2"/>
  <c r="G2574" i="2"/>
  <c r="F2575" i="2"/>
  <c r="G2575" i="2"/>
  <c r="F2576" i="2"/>
  <c r="G2576" i="2"/>
  <c r="F2577" i="2"/>
  <c r="G2577" i="2"/>
  <c r="F2578" i="2"/>
  <c r="G2578" i="2"/>
  <c r="F2579" i="2"/>
  <c r="G2579" i="2"/>
  <c r="F2580" i="2"/>
  <c r="G2580" i="2"/>
  <c r="F2581" i="2"/>
  <c r="F2582" i="2"/>
  <c r="G2582" i="2"/>
  <c r="F2583" i="2"/>
  <c r="G2583" i="2"/>
  <c r="F2584" i="2"/>
  <c r="G2584" i="2"/>
  <c r="F2585" i="2"/>
  <c r="G2585" i="2"/>
  <c r="F2586" i="2"/>
  <c r="G2586" i="2"/>
  <c r="F2587" i="2"/>
  <c r="G2587" i="2"/>
  <c r="F2588" i="2"/>
  <c r="G2588" i="2"/>
  <c r="F2589" i="2"/>
  <c r="G2589" i="2"/>
  <c r="F2590" i="2"/>
  <c r="G2590" i="2"/>
  <c r="F2591" i="2"/>
  <c r="G2591" i="2"/>
  <c r="F2592" i="2"/>
  <c r="G2592" i="2"/>
  <c r="F2593" i="2"/>
  <c r="G2593" i="2"/>
  <c r="F2594" i="2"/>
  <c r="G2594" i="2"/>
  <c r="F2595" i="2"/>
  <c r="G2595" i="2"/>
  <c r="F2596" i="2"/>
  <c r="G2596" i="2"/>
  <c r="F2597" i="2"/>
  <c r="G2597" i="2"/>
  <c r="F2598" i="2"/>
  <c r="G2598" i="2"/>
  <c r="F2599" i="2"/>
  <c r="G2599" i="2"/>
  <c r="F2600" i="2"/>
  <c r="G2600" i="2"/>
  <c r="F2601" i="2"/>
  <c r="G2601" i="2"/>
  <c r="F2602" i="2"/>
  <c r="G2602" i="2"/>
  <c r="F2603" i="2"/>
  <c r="G2603" i="2"/>
  <c r="F2604" i="2"/>
  <c r="G2604" i="2"/>
  <c r="F2605" i="2"/>
  <c r="G2605" i="2"/>
  <c r="F2606" i="2"/>
  <c r="G2606" i="2"/>
  <c r="F2607" i="2"/>
  <c r="G2607" i="2"/>
  <c r="F2608" i="2"/>
  <c r="G2608" i="2"/>
  <c r="F2609" i="2"/>
  <c r="G2609" i="2"/>
  <c r="F2610" i="2"/>
  <c r="G2610" i="2"/>
  <c r="F2611" i="2"/>
  <c r="G2611" i="2"/>
  <c r="F2612" i="2"/>
  <c r="G2612" i="2"/>
  <c r="F2613" i="2"/>
  <c r="G2613" i="2"/>
  <c r="F2614" i="2"/>
  <c r="G2614" i="2"/>
  <c r="F2615" i="2"/>
  <c r="G2615" i="2"/>
  <c r="F2616" i="2"/>
  <c r="G2616" i="2"/>
  <c r="F2617" i="2"/>
  <c r="G2617" i="2"/>
  <c r="F2618" i="2"/>
  <c r="G2618" i="2"/>
  <c r="F2619" i="2"/>
  <c r="G2619" i="2"/>
  <c r="F2620" i="2"/>
  <c r="G2620" i="2"/>
  <c r="F2621" i="2"/>
  <c r="G2621" i="2"/>
  <c r="F2622" i="2"/>
  <c r="G2622" i="2"/>
  <c r="F2623" i="2"/>
  <c r="G2623" i="2"/>
  <c r="F2624" i="2"/>
  <c r="G2624" i="2"/>
  <c r="F2625" i="2"/>
  <c r="G2625" i="2"/>
  <c r="F2626" i="2"/>
  <c r="G2626" i="2"/>
  <c r="F2627" i="2"/>
  <c r="G2627" i="2"/>
  <c r="F2628" i="2"/>
  <c r="G2628" i="2"/>
  <c r="F2629" i="2"/>
  <c r="F2630" i="2"/>
  <c r="G2630" i="2"/>
  <c r="F2631" i="2"/>
  <c r="G2631" i="2"/>
  <c r="F2632" i="2"/>
  <c r="G2632" i="2"/>
  <c r="F2633" i="2"/>
  <c r="G2633" i="2"/>
  <c r="F2634" i="2"/>
  <c r="F2635" i="2"/>
  <c r="F2636" i="2"/>
  <c r="G2636" i="2"/>
  <c r="F2637" i="2"/>
  <c r="G2637" i="2"/>
  <c r="F2638" i="2"/>
  <c r="F2639" i="2"/>
  <c r="G2639" i="2"/>
  <c r="F2640" i="2"/>
  <c r="G2640" i="2"/>
  <c r="F2641" i="2"/>
  <c r="G2641" i="2"/>
  <c r="F2642" i="2"/>
  <c r="G2642" i="2"/>
  <c r="F2643" i="2"/>
  <c r="G2643" i="2"/>
  <c r="F2644" i="2"/>
  <c r="G2644" i="2"/>
  <c r="F2645" i="2"/>
  <c r="G2645" i="2"/>
  <c r="F2646" i="2"/>
  <c r="G2646" i="2"/>
  <c r="F2647" i="2"/>
  <c r="G2647" i="2"/>
  <c r="F2648" i="2"/>
  <c r="G2648" i="2"/>
  <c r="F2649" i="2"/>
  <c r="G2649" i="2"/>
  <c r="F2650" i="2"/>
  <c r="G2650" i="2"/>
  <c r="F2651" i="2"/>
  <c r="G2651" i="2"/>
  <c r="F2652" i="2"/>
  <c r="F2653" i="2"/>
  <c r="G2653" i="2"/>
  <c r="F2654" i="2"/>
  <c r="G2654" i="2"/>
  <c r="F2655" i="2"/>
  <c r="G2655" i="2"/>
  <c r="F2656" i="2"/>
  <c r="G2656" i="2"/>
  <c r="F2657" i="2"/>
  <c r="F2658" i="2"/>
  <c r="F2659" i="2"/>
  <c r="G2659" i="2"/>
  <c r="F2660" i="2"/>
  <c r="G2660" i="2"/>
  <c r="F2661" i="2"/>
  <c r="G2661" i="2"/>
  <c r="F2662" i="2"/>
  <c r="G2662" i="2"/>
  <c r="F2663" i="2"/>
  <c r="G2663" i="2"/>
  <c r="F2664" i="2"/>
  <c r="G2664" i="2"/>
  <c r="F2665" i="2"/>
  <c r="G2665" i="2"/>
  <c r="F2666" i="2"/>
  <c r="G2666" i="2"/>
  <c r="F2667" i="2"/>
  <c r="G2667" i="2"/>
  <c r="F2668" i="2"/>
  <c r="G2668" i="2"/>
  <c r="F2669" i="2"/>
  <c r="G2669" i="2"/>
  <c r="F2670" i="2"/>
  <c r="G2670" i="2"/>
  <c r="F2671" i="2"/>
  <c r="G2671" i="2"/>
  <c r="F2672" i="2"/>
  <c r="G2672" i="2"/>
  <c r="F2673" i="2"/>
  <c r="G2673" i="2"/>
  <c r="F2674" i="2"/>
  <c r="F2675" i="2"/>
  <c r="G2675" i="2"/>
  <c r="F2676" i="2"/>
  <c r="G2676" i="2"/>
  <c r="F2677" i="2"/>
  <c r="G2677" i="2"/>
  <c r="F2678" i="2"/>
  <c r="G2678" i="2"/>
  <c r="F2679" i="2"/>
  <c r="G2679" i="2"/>
  <c r="F2680" i="2"/>
  <c r="G2680" i="2"/>
  <c r="F2681" i="2"/>
  <c r="G2681" i="2"/>
  <c r="F2682" i="2"/>
  <c r="G2682" i="2"/>
  <c r="F2683" i="2"/>
  <c r="G2683" i="2"/>
  <c r="F2684" i="2"/>
  <c r="G2684" i="2"/>
  <c r="F2685" i="2"/>
  <c r="G2685" i="2"/>
  <c r="F2686" i="2"/>
  <c r="G2686" i="2"/>
  <c r="F2687" i="2"/>
  <c r="G2687" i="2"/>
  <c r="F2688" i="2"/>
  <c r="G2688" i="2"/>
  <c r="F2689" i="2"/>
  <c r="G2689" i="2"/>
  <c r="F2690" i="2"/>
  <c r="G2690" i="2"/>
  <c r="F2691" i="2"/>
  <c r="G2691" i="2"/>
  <c r="F2692" i="2"/>
  <c r="G2692" i="2"/>
  <c r="F2693" i="2"/>
  <c r="G2693" i="2"/>
  <c r="F2694" i="2"/>
  <c r="G2694" i="2"/>
  <c r="F2695" i="2"/>
  <c r="G2695" i="2"/>
  <c r="F2696" i="2"/>
  <c r="G2696" i="2"/>
  <c r="F2697" i="2"/>
  <c r="F2698" i="2"/>
  <c r="G2698" i="2"/>
  <c r="F2699" i="2"/>
  <c r="G2699" i="2"/>
  <c r="F2700" i="2"/>
  <c r="G2700" i="2"/>
  <c r="F2701" i="2"/>
  <c r="G2701" i="2"/>
  <c r="F2702" i="2"/>
  <c r="G2702" i="2"/>
  <c r="F2703" i="2"/>
  <c r="G2703" i="2"/>
  <c r="F2704" i="2"/>
  <c r="G2704" i="2"/>
  <c r="F2705" i="2"/>
  <c r="G2705" i="2"/>
  <c r="F2706" i="2"/>
  <c r="G2706" i="2"/>
  <c r="F2707" i="2"/>
  <c r="G2707" i="2"/>
  <c r="F2708" i="2"/>
  <c r="G2708" i="2"/>
  <c r="F2709" i="2"/>
  <c r="G2709" i="2"/>
  <c r="F2710" i="2"/>
  <c r="G2710" i="2"/>
  <c r="F2711" i="2"/>
  <c r="G2711" i="2"/>
  <c r="F2712" i="2"/>
  <c r="G2712" i="2"/>
  <c r="F2713" i="2"/>
  <c r="G2713" i="2"/>
  <c r="F2714" i="2"/>
  <c r="G2714" i="2"/>
  <c r="F2715" i="2"/>
  <c r="G2715" i="2"/>
  <c r="F2716" i="2"/>
  <c r="G2716" i="2"/>
  <c r="F2717" i="2"/>
  <c r="G2717" i="2"/>
  <c r="F2718" i="2"/>
  <c r="F2719" i="2"/>
  <c r="G2719" i="2"/>
  <c r="F2720" i="2"/>
  <c r="F2721" i="2"/>
  <c r="G2721" i="2"/>
  <c r="F2722" i="2"/>
  <c r="G2722" i="2"/>
  <c r="F2723" i="2"/>
  <c r="G2723" i="2"/>
  <c r="F2724" i="2"/>
  <c r="G2724" i="2"/>
  <c r="F2725" i="2"/>
  <c r="G2725" i="2"/>
  <c r="F2726" i="2"/>
  <c r="G2726" i="2"/>
  <c r="F2727" i="2"/>
  <c r="G2727" i="2"/>
  <c r="F2728" i="2"/>
  <c r="G2728" i="2"/>
  <c r="F2729" i="2"/>
  <c r="G2729" i="2"/>
  <c r="F2730" i="2"/>
  <c r="G2730" i="2"/>
  <c r="F2731" i="2"/>
  <c r="G2731" i="2"/>
  <c r="F2732" i="2"/>
  <c r="G2732" i="2"/>
  <c r="F2733" i="2"/>
  <c r="G2733" i="2"/>
  <c r="F2734" i="2"/>
  <c r="G2734" i="2"/>
  <c r="F2735" i="2"/>
  <c r="G2735" i="2"/>
  <c r="F2736" i="2"/>
  <c r="G2736" i="2"/>
  <c r="F2737" i="2"/>
  <c r="G2737" i="2"/>
  <c r="F2738" i="2"/>
  <c r="G2738" i="2"/>
  <c r="F2739" i="2"/>
  <c r="G2739" i="2"/>
  <c r="F2740" i="2"/>
  <c r="G2740" i="2"/>
  <c r="F2741" i="2"/>
  <c r="F2742" i="2"/>
  <c r="G2742" i="2"/>
  <c r="F2743" i="2"/>
  <c r="F2744" i="2"/>
  <c r="G2744" i="2"/>
  <c r="F2745" i="2"/>
  <c r="G2745" i="2"/>
  <c r="F2746" i="2"/>
  <c r="G2746" i="2"/>
  <c r="F2747" i="2"/>
  <c r="G2747" i="2"/>
  <c r="F2748" i="2"/>
  <c r="G2748" i="2"/>
  <c r="F2749" i="2"/>
  <c r="G2749" i="2"/>
  <c r="F2750" i="2"/>
  <c r="G2750" i="2"/>
  <c r="F2751" i="2"/>
  <c r="G2751" i="2"/>
  <c r="F2752" i="2"/>
  <c r="G2752" i="2"/>
  <c r="F2753" i="2"/>
  <c r="G2753" i="2"/>
  <c r="F2754" i="2"/>
  <c r="G2754" i="2"/>
  <c r="F2755" i="2"/>
  <c r="G2755" i="2"/>
  <c r="F2756" i="2"/>
  <c r="G2756" i="2"/>
  <c r="F2757" i="2"/>
  <c r="G2757" i="2"/>
  <c r="F2758" i="2"/>
  <c r="G2758" i="2"/>
  <c r="F2759" i="2"/>
  <c r="G2759" i="2"/>
  <c r="F2760" i="2"/>
  <c r="G2760" i="2"/>
  <c r="F2761" i="2"/>
  <c r="G2761" i="2"/>
  <c r="F2762" i="2"/>
  <c r="G2762" i="2"/>
  <c r="F2763" i="2"/>
  <c r="G2763" i="2"/>
  <c r="F2764" i="2"/>
  <c r="G2764" i="2"/>
  <c r="F2765" i="2"/>
  <c r="G2765" i="2"/>
  <c r="F2766" i="2"/>
  <c r="G2766" i="2"/>
  <c r="F2767" i="2"/>
  <c r="G2767" i="2"/>
  <c r="F2768" i="2"/>
  <c r="G2768" i="2"/>
  <c r="F2769" i="2"/>
  <c r="G2769" i="2"/>
  <c r="F2770" i="2"/>
  <c r="G2770" i="2"/>
  <c r="F2771" i="2"/>
  <c r="G2771" i="2"/>
  <c r="F2772" i="2"/>
  <c r="G2772" i="2"/>
  <c r="F2773" i="2"/>
  <c r="G2773" i="2"/>
  <c r="F2774" i="2"/>
  <c r="G2774" i="2"/>
  <c r="F2775" i="2"/>
  <c r="G2775" i="2"/>
  <c r="F2776" i="2"/>
  <c r="G2776" i="2"/>
  <c r="F2777" i="2"/>
  <c r="G2777" i="2"/>
  <c r="F2778" i="2"/>
  <c r="G2778" i="2"/>
  <c r="F2779" i="2"/>
  <c r="G2779" i="2"/>
  <c r="F2780" i="2"/>
  <c r="G2780" i="2"/>
  <c r="F2781" i="2"/>
  <c r="G2781" i="2"/>
  <c r="F2782" i="2"/>
  <c r="G2782" i="2"/>
  <c r="F2783" i="2"/>
  <c r="G2783" i="2"/>
  <c r="F2784" i="2"/>
  <c r="G2784" i="2"/>
  <c r="F2785" i="2"/>
  <c r="F2786" i="2"/>
  <c r="F2787" i="2"/>
  <c r="G2787" i="2"/>
  <c r="F2788" i="2"/>
  <c r="G2788" i="2"/>
  <c r="F2789" i="2"/>
  <c r="G2789" i="2"/>
  <c r="F2790" i="2"/>
  <c r="G2790" i="2"/>
  <c r="F2791" i="2"/>
  <c r="G2791" i="2"/>
  <c r="F2792" i="2"/>
  <c r="G2792" i="2"/>
  <c r="F2793" i="2"/>
  <c r="G2793" i="2"/>
  <c r="F2794" i="2"/>
  <c r="G2794" i="2"/>
  <c r="F2795" i="2"/>
  <c r="G2795" i="2"/>
  <c r="F2796" i="2"/>
  <c r="G2796" i="2"/>
  <c r="F2797" i="2"/>
  <c r="G2797" i="2"/>
  <c r="F2798" i="2"/>
  <c r="G2798" i="2"/>
  <c r="F2799" i="2"/>
  <c r="G2799" i="2"/>
  <c r="F2800" i="2"/>
  <c r="G2800" i="2"/>
  <c r="F2801" i="2"/>
  <c r="G2801" i="2"/>
  <c r="F2802" i="2"/>
  <c r="G2802" i="2"/>
  <c r="F2803" i="2"/>
  <c r="G2803" i="2"/>
  <c r="F2804" i="2"/>
  <c r="G2804" i="2"/>
  <c r="F2805" i="2"/>
  <c r="G2805" i="2"/>
  <c r="F2806" i="2"/>
  <c r="G2806" i="2"/>
  <c r="F2807" i="2"/>
  <c r="G2807" i="2"/>
  <c r="F2808" i="2"/>
  <c r="F2809" i="2"/>
  <c r="F2810" i="2"/>
  <c r="G2810" i="2"/>
  <c r="F2811" i="2"/>
  <c r="G2811" i="2"/>
  <c r="F2812" i="2"/>
  <c r="G2812" i="2"/>
  <c r="F2813" i="2"/>
  <c r="G2813" i="2"/>
  <c r="F2814" i="2"/>
  <c r="G2814" i="2"/>
  <c r="F2815" i="2"/>
  <c r="G2815" i="2"/>
  <c r="F2816" i="2"/>
  <c r="G2816" i="2"/>
  <c r="F2817" i="2"/>
  <c r="G2817" i="2"/>
  <c r="F2818" i="2"/>
  <c r="G2818" i="2"/>
  <c r="F2819" i="2"/>
  <c r="G2819" i="2"/>
  <c r="F2820" i="2"/>
  <c r="G2820" i="2"/>
  <c r="F2821" i="2"/>
  <c r="G2821" i="2"/>
  <c r="F2822" i="2"/>
  <c r="G2822" i="2"/>
  <c r="F2823" i="2"/>
  <c r="G2823" i="2"/>
  <c r="F2824" i="2"/>
  <c r="G2824" i="2"/>
  <c r="F2825" i="2"/>
  <c r="G2825" i="2"/>
  <c r="F2826" i="2"/>
  <c r="G2826" i="2"/>
  <c r="F2827" i="2"/>
  <c r="G2827" i="2"/>
  <c r="F2828" i="2"/>
  <c r="G2828" i="2"/>
  <c r="F2829" i="2"/>
  <c r="G2829" i="2"/>
  <c r="F2830" i="2"/>
  <c r="G2830" i="2"/>
  <c r="F2831" i="2"/>
  <c r="G2831" i="2"/>
  <c r="F2832" i="2"/>
  <c r="G2832" i="2"/>
  <c r="F2833" i="2"/>
  <c r="G2833" i="2"/>
  <c r="F2834" i="2"/>
  <c r="G2834" i="2"/>
  <c r="F2835" i="2"/>
  <c r="G2835" i="2"/>
  <c r="F2836" i="2"/>
  <c r="G2836" i="2"/>
  <c r="F2837" i="2"/>
  <c r="G2837" i="2"/>
  <c r="F2838" i="2"/>
  <c r="G2838" i="2"/>
  <c r="F2839" i="2"/>
  <c r="G2839" i="2"/>
  <c r="F2840" i="2"/>
  <c r="G2840" i="2"/>
  <c r="F2841" i="2"/>
  <c r="G2841" i="2"/>
  <c r="F2842" i="2"/>
  <c r="G2842" i="2"/>
  <c r="F2843" i="2"/>
  <c r="G2843" i="2"/>
  <c r="F2844" i="2"/>
  <c r="G2844" i="2"/>
  <c r="F2845" i="2"/>
  <c r="G2845" i="2"/>
  <c r="F2846" i="2"/>
  <c r="G2846" i="2"/>
  <c r="F2847" i="2"/>
  <c r="G2847" i="2"/>
  <c r="F2848" i="2"/>
  <c r="G2848" i="2"/>
  <c r="F2849" i="2"/>
  <c r="G2849" i="2"/>
  <c r="F2850" i="2"/>
  <c r="G2850" i="2"/>
  <c r="F2851" i="2"/>
  <c r="G2851" i="2"/>
  <c r="F2852" i="2"/>
  <c r="G2852" i="2"/>
  <c r="F2853" i="2"/>
  <c r="G2853" i="2"/>
  <c r="F2854" i="2"/>
  <c r="G2854" i="2"/>
  <c r="F2855" i="2"/>
  <c r="G2855" i="2"/>
  <c r="F2856" i="2"/>
  <c r="G2856" i="2"/>
  <c r="F2857" i="2"/>
  <c r="G2857" i="2"/>
  <c r="F2858" i="2"/>
  <c r="G2858" i="2"/>
  <c r="F2859" i="2"/>
  <c r="G2859" i="2"/>
  <c r="F2860" i="2"/>
  <c r="G2860" i="2"/>
  <c r="F2861" i="2"/>
  <c r="G2861" i="2"/>
  <c r="F2862" i="2"/>
  <c r="G2862" i="2"/>
  <c r="F2863" i="2"/>
  <c r="G2863" i="2"/>
  <c r="F2864" i="2"/>
  <c r="G2864" i="2"/>
  <c r="F2865" i="2"/>
  <c r="G2865" i="2"/>
  <c r="F2866" i="2"/>
  <c r="G2866" i="2"/>
  <c r="F2867" i="2"/>
  <c r="G2867" i="2"/>
  <c r="F2868" i="2"/>
  <c r="G2868" i="2"/>
  <c r="F2869" i="2"/>
  <c r="G2869" i="2"/>
  <c r="F2870" i="2"/>
  <c r="G2870" i="2"/>
  <c r="F2871" i="2"/>
  <c r="G2871" i="2"/>
  <c r="F2872" i="2"/>
  <c r="G2872" i="2"/>
  <c r="F2873" i="2"/>
  <c r="G2873" i="2"/>
  <c r="F2874" i="2"/>
  <c r="G2874" i="2"/>
  <c r="F2875" i="2"/>
  <c r="G2875" i="2"/>
  <c r="F2876" i="2"/>
  <c r="G2876" i="2"/>
  <c r="F2877" i="2"/>
  <c r="G2877" i="2"/>
  <c r="F2878" i="2"/>
  <c r="G2878" i="2"/>
  <c r="F2879" i="2"/>
  <c r="G2879" i="2"/>
  <c r="F2880" i="2"/>
  <c r="G2880" i="2"/>
  <c r="F2881" i="2"/>
  <c r="G2881" i="2"/>
  <c r="F2882" i="2"/>
  <c r="G2882" i="2"/>
  <c r="F2883" i="2"/>
  <c r="G2883" i="2"/>
  <c r="F2884" i="2"/>
  <c r="G2884" i="2"/>
  <c r="F2885" i="2"/>
  <c r="G2885" i="2"/>
  <c r="F2886" i="2"/>
  <c r="G2886" i="2"/>
  <c r="F2887" i="2"/>
  <c r="G2887" i="2"/>
  <c r="F2888" i="2"/>
  <c r="G2888" i="2"/>
  <c r="F2889" i="2"/>
  <c r="G2889" i="2"/>
  <c r="F2890" i="2"/>
  <c r="G2890" i="2"/>
  <c r="F2891" i="2"/>
  <c r="G2891" i="2"/>
  <c r="F2892" i="2"/>
  <c r="G2892" i="2"/>
  <c r="F2893" i="2"/>
  <c r="G2893" i="2"/>
  <c r="F2894" i="2"/>
  <c r="G2894" i="2"/>
  <c r="F2895" i="2"/>
  <c r="G2895" i="2"/>
  <c r="F2896" i="2"/>
  <c r="G2896" i="2"/>
  <c r="F2897" i="2"/>
  <c r="G2897" i="2"/>
  <c r="F2898" i="2"/>
  <c r="G2898" i="2"/>
  <c r="F2899" i="2"/>
  <c r="G2899" i="2"/>
  <c r="F2900" i="2"/>
  <c r="G2900" i="2"/>
  <c r="F2901" i="2"/>
  <c r="G2901" i="2"/>
  <c r="F2902" i="2"/>
  <c r="G2902" i="2"/>
  <c r="F2903" i="2"/>
  <c r="G2903" i="2"/>
  <c r="F2904" i="2"/>
  <c r="G2904" i="2"/>
  <c r="F2905" i="2"/>
  <c r="G2905" i="2"/>
  <c r="F2906" i="2"/>
  <c r="G2906" i="2"/>
  <c r="F2907" i="2"/>
  <c r="G2907" i="2"/>
  <c r="F2908" i="2"/>
  <c r="G2908" i="2"/>
  <c r="F2909" i="2"/>
  <c r="G2909" i="2"/>
  <c r="F2910" i="2"/>
  <c r="G2910" i="2"/>
  <c r="F2911" i="2"/>
  <c r="G2911" i="2"/>
  <c r="F2912" i="2"/>
  <c r="G2912" i="2"/>
  <c r="F2913" i="2"/>
  <c r="G2913" i="2"/>
  <c r="F2914" i="2"/>
  <c r="G2914" i="2"/>
  <c r="F2915" i="2"/>
  <c r="G2915" i="2"/>
  <c r="F2916" i="2"/>
  <c r="G2916" i="2"/>
  <c r="F2917" i="2"/>
  <c r="G2917" i="2"/>
  <c r="F2918" i="2"/>
  <c r="G2918" i="2"/>
  <c r="F2919" i="2"/>
  <c r="G2919" i="2"/>
  <c r="F2920" i="2"/>
  <c r="G2920" i="2"/>
  <c r="F2921" i="2"/>
  <c r="G2921" i="2"/>
  <c r="F2922" i="2"/>
  <c r="G2922" i="2"/>
  <c r="F2923" i="2"/>
  <c r="G2923" i="2"/>
  <c r="F2924" i="2"/>
  <c r="G2924" i="2"/>
  <c r="F2925" i="2"/>
  <c r="G2925" i="2"/>
  <c r="F2926" i="2"/>
  <c r="G2926" i="2"/>
  <c r="F2927" i="2"/>
  <c r="G2927" i="2"/>
  <c r="F2928" i="2"/>
  <c r="G2928" i="2"/>
  <c r="F2929" i="2"/>
  <c r="G2929" i="2"/>
  <c r="F2930" i="2"/>
  <c r="G2930" i="2"/>
  <c r="F2931" i="2"/>
  <c r="G2931" i="2"/>
  <c r="F2932" i="2"/>
  <c r="G2932" i="2"/>
  <c r="F2933" i="2"/>
  <c r="G2933" i="2"/>
  <c r="F2934" i="2"/>
  <c r="G2934" i="2"/>
  <c r="F2935" i="2"/>
  <c r="G2935" i="2"/>
  <c r="F2936" i="2"/>
  <c r="G2936" i="2"/>
  <c r="F2937" i="2"/>
  <c r="G2937" i="2"/>
  <c r="F2938" i="2"/>
  <c r="G2938" i="2"/>
  <c r="F2939" i="2"/>
  <c r="G2939" i="2"/>
  <c r="F2940" i="2"/>
  <c r="G2940" i="2"/>
  <c r="F2941" i="2"/>
  <c r="G2941" i="2"/>
  <c r="F2942" i="2"/>
  <c r="G2942" i="2"/>
  <c r="F2943" i="2"/>
  <c r="F2944" i="2"/>
  <c r="G2944" i="2"/>
  <c r="F2945" i="2"/>
  <c r="G2945" i="2"/>
  <c r="F2946" i="2"/>
  <c r="G2946" i="2"/>
  <c r="F2947" i="2"/>
  <c r="G2947" i="2"/>
  <c r="F2948" i="2"/>
  <c r="G2948" i="2"/>
  <c r="F2949" i="2"/>
  <c r="G2949" i="2"/>
  <c r="F2950" i="2"/>
  <c r="G2950" i="2"/>
  <c r="F2951" i="2"/>
  <c r="G2951" i="2"/>
  <c r="F2952" i="2"/>
  <c r="G2952" i="2"/>
  <c r="F2953" i="2"/>
  <c r="G2953" i="2"/>
  <c r="F2954" i="2"/>
  <c r="G2954" i="2"/>
  <c r="F2955" i="2"/>
  <c r="G2955" i="2"/>
  <c r="F2956" i="2"/>
  <c r="G2956" i="2"/>
  <c r="F2957" i="2"/>
  <c r="G2957" i="2"/>
  <c r="F2958" i="2"/>
  <c r="G2958" i="2"/>
  <c r="F2959" i="2"/>
  <c r="G2959" i="2"/>
  <c r="F2960" i="2"/>
  <c r="G2960" i="2"/>
  <c r="F2961" i="2"/>
  <c r="G2961" i="2"/>
  <c r="F2962" i="2"/>
  <c r="G2962" i="2"/>
  <c r="F2963" i="2"/>
  <c r="G2963" i="2"/>
  <c r="F2964" i="2"/>
  <c r="G2964" i="2"/>
  <c r="F2965" i="2"/>
  <c r="G2965" i="2"/>
  <c r="F2966" i="2"/>
  <c r="G2966" i="2"/>
  <c r="F2967" i="2"/>
  <c r="G2967" i="2"/>
  <c r="F2968" i="2"/>
  <c r="G2968" i="2"/>
  <c r="F2969" i="2"/>
  <c r="F2970" i="2"/>
  <c r="G2970" i="2"/>
  <c r="F2971" i="2"/>
  <c r="G2971" i="2"/>
  <c r="F2972" i="2"/>
  <c r="G2972" i="2"/>
  <c r="F2973" i="2"/>
  <c r="G2973" i="2"/>
  <c r="F2974" i="2"/>
  <c r="G2974" i="2"/>
  <c r="F2975" i="2"/>
  <c r="G2975" i="2"/>
  <c r="F2976" i="2"/>
  <c r="G2976" i="2"/>
  <c r="F2977" i="2"/>
  <c r="G2977" i="2"/>
  <c r="F2978" i="2"/>
  <c r="G2978" i="2"/>
  <c r="F2979" i="2"/>
  <c r="G2979" i="2"/>
  <c r="F2980" i="2"/>
  <c r="G2980" i="2"/>
  <c r="F2981" i="2"/>
  <c r="G2981" i="2"/>
  <c r="F2982" i="2"/>
  <c r="G2982" i="2"/>
  <c r="F2983" i="2"/>
  <c r="G2983" i="2"/>
  <c r="F2984" i="2"/>
  <c r="G2984" i="2"/>
  <c r="F2985" i="2"/>
  <c r="G2985" i="2"/>
  <c r="F2986" i="2"/>
  <c r="G2986" i="2"/>
  <c r="F2987" i="2"/>
  <c r="G2987" i="2"/>
  <c r="F2988" i="2"/>
  <c r="G2988" i="2"/>
  <c r="F2989" i="2"/>
  <c r="G2989" i="2"/>
  <c r="F2990" i="2"/>
  <c r="F2991" i="2"/>
  <c r="F2992" i="2"/>
  <c r="G2992" i="2"/>
  <c r="F2993" i="2"/>
  <c r="G2993" i="2"/>
  <c r="F2994" i="2"/>
  <c r="G2994" i="2"/>
  <c r="F2995" i="2"/>
  <c r="G2995" i="2"/>
  <c r="F2996" i="2"/>
  <c r="G2996" i="2"/>
  <c r="F2997" i="2"/>
  <c r="G2997" i="2"/>
  <c r="F2998" i="2"/>
  <c r="G2998" i="2"/>
  <c r="F2999" i="2"/>
  <c r="G2999" i="2"/>
  <c r="F3000" i="2"/>
  <c r="G3000" i="2"/>
  <c r="F3001" i="2"/>
  <c r="G3001" i="2"/>
  <c r="F3002" i="2"/>
  <c r="G3002" i="2"/>
  <c r="F3003" i="2"/>
  <c r="G3003" i="2"/>
  <c r="F3004" i="2"/>
  <c r="F3005" i="2"/>
  <c r="F3006" i="2"/>
  <c r="G3006" i="2"/>
  <c r="F3007" i="2"/>
  <c r="G3007" i="2"/>
  <c r="F3008" i="2"/>
  <c r="G3008" i="2"/>
  <c r="F3009" i="2"/>
  <c r="G3009" i="2"/>
  <c r="F3010" i="2"/>
  <c r="G3010" i="2"/>
  <c r="F3011" i="2"/>
  <c r="G3011" i="2"/>
  <c r="F3012" i="2"/>
  <c r="G3012" i="2"/>
  <c r="F3013" i="2"/>
  <c r="G3013" i="2"/>
  <c r="F3014" i="2"/>
  <c r="G3014" i="2"/>
  <c r="F3015" i="2"/>
  <c r="G3015" i="2"/>
  <c r="F3016" i="2"/>
  <c r="F3017" i="2"/>
  <c r="F3018" i="2"/>
  <c r="G3018" i="2"/>
  <c r="F3019" i="2"/>
  <c r="G3019" i="2"/>
  <c r="F3020" i="2"/>
  <c r="G3020" i="2"/>
  <c r="F3021" i="2"/>
  <c r="G3021" i="2"/>
  <c r="F3022" i="2"/>
  <c r="G3022" i="2"/>
  <c r="F3023" i="2"/>
  <c r="G3023" i="2"/>
  <c r="F3024" i="2"/>
  <c r="G3024" i="2"/>
  <c r="F3025" i="2"/>
  <c r="G3025" i="2"/>
  <c r="F3026" i="2"/>
  <c r="F3027" i="2"/>
  <c r="F3028" i="2"/>
  <c r="F3029" i="2"/>
  <c r="F3030" i="2"/>
  <c r="F3031" i="2"/>
  <c r="F3032" i="2"/>
  <c r="G3032" i="2"/>
  <c r="F3033" i="2"/>
  <c r="G3033" i="2"/>
  <c r="F3034" i="2"/>
  <c r="F3035" i="2"/>
  <c r="G3035" i="2"/>
  <c r="F3036" i="2"/>
  <c r="G3036" i="2"/>
  <c r="F3037" i="2"/>
  <c r="G3037" i="2"/>
  <c r="F3038" i="2"/>
  <c r="G3038" i="2"/>
  <c r="F3039" i="2"/>
  <c r="G3039" i="2"/>
  <c r="F3040" i="2"/>
  <c r="G3040" i="2"/>
  <c r="F3041" i="2"/>
  <c r="G3041" i="2"/>
  <c r="F3042" i="2"/>
  <c r="G3042" i="2"/>
  <c r="F3043" i="2"/>
  <c r="G3043" i="2"/>
  <c r="F3044" i="2"/>
  <c r="G3044" i="2"/>
  <c r="F3045" i="2"/>
  <c r="G3045" i="2"/>
  <c r="F3046" i="2"/>
  <c r="G3046" i="2"/>
  <c r="F3047" i="2"/>
  <c r="G3047" i="2"/>
  <c r="F3048" i="2"/>
  <c r="G3048" i="2"/>
  <c r="F3049" i="2"/>
  <c r="G3049" i="2"/>
  <c r="F3050" i="2"/>
  <c r="G3050" i="2"/>
  <c r="F3051" i="2"/>
  <c r="G3051" i="2"/>
  <c r="F3052" i="2"/>
  <c r="F3053" i="2"/>
  <c r="F3054" i="2"/>
  <c r="F3055" i="2"/>
  <c r="F3056" i="2"/>
  <c r="F3057" i="2"/>
  <c r="F3058" i="2"/>
  <c r="G3058" i="2"/>
  <c r="F3059" i="2"/>
  <c r="G3059" i="2"/>
  <c r="F3060" i="2"/>
  <c r="F3061" i="2"/>
  <c r="G3061" i="2"/>
  <c r="F3062" i="2"/>
  <c r="G3062" i="2"/>
  <c r="F3063" i="2"/>
  <c r="G3063" i="2"/>
  <c r="F3064" i="2"/>
  <c r="G3064" i="2"/>
  <c r="F3065" i="2"/>
  <c r="G3065" i="2"/>
  <c r="F3066" i="2"/>
  <c r="G3066" i="2"/>
  <c r="F3067" i="2"/>
  <c r="G3067" i="2"/>
  <c r="F3068" i="2"/>
  <c r="G3068" i="2"/>
  <c r="F3069" i="2"/>
  <c r="G3069" i="2"/>
  <c r="F3070" i="2"/>
  <c r="G3070" i="2"/>
  <c r="F3071" i="2"/>
  <c r="G3071" i="2"/>
  <c r="F3072" i="2"/>
  <c r="G3072" i="2"/>
  <c r="F3073" i="2"/>
  <c r="G3073" i="2"/>
  <c r="F3074" i="2"/>
  <c r="G3074" i="2"/>
  <c r="F3075" i="2"/>
  <c r="G3075" i="2"/>
  <c r="F3076" i="2"/>
  <c r="G3076" i="2"/>
  <c r="F3077" i="2"/>
  <c r="G3077" i="2"/>
  <c r="F3078" i="2"/>
  <c r="G3078" i="2"/>
  <c r="F3079" i="2"/>
  <c r="G3079" i="2"/>
  <c r="F3080" i="2"/>
  <c r="G3080" i="2"/>
  <c r="F3081" i="2"/>
  <c r="G3081" i="2"/>
  <c r="F3082" i="2"/>
  <c r="G3082" i="2"/>
  <c r="F3083" i="2"/>
  <c r="G3083" i="2"/>
  <c r="F3084" i="2"/>
  <c r="G3084" i="2"/>
  <c r="F3085" i="2"/>
  <c r="G3085" i="2"/>
  <c r="F3086" i="2"/>
  <c r="G3086" i="2"/>
  <c r="F3087" i="2"/>
  <c r="G3087" i="2"/>
  <c r="F3088" i="2"/>
  <c r="G3088" i="2"/>
  <c r="F3089" i="2"/>
  <c r="G3089" i="2"/>
  <c r="F3090" i="2"/>
  <c r="G3090" i="2"/>
  <c r="F3091" i="2"/>
  <c r="G3091" i="2"/>
  <c r="F3092" i="2"/>
  <c r="G3092" i="2"/>
  <c r="F3093" i="2"/>
  <c r="G3093" i="2"/>
  <c r="F3094" i="2"/>
  <c r="G3094" i="2"/>
  <c r="F3095" i="2"/>
  <c r="G3095" i="2"/>
  <c r="F3096" i="2"/>
  <c r="G3096" i="2"/>
  <c r="F3097" i="2"/>
  <c r="G3097" i="2"/>
  <c r="F3098" i="2"/>
  <c r="G3098" i="2"/>
  <c r="F3099" i="2"/>
  <c r="G3099" i="2"/>
  <c r="F3100" i="2"/>
  <c r="G3100" i="2"/>
  <c r="F3101" i="2"/>
  <c r="G3101" i="2"/>
  <c r="F3102" i="2"/>
  <c r="G3102" i="2"/>
  <c r="F3103" i="2"/>
  <c r="G3103" i="2"/>
  <c r="F3104" i="2"/>
  <c r="G3104" i="2"/>
  <c r="F3105" i="2"/>
  <c r="G3105" i="2"/>
  <c r="F3106" i="2"/>
  <c r="G3106" i="2"/>
  <c r="F3107" i="2"/>
  <c r="G3107" i="2"/>
  <c r="F3108" i="2"/>
  <c r="G3108" i="2"/>
  <c r="F3109" i="2"/>
  <c r="G3109" i="2"/>
  <c r="F3110" i="2"/>
  <c r="G3110" i="2"/>
  <c r="F3111" i="2"/>
  <c r="G3111" i="2"/>
  <c r="F3112" i="2"/>
  <c r="G3112" i="2"/>
  <c r="F3113" i="2"/>
  <c r="G3113" i="2"/>
  <c r="F3114" i="2"/>
  <c r="G3114" i="2"/>
  <c r="F3115" i="2"/>
  <c r="G3115" i="2"/>
  <c r="F3116" i="2"/>
  <c r="G3116" i="2"/>
  <c r="F3117" i="2"/>
  <c r="G3117" i="2"/>
  <c r="F3118" i="2"/>
  <c r="G3118" i="2"/>
  <c r="F3119" i="2"/>
  <c r="G3119" i="2"/>
  <c r="F3120" i="2"/>
  <c r="G3120" i="2"/>
  <c r="F3121" i="2"/>
  <c r="G3121" i="2"/>
  <c r="F3122" i="2"/>
  <c r="G3122" i="2"/>
  <c r="F3123" i="2"/>
  <c r="G3123" i="2"/>
  <c r="F3124" i="2"/>
  <c r="G3124" i="2"/>
  <c r="F3125" i="2"/>
  <c r="G3125" i="2"/>
  <c r="F3126" i="2"/>
  <c r="G3126" i="2"/>
  <c r="F3127" i="2"/>
  <c r="G3127" i="2"/>
  <c r="F3128" i="2"/>
  <c r="G3128" i="2"/>
  <c r="F3129" i="2"/>
  <c r="G3129" i="2"/>
  <c r="F3130" i="2"/>
  <c r="G3130" i="2"/>
  <c r="F3131" i="2"/>
  <c r="G3131" i="2"/>
  <c r="F3132" i="2"/>
  <c r="G3132" i="2"/>
  <c r="F3133" i="2"/>
  <c r="G3133" i="2"/>
  <c r="F3134" i="2"/>
  <c r="G3134" i="2"/>
  <c r="F3135" i="2"/>
  <c r="G3135" i="2"/>
  <c r="F3136" i="2"/>
  <c r="G3136" i="2"/>
  <c r="F3137" i="2"/>
  <c r="G3137" i="2"/>
  <c r="F3138" i="2"/>
  <c r="G3138" i="2"/>
  <c r="F3139" i="2"/>
  <c r="G3139" i="2"/>
  <c r="F3140" i="2"/>
  <c r="G3140" i="2"/>
  <c r="F3141" i="2"/>
  <c r="G3141" i="2"/>
  <c r="F3142" i="2"/>
  <c r="G3142" i="2"/>
  <c r="F3143" i="2"/>
  <c r="G3143" i="2"/>
  <c r="F3144" i="2"/>
  <c r="G3144" i="2"/>
  <c r="F3145" i="2"/>
  <c r="G3145" i="2"/>
  <c r="F3146" i="2"/>
  <c r="G3146" i="2"/>
  <c r="F3147" i="2"/>
  <c r="G3147" i="2"/>
  <c r="F3148" i="2"/>
  <c r="G3148" i="2"/>
  <c r="F3149" i="2"/>
  <c r="G3149" i="2"/>
  <c r="F3150" i="2"/>
  <c r="G3150" i="2"/>
  <c r="F3151" i="2"/>
  <c r="G3151" i="2"/>
  <c r="F3152" i="2"/>
  <c r="G3152" i="2"/>
  <c r="F3153" i="2"/>
  <c r="G3153" i="2"/>
  <c r="F3154" i="2"/>
  <c r="G3154" i="2"/>
  <c r="F3155" i="2"/>
  <c r="G3155" i="2"/>
  <c r="F3156" i="2"/>
  <c r="G3156" i="2"/>
  <c r="F3157" i="2"/>
  <c r="G3157" i="2"/>
  <c r="F3158" i="2"/>
  <c r="G3158" i="2"/>
  <c r="F3159" i="2"/>
  <c r="G3159" i="2"/>
  <c r="F3160" i="2"/>
  <c r="G3160" i="2"/>
  <c r="F3161" i="2"/>
  <c r="G3161" i="2"/>
  <c r="F3162" i="2"/>
  <c r="G3162" i="2"/>
  <c r="F3163" i="2"/>
  <c r="G3163" i="2"/>
  <c r="F3164" i="2"/>
  <c r="G3164" i="2"/>
  <c r="F3165" i="2"/>
  <c r="G3165" i="2"/>
  <c r="F3166" i="2"/>
  <c r="G3166" i="2"/>
  <c r="F3167" i="2"/>
  <c r="G3167" i="2"/>
  <c r="F3168" i="2"/>
  <c r="G3168" i="2"/>
  <c r="F3169" i="2"/>
  <c r="G3169" i="2"/>
  <c r="F3170" i="2"/>
  <c r="G3170" i="2"/>
  <c r="F3171" i="2"/>
  <c r="G3171" i="2"/>
  <c r="F3172" i="2"/>
  <c r="G3172" i="2"/>
  <c r="F3173" i="2"/>
  <c r="G3173" i="2"/>
  <c r="F3174" i="2"/>
  <c r="G3174" i="2"/>
  <c r="F3175" i="2"/>
  <c r="G3175" i="2"/>
  <c r="F3176" i="2"/>
  <c r="G3176" i="2"/>
  <c r="F3177" i="2"/>
  <c r="G3177" i="2"/>
  <c r="F3178" i="2"/>
  <c r="G3178" i="2"/>
  <c r="F3179" i="2"/>
  <c r="G3179" i="2"/>
  <c r="F3180" i="2"/>
  <c r="G3180" i="2"/>
  <c r="F3181" i="2"/>
  <c r="G3181" i="2"/>
  <c r="F3182" i="2"/>
  <c r="G3182" i="2"/>
  <c r="F3183" i="2"/>
  <c r="G3183" i="2"/>
  <c r="F3184" i="2"/>
  <c r="G3184" i="2"/>
  <c r="F3185" i="2"/>
  <c r="G3185" i="2"/>
  <c r="F3186" i="2"/>
  <c r="G3186" i="2"/>
  <c r="F3187" i="2"/>
  <c r="G3187" i="2"/>
  <c r="F3188" i="2"/>
  <c r="G3188" i="2"/>
  <c r="F3189" i="2"/>
  <c r="G3189" i="2"/>
  <c r="F3190" i="2"/>
  <c r="G3190" i="2"/>
  <c r="F3191" i="2"/>
  <c r="G3191" i="2"/>
  <c r="F3192" i="2"/>
  <c r="G3192" i="2"/>
  <c r="F3193" i="2"/>
  <c r="G3193" i="2"/>
  <c r="F3194" i="2"/>
  <c r="G3194" i="2"/>
  <c r="F3195" i="2"/>
  <c r="G3195" i="2"/>
  <c r="F3196" i="2"/>
  <c r="G3196" i="2"/>
  <c r="F3197" i="2"/>
  <c r="G3197" i="2"/>
  <c r="F3198" i="2"/>
  <c r="G3198" i="2"/>
  <c r="F3199" i="2"/>
  <c r="G3199" i="2"/>
  <c r="F3200" i="2"/>
  <c r="G3200" i="2"/>
  <c r="F3201" i="2"/>
  <c r="G3201" i="2"/>
  <c r="F3202" i="2"/>
  <c r="G3202" i="2"/>
  <c r="F3203" i="2"/>
  <c r="G3203" i="2"/>
  <c r="F3204" i="2"/>
  <c r="G3204" i="2"/>
  <c r="F3205" i="2"/>
  <c r="G3205" i="2"/>
  <c r="F3206" i="2"/>
  <c r="G3206" i="2"/>
  <c r="F3207" i="2"/>
  <c r="G3207" i="2"/>
  <c r="F3208" i="2"/>
  <c r="G3208" i="2"/>
  <c r="F3209" i="2"/>
  <c r="G3209" i="2"/>
  <c r="F3210" i="2"/>
  <c r="G3210" i="2"/>
  <c r="F3211" i="2"/>
  <c r="G3211" i="2"/>
  <c r="F3212" i="2"/>
  <c r="G3212" i="2"/>
  <c r="F3213" i="2"/>
  <c r="G3213" i="2"/>
  <c r="F3214" i="2"/>
  <c r="G3214" i="2"/>
  <c r="F3215" i="2"/>
  <c r="G3215" i="2"/>
  <c r="F3216" i="2"/>
  <c r="G3216" i="2"/>
  <c r="F3217" i="2"/>
  <c r="G3217" i="2"/>
  <c r="F3218" i="2"/>
  <c r="G3218" i="2"/>
  <c r="F3219" i="2"/>
  <c r="G3219" i="2"/>
  <c r="F3220" i="2"/>
  <c r="G3220" i="2"/>
  <c r="F3221" i="2"/>
  <c r="G3221" i="2"/>
  <c r="F3222" i="2"/>
  <c r="G3222" i="2"/>
  <c r="F3223" i="2"/>
  <c r="F3224" i="2"/>
  <c r="F3225" i="2"/>
  <c r="F3226" i="2"/>
  <c r="G3226" i="2"/>
  <c r="F3227" i="2"/>
  <c r="G3227" i="2"/>
  <c r="F3228" i="2"/>
  <c r="F3229" i="2"/>
  <c r="G3229" i="2"/>
  <c r="F3230" i="2"/>
  <c r="G3230" i="2"/>
  <c r="F3231" i="2"/>
  <c r="G3231" i="2"/>
  <c r="F3232" i="2"/>
  <c r="F3233" i="2"/>
  <c r="F3234" i="2"/>
  <c r="G3234" i="2"/>
  <c r="F3235" i="2"/>
  <c r="G3235" i="2"/>
  <c r="F3236" i="2"/>
  <c r="G3236" i="2"/>
  <c r="F3237" i="2"/>
  <c r="G3237" i="2"/>
  <c r="F3238" i="2"/>
  <c r="F3239" i="2"/>
  <c r="G3239" i="2"/>
  <c r="F3240" i="2"/>
  <c r="G3240" i="2"/>
  <c r="F3241" i="2"/>
  <c r="G3241" i="2"/>
  <c r="F3242" i="2"/>
  <c r="G3242" i="2"/>
  <c r="F3243" i="2"/>
  <c r="G3243" i="2"/>
  <c r="F3244" i="2"/>
  <c r="G3244" i="2"/>
  <c r="F3245" i="2"/>
  <c r="G3245" i="2"/>
  <c r="F3246" i="2"/>
  <c r="G3246" i="2"/>
  <c r="F3247" i="2"/>
  <c r="G3247" i="2"/>
  <c r="F3248" i="2"/>
  <c r="G3248" i="2"/>
  <c r="F3249" i="2"/>
  <c r="F3250" i="2"/>
  <c r="F3251" i="2"/>
  <c r="F3252" i="2"/>
  <c r="F3253" i="2"/>
  <c r="G3253" i="2"/>
  <c r="F3254" i="2"/>
  <c r="G3254" i="2"/>
  <c r="F3255" i="2"/>
  <c r="F3256" i="2"/>
  <c r="G3256" i="2"/>
  <c r="F3257" i="2"/>
  <c r="G3257" i="2"/>
  <c r="F3258" i="2"/>
  <c r="G3258" i="2"/>
  <c r="F3259" i="2"/>
  <c r="F3260" i="2"/>
  <c r="F3261" i="2"/>
  <c r="F3262" i="2"/>
  <c r="G3262" i="2"/>
  <c r="F3263" i="2"/>
  <c r="G3263" i="2"/>
  <c r="F3264" i="2"/>
  <c r="F3265" i="2"/>
  <c r="F3266" i="2"/>
  <c r="G3266" i="2"/>
  <c r="F3267" i="2"/>
  <c r="G3267" i="2"/>
  <c r="F3268" i="2"/>
  <c r="G3268" i="2"/>
  <c r="F3269" i="2"/>
  <c r="G3269" i="2"/>
  <c r="F3270" i="2"/>
  <c r="G3270" i="2"/>
  <c r="F3271" i="2"/>
  <c r="G3271" i="2"/>
  <c r="F3272" i="2"/>
  <c r="G3272" i="2"/>
  <c r="F3273" i="2"/>
  <c r="G3273" i="2"/>
  <c r="F3274" i="2"/>
  <c r="G3274" i="2"/>
  <c r="F3275" i="2"/>
  <c r="G3275" i="2"/>
  <c r="F3276" i="2"/>
  <c r="F3277" i="2"/>
  <c r="G3277" i="2"/>
  <c r="F3278" i="2"/>
  <c r="G3278" i="2"/>
  <c r="F3279" i="2"/>
  <c r="G3279" i="2"/>
  <c r="F3280" i="2"/>
  <c r="G3280" i="2"/>
  <c r="F3281" i="2"/>
  <c r="G3281" i="2"/>
  <c r="F3282" i="2"/>
  <c r="G3282" i="2"/>
  <c r="F3283" i="2"/>
  <c r="G3283" i="2"/>
  <c r="F3284" i="2"/>
  <c r="G3284" i="2"/>
  <c r="F3285" i="2"/>
  <c r="G3285" i="2"/>
  <c r="F3286" i="2"/>
  <c r="G3286" i="2"/>
  <c r="F3287" i="2"/>
  <c r="G3287" i="2"/>
  <c r="F3288" i="2"/>
  <c r="F3289" i="2"/>
  <c r="F3290" i="2"/>
  <c r="G3290" i="2"/>
  <c r="F3291" i="2"/>
  <c r="F3292" i="2"/>
  <c r="G3292" i="2"/>
  <c r="F3293" i="2"/>
  <c r="G3293" i="2"/>
  <c r="F3294" i="2"/>
  <c r="G3294" i="2"/>
  <c r="F3295" i="2"/>
  <c r="G3295" i="2"/>
  <c r="F3296" i="2"/>
  <c r="G3296" i="2"/>
  <c r="F3297" i="2"/>
  <c r="G3297" i="2"/>
  <c r="F3298" i="2"/>
  <c r="G3298" i="2"/>
  <c r="F3299" i="2"/>
  <c r="G3299" i="2"/>
  <c r="F3300" i="2"/>
  <c r="G3300" i="2"/>
  <c r="F3301" i="2"/>
  <c r="G3301" i="2"/>
  <c r="F3302" i="2"/>
  <c r="G3302" i="2"/>
  <c r="F3303" i="2"/>
  <c r="G3303" i="2"/>
  <c r="F3304" i="2"/>
  <c r="G3304" i="2"/>
  <c r="F3305" i="2"/>
  <c r="G3305" i="2"/>
  <c r="F3306" i="2"/>
  <c r="G3306" i="2"/>
  <c r="F3307" i="2"/>
  <c r="G3307" i="2"/>
  <c r="F3308" i="2"/>
  <c r="G3308" i="2"/>
  <c r="F3309" i="2"/>
  <c r="G3309" i="2"/>
  <c r="F3310" i="2"/>
  <c r="G3310" i="2"/>
  <c r="F3311" i="2"/>
  <c r="G3311" i="2"/>
  <c r="F3312" i="2"/>
  <c r="G3312" i="2"/>
  <c r="F3313" i="2"/>
  <c r="G3313" i="2"/>
  <c r="F3314" i="2"/>
  <c r="G3314" i="2"/>
  <c r="F3315" i="2"/>
  <c r="G3315" i="2"/>
  <c r="F3316" i="2"/>
  <c r="F3317" i="2"/>
  <c r="G3317" i="2"/>
  <c r="F3318" i="2"/>
  <c r="G3318" i="2"/>
  <c r="F3319" i="2"/>
  <c r="G3319" i="2"/>
  <c r="F3320" i="2"/>
  <c r="G3320" i="2"/>
  <c r="F3321" i="2"/>
  <c r="G3321" i="2"/>
  <c r="F3322" i="2"/>
  <c r="G3322" i="2"/>
  <c r="F3323" i="2"/>
  <c r="G3323" i="2"/>
  <c r="F3324" i="2"/>
  <c r="G3324" i="2"/>
  <c r="F3325" i="2"/>
  <c r="G3325" i="2"/>
  <c r="F3326" i="2"/>
  <c r="G3326" i="2"/>
  <c r="F3327" i="2"/>
  <c r="G3327" i="2"/>
  <c r="F3328" i="2"/>
  <c r="G3328" i="2"/>
  <c r="F3329" i="2"/>
  <c r="G3329" i="2"/>
  <c r="F3330" i="2"/>
  <c r="G3330" i="2"/>
  <c r="F3331" i="2"/>
  <c r="G3331" i="2"/>
  <c r="F3332" i="2"/>
  <c r="G3332" i="2"/>
  <c r="F3333" i="2"/>
  <c r="G3333" i="2"/>
  <c r="F3334" i="2"/>
  <c r="G3334" i="2"/>
  <c r="F3335" i="2"/>
  <c r="G3335" i="2"/>
  <c r="F3336" i="2"/>
  <c r="G3336" i="2"/>
  <c r="F3337" i="2"/>
  <c r="G3337" i="2"/>
  <c r="F3338" i="2"/>
  <c r="G3338" i="2"/>
  <c r="F3339" i="2"/>
  <c r="G3339" i="2"/>
  <c r="F3340" i="2"/>
  <c r="G3340" i="2"/>
  <c r="F3341" i="2"/>
  <c r="G3341" i="2"/>
  <c r="F3342" i="2"/>
  <c r="G3342" i="2"/>
  <c r="F3343" i="2"/>
  <c r="G3343" i="2"/>
  <c r="F3344" i="2"/>
  <c r="G3344" i="2"/>
  <c r="F3345" i="2"/>
  <c r="G3345" i="2"/>
  <c r="F3346" i="2"/>
  <c r="G3346" i="2"/>
  <c r="F3347" i="2"/>
  <c r="G3347" i="2"/>
  <c r="F3348" i="2"/>
  <c r="G3348" i="2"/>
  <c r="F3349" i="2"/>
  <c r="G3349" i="2"/>
  <c r="F3350" i="2"/>
  <c r="G3350" i="2"/>
  <c r="F3351" i="2"/>
  <c r="G3351" i="2"/>
  <c r="F3352" i="2"/>
  <c r="G3352" i="2"/>
  <c r="F3353" i="2"/>
  <c r="G3353" i="2"/>
  <c r="F3354" i="2"/>
  <c r="G3354" i="2"/>
  <c r="F3355" i="2"/>
  <c r="G3355" i="2"/>
  <c r="F3356" i="2"/>
  <c r="G3356" i="2"/>
  <c r="F3357" i="2"/>
  <c r="G3357" i="2"/>
  <c r="F3358" i="2"/>
  <c r="G3358" i="2"/>
  <c r="F3359" i="2"/>
  <c r="G3359" i="2"/>
  <c r="F3360" i="2"/>
  <c r="G3360" i="2"/>
  <c r="F3361" i="2"/>
  <c r="G3361" i="2"/>
  <c r="F3362" i="2"/>
  <c r="G3362" i="2"/>
  <c r="F3363" i="2"/>
  <c r="G3363" i="2"/>
  <c r="F3364" i="2"/>
  <c r="G3364" i="2"/>
  <c r="F3365" i="2"/>
  <c r="G3365" i="2"/>
  <c r="F3366" i="2"/>
  <c r="G3366" i="2"/>
  <c r="F3367" i="2"/>
  <c r="G3367" i="2"/>
  <c r="F3368" i="2"/>
  <c r="G3368" i="2"/>
  <c r="F3369" i="2"/>
  <c r="G3369" i="2"/>
  <c r="F3370" i="2"/>
  <c r="G3370" i="2"/>
  <c r="F3371" i="2"/>
  <c r="G3371" i="2"/>
  <c r="F3372" i="2"/>
  <c r="F3373" i="2"/>
  <c r="G3373" i="2"/>
  <c r="F3374" i="2"/>
  <c r="G3374" i="2"/>
  <c r="F3375" i="2"/>
  <c r="G3375" i="2"/>
  <c r="F3376" i="2"/>
  <c r="G3376" i="2"/>
  <c r="F3377" i="2"/>
  <c r="G3377" i="2"/>
  <c r="F3378" i="2"/>
  <c r="G3378" i="2"/>
  <c r="F3379" i="2"/>
  <c r="G3379" i="2"/>
  <c r="F3380" i="2"/>
  <c r="F3381" i="2"/>
  <c r="G3381" i="2"/>
  <c r="F3382" i="2"/>
  <c r="G3382" i="2"/>
  <c r="F3383" i="2"/>
  <c r="G3383" i="2"/>
  <c r="F3384" i="2"/>
  <c r="G3384" i="2"/>
  <c r="F3385" i="2"/>
  <c r="F3386" i="2"/>
  <c r="G3386" i="2"/>
  <c r="F3387" i="2"/>
  <c r="G3387" i="2"/>
  <c r="F3388" i="2"/>
  <c r="G3388" i="2"/>
  <c r="F3389" i="2"/>
  <c r="G3389" i="2"/>
  <c r="F3390" i="2"/>
  <c r="G3390" i="2"/>
  <c r="F3391" i="2"/>
  <c r="G3391" i="2"/>
  <c r="F3392" i="2"/>
  <c r="G3392" i="2"/>
  <c r="F3393" i="2"/>
  <c r="G3393" i="2"/>
  <c r="F3394" i="2"/>
  <c r="G3394" i="2"/>
  <c r="F3395" i="2"/>
  <c r="G3395" i="2"/>
  <c r="F3396" i="2"/>
  <c r="G3396" i="2"/>
  <c r="F3397" i="2"/>
  <c r="G3397" i="2"/>
  <c r="F3398" i="2"/>
  <c r="G3398" i="2"/>
  <c r="F3399" i="2"/>
  <c r="F3400" i="2"/>
  <c r="G3400" i="2"/>
  <c r="F3401" i="2"/>
  <c r="G3401" i="2"/>
  <c r="F3402" i="2"/>
  <c r="G3402" i="2"/>
  <c r="F3403" i="2"/>
  <c r="G3403" i="2"/>
  <c r="F3404" i="2"/>
  <c r="G3404" i="2"/>
  <c r="F3405" i="2"/>
  <c r="G3405" i="2"/>
  <c r="F3406" i="2"/>
  <c r="G3406" i="2"/>
  <c r="F3407" i="2"/>
  <c r="F3408" i="2"/>
  <c r="G3408" i="2"/>
  <c r="F3409" i="2"/>
  <c r="G3409" i="2"/>
  <c r="F3410" i="2"/>
  <c r="G3410" i="2"/>
  <c r="F3411" i="2"/>
  <c r="G3411" i="2"/>
  <c r="F3412" i="2"/>
  <c r="F3413" i="2"/>
  <c r="G3413" i="2"/>
  <c r="F3414" i="2"/>
  <c r="G3414" i="2"/>
  <c r="F3415" i="2"/>
  <c r="G3415" i="2"/>
  <c r="F3416" i="2"/>
  <c r="G3416" i="2"/>
  <c r="F3417" i="2"/>
  <c r="G3417" i="2"/>
  <c r="F3418" i="2"/>
  <c r="G3418" i="2"/>
  <c r="F3419" i="2"/>
  <c r="G3419" i="2"/>
  <c r="F3420" i="2"/>
  <c r="G3420" i="2"/>
  <c r="F3421" i="2"/>
  <c r="G3421" i="2"/>
  <c r="F3422" i="2"/>
  <c r="G3422" i="2"/>
  <c r="F3423" i="2"/>
  <c r="G3423" i="2"/>
  <c r="F3424" i="2"/>
  <c r="G3424" i="2"/>
  <c r="F3425" i="2"/>
  <c r="G3425" i="2"/>
  <c r="F3426" i="2"/>
  <c r="G3426" i="2"/>
  <c r="F3427" i="2"/>
  <c r="G3427" i="2"/>
  <c r="F3428" i="2"/>
  <c r="G3428" i="2"/>
  <c r="F3429" i="2"/>
  <c r="G3429" i="2"/>
  <c r="F3430" i="2"/>
  <c r="G3430" i="2"/>
  <c r="F3431" i="2"/>
  <c r="G3431" i="2"/>
  <c r="F3432" i="2"/>
  <c r="G3432" i="2"/>
  <c r="F3433" i="2"/>
  <c r="G3433" i="2"/>
  <c r="F3434" i="2"/>
  <c r="G3434" i="2"/>
  <c r="F3435" i="2"/>
  <c r="G3435" i="2"/>
  <c r="F3436" i="2"/>
  <c r="G3436" i="2"/>
  <c r="F3437" i="2"/>
  <c r="F3438" i="2"/>
  <c r="F3439" i="2"/>
  <c r="G3439" i="2"/>
  <c r="F3440" i="2"/>
  <c r="G3440" i="2"/>
  <c r="F3441" i="2"/>
  <c r="G3441" i="2"/>
  <c r="F3442" i="2"/>
  <c r="G3442" i="2"/>
  <c r="F3443" i="2"/>
  <c r="G3443" i="2"/>
  <c r="F3444" i="2"/>
  <c r="G3444" i="2"/>
  <c r="F3445" i="2"/>
  <c r="G3445" i="2"/>
  <c r="F3446" i="2"/>
  <c r="G3446" i="2"/>
  <c r="F3447" i="2"/>
  <c r="G3447" i="2"/>
  <c r="F3448" i="2"/>
  <c r="G3448" i="2"/>
  <c r="F3449" i="2"/>
  <c r="G3449" i="2"/>
  <c r="F3450" i="2"/>
  <c r="G3450" i="2"/>
  <c r="F3451" i="2"/>
  <c r="G3451" i="2"/>
  <c r="F3452" i="2"/>
  <c r="G3452" i="2"/>
  <c r="F3453" i="2"/>
  <c r="G3453" i="2"/>
  <c r="F3454" i="2"/>
  <c r="G3454" i="2"/>
  <c r="F3455" i="2"/>
  <c r="G3455" i="2"/>
  <c r="F3456" i="2"/>
  <c r="G3456" i="2"/>
  <c r="F3457" i="2"/>
  <c r="G3457" i="2"/>
  <c r="F3458" i="2"/>
  <c r="G3458" i="2"/>
  <c r="F3459" i="2"/>
  <c r="G3459" i="2"/>
  <c r="F3460" i="2"/>
  <c r="G3460" i="2"/>
  <c r="F3461" i="2"/>
  <c r="G3461" i="2"/>
  <c r="F3462" i="2"/>
  <c r="G3462" i="2"/>
  <c r="F3463" i="2"/>
  <c r="G3463" i="2"/>
  <c r="F3464" i="2"/>
  <c r="F3465" i="2"/>
  <c r="F3466" i="2"/>
  <c r="G3466" i="2"/>
  <c r="F3467" i="2"/>
  <c r="G3467" i="2"/>
  <c r="F3468" i="2"/>
  <c r="G3468" i="2"/>
  <c r="F3469" i="2"/>
  <c r="G3469" i="2"/>
  <c r="F3470" i="2"/>
  <c r="F3471" i="2"/>
  <c r="G3471" i="2"/>
  <c r="F3472" i="2"/>
  <c r="G3472" i="2"/>
  <c r="F3473" i="2"/>
  <c r="G3473" i="2"/>
  <c r="F3474" i="2"/>
  <c r="G3474" i="2"/>
  <c r="F3475" i="2"/>
  <c r="G3475" i="2"/>
  <c r="F3476" i="2"/>
  <c r="G3476" i="2"/>
  <c r="F3477" i="2"/>
  <c r="F3478" i="2"/>
  <c r="G3478" i="2"/>
  <c r="F3479" i="2"/>
  <c r="G3479" i="2"/>
  <c r="F3480" i="2"/>
  <c r="G3480" i="2"/>
  <c r="F3481" i="2"/>
  <c r="G3481" i="2"/>
  <c r="F3482" i="2"/>
  <c r="G3482" i="2"/>
  <c r="F3483" i="2"/>
  <c r="G3483" i="2"/>
  <c r="F3484" i="2"/>
  <c r="G3484" i="2"/>
  <c r="F3485" i="2"/>
  <c r="G3485" i="2"/>
  <c r="F3486" i="2"/>
  <c r="G3486" i="2"/>
  <c r="F3487" i="2"/>
  <c r="G3487" i="2"/>
  <c r="F3488" i="2"/>
  <c r="G3488" i="2"/>
  <c r="F3489" i="2"/>
  <c r="G3489" i="2"/>
  <c r="F3490" i="2"/>
  <c r="G3490" i="2"/>
  <c r="F3491" i="2"/>
  <c r="G3491" i="2"/>
  <c r="F3492" i="2"/>
  <c r="G3492" i="2"/>
  <c r="F3493" i="2"/>
  <c r="G3493" i="2"/>
  <c r="F3494" i="2"/>
  <c r="G3494" i="2"/>
  <c r="F3495" i="2"/>
  <c r="G3495" i="2"/>
  <c r="F3496" i="2"/>
  <c r="G3496" i="2"/>
  <c r="F3497" i="2"/>
  <c r="F3498" i="2"/>
  <c r="G3498" i="2"/>
  <c r="F3499" i="2"/>
  <c r="G3499" i="2"/>
  <c r="F3500" i="2"/>
  <c r="G3500" i="2"/>
  <c r="F3501" i="2"/>
  <c r="G3501" i="2"/>
  <c r="F3502" i="2"/>
  <c r="G3502" i="2"/>
  <c r="F3503" i="2"/>
  <c r="G3503" i="2"/>
  <c r="F3504" i="2"/>
  <c r="F3505" i="2"/>
  <c r="G3505" i="2"/>
  <c r="F3506" i="2"/>
  <c r="G3506" i="2"/>
  <c r="F3507" i="2"/>
  <c r="G3507" i="2"/>
  <c r="F3508" i="2"/>
  <c r="G3508" i="2"/>
  <c r="F3509" i="2"/>
  <c r="G3509" i="2"/>
  <c r="F3510" i="2"/>
  <c r="G3510" i="2"/>
  <c r="F3511" i="2"/>
  <c r="G3511" i="2"/>
  <c r="F3512" i="2"/>
  <c r="G3512" i="2"/>
  <c r="F3513" i="2"/>
  <c r="G3513" i="2"/>
  <c r="F3514" i="2"/>
  <c r="G3514" i="2"/>
  <c r="F3515" i="2"/>
  <c r="G3515" i="2"/>
  <c r="F3516" i="2"/>
  <c r="G3516" i="2"/>
  <c r="F3517" i="2"/>
  <c r="G3517" i="2"/>
  <c r="F3518" i="2"/>
  <c r="G3518" i="2"/>
  <c r="F3519" i="2"/>
  <c r="G3519" i="2"/>
  <c r="F3520" i="2"/>
  <c r="G3520" i="2"/>
  <c r="F3521" i="2"/>
  <c r="G3521" i="2"/>
  <c r="F3522" i="2"/>
  <c r="G3522" i="2"/>
  <c r="F3523" i="2"/>
  <c r="G3523" i="2"/>
  <c r="F3524" i="2"/>
  <c r="G3524" i="2"/>
  <c r="F3525" i="2"/>
  <c r="G3525" i="2"/>
  <c r="F3526" i="2"/>
  <c r="G3526" i="2"/>
  <c r="F3527" i="2"/>
  <c r="G3527" i="2"/>
  <c r="F3528" i="2"/>
  <c r="G3528" i="2"/>
  <c r="F3529" i="2"/>
  <c r="G3529" i="2"/>
  <c r="F3530" i="2"/>
  <c r="G3530" i="2"/>
  <c r="F3531" i="2"/>
  <c r="G3531" i="2"/>
  <c r="F3532" i="2"/>
  <c r="G3532" i="2"/>
  <c r="F3533" i="2"/>
  <c r="G3533" i="2"/>
  <c r="F3534" i="2"/>
  <c r="G3534" i="2"/>
  <c r="F3535" i="2"/>
  <c r="G3535" i="2"/>
  <c r="F3536" i="2"/>
  <c r="G3536" i="2"/>
  <c r="F3537" i="2"/>
  <c r="G3537" i="2"/>
  <c r="F3538" i="2"/>
  <c r="G3538" i="2"/>
  <c r="F3539" i="2"/>
  <c r="G3539" i="2"/>
  <c r="F3540" i="2"/>
  <c r="G3540" i="2"/>
  <c r="F3541" i="2"/>
  <c r="G3541" i="2"/>
  <c r="F3542" i="2"/>
  <c r="G3542" i="2"/>
  <c r="F3543" i="2"/>
  <c r="G3543" i="2"/>
  <c r="F3544" i="2"/>
  <c r="G3544" i="2"/>
  <c r="F3545" i="2"/>
  <c r="G3545" i="2"/>
  <c r="F3546" i="2"/>
  <c r="G3546" i="2"/>
  <c r="F3547" i="2"/>
  <c r="G3547" i="2"/>
  <c r="F3548" i="2"/>
  <c r="G3548" i="2"/>
  <c r="F3549" i="2"/>
  <c r="G3549" i="2"/>
  <c r="F3550" i="2"/>
  <c r="G3550" i="2"/>
  <c r="F3551" i="2"/>
  <c r="G3551" i="2"/>
  <c r="F3552" i="2"/>
  <c r="G3552" i="2"/>
  <c r="F3553" i="2"/>
  <c r="G3553" i="2"/>
  <c r="F3554" i="2"/>
  <c r="G3554" i="2"/>
  <c r="F3555" i="2"/>
  <c r="G3555" i="2"/>
  <c r="F3556" i="2"/>
  <c r="G3556" i="2"/>
  <c r="F3557" i="2"/>
  <c r="G3557" i="2"/>
  <c r="F3558" i="2"/>
  <c r="G3558" i="2"/>
  <c r="F3559" i="2"/>
  <c r="G3559" i="2"/>
  <c r="F3560" i="2"/>
  <c r="G3560" i="2"/>
  <c r="F3561" i="2"/>
  <c r="G3561" i="2"/>
  <c r="F3562" i="2"/>
  <c r="G3562" i="2"/>
  <c r="F3563" i="2"/>
  <c r="G3563" i="2"/>
  <c r="F3564" i="2"/>
  <c r="G3564" i="2"/>
  <c r="F3565" i="2"/>
  <c r="G3565" i="2"/>
  <c r="F3566" i="2"/>
  <c r="G3566" i="2"/>
  <c r="F3567" i="2"/>
  <c r="G3567" i="2"/>
  <c r="F3568" i="2"/>
  <c r="G3568" i="2"/>
  <c r="F3569" i="2"/>
  <c r="G3569" i="2"/>
  <c r="F3570" i="2"/>
  <c r="G3570" i="2"/>
  <c r="F3571" i="2"/>
  <c r="G3571" i="2"/>
  <c r="F3572" i="2"/>
  <c r="G3572" i="2"/>
  <c r="F3573" i="2"/>
  <c r="G3573" i="2"/>
  <c r="F3574" i="2"/>
  <c r="G3574" i="2"/>
  <c r="F3575" i="2"/>
  <c r="G3575" i="2"/>
  <c r="F3576" i="2"/>
  <c r="G3576" i="2"/>
  <c r="F3577" i="2"/>
  <c r="G3577" i="2"/>
  <c r="F3578" i="2"/>
  <c r="G3578" i="2"/>
  <c r="F3579" i="2"/>
  <c r="G3579" i="2"/>
  <c r="F3580" i="2"/>
  <c r="G3580" i="2"/>
  <c r="F3581" i="2"/>
  <c r="G3581" i="2"/>
  <c r="F3582" i="2"/>
  <c r="G3582" i="2"/>
  <c r="F3583" i="2"/>
  <c r="G3583" i="2"/>
  <c r="F3584" i="2"/>
  <c r="G3584" i="2"/>
  <c r="F3585" i="2"/>
  <c r="G3585" i="2"/>
  <c r="F3586" i="2"/>
  <c r="G3586" i="2"/>
  <c r="F3587" i="2"/>
  <c r="G3587" i="2"/>
  <c r="F3588" i="2"/>
  <c r="G3588" i="2"/>
  <c r="F3589" i="2"/>
  <c r="G3589" i="2"/>
  <c r="F3590" i="2"/>
  <c r="G3590" i="2"/>
  <c r="F3591" i="2"/>
  <c r="G3591" i="2"/>
  <c r="F3592" i="2"/>
  <c r="G3592" i="2"/>
  <c r="F3593" i="2"/>
  <c r="G3593" i="2"/>
  <c r="F3594" i="2"/>
  <c r="G3594" i="2"/>
  <c r="F3595" i="2"/>
  <c r="G3595" i="2"/>
  <c r="F3596" i="2"/>
  <c r="G3596" i="2"/>
  <c r="F3597" i="2"/>
  <c r="G3597" i="2"/>
  <c r="F3598" i="2"/>
  <c r="G3598" i="2"/>
  <c r="F3599" i="2"/>
  <c r="G3599" i="2"/>
  <c r="F3600" i="2"/>
  <c r="G3600" i="2"/>
  <c r="F3601" i="2"/>
  <c r="G3601" i="2"/>
  <c r="F3602" i="2"/>
  <c r="G3602" i="2"/>
  <c r="F3603" i="2"/>
  <c r="G3603" i="2"/>
  <c r="F3604" i="2"/>
  <c r="G3604" i="2"/>
  <c r="F3605" i="2"/>
  <c r="G3605" i="2"/>
  <c r="F3606" i="2"/>
  <c r="G3606" i="2"/>
  <c r="F3607" i="2"/>
  <c r="G3607" i="2"/>
  <c r="F3608" i="2"/>
  <c r="F3609" i="2"/>
  <c r="G3609" i="2"/>
  <c r="F3610" i="2"/>
  <c r="G3610" i="2"/>
  <c r="F3611" i="2"/>
  <c r="G3611" i="2"/>
  <c r="F3612" i="2"/>
  <c r="G3612" i="2"/>
  <c r="F3613" i="2"/>
  <c r="G3613" i="2"/>
  <c r="F3614" i="2"/>
  <c r="G3614" i="2"/>
  <c r="F3615" i="2"/>
  <c r="G3615" i="2"/>
  <c r="F3616" i="2"/>
  <c r="G3616" i="2"/>
  <c r="F3617" i="2"/>
  <c r="G3617" i="2"/>
  <c r="F3618" i="2"/>
  <c r="G3618" i="2"/>
  <c r="F3619" i="2"/>
  <c r="G3619" i="2"/>
  <c r="F3620" i="2"/>
  <c r="G3620" i="2"/>
  <c r="F3621" i="2"/>
  <c r="G3621" i="2"/>
  <c r="F3622" i="2"/>
  <c r="G3622" i="2"/>
  <c r="F3623" i="2"/>
  <c r="G3623" i="2"/>
  <c r="F3624" i="2"/>
  <c r="G3624" i="2"/>
  <c r="F3625" i="2"/>
  <c r="G3625" i="2"/>
  <c r="F3626" i="2"/>
  <c r="G3626" i="2"/>
  <c r="F3627" i="2"/>
  <c r="G3627" i="2"/>
  <c r="F3628" i="2"/>
  <c r="G3628" i="2"/>
  <c r="F3629" i="2"/>
  <c r="F3630" i="2"/>
  <c r="F3631" i="2"/>
  <c r="F3632" i="2"/>
  <c r="G3632" i="2"/>
  <c r="F3633" i="2"/>
  <c r="G3633" i="2"/>
  <c r="F3634" i="2"/>
  <c r="G3634" i="2"/>
  <c r="F3635" i="2"/>
  <c r="F3636" i="2"/>
  <c r="G3636" i="2"/>
  <c r="F3637" i="2"/>
  <c r="G3637" i="2"/>
  <c r="F3638" i="2"/>
  <c r="G3638" i="2"/>
  <c r="F3639" i="2"/>
  <c r="G3639" i="2"/>
  <c r="F3640" i="2"/>
  <c r="G3640" i="2"/>
  <c r="F3641" i="2"/>
  <c r="G3641" i="2"/>
  <c r="F3642" i="2"/>
  <c r="G3642" i="2"/>
  <c r="F3643" i="2"/>
  <c r="G3643" i="2"/>
  <c r="F3644" i="2"/>
  <c r="G3644" i="2"/>
  <c r="F3645" i="2"/>
  <c r="G3645" i="2"/>
  <c r="F3646" i="2"/>
  <c r="G3646" i="2"/>
  <c r="F3647" i="2"/>
  <c r="G3647" i="2"/>
  <c r="F3648" i="2"/>
  <c r="G3648" i="2"/>
  <c r="F3649" i="2"/>
  <c r="G3649" i="2"/>
  <c r="F3650" i="2"/>
  <c r="G3650" i="2"/>
  <c r="F3651" i="2"/>
  <c r="G3651" i="2"/>
  <c r="F3652" i="2"/>
  <c r="G3652" i="2"/>
  <c r="F3653" i="2"/>
  <c r="G3653" i="2"/>
  <c r="F3654" i="2"/>
  <c r="G3654" i="2"/>
  <c r="F3655" i="2"/>
  <c r="G3655" i="2"/>
  <c r="F3656" i="2"/>
  <c r="F3657" i="2"/>
  <c r="F3658" i="2"/>
  <c r="F3659" i="2"/>
  <c r="G3659" i="2"/>
  <c r="F3660" i="2"/>
  <c r="G3660" i="2"/>
  <c r="F3661" i="2"/>
  <c r="G3661" i="2"/>
  <c r="F3662" i="2"/>
  <c r="G3662" i="2"/>
  <c r="F3663" i="2"/>
  <c r="G3663" i="2"/>
  <c r="F3664" i="2"/>
  <c r="G3664" i="2"/>
  <c r="F3665" i="2"/>
  <c r="G3665" i="2"/>
  <c r="F3666" i="2"/>
  <c r="G3666" i="2"/>
  <c r="F3667" i="2"/>
  <c r="G3667" i="2"/>
  <c r="F3668" i="2"/>
  <c r="G3668" i="2"/>
  <c r="F3669" i="2"/>
  <c r="G3669" i="2"/>
  <c r="F3670" i="2"/>
  <c r="G3670" i="2"/>
  <c r="F3671" i="2"/>
  <c r="G3671" i="2"/>
  <c r="F3672" i="2"/>
  <c r="G3672" i="2"/>
  <c r="F3673" i="2"/>
  <c r="G3673" i="2"/>
  <c r="F3674" i="2"/>
  <c r="G3674" i="2"/>
  <c r="F3675" i="2"/>
  <c r="G3675" i="2"/>
  <c r="F3676" i="2"/>
  <c r="G3676" i="2"/>
  <c r="F3677" i="2"/>
  <c r="G3677" i="2"/>
  <c r="F3678" i="2"/>
  <c r="G3678" i="2"/>
  <c r="F3679" i="2"/>
  <c r="G3679" i="2"/>
  <c r="F3680" i="2"/>
  <c r="G3680" i="2"/>
  <c r="F3681" i="2"/>
  <c r="G3681" i="2"/>
  <c r="F3682" i="2"/>
  <c r="G3682" i="2"/>
  <c r="F3683" i="2"/>
  <c r="G3683" i="2"/>
  <c r="F3684" i="2"/>
  <c r="G3684" i="2"/>
  <c r="F3685" i="2"/>
  <c r="G3685" i="2"/>
  <c r="F3686" i="2"/>
  <c r="G3686" i="2"/>
  <c r="F3687" i="2"/>
  <c r="G3687" i="2"/>
  <c r="F3688" i="2"/>
  <c r="G3688" i="2"/>
  <c r="F3689" i="2"/>
  <c r="G3689" i="2"/>
  <c r="F3690" i="2"/>
  <c r="G3690" i="2"/>
  <c r="F3691" i="2"/>
  <c r="G3691" i="2"/>
  <c r="F3692" i="2"/>
  <c r="G3692" i="2"/>
  <c r="F3693" i="2"/>
  <c r="G3693" i="2"/>
  <c r="F3694" i="2"/>
  <c r="G3694" i="2"/>
  <c r="F3695" i="2"/>
  <c r="G3695" i="2"/>
  <c r="F3696" i="2"/>
  <c r="G3696" i="2"/>
  <c r="F3697" i="2"/>
  <c r="G3697" i="2"/>
  <c r="F3698" i="2"/>
  <c r="G3698" i="2"/>
  <c r="F3699" i="2"/>
  <c r="G3699" i="2"/>
  <c r="F3700" i="2"/>
  <c r="G3700" i="2"/>
  <c r="F3701" i="2"/>
  <c r="G3701" i="2"/>
  <c r="F3702" i="2"/>
  <c r="G3702" i="2"/>
  <c r="F3703" i="2"/>
  <c r="G3703" i="2"/>
  <c r="F3704" i="2"/>
  <c r="G3704" i="2"/>
  <c r="F3705" i="2"/>
  <c r="G3705" i="2"/>
  <c r="F3706" i="2"/>
  <c r="G3706" i="2"/>
  <c r="F3707" i="2"/>
  <c r="G3707" i="2"/>
  <c r="F3708" i="2"/>
  <c r="G3708" i="2"/>
  <c r="F3709" i="2"/>
  <c r="G3709" i="2"/>
  <c r="F3710" i="2"/>
  <c r="G3710" i="2"/>
  <c r="F3711" i="2"/>
  <c r="G3711" i="2"/>
  <c r="F3712" i="2"/>
  <c r="G3712" i="2"/>
  <c r="F3713" i="2"/>
  <c r="G3713" i="2"/>
  <c r="F3714" i="2"/>
  <c r="G3714" i="2"/>
  <c r="F3715" i="2"/>
  <c r="G3715" i="2"/>
  <c r="F3716" i="2"/>
  <c r="G3716" i="2"/>
  <c r="F3717" i="2"/>
  <c r="G3717" i="2"/>
  <c r="F3718" i="2"/>
  <c r="G3718" i="2"/>
  <c r="F3719" i="2"/>
  <c r="G3719" i="2"/>
  <c r="F3720" i="2"/>
  <c r="G3720" i="2"/>
  <c r="F3721" i="2"/>
  <c r="G3721" i="2"/>
  <c r="F3722" i="2"/>
  <c r="G3722" i="2"/>
  <c r="F3723" i="2"/>
  <c r="G3723" i="2"/>
  <c r="F3724" i="2"/>
  <c r="G3724" i="2"/>
  <c r="F3725" i="2"/>
  <c r="G3725" i="2"/>
  <c r="F3726" i="2"/>
  <c r="G3726" i="2"/>
  <c r="F3727" i="2"/>
  <c r="G3727" i="2"/>
  <c r="F3728" i="2"/>
  <c r="G3728" i="2"/>
  <c r="F3729" i="2"/>
  <c r="G3729" i="2"/>
  <c r="F3730" i="2"/>
  <c r="G3730" i="2"/>
  <c r="F3731" i="2"/>
  <c r="G3731" i="2"/>
  <c r="F3732" i="2"/>
  <c r="G3732" i="2"/>
  <c r="F3733" i="2"/>
  <c r="G3733" i="2"/>
  <c r="F3734" i="2"/>
  <c r="G3734" i="2"/>
  <c r="F3735" i="2"/>
  <c r="G3735" i="2"/>
  <c r="F3736" i="2"/>
  <c r="G3736" i="2"/>
  <c r="F3737" i="2"/>
  <c r="G3737" i="2"/>
  <c r="F3738" i="2"/>
  <c r="G3738" i="2"/>
  <c r="F3739" i="2"/>
  <c r="G3739" i="2"/>
  <c r="F3740" i="2"/>
  <c r="G3740" i="2"/>
  <c r="F3741" i="2"/>
  <c r="G3741" i="2"/>
  <c r="F3742" i="2"/>
  <c r="G3742" i="2"/>
  <c r="F3743" i="2"/>
  <c r="G3743" i="2"/>
  <c r="F3744" i="2"/>
  <c r="G3744" i="2"/>
  <c r="F3745" i="2"/>
  <c r="G3745" i="2"/>
  <c r="F3746" i="2"/>
  <c r="G3746" i="2"/>
  <c r="F3747" i="2"/>
  <c r="G3747" i="2"/>
  <c r="F3748" i="2"/>
  <c r="G3748" i="2"/>
  <c r="F3749" i="2"/>
  <c r="G3749" i="2"/>
  <c r="F3750" i="2"/>
  <c r="G3750" i="2"/>
  <c r="F3751" i="2"/>
  <c r="G3751" i="2"/>
  <c r="F3752" i="2"/>
  <c r="G3752" i="2"/>
  <c r="F3753" i="2"/>
  <c r="G3753" i="2"/>
  <c r="F3754" i="2"/>
  <c r="G3754" i="2"/>
  <c r="F3755" i="2"/>
  <c r="G3755" i="2"/>
  <c r="F3756" i="2"/>
  <c r="G3756" i="2"/>
  <c r="F3757" i="2"/>
  <c r="G3757" i="2"/>
  <c r="F3758" i="2"/>
  <c r="G3758" i="2"/>
  <c r="F3759" i="2"/>
  <c r="G3759" i="2"/>
  <c r="F3760" i="2"/>
  <c r="G3760" i="2"/>
  <c r="F3761" i="2"/>
  <c r="G3761" i="2"/>
  <c r="F3762" i="2"/>
  <c r="G3762" i="2"/>
  <c r="F3763" i="2"/>
  <c r="G3763" i="2"/>
  <c r="F3764" i="2"/>
  <c r="G3764" i="2"/>
  <c r="F3765" i="2"/>
  <c r="G3765" i="2"/>
  <c r="F3766" i="2"/>
  <c r="G3766" i="2"/>
  <c r="F3767" i="2"/>
  <c r="G3767" i="2"/>
  <c r="F3768" i="2"/>
  <c r="G3768" i="2"/>
  <c r="F3769" i="2"/>
  <c r="G3769" i="2"/>
  <c r="F3770" i="2"/>
  <c r="G3770" i="2"/>
  <c r="F3771" i="2"/>
  <c r="G3771" i="2"/>
  <c r="F3772" i="2"/>
  <c r="G3772" i="2"/>
  <c r="F3773" i="2"/>
  <c r="G3773" i="2"/>
  <c r="F3774" i="2"/>
  <c r="G3774" i="2"/>
  <c r="F3775" i="2"/>
  <c r="G3775" i="2"/>
  <c r="F3776" i="2"/>
  <c r="G3776" i="2"/>
  <c r="F3777" i="2"/>
  <c r="G3777" i="2"/>
  <c r="F3778" i="2"/>
  <c r="G3778" i="2"/>
  <c r="F3779" i="2"/>
  <c r="G3779" i="2"/>
  <c r="F3780" i="2"/>
  <c r="G3780" i="2"/>
  <c r="F3781" i="2"/>
  <c r="G3781" i="2"/>
  <c r="F3782" i="2"/>
  <c r="G3782" i="2"/>
  <c r="F3783" i="2"/>
  <c r="G3783" i="2"/>
  <c r="F3784" i="2"/>
  <c r="G3784" i="2"/>
  <c r="F3785" i="2"/>
  <c r="G3785" i="2"/>
  <c r="F3786" i="2"/>
  <c r="G3786" i="2"/>
  <c r="F3787" i="2"/>
  <c r="G3787" i="2"/>
  <c r="F3788" i="2"/>
  <c r="G3788" i="2"/>
  <c r="F3789" i="2"/>
  <c r="G3789" i="2"/>
  <c r="F3790" i="2"/>
  <c r="G3790" i="2"/>
  <c r="F3791" i="2"/>
  <c r="G3791" i="2"/>
  <c r="F3792" i="2"/>
  <c r="G3792" i="2"/>
  <c r="F3793" i="2"/>
  <c r="G3793" i="2"/>
  <c r="F3794" i="2"/>
  <c r="G3794" i="2"/>
  <c r="F3795" i="2"/>
  <c r="G3795" i="2"/>
  <c r="F3796" i="2"/>
  <c r="G3796" i="2"/>
  <c r="F3797" i="2"/>
  <c r="G3797" i="2"/>
  <c r="F3798" i="2"/>
  <c r="G3798" i="2"/>
  <c r="F3799" i="2"/>
  <c r="G3799" i="2"/>
  <c r="F3800" i="2"/>
  <c r="G3800" i="2"/>
  <c r="F3801" i="2"/>
  <c r="G3801" i="2"/>
  <c r="F3802" i="2"/>
  <c r="G3802" i="2"/>
  <c r="F3803" i="2"/>
  <c r="G3803" i="2"/>
  <c r="F3804" i="2"/>
  <c r="G3804" i="2"/>
  <c r="F3805" i="2"/>
  <c r="G3805" i="2"/>
  <c r="F3806" i="2"/>
  <c r="G3806" i="2"/>
  <c r="F3807" i="2"/>
  <c r="G3807" i="2"/>
  <c r="F3808" i="2"/>
  <c r="G3808" i="2"/>
  <c r="F3809" i="2"/>
  <c r="G3809" i="2"/>
  <c r="F3810" i="2"/>
  <c r="G3810" i="2"/>
  <c r="F3811" i="2"/>
  <c r="G3811" i="2"/>
  <c r="F3812" i="2"/>
  <c r="G3812" i="2"/>
  <c r="F3813" i="2"/>
  <c r="G3813" i="2"/>
  <c r="F3814" i="2"/>
  <c r="G3814" i="2"/>
  <c r="F3815" i="2"/>
  <c r="G3815" i="2"/>
  <c r="F3816" i="2"/>
  <c r="G3816" i="2"/>
  <c r="F3817" i="2"/>
  <c r="G3817" i="2"/>
  <c r="F3818" i="2"/>
  <c r="G3818" i="2"/>
  <c r="F3819" i="2"/>
  <c r="G3819" i="2"/>
  <c r="F3820" i="2"/>
  <c r="G3820" i="2"/>
  <c r="F3821" i="2"/>
  <c r="G3821" i="2"/>
  <c r="F3822" i="2"/>
  <c r="G3822" i="2"/>
  <c r="F3823" i="2"/>
  <c r="G3823" i="2"/>
  <c r="F3824" i="2"/>
  <c r="G3824" i="2"/>
  <c r="F3825" i="2"/>
  <c r="G3825" i="2"/>
  <c r="F3826" i="2"/>
  <c r="G3826" i="2"/>
  <c r="F3827" i="2"/>
  <c r="G3827" i="2"/>
  <c r="F3828" i="2"/>
  <c r="G3828" i="2"/>
  <c r="F3829" i="2"/>
  <c r="G3829" i="2"/>
  <c r="F3830" i="2"/>
  <c r="G3830" i="2"/>
  <c r="F3831" i="2"/>
  <c r="G3831" i="2"/>
  <c r="F3832" i="2"/>
  <c r="G3832" i="2"/>
  <c r="F3833" i="2"/>
  <c r="G3833" i="2"/>
  <c r="F3834" i="2"/>
  <c r="G3834" i="2"/>
  <c r="F3835" i="2"/>
  <c r="G3835" i="2"/>
  <c r="F3836" i="2"/>
  <c r="G3836" i="2"/>
  <c r="F3837" i="2"/>
  <c r="G3837" i="2"/>
  <c r="F3838" i="2"/>
  <c r="G3838" i="2"/>
  <c r="F3839" i="2"/>
  <c r="G3839" i="2"/>
  <c r="F3840" i="2"/>
  <c r="G3840" i="2"/>
  <c r="F3841" i="2"/>
  <c r="G3841" i="2"/>
  <c r="F3842" i="2"/>
  <c r="G3842" i="2"/>
  <c r="F3843" i="2"/>
  <c r="G3843" i="2"/>
  <c r="I1" i="1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5" i="6"/>
  <c r="J44" i="6"/>
  <c r="J43" i="6"/>
  <c r="J42" i="6"/>
  <c r="J41" i="6"/>
  <c r="J40" i="6"/>
  <c r="J39" i="6"/>
  <c r="J38" i="6"/>
  <c r="J37" i="6"/>
  <c r="J36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L163" i="1"/>
  <c r="L137" i="1"/>
  <c r="L136" i="1"/>
  <c r="L135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64" i="1"/>
  <c r="L346" i="1"/>
  <c r="L345" i="1"/>
  <c r="L344" i="1"/>
  <c r="L343" i="1"/>
  <c r="L342" i="1"/>
  <c r="L341" i="1"/>
  <c r="L340" i="1"/>
  <c r="L347" i="1"/>
  <c r="L1" i="1"/>
  <c r="H3767" i="2" l="1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766" i="2"/>
  <c r="H3765" i="2"/>
  <c r="H3764" i="2"/>
  <c r="H3763" i="2"/>
  <c r="H3762" i="2"/>
  <c r="H3761" i="2"/>
  <c r="H3760" i="2"/>
  <c r="H3759" i="2"/>
  <c r="H3758" i="2"/>
  <c r="H3757" i="2"/>
  <c r="H3756" i="2"/>
  <c r="H3755" i="2"/>
  <c r="H3754" i="2"/>
  <c r="H3753" i="2"/>
  <c r="H3752" i="2"/>
  <c r="H3751" i="2"/>
  <c r="H3750" i="2"/>
  <c r="H3749" i="2"/>
  <c r="H3748" i="2"/>
  <c r="H3747" i="2"/>
  <c r="H3746" i="2"/>
  <c r="H3745" i="2"/>
  <c r="H3744" i="2"/>
  <c r="H3743" i="2"/>
  <c r="H3742" i="2"/>
  <c r="H3741" i="2"/>
  <c r="H3740" i="2"/>
  <c r="H3739" i="2"/>
  <c r="H3738" i="2"/>
  <c r="H3737" i="2"/>
  <c r="H3736" i="2"/>
  <c r="H3735" i="2"/>
  <c r="H3734" i="2"/>
  <c r="H3733" i="2"/>
  <c r="H3732" i="2"/>
  <c r="H3731" i="2"/>
  <c r="H3730" i="2"/>
  <c r="H3729" i="2"/>
  <c r="H3728" i="2"/>
  <c r="H3727" i="2"/>
  <c r="H3726" i="2"/>
  <c r="H3725" i="2"/>
  <c r="H3724" i="2"/>
  <c r="H3723" i="2"/>
  <c r="H3722" i="2"/>
  <c r="H3721" i="2"/>
  <c r="H3720" i="2"/>
  <c r="H3719" i="2"/>
  <c r="H3718" i="2"/>
  <c r="H3717" i="2"/>
  <c r="H3716" i="2"/>
  <c r="H3715" i="2"/>
  <c r="H3714" i="2"/>
  <c r="H3713" i="2"/>
  <c r="H3712" i="2"/>
  <c r="H3711" i="2"/>
  <c r="H3710" i="2"/>
  <c r="H3709" i="2"/>
  <c r="H3708" i="2"/>
  <c r="H3707" i="2"/>
  <c r="H3706" i="2"/>
  <c r="H3705" i="2"/>
  <c r="H3704" i="2"/>
  <c r="H3703" i="2"/>
  <c r="H3702" i="2"/>
  <c r="H3701" i="2"/>
  <c r="H3700" i="2"/>
  <c r="H3699" i="2"/>
  <c r="H3698" i="2"/>
  <c r="H3697" i="2"/>
  <c r="H3696" i="2"/>
  <c r="H3695" i="2"/>
  <c r="H3694" i="2"/>
  <c r="H3693" i="2"/>
  <c r="H3692" i="2"/>
  <c r="H3691" i="2"/>
  <c r="H3690" i="2"/>
  <c r="H3689" i="2"/>
  <c r="H3688" i="2"/>
  <c r="H3687" i="2"/>
  <c r="H3686" i="2"/>
  <c r="H3685" i="2"/>
  <c r="H3684" i="2"/>
  <c r="H3683" i="2"/>
  <c r="H3682" i="2"/>
  <c r="H3681" i="2"/>
  <c r="H3680" i="2"/>
  <c r="H3679" i="2"/>
  <c r="H3678" i="2"/>
  <c r="H3677" i="2"/>
  <c r="H3676" i="2"/>
  <c r="H3675" i="2"/>
  <c r="H3674" i="2"/>
  <c r="H3673" i="2"/>
  <c r="H3672" i="2"/>
  <c r="H3671" i="2"/>
  <c r="H3670" i="2"/>
  <c r="H3669" i="2"/>
  <c r="H3668" i="2"/>
  <c r="H3667" i="2"/>
  <c r="H3666" i="2"/>
  <c r="H3665" i="2"/>
  <c r="H3664" i="2"/>
  <c r="H3663" i="2"/>
  <c r="H3662" i="2"/>
  <c r="H3661" i="2"/>
  <c r="H3660" i="2"/>
  <c r="H3659" i="2"/>
  <c r="H3658" i="2"/>
  <c r="H3657" i="2"/>
  <c r="H3656" i="2"/>
  <c r="H3655" i="2"/>
  <c r="H3654" i="2"/>
  <c r="H3653" i="2"/>
  <c r="H3652" i="2"/>
  <c r="H3651" i="2"/>
  <c r="H3650" i="2"/>
  <c r="H3649" i="2"/>
  <c r="H3648" i="2"/>
  <c r="H3647" i="2"/>
  <c r="H3646" i="2"/>
  <c r="H3645" i="2"/>
  <c r="H3644" i="2"/>
  <c r="H3643" i="2"/>
  <c r="H3642" i="2"/>
  <c r="H3641" i="2"/>
  <c r="H3640" i="2"/>
  <c r="H3639" i="2"/>
  <c r="H3638" i="2"/>
  <c r="H3637" i="2"/>
  <c r="H3636" i="2"/>
  <c r="H3635" i="2"/>
  <c r="H3634" i="2"/>
  <c r="H3633" i="2"/>
  <c r="H3632" i="2"/>
  <c r="H3631" i="2"/>
  <c r="H3630" i="2"/>
  <c r="H3629" i="2"/>
  <c r="H3628" i="2"/>
  <c r="H3627" i="2"/>
  <c r="H3626" i="2"/>
  <c r="H3625" i="2"/>
  <c r="H3624" i="2"/>
  <c r="H3623" i="2"/>
  <c r="H3622" i="2"/>
  <c r="H3621" i="2"/>
  <c r="H3620" i="2"/>
  <c r="H3619" i="2"/>
  <c r="H3618" i="2"/>
  <c r="H3617" i="2"/>
  <c r="H3616" i="2"/>
  <c r="H3615" i="2"/>
  <c r="H3614" i="2"/>
  <c r="H3613" i="2"/>
  <c r="H3612" i="2"/>
  <c r="H3611" i="2"/>
  <c r="H3610" i="2"/>
  <c r="H3609" i="2"/>
  <c r="H3608" i="2"/>
  <c r="H3607" i="2"/>
  <c r="H3606" i="2"/>
  <c r="H3605" i="2"/>
  <c r="H3604" i="2"/>
  <c r="H3603" i="2"/>
  <c r="H3602" i="2"/>
  <c r="H3601" i="2"/>
  <c r="H3600" i="2"/>
  <c r="H3599" i="2"/>
  <c r="H3598" i="2"/>
  <c r="H3597" i="2"/>
  <c r="H3596" i="2"/>
  <c r="H3595" i="2"/>
  <c r="H3594" i="2"/>
  <c r="H3593" i="2"/>
  <c r="H3592" i="2"/>
  <c r="H3591" i="2"/>
  <c r="H3590" i="2"/>
  <c r="H3589" i="2"/>
  <c r="H3588" i="2"/>
  <c r="H3587" i="2"/>
  <c r="H3586" i="2"/>
  <c r="H3585" i="2"/>
  <c r="H3584" i="2"/>
  <c r="H3583" i="2"/>
  <c r="H3582" i="2"/>
  <c r="H3581" i="2"/>
  <c r="H3580" i="2"/>
  <c r="H3579" i="2"/>
  <c r="H3578" i="2"/>
  <c r="H3577" i="2"/>
  <c r="H3576" i="2"/>
  <c r="H3575" i="2"/>
  <c r="H3574" i="2"/>
  <c r="H3573" i="2"/>
  <c r="H3572" i="2"/>
  <c r="H3571" i="2"/>
  <c r="H3570" i="2"/>
  <c r="H3569" i="2"/>
  <c r="H3568" i="2"/>
  <c r="H3567" i="2"/>
  <c r="H3566" i="2"/>
  <c r="H3565" i="2"/>
  <c r="H3564" i="2"/>
  <c r="H3563" i="2"/>
  <c r="H3562" i="2"/>
  <c r="H3561" i="2"/>
  <c r="H3560" i="2"/>
  <c r="H3559" i="2"/>
  <c r="H3558" i="2"/>
  <c r="H3557" i="2"/>
  <c r="H3556" i="2"/>
  <c r="H3555" i="2"/>
  <c r="H3554" i="2"/>
  <c r="H3553" i="2"/>
  <c r="H3552" i="2"/>
  <c r="H3551" i="2"/>
  <c r="H3550" i="2"/>
  <c r="H3549" i="2"/>
  <c r="H3548" i="2"/>
  <c r="H3547" i="2"/>
  <c r="H3546" i="2"/>
  <c r="H3545" i="2"/>
  <c r="H3544" i="2"/>
  <c r="H3543" i="2"/>
  <c r="H3542" i="2"/>
  <c r="H3541" i="2"/>
  <c r="H3540" i="2"/>
  <c r="H3539" i="2"/>
  <c r="H3538" i="2"/>
  <c r="H3537" i="2"/>
  <c r="H3536" i="2"/>
  <c r="H3535" i="2"/>
  <c r="H3534" i="2"/>
  <c r="H3533" i="2"/>
  <c r="H3532" i="2"/>
  <c r="H3531" i="2"/>
  <c r="H3530" i="2"/>
  <c r="H3529" i="2"/>
  <c r="H3528" i="2"/>
  <c r="H3527" i="2"/>
  <c r="H3526" i="2"/>
  <c r="H3525" i="2"/>
  <c r="H3524" i="2"/>
  <c r="H3523" i="2"/>
  <c r="H3522" i="2"/>
  <c r="H3521" i="2"/>
  <c r="H3520" i="2"/>
  <c r="H3519" i="2"/>
  <c r="H3518" i="2"/>
  <c r="H3517" i="2"/>
  <c r="H3516" i="2"/>
  <c r="H3515" i="2"/>
  <c r="H3514" i="2"/>
  <c r="H3513" i="2"/>
  <c r="H3512" i="2"/>
  <c r="H3511" i="2"/>
  <c r="H3510" i="2"/>
  <c r="H3509" i="2"/>
  <c r="H3508" i="2"/>
  <c r="H3507" i="2"/>
  <c r="H3506" i="2"/>
  <c r="H3505" i="2"/>
  <c r="H3504" i="2"/>
  <c r="H3503" i="2"/>
  <c r="H3502" i="2"/>
  <c r="H3501" i="2"/>
  <c r="H3500" i="2"/>
  <c r="H3499" i="2"/>
  <c r="H3498" i="2"/>
  <c r="H3497" i="2"/>
  <c r="H3496" i="2"/>
  <c r="H3495" i="2"/>
  <c r="H3494" i="2"/>
  <c r="H3493" i="2"/>
  <c r="H3492" i="2"/>
  <c r="H3491" i="2"/>
  <c r="H3490" i="2"/>
  <c r="H3489" i="2"/>
  <c r="H3488" i="2"/>
  <c r="H3487" i="2"/>
  <c r="H3486" i="2"/>
  <c r="H3485" i="2"/>
  <c r="H3484" i="2"/>
  <c r="H3483" i="2"/>
  <c r="H3482" i="2"/>
  <c r="H3481" i="2"/>
  <c r="H3480" i="2"/>
  <c r="H3479" i="2"/>
  <c r="H3478" i="2"/>
  <c r="H3477" i="2"/>
  <c r="H3476" i="2"/>
  <c r="H3475" i="2"/>
  <c r="H3474" i="2"/>
  <c r="H3473" i="2"/>
  <c r="H3472" i="2"/>
  <c r="H3471" i="2"/>
  <c r="H3470" i="2"/>
  <c r="H3469" i="2"/>
  <c r="H3468" i="2"/>
  <c r="H3467" i="2"/>
  <c r="H3466" i="2"/>
  <c r="H3465" i="2"/>
  <c r="H3464" i="2"/>
  <c r="H3463" i="2"/>
  <c r="H3462" i="2"/>
  <c r="H3461" i="2"/>
  <c r="H3460" i="2"/>
  <c r="H3459" i="2"/>
  <c r="H3458" i="2"/>
  <c r="H3457" i="2"/>
  <c r="H3456" i="2"/>
  <c r="H3455" i="2"/>
  <c r="H3454" i="2"/>
  <c r="H3453" i="2"/>
  <c r="H3452" i="2"/>
  <c r="H3451" i="2"/>
  <c r="H3450" i="2"/>
  <c r="H3449" i="2"/>
  <c r="H3448" i="2"/>
  <c r="H3447" i="2"/>
  <c r="H3446" i="2"/>
  <c r="H3445" i="2"/>
  <c r="H3444" i="2"/>
  <c r="H3443" i="2"/>
  <c r="H3442" i="2"/>
  <c r="H3441" i="2"/>
  <c r="H3440" i="2"/>
  <c r="H3439" i="2"/>
  <c r="H3438" i="2"/>
  <c r="H3437" i="2"/>
  <c r="H3436" i="2"/>
  <c r="H3435" i="2"/>
  <c r="H3434" i="2"/>
  <c r="H3433" i="2"/>
  <c r="H3432" i="2"/>
  <c r="H3431" i="2"/>
  <c r="H3430" i="2"/>
  <c r="H3429" i="2"/>
  <c r="H3428" i="2"/>
  <c r="H3427" i="2"/>
  <c r="H3426" i="2"/>
  <c r="H3425" i="2"/>
  <c r="H3424" i="2"/>
  <c r="H3423" i="2"/>
  <c r="H3422" i="2"/>
  <c r="H3421" i="2"/>
  <c r="H3420" i="2"/>
  <c r="H3419" i="2"/>
  <c r="H3418" i="2"/>
  <c r="H3417" i="2"/>
  <c r="H3416" i="2"/>
  <c r="H3415" i="2"/>
  <c r="H3414" i="2"/>
  <c r="H3413" i="2"/>
  <c r="H3412" i="2"/>
  <c r="H3411" i="2"/>
  <c r="H3410" i="2"/>
  <c r="H3409" i="2"/>
  <c r="H3408" i="2"/>
  <c r="H3407" i="2"/>
  <c r="H3406" i="2"/>
  <c r="H3405" i="2"/>
  <c r="H3404" i="2"/>
  <c r="H3403" i="2"/>
  <c r="H3402" i="2"/>
  <c r="H3401" i="2"/>
  <c r="H3400" i="2"/>
  <c r="H3399" i="2"/>
  <c r="H3398" i="2"/>
  <c r="H3397" i="2"/>
  <c r="H3396" i="2"/>
  <c r="H3395" i="2"/>
  <c r="H3394" i="2"/>
  <c r="H3393" i="2"/>
  <c r="H3392" i="2"/>
  <c r="H3391" i="2"/>
  <c r="H3390" i="2"/>
  <c r="H3389" i="2"/>
  <c r="H3388" i="2"/>
  <c r="H3387" i="2"/>
  <c r="H3386" i="2"/>
  <c r="H3385" i="2"/>
  <c r="H3384" i="2"/>
  <c r="H3383" i="2"/>
  <c r="H3382" i="2"/>
  <c r="H3381" i="2"/>
  <c r="H3380" i="2"/>
  <c r="H3379" i="2"/>
  <c r="H3378" i="2"/>
  <c r="H3377" i="2"/>
  <c r="H3376" i="2"/>
  <c r="H3375" i="2"/>
  <c r="H3374" i="2"/>
  <c r="H3373" i="2"/>
  <c r="H3372" i="2"/>
  <c r="H3371" i="2"/>
  <c r="H3370" i="2"/>
  <c r="H3369" i="2"/>
  <c r="H3368" i="2"/>
  <c r="H3367" i="2"/>
  <c r="H3366" i="2"/>
  <c r="H3365" i="2"/>
  <c r="H3364" i="2"/>
  <c r="H3363" i="2"/>
  <c r="H3362" i="2"/>
  <c r="H3361" i="2"/>
  <c r="H3360" i="2"/>
  <c r="H3359" i="2"/>
  <c r="H3358" i="2"/>
  <c r="H3357" i="2"/>
  <c r="H3356" i="2"/>
  <c r="H3355" i="2"/>
  <c r="H3354" i="2"/>
  <c r="H3353" i="2"/>
  <c r="H3352" i="2"/>
  <c r="H3351" i="2"/>
  <c r="H3350" i="2"/>
  <c r="H3349" i="2"/>
  <c r="H3348" i="2"/>
  <c r="H3347" i="2"/>
  <c r="H3346" i="2"/>
  <c r="H3345" i="2"/>
  <c r="H3344" i="2"/>
  <c r="H3343" i="2"/>
  <c r="H3342" i="2"/>
  <c r="H3341" i="2"/>
  <c r="H3340" i="2"/>
  <c r="H3339" i="2"/>
  <c r="H3338" i="2"/>
  <c r="H3337" i="2"/>
  <c r="H3336" i="2"/>
  <c r="H3335" i="2"/>
  <c r="H3334" i="2"/>
  <c r="H3333" i="2"/>
  <c r="H3332" i="2"/>
  <c r="H3331" i="2"/>
  <c r="H3330" i="2"/>
  <c r="H3329" i="2"/>
  <c r="H3328" i="2"/>
  <c r="H3327" i="2"/>
  <c r="H3326" i="2"/>
  <c r="H3325" i="2"/>
  <c r="H3324" i="2"/>
  <c r="H3323" i="2"/>
  <c r="H3322" i="2"/>
  <c r="H3321" i="2"/>
  <c r="H3320" i="2"/>
  <c r="H3319" i="2"/>
  <c r="H3318" i="2"/>
  <c r="H3317" i="2"/>
  <c r="H3316" i="2"/>
  <c r="H3315" i="2"/>
  <c r="H3314" i="2"/>
  <c r="H3313" i="2"/>
  <c r="H3312" i="2"/>
  <c r="H3311" i="2"/>
  <c r="H3310" i="2"/>
  <c r="H3309" i="2"/>
  <c r="H3308" i="2"/>
  <c r="H3307" i="2"/>
  <c r="H3306" i="2"/>
  <c r="H3305" i="2"/>
  <c r="H3304" i="2"/>
  <c r="H3303" i="2"/>
  <c r="H3302" i="2"/>
  <c r="H3301" i="2"/>
  <c r="H3300" i="2"/>
  <c r="H3299" i="2"/>
  <c r="H3298" i="2"/>
  <c r="H3297" i="2"/>
  <c r="H3296" i="2"/>
  <c r="H3295" i="2"/>
  <c r="H3294" i="2"/>
  <c r="H3293" i="2"/>
  <c r="H3292" i="2"/>
  <c r="H3291" i="2"/>
  <c r="H3290" i="2"/>
  <c r="H3289" i="2"/>
  <c r="H3288" i="2"/>
  <c r="H3287" i="2"/>
  <c r="H3286" i="2"/>
  <c r="H3285" i="2"/>
  <c r="H3284" i="2"/>
  <c r="H3283" i="2"/>
  <c r="H3282" i="2"/>
  <c r="H3281" i="2"/>
  <c r="H3280" i="2"/>
  <c r="H3279" i="2"/>
  <c r="H3278" i="2"/>
  <c r="H3277" i="2"/>
  <c r="H3276" i="2"/>
  <c r="H3275" i="2"/>
  <c r="H3274" i="2"/>
  <c r="H3273" i="2"/>
  <c r="H3272" i="2"/>
  <c r="H3271" i="2"/>
  <c r="H3270" i="2"/>
  <c r="H3269" i="2"/>
  <c r="H3268" i="2"/>
  <c r="H3267" i="2"/>
  <c r="H3266" i="2"/>
  <c r="H3265" i="2"/>
  <c r="H3264" i="2"/>
  <c r="H3263" i="2"/>
  <c r="H3262" i="2"/>
  <c r="H3261" i="2"/>
  <c r="H3260" i="2"/>
  <c r="H3259" i="2"/>
  <c r="H3258" i="2"/>
  <c r="H3257" i="2"/>
  <c r="H3256" i="2"/>
  <c r="H3255" i="2"/>
  <c r="H3254" i="2"/>
  <c r="H3253" i="2"/>
  <c r="H3252" i="2"/>
  <c r="H3251" i="2"/>
  <c r="H3250" i="2"/>
  <c r="H3249" i="2"/>
  <c r="H3248" i="2"/>
  <c r="H3247" i="2"/>
  <c r="H3246" i="2"/>
  <c r="H3245" i="2"/>
  <c r="H3244" i="2"/>
  <c r="H3243" i="2"/>
  <c r="H3242" i="2"/>
  <c r="H3241" i="2"/>
  <c r="H3240" i="2"/>
  <c r="H3239" i="2"/>
  <c r="H3238" i="2"/>
  <c r="H3237" i="2"/>
  <c r="H3236" i="2"/>
  <c r="H3235" i="2"/>
  <c r="H3234" i="2"/>
  <c r="H3233" i="2"/>
  <c r="H3232" i="2"/>
  <c r="H3231" i="2"/>
  <c r="H3230" i="2"/>
  <c r="H3229" i="2"/>
  <c r="H3228" i="2"/>
  <c r="H3227" i="2"/>
  <c r="H3226" i="2"/>
  <c r="H3225" i="2"/>
  <c r="H3224" i="2"/>
  <c r="H3223" i="2"/>
  <c r="H3222" i="2"/>
  <c r="H3221" i="2"/>
  <c r="H3220" i="2"/>
  <c r="H3219" i="2"/>
  <c r="H3218" i="2"/>
  <c r="H3217" i="2"/>
  <c r="H3216" i="2"/>
  <c r="H3215" i="2"/>
  <c r="H3214" i="2"/>
  <c r="H3213" i="2"/>
  <c r="H3212" i="2"/>
  <c r="H3211" i="2"/>
  <c r="H3210" i="2"/>
  <c r="H3209" i="2"/>
  <c r="H3208" i="2"/>
  <c r="H3207" i="2"/>
  <c r="H3206" i="2"/>
  <c r="H3205" i="2"/>
  <c r="H3204" i="2"/>
  <c r="H3203" i="2"/>
  <c r="H3202" i="2"/>
  <c r="H3201" i="2"/>
  <c r="H3200" i="2"/>
  <c r="H3199" i="2"/>
  <c r="H3198" i="2"/>
  <c r="H3197" i="2"/>
  <c r="H3196" i="2"/>
  <c r="H3195" i="2"/>
  <c r="H3194" i="2"/>
  <c r="H3193" i="2"/>
  <c r="H3192" i="2"/>
  <c r="H3191" i="2"/>
  <c r="H3190" i="2"/>
  <c r="H3189" i="2"/>
  <c r="H3188" i="2"/>
  <c r="H3187" i="2"/>
  <c r="H3186" i="2"/>
  <c r="H3185" i="2"/>
  <c r="H3184" i="2"/>
  <c r="H3183" i="2"/>
  <c r="H3182" i="2"/>
  <c r="H3181" i="2"/>
  <c r="H3180" i="2"/>
  <c r="H3179" i="2"/>
  <c r="H3178" i="2"/>
  <c r="H3177" i="2"/>
  <c r="H3176" i="2"/>
  <c r="H3175" i="2"/>
  <c r="H3174" i="2"/>
  <c r="H3173" i="2"/>
  <c r="H3172" i="2"/>
  <c r="H3171" i="2"/>
  <c r="H3170" i="2"/>
  <c r="H3169" i="2"/>
  <c r="H3168" i="2"/>
  <c r="H3167" i="2"/>
  <c r="H3166" i="2"/>
  <c r="H3165" i="2"/>
  <c r="H3164" i="2"/>
  <c r="H3163" i="2"/>
  <c r="H3162" i="2"/>
  <c r="H3161" i="2"/>
  <c r="H3160" i="2"/>
  <c r="H3159" i="2"/>
  <c r="H3158" i="2"/>
  <c r="H3157" i="2"/>
  <c r="H3156" i="2"/>
  <c r="H3155" i="2"/>
  <c r="H3154" i="2"/>
  <c r="H3153" i="2"/>
  <c r="H3152" i="2"/>
  <c r="H3151" i="2"/>
  <c r="H3150" i="2"/>
  <c r="H3149" i="2"/>
  <c r="H3148" i="2"/>
  <c r="H3147" i="2"/>
  <c r="H3146" i="2"/>
  <c r="H3145" i="2"/>
  <c r="H3144" i="2"/>
  <c r="H3143" i="2"/>
  <c r="H3142" i="2"/>
  <c r="H3141" i="2"/>
  <c r="H3140" i="2"/>
  <c r="H3139" i="2"/>
  <c r="H3138" i="2"/>
  <c r="H3137" i="2"/>
  <c r="H3136" i="2"/>
  <c r="H3135" i="2"/>
  <c r="H3134" i="2"/>
  <c r="H3133" i="2"/>
  <c r="H3132" i="2"/>
  <c r="H3131" i="2"/>
  <c r="H3130" i="2"/>
  <c r="H3129" i="2"/>
  <c r="H3128" i="2"/>
  <c r="H3127" i="2"/>
  <c r="H3126" i="2"/>
  <c r="H3125" i="2"/>
  <c r="H3124" i="2"/>
  <c r="H3123" i="2"/>
  <c r="H3122" i="2"/>
  <c r="H3121" i="2"/>
  <c r="H3120" i="2"/>
  <c r="H3119" i="2"/>
  <c r="H3118" i="2"/>
  <c r="H3117" i="2"/>
  <c r="H3116" i="2"/>
  <c r="H3115" i="2"/>
  <c r="H3114" i="2"/>
  <c r="H3113" i="2"/>
  <c r="H3112" i="2"/>
  <c r="H3111" i="2"/>
  <c r="H3110" i="2"/>
  <c r="H3109" i="2"/>
  <c r="H3108" i="2"/>
  <c r="H3107" i="2"/>
  <c r="H3106" i="2"/>
  <c r="H3105" i="2"/>
  <c r="H3104" i="2"/>
  <c r="H3103" i="2"/>
  <c r="H3102" i="2"/>
  <c r="H3101" i="2"/>
  <c r="H3100" i="2"/>
  <c r="H3099" i="2"/>
  <c r="H3098" i="2"/>
  <c r="H3097" i="2"/>
  <c r="H3096" i="2"/>
  <c r="H3095" i="2"/>
  <c r="H3094" i="2"/>
  <c r="H3093" i="2"/>
  <c r="H3092" i="2"/>
  <c r="H3091" i="2"/>
  <c r="H3090" i="2"/>
  <c r="H3089" i="2"/>
  <c r="H3088" i="2"/>
  <c r="H3087" i="2"/>
  <c r="H3086" i="2"/>
  <c r="H3085" i="2"/>
  <c r="H3084" i="2"/>
  <c r="H3083" i="2"/>
  <c r="H3082" i="2"/>
  <c r="H3081" i="2"/>
  <c r="H3080" i="2"/>
  <c r="H3079" i="2"/>
  <c r="H3078" i="2"/>
  <c r="H3077" i="2"/>
  <c r="H3076" i="2"/>
  <c r="H3075" i="2"/>
  <c r="H3074" i="2"/>
  <c r="H3073" i="2"/>
  <c r="H3072" i="2"/>
  <c r="H3071" i="2"/>
  <c r="H3070" i="2"/>
  <c r="H3069" i="2"/>
  <c r="H3068" i="2"/>
  <c r="H3067" i="2"/>
  <c r="H3066" i="2"/>
  <c r="H3065" i="2"/>
  <c r="H3064" i="2"/>
  <c r="H3063" i="2"/>
  <c r="H3062" i="2"/>
  <c r="H3061" i="2"/>
  <c r="H3060" i="2"/>
  <c r="H3059" i="2"/>
  <c r="H3058" i="2"/>
  <c r="H3057" i="2"/>
  <c r="H3056" i="2"/>
  <c r="H3055" i="2"/>
  <c r="H3054" i="2"/>
  <c r="H3053" i="2"/>
  <c r="H3052" i="2"/>
  <c r="H3051" i="2"/>
  <c r="H3050" i="2"/>
  <c r="H3049" i="2"/>
  <c r="H3048" i="2"/>
  <c r="H3047" i="2"/>
  <c r="H3046" i="2"/>
  <c r="H3045" i="2"/>
  <c r="H3044" i="2"/>
  <c r="H3043" i="2"/>
  <c r="H3042" i="2"/>
  <c r="H3041" i="2"/>
  <c r="H3040" i="2"/>
  <c r="H3039" i="2"/>
  <c r="H3038" i="2"/>
  <c r="H3037" i="2"/>
  <c r="H3036" i="2"/>
  <c r="H3035" i="2"/>
  <c r="H3034" i="2"/>
  <c r="H3033" i="2"/>
  <c r="H3032" i="2"/>
  <c r="H3031" i="2"/>
  <c r="H3030" i="2"/>
  <c r="H3029" i="2"/>
  <c r="H3028" i="2"/>
  <c r="H3027" i="2"/>
  <c r="H3026" i="2"/>
  <c r="H3025" i="2"/>
  <c r="H3024" i="2"/>
  <c r="H3023" i="2"/>
  <c r="H3022" i="2"/>
  <c r="H3021" i="2"/>
  <c r="H3020" i="2"/>
  <c r="H3019" i="2"/>
  <c r="H3018" i="2"/>
  <c r="H3017" i="2"/>
  <c r="H3016" i="2"/>
  <c r="H3015" i="2"/>
  <c r="H3014" i="2"/>
  <c r="H3013" i="2"/>
  <c r="H3012" i="2"/>
  <c r="H3011" i="2"/>
  <c r="H3010" i="2"/>
  <c r="H3009" i="2"/>
  <c r="H3008" i="2"/>
  <c r="H3007" i="2"/>
  <c r="H3006" i="2"/>
  <c r="H3005" i="2"/>
  <c r="H3004" i="2"/>
  <c r="H3003" i="2"/>
  <c r="H3002" i="2"/>
  <c r="H3001" i="2"/>
  <c r="H3000" i="2"/>
  <c r="H2999" i="2"/>
  <c r="H2998" i="2"/>
  <c r="H2997" i="2"/>
  <c r="H2996" i="2"/>
  <c r="H2995" i="2"/>
  <c r="H2994" i="2"/>
  <c r="H2993" i="2"/>
  <c r="H2992" i="2"/>
  <c r="H2991" i="2"/>
  <c r="H2990" i="2"/>
  <c r="H2989" i="2"/>
  <c r="H2988" i="2"/>
  <c r="H2987" i="2"/>
  <c r="H2986" i="2"/>
  <c r="H2985" i="2"/>
  <c r="H2984" i="2"/>
  <c r="H2983" i="2"/>
  <c r="H2982" i="2"/>
  <c r="H2981" i="2"/>
  <c r="H2980" i="2"/>
  <c r="H2979" i="2"/>
  <c r="H2978" i="2"/>
  <c r="H2977" i="2"/>
  <c r="H2976" i="2"/>
  <c r="H2975" i="2"/>
  <c r="H2974" i="2"/>
  <c r="H2973" i="2"/>
  <c r="H2972" i="2"/>
  <c r="H2971" i="2"/>
  <c r="H2970" i="2"/>
  <c r="H2969" i="2"/>
  <c r="H2968" i="2"/>
  <c r="H2967" i="2"/>
  <c r="H2966" i="2"/>
  <c r="H2965" i="2"/>
  <c r="H2964" i="2"/>
  <c r="H2963" i="2"/>
  <c r="H2962" i="2"/>
  <c r="H2961" i="2"/>
  <c r="H2960" i="2"/>
  <c r="H2959" i="2"/>
  <c r="H2958" i="2"/>
  <c r="H2957" i="2"/>
  <c r="H2956" i="2"/>
  <c r="H2955" i="2"/>
  <c r="H2954" i="2"/>
  <c r="H2953" i="2"/>
  <c r="H2952" i="2"/>
  <c r="H2951" i="2"/>
  <c r="H2950" i="2"/>
  <c r="H2949" i="2"/>
  <c r="H2948" i="2"/>
  <c r="H2947" i="2"/>
  <c r="H2946" i="2"/>
  <c r="H2945" i="2"/>
  <c r="H2944" i="2"/>
  <c r="H2943" i="2"/>
  <c r="H2942" i="2"/>
  <c r="H2941" i="2"/>
  <c r="H2940" i="2"/>
  <c r="H2939" i="2"/>
  <c r="H2938" i="2"/>
  <c r="H2937" i="2"/>
  <c r="H2936" i="2"/>
  <c r="H2935" i="2"/>
  <c r="H2934" i="2"/>
  <c r="H2933" i="2"/>
  <c r="H2932" i="2"/>
  <c r="H2931" i="2"/>
  <c r="H2930" i="2"/>
  <c r="H2929" i="2"/>
  <c r="H2928" i="2"/>
  <c r="H2927" i="2"/>
  <c r="H2926" i="2"/>
  <c r="H2925" i="2"/>
  <c r="H2924" i="2"/>
  <c r="H2923" i="2"/>
  <c r="H2922" i="2"/>
  <c r="H2921" i="2"/>
  <c r="H2920" i="2"/>
  <c r="H2919" i="2"/>
  <c r="H2918" i="2"/>
  <c r="H2917" i="2"/>
  <c r="H2916" i="2"/>
  <c r="H2915" i="2"/>
  <c r="H2914" i="2"/>
  <c r="H2913" i="2"/>
  <c r="H2912" i="2"/>
  <c r="H2911" i="2"/>
  <c r="H2910" i="2"/>
  <c r="H2909" i="2"/>
  <c r="H2908" i="2"/>
  <c r="H2907" i="2"/>
  <c r="H2906" i="2"/>
  <c r="H2905" i="2"/>
  <c r="H2904" i="2"/>
  <c r="H2903" i="2"/>
  <c r="H2902" i="2"/>
  <c r="H2901" i="2"/>
  <c r="H2900" i="2"/>
  <c r="H2899" i="2"/>
  <c r="H2898" i="2"/>
  <c r="H2897" i="2"/>
  <c r="H2896" i="2"/>
  <c r="H2895" i="2"/>
  <c r="H2894" i="2"/>
  <c r="H2893" i="2"/>
  <c r="H2892" i="2"/>
  <c r="H2891" i="2"/>
  <c r="H2890" i="2"/>
  <c r="H2889" i="2"/>
  <c r="H2888" i="2"/>
  <c r="H2887" i="2"/>
  <c r="H2886" i="2"/>
  <c r="H2885" i="2"/>
  <c r="H2884" i="2"/>
  <c r="H2883" i="2"/>
  <c r="H2882" i="2"/>
  <c r="H2881" i="2"/>
  <c r="H2880" i="2"/>
  <c r="H2879" i="2"/>
  <c r="H2878" i="2"/>
  <c r="H2877" i="2"/>
  <c r="H2876" i="2"/>
  <c r="H2875" i="2"/>
  <c r="H2874" i="2"/>
  <c r="H2873" i="2"/>
  <c r="H2872" i="2"/>
  <c r="H2871" i="2"/>
  <c r="H2870" i="2"/>
  <c r="H2869" i="2"/>
  <c r="H2868" i="2"/>
  <c r="H2867" i="2"/>
  <c r="H2866" i="2"/>
  <c r="H2865" i="2"/>
  <c r="H2864" i="2"/>
  <c r="H2863" i="2"/>
  <c r="H2862" i="2"/>
  <c r="H2861" i="2"/>
  <c r="H2860" i="2"/>
  <c r="H2859" i="2"/>
  <c r="H2858" i="2"/>
  <c r="H2857" i="2"/>
  <c r="H2856" i="2"/>
  <c r="H2855" i="2"/>
  <c r="H2854" i="2"/>
  <c r="H2853" i="2"/>
  <c r="H2852" i="2"/>
  <c r="H2851" i="2"/>
  <c r="H2850" i="2"/>
  <c r="H2849" i="2"/>
  <c r="H2848" i="2"/>
  <c r="H2847" i="2"/>
  <c r="H2846" i="2"/>
  <c r="H2845" i="2"/>
  <c r="H2844" i="2"/>
  <c r="H2843" i="2"/>
  <c r="H2842" i="2"/>
  <c r="H2841" i="2"/>
  <c r="H2840" i="2"/>
  <c r="H2839" i="2"/>
  <c r="H2838" i="2"/>
  <c r="H2837" i="2"/>
  <c r="H2836" i="2"/>
  <c r="H2835" i="2"/>
  <c r="H2834" i="2"/>
  <c r="H2833" i="2"/>
  <c r="H2832" i="2"/>
  <c r="H2831" i="2"/>
  <c r="H2830" i="2"/>
  <c r="H2829" i="2"/>
  <c r="H2828" i="2"/>
  <c r="H2827" i="2"/>
  <c r="H2826" i="2"/>
  <c r="H2825" i="2"/>
  <c r="H2824" i="2"/>
  <c r="H2823" i="2"/>
  <c r="H2822" i="2"/>
  <c r="H2821" i="2"/>
  <c r="H2820" i="2"/>
  <c r="H2819" i="2"/>
  <c r="H2818" i="2"/>
  <c r="H2817" i="2"/>
  <c r="H2816" i="2"/>
  <c r="H2815" i="2"/>
  <c r="H2814" i="2"/>
  <c r="H2813" i="2"/>
  <c r="H2812" i="2"/>
  <c r="H2811" i="2"/>
  <c r="H2810" i="2"/>
  <c r="H2809" i="2"/>
  <c r="H2808" i="2"/>
  <c r="H2807" i="2"/>
  <c r="H2806" i="2"/>
  <c r="H2805" i="2"/>
  <c r="H2804" i="2"/>
  <c r="H2803" i="2"/>
  <c r="H2802" i="2"/>
  <c r="H2801" i="2"/>
  <c r="H2800" i="2"/>
  <c r="H2799" i="2"/>
  <c r="H2798" i="2"/>
  <c r="H2797" i="2"/>
  <c r="H2796" i="2"/>
  <c r="H2795" i="2"/>
  <c r="H2794" i="2"/>
  <c r="H2793" i="2"/>
  <c r="H2792" i="2"/>
  <c r="H2791" i="2"/>
  <c r="H2790" i="2"/>
  <c r="H2789" i="2"/>
  <c r="H2788" i="2"/>
  <c r="H2787" i="2"/>
  <c r="H2786" i="2"/>
  <c r="H2785" i="2"/>
  <c r="H2784" i="2"/>
  <c r="H2783" i="2"/>
  <c r="H2782" i="2"/>
  <c r="H2781" i="2"/>
  <c r="H2780" i="2"/>
  <c r="H2779" i="2"/>
  <c r="H2778" i="2"/>
  <c r="H2777" i="2"/>
  <c r="H2776" i="2"/>
  <c r="H2775" i="2"/>
  <c r="H2774" i="2"/>
  <c r="H2773" i="2"/>
  <c r="H2772" i="2"/>
  <c r="H2771" i="2"/>
  <c r="H2770" i="2"/>
  <c r="H2769" i="2"/>
  <c r="H2768" i="2"/>
  <c r="H2767" i="2"/>
  <c r="H2766" i="2"/>
  <c r="H2765" i="2"/>
  <c r="H2764" i="2"/>
  <c r="H2763" i="2"/>
  <c r="H2762" i="2"/>
  <c r="H2761" i="2"/>
  <c r="H2760" i="2"/>
  <c r="H2759" i="2"/>
  <c r="H2758" i="2"/>
  <c r="H2757" i="2"/>
  <c r="H2756" i="2"/>
  <c r="H2755" i="2"/>
  <c r="H2754" i="2"/>
  <c r="H2753" i="2"/>
  <c r="H2752" i="2"/>
  <c r="H2751" i="2"/>
  <c r="H2750" i="2"/>
  <c r="H2749" i="2"/>
  <c r="H2748" i="2"/>
  <c r="H2747" i="2"/>
  <c r="H2746" i="2"/>
  <c r="H2745" i="2"/>
  <c r="H2744" i="2"/>
  <c r="H2743" i="2"/>
  <c r="H2742" i="2"/>
  <c r="H2741" i="2"/>
  <c r="H2740" i="2"/>
  <c r="H2739" i="2"/>
  <c r="H2738" i="2"/>
  <c r="H2737" i="2"/>
  <c r="H2736" i="2"/>
  <c r="H2735" i="2"/>
  <c r="H2734" i="2"/>
  <c r="H2733" i="2"/>
  <c r="H2732" i="2"/>
  <c r="H2731" i="2"/>
  <c r="H2730" i="2"/>
  <c r="H2729" i="2"/>
  <c r="H2728" i="2"/>
  <c r="H2727" i="2"/>
  <c r="H2726" i="2"/>
  <c r="H2725" i="2"/>
  <c r="H2724" i="2"/>
  <c r="H2723" i="2"/>
  <c r="H2722" i="2"/>
  <c r="H2721" i="2"/>
  <c r="H2720" i="2"/>
  <c r="H2719" i="2"/>
  <c r="H2718" i="2"/>
  <c r="H2717" i="2"/>
  <c r="H2716" i="2"/>
  <c r="H2715" i="2"/>
  <c r="H2714" i="2"/>
  <c r="H2713" i="2"/>
  <c r="H2712" i="2"/>
  <c r="H2711" i="2"/>
  <c r="H2710" i="2"/>
  <c r="H2709" i="2"/>
  <c r="H2708" i="2"/>
  <c r="H2707" i="2"/>
  <c r="H2706" i="2"/>
  <c r="H2705" i="2"/>
  <c r="H2704" i="2"/>
  <c r="H2703" i="2"/>
  <c r="H2702" i="2"/>
  <c r="H2701" i="2"/>
  <c r="H2700" i="2"/>
  <c r="H2699" i="2"/>
  <c r="H2698" i="2"/>
  <c r="H2697" i="2"/>
  <c r="H2696" i="2"/>
  <c r="H2695" i="2"/>
  <c r="H2694" i="2"/>
  <c r="H2693" i="2"/>
  <c r="H2692" i="2"/>
  <c r="H2691" i="2"/>
  <c r="H2690" i="2"/>
  <c r="H2689" i="2"/>
  <c r="H2688" i="2"/>
  <c r="H2687" i="2"/>
  <c r="H2686" i="2"/>
  <c r="H2685" i="2"/>
  <c r="H2684" i="2"/>
  <c r="H2683" i="2"/>
  <c r="H2682" i="2"/>
  <c r="H2681" i="2"/>
  <c r="H2680" i="2"/>
  <c r="H2679" i="2"/>
  <c r="H2678" i="2"/>
  <c r="H2677" i="2"/>
  <c r="H2676" i="2"/>
  <c r="H2675" i="2"/>
  <c r="H2674" i="2"/>
  <c r="H2673" i="2"/>
  <c r="H2672" i="2"/>
  <c r="H2671" i="2"/>
  <c r="H2670" i="2"/>
  <c r="H2669" i="2"/>
  <c r="H2668" i="2"/>
  <c r="H2667" i="2"/>
  <c r="H2666" i="2"/>
  <c r="H2665" i="2"/>
  <c r="H2664" i="2"/>
  <c r="H2663" i="2"/>
  <c r="H2662" i="2"/>
  <c r="H2661" i="2"/>
  <c r="H2660" i="2"/>
  <c r="H2659" i="2"/>
  <c r="H2658" i="2"/>
  <c r="H2657" i="2"/>
  <c r="H2656" i="2"/>
  <c r="H2655" i="2"/>
  <c r="H2654" i="2"/>
  <c r="H2653" i="2"/>
  <c r="H2652" i="2"/>
  <c r="H2651" i="2"/>
  <c r="H2650" i="2"/>
  <c r="H2649" i="2"/>
  <c r="H2648" i="2"/>
  <c r="H2647" i="2"/>
  <c r="H2646" i="2"/>
  <c r="H2645" i="2"/>
  <c r="H2644" i="2"/>
  <c r="H2643" i="2"/>
  <c r="H2642" i="2"/>
  <c r="H2641" i="2"/>
  <c r="H2640" i="2"/>
  <c r="H2639" i="2"/>
  <c r="H2638" i="2"/>
  <c r="H2637" i="2"/>
  <c r="H2636" i="2"/>
  <c r="H2635" i="2"/>
  <c r="H2634" i="2"/>
  <c r="H2633" i="2"/>
  <c r="H2632" i="2"/>
  <c r="H2631" i="2"/>
  <c r="H2630" i="2"/>
  <c r="H2629" i="2"/>
  <c r="H2628" i="2"/>
  <c r="H2627" i="2"/>
  <c r="H2626" i="2"/>
  <c r="H2625" i="2"/>
  <c r="H2624" i="2"/>
  <c r="H2623" i="2"/>
  <c r="H2622" i="2"/>
  <c r="H2621" i="2"/>
  <c r="H2620" i="2"/>
  <c r="H2619" i="2"/>
  <c r="H2618" i="2"/>
  <c r="H2617" i="2"/>
  <c r="H2616" i="2"/>
  <c r="H2615" i="2"/>
  <c r="H2614" i="2"/>
  <c r="H2613" i="2"/>
  <c r="H2612" i="2"/>
  <c r="H2611" i="2"/>
  <c r="H2610" i="2"/>
  <c r="H2609" i="2"/>
  <c r="H2608" i="2"/>
  <c r="H2607" i="2"/>
  <c r="H2606" i="2"/>
  <c r="H2605" i="2"/>
  <c r="H2604" i="2"/>
  <c r="H2603" i="2"/>
  <c r="H2602" i="2"/>
  <c r="H2601" i="2"/>
  <c r="H2600" i="2"/>
  <c r="H2599" i="2"/>
  <c r="H2598" i="2"/>
  <c r="H2597" i="2"/>
  <c r="H2596" i="2"/>
  <c r="H2595" i="2"/>
  <c r="H2594" i="2"/>
  <c r="H2593" i="2"/>
  <c r="H2592" i="2"/>
  <c r="H2591" i="2"/>
  <c r="H2590" i="2"/>
  <c r="H2589" i="2"/>
  <c r="H2588" i="2"/>
  <c r="H2587" i="2"/>
  <c r="H2586" i="2"/>
  <c r="H2585" i="2"/>
  <c r="H2584" i="2"/>
  <c r="H2583" i="2"/>
  <c r="H2582" i="2"/>
  <c r="H2581" i="2"/>
  <c r="H2580" i="2"/>
  <c r="H2579" i="2"/>
  <c r="H2578" i="2"/>
  <c r="H2577" i="2"/>
  <c r="H2576" i="2"/>
  <c r="H2575" i="2"/>
  <c r="H2574" i="2"/>
  <c r="H2573" i="2"/>
  <c r="H2572" i="2"/>
  <c r="H2571" i="2"/>
  <c r="H2570" i="2"/>
  <c r="H2569" i="2"/>
  <c r="H2568" i="2"/>
  <c r="H2567" i="2"/>
  <c r="H2566" i="2"/>
  <c r="H2565" i="2"/>
  <c r="H2564" i="2"/>
  <c r="H2563" i="2"/>
  <c r="H2562" i="2"/>
  <c r="H2561" i="2"/>
  <c r="H2560" i="2"/>
  <c r="H2559" i="2"/>
  <c r="H2558" i="2"/>
  <c r="H2557" i="2"/>
  <c r="H2556" i="2"/>
  <c r="H2555" i="2"/>
  <c r="H2554" i="2"/>
  <c r="H2553" i="2"/>
  <c r="H2552" i="2"/>
  <c r="H2551" i="2"/>
  <c r="H2550" i="2"/>
  <c r="H2549" i="2"/>
  <c r="H2548" i="2"/>
  <c r="H2547" i="2"/>
  <c r="H2546" i="2"/>
  <c r="H2545" i="2"/>
  <c r="H2544" i="2"/>
  <c r="H2543" i="2"/>
  <c r="H2542" i="2"/>
  <c r="H2541" i="2"/>
  <c r="H2540" i="2"/>
  <c r="H2539" i="2"/>
  <c r="H2538" i="2"/>
  <c r="H2537" i="2"/>
  <c r="H2536" i="2"/>
  <c r="H2535" i="2"/>
  <c r="H2534" i="2"/>
  <c r="H2533" i="2"/>
  <c r="H2532" i="2"/>
  <c r="H2531" i="2"/>
  <c r="H2530" i="2"/>
  <c r="H2529" i="2"/>
  <c r="H2528" i="2"/>
  <c r="H2527" i="2"/>
  <c r="H2526" i="2"/>
  <c r="H2525" i="2"/>
  <c r="H2524" i="2"/>
  <c r="H2523" i="2"/>
  <c r="H2522" i="2"/>
  <c r="H2521" i="2"/>
  <c r="H2520" i="2"/>
  <c r="H2519" i="2"/>
  <c r="H2518" i="2"/>
  <c r="H2517" i="2"/>
  <c r="H2516" i="2"/>
  <c r="H2515" i="2"/>
  <c r="H2514" i="2"/>
  <c r="H2513" i="2"/>
  <c r="H2512" i="2"/>
  <c r="H2511" i="2"/>
  <c r="H2510" i="2"/>
  <c r="H2509" i="2"/>
  <c r="H2508" i="2"/>
  <c r="H2507" i="2"/>
  <c r="H2506" i="2"/>
  <c r="H2505" i="2"/>
  <c r="H2504" i="2"/>
  <c r="H2503" i="2"/>
  <c r="H2502" i="2"/>
  <c r="H2501" i="2"/>
  <c r="H2500" i="2"/>
  <c r="H2499" i="2"/>
  <c r="H2498" i="2"/>
  <c r="H2497" i="2"/>
  <c r="H2496" i="2"/>
  <c r="H2495" i="2"/>
  <c r="H2494" i="2"/>
  <c r="H2493" i="2"/>
  <c r="H2492" i="2"/>
  <c r="H2491" i="2"/>
  <c r="H2490" i="2"/>
  <c r="H2489" i="2"/>
  <c r="H2488" i="2"/>
  <c r="H2487" i="2"/>
  <c r="H2486" i="2"/>
  <c r="H2485" i="2"/>
  <c r="H2484" i="2"/>
  <c r="H2483" i="2"/>
  <c r="H2482" i="2"/>
  <c r="H2481" i="2"/>
  <c r="H2480" i="2"/>
  <c r="H2479" i="2"/>
  <c r="H2478" i="2"/>
  <c r="H2477" i="2"/>
  <c r="H2476" i="2"/>
  <c r="H2475" i="2"/>
  <c r="H2474" i="2"/>
  <c r="H2473" i="2"/>
  <c r="H2472" i="2"/>
  <c r="H2471" i="2"/>
  <c r="H2470" i="2"/>
  <c r="H2469" i="2"/>
  <c r="H2468" i="2"/>
  <c r="H2467" i="2"/>
  <c r="H2466" i="2"/>
  <c r="H2465" i="2"/>
  <c r="H2464" i="2"/>
  <c r="H2463" i="2"/>
  <c r="H2462" i="2"/>
  <c r="H2461" i="2"/>
  <c r="H2460" i="2"/>
  <c r="H2459" i="2"/>
  <c r="H2458" i="2"/>
  <c r="H2457" i="2"/>
  <c r="H2456" i="2"/>
  <c r="H2455" i="2"/>
  <c r="H2454" i="2"/>
  <c r="H2453" i="2"/>
  <c r="H2452" i="2"/>
  <c r="H2451" i="2"/>
  <c r="H2450" i="2"/>
  <c r="H2449" i="2"/>
  <c r="H2448" i="2"/>
  <c r="H2447" i="2"/>
  <c r="H2446" i="2"/>
  <c r="H2445" i="2"/>
  <c r="H2444" i="2"/>
  <c r="H2443" i="2"/>
  <c r="H2442" i="2"/>
  <c r="H2441" i="2"/>
  <c r="H2440" i="2"/>
  <c r="H2439" i="2"/>
  <c r="H2438" i="2"/>
  <c r="H2437" i="2"/>
  <c r="H2436" i="2"/>
  <c r="H2435" i="2"/>
  <c r="H2434" i="2"/>
  <c r="H2433" i="2"/>
  <c r="H2432" i="2"/>
  <c r="H2431" i="2"/>
  <c r="H2430" i="2"/>
  <c r="H2429" i="2"/>
  <c r="H2428" i="2"/>
  <c r="H2427" i="2"/>
  <c r="H2426" i="2"/>
  <c r="H2425" i="2"/>
  <c r="H2424" i="2"/>
  <c r="H2423" i="2"/>
  <c r="H2422" i="2"/>
  <c r="H2421" i="2"/>
  <c r="H2420" i="2"/>
  <c r="H2419" i="2"/>
  <c r="H2418" i="2"/>
  <c r="H2417" i="2"/>
  <c r="H2416" i="2"/>
  <c r="H2415" i="2"/>
  <c r="H2414" i="2"/>
  <c r="H2413" i="2"/>
  <c r="H2412" i="2"/>
  <c r="H2411" i="2"/>
  <c r="H2410" i="2"/>
  <c r="H2409" i="2"/>
  <c r="H2408" i="2"/>
  <c r="H2407" i="2"/>
  <c r="H2406" i="2"/>
  <c r="H2405" i="2"/>
  <c r="H2404" i="2"/>
  <c r="H2403" i="2"/>
  <c r="H2402" i="2"/>
  <c r="H2401" i="2"/>
  <c r="H2400" i="2"/>
  <c r="H2399" i="2"/>
  <c r="H2398" i="2"/>
  <c r="H2397" i="2"/>
  <c r="H2396" i="2"/>
  <c r="H2395" i="2"/>
  <c r="H2394" i="2"/>
  <c r="H2393" i="2"/>
  <c r="H2392" i="2"/>
  <c r="H2391" i="2"/>
  <c r="H2390" i="2"/>
  <c r="H2389" i="2"/>
  <c r="H2388" i="2"/>
  <c r="H2387" i="2"/>
  <c r="H2386" i="2"/>
  <c r="H2385" i="2"/>
  <c r="H2384" i="2"/>
  <c r="H2383" i="2"/>
  <c r="H2382" i="2"/>
  <c r="H2381" i="2"/>
  <c r="H2380" i="2"/>
  <c r="H2379" i="2"/>
  <c r="H2378" i="2"/>
  <c r="H2377" i="2"/>
  <c r="H2376" i="2"/>
  <c r="H2375" i="2"/>
  <c r="H2374" i="2"/>
  <c r="H2373" i="2"/>
  <c r="H2372" i="2"/>
  <c r="H2371" i="2"/>
  <c r="H2370" i="2"/>
  <c r="H2369" i="2"/>
  <c r="H2368" i="2"/>
  <c r="H2367" i="2"/>
  <c r="H2366" i="2"/>
  <c r="H2365" i="2"/>
  <c r="H2364" i="2"/>
  <c r="H2363" i="2"/>
  <c r="H2362" i="2"/>
  <c r="H2361" i="2"/>
  <c r="H2360" i="2"/>
  <c r="H2359" i="2"/>
  <c r="H2358" i="2"/>
  <c r="H2357" i="2"/>
  <c r="H2356" i="2"/>
  <c r="H2355" i="2"/>
  <c r="H2354" i="2"/>
  <c r="H2353" i="2"/>
  <c r="H2352" i="2"/>
  <c r="H2351" i="2"/>
  <c r="H2350" i="2"/>
  <c r="H2349" i="2"/>
  <c r="H2348" i="2"/>
  <c r="H2347" i="2"/>
  <c r="H2346" i="2"/>
  <c r="H2345" i="2"/>
  <c r="H2344" i="2"/>
  <c r="H2343" i="2"/>
  <c r="H2342" i="2"/>
  <c r="H2341" i="2"/>
  <c r="H2340" i="2"/>
  <c r="H2339" i="2"/>
  <c r="H2338" i="2"/>
  <c r="H2337" i="2"/>
  <c r="H2336" i="2"/>
  <c r="H2335" i="2"/>
  <c r="H2334" i="2"/>
  <c r="H2333" i="2"/>
  <c r="H2332" i="2"/>
  <c r="H2331" i="2"/>
  <c r="H2330" i="2"/>
  <c r="H2329" i="2"/>
  <c r="H2328" i="2"/>
  <c r="H2327" i="2"/>
  <c r="H2326" i="2"/>
  <c r="H2325" i="2"/>
  <c r="H2324" i="2"/>
  <c r="H2323" i="2"/>
  <c r="H2322" i="2"/>
  <c r="H2321" i="2"/>
  <c r="H2320" i="2"/>
  <c r="H2319" i="2"/>
  <c r="H2318" i="2"/>
  <c r="H2317" i="2"/>
  <c r="H2316" i="2"/>
  <c r="H2315" i="2"/>
  <c r="H2314" i="2"/>
  <c r="H2313" i="2"/>
  <c r="H2312" i="2"/>
  <c r="H2311" i="2"/>
  <c r="H2310" i="2"/>
  <c r="H2309" i="2"/>
  <c r="H2308" i="2"/>
  <c r="H2307" i="2"/>
  <c r="H2306" i="2"/>
  <c r="H2305" i="2"/>
  <c r="H2304" i="2"/>
  <c r="H2303" i="2"/>
  <c r="H2302" i="2"/>
  <c r="H2301" i="2"/>
  <c r="H2300" i="2"/>
  <c r="H2299" i="2"/>
  <c r="H2298" i="2"/>
  <c r="H2297" i="2"/>
  <c r="H2296" i="2"/>
  <c r="H2295" i="2"/>
  <c r="H2294" i="2"/>
  <c r="H2293" i="2"/>
  <c r="H2292" i="2"/>
  <c r="H2291" i="2"/>
  <c r="H2290" i="2"/>
  <c r="H2289" i="2"/>
  <c r="H2288" i="2"/>
  <c r="H2287" i="2"/>
  <c r="H2286" i="2"/>
  <c r="H2285" i="2"/>
  <c r="H2284" i="2"/>
  <c r="H2283" i="2"/>
  <c r="H2282" i="2"/>
  <c r="H2281" i="2"/>
  <c r="H2280" i="2"/>
  <c r="H2279" i="2"/>
  <c r="H2278" i="2"/>
  <c r="H2277" i="2"/>
  <c r="H2276" i="2"/>
  <c r="H2275" i="2"/>
  <c r="H2274" i="2"/>
  <c r="H2273" i="2"/>
  <c r="H2272" i="2"/>
  <c r="H2271" i="2"/>
  <c r="H2270" i="2"/>
  <c r="H2269" i="2"/>
  <c r="H2268" i="2"/>
  <c r="H2267" i="2"/>
  <c r="H2266" i="2"/>
  <c r="H2265" i="2"/>
  <c r="H2264" i="2"/>
  <c r="H2263" i="2"/>
  <c r="H2262" i="2"/>
  <c r="H2261" i="2"/>
  <c r="H2260" i="2"/>
  <c r="H2259" i="2"/>
  <c r="H2258" i="2"/>
  <c r="H2257" i="2"/>
  <c r="H2256" i="2"/>
  <c r="H2255" i="2"/>
  <c r="H2254" i="2"/>
  <c r="H2253" i="2"/>
  <c r="H2252" i="2"/>
  <c r="H2251" i="2"/>
  <c r="H2250" i="2"/>
  <c r="H2249" i="2"/>
  <c r="H2248" i="2"/>
  <c r="H2247" i="2"/>
  <c r="H2246" i="2"/>
  <c r="H2245" i="2"/>
  <c r="H2244" i="2"/>
  <c r="H2243" i="2"/>
  <c r="H2242" i="2"/>
  <c r="H2241" i="2"/>
  <c r="H2240" i="2"/>
  <c r="H2239" i="2"/>
  <c r="H2238" i="2"/>
  <c r="H2237" i="2"/>
  <c r="H2236" i="2"/>
  <c r="H2235" i="2"/>
  <c r="H2234" i="2"/>
  <c r="H2233" i="2"/>
  <c r="H2232" i="2"/>
  <c r="H2231" i="2"/>
  <c r="H2230" i="2"/>
  <c r="H2229" i="2"/>
  <c r="H2228" i="2"/>
  <c r="H2227" i="2"/>
  <c r="H2226" i="2"/>
  <c r="H2225" i="2"/>
  <c r="H2224" i="2"/>
  <c r="H2223" i="2"/>
  <c r="H2222" i="2"/>
  <c r="H2221" i="2"/>
  <c r="H2220" i="2"/>
  <c r="H2219" i="2"/>
  <c r="H2218" i="2"/>
  <c r="H2217" i="2"/>
  <c r="H2216" i="2"/>
  <c r="H2215" i="2"/>
  <c r="H2214" i="2"/>
  <c r="H2213" i="2"/>
  <c r="H2212" i="2"/>
  <c r="H2211" i="2"/>
  <c r="H2210" i="2"/>
  <c r="H2209" i="2"/>
  <c r="H2208" i="2"/>
  <c r="H2207" i="2"/>
  <c r="H2206" i="2"/>
  <c r="H2205" i="2"/>
  <c r="H2204" i="2"/>
  <c r="H2203" i="2"/>
  <c r="H2202" i="2"/>
  <c r="H2201" i="2"/>
  <c r="H2200" i="2"/>
  <c r="H2199" i="2"/>
  <c r="H2198" i="2"/>
  <c r="H2197" i="2"/>
  <c r="H2196" i="2"/>
  <c r="H2195" i="2"/>
  <c r="H2194" i="2"/>
  <c r="H2193" i="2"/>
  <c r="H2192" i="2"/>
  <c r="H2191" i="2"/>
  <c r="H2190" i="2"/>
  <c r="H2189" i="2"/>
  <c r="H2188" i="2"/>
  <c r="H2187" i="2"/>
  <c r="H2186" i="2"/>
  <c r="H2185" i="2"/>
  <c r="H2184" i="2"/>
  <c r="H2183" i="2"/>
  <c r="H2182" i="2"/>
  <c r="H2181" i="2"/>
  <c r="H2180" i="2"/>
  <c r="H2179" i="2"/>
  <c r="H2178" i="2"/>
  <c r="H2177" i="2"/>
  <c r="H2176" i="2"/>
  <c r="H2175" i="2"/>
  <c r="H2174" i="2"/>
  <c r="H2173" i="2"/>
  <c r="H2172" i="2"/>
  <c r="H2171" i="2"/>
  <c r="H2170" i="2"/>
  <c r="H2169" i="2"/>
  <c r="H2168" i="2"/>
  <c r="H2167" i="2"/>
  <c r="H2166" i="2"/>
  <c r="H2165" i="2"/>
  <c r="H2164" i="2"/>
  <c r="H2163" i="2"/>
  <c r="H2162" i="2"/>
  <c r="H2161" i="2"/>
  <c r="H2160" i="2"/>
  <c r="H2159" i="2"/>
  <c r="H2158" i="2"/>
  <c r="H2157" i="2"/>
  <c r="H2156" i="2"/>
  <c r="H2155" i="2"/>
  <c r="H2154" i="2"/>
  <c r="H2153" i="2"/>
  <c r="H2152" i="2"/>
  <c r="H2151" i="2"/>
  <c r="H2150" i="2"/>
  <c r="H2149" i="2"/>
  <c r="H2148" i="2"/>
  <c r="H2147" i="2"/>
  <c r="H2146" i="2"/>
  <c r="H2145" i="2"/>
  <c r="H2144" i="2"/>
  <c r="H2143" i="2"/>
  <c r="H2142" i="2"/>
  <c r="H2141" i="2"/>
  <c r="H2140" i="2"/>
  <c r="H2139" i="2"/>
  <c r="H2138" i="2"/>
  <c r="H2137" i="2"/>
  <c r="H2136" i="2"/>
  <c r="H2135" i="2"/>
  <c r="H2134" i="2"/>
  <c r="H2133" i="2"/>
  <c r="H2132" i="2"/>
  <c r="H2131" i="2"/>
  <c r="H2130" i="2"/>
  <c r="H2129" i="2"/>
  <c r="H2128" i="2"/>
  <c r="H2127" i="2"/>
  <c r="H2126" i="2"/>
  <c r="H2125" i="2"/>
  <c r="H2124" i="2"/>
  <c r="H2123" i="2"/>
  <c r="H2122" i="2"/>
  <c r="H2121" i="2"/>
  <c r="H2120" i="2"/>
  <c r="H2119" i="2"/>
  <c r="H2118" i="2"/>
  <c r="H2117" i="2"/>
  <c r="H2116" i="2"/>
  <c r="H2115" i="2"/>
  <c r="H2114" i="2"/>
  <c r="H2113" i="2"/>
  <c r="H2112" i="2"/>
  <c r="H2111" i="2"/>
  <c r="H2110" i="2"/>
  <c r="H2109" i="2"/>
  <c r="H2108" i="2"/>
  <c r="H2107" i="2"/>
  <c r="H2106" i="2"/>
  <c r="H2105" i="2"/>
  <c r="H2104" i="2"/>
  <c r="H2103" i="2"/>
  <c r="H2102" i="2"/>
  <c r="H2101" i="2"/>
  <c r="H2100" i="2"/>
  <c r="H2099" i="2"/>
  <c r="H2098" i="2"/>
  <c r="H2097" i="2"/>
  <c r="H2096" i="2"/>
  <c r="H2095" i="2"/>
  <c r="H2094" i="2"/>
  <c r="H2093" i="2"/>
  <c r="H2092" i="2"/>
  <c r="H2091" i="2"/>
  <c r="H2090" i="2"/>
  <c r="H2089" i="2"/>
  <c r="H2088" i="2"/>
  <c r="H2087" i="2"/>
  <c r="H2086" i="2"/>
  <c r="H2085" i="2"/>
  <c r="H2084" i="2"/>
  <c r="H2083" i="2"/>
  <c r="H2082" i="2"/>
  <c r="H2081" i="2"/>
  <c r="H2080" i="2"/>
  <c r="H2079" i="2"/>
  <c r="H2078" i="2"/>
  <c r="H2077" i="2"/>
  <c r="H2076" i="2"/>
  <c r="H2075" i="2"/>
  <c r="H2074" i="2"/>
  <c r="H2073" i="2"/>
  <c r="H2072" i="2"/>
  <c r="H2071" i="2"/>
  <c r="H2070" i="2"/>
  <c r="H2069" i="2"/>
  <c r="H2068" i="2"/>
  <c r="H2067" i="2"/>
  <c r="H2066" i="2"/>
  <c r="H2065" i="2"/>
  <c r="H2064" i="2"/>
  <c r="H2063" i="2"/>
  <c r="H2062" i="2"/>
  <c r="H2061" i="2"/>
  <c r="H2060" i="2"/>
  <c r="H2059" i="2"/>
  <c r="H2058" i="2"/>
  <c r="H2057" i="2"/>
  <c r="H2056" i="2"/>
  <c r="H2055" i="2"/>
  <c r="H2054" i="2"/>
  <c r="H2053" i="2"/>
  <c r="H2052" i="2"/>
  <c r="H2051" i="2"/>
  <c r="H2050" i="2"/>
  <c r="H2049" i="2"/>
  <c r="H2048" i="2"/>
  <c r="H2047" i="2"/>
  <c r="H2046" i="2"/>
  <c r="H2045" i="2"/>
  <c r="H2044" i="2"/>
  <c r="H2043" i="2"/>
  <c r="H2042" i="2"/>
  <c r="H2041" i="2"/>
  <c r="H2040" i="2"/>
  <c r="H2039" i="2"/>
  <c r="H2038" i="2"/>
  <c r="H2037" i="2"/>
  <c r="H2036" i="2"/>
  <c r="H2035" i="2"/>
  <c r="H2034" i="2"/>
  <c r="H2033" i="2"/>
  <c r="H2032" i="2"/>
  <c r="H2031" i="2"/>
  <c r="H2030" i="2"/>
  <c r="H2029" i="2"/>
  <c r="H2028" i="2"/>
  <c r="H2027" i="2"/>
  <c r="H2026" i="2"/>
  <c r="H2025" i="2"/>
  <c r="H2024" i="2"/>
  <c r="H2023" i="2"/>
  <c r="H2022" i="2"/>
  <c r="H2021" i="2"/>
  <c r="H2020" i="2"/>
  <c r="H2019" i="2"/>
  <c r="H2018" i="2"/>
  <c r="H2017" i="2"/>
  <c r="H2016" i="2"/>
  <c r="H2015" i="2"/>
  <c r="H2014" i="2"/>
  <c r="H2013" i="2"/>
  <c r="H2012" i="2"/>
  <c r="H2011" i="2"/>
  <c r="H2010" i="2"/>
  <c r="H2009" i="2"/>
  <c r="H2008" i="2"/>
  <c r="H2007" i="2"/>
  <c r="H2006" i="2"/>
  <c r="H2005" i="2"/>
  <c r="H2004" i="2"/>
  <c r="H2003" i="2"/>
  <c r="H2002" i="2"/>
  <c r="H2001" i="2"/>
  <c r="H2000" i="2"/>
  <c r="H1999" i="2"/>
  <c r="H1998" i="2"/>
  <c r="H1997" i="2"/>
  <c r="H1996" i="2"/>
  <c r="H1995" i="2"/>
  <c r="H1994" i="2"/>
  <c r="H1993" i="2"/>
  <c r="H1992" i="2"/>
  <c r="H1991" i="2"/>
  <c r="H1990" i="2"/>
  <c r="H1989" i="2"/>
  <c r="H1988" i="2"/>
  <c r="H1987" i="2"/>
  <c r="H1986" i="2"/>
  <c r="H1985" i="2"/>
  <c r="H1984" i="2"/>
  <c r="H1983" i="2"/>
  <c r="H1982" i="2"/>
  <c r="H1981" i="2"/>
  <c r="H1980" i="2"/>
  <c r="H1979" i="2"/>
  <c r="H1978" i="2"/>
  <c r="H1977" i="2"/>
  <c r="H1976" i="2"/>
  <c r="H1975" i="2"/>
  <c r="H1974" i="2"/>
  <c r="H1973" i="2"/>
  <c r="H1972" i="2"/>
  <c r="H1971" i="2"/>
  <c r="H1970" i="2"/>
  <c r="H1969" i="2"/>
  <c r="H1968" i="2"/>
  <c r="H1967" i="2"/>
  <c r="H1966" i="2"/>
  <c r="H1965" i="2"/>
  <c r="H1964" i="2"/>
  <c r="H1963" i="2"/>
  <c r="H1962" i="2"/>
  <c r="H1961" i="2"/>
  <c r="H1960" i="2"/>
  <c r="H1959" i="2"/>
  <c r="H1958" i="2"/>
  <c r="H1957" i="2"/>
  <c r="H1956" i="2"/>
  <c r="H1955" i="2"/>
  <c r="H1954" i="2"/>
  <c r="H1953" i="2"/>
  <c r="H1952" i="2"/>
  <c r="H1951" i="2"/>
  <c r="H1950" i="2"/>
  <c r="H1949" i="2"/>
  <c r="H1948" i="2"/>
  <c r="H1947" i="2"/>
  <c r="H1946" i="2"/>
  <c r="H1945" i="2"/>
  <c r="H1944" i="2"/>
  <c r="H1943" i="2"/>
  <c r="H1942" i="2"/>
  <c r="H1941" i="2"/>
  <c r="H1940" i="2"/>
  <c r="H1939" i="2"/>
  <c r="H1938" i="2"/>
  <c r="H1937" i="2"/>
  <c r="H1936" i="2"/>
  <c r="H1935" i="2"/>
  <c r="H1934" i="2"/>
  <c r="H1933" i="2"/>
  <c r="H1932" i="2"/>
  <c r="H1931" i="2"/>
  <c r="H1930" i="2"/>
  <c r="H1929" i="2"/>
  <c r="H1928" i="2"/>
  <c r="H1927" i="2"/>
  <c r="H1926" i="2"/>
  <c r="H1925" i="2"/>
  <c r="H1924" i="2"/>
  <c r="H1923" i="2"/>
  <c r="H1922" i="2"/>
  <c r="H1921" i="2"/>
  <c r="H1920" i="2"/>
  <c r="H1919" i="2"/>
  <c r="H1918" i="2"/>
  <c r="H1917" i="2"/>
  <c r="H1916" i="2"/>
  <c r="H1915" i="2"/>
  <c r="H1914" i="2"/>
  <c r="H1913" i="2"/>
  <c r="H1912" i="2"/>
  <c r="H1911" i="2"/>
  <c r="H1910" i="2"/>
  <c r="H1909" i="2"/>
  <c r="H1908" i="2"/>
  <c r="H1907" i="2"/>
  <c r="H1906" i="2"/>
  <c r="H1905" i="2"/>
  <c r="H1904" i="2"/>
  <c r="H1903" i="2"/>
  <c r="H1902" i="2"/>
  <c r="H1901" i="2"/>
  <c r="H1900" i="2"/>
  <c r="H1899" i="2"/>
  <c r="H1898" i="2"/>
  <c r="H1897" i="2"/>
  <c r="H1896" i="2"/>
  <c r="H1895" i="2"/>
  <c r="H1894" i="2"/>
  <c r="H1893" i="2"/>
  <c r="H1892" i="2"/>
  <c r="H1891" i="2"/>
  <c r="H1890" i="2"/>
  <c r="H1889" i="2"/>
  <c r="H1888" i="2"/>
  <c r="H1887" i="2"/>
  <c r="H1886" i="2"/>
  <c r="H1885" i="2"/>
  <c r="H1884" i="2"/>
  <c r="H1883" i="2"/>
  <c r="H1882" i="2"/>
  <c r="H1881" i="2"/>
  <c r="H1880" i="2"/>
  <c r="H1879" i="2"/>
  <c r="H1878" i="2"/>
  <c r="H1877" i="2"/>
  <c r="H1876" i="2"/>
  <c r="H1875" i="2"/>
  <c r="H1874" i="2"/>
  <c r="H1873" i="2"/>
  <c r="H1872" i="2"/>
  <c r="H1871" i="2"/>
  <c r="H1870" i="2"/>
  <c r="H1869" i="2"/>
  <c r="H1868" i="2"/>
  <c r="H1867" i="2"/>
  <c r="H1866" i="2"/>
  <c r="H1865" i="2"/>
  <c r="H1864" i="2"/>
  <c r="H1863" i="2"/>
  <c r="H1862" i="2"/>
  <c r="H1861" i="2"/>
  <c r="H1860" i="2"/>
  <c r="H1859" i="2"/>
  <c r="H1858" i="2"/>
  <c r="H1857" i="2"/>
  <c r="H1856" i="2"/>
  <c r="H1855" i="2"/>
  <c r="H1854" i="2"/>
  <c r="H1853" i="2"/>
  <c r="H1852" i="2"/>
  <c r="H1851" i="2"/>
  <c r="H1850" i="2"/>
  <c r="H1849" i="2"/>
  <c r="H1848" i="2"/>
  <c r="H1847" i="2"/>
  <c r="H1846" i="2"/>
  <c r="H1845" i="2"/>
  <c r="H1844" i="2"/>
  <c r="H1843" i="2"/>
  <c r="H1842" i="2"/>
  <c r="H1841" i="2"/>
  <c r="H1840" i="2"/>
  <c r="H1839" i="2"/>
  <c r="H1838" i="2"/>
  <c r="H1837" i="2"/>
  <c r="H1836" i="2"/>
  <c r="H1835" i="2"/>
  <c r="H1834" i="2"/>
  <c r="H1833" i="2"/>
  <c r="H1832" i="2"/>
  <c r="H1831" i="2"/>
  <c r="H1830" i="2"/>
  <c r="H1829" i="2"/>
  <c r="H1828" i="2"/>
  <c r="H1827" i="2"/>
  <c r="H1826" i="2"/>
  <c r="H1825" i="2"/>
  <c r="H1824" i="2"/>
  <c r="H1823" i="2"/>
  <c r="H1822" i="2"/>
  <c r="H1821" i="2"/>
  <c r="H1820" i="2"/>
  <c r="H1819" i="2"/>
  <c r="H1818" i="2"/>
  <c r="H1817" i="2"/>
  <c r="H1816" i="2"/>
  <c r="H1815" i="2"/>
  <c r="H1814" i="2"/>
  <c r="H1813" i="2"/>
  <c r="H1812" i="2"/>
  <c r="H1811" i="2"/>
  <c r="H1810" i="2"/>
  <c r="H1809" i="2"/>
  <c r="H1808" i="2"/>
  <c r="H1807" i="2"/>
  <c r="H1806" i="2"/>
  <c r="H1805" i="2"/>
  <c r="H1804" i="2"/>
  <c r="H1803" i="2"/>
  <c r="H1802" i="2"/>
  <c r="H1801" i="2"/>
  <c r="H1800" i="2"/>
  <c r="H1799" i="2"/>
  <c r="H1798" i="2"/>
  <c r="H1797" i="2"/>
  <c r="H1796" i="2"/>
  <c r="H1795" i="2"/>
  <c r="H1794" i="2"/>
  <c r="H1793" i="2"/>
  <c r="H1792" i="2"/>
  <c r="H1791" i="2"/>
  <c r="H1790" i="2"/>
  <c r="H1789" i="2"/>
  <c r="H1788" i="2"/>
  <c r="H1787" i="2"/>
  <c r="H1786" i="2"/>
  <c r="H1785" i="2"/>
  <c r="H1784" i="2"/>
  <c r="H1783" i="2"/>
  <c r="H1782" i="2"/>
  <c r="H1781" i="2"/>
  <c r="H1780" i="2"/>
  <c r="H1779" i="2"/>
  <c r="H1778" i="2"/>
  <c r="H1777" i="2"/>
  <c r="H1776" i="2"/>
  <c r="H1775" i="2"/>
  <c r="H1774" i="2"/>
  <c r="H1773" i="2"/>
  <c r="H1772" i="2"/>
  <c r="H1771" i="2"/>
  <c r="H1770" i="2"/>
  <c r="H1769" i="2"/>
  <c r="H1768" i="2"/>
  <c r="H1767" i="2"/>
  <c r="H1766" i="2"/>
  <c r="H1765" i="2"/>
  <c r="H1764" i="2"/>
  <c r="H1763" i="2"/>
  <c r="H1762" i="2"/>
  <c r="H1761" i="2"/>
  <c r="H1760" i="2"/>
  <c r="H1759" i="2"/>
  <c r="H1758" i="2"/>
  <c r="H1757" i="2"/>
  <c r="H1756" i="2"/>
  <c r="H1755" i="2"/>
  <c r="H1754" i="2"/>
  <c r="H1753" i="2"/>
  <c r="H1752" i="2"/>
  <c r="H1751" i="2"/>
  <c r="H1750" i="2"/>
  <c r="H1749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30" i="2"/>
  <c r="H1729" i="2"/>
  <c r="H1728" i="2"/>
  <c r="H1727" i="2"/>
  <c r="H1726" i="2"/>
  <c r="H1725" i="2"/>
  <c r="H1724" i="2"/>
  <c r="H1723" i="2"/>
  <c r="H1722" i="2"/>
  <c r="H1721" i="2"/>
  <c r="H1720" i="2"/>
  <c r="H1719" i="2"/>
  <c r="H1718" i="2"/>
  <c r="H1717" i="2"/>
  <c r="H1716" i="2"/>
  <c r="H1715" i="2"/>
  <c r="H1714" i="2"/>
  <c r="H1713" i="2"/>
  <c r="H1712" i="2"/>
  <c r="H1711" i="2"/>
  <c r="H1710" i="2"/>
  <c r="H1709" i="2"/>
  <c r="H1708" i="2"/>
  <c r="H1707" i="2"/>
  <c r="H1706" i="2"/>
  <c r="H1705" i="2"/>
  <c r="H1704" i="2"/>
  <c r="H1703" i="2"/>
  <c r="H1702" i="2"/>
  <c r="H1701" i="2"/>
  <c r="H1700" i="2"/>
  <c r="H1699" i="2"/>
  <c r="H1698" i="2"/>
  <c r="H1697" i="2"/>
  <c r="H1696" i="2"/>
  <c r="H1695" i="2"/>
  <c r="H1694" i="2"/>
  <c r="H1693" i="2"/>
  <c r="H1692" i="2"/>
  <c r="H1691" i="2"/>
  <c r="H1690" i="2"/>
  <c r="H1689" i="2"/>
  <c r="H1688" i="2"/>
  <c r="H1687" i="2"/>
  <c r="H1686" i="2"/>
  <c r="H1685" i="2"/>
  <c r="H1684" i="2"/>
  <c r="H1683" i="2"/>
  <c r="H1682" i="2"/>
  <c r="H1681" i="2"/>
  <c r="H1680" i="2"/>
  <c r="H1679" i="2"/>
  <c r="H1678" i="2"/>
  <c r="H1677" i="2"/>
  <c r="H1676" i="2"/>
  <c r="H1675" i="2"/>
  <c r="H1674" i="2"/>
  <c r="H1673" i="2"/>
  <c r="H1672" i="2"/>
  <c r="H1671" i="2"/>
  <c r="H1670" i="2"/>
  <c r="H1669" i="2"/>
  <c r="H1668" i="2"/>
  <c r="H1667" i="2"/>
  <c r="H1666" i="2"/>
  <c r="H1665" i="2"/>
  <c r="H1664" i="2"/>
  <c r="H1663" i="2"/>
  <c r="H1662" i="2"/>
  <c r="H1661" i="2"/>
  <c r="H1660" i="2"/>
  <c r="H1659" i="2"/>
  <c r="H1658" i="2"/>
  <c r="H1657" i="2"/>
  <c r="H1656" i="2"/>
  <c r="H1655" i="2"/>
  <c r="H1654" i="2"/>
  <c r="H1653" i="2"/>
  <c r="H1652" i="2"/>
  <c r="H1651" i="2"/>
  <c r="H1650" i="2"/>
  <c r="H1649" i="2"/>
  <c r="H1648" i="2"/>
  <c r="H1647" i="2"/>
  <c r="H1646" i="2"/>
  <c r="H1645" i="2"/>
  <c r="H1644" i="2"/>
  <c r="H1643" i="2"/>
  <c r="H1642" i="2"/>
  <c r="H1641" i="2"/>
  <c r="H1640" i="2"/>
  <c r="H1639" i="2"/>
  <c r="H1638" i="2"/>
  <c r="H1637" i="2"/>
  <c r="H1636" i="2"/>
  <c r="H1635" i="2"/>
  <c r="H1634" i="2"/>
  <c r="H1633" i="2"/>
  <c r="H1632" i="2"/>
  <c r="H1631" i="2"/>
  <c r="H1630" i="2"/>
  <c r="H1629" i="2"/>
  <c r="H1628" i="2"/>
  <c r="H1627" i="2"/>
  <c r="H1626" i="2"/>
  <c r="H1625" i="2"/>
  <c r="H1624" i="2"/>
  <c r="H1623" i="2"/>
  <c r="H1622" i="2"/>
  <c r="H1621" i="2"/>
  <c r="H1620" i="2"/>
  <c r="H1619" i="2"/>
  <c r="H1618" i="2"/>
  <c r="H1617" i="2"/>
  <c r="H1616" i="2"/>
  <c r="H1615" i="2"/>
  <c r="H1614" i="2"/>
  <c r="H1613" i="2"/>
  <c r="H1612" i="2"/>
  <c r="H1611" i="2"/>
  <c r="H1610" i="2"/>
  <c r="H1609" i="2"/>
  <c r="H1608" i="2"/>
  <c r="H1607" i="2"/>
  <c r="H1606" i="2"/>
  <c r="H1605" i="2"/>
  <c r="H1604" i="2"/>
  <c r="H1603" i="2"/>
  <c r="H1602" i="2"/>
  <c r="H1601" i="2"/>
  <c r="H1600" i="2"/>
  <c r="H1599" i="2"/>
  <c r="H1598" i="2"/>
  <c r="H1597" i="2"/>
  <c r="H1596" i="2"/>
  <c r="H1595" i="2"/>
  <c r="H1594" i="2"/>
  <c r="H1593" i="2"/>
  <c r="H1592" i="2"/>
  <c r="H1591" i="2"/>
  <c r="H1590" i="2"/>
  <c r="H1589" i="2"/>
  <c r="H1588" i="2"/>
  <c r="H1587" i="2"/>
  <c r="H1586" i="2"/>
  <c r="H1585" i="2"/>
  <c r="H1584" i="2"/>
  <c r="H1583" i="2"/>
  <c r="H1582" i="2"/>
  <c r="H1581" i="2"/>
  <c r="H1580" i="2"/>
  <c r="H1579" i="2"/>
  <c r="H1578" i="2"/>
  <c r="H1577" i="2"/>
  <c r="H1576" i="2"/>
  <c r="H1575" i="2"/>
  <c r="H1574" i="2"/>
  <c r="H1573" i="2"/>
  <c r="H1572" i="2"/>
  <c r="H1571" i="2"/>
  <c r="H1570" i="2"/>
  <c r="H1569" i="2"/>
  <c r="H1568" i="2"/>
  <c r="H1567" i="2"/>
  <c r="H1566" i="2"/>
  <c r="H1565" i="2"/>
  <c r="H1564" i="2"/>
  <c r="H1563" i="2"/>
  <c r="H1562" i="2"/>
  <c r="H1561" i="2"/>
  <c r="H1560" i="2"/>
  <c r="H1559" i="2"/>
  <c r="H1558" i="2"/>
  <c r="H1557" i="2"/>
  <c r="H1556" i="2"/>
  <c r="H1555" i="2"/>
  <c r="H1554" i="2"/>
  <c r="H1553" i="2"/>
  <c r="H1552" i="2"/>
  <c r="H1551" i="2"/>
  <c r="H1550" i="2"/>
  <c r="H1549" i="2"/>
  <c r="H1548" i="2"/>
  <c r="H1547" i="2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H1523" i="2"/>
  <c r="H1522" i="2"/>
  <c r="H1521" i="2"/>
  <c r="H1520" i="2"/>
  <c r="H1519" i="2"/>
  <c r="H1518" i="2"/>
  <c r="H1517" i="2"/>
  <c r="H1516" i="2"/>
  <c r="H1515" i="2"/>
  <c r="H1514" i="2"/>
  <c r="H1513" i="2"/>
  <c r="H1512" i="2"/>
  <c r="H1511" i="2"/>
  <c r="H1510" i="2"/>
  <c r="H1509" i="2"/>
  <c r="H1508" i="2"/>
  <c r="H1507" i="2"/>
  <c r="H1506" i="2"/>
  <c r="H1505" i="2"/>
  <c r="H1504" i="2"/>
  <c r="H1503" i="2"/>
  <c r="H1502" i="2"/>
  <c r="H1501" i="2"/>
  <c r="H1500" i="2"/>
  <c r="H1499" i="2"/>
  <c r="H1498" i="2"/>
  <c r="H1497" i="2"/>
  <c r="H1496" i="2"/>
  <c r="H1495" i="2"/>
  <c r="H1494" i="2"/>
  <c r="H1493" i="2"/>
  <c r="H1492" i="2"/>
  <c r="H1491" i="2"/>
  <c r="H1490" i="2"/>
  <c r="H1489" i="2"/>
  <c r="H1488" i="2"/>
  <c r="H1487" i="2"/>
  <c r="H1486" i="2"/>
  <c r="H1485" i="2"/>
  <c r="H1484" i="2"/>
  <c r="H1483" i="2"/>
  <c r="H1482" i="2"/>
  <c r="H1481" i="2"/>
  <c r="H1480" i="2"/>
  <c r="H1479" i="2"/>
  <c r="H1478" i="2"/>
  <c r="H1477" i="2"/>
  <c r="H1476" i="2"/>
  <c r="H1475" i="2"/>
  <c r="H1474" i="2"/>
  <c r="H1473" i="2"/>
  <c r="H1472" i="2"/>
  <c r="H1471" i="2"/>
  <c r="H1470" i="2"/>
  <c r="H1469" i="2"/>
  <c r="H1468" i="2"/>
  <c r="H1467" i="2"/>
  <c r="H1466" i="2"/>
  <c r="H1465" i="2"/>
  <c r="H1464" i="2"/>
  <c r="H1463" i="2"/>
  <c r="H1462" i="2"/>
  <c r="H1461" i="2"/>
  <c r="H1460" i="2"/>
  <c r="H1459" i="2"/>
  <c r="H1458" i="2"/>
  <c r="H1457" i="2"/>
  <c r="H1456" i="2"/>
  <c r="H1455" i="2"/>
  <c r="H1454" i="2"/>
  <c r="H1453" i="2"/>
  <c r="H1452" i="2"/>
  <c r="H1451" i="2"/>
  <c r="H1450" i="2"/>
  <c r="H1449" i="2"/>
  <c r="H1448" i="2"/>
  <c r="H1447" i="2"/>
  <c r="H1446" i="2"/>
  <c r="H1445" i="2"/>
  <c r="H1444" i="2"/>
  <c r="H1443" i="2"/>
  <c r="H1442" i="2"/>
  <c r="H1441" i="2"/>
  <c r="H1440" i="2"/>
  <c r="H1439" i="2"/>
  <c r="H1438" i="2"/>
  <c r="H1437" i="2"/>
  <c r="H1436" i="2"/>
  <c r="H1435" i="2"/>
  <c r="H1434" i="2"/>
  <c r="H1433" i="2"/>
  <c r="H1432" i="2"/>
  <c r="H1431" i="2"/>
  <c r="H1430" i="2"/>
  <c r="H1429" i="2"/>
  <c r="H1428" i="2"/>
  <c r="H1427" i="2"/>
  <c r="H1426" i="2"/>
  <c r="H1425" i="2"/>
  <c r="H1424" i="2"/>
  <c r="H1423" i="2"/>
  <c r="H1422" i="2"/>
  <c r="H1421" i="2"/>
  <c r="H1420" i="2"/>
  <c r="H1419" i="2"/>
  <c r="H1418" i="2"/>
  <c r="H1417" i="2"/>
  <c r="H1416" i="2"/>
  <c r="H1415" i="2"/>
  <c r="H1414" i="2"/>
  <c r="H1413" i="2"/>
  <c r="H1412" i="2"/>
  <c r="H1411" i="2"/>
  <c r="H1410" i="2"/>
  <c r="H1409" i="2"/>
  <c r="H1408" i="2"/>
  <c r="H1407" i="2"/>
  <c r="H1406" i="2"/>
  <c r="H1405" i="2"/>
  <c r="H1404" i="2"/>
  <c r="H1403" i="2"/>
  <c r="H1402" i="2"/>
  <c r="H1401" i="2"/>
  <c r="H1400" i="2"/>
  <c r="H1399" i="2"/>
  <c r="H1398" i="2"/>
  <c r="H1397" i="2"/>
  <c r="H1396" i="2"/>
  <c r="H1395" i="2"/>
  <c r="H1394" i="2"/>
  <c r="H1393" i="2"/>
  <c r="H1392" i="2"/>
  <c r="H1391" i="2"/>
  <c r="H1390" i="2"/>
  <c r="H1389" i="2"/>
  <c r="H1388" i="2"/>
  <c r="H1387" i="2"/>
  <c r="H1386" i="2"/>
  <c r="H1385" i="2"/>
  <c r="H1384" i="2"/>
  <c r="H1383" i="2"/>
  <c r="H1382" i="2"/>
  <c r="H1381" i="2"/>
  <c r="H1380" i="2"/>
  <c r="H1379" i="2"/>
  <c r="H1378" i="2"/>
  <c r="H1377" i="2"/>
  <c r="H1376" i="2"/>
  <c r="H1375" i="2"/>
  <c r="H1374" i="2"/>
  <c r="H1373" i="2"/>
  <c r="H1372" i="2"/>
  <c r="H1371" i="2"/>
  <c r="H1370" i="2"/>
  <c r="H1369" i="2"/>
  <c r="H1368" i="2"/>
  <c r="H1367" i="2"/>
  <c r="H1366" i="2"/>
  <c r="H1365" i="2"/>
  <c r="H1364" i="2"/>
  <c r="H1363" i="2"/>
  <c r="H1362" i="2"/>
  <c r="H1361" i="2"/>
  <c r="H1360" i="2"/>
  <c r="H1359" i="2"/>
  <c r="H1358" i="2"/>
  <c r="H1357" i="2"/>
  <c r="H1356" i="2"/>
  <c r="H1355" i="2"/>
  <c r="H1354" i="2"/>
  <c r="H1353" i="2"/>
  <c r="H1352" i="2"/>
  <c r="H1351" i="2"/>
  <c r="H1350" i="2"/>
  <c r="H1349" i="2"/>
  <c r="H1348" i="2"/>
  <c r="H1347" i="2"/>
  <c r="H1346" i="2"/>
  <c r="H1345" i="2"/>
  <c r="H1344" i="2"/>
  <c r="H1343" i="2"/>
  <c r="H1342" i="2"/>
  <c r="H1341" i="2"/>
  <c r="H1340" i="2"/>
  <c r="H1339" i="2"/>
  <c r="H1338" i="2"/>
  <c r="H1337" i="2"/>
  <c r="H1336" i="2"/>
  <c r="H1335" i="2"/>
  <c r="H1334" i="2"/>
  <c r="H1333" i="2"/>
  <c r="H1332" i="2"/>
  <c r="H1331" i="2"/>
  <c r="H1330" i="2"/>
  <c r="H1329" i="2"/>
  <c r="H1328" i="2"/>
  <c r="H1327" i="2"/>
  <c r="H1326" i="2"/>
  <c r="H1325" i="2"/>
  <c r="H1324" i="2"/>
  <c r="H1323" i="2"/>
  <c r="H1322" i="2"/>
  <c r="H1321" i="2"/>
  <c r="H1320" i="2"/>
  <c r="H1319" i="2"/>
  <c r="H1318" i="2"/>
  <c r="H1317" i="2"/>
  <c r="H1316" i="2"/>
  <c r="H1315" i="2"/>
  <c r="H1314" i="2"/>
  <c r="H1313" i="2"/>
  <c r="H1312" i="2"/>
  <c r="H1311" i="2"/>
  <c r="H1310" i="2"/>
  <c r="H1309" i="2"/>
  <c r="H1308" i="2"/>
  <c r="H1307" i="2"/>
  <c r="H1306" i="2"/>
  <c r="H1305" i="2"/>
  <c r="H1304" i="2"/>
  <c r="H1303" i="2"/>
  <c r="H1302" i="2"/>
  <c r="H1301" i="2"/>
  <c r="H1300" i="2"/>
  <c r="H1299" i="2"/>
  <c r="H1298" i="2"/>
  <c r="H1297" i="2"/>
  <c r="H1296" i="2"/>
  <c r="H1295" i="2"/>
  <c r="H1294" i="2"/>
  <c r="H1293" i="2"/>
  <c r="H1292" i="2"/>
  <c r="H1291" i="2"/>
  <c r="H1290" i="2"/>
  <c r="H1289" i="2"/>
  <c r="H1288" i="2"/>
  <c r="H1287" i="2"/>
  <c r="H1286" i="2"/>
  <c r="H1285" i="2"/>
  <c r="H1284" i="2"/>
  <c r="H1283" i="2"/>
  <c r="H1282" i="2"/>
  <c r="H1281" i="2"/>
  <c r="H1280" i="2"/>
  <c r="H1279" i="2"/>
  <c r="H1278" i="2"/>
  <c r="H1277" i="2"/>
  <c r="H1276" i="2"/>
  <c r="H1275" i="2"/>
  <c r="H1274" i="2"/>
  <c r="H1273" i="2"/>
  <c r="H1272" i="2"/>
  <c r="H1271" i="2"/>
  <c r="H1270" i="2"/>
  <c r="H1269" i="2"/>
  <c r="H1268" i="2"/>
  <c r="H1267" i="2"/>
  <c r="H1266" i="2"/>
  <c r="H1265" i="2"/>
  <c r="H1264" i="2"/>
  <c r="H1263" i="2"/>
  <c r="H1262" i="2"/>
  <c r="H1261" i="2"/>
  <c r="H1260" i="2"/>
  <c r="H1259" i="2"/>
  <c r="H1258" i="2"/>
  <c r="H1257" i="2"/>
  <c r="H1256" i="2"/>
  <c r="H1255" i="2"/>
  <c r="H1254" i="2"/>
  <c r="H1253" i="2"/>
  <c r="H1252" i="2"/>
  <c r="H1251" i="2"/>
  <c r="H1250" i="2"/>
  <c r="H1249" i="2"/>
  <c r="H1248" i="2"/>
  <c r="H1247" i="2"/>
  <c r="H1246" i="2"/>
  <c r="H1245" i="2"/>
  <c r="H1244" i="2"/>
  <c r="H1243" i="2"/>
  <c r="H1242" i="2"/>
  <c r="H1241" i="2"/>
  <c r="H1240" i="2"/>
  <c r="H1239" i="2"/>
  <c r="H1238" i="2"/>
  <c r="H1237" i="2"/>
  <c r="H1236" i="2"/>
  <c r="H1235" i="2"/>
  <c r="H1234" i="2"/>
  <c r="H1233" i="2"/>
  <c r="H1232" i="2"/>
  <c r="H1231" i="2"/>
  <c r="H1230" i="2"/>
  <c r="H1229" i="2"/>
  <c r="H1228" i="2"/>
  <c r="H1227" i="2"/>
  <c r="H1226" i="2"/>
  <c r="H1225" i="2"/>
  <c r="H1224" i="2"/>
  <c r="H1223" i="2"/>
  <c r="H1222" i="2"/>
  <c r="H1221" i="2"/>
  <c r="H1220" i="2"/>
  <c r="H1219" i="2"/>
  <c r="H1218" i="2"/>
  <c r="H1217" i="2"/>
  <c r="H1216" i="2"/>
  <c r="H1215" i="2"/>
  <c r="H1214" i="2"/>
  <c r="H1213" i="2"/>
  <c r="H1212" i="2"/>
  <c r="H1211" i="2"/>
  <c r="H1210" i="2"/>
  <c r="H1209" i="2"/>
  <c r="H1208" i="2"/>
  <c r="H1207" i="2"/>
  <c r="H1206" i="2"/>
  <c r="H1205" i="2"/>
  <c r="H1204" i="2"/>
  <c r="H1203" i="2"/>
  <c r="H1202" i="2"/>
  <c r="H1201" i="2"/>
  <c r="H1200" i="2"/>
  <c r="H1199" i="2"/>
  <c r="H1198" i="2"/>
  <c r="H1197" i="2"/>
  <c r="H1196" i="2"/>
  <c r="H1195" i="2"/>
  <c r="H1194" i="2"/>
  <c r="H1193" i="2"/>
  <c r="H1192" i="2"/>
  <c r="H1191" i="2"/>
  <c r="H1190" i="2"/>
  <c r="H1189" i="2"/>
  <c r="H1188" i="2"/>
  <c r="H1187" i="2"/>
  <c r="H1186" i="2"/>
  <c r="H1185" i="2"/>
  <c r="H1184" i="2"/>
  <c r="H1183" i="2"/>
  <c r="H1182" i="2"/>
  <c r="H1181" i="2"/>
  <c r="H1180" i="2"/>
  <c r="H1179" i="2"/>
  <c r="H1178" i="2"/>
  <c r="H1177" i="2"/>
  <c r="H1176" i="2"/>
  <c r="H1175" i="2"/>
  <c r="H1174" i="2"/>
  <c r="H1173" i="2"/>
  <c r="H1172" i="2"/>
  <c r="H1171" i="2"/>
  <c r="H1170" i="2"/>
  <c r="H1169" i="2"/>
  <c r="H1168" i="2"/>
  <c r="H1167" i="2"/>
  <c r="H1166" i="2"/>
  <c r="H1165" i="2"/>
  <c r="H1164" i="2"/>
  <c r="H1163" i="2"/>
  <c r="H1162" i="2"/>
  <c r="H1161" i="2"/>
  <c r="H1160" i="2"/>
  <c r="H1159" i="2"/>
  <c r="H1158" i="2"/>
  <c r="H1157" i="2"/>
  <c r="H1156" i="2"/>
  <c r="H1155" i="2"/>
  <c r="H1154" i="2"/>
  <c r="H1153" i="2"/>
  <c r="H1152" i="2"/>
  <c r="H1151" i="2"/>
  <c r="H1150" i="2"/>
  <c r="H1149" i="2"/>
  <c r="H1148" i="2"/>
  <c r="H1147" i="2"/>
  <c r="H1146" i="2"/>
  <c r="H1145" i="2"/>
  <c r="H1144" i="2"/>
  <c r="H1143" i="2"/>
  <c r="H1142" i="2"/>
  <c r="H1141" i="2"/>
  <c r="H1140" i="2"/>
  <c r="H1139" i="2"/>
  <c r="H1138" i="2"/>
  <c r="H1137" i="2"/>
  <c r="H1136" i="2"/>
  <c r="H1135" i="2"/>
  <c r="H1134" i="2"/>
  <c r="H1133" i="2"/>
  <c r="H1132" i="2"/>
  <c r="H1131" i="2"/>
  <c r="H1130" i="2"/>
  <c r="H1129" i="2"/>
  <c r="H1128" i="2"/>
  <c r="H1127" i="2"/>
  <c r="H1126" i="2"/>
  <c r="H1125" i="2"/>
  <c r="H1124" i="2"/>
  <c r="H1123" i="2"/>
  <c r="H1122" i="2"/>
  <c r="H1121" i="2"/>
  <c r="H1120" i="2"/>
  <c r="H1119" i="2"/>
  <c r="H1118" i="2"/>
  <c r="H1117" i="2"/>
  <c r="H1116" i="2"/>
  <c r="H1115" i="2"/>
  <c r="H1114" i="2"/>
  <c r="H1113" i="2"/>
  <c r="H1112" i="2"/>
  <c r="H1111" i="2"/>
  <c r="H1110" i="2"/>
  <c r="H1109" i="2"/>
  <c r="H1108" i="2"/>
  <c r="H1107" i="2"/>
  <c r="H1106" i="2"/>
  <c r="H1105" i="2"/>
  <c r="H1104" i="2"/>
  <c r="H1103" i="2"/>
  <c r="H1102" i="2"/>
  <c r="H1101" i="2"/>
  <c r="H1100" i="2"/>
  <c r="H1099" i="2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H1040" i="2"/>
  <c r="H1039" i="2"/>
  <c r="H1038" i="2"/>
  <c r="H1037" i="2"/>
  <c r="H1036" i="2"/>
  <c r="H1035" i="2"/>
  <c r="H1034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K334" i="1"/>
  <c r="L334" i="1" s="1"/>
  <c r="M334" i="1" s="1"/>
  <c r="K322" i="1"/>
  <c r="L322" i="1" s="1"/>
  <c r="M322" i="1" s="1"/>
  <c r="K319" i="1"/>
  <c r="L319" i="1" s="1"/>
  <c r="M319" i="1" s="1"/>
  <c r="K302" i="1"/>
  <c r="M302" i="1" s="1"/>
  <c r="K284" i="1"/>
  <c r="L284" i="1" s="1"/>
  <c r="M284" i="1" s="1"/>
  <c r="K251" i="1"/>
  <c r="L251" i="1" s="1"/>
  <c r="M251" i="1" s="1"/>
  <c r="K248" i="1"/>
  <c r="L248" i="1" s="1"/>
  <c r="M248" i="1" s="1"/>
  <c r="K236" i="1"/>
  <c r="K212" i="1"/>
  <c r="L212" i="1" s="1"/>
  <c r="M212" i="1" s="1"/>
  <c r="X179" i="1"/>
  <c r="X174" i="1"/>
  <c r="K166" i="1"/>
  <c r="K163" i="1"/>
  <c r="K161" i="1"/>
  <c r="L161" i="1" s="1"/>
  <c r="M161" i="1" s="1"/>
  <c r="K160" i="1"/>
  <c r="K157" i="1"/>
  <c r="K154" i="1"/>
  <c r="K153" i="1"/>
  <c r="K148" i="1"/>
  <c r="K147" i="1"/>
  <c r="L147" i="1" s="1"/>
  <c r="M147" i="1" s="1"/>
  <c r="K145" i="1"/>
  <c r="L145" i="1" s="1"/>
  <c r="M145" i="1" s="1"/>
  <c r="K140" i="1"/>
  <c r="K139" i="1"/>
  <c r="K138" i="1"/>
  <c r="L138" i="1" s="1"/>
  <c r="M138" i="1" s="1"/>
  <c r="K136" i="1"/>
  <c r="K134" i="1"/>
  <c r="L134" i="1" s="1"/>
  <c r="M134" i="1" s="1"/>
  <c r="K133" i="1"/>
  <c r="K132" i="1"/>
  <c r="L132" i="1" s="1"/>
  <c r="M132" i="1" s="1"/>
  <c r="K130" i="1"/>
  <c r="K123" i="1"/>
  <c r="M123" i="1" s="1"/>
  <c r="K121" i="1"/>
  <c r="K118" i="1"/>
  <c r="K113" i="1"/>
  <c r="M113" i="1" s="1"/>
  <c r="K112" i="1"/>
  <c r="K109" i="1"/>
  <c r="K107" i="1"/>
  <c r="K105" i="1"/>
  <c r="L105" i="1" s="1"/>
  <c r="M105" i="1" s="1"/>
  <c r="K103" i="1"/>
  <c r="K101" i="1"/>
  <c r="K100" i="1"/>
  <c r="L100" i="1" s="1"/>
  <c r="M100" i="1" s="1"/>
  <c r="K92" i="1"/>
  <c r="L92" i="1" s="1"/>
  <c r="M92" i="1" s="1"/>
  <c r="K91" i="1"/>
  <c r="K90" i="1"/>
  <c r="L90" i="1" s="1"/>
  <c r="M90" i="1" s="1"/>
  <c r="K87" i="1"/>
  <c r="L87" i="1" s="1"/>
  <c r="M87" i="1" s="1"/>
  <c r="K85" i="1"/>
  <c r="K82" i="1"/>
  <c r="X80" i="1"/>
  <c r="K79" i="1"/>
  <c r="K72" i="1"/>
  <c r="L72" i="1" s="1"/>
  <c r="M72" i="1" s="1"/>
  <c r="X71" i="1"/>
  <c r="X65" i="1"/>
  <c r="K64" i="1"/>
  <c r="X63" i="1"/>
  <c r="X62" i="1"/>
  <c r="K57" i="1"/>
  <c r="X56" i="1"/>
  <c r="K55" i="1"/>
  <c r="X53" i="1"/>
  <c r="K52" i="1"/>
  <c r="X51" i="1"/>
  <c r="X50" i="1"/>
  <c r="K49" i="1"/>
  <c r="K48" i="1"/>
  <c r="L48" i="1" s="1"/>
  <c r="M48" i="1" s="1"/>
  <c r="K40" i="1"/>
  <c r="K39" i="1"/>
  <c r="L39" i="1" s="1"/>
  <c r="M39" i="1" s="1"/>
  <c r="K36" i="1"/>
  <c r="L36" i="1" s="1"/>
  <c r="M36" i="1" s="1"/>
  <c r="X35" i="1"/>
  <c r="K34" i="1"/>
  <c r="K33" i="1"/>
  <c r="X32" i="1"/>
  <c r="K31" i="1"/>
  <c r="K30" i="1"/>
  <c r="L30" i="1" s="1"/>
  <c r="M30" i="1" s="1"/>
  <c r="K29" i="1"/>
  <c r="K28" i="1"/>
  <c r="K27" i="1"/>
  <c r="L27" i="1" s="1"/>
  <c r="M27" i="1" s="1"/>
  <c r="X26" i="1"/>
  <c r="K25" i="1"/>
  <c r="K24" i="1"/>
  <c r="X23" i="1"/>
  <c r="K22" i="1"/>
  <c r="K21" i="1"/>
  <c r="L21" i="1" s="1"/>
  <c r="M21" i="1" s="1"/>
  <c r="K20" i="1"/>
  <c r="K19" i="1"/>
  <c r="K18" i="1"/>
  <c r="L18" i="1" s="1"/>
  <c r="M18" i="1" s="1"/>
  <c r="X17" i="1"/>
  <c r="K16" i="1"/>
  <c r="K15" i="1"/>
  <c r="X14" i="1"/>
  <c r="K13" i="1"/>
  <c r="K12" i="1"/>
  <c r="L12" i="1" s="1"/>
  <c r="M12" i="1" s="1"/>
  <c r="K11" i="1"/>
  <c r="K9" i="1"/>
  <c r="L9" i="1" s="1"/>
  <c r="M9" i="1" s="1"/>
  <c r="K64" i="6"/>
  <c r="J19" i="6"/>
  <c r="X19" i="6" s="1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3" i="6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" i="1"/>
  <c r="J3" i="1"/>
  <c r="K3" i="1" s="1"/>
  <c r="L3" i="1" s="1"/>
  <c r="M3" i="1" s="1"/>
  <c r="A37" i="6"/>
  <c r="C37" i="6"/>
  <c r="G2170" i="2" s="1"/>
  <c r="D37" i="6"/>
  <c r="E37" i="6"/>
  <c r="G37" i="6"/>
  <c r="N37" i="6"/>
  <c r="O37" i="6"/>
  <c r="X37" i="6"/>
  <c r="A38" i="6"/>
  <c r="C38" i="6"/>
  <c r="G2171" i="2" s="1"/>
  <c r="D38" i="6"/>
  <c r="E38" i="6"/>
  <c r="G38" i="6"/>
  <c r="N38" i="6"/>
  <c r="O38" i="6"/>
  <c r="X38" i="6"/>
  <c r="A39" i="6"/>
  <c r="C39" i="6"/>
  <c r="G2172" i="2" s="1"/>
  <c r="D39" i="6"/>
  <c r="E39" i="6"/>
  <c r="G39" i="6"/>
  <c r="N39" i="6"/>
  <c r="O39" i="6"/>
  <c r="X39" i="6"/>
  <c r="A40" i="6"/>
  <c r="C40" i="6"/>
  <c r="G2173" i="2" s="1"/>
  <c r="D40" i="6"/>
  <c r="E40" i="6"/>
  <c r="G40" i="6"/>
  <c r="N40" i="6"/>
  <c r="O40" i="6"/>
  <c r="X40" i="6"/>
  <c r="A41" i="6"/>
  <c r="C41" i="6"/>
  <c r="G2174" i="2" s="1"/>
  <c r="D41" i="6"/>
  <c r="E41" i="6"/>
  <c r="G41" i="6"/>
  <c r="N41" i="6"/>
  <c r="O41" i="6"/>
  <c r="X41" i="6"/>
  <c r="A42" i="6"/>
  <c r="C42" i="6"/>
  <c r="G2175" i="2" s="1"/>
  <c r="D42" i="6"/>
  <c r="E42" i="6"/>
  <c r="G42" i="6"/>
  <c r="N42" i="6"/>
  <c r="O42" i="6"/>
  <c r="X42" i="6"/>
  <c r="A43" i="6"/>
  <c r="C43" i="6"/>
  <c r="G2176" i="2" s="1"/>
  <c r="D43" i="6"/>
  <c r="E43" i="6"/>
  <c r="G43" i="6"/>
  <c r="N43" i="6"/>
  <c r="O43" i="6"/>
  <c r="X43" i="6"/>
  <c r="A44" i="6"/>
  <c r="C44" i="6"/>
  <c r="G2177" i="2" s="1"/>
  <c r="D44" i="6"/>
  <c r="E44" i="6"/>
  <c r="G44" i="6"/>
  <c r="N44" i="6"/>
  <c r="O44" i="6"/>
  <c r="X44" i="6"/>
  <c r="A45" i="6"/>
  <c r="C45" i="6"/>
  <c r="G2178" i="2" s="1"/>
  <c r="D45" i="6"/>
  <c r="E45" i="6"/>
  <c r="G45" i="6"/>
  <c r="N45" i="6"/>
  <c r="O45" i="6"/>
  <c r="X45" i="6"/>
  <c r="A46" i="6"/>
  <c r="C46" i="6"/>
  <c r="G2179" i="2" s="1"/>
  <c r="D46" i="6"/>
  <c r="E46" i="6"/>
  <c r="G46" i="6"/>
  <c r="N46" i="6"/>
  <c r="J46" i="6" s="1"/>
  <c r="X46" i="6" s="1"/>
  <c r="O46" i="6"/>
  <c r="A47" i="6"/>
  <c r="C47" i="6"/>
  <c r="G2180" i="2" s="1"/>
  <c r="D47" i="6"/>
  <c r="E47" i="6"/>
  <c r="G47" i="6"/>
  <c r="N47" i="6"/>
  <c r="O47" i="6"/>
  <c r="X47" i="6"/>
  <c r="A48" i="6"/>
  <c r="C48" i="6"/>
  <c r="G2169" i="2" s="1"/>
  <c r="D48" i="6"/>
  <c r="E48" i="6"/>
  <c r="G48" i="6"/>
  <c r="N48" i="6"/>
  <c r="O48" i="6"/>
  <c r="X48" i="6"/>
  <c r="A49" i="6"/>
  <c r="C49" i="6"/>
  <c r="G2181" i="2" s="1"/>
  <c r="D49" i="6"/>
  <c r="E49" i="6"/>
  <c r="G49" i="6"/>
  <c r="N49" i="6"/>
  <c r="O49" i="6"/>
  <c r="X49" i="6"/>
  <c r="A50" i="6"/>
  <c r="C50" i="6"/>
  <c r="G2182" i="2" s="1"/>
  <c r="D50" i="6"/>
  <c r="E50" i="6"/>
  <c r="G50" i="6"/>
  <c r="N50" i="6"/>
  <c r="O50" i="6"/>
  <c r="X50" i="6"/>
  <c r="A51" i="6"/>
  <c r="C51" i="6"/>
  <c r="G2183" i="2" s="1"/>
  <c r="D51" i="6"/>
  <c r="E51" i="6"/>
  <c r="G51" i="6"/>
  <c r="N51" i="6"/>
  <c r="O51" i="6"/>
  <c r="X51" i="6"/>
  <c r="A52" i="6"/>
  <c r="C52" i="6"/>
  <c r="G2184" i="2" s="1"/>
  <c r="D52" i="6"/>
  <c r="E52" i="6"/>
  <c r="G52" i="6"/>
  <c r="N52" i="6"/>
  <c r="O52" i="6"/>
  <c r="X52" i="6"/>
  <c r="A53" i="6"/>
  <c r="C53" i="6"/>
  <c r="G2185" i="2" s="1"/>
  <c r="D53" i="6"/>
  <c r="E53" i="6"/>
  <c r="G53" i="6"/>
  <c r="N53" i="6"/>
  <c r="O53" i="6"/>
  <c r="X53" i="6"/>
  <c r="A54" i="6"/>
  <c r="C54" i="6"/>
  <c r="G2186" i="2" s="1"/>
  <c r="D54" i="6"/>
  <c r="E54" i="6"/>
  <c r="G54" i="6"/>
  <c r="N54" i="6"/>
  <c r="O54" i="6"/>
  <c r="X54" i="6"/>
  <c r="A55" i="6"/>
  <c r="C55" i="6"/>
  <c r="D55" i="6"/>
  <c r="E55" i="6"/>
  <c r="F55" i="6"/>
  <c r="G55" i="6"/>
  <c r="N55" i="6"/>
  <c r="O55" i="6"/>
  <c r="X55" i="6"/>
  <c r="A56" i="6"/>
  <c r="C56" i="6"/>
  <c r="D56" i="6"/>
  <c r="E56" i="6"/>
  <c r="F56" i="6"/>
  <c r="G56" i="6"/>
  <c r="N56" i="6"/>
  <c r="O56" i="6"/>
  <c r="X56" i="6"/>
  <c r="A57" i="6"/>
  <c r="C57" i="6"/>
  <c r="D57" i="6"/>
  <c r="E57" i="6"/>
  <c r="F57" i="6"/>
  <c r="G57" i="6"/>
  <c r="N57" i="6"/>
  <c r="O57" i="6"/>
  <c r="X57" i="6"/>
  <c r="A58" i="6"/>
  <c r="C58" i="6"/>
  <c r="D58" i="6"/>
  <c r="E58" i="6"/>
  <c r="F58" i="6"/>
  <c r="G58" i="6"/>
  <c r="N58" i="6"/>
  <c r="O58" i="6"/>
  <c r="X58" i="6"/>
  <c r="A59" i="6"/>
  <c r="C59" i="6"/>
  <c r="D59" i="6"/>
  <c r="E59" i="6"/>
  <c r="F59" i="6"/>
  <c r="G59" i="6"/>
  <c r="N59" i="6"/>
  <c r="O59" i="6"/>
  <c r="X59" i="6"/>
  <c r="A60" i="6"/>
  <c r="C60" i="6"/>
  <c r="D60" i="6"/>
  <c r="E60" i="6"/>
  <c r="F60" i="6"/>
  <c r="G60" i="6"/>
  <c r="N60" i="6"/>
  <c r="O60" i="6"/>
  <c r="X60" i="6"/>
  <c r="A61" i="6"/>
  <c r="C61" i="6"/>
  <c r="D61" i="6"/>
  <c r="E61" i="6"/>
  <c r="F61" i="6"/>
  <c r="G61" i="6"/>
  <c r="N61" i="6"/>
  <c r="O61" i="6"/>
  <c r="X61" i="6"/>
  <c r="A62" i="6"/>
  <c r="C62" i="6"/>
  <c r="D62" i="6"/>
  <c r="E62" i="6"/>
  <c r="F62" i="6"/>
  <c r="G62" i="6"/>
  <c r="N62" i="6"/>
  <c r="O62" i="6"/>
  <c r="X62" i="6"/>
  <c r="A63" i="6"/>
  <c r="C63" i="6"/>
  <c r="D63" i="6"/>
  <c r="E63" i="6"/>
  <c r="F63" i="6"/>
  <c r="G63" i="6"/>
  <c r="N63" i="6"/>
  <c r="O63" i="6"/>
  <c r="X63" i="6"/>
  <c r="A64" i="6"/>
  <c r="C64" i="6"/>
  <c r="D64" i="6"/>
  <c r="E64" i="6"/>
  <c r="F64" i="6"/>
  <c r="G64" i="6"/>
  <c r="N64" i="6"/>
  <c r="O64" i="6"/>
  <c r="X64" i="6"/>
  <c r="A65" i="6"/>
  <c r="C65" i="6"/>
  <c r="D65" i="6"/>
  <c r="E65" i="6"/>
  <c r="F65" i="6"/>
  <c r="G65" i="6"/>
  <c r="N65" i="6"/>
  <c r="O65" i="6"/>
  <c r="X65" i="6"/>
  <c r="A66" i="6"/>
  <c r="C66" i="6"/>
  <c r="D66" i="6"/>
  <c r="E66" i="6"/>
  <c r="F66" i="6"/>
  <c r="G66" i="6"/>
  <c r="N66" i="6"/>
  <c r="O66" i="6"/>
  <c r="X66" i="6"/>
  <c r="A67" i="6"/>
  <c r="C67" i="6"/>
  <c r="D67" i="6"/>
  <c r="E67" i="6"/>
  <c r="F67" i="6"/>
  <c r="G67" i="6"/>
  <c r="N67" i="6"/>
  <c r="O67" i="6"/>
  <c r="X67" i="6"/>
  <c r="A68" i="6"/>
  <c r="C68" i="6"/>
  <c r="D68" i="6"/>
  <c r="E68" i="6"/>
  <c r="F68" i="6"/>
  <c r="G68" i="6"/>
  <c r="N68" i="6"/>
  <c r="O68" i="6"/>
  <c r="X68" i="6"/>
  <c r="A69" i="6"/>
  <c r="C69" i="6"/>
  <c r="D69" i="6"/>
  <c r="E69" i="6"/>
  <c r="F69" i="6"/>
  <c r="G69" i="6"/>
  <c r="N69" i="6"/>
  <c r="O69" i="6"/>
  <c r="X69" i="6"/>
  <c r="A35" i="6"/>
  <c r="C35" i="6"/>
  <c r="D35" i="6"/>
  <c r="E35" i="6"/>
  <c r="G35" i="6"/>
  <c r="N35" i="6"/>
  <c r="J35" i="6" s="1"/>
  <c r="O35" i="6"/>
  <c r="X35" i="6"/>
  <c r="A36" i="6"/>
  <c r="C36" i="6"/>
  <c r="D36" i="6"/>
  <c r="E36" i="6"/>
  <c r="G36" i="6"/>
  <c r="N36" i="6"/>
  <c r="O36" i="6"/>
  <c r="X36" i="6"/>
  <c r="A34" i="6"/>
  <c r="C34" i="6"/>
  <c r="D34" i="6"/>
  <c r="E34" i="6"/>
  <c r="F34" i="6"/>
  <c r="G34" i="6"/>
  <c r="N34" i="6"/>
  <c r="O34" i="6"/>
  <c r="X34" i="6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2" i="5"/>
  <c r="B315" i="1"/>
  <c r="C315" i="1"/>
  <c r="D315" i="1"/>
  <c r="F315" i="1"/>
  <c r="N315" i="1"/>
  <c r="X315" i="1" s="1"/>
  <c r="O315" i="1"/>
  <c r="B316" i="1"/>
  <c r="C316" i="1"/>
  <c r="D316" i="1"/>
  <c r="F316" i="1"/>
  <c r="N316" i="1"/>
  <c r="O316" i="1"/>
  <c r="X316" i="1"/>
  <c r="B317" i="1"/>
  <c r="C317" i="1"/>
  <c r="D317" i="1"/>
  <c r="F317" i="1"/>
  <c r="N317" i="1"/>
  <c r="O317" i="1"/>
  <c r="X317" i="1"/>
  <c r="B318" i="1"/>
  <c r="G1031" i="2" s="1"/>
  <c r="C318" i="1"/>
  <c r="D318" i="1"/>
  <c r="F318" i="1"/>
  <c r="N318" i="1"/>
  <c r="O318" i="1"/>
  <c r="X318" i="1"/>
  <c r="B319" i="1"/>
  <c r="C319" i="1"/>
  <c r="D319" i="1"/>
  <c r="F319" i="1"/>
  <c r="N319" i="1"/>
  <c r="O319" i="1"/>
  <c r="X319" i="1"/>
  <c r="B320" i="1"/>
  <c r="C320" i="1"/>
  <c r="D320" i="1"/>
  <c r="F320" i="1"/>
  <c r="N320" i="1"/>
  <c r="O320" i="1"/>
  <c r="X320" i="1"/>
  <c r="B321" i="1"/>
  <c r="C321" i="1"/>
  <c r="D321" i="1"/>
  <c r="E321" i="1"/>
  <c r="F321" i="1"/>
  <c r="N321" i="1"/>
  <c r="P321" i="1" s="1"/>
  <c r="O321" i="1"/>
  <c r="X321" i="1"/>
  <c r="B322" i="1"/>
  <c r="C322" i="1"/>
  <c r="D322" i="1"/>
  <c r="E322" i="1"/>
  <c r="F322" i="1"/>
  <c r="N322" i="1"/>
  <c r="O322" i="1"/>
  <c r="X322" i="1"/>
  <c r="B323" i="1"/>
  <c r="C323" i="1"/>
  <c r="D323" i="1"/>
  <c r="E323" i="1"/>
  <c r="F323" i="1"/>
  <c r="N323" i="1"/>
  <c r="O323" i="1"/>
  <c r="X323" i="1"/>
  <c r="B324" i="1"/>
  <c r="C324" i="1"/>
  <c r="D324" i="1"/>
  <c r="E324" i="1"/>
  <c r="F324" i="1"/>
  <c r="N324" i="1"/>
  <c r="O324" i="1"/>
  <c r="X324" i="1"/>
  <c r="B325" i="1"/>
  <c r="C325" i="1"/>
  <c r="D325" i="1"/>
  <c r="E325" i="1"/>
  <c r="F325" i="1"/>
  <c r="N325" i="1"/>
  <c r="O325" i="1"/>
  <c r="X325" i="1"/>
  <c r="B326" i="1"/>
  <c r="C326" i="1"/>
  <c r="D326" i="1"/>
  <c r="E326" i="1"/>
  <c r="F326" i="1"/>
  <c r="N326" i="1"/>
  <c r="O326" i="1"/>
  <c r="X326" i="1"/>
  <c r="B327" i="1"/>
  <c r="C327" i="1"/>
  <c r="D327" i="1"/>
  <c r="E327" i="1"/>
  <c r="F327" i="1"/>
  <c r="N327" i="1"/>
  <c r="O327" i="1"/>
  <c r="X327" i="1"/>
  <c r="B328" i="1"/>
  <c r="C328" i="1"/>
  <c r="D328" i="1"/>
  <c r="E328" i="1"/>
  <c r="F328" i="1"/>
  <c r="N328" i="1"/>
  <c r="O328" i="1"/>
  <c r="X328" i="1"/>
  <c r="B329" i="1"/>
  <c r="C329" i="1"/>
  <c r="D329" i="1"/>
  <c r="E329" i="1"/>
  <c r="F329" i="1"/>
  <c r="N329" i="1"/>
  <c r="P329" i="1" s="1"/>
  <c r="O329" i="1"/>
  <c r="X329" i="1"/>
  <c r="B330" i="1"/>
  <c r="C330" i="1"/>
  <c r="D330" i="1"/>
  <c r="E330" i="1"/>
  <c r="F330" i="1"/>
  <c r="N330" i="1"/>
  <c r="O330" i="1"/>
  <c r="X330" i="1"/>
  <c r="B331" i="1"/>
  <c r="C331" i="1"/>
  <c r="D331" i="1"/>
  <c r="E331" i="1"/>
  <c r="F331" i="1"/>
  <c r="N331" i="1"/>
  <c r="O331" i="1"/>
  <c r="X331" i="1"/>
  <c r="B332" i="1"/>
  <c r="C332" i="1"/>
  <c r="D332" i="1"/>
  <c r="E332" i="1"/>
  <c r="F332" i="1"/>
  <c r="N332" i="1"/>
  <c r="O332" i="1"/>
  <c r="X332" i="1"/>
  <c r="B333" i="1"/>
  <c r="C333" i="1"/>
  <c r="D333" i="1"/>
  <c r="E333" i="1"/>
  <c r="F333" i="1"/>
  <c r="N333" i="1"/>
  <c r="P333" i="1" s="1"/>
  <c r="O333" i="1"/>
  <c r="X333" i="1"/>
  <c r="B334" i="1"/>
  <c r="C334" i="1"/>
  <c r="D334" i="1"/>
  <c r="E334" i="1"/>
  <c r="F334" i="1"/>
  <c r="N334" i="1"/>
  <c r="O334" i="1"/>
  <c r="X334" i="1"/>
  <c r="B335" i="1"/>
  <c r="C335" i="1"/>
  <c r="D335" i="1"/>
  <c r="E335" i="1"/>
  <c r="F335" i="1"/>
  <c r="N335" i="1"/>
  <c r="P335" i="1" s="1"/>
  <c r="O335" i="1"/>
  <c r="X335" i="1"/>
  <c r="B336" i="1"/>
  <c r="C336" i="1"/>
  <c r="D336" i="1"/>
  <c r="E336" i="1"/>
  <c r="F336" i="1"/>
  <c r="N336" i="1"/>
  <c r="P336" i="1" s="1"/>
  <c r="O336" i="1"/>
  <c r="X336" i="1"/>
  <c r="B314" i="1"/>
  <c r="C314" i="1"/>
  <c r="D314" i="1"/>
  <c r="F314" i="1"/>
  <c r="N314" i="1"/>
  <c r="O314" i="1"/>
  <c r="X5" i="1"/>
  <c r="X6" i="1"/>
  <c r="X7" i="1"/>
  <c r="X9" i="1"/>
  <c r="X20" i="1"/>
  <c r="X72" i="1"/>
  <c r="X75" i="1"/>
  <c r="X82" i="1"/>
  <c r="X83" i="1"/>
  <c r="X85" i="1"/>
  <c r="X86" i="1"/>
  <c r="X90" i="1"/>
  <c r="X91" i="1"/>
  <c r="X92" i="1"/>
  <c r="X93" i="1"/>
  <c r="X94" i="1"/>
  <c r="X96" i="1"/>
  <c r="X97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5" i="1"/>
  <c r="X117" i="1"/>
  <c r="X118" i="1"/>
  <c r="X121" i="1"/>
  <c r="X122" i="1"/>
  <c r="X123" i="1"/>
  <c r="X124" i="1"/>
  <c r="X126" i="1"/>
  <c r="X128" i="1"/>
  <c r="X130" i="1"/>
  <c r="X131" i="1"/>
  <c r="X132" i="1"/>
  <c r="X133" i="1"/>
  <c r="X134" i="1"/>
  <c r="X136" i="1"/>
  <c r="X138" i="1"/>
  <c r="X139" i="1"/>
  <c r="X140" i="1"/>
  <c r="X142" i="1"/>
  <c r="X143" i="1"/>
  <c r="X144" i="1"/>
  <c r="X145" i="1"/>
  <c r="X146" i="1"/>
  <c r="X147" i="1"/>
  <c r="X148" i="1"/>
  <c r="X151" i="1"/>
  <c r="X154" i="1"/>
  <c r="X155" i="1"/>
  <c r="X157" i="1"/>
  <c r="X158" i="1"/>
  <c r="X159" i="1"/>
  <c r="X160" i="1"/>
  <c r="X161" i="1"/>
  <c r="X162" i="1"/>
  <c r="X163" i="1"/>
  <c r="X164" i="1"/>
  <c r="X165" i="1"/>
  <c r="X167" i="1"/>
  <c r="X168" i="1"/>
  <c r="X169" i="1"/>
  <c r="X170" i="1"/>
  <c r="X171" i="1"/>
  <c r="X172" i="1"/>
  <c r="X173" i="1"/>
  <c r="X175" i="1"/>
  <c r="X176" i="1"/>
  <c r="X177" i="1"/>
  <c r="X180" i="1"/>
  <c r="X181" i="1"/>
  <c r="X182" i="1"/>
  <c r="X183" i="1"/>
  <c r="X184" i="1"/>
  <c r="X185" i="1"/>
  <c r="X186" i="1"/>
  <c r="X187" i="1"/>
  <c r="X188" i="1"/>
  <c r="X197" i="1"/>
  <c r="X198" i="1"/>
  <c r="X199" i="1"/>
  <c r="X200" i="1"/>
  <c r="X201" i="1"/>
  <c r="X202" i="1"/>
  <c r="X203" i="1"/>
  <c r="X204" i="1"/>
  <c r="X206" i="1"/>
  <c r="X208" i="1"/>
  <c r="X209" i="1"/>
  <c r="X210" i="1"/>
  <c r="X211" i="1"/>
  <c r="X212" i="1"/>
  <c r="X213" i="1"/>
  <c r="X214" i="1"/>
  <c r="X215" i="1"/>
  <c r="X216" i="1"/>
  <c r="X217" i="1"/>
  <c r="X221" i="1"/>
  <c r="X223" i="1"/>
  <c r="X224" i="1"/>
  <c r="X225" i="1"/>
  <c r="X226" i="1"/>
  <c r="X227" i="1"/>
  <c r="X228" i="1"/>
  <c r="X231" i="1"/>
  <c r="X232" i="1"/>
  <c r="X233" i="1"/>
  <c r="X234" i="1"/>
  <c r="X235" i="1"/>
  <c r="X236" i="1"/>
  <c r="X237" i="1"/>
  <c r="X242" i="1"/>
  <c r="X243" i="1"/>
  <c r="X244" i="1"/>
  <c r="X245" i="1"/>
  <c r="X246" i="1"/>
  <c r="X247" i="1"/>
  <c r="X248" i="1"/>
  <c r="X250" i="1"/>
  <c r="X251" i="1"/>
  <c r="X252" i="1"/>
  <c r="X253" i="1"/>
  <c r="X267" i="1"/>
  <c r="X268" i="1"/>
  <c r="X269" i="1"/>
  <c r="X271" i="1"/>
  <c r="X274" i="1"/>
  <c r="X275" i="1"/>
  <c r="X276" i="1"/>
  <c r="X277" i="1"/>
  <c r="X278" i="1"/>
  <c r="X279" i="1"/>
  <c r="X281" i="1"/>
  <c r="X284" i="1"/>
  <c r="X291" i="1"/>
  <c r="X292" i="1"/>
  <c r="X293" i="1"/>
  <c r="X296" i="1"/>
  <c r="X297" i="1"/>
  <c r="X300" i="1"/>
  <c r="X302" i="1"/>
  <c r="X305" i="1"/>
  <c r="X308" i="1"/>
  <c r="X309" i="1"/>
  <c r="X310" i="1"/>
  <c r="X311" i="1"/>
  <c r="X312" i="1"/>
  <c r="B4" i="1"/>
  <c r="C4" i="1"/>
  <c r="D4" i="1"/>
  <c r="F4" i="1"/>
  <c r="B5" i="1"/>
  <c r="C5" i="1"/>
  <c r="D5" i="1"/>
  <c r="F5" i="1"/>
  <c r="B6" i="1"/>
  <c r="C6" i="1"/>
  <c r="D6" i="1"/>
  <c r="F6" i="1"/>
  <c r="B7" i="1"/>
  <c r="C7" i="1"/>
  <c r="D7" i="1"/>
  <c r="F7" i="1"/>
  <c r="B8" i="1"/>
  <c r="C8" i="1"/>
  <c r="D8" i="1"/>
  <c r="F8" i="1"/>
  <c r="B9" i="1"/>
  <c r="G2638" i="2" s="1"/>
  <c r="C9" i="1"/>
  <c r="D9" i="1"/>
  <c r="F9" i="1"/>
  <c r="B10" i="1"/>
  <c r="C10" i="1"/>
  <c r="D10" i="1"/>
  <c r="F10" i="1"/>
  <c r="B11" i="1"/>
  <c r="G2141" i="2" s="1"/>
  <c r="C11" i="1"/>
  <c r="D11" i="1"/>
  <c r="F11" i="1"/>
  <c r="B12" i="1"/>
  <c r="C12" i="1"/>
  <c r="D12" i="1"/>
  <c r="F12" i="1"/>
  <c r="B13" i="1"/>
  <c r="C13" i="1"/>
  <c r="D13" i="1"/>
  <c r="F13" i="1"/>
  <c r="B14" i="1"/>
  <c r="C14" i="1"/>
  <c r="D14" i="1"/>
  <c r="F14" i="1"/>
  <c r="B15" i="1"/>
  <c r="C15" i="1"/>
  <c r="D15" i="1"/>
  <c r="F15" i="1"/>
  <c r="B16" i="1"/>
  <c r="C16" i="1"/>
  <c r="D16" i="1"/>
  <c r="F16" i="1"/>
  <c r="B17" i="1"/>
  <c r="C17" i="1"/>
  <c r="D17" i="1"/>
  <c r="F17" i="1"/>
  <c r="B18" i="1"/>
  <c r="G1837" i="2" s="1"/>
  <c r="C18" i="1"/>
  <c r="D18" i="1"/>
  <c r="F18" i="1"/>
  <c r="B19" i="1"/>
  <c r="C19" i="1"/>
  <c r="D19" i="1"/>
  <c r="F19" i="1"/>
  <c r="B20" i="1"/>
  <c r="C20" i="1"/>
  <c r="D20" i="1"/>
  <c r="F20" i="1"/>
  <c r="B21" i="1"/>
  <c r="C21" i="1"/>
  <c r="D21" i="1"/>
  <c r="F21" i="1"/>
  <c r="B22" i="1"/>
  <c r="C22" i="1"/>
  <c r="D22" i="1"/>
  <c r="F22" i="1"/>
  <c r="B23" i="1"/>
  <c r="C23" i="1"/>
  <c r="D23" i="1"/>
  <c r="F23" i="1"/>
  <c r="B24" i="1"/>
  <c r="C24" i="1"/>
  <c r="D24" i="1"/>
  <c r="F24" i="1"/>
  <c r="B25" i="1"/>
  <c r="G1866" i="2" s="1"/>
  <c r="C25" i="1"/>
  <c r="D25" i="1"/>
  <c r="F25" i="1"/>
  <c r="B26" i="1"/>
  <c r="C26" i="1"/>
  <c r="D26" i="1"/>
  <c r="F26" i="1"/>
  <c r="B27" i="1"/>
  <c r="G1864" i="2" s="1"/>
  <c r="C27" i="1"/>
  <c r="D27" i="1"/>
  <c r="F27" i="1"/>
  <c r="B28" i="1"/>
  <c r="G1825" i="2" s="1"/>
  <c r="C28" i="1"/>
  <c r="D28" i="1"/>
  <c r="F28" i="1"/>
  <c r="B29" i="1"/>
  <c r="G1863" i="2" s="1"/>
  <c r="C29" i="1"/>
  <c r="D29" i="1"/>
  <c r="F29" i="1"/>
  <c r="B30" i="1"/>
  <c r="C30" i="1"/>
  <c r="D30" i="1"/>
  <c r="F30" i="1"/>
  <c r="B31" i="1"/>
  <c r="G1878" i="2" s="1"/>
  <c r="C31" i="1"/>
  <c r="D31" i="1"/>
  <c r="F31" i="1"/>
  <c r="B32" i="1"/>
  <c r="G1881" i="2" s="1"/>
  <c r="C32" i="1"/>
  <c r="D32" i="1"/>
  <c r="F32" i="1"/>
  <c r="B33" i="1"/>
  <c r="G1822" i="2" s="1"/>
  <c r="C33" i="1"/>
  <c r="D33" i="1"/>
  <c r="F33" i="1"/>
  <c r="B34" i="1"/>
  <c r="C34" i="1"/>
  <c r="D34" i="1"/>
  <c r="F34" i="1"/>
  <c r="B35" i="1"/>
  <c r="G1867" i="2" s="1"/>
  <c r="C35" i="1"/>
  <c r="D35" i="1"/>
  <c r="F35" i="1"/>
  <c r="B36" i="1"/>
  <c r="C36" i="1"/>
  <c r="D36" i="1"/>
  <c r="F36" i="1"/>
  <c r="B37" i="1"/>
  <c r="C37" i="1"/>
  <c r="D37" i="1"/>
  <c r="F37" i="1"/>
  <c r="B38" i="1"/>
  <c r="C38" i="1"/>
  <c r="D38" i="1"/>
  <c r="F38" i="1"/>
  <c r="B39" i="1"/>
  <c r="C39" i="1"/>
  <c r="D39" i="1"/>
  <c r="F39" i="1"/>
  <c r="B40" i="1"/>
  <c r="C40" i="1"/>
  <c r="D40" i="1"/>
  <c r="F40" i="1"/>
  <c r="B41" i="1"/>
  <c r="C41" i="1"/>
  <c r="D41" i="1"/>
  <c r="F41" i="1"/>
  <c r="B42" i="1"/>
  <c r="C42" i="1"/>
  <c r="D42" i="1"/>
  <c r="F42" i="1"/>
  <c r="B43" i="1"/>
  <c r="C43" i="1"/>
  <c r="D43" i="1"/>
  <c r="F43" i="1"/>
  <c r="B44" i="1"/>
  <c r="C44" i="1"/>
  <c r="D44" i="1"/>
  <c r="F44" i="1"/>
  <c r="B45" i="1"/>
  <c r="C45" i="1"/>
  <c r="D45" i="1"/>
  <c r="F45" i="1"/>
  <c r="B46" i="1"/>
  <c r="C46" i="1"/>
  <c r="D46" i="1"/>
  <c r="F46" i="1"/>
  <c r="B47" i="1"/>
  <c r="C47" i="1"/>
  <c r="D47" i="1"/>
  <c r="F47" i="1"/>
  <c r="B48" i="1"/>
  <c r="C48" i="1"/>
  <c r="D48" i="1"/>
  <c r="F48" i="1"/>
  <c r="B49" i="1"/>
  <c r="C49" i="1"/>
  <c r="D49" i="1"/>
  <c r="F49" i="1"/>
  <c r="B50" i="1"/>
  <c r="G1513" i="2" s="1"/>
  <c r="C50" i="1"/>
  <c r="D50" i="1"/>
  <c r="F50" i="1"/>
  <c r="B51" i="1"/>
  <c r="G1499" i="2" s="1"/>
  <c r="C51" i="1"/>
  <c r="D51" i="1"/>
  <c r="F51" i="1"/>
  <c r="B52" i="1"/>
  <c r="C52" i="1"/>
  <c r="D52" i="1"/>
  <c r="F52" i="1"/>
  <c r="B53" i="1"/>
  <c r="C53" i="1"/>
  <c r="D53" i="1"/>
  <c r="F53" i="1"/>
  <c r="B54" i="1"/>
  <c r="C54" i="1"/>
  <c r="D54" i="1"/>
  <c r="F54" i="1"/>
  <c r="B55" i="1"/>
  <c r="G1502" i="2" s="1"/>
  <c r="C55" i="1"/>
  <c r="D55" i="1"/>
  <c r="F55" i="1"/>
  <c r="B56" i="1"/>
  <c r="C56" i="1"/>
  <c r="D56" i="1"/>
  <c r="F56" i="1"/>
  <c r="B57" i="1"/>
  <c r="C57" i="1"/>
  <c r="D57" i="1"/>
  <c r="F57" i="1"/>
  <c r="B58" i="1"/>
  <c r="C58" i="1"/>
  <c r="D58" i="1"/>
  <c r="F58" i="1"/>
  <c r="B59" i="1"/>
  <c r="C59" i="1"/>
  <c r="D59" i="1"/>
  <c r="F59" i="1"/>
  <c r="B60" i="1"/>
  <c r="C60" i="1"/>
  <c r="D60" i="1"/>
  <c r="F60" i="1"/>
  <c r="B61" i="1"/>
  <c r="C61" i="1"/>
  <c r="D61" i="1"/>
  <c r="F61" i="1"/>
  <c r="B62" i="1"/>
  <c r="G1738" i="2" s="1"/>
  <c r="C62" i="1"/>
  <c r="D62" i="1"/>
  <c r="F62" i="1"/>
  <c r="B63" i="1"/>
  <c r="G1739" i="2" s="1"/>
  <c r="C63" i="1"/>
  <c r="D63" i="1"/>
  <c r="F63" i="1"/>
  <c r="B64" i="1"/>
  <c r="G1743" i="2" s="1"/>
  <c r="C64" i="1"/>
  <c r="D64" i="1"/>
  <c r="F64" i="1"/>
  <c r="B65" i="1"/>
  <c r="G1745" i="2" s="1"/>
  <c r="C65" i="1"/>
  <c r="D65" i="1"/>
  <c r="F65" i="1"/>
  <c r="B66" i="1"/>
  <c r="C66" i="1"/>
  <c r="D66" i="1"/>
  <c r="F66" i="1"/>
  <c r="B67" i="1"/>
  <c r="C67" i="1"/>
  <c r="D67" i="1"/>
  <c r="F67" i="1"/>
  <c r="B68" i="1"/>
  <c r="C68" i="1"/>
  <c r="D68" i="1"/>
  <c r="F68" i="1"/>
  <c r="B69" i="1"/>
  <c r="C69" i="1"/>
  <c r="D69" i="1"/>
  <c r="F69" i="1"/>
  <c r="B70" i="1"/>
  <c r="C70" i="1"/>
  <c r="D70" i="1"/>
  <c r="F70" i="1"/>
  <c r="B71" i="1"/>
  <c r="C71" i="1"/>
  <c r="D71" i="1"/>
  <c r="F71" i="1"/>
  <c r="B72" i="1"/>
  <c r="C72" i="1"/>
  <c r="D72" i="1"/>
  <c r="F72" i="1"/>
  <c r="B73" i="1"/>
  <c r="C73" i="1"/>
  <c r="D73" i="1"/>
  <c r="F73" i="1"/>
  <c r="B74" i="1"/>
  <c r="C74" i="1"/>
  <c r="D74" i="1"/>
  <c r="F74" i="1"/>
  <c r="B75" i="1"/>
  <c r="G1749" i="2" s="1"/>
  <c r="C75" i="1"/>
  <c r="D75" i="1"/>
  <c r="F75" i="1"/>
  <c r="B76" i="1"/>
  <c r="C76" i="1"/>
  <c r="D76" i="1"/>
  <c r="F76" i="1"/>
  <c r="B77" i="1"/>
  <c r="C77" i="1"/>
  <c r="D77" i="1"/>
  <c r="F77" i="1"/>
  <c r="B78" i="1"/>
  <c r="C78" i="1"/>
  <c r="D78" i="1"/>
  <c r="F78" i="1"/>
  <c r="B79" i="1"/>
  <c r="C79" i="1"/>
  <c r="D79" i="1"/>
  <c r="F79" i="1"/>
  <c r="B80" i="1"/>
  <c r="C80" i="1"/>
  <c r="D80" i="1"/>
  <c r="F80" i="1"/>
  <c r="B81" i="1"/>
  <c r="C81" i="1"/>
  <c r="D81" i="1"/>
  <c r="F81" i="1"/>
  <c r="B82" i="1"/>
  <c r="G1753" i="2" s="1"/>
  <c r="C82" i="1"/>
  <c r="D82" i="1"/>
  <c r="F82" i="1"/>
  <c r="B83" i="1"/>
  <c r="C83" i="1"/>
  <c r="D83" i="1"/>
  <c r="F83" i="1"/>
  <c r="B84" i="1"/>
  <c r="C84" i="1"/>
  <c r="D84" i="1"/>
  <c r="F84" i="1"/>
  <c r="B85" i="1"/>
  <c r="C85" i="1"/>
  <c r="D85" i="1"/>
  <c r="F85" i="1"/>
  <c r="B86" i="1"/>
  <c r="C86" i="1"/>
  <c r="D86" i="1"/>
  <c r="F86" i="1"/>
  <c r="B87" i="1"/>
  <c r="G1760" i="2" s="1"/>
  <c r="C87" i="1"/>
  <c r="D87" i="1"/>
  <c r="F87" i="1"/>
  <c r="B88" i="1"/>
  <c r="C88" i="1"/>
  <c r="D88" i="1"/>
  <c r="F88" i="1"/>
  <c r="B89" i="1"/>
  <c r="C89" i="1"/>
  <c r="D89" i="1"/>
  <c r="F89" i="1"/>
  <c r="B90" i="1"/>
  <c r="C90" i="1"/>
  <c r="D90" i="1"/>
  <c r="F90" i="1"/>
  <c r="B91" i="1"/>
  <c r="G1765" i="2" s="1"/>
  <c r="C91" i="1"/>
  <c r="D91" i="1"/>
  <c r="F91" i="1"/>
  <c r="B92" i="1"/>
  <c r="C92" i="1"/>
  <c r="D92" i="1"/>
  <c r="F92" i="1"/>
  <c r="B93" i="1"/>
  <c r="C93" i="1"/>
  <c r="D93" i="1"/>
  <c r="F93" i="1"/>
  <c r="B94" i="1"/>
  <c r="C94" i="1"/>
  <c r="D94" i="1"/>
  <c r="F94" i="1"/>
  <c r="B95" i="1"/>
  <c r="C95" i="1"/>
  <c r="D95" i="1"/>
  <c r="F95" i="1"/>
  <c r="B96" i="1"/>
  <c r="C96" i="1"/>
  <c r="D96" i="1"/>
  <c r="F96" i="1"/>
  <c r="B97" i="1"/>
  <c r="C97" i="1"/>
  <c r="D97" i="1"/>
  <c r="F97" i="1"/>
  <c r="B98" i="1"/>
  <c r="C98" i="1"/>
  <c r="D98" i="1"/>
  <c r="F98" i="1"/>
  <c r="B99" i="1"/>
  <c r="C99" i="1"/>
  <c r="D99" i="1"/>
  <c r="F99" i="1"/>
  <c r="B100" i="1"/>
  <c r="C100" i="1"/>
  <c r="D100" i="1"/>
  <c r="F100" i="1"/>
  <c r="B101" i="1"/>
  <c r="C101" i="1"/>
  <c r="D101" i="1"/>
  <c r="F101" i="1"/>
  <c r="B102" i="1"/>
  <c r="G1432" i="2" s="1"/>
  <c r="C102" i="1"/>
  <c r="D102" i="1"/>
  <c r="F102" i="1"/>
  <c r="B103" i="1"/>
  <c r="G1434" i="2" s="1"/>
  <c r="C103" i="1"/>
  <c r="D103" i="1"/>
  <c r="F103" i="1"/>
  <c r="B104" i="1"/>
  <c r="C104" i="1"/>
  <c r="D104" i="1"/>
  <c r="F104" i="1"/>
  <c r="B105" i="1"/>
  <c r="C105" i="1"/>
  <c r="D105" i="1"/>
  <c r="F105" i="1"/>
  <c r="B106" i="1"/>
  <c r="C106" i="1"/>
  <c r="D106" i="1"/>
  <c r="F106" i="1"/>
  <c r="B107" i="1"/>
  <c r="C107" i="1"/>
  <c r="D107" i="1"/>
  <c r="F107" i="1"/>
  <c r="B108" i="1"/>
  <c r="C108" i="1"/>
  <c r="D108" i="1"/>
  <c r="F108" i="1"/>
  <c r="B109" i="1"/>
  <c r="C109" i="1"/>
  <c r="D109" i="1"/>
  <c r="F109" i="1"/>
  <c r="B110" i="1"/>
  <c r="G1965" i="2" s="1"/>
  <c r="C110" i="1"/>
  <c r="D110" i="1"/>
  <c r="F110" i="1"/>
  <c r="B111" i="1"/>
  <c r="C111" i="1"/>
  <c r="D111" i="1"/>
  <c r="F111" i="1"/>
  <c r="B112" i="1"/>
  <c r="C112" i="1"/>
  <c r="D112" i="1"/>
  <c r="F112" i="1"/>
  <c r="B113" i="1"/>
  <c r="C113" i="1"/>
  <c r="D113" i="1"/>
  <c r="F113" i="1"/>
  <c r="B114" i="1"/>
  <c r="C114" i="1"/>
  <c r="D114" i="1"/>
  <c r="F114" i="1"/>
  <c r="B115" i="1"/>
  <c r="C115" i="1"/>
  <c r="D115" i="1"/>
  <c r="F115" i="1"/>
  <c r="B116" i="1"/>
  <c r="C116" i="1"/>
  <c r="D116" i="1"/>
  <c r="F116" i="1"/>
  <c r="B117" i="1"/>
  <c r="C117" i="1"/>
  <c r="D117" i="1"/>
  <c r="F117" i="1"/>
  <c r="B118" i="1"/>
  <c r="C118" i="1"/>
  <c r="D118" i="1"/>
  <c r="F118" i="1"/>
  <c r="B119" i="1"/>
  <c r="C119" i="1"/>
  <c r="D119" i="1"/>
  <c r="F119" i="1"/>
  <c r="B120" i="1"/>
  <c r="C120" i="1"/>
  <c r="D120" i="1"/>
  <c r="F120" i="1"/>
  <c r="B121" i="1"/>
  <c r="C121" i="1"/>
  <c r="D121" i="1"/>
  <c r="F121" i="1"/>
  <c r="B122" i="1"/>
  <c r="C122" i="1"/>
  <c r="D122" i="1"/>
  <c r="F122" i="1"/>
  <c r="B123" i="1"/>
  <c r="C123" i="1"/>
  <c r="D123" i="1"/>
  <c r="F123" i="1"/>
  <c r="B124" i="1"/>
  <c r="C124" i="1"/>
  <c r="D124" i="1"/>
  <c r="F124" i="1"/>
  <c r="B125" i="1"/>
  <c r="C125" i="1"/>
  <c r="D125" i="1"/>
  <c r="F125" i="1"/>
  <c r="B126" i="1"/>
  <c r="C126" i="1"/>
  <c r="D126" i="1"/>
  <c r="F126" i="1"/>
  <c r="B127" i="1"/>
  <c r="C127" i="1"/>
  <c r="D127" i="1"/>
  <c r="F127" i="1"/>
  <c r="B128" i="1"/>
  <c r="C128" i="1"/>
  <c r="D128" i="1"/>
  <c r="F128" i="1"/>
  <c r="B129" i="1"/>
  <c r="C129" i="1"/>
  <c r="D129" i="1"/>
  <c r="F129" i="1"/>
  <c r="B130" i="1"/>
  <c r="C130" i="1"/>
  <c r="D130" i="1"/>
  <c r="F130" i="1"/>
  <c r="B131" i="1"/>
  <c r="C131" i="1"/>
  <c r="D131" i="1"/>
  <c r="F131" i="1"/>
  <c r="B132" i="1"/>
  <c r="C132" i="1"/>
  <c r="D132" i="1"/>
  <c r="F132" i="1"/>
  <c r="B133" i="1"/>
  <c r="C133" i="1"/>
  <c r="D133" i="1"/>
  <c r="F133" i="1"/>
  <c r="B134" i="1"/>
  <c r="C134" i="1"/>
  <c r="D134" i="1"/>
  <c r="F134" i="1"/>
  <c r="B135" i="1"/>
  <c r="C135" i="1"/>
  <c r="D135" i="1"/>
  <c r="F135" i="1"/>
  <c r="B136" i="1"/>
  <c r="C136" i="1"/>
  <c r="D136" i="1"/>
  <c r="F136" i="1"/>
  <c r="B137" i="1"/>
  <c r="C137" i="1"/>
  <c r="D137" i="1"/>
  <c r="F137" i="1"/>
  <c r="B138" i="1"/>
  <c r="C138" i="1"/>
  <c r="D138" i="1"/>
  <c r="F138" i="1"/>
  <c r="B139" i="1"/>
  <c r="C139" i="1"/>
  <c r="D139" i="1"/>
  <c r="F139" i="1"/>
  <c r="B140" i="1"/>
  <c r="C140" i="1"/>
  <c r="D140" i="1"/>
  <c r="F140" i="1"/>
  <c r="B141" i="1"/>
  <c r="C141" i="1"/>
  <c r="D141" i="1"/>
  <c r="F141" i="1"/>
  <c r="B142" i="1"/>
  <c r="C142" i="1"/>
  <c r="D142" i="1"/>
  <c r="F142" i="1"/>
  <c r="B143" i="1"/>
  <c r="C143" i="1"/>
  <c r="D143" i="1"/>
  <c r="F143" i="1"/>
  <c r="B144" i="1"/>
  <c r="G2142" i="2" s="1"/>
  <c r="C144" i="1"/>
  <c r="D144" i="1"/>
  <c r="F144" i="1"/>
  <c r="B145" i="1"/>
  <c r="C145" i="1"/>
  <c r="D145" i="1"/>
  <c r="F145" i="1"/>
  <c r="B146" i="1"/>
  <c r="C146" i="1"/>
  <c r="D146" i="1"/>
  <c r="F146" i="1"/>
  <c r="B147" i="1"/>
  <c r="C147" i="1"/>
  <c r="D147" i="1"/>
  <c r="F147" i="1"/>
  <c r="B148" i="1"/>
  <c r="C148" i="1"/>
  <c r="D148" i="1"/>
  <c r="F148" i="1"/>
  <c r="B149" i="1"/>
  <c r="C149" i="1"/>
  <c r="D149" i="1"/>
  <c r="F149" i="1"/>
  <c r="B150" i="1"/>
  <c r="G219" i="2" s="1"/>
  <c r="C150" i="1"/>
  <c r="D150" i="1"/>
  <c r="F150" i="1"/>
  <c r="B151" i="1"/>
  <c r="G220" i="2" s="1"/>
  <c r="C151" i="1"/>
  <c r="D151" i="1"/>
  <c r="F151" i="1"/>
  <c r="B152" i="1"/>
  <c r="G224" i="2" s="1"/>
  <c r="C152" i="1"/>
  <c r="D152" i="1"/>
  <c r="F152" i="1"/>
  <c r="B153" i="1"/>
  <c r="G221" i="2" s="1"/>
  <c r="C153" i="1"/>
  <c r="D153" i="1"/>
  <c r="F153" i="1"/>
  <c r="B154" i="1"/>
  <c r="C154" i="1"/>
  <c r="D154" i="1"/>
  <c r="F154" i="1"/>
  <c r="B155" i="1"/>
  <c r="C155" i="1"/>
  <c r="D155" i="1"/>
  <c r="F155" i="1"/>
  <c r="B156" i="1"/>
  <c r="C156" i="1"/>
  <c r="D156" i="1"/>
  <c r="F156" i="1"/>
  <c r="B157" i="1"/>
  <c r="C157" i="1"/>
  <c r="D157" i="1"/>
  <c r="F157" i="1"/>
  <c r="B158" i="1"/>
  <c r="C158" i="1"/>
  <c r="D158" i="1"/>
  <c r="F158" i="1"/>
  <c r="B159" i="1"/>
  <c r="G917" i="2" s="1"/>
  <c r="C159" i="1"/>
  <c r="D159" i="1"/>
  <c r="F159" i="1"/>
  <c r="B160" i="1"/>
  <c r="C160" i="1"/>
  <c r="D160" i="1"/>
  <c r="F160" i="1"/>
  <c r="B161" i="1"/>
  <c r="C161" i="1"/>
  <c r="D161" i="1"/>
  <c r="F161" i="1"/>
  <c r="B162" i="1"/>
  <c r="C162" i="1"/>
  <c r="D162" i="1"/>
  <c r="F162" i="1"/>
  <c r="B163" i="1"/>
  <c r="C163" i="1"/>
  <c r="D163" i="1"/>
  <c r="F163" i="1"/>
  <c r="B164" i="1"/>
  <c r="C164" i="1"/>
  <c r="D164" i="1"/>
  <c r="F164" i="1"/>
  <c r="B165" i="1"/>
  <c r="C165" i="1"/>
  <c r="D165" i="1"/>
  <c r="F165" i="1"/>
  <c r="B166" i="1"/>
  <c r="C166" i="1"/>
  <c r="D166" i="1"/>
  <c r="F166" i="1"/>
  <c r="B167" i="1"/>
  <c r="C167" i="1"/>
  <c r="D167" i="1"/>
  <c r="F167" i="1"/>
  <c r="B168" i="1"/>
  <c r="C168" i="1"/>
  <c r="D168" i="1"/>
  <c r="F168" i="1"/>
  <c r="B169" i="1"/>
  <c r="C169" i="1"/>
  <c r="D169" i="1"/>
  <c r="F169" i="1"/>
  <c r="B170" i="1"/>
  <c r="G1396" i="2" s="1"/>
  <c r="C170" i="1"/>
  <c r="D170" i="1"/>
  <c r="F170" i="1"/>
  <c r="B171" i="1"/>
  <c r="G1406" i="2" s="1"/>
  <c r="C171" i="1"/>
  <c r="D171" i="1"/>
  <c r="F171" i="1"/>
  <c r="B172" i="1"/>
  <c r="C172" i="1"/>
  <c r="D172" i="1"/>
  <c r="F172" i="1"/>
  <c r="B173" i="1"/>
  <c r="G1402" i="2" s="1"/>
  <c r="C173" i="1"/>
  <c r="D173" i="1"/>
  <c r="F173" i="1"/>
  <c r="B174" i="1"/>
  <c r="C174" i="1"/>
  <c r="D174" i="1"/>
  <c r="F174" i="1"/>
  <c r="B175" i="1"/>
  <c r="C175" i="1"/>
  <c r="D175" i="1"/>
  <c r="F175" i="1"/>
  <c r="B176" i="1"/>
  <c r="C176" i="1"/>
  <c r="D176" i="1"/>
  <c r="F176" i="1"/>
  <c r="B177" i="1"/>
  <c r="C177" i="1"/>
  <c r="D177" i="1"/>
  <c r="F177" i="1"/>
  <c r="B178" i="1"/>
  <c r="C178" i="1"/>
  <c r="D178" i="1"/>
  <c r="F178" i="1"/>
  <c r="B179" i="1"/>
  <c r="C179" i="1"/>
  <c r="D179" i="1"/>
  <c r="F179" i="1"/>
  <c r="B180" i="1"/>
  <c r="G1405" i="2" s="1"/>
  <c r="C180" i="1"/>
  <c r="D180" i="1"/>
  <c r="F180" i="1"/>
  <c r="B181" i="1"/>
  <c r="C181" i="1"/>
  <c r="D181" i="1"/>
  <c r="F181" i="1"/>
  <c r="B182" i="1"/>
  <c r="G1398" i="2" s="1"/>
  <c r="C182" i="1"/>
  <c r="D182" i="1"/>
  <c r="F182" i="1"/>
  <c r="B183" i="1"/>
  <c r="G1401" i="2" s="1"/>
  <c r="C183" i="1"/>
  <c r="D183" i="1"/>
  <c r="F183" i="1"/>
  <c r="B184" i="1"/>
  <c r="C184" i="1"/>
  <c r="D184" i="1"/>
  <c r="F184" i="1"/>
  <c r="B185" i="1"/>
  <c r="C185" i="1"/>
  <c r="D185" i="1"/>
  <c r="F185" i="1"/>
  <c r="B186" i="1"/>
  <c r="C186" i="1"/>
  <c r="D186" i="1"/>
  <c r="F186" i="1"/>
  <c r="B187" i="1"/>
  <c r="C187" i="1"/>
  <c r="D187" i="1"/>
  <c r="F187" i="1"/>
  <c r="B188" i="1"/>
  <c r="C188" i="1"/>
  <c r="D188" i="1"/>
  <c r="F188" i="1"/>
  <c r="B189" i="1"/>
  <c r="C189" i="1"/>
  <c r="D189" i="1"/>
  <c r="F189" i="1"/>
  <c r="B190" i="1"/>
  <c r="C190" i="1"/>
  <c r="D190" i="1"/>
  <c r="F190" i="1"/>
  <c r="B191" i="1"/>
  <c r="C191" i="1"/>
  <c r="D191" i="1"/>
  <c r="F191" i="1"/>
  <c r="B192" i="1"/>
  <c r="C192" i="1"/>
  <c r="D192" i="1"/>
  <c r="F192" i="1"/>
  <c r="B193" i="1"/>
  <c r="C193" i="1"/>
  <c r="D193" i="1"/>
  <c r="F193" i="1"/>
  <c r="B194" i="1"/>
  <c r="C194" i="1"/>
  <c r="D194" i="1"/>
  <c r="F194" i="1"/>
  <c r="B195" i="1"/>
  <c r="C195" i="1"/>
  <c r="D195" i="1"/>
  <c r="F195" i="1"/>
  <c r="B196" i="1"/>
  <c r="C196" i="1"/>
  <c r="D196" i="1"/>
  <c r="F196" i="1"/>
  <c r="B197" i="1"/>
  <c r="C197" i="1"/>
  <c r="D197" i="1"/>
  <c r="F197" i="1"/>
  <c r="B198" i="1"/>
  <c r="G592" i="2" s="1"/>
  <c r="C198" i="1"/>
  <c r="D198" i="1"/>
  <c r="F198" i="1"/>
  <c r="B199" i="1"/>
  <c r="C199" i="1"/>
  <c r="D199" i="1"/>
  <c r="F199" i="1"/>
  <c r="B200" i="1"/>
  <c r="C200" i="1"/>
  <c r="D200" i="1"/>
  <c r="F200" i="1"/>
  <c r="B201" i="1"/>
  <c r="C201" i="1"/>
  <c r="D201" i="1"/>
  <c r="F201" i="1"/>
  <c r="B202" i="1"/>
  <c r="C202" i="1"/>
  <c r="D202" i="1"/>
  <c r="F202" i="1"/>
  <c r="B203" i="1"/>
  <c r="C203" i="1"/>
  <c r="D203" i="1"/>
  <c r="F203" i="1"/>
  <c r="B204" i="1"/>
  <c r="C204" i="1"/>
  <c r="D204" i="1"/>
  <c r="F204" i="1"/>
  <c r="B205" i="1"/>
  <c r="C205" i="1"/>
  <c r="D205" i="1"/>
  <c r="F205" i="1"/>
  <c r="B206" i="1"/>
  <c r="G3005" i="2" s="1"/>
  <c r="C206" i="1"/>
  <c r="D206" i="1"/>
  <c r="F206" i="1"/>
  <c r="B207" i="1"/>
  <c r="C207" i="1"/>
  <c r="D207" i="1"/>
  <c r="F207" i="1"/>
  <c r="B208" i="1"/>
  <c r="C208" i="1"/>
  <c r="D208" i="1"/>
  <c r="F208" i="1"/>
  <c r="B209" i="1"/>
  <c r="G3004" i="2" s="1"/>
  <c r="C209" i="1"/>
  <c r="D209" i="1"/>
  <c r="F209" i="1"/>
  <c r="B210" i="1"/>
  <c r="C210" i="1"/>
  <c r="D210" i="1"/>
  <c r="F210" i="1"/>
  <c r="B211" i="1"/>
  <c r="C211" i="1"/>
  <c r="D211" i="1"/>
  <c r="F211" i="1"/>
  <c r="B212" i="1"/>
  <c r="C212" i="1"/>
  <c r="D212" i="1"/>
  <c r="F212" i="1"/>
  <c r="B213" i="1"/>
  <c r="C213" i="1"/>
  <c r="D213" i="1"/>
  <c r="F213" i="1"/>
  <c r="B214" i="1"/>
  <c r="C214" i="1"/>
  <c r="D214" i="1"/>
  <c r="F214" i="1"/>
  <c r="B215" i="1"/>
  <c r="C215" i="1"/>
  <c r="D215" i="1"/>
  <c r="F215" i="1"/>
  <c r="B216" i="1"/>
  <c r="C216" i="1"/>
  <c r="D216" i="1"/>
  <c r="F216" i="1"/>
  <c r="B217" i="1"/>
  <c r="C217" i="1"/>
  <c r="D217" i="1"/>
  <c r="F217" i="1"/>
  <c r="B218" i="1"/>
  <c r="C218" i="1"/>
  <c r="D218" i="1"/>
  <c r="F218" i="1"/>
  <c r="B219" i="1"/>
  <c r="C219" i="1"/>
  <c r="D219" i="1"/>
  <c r="F219" i="1"/>
  <c r="B220" i="1"/>
  <c r="C220" i="1"/>
  <c r="D220" i="1"/>
  <c r="F220" i="1"/>
  <c r="B221" i="1"/>
  <c r="C221" i="1"/>
  <c r="D221" i="1"/>
  <c r="F221" i="1"/>
  <c r="B222" i="1"/>
  <c r="C222" i="1"/>
  <c r="D222" i="1"/>
  <c r="F222" i="1"/>
  <c r="B223" i="1"/>
  <c r="C223" i="1"/>
  <c r="D223" i="1"/>
  <c r="F223" i="1"/>
  <c r="B224" i="1"/>
  <c r="C224" i="1"/>
  <c r="D224" i="1"/>
  <c r="F224" i="1"/>
  <c r="B225" i="1"/>
  <c r="C225" i="1"/>
  <c r="D225" i="1"/>
  <c r="F225" i="1"/>
  <c r="B226" i="1"/>
  <c r="C226" i="1"/>
  <c r="D226" i="1"/>
  <c r="F226" i="1"/>
  <c r="B227" i="1"/>
  <c r="C227" i="1"/>
  <c r="D227" i="1"/>
  <c r="F227" i="1"/>
  <c r="B228" i="1"/>
  <c r="C228" i="1"/>
  <c r="D228" i="1"/>
  <c r="F228" i="1"/>
  <c r="B229" i="1"/>
  <c r="C229" i="1"/>
  <c r="D229" i="1"/>
  <c r="F229" i="1"/>
  <c r="B230" i="1"/>
  <c r="C230" i="1"/>
  <c r="D230" i="1"/>
  <c r="F230" i="1"/>
  <c r="B231" i="1"/>
  <c r="C231" i="1"/>
  <c r="D231" i="1"/>
  <c r="F231" i="1"/>
  <c r="B232" i="1"/>
  <c r="C232" i="1"/>
  <c r="D232" i="1"/>
  <c r="F232" i="1"/>
  <c r="B233" i="1"/>
  <c r="C233" i="1"/>
  <c r="D233" i="1"/>
  <c r="F233" i="1"/>
  <c r="B234" i="1"/>
  <c r="C234" i="1"/>
  <c r="D234" i="1"/>
  <c r="F234" i="1"/>
  <c r="B235" i="1"/>
  <c r="C235" i="1"/>
  <c r="D235" i="1"/>
  <c r="F235" i="1"/>
  <c r="B236" i="1"/>
  <c r="C236" i="1"/>
  <c r="D236" i="1"/>
  <c r="F236" i="1"/>
  <c r="B237" i="1"/>
  <c r="C237" i="1"/>
  <c r="D237" i="1"/>
  <c r="F237" i="1"/>
  <c r="B238" i="1"/>
  <c r="C238" i="1"/>
  <c r="D238" i="1"/>
  <c r="F238" i="1"/>
  <c r="B239" i="1"/>
  <c r="C239" i="1"/>
  <c r="D239" i="1"/>
  <c r="F239" i="1"/>
  <c r="B240" i="1"/>
  <c r="C240" i="1"/>
  <c r="D240" i="1"/>
  <c r="F240" i="1"/>
  <c r="B241" i="1"/>
  <c r="C241" i="1"/>
  <c r="D241" i="1"/>
  <c r="F241" i="1"/>
  <c r="B242" i="1"/>
  <c r="C242" i="1"/>
  <c r="D242" i="1"/>
  <c r="F242" i="1"/>
  <c r="B243" i="1"/>
  <c r="C243" i="1"/>
  <c r="D243" i="1"/>
  <c r="F243" i="1"/>
  <c r="B244" i="1"/>
  <c r="C244" i="1"/>
  <c r="D244" i="1"/>
  <c r="F244" i="1"/>
  <c r="B245" i="1"/>
  <c r="C245" i="1"/>
  <c r="D245" i="1"/>
  <c r="F245" i="1"/>
  <c r="B246" i="1"/>
  <c r="C246" i="1"/>
  <c r="D246" i="1"/>
  <c r="F246" i="1"/>
  <c r="B247" i="1"/>
  <c r="C247" i="1"/>
  <c r="D247" i="1"/>
  <c r="F247" i="1"/>
  <c r="B248" i="1"/>
  <c r="C248" i="1"/>
  <c r="D248" i="1"/>
  <c r="F248" i="1"/>
  <c r="B249" i="1"/>
  <c r="C249" i="1"/>
  <c r="D249" i="1"/>
  <c r="F249" i="1"/>
  <c r="B250" i="1"/>
  <c r="C250" i="1"/>
  <c r="D250" i="1"/>
  <c r="F250" i="1"/>
  <c r="B251" i="1"/>
  <c r="C251" i="1"/>
  <c r="D251" i="1"/>
  <c r="F251" i="1"/>
  <c r="B252" i="1"/>
  <c r="C252" i="1"/>
  <c r="D252" i="1"/>
  <c r="F252" i="1"/>
  <c r="B253" i="1"/>
  <c r="C253" i="1"/>
  <c r="D253" i="1"/>
  <c r="F253" i="1"/>
  <c r="B254" i="1"/>
  <c r="C254" i="1"/>
  <c r="D254" i="1"/>
  <c r="F254" i="1"/>
  <c r="B255" i="1"/>
  <c r="C255" i="1"/>
  <c r="D255" i="1"/>
  <c r="F255" i="1"/>
  <c r="B256" i="1"/>
  <c r="C256" i="1"/>
  <c r="D256" i="1"/>
  <c r="F256" i="1"/>
  <c r="B257" i="1"/>
  <c r="C257" i="1"/>
  <c r="D257" i="1"/>
  <c r="F257" i="1"/>
  <c r="B258" i="1"/>
  <c r="C258" i="1"/>
  <c r="D258" i="1"/>
  <c r="F258" i="1"/>
  <c r="B259" i="1"/>
  <c r="C259" i="1"/>
  <c r="D259" i="1"/>
  <c r="F259" i="1"/>
  <c r="B260" i="1"/>
  <c r="C260" i="1"/>
  <c r="D260" i="1"/>
  <c r="F260" i="1"/>
  <c r="B261" i="1"/>
  <c r="C261" i="1"/>
  <c r="D261" i="1"/>
  <c r="F261" i="1"/>
  <c r="B262" i="1"/>
  <c r="C262" i="1"/>
  <c r="D262" i="1"/>
  <c r="F262" i="1"/>
  <c r="B263" i="1"/>
  <c r="C263" i="1"/>
  <c r="D263" i="1"/>
  <c r="F263" i="1"/>
  <c r="B264" i="1"/>
  <c r="C264" i="1"/>
  <c r="D264" i="1"/>
  <c r="F264" i="1"/>
  <c r="B265" i="1"/>
  <c r="C265" i="1"/>
  <c r="D265" i="1"/>
  <c r="F265" i="1"/>
  <c r="B266" i="1"/>
  <c r="C266" i="1"/>
  <c r="D266" i="1"/>
  <c r="F266" i="1"/>
  <c r="B267" i="1"/>
  <c r="C267" i="1"/>
  <c r="D267" i="1"/>
  <c r="F267" i="1"/>
  <c r="B268" i="1"/>
  <c r="C268" i="1"/>
  <c r="D268" i="1"/>
  <c r="F268" i="1"/>
  <c r="B269" i="1"/>
  <c r="C269" i="1"/>
  <c r="D269" i="1"/>
  <c r="F269" i="1"/>
  <c r="B270" i="1"/>
  <c r="C270" i="1"/>
  <c r="D270" i="1"/>
  <c r="F270" i="1"/>
  <c r="B271" i="1"/>
  <c r="C271" i="1"/>
  <c r="D271" i="1"/>
  <c r="F271" i="1"/>
  <c r="B272" i="1"/>
  <c r="C272" i="1"/>
  <c r="D272" i="1"/>
  <c r="F272" i="1"/>
  <c r="B273" i="1"/>
  <c r="C273" i="1"/>
  <c r="D273" i="1"/>
  <c r="F273" i="1"/>
  <c r="B274" i="1"/>
  <c r="G209" i="2" s="1"/>
  <c r="C274" i="1"/>
  <c r="D274" i="1"/>
  <c r="F274" i="1"/>
  <c r="B275" i="1"/>
  <c r="C275" i="1"/>
  <c r="D275" i="1"/>
  <c r="F275" i="1"/>
  <c r="B276" i="1"/>
  <c r="C276" i="1"/>
  <c r="D276" i="1"/>
  <c r="F276" i="1"/>
  <c r="B277" i="1"/>
  <c r="C277" i="1"/>
  <c r="D277" i="1"/>
  <c r="F277" i="1"/>
  <c r="B278" i="1"/>
  <c r="C278" i="1"/>
  <c r="D278" i="1"/>
  <c r="F278" i="1"/>
  <c r="B279" i="1"/>
  <c r="C279" i="1"/>
  <c r="D279" i="1"/>
  <c r="F279" i="1"/>
  <c r="B280" i="1"/>
  <c r="C280" i="1"/>
  <c r="D280" i="1"/>
  <c r="F280" i="1"/>
  <c r="B281" i="1"/>
  <c r="C281" i="1"/>
  <c r="D281" i="1"/>
  <c r="F281" i="1"/>
  <c r="B282" i="1"/>
  <c r="C282" i="1"/>
  <c r="D282" i="1"/>
  <c r="F282" i="1"/>
  <c r="B283" i="1"/>
  <c r="C283" i="1"/>
  <c r="D283" i="1"/>
  <c r="F283" i="1"/>
  <c r="B284" i="1"/>
  <c r="C284" i="1"/>
  <c r="D284" i="1"/>
  <c r="F284" i="1"/>
  <c r="B285" i="1"/>
  <c r="C285" i="1"/>
  <c r="D285" i="1"/>
  <c r="F285" i="1"/>
  <c r="B286" i="1"/>
  <c r="C286" i="1"/>
  <c r="D286" i="1"/>
  <c r="F286" i="1"/>
  <c r="B287" i="1"/>
  <c r="C287" i="1"/>
  <c r="D287" i="1"/>
  <c r="F287" i="1"/>
  <c r="B288" i="1"/>
  <c r="C288" i="1"/>
  <c r="D288" i="1"/>
  <c r="F288" i="1"/>
  <c r="B289" i="1"/>
  <c r="C289" i="1"/>
  <c r="D289" i="1"/>
  <c r="F289" i="1"/>
  <c r="B290" i="1"/>
  <c r="C290" i="1"/>
  <c r="D290" i="1"/>
  <c r="F290" i="1"/>
  <c r="B291" i="1"/>
  <c r="C291" i="1"/>
  <c r="D291" i="1"/>
  <c r="F291" i="1"/>
  <c r="B292" i="1"/>
  <c r="C292" i="1"/>
  <c r="D292" i="1"/>
  <c r="F292" i="1"/>
  <c r="B293" i="1"/>
  <c r="C293" i="1"/>
  <c r="D293" i="1"/>
  <c r="F293" i="1"/>
  <c r="B294" i="1"/>
  <c r="G2346" i="2" s="1"/>
  <c r="C294" i="1"/>
  <c r="D294" i="1"/>
  <c r="F294" i="1"/>
  <c r="B295" i="1"/>
  <c r="C295" i="1"/>
  <c r="D295" i="1"/>
  <c r="F295" i="1"/>
  <c r="B296" i="1"/>
  <c r="C296" i="1"/>
  <c r="D296" i="1"/>
  <c r="F296" i="1"/>
  <c r="B297" i="1"/>
  <c r="C297" i="1"/>
  <c r="D297" i="1"/>
  <c r="F297" i="1"/>
  <c r="B298" i="1"/>
  <c r="C298" i="1"/>
  <c r="D298" i="1"/>
  <c r="F298" i="1"/>
  <c r="B299" i="1"/>
  <c r="C299" i="1"/>
  <c r="D299" i="1"/>
  <c r="F299" i="1"/>
  <c r="B300" i="1"/>
  <c r="C300" i="1"/>
  <c r="D300" i="1"/>
  <c r="F300" i="1"/>
  <c r="B301" i="1"/>
  <c r="C301" i="1"/>
  <c r="D301" i="1"/>
  <c r="F301" i="1"/>
  <c r="B302" i="1"/>
  <c r="C302" i="1"/>
  <c r="D302" i="1"/>
  <c r="F302" i="1"/>
  <c r="B303" i="1"/>
  <c r="C303" i="1"/>
  <c r="D303" i="1"/>
  <c r="F303" i="1"/>
  <c r="B304" i="1"/>
  <c r="C304" i="1"/>
  <c r="D304" i="1"/>
  <c r="F304" i="1"/>
  <c r="B305" i="1"/>
  <c r="C305" i="1"/>
  <c r="D305" i="1"/>
  <c r="F305" i="1"/>
  <c r="B306" i="1"/>
  <c r="C306" i="1"/>
  <c r="D306" i="1"/>
  <c r="F306" i="1"/>
  <c r="B307" i="1"/>
  <c r="C307" i="1"/>
  <c r="D307" i="1"/>
  <c r="F307" i="1"/>
  <c r="B308" i="1"/>
  <c r="C308" i="1"/>
  <c r="D308" i="1"/>
  <c r="F308" i="1"/>
  <c r="B309" i="1"/>
  <c r="C309" i="1"/>
  <c r="D309" i="1"/>
  <c r="F309" i="1"/>
  <c r="B310" i="1"/>
  <c r="C310" i="1"/>
  <c r="D310" i="1"/>
  <c r="F310" i="1"/>
  <c r="B311" i="1"/>
  <c r="C311" i="1"/>
  <c r="D311" i="1"/>
  <c r="F311" i="1"/>
  <c r="B312" i="1"/>
  <c r="C312" i="1"/>
  <c r="D312" i="1"/>
  <c r="F312" i="1"/>
  <c r="B313" i="1"/>
  <c r="C313" i="1"/>
  <c r="D313" i="1"/>
  <c r="F313" i="1"/>
  <c r="B3" i="1"/>
  <c r="O180" i="1"/>
  <c r="O318" i="4"/>
  <c r="O192" i="1"/>
  <c r="O204" i="1"/>
  <c r="O216" i="1"/>
  <c r="O228" i="1"/>
  <c r="O240" i="1"/>
  <c r="O252" i="1"/>
  <c r="O264" i="1"/>
  <c r="N276" i="1"/>
  <c r="N288" i="1"/>
  <c r="J288" i="1" s="1"/>
  <c r="N300" i="1"/>
  <c r="N312" i="1"/>
  <c r="J312" i="1" s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G596" i="2" s="1"/>
  <c r="C20" i="6"/>
  <c r="G597" i="2" s="1"/>
  <c r="C21" i="6"/>
  <c r="G598" i="2" s="1"/>
  <c r="C22" i="6"/>
  <c r="G599" i="2" s="1"/>
  <c r="C23" i="6"/>
  <c r="G600" i="2" s="1"/>
  <c r="C24" i="6"/>
  <c r="G601" i="2" s="1"/>
  <c r="C25" i="6"/>
  <c r="G602" i="2" s="1"/>
  <c r="C26" i="6"/>
  <c r="G603" i="2" s="1"/>
  <c r="C27" i="6"/>
  <c r="G604" i="2" s="1"/>
  <c r="C28" i="6"/>
  <c r="G605" i="2" s="1"/>
  <c r="C29" i="6"/>
  <c r="G606" i="2" s="1"/>
  <c r="C30" i="6"/>
  <c r="G607" i="2" s="1"/>
  <c r="C31" i="6"/>
  <c r="G608" i="2" s="1"/>
  <c r="C32" i="6"/>
  <c r="G609" i="2" s="1"/>
  <c r="C33" i="6"/>
  <c r="G610" i="2" s="1"/>
  <c r="C3" i="6"/>
  <c r="D6" i="6"/>
  <c r="D12" i="6"/>
  <c r="D14" i="6"/>
  <c r="D18" i="6"/>
  <c r="D24" i="6"/>
  <c r="D26" i="6"/>
  <c r="O29" i="6"/>
  <c r="D30" i="6"/>
  <c r="P33" i="5"/>
  <c r="P34" i="5"/>
  <c r="P35" i="5"/>
  <c r="F31" i="6" s="1"/>
  <c r="P36" i="5"/>
  <c r="F32" i="6" s="1"/>
  <c r="P37" i="5"/>
  <c r="F33" i="6" s="1"/>
  <c r="P38" i="5"/>
  <c r="P39" i="5"/>
  <c r="F5" i="6" s="1"/>
  <c r="P40" i="5"/>
  <c r="P41" i="5"/>
  <c r="F4" i="6" s="1"/>
  <c r="P42" i="5"/>
  <c r="P43" i="5"/>
  <c r="F7" i="6" s="1"/>
  <c r="P44" i="5"/>
  <c r="F8" i="6" s="1"/>
  <c r="P45" i="5"/>
  <c r="F9" i="6" s="1"/>
  <c r="P46" i="5"/>
  <c r="F10" i="6" s="1"/>
  <c r="P47" i="5"/>
  <c r="F11" i="6" s="1"/>
  <c r="P48" i="5"/>
  <c r="F13" i="6" s="1"/>
  <c r="P49" i="5"/>
  <c r="P50" i="5"/>
  <c r="F15" i="6" s="1"/>
  <c r="P51" i="5"/>
  <c r="F16" i="6" s="1"/>
  <c r="P52" i="5"/>
  <c r="F17" i="6" s="1"/>
  <c r="P53" i="5"/>
  <c r="N317" i="4"/>
  <c r="N318" i="4"/>
  <c r="E268" i="1" s="1"/>
  <c r="N319" i="4"/>
  <c r="D4" i="6"/>
  <c r="E4" i="6"/>
  <c r="G4" i="6"/>
  <c r="D5" i="6"/>
  <c r="E5" i="6"/>
  <c r="G5" i="6"/>
  <c r="G6" i="6"/>
  <c r="D7" i="6"/>
  <c r="E7" i="6"/>
  <c r="G7" i="6"/>
  <c r="D8" i="6"/>
  <c r="E8" i="6"/>
  <c r="G8" i="6"/>
  <c r="D9" i="6"/>
  <c r="E9" i="6"/>
  <c r="G9" i="6"/>
  <c r="D10" i="6"/>
  <c r="E10" i="6"/>
  <c r="G10" i="6"/>
  <c r="D11" i="6"/>
  <c r="E11" i="6"/>
  <c r="G11" i="6"/>
  <c r="G12" i="6"/>
  <c r="D13" i="6"/>
  <c r="E13" i="6"/>
  <c r="G13" i="6"/>
  <c r="D15" i="6"/>
  <c r="E15" i="6"/>
  <c r="G15" i="6"/>
  <c r="D16" i="6"/>
  <c r="E16" i="6"/>
  <c r="G16" i="6"/>
  <c r="D17" i="6"/>
  <c r="E17" i="6"/>
  <c r="G17" i="6"/>
  <c r="G18" i="6"/>
  <c r="D19" i="6"/>
  <c r="E19" i="6"/>
  <c r="G19" i="6"/>
  <c r="D20" i="6"/>
  <c r="E20" i="6"/>
  <c r="G20" i="6"/>
  <c r="D21" i="6"/>
  <c r="E21" i="6"/>
  <c r="G21" i="6"/>
  <c r="D22" i="6"/>
  <c r="E22" i="6"/>
  <c r="G22" i="6"/>
  <c r="D23" i="6"/>
  <c r="E23" i="6"/>
  <c r="G23" i="6"/>
  <c r="G24" i="6"/>
  <c r="D25" i="6"/>
  <c r="E25" i="6"/>
  <c r="G25" i="6"/>
  <c r="D27" i="6"/>
  <c r="E27" i="6"/>
  <c r="G27" i="6"/>
  <c r="D28" i="6"/>
  <c r="E28" i="6"/>
  <c r="G28" i="6"/>
  <c r="D29" i="6"/>
  <c r="E29" i="6"/>
  <c r="G29" i="6"/>
  <c r="G30" i="6"/>
  <c r="D31" i="6"/>
  <c r="E31" i="6"/>
  <c r="G31" i="6"/>
  <c r="D32" i="6"/>
  <c r="E32" i="6"/>
  <c r="G32" i="6"/>
  <c r="D33" i="6"/>
  <c r="E33" i="6"/>
  <c r="G33" i="6"/>
  <c r="X4" i="6"/>
  <c r="X5" i="6"/>
  <c r="X8" i="6"/>
  <c r="X9" i="6"/>
  <c r="X10" i="6"/>
  <c r="X11" i="6"/>
  <c r="X17" i="6"/>
  <c r="X18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O33" i="6"/>
  <c r="N33" i="6"/>
  <c r="O32" i="6"/>
  <c r="N32" i="6"/>
  <c r="O31" i="6"/>
  <c r="N31" i="6"/>
  <c r="O30" i="6"/>
  <c r="N30" i="6"/>
  <c r="N29" i="6"/>
  <c r="O28" i="6"/>
  <c r="N28" i="6"/>
  <c r="O27" i="6"/>
  <c r="N27" i="6"/>
  <c r="O25" i="6"/>
  <c r="N25" i="6"/>
  <c r="O24" i="6"/>
  <c r="N24" i="6"/>
  <c r="O23" i="6"/>
  <c r="N23" i="6"/>
  <c r="O22" i="6"/>
  <c r="N22" i="6"/>
  <c r="O21" i="6"/>
  <c r="N21" i="6"/>
  <c r="O20" i="6"/>
  <c r="N20" i="6"/>
  <c r="O19" i="6"/>
  <c r="N19" i="6"/>
  <c r="O18" i="6"/>
  <c r="N18" i="6"/>
  <c r="J18" i="6" s="1"/>
  <c r="O17" i="6"/>
  <c r="N17" i="6"/>
  <c r="J17" i="6" s="1"/>
  <c r="O16" i="6"/>
  <c r="N16" i="6"/>
  <c r="J16" i="6" s="1"/>
  <c r="X16" i="6" s="1"/>
  <c r="O15" i="6"/>
  <c r="N15" i="6"/>
  <c r="J15" i="6" s="1"/>
  <c r="X15" i="6" s="1"/>
  <c r="O13" i="6"/>
  <c r="N13" i="6"/>
  <c r="J13" i="6" s="1"/>
  <c r="X13" i="6" s="1"/>
  <c r="O12" i="6"/>
  <c r="N12" i="6"/>
  <c r="J12" i="6" s="1"/>
  <c r="X12" i="6" s="1"/>
  <c r="O11" i="6"/>
  <c r="N11" i="6"/>
  <c r="J11" i="6" s="1"/>
  <c r="O10" i="6"/>
  <c r="N10" i="6"/>
  <c r="J10" i="6" s="1"/>
  <c r="O9" i="6"/>
  <c r="N9" i="6"/>
  <c r="J9" i="6" s="1"/>
  <c r="O8" i="6"/>
  <c r="N8" i="6"/>
  <c r="J8" i="6" s="1"/>
  <c r="O7" i="6"/>
  <c r="N7" i="6"/>
  <c r="J7" i="6" s="1"/>
  <c r="X7" i="6" s="1"/>
  <c r="O6" i="6"/>
  <c r="N6" i="6"/>
  <c r="J6" i="6" s="1"/>
  <c r="X6" i="6" s="1"/>
  <c r="O5" i="6"/>
  <c r="N5" i="6"/>
  <c r="J5" i="6" s="1"/>
  <c r="O4" i="6"/>
  <c r="N4" i="6"/>
  <c r="J4" i="6" s="1"/>
  <c r="O313" i="1"/>
  <c r="N313" i="1"/>
  <c r="O312" i="1"/>
  <c r="N311" i="1"/>
  <c r="O310" i="1"/>
  <c r="N310" i="1"/>
  <c r="O309" i="1"/>
  <c r="N309" i="1"/>
  <c r="O308" i="1"/>
  <c r="N308" i="1"/>
  <c r="O307" i="1"/>
  <c r="N307" i="1"/>
  <c r="X307" i="1" s="1"/>
  <c r="O306" i="1"/>
  <c r="N306" i="1"/>
  <c r="J306" i="1" s="1"/>
  <c r="O305" i="1"/>
  <c r="N305" i="1"/>
  <c r="O304" i="1"/>
  <c r="N304" i="1"/>
  <c r="O302" i="1"/>
  <c r="N302" i="1"/>
  <c r="O301" i="1"/>
  <c r="N301" i="1"/>
  <c r="J301" i="1" s="1"/>
  <c r="X301" i="1" s="1"/>
  <c r="O300" i="1"/>
  <c r="N299" i="1"/>
  <c r="J299" i="1" s="1"/>
  <c r="O298" i="1"/>
  <c r="N298" i="1"/>
  <c r="J298" i="1" s="1"/>
  <c r="O297" i="1"/>
  <c r="N297" i="1"/>
  <c r="O296" i="1"/>
  <c r="N296" i="1"/>
  <c r="O295" i="1"/>
  <c r="N295" i="1"/>
  <c r="X295" i="1" s="1"/>
  <c r="O294" i="1"/>
  <c r="N294" i="1"/>
  <c r="O293" i="1"/>
  <c r="N293" i="1"/>
  <c r="O292" i="1"/>
  <c r="N292" i="1"/>
  <c r="O290" i="1"/>
  <c r="N290" i="1"/>
  <c r="J290" i="1" s="1"/>
  <c r="O289" i="1"/>
  <c r="N289" i="1"/>
  <c r="X289" i="1" s="1"/>
  <c r="O288" i="1"/>
  <c r="N287" i="1"/>
  <c r="J287" i="1" s="1"/>
  <c r="O286" i="1"/>
  <c r="N286" i="1"/>
  <c r="J286" i="1" s="1"/>
  <c r="O285" i="1"/>
  <c r="L285" i="1" s="1"/>
  <c r="N285" i="1"/>
  <c r="O284" i="1"/>
  <c r="N284" i="1"/>
  <c r="O283" i="1"/>
  <c r="N283" i="1"/>
  <c r="O282" i="1"/>
  <c r="N282" i="1"/>
  <c r="O281" i="1"/>
  <c r="N281" i="1"/>
  <c r="O280" i="1"/>
  <c r="N280" i="1"/>
  <c r="O278" i="1"/>
  <c r="N278" i="1"/>
  <c r="O277" i="1"/>
  <c r="N277" i="1"/>
  <c r="O276" i="1"/>
  <c r="O275" i="1"/>
  <c r="O274" i="1"/>
  <c r="N274" i="1"/>
  <c r="O273" i="1"/>
  <c r="N273" i="1"/>
  <c r="J273" i="1" s="1"/>
  <c r="O272" i="1"/>
  <c r="N272" i="1"/>
  <c r="J272" i="1" s="1"/>
  <c r="O271" i="1"/>
  <c r="N271" i="1"/>
  <c r="O270" i="1"/>
  <c r="N270" i="1"/>
  <c r="O269" i="1"/>
  <c r="N269" i="1"/>
  <c r="J269" i="1" s="1"/>
  <c r="O268" i="1"/>
  <c r="N268" i="1"/>
  <c r="O266" i="1"/>
  <c r="N266" i="1"/>
  <c r="O265" i="1"/>
  <c r="N265" i="1"/>
  <c r="O263" i="1"/>
  <c r="O262" i="1"/>
  <c r="N262" i="1"/>
  <c r="O261" i="1"/>
  <c r="N261" i="1"/>
  <c r="O260" i="1"/>
  <c r="N260" i="1"/>
  <c r="O259" i="1"/>
  <c r="N259" i="1"/>
  <c r="O258" i="1"/>
  <c r="N258" i="1"/>
  <c r="O257" i="1"/>
  <c r="N257" i="1"/>
  <c r="O256" i="1"/>
  <c r="N256" i="1"/>
  <c r="O254" i="1"/>
  <c r="N254" i="1"/>
  <c r="O253" i="1"/>
  <c r="N253" i="1"/>
  <c r="O251" i="1"/>
  <c r="O250" i="1"/>
  <c r="N250" i="1"/>
  <c r="O249" i="1"/>
  <c r="L249" i="1" s="1"/>
  <c r="N249" i="1"/>
  <c r="O248" i="1"/>
  <c r="N248" i="1"/>
  <c r="O247" i="1"/>
  <c r="N247" i="1"/>
  <c r="O246" i="1"/>
  <c r="N246" i="1"/>
  <c r="O245" i="1"/>
  <c r="N245" i="1"/>
  <c r="O244" i="1"/>
  <c r="N244" i="1"/>
  <c r="O242" i="1"/>
  <c r="N242" i="1"/>
  <c r="O241" i="1"/>
  <c r="N241" i="1"/>
  <c r="O239" i="1"/>
  <c r="O238" i="1"/>
  <c r="N238" i="1"/>
  <c r="O237" i="1"/>
  <c r="N237" i="1"/>
  <c r="O236" i="1"/>
  <c r="N236" i="1"/>
  <c r="O235" i="1"/>
  <c r="N235" i="1"/>
  <c r="O234" i="1"/>
  <c r="N234" i="1"/>
  <c r="J234" i="1" s="1"/>
  <c r="O233" i="1"/>
  <c r="N233" i="1"/>
  <c r="J233" i="1" s="1"/>
  <c r="O232" i="1"/>
  <c r="N232" i="1"/>
  <c r="J232" i="1" s="1"/>
  <c r="O230" i="1"/>
  <c r="L230" i="1" s="1"/>
  <c r="N230" i="1"/>
  <c r="J230" i="1" s="1"/>
  <c r="O229" i="1"/>
  <c r="N229" i="1"/>
  <c r="O227" i="1"/>
  <c r="O226" i="1"/>
  <c r="N226" i="1"/>
  <c r="O225" i="1"/>
  <c r="N225" i="1"/>
  <c r="O224" i="1"/>
  <c r="N224" i="1"/>
  <c r="O223" i="1"/>
  <c r="N223" i="1"/>
  <c r="O222" i="1"/>
  <c r="N222" i="1"/>
  <c r="O221" i="1"/>
  <c r="N221" i="1"/>
  <c r="O220" i="1"/>
  <c r="L220" i="1" s="1"/>
  <c r="N220" i="1"/>
  <c r="O218" i="1"/>
  <c r="N218" i="1"/>
  <c r="O217" i="1"/>
  <c r="N217" i="1"/>
  <c r="O215" i="1"/>
  <c r="O214" i="1"/>
  <c r="N214" i="1"/>
  <c r="O213" i="1"/>
  <c r="N213" i="1"/>
  <c r="O212" i="1"/>
  <c r="N212" i="1"/>
  <c r="O211" i="1"/>
  <c r="N211" i="1"/>
  <c r="O210" i="1"/>
  <c r="N210" i="1"/>
  <c r="O209" i="1"/>
  <c r="N209" i="1"/>
  <c r="O208" i="1"/>
  <c r="N208" i="1"/>
  <c r="O206" i="1"/>
  <c r="N206" i="1"/>
  <c r="O205" i="1"/>
  <c r="N205" i="1"/>
  <c r="O203" i="1"/>
  <c r="O202" i="1"/>
  <c r="N202" i="1"/>
  <c r="O201" i="1"/>
  <c r="N201" i="1"/>
  <c r="O200" i="1"/>
  <c r="N200" i="1"/>
  <c r="O199" i="1"/>
  <c r="L199" i="1" s="1"/>
  <c r="N199" i="1"/>
  <c r="J199" i="1" s="1"/>
  <c r="O198" i="1"/>
  <c r="N198" i="1"/>
  <c r="O197" i="1"/>
  <c r="N197" i="1"/>
  <c r="O196" i="1"/>
  <c r="N196" i="1"/>
  <c r="O194" i="1"/>
  <c r="N194" i="1"/>
  <c r="O193" i="1"/>
  <c r="N193" i="1"/>
  <c r="O191" i="1"/>
  <c r="O190" i="1"/>
  <c r="N190" i="1"/>
  <c r="O189" i="1"/>
  <c r="N189" i="1"/>
  <c r="O188" i="1"/>
  <c r="N188" i="1"/>
  <c r="O187" i="1"/>
  <c r="N187" i="1"/>
  <c r="O186" i="1"/>
  <c r="N186" i="1"/>
  <c r="O185" i="1"/>
  <c r="N185" i="1"/>
  <c r="O184" i="1"/>
  <c r="N184" i="1"/>
  <c r="O182" i="1"/>
  <c r="N182" i="1"/>
  <c r="O181" i="1"/>
  <c r="N181" i="1"/>
  <c r="O179" i="1"/>
  <c r="N179" i="1"/>
  <c r="O178" i="1"/>
  <c r="N178" i="1"/>
  <c r="J178" i="1" s="1"/>
  <c r="O177" i="1"/>
  <c r="N177" i="1"/>
  <c r="O176" i="1"/>
  <c r="N176" i="1"/>
  <c r="O175" i="1"/>
  <c r="N175" i="1"/>
  <c r="O174" i="1"/>
  <c r="N174" i="1"/>
  <c r="O173" i="1"/>
  <c r="N173" i="1"/>
  <c r="O172" i="1"/>
  <c r="N172" i="1"/>
  <c r="O171" i="1"/>
  <c r="N171" i="1"/>
  <c r="O170" i="1"/>
  <c r="N170" i="1"/>
  <c r="O169" i="1"/>
  <c r="N169" i="1"/>
  <c r="O168" i="1"/>
  <c r="N168" i="1"/>
  <c r="O167" i="1"/>
  <c r="N167" i="1"/>
  <c r="O166" i="1"/>
  <c r="N166" i="1"/>
  <c r="O165" i="1"/>
  <c r="N165" i="1"/>
  <c r="O164" i="1"/>
  <c r="N164" i="1"/>
  <c r="O163" i="1"/>
  <c r="N163" i="1"/>
  <c r="O162" i="1"/>
  <c r="N162" i="1"/>
  <c r="O161" i="1"/>
  <c r="N161" i="1"/>
  <c r="O160" i="1"/>
  <c r="N160" i="1"/>
  <c r="O159" i="1"/>
  <c r="N159" i="1"/>
  <c r="O158" i="1"/>
  <c r="N158" i="1"/>
  <c r="O157" i="1"/>
  <c r="N157" i="1"/>
  <c r="O156" i="1"/>
  <c r="N156" i="1"/>
  <c r="J156" i="1" s="1"/>
  <c r="X156" i="1" s="1"/>
  <c r="O155" i="1"/>
  <c r="N155" i="1"/>
  <c r="J155" i="1" s="1"/>
  <c r="O154" i="1"/>
  <c r="N154" i="1"/>
  <c r="O153" i="1"/>
  <c r="N153" i="1"/>
  <c r="O152" i="1"/>
  <c r="N152" i="1"/>
  <c r="X152" i="1" s="1"/>
  <c r="O151" i="1"/>
  <c r="N151" i="1"/>
  <c r="O150" i="1"/>
  <c r="N150" i="1"/>
  <c r="J150" i="1" s="1"/>
  <c r="K150" i="1" s="1"/>
  <c r="O149" i="1"/>
  <c r="N149" i="1"/>
  <c r="J149" i="1" s="1"/>
  <c r="O148" i="1"/>
  <c r="N148" i="1"/>
  <c r="O147" i="1"/>
  <c r="N147" i="1"/>
  <c r="O146" i="1"/>
  <c r="L146" i="1" s="1"/>
  <c r="N146" i="1"/>
  <c r="J146" i="1" s="1"/>
  <c r="O145" i="1"/>
  <c r="N145" i="1"/>
  <c r="O144" i="1"/>
  <c r="N144" i="1"/>
  <c r="O143" i="1"/>
  <c r="N143" i="1"/>
  <c r="O142" i="1"/>
  <c r="N142" i="1"/>
  <c r="J142" i="1" s="1"/>
  <c r="O141" i="1"/>
  <c r="N141" i="1"/>
  <c r="O140" i="1"/>
  <c r="N140" i="1"/>
  <c r="O139" i="1"/>
  <c r="N139" i="1"/>
  <c r="O138" i="1"/>
  <c r="N138" i="1"/>
  <c r="O137" i="1"/>
  <c r="N137" i="1"/>
  <c r="O136" i="1"/>
  <c r="N136" i="1"/>
  <c r="O135" i="1"/>
  <c r="N135" i="1"/>
  <c r="O134" i="1"/>
  <c r="N134" i="1"/>
  <c r="O133" i="1"/>
  <c r="N133" i="1"/>
  <c r="O132" i="1"/>
  <c r="N132" i="1"/>
  <c r="O131" i="1"/>
  <c r="N131" i="1"/>
  <c r="O130" i="1"/>
  <c r="N130" i="1"/>
  <c r="O129" i="1"/>
  <c r="N129" i="1"/>
  <c r="J129" i="1" s="1"/>
  <c r="X129" i="1" s="1"/>
  <c r="O128" i="1"/>
  <c r="N128" i="1"/>
  <c r="O127" i="1"/>
  <c r="N127" i="1"/>
  <c r="J127" i="1" s="1"/>
  <c r="O126" i="1"/>
  <c r="N126" i="1"/>
  <c r="O125" i="1"/>
  <c r="N125" i="1"/>
  <c r="J125" i="1" s="1"/>
  <c r="O124" i="1"/>
  <c r="N124" i="1"/>
  <c r="O123" i="1"/>
  <c r="N123" i="1"/>
  <c r="O122" i="1"/>
  <c r="N122" i="1"/>
  <c r="O121" i="1"/>
  <c r="N121" i="1"/>
  <c r="O120" i="1"/>
  <c r="N120" i="1"/>
  <c r="O119" i="1"/>
  <c r="N119" i="1"/>
  <c r="O118" i="1"/>
  <c r="N118" i="1"/>
  <c r="O117" i="1"/>
  <c r="N117" i="1"/>
  <c r="O116" i="1"/>
  <c r="N116" i="1"/>
  <c r="J116" i="1" s="1"/>
  <c r="O115" i="1"/>
  <c r="N115" i="1"/>
  <c r="O114" i="1"/>
  <c r="N114" i="1"/>
  <c r="J114" i="1" s="1"/>
  <c r="O113" i="1"/>
  <c r="N113" i="1"/>
  <c r="O112" i="1"/>
  <c r="N112" i="1"/>
  <c r="O111" i="1"/>
  <c r="N111" i="1"/>
  <c r="O110" i="1"/>
  <c r="N110" i="1"/>
  <c r="O109" i="1"/>
  <c r="N109" i="1"/>
  <c r="O108" i="1"/>
  <c r="N108" i="1"/>
  <c r="O107" i="1"/>
  <c r="N107" i="1"/>
  <c r="O106" i="1"/>
  <c r="N106" i="1"/>
  <c r="O105" i="1"/>
  <c r="N105" i="1"/>
  <c r="O104" i="1"/>
  <c r="N104" i="1"/>
  <c r="O103" i="1"/>
  <c r="N103" i="1"/>
  <c r="O102" i="1"/>
  <c r="N102" i="1"/>
  <c r="O101" i="1"/>
  <c r="N101" i="1"/>
  <c r="O100" i="1"/>
  <c r="N100" i="1"/>
  <c r="O99" i="1"/>
  <c r="N99" i="1"/>
  <c r="O98" i="1"/>
  <c r="N98" i="1"/>
  <c r="J98" i="1" s="1"/>
  <c r="K98" i="1" s="1"/>
  <c r="O97" i="1"/>
  <c r="N97" i="1"/>
  <c r="O96" i="1"/>
  <c r="N96" i="1"/>
  <c r="O95" i="1"/>
  <c r="N95" i="1"/>
  <c r="J95" i="1" s="1"/>
  <c r="O94" i="1"/>
  <c r="N94" i="1"/>
  <c r="O93" i="1"/>
  <c r="N93" i="1"/>
  <c r="O92" i="1"/>
  <c r="N92" i="1"/>
  <c r="O91" i="1"/>
  <c r="N91" i="1"/>
  <c r="O90" i="1"/>
  <c r="N90" i="1"/>
  <c r="O89" i="1"/>
  <c r="N89" i="1"/>
  <c r="J89" i="1" s="1"/>
  <c r="O88" i="1"/>
  <c r="N88" i="1"/>
  <c r="J88" i="1" s="1"/>
  <c r="O87" i="1"/>
  <c r="N87" i="1"/>
  <c r="O86" i="1"/>
  <c r="N86" i="1"/>
  <c r="O85" i="1"/>
  <c r="N85" i="1"/>
  <c r="O84" i="1"/>
  <c r="N84" i="1"/>
  <c r="J84" i="1" s="1"/>
  <c r="O83" i="1"/>
  <c r="N83" i="1"/>
  <c r="O82" i="1"/>
  <c r="N82" i="1"/>
  <c r="O81" i="1"/>
  <c r="N81" i="1"/>
  <c r="O80" i="1"/>
  <c r="N80" i="1"/>
  <c r="O79" i="1"/>
  <c r="N79" i="1"/>
  <c r="O78" i="1"/>
  <c r="N78" i="1"/>
  <c r="O77" i="1"/>
  <c r="N77" i="1"/>
  <c r="O76" i="1"/>
  <c r="N76" i="1"/>
  <c r="J76" i="1" s="1"/>
  <c r="O75" i="1"/>
  <c r="N75" i="1"/>
  <c r="O74" i="1"/>
  <c r="N74" i="1"/>
  <c r="O73" i="1"/>
  <c r="N73" i="1"/>
  <c r="J73" i="1" s="1"/>
  <c r="O72" i="1"/>
  <c r="N72" i="1"/>
  <c r="O71" i="1"/>
  <c r="N71" i="1"/>
  <c r="O70" i="1"/>
  <c r="N70" i="1"/>
  <c r="J70" i="1" s="1"/>
  <c r="O69" i="1"/>
  <c r="N69" i="1"/>
  <c r="O68" i="1"/>
  <c r="N68" i="1"/>
  <c r="O67" i="1"/>
  <c r="N67" i="1"/>
  <c r="O66" i="1"/>
  <c r="N66" i="1"/>
  <c r="J66" i="1" s="1"/>
  <c r="O65" i="1"/>
  <c r="N65" i="1"/>
  <c r="O64" i="1"/>
  <c r="N64" i="1"/>
  <c r="O63" i="1"/>
  <c r="N63" i="1"/>
  <c r="O62" i="1"/>
  <c r="N62" i="1"/>
  <c r="O61" i="1"/>
  <c r="N61" i="1"/>
  <c r="J61" i="1" s="1"/>
  <c r="O60" i="1"/>
  <c r="N60" i="1"/>
  <c r="J60" i="1" s="1"/>
  <c r="O59" i="1"/>
  <c r="N59" i="1"/>
  <c r="J59" i="1" s="1"/>
  <c r="O58" i="1"/>
  <c r="N58" i="1"/>
  <c r="J58" i="1" s="1"/>
  <c r="O57" i="1"/>
  <c r="N57" i="1"/>
  <c r="O56" i="1"/>
  <c r="N56" i="1"/>
  <c r="O55" i="1"/>
  <c r="N55" i="1"/>
  <c r="O54" i="1"/>
  <c r="N54" i="1"/>
  <c r="J54" i="1" s="1"/>
  <c r="O53" i="1"/>
  <c r="N53" i="1"/>
  <c r="O52" i="1"/>
  <c r="N52" i="1"/>
  <c r="O51" i="1"/>
  <c r="N51" i="1"/>
  <c r="O50" i="1"/>
  <c r="N50" i="1"/>
  <c r="O49" i="1"/>
  <c r="N49" i="1"/>
  <c r="O48" i="1"/>
  <c r="N48" i="1"/>
  <c r="O47" i="1"/>
  <c r="N47" i="1"/>
  <c r="O46" i="1"/>
  <c r="N46" i="1"/>
  <c r="O45" i="1"/>
  <c r="N45" i="1"/>
  <c r="J45" i="1" s="1"/>
  <c r="O44" i="1"/>
  <c r="N44" i="1"/>
  <c r="J44" i="1" s="1"/>
  <c r="O43" i="1"/>
  <c r="N43" i="1"/>
  <c r="J43" i="1" s="1"/>
  <c r="O42" i="1"/>
  <c r="N42" i="1"/>
  <c r="X42" i="1" s="1"/>
  <c r="O41" i="1"/>
  <c r="N41" i="1"/>
  <c r="X41" i="1" s="1"/>
  <c r="O40" i="1"/>
  <c r="N40" i="1"/>
  <c r="O39" i="1"/>
  <c r="N39" i="1"/>
  <c r="O38" i="1"/>
  <c r="N38" i="1"/>
  <c r="K38" i="1" s="1"/>
  <c r="O37" i="1"/>
  <c r="N37" i="1"/>
  <c r="J37" i="1" s="1"/>
  <c r="O36" i="1"/>
  <c r="N36" i="1"/>
  <c r="O35" i="1"/>
  <c r="N35" i="1"/>
  <c r="O34" i="1"/>
  <c r="N34" i="1"/>
  <c r="O33" i="1"/>
  <c r="N33" i="1"/>
  <c r="O32" i="1"/>
  <c r="N32" i="1"/>
  <c r="O31" i="1"/>
  <c r="N31" i="1"/>
  <c r="O30" i="1"/>
  <c r="N30" i="1"/>
  <c r="O29" i="1"/>
  <c r="N29" i="1"/>
  <c r="O28" i="1"/>
  <c r="N28" i="1"/>
  <c r="O27" i="1"/>
  <c r="N27" i="1"/>
  <c r="O26" i="1"/>
  <c r="N26" i="1"/>
  <c r="O25" i="1"/>
  <c r="N25" i="1"/>
  <c r="O24" i="1"/>
  <c r="N24" i="1"/>
  <c r="O23" i="1"/>
  <c r="N23" i="1"/>
  <c r="O22" i="1"/>
  <c r="N22" i="1"/>
  <c r="O21" i="1"/>
  <c r="N21" i="1"/>
  <c r="O20" i="1"/>
  <c r="N20" i="1"/>
  <c r="O19" i="1"/>
  <c r="N19" i="1"/>
  <c r="O18" i="1"/>
  <c r="N18" i="1"/>
  <c r="O17" i="1"/>
  <c r="N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O9" i="1"/>
  <c r="N9" i="1"/>
  <c r="O8" i="1"/>
  <c r="N8" i="1"/>
  <c r="O7" i="1"/>
  <c r="N7" i="1"/>
  <c r="J7" i="1" s="1"/>
  <c r="O6" i="1"/>
  <c r="N6" i="1"/>
  <c r="J6" i="1" s="1"/>
  <c r="O5" i="1"/>
  <c r="N5" i="1"/>
  <c r="J5" i="1" s="1"/>
  <c r="O4" i="1"/>
  <c r="L4" i="1" s="1"/>
  <c r="N4" i="1"/>
  <c r="J4" i="1" s="1"/>
  <c r="O3" i="1"/>
  <c r="N3" i="1"/>
  <c r="F3" i="1"/>
  <c r="D3" i="1"/>
  <c r="C3" i="1"/>
  <c r="N3" i="4"/>
  <c r="E279" i="1" s="1"/>
  <c r="N4" i="4"/>
  <c r="E278" i="1" s="1"/>
  <c r="N5" i="4"/>
  <c r="E281" i="1" s="1"/>
  <c r="N6" i="4"/>
  <c r="E277" i="1" s="1"/>
  <c r="N7" i="4"/>
  <c r="E282" i="1" s="1"/>
  <c r="N8" i="4"/>
  <c r="E280" i="1" s="1"/>
  <c r="N9" i="4"/>
  <c r="O9" i="4"/>
  <c r="N10" i="4"/>
  <c r="O10" i="4"/>
  <c r="N11" i="4"/>
  <c r="E72" i="1" s="1"/>
  <c r="O11" i="4"/>
  <c r="N12" i="4"/>
  <c r="O12" i="4"/>
  <c r="N13" i="4"/>
  <c r="E80" i="1" s="1"/>
  <c r="O13" i="4"/>
  <c r="N14" i="4"/>
  <c r="O14" i="4"/>
  <c r="N15" i="4"/>
  <c r="O15" i="4"/>
  <c r="N16" i="4"/>
  <c r="O16" i="4"/>
  <c r="N17" i="4"/>
  <c r="O17" i="4"/>
  <c r="N18" i="4"/>
  <c r="O18" i="4"/>
  <c r="N19" i="4"/>
  <c r="O19" i="4"/>
  <c r="N20" i="4"/>
  <c r="O20" i="4"/>
  <c r="N21" i="4"/>
  <c r="O21" i="4"/>
  <c r="N22" i="4"/>
  <c r="O22" i="4"/>
  <c r="N23" i="4"/>
  <c r="O23" i="4"/>
  <c r="N24" i="4"/>
  <c r="E88" i="1" s="1"/>
  <c r="O24" i="4"/>
  <c r="N25" i="4"/>
  <c r="E90" i="1" s="1"/>
  <c r="O25" i="4"/>
  <c r="N26" i="4"/>
  <c r="O26" i="4"/>
  <c r="N27" i="4"/>
  <c r="O27" i="4"/>
  <c r="N28" i="4"/>
  <c r="O28" i="4"/>
  <c r="N29" i="4"/>
  <c r="E73" i="1" s="1"/>
  <c r="O29" i="4"/>
  <c r="N30" i="4"/>
  <c r="E94" i="1" s="1"/>
  <c r="O30" i="4"/>
  <c r="N31" i="4"/>
  <c r="E95" i="1" s="1"/>
  <c r="O31" i="4"/>
  <c r="N32" i="4"/>
  <c r="E96" i="1" s="1"/>
  <c r="O32" i="4"/>
  <c r="N33" i="4"/>
  <c r="E97" i="1" s="1"/>
  <c r="O33" i="4"/>
  <c r="N34" i="4"/>
  <c r="E98" i="1" s="1"/>
  <c r="O34" i="4"/>
  <c r="N35" i="4"/>
  <c r="E99" i="1" s="1"/>
  <c r="O35" i="4"/>
  <c r="N36" i="4"/>
  <c r="E100" i="1" s="1"/>
  <c r="O36" i="4"/>
  <c r="N37" i="4"/>
  <c r="E74" i="1" s="1"/>
  <c r="O37" i="4"/>
  <c r="N38" i="4"/>
  <c r="E75" i="1" s="1"/>
  <c r="O38" i="4"/>
  <c r="N39" i="4"/>
  <c r="E77" i="1" s="1"/>
  <c r="O39" i="4"/>
  <c r="N40" i="4"/>
  <c r="E11" i="1" s="1"/>
  <c r="O40" i="4"/>
  <c r="N41" i="4"/>
  <c r="E283" i="1" s="1"/>
  <c r="N42" i="4"/>
  <c r="E4" i="1" s="1"/>
  <c r="O42" i="4"/>
  <c r="N43" i="4"/>
  <c r="E158" i="1" s="1"/>
  <c r="O43" i="4"/>
  <c r="N44" i="4"/>
  <c r="E275" i="1" s="1"/>
  <c r="N45" i="4"/>
  <c r="E5" i="1" s="1"/>
  <c r="O45" i="4"/>
  <c r="N46" i="4"/>
  <c r="E6" i="1" s="1"/>
  <c r="O46" i="4"/>
  <c r="N47" i="4"/>
  <c r="E7" i="1" s="1"/>
  <c r="O47" i="4"/>
  <c r="N48" i="4"/>
  <c r="E8" i="1" s="1"/>
  <c r="O48" i="4"/>
  <c r="N49" i="4"/>
  <c r="E9" i="1" s="1"/>
  <c r="O49" i="4"/>
  <c r="N50" i="4"/>
  <c r="E287" i="1" s="1"/>
  <c r="N51" i="4"/>
  <c r="E289" i="1" s="1"/>
  <c r="N52" i="4"/>
  <c r="E290" i="1" s="1"/>
  <c r="N53" i="4"/>
  <c r="E306" i="1" s="1"/>
  <c r="N54" i="4"/>
  <c r="E288" i="1" s="1"/>
  <c r="N55" i="4"/>
  <c r="E292" i="1" s="1"/>
  <c r="N56" i="4"/>
  <c r="E304" i="1" s="1"/>
  <c r="N57" i="4"/>
  <c r="E293" i="1" s="1"/>
  <c r="N58" i="4"/>
  <c r="E286" i="1" s="1"/>
  <c r="N59" i="4"/>
  <c r="E294" i="1" s="1"/>
  <c r="N60" i="4"/>
  <c r="E295" i="1" s="1"/>
  <c r="N61" i="4"/>
  <c r="E303" i="1" s="1"/>
  <c r="N62" i="4"/>
  <c r="E297" i="1" s="1"/>
  <c r="N63" i="4"/>
  <c r="E307" i="1" s="1"/>
  <c r="N64" i="4"/>
  <c r="E298" i="1" s="1"/>
  <c r="N65" i="4"/>
  <c r="E299" i="1" s="1"/>
  <c r="N66" i="4"/>
  <c r="E305" i="1" s="1"/>
  <c r="N67" i="4"/>
  <c r="E291" i="1" s="1"/>
  <c r="N68" i="4"/>
  <c r="E300" i="1" s="1"/>
  <c r="N69" i="4"/>
  <c r="E308" i="1" s="1"/>
  <c r="N70" i="4"/>
  <c r="E302" i="1" s="1"/>
  <c r="N71" i="4"/>
  <c r="E301" i="1" s="1"/>
  <c r="N72" i="4"/>
  <c r="E296" i="1" s="1"/>
  <c r="N73" i="4"/>
  <c r="E10" i="1" s="1"/>
  <c r="O73" i="4"/>
  <c r="N74" i="4"/>
  <c r="E276" i="1" s="1"/>
  <c r="N75" i="4"/>
  <c r="E12" i="1" s="1"/>
  <c r="O75" i="4"/>
  <c r="N76" i="4"/>
  <c r="E13" i="1" s="1"/>
  <c r="O76" i="4"/>
  <c r="N77" i="4"/>
  <c r="E62" i="1" s="1"/>
  <c r="O77" i="4"/>
  <c r="N78" i="4"/>
  <c r="E63" i="1" s="1"/>
  <c r="O78" i="4"/>
  <c r="N79" i="4"/>
  <c r="E14" i="1" s="1"/>
  <c r="O79" i="4"/>
  <c r="N80" i="4"/>
  <c r="E15" i="1" s="1"/>
  <c r="O80" i="4"/>
  <c r="N81" i="4"/>
  <c r="E64" i="1" s="1"/>
  <c r="O81" i="4"/>
  <c r="N82" i="4"/>
  <c r="E65" i="1" s="1"/>
  <c r="O82" i="4"/>
  <c r="N83" i="4"/>
  <c r="E66" i="1" s="1"/>
  <c r="O83" i="4"/>
  <c r="N84" i="4"/>
  <c r="E67" i="1" s="1"/>
  <c r="O84" i="4"/>
  <c r="N85" i="4"/>
  <c r="E16" i="1" s="1"/>
  <c r="O85" i="4"/>
  <c r="N86" i="4"/>
  <c r="E17" i="1" s="1"/>
  <c r="O86" i="4"/>
  <c r="N87" i="4"/>
  <c r="E68" i="1" s="1"/>
  <c r="O87" i="4"/>
  <c r="N88" i="4"/>
  <c r="E18" i="1" s="1"/>
  <c r="O88" i="4"/>
  <c r="N89" i="4"/>
  <c r="E19" i="1" s="1"/>
  <c r="O89" i="4"/>
  <c r="N90" i="4"/>
  <c r="E20" i="1" s="1"/>
  <c r="O90" i="4"/>
  <c r="N91" i="4"/>
  <c r="E21" i="1" s="1"/>
  <c r="O91" i="4"/>
  <c r="N92" i="4"/>
  <c r="E22" i="1" s="1"/>
  <c r="O92" i="4"/>
  <c r="N93" i="4"/>
  <c r="E23" i="1" s="1"/>
  <c r="O93" i="4"/>
  <c r="N94" i="4"/>
  <c r="E24" i="1" s="1"/>
  <c r="O94" i="4"/>
  <c r="N95" i="4"/>
  <c r="E25" i="1" s="1"/>
  <c r="O95" i="4"/>
  <c r="N96" i="4"/>
  <c r="E101" i="1" s="1"/>
  <c r="O96" i="4"/>
  <c r="N97" i="4"/>
  <c r="E26" i="1" s="1"/>
  <c r="O97" i="4"/>
  <c r="N98" i="4"/>
  <c r="E27" i="1" s="1"/>
  <c r="O98" i="4"/>
  <c r="N99" i="4"/>
  <c r="E28" i="1" s="1"/>
  <c r="O99" i="4"/>
  <c r="N100" i="4"/>
  <c r="E29" i="1" s="1"/>
  <c r="O100" i="4"/>
  <c r="N101" i="4"/>
  <c r="E30" i="1" s="1"/>
  <c r="O101" i="4"/>
  <c r="N102" i="4"/>
  <c r="E31" i="1" s="1"/>
  <c r="O102" i="4"/>
  <c r="N103" i="4"/>
  <c r="E32" i="1" s="1"/>
  <c r="O103" i="4"/>
  <c r="N104" i="4"/>
  <c r="E33" i="1" s="1"/>
  <c r="O104" i="4"/>
  <c r="N105" i="4"/>
  <c r="E34" i="1" s="1"/>
  <c r="O105" i="4"/>
  <c r="N106" i="4"/>
  <c r="E35" i="1" s="1"/>
  <c r="O106" i="4"/>
  <c r="N107" i="4"/>
  <c r="E36" i="1" s="1"/>
  <c r="O107" i="4"/>
  <c r="N108" i="4"/>
  <c r="E70" i="1" s="1"/>
  <c r="O108" i="4"/>
  <c r="N109" i="4"/>
  <c r="E69" i="1" s="1"/>
  <c r="O109" i="4"/>
  <c r="N110" i="4"/>
  <c r="E37" i="1" s="1"/>
  <c r="O110" i="4"/>
  <c r="N111" i="4"/>
  <c r="E38" i="1" s="1"/>
  <c r="O111" i="4"/>
  <c r="N112" i="4"/>
  <c r="E39" i="1" s="1"/>
  <c r="O112" i="4"/>
  <c r="N113" i="4"/>
  <c r="E40" i="1" s="1"/>
  <c r="O113" i="4"/>
  <c r="N114" i="4"/>
  <c r="E41" i="1" s="1"/>
  <c r="O114" i="4"/>
  <c r="N115" i="4"/>
  <c r="E42" i="1" s="1"/>
  <c r="O115" i="4"/>
  <c r="N116" i="4"/>
  <c r="E58" i="1" s="1"/>
  <c r="O116" i="4"/>
  <c r="N117" i="4"/>
  <c r="E59" i="1" s="1"/>
  <c r="O117" i="4"/>
  <c r="N118" i="4"/>
  <c r="E60" i="1" s="1"/>
  <c r="O118" i="4"/>
  <c r="N119" i="4"/>
  <c r="E43" i="1" s="1"/>
  <c r="O119" i="4"/>
  <c r="N120" i="4"/>
  <c r="E44" i="1" s="1"/>
  <c r="O120" i="4"/>
  <c r="N121" i="4"/>
  <c r="E45" i="1" s="1"/>
  <c r="O121" i="4"/>
  <c r="N122" i="4"/>
  <c r="E46" i="1" s="1"/>
  <c r="O122" i="4"/>
  <c r="N123" i="4"/>
  <c r="E61" i="1" s="1"/>
  <c r="O123" i="4"/>
  <c r="N124" i="4"/>
  <c r="E47" i="1" s="1"/>
  <c r="O124" i="4"/>
  <c r="N125" i="4"/>
  <c r="E108" i="1" s="1"/>
  <c r="O125" i="4"/>
  <c r="N126" i="4"/>
  <c r="E102" i="1" s="1"/>
  <c r="O126" i="4"/>
  <c r="N127" i="4"/>
  <c r="E103" i="1" s="1"/>
  <c r="O127" i="4"/>
  <c r="N128" i="4"/>
  <c r="E104" i="1" s="1"/>
  <c r="O128" i="4"/>
  <c r="N129" i="4"/>
  <c r="E105" i="1" s="1"/>
  <c r="O129" i="4"/>
  <c r="N130" i="4"/>
  <c r="E106" i="1" s="1"/>
  <c r="O130" i="4"/>
  <c r="N131" i="4"/>
  <c r="E107" i="1" s="1"/>
  <c r="O131" i="4"/>
  <c r="N132" i="4"/>
  <c r="E129" i="1" s="1"/>
  <c r="O132" i="4"/>
  <c r="N133" i="4"/>
  <c r="E109" i="1" s="1"/>
  <c r="O133" i="4"/>
  <c r="N134" i="4"/>
  <c r="E131" i="1" s="1"/>
  <c r="O134" i="4"/>
  <c r="N135" i="4"/>
  <c r="E133" i="1" s="1"/>
  <c r="O135" i="4"/>
  <c r="N136" i="4"/>
  <c r="E134" i="1" s="1"/>
  <c r="O136" i="4"/>
  <c r="N137" i="4"/>
  <c r="E132" i="1" s="1"/>
  <c r="O137" i="4"/>
  <c r="N138" i="4"/>
  <c r="E130" i="1" s="1"/>
  <c r="O138" i="4"/>
  <c r="N139" i="4"/>
  <c r="E110" i="1" s="1"/>
  <c r="O139" i="4"/>
  <c r="N140" i="4"/>
  <c r="E111" i="1" s="1"/>
  <c r="O140" i="4"/>
  <c r="N141" i="4"/>
  <c r="E112" i="1" s="1"/>
  <c r="O141" i="4"/>
  <c r="N142" i="4"/>
  <c r="E113" i="1" s="1"/>
  <c r="O142" i="4"/>
  <c r="N143" i="4"/>
  <c r="E114" i="1" s="1"/>
  <c r="O143" i="4"/>
  <c r="N144" i="4"/>
  <c r="E115" i="1" s="1"/>
  <c r="O144" i="4"/>
  <c r="N145" i="4"/>
  <c r="E116" i="1" s="1"/>
  <c r="O145" i="4"/>
  <c r="N146" i="4"/>
  <c r="E117" i="1" s="1"/>
  <c r="O146" i="4"/>
  <c r="N147" i="4"/>
  <c r="E163" i="1" s="1"/>
  <c r="O147" i="4"/>
  <c r="N148" i="4"/>
  <c r="E118" i="1" s="1"/>
  <c r="O148" i="4"/>
  <c r="N149" i="4"/>
  <c r="E136" i="1" s="1"/>
  <c r="O149" i="4"/>
  <c r="N150" i="4"/>
  <c r="E119" i="1" s="1"/>
  <c r="O150" i="4"/>
  <c r="N151" i="4"/>
  <c r="E120" i="1" s="1"/>
  <c r="O151" i="4"/>
  <c r="N152" i="4"/>
  <c r="E121" i="1" s="1"/>
  <c r="O152" i="4"/>
  <c r="N153" i="4"/>
  <c r="E122" i="1" s="1"/>
  <c r="O153" i="4"/>
  <c r="N154" i="4"/>
  <c r="E123" i="1" s="1"/>
  <c r="O154" i="4"/>
  <c r="N155" i="4"/>
  <c r="E124" i="1" s="1"/>
  <c r="O155" i="4"/>
  <c r="N156" i="4"/>
  <c r="E125" i="1" s="1"/>
  <c r="O156" i="4"/>
  <c r="N157" i="4"/>
  <c r="E126" i="1" s="1"/>
  <c r="O157" i="4"/>
  <c r="N158" i="4"/>
  <c r="E137" i="1" s="1"/>
  <c r="O158" i="4"/>
  <c r="N159" i="4"/>
  <c r="E164" i="1" s="1"/>
  <c r="O159" i="4"/>
  <c r="N160" i="4"/>
  <c r="E127" i="1" s="1"/>
  <c r="O160" i="4"/>
  <c r="N161" i="4"/>
  <c r="E128" i="1" s="1"/>
  <c r="O161" i="4"/>
  <c r="N162" i="4"/>
  <c r="E135" i="1" s="1"/>
  <c r="O162" i="4"/>
  <c r="N163" i="4"/>
  <c r="E138" i="1" s="1"/>
  <c r="O163" i="4"/>
  <c r="N164" i="4"/>
  <c r="E139" i="1" s="1"/>
  <c r="O164" i="4"/>
  <c r="N165" i="4"/>
  <c r="E140" i="1" s="1"/>
  <c r="O165" i="4"/>
  <c r="N166" i="4"/>
  <c r="E141" i="1" s="1"/>
  <c r="O166" i="4"/>
  <c r="N167" i="4"/>
  <c r="E142" i="1" s="1"/>
  <c r="O167" i="4"/>
  <c r="N168" i="4"/>
  <c r="E143" i="1" s="1"/>
  <c r="O168" i="4"/>
  <c r="N169" i="4"/>
  <c r="E144" i="1" s="1"/>
  <c r="O169" i="4"/>
  <c r="N170" i="4"/>
  <c r="E145" i="1" s="1"/>
  <c r="O170" i="4"/>
  <c r="N171" i="4"/>
  <c r="E146" i="1" s="1"/>
  <c r="O171" i="4"/>
  <c r="N172" i="4"/>
  <c r="E285" i="1" s="1"/>
  <c r="N173" i="4"/>
  <c r="E269" i="1" s="1"/>
  <c r="N174" i="4"/>
  <c r="E147" i="1" s="1"/>
  <c r="O174" i="4"/>
  <c r="N175" i="4"/>
  <c r="E148" i="1" s="1"/>
  <c r="O175" i="4"/>
  <c r="N176" i="4"/>
  <c r="E273" i="1" s="1"/>
  <c r="N177" i="4"/>
  <c r="E284" i="1" s="1"/>
  <c r="N178" i="4"/>
  <c r="E149" i="1" s="1"/>
  <c r="O178" i="4"/>
  <c r="N179" i="4"/>
  <c r="E150" i="1" s="1"/>
  <c r="O179" i="4"/>
  <c r="N180" i="4"/>
  <c r="E151" i="1" s="1"/>
  <c r="O180" i="4"/>
  <c r="N181" i="4"/>
  <c r="E152" i="1" s="1"/>
  <c r="O181" i="4"/>
  <c r="N182" i="4"/>
  <c r="E153" i="1" s="1"/>
  <c r="O182" i="4"/>
  <c r="N183" i="4"/>
  <c r="E154" i="1" s="1"/>
  <c r="O183" i="4"/>
  <c r="N184" i="4"/>
  <c r="E155" i="1" s="1"/>
  <c r="O184" i="4"/>
  <c r="N185" i="4"/>
  <c r="E313" i="1" s="1"/>
  <c r="N186" i="4"/>
  <c r="E157" i="1" s="1"/>
  <c r="O186" i="4"/>
  <c r="N187" i="4"/>
  <c r="E314" i="1" s="1"/>
  <c r="N188" i="4"/>
  <c r="E159" i="1" s="1"/>
  <c r="O188" i="4"/>
  <c r="N189" i="4"/>
  <c r="O189" i="4"/>
  <c r="N190" i="4"/>
  <c r="E161" i="1" s="1"/>
  <c r="O190" i="4"/>
  <c r="N191" i="4"/>
  <c r="E156" i="1" s="1"/>
  <c r="O191" i="4"/>
  <c r="N192" i="4"/>
  <c r="E162" i="1" s="1"/>
  <c r="O192" i="4"/>
  <c r="N193" i="4"/>
  <c r="E310" i="1" s="1"/>
  <c r="N194" i="4"/>
  <c r="E309" i="1" s="1"/>
  <c r="N195" i="4"/>
  <c r="E311" i="1" s="1"/>
  <c r="N196" i="4"/>
  <c r="E185" i="1" s="1"/>
  <c r="N197" i="4"/>
  <c r="E168" i="1" s="1"/>
  <c r="O197" i="4"/>
  <c r="N198" i="4"/>
  <c r="E169" i="1" s="1"/>
  <c r="O198" i="4"/>
  <c r="N199" i="4"/>
  <c r="E170" i="1" s="1"/>
  <c r="O199" i="4"/>
  <c r="N200" i="4"/>
  <c r="E171" i="1" s="1"/>
  <c r="O200" i="4"/>
  <c r="N201" i="4"/>
  <c r="E172" i="1" s="1"/>
  <c r="O201" i="4"/>
  <c r="N202" i="4"/>
  <c r="E173" i="1" s="1"/>
  <c r="O202" i="4"/>
  <c r="N203" i="4"/>
  <c r="E175" i="1" s="1"/>
  <c r="O203" i="4"/>
  <c r="N204" i="4"/>
  <c r="E165" i="1" s="1"/>
  <c r="O204" i="4"/>
  <c r="N205" i="4"/>
  <c r="E176" i="1" s="1"/>
  <c r="O205" i="4"/>
  <c r="N206" i="4"/>
  <c r="E177" i="1" s="1"/>
  <c r="O206" i="4"/>
  <c r="N207" i="4"/>
  <c r="E166" i="1" s="1"/>
  <c r="O207" i="4"/>
  <c r="N208" i="4"/>
  <c r="E179" i="1" s="1"/>
  <c r="O208" i="4"/>
  <c r="N209" i="4"/>
  <c r="E180" i="1" s="1"/>
  <c r="O209" i="4"/>
  <c r="N210" i="4"/>
  <c r="E167" i="1" s="1"/>
  <c r="O210" i="4"/>
  <c r="N211" i="4"/>
  <c r="E181" i="1" s="1"/>
  <c r="N212" i="4"/>
  <c r="E182" i="1" s="1"/>
  <c r="N213" i="4"/>
  <c r="E174" i="1" s="1"/>
  <c r="O213" i="4"/>
  <c r="N214" i="4"/>
  <c r="E178" i="1" s="1"/>
  <c r="O214" i="4"/>
  <c r="N215" i="4"/>
  <c r="E183" i="1" s="1"/>
  <c r="N216" i="4"/>
  <c r="E184" i="1" s="1"/>
  <c r="N217" i="4"/>
  <c r="E48" i="1" s="1"/>
  <c r="O217" i="4"/>
  <c r="N218" i="4"/>
  <c r="E49" i="1" s="1"/>
  <c r="O218" i="4"/>
  <c r="N219" i="4"/>
  <c r="E50" i="1" s="1"/>
  <c r="O219" i="4"/>
  <c r="N220" i="4"/>
  <c r="E51" i="1" s="1"/>
  <c r="O220" i="4"/>
  <c r="N221" i="4"/>
  <c r="E52" i="1" s="1"/>
  <c r="O221" i="4"/>
  <c r="N222" i="4"/>
  <c r="E53" i="1" s="1"/>
  <c r="O222" i="4"/>
  <c r="N223" i="4"/>
  <c r="E54" i="1" s="1"/>
  <c r="O223" i="4"/>
  <c r="N224" i="4"/>
  <c r="E55" i="1" s="1"/>
  <c r="O224" i="4"/>
  <c r="N225" i="4"/>
  <c r="E56" i="1" s="1"/>
  <c r="O225" i="4"/>
  <c r="N226" i="4"/>
  <c r="E57" i="1" s="1"/>
  <c r="O226" i="4"/>
  <c r="N227" i="4"/>
  <c r="E274" i="1" s="1"/>
  <c r="N228" i="4"/>
  <c r="E186" i="1" s="1"/>
  <c r="N229" i="4"/>
  <c r="E315" i="1" s="1"/>
  <c r="N230" i="4"/>
  <c r="E272" i="1" s="1"/>
  <c r="N231" i="4"/>
  <c r="E187" i="1" s="1"/>
  <c r="N232" i="4"/>
  <c r="E188" i="1" s="1"/>
  <c r="N233" i="4"/>
  <c r="E189" i="1" s="1"/>
  <c r="N234" i="4"/>
  <c r="E190" i="1" s="1"/>
  <c r="N235" i="4"/>
  <c r="E191" i="1" s="1"/>
  <c r="N236" i="4"/>
  <c r="E192" i="1" s="1"/>
  <c r="N237" i="4"/>
  <c r="E193" i="1" s="1"/>
  <c r="N238" i="4"/>
  <c r="E194" i="1" s="1"/>
  <c r="N239" i="4"/>
  <c r="E195" i="1" s="1"/>
  <c r="N240" i="4"/>
  <c r="E196" i="1" s="1"/>
  <c r="N241" i="4"/>
  <c r="E197" i="1" s="1"/>
  <c r="N242" i="4"/>
  <c r="E198" i="1" s="1"/>
  <c r="N243" i="4"/>
  <c r="E199" i="1" s="1"/>
  <c r="N244" i="4"/>
  <c r="E200" i="1" s="1"/>
  <c r="N245" i="4"/>
  <c r="E316" i="1" s="1"/>
  <c r="N246" i="4"/>
  <c r="E317" i="1" s="1"/>
  <c r="N247" i="4"/>
  <c r="E318" i="1" s="1"/>
  <c r="N248" i="4"/>
  <c r="E201" i="1" s="1"/>
  <c r="N249" i="4"/>
  <c r="E202" i="1" s="1"/>
  <c r="N250" i="4"/>
  <c r="E203" i="1" s="1"/>
  <c r="N251" i="4"/>
  <c r="E204" i="1" s="1"/>
  <c r="N252" i="4"/>
  <c r="E205" i="1" s="1"/>
  <c r="N253" i="4"/>
  <c r="E206" i="1" s="1"/>
  <c r="N254" i="4"/>
  <c r="E207" i="1" s="1"/>
  <c r="N255" i="4"/>
  <c r="E208" i="1" s="1"/>
  <c r="N256" i="4"/>
  <c r="E209" i="1" s="1"/>
  <c r="N257" i="4"/>
  <c r="E210" i="1" s="1"/>
  <c r="N258" i="4"/>
  <c r="E211" i="1" s="1"/>
  <c r="N259" i="4"/>
  <c r="E212" i="1" s="1"/>
  <c r="N260" i="4"/>
  <c r="E213" i="1" s="1"/>
  <c r="N261" i="4"/>
  <c r="E214" i="1" s="1"/>
  <c r="N262" i="4"/>
  <c r="E271" i="1" s="1"/>
  <c r="N263" i="4"/>
  <c r="E215" i="1" s="1"/>
  <c r="N264" i="4"/>
  <c r="E216" i="1" s="1"/>
  <c r="N265" i="4"/>
  <c r="E217" i="1" s="1"/>
  <c r="N266" i="4"/>
  <c r="E218" i="1" s="1"/>
  <c r="N267" i="4"/>
  <c r="E219" i="1" s="1"/>
  <c r="N268" i="4"/>
  <c r="E220" i="1" s="1"/>
  <c r="N269" i="4"/>
  <c r="E221" i="1" s="1"/>
  <c r="N270" i="4"/>
  <c r="E227" i="1" s="1"/>
  <c r="N271" i="4"/>
  <c r="E222" i="1" s="1"/>
  <c r="N272" i="4"/>
  <c r="E223" i="1" s="1"/>
  <c r="N273" i="4"/>
  <c r="E224" i="1" s="1"/>
  <c r="N274" i="4"/>
  <c r="E225" i="1" s="1"/>
  <c r="N275" i="4"/>
  <c r="E226" i="1" s="1"/>
  <c r="N276" i="4"/>
  <c r="E228" i="1" s="1"/>
  <c r="N277" i="4"/>
  <c r="E229" i="1" s="1"/>
  <c r="N278" i="4"/>
  <c r="E230" i="1" s="1"/>
  <c r="N279" i="4"/>
  <c r="E231" i="1" s="1"/>
  <c r="N280" i="4"/>
  <c r="E232" i="1" s="1"/>
  <c r="N281" i="4"/>
  <c r="N282" i="4"/>
  <c r="N283" i="4"/>
  <c r="N284" i="4"/>
  <c r="N285" i="4"/>
  <c r="E236" i="1" s="1"/>
  <c r="N286" i="4"/>
  <c r="N287" i="4"/>
  <c r="N288" i="4"/>
  <c r="N289" i="4"/>
  <c r="N290" i="4"/>
  <c r="E251" i="1" s="1"/>
  <c r="N291" i="4"/>
  <c r="E241" i="1" s="1"/>
  <c r="N292" i="4"/>
  <c r="N293" i="4"/>
  <c r="N294" i="4"/>
  <c r="N295" i="4"/>
  <c r="N296" i="4"/>
  <c r="N297" i="4"/>
  <c r="N298" i="4"/>
  <c r="E247" i="1" s="1"/>
  <c r="N299" i="4"/>
  <c r="N300" i="4"/>
  <c r="N301" i="4"/>
  <c r="E320" i="1" s="1"/>
  <c r="N302" i="4"/>
  <c r="N303" i="4"/>
  <c r="N304" i="4"/>
  <c r="N305" i="4"/>
  <c r="N306" i="4"/>
  <c r="N307" i="4"/>
  <c r="E258" i="1" s="1"/>
  <c r="N308" i="4"/>
  <c r="N309" i="4"/>
  <c r="E260" i="1" s="1"/>
  <c r="N310" i="4"/>
  <c r="E270" i="1" s="1"/>
  <c r="N311" i="4"/>
  <c r="N312" i="4"/>
  <c r="N313" i="4"/>
  <c r="N314" i="4"/>
  <c r="E263" i="1" s="1"/>
  <c r="N315" i="4"/>
  <c r="E265" i="1" s="1"/>
  <c r="N316" i="4"/>
  <c r="N2" i="4"/>
  <c r="E312" i="1" s="1"/>
  <c r="P3" i="5"/>
  <c r="F35" i="6" s="1"/>
  <c r="P4" i="5"/>
  <c r="F36" i="6" s="1"/>
  <c r="P5" i="5"/>
  <c r="F37" i="6" s="1"/>
  <c r="P6" i="5"/>
  <c r="F38" i="6" s="1"/>
  <c r="P7" i="5"/>
  <c r="F39" i="6" s="1"/>
  <c r="P8" i="5"/>
  <c r="F40" i="6" s="1"/>
  <c r="P9" i="5"/>
  <c r="F41" i="6" s="1"/>
  <c r="P10" i="5"/>
  <c r="F42" i="6" s="1"/>
  <c r="P11" i="5"/>
  <c r="F43" i="6" s="1"/>
  <c r="P12" i="5"/>
  <c r="F44" i="6" s="1"/>
  <c r="P13" i="5"/>
  <c r="F45" i="6" s="1"/>
  <c r="P14" i="5"/>
  <c r="F46" i="6" s="1"/>
  <c r="P15" i="5"/>
  <c r="F47" i="6" s="1"/>
  <c r="P16" i="5"/>
  <c r="F48" i="6" s="1"/>
  <c r="P17" i="5"/>
  <c r="F49" i="6" s="1"/>
  <c r="P18" i="5"/>
  <c r="F50" i="6" s="1"/>
  <c r="P19" i="5"/>
  <c r="F51" i="6" s="1"/>
  <c r="P20" i="5"/>
  <c r="F52" i="6" s="1"/>
  <c r="P21" i="5"/>
  <c r="F53" i="6" s="1"/>
  <c r="P22" i="5"/>
  <c r="F54" i="6" s="1"/>
  <c r="P23" i="5"/>
  <c r="F19" i="6" s="1"/>
  <c r="P24" i="5"/>
  <c r="F20" i="6" s="1"/>
  <c r="P25" i="5"/>
  <c r="F21" i="6" s="1"/>
  <c r="P26" i="5"/>
  <c r="F22" i="6" s="1"/>
  <c r="P27" i="5"/>
  <c r="F23" i="6" s="1"/>
  <c r="P28" i="5"/>
  <c r="P29" i="5"/>
  <c r="F25" i="6" s="1"/>
  <c r="P30" i="5"/>
  <c r="P31" i="5"/>
  <c r="F27" i="6" s="1"/>
  <c r="P32" i="5"/>
  <c r="F28" i="6" s="1"/>
  <c r="P2" i="5"/>
  <c r="L1" i="6"/>
  <c r="M1" i="6"/>
  <c r="J1" i="6"/>
  <c r="J1" i="1"/>
  <c r="G1404" i="2" l="1"/>
  <c r="K156" i="1"/>
  <c r="J69" i="1"/>
  <c r="K69" i="1" s="1"/>
  <c r="L69" i="1" s="1"/>
  <c r="M69" i="1" s="1"/>
  <c r="J141" i="1"/>
  <c r="K141" i="1" s="1"/>
  <c r="L141" i="1" s="1"/>
  <c r="M141" i="1" s="1"/>
  <c r="J313" i="1"/>
  <c r="X313" i="1" s="1"/>
  <c r="J119" i="1"/>
  <c r="X119" i="1" s="1"/>
  <c r="J137" i="1"/>
  <c r="K137" i="1" s="1"/>
  <c r="M137" i="1" s="1"/>
  <c r="J262" i="1"/>
  <c r="X262" i="1" s="1"/>
  <c r="X98" i="1"/>
  <c r="J46" i="1"/>
  <c r="K46" i="1" s="1"/>
  <c r="L46" i="1" s="1"/>
  <c r="M46" i="1" s="1"/>
  <c r="J238" i="1"/>
  <c r="X238" i="1" s="1"/>
  <c r="J47" i="1"/>
  <c r="X47" i="1" s="1"/>
  <c r="J77" i="1"/>
  <c r="X77" i="1" s="1"/>
  <c r="J256" i="1"/>
  <c r="K256" i="1" s="1"/>
  <c r="L256" i="1" s="1"/>
  <c r="M256" i="1" s="1"/>
  <c r="J196" i="1"/>
  <c r="X196" i="1" s="1"/>
  <c r="J218" i="1"/>
  <c r="X218" i="1" s="1"/>
  <c r="J241" i="1"/>
  <c r="X241" i="1" s="1"/>
  <c r="J285" i="1"/>
  <c r="X285" i="1" s="1"/>
  <c r="J190" i="1"/>
  <c r="X190" i="1" s="1"/>
  <c r="J229" i="1"/>
  <c r="K229" i="1" s="1"/>
  <c r="L229" i="1" s="1"/>
  <c r="M229" i="1" s="1"/>
  <c r="J99" i="1"/>
  <c r="X99" i="1" s="1"/>
  <c r="J135" i="1"/>
  <c r="X135" i="1" s="1"/>
  <c r="J261" i="1"/>
  <c r="X261" i="1" s="1"/>
  <c r="J194" i="1"/>
  <c r="X194" i="1" s="1"/>
  <c r="J270" i="1"/>
  <c r="X270" i="1" s="1"/>
  <c r="J78" i="1"/>
  <c r="K78" i="1" s="1"/>
  <c r="L78" i="1" s="1"/>
  <c r="M78" i="1" s="1"/>
  <c r="X120" i="1"/>
  <c r="J120" i="1"/>
  <c r="J257" i="1"/>
  <c r="X257" i="1" s="1"/>
  <c r="J259" i="1"/>
  <c r="X259" i="1" s="1"/>
  <c r="J294" i="1"/>
  <c r="X294" i="1" s="1"/>
  <c r="J67" i="1"/>
  <c r="K67" i="1" s="1"/>
  <c r="L67" i="1" s="1"/>
  <c r="M67" i="1" s="1"/>
  <c r="J74" i="1"/>
  <c r="K74" i="1" s="1"/>
  <c r="L74" i="1" s="1"/>
  <c r="M74" i="1" s="1"/>
  <c r="K10" i="1"/>
  <c r="J10" i="1"/>
  <c r="J254" i="1"/>
  <c r="X254" i="1" s="1"/>
  <c r="J220" i="1"/>
  <c r="X220" i="1" s="1"/>
  <c r="J249" i="1"/>
  <c r="X249" i="1" s="1"/>
  <c r="J265" i="1"/>
  <c r="X265" i="1" s="1"/>
  <c r="J280" i="1"/>
  <c r="P280" i="1" s="1"/>
  <c r="J189" i="1"/>
  <c r="X189" i="1" s="1"/>
  <c r="J205" i="1"/>
  <c r="X205" i="1" s="1"/>
  <c r="J258" i="1"/>
  <c r="X258" i="1" s="1"/>
  <c r="J266" i="1"/>
  <c r="K266" i="1" s="1"/>
  <c r="L266" i="1" s="1"/>
  <c r="M266" i="1" s="1"/>
  <c r="J68" i="1"/>
  <c r="X68" i="1" s="1"/>
  <c r="J222" i="1"/>
  <c r="K222" i="1" s="1"/>
  <c r="L222" i="1" s="1"/>
  <c r="M222" i="1" s="1"/>
  <c r="J282" i="1"/>
  <c r="X282" i="1" s="1"/>
  <c r="J304" i="1"/>
  <c r="X304" i="1" s="1"/>
  <c r="X150" i="1"/>
  <c r="J314" i="1"/>
  <c r="X314" i="1" s="1"/>
  <c r="J8" i="1"/>
  <c r="X8" i="1" s="1"/>
  <c r="J81" i="1"/>
  <c r="P81" i="1" s="1"/>
  <c r="J260" i="1"/>
  <c r="X260" i="1" s="1"/>
  <c r="J193" i="1"/>
  <c r="X193" i="1" s="1"/>
  <c r="J283" i="1"/>
  <c r="X283" i="1" s="1"/>
  <c r="G1438" i="2"/>
  <c r="G1407" i="2"/>
  <c r="G2168" i="2"/>
  <c r="G3437" i="2"/>
  <c r="G3464" i="2"/>
  <c r="G1876" i="2"/>
  <c r="G1887" i="2"/>
  <c r="G906" i="2"/>
  <c r="G908" i="2"/>
  <c r="G1976" i="2"/>
  <c r="G1999" i="2"/>
  <c r="G2218" i="2"/>
  <c r="G2239" i="2"/>
  <c r="G2211" i="2"/>
  <c r="G2233" i="2"/>
  <c r="G1983" i="2"/>
  <c r="G2006" i="2"/>
  <c r="G1978" i="2"/>
  <c r="G2001" i="2"/>
  <c r="G1974" i="2"/>
  <c r="G1997" i="2"/>
  <c r="G1968" i="2"/>
  <c r="G1991" i="2"/>
  <c r="G1975" i="2"/>
  <c r="G1998" i="2"/>
  <c r="G2214" i="2"/>
  <c r="G2235" i="2"/>
  <c r="G1777" i="2"/>
  <c r="G1785" i="2"/>
  <c r="G1775" i="2"/>
  <c r="G1783" i="2"/>
  <c r="G1772" i="2"/>
  <c r="G1780" i="2"/>
  <c r="G1756" i="2"/>
  <c r="G1764" i="2"/>
  <c r="G1750" i="2"/>
  <c r="G1758" i="2"/>
  <c r="G1506" i="2"/>
  <c r="G1514" i="2"/>
  <c r="G1505" i="2"/>
  <c r="G1512" i="2"/>
  <c r="G2302" i="2"/>
  <c r="G2323" i="2"/>
  <c r="G1823" i="2"/>
  <c r="G1831" i="2"/>
  <c r="G1849" i="2"/>
  <c r="G1858" i="2"/>
  <c r="G1833" i="2"/>
  <c r="G1891" i="2"/>
  <c r="G1902" i="2"/>
  <c r="G1035" i="2"/>
  <c r="G1038" i="2"/>
  <c r="G523" i="2"/>
  <c r="G522" i="2"/>
  <c r="G2167" i="2"/>
  <c r="G3629" i="2"/>
  <c r="G3656" i="2"/>
  <c r="G1793" i="2"/>
  <c r="G1801" i="2"/>
  <c r="G3470" i="2"/>
  <c r="G3497" i="2"/>
  <c r="G3631" i="2"/>
  <c r="G3658" i="2"/>
  <c r="G653" i="2"/>
  <c r="G651" i="2"/>
  <c r="G675" i="2"/>
  <c r="G673" i="2"/>
  <c r="G3026" i="2"/>
  <c r="G3052" i="2"/>
  <c r="G869" i="2"/>
  <c r="G870" i="2"/>
  <c r="G1306" i="2"/>
  <c r="G1313" i="2"/>
  <c r="G2217" i="2"/>
  <c r="G2238" i="2"/>
  <c r="G1987" i="2"/>
  <c r="G2010" i="2"/>
  <c r="G1981" i="2"/>
  <c r="G2004" i="2"/>
  <c r="G1970" i="2"/>
  <c r="G1993" i="2"/>
  <c r="G1969" i="2"/>
  <c r="G1992" i="2"/>
  <c r="G1440" i="2"/>
  <c r="G1446" i="2"/>
  <c r="G1437" i="2"/>
  <c r="G1443" i="2"/>
  <c r="G1773" i="2"/>
  <c r="G1781" i="2"/>
  <c r="G1771" i="2"/>
  <c r="G1779" i="2"/>
  <c r="G1761" i="2"/>
  <c r="G1769" i="2"/>
  <c r="G1747" i="2"/>
  <c r="G1755" i="2"/>
  <c r="G1500" i="2"/>
  <c r="G1507" i="2"/>
  <c r="G1501" i="2"/>
  <c r="G1508" i="2"/>
  <c r="G2303" i="2"/>
  <c r="G2324" i="2"/>
  <c r="G2300" i="2"/>
  <c r="G2321" i="2"/>
  <c r="G1824" i="2"/>
  <c r="G1832" i="2"/>
  <c r="G1826" i="2"/>
  <c r="G1834" i="2"/>
  <c r="G1828" i="2"/>
  <c r="G1836" i="2"/>
  <c r="G1847" i="2"/>
  <c r="G1856" i="2"/>
  <c r="G1872" i="2"/>
  <c r="G1883" i="2"/>
  <c r="G1873" i="2"/>
  <c r="G1884" i="2"/>
  <c r="G3438" i="2"/>
  <c r="G3465" i="2"/>
  <c r="G2352" i="2"/>
  <c r="G2371" i="2"/>
  <c r="G2347" i="2"/>
  <c r="G2366" i="2"/>
  <c r="G13" i="2"/>
  <c r="G14" i="2"/>
  <c r="G3372" i="2"/>
  <c r="G3399" i="2"/>
  <c r="G3031" i="2"/>
  <c r="G3057" i="2"/>
  <c r="G1484" i="2"/>
  <c r="G1490" i="2"/>
  <c r="G1984" i="2"/>
  <c r="G2007" i="2"/>
  <c r="G2629" i="2"/>
  <c r="G2652" i="2"/>
  <c r="G1307" i="2"/>
  <c r="G1314" i="2"/>
  <c r="G2634" i="2"/>
  <c r="G2657" i="2"/>
  <c r="G2351" i="2"/>
  <c r="G2370" i="2"/>
  <c r="G2348" i="2"/>
  <c r="G2367" i="2"/>
  <c r="G2350" i="2"/>
  <c r="G2369" i="2"/>
  <c r="G1830" i="2"/>
  <c r="G1838" i="2"/>
  <c r="G3608" i="2"/>
  <c r="G3635" i="2"/>
  <c r="G3238" i="2"/>
  <c r="G3265" i="2"/>
  <c r="G2718" i="2"/>
  <c r="G2741" i="2"/>
  <c r="G3232" i="2"/>
  <c r="G3259" i="2"/>
  <c r="G3030" i="2"/>
  <c r="G3056" i="2"/>
  <c r="G3034" i="2"/>
  <c r="G3060" i="2"/>
  <c r="G2991" i="2"/>
  <c r="G3017" i="2"/>
  <c r="G1045" i="2"/>
  <c r="G1048" i="2"/>
  <c r="G1411" i="2"/>
  <c r="G1412" i="2"/>
  <c r="G1418" i="2"/>
  <c r="G1423" i="2"/>
  <c r="G1429" i="2"/>
  <c r="G1408" i="2"/>
  <c r="G1414" i="2"/>
  <c r="G2674" i="2"/>
  <c r="G2697" i="2"/>
  <c r="G862" i="2"/>
  <c r="G863" i="2"/>
  <c r="G2344" i="2"/>
  <c r="G2364" i="2"/>
  <c r="G1846" i="2"/>
  <c r="G1855" i="2"/>
  <c r="G3477" i="2"/>
  <c r="G3504" i="2"/>
  <c r="G3228" i="2"/>
  <c r="G3255" i="2"/>
  <c r="G374" i="2"/>
  <c r="G372" i="2"/>
  <c r="G3223" i="2"/>
  <c r="G3250" i="2"/>
  <c r="G3261" i="2"/>
  <c r="G3288" i="2"/>
  <c r="G3027" i="2"/>
  <c r="G3053" i="2"/>
  <c r="G2943" i="2"/>
  <c r="G2969" i="2"/>
  <c r="G2785" i="2"/>
  <c r="G2808" i="2"/>
  <c r="G1420" i="2"/>
  <c r="G1426" i="2"/>
  <c r="G1422" i="2"/>
  <c r="G1428" i="2"/>
  <c r="G3028" i="2"/>
  <c r="G3054" i="2"/>
  <c r="G1410" i="2"/>
  <c r="G1416" i="2"/>
  <c r="G919" i="2"/>
  <c r="G921" i="2"/>
  <c r="G368" i="2"/>
  <c r="G367" i="2"/>
  <c r="G2635" i="2"/>
  <c r="G2658" i="2"/>
  <c r="G1770" i="2"/>
  <c r="G1778" i="2"/>
  <c r="G1474" i="2"/>
  <c r="G1480" i="2"/>
  <c r="G2353" i="2"/>
  <c r="G2372" i="2"/>
  <c r="G2349" i="2"/>
  <c r="G2368" i="2"/>
  <c r="G2354" i="2"/>
  <c r="G2373" i="2"/>
  <c r="G2355" i="2"/>
  <c r="G2374" i="2"/>
  <c r="G2345" i="2"/>
  <c r="G2365" i="2"/>
  <c r="G891" i="2"/>
  <c r="G893" i="2"/>
  <c r="G1839" i="2"/>
  <c r="G1848" i="2"/>
  <c r="G1835" i="2"/>
  <c r="G1844" i="2"/>
  <c r="G528" i="2"/>
  <c r="G527" i="2"/>
  <c r="G3380" i="2"/>
  <c r="G3407" i="2"/>
  <c r="G3630" i="2"/>
  <c r="G3657" i="2"/>
  <c r="G3289" i="2"/>
  <c r="G3316" i="2"/>
  <c r="G3249" i="2"/>
  <c r="G3276" i="2"/>
  <c r="G2720" i="2"/>
  <c r="G2743" i="2"/>
  <c r="G3233" i="2"/>
  <c r="G3260" i="2"/>
  <c r="G3225" i="2"/>
  <c r="G3252" i="2"/>
  <c r="G3264" i="2"/>
  <c r="G3291" i="2"/>
  <c r="G15" i="2"/>
  <c r="G16" i="2"/>
  <c r="G3029" i="2"/>
  <c r="G3055" i="2"/>
  <c r="G2990" i="2"/>
  <c r="G3016" i="2"/>
  <c r="G616" i="2"/>
  <c r="G614" i="2"/>
  <c r="G590" i="2"/>
  <c r="G588" i="2"/>
  <c r="G2786" i="2"/>
  <c r="G2809" i="2"/>
  <c r="G1417" i="2"/>
  <c r="G1413" i="2"/>
  <c r="G1403" i="2"/>
  <c r="G1409" i="2"/>
  <c r="G1419" i="2"/>
  <c r="G1425" i="2"/>
  <c r="G1988" i="2"/>
  <c r="G2011" i="2"/>
  <c r="G918" i="2"/>
  <c r="G920" i="2"/>
  <c r="G2564" i="2"/>
  <c r="G2581" i="2"/>
  <c r="G2140" i="2"/>
  <c r="G2166" i="2"/>
  <c r="G1308" i="2"/>
  <c r="G1315" i="2"/>
  <c r="G2223" i="2"/>
  <c r="G2245" i="2"/>
  <c r="G2215" i="2"/>
  <c r="G2236" i="2"/>
  <c r="G1977" i="2"/>
  <c r="G2000" i="2"/>
  <c r="G1979" i="2"/>
  <c r="G2002" i="2"/>
  <c r="G1980" i="2"/>
  <c r="G2003" i="2"/>
  <c r="G1444" i="2"/>
  <c r="G1450" i="2"/>
  <c r="G1436" i="2"/>
  <c r="G1442" i="2"/>
  <c r="G1865" i="2"/>
  <c r="G1874" i="2"/>
  <c r="G1768" i="2"/>
  <c r="G1776" i="2"/>
  <c r="G1757" i="2"/>
  <c r="G1905" i="2"/>
  <c r="G1916" i="2"/>
  <c r="G1751" i="2"/>
  <c r="G1759" i="2"/>
  <c r="G1746" i="2"/>
  <c r="G1754" i="2"/>
  <c r="G1509" i="2"/>
  <c r="G1517" i="2"/>
  <c r="G2304" i="2"/>
  <c r="G2325" i="2"/>
  <c r="G2299" i="2"/>
  <c r="G2320" i="2"/>
  <c r="G1869" i="2"/>
  <c r="G1879" i="2"/>
  <c r="G1868" i="2"/>
  <c r="G1877" i="2"/>
  <c r="G1841" i="2"/>
  <c r="G1850" i="2"/>
  <c r="G1893" i="2"/>
  <c r="G1904" i="2"/>
  <c r="G1875" i="2"/>
  <c r="G1886" i="2"/>
  <c r="G1034" i="2"/>
  <c r="G1037" i="2"/>
  <c r="G2342" i="2"/>
  <c r="G2363" i="2"/>
  <c r="G3385" i="2"/>
  <c r="G3412" i="2"/>
  <c r="G3224" i="2"/>
  <c r="G3251" i="2"/>
  <c r="G27" i="2"/>
  <c r="G28" i="2"/>
  <c r="E79" i="1"/>
  <c r="E160" i="1"/>
  <c r="X3" i="1"/>
  <c r="X10" i="1"/>
  <c r="X266" i="1"/>
  <c r="K58" i="1"/>
  <c r="L58" i="1" s="1"/>
  <c r="M58" i="1" s="1"/>
  <c r="X88" i="1"/>
  <c r="K61" i="1"/>
  <c r="L61" i="1" s="1"/>
  <c r="M61" i="1" s="1"/>
  <c r="X288" i="1"/>
  <c r="X76" i="1"/>
  <c r="X298" i="1"/>
  <c r="X306" i="1"/>
  <c r="K290" i="1"/>
  <c r="M290" i="1" s="1"/>
  <c r="K59" i="1"/>
  <c r="L59" i="1" s="1"/>
  <c r="M59" i="1" s="1"/>
  <c r="X89" i="1"/>
  <c r="X141" i="1"/>
  <c r="X95" i="1"/>
  <c r="X125" i="1"/>
  <c r="K299" i="1"/>
  <c r="M299" i="1" s="1"/>
  <c r="K43" i="1"/>
  <c r="L43" i="1" s="1"/>
  <c r="M43" i="1" s="1"/>
  <c r="K73" i="1"/>
  <c r="L73" i="1" s="1"/>
  <c r="M73" i="1" s="1"/>
  <c r="X127" i="1"/>
  <c r="X60" i="1"/>
  <c r="K66" i="1"/>
  <c r="L66" i="1" s="1"/>
  <c r="M66" i="1" s="1"/>
  <c r="X84" i="1"/>
  <c r="X114" i="1"/>
  <c r="X286" i="1"/>
  <c r="X273" i="1"/>
  <c r="K287" i="1"/>
  <c r="M287" i="1" s="1"/>
  <c r="X54" i="1"/>
  <c r="K7" i="1"/>
  <c r="L7" i="1" s="1"/>
  <c r="M7" i="1" s="1"/>
  <c r="K37" i="1"/>
  <c r="L37" i="1" s="1"/>
  <c r="M37" i="1" s="1"/>
  <c r="X44" i="1"/>
  <c r="X116" i="1"/>
  <c r="K6" i="1"/>
  <c r="L6" i="1" s="1"/>
  <c r="M6" i="1" s="1"/>
  <c r="K45" i="1"/>
  <c r="L45" i="1" s="1"/>
  <c r="M45" i="1" s="1"/>
  <c r="K155" i="1"/>
  <c r="L155" i="1" s="1"/>
  <c r="M155" i="1" s="1"/>
  <c r="X178" i="1"/>
  <c r="X52" i="1"/>
  <c r="X40" i="1"/>
  <c r="X18" i="1"/>
  <c r="X11" i="1"/>
  <c r="X27" i="1"/>
  <c r="X48" i="1"/>
  <c r="X25" i="1"/>
  <c r="X24" i="1"/>
  <c r="X22" i="1"/>
  <c r="X69" i="1"/>
  <c r="X39" i="1"/>
  <c r="X36" i="1"/>
  <c r="X79" i="1"/>
  <c r="X16" i="1"/>
  <c r="X30" i="1"/>
  <c r="X13" i="1"/>
  <c r="X29" i="1"/>
  <c r="X12" i="1"/>
  <c r="E84" i="1"/>
  <c r="E248" i="1"/>
  <c r="E238" i="1"/>
  <c r="E267" i="1"/>
  <c r="E3" i="1"/>
  <c r="E76" i="1"/>
  <c r="E82" i="1"/>
  <c r="E83" i="1"/>
  <c r="E87" i="1"/>
  <c r="E86" i="1"/>
  <c r="E245" i="1"/>
  <c r="E235" i="1"/>
  <c r="E256" i="1"/>
  <c r="E243" i="1"/>
  <c r="E233" i="1"/>
  <c r="E242" i="1"/>
  <c r="E78" i="1"/>
  <c r="E257" i="1"/>
  <c r="E244" i="1"/>
  <c r="E234" i="1"/>
  <c r="E91" i="1"/>
  <c r="E85" i="1"/>
  <c r="E237" i="1"/>
  <c r="E254" i="1"/>
  <c r="E264" i="1"/>
  <c r="E253" i="1"/>
  <c r="E240" i="1"/>
  <c r="E89" i="1"/>
  <c r="E262" i="1"/>
  <c r="E250" i="1"/>
  <c r="E71" i="1"/>
  <c r="E261" i="1"/>
  <c r="E249" i="1"/>
  <c r="E239" i="1"/>
  <c r="E252" i="1"/>
  <c r="E93" i="1"/>
  <c r="E259" i="1"/>
  <c r="E246" i="1"/>
  <c r="E92" i="1"/>
  <c r="E266" i="1"/>
  <c r="E255" i="1"/>
  <c r="E81" i="1"/>
  <c r="E319" i="1"/>
  <c r="X55" i="1"/>
  <c r="X15" i="1"/>
  <c r="X57" i="1"/>
  <c r="X87" i="1"/>
  <c r="X28" i="1"/>
  <c r="X34" i="1"/>
  <c r="X166" i="1"/>
  <c r="X153" i="1"/>
  <c r="X46" i="1"/>
  <c r="X38" i="1"/>
  <c r="X64" i="1"/>
  <c r="X31" i="1"/>
  <c r="X19" i="1"/>
  <c r="X67" i="1"/>
  <c r="X49" i="1"/>
  <c r="X33" i="1"/>
  <c r="X21" i="1"/>
  <c r="X66" i="1"/>
  <c r="X290" i="1"/>
  <c r="M230" i="1"/>
  <c r="P42" i="6"/>
  <c r="P44" i="6"/>
  <c r="P43" i="6"/>
  <c r="P67" i="6"/>
  <c r="P45" i="6"/>
  <c r="M114" i="1"/>
  <c r="L25" i="1"/>
  <c r="M25" i="1" s="1"/>
  <c r="L107" i="1"/>
  <c r="M107" i="1" s="1"/>
  <c r="P36" i="6"/>
  <c r="P156" i="1"/>
  <c r="P60" i="6"/>
  <c r="P48" i="6"/>
  <c r="P40" i="6"/>
  <c r="K67" i="6"/>
  <c r="L67" i="6" s="1"/>
  <c r="M67" i="6" s="1"/>
  <c r="M163" i="1"/>
  <c r="K97" i="1"/>
  <c r="L97" i="1" s="1"/>
  <c r="M97" i="1" s="1"/>
  <c r="M125" i="1"/>
  <c r="K63" i="1"/>
  <c r="L63" i="1" s="1"/>
  <c r="M63" i="1" s="1"/>
  <c r="L79" i="1"/>
  <c r="M79" i="1" s="1"/>
  <c r="M136" i="1"/>
  <c r="K254" i="1"/>
  <c r="L254" i="1" s="1"/>
  <c r="M254" i="1" s="1"/>
  <c r="K308" i="1"/>
  <c r="M308" i="1" s="1"/>
  <c r="L15" i="1"/>
  <c r="M15" i="1" s="1"/>
  <c r="L24" i="1"/>
  <c r="M24" i="1" s="1"/>
  <c r="L57" i="1"/>
  <c r="M57" i="1" s="1"/>
  <c r="M127" i="1"/>
  <c r="K215" i="1"/>
  <c r="L215" i="1" s="1"/>
  <c r="M215" i="1" s="1"/>
  <c r="L64" i="6"/>
  <c r="M64" i="6" s="1"/>
  <c r="L33" i="1"/>
  <c r="M33" i="1" s="1"/>
  <c r="L109" i="1"/>
  <c r="M109" i="1" s="1"/>
  <c r="L236" i="1"/>
  <c r="M236" i="1" s="1"/>
  <c r="K227" i="1"/>
  <c r="L227" i="1" s="1"/>
  <c r="M227" i="1" s="1"/>
  <c r="P64" i="6"/>
  <c r="P56" i="6"/>
  <c r="P52" i="6"/>
  <c r="L34" i="1"/>
  <c r="M34" i="1" s="1"/>
  <c r="K42" i="1"/>
  <c r="L42" i="1" s="1"/>
  <c r="M42" i="1" s="1"/>
  <c r="K218" i="1"/>
  <c r="K305" i="1"/>
  <c r="M305" i="1" s="1"/>
  <c r="K115" i="1"/>
  <c r="M115" i="1" s="1"/>
  <c r="L64" i="1"/>
  <c r="M64" i="1" s="1"/>
  <c r="K104" i="1"/>
  <c r="L104" i="1" s="1"/>
  <c r="M104" i="1" s="1"/>
  <c r="K110" i="1"/>
  <c r="M110" i="1" s="1"/>
  <c r="K122" i="1"/>
  <c r="M122" i="1" s="1"/>
  <c r="K128" i="1"/>
  <c r="M128" i="1" s="1"/>
  <c r="K8" i="1"/>
  <c r="L8" i="1" s="1"/>
  <c r="M8" i="1" s="1"/>
  <c r="K17" i="1"/>
  <c r="L17" i="1" s="1"/>
  <c r="M17" i="1" s="1"/>
  <c r="K26" i="1"/>
  <c r="L26" i="1" s="1"/>
  <c r="M26" i="1" s="1"/>
  <c r="K35" i="1"/>
  <c r="L35" i="1" s="1"/>
  <c r="M35" i="1" s="1"/>
  <c r="L49" i="1"/>
  <c r="M49" i="1" s="1"/>
  <c r="K75" i="1"/>
  <c r="L75" i="1" s="1"/>
  <c r="M75" i="1" s="1"/>
  <c r="K80" i="1"/>
  <c r="L80" i="1" s="1"/>
  <c r="M80" i="1" s="1"/>
  <c r="L85" i="1"/>
  <c r="M85" i="1" s="1"/>
  <c r="K94" i="1"/>
  <c r="L94" i="1" s="1"/>
  <c r="M94" i="1" s="1"/>
  <c r="K99" i="1"/>
  <c r="L99" i="1" s="1"/>
  <c r="M99" i="1" s="1"/>
  <c r="M4" i="1"/>
  <c r="L13" i="1"/>
  <c r="M13" i="1" s="1"/>
  <c r="L22" i="1"/>
  <c r="M22" i="1" s="1"/>
  <c r="L31" i="1"/>
  <c r="M31" i="1" s="1"/>
  <c r="L40" i="1"/>
  <c r="M40" i="1" s="1"/>
  <c r="K65" i="1"/>
  <c r="L65" i="1" s="1"/>
  <c r="M65" i="1" s="1"/>
  <c r="K111" i="1"/>
  <c r="M111" i="1" s="1"/>
  <c r="K129" i="1"/>
  <c r="L129" i="1" s="1"/>
  <c r="M129" i="1" s="1"/>
  <c r="K135" i="1"/>
  <c r="M135" i="1" s="1"/>
  <c r="L157" i="1"/>
  <c r="M157" i="1" s="1"/>
  <c r="K50" i="1"/>
  <c r="L50" i="1" s="1"/>
  <c r="M50" i="1" s="1"/>
  <c r="L55" i="1"/>
  <c r="M55" i="1" s="1"/>
  <c r="K86" i="1"/>
  <c r="L86" i="1" s="1"/>
  <c r="M86" i="1" s="1"/>
  <c r="K117" i="1"/>
  <c r="M117" i="1" s="1"/>
  <c r="K142" i="1"/>
  <c r="L142" i="1" s="1"/>
  <c r="M142" i="1" s="1"/>
  <c r="L166" i="1"/>
  <c r="M166" i="1" s="1"/>
  <c r="K71" i="1"/>
  <c r="L71" i="1" s="1"/>
  <c r="M71" i="1" s="1"/>
  <c r="K159" i="1"/>
  <c r="L159" i="1" s="1"/>
  <c r="M159" i="1" s="1"/>
  <c r="K5" i="1"/>
  <c r="L5" i="1" s="1"/>
  <c r="M5" i="1" s="1"/>
  <c r="K14" i="1"/>
  <c r="L14" i="1" s="1"/>
  <c r="M14" i="1" s="1"/>
  <c r="K23" i="1"/>
  <c r="L23" i="1" s="1"/>
  <c r="M23" i="1" s="1"/>
  <c r="K32" i="1"/>
  <c r="L32" i="1" s="1"/>
  <c r="M32" i="1" s="1"/>
  <c r="K41" i="1"/>
  <c r="L41" i="1" s="1"/>
  <c r="M41" i="1" s="1"/>
  <c r="K51" i="1"/>
  <c r="L51" i="1" s="1"/>
  <c r="M51" i="1" s="1"/>
  <c r="K56" i="1"/>
  <c r="L56" i="1" s="1"/>
  <c r="M56" i="1" s="1"/>
  <c r="L91" i="1"/>
  <c r="M91" i="1" s="1"/>
  <c r="K96" i="1"/>
  <c r="L96" i="1" s="1"/>
  <c r="M96" i="1" s="1"/>
  <c r="K106" i="1"/>
  <c r="L106" i="1" s="1"/>
  <c r="M106" i="1" s="1"/>
  <c r="M118" i="1"/>
  <c r="K124" i="1"/>
  <c r="M124" i="1" s="1"/>
  <c r="K131" i="1"/>
  <c r="L131" i="1" s="1"/>
  <c r="M131" i="1" s="1"/>
  <c r="K151" i="1"/>
  <c r="L151" i="1" s="1"/>
  <c r="M151" i="1" s="1"/>
  <c r="K168" i="1"/>
  <c r="L168" i="1" s="1"/>
  <c r="M168" i="1" s="1"/>
  <c r="L10" i="1"/>
  <c r="M10" i="1" s="1"/>
  <c r="L19" i="1"/>
  <c r="M19" i="1" s="1"/>
  <c r="L28" i="1"/>
  <c r="M28" i="1" s="1"/>
  <c r="K77" i="1"/>
  <c r="L77" i="1" s="1"/>
  <c r="M77" i="1" s="1"/>
  <c r="L82" i="1"/>
  <c r="M82" i="1" s="1"/>
  <c r="L101" i="1"/>
  <c r="M101" i="1" s="1"/>
  <c r="K119" i="1"/>
  <c r="M119" i="1" s="1"/>
  <c r="K62" i="1"/>
  <c r="L62" i="1" s="1"/>
  <c r="M62" i="1" s="1"/>
  <c r="L11" i="1"/>
  <c r="M11" i="1" s="1"/>
  <c r="L20" i="1"/>
  <c r="M20" i="1" s="1"/>
  <c r="L29" i="1"/>
  <c r="M29" i="1" s="1"/>
  <c r="L38" i="1"/>
  <c r="M38" i="1" s="1"/>
  <c r="K47" i="1"/>
  <c r="L47" i="1" s="1"/>
  <c r="M47" i="1" s="1"/>
  <c r="L52" i="1"/>
  <c r="M52" i="1" s="1"/>
  <c r="K83" i="1"/>
  <c r="L83" i="1" s="1"/>
  <c r="M83" i="1" s="1"/>
  <c r="K102" i="1"/>
  <c r="L102" i="1" s="1"/>
  <c r="M102" i="1" s="1"/>
  <c r="K120" i="1"/>
  <c r="M120" i="1" s="1"/>
  <c r="L153" i="1"/>
  <c r="M153" i="1" s="1"/>
  <c r="K171" i="1"/>
  <c r="L171" i="1" s="1"/>
  <c r="M171" i="1" s="1"/>
  <c r="K68" i="1"/>
  <c r="L68" i="1" s="1"/>
  <c r="M68" i="1" s="1"/>
  <c r="L98" i="1"/>
  <c r="M98" i="1" s="1"/>
  <c r="K108" i="1"/>
  <c r="L108" i="1" s="1"/>
  <c r="M108" i="1" s="1"/>
  <c r="K126" i="1"/>
  <c r="M126" i="1" s="1"/>
  <c r="K146" i="1"/>
  <c r="M146" i="1" s="1"/>
  <c r="K172" i="1"/>
  <c r="L172" i="1" s="1"/>
  <c r="M172" i="1" s="1"/>
  <c r="L16" i="1"/>
  <c r="M16" i="1" s="1"/>
  <c r="K53" i="1"/>
  <c r="L53" i="1" s="1"/>
  <c r="M53" i="1" s="1"/>
  <c r="L140" i="1"/>
  <c r="M140" i="1" s="1"/>
  <c r="K165" i="1"/>
  <c r="L165" i="1" s="1"/>
  <c r="M165" i="1" s="1"/>
  <c r="K208" i="1"/>
  <c r="L208" i="1" s="1"/>
  <c r="M208" i="1" s="1"/>
  <c r="K244" i="1"/>
  <c r="L244" i="1" s="1"/>
  <c r="M244" i="1" s="1"/>
  <c r="K258" i="1"/>
  <c r="L258" i="1" s="1"/>
  <c r="M258" i="1" s="1"/>
  <c r="K294" i="1"/>
  <c r="M294" i="1" s="1"/>
  <c r="K316" i="1"/>
  <c r="L316" i="1" s="1"/>
  <c r="M316" i="1" s="1"/>
  <c r="K329" i="1"/>
  <c r="L329" i="1" s="1"/>
  <c r="M329" i="1" s="1"/>
  <c r="R329" i="1" s="1"/>
  <c r="K177" i="1"/>
  <c r="L177" i="1" s="1"/>
  <c r="M177" i="1" s="1"/>
  <c r="K183" i="1"/>
  <c r="L183" i="1" s="1"/>
  <c r="M183" i="1" s="1"/>
  <c r="K189" i="1"/>
  <c r="L189" i="1" s="1"/>
  <c r="M189" i="1" s="1"/>
  <c r="K201" i="1"/>
  <c r="L201" i="1" s="1"/>
  <c r="M201" i="1" s="1"/>
  <c r="K223" i="1"/>
  <c r="L223" i="1" s="1"/>
  <c r="M223" i="1" s="1"/>
  <c r="K237" i="1"/>
  <c r="L237" i="1" s="1"/>
  <c r="M237" i="1" s="1"/>
  <c r="K259" i="1"/>
  <c r="L259" i="1" s="1"/>
  <c r="M259" i="1" s="1"/>
  <c r="K295" i="1"/>
  <c r="M295" i="1" s="1"/>
  <c r="K309" i="1"/>
  <c r="L309" i="1" s="1"/>
  <c r="M309" i="1" s="1"/>
  <c r="K330" i="1"/>
  <c r="L330" i="1" s="1"/>
  <c r="M330" i="1" s="1"/>
  <c r="R330" i="1" s="1"/>
  <c r="K184" i="1"/>
  <c r="L184" i="1" s="1"/>
  <c r="M184" i="1" s="1"/>
  <c r="K190" i="1"/>
  <c r="L190" i="1" s="1"/>
  <c r="M190" i="1" s="1"/>
  <c r="K196" i="1"/>
  <c r="L196" i="1" s="1"/>
  <c r="M196" i="1" s="1"/>
  <c r="K202" i="1"/>
  <c r="L202" i="1" s="1"/>
  <c r="M202" i="1" s="1"/>
  <c r="K209" i="1"/>
  <c r="L209" i="1" s="1"/>
  <c r="M209" i="1" s="1"/>
  <c r="K216" i="1"/>
  <c r="L216" i="1" s="1"/>
  <c r="M216" i="1" s="1"/>
  <c r="K238" i="1"/>
  <c r="L238" i="1" s="1"/>
  <c r="M238" i="1" s="1"/>
  <c r="K245" i="1"/>
  <c r="L245" i="1" s="1"/>
  <c r="M245" i="1" s="1"/>
  <c r="K252" i="1"/>
  <c r="L252" i="1" s="1"/>
  <c r="M252" i="1" s="1"/>
  <c r="K274" i="1"/>
  <c r="L274" i="1" s="1"/>
  <c r="M274" i="1" s="1"/>
  <c r="K281" i="1"/>
  <c r="L281" i="1" s="1"/>
  <c r="M281" i="1" s="1"/>
  <c r="K310" i="1"/>
  <c r="L310" i="1" s="1"/>
  <c r="M310" i="1" s="1"/>
  <c r="K317" i="1"/>
  <c r="L317" i="1" s="1"/>
  <c r="M317" i="1" s="1"/>
  <c r="R317" i="1" s="1"/>
  <c r="K323" i="1"/>
  <c r="L323" i="1" s="1"/>
  <c r="M323" i="1" s="1"/>
  <c r="K217" i="1"/>
  <c r="L217" i="1" s="1"/>
  <c r="M217" i="1" s="1"/>
  <c r="K224" i="1"/>
  <c r="L224" i="1" s="1"/>
  <c r="M224" i="1" s="1"/>
  <c r="K253" i="1"/>
  <c r="L253" i="1" s="1"/>
  <c r="M253" i="1" s="1"/>
  <c r="K260" i="1"/>
  <c r="L260" i="1" s="1"/>
  <c r="M260" i="1" s="1"/>
  <c r="K267" i="1"/>
  <c r="L267" i="1" s="1"/>
  <c r="M267" i="1" s="1"/>
  <c r="K289" i="1"/>
  <c r="M289" i="1" s="1"/>
  <c r="K296" i="1"/>
  <c r="M296" i="1" s="1"/>
  <c r="K324" i="1"/>
  <c r="L324" i="1" s="1"/>
  <c r="M324" i="1" s="1"/>
  <c r="R324" i="1" s="1"/>
  <c r="K331" i="1"/>
  <c r="L331" i="1" s="1"/>
  <c r="M331" i="1" s="1"/>
  <c r="K93" i="1"/>
  <c r="L93" i="1" s="1"/>
  <c r="M93" i="1" s="1"/>
  <c r="K158" i="1"/>
  <c r="L158" i="1" s="1"/>
  <c r="M158" i="1" s="1"/>
  <c r="K162" i="1"/>
  <c r="L162" i="1" s="1"/>
  <c r="M162" i="1" s="1"/>
  <c r="K167" i="1"/>
  <c r="L167" i="1" s="1"/>
  <c r="M167" i="1" s="1"/>
  <c r="K173" i="1"/>
  <c r="L173" i="1" s="1"/>
  <c r="M173" i="1" s="1"/>
  <c r="K179" i="1"/>
  <c r="L179" i="1" s="1"/>
  <c r="M179" i="1" s="1"/>
  <c r="K185" i="1"/>
  <c r="L185" i="1" s="1"/>
  <c r="M185" i="1" s="1"/>
  <c r="K197" i="1"/>
  <c r="L197" i="1" s="1"/>
  <c r="M197" i="1" s="1"/>
  <c r="K203" i="1"/>
  <c r="L203" i="1" s="1"/>
  <c r="M203" i="1" s="1"/>
  <c r="K210" i="1"/>
  <c r="L210" i="1" s="1"/>
  <c r="M210" i="1" s="1"/>
  <c r="K232" i="1"/>
  <c r="L232" i="1" s="1"/>
  <c r="M232" i="1" s="1"/>
  <c r="K246" i="1"/>
  <c r="L246" i="1" s="1"/>
  <c r="M246" i="1" s="1"/>
  <c r="K268" i="1"/>
  <c r="L268" i="1" s="1"/>
  <c r="M268" i="1" s="1"/>
  <c r="K275" i="1"/>
  <c r="L275" i="1" s="1"/>
  <c r="M275" i="1" s="1"/>
  <c r="K282" i="1"/>
  <c r="L282" i="1" s="1"/>
  <c r="M282" i="1" s="1"/>
  <c r="K304" i="1"/>
  <c r="M304" i="1" s="1"/>
  <c r="K311" i="1"/>
  <c r="L311" i="1" s="1"/>
  <c r="M311" i="1" s="1"/>
  <c r="K318" i="1"/>
  <c r="L318" i="1" s="1"/>
  <c r="M318" i="1" s="1"/>
  <c r="R318" i="1" s="1"/>
  <c r="L103" i="1"/>
  <c r="M103" i="1" s="1"/>
  <c r="M121" i="1"/>
  <c r="L139" i="1"/>
  <c r="M139" i="1" s="1"/>
  <c r="K143" i="1"/>
  <c r="L143" i="1" s="1"/>
  <c r="M143" i="1" s="1"/>
  <c r="L150" i="1"/>
  <c r="M150" i="1" s="1"/>
  <c r="L154" i="1"/>
  <c r="M154" i="1" s="1"/>
  <c r="K211" i="1"/>
  <c r="L211" i="1" s="1"/>
  <c r="M211" i="1" s="1"/>
  <c r="K225" i="1"/>
  <c r="L225" i="1" s="1"/>
  <c r="M225" i="1" s="1"/>
  <c r="K247" i="1"/>
  <c r="L247" i="1" s="1"/>
  <c r="M247" i="1" s="1"/>
  <c r="K261" i="1"/>
  <c r="L261" i="1" s="1"/>
  <c r="M261" i="1" s="1"/>
  <c r="K283" i="1"/>
  <c r="L283" i="1" s="1"/>
  <c r="M283" i="1" s="1"/>
  <c r="K297" i="1"/>
  <c r="M297" i="1" s="1"/>
  <c r="K325" i="1"/>
  <c r="L325" i="1" s="1"/>
  <c r="M325" i="1" s="1"/>
  <c r="R325" i="1" s="1"/>
  <c r="K332" i="1"/>
  <c r="L332" i="1" s="1"/>
  <c r="M332" i="1" s="1"/>
  <c r="K204" i="1"/>
  <c r="L204" i="1" s="1"/>
  <c r="M204" i="1" s="1"/>
  <c r="K226" i="1"/>
  <c r="L226" i="1" s="1"/>
  <c r="M226" i="1" s="1"/>
  <c r="K233" i="1"/>
  <c r="L233" i="1" s="1"/>
  <c r="M233" i="1" s="1"/>
  <c r="K262" i="1"/>
  <c r="L262" i="1" s="1"/>
  <c r="M262" i="1" s="1"/>
  <c r="K269" i="1"/>
  <c r="L269" i="1" s="1"/>
  <c r="M269" i="1" s="1"/>
  <c r="K276" i="1"/>
  <c r="L276" i="1" s="1"/>
  <c r="M276" i="1" s="1"/>
  <c r="K312" i="1"/>
  <c r="L312" i="1" s="1"/>
  <c r="M312" i="1" s="1"/>
  <c r="K333" i="1"/>
  <c r="L333" i="1" s="1"/>
  <c r="M333" i="1" s="1"/>
  <c r="R333" i="1" s="1"/>
  <c r="K174" i="1"/>
  <c r="L174" i="1" s="1"/>
  <c r="M174" i="1" s="1"/>
  <c r="K180" i="1"/>
  <c r="L180" i="1" s="1"/>
  <c r="M180" i="1" s="1"/>
  <c r="K186" i="1"/>
  <c r="L186" i="1" s="1"/>
  <c r="M186" i="1" s="1"/>
  <c r="K198" i="1"/>
  <c r="L198" i="1" s="1"/>
  <c r="M198" i="1" s="1"/>
  <c r="K205" i="1"/>
  <c r="L205" i="1" s="1"/>
  <c r="M205" i="1" s="1"/>
  <c r="K241" i="1"/>
  <c r="L241" i="1" s="1"/>
  <c r="M241" i="1" s="1"/>
  <c r="K277" i="1"/>
  <c r="L277" i="1" s="1"/>
  <c r="M277" i="1" s="1"/>
  <c r="K291" i="1"/>
  <c r="M291" i="1" s="1"/>
  <c r="K313" i="1"/>
  <c r="L313" i="1" s="1"/>
  <c r="M313" i="1" s="1"/>
  <c r="K326" i="1"/>
  <c r="L326" i="1" s="1"/>
  <c r="M326" i="1" s="1"/>
  <c r="K181" i="1"/>
  <c r="L181" i="1" s="1"/>
  <c r="M181" i="1" s="1"/>
  <c r="K187" i="1"/>
  <c r="L187" i="1" s="1"/>
  <c r="M187" i="1" s="1"/>
  <c r="K193" i="1"/>
  <c r="L193" i="1" s="1"/>
  <c r="M193" i="1" s="1"/>
  <c r="K199" i="1"/>
  <c r="M199" i="1" s="1"/>
  <c r="K220" i="1"/>
  <c r="M220" i="1" s="1"/>
  <c r="K234" i="1"/>
  <c r="L234" i="1" s="1"/>
  <c r="M234" i="1" s="1"/>
  <c r="K270" i="1"/>
  <c r="L270" i="1" s="1"/>
  <c r="M270" i="1" s="1"/>
  <c r="K292" i="1"/>
  <c r="M292" i="1" s="1"/>
  <c r="K327" i="1"/>
  <c r="L327" i="1" s="1"/>
  <c r="M327" i="1" s="1"/>
  <c r="K169" i="1"/>
  <c r="L169" i="1" s="1"/>
  <c r="M169" i="1" s="1"/>
  <c r="K175" i="1"/>
  <c r="L175" i="1" s="1"/>
  <c r="M175" i="1" s="1"/>
  <c r="L133" i="1"/>
  <c r="M133" i="1" s="1"/>
  <c r="K144" i="1"/>
  <c r="L144" i="1" s="1"/>
  <c r="M144" i="1" s="1"/>
  <c r="K164" i="1"/>
  <c r="M164" i="1" s="1"/>
  <c r="K206" i="1"/>
  <c r="L206" i="1" s="1"/>
  <c r="M206" i="1" s="1"/>
  <c r="K213" i="1"/>
  <c r="L213" i="1" s="1"/>
  <c r="M213" i="1" s="1"/>
  <c r="K235" i="1"/>
  <c r="L235" i="1" s="1"/>
  <c r="M235" i="1" s="1"/>
  <c r="K242" i="1"/>
  <c r="L242" i="1" s="1"/>
  <c r="M242" i="1" s="1"/>
  <c r="K249" i="1"/>
  <c r="M249" i="1" s="1"/>
  <c r="K271" i="1"/>
  <c r="L271" i="1" s="1"/>
  <c r="M271" i="1" s="1"/>
  <c r="K278" i="1"/>
  <c r="L278" i="1" s="1"/>
  <c r="M278" i="1" s="1"/>
  <c r="K285" i="1"/>
  <c r="M285" i="1" s="1"/>
  <c r="K307" i="1"/>
  <c r="M307" i="1" s="1"/>
  <c r="K314" i="1"/>
  <c r="L314" i="1" s="1"/>
  <c r="M314" i="1" s="1"/>
  <c r="R314" i="1" s="1"/>
  <c r="K320" i="1"/>
  <c r="L320" i="1" s="1"/>
  <c r="M320" i="1" s="1"/>
  <c r="R320" i="1" s="1"/>
  <c r="K152" i="1"/>
  <c r="L152" i="1" s="1"/>
  <c r="M152" i="1" s="1"/>
  <c r="K170" i="1"/>
  <c r="L170" i="1" s="1"/>
  <c r="M170" i="1" s="1"/>
  <c r="K176" i="1"/>
  <c r="L176" i="1" s="1"/>
  <c r="M176" i="1" s="1"/>
  <c r="K182" i="1"/>
  <c r="L182" i="1" s="1"/>
  <c r="M182" i="1" s="1"/>
  <c r="K188" i="1"/>
  <c r="L188" i="1" s="1"/>
  <c r="M188" i="1" s="1"/>
  <c r="K194" i="1"/>
  <c r="L194" i="1" s="1"/>
  <c r="M194" i="1" s="1"/>
  <c r="K200" i="1"/>
  <c r="L200" i="1" s="1"/>
  <c r="M200" i="1" s="1"/>
  <c r="K214" i="1"/>
  <c r="L214" i="1" s="1"/>
  <c r="M214" i="1" s="1"/>
  <c r="K221" i="1"/>
  <c r="L221" i="1" s="1"/>
  <c r="M221" i="1" s="1"/>
  <c r="K228" i="1"/>
  <c r="L228" i="1" s="1"/>
  <c r="M228" i="1" s="1"/>
  <c r="K250" i="1"/>
  <c r="L250" i="1" s="1"/>
  <c r="M250" i="1" s="1"/>
  <c r="K257" i="1"/>
  <c r="L257" i="1" s="1"/>
  <c r="M257" i="1" s="1"/>
  <c r="K293" i="1"/>
  <c r="M293" i="1" s="1"/>
  <c r="K300" i="1"/>
  <c r="M300" i="1" s="1"/>
  <c r="K321" i="1"/>
  <c r="L321" i="1" s="1"/>
  <c r="M321" i="1" s="1"/>
  <c r="R321" i="1" s="1"/>
  <c r="K328" i="1"/>
  <c r="L328" i="1" s="1"/>
  <c r="M328" i="1" s="1"/>
  <c r="M112" i="1"/>
  <c r="L130" i="1"/>
  <c r="M130" i="1" s="1"/>
  <c r="L148" i="1"/>
  <c r="M148" i="1" s="1"/>
  <c r="L156" i="1"/>
  <c r="M156" i="1" s="1"/>
  <c r="L160" i="1"/>
  <c r="M160" i="1" s="1"/>
  <c r="K243" i="1"/>
  <c r="L243" i="1" s="1"/>
  <c r="M243" i="1" s="1"/>
  <c r="K265" i="1"/>
  <c r="L265" i="1" s="1"/>
  <c r="M265" i="1" s="1"/>
  <c r="K279" i="1"/>
  <c r="L279" i="1" s="1"/>
  <c r="M279" i="1" s="1"/>
  <c r="K301" i="1"/>
  <c r="M301" i="1" s="1"/>
  <c r="K315" i="1"/>
  <c r="L315" i="1" s="1"/>
  <c r="M315" i="1" s="1"/>
  <c r="R315" i="1" s="1"/>
  <c r="K335" i="1"/>
  <c r="L335" i="1" s="1"/>
  <c r="M335" i="1" s="1"/>
  <c r="K336" i="1"/>
  <c r="L336" i="1" s="1"/>
  <c r="M336" i="1" s="1"/>
  <c r="P23" i="6"/>
  <c r="P35" i="6"/>
  <c r="K4" i="6"/>
  <c r="L4" i="6" s="1"/>
  <c r="M4" i="6" s="1"/>
  <c r="R4" i="6" s="1"/>
  <c r="K7" i="6"/>
  <c r="L7" i="6" s="1"/>
  <c r="M7" i="6" s="1"/>
  <c r="R7" i="6" s="1"/>
  <c r="K10" i="6"/>
  <c r="L10" i="6" s="1"/>
  <c r="M10" i="6" s="1"/>
  <c r="R10" i="6" s="1"/>
  <c r="K13" i="6"/>
  <c r="L13" i="6" s="1"/>
  <c r="M13" i="6" s="1"/>
  <c r="R13" i="6" s="1"/>
  <c r="K16" i="6"/>
  <c r="L16" i="6" s="1"/>
  <c r="M16" i="6" s="1"/>
  <c r="R16" i="6" s="1"/>
  <c r="K19" i="6"/>
  <c r="L19" i="6" s="1"/>
  <c r="M19" i="6" s="1"/>
  <c r="K22" i="6"/>
  <c r="L22" i="6" s="1"/>
  <c r="M22" i="6" s="1"/>
  <c r="K25" i="6"/>
  <c r="L25" i="6" s="1"/>
  <c r="M25" i="6" s="1"/>
  <c r="K28" i="6"/>
  <c r="L28" i="6" s="1"/>
  <c r="M28" i="6" s="1"/>
  <c r="K31" i="6"/>
  <c r="L31" i="6" s="1"/>
  <c r="M31" i="6" s="1"/>
  <c r="K34" i="6"/>
  <c r="L34" i="6" s="1"/>
  <c r="M34" i="6" s="1"/>
  <c r="K37" i="6"/>
  <c r="L37" i="6" s="1"/>
  <c r="M37" i="6" s="1"/>
  <c r="K40" i="6"/>
  <c r="L40" i="6" s="1"/>
  <c r="M40" i="6" s="1"/>
  <c r="R40" i="6" s="1"/>
  <c r="K43" i="6"/>
  <c r="L43" i="6" s="1"/>
  <c r="M43" i="6" s="1"/>
  <c r="K46" i="6"/>
  <c r="L46" i="6" s="1"/>
  <c r="M46" i="6" s="1"/>
  <c r="R46" i="6" s="1"/>
  <c r="K49" i="6"/>
  <c r="L49" i="6" s="1"/>
  <c r="M49" i="6" s="1"/>
  <c r="K52" i="6"/>
  <c r="L52" i="6" s="1"/>
  <c r="M52" i="6" s="1"/>
  <c r="R52" i="6" s="1"/>
  <c r="K55" i="6"/>
  <c r="L55" i="6" s="1"/>
  <c r="M55" i="6" s="1"/>
  <c r="R55" i="6" s="1"/>
  <c r="K58" i="6"/>
  <c r="L58" i="6" s="1"/>
  <c r="M58" i="6" s="1"/>
  <c r="R58" i="6" s="1"/>
  <c r="K61" i="6"/>
  <c r="L61" i="6" s="1"/>
  <c r="M61" i="6" s="1"/>
  <c r="R61" i="6" s="1"/>
  <c r="P66" i="6"/>
  <c r="P62" i="6"/>
  <c r="P58" i="6"/>
  <c r="P54" i="6"/>
  <c r="P46" i="6"/>
  <c r="P37" i="6"/>
  <c r="P63" i="6"/>
  <c r="P59" i="6"/>
  <c r="P55" i="6"/>
  <c r="P51" i="6"/>
  <c r="K5" i="6"/>
  <c r="L5" i="6" s="1"/>
  <c r="M5" i="6" s="1"/>
  <c r="R5" i="6" s="1"/>
  <c r="K8" i="6"/>
  <c r="L8" i="6" s="1"/>
  <c r="M8" i="6" s="1"/>
  <c r="R8" i="6" s="1"/>
  <c r="K11" i="6"/>
  <c r="L11" i="6" s="1"/>
  <c r="M11" i="6" s="1"/>
  <c r="R11" i="6" s="1"/>
  <c r="K17" i="6"/>
  <c r="L17" i="6" s="1"/>
  <c r="M17" i="6" s="1"/>
  <c r="R17" i="6" s="1"/>
  <c r="K20" i="6"/>
  <c r="L20" i="6" s="1"/>
  <c r="M20" i="6" s="1"/>
  <c r="K23" i="6"/>
  <c r="L23" i="6" s="1"/>
  <c r="M23" i="6" s="1"/>
  <c r="K26" i="6"/>
  <c r="L26" i="6" s="1"/>
  <c r="M26" i="6" s="1"/>
  <c r="K29" i="6"/>
  <c r="L29" i="6" s="1"/>
  <c r="M29" i="6" s="1"/>
  <c r="K32" i="6"/>
  <c r="L32" i="6" s="1"/>
  <c r="M32" i="6" s="1"/>
  <c r="K35" i="6"/>
  <c r="L35" i="6" s="1"/>
  <c r="M35" i="6" s="1"/>
  <c r="K38" i="6"/>
  <c r="L38" i="6" s="1"/>
  <c r="M38" i="6" s="1"/>
  <c r="R38" i="6" s="1"/>
  <c r="K41" i="6"/>
  <c r="L41" i="6" s="1"/>
  <c r="M41" i="6" s="1"/>
  <c r="K44" i="6"/>
  <c r="L44" i="6" s="1"/>
  <c r="M44" i="6" s="1"/>
  <c r="R44" i="6" s="1"/>
  <c r="K47" i="6"/>
  <c r="L47" i="6" s="1"/>
  <c r="M47" i="6" s="1"/>
  <c r="K50" i="6"/>
  <c r="L50" i="6" s="1"/>
  <c r="M50" i="6" s="1"/>
  <c r="R50" i="6" s="1"/>
  <c r="K53" i="6"/>
  <c r="L53" i="6" s="1"/>
  <c r="M53" i="6" s="1"/>
  <c r="R53" i="6" s="1"/>
  <c r="K56" i="6"/>
  <c r="L56" i="6" s="1"/>
  <c r="M56" i="6" s="1"/>
  <c r="Q56" i="6" s="1"/>
  <c r="K59" i="6"/>
  <c r="L59" i="6" s="1"/>
  <c r="M59" i="6" s="1"/>
  <c r="R59" i="6" s="1"/>
  <c r="K62" i="6"/>
  <c r="L62" i="6" s="1"/>
  <c r="M62" i="6" s="1"/>
  <c r="R62" i="6" s="1"/>
  <c r="K65" i="6"/>
  <c r="L65" i="6" s="1"/>
  <c r="M65" i="6" s="1"/>
  <c r="R65" i="6" s="1"/>
  <c r="K68" i="6"/>
  <c r="L68" i="6" s="1"/>
  <c r="M68" i="6" s="1"/>
  <c r="P38" i="6"/>
  <c r="P68" i="6"/>
  <c r="K6" i="6"/>
  <c r="L6" i="6" s="1"/>
  <c r="M6" i="6" s="1"/>
  <c r="R6" i="6" s="1"/>
  <c r="K9" i="6"/>
  <c r="L9" i="6" s="1"/>
  <c r="M9" i="6" s="1"/>
  <c r="R9" i="6" s="1"/>
  <c r="K12" i="6"/>
  <c r="L12" i="6" s="1"/>
  <c r="M12" i="6" s="1"/>
  <c r="R12" i="6" s="1"/>
  <c r="K15" i="6"/>
  <c r="L15" i="6" s="1"/>
  <c r="M15" i="6" s="1"/>
  <c r="R15" i="6" s="1"/>
  <c r="K18" i="6"/>
  <c r="L18" i="6" s="1"/>
  <c r="M18" i="6" s="1"/>
  <c r="R18" i="6" s="1"/>
  <c r="K21" i="6"/>
  <c r="L21" i="6" s="1"/>
  <c r="M21" i="6" s="1"/>
  <c r="R21" i="6" s="1"/>
  <c r="K24" i="6"/>
  <c r="L24" i="6" s="1"/>
  <c r="M24" i="6" s="1"/>
  <c r="K27" i="6"/>
  <c r="L27" i="6" s="1"/>
  <c r="M27" i="6" s="1"/>
  <c r="R27" i="6" s="1"/>
  <c r="K30" i="6"/>
  <c r="L30" i="6" s="1"/>
  <c r="M30" i="6" s="1"/>
  <c r="K33" i="6"/>
  <c r="L33" i="6" s="1"/>
  <c r="M33" i="6" s="1"/>
  <c r="K36" i="6"/>
  <c r="L36" i="6" s="1"/>
  <c r="M36" i="6" s="1"/>
  <c r="R36" i="6" s="1"/>
  <c r="K39" i="6"/>
  <c r="L39" i="6" s="1"/>
  <c r="M39" i="6" s="1"/>
  <c r="K42" i="6"/>
  <c r="L42" i="6" s="1"/>
  <c r="M42" i="6" s="1"/>
  <c r="R42" i="6" s="1"/>
  <c r="K45" i="6"/>
  <c r="L45" i="6" s="1"/>
  <c r="M45" i="6" s="1"/>
  <c r="K48" i="6"/>
  <c r="L48" i="6" s="1"/>
  <c r="M48" i="6" s="1"/>
  <c r="R48" i="6" s="1"/>
  <c r="K51" i="6"/>
  <c r="L51" i="6" s="1"/>
  <c r="M51" i="6" s="1"/>
  <c r="K54" i="6"/>
  <c r="L54" i="6" s="1"/>
  <c r="M54" i="6" s="1"/>
  <c r="R54" i="6" s="1"/>
  <c r="K57" i="6"/>
  <c r="L57" i="6" s="1"/>
  <c r="M57" i="6" s="1"/>
  <c r="R57" i="6" s="1"/>
  <c r="K60" i="6"/>
  <c r="L60" i="6" s="1"/>
  <c r="M60" i="6" s="1"/>
  <c r="R60" i="6" s="1"/>
  <c r="K63" i="6"/>
  <c r="L63" i="6" s="1"/>
  <c r="M63" i="6" s="1"/>
  <c r="R63" i="6" s="1"/>
  <c r="K66" i="6"/>
  <c r="L66" i="6" s="1"/>
  <c r="M66" i="6" s="1"/>
  <c r="R66" i="6" s="1"/>
  <c r="K69" i="6"/>
  <c r="L69" i="6" s="1"/>
  <c r="M69" i="6" s="1"/>
  <c r="P65" i="6"/>
  <c r="P61" i="6"/>
  <c r="P57" i="6"/>
  <c r="P53" i="6"/>
  <c r="R322" i="1"/>
  <c r="R334" i="1"/>
  <c r="P69" i="6"/>
  <c r="P47" i="6"/>
  <c r="P39" i="6"/>
  <c r="P49" i="6"/>
  <c r="P41" i="6"/>
  <c r="P50" i="6"/>
  <c r="R64" i="6"/>
  <c r="P34" i="6"/>
  <c r="P318" i="1"/>
  <c r="P217" i="1"/>
  <c r="P284" i="1"/>
  <c r="P292" i="1"/>
  <c r="P315" i="1"/>
  <c r="P316" i="1"/>
  <c r="P325" i="1"/>
  <c r="P317" i="1"/>
  <c r="P334" i="1"/>
  <c r="P330" i="1"/>
  <c r="P326" i="1"/>
  <c r="P322" i="1"/>
  <c r="P331" i="1"/>
  <c r="P327" i="1"/>
  <c r="P323" i="1"/>
  <c r="P319" i="1"/>
  <c r="P332" i="1"/>
  <c r="P328" i="1"/>
  <c r="P324" i="1"/>
  <c r="P320" i="1"/>
  <c r="P314" i="1"/>
  <c r="P313" i="1"/>
  <c r="P82" i="1"/>
  <c r="P100" i="1"/>
  <c r="P247" i="1"/>
  <c r="P277" i="1"/>
  <c r="P202" i="1"/>
  <c r="P271" i="1"/>
  <c r="P111" i="1"/>
  <c r="P122" i="1"/>
  <c r="P163" i="1"/>
  <c r="P175" i="1"/>
  <c r="P248" i="1"/>
  <c r="P278" i="1"/>
  <c r="P293" i="1"/>
  <c r="P145" i="1"/>
  <c r="P212" i="1"/>
  <c r="P80" i="1"/>
  <c r="P104" i="1"/>
  <c r="P131" i="1"/>
  <c r="P187" i="1"/>
  <c r="P139" i="1"/>
  <c r="P157" i="1"/>
  <c r="P169" i="1"/>
  <c r="P182" i="1"/>
  <c r="P128" i="1"/>
  <c r="P140" i="1"/>
  <c r="P158" i="1"/>
  <c r="P170" i="1"/>
  <c r="P213" i="1"/>
  <c r="P236" i="1"/>
  <c r="P268" i="1"/>
  <c r="P90" i="1"/>
  <c r="P96" i="1"/>
  <c r="P129" i="1"/>
  <c r="P147" i="1"/>
  <c r="P165" i="1"/>
  <c r="P177" i="1"/>
  <c r="P208" i="1"/>
  <c r="P260" i="1"/>
  <c r="P8" i="1"/>
  <c r="P14" i="1"/>
  <c r="P19" i="1"/>
  <c r="P25" i="1"/>
  <c r="P31" i="1"/>
  <c r="P49" i="1"/>
  <c r="P55" i="1"/>
  <c r="P79" i="1"/>
  <c r="P85" i="1"/>
  <c r="P91" i="1"/>
  <c r="P97" i="1"/>
  <c r="P103" i="1"/>
  <c r="P109" i="1"/>
  <c r="P113" i="1"/>
  <c r="P124" i="1"/>
  <c r="P130" i="1"/>
  <c r="P148" i="1"/>
  <c r="P154" i="1"/>
  <c r="P160" i="1"/>
  <c r="P166" i="1"/>
  <c r="P172" i="1"/>
  <c r="P186" i="1"/>
  <c r="P209" i="1"/>
  <c r="P238" i="1"/>
  <c r="P254" i="1"/>
  <c r="P261" i="1"/>
  <c r="P9" i="1"/>
  <c r="P15" i="1"/>
  <c r="P20" i="1"/>
  <c r="P26" i="1"/>
  <c r="P32" i="1"/>
  <c r="P38" i="1"/>
  <c r="P50" i="1"/>
  <c r="P56" i="1"/>
  <c r="P62" i="1"/>
  <c r="P68" i="1"/>
  <c r="P86" i="1"/>
  <c r="P92" i="1"/>
  <c r="P143" i="1"/>
  <c r="P161" i="1"/>
  <c r="P167" i="1"/>
  <c r="P173" i="1"/>
  <c r="P179" i="1"/>
  <c r="P210" i="1"/>
  <c r="P262" i="1"/>
  <c r="P225" i="1"/>
  <c r="P307" i="1"/>
  <c r="P276" i="1"/>
  <c r="P10" i="1"/>
  <c r="P21" i="1"/>
  <c r="P27" i="1"/>
  <c r="P33" i="1"/>
  <c r="P39" i="1"/>
  <c r="P51" i="1"/>
  <c r="P57" i="1"/>
  <c r="P63" i="1"/>
  <c r="P69" i="1"/>
  <c r="P75" i="1"/>
  <c r="P87" i="1"/>
  <c r="P93" i="1"/>
  <c r="P105" i="1"/>
  <c r="P115" i="1"/>
  <c r="P121" i="1"/>
  <c r="P126" i="1"/>
  <c r="P132" i="1"/>
  <c r="P138" i="1"/>
  <c r="P144" i="1"/>
  <c r="P150" i="1"/>
  <c r="P162" i="1"/>
  <c r="P168" i="1"/>
  <c r="P174" i="1"/>
  <c r="P181" i="1"/>
  <c r="P188" i="1"/>
  <c r="P211" i="1"/>
  <c r="P257" i="1"/>
  <c r="P226" i="1"/>
  <c r="P242" i="1"/>
  <c r="P265" i="1"/>
  <c r="P294" i="1"/>
  <c r="P301" i="1"/>
  <c r="P308" i="1"/>
  <c r="P11" i="1"/>
  <c r="P16" i="1"/>
  <c r="P22" i="1"/>
  <c r="P28" i="1"/>
  <c r="P34" i="1"/>
  <c r="P40" i="1"/>
  <c r="P46" i="1"/>
  <c r="P52" i="1"/>
  <c r="P64" i="1"/>
  <c r="P94" i="1"/>
  <c r="P106" i="1"/>
  <c r="P133" i="1"/>
  <c r="P151" i="1"/>
  <c r="P235" i="1"/>
  <c r="P258" i="1"/>
  <c r="P221" i="1"/>
  <c r="P244" i="1"/>
  <c r="P250" i="1"/>
  <c r="P266" i="1"/>
  <c r="P281" i="1"/>
  <c r="P302" i="1"/>
  <c r="P309" i="1"/>
  <c r="P12" i="1"/>
  <c r="P17" i="1"/>
  <c r="P23" i="1"/>
  <c r="P29" i="1"/>
  <c r="P35" i="1"/>
  <c r="P41" i="1"/>
  <c r="P47" i="1"/>
  <c r="P53" i="1"/>
  <c r="P65" i="1"/>
  <c r="P71" i="1"/>
  <c r="P83" i="1"/>
  <c r="P101" i="1"/>
  <c r="P107" i="1"/>
  <c r="P112" i="1"/>
  <c r="P117" i="1"/>
  <c r="P123" i="1"/>
  <c r="P164" i="1"/>
  <c r="P176" i="1"/>
  <c r="P184" i="1"/>
  <c r="P206" i="1"/>
  <c r="P259" i="1"/>
  <c r="P245" i="1"/>
  <c r="P274" i="1"/>
  <c r="P282" i="1"/>
  <c r="P289" i="1"/>
  <c r="P296" i="1"/>
  <c r="P304" i="1"/>
  <c r="P310" i="1"/>
  <c r="P13" i="1"/>
  <c r="P18" i="1"/>
  <c r="P24" i="1"/>
  <c r="P30" i="1"/>
  <c r="P36" i="1"/>
  <c r="P42" i="1"/>
  <c r="P48" i="1"/>
  <c r="P72" i="1"/>
  <c r="P102" i="1"/>
  <c r="P108" i="1"/>
  <c r="P118" i="1"/>
  <c r="P141" i="1"/>
  <c r="P153" i="1"/>
  <c r="P159" i="1"/>
  <c r="P171" i="1"/>
  <c r="P185" i="1"/>
  <c r="P214" i="1"/>
  <c r="P237" i="1"/>
  <c r="P253" i="1"/>
  <c r="P200" i="1"/>
  <c r="P223" i="1"/>
  <c r="P246" i="1"/>
  <c r="P297" i="1"/>
  <c r="P305" i="1"/>
  <c r="P311" i="1"/>
  <c r="P300" i="1"/>
  <c r="O2" i="4"/>
  <c r="O316" i="4"/>
  <c r="O310" i="4"/>
  <c r="O304" i="4"/>
  <c r="O298" i="4"/>
  <c r="O292" i="4"/>
  <c r="O286" i="4"/>
  <c r="O280" i="4"/>
  <c r="O274" i="4"/>
  <c r="O268" i="4"/>
  <c r="O262" i="4"/>
  <c r="O256" i="4"/>
  <c r="O250" i="4"/>
  <c r="O244" i="4"/>
  <c r="O238" i="4"/>
  <c r="O232" i="4"/>
  <c r="O196" i="4"/>
  <c r="O172" i="4"/>
  <c r="O70" i="4"/>
  <c r="O64" i="4"/>
  <c r="O58" i="4"/>
  <c r="O52" i="4"/>
  <c r="O4" i="4"/>
  <c r="O317" i="4"/>
  <c r="O315" i="4"/>
  <c r="O309" i="4"/>
  <c r="O303" i="4"/>
  <c r="O297" i="4"/>
  <c r="O291" i="4"/>
  <c r="O285" i="4"/>
  <c r="O279" i="4"/>
  <c r="O273" i="4"/>
  <c r="O267" i="4"/>
  <c r="O261" i="4"/>
  <c r="O255" i="4"/>
  <c r="O249" i="4"/>
  <c r="O243" i="4"/>
  <c r="O237" i="4"/>
  <c r="O231" i="4"/>
  <c r="O195" i="4"/>
  <c r="O177" i="4"/>
  <c r="O69" i="4"/>
  <c r="O63" i="4"/>
  <c r="O57" i="4"/>
  <c r="O51" i="4"/>
  <c r="O3" i="4"/>
  <c r="N183" i="1"/>
  <c r="P183" i="1" s="1"/>
  <c r="N195" i="1"/>
  <c r="J195" i="1" s="1"/>
  <c r="N207" i="1"/>
  <c r="X207" i="1" s="1"/>
  <c r="N219" i="1"/>
  <c r="J219" i="1" s="1"/>
  <c r="N231" i="1"/>
  <c r="J231" i="1" s="1"/>
  <c r="N243" i="1"/>
  <c r="P243" i="1" s="1"/>
  <c r="N255" i="1"/>
  <c r="J255" i="1" s="1"/>
  <c r="N267" i="1"/>
  <c r="P267" i="1" s="1"/>
  <c r="O183" i="1"/>
  <c r="O195" i="1"/>
  <c r="O207" i="1"/>
  <c r="O219" i="1"/>
  <c r="L219" i="1" s="1"/>
  <c r="O231" i="1"/>
  <c r="O243" i="1"/>
  <c r="O255" i="1"/>
  <c r="O267" i="1"/>
  <c r="N279" i="1"/>
  <c r="P279" i="1" s="1"/>
  <c r="N291" i="1"/>
  <c r="P291" i="1" s="1"/>
  <c r="N303" i="1"/>
  <c r="J303" i="1" s="1"/>
  <c r="O314" i="4"/>
  <c r="O308" i="4"/>
  <c r="O302" i="4"/>
  <c r="O296" i="4"/>
  <c r="O290" i="4"/>
  <c r="O284" i="4"/>
  <c r="O278" i="4"/>
  <c r="O272" i="4"/>
  <c r="O266" i="4"/>
  <c r="O260" i="4"/>
  <c r="O254" i="4"/>
  <c r="O248" i="4"/>
  <c r="O242" i="4"/>
  <c r="O236" i="4"/>
  <c r="O230" i="4"/>
  <c r="O212" i="4"/>
  <c r="O194" i="4"/>
  <c r="O176" i="4"/>
  <c r="O74" i="4"/>
  <c r="O68" i="4"/>
  <c r="O62" i="4"/>
  <c r="O56" i="4"/>
  <c r="O50" i="4"/>
  <c r="O44" i="4"/>
  <c r="O8" i="4"/>
  <c r="O279" i="1"/>
  <c r="O291" i="1"/>
  <c r="O303" i="1"/>
  <c r="O313" i="4"/>
  <c r="O307" i="4"/>
  <c r="O301" i="4"/>
  <c r="O295" i="4"/>
  <c r="O289" i="4"/>
  <c r="O283" i="4"/>
  <c r="O277" i="4"/>
  <c r="O271" i="4"/>
  <c r="O265" i="4"/>
  <c r="O259" i="4"/>
  <c r="O253" i="4"/>
  <c r="O247" i="4"/>
  <c r="O241" i="4"/>
  <c r="O235" i="4"/>
  <c r="O229" i="4"/>
  <c r="O211" i="4"/>
  <c r="O193" i="4"/>
  <c r="O187" i="4"/>
  <c r="O67" i="4"/>
  <c r="O61" i="4"/>
  <c r="O55" i="4"/>
  <c r="O7" i="4"/>
  <c r="N191" i="1"/>
  <c r="J191" i="1" s="1"/>
  <c r="N203" i="1"/>
  <c r="P203" i="1" s="1"/>
  <c r="N215" i="1"/>
  <c r="P215" i="1" s="1"/>
  <c r="N227" i="1"/>
  <c r="P227" i="1" s="1"/>
  <c r="N239" i="1"/>
  <c r="N251" i="1"/>
  <c r="P251" i="1" s="1"/>
  <c r="N263" i="1"/>
  <c r="J263" i="1" s="1"/>
  <c r="N275" i="1"/>
  <c r="P275" i="1" s="1"/>
  <c r="O312" i="4"/>
  <c r="O306" i="4"/>
  <c r="O300" i="4"/>
  <c r="O294" i="4"/>
  <c r="O288" i="4"/>
  <c r="O282" i="4"/>
  <c r="O276" i="4"/>
  <c r="O270" i="4"/>
  <c r="O264" i="4"/>
  <c r="O258" i="4"/>
  <c r="O252" i="4"/>
  <c r="O246" i="4"/>
  <c r="O240" i="4"/>
  <c r="O234" i="4"/>
  <c r="O228" i="4"/>
  <c r="O216" i="4"/>
  <c r="O72" i="4"/>
  <c r="O66" i="4"/>
  <c r="O60" i="4"/>
  <c r="O54" i="4"/>
  <c r="O6" i="4"/>
  <c r="N180" i="1"/>
  <c r="P180" i="1" s="1"/>
  <c r="N192" i="1"/>
  <c r="J192" i="1" s="1"/>
  <c r="N204" i="1"/>
  <c r="P204" i="1" s="1"/>
  <c r="N216" i="1"/>
  <c r="P216" i="1" s="1"/>
  <c r="N228" i="1"/>
  <c r="P228" i="1" s="1"/>
  <c r="N240" i="1"/>
  <c r="J240" i="1" s="1"/>
  <c r="N252" i="1"/>
  <c r="P252" i="1" s="1"/>
  <c r="N264" i="1"/>
  <c r="J264" i="1" s="1"/>
  <c r="O287" i="1"/>
  <c r="O299" i="1"/>
  <c r="O311" i="1"/>
  <c r="O319" i="4"/>
  <c r="O311" i="4"/>
  <c r="O305" i="4"/>
  <c r="O299" i="4"/>
  <c r="O293" i="4"/>
  <c r="O287" i="4"/>
  <c r="O281" i="4"/>
  <c r="O275" i="4"/>
  <c r="O269" i="4"/>
  <c r="O263" i="4"/>
  <c r="O257" i="4"/>
  <c r="O251" i="4"/>
  <c r="O245" i="4"/>
  <c r="O239" i="4"/>
  <c r="O233" i="4"/>
  <c r="O227" i="4"/>
  <c r="O215" i="4"/>
  <c r="O185" i="4"/>
  <c r="O173" i="4"/>
  <c r="O71" i="4"/>
  <c r="O65" i="4"/>
  <c r="O59" i="4"/>
  <c r="O53" i="4"/>
  <c r="O41" i="4"/>
  <c r="O5" i="4"/>
  <c r="N14" i="6"/>
  <c r="J14" i="6" s="1"/>
  <c r="N26" i="6"/>
  <c r="F30" i="6"/>
  <c r="F24" i="6"/>
  <c r="F18" i="6"/>
  <c r="F12" i="6"/>
  <c r="F6" i="6"/>
  <c r="O14" i="6"/>
  <c r="O26" i="6"/>
  <c r="E30" i="6"/>
  <c r="E24" i="6"/>
  <c r="E18" i="6"/>
  <c r="E12" i="6"/>
  <c r="E6" i="6"/>
  <c r="G26" i="6"/>
  <c r="G14" i="6"/>
  <c r="F29" i="6"/>
  <c r="F26" i="6"/>
  <c r="F14" i="6"/>
  <c r="E26" i="6"/>
  <c r="E14" i="6"/>
  <c r="P33" i="6"/>
  <c r="P31" i="6"/>
  <c r="P30" i="6"/>
  <c r="P25" i="6"/>
  <c r="P24" i="6"/>
  <c r="P22" i="6"/>
  <c r="P20" i="6"/>
  <c r="P19" i="6"/>
  <c r="P18" i="6"/>
  <c r="P17" i="6"/>
  <c r="P15" i="6"/>
  <c r="P11" i="6"/>
  <c r="P10" i="6"/>
  <c r="P9" i="6"/>
  <c r="P7" i="6"/>
  <c r="P6" i="6"/>
  <c r="P5" i="6"/>
  <c r="X222" i="1" l="1"/>
  <c r="X280" i="1"/>
  <c r="X74" i="1"/>
  <c r="X78" i="1"/>
  <c r="X229" i="1"/>
  <c r="X256" i="1"/>
  <c r="J239" i="1"/>
  <c r="P222" i="1"/>
  <c r="P256" i="1"/>
  <c r="K280" i="1"/>
  <c r="L280" i="1" s="1"/>
  <c r="M280" i="1" s="1"/>
  <c r="X81" i="1"/>
  <c r="K81" i="1"/>
  <c r="L81" i="1" s="1"/>
  <c r="M81" i="1" s="1"/>
  <c r="X137" i="1"/>
  <c r="P229" i="1"/>
  <c r="K44" i="1"/>
  <c r="L44" i="1" s="1"/>
  <c r="M44" i="1" s="1"/>
  <c r="K14" i="6"/>
  <c r="L14" i="6" s="1"/>
  <c r="M14" i="6" s="1"/>
  <c r="X14" i="6"/>
  <c r="K286" i="1"/>
  <c r="M286" i="1" s="1"/>
  <c r="K70" i="1"/>
  <c r="L70" i="1" s="1"/>
  <c r="M70" i="1" s="1"/>
  <c r="X70" i="1"/>
  <c r="K272" i="1"/>
  <c r="L272" i="1" s="1"/>
  <c r="M272" i="1" s="1"/>
  <c r="X272" i="1"/>
  <c r="K149" i="1"/>
  <c r="L149" i="1" s="1"/>
  <c r="M149" i="1" s="1"/>
  <c r="X149" i="1"/>
  <c r="X299" i="1"/>
  <c r="K230" i="1"/>
  <c r="X230" i="1"/>
  <c r="X43" i="1"/>
  <c r="X287" i="1"/>
  <c r="K288" i="1"/>
  <c r="M288" i="1" s="1"/>
  <c r="X58" i="1"/>
  <c r="P299" i="1"/>
  <c r="P287" i="1"/>
  <c r="K4" i="1"/>
  <c r="X4" i="1"/>
  <c r="X61" i="1"/>
  <c r="K273" i="1"/>
  <c r="L273" i="1" s="1"/>
  <c r="M273" i="1" s="1"/>
  <c r="L218" i="1"/>
  <c r="M218" i="1" s="1"/>
  <c r="K306" i="1"/>
  <c r="M306" i="1" s="1"/>
  <c r="K60" i="1"/>
  <c r="L60" i="1" s="1"/>
  <c r="M60" i="1" s="1"/>
  <c r="X73" i="1"/>
  <c r="K114" i="1"/>
  <c r="K178" i="1"/>
  <c r="L178" i="1" s="1"/>
  <c r="M178" i="1" s="1"/>
  <c r="P286" i="1"/>
  <c r="K95" i="1"/>
  <c r="L95" i="1" s="1"/>
  <c r="M95" i="1" s="1"/>
  <c r="K54" i="1"/>
  <c r="L54" i="1" s="1"/>
  <c r="M54" i="1" s="1"/>
  <c r="X37" i="1"/>
  <c r="K298" i="1"/>
  <c r="M298" i="1" s="1"/>
  <c r="K76" i="1"/>
  <c r="L76" i="1" s="1"/>
  <c r="M76" i="1" s="1"/>
  <c r="X59" i="1"/>
  <c r="X45" i="1"/>
  <c r="K84" i="1"/>
  <c r="L84" i="1" s="1"/>
  <c r="M84" i="1" s="1"/>
  <c r="K125" i="1"/>
  <c r="K88" i="1"/>
  <c r="L88" i="1" s="1"/>
  <c r="M88" i="1" s="1"/>
  <c r="K127" i="1"/>
  <c r="K89" i="1"/>
  <c r="L89" i="1" s="1"/>
  <c r="M89" i="1" s="1"/>
  <c r="K116" i="1"/>
  <c r="M116" i="1" s="1"/>
  <c r="K231" i="1"/>
  <c r="L231" i="1" s="1"/>
  <c r="M231" i="1" s="1"/>
  <c r="M219" i="1"/>
  <c r="K207" i="1"/>
  <c r="L207" i="1" s="1"/>
  <c r="M207" i="1" s="1"/>
  <c r="R336" i="1"/>
  <c r="Q336" i="1"/>
  <c r="Q328" i="1"/>
  <c r="R328" i="1"/>
  <c r="V328" i="1" s="1"/>
  <c r="Q68" i="6"/>
  <c r="R68" i="6"/>
  <c r="V68" i="6" s="1"/>
  <c r="R56" i="6"/>
  <c r="W56" i="6" s="1"/>
  <c r="R14" i="6"/>
  <c r="R26" i="6"/>
  <c r="V26" i="6" s="1"/>
  <c r="Q62" i="6"/>
  <c r="Q46" i="6"/>
  <c r="R28" i="6"/>
  <c r="V28" i="6" s="1"/>
  <c r="Q53" i="6"/>
  <c r="Q59" i="6"/>
  <c r="Q65" i="6"/>
  <c r="R29" i="6"/>
  <c r="W29" i="6" s="1"/>
  <c r="Q326" i="1"/>
  <c r="R326" i="1"/>
  <c r="W326" i="1" s="1"/>
  <c r="R335" i="1"/>
  <c r="Q335" i="1"/>
  <c r="R332" i="1"/>
  <c r="V332" i="1" s="1"/>
  <c r="Q332" i="1"/>
  <c r="Q47" i="6"/>
  <c r="R47" i="6"/>
  <c r="Q45" i="6"/>
  <c r="R45" i="6"/>
  <c r="Q69" i="6"/>
  <c r="R69" i="6"/>
  <c r="Q67" i="6"/>
  <c r="R67" i="6"/>
  <c r="Q41" i="6"/>
  <c r="R41" i="6"/>
  <c r="Q43" i="6"/>
  <c r="R43" i="6"/>
  <c r="V50" i="6"/>
  <c r="W50" i="6"/>
  <c r="V48" i="6"/>
  <c r="W48" i="6"/>
  <c r="Q42" i="6"/>
  <c r="V54" i="6"/>
  <c r="W54" i="6"/>
  <c r="V55" i="6"/>
  <c r="W55" i="6"/>
  <c r="Q40" i="6"/>
  <c r="Q44" i="6"/>
  <c r="V53" i="6"/>
  <c r="W53" i="6"/>
  <c r="V58" i="6"/>
  <c r="W58" i="6"/>
  <c r="V57" i="6"/>
  <c r="W57" i="6"/>
  <c r="Q48" i="6"/>
  <c r="Q52" i="6"/>
  <c r="V60" i="6"/>
  <c r="W60" i="6"/>
  <c r="V59" i="6"/>
  <c r="W59" i="6"/>
  <c r="Q55" i="6"/>
  <c r="Q58" i="6"/>
  <c r="V52" i="6"/>
  <c r="W52" i="6"/>
  <c r="V38" i="6"/>
  <c r="W38" i="6"/>
  <c r="V62" i="6"/>
  <c r="W62" i="6"/>
  <c r="Q37" i="6"/>
  <c r="R37" i="6"/>
  <c r="V61" i="6"/>
  <c r="W61" i="6"/>
  <c r="Q61" i="6"/>
  <c r="Q64" i="6"/>
  <c r="Q50" i="6"/>
  <c r="V40" i="6"/>
  <c r="W40" i="6"/>
  <c r="V64" i="6"/>
  <c r="W64" i="6"/>
  <c r="Q39" i="6"/>
  <c r="R39" i="6"/>
  <c r="V63" i="6"/>
  <c r="W63" i="6"/>
  <c r="Q54" i="6"/>
  <c r="Q57" i="6"/>
  <c r="Q49" i="6"/>
  <c r="R49" i="6"/>
  <c r="V42" i="6"/>
  <c r="W42" i="6"/>
  <c r="V66" i="6"/>
  <c r="W66" i="6"/>
  <c r="V65" i="6"/>
  <c r="W65" i="6"/>
  <c r="Q60" i="6"/>
  <c r="Q63" i="6"/>
  <c r="V44" i="6"/>
  <c r="W44" i="6"/>
  <c r="Q66" i="6"/>
  <c r="Q51" i="6"/>
  <c r="R51" i="6"/>
  <c r="V46" i="6"/>
  <c r="W46" i="6"/>
  <c r="Q38" i="6"/>
  <c r="V36" i="6"/>
  <c r="W36" i="6"/>
  <c r="Q35" i="6"/>
  <c r="R35" i="6"/>
  <c r="Q36" i="6"/>
  <c r="Q34" i="6"/>
  <c r="R34" i="6"/>
  <c r="Q317" i="1"/>
  <c r="Q322" i="1"/>
  <c r="Q318" i="1"/>
  <c r="Q320" i="1"/>
  <c r="Q324" i="1"/>
  <c r="Q334" i="1"/>
  <c r="Q316" i="1"/>
  <c r="R316" i="1"/>
  <c r="Q327" i="1"/>
  <c r="R327" i="1"/>
  <c r="V321" i="1"/>
  <c r="W321" i="1"/>
  <c r="Q319" i="1"/>
  <c r="R319" i="1"/>
  <c r="Q323" i="1"/>
  <c r="R323" i="1"/>
  <c r="V318" i="1"/>
  <c r="W318" i="1"/>
  <c r="Q331" i="1"/>
  <c r="R331" i="1"/>
  <c r="V322" i="1"/>
  <c r="W322" i="1"/>
  <c r="V325" i="1"/>
  <c r="W325" i="1"/>
  <c r="Q330" i="1"/>
  <c r="V315" i="1"/>
  <c r="W315" i="1"/>
  <c r="V329" i="1"/>
  <c r="W329" i="1"/>
  <c r="V330" i="1"/>
  <c r="W330" i="1"/>
  <c r="V333" i="1"/>
  <c r="W333" i="1"/>
  <c r="Q321" i="1"/>
  <c r="V317" i="1"/>
  <c r="W317" i="1"/>
  <c r="V334" i="1"/>
  <c r="W334" i="1"/>
  <c r="V320" i="1"/>
  <c r="W320" i="1"/>
  <c r="Q325" i="1"/>
  <c r="Q333" i="1"/>
  <c r="V324" i="1"/>
  <c r="W324" i="1"/>
  <c r="Q315" i="1"/>
  <c r="Q329" i="1"/>
  <c r="V314" i="1"/>
  <c r="W314" i="1"/>
  <c r="Q314" i="1"/>
  <c r="Q12" i="6"/>
  <c r="Q18" i="6"/>
  <c r="Q7" i="6"/>
  <c r="V21" i="6"/>
  <c r="W21" i="6"/>
  <c r="Q14" i="6"/>
  <c r="Q8" i="6"/>
  <c r="Q6" i="6"/>
  <c r="Q13" i="6"/>
  <c r="Q15" i="6"/>
  <c r="Q9" i="6"/>
  <c r="Q16" i="6"/>
  <c r="V27" i="6"/>
  <c r="W27" i="6"/>
  <c r="Q4" i="6"/>
  <c r="Q10" i="6"/>
  <c r="Q17" i="6"/>
  <c r="Q5" i="6"/>
  <c r="Q11" i="6"/>
  <c r="P13" i="6"/>
  <c r="P32" i="6"/>
  <c r="P21" i="6"/>
  <c r="Q26" i="6"/>
  <c r="P26" i="6"/>
  <c r="Q29" i="6"/>
  <c r="P29" i="6"/>
  <c r="Q27" i="6"/>
  <c r="Q28" i="6"/>
  <c r="Q21" i="6"/>
  <c r="P14" i="6"/>
  <c r="P28" i="6"/>
  <c r="P8" i="6"/>
  <c r="P27" i="6"/>
  <c r="P16" i="6"/>
  <c r="P4" i="6"/>
  <c r="R32" i="6"/>
  <c r="R20" i="6"/>
  <c r="R33" i="6"/>
  <c r="R22" i="6"/>
  <c r="R23" i="6"/>
  <c r="R24" i="6"/>
  <c r="R25" i="6"/>
  <c r="R30" i="6"/>
  <c r="R19" i="6"/>
  <c r="R31" i="6"/>
  <c r="X239" i="1" l="1"/>
  <c r="K239" i="1"/>
  <c r="L239" i="1" s="1"/>
  <c r="M239" i="1" s="1"/>
  <c r="P239" i="1"/>
  <c r="V56" i="6"/>
  <c r="K240" i="1"/>
  <c r="L240" i="1" s="1"/>
  <c r="M240" i="1" s="1"/>
  <c r="X240" i="1"/>
  <c r="P263" i="1"/>
  <c r="X263" i="1"/>
  <c r="K255" i="1"/>
  <c r="L255" i="1" s="1"/>
  <c r="M255" i="1" s="1"/>
  <c r="X255" i="1"/>
  <c r="K264" i="1"/>
  <c r="L264" i="1" s="1"/>
  <c r="M264" i="1" s="1"/>
  <c r="X264" i="1"/>
  <c r="K219" i="1"/>
  <c r="X219" i="1"/>
  <c r="K195" i="1"/>
  <c r="L195" i="1" s="1"/>
  <c r="M195" i="1" s="1"/>
  <c r="X195" i="1"/>
  <c r="K192" i="1"/>
  <c r="L192" i="1" s="1"/>
  <c r="M192" i="1" s="1"/>
  <c r="X192" i="1"/>
  <c r="K191" i="1"/>
  <c r="L191" i="1" s="1"/>
  <c r="M191" i="1" s="1"/>
  <c r="X191" i="1"/>
  <c r="P255" i="1"/>
  <c r="P264" i="1"/>
  <c r="K263" i="1"/>
  <c r="L263" i="1" s="1"/>
  <c r="M263" i="1" s="1"/>
  <c r="W68" i="6"/>
  <c r="W328" i="1"/>
  <c r="K303" i="1"/>
  <c r="M303" i="1" s="1"/>
  <c r="X303" i="1"/>
  <c r="X1" i="1" s="1"/>
  <c r="V326" i="1"/>
  <c r="P207" i="1"/>
  <c r="W332" i="1"/>
  <c r="P303" i="1"/>
  <c r="W28" i="6"/>
  <c r="W26" i="6"/>
  <c r="V336" i="1"/>
  <c r="W336" i="1"/>
  <c r="V29" i="6"/>
  <c r="W335" i="1"/>
  <c r="V335" i="1"/>
  <c r="V43" i="6"/>
  <c r="W43" i="6"/>
  <c r="V39" i="6"/>
  <c r="W39" i="6"/>
  <c r="V67" i="6"/>
  <c r="W67" i="6"/>
  <c r="V51" i="6"/>
  <c r="W51" i="6"/>
  <c r="V37" i="6"/>
  <c r="W37" i="6"/>
  <c r="V69" i="6"/>
  <c r="W69" i="6"/>
  <c r="V49" i="6"/>
  <c r="W49" i="6"/>
  <c r="V45" i="6"/>
  <c r="W45" i="6"/>
  <c r="V41" i="6"/>
  <c r="W41" i="6"/>
  <c r="V47" i="6"/>
  <c r="W47" i="6"/>
  <c r="V35" i="6"/>
  <c r="W35" i="6"/>
  <c r="V34" i="6"/>
  <c r="W34" i="6"/>
  <c r="W319" i="1"/>
  <c r="V319" i="1"/>
  <c r="W323" i="1"/>
  <c r="V323" i="1"/>
  <c r="W331" i="1"/>
  <c r="V331" i="1"/>
  <c r="W327" i="1"/>
  <c r="V327" i="1"/>
  <c r="W316" i="1"/>
  <c r="V316" i="1"/>
  <c r="V5" i="6"/>
  <c r="W5" i="6"/>
  <c r="V19" i="6"/>
  <c r="W19" i="6"/>
  <c r="V16" i="6"/>
  <c r="W16" i="6"/>
  <c r="V9" i="6"/>
  <c r="W9" i="6"/>
  <c r="V17" i="6"/>
  <c r="W17" i="6"/>
  <c r="V24" i="6"/>
  <c r="W24" i="6"/>
  <c r="V7" i="6"/>
  <c r="W7" i="6"/>
  <c r="V33" i="6"/>
  <c r="W33" i="6"/>
  <c r="V22" i="6"/>
  <c r="W22" i="6"/>
  <c r="V15" i="6"/>
  <c r="W15" i="6"/>
  <c r="V10" i="6"/>
  <c r="W10" i="6"/>
  <c r="V13" i="6"/>
  <c r="W13" i="6"/>
  <c r="V14" i="6"/>
  <c r="W14" i="6"/>
  <c r="V23" i="6"/>
  <c r="W23" i="6"/>
  <c r="V20" i="6"/>
  <c r="W20" i="6"/>
  <c r="V18" i="6"/>
  <c r="W18" i="6"/>
  <c r="V25" i="6"/>
  <c r="W25" i="6"/>
  <c r="V4" i="6"/>
  <c r="W4" i="6"/>
  <c r="V6" i="6"/>
  <c r="W6" i="6"/>
  <c r="V30" i="6"/>
  <c r="W30" i="6"/>
  <c r="V32" i="6"/>
  <c r="W32" i="6"/>
  <c r="V12" i="6"/>
  <c r="W12" i="6"/>
  <c r="V31" i="6"/>
  <c r="W31" i="6"/>
  <c r="V11" i="6"/>
  <c r="W11" i="6"/>
  <c r="V8" i="6"/>
  <c r="W8" i="6"/>
  <c r="Q24" i="6"/>
  <c r="Q23" i="6"/>
  <c r="Q25" i="6"/>
  <c r="Q33" i="6"/>
  <c r="Q31" i="6"/>
  <c r="Q22" i="6"/>
  <c r="Q32" i="6"/>
  <c r="Q19" i="6"/>
  <c r="Q30" i="6"/>
  <c r="Q20" i="6"/>
  <c r="P12" i="6"/>
  <c r="P312" i="1" l="1"/>
  <c r="P306" i="1"/>
  <c r="P298" i="1"/>
  <c r="P295" i="1"/>
  <c r="P290" i="1"/>
  <c r="P288" i="1"/>
  <c r="P285" i="1"/>
  <c r="P283" i="1"/>
  <c r="P273" i="1"/>
  <c r="P272" i="1"/>
  <c r="P269" i="1"/>
  <c r="P249" i="1"/>
  <c r="P241" i="1"/>
  <c r="P240" i="1"/>
  <c r="P234" i="1"/>
  <c r="P233" i="1"/>
  <c r="P232" i="1"/>
  <c r="P231" i="1"/>
  <c r="P230" i="1"/>
  <c r="P224" i="1"/>
  <c r="P220" i="1"/>
  <c r="P219" i="1"/>
  <c r="P218" i="1"/>
  <c r="P205" i="1"/>
  <c r="P201" i="1"/>
  <c r="P199" i="1"/>
  <c r="P198" i="1"/>
  <c r="P197" i="1"/>
  <c r="P196" i="1"/>
  <c r="P195" i="1"/>
  <c r="P194" i="1"/>
  <c r="P193" i="1"/>
  <c r="P192" i="1"/>
  <c r="P190" i="1"/>
  <c r="P178" i="1"/>
  <c r="P155" i="1"/>
  <c r="P149" i="1"/>
  <c r="P146" i="1"/>
  <c r="P142" i="1"/>
  <c r="P137" i="1"/>
  <c r="P136" i="1"/>
  <c r="P135" i="1"/>
  <c r="P134" i="1"/>
  <c r="P127" i="1"/>
  <c r="P125" i="1"/>
  <c r="P120" i="1"/>
  <c r="P119" i="1"/>
  <c r="P116" i="1"/>
  <c r="P114" i="1"/>
  <c r="P110" i="1"/>
  <c r="P99" i="1"/>
  <c r="P98" i="1"/>
  <c r="P95" i="1"/>
  <c r="P89" i="1"/>
  <c r="P88" i="1"/>
  <c r="P84" i="1"/>
  <c r="P78" i="1"/>
  <c r="P77" i="1"/>
  <c r="P76" i="1"/>
  <c r="P74" i="1"/>
  <c r="P73" i="1"/>
  <c r="P70" i="1"/>
  <c r="P67" i="1"/>
  <c r="P66" i="1"/>
  <c r="P61" i="1"/>
  <c r="P60" i="1"/>
  <c r="P59" i="1"/>
  <c r="P58" i="1"/>
  <c r="P54" i="1"/>
  <c r="P45" i="1"/>
  <c r="P44" i="1"/>
  <c r="P43" i="1"/>
  <c r="P37" i="1"/>
  <c r="P7" i="1"/>
  <c r="P6" i="1"/>
  <c r="P5" i="1"/>
  <c r="P4" i="1"/>
  <c r="P152" i="1" l="1"/>
  <c r="P189" i="1"/>
  <c r="P191" i="1"/>
  <c r="P270" i="1"/>
  <c r="R313" i="1" l="1"/>
  <c r="V313" i="1" l="1"/>
  <c r="W313" i="1"/>
  <c r="Q313" i="1"/>
  <c r="R306" i="1"/>
  <c r="R307" i="1"/>
  <c r="R308" i="1"/>
  <c r="V307" i="1" l="1"/>
  <c r="W307" i="1"/>
  <c r="W306" i="1"/>
  <c r="V306" i="1"/>
  <c r="V308" i="1"/>
  <c r="W308" i="1"/>
  <c r="Q307" i="1"/>
  <c r="Q308" i="1"/>
  <c r="Q306" i="1"/>
  <c r="R310" i="1"/>
  <c r="R309" i="1"/>
  <c r="R311" i="1"/>
  <c r="R312" i="1"/>
  <c r="V312" i="1" l="1"/>
  <c r="W312" i="1"/>
  <c r="V311" i="1"/>
  <c r="W311" i="1"/>
  <c r="V310" i="1"/>
  <c r="W310" i="1"/>
  <c r="V309" i="1"/>
  <c r="W309" i="1"/>
  <c r="Q309" i="1"/>
  <c r="Q311" i="1"/>
  <c r="Q310" i="1"/>
  <c r="Q312" i="1"/>
  <c r="R305" i="1" l="1"/>
  <c r="R300" i="1"/>
  <c r="R294" i="1"/>
  <c r="R304" i="1"/>
  <c r="R290" i="1"/>
  <c r="R302" i="1"/>
  <c r="R296" i="1"/>
  <c r="R288" i="1"/>
  <c r="R287" i="1"/>
  <c r="R299" i="1"/>
  <c r="R297" i="1"/>
  <c r="R298" i="1"/>
  <c r="R286" i="1"/>
  <c r="R295" i="1"/>
  <c r="V287" i="1" l="1"/>
  <c r="W287" i="1"/>
  <c r="V288" i="1"/>
  <c r="W288" i="1"/>
  <c r="V296" i="1"/>
  <c r="W296" i="1"/>
  <c r="V302" i="1"/>
  <c r="W302" i="1"/>
  <c r="V299" i="1"/>
  <c r="W299" i="1"/>
  <c r="V290" i="1"/>
  <c r="W290" i="1"/>
  <c r="V304" i="1"/>
  <c r="W304" i="1"/>
  <c r="V295" i="1"/>
  <c r="W295" i="1"/>
  <c r="W294" i="1"/>
  <c r="V294" i="1"/>
  <c r="V297" i="1"/>
  <c r="W297" i="1"/>
  <c r="V286" i="1"/>
  <c r="W286" i="1"/>
  <c r="V300" i="1"/>
  <c r="W300" i="1"/>
  <c r="V298" i="1"/>
  <c r="W298" i="1"/>
  <c r="V305" i="1"/>
  <c r="W305" i="1"/>
  <c r="Q287" i="1"/>
  <c r="Q296" i="1"/>
  <c r="Q302" i="1"/>
  <c r="Q297" i="1"/>
  <c r="Q304" i="1"/>
  <c r="Q294" i="1"/>
  <c r="Q299" i="1"/>
  <c r="Q286" i="1"/>
  <c r="Q300" i="1"/>
  <c r="P3" i="1"/>
  <c r="Q305" i="1"/>
  <c r="Q290" i="1"/>
  <c r="Q295" i="1"/>
  <c r="Q288" i="1"/>
  <c r="Q298" i="1"/>
  <c r="R293" i="1"/>
  <c r="R301" i="1"/>
  <c r="R289" i="1"/>
  <c r="R285" i="1"/>
  <c r="R292" i="1"/>
  <c r="R303" i="1"/>
  <c r="R291" i="1"/>
  <c r="R283" i="1"/>
  <c r="R280" i="1"/>
  <c r="R278" i="1"/>
  <c r="V303" i="1" l="1"/>
  <c r="W303" i="1"/>
  <c r="V283" i="1"/>
  <c r="W283" i="1"/>
  <c r="V292" i="1"/>
  <c r="W292" i="1"/>
  <c r="V280" i="1"/>
  <c r="W280" i="1"/>
  <c r="V285" i="1"/>
  <c r="W285" i="1"/>
  <c r="V289" i="1"/>
  <c r="W289" i="1"/>
  <c r="V291" i="1"/>
  <c r="W291" i="1"/>
  <c r="V301" i="1"/>
  <c r="W301" i="1"/>
  <c r="V278" i="1"/>
  <c r="W278" i="1"/>
  <c r="V293" i="1"/>
  <c r="W293" i="1"/>
  <c r="Q301" i="1"/>
  <c r="Q291" i="1"/>
  <c r="Q280" i="1"/>
  <c r="Q303" i="1"/>
  <c r="Q278" i="1"/>
  <c r="Q293" i="1"/>
  <c r="Q292" i="1"/>
  <c r="Q289" i="1"/>
  <c r="Q283" i="1"/>
  <c r="Q285" i="1"/>
  <c r="R284" i="1"/>
  <c r="R281" i="1"/>
  <c r="R277" i="1"/>
  <c r="R276" i="1"/>
  <c r="R282" i="1"/>
  <c r="R279" i="1"/>
  <c r="R275" i="1"/>
  <c r="R274" i="1"/>
  <c r="R273" i="1"/>
  <c r="R272" i="1"/>
  <c r="R270" i="1"/>
  <c r="V276" i="1" l="1"/>
  <c r="W276" i="1"/>
  <c r="W282" i="1"/>
  <c r="V282" i="1"/>
  <c r="W270" i="1"/>
  <c r="V270" i="1"/>
  <c r="V284" i="1"/>
  <c r="W284" i="1"/>
  <c r="V272" i="1"/>
  <c r="W272" i="1"/>
  <c r="V277" i="1"/>
  <c r="W277" i="1"/>
  <c r="V281" i="1"/>
  <c r="W281" i="1"/>
  <c r="V274" i="1"/>
  <c r="W274" i="1"/>
  <c r="V273" i="1"/>
  <c r="W273" i="1"/>
  <c r="V275" i="1"/>
  <c r="W275" i="1"/>
  <c r="V279" i="1"/>
  <c r="W279" i="1"/>
  <c r="Q275" i="1"/>
  <c r="Q282" i="1"/>
  <c r="Q281" i="1"/>
  <c r="Q274" i="1"/>
  <c r="Q277" i="1"/>
  <c r="Q276" i="1"/>
  <c r="Q279" i="1"/>
  <c r="Q284" i="1"/>
  <c r="Q273" i="1"/>
  <c r="Q272" i="1"/>
  <c r="Q270" i="1"/>
  <c r="R271" i="1"/>
  <c r="R269" i="1"/>
  <c r="V271" i="1" l="1"/>
  <c r="W271" i="1"/>
  <c r="V269" i="1"/>
  <c r="W269" i="1"/>
  <c r="Q271" i="1"/>
  <c r="Q269" i="1"/>
  <c r="R157" i="1" l="1"/>
  <c r="R3" i="1"/>
  <c r="R243" i="1"/>
  <c r="R162" i="1"/>
  <c r="V162" i="1" l="1"/>
  <c r="W162" i="1"/>
  <c r="V243" i="1"/>
  <c r="W243" i="1"/>
  <c r="W157" i="1"/>
  <c r="V157" i="1"/>
  <c r="V3" i="1"/>
  <c r="W3" i="1"/>
  <c r="Q162" i="1"/>
  <c r="Q3" i="1"/>
  <c r="Q243" i="1"/>
  <c r="Q157" i="1"/>
  <c r="R210" i="1"/>
  <c r="V210" i="1" l="1"/>
  <c r="W210" i="1"/>
  <c r="Q210" i="1"/>
  <c r="R140" i="1"/>
  <c r="R61" i="1"/>
  <c r="R139" i="1"/>
  <c r="R241" i="1"/>
  <c r="R192" i="1"/>
  <c r="R24" i="1"/>
  <c r="R256" i="1"/>
  <c r="R98" i="1"/>
  <c r="R56" i="1"/>
  <c r="R99" i="1"/>
  <c r="R171" i="1"/>
  <c r="R190" i="1"/>
  <c r="R254" i="1"/>
  <c r="R14" i="1"/>
  <c r="R194" i="1"/>
  <c r="R26" i="1"/>
  <c r="R168" i="1"/>
  <c r="R217" i="1"/>
  <c r="R187" i="1"/>
  <c r="R126" i="1"/>
  <c r="R31" i="1"/>
  <c r="R174" i="1"/>
  <c r="R181" i="1"/>
  <c r="R78" i="1"/>
  <c r="R156" i="1"/>
  <c r="R60" i="1"/>
  <c r="R7" i="1"/>
  <c r="R128" i="1"/>
  <c r="R251" i="1"/>
  <c r="R236" i="1"/>
  <c r="R144" i="1"/>
  <c r="R176" i="1"/>
  <c r="R161" i="1"/>
  <c r="R180" i="1"/>
  <c r="R91" i="1"/>
  <c r="R219" i="1"/>
  <c r="R88" i="1"/>
  <c r="R216" i="1"/>
  <c r="R262" i="1"/>
  <c r="R65" i="1"/>
  <c r="R221" i="1"/>
  <c r="R207" i="1"/>
  <c r="R111" i="1"/>
  <c r="R29" i="1"/>
  <c r="R25" i="1"/>
  <c r="R100" i="1"/>
  <c r="R96" i="1"/>
  <c r="R253" i="1"/>
  <c r="R17" i="1"/>
  <c r="R151" i="1"/>
  <c r="R147" i="1"/>
  <c r="R264" i="1"/>
  <c r="R123" i="1"/>
  <c r="R165" i="1"/>
  <c r="R222" i="1"/>
  <c r="R203" i="1"/>
  <c r="R121" i="1"/>
  <c r="R19" i="1"/>
  <c r="R250" i="1"/>
  <c r="R200" i="1"/>
  <c r="R114" i="1"/>
  <c r="R50" i="1"/>
  <c r="R154" i="1"/>
  <c r="R77" i="1"/>
  <c r="R173" i="1"/>
  <c r="R183" i="1"/>
  <c r="R127" i="1"/>
  <c r="R191" i="1"/>
  <c r="R177" i="1"/>
  <c r="R44" i="1"/>
  <c r="R117" i="1"/>
  <c r="R189" i="1"/>
  <c r="R112" i="1"/>
  <c r="R146" i="1"/>
  <c r="R260" i="1"/>
  <c r="R135" i="1"/>
  <c r="R68" i="1"/>
  <c r="R5" i="1"/>
  <c r="R12" i="1"/>
  <c r="R182" i="1"/>
  <c r="R195" i="1"/>
  <c r="R263" i="1"/>
  <c r="R208" i="1"/>
  <c r="R116" i="1"/>
  <c r="R101" i="1"/>
  <c r="R23" i="1"/>
  <c r="R97" i="1"/>
  <c r="R82" i="1"/>
  <c r="R228" i="1"/>
  <c r="R42" i="1"/>
  <c r="R142" i="1"/>
  <c r="R266" i="1"/>
  <c r="R164" i="1"/>
  <c r="R167" i="1"/>
  <c r="R249" i="1"/>
  <c r="R202" i="1"/>
  <c r="R119" i="1"/>
  <c r="R150" i="1"/>
  <c r="R268" i="1"/>
  <c r="R231" i="1"/>
  <c r="R62" i="1"/>
  <c r="R130" i="1"/>
  <c r="R158" i="1"/>
  <c r="R47" i="1"/>
  <c r="R235" i="1"/>
  <c r="R46" i="1"/>
  <c r="R9" i="1"/>
  <c r="R137" i="1"/>
  <c r="R16" i="1"/>
  <c r="R32" i="1"/>
  <c r="R237" i="1"/>
  <c r="R257" i="1"/>
  <c r="R38" i="1"/>
  <c r="R240" i="1"/>
  <c r="R185" i="1"/>
  <c r="R35" i="1"/>
  <c r="R30" i="1"/>
  <c r="R113" i="1"/>
  <c r="R120" i="1"/>
  <c r="R115" i="1"/>
  <c r="R39" i="1"/>
  <c r="R66" i="1"/>
  <c r="R72" i="1"/>
  <c r="R143" i="1"/>
  <c r="R4" i="1"/>
  <c r="R27" i="1"/>
  <c r="R86" i="1"/>
  <c r="R215" i="1"/>
  <c r="R238" i="1"/>
  <c r="R104" i="1"/>
  <c r="R48" i="1"/>
  <c r="R247" i="1"/>
  <c r="R212" i="1"/>
  <c r="R34" i="1"/>
  <c r="R125" i="1"/>
  <c r="R186" i="1"/>
  <c r="R28" i="1"/>
  <c r="R233" i="1"/>
  <c r="R199" i="1"/>
  <c r="R175" i="1"/>
  <c r="R124" i="1"/>
  <c r="R141" i="1"/>
  <c r="R252" i="1"/>
  <c r="R153" i="1"/>
  <c r="R138" i="1"/>
  <c r="R136" i="1"/>
  <c r="R59" i="1"/>
  <c r="R244" i="1"/>
  <c r="R109" i="1"/>
  <c r="R36" i="1"/>
  <c r="R188" i="1"/>
  <c r="R122" i="1"/>
  <c r="R184" i="1"/>
  <c r="R107" i="1"/>
  <c r="R205" i="1"/>
  <c r="R239" i="1"/>
  <c r="R106" i="1"/>
  <c r="R52" i="1"/>
  <c r="R220" i="1"/>
  <c r="R206" i="1"/>
  <c r="R110" i="1"/>
  <c r="R160" i="1"/>
  <c r="R21" i="1"/>
  <c r="R76" i="1"/>
  <c r="R178" i="1"/>
  <c r="R197" i="1"/>
  <c r="R159" i="1"/>
  <c r="R75" i="1"/>
  <c r="R129" i="1"/>
  <c r="R105" i="1"/>
  <c r="R51" i="1"/>
  <c r="R226" i="1"/>
  <c r="R209" i="1"/>
  <c r="R40" i="1"/>
  <c r="R94" i="1"/>
  <c r="R229" i="1"/>
  <c r="R172" i="1"/>
  <c r="R148" i="1"/>
  <c r="R242" i="1"/>
  <c r="R41" i="1"/>
  <c r="R89" i="1"/>
  <c r="R83" i="1"/>
  <c r="R8" i="1"/>
  <c r="R79" i="1"/>
  <c r="R43" i="1"/>
  <c r="R193" i="1"/>
  <c r="R85" i="1"/>
  <c r="R258" i="1"/>
  <c r="R90" i="1"/>
  <c r="R58" i="1"/>
  <c r="R20" i="1"/>
  <c r="R6" i="1"/>
  <c r="R10" i="1"/>
  <c r="R261" i="1"/>
  <c r="R163" i="1"/>
  <c r="R265" i="1"/>
  <c r="R49" i="1"/>
  <c r="R133" i="1"/>
  <c r="R108" i="1"/>
  <c r="R54" i="1"/>
  <c r="R223" i="1"/>
  <c r="R213" i="1"/>
  <c r="R118" i="1"/>
  <c r="R63" i="1"/>
  <c r="R22" i="1"/>
  <c r="R93" i="1"/>
  <c r="R45" i="1"/>
  <c r="R145" i="1"/>
  <c r="R64" i="1"/>
  <c r="R73" i="1"/>
  <c r="R81" i="1"/>
  <c r="R131" i="1"/>
  <c r="R102" i="1"/>
  <c r="R53" i="1"/>
  <c r="R218" i="1"/>
  <c r="R211" i="1"/>
  <c r="R67" i="1"/>
  <c r="R80" i="1"/>
  <c r="R198" i="1"/>
  <c r="R246" i="1"/>
  <c r="R87" i="1"/>
  <c r="R69" i="1"/>
  <c r="R152" i="1"/>
  <c r="R230" i="1"/>
  <c r="R84" i="1"/>
  <c r="R179" i="1"/>
  <c r="R255" i="1"/>
  <c r="R155" i="1"/>
  <c r="R149" i="1"/>
  <c r="R169" i="1"/>
  <c r="R196" i="1"/>
  <c r="R267" i="1"/>
  <c r="R259" i="1"/>
  <c r="R71" i="1"/>
  <c r="R224" i="1"/>
  <c r="R166" i="1"/>
  <c r="R245" i="1"/>
  <c r="R227" i="1"/>
  <c r="R232" i="1"/>
  <c r="R132" i="1"/>
  <c r="R170" i="1"/>
  <c r="R57" i="1"/>
  <c r="R248" i="1"/>
  <c r="R214" i="1"/>
  <c r="R33" i="1"/>
  <c r="R15" i="1"/>
  <c r="R18" i="1"/>
  <c r="R74" i="1"/>
  <c r="R70" i="1"/>
  <c r="R201" i="1"/>
  <c r="R13" i="1"/>
  <c r="R92" i="1"/>
  <c r="R234" i="1"/>
  <c r="R134" i="1"/>
  <c r="R103" i="1"/>
  <c r="R55" i="1"/>
  <c r="R225" i="1"/>
  <c r="R204" i="1"/>
  <c r="R37" i="1"/>
  <c r="R95" i="1"/>
  <c r="R11" i="1"/>
  <c r="V57" i="1" l="1"/>
  <c r="W57" i="1"/>
  <c r="V169" i="1"/>
  <c r="W169" i="1"/>
  <c r="V80" i="1"/>
  <c r="W80" i="1"/>
  <c r="V93" i="1"/>
  <c r="W93" i="1"/>
  <c r="V163" i="1"/>
  <c r="W163" i="1"/>
  <c r="V8" i="1"/>
  <c r="W8" i="1"/>
  <c r="V51" i="1"/>
  <c r="W51" i="1"/>
  <c r="V206" i="1"/>
  <c r="W206" i="1"/>
  <c r="V109" i="1"/>
  <c r="W109" i="1"/>
  <c r="V28" i="1"/>
  <c r="W28" i="1"/>
  <c r="V4" i="1"/>
  <c r="W4" i="1"/>
  <c r="W38" i="1"/>
  <c r="V38" i="1"/>
  <c r="V62" i="1"/>
  <c r="W62" i="1"/>
  <c r="V228" i="1"/>
  <c r="W228" i="1"/>
  <c r="V68" i="1"/>
  <c r="W68" i="1"/>
  <c r="V173" i="1"/>
  <c r="W173" i="1"/>
  <c r="V123" i="1"/>
  <c r="W123" i="1"/>
  <c r="W221" i="1"/>
  <c r="V221" i="1"/>
  <c r="W236" i="1"/>
  <c r="V236" i="1"/>
  <c r="V217" i="1"/>
  <c r="W217" i="1"/>
  <c r="V24" i="1"/>
  <c r="W24" i="1"/>
  <c r="V149" i="1"/>
  <c r="W149" i="1"/>
  <c r="V67" i="1"/>
  <c r="W67" i="1"/>
  <c r="V22" i="1"/>
  <c r="W22" i="1"/>
  <c r="V261" i="1"/>
  <c r="W261" i="1"/>
  <c r="W83" i="1"/>
  <c r="V83" i="1"/>
  <c r="V105" i="1"/>
  <c r="W105" i="1"/>
  <c r="W220" i="1"/>
  <c r="V220" i="1"/>
  <c r="W244" i="1"/>
  <c r="V244" i="1"/>
  <c r="V186" i="1"/>
  <c r="W186" i="1"/>
  <c r="V143" i="1"/>
  <c r="W143" i="1"/>
  <c r="V257" i="1"/>
  <c r="W257" i="1"/>
  <c r="V231" i="1"/>
  <c r="W231" i="1"/>
  <c r="V82" i="1"/>
  <c r="W82" i="1"/>
  <c r="V135" i="1"/>
  <c r="W135" i="1"/>
  <c r="V77" i="1"/>
  <c r="W77" i="1"/>
  <c r="V264" i="1"/>
  <c r="W264" i="1"/>
  <c r="W65" i="1"/>
  <c r="V65" i="1"/>
  <c r="V251" i="1"/>
  <c r="W251" i="1"/>
  <c r="V168" i="1"/>
  <c r="W168" i="1"/>
  <c r="V192" i="1"/>
  <c r="W192" i="1"/>
  <c r="V155" i="1"/>
  <c r="W155" i="1"/>
  <c r="V211" i="1"/>
  <c r="W211" i="1"/>
  <c r="V63" i="1"/>
  <c r="W63" i="1"/>
  <c r="V10" i="1"/>
  <c r="W10" i="1"/>
  <c r="V89" i="1"/>
  <c r="W89" i="1"/>
  <c r="V129" i="1"/>
  <c r="W129" i="1"/>
  <c r="V52" i="1"/>
  <c r="W52" i="1"/>
  <c r="V59" i="1"/>
  <c r="W59" i="1"/>
  <c r="V125" i="1"/>
  <c r="W125" i="1"/>
  <c r="V72" i="1"/>
  <c r="W72" i="1"/>
  <c r="V237" i="1"/>
  <c r="W237" i="1"/>
  <c r="V268" i="1"/>
  <c r="W268" i="1"/>
  <c r="V97" i="1"/>
  <c r="W97" i="1"/>
  <c r="V260" i="1"/>
  <c r="W260" i="1"/>
  <c r="V154" i="1"/>
  <c r="W154" i="1"/>
  <c r="V147" i="1"/>
  <c r="W147" i="1"/>
  <c r="V262" i="1"/>
  <c r="W262" i="1"/>
  <c r="V128" i="1"/>
  <c r="W128" i="1"/>
  <c r="V26" i="1"/>
  <c r="W26" i="1"/>
  <c r="V241" i="1"/>
  <c r="W241" i="1"/>
  <c r="V232" i="1"/>
  <c r="W232" i="1"/>
  <c r="V218" i="1"/>
  <c r="W218" i="1"/>
  <c r="V118" i="1"/>
  <c r="W118" i="1"/>
  <c r="V6" i="1"/>
  <c r="W6" i="1"/>
  <c r="V41" i="1"/>
  <c r="W41" i="1"/>
  <c r="V106" i="1"/>
  <c r="W106" i="1"/>
  <c r="V136" i="1"/>
  <c r="W136" i="1"/>
  <c r="V34" i="1"/>
  <c r="W34" i="1"/>
  <c r="V66" i="1"/>
  <c r="W66" i="1"/>
  <c r="V32" i="1"/>
  <c r="W32" i="1"/>
  <c r="V150" i="1"/>
  <c r="W150" i="1"/>
  <c r="V23" i="1"/>
  <c r="W23" i="1"/>
  <c r="V146" i="1"/>
  <c r="W146" i="1"/>
  <c r="V50" i="1"/>
  <c r="W50" i="1"/>
  <c r="V151" i="1"/>
  <c r="W151" i="1"/>
  <c r="V216" i="1"/>
  <c r="W216" i="1"/>
  <c r="V7" i="1"/>
  <c r="W7" i="1"/>
  <c r="V194" i="1"/>
  <c r="W194" i="1"/>
  <c r="V139" i="1"/>
  <c r="W139" i="1"/>
  <c r="V13" i="1"/>
  <c r="W13" i="1"/>
  <c r="V179" i="1"/>
  <c r="W179" i="1"/>
  <c r="V53" i="1"/>
  <c r="W53" i="1"/>
  <c r="V213" i="1"/>
  <c r="W213" i="1"/>
  <c r="W20" i="1"/>
  <c r="V20" i="1"/>
  <c r="W242" i="1"/>
  <c r="V242" i="1"/>
  <c r="V75" i="1"/>
  <c r="W75" i="1"/>
  <c r="W239" i="1"/>
  <c r="V239" i="1"/>
  <c r="V138" i="1"/>
  <c r="W138" i="1"/>
  <c r="V212" i="1"/>
  <c r="W212" i="1"/>
  <c r="V39" i="1"/>
  <c r="W39" i="1"/>
  <c r="V16" i="1"/>
  <c r="W16" i="1"/>
  <c r="V119" i="1"/>
  <c r="W119" i="1"/>
  <c r="V101" i="1"/>
  <c r="W101" i="1"/>
  <c r="V112" i="1"/>
  <c r="W112" i="1"/>
  <c r="V114" i="1"/>
  <c r="W114" i="1"/>
  <c r="V17" i="1"/>
  <c r="W17" i="1"/>
  <c r="V88" i="1"/>
  <c r="W88" i="1"/>
  <c r="V60" i="1"/>
  <c r="W60" i="1"/>
  <c r="V14" i="1"/>
  <c r="W14" i="1"/>
  <c r="V61" i="1"/>
  <c r="W61" i="1"/>
  <c r="W170" i="1"/>
  <c r="V170" i="1"/>
  <c r="V11" i="1"/>
  <c r="W11" i="1"/>
  <c r="V70" i="1"/>
  <c r="W70" i="1"/>
  <c r="V245" i="1"/>
  <c r="W245" i="1"/>
  <c r="V84" i="1"/>
  <c r="W84" i="1"/>
  <c r="W102" i="1"/>
  <c r="V102" i="1"/>
  <c r="W223" i="1"/>
  <c r="V223" i="1"/>
  <c r="V58" i="1"/>
  <c r="W58" i="1"/>
  <c r="V148" i="1"/>
  <c r="W148" i="1"/>
  <c r="V159" i="1"/>
  <c r="W159" i="1"/>
  <c r="W153" i="1"/>
  <c r="V153" i="1"/>
  <c r="V247" i="1"/>
  <c r="W247" i="1"/>
  <c r="V115" i="1"/>
  <c r="W115" i="1"/>
  <c r="V137" i="1"/>
  <c r="W137" i="1"/>
  <c r="V202" i="1"/>
  <c r="W202" i="1"/>
  <c r="V116" i="1"/>
  <c r="W116" i="1"/>
  <c r="V189" i="1"/>
  <c r="W189" i="1"/>
  <c r="W200" i="1"/>
  <c r="V200" i="1"/>
  <c r="V253" i="1"/>
  <c r="W253" i="1"/>
  <c r="V219" i="1"/>
  <c r="W219" i="1"/>
  <c r="W156" i="1"/>
  <c r="V156" i="1"/>
  <c r="V254" i="1"/>
  <c r="W254" i="1"/>
  <c r="V140" i="1"/>
  <c r="W140" i="1"/>
  <c r="W134" i="1"/>
  <c r="V134" i="1"/>
  <c r="V201" i="1"/>
  <c r="W201" i="1"/>
  <c r="W74" i="1"/>
  <c r="V74" i="1"/>
  <c r="W166" i="1"/>
  <c r="V166" i="1"/>
  <c r="V230" i="1"/>
  <c r="W230" i="1"/>
  <c r="V131" i="1"/>
  <c r="W131" i="1"/>
  <c r="V54" i="1"/>
  <c r="W54" i="1"/>
  <c r="V90" i="1"/>
  <c r="W90" i="1"/>
  <c r="V172" i="1"/>
  <c r="W172" i="1"/>
  <c r="V197" i="1"/>
  <c r="W197" i="1"/>
  <c r="V205" i="1"/>
  <c r="W205" i="1"/>
  <c r="V252" i="1"/>
  <c r="W252" i="1"/>
  <c r="V48" i="1"/>
  <c r="W48" i="1"/>
  <c r="V120" i="1"/>
  <c r="W120" i="1"/>
  <c r="V9" i="1"/>
  <c r="W9" i="1"/>
  <c r="V249" i="1"/>
  <c r="W249" i="1"/>
  <c r="W208" i="1"/>
  <c r="V208" i="1"/>
  <c r="V117" i="1"/>
  <c r="W117" i="1"/>
  <c r="V250" i="1"/>
  <c r="W250" i="1"/>
  <c r="V96" i="1"/>
  <c r="W96" i="1"/>
  <c r="V78" i="1"/>
  <c r="W78" i="1"/>
  <c r="V190" i="1"/>
  <c r="W190" i="1"/>
  <c r="V234" i="1"/>
  <c r="W234" i="1"/>
  <c r="V18" i="1"/>
  <c r="W18" i="1"/>
  <c r="V152" i="1"/>
  <c r="W152" i="1"/>
  <c r="V81" i="1"/>
  <c r="W81" i="1"/>
  <c r="V108" i="1"/>
  <c r="W108" i="1"/>
  <c r="W258" i="1"/>
  <c r="V258" i="1"/>
  <c r="V229" i="1"/>
  <c r="W229" i="1"/>
  <c r="V178" i="1"/>
  <c r="W178" i="1"/>
  <c r="V107" i="1"/>
  <c r="W107" i="1"/>
  <c r="V141" i="1"/>
  <c r="W141" i="1"/>
  <c r="V104" i="1"/>
  <c r="W104" i="1"/>
  <c r="W113" i="1"/>
  <c r="V113" i="1"/>
  <c r="V46" i="1"/>
  <c r="W46" i="1"/>
  <c r="V167" i="1"/>
  <c r="W167" i="1"/>
  <c r="V263" i="1"/>
  <c r="W263" i="1"/>
  <c r="V44" i="1"/>
  <c r="W44" i="1"/>
  <c r="V19" i="1"/>
  <c r="W19" i="1"/>
  <c r="V100" i="1"/>
  <c r="W100" i="1"/>
  <c r="V91" i="1"/>
  <c r="W91" i="1"/>
  <c r="V181" i="1"/>
  <c r="W181" i="1"/>
  <c r="V171" i="1"/>
  <c r="W171" i="1"/>
  <c r="V227" i="1"/>
  <c r="W227" i="1"/>
  <c r="V204" i="1"/>
  <c r="W204" i="1"/>
  <c r="V69" i="1"/>
  <c r="W69" i="1"/>
  <c r="V73" i="1"/>
  <c r="W73" i="1"/>
  <c r="V133" i="1"/>
  <c r="W133" i="1"/>
  <c r="V85" i="1"/>
  <c r="W85" i="1"/>
  <c r="V94" i="1"/>
  <c r="W94" i="1"/>
  <c r="V76" i="1"/>
  <c r="W76" i="1"/>
  <c r="V184" i="1"/>
  <c r="W184" i="1"/>
  <c r="W124" i="1"/>
  <c r="V124" i="1"/>
  <c r="W238" i="1"/>
  <c r="V238" i="1"/>
  <c r="V30" i="1"/>
  <c r="W30" i="1"/>
  <c r="V235" i="1"/>
  <c r="W235" i="1"/>
  <c r="V164" i="1"/>
  <c r="W164" i="1"/>
  <c r="V195" i="1"/>
  <c r="W195" i="1"/>
  <c r="V177" i="1"/>
  <c r="W177" i="1"/>
  <c r="V121" i="1"/>
  <c r="W121" i="1"/>
  <c r="V25" i="1"/>
  <c r="W25" i="1"/>
  <c r="V180" i="1"/>
  <c r="W180" i="1"/>
  <c r="V174" i="1"/>
  <c r="W174" i="1"/>
  <c r="V99" i="1"/>
  <c r="W99" i="1"/>
  <c r="V92" i="1"/>
  <c r="W92" i="1"/>
  <c r="V95" i="1"/>
  <c r="W95" i="1"/>
  <c r="V71" i="1"/>
  <c r="W71" i="1"/>
  <c r="V33" i="1"/>
  <c r="W33" i="1"/>
  <c r="V259" i="1"/>
  <c r="W259" i="1"/>
  <c r="V87" i="1"/>
  <c r="W87" i="1"/>
  <c r="V64" i="1"/>
  <c r="W64" i="1"/>
  <c r="V193" i="1"/>
  <c r="W193" i="1"/>
  <c r="V40" i="1"/>
  <c r="W40" i="1"/>
  <c r="V21" i="1"/>
  <c r="W21" i="1"/>
  <c r="V122" i="1"/>
  <c r="W122" i="1"/>
  <c r="V175" i="1"/>
  <c r="W175" i="1"/>
  <c r="V215" i="1"/>
  <c r="W215" i="1"/>
  <c r="V35" i="1"/>
  <c r="W35" i="1"/>
  <c r="W47" i="1"/>
  <c r="V47" i="1"/>
  <c r="V266" i="1"/>
  <c r="W266" i="1"/>
  <c r="W182" i="1"/>
  <c r="V182" i="1"/>
  <c r="V191" i="1"/>
  <c r="W191" i="1"/>
  <c r="W203" i="1"/>
  <c r="V203" i="1"/>
  <c r="W29" i="1"/>
  <c r="V29" i="1"/>
  <c r="V161" i="1"/>
  <c r="W161" i="1"/>
  <c r="V31" i="1"/>
  <c r="W31" i="1"/>
  <c r="W56" i="1"/>
  <c r="V56" i="1"/>
  <c r="V132" i="1"/>
  <c r="W132" i="1"/>
  <c r="V37" i="1"/>
  <c r="W37" i="1"/>
  <c r="V15" i="1"/>
  <c r="W15" i="1"/>
  <c r="V214" i="1"/>
  <c r="W214" i="1"/>
  <c r="V267" i="1"/>
  <c r="W267" i="1"/>
  <c r="V246" i="1"/>
  <c r="W246" i="1"/>
  <c r="W145" i="1"/>
  <c r="V145" i="1"/>
  <c r="V49" i="1"/>
  <c r="W49" i="1"/>
  <c r="V43" i="1"/>
  <c r="W43" i="1"/>
  <c r="V209" i="1"/>
  <c r="W209" i="1"/>
  <c r="W160" i="1"/>
  <c r="V160" i="1"/>
  <c r="V188" i="1"/>
  <c r="W188" i="1"/>
  <c r="V199" i="1"/>
  <c r="W199" i="1"/>
  <c r="V86" i="1"/>
  <c r="W86" i="1"/>
  <c r="V185" i="1"/>
  <c r="W185" i="1"/>
  <c r="V158" i="1"/>
  <c r="W158" i="1"/>
  <c r="V142" i="1"/>
  <c r="W142" i="1"/>
  <c r="W12" i="1"/>
  <c r="V12" i="1"/>
  <c r="V127" i="1"/>
  <c r="W127" i="1"/>
  <c r="V222" i="1"/>
  <c r="W222" i="1"/>
  <c r="V111" i="1"/>
  <c r="W111" i="1"/>
  <c r="V176" i="1"/>
  <c r="W176" i="1"/>
  <c r="V126" i="1"/>
  <c r="W126" i="1"/>
  <c r="V98" i="1"/>
  <c r="W98" i="1"/>
  <c r="V255" i="1"/>
  <c r="W255" i="1"/>
  <c r="V224" i="1"/>
  <c r="W224" i="1"/>
  <c r="V225" i="1"/>
  <c r="W225" i="1"/>
  <c r="V55" i="1"/>
  <c r="W55" i="1"/>
  <c r="V103" i="1"/>
  <c r="W103" i="1"/>
  <c r="V248" i="1"/>
  <c r="W248" i="1"/>
  <c r="V196" i="1"/>
  <c r="W196" i="1"/>
  <c r="V198" i="1"/>
  <c r="W198" i="1"/>
  <c r="V45" i="1"/>
  <c r="W45" i="1"/>
  <c r="V265" i="1"/>
  <c r="W265" i="1"/>
  <c r="V79" i="1"/>
  <c r="W79" i="1"/>
  <c r="W226" i="1"/>
  <c r="V226" i="1"/>
  <c r="V110" i="1"/>
  <c r="W110" i="1"/>
  <c r="V36" i="1"/>
  <c r="W36" i="1"/>
  <c r="W233" i="1"/>
  <c r="V233" i="1"/>
  <c r="V27" i="1"/>
  <c r="W27" i="1"/>
  <c r="V240" i="1"/>
  <c r="W240" i="1"/>
  <c r="V130" i="1"/>
  <c r="W130" i="1"/>
  <c r="V42" i="1"/>
  <c r="W42" i="1"/>
  <c r="V5" i="1"/>
  <c r="W5" i="1"/>
  <c r="V183" i="1"/>
  <c r="W183" i="1"/>
  <c r="V165" i="1"/>
  <c r="W165" i="1"/>
  <c r="V207" i="1"/>
  <c r="W207" i="1"/>
  <c r="V144" i="1"/>
  <c r="W144" i="1"/>
  <c r="V187" i="1"/>
  <c r="W187" i="1"/>
  <c r="V256" i="1"/>
  <c r="W256" i="1"/>
  <c r="Q109" i="1"/>
  <c r="Q123" i="1"/>
  <c r="Q22" i="1"/>
  <c r="Q261" i="1"/>
  <c r="Q83" i="1"/>
  <c r="Q105" i="1"/>
  <c r="Q244" i="1"/>
  <c r="Q186" i="1"/>
  <c r="Q143" i="1"/>
  <c r="Q257" i="1"/>
  <c r="Q82" i="1"/>
  <c r="Q264" i="1"/>
  <c r="Q65" i="1"/>
  <c r="Q251" i="1"/>
  <c r="Q168" i="1"/>
  <c r="Q93" i="1"/>
  <c r="Q228" i="1"/>
  <c r="Q63" i="1"/>
  <c r="Q10" i="1"/>
  <c r="Q129" i="1"/>
  <c r="Q52" i="1"/>
  <c r="Q72" i="1"/>
  <c r="Q237" i="1"/>
  <c r="Q268" i="1"/>
  <c r="Q97" i="1"/>
  <c r="Q260" i="1"/>
  <c r="Q154" i="1"/>
  <c r="Q147" i="1"/>
  <c r="Q262" i="1"/>
  <c r="Q128" i="1"/>
  <c r="Q26" i="1"/>
  <c r="Q217" i="1"/>
  <c r="Q13" i="1"/>
  <c r="Q118" i="1"/>
  <c r="Q41" i="1"/>
  <c r="Q106" i="1"/>
  <c r="Q34" i="1"/>
  <c r="Q32" i="1"/>
  <c r="Q150" i="1"/>
  <c r="Q23" i="1"/>
  <c r="Q50" i="1"/>
  <c r="Q151" i="1"/>
  <c r="Q216" i="1"/>
  <c r="Q139" i="1"/>
  <c r="Q8" i="1"/>
  <c r="Q62" i="1"/>
  <c r="Q213" i="1"/>
  <c r="Q75" i="1"/>
  <c r="Q239" i="1"/>
  <c r="Q138" i="1"/>
  <c r="Q212" i="1"/>
  <c r="Q39" i="1"/>
  <c r="Q16" i="1"/>
  <c r="Q101" i="1"/>
  <c r="Q112" i="1"/>
  <c r="Q17" i="1"/>
  <c r="Q14" i="1"/>
  <c r="Q51" i="1"/>
  <c r="Q38" i="1"/>
  <c r="Q53" i="1"/>
  <c r="Q20" i="1"/>
  <c r="Q11" i="1"/>
  <c r="Q102" i="1"/>
  <c r="Q223" i="1"/>
  <c r="Q148" i="1"/>
  <c r="Q159" i="1"/>
  <c r="Q153" i="1"/>
  <c r="Q247" i="1"/>
  <c r="Q115" i="1"/>
  <c r="Q202" i="1"/>
  <c r="Q200" i="1"/>
  <c r="Q253" i="1"/>
  <c r="Q156" i="1"/>
  <c r="Q254" i="1"/>
  <c r="Q140" i="1"/>
  <c r="Q169" i="1"/>
  <c r="Q236" i="1"/>
  <c r="Q211" i="1"/>
  <c r="Q179" i="1"/>
  <c r="Q242" i="1"/>
  <c r="Q245" i="1"/>
  <c r="Q166" i="1"/>
  <c r="Q131" i="1"/>
  <c r="Q90" i="1"/>
  <c r="Q172" i="1"/>
  <c r="Q252" i="1"/>
  <c r="Q48" i="1"/>
  <c r="Q9" i="1"/>
  <c r="Q208" i="1"/>
  <c r="Q117" i="1"/>
  <c r="Q250" i="1"/>
  <c r="Q96" i="1"/>
  <c r="Q163" i="1"/>
  <c r="Q28" i="1"/>
  <c r="Q173" i="1"/>
  <c r="Q92" i="1"/>
  <c r="Q81" i="1"/>
  <c r="Q108" i="1"/>
  <c r="Q258" i="1"/>
  <c r="Q229" i="1"/>
  <c r="Q107" i="1"/>
  <c r="Q141" i="1"/>
  <c r="Q104" i="1"/>
  <c r="Q113" i="1"/>
  <c r="Q46" i="1"/>
  <c r="Q167" i="1"/>
  <c r="Q263" i="1"/>
  <c r="Q19" i="1"/>
  <c r="Q100" i="1"/>
  <c r="Q91" i="1"/>
  <c r="Q181" i="1"/>
  <c r="Q171" i="1"/>
  <c r="Q221" i="1"/>
  <c r="Q132" i="1"/>
  <c r="Q204" i="1"/>
  <c r="Q69" i="1"/>
  <c r="Q133" i="1"/>
  <c r="Q85" i="1"/>
  <c r="Q94" i="1"/>
  <c r="Q184" i="1"/>
  <c r="Q124" i="1"/>
  <c r="Q238" i="1"/>
  <c r="Q30" i="1"/>
  <c r="Q235" i="1"/>
  <c r="Q164" i="1"/>
  <c r="Q177" i="1"/>
  <c r="Q121" i="1"/>
  <c r="Q25" i="1"/>
  <c r="Q180" i="1"/>
  <c r="Q174" i="1"/>
  <c r="Q24" i="1"/>
  <c r="Q18" i="1"/>
  <c r="Q15" i="1"/>
  <c r="Q71" i="1"/>
  <c r="Q225" i="1"/>
  <c r="Q33" i="1"/>
  <c r="Q259" i="1"/>
  <c r="Q87" i="1"/>
  <c r="Q64" i="1"/>
  <c r="Q40" i="1"/>
  <c r="Q21" i="1"/>
  <c r="Q122" i="1"/>
  <c r="Q175" i="1"/>
  <c r="Q215" i="1"/>
  <c r="Q35" i="1"/>
  <c r="Q47" i="1"/>
  <c r="Q266" i="1"/>
  <c r="Q182" i="1"/>
  <c r="Q203" i="1"/>
  <c r="Q29" i="1"/>
  <c r="Q161" i="1"/>
  <c r="Q31" i="1"/>
  <c r="Q56" i="1"/>
  <c r="Q80" i="1"/>
  <c r="Q206" i="1"/>
  <c r="Q227" i="1"/>
  <c r="Q267" i="1"/>
  <c r="Q145" i="1"/>
  <c r="Q49" i="1"/>
  <c r="Q209" i="1"/>
  <c r="Q160" i="1"/>
  <c r="Q188" i="1"/>
  <c r="Q86" i="1"/>
  <c r="Q185" i="1"/>
  <c r="Q158" i="1"/>
  <c r="Q12" i="1"/>
  <c r="Q222" i="1"/>
  <c r="Q111" i="1"/>
  <c r="Q176" i="1"/>
  <c r="Q126" i="1"/>
  <c r="Q57" i="1"/>
  <c r="Q68" i="1"/>
  <c r="Q170" i="1"/>
  <c r="Q255" i="1"/>
  <c r="Q55" i="1"/>
  <c r="Q214" i="1"/>
  <c r="Q246" i="1"/>
  <c r="Q103" i="1"/>
  <c r="Q248" i="1"/>
  <c r="Q265" i="1"/>
  <c r="Q79" i="1"/>
  <c r="Q226" i="1"/>
  <c r="Q36" i="1"/>
  <c r="Q27" i="1"/>
  <c r="Q130" i="1"/>
  <c r="Q42" i="1"/>
  <c r="Q183" i="1"/>
  <c r="Q165" i="1"/>
  <c r="Q207" i="1"/>
  <c r="Q144" i="1"/>
  <c r="Q187" i="1"/>
  <c r="Q256" i="1"/>
  <c r="Q70" i="1"/>
  <c r="Q84" i="1"/>
  <c r="Q73" i="1"/>
  <c r="Q76" i="1"/>
  <c r="Q195" i="1"/>
  <c r="Q99" i="1"/>
  <c r="Q191" i="1"/>
  <c r="Q43" i="1"/>
  <c r="Q199" i="1"/>
  <c r="Q142" i="1"/>
  <c r="Q127" i="1"/>
  <c r="Q98" i="1"/>
  <c r="Q233" i="1"/>
  <c r="Q5" i="1"/>
  <c r="Q193" i="1"/>
  <c r="Q198" i="1"/>
  <c r="Q110" i="1"/>
  <c r="Q134" i="1"/>
  <c r="Q4" i="1"/>
  <c r="Q234" i="1"/>
  <c r="Q149" i="1"/>
  <c r="Q67" i="1"/>
  <c r="Q220" i="1"/>
  <c r="Q231" i="1"/>
  <c r="Q135" i="1"/>
  <c r="Q77" i="1"/>
  <c r="Q192" i="1"/>
  <c r="Q196" i="1"/>
  <c r="Q45" i="1"/>
  <c r="Q240" i="1"/>
  <c r="Q155" i="1"/>
  <c r="Q89" i="1"/>
  <c r="Q59" i="1"/>
  <c r="Q125" i="1"/>
  <c r="Q241" i="1"/>
  <c r="Q7" i="1"/>
  <c r="Q194" i="1"/>
  <c r="Q6" i="1"/>
  <c r="Q136" i="1"/>
  <c r="Q66" i="1"/>
  <c r="Q146" i="1"/>
  <c r="Q201" i="1"/>
  <c r="Q119" i="1"/>
  <c r="Q114" i="1"/>
  <c r="Q88" i="1"/>
  <c r="Q60" i="1"/>
  <c r="Q61" i="1"/>
  <c r="Q137" i="1"/>
  <c r="Q116" i="1"/>
  <c r="Q189" i="1"/>
  <c r="Q219" i="1"/>
  <c r="Q197" i="1"/>
  <c r="Q78" i="1"/>
  <c r="Q190" i="1"/>
  <c r="Q232" i="1"/>
  <c r="Q218" i="1"/>
  <c r="Q58" i="1"/>
  <c r="Q95" i="1"/>
  <c r="Q74" i="1"/>
  <c r="Q230" i="1"/>
  <c r="Q54" i="1"/>
  <c r="Q205" i="1"/>
  <c r="Q120" i="1"/>
  <c r="Q249" i="1"/>
  <c r="Q37" i="1"/>
  <c r="Q224" i="1"/>
  <c r="Q152" i="1"/>
  <c r="Q178" i="1"/>
  <c r="Q44" i="1"/>
  <c r="W1" i="1" l="1"/>
  <c r="V1" i="1"/>
  <c r="N3" i="6" l="1"/>
  <c r="O3" i="6"/>
  <c r="E3" i="6"/>
  <c r="F3" i="6"/>
  <c r="D3" i="6"/>
  <c r="G3" i="6"/>
  <c r="J3" i="6" l="1"/>
  <c r="P3" i="6"/>
  <c r="K3" i="6" l="1"/>
  <c r="L3" i="6" s="1"/>
  <c r="M3" i="6" s="1"/>
  <c r="R3" i="6" s="1"/>
  <c r="W3" i="6" s="1"/>
  <c r="W1" i="6" s="1"/>
  <c r="X3" i="6"/>
  <c r="X1" i="6" s="1"/>
  <c r="V3" i="6"/>
  <c r="V1" i="6" s="1"/>
  <c r="Q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4859EC1-ACBA-4BD2-8899-69EC0A5697E7}" keepAlive="1" name="Запрос — кристал авто" description="Соединение с запросом &quot;кристал авто&quot; в книге." type="5" refreshedVersion="7" background="1" saveData="1">
    <dbPr connection="Provider=Microsoft.Mashup.OleDb.1;Data Source=$Workbook$;Location=&quot;кристал авто&quot;;Extended Properties=&quot;&quot;" command="SELECT * FROM [кристал авто]"/>
  </connection>
</connections>
</file>

<file path=xl/sharedStrings.xml><?xml version="1.0" encoding="utf-8"?>
<sst xmlns="http://schemas.openxmlformats.org/spreadsheetml/2006/main" count="15250" uniqueCount="8640">
  <si>
    <t>ID</t>
  </si>
  <si>
    <t>Артикул поставщика</t>
  </si>
  <si>
    <t>Производитель</t>
  </si>
  <si>
    <t>кристал авто</t>
  </si>
  <si>
    <t>1</t>
  </si>
  <si>
    <t>Тонировочный лак, Tuning Line Backlight 150мл, (Черный)</t>
  </si>
  <si>
    <t>Тонировочный лак, Tuning Line Backlight 400мл, (Черный)</t>
  </si>
  <si>
    <t>Тонировочный лак, Tuning Line Backlight 150мл, (Красный)</t>
  </si>
  <si>
    <t>Тонировочный лак, Tuning Line Backlight 400мл, (Красный)</t>
  </si>
  <si>
    <t>Щетка стеклоочистителя бескаркасная ANVO 33см</t>
  </si>
  <si>
    <t>Щетка стеклоочистителя бескаркасная ANVO 35см</t>
  </si>
  <si>
    <t>Щетка стеклоочистителя бескаркасная ANVO 38см</t>
  </si>
  <si>
    <t>Щетка стеклоочистителя бескаркасная ANVO 41см</t>
  </si>
  <si>
    <t>Щетка стеклоочистителя бескаркасная ANVO 43см</t>
  </si>
  <si>
    <t>Щетка стеклоочистителя бескаркасная ANVO 45см</t>
  </si>
  <si>
    <t>Щетка стеклоочистителя бескаркасная ANVO 48см</t>
  </si>
  <si>
    <t>Щетка стеклоочистителя бескаркасная ANVO 53см</t>
  </si>
  <si>
    <t>Щетка стеклоочистителя бескаркасная ANVO 55см</t>
  </si>
  <si>
    <t>Щетка стеклоочистителя бескаркасная ANVO 61см</t>
  </si>
  <si>
    <t>Щетка стеклоочистителя бескаркасная ANVO 63см</t>
  </si>
  <si>
    <t>Щетка стеклоочистителя бескаркасная ANVO 65см</t>
  </si>
  <si>
    <t>Щетка стеклоочистителя бескаркасная ANVO 70см</t>
  </si>
  <si>
    <t>Ароматизатор воздуха \"SLIM\" Тропическая ночь</t>
  </si>
  <si>
    <t>Ароматизатор воздуха SLIM Арбуз</t>
  </si>
  <si>
    <t>Ароматизатор воздуха \"SLIM\" Океанский бриз</t>
  </si>
  <si>
    <t>Ароматизатор воздуха \"SLIM\" Новая Машина</t>
  </si>
  <si>
    <t>Ароматизатор воздуха "Little Trees-Royal Pine" Королевская сосна</t>
  </si>
  <si>
    <t>Ароматизатор воздуха "Car-Freshner" Аромат клубники</t>
  </si>
  <si>
    <t>Ароматизатор воздуха \"Car-Freshner\" Аромат смородины</t>
  </si>
  <si>
    <t>Ароматизатор воздуха "Car-Freshner" Аромат персика</t>
  </si>
  <si>
    <t>Ароматизатор воздуха "Car-Freshner" Пина Колада</t>
  </si>
  <si>
    <t>Ароматизатор воздуха "Car-Freshner" Новая машина</t>
  </si>
  <si>
    <t>Ароматизатор воздуха "Areon LIQUID" кофе</t>
  </si>
  <si>
    <t>Ароматизатор воздуха "Areon LIQUID" Тутти Фрутти</t>
  </si>
  <si>
    <t>Ароматизатор воздуха "Areon LIQUID" лимон</t>
  </si>
  <si>
    <t>Ароматизатор воздуха "Areon LIQUID" Новый автомобиль</t>
  </si>
  <si>
    <t>Ароматизатор воздуха "Areon LIQUID" ваниль</t>
  </si>
  <si>
    <t>Ароматизатор воздуха "Areon LIQUID" кислород</t>
  </si>
  <si>
    <t>Освежитель воздуха Аreon FRESCO "бутылочка в дереве" Voyage</t>
  </si>
  <si>
    <t>Освежитель воздуха Аreon Сухой MON CLASSIC "Елочки" Coconut</t>
  </si>
  <si>
    <t>Антенна Bosch Autofun PRO</t>
  </si>
  <si>
    <t>Знак аварийной остановки FuDing (Е 11)/MAAS пластиковая упаковка</t>
  </si>
  <si>
    <t>Аптечка МИЦАР маленькая</t>
  </si>
  <si>
    <t>Скребок СА-551</t>
  </si>
  <si>
    <t>Скребок силиконовый Водосгон СА-605</t>
  </si>
  <si>
    <t>Щетка для мытья стекол с водосгоном СА-945</t>
  </si>
  <si>
    <t>Скребок силиконовый Водосгон СА-480</t>
  </si>
  <si>
    <t>Щетка для удаления пыли CA-168</t>
  </si>
  <si>
    <t>Скребок СА-556</t>
  </si>
  <si>
    <t>Скребок СА-559</t>
  </si>
  <si>
    <t>Щетка для удаления пыли CA-160</t>
  </si>
  <si>
    <t>Щетка для снега CA-74</t>
  </si>
  <si>
    <t>Скребок силиконовый Водосгон СА-953</t>
  </si>
  <si>
    <t>Скребок СА-557 / цветной</t>
  </si>
  <si>
    <t>Скребок силиконовый Водосгон СА-518</t>
  </si>
  <si>
    <t>Скребок СА-553</t>
  </si>
  <si>
    <t>Щетка для удаления пыли CA-164</t>
  </si>
  <si>
    <t>Скребок силиконовый Водосгон СА-950</t>
  </si>
  <si>
    <t>Щетка для мытья а/м под воду раздвижная CA-610BIG</t>
  </si>
  <si>
    <t>Щетка для удаления пыли CA-138</t>
  </si>
  <si>
    <t>Пленка тонировочная SOLEX 50х300 Silver &amp; Black</t>
  </si>
  <si>
    <t>Пленка тонировочная SOLEX 50х300 Medium Black</t>
  </si>
  <si>
    <t>Пленка тонировочная SOLEX 50х300 Silver</t>
  </si>
  <si>
    <t>Пленка тонировочная SOLEX 75х300 Dark Black/Black</t>
  </si>
  <si>
    <t>Пленка тонировочная SOLEX 50х300 Dark Black/Black</t>
  </si>
  <si>
    <t>Пленка тонировочная SOLEX 50х300 Super Dark Black (5%)</t>
  </si>
  <si>
    <t>Пленка тонировочная H2M HUMMER/ LIMO 50 х300см в ассортименте</t>
  </si>
  <si>
    <t>Пленка тонировочная SOLEX 75х300 Super Dark Black</t>
  </si>
  <si>
    <t>Пленка тонировочная SOLEX 75х300 Silver</t>
  </si>
  <si>
    <t>Пленка тонировочная H2M HUMMER/LIMO 75х300см в ассортименте</t>
  </si>
  <si>
    <t>Салфетка микрофибра CА-131</t>
  </si>
  <si>
    <t>Салфетки микрофибра CA-119/SMR-825 (15 шт)</t>
  </si>
  <si>
    <t>Салфетка Варежка микрофибра СА-150</t>
  </si>
  <si>
    <t>Салфетки микрофибра CА-121 (5 шт)</t>
  </si>
  <si>
    <t>Салфетки микрофибра CА-117 (20 шт.)</t>
  </si>
  <si>
    <t>Салфетки микрофибра CА-102 (3 шт)</t>
  </si>
  <si>
    <t>Салфетка микрофибра CА-103</t>
  </si>
  <si>
    <t>Салфетки микрофибра CА-120 (10 шт)</t>
  </si>
  <si>
    <t>Салфетки микрофибра CА-122 (6 шт)</t>
  </si>
  <si>
    <t>Салфетки микрофибра CА-123 (12 шт)</t>
  </si>
  <si>
    <t>Полироль кузова Doctor Wax 300мл зеленая (DW8449)</t>
  </si>
  <si>
    <t>Полироль панели "PLAK" 400мл в ассортименте</t>
  </si>
  <si>
    <t>Карандаш для удаления мелких царапин FIX IT PRO</t>
  </si>
  <si>
    <t>Держатель для очков</t>
  </si>
  <si>
    <t>Алкотестер AT-6000</t>
  </si>
  <si>
    <t>Ароматизатор воздуха "Car-Freshner" Аромат эвкалипта</t>
  </si>
  <si>
    <t>Ароматизатор воздуха "Car-Freshner" Стальная сила</t>
  </si>
  <si>
    <t>Ароматизатор воздуха "Car-Freshner" Аромат ванили</t>
  </si>
  <si>
    <t>Ароматизатор воздуха "Car-Freshner" Прибрежный бриз</t>
  </si>
  <si>
    <t>Ароматизатор воздуха "Car-Freshner" Бурбон</t>
  </si>
  <si>
    <t>Ароматизатор воздуха "Car-Freshner" Манго</t>
  </si>
  <si>
    <t>Ароматизатор воздуха "Car-Freshner" Бабл гам (Bubble gum)</t>
  </si>
  <si>
    <t>Ароматизатор воздуха "Car-Freshner" Маргарита (Margarita)</t>
  </si>
  <si>
    <t>Ароматизатор воздуха "Car-Freshner" Американский флаг (Vanilla pride)</t>
  </si>
  <si>
    <t>Ароматизатор воздуха "Car-Freshner" Ягодный бриз (Sunberry cooler)</t>
  </si>
  <si>
    <t>Ароматизатор воздуха "Car-Freshner" Дикая вишня (Wild cherry)</t>
  </si>
  <si>
    <t>Ароматизатор воздуха "Car-Freshner" Карибский коктейль (Caribbean colada)</t>
  </si>
  <si>
    <t>Ароматизатор воздуха "Car-Freshner" Лимонный сад (Lemon grove)</t>
  </si>
  <si>
    <t>Ароматизатор (освежитель) воздуха Contra "The Sex Mafia" Древесно-цветочная свежесть (Fabrice)</t>
  </si>
  <si>
    <t>Ароматизатор (освежитель) воздуха Contra "Sex наша работа" Эйфория цветов и фруктов (Audabe)</t>
  </si>
  <si>
    <t>Ароматизатор (освежитель) воздуха Contra "Sexoholic" Ваниль и восточные сладости (Vanilla)</t>
  </si>
  <si>
    <t>Ароматизатор (освежитель) воздуха Contra "Sex on board" Грейпфрут с лепестками розы (Grapefruit rose)</t>
  </si>
  <si>
    <t>Ароматизатор (освежитель) воздуха Contra "Sex Queen" Сладкий аромат с цветочными нотами (Ocean sweet)</t>
  </si>
  <si>
    <t>Ароматизатор (освежитель) воздуха аэрозольный Contra "Sexoholic" Ваниль и восточные сладости (Vanilla)</t>
  </si>
  <si>
    <t>Ароматизатор (освежитель) воздуха аэрозольный Contra "Sex наша работа" Эйфория цветов и фруктов (Audabe)</t>
  </si>
  <si>
    <t>Ароматизатор (освежитель) воздуха Contra "Sex First" Элегантный запах с древесными нотами и тонким шлейфом лаванды (In the night)</t>
  </si>
  <si>
    <t>Ароматизатор (освежитель) воздуха "мешочек" Contra "Sexoholic" Ваниль и восточные сладости (Vanilla)</t>
  </si>
  <si>
    <t>Ароматизатор (освежитель) воздуха "мешочек" Contra "Sex наша работа" Эйфория цветов и фруктов (Audabe)</t>
  </si>
  <si>
    <t>Ароматизатор (освежитель) воздуха аэрозольный Contra "Sex on board" Грейпфрут с лепестками розы (Grapefruit rose)</t>
  </si>
  <si>
    <t>Ароматизатор (освежитель) воздуха аэрозольный Contra "The Sex Mafia" Древесно-цветочная свежесть (Fabrice)</t>
  </si>
  <si>
    <t>Ароматизатор (освежитель) воздуха Contra "Sex Police" Красный мандарин и белый мускус</t>
  </si>
  <si>
    <t>Ароматизатор (освежитель) воздуха Contra "Sex Narcotic" Древесно-ванильная эйфория с феромонами</t>
  </si>
  <si>
    <t>Ароматизатор (освежитель) воздуха аэрозольный Contra "Sex Narcotic" Древесно-ванильная эйфория с феромонами</t>
  </si>
  <si>
    <t>Ароматизатор (освежитель) воздуха аэрозольный Contra "Sex Police" Красный мандарин и белый мускус</t>
  </si>
  <si>
    <t>Крышка бензобака "С КОДОМ" железная, с замком для ВАЗ 2101-2107, Лада Нива 4х4 (карбюраторный двигатель)</t>
  </si>
  <si>
    <t>Ароматизатор (освежитель) воздуха "ёлочка" Contra "Sex наша работа" Эйфория цветов и фруктов (Audabe)</t>
  </si>
  <si>
    <t>Ароматизатор (освежитель) воздуха "ёлочка" Contra "Sex Queen" Нежность цветочных лепестков</t>
  </si>
  <si>
    <t>Ароматизатор (освежитель) воздуха "ёлочка" Contra "Orgasm tester" Свежесть морского бриза</t>
  </si>
  <si>
    <t>Ароматизатор (освежитель) воздуха на дефлектор вентиляции Contra "Warning Sexoholic" Ваниль c мечтой о восточных сладостях</t>
  </si>
  <si>
    <t>Ароматизатор (освежитель) воздуха на дефлектор вентиляции Contra "Sex on board" Утончённый аромат розы, окутанный цитрусовыми нотами</t>
  </si>
  <si>
    <t>Ароматизатор (освежитель) воздуха на дефлектор вентиляции Contra "Sex наша работа" Утренний концерт из цветочных и фруктовых запахов</t>
  </si>
  <si>
    <t>Ароматизатор (освежитель) воздуха на дефлектор вентиляции Contra "Sex Police" Красный мандарин и белый мускус</t>
  </si>
  <si>
    <t>Ароматизатор (освежитель) воздуха Contra "SEXotic" Сочный дуэт из мандарина и маракуйи с феромонами</t>
  </si>
  <si>
    <t>Ароматизатор (освежитель) воздуха Contra "Sex Lady" Сочетание белых цветов, нот айвы и грейпфрута</t>
  </si>
  <si>
    <t>Ароматизатор (освежитель) воздуха Contra "Sex Killer" Черная ваниль и ликер</t>
  </si>
  <si>
    <t>Ароматизатор (освежитель) воздуха Contra "Sex Secret" Сливочные аккорды миндаля, терпкие ноты черной смородины и нежные цветы</t>
  </si>
  <si>
    <t>Ароматизатор (освежитель) воздуха Contra "Sex Cruise" Сицилийский бергамот, окутанный свежим воздухом после шторма</t>
  </si>
  <si>
    <t>Ароматизатор (освежитель) воздуха Contra "Sex Наша работа Limited" Дерзкое сочетание афганского цветка и белого кедра</t>
  </si>
  <si>
    <t>Ароматизатор (освежитель) воздуха Contra "Love is..." Свежесть тайского арбуза</t>
  </si>
  <si>
    <t>Ароматизатор (освежитель) воздуха Contra "Love is..." Мультифрукт</t>
  </si>
  <si>
    <t>Ароматизатор (освежитель) воздуха Contra "Love is..." Цитрусовый рай</t>
  </si>
  <si>
    <t>Ароматизатор (освежитель) воздуха Contra "Love is..." Вишня в шоколаде</t>
  </si>
  <si>
    <t>Ароматизатор (освежитель) воздуха Contra "Love is..." Cola original</t>
  </si>
  <si>
    <t>Силиконовая смазка Si-M (аэрозоль) 165 грамм</t>
  </si>
  <si>
    <t>Знак "Taxi" шашечки, 4 магнита, с подсветкой (Желтый)</t>
  </si>
  <si>
    <t>Знак "Taxi" шашечки, 4 магнита, с подсветкой (Красный)</t>
  </si>
  <si>
    <t>Знак "Taxi" шашечки, 4 магнита, с подсветкой (Оранжевый)</t>
  </si>
  <si>
    <t>Знак "Taxi" шашечки, 4 магнита, с подсветкой (Белый)</t>
  </si>
  <si>
    <t>Гелевый ароматизатор Contra WARNING SEXOHOLIC (ваниль и восточные сладости)</t>
  </si>
  <si>
    <t>Ароматизатор воздуха "Car-Freshner" Сладкая вата</t>
  </si>
  <si>
    <t>Временная карта парковки с номером телефона Mivo MZ21</t>
  </si>
  <si>
    <t>Гелевый ароматизатор "Contra" SEX НАША РАБОТА (Утренний концерт из цветочных и фруктовых запахов с восточным оттенком)</t>
  </si>
  <si>
    <t>Освежитель воздуха Аreon Fresco "бутылочка в дереве" Lavender</t>
  </si>
  <si>
    <t>Освежитель воздуха Аreon Fresco "бутылочка в дереве" Papaya</t>
  </si>
  <si>
    <t>Ароматизатор (освежитель) воздуха на дефлектор вентиляции Contra "Sex наша работа" Дерзкое сочетание афганского цветка и белого кедра</t>
  </si>
  <si>
    <t>Звуковой сигнал "Crystal" (115 Дцб, 12 В) для Волга, ГАЗ</t>
  </si>
  <si>
    <t>Щётка бескаркасная "RAINBOX" премиум, 60 см</t>
  </si>
  <si>
    <t>Ароматизатор (освежитель) воздуха "ёлочка" "Contra" WARNING SEXOHOLIK, ваниль и восточные сладости (Vanilla)</t>
  </si>
  <si>
    <t>Алкотестер "Nova Bright" Yasha AT300</t>
  </si>
  <si>
    <t>Парковочная карта (автовизитка) чёрная, модифицированная версия, противоударный термопластик</t>
  </si>
  <si>
    <t>Смазка силиконовая "City UP" UP-60 (120 мл)</t>
  </si>
  <si>
    <t>Смазка проникающая усиленная "City UP" UP-40 (100 мл)</t>
  </si>
  <si>
    <t>Автомобильный держатель универсальный "Supra" SHT-55</t>
  </si>
  <si>
    <t>Артикул</t>
  </si>
  <si>
    <t>Наименование товаров</t>
  </si>
  <si>
    <t>Упаковка</t>
  </si>
  <si>
    <t>Продажа</t>
  </si>
  <si>
    <t>Автозвук</t>
  </si>
  <si>
    <t>Сигналы</t>
  </si>
  <si>
    <t>1/50 шт</t>
  </si>
  <si>
    <t>1/12 шт</t>
  </si>
  <si>
    <t>1/20 шт</t>
  </si>
  <si>
    <t>1/10 шт</t>
  </si>
  <si>
    <t>Сигнал AutoMir A019 Sport Horn (1/20шт)</t>
  </si>
  <si>
    <t>Сигнал AutoMir A019-2 Sport Horn (1/20шт)</t>
  </si>
  <si>
    <t>1/40 шт</t>
  </si>
  <si>
    <t>1/30 шт</t>
  </si>
  <si>
    <t>Автомобильная Электроника</t>
  </si>
  <si>
    <t>Авто-Инвенторы</t>
  </si>
  <si>
    <t>Авто инвертор AVS IN- 200W 12/220V Арт.A80683S</t>
  </si>
  <si>
    <t>Авто инвертор AVS IN- 600W 12/220V Арт.43112</t>
  </si>
  <si>
    <t>Авто инвертор AVS IN-1000W 12/220V Арт.43113</t>
  </si>
  <si>
    <t>Авто инвертор AVS IN-1500W 12/220V Арт.43744</t>
  </si>
  <si>
    <t>Авто инвертор AVS IN-2000W 12/220V Арт. A78003S</t>
  </si>
  <si>
    <t>1/6 шт</t>
  </si>
  <si>
    <t>1/2 шт</t>
  </si>
  <si>
    <t>1 шт</t>
  </si>
  <si>
    <t>1/24 шт</t>
  </si>
  <si>
    <t>Динамик</t>
  </si>
  <si>
    <t>Динамик Tweeter ТР-004А (500W)</t>
  </si>
  <si>
    <t>Зарядное устройство</t>
  </si>
  <si>
    <t>Беспроводное зарядное устройство Borofone арт.BQ-6 на Type-C</t>
  </si>
  <si>
    <t>ЗУ AVS 4 CIP-411 для айфон 4 1200мА</t>
  </si>
  <si>
    <t>1/240 шт</t>
  </si>
  <si>
    <t>ЗУ AVS автомобильное CGT-202 для Samsung Galaxy 1000мА арт.a80517s РАСПРОДАЖА</t>
  </si>
  <si>
    <t>ЗУ AVS автомобильное CMN-213 с мини USB  арт.A78030S  РАСПРОДАЖА</t>
  </si>
  <si>
    <t>ЗУ AVS автомобильное CNK-6101 для Nokia 1000мА арт.a80516s  РАСПРОДАЖА</t>
  </si>
  <si>
    <t>ЗУ AVS автомобильное CSD-880 для Samsung 12v арт.a80518s  РАСПРОДАЖА</t>
  </si>
  <si>
    <t>ЗУ AVS автомобильное СNK-216 12v  Арт.A78026S  Nokia 6101  РАСПРОДАЖА</t>
  </si>
  <si>
    <t>ЗУ Car Charger ICC-01  айфон 4</t>
  </si>
  <si>
    <t>1/100 шт</t>
  </si>
  <si>
    <t>ЗУ для телефона (UNT-128a / LC-10) USB Multi-Charge Cable(10в1) 12/24v</t>
  </si>
  <si>
    <t>ЗУ для телефона Lacite LC-828 10в1 12/220v</t>
  </si>
  <si>
    <t>ЗУ для телефона NGY N-002 10в1 12v</t>
  </si>
  <si>
    <t>Кабель USB   AWEI CL-53 ( 2 в 1 )</t>
  </si>
  <si>
    <t>Удлинитель прикуривателя AVS CS-101 12/24В</t>
  </si>
  <si>
    <t>Удлинитель прикуривателя AVS CS-102 12/24В</t>
  </si>
  <si>
    <t>Модулятор</t>
  </si>
  <si>
    <t>Модулятор FM 10 в 1</t>
  </si>
  <si>
    <t>Модулятор FM KD-200, 4 в 1 красный</t>
  </si>
  <si>
    <t>Модулятор FM KD-88 / FM-02 /FM-01</t>
  </si>
  <si>
    <t>Модулятор FM ST-66D 2USB</t>
  </si>
  <si>
    <t>Мультиметр</t>
  </si>
  <si>
    <t>Комплект тестовых проводов к мультиметру арт.-228 / 801</t>
  </si>
  <si>
    <t>Мультиметр DT-700B</t>
  </si>
  <si>
    <t>Мультиметр DT-700C</t>
  </si>
  <si>
    <t>Мультиметр DT-830B</t>
  </si>
  <si>
    <t>Мультиметр DT-832</t>
  </si>
  <si>
    <t>Мультиметр DT-838</t>
  </si>
  <si>
    <t>Насос</t>
  </si>
  <si>
    <t>Насос перекачки топлива погружной 12V D38мм (DP-161)</t>
  </si>
  <si>
    <t>Насос перекачки топлива погружной 12V D50мм (DP-123)</t>
  </si>
  <si>
    <t>Насос перекачки топлива погружной 24V D38мм (DP-162)</t>
  </si>
  <si>
    <t>Насос перекачки топлива погружной 24V D50мм (DP-133)</t>
  </si>
  <si>
    <t>Переходник</t>
  </si>
  <si>
    <t>Переходник на компрессор City Up СА-567  (1/10шт.)</t>
  </si>
  <si>
    <t>1/10/100 шт</t>
  </si>
  <si>
    <t>Предохранители</t>
  </si>
  <si>
    <t>Предохранители CRISTYLEAVTO Флажковые 08 в блистере 10шт. (7,5А-30А)</t>
  </si>
  <si>
    <t>1/50/1 000 шт</t>
  </si>
  <si>
    <t>Предохранители CRISTYLEAVTO Флажковые Евро мини</t>
  </si>
  <si>
    <t>Предохранители CRISTYLEAVTO Флажковые с пинцетом (к-т 10 шт.)  (1/50шт.)</t>
  </si>
  <si>
    <t>1/50/500 шт</t>
  </si>
  <si>
    <t>Предохранители CRISTYLEAVTO Флажковые с пинцетом мини (к-т 8шт.) (1/50шт.)</t>
  </si>
  <si>
    <t>1/50/250 шт</t>
  </si>
  <si>
    <t>Предохранители Цилиндрические 01 Польша дорогой 1/10шт.</t>
  </si>
  <si>
    <t>Предохранители Цилиндрические пластик</t>
  </si>
  <si>
    <t>Пылесосы</t>
  </si>
  <si>
    <t>Пылесос автомобильный AVS Turbo PA-1005  арт.A80859S (2 насадки)  350мл</t>
  </si>
  <si>
    <t>Пылесос автомобильный AVS Turbo PA-1007  арт.РА-40782S 12В/120W (фонарь,6 насадок)</t>
  </si>
  <si>
    <t>Пылесос автомобильный AVS Turbo PA-1011  арт.43148 (4 насадки)  550мл</t>
  </si>
  <si>
    <t>Пылесос автомобильный AVS Turbo PA-1020  арт.A80860S (3 насадки,фонарь)  500мл</t>
  </si>
  <si>
    <t>Пылесос автомобильный HEYNER арт.238000 DualPower 2-х моторный</t>
  </si>
  <si>
    <t>Пылесос автомобильный HEYNER арт.238100 с центрифугой (Влажная,сухая уборка)</t>
  </si>
  <si>
    <t>Пылесос автомобильный HEYNER арт.240000 CyclonicPower  вакуумный 12В/138W</t>
  </si>
  <si>
    <t>Пылесос автомобильный Nova Bright ( 60W/12B ) 46885</t>
  </si>
  <si>
    <t>Разветвители</t>
  </si>
  <si>
    <t>Разветвитель прикуривателя AVS CS-201 на 2 выхода c проводом</t>
  </si>
  <si>
    <t>Разветвитель прикуривателя AVS CS-202 на 2 выхода без провода</t>
  </si>
  <si>
    <t>Разветвитель прикуривателя AVS CS-203 на 2 выхода без провода</t>
  </si>
  <si>
    <t>Разветвитель прикуривателя AVS CS-204 на 2 выхода с проводом и подсветкой</t>
  </si>
  <si>
    <t>1/80 шт</t>
  </si>
  <si>
    <t>Разветвитель прикуривателя AVS CS-211U на 2 выхода+USB без провода</t>
  </si>
  <si>
    <t>Разветвитель прикуривателя AVS CS-212U на 2 выхода+USB с проводом и подсветкой</t>
  </si>
  <si>
    <t>Разветвитель прикуривателя AVS CS-213U на два гнезда + USB с проводом</t>
  </si>
  <si>
    <t>Разветвитель прикуривателя AVS CS-214U на два гнезда +2 USB (1000mA+2100mA)</t>
  </si>
  <si>
    <t>Разветвитель прикуривателя AVS CS-219U на два гнезда +2 USB с проводом арт.43262</t>
  </si>
  <si>
    <t>Разветвитель прикуривателя AVS CS-220U на два гнезда +2 USB с проводом</t>
  </si>
  <si>
    <t>Разветвитель прикуривателя AVS CS-230U на 2 выхода+2USB с проводом</t>
  </si>
  <si>
    <t>Разветвитель прикуривателя AVS CS-301 на 3 выхода с проводом</t>
  </si>
  <si>
    <t>Разветвитель прикуривателя AVS CS-311U на 3 гнезда+USB без провода</t>
  </si>
  <si>
    <t>Разветвитель прикуривателя AVS CS-312U на 3 гнезда+USB без провода арт.43265</t>
  </si>
  <si>
    <t>Разветвитель прикуривателя AVS CS-313U на 3 гнезда+USB с проводом</t>
  </si>
  <si>
    <t>Разветвитель прикуривателя AVS CS-314U на 3 гнезда+USB c проводом</t>
  </si>
  <si>
    <t>Разветвитель прикуривателя AVS CS-316 на 3 гнезда без провода с выключателем</t>
  </si>
  <si>
    <t>Разветвитель прикуривателя AVS CS-317U на 3 гнезда+USB с проводом и подсветкой</t>
  </si>
  <si>
    <t>Разветвитель прикуривателя AVS CS-410U на 4 входа с проводом и подсветкой</t>
  </si>
  <si>
    <t>1/60 шт</t>
  </si>
  <si>
    <t>Разветвитель прикуривателя AVS CS-501 на 5 выходов с проводом</t>
  </si>
  <si>
    <t>Разветвитель прикуривателя WF-0120 IN-CAR на 3 гнезда+ USB</t>
  </si>
  <si>
    <t>Рации</t>
  </si>
  <si>
    <t>Рация автомобильная MJ-100 Мега-джет</t>
  </si>
  <si>
    <t>Рация автомобильная MJ-150 Мега-джет</t>
  </si>
  <si>
    <t>Рация автомобильная Алан 100 PLUS</t>
  </si>
  <si>
    <t>Тепло вентиляторы</t>
  </si>
  <si>
    <t>1/120 шт</t>
  </si>
  <si>
    <t>Часы</t>
  </si>
  <si>
    <t>Часы NAKO NA-816А с будильником</t>
  </si>
  <si>
    <t>Шашка такси</t>
  </si>
  <si>
    <t>Шашка Такси YLR Диодное дешевое</t>
  </si>
  <si>
    <t>Шашка Такси НЕОН со штекером</t>
  </si>
  <si>
    <t>1/16 шт</t>
  </si>
  <si>
    <t>Шашка Такси Освар на 4-х магнитах (желтая)</t>
  </si>
  <si>
    <t>Шашка Такси Освар на 4-х магнитах (оранжевая) (1/16шт)</t>
  </si>
  <si>
    <t>Шашка Такси Освар на 8 магнитах белая (1/10шт.)</t>
  </si>
  <si>
    <t>Шашка Такси Освар на 8 магнитах желтая (1/10шт.)</t>
  </si>
  <si>
    <t>Шашка Такси Освар на 8 магнитах оранжевая (1/10шт.)</t>
  </si>
  <si>
    <t>Шашка Такси Турция (белая) дешевая  (1/20шт.)</t>
  </si>
  <si>
    <t>Шашка Такси Турция (желтая) дешевая  (1/20шт.)</t>
  </si>
  <si>
    <t>Шашка Такси Турция (оранжевая) дешевая  (1/20шт.)</t>
  </si>
  <si>
    <t>Штекеры</t>
  </si>
  <si>
    <t>Гнездо прикуривателя с проводом 12v</t>
  </si>
  <si>
    <t>Прикуриватель ВАЗ-2106 в сборе</t>
  </si>
  <si>
    <t>Прикуриватель ВАЗ-2108 в сборе</t>
  </si>
  <si>
    <t>1/200 шт</t>
  </si>
  <si>
    <t>Прикуриватель ВАЗ-2110 в сборе</t>
  </si>
  <si>
    <t>Штекер в прикуриватель 2 USB JKB-1309/ 1308 смайлик (цвет в ассортименте)</t>
  </si>
  <si>
    <t>Штекер в прикуриватель 2 USB KO-9 белый с золотой каймой</t>
  </si>
  <si>
    <t>Штекер в прикуриватель 2 USB KO-9 черный с золотой каймой</t>
  </si>
  <si>
    <t>Штекер в прикуриватель 2 USB Olesson Арт.1648 (2.1 А- 4.8А)</t>
  </si>
  <si>
    <t>Автосвет</t>
  </si>
  <si>
    <t>Лампа накаливания</t>
  </si>
  <si>
    <t>Лампа Игл Н1 100w комплект</t>
  </si>
  <si>
    <t>1/6/60 шт</t>
  </si>
  <si>
    <t>Лампа Игл Н11 55w комплект</t>
  </si>
  <si>
    <t>Лампа Игл Н3 100w комплект</t>
  </si>
  <si>
    <t>Лампа Игл Н4 100/90w комплект  (1/6шт.)</t>
  </si>
  <si>
    <t>Лампа Игл Н7 100w комплект  (1/6шт.)</t>
  </si>
  <si>
    <t>Лампа Игл Н7 55w комплект</t>
  </si>
  <si>
    <t>Лампа Маяк H1   (12v - 100w) арт.52150   1/10шт.</t>
  </si>
  <si>
    <t>Лампа Маяк H1   (12v - 55w) арт.52120   1/10шт.</t>
  </si>
  <si>
    <t>Лампа Маяк H11  (12v - 55w) арт.52110   1/10шт.</t>
  </si>
  <si>
    <t>Лампа Маяк H3   (12v - 100w) арт.52350   1/10шт.</t>
  </si>
  <si>
    <t>Лампа Маяк H3   (12v - 55w) арт.52320   1/10шт.</t>
  </si>
  <si>
    <t>Лампа Маяк H4   (12v - 100/90w) арт.52450   1/10шт.</t>
  </si>
  <si>
    <t>Лампа Маяк H4   (12v - 60/55w) арт.52420   1/10шт.</t>
  </si>
  <si>
    <t>Лампа Маяк H7   (12v - 100w) арт.52750   1/10шт.</t>
  </si>
  <si>
    <t>Лампа Маяк H7   (12v - 55w) арт.52720   1/10шт.</t>
  </si>
  <si>
    <t>Стоп сигнал</t>
  </si>
  <si>
    <t>Стоп сигнал дополнительный 18 диодов</t>
  </si>
  <si>
    <t>Стоп сигнал дополнительный 24 диодов</t>
  </si>
  <si>
    <t>Стоп сигнал дополнительный 36 диодов</t>
  </si>
  <si>
    <t>Стоп сигнал дополнительный 48 диодов</t>
  </si>
  <si>
    <t>Стоп сигнал дополнительный 56 диодов</t>
  </si>
  <si>
    <t>Ходовые огни</t>
  </si>
  <si>
    <t>Ходовые огни AVS light DL-10 900LM  Арт.A78154S</t>
  </si>
  <si>
    <t>Ходовые огни AVS light DL-5 800LM Арт.43473</t>
  </si>
  <si>
    <t>Ходовые огни AVS light DL-6B 900LM  Арт.a80748s</t>
  </si>
  <si>
    <t>1/96 шт</t>
  </si>
  <si>
    <t>Ходовые огни AVS light DL-9A 1500LM</t>
  </si>
  <si>
    <t>Ходовые огни YCL COB 725 led</t>
  </si>
  <si>
    <t>Ходовые огни YCL COB 726 led</t>
  </si>
  <si>
    <t>Ходовые огни YCL COB 727 led</t>
  </si>
  <si>
    <t>Ходовые огни YCL COB 728 led</t>
  </si>
  <si>
    <t>Ходовые огни YCL COB 756 led</t>
  </si>
  <si>
    <t>Ходовые огни YCL COB 770 led</t>
  </si>
  <si>
    <t>Автохимия</t>
  </si>
  <si>
    <t>WD</t>
  </si>
  <si>
    <t>WD-40 100 г  (1/24шт)</t>
  </si>
  <si>
    <t>WD-40 200 г  (1/36шт)</t>
  </si>
  <si>
    <t>1/36 шт</t>
  </si>
  <si>
    <t>WD-40 300 г  (1/12шт)</t>
  </si>
  <si>
    <t>WD-40 420 г  (1/12шт)</t>
  </si>
  <si>
    <t>Автошампунь</t>
  </si>
  <si>
    <t>Автошампунь Grass 111100-1 Универсал Апельсин 1л. (1/16шт.)</t>
  </si>
  <si>
    <t>Автошампунь Grass 111100-2 Универсал Яблоко 1л. (1/16шт.)</t>
  </si>
  <si>
    <t>Автошампунь Grass 111105-1 Универсал Апельсин 500мл. (1/15шт.)</t>
  </si>
  <si>
    <t>1/15 шт</t>
  </si>
  <si>
    <t>Автошампунь Grass 111105-2 Универсал Яблоко 500мл. (1/15шт.)</t>
  </si>
  <si>
    <t>Автошампунь Астрохим AC-320 Golden Wax 250мл (1/12шт.)</t>
  </si>
  <si>
    <t>Автошампунь Астрохим AC-325 Golden Wax 500мл. (1/12шт.)</t>
  </si>
  <si>
    <t>Автошампунь Астрохим AC-331 для бесконтактной мойки 5л.</t>
  </si>
  <si>
    <t>1/3 шт</t>
  </si>
  <si>
    <t>Бандаж глушителя</t>
  </si>
  <si>
    <t>Бандаж глушителя ABRO  ER-400    5см*101,6см. (1/12шт.)</t>
  </si>
  <si>
    <t>Герметики</t>
  </si>
  <si>
    <t>Герметик радиатора ABRO SL-624 Stop lik жидкий 325мл. (1/24шт.)</t>
  </si>
  <si>
    <t>Герметик радиатора ABRO АВ-404 Stop lik порошок 20г.  1/24шт.</t>
  </si>
  <si>
    <t>Герметик радиатора ГЕРА Питерский жидкий 200мл. (1/20шт.)</t>
  </si>
  <si>
    <t>Фиксатор резьбовых соединений ABRO TL-342 синий (удаляемый) 6мл. (1/12шт.)</t>
  </si>
  <si>
    <t>Фиксатор резьбовых соединений ABRO TL-371 красный (неудаляемый) 6мл. (1/12шт.)</t>
  </si>
  <si>
    <t>Фиксатор резьбы ABRO красный (неудаляемый) 10мл. арт.TL-010-RD (1/12шт)</t>
  </si>
  <si>
    <t>Фиксатор резьбы ABRO синий (удаляемый) 10мл. арт.TL-010-BL (1/12шт)</t>
  </si>
  <si>
    <t>Цемент глушителя ABRO  ES-332-R 170г. (1/12шт.)</t>
  </si>
  <si>
    <t>Клей</t>
  </si>
  <si>
    <t>Клей ABRO EC-510 эпоксидный,прозрачный 14,2г</t>
  </si>
  <si>
    <t>Клей ABRO EG-330 эпоксидный,высокопрочный 25мл.</t>
  </si>
  <si>
    <t>Клей ABRO EP-300 эпоксидный,прозрачный 25мл. (1/12шт.)</t>
  </si>
  <si>
    <t>Клей ABRO ES-507 эпоксидный,высокопрочный 57г.</t>
  </si>
  <si>
    <t>Клей ABRO SA-300 аэрозоль  326г.</t>
  </si>
  <si>
    <t>1/576/12 шт</t>
  </si>
  <si>
    <t>1/48 шт</t>
  </si>
  <si>
    <t>Клей AVS AVK-130 эпоксидный, ускоренный 60гр</t>
  </si>
  <si>
    <t>Клей City UP СА-89 эпоксидный, двухкомпонентный 2*3мл (1/12шт)</t>
  </si>
  <si>
    <t>1/12/144 шт</t>
  </si>
  <si>
    <t>1/12/96 шт</t>
  </si>
  <si>
    <t>Клей Астрохим АС-9101 токопроводящий для ремонта нитей обогрева стекла 2мл</t>
  </si>
  <si>
    <t>Клей МОМЕНТ универсальный 125мл  (1/6шт.)</t>
  </si>
  <si>
    <t>Клей МОМЕНТ универсальный 30мл  (1/10шт.)</t>
  </si>
  <si>
    <t>Лента-гель ABRO (3см х 3м) двухсторонняя арт.TGE-030-2-3-RE</t>
  </si>
  <si>
    <t>Краска</t>
  </si>
  <si>
    <t>Просто ГряZ Чернозем 520мл (1/12шт)</t>
  </si>
  <si>
    <t>Мойка</t>
  </si>
  <si>
    <t>Средство д/бесконт. мойки Grass 113110 Active Foam Effect 1л. (1/12шт.)</t>
  </si>
  <si>
    <t>Средство д/бесконт. мойки Grass 113111 Active Foam Effect 6л</t>
  </si>
  <si>
    <t>1/4 шт</t>
  </si>
  <si>
    <t>Средство д/бесконт. мойки Grass 113120 Active Foam Pink 1л. (1/12шт.)</t>
  </si>
  <si>
    <t>Средство д/бесконт. мойки Grass 113121 Active Foam Pink 6л. (1/4шт.)</t>
  </si>
  <si>
    <t>Средство д/бесконт. мойки Grass 113141 Active Foam Power 6л. (1/4шт.)</t>
  </si>
  <si>
    <t>Средство д/бесконт. мойки Grass 132100 Active Foam Light 1л. (1/12шт.)</t>
  </si>
  <si>
    <t>Средство д/бесконт. мойки Grass 132101 Active Foam Light 5л  (1/4шт.)</t>
  </si>
  <si>
    <t>Средство д/бесконт. мойки Grass 700101 Active Foam Extra 1л. (1/12шт.)</t>
  </si>
  <si>
    <t>Средство д/бесконт. мойки Grass 700105 Active Foam Extra 6кг. (1/4шт.)</t>
  </si>
  <si>
    <t>Средство д/бесконт. мойки Grass 800001 Active Foam Red 1л. (1/12шт.)</t>
  </si>
  <si>
    <t>Средство д/бесконт. мойки Grass 800002 Active Foam Red 5,8л</t>
  </si>
  <si>
    <t>Омыватель стекол</t>
  </si>
  <si>
    <t>Концентрат летней жидкости стеклоомывателя Астрохим АС-420 Bug Off 1л. (1/10шт.)</t>
  </si>
  <si>
    <t>Очистители</t>
  </si>
  <si>
    <t>Очиститель велюра и обивки AVS Crystal AVK-029 ( пенный) аэрозоль 520мл (1/12шт.)</t>
  </si>
  <si>
    <t>Очиститель велюра, ковров (пенный) AVS Crystal AVK-020 спрей 500мл (1/12шт)</t>
  </si>
  <si>
    <t>Очиститель двигателя ABRO DG-440-AM-RE (пенный)  400мл.</t>
  </si>
  <si>
    <t>Очиститель двигателя ABRO DG-450 (пенный)  650мл.</t>
  </si>
  <si>
    <t>Очиститель двигателя AVS Crystal AVK-024 (пенный)аэрозоль 520мл (1/12шт)</t>
  </si>
  <si>
    <t>Очиститель двигателя Grass 110292 Motor Cleaner 5,8 кг. (1/4шт.)</t>
  </si>
  <si>
    <t>Очиститель двигателя Grass 116100 Motor Cleaner 1л. (1/12шт.)</t>
  </si>
  <si>
    <t>Очиститель деталей тормозов и сцепления AVS Crystal AVK-026 аэрозоль 520мл (1/12шт.)</t>
  </si>
  <si>
    <t>Очиститель дисков Grass 110373 600мл.(триггер-спрей)</t>
  </si>
  <si>
    <t>Очиститель для рук AVS Crystal AVK-041 паста с аброзивом 100мл. туба (1/18шт.)</t>
  </si>
  <si>
    <t>1/18 шт</t>
  </si>
  <si>
    <t>Очиститель и нейтрализатор запахов АстроХим АС-885 спрей 500мл</t>
  </si>
  <si>
    <t>Очиститель карбюратора ABRO CC-120-RE  + 25%  аэрозоль  453г</t>
  </si>
  <si>
    <t>Очиститель карбюратора ABRO СС-100 аэрозоль синий 283г (1/12шт.)</t>
  </si>
  <si>
    <t>Очиститель карбюратора ABRO СС-200 аэрозоль красный 283г. (1/12шт)</t>
  </si>
  <si>
    <t>Очиститель карбюратора AVS Crystal AVK-025 аэрозоль 520мл.  (1/12шт.)</t>
  </si>
  <si>
    <t>Очиститель ковров,велюра и обивки  АстроХим АС-345 спрей 500мл</t>
  </si>
  <si>
    <t>Очиститель кожи АстроХим АС-855 спрей 500мл</t>
  </si>
  <si>
    <t>Очиститель кондиционеров ABRO AC-100 255г.</t>
  </si>
  <si>
    <t>Очиститель обивки салона Big D "Multipurpose Foam Cleaner" 500мл.(пенный) арт.ASC1007 (1/12шт)</t>
  </si>
  <si>
    <t>Очиститель пластика Grass 120107-1  лимон  750мл  (1/12шт.)</t>
  </si>
  <si>
    <t>Очиститель пластика Grass 120107-2  вишня 750мл  (1/12шт.)</t>
  </si>
  <si>
    <t>Очиститель пластика Grass 120107-4  ваниль 750мл (1/12шт.)</t>
  </si>
  <si>
    <t>Очиститель салона ABRO FC-577-R Clean ALL 623г</t>
  </si>
  <si>
    <t>Очиститель салона ABRO FC-650 Clean ALL с щеткой 650мл. (1/12шт.)</t>
  </si>
  <si>
    <t>Очиститель салона Grass Textile cleaner арт.112110 1л. (1/12шт.)</t>
  </si>
  <si>
    <t>Очиститель салона Grass Universal-cleaner арт.112100 1л.  (1/12шт.)</t>
  </si>
  <si>
    <t>Очиститель салона Grass Universal-cleaner арт.125197 5л.  (1/4шт.)</t>
  </si>
  <si>
    <t>Очиститель салона Vinet (концентрат) 10кг.</t>
  </si>
  <si>
    <t>Очиститель салона Vinet (концентрат) 5кг.</t>
  </si>
  <si>
    <t>Очиститель стекол AVS Crystal AVK-022 спрей 500мл (1/12шт)</t>
  </si>
  <si>
    <t>Очиститель стекол AVS Crystal AVK-028 (пенный) 335мл. (1/12шт.)</t>
  </si>
  <si>
    <t>Очиститель стекол AVS Crystal AVK-125 зимний 500мл</t>
  </si>
  <si>
    <t>Очиститель стекол Grass 110393 Clean Glass 600мл. (1/6шт.)</t>
  </si>
  <si>
    <t>Очиститель стекол АстроХим АС-139 зимний 500мл</t>
  </si>
  <si>
    <t>Очиститель стекол АстроХим СА-375 спрей 500мл. (1/12шт.)</t>
  </si>
  <si>
    <t>Очиститель стекол и зеркал Grass 130100 Clean Glass concentrate 1л  (1/12шт.)</t>
  </si>
  <si>
    <t>Очиститель стекол и зеркал Grass 133101 Clean Glass concentrate 5л  (1/4шт.)</t>
  </si>
  <si>
    <t>Очиститель стекол от следов насекомых Grass 110103 Мухомой концентрат 1л.  (1/16шт.)</t>
  </si>
  <si>
    <t>Очиститель стекол от следов насекомых Grass 118100 Мosquitols cleaner 1л</t>
  </si>
  <si>
    <t>Очиститель стекол от следов насекомых АстроХим АС-415 спрей 500мл</t>
  </si>
  <si>
    <t>Очиститель электрических контактов AVS Crystal AVK-033 аэрозоль 335мл (1/12шт)</t>
  </si>
  <si>
    <t>Очиститель электрических контактов АстроХим АС-432 аэрозоль 335мл</t>
  </si>
  <si>
    <t>Очиститель-кондиционер кожи AVS Crystal AVK-031 аэрозоль 335мл</t>
  </si>
  <si>
    <t>Очиститель-кондиционер ликвидатор запахов AVS Crystal AVK-034 аэрозоль 210мл</t>
  </si>
  <si>
    <t>1/8 шт</t>
  </si>
  <si>
    <t>Средство дезинф.для рук и поверхностей Grass 110376 "DESO C 9"  (500мл.)</t>
  </si>
  <si>
    <t>Средство для удаления пятен Grass 117107 Antigrafflti триггер-спрей 600мл. (1/12шт.)</t>
  </si>
  <si>
    <t>Средство для удаления этикеток и наклеек ABRO SR-200 226г</t>
  </si>
  <si>
    <t>Химчистка салона AVS Crystal AVK-021 500мл. триггер (1/12шт.)</t>
  </si>
  <si>
    <t>Паста притирочная</t>
  </si>
  <si>
    <t>Паста притирочная для клапанов ВМП-Авто Профессиональная 40гр (1/50шт.)</t>
  </si>
  <si>
    <t>Паста притирочная для клапанов Эффект 2-х компонентная (1/30шт.)</t>
  </si>
  <si>
    <t>Пластелин</t>
  </si>
  <si>
    <t>Полироли</t>
  </si>
  <si>
    <t>Воск горячий Grass 127100 Hot Wax  1л  (1/12шт.)</t>
  </si>
  <si>
    <t>Воск холодный Grass 110100 Fast Wax 1л</t>
  </si>
  <si>
    <t>Воск холодный Grass 138100 Cherry Wax 1л. (1/12шт.)</t>
  </si>
  <si>
    <t>Полироль кузова Grass 110403 Express Polish 600мл. (1/6шт.)</t>
  </si>
  <si>
    <t>Полироль кузова Астрохим СА-240 Golden Wax 250мл. (1/12шт.)</t>
  </si>
  <si>
    <t>Полироль кузова Астрохим СА-245 Golden Wax 500мл</t>
  </si>
  <si>
    <t>Полироль панели AVS матовый эффект арт.AVK-604  Горная свежесть 250мл. (1/15шт.) триггер</t>
  </si>
  <si>
    <t>Полироль панели AVS матовый эффект арт.AVK-605  Зеленый чай 250мл. (1/15шт.) триггер</t>
  </si>
  <si>
    <t>Полироль панели AVS матовый эффект арт.AVK-606  Кокос 250мл. (1/15шт.) триггер</t>
  </si>
  <si>
    <t>Полироль панели AVS матовый эффект арт.AVK-608  Кофе 250мл. (1/15шт.) триггер</t>
  </si>
  <si>
    <t>Полироль панели Big D 750мл. Ваниль арт.PBD005 аэрозоль (1/8шт)</t>
  </si>
  <si>
    <t>Полироль панели Big D 750мл. Вишня  арт.PBD006 аэрозоль (1/8шт)</t>
  </si>
  <si>
    <t>Полироль панели Big D 750мл. Лимон арт.PBD007 аэрозоль (1/8шт)</t>
  </si>
  <si>
    <t>Полироль панели Big D 750мл. Яблоко арт.PBD008 аэрозоль (1/8шт)</t>
  </si>
  <si>
    <t>Полироль панели City UP СА-840 Брил. блеск 750мл.Вишня (1/12шт.)</t>
  </si>
  <si>
    <t>Полироль панели Агат 500мл. триггер-спрей (1/12шт.)</t>
  </si>
  <si>
    <t>Полироль панели Плак 750мл. Frutti rossi (1/24шт.)</t>
  </si>
  <si>
    <t>Полироль панели Плак 750мл. Ананас (1/24шт.)</t>
  </si>
  <si>
    <t>Полироль панели Плак 750мл. Ваниль (1/24шт.)</t>
  </si>
  <si>
    <t>Полироль панели Плак 750мл. Вишня (1/24шт.)</t>
  </si>
  <si>
    <t>Полироль панели Плак 750мл. Грейпфрут (1/24шт.)</t>
  </si>
  <si>
    <t>Полироль панели Плак 750мл. Зеленые холмы (1/24шт.)</t>
  </si>
  <si>
    <t>Полироль панели Плак 750мл. Клубника (1/24шт.)</t>
  </si>
  <si>
    <t>Полироль панели Плак 750мл. Лаванда (1/24шт.)</t>
  </si>
  <si>
    <t>Полироль панели Плак 750мл. Лимон (1/24шт.)</t>
  </si>
  <si>
    <t>Полироль панели Плак 750мл. Морской (1/24шт.)</t>
  </si>
  <si>
    <t>Полироль панели Плак 750мл. Персик (1/24шт.)</t>
  </si>
  <si>
    <t>Полироль панели Плак МИКС 200мл. (1/24шт)</t>
  </si>
  <si>
    <t>Полироль панели Плак МИКС 400 мл. (1/24шт)</t>
  </si>
  <si>
    <t>Полироль панели Плак МИКС 750мл. (1/24шт)</t>
  </si>
  <si>
    <t>Полироль фар Астрохим АС-8310</t>
  </si>
  <si>
    <t>Полироль-восстановитель фар ABRO HR-237 237мл</t>
  </si>
  <si>
    <t>Полироль-очиститель пластика матовый Grass 110395 Polyrole Matte vanilla 600мл.  (1/6шт.)</t>
  </si>
  <si>
    <t>Чернитель, полироль шин Grass арт.110384 Black Rubber 600мл. (1/6шт.)</t>
  </si>
  <si>
    <t>Размораживатели</t>
  </si>
  <si>
    <t>Анти-лед АстроХим АС-135 триггер-спрей 500мл.</t>
  </si>
  <si>
    <t>Антиобледенитель AVS Crystal AVK-166 аэрозоль 210мл</t>
  </si>
  <si>
    <t>1/25 шт</t>
  </si>
  <si>
    <t>Разморажеватель замков с силиконам АстроХим Ас-106 (1/24шт.)</t>
  </si>
  <si>
    <t>Размораживатель стекол и замков "Антилед" AVS Crystal AVK-126 (триггер-спрей) 500мл</t>
  </si>
  <si>
    <t>Размораживатель стекол и замков ABRO WD-300-AM-R 400мл. аэрозоль</t>
  </si>
  <si>
    <t>Размораживатель стекол и замков AVS Crystal AVK-121 аэрозоль 520мл</t>
  </si>
  <si>
    <t>Смазки</t>
  </si>
  <si>
    <t>Смазка литиевая AVS Crystal AVK-104 335мл  (1/12шт.)</t>
  </si>
  <si>
    <t>Смазка проникающая AVS AV-40 многофункциональная AVK-340 арт.A40104S 335мл.</t>
  </si>
  <si>
    <t>Смазка проникающая AVS AV-40 многофункциональная AVK-341 арт.A40258S 210мл.</t>
  </si>
  <si>
    <t>Смазка проникающая City UP UP-40 450 г.  (1/12шт.)</t>
  </si>
  <si>
    <t>Смазка проникающая City UP UP-40 600 г.  (1/12шт.)</t>
  </si>
  <si>
    <t>1/24/48 шт</t>
  </si>
  <si>
    <t>Смазка проникающия AVS Crystal AVK-105 335мл (1/12шт)</t>
  </si>
  <si>
    <t>Смазка силиконовая ABRO SL-200-AM-RE  200мл.</t>
  </si>
  <si>
    <t>Смазка силиконовая ABRO SL-400-AM-RE спрей 400мл. (1/12шт)</t>
  </si>
  <si>
    <t>Смазка силиконовая AVS Crystal AVK-102 50мл. (1/24шт.)</t>
  </si>
  <si>
    <t>Смазка силиконовая AVS Crystal AVK-103 335мл (1/12шт)</t>
  </si>
  <si>
    <t>Смазка силиконовая AVS Crystal AVK-195 210мл. (1/20шт.)</t>
  </si>
  <si>
    <t>Смазка силиконовая Big D 150мл. арт.ASC9002 аэрозоль (1/12шт)</t>
  </si>
  <si>
    <t>Смазка силиконовая SI-M 165г  (1/24шт.)</t>
  </si>
  <si>
    <t>Смазка силиконовая Астрохим AC-461 335мл.  (1/12шт.)</t>
  </si>
  <si>
    <t>Спец. жидкости</t>
  </si>
  <si>
    <t>Антигель AVS Crystal AVK-163 дизель 520мл</t>
  </si>
  <si>
    <t>Антизапотеватель АстроХим СА-400 спрей 125мл</t>
  </si>
  <si>
    <t>Быстрый старт ABRO SF-650-400-AM-RE для двигателя аэрозоль 400мл.</t>
  </si>
  <si>
    <t>Жидкий ключ AVS Crystal AVK-112 аэрозоль 335мл. арт.A78075SA  (1/12шт.)</t>
  </si>
  <si>
    <t>Жидкий ключ Астрохим СА-451 аэрозоль 335мл</t>
  </si>
  <si>
    <t>Мовиль AVS Crystal AVK-106 аэрозоль 520мл (1/12шт.)</t>
  </si>
  <si>
    <t>Мовиль Астрохим СА-487 аэрозоль 520мл.  (1/12шт.)</t>
  </si>
  <si>
    <t>Преобразователь ржавчины AVS Crystal AVK-101 (триггер-спрей) 500мл</t>
  </si>
  <si>
    <t>Преобразователь ржавчины AVS Crystal AVK-184  500мл (1/12шт)</t>
  </si>
  <si>
    <t>Преобразователь ржавчины с цинком AVS Crystal AVK-185 "Цинкач" 500мл (1/12шт)</t>
  </si>
  <si>
    <t>Средство для защиты от коррозии Цинкарь AG0103 500мл (1/15шт)</t>
  </si>
  <si>
    <t>Средство для защиты от коррозии Цинкарь AG0104 (триггер-спрей)500мл (1/12шт.)</t>
  </si>
  <si>
    <t>Холодная сварка</t>
  </si>
  <si>
    <t>Холодная сварка ABRO STEEL AS-224 два компонента 57г (1/24шт.)</t>
  </si>
  <si>
    <t>1/24/192 шт</t>
  </si>
  <si>
    <t>Холодная сварка AVS AVK-107 для металла 55г</t>
  </si>
  <si>
    <t>Холодная сварка AVS AVK-108 радиатор, бензобак 55г</t>
  </si>
  <si>
    <t>Холодная сварка AVS AVK-109 термостойкий (глушитель) 55г</t>
  </si>
  <si>
    <t>Холодная сварка AVS AVK-110 универсальная 55г</t>
  </si>
  <si>
    <t>1/6/240 шт</t>
  </si>
  <si>
    <t>Холодная сварка Poxipol 700006184 два компонента металл.серый  (синяя уп.) 14 мл/21гр   1/6шт.</t>
  </si>
  <si>
    <t>1/36/180 шт</t>
  </si>
  <si>
    <t>Чернитель</t>
  </si>
  <si>
    <t>Очиститель шин ABRO TC-650-AM-RE (пенный) аэрозоль 650 мл.</t>
  </si>
  <si>
    <t>Очиститель шин AVS Crystal AVK-032 (пенный) аэрозоль 520мл (1/12шт.)</t>
  </si>
  <si>
    <t>Очиститель, очернитель шин Плак 500мл., пенный аэрозоль</t>
  </si>
  <si>
    <t>Чернитель бампера АстроХим АС-270 Colden Wax флакон 250мл. (1/12шт.)</t>
  </si>
  <si>
    <t>Чернитель покрышек АстроХим СА-265 (триггер-спрей) 500мл. (1/12шт.)</t>
  </si>
  <si>
    <t>Чернитель шин AVS Crystal AVK-070 аэрозоль 520мл (1/12шт.)</t>
  </si>
  <si>
    <t>Чернитель шин AVS Crystal AVK-097 (триггер-спрей) 250мл. арт.A07402S (1/15шт.)</t>
  </si>
  <si>
    <t>Аксессуары</t>
  </si>
  <si>
    <t>Антистатик</t>
  </si>
  <si>
    <t>Брелoки</t>
  </si>
  <si>
    <t>Брелоки марка авто AUDI</t>
  </si>
  <si>
    <t>Брелоки марка авто BMW</t>
  </si>
  <si>
    <t>Брелоки марка авто CHEVROLET</t>
  </si>
  <si>
    <t>Брелоки марка авто CHRYSLER</t>
  </si>
  <si>
    <t>Брелоки марка авто CITROEN</t>
  </si>
  <si>
    <t>Брелоки марка авто DAEWOO</t>
  </si>
  <si>
    <t>Брелоки марка авто DODGE</t>
  </si>
  <si>
    <t>Брелоки марка авто FIAT</t>
  </si>
  <si>
    <t>Брелоки марка авто FORD</t>
  </si>
  <si>
    <t>Брелоки марка авто GEELY</t>
  </si>
  <si>
    <t>Брелоки марка авто HONDA</t>
  </si>
  <si>
    <t>Брелоки марка авто HYUNDAI</t>
  </si>
  <si>
    <t>Брелоки марка авто INFINITI</t>
  </si>
  <si>
    <t>Брелоки марка авто JEEP</t>
  </si>
  <si>
    <t>Брелоки марка авто Land Rover</t>
  </si>
  <si>
    <t>Брелоки марка авто LEXUS</t>
  </si>
  <si>
    <t>Брелоки марка авто MAZDA</t>
  </si>
  <si>
    <t>Брелоки марка авто Mercedes-Benz</t>
  </si>
  <si>
    <t>Брелоки марка авто MITSUBISHI</t>
  </si>
  <si>
    <t>Брелоки марка авто NISSAN</t>
  </si>
  <si>
    <t>Брелоки марка авто OPEL</t>
  </si>
  <si>
    <t>Брелоки марка авто PEUGEOT</t>
  </si>
  <si>
    <t>Брелоки марка авто PORSCHE</t>
  </si>
  <si>
    <t>Брелоки марка авто RENAULT</t>
  </si>
  <si>
    <t>Брелоки марка авто SEAT</t>
  </si>
  <si>
    <t>Брелоки марка авто SKODA</t>
  </si>
  <si>
    <t>Брелоки марка авто SUBARU</t>
  </si>
  <si>
    <t>Брелоки марка авто SUZUKI</t>
  </si>
  <si>
    <t>Брелоки марка авто TOYOTA</t>
  </si>
  <si>
    <t>Брелоки марка авто VOLKSWAGEN</t>
  </si>
  <si>
    <t>Брелоки марка авто VOLVO</t>
  </si>
  <si>
    <t>Брелоки марка авто УАЗ</t>
  </si>
  <si>
    <t>Воронки</t>
  </si>
  <si>
    <t>Воронка большая с сеткой (1/40шт.)</t>
  </si>
  <si>
    <t>Воронка средняя с сеткой (1/50шт.)</t>
  </si>
  <si>
    <t>Воронка цветная сборная (1/36шт)</t>
  </si>
  <si>
    <t>Держатели</t>
  </si>
  <si>
    <t>1/125 шт</t>
  </si>
  <si>
    <t>Держатель AVS АН-1501-М магнитный в дефлектор A78298S в блистере</t>
  </si>
  <si>
    <t>1/25/100 шт</t>
  </si>
  <si>
    <t>Держатель AVS АН-1507-М  в дефлектор A78299S в блистере</t>
  </si>
  <si>
    <t>Держатель AVS АН-2226-M для телефона на магните</t>
  </si>
  <si>
    <t>Держатель AVS МP-777 мешочек красный</t>
  </si>
  <si>
    <t>Держатель AVS МP-777 мешочек серый</t>
  </si>
  <si>
    <t>Держатель AVS МP-777 мешочек черный</t>
  </si>
  <si>
    <t>Держатель AVS МP-888 мешочек серый</t>
  </si>
  <si>
    <t>Держатель AVS МP-888 мешочек черный</t>
  </si>
  <si>
    <t>1/1 шт</t>
  </si>
  <si>
    <t>Держатель телефона hoco CA-23 магнитный в дефлектор</t>
  </si>
  <si>
    <t>1/26 шт</t>
  </si>
  <si>
    <t>Держатель телефона hoco PH-36 (настольный)</t>
  </si>
  <si>
    <t>Держатель телефона Mount Holder Magnetik D-8/MLB007 в дефлектор магнитный</t>
  </si>
  <si>
    <t>Держатель телефона MP3/MP4/Mobile/PDA Holder - S2081/ 018B</t>
  </si>
  <si>
    <t>Держатель телефона QY на руль</t>
  </si>
  <si>
    <t>Держатель телефона Магнитный Magnet Holder CXP-006 / MRM SX-30 в дефлектор</t>
  </si>
  <si>
    <t>Держатель телефона Магнитный MRM SX-34  в дефлектор</t>
  </si>
  <si>
    <t>Табличка с номером телефона на панель авто (циферблат) дешёвый</t>
  </si>
  <si>
    <t>Заглушка ремня безопасности</t>
  </si>
  <si>
    <t>Заглушка ремня безопасности NOVA Bright 47758  к-т 2шт.</t>
  </si>
  <si>
    <t>Заглушка ремня безопасности TYPE R металл.на блистере (к-т 2шт.) арт.ZB-001</t>
  </si>
  <si>
    <t>Заглушка ремня безопасности дешевая</t>
  </si>
  <si>
    <t>Защита сидений</t>
  </si>
  <si>
    <t>Защита от грязных ног 01-16 органайзер ПВХ</t>
  </si>
  <si>
    <t>Защита от грязных ног 02-16 органайзер ткань ПУ черная</t>
  </si>
  <si>
    <t>Защита от грязных ног Ч01-16 ПВХ с обстрочкой</t>
  </si>
  <si>
    <t>Защита от грязных ног Ч02-16 ткань ПУ</t>
  </si>
  <si>
    <t>Зеркало</t>
  </si>
  <si>
    <t>Зеркало Дамское на присоске</t>
  </si>
  <si>
    <t>Зеркало заднего вида No.SP-9604  / R02146 дополнительное</t>
  </si>
  <si>
    <t>Коврик</t>
  </si>
  <si>
    <t>Коврик из микрофибры для обуви 81*41</t>
  </si>
  <si>
    <t>Коврик на панель</t>
  </si>
  <si>
    <t>1/200/400 шт</t>
  </si>
  <si>
    <t>Коврик на панель AVS NP-005 Сердце (17*14см)</t>
  </si>
  <si>
    <t>Коврик на панель AVS NP-007 Футбольный мяч (диаметр 14см)</t>
  </si>
  <si>
    <t>Коврик на панель AVS NP-008 (14,5*8,5см) Арт.43185</t>
  </si>
  <si>
    <t>Коврик на панель AVS NP-018 (14,5*18,5см)</t>
  </si>
  <si>
    <t>Коврик на панель AVS-114L (56*29см) арт.43105</t>
  </si>
  <si>
    <t>Коврики влаговпитывающие</t>
  </si>
  <si>
    <t>Коврик влаговпитывающий "Промокашка" р-р 380-480 мм.</t>
  </si>
  <si>
    <t>Коврик влаговпитывающий AVS VK-02 (к-т 2шт)</t>
  </si>
  <si>
    <t>Коврик влаговпитывающий AVS VK-04 (к-т 2шт.) 50*38см</t>
  </si>
  <si>
    <t>Коврик влаговпитывающий Автопамперс дешевый большой к-т 2шт.</t>
  </si>
  <si>
    <t>Коврик влаговпитывающий Автопамперс дорогой большой к-т 2шт./Зебра</t>
  </si>
  <si>
    <t>Крышка бензобака</t>
  </si>
  <si>
    <t>Крышка бензобака 01 с кодом</t>
  </si>
  <si>
    <t>Крышка бензобака 08 с кодом</t>
  </si>
  <si>
    <t>1/50/150 шт</t>
  </si>
  <si>
    <t>Лентяйки</t>
  </si>
  <si>
    <t>Лентяйка EMPOROR пластиковая</t>
  </si>
  <si>
    <t>Массажеры</t>
  </si>
  <si>
    <t>Массажер MAAS дорогой с велюром</t>
  </si>
  <si>
    <t>Массажер Nova Bright шарики с сеткой</t>
  </si>
  <si>
    <t>1/5 шт</t>
  </si>
  <si>
    <t>Массажер деревянный лакированный дорогой (к-т 2шт)</t>
  </si>
  <si>
    <t>Массажер на сиденье Накидка бамбуковая (к-т 2шт)</t>
  </si>
  <si>
    <t>Насадка глушителя</t>
  </si>
  <si>
    <t>Насадка глушителя №001</t>
  </si>
  <si>
    <t>1/10/20 шт</t>
  </si>
  <si>
    <t>Насадка глушителя NOVA Bright 36978 нержав.сталь (д.75мм)</t>
  </si>
  <si>
    <t>Насадка глушителя NOVA Bright 36981</t>
  </si>
  <si>
    <t>Насадка глушителя NOVA Bright 36984 нержав.сталь (д.55 мм)</t>
  </si>
  <si>
    <t>Насадка глушителя NOVA Bright 36987 нержав.сталь (д.65 мм)</t>
  </si>
  <si>
    <t>Насадка глушителя NOVA Bright 38871</t>
  </si>
  <si>
    <t>Насадка глушителя NOVA Bright 38875 нержав.сталь (д.50 мм.)</t>
  </si>
  <si>
    <t>Насадка глушителя NOVA Bright 39418 нержав.сталь (д.50 мм)</t>
  </si>
  <si>
    <t>Насадка глушителя NOVA Bright 39420</t>
  </si>
  <si>
    <t>Насадка глушителя Кобра</t>
  </si>
  <si>
    <t>Оплетки руля</t>
  </si>
  <si>
    <t>Оплетка руля MAAS SWC024-M Черная с вставками</t>
  </si>
  <si>
    <t>Оплетка руля MAAS SWC024-XL Черная с вставками</t>
  </si>
  <si>
    <t>Оплетка руля MAAS SWC025-L Черная</t>
  </si>
  <si>
    <t>Оплетка руля MAAS SWC025-M Черная</t>
  </si>
  <si>
    <t>1/27 шт</t>
  </si>
  <si>
    <t>Оплетка руля MAAS SWC025-XL Черная</t>
  </si>
  <si>
    <t>1/31 шт</t>
  </si>
  <si>
    <t>Оплетка руля MAAS SWC026-L Черная с красной строчкой</t>
  </si>
  <si>
    <t>Оплетка руля MAAS SWC026-M Черная с красной строчкой</t>
  </si>
  <si>
    <t>1/28 шт</t>
  </si>
  <si>
    <t>Оплетка руля MAAS SWC026-XL Черная с красной строчкой</t>
  </si>
  <si>
    <t>1/32 шт</t>
  </si>
  <si>
    <t>Оплетка руля Nova Bright L арт.38687  Черная экокожа ,спонж</t>
  </si>
  <si>
    <t>Оплетка руля Nova Bright L арт.47677  Черная с красной прострочкой ромбиками (1/25шт.)</t>
  </si>
  <si>
    <t>Оплетка руля Nova Bright L арт.47678  Черная с синей прострочкой ромбиками (1/25шт.)</t>
  </si>
  <si>
    <t>Оплетка руля Nova Bright L арт.47679  Черная (1/25шт.)</t>
  </si>
  <si>
    <t>Оплетка руля Nova Bright L арт.47680  Черная с серой прострочкой ромбиками (1/25шт.)</t>
  </si>
  <si>
    <t>Оплетка руля Nova Bright M арт.46654  Черная  (1/25шт.)</t>
  </si>
  <si>
    <t>Оплетка руля Nova Bright M арт.46825  Черная с вставками  (1/25шт.)</t>
  </si>
  <si>
    <t>Оплетка руля Nova Bright M арт.46826  Черная  (1/25шт.)</t>
  </si>
  <si>
    <t>Оплетка руля Nova Bright M арт.47352  Черная с серой вставкой (1/25шт.)</t>
  </si>
  <si>
    <t>Оплетка руля Nova Bright M арт.47355  Черная  (1/25шт.)</t>
  </si>
  <si>
    <t>Оплетка руля Nova Bright M арт.47357  Черная  (1/25шт.)</t>
  </si>
  <si>
    <t>Оплетка руля Nova Bright M арт.47359 / 47692 Черная спонж (1/25шт.)</t>
  </si>
  <si>
    <t>Оплетка руля Nova Bright M арт.47360 с синими массажными вставками</t>
  </si>
  <si>
    <t>Оплетка руля Nova Bright M арт.47364  Серая с серой строчкой  (1/25шт.)</t>
  </si>
  <si>
    <t>Оплетка руля Nova Bright M арт.47366  Черная с красной прострочкой ромбиками  (1/25шт.)</t>
  </si>
  <si>
    <t>Оплетка руля Nova Bright M арт.47367 с черными массажными вставками</t>
  </si>
  <si>
    <t>Оплетка руля Nova Bright M арт.47368  Черная с красной строчкой  (1/25шт.)</t>
  </si>
  <si>
    <t>Оплетка руля Nova Bright M арт.47370  Черная с белой строчкой  (1/25шт.)</t>
  </si>
  <si>
    <t>Оплетка руля Nova Bright M арт.47371  Черная со вставками и красной строчкой  (1/25шт.)</t>
  </si>
  <si>
    <t>Оплетка руля Nova Bright M арт.47373  Черная  (1/25шт.)</t>
  </si>
  <si>
    <t>Оплетка руля Nova Bright M арт.47376  Черная  (1/25шт.)</t>
  </si>
  <si>
    <t>Оплетка руля Nova Bright M арт.47634  Черная с серой прострочкой ромбиками  (1/25шт.)</t>
  </si>
  <si>
    <t>Органайзер</t>
  </si>
  <si>
    <t>Пепельница</t>
  </si>
  <si>
    <t>Пепельница с подсветкой</t>
  </si>
  <si>
    <t>Пепельница с подсветкой JENNY/BMW</t>
  </si>
  <si>
    <t>Подушка на поголовник</t>
  </si>
  <si>
    <t>Подушка на подголовник автомобильного кресла бежевая</t>
  </si>
  <si>
    <t>Подушка на подголовник автомобильного кресла черная с белой строчкой</t>
  </si>
  <si>
    <t>Подушка на подголовник автомобильного кресла черная с красной строчкой</t>
  </si>
  <si>
    <t>Подушка на подголовник автомобильного кресла черная с синей строчкой</t>
  </si>
  <si>
    <t>Подушка на подголовник автомобильного кресла черная с черной строчкой</t>
  </si>
  <si>
    <t>Разъем прицепа</t>
  </si>
  <si>
    <t>Разъем прицепа Металлический</t>
  </si>
  <si>
    <t>Разъем прицепа Металлический - мама</t>
  </si>
  <si>
    <t>Разъем прицепа Металлический - папа</t>
  </si>
  <si>
    <t>Рамки номера</t>
  </si>
  <si>
    <t>Рамка Квадратного номера на защелке Казахстан  арт.115/3</t>
  </si>
  <si>
    <t>Рамка номера Металлическая SIS-111 белая  (к-т 1шт)</t>
  </si>
  <si>
    <t>Рамка номера Металлическая SIS-111 нержавейка  (к-т 1шт)</t>
  </si>
  <si>
    <t>Рамка номера Металлическая нержавейка белая  (к-т 2шт) арт.44215</t>
  </si>
  <si>
    <t>Рамка номера Металлическая нержавейка хромированная  (к-т 2шт)</t>
  </si>
  <si>
    <t>Рамка номера Пластик "Хром"</t>
  </si>
  <si>
    <t>Ремень безопасности</t>
  </si>
  <si>
    <t>Сетка багажная</t>
  </si>
  <si>
    <t>Сетка багажная NOVA Bright 36949 (90*150)</t>
  </si>
  <si>
    <t>Скрепка Тех.талона</t>
  </si>
  <si>
    <t>Скрепка Тех-талона на присоске</t>
  </si>
  <si>
    <t>Сувенир</t>
  </si>
  <si>
    <t>Игрушка в автомобиль на присосках</t>
  </si>
  <si>
    <t>Подвеска "Домовёнок" из меха чернобурки ( дешёвый)</t>
  </si>
  <si>
    <t>Подвеска деревянная "Четки крест Армянский"</t>
  </si>
  <si>
    <t>Подвеска деревянная "Четки с резным крестами"</t>
  </si>
  <si>
    <t>Фиксатор</t>
  </si>
  <si>
    <t>Фиксатор ремня NOVA  Bright 46656</t>
  </si>
  <si>
    <t>Фиксатор ремня безопасности EX-DRIVE</t>
  </si>
  <si>
    <t>Форсунки омывателя</t>
  </si>
  <si>
    <t>Форсунка омывателя стекла</t>
  </si>
  <si>
    <t>Антенны</t>
  </si>
  <si>
    <t>Антенна внутрисалонная</t>
  </si>
  <si>
    <t>Антенна внутрисалонная AL KHATEEB AN 065 TURBO</t>
  </si>
  <si>
    <t>Антенна внутрисалонная BOUSH активная</t>
  </si>
  <si>
    <t>Антенна внутрисалонная BOUSH-2 (два режима: город/трасса)</t>
  </si>
  <si>
    <t>Антенна внутрисалонная DELTA аналог</t>
  </si>
  <si>
    <t>Антенна внутрисалонная RATEX R01A</t>
  </si>
  <si>
    <t>Антенна внутрисалонная ОРИОН 25</t>
  </si>
  <si>
    <t>Антенна внутрисалонная ОРИОН 26</t>
  </si>
  <si>
    <t>Антенна внутрисалонная ОРИОН A-29</t>
  </si>
  <si>
    <t>Антенна внутрисалонная ПУЛЬСАР</t>
  </si>
  <si>
    <t>Антенна внутрисалонная ТРИАДА 15 super</t>
  </si>
  <si>
    <t>Антенна внутрисалонная ТРИАДА 150</t>
  </si>
  <si>
    <t>Антенна внутрисалонная ТРИАДА 40 super</t>
  </si>
  <si>
    <t>Антенна внутрисалонная ТРИАДА 50 super</t>
  </si>
  <si>
    <t>Антенна внутрисалонная ТРИАДА 54 turbo</t>
  </si>
  <si>
    <t>Антенна внутрисалонная ТРИАДА 55 turbo дальнобой</t>
  </si>
  <si>
    <t>Антенна внутрисалонная ТРИАДА 610 TVix</t>
  </si>
  <si>
    <t>Антенна внутрисалонная ТРИАДА 650 TVix ( теле+радио )</t>
  </si>
  <si>
    <t>Антенна внутрисалонная ТРИАДА express 99 активная</t>
  </si>
  <si>
    <t>Антенна внутрисалонная ТРИАДА express 99.5 активная</t>
  </si>
  <si>
    <t>Антенна наружная ТРИАДА ВА 69 врезная, активная</t>
  </si>
  <si>
    <t>Антенна на крышу</t>
  </si>
  <si>
    <t>Антенна на крышу АТНЕЙ АВТО А-306 декоративная</t>
  </si>
  <si>
    <t>Антенна на рацию</t>
  </si>
  <si>
    <t>Антенна на рацию CB-1100 OPTIM врезная</t>
  </si>
  <si>
    <t>Антенна на рацию CB-1500 OPTIM врезная</t>
  </si>
  <si>
    <t>Антенна на рацию Т3 -27N SIRIO / CB T3-27 Optim врезная ( высота 62см.)</t>
  </si>
  <si>
    <t>Антенна наружная</t>
  </si>
  <si>
    <t>Антенна наружная CRISTYLEAVTO AN-092 врезная 1м.</t>
  </si>
  <si>
    <t>Антенна наружная CRISTYLEAVTO AN-124 пассивная на желобок/водосток</t>
  </si>
  <si>
    <t>Антенна наружная CRISTYLEAVTO AN-2010 врезная</t>
  </si>
  <si>
    <t>Антенна наружная CRISTYLEAVTO AN-2924 врезная</t>
  </si>
  <si>
    <t>Антенна наружная NANO TV</t>
  </si>
  <si>
    <t>Антенна наружная TRANKKING 270 на магните</t>
  </si>
  <si>
    <t>Антенна наружная TRANKKING 275 на магните</t>
  </si>
  <si>
    <t>Антенна наружная TRANKKING 276 на магните</t>
  </si>
  <si>
    <t>Антенна наружная TRANKKING 285 TRANKKING на магните</t>
  </si>
  <si>
    <t>Антенна наружная TRANKKING 286 TRANKKING на магните</t>
  </si>
  <si>
    <t>Антенна наружная TRANKKING 290 TRANKKING на магните</t>
  </si>
  <si>
    <t>Антенна наружная АТНЕЙ АВТО АМ 2000 на магните</t>
  </si>
  <si>
    <t>Антенна наружная АТНЕЙ АВТО АМ 2001 на магните</t>
  </si>
  <si>
    <t>Антенна наружная АТНЕЙ АВТО АМ 2002 на магните</t>
  </si>
  <si>
    <t>Антенна наружная АТНЕЙ АВТО АМ 206 на магните</t>
  </si>
  <si>
    <t>Антенна наружная АТНЕЙ АВТО АМ 500 на магните</t>
  </si>
  <si>
    <t>Антенна наружная АТНЕЙ АВТО АМ-202 на магните</t>
  </si>
  <si>
    <t>Антенна наружная АТНЕЙ АВТО АМ-203 на магните</t>
  </si>
  <si>
    <t>Антенна наружная АТНЕЙ АВТО АМ-205 на магните</t>
  </si>
  <si>
    <t>Антенна наружная АТНЕЙ АВТО АМ-507 на магните</t>
  </si>
  <si>
    <t>Антенна наружная АТНЕЙ АВТО АМ-600 на магните</t>
  </si>
  <si>
    <t>Антенна наружная ТРИАДА 200 пассивная на магните (к-т из 2шт)</t>
  </si>
  <si>
    <t>Антенна наружная ТРИАДА АН 7101 пассивная на желобок/водосток (38см)</t>
  </si>
  <si>
    <t>Антенна наружная ТРИАДА АН 7102 пассивная на желобок/водосток (70см)</t>
  </si>
  <si>
    <t>Антенна наружная ТРИАДА АН 7103 пассивная на желобок/водосток (45см)</t>
  </si>
  <si>
    <t>Антенна наружная ТРИАДА АН 7104 пассивная на желобок/водосток (45см)</t>
  </si>
  <si>
    <t>Антенна наружная ТРИАДА АН 7105 пассивная на желобок/водосток (38см)</t>
  </si>
  <si>
    <t>Антенна наружная ТРИАДА ВА 57 пассивная, врезная</t>
  </si>
  <si>
    <t>Антенна наружная ТРИАДА ВА 61-01 пассивная, врезная</t>
  </si>
  <si>
    <t>Антенна наружная ТРИАДА ВА 61-02</t>
  </si>
  <si>
    <t>Антенна наружная ТРИАДА ВА 63-01 пассивная, врезная</t>
  </si>
  <si>
    <t>Антенна наружная ТРИАДА ВА 63-02 пассивная, врезная</t>
  </si>
  <si>
    <t>Антенна наружная ТРИАДА ВА 63-04 пассивная, врезная</t>
  </si>
  <si>
    <t>Антенна наружная ТРИАДА МА 76-24 на магните</t>
  </si>
  <si>
    <t>Антенна наружная ТРИАДА МА 86-01 на магните</t>
  </si>
  <si>
    <t>Антенна наружная ТРИАДА МА 86-03 на магните</t>
  </si>
  <si>
    <t>Антенна наружная ТРИАДА МА 86-05 на магните</t>
  </si>
  <si>
    <t>Ремкомплект</t>
  </si>
  <si>
    <t>Ремкомплект BOSCH для активных антенн (усы)</t>
  </si>
  <si>
    <t>Удлинитель антенн</t>
  </si>
  <si>
    <t>Удлинитель антенн (4м)</t>
  </si>
  <si>
    <t>Усилитель антенный</t>
  </si>
  <si>
    <t>Усилитель ТРИАДА 301 антенный автомобильный</t>
  </si>
  <si>
    <t>Усилитель ТРИАДА 304 антенный автомобильный</t>
  </si>
  <si>
    <t>Ароматизаторы</t>
  </si>
  <si>
    <t>Ароматизатор для дома</t>
  </si>
  <si>
    <t>Ароматизатор AREON дом-авто "HOME PERFUMES" 85мл  Lilac</t>
  </si>
  <si>
    <t>Ароматизатор AREON дом-авто "HOME PERFUMES" 85мл  Silver Linen</t>
  </si>
  <si>
    <t>Ароматизатор на дефлектор</t>
  </si>
  <si>
    <t>Ароматизатор AREON в дефлектор CAR 8мл. Весенний букет (Spring Bouquet)</t>
  </si>
  <si>
    <t>Ароматизатор AREON в дефлектор CAR 8мл. Кислород (Oxygen)</t>
  </si>
  <si>
    <t>Ароматизатор AREON в дефлектор CAR 8мл. Серебро (Silver)</t>
  </si>
  <si>
    <t>Ароматизатор AREON в дефлектор CAR 8мл. Черный Кристалл (Black Crystal)</t>
  </si>
  <si>
    <t>Ароматизатор AREON в дефлектор VENT 7 Мой Океан (My Ocean) 4,5мл.</t>
  </si>
  <si>
    <t>1/14 шт</t>
  </si>
  <si>
    <t>Ароматизатор AROMA в дефлектор Top Line Картридж МИКС в ассортименте (1/20шт.)</t>
  </si>
  <si>
    <t>Ароматизатор CONTRA  флакон с деревянной крышкой Премиум D-10 KING (Гранат и кора черн.дерева)</t>
  </si>
  <si>
    <t>Ароматизатор Dr.MARKUS в дефлектор Senso Regulated  МИКС на листе  1/16шт.</t>
  </si>
  <si>
    <t>Ароматизатор SLIM  на дефлектор н-р Елисейские поля + Poison  арт.SMGD-304</t>
  </si>
  <si>
    <t>Ароматизатор SLIM  на дефлектор н-р Феромоны страсти + Эгоист  арт.SMGD-182</t>
  </si>
  <si>
    <t>Ароматизатор SLIM  на дефлектор н-р Флирт + OUD perfume palace арт.SMGD-215</t>
  </si>
  <si>
    <t>1/20/80 шт</t>
  </si>
  <si>
    <t>Ароматизатор SLIM картридж Белый кедр SMRFL-303</t>
  </si>
  <si>
    <t>Ароматизатор SLIM картридж Елисейские поля SMRFL-304</t>
  </si>
  <si>
    <t>Ароматизатор SLIM картридж Идеальный мужчина SMRFL-302</t>
  </si>
  <si>
    <t>Ароматизатор SLIM картридж Поцелуй персика  SMRFL-184</t>
  </si>
  <si>
    <t>Ароматизатор SLIM картридж Флирт  SMRFL-215</t>
  </si>
  <si>
    <t>Ароматизатор SLIM на дефлектор Blue Noir арт.SLMV-205 (1/20шт.)</t>
  </si>
  <si>
    <t>Ароматизатор SLIM на дефлектор CK-One сквош арт.SLMV-189 (1/20шт.)</t>
  </si>
  <si>
    <t>Ароматизатор SLIM на дефлектор Альпийская свежесть арт.SLMV-113 (1/20шт.)</t>
  </si>
  <si>
    <t>Ароматизатор SLIM на дефлектор Бархатная вишня арт.SLMV-300 (1/20шт.)</t>
  </si>
  <si>
    <t>Ароматизатор SLIM на дефлектор Белый кедр арт.SLMV-303 (1/20шт.)</t>
  </si>
  <si>
    <t>Ароматизатор SLIM на дефлектор Вечерняя прохлада арт.SLMV-187 (1/20шт.)</t>
  </si>
  <si>
    <t>Ароматизатор SLIM на дефлектор Горный воздух арт.SLMV-188 (1/20шт.)</t>
  </si>
  <si>
    <t>Ароматизатор SLIM на дефлектор Елисейские поля арт.SLMV-304 (1/20шт.)</t>
  </si>
  <si>
    <t>Ароматизатор SLIM на дефлектор Идеальный мужчина арт.SLMV-302 (1/20шт.)</t>
  </si>
  <si>
    <t>Ароматизатор SLIM на дефлектор Интимное предложение арт.SLMV-301 (1/20шт.)</t>
  </si>
  <si>
    <t>Ароматизатор SLIM на дефлектор Кожа и дерево  арт.SLMV-151 (1/20шт.)</t>
  </si>
  <si>
    <t>Ароматизатор SLIM на дефлектор Морская волна арт.SLMV-107 (1/20шт.)</t>
  </si>
  <si>
    <t>Ароматизатор SLIM на дефлектор Морской сквош арт.SLMV-91 (1/20шт.)</t>
  </si>
  <si>
    <t>Ароматизатор SLIM на дефлектор Мохито арт.SLMV-124 (1/20шт.)</t>
  </si>
  <si>
    <t>Ароматизатор SLIM на дефлектор Новая машина арт.SLMV-71 (1/20шт.)</t>
  </si>
  <si>
    <t>Ароматизатор SLIM на дефлектор Парфюм арт.SLMV-201 (1/20шт.)</t>
  </si>
  <si>
    <t>Ароматизатор SLIM на дефлектор Поцелуй персика арт.SLMV-184 (1/20шт.)</t>
  </si>
  <si>
    <t>Ароматизатор SLIM на дефлектор Супер ваниль арт.SLMV-92 (1/20шт.)</t>
  </si>
  <si>
    <t>Ароматизатор SLIM на дефлектор Тропическая дыня арт.SLMV-65 (1/20шт.)</t>
  </si>
  <si>
    <t>Ароматизатор SLIM на дефлектор Тропическая ночь арт.SLMV-18 (1/20шт.)</t>
  </si>
  <si>
    <t>Ароматизатор SLIM на дефлектор Тутти Фрутти арт.SLMV-115 (1/20шт.)</t>
  </si>
  <si>
    <t>Ароматизатор SLIM на дефлектор Феромоны страсти арт.SLMV-182 (1/20шт.)</t>
  </si>
  <si>
    <t>Ароматизатор SLIM на дефлектор Яблочный сквош арт.SLMV-205 (1/20шт.)</t>
  </si>
  <si>
    <t>Ароматизатор на зеркало</t>
  </si>
  <si>
    <t>Ароматизатор AREON бочонок  Fresco X Антитабак (Anti Tobacco)</t>
  </si>
  <si>
    <t>Ароматизатор AREON бочонок  Fresco X Клубника (Strawberry)</t>
  </si>
  <si>
    <t>Ароматизатор AREON бочонок  Fresco X Новая машина (New Car)</t>
  </si>
  <si>
    <t>Ароматизатор AREON бочонок Fresco  МИКС на листе  1/24шт.</t>
  </si>
  <si>
    <t>1/24/288 шт</t>
  </si>
  <si>
    <t>Ароматизатор AREON бочонок Fresco Vanilla Black (Ваниль Черный)</t>
  </si>
  <si>
    <t>Ароматизатор AREON бочонок Fresco Vanilla Bubble (Ваниль Бабл)</t>
  </si>
  <si>
    <t>Ароматизатор AREON бочонок Fresco Vanilla Mia (Ваниль Миа)</t>
  </si>
  <si>
    <t>Ароматизатор AREON бочонок Fresco Арбуз (Watermelon)</t>
  </si>
  <si>
    <t>Ароматизатор AREON бочонок Fresco Бабл Гам (Bubble Gum)  (1/12шт.)</t>
  </si>
  <si>
    <t>Ароматизатор AREON бочонок Fresco Беверли Хиллс (Beverly Hills)</t>
  </si>
  <si>
    <t>Ароматизатор AREON бочонок Fresco Весенний букет (Spring Bouquet)</t>
  </si>
  <si>
    <t>Ароматизатор AREON бочонок Fresco Вишня (Cherry)</t>
  </si>
  <si>
    <t>Ароматизатор AREON бочонок Fresco Вояж (Voyage)</t>
  </si>
  <si>
    <t>Ароматизатор AREON бочонок Fresco Дыня (Melon)</t>
  </si>
  <si>
    <t>Ароматизатор AREON бочонок Fresco Кислород (Oxygen)</t>
  </si>
  <si>
    <t>Ароматизатор AREON бочонок Fresco Клубника (Strawberry)  (1/12шт.)</t>
  </si>
  <si>
    <t>Ароматизатор AREON бочонок Fresco Кокос (Coconut)  (1/12шт.)</t>
  </si>
  <si>
    <t>Ароматизатор AREON бочонок Fresco Кофе (Coffee)  (1/12шт.)</t>
  </si>
  <si>
    <t>Ароматизатор AREON бочонок Fresco Ландыш (Lily of the Valley)</t>
  </si>
  <si>
    <t>Ароматизатор AREON бочонок Fresco Лимон (Lemon)</t>
  </si>
  <si>
    <t>Ароматизатор AREON бочонок Fresco Новая Машина (New Car)</t>
  </si>
  <si>
    <t>Ароматизатор AREON бочонок Fresco Пачули-Лаванда-Ваниль (Patchouli lavender Vanilla)</t>
  </si>
  <si>
    <t>Ароматизатор AREON бочонок Fresco Персик (Peach)</t>
  </si>
  <si>
    <t>Ароматизатор AREON бочонок Fresco РОССИЯ</t>
  </si>
  <si>
    <t>Ароматизатор AREON бочонок Fresco Сирень (Lilac) (1/12шт.)</t>
  </si>
  <si>
    <t>Ароматизатор AREON бочонок Fresco Сквош (Yuzu Squash)</t>
  </si>
  <si>
    <t>Ароматизатор AREON бочонок Fresco Тортуга (Tortuga)</t>
  </si>
  <si>
    <t>Ароматизатор AREON бочонок Fresco Тропикана (Tropicana)</t>
  </si>
  <si>
    <t>Ароматизатор AREON бочонок Fresco Тутти Фрутти (Tutti Frutti)  (1/12шт.)</t>
  </si>
  <si>
    <t>Ароматизатор AREON бочонок Fresco Черный Кристалл (Black Crystal)</t>
  </si>
  <si>
    <t>Ароматизатор AREON бочонок Fresco Яблоко (Apple)</t>
  </si>
  <si>
    <t>Ароматизатор AREON бочонок Fresco Яблоко и корица (Apple&amp;Cinnamon)</t>
  </si>
  <si>
    <t>Ароматизатор AREON гель  машинки  МИКС на листе 1/18шт.</t>
  </si>
  <si>
    <t>1/18/270 шт</t>
  </si>
  <si>
    <t>Ароматизатор AREON гель Горная Свежесть (Mountain Fresh)</t>
  </si>
  <si>
    <t>Ароматизатор AREON гель Кислород (Oxygen)</t>
  </si>
  <si>
    <t>Ароматизатор AREON гель Клубника (Strawberry)</t>
  </si>
  <si>
    <t>Ароматизатор AREON гель Кофе (Coffe)</t>
  </si>
  <si>
    <t>Ароматизатор AREON гель Лимон (Lemon)</t>
  </si>
  <si>
    <t>Ароматизатор AREON гель Новая Машина (New Car)  (1/24шт.)</t>
  </si>
  <si>
    <t>Ароматизатор AREON гель Океан (Ocean)</t>
  </si>
  <si>
    <t>Ароматизатор AREON гель Парусный спорт (Yachting)</t>
  </si>
  <si>
    <t>Ароматизатор AREON гель Парфюм (Perfume)</t>
  </si>
  <si>
    <t>Ароматизатор AREON гель Персик (Peach)  (1/24шт.)</t>
  </si>
  <si>
    <t>Ароматизатор AREON гель РОССИЯ  (1/24шт.)</t>
  </si>
  <si>
    <t>Ароматизатор AREON гель Тутти Фрутти (Tutti Frutti)  (1/24шт.)</t>
  </si>
  <si>
    <t>Ароматизатор AREON гель Чёрный Кристалл (Black Crystal)</t>
  </si>
  <si>
    <t>Ароматизатор AREON елочка Sport Lux  МИКС на листе  1/72шт.</t>
  </si>
  <si>
    <t>1/72 шт</t>
  </si>
  <si>
    <t>1/10/120 шт</t>
  </si>
  <si>
    <t>Ароматизатор AREON елочка X  Version   МИКС на листе  1/60шт.</t>
  </si>
  <si>
    <t>1/60/900 шт</t>
  </si>
  <si>
    <t>Ароматизатор AREON елочка Фреш  МИКС на листе  1/60шт.</t>
  </si>
  <si>
    <t>1/120/10 шт</t>
  </si>
  <si>
    <t>Ароматизатор AREON листик гель  МИКС на листе  1/24шт.</t>
  </si>
  <si>
    <t>1/24/360 шт</t>
  </si>
  <si>
    <t>Ароматизатор AREON листик гель Sport Lux  МИКС на листе   1/24шт.</t>
  </si>
  <si>
    <t>Ароматизатор AREON листик гель Sport Lux Золото (Gold) 5мл.</t>
  </si>
  <si>
    <t>Ароматизатор AREON листик гель Sport Lux Никель (Nickel) 5мл.</t>
  </si>
  <si>
    <t>Ароматизатор AREON листик гель Sport Lux Платинум (Platinum) 5мл.</t>
  </si>
  <si>
    <t>Ароматизатор AREON листик гель Sport Lux Серебро (Silver) 5мл.</t>
  </si>
  <si>
    <t>Ароматизатор AREON листик гель Sport Lux Углерод (Carbon) 5мл.</t>
  </si>
  <si>
    <t>Ароматизатор AREON листик гель Sport Lux Хром (Chrome) 5мл.</t>
  </si>
  <si>
    <t>Ароматизатор AREON листик гель Антитабак (Anti Tobacco) (1/24шт.)</t>
  </si>
  <si>
    <t>Ароматизатор AREON листик гель Бабл Гам (Bubble Gum)  (1/24шт.)</t>
  </si>
  <si>
    <t>Ароматизатор AREON листик гель Ваниль (Vanilla) (1/24шт.)</t>
  </si>
  <si>
    <t>Ароматизатор AREON листик гель Вечеринка (Party) (1/24шт.)</t>
  </si>
  <si>
    <t>Ароматизатор AREON листик гель Дыня (Melon) (1/24шт.)</t>
  </si>
  <si>
    <t>Ароматизатор AREON листик гель Зеленое яблоко (Green Apple) (1/24шт.)</t>
  </si>
  <si>
    <t>Ароматизатор AREON листик гель Кислород (Oxygen) (1/24шт.)</t>
  </si>
  <si>
    <t>Ароматизатор AREON листик гель Клубника (Strawberry) (1/24шт.)</t>
  </si>
  <si>
    <t>Ароматизатор AREON листик гель Кокос (Coconut) (1/24шт.)</t>
  </si>
  <si>
    <t>Ароматизатор AREON листик гель Ландыш (Lily of the valley) (1/24шт.)</t>
  </si>
  <si>
    <t>Ароматизатор AREON листик гель Летний сон (Summer Dream) (1/24шт.)</t>
  </si>
  <si>
    <t>Ароматизатор AREON листик гель Новая Машина (New Car) (1/24шт.)</t>
  </si>
  <si>
    <t>Ароматизатор AREON листик гель Океан (Ocean) (1/24шт.)</t>
  </si>
  <si>
    <t>Ароматизатор AREON листик гель РОССИЯ (1/24шт.)</t>
  </si>
  <si>
    <t>Ароматизатор AREON листик гель Сирень (Lilac) (1/24шт.)</t>
  </si>
  <si>
    <t>Ароматизатор AREON листик гель Тутти Фрутти (Tutti Frutti) (1/24шт.)</t>
  </si>
  <si>
    <t>Ароматизатор AREON листик гель Яблоко и корица (Apple &amp; Cinnamon)  (1/24шт.)</t>
  </si>
  <si>
    <t>Ароматизатор AREON мешочек с гранулами Pearls  МИКС на листе   1/18шт.</t>
  </si>
  <si>
    <t>Ароматизатор AREON мешочек с гранулами Pearls Vanilla Buble</t>
  </si>
  <si>
    <t>Ароматизатор AREON мешочек с гранулами Pearls Арбуз (Watermelon)</t>
  </si>
  <si>
    <t>Ароматизатор AREON мешочек с гранулами Pearls Бабл Гам (Bubble Gum)</t>
  </si>
  <si>
    <t>Ароматизатор AREON мешочек с гранулами Pearls Ваниль (Vanilla)</t>
  </si>
  <si>
    <t>Ароматизатор AREON мешочек с гранулами Pearls Вербена (Verbena)</t>
  </si>
  <si>
    <t>Ароматизатор AREON мешочек с гранулами Pearls Весенний букет (Spring Bouquet)</t>
  </si>
  <si>
    <t>Ароматизатор AREON мешочек с гранулами Pearls Платинум (PLATINUN)</t>
  </si>
  <si>
    <t>Ароматизатор AREON мешочек с гранулами Pearls Северный Лес (Nordic Forest)</t>
  </si>
  <si>
    <t>Ароматизатор AREON мешочек с гранулами Pearls Серебро (SILVER)</t>
  </si>
  <si>
    <t>Ароматизатор AREON мешочек с гранулами Pearls Сирень (Lilac)</t>
  </si>
  <si>
    <t>Ароматизатор AREON мешочек с гранулами Pearls Цитрусовый Сквош (Citrus Squash)</t>
  </si>
  <si>
    <t>Ароматизатор AREON мешочек с гранулами Pearls Яблоко и корица (Apple &amp; Cinnamon)</t>
  </si>
  <si>
    <t>Ароматизатор AREON подвесной Смайл  МИКС на листе  1/72шт.</t>
  </si>
  <si>
    <t>1/72/1 080 шт</t>
  </si>
  <si>
    <t>Ароматизатор AROMA бочонок Wood 6мл Анти Табак (Anti Tobacco) (1/40шт.)</t>
  </si>
  <si>
    <t>Ароматизатор AROMA бочонок Wood 6мл Клубника (Strawberry) (1/40шт.)</t>
  </si>
  <si>
    <t>Ароматизатор AROMA бочонок Wood 6мл Черный (Black) (1/40шт.)</t>
  </si>
  <si>
    <t>Ароматизатор AROMA елочка Top Line Восточные ароматы №001 (Nomad)</t>
  </si>
  <si>
    <t>Ароматизатор AROMA елочка Top Line Восточные ароматы №003 (Fantasy)</t>
  </si>
  <si>
    <t>Ароматизатор AROMA елочка Top Line Восточные ароматы №010 (Pyramid)</t>
  </si>
  <si>
    <t>Ароматизатор AROMA елочка Top Line Мужские ароматы № 3 (Homme Sport)</t>
  </si>
  <si>
    <t>Ароматизатор AROMA елочка Top Line Мужские ароматы № 7 (The One)</t>
  </si>
  <si>
    <t>Ароматизатор AROMA елочка Top Line Мужские ароматы № 9 (Acqua di Gio)</t>
  </si>
  <si>
    <t>Ароматизатор AROMA елочка Top Line Мужские ароматы №13 (Baldessarini)</t>
  </si>
  <si>
    <t>Ароматизатор AROMA елочка Top Line Мужские ароматы №15 (Green)</t>
  </si>
  <si>
    <t>Ароматизатор AROMA елочка Top Line Мужские ароматы №17 (Bleu)</t>
  </si>
  <si>
    <t>Ароматизатор AROMA елочка Top Line Мужские ароматы №23 (Shaik 77)</t>
  </si>
  <si>
    <t>Ароматизатор AROMA елочка Top Line Мужские ароматы №25 (Gucci)</t>
  </si>
  <si>
    <t>Ароматизатор AROMA елочка Top Line Мужские ароматы №27 (Luna Rossa)</t>
  </si>
  <si>
    <t>Ароматизатор AROMA елочка Top Line Мужские ароматы №29 (Man In Black)</t>
  </si>
  <si>
    <t>Ароматизатор AROMA елочка Top Line Мужские ароматы №31 (L'HOMME IDEAL)</t>
  </si>
  <si>
    <t>Ароматизатор AROMA елочка Top Line Мужские ароматы №33 (FAN DI)</t>
  </si>
  <si>
    <t>Ароматизатор AROMA елочка Top Line Мужские ароматы №37 (Passenger Pour Homme)</t>
  </si>
  <si>
    <t>Ароматизатор AROMA елочка Top Line Мужские ароматы №41 (Egoiste)</t>
  </si>
  <si>
    <t>Ароматизатор AROMA елочка Top Line Мужские ароматы №43 (Fahrenheit)</t>
  </si>
  <si>
    <t>Ароматизатор AROMA елочка Top Line Мужские ароматы №45 (Black Aoud)</t>
  </si>
  <si>
    <t>Ароматизатор AROMA елочка Top Line Мужские ароматы №51 (Cool Water)</t>
  </si>
  <si>
    <t>Ароматизатор AROMA елочка Top Line Мужские ароматы №53 (Legend)</t>
  </si>
  <si>
    <t>Ароматизатор AROMA елочка Top Line Мужские ароматы №55 (Sauvage)</t>
  </si>
  <si>
    <t>Ароматизатор AROMA елочка Top Line Мужские ароматы №57 (Chrome)</t>
  </si>
  <si>
    <t>Ароматизатор AROMA елочка Top Line Мужские ароматы №59 (Basala)</t>
  </si>
  <si>
    <t>Ароматизатор AROMA елочка Top Line Мужские ароматы №61 (Pour Homme)</t>
  </si>
  <si>
    <t>Ароматизатор AROMA елочка Top Line Мужские ароматы №63 (Light Blue)</t>
  </si>
  <si>
    <t>Ароматизатор AROMA елочка Top Line Мужские ароматы №67 (Wood )</t>
  </si>
  <si>
    <t>Ароматизатор AROMA елочка Top Line Мужские ароматы №69 (Terre)</t>
  </si>
  <si>
    <t>Ароматизатор AROMA елочка Top Line Мужские ароматы №71 (Shaik 70)</t>
  </si>
  <si>
    <t>Ароматизатор AROMA елочка Top Line Мужские ароматы №75 (Oligarch)</t>
  </si>
  <si>
    <t>Ароматизатор AROMA елочка Top Line Мужские ароматы №77 (Elysium)</t>
  </si>
  <si>
    <t>Ароматизатор AURA FRESH бочонок "Bio Cap" 6мл. Аква (Aqua)</t>
  </si>
  <si>
    <t>Ароматизатор AURA FRESH бочонок "Bio Cap" 6мл. Бабл Гам (Bubble Gum)</t>
  </si>
  <si>
    <t>Ароматизатор AURA FRESH бочонок "Bio Cap" 6мл. Ваниль (Vanilla)</t>
  </si>
  <si>
    <t>Ароматизатор AURA FRESH бочонок "Bio Cap" 6мл. Вишня (Cherry)</t>
  </si>
  <si>
    <t>Ароматизатор AURA FRESH бочонок "Bio Cap" 6мл. Для Мужчин (For men)</t>
  </si>
  <si>
    <t>Ароматизатор AURA FRESH бочонок "Bio Cap" 6мл. Дыня (Melon)</t>
  </si>
  <si>
    <t>Ароматизатор AURA FRESH бочонок "Bio Cap" 6мл. Клубника (Strawberry)</t>
  </si>
  <si>
    <t>Ароматизатор AURA FRESH бочонок "Bio Cap" 6мл. Кокос-маракуйя (Coconut &amp; Maracuja)</t>
  </si>
  <si>
    <t>Ароматизатор AURA FRESH бочонок "Bio Cap" 6мл. Кофе (Coffee)</t>
  </si>
  <si>
    <t>Ароматизатор AURA FRESH бочонок "Bio Cap" 6мл. Лимон (Lemon)</t>
  </si>
  <si>
    <t>Ароматизатор AURA FRESH бочонок "Bio Cap" 6мл. Новая Машина (New car)</t>
  </si>
  <si>
    <t>Ароматизатор AURA FRESH бочонок "Bio Cap" 6мл. Палуба (Deck)</t>
  </si>
  <si>
    <t>Ароматизатор AURA FRESH бочонок "Bio Cap" 6мл. Персик (Peach)</t>
  </si>
  <si>
    <t>Ароматизатор AURA FRESH бочонок "Bio Cap" 6мл. Черный Лед (Black Ice)</t>
  </si>
  <si>
    <t>Ароматизатор AURA FRESH бочонок "Bio Cap" 6мл. Экзотик (Exotic)</t>
  </si>
  <si>
    <t>Ароматизатор AURA FRESH листик гель "Prime DROP" №1 арт.23309</t>
  </si>
  <si>
    <t>Ароматизатор AURA FRESH листик гель "Prime DROP" №3 арт.23311</t>
  </si>
  <si>
    <t>Ароматизатор AURA FRESH листик гель "Prime DROP" №4 арт.23312</t>
  </si>
  <si>
    <t>Ароматизатор AURA FRESH листик гель "Prime DROP" №5 арт.23313</t>
  </si>
  <si>
    <t>Ароматизатор AURA FRESH листик гель "Prime DROP" №6 арт.23314</t>
  </si>
  <si>
    <t>Ароматизатор AURA FRESH листик гель "Prime DROP" №7 арт.23315</t>
  </si>
  <si>
    <t>Ароматизатор AURA FRESH листик гель "Prime DROP" №8 арт.23316</t>
  </si>
  <si>
    <t>Ароматизатор AURA FRESH листик гель "Prime DROP" №9 арт.23317</t>
  </si>
  <si>
    <t>Ароматизатор AURA FRESH мешочек с гранулами "Fresh Bag" Bubble Gum (Бабл Гам)</t>
  </si>
  <si>
    <t>Ароматизатор AURA FRESH мешочек с гранулами "Fresh Bag" Chocolate (Шоколад)</t>
  </si>
  <si>
    <t>Ароматизатор AURA FRESH мешочек с гранулами "Fresh Bag" For man (Для него)</t>
  </si>
  <si>
    <t>Ароматизатор AURA FRESH мешочек с гранулами "Fresh Bag" Pineapple (Ананас)</t>
  </si>
  <si>
    <t>Ароматизатор AURA FRESH мешочек с гранулами "Fresh Bag" Wood &amp; Spices (Корица со специями)</t>
  </si>
  <si>
    <t>Ароматизатор AURA FRESH мешочек с гранулами "PRIME SACHE" №1 арт.AUR-PS-0001</t>
  </si>
  <si>
    <t>Ароматизатор AURA FRESH мешочек с гранулами "PRIME SACHE" №2 арт.AUR-PS-0002</t>
  </si>
  <si>
    <t>Ароматизатор AURA FRESH мешочек с гранулами "PRIME SACHE" №3 арт.AUR-PS-0003</t>
  </si>
  <si>
    <t>Ароматизатор AURA FRESH мешочек с гранулами "PRIME SACHE" №4 арт.AUR-PS-0004</t>
  </si>
  <si>
    <t>Ароматизатор AURA FRESH мешочек с гранулами "PRIME SACHE" №5 арт.AUR-PS-0005</t>
  </si>
  <si>
    <t>Ароматизатор AURA FRESH мешочек с гранулами "PRIME SACHE" №6 арт.AUR-PS-0006</t>
  </si>
  <si>
    <t>Ароматизатор AURA FRESH мешочек с гранулами "PRIME SACHE" №7 арт.AUR-PS-0007</t>
  </si>
  <si>
    <t>Ароматизатор AURA FRESH флакон с деревянной крышкой "ENERGY" арт.23378 BULL</t>
  </si>
  <si>
    <t>Ароматизатор AURA FRESH флакон с деревянной крышкой "ENERGY" арт.23389 BURNING</t>
  </si>
  <si>
    <t>Ароматизатор AURA FRESH флакон с деревянной крышкой "ENERGY" арт.23397 FANTASY</t>
  </si>
  <si>
    <t>Ароматизатор AURA FRESH флакон с деревянной крышкой "ENERGY" арт.23399 MOJITO</t>
  </si>
  <si>
    <t>Ароматизатор AURA FRESH флакон с деревянной крышкой "ENERGY" арт.23401 MONSTER</t>
  </si>
  <si>
    <t>Ароматизатор AURA FRESH флакон с деревянной крышкой "ENERGY" арт.23403 ROSSO</t>
  </si>
  <si>
    <t>Ароматизатор AURA FRESH флакон с деревянной крышкой "Prime Cap - №1" арт.23149</t>
  </si>
  <si>
    <t>Ароматизатор AURA FRESH флакон с деревянной крышкой "Prime Cap - №2" арт.23150</t>
  </si>
  <si>
    <t>Ароматизатор AURA FRESH флакон с деревянной крышкой "Prime Cap - №3" арт.23151</t>
  </si>
  <si>
    <t>Ароматизатор AURA FRESH флакон с деревянной крышкой "Prime Cap - №4" арт.23152</t>
  </si>
  <si>
    <t>Ароматизатор AURA FRESH флакон с деревянной крышкой "Prime Cap - №6" арт.23154</t>
  </si>
  <si>
    <t>Ароматизатор AURA FRESH флакон с деревянной крышкой "UNISEX" арт.23362 ACTION</t>
  </si>
  <si>
    <t>Ароматизатор AURA FRESH флакон с деревянной крышкой "UNISEX" арт.23376 BLUES</t>
  </si>
  <si>
    <t>Ароматизатор AURA FRESH флакон с деревянной крышкой "UNISEX" арт.23380 DESIRE</t>
  </si>
  <si>
    <t>Ароматизатор AURA FRESH флакон с деревянной крышкой "UNISEX" арт.23386 ONYX</t>
  </si>
  <si>
    <t>Ароматизатор AURA FRESH флакон с деревянной крышкой "UNISEX" арт.23388 RAVE</t>
  </si>
  <si>
    <t>Ароматизатор AURAMI мешочек кофе со спреем 5мл Амаретто</t>
  </si>
  <si>
    <t>Ароматизатор AURAMI мешочек кофе со спреем 5мл Бразильский Кофе</t>
  </si>
  <si>
    <t>Ароматизатор AURAMI мешочек кофе со спреем 5мл Ванильное Кофе</t>
  </si>
  <si>
    <t>1/10/100/100 шт</t>
  </si>
  <si>
    <t>1/15/180 шт</t>
  </si>
  <si>
    <t>Ароматизатор CONTEX мешочек  SEX KING (феромоны) (1/15шт.)</t>
  </si>
  <si>
    <t>Ароматизатор CONTEX мешочек Sex First (Прохлада ночного сада) лаванда (1/15шт.)</t>
  </si>
  <si>
    <t>Ароматизатор CONTEX флакон с деревянной крышкой VIP Perfume №36 "Shaik Opulent №77 Gold Edition"</t>
  </si>
  <si>
    <t>Ароматизатор CONTRA  гель Love is... Домашнее печенье</t>
  </si>
  <si>
    <t>Ароматизатор CONTRA  гель Love is... Цитрусовый Рай</t>
  </si>
  <si>
    <t>Ароматизатор CONTRA  гель SEX NARCOTIC (Древесно-ванильная эйфория)</t>
  </si>
  <si>
    <t>Ароматизатор CONTRA  гель SEX POLICE (феромоны)</t>
  </si>
  <si>
    <t>Ароматизатор CONTRA  флакон с деревянной крышкой ANIMAL DA-01 "Pride"</t>
  </si>
  <si>
    <t>Ароматизатор CONTRA  флакон с деревянной крышкой ANIMAL DA-02 "Savage"</t>
  </si>
  <si>
    <t>Ароматизатор CONTRA  флакон с деревянной крышкой ANIMAL DA-03 "Egoist"</t>
  </si>
  <si>
    <t>Ароматизатор CONTRA  флакон с деревянной крышкой ANIMAL DA-04 "Insolence"</t>
  </si>
  <si>
    <t>Ароматизатор CONTRA  флакон с деревянной крышкой ANIMAL DA-05 "Le loup mechant"</t>
  </si>
  <si>
    <t>Ароматизатор CONTRA  флакон с деревянной крышкой ANIMAL DA-06 "Guilty"</t>
  </si>
  <si>
    <t>Ароматизатор CONTRA  флакон с деревянной крышкой ANIMAL DA-07 "Instinct"</t>
  </si>
  <si>
    <t>Ароматизатор CONTRA  флакон с деревянной крышкой ANIMAL DA-08 "Poison Pure"</t>
  </si>
  <si>
    <t>Ароматизатор CONTRA  флакон с деревянной крышкой ANIMAL DA-09 "Captivating"</t>
  </si>
  <si>
    <t>Ароматизатор CONTRA  флакон с деревянной крышкой CLASSIC 8мл. Black Ice</t>
  </si>
  <si>
    <t>Ароматизатор CONTRA  флакон с деревянной крышкой CLASSIC 8мл. Bubble Gum</t>
  </si>
  <si>
    <t>Ароматизатор CONTRA  флакон с деревянной крышкой CLASSIC 8мл. Caramel &amp; Vanilla</t>
  </si>
  <si>
    <t>Ароматизатор CONTRA  флакон с деревянной крышкой CLASSIC 8мл. New Car</t>
  </si>
  <si>
    <t>Ароматизатор CONTRA  флакон с деревянной крышкой CLASSIC 8мл. Ocean</t>
  </si>
  <si>
    <t>Ароматизатор CONTRA  флакон с деревянной крышкой CLASSIC 8мл. Pina Colada</t>
  </si>
  <si>
    <t>Ароматизатор CONTRA  флакон с деревянной крышкой CLASSIC 8мл. Vanilla</t>
  </si>
  <si>
    <t>Ароматизатор CONTRA  флакон с деревянной крышкой CLASSIC 8мл. Дикая Вишня</t>
  </si>
  <si>
    <t>Ароматизатор CONTRA  флакон с деревянной крышкой CLASSIC 8мл. Дыня</t>
  </si>
  <si>
    <t>Ароматизатор CONTRA  флакон с деревянной крышкой CLASSIC 8мл. Морской Бриз</t>
  </si>
  <si>
    <t>Ароматизатор CONTRA  флакон с деревянной крышкой CLASSIC 8мл. Сирень</t>
  </si>
  <si>
    <t>Ароматизатор CONTRA  флакон с деревянной крышкой CLASSIC 8мл. Шоколадная эйфория</t>
  </si>
  <si>
    <t>Ароматизатор CONTRA  флакон с деревянной крышкой D-01 SEX Наша работа (Эйфория цветов и фруктов)</t>
  </si>
  <si>
    <t>Ароматизатор CONTRA  флакон с деревянной крышкой D-02 Warning Sexogolik (Ваниль,восточные сладости)</t>
  </si>
  <si>
    <t>Ароматизатор CONTRA  флакон с деревянной крышкой D-03 The SexMafia (Древесно-цветочная свежесть)</t>
  </si>
  <si>
    <t>Ароматизатор CONTRA  флакон с деревянной крышкой D-04 Sex on Board (Грейфрукт с лепестками розы)</t>
  </si>
  <si>
    <t>Ароматизатор CONTRA  флакон с деревянной крышкой D-05 Sex Queen (Cладкий аромат)</t>
  </si>
  <si>
    <t>Ароматизатор CONTRA  флакон с деревянной крышкой D-06 Orgasm Tester (Свежесть Морского бриза)</t>
  </si>
  <si>
    <t>Ароматизатор CONTRA  флакон с деревянной крышкой Love is... Bubble Gum</t>
  </si>
  <si>
    <t>Ароматизатор CONTRA  флакон с деревянной крышкой Love is... Апельсин и молоко</t>
  </si>
  <si>
    <t>Ароматизатор CONTRA  флакон с деревянной крышкой Love is... Апельсиновое мороженое (1/20шт.)</t>
  </si>
  <si>
    <t>Ароматизатор CONTRA  флакон с деревянной крышкой Love is... Вишня в шоколаде  8мл. (1/20шт.)</t>
  </si>
  <si>
    <t>Ароматизатор CONTRA  флакон с деревянной крышкой Love is... Зеленый чай и грейпфрут (1/20шт.)</t>
  </si>
  <si>
    <t>Ароматизатор CONTRA  флакон с деревянной крышкой Love is... Кокосовая вода (1/20шт.)</t>
  </si>
  <si>
    <t>Ароматизатор CONTRA  флакон с деревянной крышкой Love is... Кокосовый орех (1/20шт.)</t>
  </si>
  <si>
    <t>Ароматизатор CONTRA  флакон с деревянной крышкой Love is... Кола  8мл. (1/20шт.)</t>
  </si>
  <si>
    <t>Ароматизатор CONTRA  флакон с деревянной крышкой Love is... Красная смородина (1/20шт.)</t>
  </si>
  <si>
    <t>Ароматизатор CONTRA  флакон с деревянной крышкой Love is... Крем-брюле (1/20шт.)</t>
  </si>
  <si>
    <t>Ароматизатор CONTRA  флакон с деревянной крышкой Love is... Мохито (1/20шт.)</t>
  </si>
  <si>
    <t>Ароматизатор CONTRA  флакон с деревянной крышкой Love is... Мятный дождь (1/20шт.)</t>
  </si>
  <si>
    <t>Ароматизатор CONTRA  флакон с деревянной крышкой Love is... Персиковый сок (1/20шт.)</t>
  </si>
  <si>
    <t>Ароматизатор CONTRA  флакон с деревянной крышкой Love is... Райский виноград (1/20шт.)</t>
  </si>
  <si>
    <t>Ароматизатор CONTRA  флакон с деревянной крышкой Love is... Сладкая папайя (1/20шт.)</t>
  </si>
  <si>
    <t>Ароматизатор CONTRA  флакон с деревянной крышкой Love is... Спелое личи (1/20шт.)</t>
  </si>
  <si>
    <t>Ароматизатор CONTRA  флакон с деревянной крышкой Love is... Тайский арбуз  8мл. (1/20шт.)</t>
  </si>
  <si>
    <t>Ароматизатор CONTRA  флакон с деревянной крышкой Love is... Тропические фрукты  8мл. (1/20шт.)</t>
  </si>
  <si>
    <t>Ароматизатор CONTRA  флакон с деревянной крышкой Love is... Цитрусовый рай 8мл. (1/20шт.)</t>
  </si>
  <si>
    <t>Ароматизатор CONTRA  флакон с деревянной крышкой Love is... Черная смородина (1/20шт.)</t>
  </si>
  <si>
    <t>Ароматизатор CONTRA  флакон с деревянной крышкой NEW LINE арт.D-19 "Sex on the beach"</t>
  </si>
  <si>
    <t>Ароматизатор CONTRA  флакон с деревянной крышкой NEW LINE арт.D-20 "Sex Driver"</t>
  </si>
  <si>
    <t>Ароматизатор CONTRA  флакон с деревянной крышкой NEW LINE арт.D-21 "Sex Hunter"</t>
  </si>
  <si>
    <t>Ароматизатор CONTRA  флакон с деревянной крышкой NEW LINE арт.D-22 "Sex Doctor"</t>
  </si>
  <si>
    <t>Ароматизатор CONTRA  флакон с деревянной крышкой NEW LINE арт.D-23 "Sex Instructor"</t>
  </si>
  <si>
    <t>Ароматизатор CONTRA  флакон с деревянной крышкой NEW LINE арт.D-24 "Fucking Egoist"</t>
  </si>
  <si>
    <t>Ароматизатор CONTRA  флакон с деревянной крышкой NEW LINE арт.D-25 "Sheikh"</t>
  </si>
  <si>
    <t>Ароматизатор CONTRA  флакон с деревянной крышкой NEW LINE арт.D-26 "Casablanca"</t>
  </si>
  <si>
    <t>Ароматизатор CONTRA  флакон с деревянной крышкой NEW LINE арт.D-27 "Арабская ночь"</t>
  </si>
  <si>
    <t>Ароматизатор CONTRA  флакон с деревянной крышкой NEW LINE арт.D-28 "Караван"</t>
  </si>
  <si>
    <t>Ароматизатор CONTRA  флакон с деревянной крышкой NEW LINE арт.D-29 "Cannabis"</t>
  </si>
  <si>
    <t>Ароматизатор CONTRA  флакон с деревянной крышкой Премиум D-08 SEX POLICE (Мандарин и мускус)</t>
  </si>
  <si>
    <t>Ароматизатор CONTRA  флакон с деревянной крышкой Премиум D-09 SEX NARCOTIC (Древесно-ванильный)</t>
  </si>
  <si>
    <t>Ароматизатор CONTRA  флакон с деревянной крышкой Премиум D-11 SEX KILLER (Черная ваниль и ликер)</t>
  </si>
  <si>
    <t>Ароматизатор CONTRA  флакон с деревянной крышкой Премиум D-12 SEX EXOTIC (Мандарин,маракуйя)</t>
  </si>
  <si>
    <t>Ароматизатор CONTRA  флакон с деревянной крышкой Премиум D-13 SEX CRUISE (Сицилийский бергамот)</t>
  </si>
  <si>
    <t>Ароматизатор CONTRA  флакон с деревянной крышкой Премиум D-15 SEX LADY (Миндаль,смородина и цветы)</t>
  </si>
  <si>
    <t>Ароматизатор CONTRA  флакон с деревянной крышкой Премиум D-16 SEX INSTINCT (Кофе,ваниль)</t>
  </si>
  <si>
    <t>Ароматизатор CONTRA елочка SEX LINE арт.K-01 "Sex Наша Работа"</t>
  </si>
  <si>
    <t>Ароматизатор CONTRA елочка SEX LINE арт.K-02 "Warning Sexogolik" (Ваниль,восточные сладости)</t>
  </si>
  <si>
    <t>Ароматизатор CONTRA елочка SEX LINE арт.K-03 "The SexMafia" (Древесно-цветочная свежесть)</t>
  </si>
  <si>
    <t>Ароматизатор CONTRA елочка SEX LINE арт.K-05 "Sex Queen"</t>
  </si>
  <si>
    <t>Ароматизатор CONTRA елочка SEX LINE арт.K-06 "Orgasm Tester"</t>
  </si>
  <si>
    <t>Ароматизатор CONTRA елочка SEX LINE арт.K-10 "KING"</t>
  </si>
  <si>
    <t>Ароматизатор CONTRA елочка SEX LINE арт.K-12 "Sex Exotic"</t>
  </si>
  <si>
    <t>Ароматизатор CONTRA елочка SEX LINE арт.K-13 "Sex Gruise"</t>
  </si>
  <si>
    <t>Ароматизатор CONTRA елочка SEX LINE арт.K-14 "Sex secret"</t>
  </si>
  <si>
    <t>Ароматизатор CONTRA елочка SEX LINE арт.K-16 "Sex Instinct"</t>
  </si>
  <si>
    <t>Ароматизатор CONTRA елочка SEX LINE арт.K-19 "Sex on the Beach"</t>
  </si>
  <si>
    <t>Ароматизатор CONTRA елочка SEX LINE арт.K-20 "Sex Driver"</t>
  </si>
  <si>
    <t>Ароматизатор CONTRA елочка SEX LINE арт.K-21 "Sex Hunter"</t>
  </si>
  <si>
    <t>Ароматизатор CONTRA елочка SEX LINE арт.K-23 "Sex Instructor"</t>
  </si>
  <si>
    <t>Ароматизатор CONTRA елочка SEX LINE арт.K-27 "Арабская ночь"</t>
  </si>
  <si>
    <t>Ароматизатор CONTRA мешочек  SEX POLICE (Красный мандарин и белый мускус) (1/15шт)</t>
  </si>
  <si>
    <t>Ароматизатор Dr.MARKUS бочонок Senso Зеленная трава (Green Grass) (1/14шт)</t>
  </si>
  <si>
    <t>Ароматизатор Dr.MARKUS бочонок Senso Черный (Black) (1/14шт)</t>
  </si>
  <si>
    <t>Ароматизатор Dr.MARKUS бочонок Эколо  МИКС на листе  1/16шт.</t>
  </si>
  <si>
    <t>Ароматизатор Dr.MARKUS мешочек с гранулами Fresh Bag  МИКС в коробке (1/15шт)</t>
  </si>
  <si>
    <t>Ароматизатор Dr.MARKUS мешочек с гранулами Fresh Bag  МИКС на листе  1/24шт.</t>
  </si>
  <si>
    <t>1/24/8 шт</t>
  </si>
  <si>
    <t>Ароматизатор Dr.MARKUS мешочек с гранулами Fresh Bag Frozen</t>
  </si>
  <si>
    <t>1/15/150 шт</t>
  </si>
  <si>
    <t>Ароматизатор Dr.MARKUS мешочек с гранулами Fresh Bag Антитабак (Anti-tobacco)</t>
  </si>
  <si>
    <t>Ароматизатор Dr.MARKUS мешочек с гранулами Fresh Bag Бабл Гам (Bubble Gum)</t>
  </si>
  <si>
    <t>Ароматизатор Dr.MARKUS мешочек с гранулами Fresh Bag Ваниль (Vanilla)</t>
  </si>
  <si>
    <t>Ароматизатор Dr.MARKUS мешочек с гранулами Fresh Bag Красные фрукты (Red Fruits)</t>
  </si>
  <si>
    <t>Ароматизатор Dr.MARKUS мешочек с гранулами Fresh Bag Лаванда (Lavender)</t>
  </si>
  <si>
    <t>Ароматизатор Dr.MARKUS мешочек с гранулами Fresh Bag Новая Машина (New Car)</t>
  </si>
  <si>
    <t>Ароматизатор Dr.MARKUS мешочек с гранулами Fresh Bag Океан (Ocean)</t>
  </si>
  <si>
    <t>Ароматизатор Dr.MARKUS мешочек с гранулами Fresh Bag Сирень (Lilac)</t>
  </si>
  <si>
    <t>Ароматизатор Dr.MARKUS подвесной Lucky Top  МИКС на листе 1/16шт.</t>
  </si>
  <si>
    <t>1/45 шт</t>
  </si>
  <si>
    <t>1/24/144 шт</t>
  </si>
  <si>
    <t>Ароматизатор LITTLE TREES елочка Бабл Гам (Bubble Gum)</t>
  </si>
  <si>
    <t>Ароматизатор LITTLE TREES елочка Ваниль (Vanillaroma)</t>
  </si>
  <si>
    <t>Ароматизатор LITTLE TREES елочка Дикая вишня (Wild Cherry)</t>
  </si>
  <si>
    <t>Ароматизатор LITTLE TREES елочка Жасмин (Jasmin)</t>
  </si>
  <si>
    <t>Ароматизатор LITTLE TREES елочка Карибский коктейль (Caribbean Colada)</t>
  </si>
  <si>
    <t>Ароматизатор LITTLE TREES елочка Клубника (Strawberry)</t>
  </si>
  <si>
    <t>Ароматизатор LITTLE TREES елочка Королевская Сосна (Royal Pine)</t>
  </si>
  <si>
    <t>Ароматизатор LITTLE TREES елочка Маргарита (Margarita)</t>
  </si>
  <si>
    <t>Ароматизатор LITTLE TREES елочка Пламя Востока (Heat)</t>
  </si>
  <si>
    <t>Ароматизатор LITTLE TREES елочка Россия (Russia)  (1/24шт.)</t>
  </si>
  <si>
    <t>Ароматизатор LITTLE TREES елочка Сердце Севера (True North)</t>
  </si>
  <si>
    <t>Ароматизатор LITTLE TREES елочка Стальная Сила (Pure Steel)</t>
  </si>
  <si>
    <t>Ароматизатор MAXI FRESH бочонок 5мл МИКС в шоубоксе 1/16шт</t>
  </si>
  <si>
    <t>Ароматизатор NICE SMELL Перчатки МИКС на листе 1/15шт.</t>
  </si>
  <si>
    <t>Ароматизатор NOVA елочка Каламбуры МИКС в коробке 1/50шт.</t>
  </si>
  <si>
    <t>Ароматизатор NOVA елочка СМАЙЛ  МИКС в коробке 1/50шт.</t>
  </si>
  <si>
    <t>Ароматизатор TENSY бочонок 6мл. Парфюм ADORE (1/15шт)</t>
  </si>
  <si>
    <t>Ароматизатор TENSY бочонок 6мл. Парфюм BARHAT (1/15шт)</t>
  </si>
  <si>
    <t>Ароматизатор TENSY бочонок 6мл. Парфюм BELLE (1/15шт)</t>
  </si>
  <si>
    <t>Ароматизатор TENSY бочонок 6мл. Парфюм CHARM (1/15шт)</t>
  </si>
  <si>
    <t>Ароматизатор TENSY бочонок 6мл. Парфюм DOLCE (1/15шт)</t>
  </si>
  <si>
    <t>Ароматизатор TENSY бочонок 6мл. Парфюм FLEUR (1/15шт)</t>
  </si>
  <si>
    <t>Ароматизатор TENSY бочонок 6мл. Парфюм GLAMOUR (1/15шт)</t>
  </si>
  <si>
    <t>Ароматизатор TENSY бочонок 6мл. Парфюм NEZHNOST (1/15шт)</t>
  </si>
  <si>
    <t>Ароматизатор TENSY бочонок 6мл. Парфюм TERRA (1/15шт)</t>
  </si>
  <si>
    <t>Ароматизатор TENSY бочонок 6мл. Парфюм VOSTORG (1/15шт)</t>
  </si>
  <si>
    <t>Ароматизатор на панель</t>
  </si>
  <si>
    <t>Ароматизатор AURAMI банка на панель (икра) PRL-01 Ванильное мороженное (Vanilla ice cream)</t>
  </si>
  <si>
    <t>Ароматизатор AURAMI банка на панель (икра) PRL-03 Бабл Гам (Bubble Gum)</t>
  </si>
  <si>
    <t>Ароматизатор AURAMI банка на панель (икра) PRL-04 Тутти Фрутти (Tutti Frutti)</t>
  </si>
  <si>
    <t>Ароматизатор AURAMI банка на панель (икра) PRL-09 Босс (Boss)</t>
  </si>
  <si>
    <t>Ароматизатор AURAMI банка на панель Black Cube "BLC 01" Ванильное мороженое (Vanilla Ice Cream)</t>
  </si>
  <si>
    <t>Ароматизатор AURAMI банка на панель Black Cube "BLC 03" Бабл Гам (Bubble Gum)</t>
  </si>
  <si>
    <t>Ароматизатор AURAMI банка на панель GEL-01 Ванильное мороженное (Vanilla ice cream)</t>
  </si>
  <si>
    <t>1/175 шт</t>
  </si>
  <si>
    <t>Ароматизатор CONTRA  банка на панель SEX LADY (феромоны)</t>
  </si>
  <si>
    <t>Ароматизатор CONTRA  банка на панель SEX SECRET (феромоны)</t>
  </si>
  <si>
    <t>Ароматизатор Dr.MARKUS банка на панель Senso Deluxe Intensive</t>
  </si>
  <si>
    <t>Ароматизатор Dr.MARKUS банка на панель Senso Deluxe Персик и Лед (Peach &amp; Ice)</t>
  </si>
  <si>
    <t>Ароматизатор Dr.MARKUS банка на панель Senso Deluxe Свежий сад (Fresh Garden)</t>
  </si>
  <si>
    <t>Ароматизатор Dr.MARKUS банка на панель Senso Deluxe Трава и Лед (Grass &amp; Ice)</t>
  </si>
  <si>
    <t>1/16/48 шт</t>
  </si>
  <si>
    <t>Ароматизатор TASOTTI банка на панель Престиж Арбуз (Watermelon)</t>
  </si>
  <si>
    <t>Ароматизатор TASOTTI банка на панель Престиж Горная свежесть (Mountain Fresh)</t>
  </si>
  <si>
    <t>Ароматизатор TASOTTI банка на панель Престиж Зеленое яблоко (Green Apple)</t>
  </si>
  <si>
    <t>Ароматизатор TASOTTI банка на панель Престиж Лед Аква (Ice Aqua)</t>
  </si>
  <si>
    <t>Ароматизатор TASOTTI банка на панель Престиж Ледяная Мята (Ice Mint)</t>
  </si>
  <si>
    <t>Ароматизатор TASOTTI банка на панель Престиж Ледяной чай Персик (Ice Tea Peach)</t>
  </si>
  <si>
    <t>Ароматизатор TASOTTI банка на панель Престиж Лесная ягода (Wild Berry)</t>
  </si>
  <si>
    <t>Ароматизатор TASOTTI банка на панель Престиж Тутти Фрутти (Tutti Frutti)</t>
  </si>
  <si>
    <t>Ароматизатор TASOTTI банка на панель Престиж Шоколадная карамель (Chocolate Caramel)</t>
  </si>
  <si>
    <t>Ароматизатор TASOTTI спрей на панель Excellent Citrusland (Цитрус)</t>
  </si>
  <si>
    <t>Ароматизатор TASOTTI спрей на панель Excellent Strawberry (Клубника)</t>
  </si>
  <si>
    <t>Ароматизатор TASOTTI спрей на панель Excellent Vanilla (Ваниль)  (1/16шт.)</t>
  </si>
  <si>
    <t>Ароматизатор TASOTTI спрей на панель Excellent Watermelon (Арбуз)  (1/16шт.)</t>
  </si>
  <si>
    <t>Ароматизатор TASOTTI спрей на панель Куб Faith Perfumes  (1/16шт.)</t>
  </si>
  <si>
    <t>Ароматизатор TASOTTI спрей на панель Куб Аквамэн (Aquman)  (1/16шт.)</t>
  </si>
  <si>
    <t>Ароматизатор TASOTTI спрей на панель Куб Клубника (Strawberry)</t>
  </si>
  <si>
    <t>Ароматизатор TASOTTI спрей на панель Куб Лимонный Сквош (Lemon Squash)</t>
  </si>
  <si>
    <t>Ароматизатор TASOTTI спрей на панель Куб Новая машина (New Car)  (1/16шт.)</t>
  </si>
  <si>
    <t>Ароматизатор TASOTTI спрей на панель Куб Папайя (Papaya)  (1/16шт.)</t>
  </si>
  <si>
    <t>Ароматизатор под сиденье</t>
  </si>
  <si>
    <t>Ароматизатор BIG FRESH под сиденье Ароматная Слива (1/40шт.)</t>
  </si>
  <si>
    <t>Ароматизатор BIG FRESH под сиденье Ароматный Кофе (1/40шт.)</t>
  </si>
  <si>
    <t>Ароматизатор BIG FRESH под сиденье Банан (1/40шт.)</t>
  </si>
  <si>
    <t>Ароматизатор BIG FRESH под сиденье Душистая земляника (1/40шт.)</t>
  </si>
  <si>
    <t>Ароматизатор BIG FRESH под сиденье Зеленое яблоко (1/40шт.)</t>
  </si>
  <si>
    <t>Ароматизатор BIG FRESH под сиденье Парижанка (1/40шт.)</t>
  </si>
  <si>
    <t>Ароматизатор BIG FRESH под сиденье Смородиновый фреш (1/40шт.)</t>
  </si>
  <si>
    <t>Ароматизатор BIG FRESH под сиденье Спелая Груша (1/40шт.)</t>
  </si>
  <si>
    <t>Ароматизатор BIG FRESH под сиденье Цветок Сакуры (1/40шт.)</t>
  </si>
  <si>
    <t>Ароматизатор спрей</t>
  </si>
  <si>
    <t>Ароматизатор AROMA аэрозоль Intenso Aero  МИКС в коробке (1/30шт)</t>
  </si>
  <si>
    <t>1/24/96 шт</t>
  </si>
  <si>
    <t>Ароматизатор AURA FRESH спрей " PUMP" Lemon (Лимон) 50мл. арт.23369</t>
  </si>
  <si>
    <t>Ароматизатор AURA FRESH спрей " PUMP" Strawberry (Клубника) 50мл. арт.23373</t>
  </si>
  <si>
    <t>Ароматизатор AURAMI спрей SPR-03 Бабл Гам (Bubble Gum) 100мл.</t>
  </si>
  <si>
    <t>Ароматизатор AURAMI спрей SPR-04 Тутти Фрутти (Tutti Frutti) 100мл.</t>
  </si>
  <si>
    <t>Ароматизатор AURAMI спрей SPR-20 Арбуз (Watermelon) 100мл.</t>
  </si>
  <si>
    <t>Ароматизатор AURAMI спрей SPR-21 Дыня (Melon) 100мл.</t>
  </si>
  <si>
    <t>1/168 шт</t>
  </si>
  <si>
    <t>Ароматизатор CONTEX / CONTRA  спрей + елочка в упак.30мл. SEX POLICE (феромоны)</t>
  </si>
  <si>
    <t>Ароматизатор CONTEX / CONTRA  спрей + елочка в упак.30мл. Sex Queen (Cладость цветочных лепестков)</t>
  </si>
  <si>
    <t>Ароматизатор CONTEX / CONTRA  спрей + елочка в упак.30мл. Sex Наша Работа (Эйфория цветов и фруктов)</t>
  </si>
  <si>
    <t>Ароматизатор CONTEX / CONTRA  спрей + елочка в упак.30мл. The SexMafia (Древесно-цветочная свежесть)</t>
  </si>
  <si>
    <t>Ароматизатор CONTEX / CONTRA  спрей + елочка в упак.30мл. Warning Sexogolik (Ваниль, вост.сладости)</t>
  </si>
  <si>
    <t>Ароматизатор CONTEX / CONTRA  спрей + елочка в упак.30мл. Премиум Sex Наша Работа (Афган.цветок)</t>
  </si>
  <si>
    <t>Ароматизатор CONTRA спрей 100мл. Orgasm Tester (Свежесть Морского бриза) (1/10шт.)</t>
  </si>
  <si>
    <t>Ароматизатор CONTRA спрей 100мл. SEX POLICE (феромоны) (1/10шт.)</t>
  </si>
  <si>
    <t>Ароматизатор CONTRA спрей 100мл. Sex Наша Работа (Эйфория цветов и фруктов) (1/10шт.)</t>
  </si>
  <si>
    <t>Ароматизатор Dr.MARKUS спрей Pump Антитабак (Anti Tabacco)</t>
  </si>
  <si>
    <t>Ароматизатор Dr.MARKUS спрей Pump Клубника (Strawberry)</t>
  </si>
  <si>
    <t>Ароматизатор Dr.MARKUS спрей Pump Лимон (Lemon)</t>
  </si>
  <si>
    <t>Ароматизатор Dr.MARKUS спрей Pump Океан (Ocean)</t>
  </si>
  <si>
    <t>Ароматизатор Dr.MARKUS спрей Pump Хвоя (Pine)</t>
  </si>
  <si>
    <t>Ароматизатор Dr.MARKUS спрей Pump Черный (Black)</t>
  </si>
  <si>
    <t>Ароматизатор универсальный</t>
  </si>
  <si>
    <t>Ароматизатор ABRO консерва Organic Гардения (Gardenia)</t>
  </si>
  <si>
    <t>Ароматизатор ABRO консерва Organic Жасмин (Jasmine)</t>
  </si>
  <si>
    <t>Ароматизатор ABRO консерва Organic Лаванда (Lavender)</t>
  </si>
  <si>
    <t>Ароматизатор ABRO консерва Organic Морской Сквош (Squash)</t>
  </si>
  <si>
    <t>Ароматизатор ABRO консерва Organic Новая Машина (New Car)</t>
  </si>
  <si>
    <t>Ароматизатор ABRO консерва Organic Освежающий Бриз (Refreshing Breeze)</t>
  </si>
  <si>
    <t>Ароматизатор ABRO консерва Organic Прохладный Ветерок (Cool Breeze)</t>
  </si>
  <si>
    <t>Ароматизатор ABRO консерва Organic Роза (Rose)</t>
  </si>
  <si>
    <t>Ароматизатор ABRO консерва Organic Сосна (Pine)</t>
  </si>
  <si>
    <t>Ароматизатор ABRO консерва Organic Хлопок (Cotton)</t>
  </si>
  <si>
    <t>Ароматизатор AREON консерва KEN Антитабак (Anti Tobacco)</t>
  </si>
  <si>
    <t>Ароматизатор AREON консерва KEN Вишня (Cherry)</t>
  </si>
  <si>
    <t>Ароматизатор AREON консерва KEN Кокос (Coconut)</t>
  </si>
  <si>
    <t>Ароматизатор Dr.MARKUS консерва Aircan Бабл Гам (Bubble Gum)</t>
  </si>
  <si>
    <t>Ароматизатор Dr.MARKUS консерва Aircan Ваниль (Vanilla)</t>
  </si>
  <si>
    <t>Ароматизатор Dr.MARKUS консерва Aircan Вишня (Cherry blossom)</t>
  </si>
  <si>
    <t>Ароматизатор Dr.MARKUS консерва Aircan Гиацинт (Hyacinth)</t>
  </si>
  <si>
    <t>Ароматизатор Dr.MARKUS консерва Aircan Красные фрукты (Red Fruits)</t>
  </si>
  <si>
    <t>Ароматизатор Dr.MARKUS консерва Aircan Свежий Лимон (Fresh Lemon)</t>
  </si>
  <si>
    <t>Аудио- аксессуары</t>
  </si>
  <si>
    <t>Колонки</t>
  </si>
  <si>
    <t>Наушники</t>
  </si>
  <si>
    <t>Наушник-гарнитура Samsung SY-358</t>
  </si>
  <si>
    <t>Наушники BOROFONE арт.BM-56 на айфон</t>
  </si>
  <si>
    <t>Газовое оборудование</t>
  </si>
  <si>
    <t>Газ</t>
  </si>
  <si>
    <t>Газ Корея зимний (1/4/28шт)</t>
  </si>
  <si>
    <t>Газ универсальный (1/12шт.)</t>
  </si>
  <si>
    <t>Горелка газовая</t>
  </si>
  <si>
    <t>Горелка газовая (большая) (1/20шт)</t>
  </si>
  <si>
    <t>Горелка газовая Exelon с пьезо элементом WS-503C  (1/10шт.)</t>
  </si>
  <si>
    <t>1/10/60 шт</t>
  </si>
  <si>
    <t>Горелка газовая Multi Purpose Torch с пьезо элементом NO.:915 (1/10шт)</t>
  </si>
  <si>
    <t>Горелка газовая Multi Purpose Torch с пьезо элементом WS-504C (1/10шт)</t>
  </si>
  <si>
    <t>Горелка газовая Имрун с пьезо элементом  (1/10шт.)</t>
  </si>
  <si>
    <t>Плита газовая</t>
  </si>
  <si>
    <t>Изоляционная лента</t>
  </si>
  <si>
    <t>Изолента</t>
  </si>
  <si>
    <t>Изолента ABRO 19мм*9,1м белая  1/10шт.</t>
  </si>
  <si>
    <t>Изолента ABRO 19мм*9,1м желтая   1/10шт.</t>
  </si>
  <si>
    <t>Изолента ABRO 19мм*9,1м зеленая    1/10шт.</t>
  </si>
  <si>
    <t>Изолента ABRO 19мм*9,1м красная    1/10шт.</t>
  </si>
  <si>
    <t>Изолента ABRO 19мм*9,1м оранжевая    1/10шт.</t>
  </si>
  <si>
    <t>Изолента ABRO 19мм*9,1м синяя    1/10шт.</t>
  </si>
  <si>
    <t>Изолента ABRO 19мм*9,1м черная    1/10шт.</t>
  </si>
  <si>
    <t>Изолента BLU WAY  19мм*9,1м   1/10шт.</t>
  </si>
  <si>
    <t>Изолента City UP CA-201915BL синяя (20м*19мм*0,15мм)  1/10шт.</t>
  </si>
  <si>
    <t>Изолента Neomatec 19мм*25м белая  1/10шт.</t>
  </si>
  <si>
    <t>Изолента Neomatec 19мм*25м красная  1/10шт.</t>
  </si>
  <si>
    <t>Изолента Neomatec 19мм*25м серая  1/10шт.</t>
  </si>
  <si>
    <t>Изолента Neomatec 19мм*25м синяя  1/10шт.</t>
  </si>
  <si>
    <t>1/250 шт</t>
  </si>
  <si>
    <t>Изолента ZEBRA 15мм*20м синяя  1/10шт.</t>
  </si>
  <si>
    <t>Изолента ZEBRA 15мм*20м черная  1/10шт.</t>
  </si>
  <si>
    <t>Изолента ZEBRA 19мм*25м синяя  1/10шт.</t>
  </si>
  <si>
    <t>Инструменты</t>
  </si>
  <si>
    <t>Ареометр</t>
  </si>
  <si>
    <t>1/150 шт</t>
  </si>
  <si>
    <t>Ареометр в тубе (1/100шт)</t>
  </si>
  <si>
    <t>Ареометр для электролита "ALCA" арт.561000</t>
  </si>
  <si>
    <t>Ареометр со шкалой</t>
  </si>
  <si>
    <t>1/500 шт</t>
  </si>
  <si>
    <t>Болт номера</t>
  </si>
  <si>
    <t>Болт номера классика  (1/100шт.)</t>
  </si>
  <si>
    <t>1/100/300 шт</t>
  </si>
  <si>
    <t>Домкрат</t>
  </si>
  <si>
    <t>Домкрат подкатной HOLITUNKI 2 т (345мм)</t>
  </si>
  <si>
    <t>Домкрат подкатной HOLITUNKI 3 т</t>
  </si>
  <si>
    <t>Домкрат подкатной Автовираж 2 т (330мм) / Арт.Т8000 гидравлический арт.420225</t>
  </si>
  <si>
    <t>Захват</t>
  </si>
  <si>
    <t>Захват магнитный гибкий с подсветкой</t>
  </si>
  <si>
    <t>Захват-указка магнитная телескопическая без подсветки IN-036</t>
  </si>
  <si>
    <t>Захват-указка магнитная телескопическая с подсветкой арт.IN-035</t>
  </si>
  <si>
    <t>Ключи</t>
  </si>
  <si>
    <t>Ключ балонный телескопический 17-19*</t>
  </si>
  <si>
    <t>Ключ для снятия масляного фильтра Краб 65-110 мм кругл.ножки арт.901</t>
  </si>
  <si>
    <t>Ключ для снятия масляного фильтра Краб арт.HT.OF-02  43-102 мм. кругл.гнутые ножки</t>
  </si>
  <si>
    <t>Ключ для снятия масляного фильтра Серп</t>
  </si>
  <si>
    <t>Ключ для снятия масляного фильтра Серп ременной HM-301</t>
  </si>
  <si>
    <t>Ключ для снятия масляного фильтра Серп цепной HM-501</t>
  </si>
  <si>
    <t>Ключ для снятия масляного фильтра Цепь</t>
  </si>
  <si>
    <t>Ключ прокачки тормозов 10-12*</t>
  </si>
  <si>
    <t>Ключ прокачки тормозов 10-13*</t>
  </si>
  <si>
    <t>Ключ свечной трубка 16* 160мм</t>
  </si>
  <si>
    <t>Ключ свечной трубка 16* 230мм</t>
  </si>
  <si>
    <t>1/100/100 шт</t>
  </si>
  <si>
    <t>Ключ свечной трубка 21* 160мм</t>
  </si>
  <si>
    <t>Ключ свечной трубка 21* 230мм</t>
  </si>
  <si>
    <t>1/100/150 шт</t>
  </si>
  <si>
    <t>Ключ тренога 11-13-15*</t>
  </si>
  <si>
    <t>Ключ тренога 12-14-17*</t>
  </si>
  <si>
    <t>Ключ тренога 8-10-12*</t>
  </si>
  <si>
    <t>Ключ тренога 8-9-10*</t>
  </si>
  <si>
    <t>Ключ тренога 8-9-13*</t>
  </si>
  <si>
    <t>Ключ тренога 9-11-13*</t>
  </si>
  <si>
    <t>Ключ трубка 11-13*</t>
  </si>
  <si>
    <t>Ключ трубка 12-13*</t>
  </si>
  <si>
    <t>Ключ трубка 16-21*</t>
  </si>
  <si>
    <t>Ключ трубка 6 предметов</t>
  </si>
  <si>
    <t>1/10/200 шт</t>
  </si>
  <si>
    <t>1/400 шт</t>
  </si>
  <si>
    <t>Ключи комбинированные  6 предметов</t>
  </si>
  <si>
    <t>Ключи комбинированные  8 предметов</t>
  </si>
  <si>
    <t>Ключи комбинированные 12 предметов</t>
  </si>
  <si>
    <t>Набор Г-образных ключей звездочки длинный</t>
  </si>
  <si>
    <t>1/12/15 шт</t>
  </si>
  <si>
    <t>Набор Г-образных ключей звездочки короткий</t>
  </si>
  <si>
    <t>1/15/18 шт</t>
  </si>
  <si>
    <t>Набор Г-образных ключей звездочки средний</t>
  </si>
  <si>
    <t>1/12/12 шт</t>
  </si>
  <si>
    <t>Набор Г-образных ключей шестигранников длинный</t>
  </si>
  <si>
    <t>Набор Г-образных ключей шестигранников короткий</t>
  </si>
  <si>
    <t>1/12/48 шт</t>
  </si>
  <si>
    <t>Набор Г-образных ключей шестигранников средний</t>
  </si>
  <si>
    <t>Нож канцелярский</t>
  </si>
  <si>
    <t>Оправка поршневых колес</t>
  </si>
  <si>
    <t>Оправка поршневых колец</t>
  </si>
  <si>
    <t>Отвертки</t>
  </si>
  <si>
    <t>Набор головок AlWA 40 предметов</t>
  </si>
  <si>
    <t>Набор инструмента AUTOVIRAZH  18 предметов AV-212018 арт.18155</t>
  </si>
  <si>
    <t>Набор инструмента AUTOVIRAZH  35 предметов AV-212035 арт.18156</t>
  </si>
  <si>
    <t>Набор инструмента AUTOVIRAZH 140 предметов AV-212140 арт.18157</t>
  </si>
  <si>
    <t>Набор отверток силовых SD-01632  / SCF-8049  6 предметов</t>
  </si>
  <si>
    <t>1/24/24 шт</t>
  </si>
  <si>
    <t>Отвертка IGALL тонкая двухсторонняя</t>
  </si>
  <si>
    <t>Отвертка Jiaxiao большая 6 в 1   ( 4 предмета )</t>
  </si>
  <si>
    <t>Отвертка Зебра 3 в 1 регулируемая (1/12шт.)</t>
  </si>
  <si>
    <t>Отвертка индикаторная (6-24 V)   (1/10шт.)</t>
  </si>
  <si>
    <t>Отвертка индикаторная (6-24 V) звуковая Rexant 16-0102 (1/10шт)</t>
  </si>
  <si>
    <t>Отвертка индикаторная (6-24 V) латунь арт.П-100М</t>
  </si>
  <si>
    <t>Отвертка пузатая с дополнительным отверстием двухсторонняя</t>
  </si>
  <si>
    <t>Отвертка Т-образная с трещоткой (1/12шт.)</t>
  </si>
  <si>
    <t>Отвертка Т-образная с трещоткой Флаг</t>
  </si>
  <si>
    <t>Пробник ( тестер) напряжения 8/1</t>
  </si>
  <si>
    <t>Пассатижи</t>
  </si>
  <si>
    <t>Пассатижи большие 200мм</t>
  </si>
  <si>
    <t>1/6/48 шт</t>
  </si>
  <si>
    <t>Пассатижи маленькие 160мм</t>
  </si>
  <si>
    <t>Пассатижи средние 180мм</t>
  </si>
  <si>
    <t>Саморез номера</t>
  </si>
  <si>
    <t>Саморез номера хромированный</t>
  </si>
  <si>
    <t>Шприц нагнетательный</t>
  </si>
  <si>
    <t>Шприц нагнетательный OrphEus №IA60001 металлический 0,5л</t>
  </si>
  <si>
    <t>Шприц нагнетательный OrphEus №IA60002 металлический 1л</t>
  </si>
  <si>
    <t>Шприц нагнетательный Пластиковый 0,5л  (1/30шт.)</t>
  </si>
  <si>
    <t>Шприц нагнетательный Плунжерный 0,4л</t>
  </si>
  <si>
    <t>Шприц нагнетательный Плунжерный 0,8л</t>
  </si>
  <si>
    <t>Щетка</t>
  </si>
  <si>
    <t>Щетка по металлу   (1/24 шт.)</t>
  </si>
  <si>
    <t>Щетка по металлу дорогая</t>
  </si>
  <si>
    <t>Щуп</t>
  </si>
  <si>
    <t>1/15/300 шт</t>
  </si>
  <si>
    <t>Компрессоры</t>
  </si>
  <si>
    <t>Компрессор автомобильный  Торнадо АС-600 Inflater со спиральным шлангом (1/8шт)</t>
  </si>
  <si>
    <t>Компрессор автомобильный AVS Turbo KS 350L арт.80506 (1/10шт)</t>
  </si>
  <si>
    <t>Компрессор автомобильный AVS Turbo KS 750D 2-х поршневой арт.80505 (1/6шт)</t>
  </si>
  <si>
    <t>Компрессор автомобильный AVS Turbo KS 900 арт.80504 (1/4шт)</t>
  </si>
  <si>
    <t>Компрессор автомобильный AVS Turbo КА 580 арт.43001 (1/8шт)</t>
  </si>
  <si>
    <t>Компрессор автомобильный AVS Turbo КЕ 350EL арт.а80825s (1/8шт)</t>
  </si>
  <si>
    <t>Компрессор автомобильный AVS Turbo КЕ 400EL арт.А80977S (1/6шт)</t>
  </si>
  <si>
    <t>Компрессор автомобильный Inflater Торнадо / MAAS Inflater Торнадо-M АС-580 (1/8шт) м/синий</t>
  </si>
  <si>
    <t>Наборы ТО</t>
  </si>
  <si>
    <t>Аптечки</t>
  </si>
  <si>
    <t>Аптечка "СПАС"  1/15шт. (перчатки,маска)</t>
  </si>
  <si>
    <t>Аптечка ЛЕЙКО нов/обр в сумке (1/30шт)</t>
  </si>
  <si>
    <t>Аптечка Росгосстрах Авто   1/15шт.</t>
  </si>
  <si>
    <t>Аптечка ФЭСТ  транспортная №2  (1/18шт.)</t>
  </si>
  <si>
    <t>Аптечка ФЭСТ  транспортная №3  (1/18шт)</t>
  </si>
  <si>
    <t>Башмак</t>
  </si>
  <si>
    <t>Жилет</t>
  </si>
  <si>
    <t>Жилет сигнальный ГОСТ 4 полосы</t>
  </si>
  <si>
    <t>Знак аварийный</t>
  </si>
  <si>
    <t>Знак аварийный MAAS в пенале большой 402RT107</t>
  </si>
  <si>
    <t>Знак аварийный Sis GS в пенале средний</t>
  </si>
  <si>
    <t>Огнетушители</t>
  </si>
  <si>
    <t>Огнетушитель Белгород порошковый, пластиковый в коробке 2л. (1/20шт.)</t>
  </si>
  <si>
    <t>Огнетушитель порошковый, металлический 2л (1/6шт)</t>
  </si>
  <si>
    <t>Огнетушитель Ростов порошковый, пластиковый 2л (1/15шт)</t>
  </si>
  <si>
    <t>Огнетушитель Самара порошковый, металлический 4л</t>
  </si>
  <si>
    <t>Огнетушитель Самара порошковый, металлический 5л</t>
  </si>
  <si>
    <t>Сумка автомобилиста</t>
  </si>
  <si>
    <t>Трос</t>
  </si>
  <si>
    <t>Трос буксировочный 3,5т лента красный  (1/40шт.)</t>
  </si>
  <si>
    <t>Трос буксировочный 3т металлический 8мм</t>
  </si>
  <si>
    <t>1/10/30 шт</t>
  </si>
  <si>
    <t>Трос буксировочный 5т лента красный г.Обнинск (1/40шт.)</t>
  </si>
  <si>
    <t>Трос буксировочный 5т металлический 10мм</t>
  </si>
  <si>
    <t>Трос буксировочный 6т лента красный</t>
  </si>
  <si>
    <t>1/35 шт</t>
  </si>
  <si>
    <t>Трос буксировочный 7т лента красный (1/35шт.)</t>
  </si>
  <si>
    <t>Трос буксировочный 7т металлический 12мм</t>
  </si>
  <si>
    <t>Трос буксировочный MAAS 10т лента  (1/24шт.)</t>
  </si>
  <si>
    <t>Трос буксировочный MAAS 12т лента (1/24шт)</t>
  </si>
  <si>
    <t>Трос буксировочный MAAS 15т лента (1/24шт.)</t>
  </si>
  <si>
    <t>Трос буксировочный MAAS 5т лента (1/30шт.)</t>
  </si>
  <si>
    <t>Трос буксировочный MAAS 8т лента  (1/30шт.)</t>
  </si>
  <si>
    <t>Трос буксировочный Богатырь 10т лента красный г.Обнинск (1/27шт.)</t>
  </si>
  <si>
    <t>Трос буксировочный Богатырь 12т лента красный г.Обнинск (1/20шт.)</t>
  </si>
  <si>
    <t>Трос буксировочный Богатырь 2,5т лента красный</t>
  </si>
  <si>
    <t>Трос буксировочный Полярник 10т лента (эконом) (1/21шт.)</t>
  </si>
  <si>
    <t>1/21 шт</t>
  </si>
  <si>
    <t>Трос буксировочный Полярник 10т лента Флаг (1/21шт.)</t>
  </si>
  <si>
    <t>Трос буксировочный Полярник 12т лента (эконом)</t>
  </si>
  <si>
    <t>Трос буксировочный Полярник 12т лента Флаг</t>
  </si>
  <si>
    <t>Трос буксировочный Полярник 5т лента Флаг / эконом (1/48шт.)</t>
  </si>
  <si>
    <t>Трос буксировочный Полярник 7т лента Флаг / эконом (1/27шт.)</t>
  </si>
  <si>
    <t>Трос динамическая стропа MAAS 16т - 9м</t>
  </si>
  <si>
    <t>Удерживающее устройство</t>
  </si>
  <si>
    <t>Детское удерживающее устройство</t>
  </si>
  <si>
    <t>Наклейки</t>
  </si>
  <si>
    <t>Наклейка знак ( ! ) Начинающий водитель односторонний  (1/100шт.)</t>
  </si>
  <si>
    <t>Наклейка знак ( У ) односторонний</t>
  </si>
  <si>
    <t>Наклейка знак ( Ш ) Гост односторонний</t>
  </si>
  <si>
    <t>Наклейка знак ( Ш ) Гост односторонний дешовый</t>
  </si>
  <si>
    <t>Ручка стеклоподъемника</t>
  </si>
  <si>
    <t>Ручка стеклоподъемника 01 метал (1шт) Задний привод авто (1/200шт.)</t>
  </si>
  <si>
    <t>Ручка стеклоподъемника 08 метал (1шт) Передний привод авто (1/200шт.)</t>
  </si>
  <si>
    <t>Скотч двухсторонний</t>
  </si>
  <si>
    <t>Скотч</t>
  </si>
  <si>
    <t>Скотч City UP СА-480120  (120м.)  1/6шт.</t>
  </si>
  <si>
    <t>Скотч City UP СА-48100   (100м.)  1/6шт.</t>
  </si>
  <si>
    <t>Скотч City UP СА-48150   (150м.)  1/6шт.</t>
  </si>
  <si>
    <t>Скотч City UP СА-48200   (200м.)  1/6шт.</t>
  </si>
  <si>
    <t>Скотч двухсторонний 3М  6 мм*5 м   1/20шт.</t>
  </si>
  <si>
    <t>Скотч двухсторонний 3М  8 мм*5 м   1/15шт.</t>
  </si>
  <si>
    <t>Скотч двухсторонний 3М  9 мм*5 м   1/14шт.</t>
  </si>
  <si>
    <t>Скотч двухсторонний 3М 10 мм*5 м   1/12шт.</t>
  </si>
  <si>
    <t>Скотч двухсторонний 3М 12 мм*5 м   1/10шт.</t>
  </si>
  <si>
    <t>Скотч двухсторонний 3М 15 мм*5 м   1/8шт.</t>
  </si>
  <si>
    <t>Скотч двухсторонний 3М 20 мм*5 м   1/6шт.</t>
  </si>
  <si>
    <t>Скотч двухсторонний NOVA Bright 12 мм*5 м акриловая основа 46668</t>
  </si>
  <si>
    <t>Скотч двухсторонний NOVA Bright 12 мм*5 м зеленый 46674</t>
  </si>
  <si>
    <t>1/750 шт</t>
  </si>
  <si>
    <t>Скотч двухсторонний NOVA Bright 22 мм*5 м акриловая основа 46921</t>
  </si>
  <si>
    <t>Скотч двухсторонний NOVA Bright 22 мм*5 м зеленый 46675</t>
  </si>
  <si>
    <t>Скотч двухсторонний NOVA Bright 30 мм*5 м зеленый 46676</t>
  </si>
  <si>
    <t>Скотч двухсторонний NOVA Bright 40 мм*5 м зеленый 46677</t>
  </si>
  <si>
    <t>Скотч двухсторонний NOVA Bright 50 мм*5 м зеленый 46678</t>
  </si>
  <si>
    <t>Солнцезащитные шторы</t>
  </si>
  <si>
    <t>Солнцезащитный козырек</t>
  </si>
  <si>
    <t>Солнцезащитный козырек День-Ночь</t>
  </si>
  <si>
    <t>Шторка</t>
  </si>
  <si>
    <t>Шторка солнцезащитная на лобовое стекло Nova Bright  46480 / MAAS IA19021 130*60см</t>
  </si>
  <si>
    <t>Шторка солнцезащитная на лобовое стекло Nova Bright 150*80см</t>
  </si>
  <si>
    <t>Шторки Crystal 40х60 боковые на микроавтобусы</t>
  </si>
  <si>
    <t>Шторы солнцезащитные MAAS прямая, трапеция 1,1м</t>
  </si>
  <si>
    <t>Шторы солнцезащитные MAAS прямая, трапеция 1,2м</t>
  </si>
  <si>
    <t>Шторы солнцезащитные MAAS прямая, трапеция 1м</t>
  </si>
  <si>
    <t>Стяжка груза</t>
  </si>
  <si>
    <t>Стяжки</t>
  </si>
  <si>
    <t>Стяжка груза Ratchet 4м 1,5т (2 в 1)</t>
  </si>
  <si>
    <t>Стяжка груза Полярник 4т-8т 10м</t>
  </si>
  <si>
    <t>Стяжка груза Полярник 5т-10т 12м</t>
  </si>
  <si>
    <t>Стяжка груза Полярник 7т-14т 10м</t>
  </si>
  <si>
    <t>Стяжка груза Полярник 7т-14т 12м</t>
  </si>
  <si>
    <t>Сувениры</t>
  </si>
  <si>
    <t>Бита</t>
  </si>
  <si>
    <t>Бита бейсбольная 25</t>
  </si>
  <si>
    <t>Бита бейсбольная 26</t>
  </si>
  <si>
    <t>Телескопическая дубинка для самообороны ( в коробке )</t>
  </si>
  <si>
    <t>Зажигалки</t>
  </si>
  <si>
    <t>Зажигалка-горелка с пьезо элементом- прозрачная на блистере J-03 + газ (1/24шт.)</t>
  </si>
  <si>
    <t>Нож</t>
  </si>
  <si>
    <t>Рюмка</t>
  </si>
  <si>
    <t>Рюмка металическая большая</t>
  </si>
  <si>
    <t>Рюмка металическая малая</t>
  </si>
  <si>
    <t>Флажок</t>
  </si>
  <si>
    <t>Флажок на присоске Россия        1/12шт.</t>
  </si>
  <si>
    <t>Тонировочная пленка</t>
  </si>
  <si>
    <t>Тонировка</t>
  </si>
  <si>
    <t>Тонировка H2M Hummer  5% (50см*3м)  (1/20шт.)</t>
  </si>
  <si>
    <t>Тонировка H2M Hummer  5% (75см*3м)  (1/20шт.)</t>
  </si>
  <si>
    <t>Тонировка H2M Hummer 10% (50см*3м)</t>
  </si>
  <si>
    <t>Тонировка H2M Hummer 10% (75см*3м)</t>
  </si>
  <si>
    <t>Тонировка H2M Hummer 15% (50см*3м)  (1/20шт.)</t>
  </si>
  <si>
    <t>Тонировка H2M Hummer 15% (75см*3м)  (1/20шт.)</t>
  </si>
  <si>
    <t>Тонировка H2M Hummer 20% (50см*3м)</t>
  </si>
  <si>
    <t>Тонировка H2M Hummer 20% (75см*3м)  (1/20шт.)</t>
  </si>
  <si>
    <t>Тонировка H2M Hummer 25% (50см*3м)</t>
  </si>
  <si>
    <t>Тонировка H2M Hummer 30% (50см*3м)</t>
  </si>
  <si>
    <t>Тонировка H2M Hummer 30% (75см*3м)</t>
  </si>
  <si>
    <t>Тонировка H2M Hummer 35% (50см*3м)</t>
  </si>
  <si>
    <t>Тонировка H2M Hummer 35% (75см*3м)</t>
  </si>
  <si>
    <t>1/5/150 шт</t>
  </si>
  <si>
    <t>Тонировка MAAS   5% SyperDarkBlack 75см*3м   1/4шт.</t>
  </si>
  <si>
    <t>1/4/80 шт</t>
  </si>
  <si>
    <t>Тонировка MAAS 10% DarkBlack 50см*3м   1/5шт.</t>
  </si>
  <si>
    <t>Тонировка MAAS 10% DarkBlack 75см*3м  1/4шт.</t>
  </si>
  <si>
    <t>Тонировка MAAS 20% Black 75см*3м   1/4шт.</t>
  </si>
  <si>
    <t>Тонировка MAAS 50% LightBlack 50см*3м  1/5шт.</t>
  </si>
  <si>
    <t>Тонировка MAAS Silver 50см*3м зеркальная   1/5шт.</t>
  </si>
  <si>
    <t>Тонировка MAAS Silver 75см*3м зеркальная   1/4шт.</t>
  </si>
  <si>
    <t>Тонировка MTF 20% 50см*3м HNG1-SM20 (05421)</t>
  </si>
  <si>
    <t>Тонировка MTF 50% 50см*3м</t>
  </si>
  <si>
    <t>Тонировка MTF 50% 75см*3м</t>
  </si>
  <si>
    <t>Тонировка MTF 70% 50см*3м</t>
  </si>
  <si>
    <t>Тонировка MTF 70% 75см*3м</t>
  </si>
  <si>
    <t>Тонировка MTF 75% 50см*3м</t>
  </si>
  <si>
    <t>Тонировка MTF 75% 75см*3м</t>
  </si>
  <si>
    <t>Троса буксировочные</t>
  </si>
  <si>
    <t>Крюк</t>
  </si>
  <si>
    <t>Крюк для тросов</t>
  </si>
  <si>
    <t>Стропа</t>
  </si>
  <si>
    <t>Стропа динамическая Полярник 10т-12м  (1/8шт.)</t>
  </si>
  <si>
    <t>Стропа динамическая Полярник 12т- 9м  (1/4шт.)</t>
  </si>
  <si>
    <t>Стропа динамическая Полярник 12т-12м  (1/4шт.)</t>
  </si>
  <si>
    <t>Стропа динамическая Полярник 14т- 9м  (1/4шт.)</t>
  </si>
  <si>
    <t>Стропа динамическая Полярник 14т-12м  (1/4шт.)</t>
  </si>
  <si>
    <t>Стропа динамическая Полярник 16т-6м</t>
  </si>
  <si>
    <t>Стропа динамическая Полярник 18т-6м</t>
  </si>
  <si>
    <t>Стропа динамическая Полярник 20т-6м</t>
  </si>
  <si>
    <t>Стропа динамическая Полярник 5т-9м  (1/8шт.)</t>
  </si>
  <si>
    <t>Стропа динамическая Полярник 7т-6м  (1/8шт.)</t>
  </si>
  <si>
    <t>Стропа динамическая Полярник 7т-9м  (1/8шт.)</t>
  </si>
  <si>
    <t>Трос стропа Полярник 10т-5м  (1/8шт.)</t>
  </si>
  <si>
    <t>Трос стропа Полярник 12т-5м (1/6шт.)</t>
  </si>
  <si>
    <t>Трос стропа Полярник 5т-5м (1/15шт.)</t>
  </si>
  <si>
    <t>Трос стропа Полярник 7т-5м  (1/12шт.)</t>
  </si>
  <si>
    <t>Трос веревка</t>
  </si>
  <si>
    <t>Трос буксировочный Богатырь 10т веревка  (1/18шт.)</t>
  </si>
  <si>
    <t>Трос буксировочный Богатырь 12т веревка (1/15шт)</t>
  </si>
  <si>
    <t>Трос буксировочный Богатырь 18т веревка</t>
  </si>
  <si>
    <t>Трос буксировочный Богатырь 7т веревка (1/20шт.)</t>
  </si>
  <si>
    <t>Трос буксировочный веревка   8т (1/20шт)</t>
  </si>
  <si>
    <t>Устройства к АКБ</t>
  </si>
  <si>
    <t>З/У</t>
  </si>
  <si>
    <t>Клеммы АКБ</t>
  </si>
  <si>
    <t>Клеммы АКБ DELUXE ВТ 008 Турция</t>
  </si>
  <si>
    <t>Клеммы АКБ DELUXE ВТ 5С Турция</t>
  </si>
  <si>
    <t>Клеммы АКБ KING ВТ-8/9 , ВТ-8Е/9Е</t>
  </si>
  <si>
    <t>Клеммы АКБ NOVA Bright  46574 в блистере</t>
  </si>
  <si>
    <t>Клеммы АКБ NOVA Bright  47275 в блистере (BT 8/9)</t>
  </si>
  <si>
    <t>Клеммы АКБ NOVA Bright  47305 в блистере (BT 10)</t>
  </si>
  <si>
    <t>Клеммы АКБ NOVA Bright цветная 39824  в блистере (гайка-барашек)</t>
  </si>
  <si>
    <t>1/20/200 шт</t>
  </si>
  <si>
    <t>Клеммы АКБ NOVA Bright цветная 46575 в блистере</t>
  </si>
  <si>
    <t>Клеммы АКБ NOVA Bright цветная 47276 в блистере</t>
  </si>
  <si>
    <t>1/24/480 шт</t>
  </si>
  <si>
    <t>Клеммы АКБ Турция / CRISTYLEAVTO на блистере</t>
  </si>
  <si>
    <t>Клеммы АКБ цанговые Battery Terminal (1пара) быстросъемные</t>
  </si>
  <si>
    <t>Крокодилы</t>
  </si>
  <si>
    <t>Крокодилы № 5 (пара) (1/10шт)</t>
  </si>
  <si>
    <t>Провода</t>
  </si>
  <si>
    <t>Провода прикуривателя Полярник 600А (сумка в подарок) 4м. (1/8шт.)</t>
  </si>
  <si>
    <t>Хозяйственные товары</t>
  </si>
  <si>
    <t>Аккумулятор холода</t>
  </si>
  <si>
    <t>Аккумулятор холода AVS IG-400ml. арт.80710</t>
  </si>
  <si>
    <t>Варежка</t>
  </si>
  <si>
    <t>Варежка микрофибра City UP CA-150 для мытья автомобилей (двухсторонняя)</t>
  </si>
  <si>
    <t>Губка</t>
  </si>
  <si>
    <t>Губка 555 силиконовая для обуви  1/12шт.</t>
  </si>
  <si>
    <t>Губка City UP СА-182 для посуды (н-р из 4шт) скрапер</t>
  </si>
  <si>
    <t>Губка City UP СА-311 для посуды (н-р из 4шт)</t>
  </si>
  <si>
    <t>Губка City UP СА-321 для посуды (н-р из 4шт)</t>
  </si>
  <si>
    <t>Губка Рельса для мойки Авто    1/24шт.</t>
  </si>
  <si>
    <t>Набор губок микрофибра/скрапер для посуды СА-171 (н-р из 2шт.)</t>
  </si>
  <si>
    <t>Коврик микрофибра City UP CA-190 31*46см для сушки посуды</t>
  </si>
  <si>
    <t>Коврик микрофибра City UP CA-190 35*40см для сушки посуды</t>
  </si>
  <si>
    <t>Коврик микрофибра City UP CA-190 40*45см для сушки посуды</t>
  </si>
  <si>
    <t>Коврик микрофибра TRENDS  46*61см (XL) для сушки посуды</t>
  </si>
  <si>
    <t>Лопата</t>
  </si>
  <si>
    <t>Мочалка</t>
  </si>
  <si>
    <t>Мочалка СА-250 Hard  (Средняя жесткость) 1/12шт.</t>
  </si>
  <si>
    <t>Мочалка СА-250 Medium Hard  (Деликатная жесткость) 1/12шт.</t>
  </si>
  <si>
    <t>Мочалка СА-250 Super Hard  (Особая жесткость) 1/12шт.</t>
  </si>
  <si>
    <t>Опрыскиватель</t>
  </si>
  <si>
    <t>Опрыскиватель 2л. Plastic Land   г.Сызрань (1/30шт.)</t>
  </si>
  <si>
    <t>Опрыскиватель 3л. Plastic Land   г.Сызрань (1/25шт.)</t>
  </si>
  <si>
    <t>Опрыскиватель City UP СА-891 2 л зеленый / оранжевый (1/20шт.)</t>
  </si>
  <si>
    <t>Опрыскиватель City UP СА-894 3 л.  (1/16шт.)</t>
  </si>
  <si>
    <t>Опрыскиватель City UP СА-898 с регулируемой форсункой 2 л. (1/20шт.)</t>
  </si>
  <si>
    <t>Салфетка</t>
  </si>
  <si>
    <t>Салфетка замша City UP CA-201 43*64см в тубусе  1/12/96шт.</t>
  </si>
  <si>
    <t>Салфетка замша City UP CA-202 43*32см в тубусе 1/12/144шт.</t>
  </si>
  <si>
    <t>Салфетка замша City UP CA-221 43*64см в тубусе (1/100шт.)</t>
  </si>
  <si>
    <t>Салфетка замша City UP CA-222 43*32см в тубусе (1/100шт.)</t>
  </si>
  <si>
    <t>Салфетка замша City UP CA-226 40*32см в тубусе (1/100шт.)</t>
  </si>
  <si>
    <t>Салфетка замша Grass IT-0322 45*54см (1/25шт.)</t>
  </si>
  <si>
    <t>Салфетка микрофибра City UP CA-102 (н-р из 3-х салфеток) 30*30см</t>
  </si>
  <si>
    <t>1/40/120 шт</t>
  </si>
  <si>
    <t>1/50/200 шт</t>
  </si>
  <si>
    <t>Салфетка микрофибра City UP CA-105NP  35*40см (1/50шт.)</t>
  </si>
  <si>
    <t>1/50/300 шт</t>
  </si>
  <si>
    <t>Салфетка микрофибра City UP CA-106 LUX210 40*50см в упаковке</t>
  </si>
  <si>
    <t>Салфетка микрофибра City UP CA-106 Shine 35*40см</t>
  </si>
  <si>
    <t>Салфетка микрофибра City UP CA-106NP 35*40см</t>
  </si>
  <si>
    <t>Салфетка микрофибра City UP CA-106NP CRYSTAL 65*36см 1/10шт.</t>
  </si>
  <si>
    <t>Салфетка микрофибра City UP CA-111 Waffie 35*40см</t>
  </si>
  <si>
    <t>Салфетка микрофибра City UP CA-112L 50*70см без упаковки (1/50/150шт.)</t>
  </si>
  <si>
    <t>Салфетка микрофибра City UP CA-112L 50*70см в упаковке</t>
  </si>
  <si>
    <t>Салфетка микрофибра City UP CA-112V 60*90см в упаковке</t>
  </si>
  <si>
    <t>Салфетка микрофибра City UP CA-112XL 80*100см без упаковки  (1/50шт.)</t>
  </si>
  <si>
    <t>Салфетка микрофибра City UP CA-112XL 80*100см в упаковке</t>
  </si>
  <si>
    <t>Салфетка микрофибра City UP CA-117/0120 30*30см (к-т 20шт)</t>
  </si>
  <si>
    <t>Салфетка микрофибра City UP CA-119/825 30*30см (к-т 15 шт)</t>
  </si>
  <si>
    <t>1/15/30 шт</t>
  </si>
  <si>
    <t>Салфетка микрофибра City UP CA-120 30*30см (к-т 10шт)</t>
  </si>
  <si>
    <t>Салфетка микрофибра City UP CA-122 25*25см (к-т 6шт)</t>
  </si>
  <si>
    <t>Салфетка микрофибра City UP CA-123 Jumbo 35*40см (к-т 12шт)</t>
  </si>
  <si>
    <t>1/30/12 шт</t>
  </si>
  <si>
    <t>Салфетка микрофибра City UP CA-126 Jacard  35*40см</t>
  </si>
  <si>
    <t>Салфетка микрофибра City UP CA-135 35*35см (к-т 10шт)</t>
  </si>
  <si>
    <t>Салфетка микрофибра City UP CA-137 L 50*60см</t>
  </si>
  <si>
    <t>Салфетка микрофибра City UP CA-137 XL 50*80см</t>
  </si>
  <si>
    <t>Салфетка микрофибра City UP CA-140 Big &amp; Thick 50*70см (к-т 3шт)</t>
  </si>
  <si>
    <t>Салфетка микрофибра City UP CA-260 Cuties 25*25см  ( к-т 5шт.)</t>
  </si>
  <si>
    <t>Салфетка микрофибра City UP CA-263 Cuties 25*25см  ( к-т 10шт.)</t>
  </si>
  <si>
    <t>Салфетка микрофибра City UP CA-280 Cuties 70*70см  ( 1/10шт.)</t>
  </si>
  <si>
    <t>Салфетки влажные AVS AVK-200 для стекол и зеркал 25шт A78101S (1/40шт)</t>
  </si>
  <si>
    <t>Салфетки влажные AVS AVK-201 для салона 25шт A78102S (1/40шт)</t>
  </si>
  <si>
    <t>Салфетки влажные AVS AVK-202 для рук 25шт A78103S (1/40шт)</t>
  </si>
  <si>
    <t>Салфетки влажные AVS AVK-206 для салона из кожи 25шт A78498S (1/40шт)</t>
  </si>
  <si>
    <t>Швабра</t>
  </si>
  <si>
    <t>Насадка для швабры City UP СА-973 (1/50шт.)</t>
  </si>
  <si>
    <t>Швабра для пола City UP СА-957 с МОП-насадкой</t>
  </si>
  <si>
    <t>Швабра для пола City UP СА-959 с телескопической ручкой + насадка</t>
  </si>
  <si>
    <t>Хомуты</t>
  </si>
  <si>
    <t>Стяжки нейлоновые- 3*100 (к-т 100шт)</t>
  </si>
  <si>
    <t>Стяжки нейлоновые- 3*150 (к-т 100шт)</t>
  </si>
  <si>
    <t>Стяжки нейлоновые- 3*200 (к-т 100шт)</t>
  </si>
  <si>
    <t>Стяжки нейлоновые- 4*200 (к-т 100шт)</t>
  </si>
  <si>
    <t>Стяжки нейлоновые- 4*250 (к-т 100шт)</t>
  </si>
  <si>
    <t>Стяжки нейлоновые- 5*200 (к-т 100шт)</t>
  </si>
  <si>
    <t>Стяжки нейлоновые- 5*250 (к-т 100шт)</t>
  </si>
  <si>
    <t>Стяжки нейлоновые- 5*300 (к-т 100шт)</t>
  </si>
  <si>
    <t>Стяжки нейлоновые- 5*350 (к-т 100шт)</t>
  </si>
  <si>
    <t>Стяжки нейлоновые- 5*400 (к-т 100шт)</t>
  </si>
  <si>
    <t>Стяжки нейлоновые- 5*450 (к-т 100шт)</t>
  </si>
  <si>
    <t>Стяжки нейлоновые- 5*500 (к-т 100шт)</t>
  </si>
  <si>
    <t>Стяжки нейлоновые- 8*200 (к-т 100шт)</t>
  </si>
  <si>
    <t>Стяжки нейлоновые- 8*250 (к-т 100шт)</t>
  </si>
  <si>
    <t>Стяжки нейлоновые- 8*300 (к-т 100шт)</t>
  </si>
  <si>
    <t>Стяжки нейлоновые- 8*350 (к-т 100шт)</t>
  </si>
  <si>
    <t>Стяжки нейлоновые- 8*400 (к-т 100шт)</t>
  </si>
  <si>
    <t>Стяжки нейлоновые- 8*450 (к-т 100шт)</t>
  </si>
  <si>
    <t>Стяжки нейлоновые- 8*500 (к-т 100шт)</t>
  </si>
  <si>
    <t>1/25/250 шт</t>
  </si>
  <si>
    <t>Хомуты Маяк   110-130мм*13мм  (5")             1/20шт.</t>
  </si>
  <si>
    <t>Хомуты Маяк   120-140мм*13мм (5-1/2")        1/20шт.</t>
  </si>
  <si>
    <t>Хомуты Маяк 10-16мм*9мм (5/8")        1/100шт.</t>
  </si>
  <si>
    <t>1/100/2 000 шт</t>
  </si>
  <si>
    <t>Хомуты Маяк 100-120мм*13мм (4-3/4")          1/25шт.</t>
  </si>
  <si>
    <t>Хомуты Маяк 12-20мм*9мм (3/4")        1/100шт.</t>
  </si>
  <si>
    <t>Хомуты Маяк 12-22мм*9мм (7/8")        1/100шт.</t>
  </si>
  <si>
    <t>1/100/1 000 шт</t>
  </si>
  <si>
    <t>Хомуты Маяк 16-25мм*9мм (1")    1/100шт.</t>
  </si>
  <si>
    <t>Хомуты Маяк 16-27мм*9мм (1-1/16")    1/100шт.</t>
  </si>
  <si>
    <t>Хомуты Маяк 20-32мм*9мм (1-1/4")     1/100шт.</t>
  </si>
  <si>
    <t>Хомуты Маяк 25-40мм*9мм (1-5/8")      1/100шт.</t>
  </si>
  <si>
    <t>Хомуты Маяк 32-50мм*9мм (2")     1/100шт.</t>
  </si>
  <si>
    <t>Хомуты Маяк 40-60* с пластиковым ключем</t>
  </si>
  <si>
    <t>Хомуты Маяк 40-60мм*9мм (2-3/8")       1/50шт.</t>
  </si>
  <si>
    <t>Хомуты Маяк 50-70* с пластиковым ключем</t>
  </si>
  <si>
    <t>Хомуты Маяк 50-70мм*9мм (2-3/4")       1/50шт.</t>
  </si>
  <si>
    <t>Хомуты Маяк 60-80мм*9мм (3-1/8")       1/50шт.</t>
  </si>
  <si>
    <t>Хомуты Маяк 70-90мм*9мм (3-1/2")       1/50шт.</t>
  </si>
  <si>
    <t>Хомуты Маяк 8-12мм*9мм ( 1/2")          1/100шт.</t>
  </si>
  <si>
    <t>Хомуты Маяк 80-100мм*9мм (4")           1/50шт.</t>
  </si>
  <si>
    <t>Хомуты Тайвань 2 1/2*  1/100шт.</t>
  </si>
  <si>
    <t>Хомуты Тайвань 2*  1/100шт.</t>
  </si>
  <si>
    <t>Хомуты Тайвань 5*  1/50шт.</t>
  </si>
  <si>
    <t>Хомуты Тайвань 6*  1/50шт.</t>
  </si>
  <si>
    <t>Шиномонтаж</t>
  </si>
  <si>
    <t>Вентель</t>
  </si>
  <si>
    <t>Грузики самоклеющие</t>
  </si>
  <si>
    <t>Грузики самоклеющие.Красный скотч    1/50шт./300шт.</t>
  </si>
  <si>
    <t>Грузики самоклеющие.Синий скотч     1/50шт./300шт.</t>
  </si>
  <si>
    <t>Жгуты</t>
  </si>
  <si>
    <t>Набор жгутов City UP СА-795 (к-т 10х5)</t>
  </si>
  <si>
    <t>Латки</t>
  </si>
  <si>
    <t>Набор резиновых заплаток для ремонта шин RUBBER PATCH № 9     1/10шт.</t>
  </si>
  <si>
    <t>Набор резиновых заплаток для ремонта шин RUBBER PATCH №12    1/10шт.</t>
  </si>
  <si>
    <t>Набор резиновых заплаток для ремонта шин RUBBER PATCH №24    1/10шт.</t>
  </si>
  <si>
    <t>Набор резиновых заплаток для ремонта шин RUBBER PATCH №36    1/10шт.</t>
  </si>
  <si>
    <t>Набор резиновых заплаток для ремонта шин RUBBER PATCH №48    1/10шт.</t>
  </si>
  <si>
    <t>Манометр</t>
  </si>
  <si>
    <t>Манометр для насоса</t>
  </si>
  <si>
    <t>Манометр шинный AUTOVIRAZH c клапаном арт.AV-011406 (1/25шт)</t>
  </si>
  <si>
    <t>1/25/50 шт</t>
  </si>
  <si>
    <t>Манометр шинный AUTOVIRAZH c клапаном арт.AV-011515 арт.13948 (1/40шт)</t>
  </si>
  <si>
    <t>Манометр шинный AVS EL-609 электронный</t>
  </si>
  <si>
    <t>Манометр шинный AVS EL-800 электронный</t>
  </si>
  <si>
    <t>Манометр шинный AVS YF-205</t>
  </si>
  <si>
    <t>Манометр шинный AVS YF-509A 43108</t>
  </si>
  <si>
    <t>Манометр шинный HEYNER c клапаном 564200</t>
  </si>
  <si>
    <t>Манометр шинный NOVA Bright 04502 / 47755 в блистере дешевый (1/25шт.)</t>
  </si>
  <si>
    <t>Манометр шинный NOVA Bright 07489 / 07849 удлин.гибкий до 11атм. в блистере</t>
  </si>
  <si>
    <t>Манометр-мультитул шинный DSV с фонарем электронный R66001 (1/40шт)</t>
  </si>
  <si>
    <t>Набор для бескамерных шин</t>
  </si>
  <si>
    <t>Набор для бескамерных шин City UP СА-787 маленький (1/80шт)</t>
  </si>
  <si>
    <t>Набор для бескамерных шин City UP СА-789 маленький (1/80шт)</t>
  </si>
  <si>
    <t>Набор для бескамерных шин City UP СА-793 большой (1/60шт)</t>
  </si>
  <si>
    <t>Наконечник</t>
  </si>
  <si>
    <t>1/10/500 шт</t>
  </si>
  <si>
    <t>Пистолет</t>
  </si>
  <si>
    <t>1/10/50 шт</t>
  </si>
  <si>
    <t>Пистолет подкачки шин со шлангом Orpheus</t>
  </si>
  <si>
    <t>1/6/30 шт</t>
  </si>
  <si>
    <t>Шланг</t>
  </si>
  <si>
    <t>Шланг Груша для перекачки топлива (1/10шт)</t>
  </si>
  <si>
    <t>Шланг Груша силиконовый для перекачки топлива (1/10шт)</t>
  </si>
  <si>
    <t>Шланг с манометром (1/10шт)</t>
  </si>
  <si>
    <t>Щетки и водосгоны</t>
  </si>
  <si>
    <t>Водосгон</t>
  </si>
  <si>
    <t>Водосгон City UP СА-518 с силиконовым лезвием (1/12шт.)</t>
  </si>
  <si>
    <t>Водосгон City UP СА-946 с поролоновой щеткой, поворотная голова, 5 положений (1/24шт.)</t>
  </si>
  <si>
    <t>Водосгон City UP СА-949 с телескопической ручкой и щеткой из микрофибры (1/24шт.)</t>
  </si>
  <si>
    <t>Щетка д/мытья авто City UP СА-235 с возможностью подсоединения к шлангу (1/12шт.)</t>
  </si>
  <si>
    <t>1/12/50 шт</t>
  </si>
  <si>
    <t>Щетка д/мытья авто City UP СА-520 с возможностью подсоединения к шлангу (1/12шт.)</t>
  </si>
  <si>
    <t>1/12/60/60 шт</t>
  </si>
  <si>
    <t>Щетка д/мытья авто City UP СА-601 телескопическая 2-х секционная (1/14шт.)</t>
  </si>
  <si>
    <t>Щетка д/мытья авто City UP СА-603L односекционная (1/20шт.)</t>
  </si>
  <si>
    <t>Щетка д/мытья авто City UP СА-604 т-образная (1/12шт.)</t>
  </si>
  <si>
    <t>Щетка д/мытья авто City UP СА-607 телескопическая 2-х секционная (1/12шт.)</t>
  </si>
  <si>
    <t>Щетка д/мытья авто City UP СА-610 телескопическая 2-х секционная (1/14шт.)</t>
  </si>
  <si>
    <t>Щетка д/мытья авто City UP СА-615 телескопическая 2-х секционная с водосгоном (1/24шт.)</t>
  </si>
  <si>
    <t>1/12/24 шт</t>
  </si>
  <si>
    <t>Щетка д/мытья авто City UP СА-617 телескопическая 2-х секционная с водосгоном (1/24шт.)</t>
  </si>
  <si>
    <t>Щетка д/мытья авто City UP СА-636 телескопическая 3-х секционная  2,75 м.  (1/12шт.)</t>
  </si>
  <si>
    <t>1/70 шт</t>
  </si>
  <si>
    <t>Щетка Ростов 6-ти рядная пушистая  (1/40шт.)</t>
  </si>
  <si>
    <t>Щетки стеклоочистителя</t>
  </si>
  <si>
    <t>Адаптер на щетки</t>
  </si>
  <si>
    <t>Адаптер на щетки ALCA 300020 TOP LOCK В (зеленый)</t>
  </si>
  <si>
    <t>Адаптер на щетки ALCA 300120 SIDE LOCK (оранжевый)</t>
  </si>
  <si>
    <t>Адаптер на щетки ALCA 300220 TOP LOCK (зеленый)</t>
  </si>
  <si>
    <t>Адаптер на щетки ALCA 300320 PINCH TAB (красный)</t>
  </si>
  <si>
    <t>Адаптер на щетки ALCA 300620 FLAT TAB (голубой)</t>
  </si>
  <si>
    <t>Адаптер на щетки ALCA 300720 CENTRAL LOCK (фиолетовый)</t>
  </si>
  <si>
    <t>Адаптер на щетки ALCA 300820 TOP LOCK A/C (бирюзовый)</t>
  </si>
  <si>
    <t>Адаптер на щетки ALCA 300920 TOP LOCK M (синий)</t>
  </si>
  <si>
    <t>Адаптер на щетки HEYNER арт.300030 TOP LOCK B</t>
  </si>
  <si>
    <t>Адаптер на щетки HEYNER арт.300130 SIDE LOCK</t>
  </si>
  <si>
    <t>Адаптер на щетки HEYNER арт.300330 PINCH TAB</t>
  </si>
  <si>
    <t>Адаптер на щетки HEYNER арт.300430 BAYONET LOCK</t>
  </si>
  <si>
    <t>Адаптер на щетки HEYNER арт.300830 TOP LOCK A/C</t>
  </si>
  <si>
    <t>Адаптер на щетки HEYNER арт.300930 TOP LOCK M</t>
  </si>
  <si>
    <t>Адаптер на щетки Автовираж AV-013008 SIDE PIN</t>
  </si>
  <si>
    <t>Адаптер на щетки Автовираж AV-013009 PINCH TAB</t>
  </si>
  <si>
    <t>Адаптер на щетки Автовираж AV-013013 BAYONET 9мм</t>
  </si>
  <si>
    <t>Адаптер на щетки Автовираж AV-013014 CLAW</t>
  </si>
  <si>
    <t>Резинки для щеток</t>
  </si>
  <si>
    <t>Резинка для дворников ALCA   28"/71 см    Арт.129 000 для грузовых</t>
  </si>
  <si>
    <t>Резинка для дворников ALCA   30"/76 см    Арт.145 000 для грузовых</t>
  </si>
  <si>
    <t>Резинка для дворников ALCA   40"/100 см  Арт.146 000 для грузовых</t>
  </si>
  <si>
    <t>Резинка для дворников ALCA  20"/51 см профиль БОШ  Арт.123000</t>
  </si>
  <si>
    <t>Резинка для дворников ALCA  20"/51 см профиль БОШ  арт.124 000 (елочка)</t>
  </si>
  <si>
    <t>Резинка для дворников ALCA  24"/61 см профиль БОШ  Арт.125000</t>
  </si>
  <si>
    <t>Резинка для дворников ALCA  24"/61 см профиль БОШ  арт.126 000 (елочка)</t>
  </si>
  <si>
    <t>Резинка для дворников ALCA  28"/71 см  Арт.131200</t>
  </si>
  <si>
    <t>Резинка для дворников ALCA  28"/71 см профиль БОШ  Арт.127000</t>
  </si>
  <si>
    <t>Резинка для дворников ALCA 20"/50см (к-т 2шт) арт.116000</t>
  </si>
  <si>
    <t>Резинка для дворников ALCA 20"/50см (к-т 2шт) арт.117000</t>
  </si>
  <si>
    <t>Резинка для дворников ALCA 24"/60см (к-т 2шт) арт.119000</t>
  </si>
  <si>
    <t>Резинка для дворников ALCA 28"/70см (к-т 2шт) арт.131000</t>
  </si>
  <si>
    <t>Резинка для дворников AUTOVIRAZH 71см AV-002821/002822 (к-т 2шт)</t>
  </si>
  <si>
    <t>Резинка для дворников AVS б/к 15"/37,5см</t>
  </si>
  <si>
    <t>1/400/250 шт</t>
  </si>
  <si>
    <t>Резинка для дворников AVS б/к 21"/53см арт.43170</t>
  </si>
  <si>
    <t>Резинка для дворников ХОРС 360мм (к-т 2шт)</t>
  </si>
  <si>
    <t>Резинка для дворников ХОРС 540мм (к-т 2шт)</t>
  </si>
  <si>
    <t>Резинка для дворников ХОРС 615мм (к-т 2шт)</t>
  </si>
  <si>
    <t>Щетка бескаркасная</t>
  </si>
  <si>
    <t>Щетка стеклоочистителя ALCA 16"/40 см бескаркасная 046000  (1/50шт.)</t>
  </si>
  <si>
    <t>Щетка стеклоочистителя ALCA 22"/56 см каркасная (для грузовиков) 133 000</t>
  </si>
  <si>
    <t>Щетка стеклоочистителя ALCA 24"/61 см каркасная (для грузовиков) 134 000</t>
  </si>
  <si>
    <t>Щетка стеклоочистителя ALCA 26"/65 см каркасная (для грузовиков) 136 000</t>
  </si>
  <si>
    <t>Щетка стеклоочистителя ALCA 28"/71 см каркасная (для грузовиков) 138 000</t>
  </si>
  <si>
    <t>Щетка стеклоочистителя AVS  12"/30см бескаркасная</t>
  </si>
  <si>
    <t>Щетка стеклоочистителя AVS  13"/33см бескаркасная</t>
  </si>
  <si>
    <t>Щетка стеклоочистителя AVS  14"/35см бескаркасная</t>
  </si>
  <si>
    <t>Щетка стеклоочистителя AVS  15"/38см бескаркасная</t>
  </si>
  <si>
    <t>Щетка стеклоочистителя AVS  16"/40см бескаркасная  (1/50шт.)</t>
  </si>
  <si>
    <t>Щетка стеклоочистителя AVS  17"/43см бескаркасная</t>
  </si>
  <si>
    <t>Щетка стеклоочистителя AVS  18"/45см бескаркасная</t>
  </si>
  <si>
    <t>Щетка стеклоочистителя AVS  19"/48см бескаркасная</t>
  </si>
  <si>
    <t>Щетка стеклоочистителя AVS  20"/50см бескаркасная Арт.43160  (1/50шт.)</t>
  </si>
  <si>
    <t>Щетка стеклоочистителя AVS  21"/53см бескаркасная</t>
  </si>
  <si>
    <t>Щетка стеклоочистителя AVS  22"/55см бескаркасная (1/50шт.)</t>
  </si>
  <si>
    <t>Щетка стеклоочистителя AVS  23"/58см бескаркасная (1/50шт.)</t>
  </si>
  <si>
    <t>Щетка стеклоочистителя AVS  24"/60см бескаркасная  (1/50шт.)</t>
  </si>
  <si>
    <t>Щетка стеклоочистителя AVS  25"/63см бескаркасная</t>
  </si>
  <si>
    <t>Щетка стеклоочистителя AVS  26"/65см бескаркасная</t>
  </si>
  <si>
    <t>Щетка стеклоочистителя AVS  27"/68см бескаркасная</t>
  </si>
  <si>
    <t>Щетка стеклоочистителя AVS  28"/70см бескаркасная</t>
  </si>
  <si>
    <t>Щетка стеклоочистителя HEYNER All Seasons 13"/33см с доп. резинкой 083000</t>
  </si>
  <si>
    <t>Щетка стеклоочистителя HEYNER All Seasons 14"/35см с доп. резинкой 084000</t>
  </si>
  <si>
    <t>Щетка стеклоочистителя HEYNER All Seasons 15"/38см с доп. резинкой 085000</t>
  </si>
  <si>
    <t>Щетка стеклоочистителя HEYNER All Seasons 16"/40см с доп. резинкой 086000</t>
  </si>
  <si>
    <t>Щетка стеклоочистителя HEYNER All Seasons 17"/43см с доп. резинкой 087000</t>
  </si>
  <si>
    <t>Щетка стеклоочистителя HEYNER All Seasons 19"/48см с доп. резинкой 089000</t>
  </si>
  <si>
    <t>Щетка стеклоочистителя HEYNER All Seasons 21"/53см с доп. резинкой 091000</t>
  </si>
  <si>
    <t>Щетка стеклоочистителя HEYNER All Seasons 23"/58см с доп. резинкой 093000</t>
  </si>
  <si>
    <t>Щетка стеклоочистителя HEYNER All Seasons 24"/60см с доп. резинкой 094000</t>
  </si>
  <si>
    <t>Щетка стеклоочистителя HEYNER All Seasons 26"/65см с доп. резинкой 096000</t>
  </si>
  <si>
    <t>Щетка стеклоочистителя HEYNER All Seasons 28"/70см с доп. резинкой 098000</t>
  </si>
  <si>
    <t>Щетка стеклоочистителя HEYNER Super Flat Premium  14"/35см   274000</t>
  </si>
  <si>
    <t>Щетка стеклоочистителя HEYNER Super Flat Premium  17"/43см   277000</t>
  </si>
  <si>
    <t>Щетка стеклоочистителя HEYNER Super Flat Premium  19"/48см   279000</t>
  </si>
  <si>
    <t>Щетка стеклоочистителя HEYNER Super Flat Premium  23"/58см   283000</t>
  </si>
  <si>
    <t>Щетка стеклоочистителя HITO SMART  14"/35см арт.23214 бескаркасная</t>
  </si>
  <si>
    <t>Щетка стеклоочистителя HITO SMART  17"/43см арт.23216 бескаркасная</t>
  </si>
  <si>
    <t>Щетка стеклоочистителя HITO SMART  18"/45см арт.23217 бескаркасная</t>
  </si>
  <si>
    <t>Щетка стеклоочистителя HITO SMART  19"/48см арт.23218 бескаркасная</t>
  </si>
  <si>
    <t>Щетка стеклоочистителя HITO SMART  20"/50см арт.23219 бескаркасная</t>
  </si>
  <si>
    <t>Щетка стеклоочистителя HITO SMART  21"/53см арт.23220 бескаркасная</t>
  </si>
  <si>
    <t>Щетка стеклоочистителя HITO SMART  22"/55см арт.23221 бескаркасная</t>
  </si>
  <si>
    <t>Щетка стеклоочистителя HITO SMART  26"/65см арт.23223 бескаркасная</t>
  </si>
  <si>
    <t>Щетка стеклоочистителя HITO SMART  28"/70см арт.23224 бескаркасная</t>
  </si>
  <si>
    <t>Щетка стеклоочистителя HITO SPECIAL 13"/33см арт.23186 бескаркасная</t>
  </si>
  <si>
    <t>Щетка стеклоочистителя HITO SPECIAL 14"/35см арт.23187 бескаркасная</t>
  </si>
  <si>
    <t>Щетка стеклоочистителя HITO SPECIAL 16"/40см арт.23188 бескаркасная</t>
  </si>
  <si>
    <t>Щетка стеклоочистителя HITO SPECIAL 17"/43см арт.23189 бескаркасная</t>
  </si>
  <si>
    <t>Щетка стеклоочистителя HITO SPECIAL 18"/45см арт.23190 бескаркасная</t>
  </si>
  <si>
    <t>Щетка стеклоочистителя HITO SPECIAL 19"/48см арт.23191 бескаркасная</t>
  </si>
  <si>
    <t>Щетка стеклоочистителя HITO SPECIAL 20"/50см арт.23192 бескаркасная</t>
  </si>
  <si>
    <t>Щетка стеклоочистителя HITO SPECIAL 21"/53см арт.23193 бескаркасная</t>
  </si>
  <si>
    <t>Щетка стеклоочистителя HITO SPECIAL 22"/55см арт.23194 бескаркасная</t>
  </si>
  <si>
    <t>Щетка стеклоочистителя HITO SPECIAL 24"/60см арт.23195 бескаркасная</t>
  </si>
  <si>
    <t>Щетка стеклоочистителя HITO SPECIAL 25"/63см арт.23196 бескаркасная</t>
  </si>
  <si>
    <t>Щетка стеклоочистителя HITO SPECIAL 26"/65см арт.23197 бескаркасная</t>
  </si>
  <si>
    <t>Щетка стеклоочистителя HITO SPECIAL 27"/68см арт.23198 бескаркасная</t>
  </si>
  <si>
    <t>Щетка стеклоочистителя HITO SPECIAL 28"/70см арт.23199 бескаркасная</t>
  </si>
  <si>
    <t>Щетка стеклоочистителя HITO SPECIAL 30"/75см арт.23200 бескаркасная</t>
  </si>
  <si>
    <t>Щетка стеклоочистителя HITO SPECIAL 32"/80см арт.23201 бескаркасная</t>
  </si>
  <si>
    <t>Щетка стеклоочистителя KRISTAL 15"/38см бескаркасная</t>
  </si>
  <si>
    <t>Щетка стеклоочистителя KRISTAL 17"/43см бескаркасная</t>
  </si>
  <si>
    <t>Щетка стеклоочистителя KRISTAL 19"/48см бескаркасная</t>
  </si>
  <si>
    <t>Щетка стеклоочистителя KRISTAL 20"/50см бескаркасная</t>
  </si>
  <si>
    <t>Щетка стеклоочистителя KRISTAL 21"/53см бескаркасная</t>
  </si>
  <si>
    <t>Щетка стеклоочистителя KRISTAL 22"/55см бескаркасная</t>
  </si>
  <si>
    <t>Щетка стеклоочистителя KRISTAL 23"/58см бескаркасная</t>
  </si>
  <si>
    <t>Щетка стеклоочистителя KRISTAL 25"/63см бескаркасная</t>
  </si>
  <si>
    <t>Щетка стеклоочистителя KRISTAL 26"/65см бескаркасная</t>
  </si>
  <si>
    <t>Щетка стеклоочистителя KRISTAL 27"/68см бескаркасная</t>
  </si>
  <si>
    <t>Щетка стеклоочистителя KRISTAL 28"/70см бескаркасная</t>
  </si>
  <si>
    <t>Щетка гибридная</t>
  </si>
  <si>
    <t>Щетка стеклоочистителя AVS Hybrid Line 14"/35см</t>
  </si>
  <si>
    <t>Щетка стеклоочистителя AVS Hybrid Line 15"/38см</t>
  </si>
  <si>
    <t>Щетка стеклоочистителя AVS Hybrid Line 16"/40см</t>
  </si>
  <si>
    <t>Щетка стеклоочистителя AVS Hybrid Line 17"/43см</t>
  </si>
  <si>
    <t>Щетка стеклоочистителя AVS Hybrid Line 18"/45см</t>
  </si>
  <si>
    <t>Щетка стеклоочистителя AVS Hybrid Line 19"/48см</t>
  </si>
  <si>
    <t>Щетка стеклоочистителя AVS Hybrid Line 20"/50см</t>
  </si>
  <si>
    <t>Щетка стеклоочистителя AVS Hybrid Line 21"/53см</t>
  </si>
  <si>
    <t>Щетка стеклоочистителя AVS Hybrid Line 22"/56см</t>
  </si>
  <si>
    <t>Щетка стеклоочистителя AVS Hybrid Line 24"/60см</t>
  </si>
  <si>
    <t>Щетка стеклоочистителя HEYNER Hybrid 14"/35см 024000  (1/50шт.)</t>
  </si>
  <si>
    <t>Щетка стеклоочистителя HEYNER Hybrid 15"/38см 025000  (1/50шт.)</t>
  </si>
  <si>
    <t>Щетка стеклоочистителя HEYNER Hybrid 16"/40см 026000  (1/50шт.)</t>
  </si>
  <si>
    <t>Щетка стеклоочистителя HEYNER Hybrid 17"/43см 027000  (1/50шт.)</t>
  </si>
  <si>
    <t>Щетка стеклоочистителя HEYNER Hybrid 18"/45см 028000  (1/50шт.)</t>
  </si>
  <si>
    <t>Щетка стеклоочистителя HEYNER Hybrid 19"/48см 029000  (1/50шт.)</t>
  </si>
  <si>
    <t>Щетка стеклоочистителя HEYNER Hybrid 20"/50см 030000  (1/50шт.)</t>
  </si>
  <si>
    <t>Щетка стеклоочистителя HEYNER Hybrid 21"/53см 031000  (1/50шт.)</t>
  </si>
  <si>
    <t>Щетка стеклоочистителя HEYNER Hybrid 22"/56см 032000  (1/50шт.)</t>
  </si>
  <si>
    <t>Щетка стеклоочистителя HEYNER Hybrid 23"/58см 033000  (1/50шт.)</t>
  </si>
  <si>
    <t>Щетка стеклоочистителя HEYNER Hybrid 24"/60см 034000  (1/50шт.)</t>
  </si>
  <si>
    <t>Щетка стеклоочистителя HEYNER Hybrid 28"/70см 038000  (1/50шт.)</t>
  </si>
  <si>
    <t>Щетка стеклоочистителя HEYNER Hybrid 30"/76см 039000  (1/50шт.)</t>
  </si>
  <si>
    <t>Щетка стеклоочистителя HITO X-5  13"/33см арт.23238 Hybrid</t>
  </si>
  <si>
    <t>Щетка стеклоочистителя HITO X-5  14"/35см арт.23239 Hybrid</t>
  </si>
  <si>
    <t>Щетка стеклоочистителя HITO X-5  15"/38см арт.23240 Hybrid</t>
  </si>
  <si>
    <t>Щетка стеклоочистителя HITO X-5  16"/40см арт.23241 Hybrid</t>
  </si>
  <si>
    <t>Щетка стеклоочистителя HITO X-5  17"/43см арт.23242 Hybrid</t>
  </si>
  <si>
    <t>Щетка стеклоочистителя HITO X-5  18"/45см арт.23243 Hybrid</t>
  </si>
  <si>
    <t>Щетка стеклоочистителя HITO X-5  19"/48см арт.23244 Hybrid</t>
  </si>
  <si>
    <t>Щетка стеклоочистителя HITO X-5  20"/50см арт.23245 Hybrid</t>
  </si>
  <si>
    <t>Щетка стеклоочистителя HITO X-5  21"/53см арт.23246 Hybrid</t>
  </si>
  <si>
    <t>Щетка стеклоочистителя HITO X-5  22"/55см арт.23247 Hybrid</t>
  </si>
  <si>
    <t>Щетка стеклоочистителя HITO X-5  24"/60см арт.23248 Hybrid</t>
  </si>
  <si>
    <t>Щетка стеклоочистителя HITO X-5  26"/65см арт.23249 Hybrid</t>
  </si>
  <si>
    <t>Щетка стеклоочистителя HITO X-5  28"/70см арт.23250 Hybrid</t>
  </si>
  <si>
    <t>Щетка задняя</t>
  </si>
  <si>
    <t>Щетка стеклоочистителя ALCA заднего стекла  Rear Flat 12"/30см бескаркасная 001240</t>
  </si>
  <si>
    <t>Щетка стеклоочистителя ALCA заднего стекла  Rear Flat 16"/40см бескаркасная 001640</t>
  </si>
  <si>
    <t>Щетка стеклоочистителя ALCA заднего стекла Rear Classic 12"/30см каркасная 001210</t>
  </si>
  <si>
    <t>Щетка стеклоочистителя ALCA заднего стекла Rear Classic 14"/35см каркасная 001410</t>
  </si>
  <si>
    <t>Щетка стеклоочистителя ALCA заднего стекла Rear Classic 16"/40см каркасная 001610</t>
  </si>
  <si>
    <t>Щетка стеклоочистителя HEYNER заднего стекла Rear Classic 10"/25см каркасная 001030</t>
  </si>
  <si>
    <t>Щетка стеклоочистителя HEYNER заднего стекла Rear Classic 16"/40см каркасная 001630</t>
  </si>
  <si>
    <t>Щетка стеклоочистителя HEYNER заднего стекла Rear Flat 10"/25см бескаркасная 001020</t>
  </si>
  <si>
    <t>Щетка стеклоочистителя HEYNER заднего стекла Rear Flat 12"/30см бескаркасная 001220</t>
  </si>
  <si>
    <t>Щетка стеклоочистителя HEYNER заднего стекла Rear Flat 14"/35см бескаркасная 001420</t>
  </si>
  <si>
    <t>Щетка стеклоочистителя HEYNER заднего стекла Rear Flat 15"/38см бескаркасная 001520</t>
  </si>
  <si>
    <t>Щетка стеклоочистителя HEYNER заднего стекла Rear Flat 16"/40см бескаркасная 001620</t>
  </si>
  <si>
    <t>Щетка зима</t>
  </si>
  <si>
    <t>Щетка стеклоочистителя ALCA 13"/33 см зима  063 000 (1/50шт.)</t>
  </si>
  <si>
    <t>Щетка стеклоочистителя ALCA 14"/35 см зима  064 000  (1/50шт.)</t>
  </si>
  <si>
    <t>Щетка стеклоочистителя ALCA 15"/38 см зима  065 000  (1/50шт.)</t>
  </si>
  <si>
    <t>Щетка стеклоочистителя ALCA 17"/43 см зима  067 000  (1/50шт.)</t>
  </si>
  <si>
    <t>Щетка стеклоочистителя ALCA 18"/45 см зима  068 000  (1/50шт.)</t>
  </si>
  <si>
    <t>Щетка стеклоочистителя ALCA 19"/48 см зима  069 000  (1/50шт.)</t>
  </si>
  <si>
    <t>Щетка стеклоочистителя ALCA 21"/53 см зима  071 000  (1/50шт.)</t>
  </si>
  <si>
    <t>Щетка стеклоочистителя ALCA 22"/56 см зима  072 000  (1/50шт.)</t>
  </si>
  <si>
    <t>Щетка стеклоочистителя ALCA 24"/60 см зима  074 000  (1/50шт.)</t>
  </si>
  <si>
    <t>Щетка стеклоочистителя ALCA 26"/65 см зима  076 000  (1/50шт.)</t>
  </si>
  <si>
    <t>Щетка стеклоочистителя AUTOVIRAZH 13"/33см зима AV-001333</t>
  </si>
  <si>
    <t>Щетка стеклоочистителя AUTOVIRAZH 14"/35см зима AV-001433</t>
  </si>
  <si>
    <t>Щетка стеклоочистителя AUTOVIRAZH 15"/38см зима AV-001533</t>
  </si>
  <si>
    <t>Щетка стеклоочистителя AUTOVIRAZH 16"/40см зима AV-001633</t>
  </si>
  <si>
    <t>Щетка стеклоочистителя AUTOVIRAZH 17"/43см зима AV-001733</t>
  </si>
  <si>
    <t>Щетка стеклоочистителя AUTOVIRAZH 18"/45см зима AV-001833</t>
  </si>
  <si>
    <t>Щетка стеклоочистителя AUTOVIRAZH 19"/48см зима AV-001933</t>
  </si>
  <si>
    <t>Щетка стеклоочистителя AUTOVIRAZH 20"/50см зима AV-002033</t>
  </si>
  <si>
    <t>Щетка стеклоочистителя AUTOVIRAZH 21"/53см зима AV-002133</t>
  </si>
  <si>
    <t>Щетка стеклоочистителя AUTOVIRAZH 24"/60см зима AV-002433</t>
  </si>
  <si>
    <t>Щетка стеклоочистителя AUTOVIRAZH 26"/65см зима AV-002633</t>
  </si>
  <si>
    <t>Щетка стеклоочистителя AVS  14"/35см зима</t>
  </si>
  <si>
    <t>Щетка стеклоочистителя AVS  15"/38см зима</t>
  </si>
  <si>
    <t>Щетка стеклоочистителя AVS  17"/43см зима</t>
  </si>
  <si>
    <t>Щетка стеклоочистителя AVS  18"/45см зима</t>
  </si>
  <si>
    <t>Щетка стеклоочистителя AVS  19"/48см зима</t>
  </si>
  <si>
    <t>Щетка стеклоочистителя AVS  20"/50см зима</t>
  </si>
  <si>
    <t>Щетка стеклоочистителя AVS  21"/53см зима</t>
  </si>
  <si>
    <t>Щетка стеклоочистителя AVS  22"/55см зима</t>
  </si>
  <si>
    <t>Щетка стеклоочистителя AVS  24"/60см зима</t>
  </si>
  <si>
    <t>Щетка стеклоочистителя AVS  26"/65см зима</t>
  </si>
  <si>
    <t>Щетка стеклоочистителя CHAMPION 16"/41см зима WX41</t>
  </si>
  <si>
    <t>Щетка стеклоочистителя CHAMPION 18"/45см зима WX45</t>
  </si>
  <si>
    <t>Щетка стеклоочистителя CHAMPION 22"/55см зима WX55</t>
  </si>
  <si>
    <t>Щетка каркасная</t>
  </si>
  <si>
    <t>Щетка стеклоочистителя AVS Classic Line 11"/28см. каркасная арт.A78367S</t>
  </si>
  <si>
    <t>Щетка стеклоочистителя AVS Classic Line 12"/30см. каркасная арт.A78368S</t>
  </si>
  <si>
    <t>Щетка стеклоочистителя AVS Classic Line 13"/33см. каркасная арт.A78369S</t>
  </si>
  <si>
    <t>Щетка стеклоочистителя AVS Classic Line 14"/35см. каркасная арт.A78307S</t>
  </si>
  <si>
    <t>Щетка стеклоочистителя AVS Classic Line 15"/38см. каркасная арт.A78308S</t>
  </si>
  <si>
    <t>Щетка стеклоочистителя AVS Classic Line 16"/40см. каркасная арт.A78309S</t>
  </si>
  <si>
    <t>Щетка стеклоочистителя AVS Classic Line 17"/43см. каркасная арт.A78310S</t>
  </si>
  <si>
    <t>Щетка стеклоочистителя AVS Classic Line 18"/45см. каркасная арт.A78311S</t>
  </si>
  <si>
    <t>Щетка стеклоочистителя AVS Classic Line 19"/48см. каркасная арт.A78312S</t>
  </si>
  <si>
    <t>Щетка стеклоочистителя AVS Classic Line 21"/53см. каркасная арт.A78314S</t>
  </si>
  <si>
    <t>Щетка стеклоочистителя AVS Classic Line 22"/55см. каркасная арт.A78315S</t>
  </si>
  <si>
    <t>Щетка стеклоочистителя AVS Classic Line 23"/58см. каркасная арт.A78316S</t>
  </si>
  <si>
    <t>Щетка стеклоочистителя AVS Classic Line 26"/65см. каркасная арт.A78318S</t>
  </si>
  <si>
    <t>Щетка стеклоочистителя AVS Classic Line 28"/70см. каркасная арт.A78319S</t>
  </si>
  <si>
    <t>Щетка стеклоочистителя CHAMPION 14"/36 см каркасная E36 (к-т 2шт)</t>
  </si>
  <si>
    <t>Щетка стеклоочистителя CHAMPION 19"/48 см каркасная E48 (к-т 2шт)</t>
  </si>
  <si>
    <t>Щетка стеклоочистителя CHAMPION 20"/51см каркасная E51 (к-т 2шт)</t>
  </si>
  <si>
    <t>Щетка стеклоочистителя CHAMPION 24"/60см каркасная E60 (к-т 1шт)</t>
  </si>
  <si>
    <t>Щетка стеклоочистителя HITO CLASSIC  15"/38см арт.23204 каркасная</t>
  </si>
  <si>
    <t>Щетка стеклоочистителя HITO CLASSIC  16"/40см арт.23205 каркасная</t>
  </si>
  <si>
    <t>Щетка стеклоочистителя HITO CLASSIC  17"/43см арт.23206 каркасная</t>
  </si>
  <si>
    <t>Щетка стеклоочистителя HITO CLASSIC  18"/45см арт.23207 каркасная</t>
  </si>
  <si>
    <t>Щетка стеклоочистителя HITO CLASSIC  19"/48см арт.23208 каркасная</t>
  </si>
  <si>
    <t>Щетка стеклоочистителя HITO CLASSIC  21"/53см арт.23210 каркасная</t>
  </si>
  <si>
    <t>Щетка стеклоочистителя HITO CLASSIC  22"/55см арт.23211 каркасная</t>
  </si>
  <si>
    <t>Щетка стеклоочистителя HITO CLASSIC  24"/60см арт.23212 каркасная</t>
  </si>
  <si>
    <t>Щетка стеклоочистителя Mashinomesto 21"/53 см бескаркасная</t>
  </si>
  <si>
    <t>Щетка стеклоочистителя Mashinomesto 22"/55 см бескаркасная</t>
  </si>
  <si>
    <t>Щетка стеклоочистителя ЭКОНОМ 20"/50 см каркасная 2108 (к-т 2шт)</t>
  </si>
  <si>
    <t>Щетка стеклоочистителя ЭКОНОМ 20"/50 см каркасная 2110 (к-т 2шт)</t>
  </si>
  <si>
    <t>Щетки-пылесгоны</t>
  </si>
  <si>
    <t>Пылесгон</t>
  </si>
  <si>
    <t>Щетка от пыли City UP CA-138 в чехле (1/25шт.)</t>
  </si>
  <si>
    <t>Щетка от пыли Li&amp;Sa №47420  (69см)</t>
  </si>
  <si>
    <t>Щетка от пыли Li&amp;Sa №47421  (72,5см)</t>
  </si>
  <si>
    <t>Щетка от пыли Li&amp;Sa №47422  (65см)</t>
  </si>
  <si>
    <t>Щетка от пыли в чехле  (1/25шт.)</t>
  </si>
  <si>
    <t>Электротовары</t>
  </si>
  <si>
    <t>Батарейки</t>
  </si>
  <si>
    <t>Батарейка AG-1</t>
  </si>
  <si>
    <t>Батарейка AG-13</t>
  </si>
  <si>
    <t>Батарейка AG-3</t>
  </si>
  <si>
    <t>Батарейка AG-4</t>
  </si>
  <si>
    <t>Вилка в розетку</t>
  </si>
  <si>
    <t>Адаптер питания (вилка в розетку) Adaptador AC-DC (220V / 12V)</t>
  </si>
  <si>
    <t>Вилка в розетку 2 USB Borofone А-23А с проводом на айфон</t>
  </si>
  <si>
    <t>Вилка в розетку hoco арт.C-76A  Type-C</t>
  </si>
  <si>
    <t>Вилка в розетку hoco арт.C-95A  ( Type-C на Lightning ) с проводом 1м.   QC3.0</t>
  </si>
  <si>
    <t>Вилка в розетку с проводом ( USB+Lightning) AWEI C-832 айфон</t>
  </si>
  <si>
    <t>Вилка в розетку с проводом ( USB+Micro USB) AWEI C-831 андроид</t>
  </si>
  <si>
    <t>ЗУ AVS TMC-111 с micro USB 1200мА</t>
  </si>
  <si>
    <t>ЗУ AVS сетевое TlP-402  айфон 4 арт.a80525s РАСПРОДАЖА</t>
  </si>
  <si>
    <t>ЗУ AVS сетевое TSD-880 для Samsung 220v арт.a80529s РАСПРОДАЖА</t>
  </si>
  <si>
    <t>ЗУ S4 220v Super Green для андроида</t>
  </si>
  <si>
    <t>Кабель USB</t>
  </si>
  <si>
    <t>Кабель USB Borofone BX-41 магнитный на айфон в упаковке</t>
  </si>
  <si>
    <t>Кабель USB Borofone BX-41 магнитный на андроид в упаковке</t>
  </si>
  <si>
    <t>Кабель USB Borofone BX-51 на айфон в упаковке</t>
  </si>
  <si>
    <t>Кабель USB CABLE 360 ° магнитный на андроид</t>
  </si>
  <si>
    <t>Кабель USB Hoco Selected S-6 Type-C в упаковке</t>
  </si>
  <si>
    <t>Кабель USB Hoco Selected S-6 айфон в упаковке</t>
  </si>
  <si>
    <t>Кабель USB Hoco Selected S-6 андроид в упаковке</t>
  </si>
  <si>
    <t>Кабель USB Hoco SILICONE U-67 андроид в упаковке</t>
  </si>
  <si>
    <t>Кабель USB Hoco SILICONE U-82  андроид в упаковке</t>
  </si>
  <si>
    <t>Кабель USB Hoco Silicone X-21 Type-C в упаковке</t>
  </si>
  <si>
    <t>Кабель USB Hoco Silicone X-21 айфон в упаковке</t>
  </si>
  <si>
    <t>Кабель USB Hoco Silicone X-21 андроид  в упаковке</t>
  </si>
  <si>
    <t>Кабель USB Hoco X-20 айфон 2м. в упаковке</t>
  </si>
  <si>
    <t>Кабель USB Hoco X-20 айфон в упаковке  3м.</t>
  </si>
  <si>
    <t>Кабель USB Hoco X-20 андроид 2м. в упаковке</t>
  </si>
  <si>
    <t>Кабель USB Hoco X-20 андроид в упаковке  3м.</t>
  </si>
  <si>
    <t>Кабель USB Hoco X-52 магнитный на айфон в упаковке</t>
  </si>
  <si>
    <t>Кабель USB Hoco X-52 магнитный на андроид  в упаковке</t>
  </si>
  <si>
    <t>Кабель USB Hoco X-66  ( Type-C на Type-C ) 1м. в упаковке</t>
  </si>
  <si>
    <t>Кабель USB Hoco X-66  ( USB на андроид ) 1м. в упаковке</t>
  </si>
  <si>
    <t>Кабель USB Hoco X-67 на Type-C в упаковке</t>
  </si>
  <si>
    <t>Кабель USB Hoco X-67 на айфон  в упаковке</t>
  </si>
  <si>
    <t>Кабель USB Hoco X-67 на андроид  в упаковке</t>
  </si>
  <si>
    <t>Кабель USB Magnetic DM-M12 магнитный на андроид</t>
  </si>
  <si>
    <t>Кабель USB Magnetic магнитный Hoco S-8 айфон в упаковке</t>
  </si>
  <si>
    <t>Кабель USB Magnetic магнитный Hoco S-8 андроид в упаковке</t>
  </si>
  <si>
    <t>Кабель USB Remax магнитный на айфон      RC-095i</t>
  </si>
  <si>
    <t>Кабель USB X-cable 360 ° магнитный светодиодный на Type-C</t>
  </si>
  <si>
    <t>Кабель USB X-cable 360 ° магнитный светодиодный на айфон</t>
  </si>
  <si>
    <t>Кабель USB X-cable 360 ° магнитный светодиодный на андроид</t>
  </si>
  <si>
    <t>Кабель USB простой на айфон</t>
  </si>
  <si>
    <t>Кабель USB резиновый "кожа" светящийся айфон</t>
  </si>
  <si>
    <t>Кабель USB резиновый цветной айфон 4</t>
  </si>
  <si>
    <t>Кабель USB смайлик светящийся на айфон</t>
  </si>
  <si>
    <t>Переходник AWEI на Type-C  арт.CL-14</t>
  </si>
  <si>
    <t>Переноска</t>
  </si>
  <si>
    <t>Переноска 15м 220v</t>
  </si>
  <si>
    <t>Переноска 20м 220v</t>
  </si>
  <si>
    <t>Переноска 5м 220v</t>
  </si>
  <si>
    <t>Переноска Nova Bright 03158 галогенная на аккумулятор</t>
  </si>
  <si>
    <t>Переноска Nova Bright 03166 галогенная на аккумулятор</t>
  </si>
  <si>
    <t>Переноска Nova Bright 03615 галогенная Н3 на аккумулятор</t>
  </si>
  <si>
    <t>Провод акустический</t>
  </si>
  <si>
    <t>Провод акустический красно-черный диаметр 0,5мм*100м</t>
  </si>
  <si>
    <t>Провод акустический красно-черный диаметр 0,75мм*100м</t>
  </si>
  <si>
    <t>Провод акустический красно-черный диаметр 1,5мм*100м</t>
  </si>
  <si>
    <t>Провод акустический красно-черный диаметр 1мм*100м</t>
  </si>
  <si>
    <t>Провод акустический красно-черный диаметр 2мм*100м</t>
  </si>
  <si>
    <t>Провод акустический прозрачный диаметр 0,5мм*100м</t>
  </si>
  <si>
    <t>Провод акустический прозрачный диаметр 0,75мм*100м</t>
  </si>
  <si>
    <t>Провод акустический прозрачный диаметр 1,5мм*100м</t>
  </si>
  <si>
    <t>Провод акустический прозрачный диаметр 1мм*100м</t>
  </si>
  <si>
    <t>Провод акустический прозрачный диаметр 2мм*100м</t>
  </si>
  <si>
    <t>Провода AUX</t>
  </si>
  <si>
    <t>Провод AUX 1м шнурок, тканевый  (разъем в пластике)</t>
  </si>
  <si>
    <t>Провод AUX 1м шнурок, тканевый змейка (разъем в металле)</t>
  </si>
  <si>
    <t>Термометр</t>
  </si>
  <si>
    <t>Термометр цифровой</t>
  </si>
  <si>
    <t>Флешка</t>
  </si>
  <si>
    <t>Карта памяти AWEI MicroSDHC Card с переходником   8GB</t>
  </si>
  <si>
    <t>Фонарик</t>
  </si>
  <si>
    <t>Подсветка диодная универсальная USB</t>
  </si>
  <si>
    <t>Фонарик POLICE GY-W-555</t>
  </si>
  <si>
    <t>Фонарик на лоб BL-T89</t>
  </si>
  <si>
    <t>Фонарик на лоб HT-113 / TM-G13 гибкий светодиод</t>
  </si>
  <si>
    <t>Фонарик на лоб HT-116 гибкий светодиод</t>
  </si>
  <si>
    <t>Фонарик на лоб HT-804  арт.W-648</t>
  </si>
  <si>
    <t>Фонарик на магните Cob Working Light 3+1</t>
  </si>
  <si>
    <t>Фонарик ручной 1122</t>
  </si>
  <si>
    <t>Сигнал воздушный трёх рожковый (хром) RS-07896</t>
  </si>
  <si>
    <t>Щетка для мытья авто под шланг СА-235</t>
  </si>
  <si>
    <t>Модулятор FM-I9 2 USB</t>
  </si>
  <si>
    <t>Предохранители NOVA Bright Флажковые Евро -мини арт.39576</t>
  </si>
  <si>
    <t>Пылесос автомобильный Nova Bright ( 75W/12B ) 46884</t>
  </si>
  <si>
    <t>Пылесос автомобильный Nova Bright (100W/12B) 46882/46883</t>
  </si>
  <si>
    <t>Стоп сигнал дополнительный 14 диодов</t>
  </si>
  <si>
    <t>Полироль панели AVS арт.AVK-622 глянцевая, нейтральный аромат 250мл. (1/15шт.)</t>
  </si>
  <si>
    <t>Смазка силиконовая ABRO SL-900-R 283г</t>
  </si>
  <si>
    <t>Автомобильное кресло</t>
  </si>
  <si>
    <t>Детское автомобильное кресло "Nova Bright" бескаркасное арт.47593 / "Масяня"</t>
  </si>
  <si>
    <t>Заглушка ремня безопасности NOVA Bright 46791 метал.  (1 шт.)</t>
  </si>
  <si>
    <t>Насадка глушителя NOVA Bright 31535 нержав.сталь (д.60 мм)</t>
  </si>
  <si>
    <t>Антенна наружная АША на желобок/водосток 1м</t>
  </si>
  <si>
    <t>Ароматизатор TASOTTI дом-авто "REED DIFFUSER" 100мл. AMBER WOOD (1/12шт)</t>
  </si>
  <si>
    <t>Ароматизатор TASOTTI дом-авто "REED DIFFUSER" 100мл. ECSTASY OF EDEN (1/12шт)</t>
  </si>
  <si>
    <t>Ароматизатор TASOTTI дом-авто "REED DIFFUSER" 100мл. GREEN CONNECTION (1/12шт)</t>
  </si>
  <si>
    <t>Ароматизатор TASOTTI дом-авто "REED DIFFUSER" 100мл. KISS (1/12шт)</t>
  </si>
  <si>
    <t>Ароматизатор TASOTTI дом-авто "REED DIFFUSER" 100мл. PUREST NATURE (1/12шт)</t>
  </si>
  <si>
    <t>Ароматизатор TASOTTI дом-авто "REED DIFFUSER" 100мл. SPIRIT OF LUXURY (1/12шт)</t>
  </si>
  <si>
    <t>Ароматизатор AREON в дефлектор CAR 8мл. Бабл Гам (Bubble Gum)</t>
  </si>
  <si>
    <t>Ароматизатор AREON бочонок Fresco Ваниль (Vanilla)  (1/12шт)</t>
  </si>
  <si>
    <t>Ароматизатор AREON бочонок Fresco Летний Сон (Summer Dream) (1/12шт)</t>
  </si>
  <si>
    <t>Ароматизатор CONTEX флакон с деревянной крышкой VIP Perfume № 1 "Ciel Pour Homme" (1/20шт)</t>
  </si>
  <si>
    <t>Ароматизатор CONTEX флакон с деревянной крышкой VIP Perfume № 2 "Amouage Opus V" (1/20шт)</t>
  </si>
  <si>
    <t>Ароматизатор CONTEX флакон с деревянной крышкой VIP Perfume № 3 " Blue Seduction" (1/20шт)</t>
  </si>
  <si>
    <t>Ароматизатор CONTEX флакон с деревянной крышкой VIP Perfume № 6 "Si" (1/20шт)</t>
  </si>
  <si>
    <t>Ароматизатор CONTEX флакон с деревянной крышкой VIP Perfume №11 "Chance" (1/20шт)</t>
  </si>
  <si>
    <t>Ароматизатор CONTEX флакон с деревянной крышкой VIP Perfume №13 "Happy" (1/20шт)</t>
  </si>
  <si>
    <t>Ароматизатор CONTEX флакон с деревянной крышкой VIP Perfume №14 "Fan di pour homme" (1/20шт)</t>
  </si>
  <si>
    <t>Ароматизатор CONTEX флакон с деревянной крышкой VIP Perfume №16 "Terre d'Hermes" (1/20шт)</t>
  </si>
  <si>
    <t>Ароматизатор CONTEX флакон с деревянной крышкой VIP Perfume №20 "Boise Fruite" (1/20шт)</t>
  </si>
  <si>
    <t>Ароматизатор CONTEX флакон с деревянной крышкой VIP Perfume №21 "Aoud Forest" (1/20шт)</t>
  </si>
  <si>
    <t>Ароматизатор CONTEX флакон с деревянной крышкой VIP Perfume №22 "Rendez Vous A Moscou" (1/20шт)</t>
  </si>
  <si>
    <t>Ароматизатор CONTEX флакон с деревянной крышкой VIP Perfume №23 "Pure Gold" (1/20шт)</t>
  </si>
  <si>
    <t>Ароматизатор CONTEX флакон с деревянной крышкой VIP Perfume №24 "Mango Manga" (1/20шт)</t>
  </si>
  <si>
    <t>Ароматизатор CONTEX флакон с деревянной крышкой VIP Perfume №25 "Vanilla Extasy" (1/20шт)</t>
  </si>
  <si>
    <t>Ароматизатор CONTEX флакон с деревянной крышкой VIP Perfume №26 "Narcotic Venus" (1/20шт)</t>
  </si>
  <si>
    <t>Ароматизатор CONTEX флакон с деревянной крышкой VIP Perfume №29 "Fucking Fabulous" (1/20шт)</t>
  </si>
  <si>
    <t>Ароматизатор CONTEX флакон с деревянной крышкой VIP Perfume №30 "Noir Extreme" (1/20шт)</t>
  </si>
  <si>
    <t>Ароматизатор CONTEX флакон с деревянной крышкой VIP Perfume №31 "Inside" (1/20шт)</t>
  </si>
  <si>
    <t>Ароматизатор CONTEX флакон с деревянной крышкой VIP Perfume №32 "Trussardi Uomo" (1/20шт)</t>
  </si>
  <si>
    <t>Ароматизатор CONTEX флакон с деревянной крышкой VIP Perfume №33 "Sheikh Shuyukh Luxe Edition"(1/20шт</t>
  </si>
  <si>
    <t>Ароматизатор CONTEX флакон с деревянной крышкой VIP Perfume №34 "Shaik Opulent №77" (1/20шт)</t>
  </si>
  <si>
    <t>Ароматизатор CONTEX флакон с деревянной крышкой VIP Perfume №35 "Chik Shaik №70" (1/20шт)</t>
  </si>
  <si>
    <t>Ароматизатор CONTEX флакон с деревянной крышкой VIP Perfume №37 "Sheikh Shuyukh Lattafa" (1/20шт)</t>
  </si>
  <si>
    <t>Ароматизатор CONTEX флакон с деревянной крышкой VIP Perfume №39 "Montale Mukhallat" (1/20шт)</t>
  </si>
  <si>
    <t>Ароматизатор CONTEX флакон с деревянной крышкой VIP Perfume №40 "Straight to Heaven" (1/20шт)</t>
  </si>
  <si>
    <t>Ароматизатор CONTEX флакон с деревянной крышкой VIP Perfume №41 "Blossom Love" (1/20шт)</t>
  </si>
  <si>
    <t>Ароматизатор CONTEX флакон с деревянной крышкой VIP Perfume №43 "Cood Girl Gone Bad" (1/20шт)</t>
  </si>
  <si>
    <t>Ароматизатор CONTEX флакон с деревянной крышкой VIP Perfume №44 "DG Antoiogy 3" (1/20шт)</t>
  </si>
  <si>
    <t>Ароматизатор CONTEX флакон с деревянной крышкой VIP Perfume №45 "Rose Elixir" (1/20шт)</t>
  </si>
  <si>
    <t>Ароматизатор CONTEX флакон с деревянной крышкой VIP Perfume №48 "Chocolate Greedy" (1/20шт)</t>
  </si>
  <si>
    <t>Ароматизатор CONTEX флакон с деревянной крышкой VIP Perfume №49 "Eau Fraiche" (1/20шт)</t>
  </si>
  <si>
    <t>Ароматизатор Dr.MARKUS мешочек с гранулами Fresh Bag Черный (Black) (1/15шт)</t>
  </si>
  <si>
    <t>Ароматизатор LITTLE TREES елочка Пина колада (Pina Colada)  (1/24шт.)</t>
  </si>
  <si>
    <t>Ароматизатор TENSY бочонок 6мл. Парфюм OUD (1/15шт)</t>
  </si>
  <si>
    <t>Ароматизатор BIG FRESH под сиденье Пина колада (1/40шт.)</t>
  </si>
  <si>
    <t>Ароматизатор Big D аэрозоль 150мл. Ваниль арт.ASC8814 (1/12шт)</t>
  </si>
  <si>
    <t>Ароматизатор Big D аэрозоль 150мл. Новая машина арт.ASC8812 (1/12шт)</t>
  </si>
  <si>
    <t>Ароматизатор Big D аэрозоль 150мл. Цитрус арт.ASC8813 (1/12шт)</t>
  </si>
  <si>
    <t>Ароматизатор Big D аэрозоль 150мл. Черный лед арт.ASC8811 (1/12шт)</t>
  </si>
  <si>
    <t>Ароматизатор Dr.MARKUS спрей Pump Ваниль (Vanilla)</t>
  </si>
  <si>
    <t>Ароматизатор Dr.MARKUS консерва Aircan Пина колада (Pina colada)</t>
  </si>
  <si>
    <t>Жилет сигнальный салатовый (1/50шт)</t>
  </si>
  <si>
    <t>Трос буксировочный 5т лента "АлСиб" 5м. (1/50шт)</t>
  </si>
  <si>
    <t>Стяжка груза Полярник 5т-10т 10м</t>
  </si>
  <si>
    <t>Тонировка MAAS   5% SyperDarkBlack 50см*3м   1/5шт. арт.0243</t>
  </si>
  <si>
    <t>Тонировка MAAS 20% Black 50см*3м   1/5шт. арт.02138</t>
  </si>
  <si>
    <t>Трос буксировочный Богатырь 15т веревка (1/12шт)</t>
  </si>
  <si>
    <t>Клеммы АКБ DELUXE ВТ 101 Турция</t>
  </si>
  <si>
    <t>Салфетка микрофибра City UP CA-107 Diamond 35*40см</t>
  </si>
  <si>
    <t>Насадка для швабры City UP СА-969 (1/50шт)</t>
  </si>
  <si>
    <t>Насадка для швабры City UP СА-971  профессиональная (1/50шт)</t>
  </si>
  <si>
    <t>Насадка для швабры City UP СА-975 (1/50шт)</t>
  </si>
  <si>
    <t>Насадка для швабры City UP СА-977 МОП из микрофибры LUX (1/50шт)</t>
  </si>
  <si>
    <t>Швабра для пола City UP СА-960 с МОП-насадкой (к-т 2шт.) (1/12шт)</t>
  </si>
  <si>
    <t>Швабра для пола City UP СА-963 профессиональная + насадка усиленная (1/12шт)</t>
  </si>
  <si>
    <t>Пистолет для продува кабины со шлангом</t>
  </si>
  <si>
    <t>Щетка стеклоочистителя AVS Classic Line 20"/50см. каркасная арт.A78313S</t>
  </si>
  <si>
    <t>Щетка стеклоочистителя AVS Classic Line 24"/60см. каркасная арт.A78317S</t>
  </si>
  <si>
    <t>10009</t>
  </si>
  <si>
    <t>10007</t>
  </si>
  <si>
    <t>Сигнал воздушный однорожковый со встроенным мотором</t>
  </si>
  <si>
    <t>13041</t>
  </si>
  <si>
    <t>Автомобильный компрессор TORNADO АС-580</t>
  </si>
  <si>
    <t>29102</t>
  </si>
  <si>
    <t>Щетки стеклоочистителя каркасная Champion E51 20" (510 мм)</t>
  </si>
  <si>
    <t>A308</t>
  </si>
  <si>
    <t>Щетка стеклоочистителя бескаркасная ANVO 51см</t>
  </si>
  <si>
    <t>17006</t>
  </si>
  <si>
    <t>Шторки на стекла Crystal 50L (50 см)</t>
  </si>
  <si>
    <t>17009</t>
  </si>
  <si>
    <t>Шторки на стекла Crystal 60M (60 см)</t>
  </si>
  <si>
    <t>70320</t>
  </si>
  <si>
    <t>Ароматизатор воздуха "BIG FRESH" BF-07 Антистресс</t>
  </si>
  <si>
    <t>70329</t>
  </si>
  <si>
    <t>Ароматизатор воздуха "BIG FRESH" BF-51 Душистая земляника</t>
  </si>
  <si>
    <t>70337</t>
  </si>
  <si>
    <t>Ароматизатор воздуха "BIG FRESH" BF-61 Океанский бриз</t>
  </si>
  <si>
    <t>70328</t>
  </si>
  <si>
    <t>Ароматизатор воздуха "BIG FRESH" BF-65 Тропическая дыня</t>
  </si>
  <si>
    <t>70335</t>
  </si>
  <si>
    <t>Ароматизатор воздуха "BIG FRESH" BF-72 Новая Машина</t>
  </si>
  <si>
    <t>70331</t>
  </si>
  <si>
    <t>Ароматизатор воздуха "BIG FRESH" BF-78 Ароматный кофе</t>
  </si>
  <si>
    <t>70835</t>
  </si>
  <si>
    <t>70832</t>
  </si>
  <si>
    <t>70834</t>
  </si>
  <si>
    <t>70833</t>
  </si>
  <si>
    <t>70664</t>
  </si>
  <si>
    <t>70663</t>
  </si>
  <si>
    <t>Ароматизатор воздуха "Car-Freshner" Утренняя свежесть</t>
  </si>
  <si>
    <t>70648</t>
  </si>
  <si>
    <t>Ароматизатор воздуха "Car-Freshner" Кожа</t>
  </si>
  <si>
    <t>70647</t>
  </si>
  <si>
    <t>70655</t>
  </si>
  <si>
    <t>70656</t>
  </si>
  <si>
    <t>70653</t>
  </si>
  <si>
    <t>70665</t>
  </si>
  <si>
    <t>Ароматизатор воздуха "Car-Freshner" Черный лед</t>
  </si>
  <si>
    <t>70658</t>
  </si>
  <si>
    <t>Ароматизатор воздуха "Car-Freshner" Елочка. Российский флаг</t>
  </si>
  <si>
    <t>70096</t>
  </si>
  <si>
    <t>70103</t>
  </si>
  <si>
    <t>70097</t>
  </si>
  <si>
    <t>70098</t>
  </si>
  <si>
    <t>70094</t>
  </si>
  <si>
    <t>70105</t>
  </si>
  <si>
    <t>70100</t>
  </si>
  <si>
    <t>70058</t>
  </si>
  <si>
    <t>Освежитель воздуха Areon FRESCO "бутылочка в дереве" Bubble Gum</t>
  </si>
  <si>
    <t>70064</t>
  </si>
  <si>
    <t>Освежитель воздуха Areon FRESCO "бутылочка в дереве" Coconut</t>
  </si>
  <si>
    <t>70065</t>
  </si>
  <si>
    <t>Освежитель воздуха Areon FRESCO "бутылочка в дереве" Coffee</t>
  </si>
  <si>
    <t>70060</t>
  </si>
  <si>
    <t>Освежитель воздуха Areon FRESCO "бутылочка в дереве" Hawaii</t>
  </si>
  <si>
    <t>70067</t>
  </si>
  <si>
    <t>Освежитель воздуха Areon FRESCO "бутылочка в дереве" Lemon</t>
  </si>
  <si>
    <t>70069</t>
  </si>
  <si>
    <t>Освежитель воздуха Areon FRESCO "бутылочка в дереве" Peach</t>
  </si>
  <si>
    <t>72169</t>
  </si>
  <si>
    <t>70057</t>
  </si>
  <si>
    <t>Освежитель воздуха Areon FRESCO "бутылочка в дереве" Black Crystal</t>
  </si>
  <si>
    <t>70068</t>
  </si>
  <si>
    <t>Освежитель воздуха Areon FRESCO "бутылочка в дереве" New Car</t>
  </si>
  <si>
    <t>70074</t>
  </si>
  <si>
    <t>Освежитель воздуха Areon FRESCO "бутылочка в дереве" Apple</t>
  </si>
  <si>
    <t>70063</t>
  </si>
  <si>
    <t>Освежитель воздуха Areon FRESCO "бутылочка в дереве" Strawberry</t>
  </si>
  <si>
    <t>70059</t>
  </si>
  <si>
    <t>Освежитель воздуха Areon FRESCO "бутылочка в дереве" Vanilla</t>
  </si>
  <si>
    <t>71362</t>
  </si>
  <si>
    <t>70066</t>
  </si>
  <si>
    <t>Освежитель воздуха Areon FRESCO "бутылочка в дереве" Lily of the Valley</t>
  </si>
  <si>
    <t>70062</t>
  </si>
  <si>
    <t>Освежитель воздуха Areon FRESCO "бутылочка в дереве" Oxygen</t>
  </si>
  <si>
    <t>70071</t>
  </si>
  <si>
    <t>Освежитель воздуха Areon FRESCO "бутылочка в дереве" Tortuga (Ocean)</t>
  </si>
  <si>
    <t>70121</t>
  </si>
  <si>
    <t>70132</t>
  </si>
  <si>
    <t>Освежитель воздуха Аreon Сухой MON CLASSIC "Елочки" Green Apple (зелен.ябл.)</t>
  </si>
  <si>
    <t>71093</t>
  </si>
  <si>
    <t>Освежитель воздуха Аreon Сухой MON CLASSIC "Елочки" Lemon</t>
  </si>
  <si>
    <t>71095</t>
  </si>
  <si>
    <t>Освежитель воздуха Аreon Сухой MON CLASSIC "Елочки" No Smoking</t>
  </si>
  <si>
    <t>70136</t>
  </si>
  <si>
    <t>Освежитель воздуха Аreon Сухой MON CLASSIC "Елочки" Ocean</t>
  </si>
  <si>
    <t>71027</t>
  </si>
  <si>
    <t>Освежитель воздуха Аreon Сухой MON CLASSIC "Елочки" Paradise (рай)</t>
  </si>
  <si>
    <t>Освежитель воздуха Аreon Сухой MON CLASSIC "Елочки" Perfume</t>
  </si>
  <si>
    <t>71094</t>
  </si>
  <si>
    <t>Освежитель воздуха Аreon Сухой MON CLASSIC "Елочки" Strawberry</t>
  </si>
  <si>
    <t>70131</t>
  </si>
  <si>
    <t>Освежитель воздуха Аreon Сухой MON CLASSIC "Елочки" Vanilla</t>
  </si>
  <si>
    <t>70135</t>
  </si>
  <si>
    <t>Освежитель воздуха Аreon Сухой MON CLASSIC "Елочки" New Car</t>
  </si>
  <si>
    <t>70138</t>
  </si>
  <si>
    <t>Освежитель воздуха Аreon Сухой MON CLASSIC "Елочки" Tutti Frutti</t>
  </si>
  <si>
    <t>60003</t>
  </si>
  <si>
    <t>14016</t>
  </si>
  <si>
    <t>14007</t>
  </si>
  <si>
    <t>17002</t>
  </si>
  <si>
    <t>Шторка на лобовое стекло 130х60см / серебро Nova Bright 46480 / MAAS IA19021</t>
  </si>
  <si>
    <t>17003</t>
  </si>
  <si>
    <t>27003</t>
  </si>
  <si>
    <t>27006</t>
  </si>
  <si>
    <t>27001</t>
  </si>
  <si>
    <t>31007</t>
  </si>
  <si>
    <t>27010</t>
  </si>
  <si>
    <t>27002</t>
  </si>
  <si>
    <t>31003</t>
  </si>
  <si>
    <t>27030</t>
  </si>
  <si>
    <t>31013</t>
  </si>
  <si>
    <t>21001</t>
  </si>
  <si>
    <t>21008</t>
  </si>
  <si>
    <t>24068</t>
  </si>
  <si>
    <t>24082</t>
  </si>
  <si>
    <t>Салфетка замша City UP CA-221 43*64см в тубе (большая)</t>
  </si>
  <si>
    <t>24059</t>
  </si>
  <si>
    <t>24001</t>
  </si>
  <si>
    <t>24061</t>
  </si>
  <si>
    <t>24044</t>
  </si>
  <si>
    <t>Салфетка микрофибра "City UP" размер 40*60см</t>
  </si>
  <si>
    <t>24057</t>
  </si>
  <si>
    <t>24040</t>
  </si>
  <si>
    <t>24041</t>
  </si>
  <si>
    <t>24060</t>
  </si>
  <si>
    <t>24062</t>
  </si>
  <si>
    <t>24063</t>
  </si>
  <si>
    <t>24083</t>
  </si>
  <si>
    <t>Салфетка замша City UP CA-222 43*32см в тубе (маленькая)</t>
  </si>
  <si>
    <t>40278</t>
  </si>
  <si>
    <t>Фиксатор резьбы анаэробный ABRO синий 6мл (TL-342)</t>
  </si>
  <si>
    <t>40081</t>
  </si>
  <si>
    <t>50173</t>
  </si>
  <si>
    <t>Антискользящий коврик AVS NP-002</t>
  </si>
  <si>
    <t>50193</t>
  </si>
  <si>
    <t>15003</t>
  </si>
  <si>
    <t>70361</t>
  </si>
  <si>
    <t>70661</t>
  </si>
  <si>
    <t>70642</t>
  </si>
  <si>
    <t>70657</t>
  </si>
  <si>
    <t>70360</t>
  </si>
  <si>
    <t>70641</t>
  </si>
  <si>
    <t>70652</t>
  </si>
  <si>
    <t>70662</t>
  </si>
  <si>
    <t>70644</t>
  </si>
  <si>
    <t>70632</t>
  </si>
  <si>
    <t>70633</t>
  </si>
  <si>
    <t>72295</t>
  </si>
  <si>
    <t>72292</t>
  </si>
  <si>
    <t>72293</t>
  </si>
  <si>
    <t>72297</t>
  </si>
  <si>
    <t>72298</t>
  </si>
  <si>
    <t>72260</t>
  </si>
  <si>
    <t>72259</t>
  </si>
  <si>
    <t>72296</t>
  </si>
  <si>
    <t>72291</t>
  </si>
  <si>
    <t>72290</t>
  </si>
  <si>
    <t>71355</t>
  </si>
  <si>
    <t>Ароматизатор (освежитель) воздуха "мешочек" Contra "Sex on board" Грейпфрут с лепестками розы (Grapefruit rose)</t>
  </si>
  <si>
    <t>72263</t>
  </si>
  <si>
    <t>72265</t>
  </si>
  <si>
    <t>71376</t>
  </si>
  <si>
    <t>Ароматизатор (освежитель) воздуха "мешочек" Contra "The Sex Mafia" Древесно-цветочная свежесть (Fabrice)</t>
  </si>
  <si>
    <t>72242</t>
  </si>
  <si>
    <t>72245</t>
  </si>
  <si>
    <t>72302</t>
  </si>
  <si>
    <t>Ароматизатор (освежитель) воздуха Contra "Sex King" Королевский гранат и кора черного дерева</t>
  </si>
  <si>
    <t>72266</t>
  </si>
  <si>
    <t>71408</t>
  </si>
  <si>
    <t>Ароматизатор (освежитель) воздуха аэрозольный Contra "Sex King" Королевский гранат и кора черного дерева</t>
  </si>
  <si>
    <t>50195</t>
  </si>
  <si>
    <t>50194</t>
  </si>
  <si>
    <t>70351</t>
  </si>
  <si>
    <t>Ароматизатор (освежитель) воздуха "ёлочка" Contra "Sex on board" Грейпфрут с лепестками розы (Grapefruit rose)</t>
  </si>
  <si>
    <t>70355</t>
  </si>
  <si>
    <t>Ароматизатор (освежитель) воздуха "ёлочка" Contra "Sexoholic" Ваниль и восточные сладости (Vanilla)</t>
  </si>
  <si>
    <t>72229</t>
  </si>
  <si>
    <t>72267</t>
  </si>
  <si>
    <t>70350</t>
  </si>
  <si>
    <t>Ароматизатор (освежитель) воздуха "ёлочка" Contra "Sex first" Прохлада ночного сада</t>
  </si>
  <si>
    <t>72301</t>
  </si>
  <si>
    <t>72304</t>
  </si>
  <si>
    <t>71435</t>
  </si>
  <si>
    <t>72303</t>
  </si>
  <si>
    <t>71437</t>
  </si>
  <si>
    <t>Ароматизатор (освежитель) воздуха на дефлектор вентиляции Contra "The Sex Mafia" Древесно-цветочная свежесть</t>
  </si>
  <si>
    <t>71443</t>
  </si>
  <si>
    <t>71441</t>
  </si>
  <si>
    <t>Ароматизатор (освежитель) воздуха на дефлектор вентиляции Contra "Sex King" Королевский гранат и кора черного дерева</t>
  </si>
  <si>
    <t>71434</t>
  </si>
  <si>
    <t>Ароматизатор (освежитель) воздуха на дефлектор вентиляции Contra "Orgasm tester" Морской бриз, мандарин, лаванда и кардамон</t>
  </si>
  <si>
    <t>71436</t>
  </si>
  <si>
    <t>Ароматизатор (освежитель) воздуха на дефлектор вентиляции Contra "Sex First" Элегантный запах с древесными нотами и шлейфом лаванды</t>
  </si>
  <si>
    <t>72309</t>
  </si>
  <si>
    <t>72241</t>
  </si>
  <si>
    <t>72243</t>
  </si>
  <si>
    <t>72244</t>
  </si>
  <si>
    <t>72308</t>
  </si>
  <si>
    <t>72231</t>
  </si>
  <si>
    <t>71472</t>
  </si>
  <si>
    <t>Ароматизатор (освежитель) воздуха "мешочек" Contra "Sex Narcotic" Древесно-ванильная эйфория с феромонами</t>
  </si>
  <si>
    <t>71473</t>
  </si>
  <si>
    <t>Ароматизатор (освежитель) воздуха "мешочек" Contra "Sex First" Элегантный запах с древесными нотами и тонким шлейфом лаванды</t>
  </si>
  <si>
    <t>72235</t>
  </si>
  <si>
    <t>72240</t>
  </si>
  <si>
    <t>72239</t>
  </si>
  <si>
    <t>72233</t>
  </si>
  <si>
    <t>72237</t>
  </si>
  <si>
    <t>40260</t>
  </si>
  <si>
    <t>70072</t>
  </si>
  <si>
    <t>Освежитель воздуха Areon FRESCO "бутылочка в дереве" Tropicana</t>
  </si>
  <si>
    <t>20465</t>
  </si>
  <si>
    <t>20473</t>
  </si>
  <si>
    <t>20467</t>
  </si>
  <si>
    <t>20466</t>
  </si>
  <si>
    <t>70660</t>
  </si>
  <si>
    <t>71128</t>
  </si>
  <si>
    <t>Ароматизатор воздуха "BIG FRESH" BF-115 бубль гум (200 гр.)</t>
  </si>
  <si>
    <t>71754</t>
  </si>
  <si>
    <t>71774</t>
  </si>
  <si>
    <t>71794</t>
  </si>
  <si>
    <t>71787</t>
  </si>
  <si>
    <t>71790</t>
  </si>
  <si>
    <t>71759</t>
  </si>
  <si>
    <t>71755</t>
  </si>
  <si>
    <t>71765</t>
  </si>
  <si>
    <t>71760</t>
  </si>
  <si>
    <t>71757</t>
  </si>
  <si>
    <t>71766</t>
  </si>
  <si>
    <t>71786</t>
  </si>
  <si>
    <t>71788</t>
  </si>
  <si>
    <t>71758</t>
  </si>
  <si>
    <t>71862</t>
  </si>
  <si>
    <t>71792</t>
  </si>
  <si>
    <t>71762</t>
  </si>
  <si>
    <t>71761</t>
  </si>
  <si>
    <t>71777</t>
  </si>
  <si>
    <t>71770</t>
  </si>
  <si>
    <t>71773</t>
  </si>
  <si>
    <t>71779</t>
  </si>
  <si>
    <t>71783</t>
  </si>
  <si>
    <t>71791</t>
  </si>
  <si>
    <t>71778</t>
  </si>
  <si>
    <t>71763</t>
  </si>
  <si>
    <t>71789</t>
  </si>
  <si>
    <t>71780</t>
  </si>
  <si>
    <t>71767</t>
  </si>
  <si>
    <t>72268</t>
  </si>
  <si>
    <t>70061</t>
  </si>
  <si>
    <t>Освежитель воздуха Areon FRESCO "бутылочка в дереве" Melon</t>
  </si>
  <si>
    <t>Ароматизатор (освежитель) воздуха Contra "The Sex Mafia" Древесно-цветочная свежесть (Fabrice) XXL</t>
  </si>
  <si>
    <t>72315</t>
  </si>
  <si>
    <t>Ароматизатор (освежитель) воздуха "Contra" Love is (гель, мультифрукт)</t>
  </si>
  <si>
    <t>Держатель стакана JC-53 (подстаканник) в дефлектор</t>
  </si>
  <si>
    <t>10021</t>
  </si>
  <si>
    <t>RB077</t>
  </si>
  <si>
    <t>RB070</t>
  </si>
  <si>
    <t>Щётка бескаркасная "RAINBOX" премиум, 40 см</t>
  </si>
  <si>
    <t>29053</t>
  </si>
  <si>
    <t>Щётка бескаркасная "ALCA" Super Flat Graphit, 600 мм</t>
  </si>
  <si>
    <t>29045</t>
  </si>
  <si>
    <t>Щётка бескаркасная "ALCA" Super Flat Graphit, 400 мм</t>
  </si>
  <si>
    <t>29218</t>
  </si>
  <si>
    <t>Щётка стеклоочистителя гибридная "AVS" Hybrid Line, 60 см</t>
  </si>
  <si>
    <t>29210</t>
  </si>
  <si>
    <t>Щётка стеклоочистителя гибридная "AVS" Hybrid Line, 40 см</t>
  </si>
  <si>
    <t>72230</t>
  </si>
  <si>
    <t>50512</t>
  </si>
  <si>
    <t>29081</t>
  </si>
  <si>
    <t>Щётка стеклоочистителя бескаркасная "AVS" 35 см</t>
  </si>
  <si>
    <t>40258</t>
  </si>
  <si>
    <t>40304</t>
  </si>
  <si>
    <t>50400</t>
  </si>
  <si>
    <t>40421</t>
  </si>
  <si>
    <t>40420</t>
  </si>
  <si>
    <t>40040</t>
  </si>
  <si>
    <t>Герметик радиатора "ABRO" жидкий (325 мл)</t>
  </si>
  <si>
    <t>72249</t>
  </si>
  <si>
    <t>Автомобильный ароматизатор "Contra" The SexMafia, банка на панель (Древесно-цветочная свежесть)</t>
  </si>
  <si>
    <t>50458</t>
  </si>
  <si>
    <t>71785</t>
  </si>
  <si>
    <t>50187</t>
  </si>
  <si>
    <t>Под заказ</t>
  </si>
  <si>
    <t>Поставщик</t>
  </si>
  <si>
    <t>Цены на дату заказа могут отличаться от цен на дату отгрузки. Актуальные цены уточняйте у менеджеров.</t>
  </si>
  <si>
    <t>Код</t>
  </si>
  <si>
    <t>00-00001952</t>
  </si>
  <si>
    <t>00-00002692</t>
  </si>
  <si>
    <t>00-00002694</t>
  </si>
  <si>
    <t>00-00002697</t>
  </si>
  <si>
    <t>00-00002698</t>
  </si>
  <si>
    <t>00-00002705</t>
  </si>
  <si>
    <t>00-00002706</t>
  </si>
  <si>
    <t>00-00002707</t>
  </si>
  <si>
    <t>Сигнал Пилот CRISTYLEAVTO (1/20шт)</t>
  </si>
  <si>
    <t>00-00005086</t>
  </si>
  <si>
    <t>00-00005685</t>
  </si>
  <si>
    <t>00-00000232</t>
  </si>
  <si>
    <t>00-00000234</t>
  </si>
  <si>
    <t>00-00000229</t>
  </si>
  <si>
    <t>00-00000230</t>
  </si>
  <si>
    <t>00-00000231</t>
  </si>
  <si>
    <t>00-00004400</t>
  </si>
  <si>
    <t>00-00005433</t>
  </si>
  <si>
    <t>00-00001728</t>
  </si>
  <si>
    <t>00-00001730</t>
  </si>
  <si>
    <t>00-00001733</t>
  </si>
  <si>
    <t>00-00001735</t>
  </si>
  <si>
    <t>00-00001737</t>
  </si>
  <si>
    <t>00-00001745</t>
  </si>
  <si>
    <t>00-00004812</t>
  </si>
  <si>
    <t>00-00001764</t>
  </si>
  <si>
    <t>00-00001758</t>
  </si>
  <si>
    <t>00-00001759</t>
  </si>
  <si>
    <t>00-00003837</t>
  </si>
  <si>
    <t>00-00002945</t>
  </si>
  <si>
    <t>00-00002946</t>
  </si>
  <si>
    <t>00-00003718</t>
  </si>
  <si>
    <t>00-00003438</t>
  </si>
  <si>
    <t>00-00002039</t>
  </si>
  <si>
    <t>00-00002041</t>
  </si>
  <si>
    <t>00-00002034</t>
  </si>
  <si>
    <t>00-00005213</t>
  </si>
  <si>
    <t>00-00002042</t>
  </si>
  <si>
    <t>00-00002043</t>
  </si>
  <si>
    <t>00-00002045</t>
  </si>
  <si>
    <t>00-00002046</t>
  </si>
  <si>
    <t>00-00002047</t>
  </si>
  <si>
    <t>00-00004077</t>
  </si>
  <si>
    <t>00-00004079</t>
  </si>
  <si>
    <t>00-00004076</t>
  </si>
  <si>
    <t>00-00004078</t>
  </si>
  <si>
    <t>00-00002333</t>
  </si>
  <si>
    <t>00-00006164</t>
  </si>
  <si>
    <t>00-00006165</t>
  </si>
  <si>
    <t>00-00006166</t>
  </si>
  <si>
    <t>00-00006167</t>
  </si>
  <si>
    <t>00-00002419</t>
  </si>
  <si>
    <t>00-00002420</t>
  </si>
  <si>
    <t>00-00002423</t>
  </si>
  <si>
    <t>00-00002425</t>
  </si>
  <si>
    <t>00-00002514</t>
  </si>
  <si>
    <t>00-00006028</t>
  </si>
  <si>
    <t>00-00002510</t>
  </si>
  <si>
    <t>00-00002515</t>
  </si>
  <si>
    <t>00-00002519</t>
  </si>
  <si>
    <t>00-00006168</t>
  </si>
  <si>
    <t>00-00005765</t>
  </si>
  <si>
    <t>00-00003699</t>
  </si>
  <si>
    <t>00-00003697</t>
  </si>
  <si>
    <t>00-00003696</t>
  </si>
  <si>
    <t>00-00002534</t>
  </si>
  <si>
    <t>00-00002535</t>
  </si>
  <si>
    <t>00-00002536</t>
  </si>
  <si>
    <t>00-00002537</t>
  </si>
  <si>
    <t>00-00002538</t>
  </si>
  <si>
    <t>00-00002539</t>
  </si>
  <si>
    <t>00-00002540</t>
  </si>
  <si>
    <t>00-00002541</t>
  </si>
  <si>
    <t>00-00002542</t>
  </si>
  <si>
    <t>00-00002543</t>
  </si>
  <si>
    <t>00-00002544</t>
  </si>
  <si>
    <t>00-00002546</t>
  </si>
  <si>
    <t>00-00002547</t>
  </si>
  <si>
    <t>00-00002548</t>
  </si>
  <si>
    <t>00-00002549</t>
  </si>
  <si>
    <t>00-00002550</t>
  </si>
  <si>
    <t>00-00002552</t>
  </si>
  <si>
    <t>00-00002553</t>
  </si>
  <si>
    <t>00-00002554</t>
  </si>
  <si>
    <t>00-00002555</t>
  </si>
  <si>
    <t>00-00002557</t>
  </si>
  <si>
    <t>00-00002562</t>
  </si>
  <si>
    <t>00-00003454</t>
  </si>
  <si>
    <t>00-00003455</t>
  </si>
  <si>
    <t>00-00003457</t>
  </si>
  <si>
    <t>00-00003441</t>
  </si>
  <si>
    <t>00-00003458</t>
  </si>
  <si>
    <t>00-00004084</t>
  </si>
  <si>
    <t>00-00004635</t>
  </si>
  <si>
    <t>00-00004846</t>
  </si>
  <si>
    <t>00-00002565</t>
  </si>
  <si>
    <t>00-00002587</t>
  </si>
  <si>
    <t>00-00002588</t>
  </si>
  <si>
    <t>00-00002594</t>
  </si>
  <si>
    <t>00-00002596</t>
  </si>
  <si>
    <t>00-00005922</t>
  </si>
  <si>
    <t>00-00003125</t>
  </si>
  <si>
    <t>00-00004440</t>
  </si>
  <si>
    <t>00-00006089</t>
  </si>
  <si>
    <t>00-00006091</t>
  </si>
  <si>
    <t>00-00006096</t>
  </si>
  <si>
    <t>00-00006095</t>
  </si>
  <si>
    <t>00-00006097</t>
  </si>
  <si>
    <t>00-00006092</t>
  </si>
  <si>
    <t>00-00006094</t>
  </si>
  <si>
    <t>00-00006093</t>
  </si>
  <si>
    <t>00-00005987</t>
  </si>
  <si>
    <t>00-00004016</t>
  </si>
  <si>
    <t>00-00003832</t>
  </si>
  <si>
    <t>00-00003833</t>
  </si>
  <si>
    <t>00-00005925</t>
  </si>
  <si>
    <t>00-00005239</t>
  </si>
  <si>
    <t>00-00003468</t>
  </si>
  <si>
    <t>00-00003853</t>
  </si>
  <si>
    <t>00-00003142</t>
  </si>
  <si>
    <t>00-00003143</t>
  </si>
  <si>
    <t>00-00005361</t>
  </si>
  <si>
    <t>00-00005701</t>
  </si>
  <si>
    <t>00-00005015</t>
  </si>
  <si>
    <t>00-00004085</t>
  </si>
  <si>
    <t>00-00005699</t>
  </si>
  <si>
    <t>00-00005255</t>
  </si>
  <si>
    <t>00-00003150</t>
  </si>
  <si>
    <t>00-00003851</t>
  </si>
  <si>
    <t>00-00003154</t>
  </si>
  <si>
    <t>00-00003155</t>
  </si>
  <si>
    <t>00-00003156</t>
  </si>
  <si>
    <t>00-00001967</t>
  </si>
  <si>
    <t>00-00001969</t>
  </si>
  <si>
    <t>00-00001970</t>
  </si>
  <si>
    <t>00-00001975</t>
  </si>
  <si>
    <t>00-00001977</t>
  </si>
  <si>
    <t>00-00001976</t>
  </si>
  <si>
    <t>00-00001979</t>
  </si>
  <si>
    <t>00-00001978</t>
  </si>
  <si>
    <t>00-00001980</t>
  </si>
  <si>
    <t>00-00001982</t>
  </si>
  <si>
    <t>00-00001981</t>
  </si>
  <si>
    <t>00-00001983</t>
  </si>
  <si>
    <t>00-00001984</t>
  </si>
  <si>
    <t>00-00001985</t>
  </si>
  <si>
    <t>00-00001986</t>
  </si>
  <si>
    <t>00-00002786</t>
  </si>
  <si>
    <t>00-00005202</t>
  </si>
  <si>
    <t>00-00002787</t>
  </si>
  <si>
    <t>00-00002790</t>
  </si>
  <si>
    <t>00-00002791</t>
  </si>
  <si>
    <t>00-00006258</t>
  </si>
  <si>
    <t>00-00003022</t>
  </si>
  <si>
    <t>00-00003016</t>
  </si>
  <si>
    <t>00-00003019</t>
  </si>
  <si>
    <t>00-00003021</t>
  </si>
  <si>
    <t>00-00003027</t>
  </si>
  <si>
    <t>00-00003029</t>
  </si>
  <si>
    <t>00-00003030</t>
  </si>
  <si>
    <t>00-00003031</t>
  </si>
  <si>
    <t>00-00003033</t>
  </si>
  <si>
    <t>00-00003035</t>
  </si>
  <si>
    <t>00-00000221</t>
  </si>
  <si>
    <t>00-00000222</t>
  </si>
  <si>
    <t>00-00000223</t>
  </si>
  <si>
    <t>00-00000225</t>
  </si>
  <si>
    <t>00-00000237</t>
  </si>
  <si>
    <t>00-00000238</t>
  </si>
  <si>
    <t>00-00000239</t>
  </si>
  <si>
    <t>00-00000240</t>
  </si>
  <si>
    <t>00-00000242</t>
  </si>
  <si>
    <t>00-00000243</t>
  </si>
  <si>
    <t>00-00000244</t>
  </si>
  <si>
    <t>00-00000246</t>
  </si>
  <si>
    <t>00-00003552</t>
  </si>
  <si>
    <t>00-00001544</t>
  </si>
  <si>
    <t>00-00001540</t>
  </si>
  <si>
    <t>00-00001545</t>
  </si>
  <si>
    <t>00-00001541</t>
  </si>
  <si>
    <t>00-00001546</t>
  </si>
  <si>
    <t>00-00001542</t>
  </si>
  <si>
    <t>00-00001547</t>
  </si>
  <si>
    <t>00-00001543</t>
  </si>
  <si>
    <t>00-00001548</t>
  </si>
  <si>
    <t>00-00001549</t>
  </si>
  <si>
    <t>00-00001558</t>
  </si>
  <si>
    <t>00-00002951</t>
  </si>
  <si>
    <t>00-00002952</t>
  </si>
  <si>
    <t>00-00006295</t>
  </si>
  <si>
    <t>00-00006296</t>
  </si>
  <si>
    <t>00-00003095</t>
  </si>
  <si>
    <t>00-00001804</t>
  </si>
  <si>
    <t>00-00006365</t>
  </si>
  <si>
    <t>00-00001805</t>
  </si>
  <si>
    <t>00-00001806</t>
  </si>
  <si>
    <t>00-00001807</t>
  </si>
  <si>
    <t>00-00001808</t>
  </si>
  <si>
    <t>00-00003540</t>
  </si>
  <si>
    <t>00-00001811</t>
  </si>
  <si>
    <t>00-00001814</t>
  </si>
  <si>
    <t>00-00001815</t>
  </si>
  <si>
    <t>00-00001816</t>
  </si>
  <si>
    <t>00-00001817</t>
  </si>
  <si>
    <t>Клей AVS AVK-134 токопроводящий 2мл. арт.A78358S</t>
  </si>
  <si>
    <t>00-00001824</t>
  </si>
  <si>
    <t>00-00001813</t>
  </si>
  <si>
    <t>00-00001826</t>
  </si>
  <si>
    <t>00-00001825</t>
  </si>
  <si>
    <t>00-00004365</t>
  </si>
  <si>
    <t>Клей резиновый для ремонта безкамерных шин RED SUN 12мл   1/12шт.</t>
  </si>
  <si>
    <t>00-00006013</t>
  </si>
  <si>
    <t>00-00004070</t>
  </si>
  <si>
    <t>00-00002768</t>
  </si>
  <si>
    <t>00-00002769</t>
  </si>
  <si>
    <t>00-00002770</t>
  </si>
  <si>
    <t>00-00002771</t>
  </si>
  <si>
    <t>00-00002773</t>
  </si>
  <si>
    <t>00-00002774</t>
  </si>
  <si>
    <t>00-00002775</t>
  </si>
  <si>
    <t>00-00002776</t>
  </si>
  <si>
    <t>00-00004524</t>
  </si>
  <si>
    <t>00-00002777</t>
  </si>
  <si>
    <t>00-00002778</t>
  </si>
  <si>
    <t>00-00002118</t>
  </si>
  <si>
    <t>00-00006458</t>
  </si>
  <si>
    <t>Антиреагент "Универсальный очиститель" (триггер) 500 мл AVS AVK-127</t>
  </si>
  <si>
    <t>00-00004800</t>
  </si>
  <si>
    <t>Очиститель Grass «Multipurpose Foam Cleaner» Унив.(пенный) аэрозоль с щеткой 112117 750мл. (1/12шт.)</t>
  </si>
  <si>
    <t>00-00002226</t>
  </si>
  <si>
    <t>Очиститель битума и насекомых AVS Crystal AVK-027 аэрозоль 335мл. арт.A78068S  (1/12шт.)</t>
  </si>
  <si>
    <t>00-00002230</t>
  </si>
  <si>
    <t>00-00002231</t>
  </si>
  <si>
    <t>00-00005714</t>
  </si>
  <si>
    <t>00-00002233</t>
  </si>
  <si>
    <t>00-00002234</t>
  </si>
  <si>
    <t>00-00003709</t>
  </si>
  <si>
    <t>00-00005489</t>
  </si>
  <si>
    <t>Очиститель двигателя Grass 110385 Engine Cleaner триггер 600мл. (1/6шт.)</t>
  </si>
  <si>
    <t>00-00002238</t>
  </si>
  <si>
    <t>00-00002241</t>
  </si>
  <si>
    <t>00-00002243</t>
  </si>
  <si>
    <t>00-00005518</t>
  </si>
  <si>
    <t>00-00002245</t>
  </si>
  <si>
    <t>00-00002246</t>
  </si>
  <si>
    <t>00-00004331</t>
  </si>
  <si>
    <t>00-00002247</t>
  </si>
  <si>
    <t>00-00002248</t>
  </si>
  <si>
    <t>00-00002249</t>
  </si>
  <si>
    <t>00-00002251</t>
  </si>
  <si>
    <t>00-00002253</t>
  </si>
  <si>
    <t>00-00002254</t>
  </si>
  <si>
    <t>00-00005583</t>
  </si>
  <si>
    <t>00-00002256</t>
  </si>
  <si>
    <t>00-00006353</t>
  </si>
  <si>
    <t>00-00002261</t>
  </si>
  <si>
    <t>00-00002262</t>
  </si>
  <si>
    <t>00-00002264</t>
  </si>
  <si>
    <t>00-00002265</t>
  </si>
  <si>
    <t>00-00002232</t>
  </si>
  <si>
    <t>00-00006278</t>
  </si>
  <si>
    <t>00-00002269</t>
  </si>
  <si>
    <t>00-00002270</t>
  </si>
  <si>
    <t>00-00006395</t>
  </si>
  <si>
    <t>Очиститель салона ABRO FC-840-AM-RE с щеткой 840мл.</t>
  </si>
  <si>
    <t>00-00002274</t>
  </si>
  <si>
    <t>00-00005519</t>
  </si>
  <si>
    <t>00-00002272</t>
  </si>
  <si>
    <t>00-00003591</t>
  </si>
  <si>
    <t>00-00005004</t>
  </si>
  <si>
    <t>00-00005003</t>
  </si>
  <si>
    <t>00-00002277</t>
  </si>
  <si>
    <t>00-00002278</t>
  </si>
  <si>
    <t>00-00002280</t>
  </si>
  <si>
    <t>00-00005491</t>
  </si>
  <si>
    <t>00-00002283</t>
  </si>
  <si>
    <t>00-00002284</t>
  </si>
  <si>
    <t>00-00002286</t>
  </si>
  <si>
    <t>00-00002287</t>
  </si>
  <si>
    <t>00-00002288</t>
  </si>
  <si>
    <t>00-00002289</t>
  </si>
  <si>
    <t>00-00002291</t>
  </si>
  <si>
    <t>00-00005715</t>
  </si>
  <si>
    <t>00-00005615</t>
  </si>
  <si>
    <t>00-00002258</t>
  </si>
  <si>
    <t>00-00002298</t>
  </si>
  <si>
    <t>00-00002299</t>
  </si>
  <si>
    <t>00-00005710</t>
  </si>
  <si>
    <t>00-00002301</t>
  </si>
  <si>
    <t>00-00004998</t>
  </si>
  <si>
    <t>00-00003625</t>
  </si>
  <si>
    <t>00-00003640</t>
  </si>
  <si>
    <t>00-00004374</t>
  </si>
  <si>
    <t>00-00003015</t>
  </si>
  <si>
    <t>00-00003738</t>
  </si>
  <si>
    <t>00-00002307</t>
  </si>
  <si>
    <t>00-00002308</t>
  </si>
  <si>
    <t>00-00002309</t>
  </si>
  <si>
    <t>00-00002310</t>
  </si>
  <si>
    <t>00-00000235</t>
  </si>
  <si>
    <t>00-00000236</t>
  </si>
  <si>
    <t>00-00003545</t>
  </si>
  <si>
    <t>00-00003051</t>
  </si>
  <si>
    <t>00-00003052</t>
  </si>
  <si>
    <t>00-00005520</t>
  </si>
  <si>
    <t>00-00002351</t>
  </si>
  <si>
    <t>00-00005613</t>
  </si>
  <si>
    <t>00-00002353</t>
  </si>
  <si>
    <t>00-00002354</t>
  </si>
  <si>
    <t>00-00006135</t>
  </si>
  <si>
    <t>00-00005772</t>
  </si>
  <si>
    <t>Полироль панели AVS глянцевый блеск арт.AVK-613  Кофе 250мл. (1/15шт.) триггер</t>
  </si>
  <si>
    <t>00-00005775</t>
  </si>
  <si>
    <t>00-00005776</t>
  </si>
  <si>
    <t>00-00005777</t>
  </si>
  <si>
    <t>00-00005778</t>
  </si>
  <si>
    <t>Полироль панели AVS матовый эффект арт.AVK-607  Яблоко 250мл. (1/15шт.) триггер</t>
  </si>
  <si>
    <t>00-00005779</t>
  </si>
  <si>
    <t>00-00005780</t>
  </si>
  <si>
    <t>Полироль панели AVS матовый эффект арт.AVK-620  Ваниль 250мл. (1/15шт.) триггер</t>
  </si>
  <si>
    <t>00-00005781</t>
  </si>
  <si>
    <t>Полироль панели AVS матовый эффект арт.AVK-621  Bubble Gum 250мл. (1/15шт.) триггер</t>
  </si>
  <si>
    <t>00-00006349</t>
  </si>
  <si>
    <t>00-00006352</t>
  </si>
  <si>
    <t>00-00006351</t>
  </si>
  <si>
    <t>00-00006350</t>
  </si>
  <si>
    <t>00-00002358</t>
  </si>
  <si>
    <t>00-00002379</t>
  </si>
  <si>
    <t>00-00002380</t>
  </si>
  <si>
    <t>Полироль панели Джокер / Турбо / Джет Авто Силикон МИКС (1/24шт)</t>
  </si>
  <si>
    <t>00-00004176</t>
  </si>
  <si>
    <t>00-00005753</t>
  </si>
  <si>
    <t>00-00005750</t>
  </si>
  <si>
    <t>00-00002386</t>
  </si>
  <si>
    <t>00-00002388</t>
  </si>
  <si>
    <t>00-00004151</t>
  </si>
  <si>
    <t>00-00005754</t>
  </si>
  <si>
    <t>00-00002390</t>
  </si>
  <si>
    <t>00-00002391</t>
  </si>
  <si>
    <t>00-00002392</t>
  </si>
  <si>
    <t>00-00005751</t>
  </si>
  <si>
    <t>00-00002394</t>
  </si>
  <si>
    <t>00-00003764</t>
  </si>
  <si>
    <t>00-00003765</t>
  </si>
  <si>
    <t>00-00003766</t>
  </si>
  <si>
    <t>00-00003735</t>
  </si>
  <si>
    <t>00-00002413</t>
  </si>
  <si>
    <t>00-00002416</t>
  </si>
  <si>
    <t>00-00005490</t>
  </si>
  <si>
    <t>00-00005216</t>
  </si>
  <si>
    <t>00-00000376</t>
  </si>
  <si>
    <t>00-00000377</t>
  </si>
  <si>
    <t>00-00002566</t>
  </si>
  <si>
    <t>00-00002567</t>
  </si>
  <si>
    <t>Разморажеватель замков с силиконам AVS Crystal AVK-124  аэрозоль 50мл. (1/24шт.)</t>
  </si>
  <si>
    <t>00-00004792</t>
  </si>
  <si>
    <t>00-00004148</t>
  </si>
  <si>
    <t>00-00002570</t>
  </si>
  <si>
    <t>00-00002569</t>
  </si>
  <si>
    <t>00-00002738</t>
  </si>
  <si>
    <t>00-00006396</t>
  </si>
  <si>
    <t>00-00005215</t>
  </si>
  <si>
    <t>00-00005081</t>
  </si>
  <si>
    <t>00-00002744</t>
  </si>
  <si>
    <t>00-00002745</t>
  </si>
  <si>
    <t>00-00002750</t>
  </si>
  <si>
    <t>00-00003467</t>
  </si>
  <si>
    <t>00-00005030</t>
  </si>
  <si>
    <t>00-00002751</t>
  </si>
  <si>
    <t>00-00002752</t>
  </si>
  <si>
    <t>00-00002753</t>
  </si>
  <si>
    <t>00-00004806</t>
  </si>
  <si>
    <t>00-00006338</t>
  </si>
  <si>
    <t>00-00006029</t>
  </si>
  <si>
    <t>00-00002757</t>
  </si>
  <si>
    <t>00-00002758</t>
  </si>
  <si>
    <t>00-00000371</t>
  </si>
  <si>
    <t>00-00000372</t>
  </si>
  <si>
    <t>00-00000373</t>
  </si>
  <si>
    <t>00-00000375</t>
  </si>
  <si>
    <t>00-00006137</t>
  </si>
  <si>
    <t>00-00001663</t>
  </si>
  <si>
    <t>00-00001664</t>
  </si>
  <si>
    <t>00-00001665</t>
  </si>
  <si>
    <t>00-00002009</t>
  </si>
  <si>
    <t>00-00002010</t>
  </si>
  <si>
    <t>00-00002426</t>
  </si>
  <si>
    <t>00-00004149</t>
  </si>
  <si>
    <t>00-00004150</t>
  </si>
  <si>
    <t>00-00002779</t>
  </si>
  <si>
    <t>00-00002780</t>
  </si>
  <si>
    <t>00-00003043</t>
  </si>
  <si>
    <t>00-00003044</t>
  </si>
  <si>
    <t>00-00003045</t>
  </si>
  <si>
    <t>00-00003046</t>
  </si>
  <si>
    <t>00-00003047</t>
  </si>
  <si>
    <t>00-00003049</t>
  </si>
  <si>
    <t>00-00003050</t>
  </si>
  <si>
    <t>00-00005716</t>
  </si>
  <si>
    <t>00-00002296</t>
  </si>
  <si>
    <t>00-00002297</t>
  </si>
  <si>
    <t>00-00006311</t>
  </si>
  <si>
    <t>00-00005140</t>
  </si>
  <si>
    <t>00-00003120</t>
  </si>
  <si>
    <t>00-00003122</t>
  </si>
  <si>
    <t>00-00004568</t>
  </si>
  <si>
    <t>00-00003123</t>
  </si>
  <si>
    <t>00-00005422</t>
  </si>
  <si>
    <t>Автоодеяла</t>
  </si>
  <si>
    <t>00-00003980</t>
  </si>
  <si>
    <t>АвтоОдеяло (150*90)</t>
  </si>
  <si>
    <t>00-00001439</t>
  </si>
  <si>
    <t>00-00001440</t>
  </si>
  <si>
    <t>00-00001441</t>
  </si>
  <si>
    <t>00-00006245</t>
  </si>
  <si>
    <t>00-00001442</t>
  </si>
  <si>
    <t>00-00001443</t>
  </si>
  <si>
    <t>00-00001445</t>
  </si>
  <si>
    <t>00-00001446</t>
  </si>
  <si>
    <t>00-00001447</t>
  </si>
  <si>
    <t>00-00005879</t>
  </si>
  <si>
    <t>00-00001449</t>
  </si>
  <si>
    <t>00-00001450</t>
  </si>
  <si>
    <t>00-00001451</t>
  </si>
  <si>
    <t>00-00001452</t>
  </si>
  <si>
    <t>00-00001455</t>
  </si>
  <si>
    <t>00-00001456</t>
  </si>
  <si>
    <t>00-00001458</t>
  </si>
  <si>
    <t>00-00001459</t>
  </si>
  <si>
    <t>00-00001460</t>
  </si>
  <si>
    <t>00-00001461</t>
  </si>
  <si>
    <t>00-00001462</t>
  </si>
  <si>
    <t>00-00001463</t>
  </si>
  <si>
    <t>00-00001464</t>
  </si>
  <si>
    <t>00-00001465</t>
  </si>
  <si>
    <t>00-00005878</t>
  </si>
  <si>
    <t>00-00001466</t>
  </si>
  <si>
    <t>00-00001467</t>
  </si>
  <si>
    <t>00-00001468</t>
  </si>
  <si>
    <t>00-00001469</t>
  </si>
  <si>
    <t>00-00001470</t>
  </si>
  <si>
    <t>00-00001471</t>
  </si>
  <si>
    <t>00-00001472</t>
  </si>
  <si>
    <t>00-00001533</t>
  </si>
  <si>
    <t>00-00001535</t>
  </si>
  <si>
    <t>00-00001536</t>
  </si>
  <si>
    <t>00-00001581</t>
  </si>
  <si>
    <t>00-00001583</t>
  </si>
  <si>
    <t>00-00001589</t>
  </si>
  <si>
    <t>00-00004221</t>
  </si>
  <si>
    <t>00-00004222</t>
  </si>
  <si>
    <t>00-00001593</t>
  </si>
  <si>
    <t>00-00001604</t>
  </si>
  <si>
    <t>00-00001605</t>
  </si>
  <si>
    <t>00-00001606</t>
  </si>
  <si>
    <t>00-00001608</t>
  </si>
  <si>
    <t>00-00001609</t>
  </si>
  <si>
    <t>00-00004508</t>
  </si>
  <si>
    <t>00-00005532</t>
  </si>
  <si>
    <t>00-00001646</t>
  </si>
  <si>
    <t>00-00001636</t>
  </si>
  <si>
    <t>00-00001652</t>
  </si>
  <si>
    <t>00-00004260</t>
  </si>
  <si>
    <t>00-00004851</t>
  </si>
  <si>
    <t>00-00005881</t>
  </si>
  <si>
    <t>00-00005362</t>
  </si>
  <si>
    <t>00-00005481</t>
  </si>
  <si>
    <t>00-00003770</t>
  </si>
  <si>
    <t>00-00006012</t>
  </si>
  <si>
    <t>00-00004437</t>
  </si>
  <si>
    <t>00-00001671</t>
  </si>
  <si>
    <t>00-00003588</t>
  </si>
  <si>
    <t>00-00001707</t>
  </si>
  <si>
    <t>00-00001708</t>
  </si>
  <si>
    <t>00-00001709</t>
  </si>
  <si>
    <t>00-00001710</t>
  </si>
  <si>
    <t>00-00003464</t>
  </si>
  <si>
    <t>00-00001711</t>
  </si>
  <si>
    <t>00-00001712</t>
  </si>
  <si>
    <t>00-00001722</t>
  </si>
  <si>
    <t>00-00001878</t>
  </si>
  <si>
    <t>00-00001886</t>
  </si>
  <si>
    <t>00-00001888</t>
  </si>
  <si>
    <t>00-00001889</t>
  </si>
  <si>
    <t>00-00001893</t>
  </si>
  <si>
    <t>00-00004714</t>
  </si>
  <si>
    <t>00-00001896</t>
  </si>
  <si>
    <t>Коврик на панель SkidProof c бортиками</t>
  </si>
  <si>
    <t>00-00003974</t>
  </si>
  <si>
    <t>00-00001875</t>
  </si>
  <si>
    <t>00-00004162</t>
  </si>
  <si>
    <t>00-00001876</t>
  </si>
  <si>
    <t>00-00001877</t>
  </si>
  <si>
    <t>00-00001961</t>
  </si>
  <si>
    <t>00-00001962</t>
  </si>
  <si>
    <t>00-00001987</t>
  </si>
  <si>
    <t>00-00002002</t>
  </si>
  <si>
    <t>00-00004937</t>
  </si>
  <si>
    <t>00-00003580</t>
  </si>
  <si>
    <t>00-00002005</t>
  </si>
  <si>
    <t>00-00002007</t>
  </si>
  <si>
    <t>00-00004399</t>
  </si>
  <si>
    <t>00-00005225</t>
  </si>
  <si>
    <t>00-00003655</t>
  </si>
  <si>
    <t>00-00002098</t>
  </si>
  <si>
    <t>00-00002099</t>
  </si>
  <si>
    <t>00-00003544</t>
  </si>
  <si>
    <t>00-00004247</t>
  </si>
  <si>
    <t>00-00005424</t>
  </si>
  <si>
    <t>00-00002100</t>
  </si>
  <si>
    <t>00-00003542</t>
  </si>
  <si>
    <t>00-00004246</t>
  </si>
  <si>
    <t>00-00002102</t>
  </si>
  <si>
    <t>00-00002103</t>
  </si>
  <si>
    <t>00-00005833</t>
  </si>
  <si>
    <t>00-00005834</t>
  </si>
  <si>
    <t>00-00002104</t>
  </si>
  <si>
    <t>00-00002190</t>
  </si>
  <si>
    <t>00-00002191</t>
  </si>
  <si>
    <t>00-00003492</t>
  </si>
  <si>
    <t>00-00002192</t>
  </si>
  <si>
    <t>00-00002193</t>
  </si>
  <si>
    <t>00-00003493</t>
  </si>
  <si>
    <t>00-00002194</t>
  </si>
  <si>
    <t>00-00002195</t>
  </si>
  <si>
    <t>00-00005948</t>
  </si>
  <si>
    <t>00-00005826</t>
  </si>
  <si>
    <t>00-00006310</t>
  </si>
  <si>
    <t>00-00005825</t>
  </si>
  <si>
    <t>00-00005827</t>
  </si>
  <si>
    <t>00-00005810</t>
  </si>
  <si>
    <t>00-00005811</t>
  </si>
  <si>
    <t>00-00005812</t>
  </si>
  <si>
    <t>00-00005813</t>
  </si>
  <si>
    <t>00-00005822</t>
  </si>
  <si>
    <t>00-00005814</t>
  </si>
  <si>
    <t>00-00005821</t>
  </si>
  <si>
    <t>00-00006140</t>
  </si>
  <si>
    <t>00-00005815</t>
  </si>
  <si>
    <t>00-00005946</t>
  </si>
  <si>
    <t>00-00006142</t>
  </si>
  <si>
    <t>00-00005816</t>
  </si>
  <si>
    <t>00-00005817</t>
  </si>
  <si>
    <t>00-00005818</t>
  </si>
  <si>
    <t>00-00005819</t>
  </si>
  <si>
    <t>00-00005820</t>
  </si>
  <si>
    <t>00-00005823</t>
  </si>
  <si>
    <t>00-00005947</t>
  </si>
  <si>
    <t>00-00002312</t>
  </si>
  <si>
    <t>00-00005146</t>
  </si>
  <si>
    <t>00-00005873</t>
  </si>
  <si>
    <t>00-00005875</t>
  </si>
  <si>
    <t>00-00005877</t>
  </si>
  <si>
    <t>00-00005874</t>
  </si>
  <si>
    <t>00-00005876</t>
  </si>
  <si>
    <t>00-00002571</t>
  </si>
  <si>
    <t>00-00003597</t>
  </si>
  <si>
    <t>00-00003596</t>
  </si>
  <si>
    <t>00-00002572</t>
  </si>
  <si>
    <t>00-00002573</t>
  </si>
  <si>
    <t>00-00005561</t>
  </si>
  <si>
    <t>00-00005559</t>
  </si>
  <si>
    <t>00-00004942</t>
  </si>
  <si>
    <t>00-00004940</t>
  </si>
  <si>
    <t>00-00002574</t>
  </si>
  <si>
    <t>00-00002576</t>
  </si>
  <si>
    <t>00-00002578</t>
  </si>
  <si>
    <t>00-00004375</t>
  </si>
  <si>
    <t>00-00006364</t>
  </si>
  <si>
    <t>00-00004255</t>
  </si>
  <si>
    <t>00-00002617</t>
  </si>
  <si>
    <t>00-00002616</t>
  </si>
  <si>
    <t>00-00002689</t>
  </si>
  <si>
    <t>00-00002690</t>
  </si>
  <si>
    <t>00-00002691</t>
  </si>
  <si>
    <t>00-00002737</t>
  </si>
  <si>
    <t>00-00005012</t>
  </si>
  <si>
    <t>00-00004385</t>
  </si>
  <si>
    <t>00-00006064</t>
  </si>
  <si>
    <t>00-00004608</t>
  </si>
  <si>
    <t>00-00003497</t>
  </si>
  <si>
    <t>00-00006440</t>
  </si>
  <si>
    <t>Фиксатор ремня NOVA  Bright 47887</t>
  </si>
  <si>
    <t>00-00002956</t>
  </si>
  <si>
    <t>00-00004295</t>
  </si>
  <si>
    <t>00-00004252</t>
  </si>
  <si>
    <t>00-00000260</t>
  </si>
  <si>
    <t>00-00000263</t>
  </si>
  <si>
    <t>00-00000264</t>
  </si>
  <si>
    <t>00-00000265</t>
  </si>
  <si>
    <t>00-00000266</t>
  </si>
  <si>
    <t>00-00000271</t>
  </si>
  <si>
    <t>00-00005445</t>
  </si>
  <si>
    <t>00-00000272</t>
  </si>
  <si>
    <t>00-00000273</t>
  </si>
  <si>
    <t>00-00000275</t>
  </si>
  <si>
    <t>00-00000276</t>
  </si>
  <si>
    <t>00-00000277</t>
  </si>
  <si>
    <t>00-00000278</t>
  </si>
  <si>
    <t>00-00000279</t>
  </si>
  <si>
    <t>00-00000280</t>
  </si>
  <si>
    <t>00-00000281</t>
  </si>
  <si>
    <t>00-00000282</t>
  </si>
  <si>
    <t>00-00000283</t>
  </si>
  <si>
    <t>00-00000285</t>
  </si>
  <si>
    <t>00-00000286</t>
  </si>
  <si>
    <t>00-00000288</t>
  </si>
  <si>
    <t>00-00003781</t>
  </si>
  <si>
    <t>00-00000290</t>
  </si>
  <si>
    <t>00-00000291</t>
  </si>
  <si>
    <t>00-00000274</t>
  </si>
  <si>
    <t>00-00000294</t>
  </si>
  <si>
    <t>Антенна на крышу АТНЕЙ АВТО А-304 декоративная</t>
  </si>
  <si>
    <t>00-00000295</t>
  </si>
  <si>
    <t>Антенна на крышу АТНЕЙ АВТО А-305 декоративная</t>
  </si>
  <si>
    <t>00-00000296</t>
  </si>
  <si>
    <t>00-00000292</t>
  </si>
  <si>
    <t>00-00000293</t>
  </si>
  <si>
    <t>00-00005916</t>
  </si>
  <si>
    <t>00-00005915</t>
  </si>
  <si>
    <t>00-00000315</t>
  </si>
  <si>
    <t>00-00000337</t>
  </si>
  <si>
    <t>Антенна наружная AL KHATEEB AN-710 на магните (1/24шт)</t>
  </si>
  <si>
    <t>00-00006009</t>
  </si>
  <si>
    <t>00-00006002</t>
  </si>
  <si>
    <t>00-00006000</t>
  </si>
  <si>
    <t>00-00006006</t>
  </si>
  <si>
    <t>00-00006007</t>
  </si>
  <si>
    <t>Антенна наружная CRISTYLEAVTO AN-309 на желобок/водосток двойная</t>
  </si>
  <si>
    <t>00-00006005</t>
  </si>
  <si>
    <t>Антенна наружная CRISTYLEAVTO AN-714 на магните  (62см.)  (1/24шт)</t>
  </si>
  <si>
    <t>00-00006003</t>
  </si>
  <si>
    <t>Антенна наружная CRISTYLEAVTO AN-720 на магните (96см )</t>
  </si>
  <si>
    <t>00-00000316</t>
  </si>
  <si>
    <t>00-00000341</t>
  </si>
  <si>
    <t>00-00000342</t>
  </si>
  <si>
    <t>00-00000343</t>
  </si>
  <si>
    <t>00-00000344</t>
  </si>
  <si>
    <t>00-00000345</t>
  </si>
  <si>
    <t>00-00000346</t>
  </si>
  <si>
    <t>00-00000357</t>
  </si>
  <si>
    <t>00-00000358</t>
  </si>
  <si>
    <t>00-00000359</t>
  </si>
  <si>
    <t>00-00000352</t>
  </si>
  <si>
    <t>00-00000353</t>
  </si>
  <si>
    <t>00-00000354</t>
  </si>
  <si>
    <t>00-00000348</t>
  </si>
  <si>
    <t>00-00000349</t>
  </si>
  <si>
    <t>00-00000350</t>
  </si>
  <si>
    <t>00-00000351</t>
  </si>
  <si>
    <t>00-00000355</t>
  </si>
  <si>
    <t>00-00000356</t>
  </si>
  <si>
    <t>00-00000347</t>
  </si>
  <si>
    <t>00-00000360</t>
  </si>
  <si>
    <t>00-00000361</t>
  </si>
  <si>
    <t>00-00000362</t>
  </si>
  <si>
    <t>00-00000363</t>
  </si>
  <si>
    <t>00-00000364</t>
  </si>
  <si>
    <t>00-00000365</t>
  </si>
  <si>
    <t>00-00000366</t>
  </si>
  <si>
    <t>00-00000367</t>
  </si>
  <si>
    <t>00-00003651</t>
  </si>
  <si>
    <t>00-00000368</t>
  </si>
  <si>
    <t>00-00000369</t>
  </si>
  <si>
    <t>00-00000370</t>
  </si>
  <si>
    <t>00-00005026</t>
  </si>
  <si>
    <t>00-00005027</t>
  </si>
  <si>
    <t>00-00005028</t>
  </si>
  <si>
    <t>00-00005029</t>
  </si>
  <si>
    <t>00-00002618</t>
  </si>
  <si>
    <t>00-00002944</t>
  </si>
  <si>
    <t>00-00002948</t>
  </si>
  <si>
    <t>00-00002949</t>
  </si>
  <si>
    <t>00-00005471</t>
  </si>
  <si>
    <t>00-00005467</t>
  </si>
  <si>
    <t>00-00005895</t>
  </si>
  <si>
    <t>00-00005886</t>
  </si>
  <si>
    <t>00-00005887</t>
  </si>
  <si>
    <t>00-00005899</t>
  </si>
  <si>
    <t>00-00005900</t>
  </si>
  <si>
    <t>00-00005889</t>
  </si>
  <si>
    <t>00-00006385</t>
  </si>
  <si>
    <t>Ароматизатор TASOTTI дом-авто QUEENS  "REED DIFFUSER" 100мл. Blue Flowers</t>
  </si>
  <si>
    <t>00-00006387</t>
  </si>
  <si>
    <t>Ароматизатор TASOTTI дом-авто QUEENS  "REED DIFFUSER" 100мл. Fire</t>
  </si>
  <si>
    <t>00-00006388</t>
  </si>
  <si>
    <t>Ароматизатор TASOTTI дом-авто QUEENS  "REED DIFFUSER" 100мл. Juicy Melon</t>
  </si>
  <si>
    <t>00-00006389</t>
  </si>
  <si>
    <t>Ароматизатор TASOTTI дом-авто QUEENS  "REED DIFFUSER" 100мл. Milk Coffee</t>
  </si>
  <si>
    <t>00-00006391</t>
  </si>
  <si>
    <t>Ароматизатор TASOTTI дом-авто QUEENS  "REED DIFFUSER" 100мл. Sunny Melon</t>
  </si>
  <si>
    <t>00-00006392</t>
  </si>
  <si>
    <t>Ароматизатор TASOTTI дом-авто QUEENS  "REED DIFFUSER" 100мл. Tropical Oasis</t>
  </si>
  <si>
    <t>00-00004563</t>
  </si>
  <si>
    <t>00-00004657</t>
  </si>
  <si>
    <t>00-00004650</t>
  </si>
  <si>
    <t>00-00004655</t>
  </si>
  <si>
    <t>00-00004564</t>
  </si>
  <si>
    <t>00-00004644</t>
  </si>
  <si>
    <t>00-00004738</t>
  </si>
  <si>
    <t>00-00006480</t>
  </si>
  <si>
    <t>00-00000802</t>
  </si>
  <si>
    <t>00-00001237</t>
  </si>
  <si>
    <t>00-00005762</t>
  </si>
  <si>
    <t>00-00001239</t>
  </si>
  <si>
    <t>00-00001240</t>
  </si>
  <si>
    <t>00-00001241</t>
  </si>
  <si>
    <t>00-00005761</t>
  </si>
  <si>
    <t>00-00005763</t>
  </si>
  <si>
    <t>00-00004245</t>
  </si>
  <si>
    <t>00-00005645</t>
  </si>
  <si>
    <t>00-00004241</t>
  </si>
  <si>
    <t>00-00004244</t>
  </si>
  <si>
    <t>00-00005649</t>
  </si>
  <si>
    <t>00-00005647</t>
  </si>
  <si>
    <t>00-00001265</t>
  </si>
  <si>
    <t>00-00001266</t>
  </si>
  <si>
    <t>00-00001267</t>
  </si>
  <si>
    <t>00-00001268</t>
  </si>
  <si>
    <t>00-00001269</t>
  </si>
  <si>
    <t>00-00005844</t>
  </si>
  <si>
    <t>00-00001270</t>
  </si>
  <si>
    <t>00-00004243</t>
  </si>
  <si>
    <t>00-00001272</t>
  </si>
  <si>
    <t>00-00001273</t>
  </si>
  <si>
    <t>00-00001274</t>
  </si>
  <si>
    <t>00-00004242</t>
  </si>
  <si>
    <t>00-00005845</t>
  </si>
  <si>
    <t>00-00005302</t>
  </si>
  <si>
    <t>00-00004231</t>
  </si>
  <si>
    <t>00-00001242</t>
  </si>
  <si>
    <t>00-00005675</t>
  </si>
  <si>
    <t>00-00005677</t>
  </si>
  <si>
    <t>00-00004234</t>
  </si>
  <si>
    <t>00-00004233</t>
  </si>
  <si>
    <t>00-00005676</t>
  </si>
  <si>
    <t>00-00005679</t>
  </si>
  <si>
    <t>00-00005678</t>
  </si>
  <si>
    <t>00-00001247</t>
  </si>
  <si>
    <t>00-00001248</t>
  </si>
  <si>
    <t>00-00001249</t>
  </si>
  <si>
    <t>00-00005300</t>
  </si>
  <si>
    <t>00-00001250</t>
  </si>
  <si>
    <t>00-00005144</t>
  </si>
  <si>
    <t>00-00005301</t>
  </si>
  <si>
    <t>00-00004232</t>
  </si>
  <si>
    <t>00-00001254</t>
  </si>
  <si>
    <t>00-00001255</t>
  </si>
  <si>
    <t>00-00001256</t>
  </si>
  <si>
    <t>00-00001257</t>
  </si>
  <si>
    <t>00-00005142</t>
  </si>
  <si>
    <t>00-00000452</t>
  </si>
  <si>
    <t>00-00000456</t>
  </si>
  <si>
    <t>00-00000457</t>
  </si>
  <si>
    <t>00-00000458</t>
  </si>
  <si>
    <t>00-00000459</t>
  </si>
  <si>
    <t>00-00000460</t>
  </si>
  <si>
    <t>00-00000461</t>
  </si>
  <si>
    <t>00-00003970</t>
  </si>
  <si>
    <t>00-00000464</t>
  </si>
  <si>
    <t>00-00000462</t>
  </si>
  <si>
    <t>00-00000465</t>
  </si>
  <si>
    <t>00-00004567</t>
  </si>
  <si>
    <t>00-00003585</t>
  </si>
  <si>
    <t>00-00005856</t>
  </si>
  <si>
    <t>00-00000467</t>
  </si>
  <si>
    <t>00-00000468</t>
  </si>
  <si>
    <t>00-00000469</t>
  </si>
  <si>
    <t>00-00000470</t>
  </si>
  <si>
    <t>00-00000471</t>
  </si>
  <si>
    <t>00-00000472</t>
  </si>
  <si>
    <t>00-00003686</t>
  </si>
  <si>
    <t>00-00000473</t>
  </si>
  <si>
    <t>00-00000474</t>
  </si>
  <si>
    <t>00-00004159</t>
  </si>
  <si>
    <t>00-00000475</t>
  </si>
  <si>
    <t>00-00004899</t>
  </si>
  <si>
    <t>00-00004158</t>
  </si>
  <si>
    <t>00-00003586</t>
  </si>
  <si>
    <t>00-00000477</t>
  </si>
  <si>
    <t>00-00000478</t>
  </si>
  <si>
    <t>00-00000479</t>
  </si>
  <si>
    <t>00-00000463</t>
  </si>
  <si>
    <t>00-00000480</t>
  </si>
  <si>
    <t>00-00005920</t>
  </si>
  <si>
    <t>00-00000497</t>
  </si>
  <si>
    <t>00-00006416</t>
  </si>
  <si>
    <t>Ароматизатор AREON гель X  Version на листе 1/18шт.</t>
  </si>
  <si>
    <t>00-00006439</t>
  </si>
  <si>
    <t>Ароматизатор AREON гель X Version Ваниль (Vanilla)</t>
  </si>
  <si>
    <t>00-00006436</t>
  </si>
  <si>
    <t>Ароматизатор AREON гель X Version Летний сон (Summer Dream)</t>
  </si>
  <si>
    <t>00-00006437</t>
  </si>
  <si>
    <t>Ароматизатор AREON гель X Version Новая Машина (New Car)</t>
  </si>
  <si>
    <t>00-00006435</t>
  </si>
  <si>
    <t>Ароматизатор AREON гель X Version Тутти Фрутти (Tutti Frutti)</t>
  </si>
  <si>
    <t>00-00006438</t>
  </si>
  <si>
    <t>Ароматизатор AREON гель X Version Черный Кристалл (Black Crystal)</t>
  </si>
  <si>
    <t>00-00000500</t>
  </si>
  <si>
    <t>00-00000498</t>
  </si>
  <si>
    <t>00-00000506</t>
  </si>
  <si>
    <t>00-00000501</t>
  </si>
  <si>
    <t>00-00000502</t>
  </si>
  <si>
    <t>00-00000503</t>
  </si>
  <si>
    <t>00-00000504</t>
  </si>
  <si>
    <t>00-00000505</t>
  </si>
  <si>
    <t>00-00000511</t>
  </si>
  <si>
    <t>00-00000507</t>
  </si>
  <si>
    <t>00-00000508</t>
  </si>
  <si>
    <t>00-00004900</t>
  </si>
  <si>
    <t>00-00000509</t>
  </si>
  <si>
    <t>00-00000499</t>
  </si>
  <si>
    <t>00-00000513</t>
  </si>
  <si>
    <t>00-00000514</t>
  </si>
  <si>
    <t>00-00000516</t>
  </si>
  <si>
    <t>00-00000518</t>
  </si>
  <si>
    <t>00-00004866</t>
  </si>
  <si>
    <t>00-00005951</t>
  </si>
  <si>
    <t>00-00003448</t>
  </si>
  <si>
    <t>00-00003450</t>
  </si>
  <si>
    <t>00-00003452</t>
  </si>
  <si>
    <t>00-00003447</t>
  </si>
  <si>
    <t>00-00004434</t>
  </si>
  <si>
    <t>00-00003451</t>
  </si>
  <si>
    <t>00-00004433</t>
  </si>
  <si>
    <t>00-00000524</t>
  </si>
  <si>
    <t>00-00000525</t>
  </si>
  <si>
    <t>00-00003641</t>
  </si>
  <si>
    <t>00-00000526</t>
  </si>
  <si>
    <t>00-00004117</t>
  </si>
  <si>
    <t>00-00000523</t>
  </si>
  <si>
    <t>00-00003643</t>
  </si>
  <si>
    <t>00-00000529</t>
  </si>
  <si>
    <t>00-00004711</t>
  </si>
  <si>
    <t>00-00005218</t>
  </si>
  <si>
    <t>00-00000528</t>
  </si>
  <si>
    <t>00-00000532</t>
  </si>
  <si>
    <t>00-00000763</t>
  </si>
  <si>
    <t>00-00003642</t>
  </si>
  <si>
    <t>00-00000531</t>
  </si>
  <si>
    <t>00-00004901</t>
  </si>
  <si>
    <t>00-00004033</t>
  </si>
  <si>
    <t>00-00000533</t>
  </si>
  <si>
    <t>00-00000762</t>
  </si>
  <si>
    <t>00-00000536</t>
  </si>
  <si>
    <t>00-00003639</t>
  </si>
  <si>
    <t>00-00000537</t>
  </si>
  <si>
    <t>00-00000538</t>
  </si>
  <si>
    <t>00-00003638</t>
  </si>
  <si>
    <t>00-00000540</t>
  </si>
  <si>
    <t>00-00003637</t>
  </si>
  <si>
    <t>00-00000542</t>
  </si>
  <si>
    <t>00-00000543</t>
  </si>
  <si>
    <t>00-00000544</t>
  </si>
  <si>
    <t>00-00003667</t>
  </si>
  <si>
    <t>00-00003658</t>
  </si>
  <si>
    <t>00-00003663</t>
  </si>
  <si>
    <t>00-00003664</t>
  </si>
  <si>
    <t>00-00000483</t>
  </si>
  <si>
    <t>00-00000481</t>
  </si>
  <si>
    <t>00-00003790</t>
  </si>
  <si>
    <t>00-00003786</t>
  </si>
  <si>
    <t>00-00003787</t>
  </si>
  <si>
    <t>00-00003788</t>
  </si>
  <si>
    <t>00-00003785</t>
  </si>
  <si>
    <t>00-00003789</t>
  </si>
  <si>
    <t>00-00000484</t>
  </si>
  <si>
    <t>00-00000486</t>
  </si>
  <si>
    <t>00-00000487</t>
  </si>
  <si>
    <t>00-00000493</t>
  </si>
  <si>
    <t>00-00000488</t>
  </si>
  <si>
    <t>00-00005316</t>
  </si>
  <si>
    <t>00-00000492</t>
  </si>
  <si>
    <t>00-00005315</t>
  </si>
  <si>
    <t>00-00005314</t>
  </si>
  <si>
    <t>00-00000489</t>
  </si>
  <si>
    <t>00-00005318</t>
  </si>
  <si>
    <t>00-00000490</t>
  </si>
  <si>
    <t>00-00000491</t>
  </si>
  <si>
    <t>00-00004902</t>
  </si>
  <si>
    <t>00-00000494</t>
  </si>
  <si>
    <t>00-00005317</t>
  </si>
  <si>
    <t>00-00000495</t>
  </si>
  <si>
    <t>00-00004136</t>
  </si>
  <si>
    <t>00-00000559</t>
  </si>
  <si>
    <t>00-00003687</t>
  </si>
  <si>
    <t>00-00000564</t>
  </si>
  <si>
    <t>00-00000565</t>
  </si>
  <si>
    <t>00-00000563</t>
  </si>
  <si>
    <t>00-00000561</t>
  </si>
  <si>
    <t>00-00004025</t>
  </si>
  <si>
    <t>00-00004659</t>
  </si>
  <si>
    <t>00-00004024</t>
  </si>
  <si>
    <t>00-00000567</t>
  </si>
  <si>
    <t>00-00000568</t>
  </si>
  <si>
    <t>00-00003782</t>
  </si>
  <si>
    <t>00-00000570</t>
  </si>
  <si>
    <t>00-00000571</t>
  </si>
  <si>
    <t>00-00000573</t>
  </si>
  <si>
    <t>00-00005308</t>
  </si>
  <si>
    <t>00-00000569</t>
  </si>
  <si>
    <t>00-00005310</t>
  </si>
  <si>
    <t>00-00005311</t>
  </si>
  <si>
    <t>00-00005309</t>
  </si>
  <si>
    <t>00-00000576</t>
  </si>
  <si>
    <t>00-00000575</t>
  </si>
  <si>
    <t>00-00005307</t>
  </si>
  <si>
    <t>00-00000572</t>
  </si>
  <si>
    <t>00-00004063</t>
  </si>
  <si>
    <t>00-00004056</t>
  </si>
  <si>
    <t>00-00004059</t>
  </si>
  <si>
    <t>00-00003922</t>
  </si>
  <si>
    <t>00-00003924</t>
  </si>
  <si>
    <t>00-00003931</t>
  </si>
  <si>
    <t>00-00003859</t>
  </si>
  <si>
    <t>00-00003861</t>
  </si>
  <si>
    <t>00-00003862</t>
  </si>
  <si>
    <t>00-00003971</t>
  </si>
  <si>
    <t>00-00003864</t>
  </si>
  <si>
    <t>00-00003865</t>
  </si>
  <si>
    <t>00-00003868</t>
  </si>
  <si>
    <t>00-00003869</t>
  </si>
  <si>
    <t>00-00003870</t>
  </si>
  <si>
    <t>00-00003871</t>
  </si>
  <si>
    <t>00-00003872</t>
  </si>
  <si>
    <t>00-00003873</t>
  </si>
  <si>
    <t>00-00003875</t>
  </si>
  <si>
    <t>00-00003877</t>
  </si>
  <si>
    <t>00-00003878</t>
  </si>
  <si>
    <t>00-00003879</t>
  </si>
  <si>
    <t>00-00003882</t>
  </si>
  <si>
    <t>00-00003883</t>
  </si>
  <si>
    <t>00-00003884</t>
  </si>
  <si>
    <t>00-00003885</t>
  </si>
  <si>
    <t>00-00003886</t>
  </si>
  <si>
    <t>00-00003887</t>
  </si>
  <si>
    <t>00-00003888</t>
  </si>
  <si>
    <t>00-00003890</t>
  </si>
  <si>
    <t>00-00003891</t>
  </si>
  <si>
    <t>00-00003892</t>
  </si>
  <si>
    <t>00-00006100</t>
  </si>
  <si>
    <t>00-00006101</t>
  </si>
  <si>
    <t>00-00000653</t>
  </si>
  <si>
    <t>00-00000661</t>
  </si>
  <si>
    <t>00-00000662</t>
  </si>
  <si>
    <t>00-00000665</t>
  </si>
  <si>
    <t>00-00000654</t>
  </si>
  <si>
    <t>00-00000655</t>
  </si>
  <si>
    <t>00-00000657</t>
  </si>
  <si>
    <t>00-00000659</t>
  </si>
  <si>
    <t>00-00000663</t>
  </si>
  <si>
    <t>00-00000664</t>
  </si>
  <si>
    <t>00-00000658</t>
  </si>
  <si>
    <t>00-00000666</t>
  </si>
  <si>
    <t>00-00000656</t>
  </si>
  <si>
    <t>00-00000660</t>
  </si>
  <si>
    <t>00-00000667</t>
  </si>
  <si>
    <t>00-00005178</t>
  </si>
  <si>
    <t>00-00005180</t>
  </si>
  <si>
    <t>00-00005181</t>
  </si>
  <si>
    <t>00-00005182</t>
  </si>
  <si>
    <t>00-00005183</t>
  </si>
  <si>
    <t>00-00005184</t>
  </si>
  <si>
    <t>00-00005185</t>
  </si>
  <si>
    <t>00-00005186</t>
  </si>
  <si>
    <t>00-00005294</t>
  </si>
  <si>
    <t>00-00005376</t>
  </si>
  <si>
    <t>00-00005375</t>
  </si>
  <si>
    <t>00-00005380</t>
  </si>
  <si>
    <t>00-00005379</t>
  </si>
  <si>
    <t>00-00004625</t>
  </si>
  <si>
    <t>00-00004626</t>
  </si>
  <si>
    <t>00-00004627</t>
  </si>
  <si>
    <t>00-00004628</t>
  </si>
  <si>
    <t>00-00004629</t>
  </si>
  <si>
    <t>00-00004630</t>
  </si>
  <si>
    <t>00-00004631</t>
  </si>
  <si>
    <t>00-00005903</t>
  </si>
  <si>
    <t>00-00005908</t>
  </si>
  <si>
    <t>00-00005907</t>
  </si>
  <si>
    <t>00-00005901</t>
  </si>
  <si>
    <t>00-00005902</t>
  </si>
  <si>
    <t>00-00005905</t>
  </si>
  <si>
    <t>00-00005163</t>
  </si>
  <si>
    <t>00-00005165</t>
  </si>
  <si>
    <t>00-00005166</t>
  </si>
  <si>
    <t>00-00005167</t>
  </si>
  <si>
    <t>00-00005169</t>
  </si>
  <si>
    <t>00-00005609</t>
  </si>
  <si>
    <t>00-00005607</t>
  </si>
  <si>
    <t>00-00005611</t>
  </si>
  <si>
    <t>00-00005608</t>
  </si>
  <si>
    <t>00-00005610</t>
  </si>
  <si>
    <t>00-00000702</t>
  </si>
  <si>
    <t>00-00000703</t>
  </si>
  <si>
    <t>00-00000704</t>
  </si>
  <si>
    <t>00-00005842</t>
  </si>
  <si>
    <t>00-00005841</t>
  </si>
  <si>
    <t>00-00000756</t>
  </si>
  <si>
    <t>00-00000757</t>
  </si>
  <si>
    <t>00-00000758</t>
  </si>
  <si>
    <t>00-00000759</t>
  </si>
  <si>
    <t>00-00000760</t>
  </si>
  <si>
    <t>00-00000761</t>
  </si>
  <si>
    <t>00-00004589</t>
  </si>
  <si>
    <t>00-00004458</t>
  </si>
  <si>
    <t>00-00004946</t>
  </si>
  <si>
    <t>00-00004947</t>
  </si>
  <si>
    <t>00-00004948</t>
  </si>
  <si>
    <t>00-00004951</t>
  </si>
  <si>
    <t>00-00004955</t>
  </si>
  <si>
    <t>00-00004957</t>
  </si>
  <si>
    <t>00-00005285</t>
  </si>
  <si>
    <t>00-00004959</t>
  </si>
  <si>
    <t>00-00004963</t>
  </si>
  <si>
    <t>00-00004964</t>
  </si>
  <si>
    <t>00-00004965</t>
  </si>
  <si>
    <t>00-00004966</t>
  </si>
  <si>
    <t>00-00004967</t>
  </si>
  <si>
    <t>00-00004968</t>
  </si>
  <si>
    <t>00-00004969</t>
  </si>
  <si>
    <t>00-00004972</t>
  </si>
  <si>
    <t>00-00004973</t>
  </si>
  <si>
    <t>00-00005249</t>
  </si>
  <si>
    <t>00-00004974</t>
  </si>
  <si>
    <t>00-00004975</t>
  </si>
  <si>
    <t>00-00004976</t>
  </si>
  <si>
    <t>00-00005250</t>
  </si>
  <si>
    <t>00-00005251</t>
  </si>
  <si>
    <t>00-00005252</t>
  </si>
  <si>
    <t>00-00004977</t>
  </si>
  <si>
    <t>00-00004978</t>
  </si>
  <si>
    <t>00-00004979</t>
  </si>
  <si>
    <t>00-00004981</t>
  </si>
  <si>
    <t>00-00005254</t>
  </si>
  <si>
    <t>00-00004982</t>
  </si>
  <si>
    <t>00-00004985</t>
  </si>
  <si>
    <t>00-00004986</t>
  </si>
  <si>
    <t>00-00006313</t>
  </si>
  <si>
    <t>Ароматизатор CONTRA  гель Love is... Bubble Gum (Бабл Гам)</t>
  </si>
  <si>
    <t>00-00006461</t>
  </si>
  <si>
    <t>Ароматизатор CONTRA  гель Love is... New Car ( Новая машина)</t>
  </si>
  <si>
    <t>00-00006316</t>
  </si>
  <si>
    <t>00-00006320</t>
  </si>
  <si>
    <t>00-00006462</t>
  </si>
  <si>
    <t>Ароматизатор CONTRA  гель Love is... Шоколадная эйфория</t>
  </si>
  <si>
    <t>00-00006459</t>
  </si>
  <si>
    <t>Ароматизатор CONTRA  гель Orgasm Tester (Свежесть Морского бриза)</t>
  </si>
  <si>
    <t>00-00006451</t>
  </si>
  <si>
    <t>Ароматизатор CONTRA  гель SEX CRUISE (Сицилийский бергамот)</t>
  </si>
  <si>
    <t>00-00006449</t>
  </si>
  <si>
    <t>Ароматизатор CONTRA  гель Sex First (Древесные ноты и лаванда)</t>
  </si>
  <si>
    <t>00-00006427</t>
  </si>
  <si>
    <t>Ароматизатор CONTRA  гель SEX KILLER (феромоны)</t>
  </si>
  <si>
    <t>00-00006277</t>
  </si>
  <si>
    <t>00-00006321</t>
  </si>
  <si>
    <t>00-00006450</t>
  </si>
  <si>
    <t>Ароматизатор CONTRA  гель Sex Queen (Cладость цветочных лепестков)</t>
  </si>
  <si>
    <t>00-00006460</t>
  </si>
  <si>
    <t>Ароматизатор CONTRA  гель SEX SECRET (Сливочные аккорды миндаля)</t>
  </si>
  <si>
    <t>00-00006463</t>
  </si>
  <si>
    <t>Ароматизатор CONTRA  гель Sex Наша Работа (Эйфория цветов и фруктов)  (1/50шт.)</t>
  </si>
  <si>
    <t>00-00006434</t>
  </si>
  <si>
    <t>Ароматизатор CONTRA  гель The SexMafia (Древесно-цветочная свежесть)</t>
  </si>
  <si>
    <t>00-00006464</t>
  </si>
  <si>
    <t>Ароматизатор CONTRA  гель Warning Sexogolik (Ваниль, восточные сладости)  (1/50шт.)</t>
  </si>
  <si>
    <t>00-00006322</t>
  </si>
  <si>
    <t>00-00006323</t>
  </si>
  <si>
    <t>00-00006324</t>
  </si>
  <si>
    <t>00-00006325</t>
  </si>
  <si>
    <t>00-00006326</t>
  </si>
  <si>
    <t>00-00006327</t>
  </si>
  <si>
    <t>00-00006328</t>
  </si>
  <si>
    <t>00-00006329</t>
  </si>
  <si>
    <t>00-00006330</t>
  </si>
  <si>
    <t>00-00005601</t>
  </si>
  <si>
    <t>00-00005593</t>
  </si>
  <si>
    <t>00-00005592</t>
  </si>
  <si>
    <t>00-00005590</t>
  </si>
  <si>
    <t>00-00005602</t>
  </si>
  <si>
    <t>00-00005597</t>
  </si>
  <si>
    <t>00-00005599</t>
  </si>
  <si>
    <t>00-00006104</t>
  </si>
  <si>
    <t>00-00005600</t>
  </si>
  <si>
    <t>00-00005603</t>
  </si>
  <si>
    <t>00-00005595</t>
  </si>
  <si>
    <t>00-00005598</t>
  </si>
  <si>
    <t>00-00006236</t>
  </si>
  <si>
    <t>00-00006237</t>
  </si>
  <si>
    <t>00-00006272</t>
  </si>
  <si>
    <t>00-00006274</t>
  </si>
  <si>
    <t>00-00006275</t>
  </si>
  <si>
    <t>00-00006271</t>
  </si>
  <si>
    <t>00-00006273</t>
  </si>
  <si>
    <t>00-00006433</t>
  </si>
  <si>
    <t>Ароматизатор CONTRA  флакон с деревянной крышкой D-33 SEX Наша работа (Черный перец и амбра)</t>
  </si>
  <si>
    <t>00-00005400</t>
  </si>
  <si>
    <t>00-00005392</t>
  </si>
  <si>
    <t>00-00005398</t>
  </si>
  <si>
    <t>00-00006059</t>
  </si>
  <si>
    <t>00-00005388</t>
  </si>
  <si>
    <t>00-00005385</t>
  </si>
  <si>
    <t>00-00005395</t>
  </si>
  <si>
    <t>00-00006063</t>
  </si>
  <si>
    <t>00-00005393</t>
  </si>
  <si>
    <t>00-00005397</t>
  </si>
  <si>
    <t>00-00005389</t>
  </si>
  <si>
    <t>00-00006074</t>
  </si>
  <si>
    <t>Ароматизатор CONTRA  флакон с деревянной крышкой Love is... Мультифрукт 8мл. (1/20шт).</t>
  </si>
  <si>
    <t>00-00005399</t>
  </si>
  <si>
    <t>00-00005391</t>
  </si>
  <si>
    <t>00-00005394</t>
  </si>
  <si>
    <t>00-00005387</t>
  </si>
  <si>
    <t>00-00005390</t>
  </si>
  <si>
    <t>00-00006061</t>
  </si>
  <si>
    <t>00-00006062</t>
  </si>
  <si>
    <t>00-00006073</t>
  </si>
  <si>
    <t>00-00005396</t>
  </si>
  <si>
    <t>00-00005651</t>
  </si>
  <si>
    <t>00-00005687</t>
  </si>
  <si>
    <t>00-00005689</t>
  </si>
  <si>
    <t>00-00005690</t>
  </si>
  <si>
    <t>00-00005688</t>
  </si>
  <si>
    <t>00-00005655</t>
  </si>
  <si>
    <t>00-00005674</t>
  </si>
  <si>
    <t>00-00005652</t>
  </si>
  <si>
    <t>00-00005650</t>
  </si>
  <si>
    <t>00-00005832</t>
  </si>
  <si>
    <t>00-00005653</t>
  </si>
  <si>
    <t>00-00006079</t>
  </si>
  <si>
    <t>00-00006082</t>
  </si>
  <si>
    <t>00-00006285</t>
  </si>
  <si>
    <t>00-00006080</t>
  </si>
  <si>
    <t>00-00006303</t>
  </si>
  <si>
    <t>00-00006302</t>
  </si>
  <si>
    <t>00-00006078</t>
  </si>
  <si>
    <t>00-00006301</t>
  </si>
  <si>
    <t>00-00005985</t>
  </si>
  <si>
    <t>00-00005986</t>
  </si>
  <si>
    <t>00-00006172</t>
  </si>
  <si>
    <t>00-00006131</t>
  </si>
  <si>
    <t>00-00006284</t>
  </si>
  <si>
    <t>00-00005984</t>
  </si>
  <si>
    <t>00-00005983</t>
  </si>
  <si>
    <t>00-00005982</t>
  </si>
  <si>
    <t>00-00006015</t>
  </si>
  <si>
    <t>00-00005981</t>
  </si>
  <si>
    <t>00-00005980</t>
  </si>
  <si>
    <t>00-00005979</t>
  </si>
  <si>
    <t>00-00005977</t>
  </si>
  <si>
    <t>00-00005978</t>
  </si>
  <si>
    <t>00-00005976</t>
  </si>
  <si>
    <t>00-00006276</t>
  </si>
  <si>
    <t>00-00000798</t>
  </si>
  <si>
    <t>00-00000795</t>
  </si>
  <si>
    <t>00-00000852</t>
  </si>
  <si>
    <t>00-00000819</t>
  </si>
  <si>
    <t>00-00000820</t>
  </si>
  <si>
    <t>00-00000822</t>
  </si>
  <si>
    <t>00-00003587</t>
  </si>
  <si>
    <t>00-00000824</t>
  </si>
  <si>
    <t>00-00000825</t>
  </si>
  <si>
    <t>00-00000827</t>
  </si>
  <si>
    <t>00-00000828</t>
  </si>
  <si>
    <t>00-00000829</t>
  </si>
  <si>
    <t>00-00000830</t>
  </si>
  <si>
    <t>00-00000831</t>
  </si>
  <si>
    <t>00-00000832</t>
  </si>
  <si>
    <t>00-00000833</t>
  </si>
  <si>
    <t>00-00000823</t>
  </si>
  <si>
    <t>00-00004135</t>
  </si>
  <si>
    <t>00-00000978</t>
  </si>
  <si>
    <t>00-00001047</t>
  </si>
  <si>
    <t>00-00001048</t>
  </si>
  <si>
    <t>00-00001050</t>
  </si>
  <si>
    <t>00-00001052</t>
  </si>
  <si>
    <t>00-00001038</t>
  </si>
  <si>
    <t>00-00001053</t>
  </si>
  <si>
    <t>00-00001070</t>
  </si>
  <si>
    <t>00-00001058</t>
  </si>
  <si>
    <t>00-00001062</t>
  </si>
  <si>
    <t>00-00004579</t>
  </si>
  <si>
    <t>00-00001064</t>
  </si>
  <si>
    <t>00-00000768</t>
  </si>
  <si>
    <t>00-00001067</t>
  </si>
  <si>
    <t>00-00006171</t>
  </si>
  <si>
    <t>00-00001179</t>
  </si>
  <si>
    <t>00-00005412</t>
  </si>
  <si>
    <t>00-00005411</t>
  </si>
  <si>
    <t>00-00005843</t>
  </si>
  <si>
    <t>00-00001332</t>
  </si>
  <si>
    <t>00-00001334</t>
  </si>
  <si>
    <t>00-00001335</t>
  </si>
  <si>
    <t>00-00004601</t>
  </si>
  <si>
    <t>00-00001336</t>
  </si>
  <si>
    <t>00-00004600</t>
  </si>
  <si>
    <t>00-00004165</t>
  </si>
  <si>
    <t>00-00005862</t>
  </si>
  <si>
    <t>00-00005870</t>
  </si>
  <si>
    <t>00-00005863</t>
  </si>
  <si>
    <t>00-00005871</t>
  </si>
  <si>
    <t>00-00005865</t>
  </si>
  <si>
    <t>00-00005867</t>
  </si>
  <si>
    <t>00-00005866</t>
  </si>
  <si>
    <t>00-00005869</t>
  </si>
  <si>
    <t>00-00005937</t>
  </si>
  <si>
    <t>00-00005864</t>
  </si>
  <si>
    <t>00-00005861</t>
  </si>
  <si>
    <t>00-00001337</t>
  </si>
  <si>
    <t>00-00004604</t>
  </si>
  <si>
    <t>00-00006412</t>
  </si>
  <si>
    <t>00-00006414</t>
  </si>
  <si>
    <t>00-00006411</t>
  </si>
  <si>
    <t>00-00006415</t>
  </si>
  <si>
    <t>00-00005786</t>
  </si>
  <si>
    <t>00-00005787</t>
  </si>
  <si>
    <t>00-00005788</t>
  </si>
  <si>
    <t>00-00005789</t>
  </si>
  <si>
    <t>00-00005790</t>
  </si>
  <si>
    <t>00-00005791</t>
  </si>
  <si>
    <t>00-00005792</t>
  </si>
  <si>
    <t>00-00005793</t>
  </si>
  <si>
    <t>00-00005794</t>
  </si>
  <si>
    <t>00-00005795</t>
  </si>
  <si>
    <t>00-00005796</t>
  </si>
  <si>
    <t>00-00005797</t>
  </si>
  <si>
    <t>00-00005798</t>
  </si>
  <si>
    <t>00-00005799</t>
  </si>
  <si>
    <t>00-00005800</t>
  </si>
  <si>
    <t>00-00005801</t>
  </si>
  <si>
    <t>00-00005802</t>
  </si>
  <si>
    <t>00-00005803</t>
  </si>
  <si>
    <t>00-00005804</t>
  </si>
  <si>
    <t>00-00005805</t>
  </si>
  <si>
    <t>00-00005806</t>
  </si>
  <si>
    <t>00-00005807</t>
  </si>
  <si>
    <t>00-00006397</t>
  </si>
  <si>
    <t>00-00006356</t>
  </si>
  <si>
    <t>00-00000680</t>
  </si>
  <si>
    <t>00-00004169</t>
  </si>
  <si>
    <t>00-00000682</t>
  </si>
  <si>
    <t>00-00003688</t>
  </si>
  <si>
    <t>00-00005756</t>
  </si>
  <si>
    <t>00-00005758</t>
  </si>
  <si>
    <t>00-00005188</t>
  </si>
  <si>
    <t>00-00006083</t>
  </si>
  <si>
    <t>00-00006230</t>
  </si>
  <si>
    <t>00-00006229</t>
  </si>
  <si>
    <t>00-00006231</t>
  </si>
  <si>
    <t>00-00006144</t>
  </si>
  <si>
    <t>00-00006086</t>
  </si>
  <si>
    <t>00-00006084</t>
  </si>
  <si>
    <t>00-00006087</t>
  </si>
  <si>
    <t>00-00000787</t>
  </si>
  <si>
    <t>00-00005635</t>
  </si>
  <si>
    <t>00-00005638</t>
  </si>
  <si>
    <t>00-00005640</t>
  </si>
  <si>
    <t>00-00005637</t>
  </si>
  <si>
    <t>00-00000794</t>
  </si>
  <si>
    <t>00-00001306</t>
  </si>
  <si>
    <t>00-00001309</t>
  </si>
  <si>
    <t>00-00001311</t>
  </si>
  <si>
    <t>00-00001304</t>
  </si>
  <si>
    <t>00-00001302</t>
  </si>
  <si>
    <t>00-00001317</t>
  </si>
  <si>
    <t>00-00001313</t>
  </si>
  <si>
    <t>00-00001318</t>
  </si>
  <si>
    <t>00-00001312</t>
  </si>
  <si>
    <t>00-00001330</t>
  </si>
  <si>
    <t>00-00001325</t>
  </si>
  <si>
    <t>00-00001324</t>
  </si>
  <si>
    <t>00-00001322</t>
  </si>
  <si>
    <t>00-00001298</t>
  </si>
  <si>
    <t>00-00001288</t>
  </si>
  <si>
    <t>00-00001292</t>
  </si>
  <si>
    <t>00-00001294</t>
  </si>
  <si>
    <t>00-00001296</t>
  </si>
  <si>
    <t>00-00001297</t>
  </si>
  <si>
    <t>00-00000747</t>
  </si>
  <si>
    <t>00-00000737</t>
  </si>
  <si>
    <t>00-00000729</t>
  </si>
  <si>
    <t>00-00000735</t>
  </si>
  <si>
    <t>00-00000751</t>
  </si>
  <si>
    <t>00-00003759</t>
  </si>
  <si>
    <t>00-00003762</t>
  </si>
  <si>
    <t>00-00000748</t>
  </si>
  <si>
    <t>00-00000733</t>
  </si>
  <si>
    <t>00-00003763</t>
  </si>
  <si>
    <t>00-00000730</t>
  </si>
  <si>
    <t>00-00000745</t>
  </si>
  <si>
    <t>00-00001127</t>
  </si>
  <si>
    <t>00-00004053</t>
  </si>
  <si>
    <t>00-00001126</t>
  </si>
  <si>
    <t>00-00004055</t>
  </si>
  <si>
    <t>00-00001125</t>
  </si>
  <si>
    <t>00-00003645</t>
  </si>
  <si>
    <t>00-00001124</t>
  </si>
  <si>
    <t>00-00004519</t>
  </si>
  <si>
    <t>00-00001128</t>
  </si>
  <si>
    <t>00-00001129</t>
  </si>
  <si>
    <t>00-00001130</t>
  </si>
  <si>
    <t>00-00001131</t>
  </si>
  <si>
    <t>00-00004522</t>
  </si>
  <si>
    <t>00-00001132</t>
  </si>
  <si>
    <t>00-00001133</t>
  </si>
  <si>
    <t>00-00001135</t>
  </si>
  <si>
    <t>00-00001136</t>
  </si>
  <si>
    <t>00-00004054</t>
  </si>
  <si>
    <t>00-00004523</t>
  </si>
  <si>
    <t>00-00001137</t>
  </si>
  <si>
    <t>00-00001138</t>
  </si>
  <si>
    <t>00-00001139</t>
  </si>
  <si>
    <t>00-00001140</t>
  </si>
  <si>
    <t>00-00001141</t>
  </si>
  <si>
    <t>00-00004521</t>
  </si>
  <si>
    <t>00-00004520</t>
  </si>
  <si>
    <t>00-00001143</t>
  </si>
  <si>
    <t>00-00001144</t>
  </si>
  <si>
    <t>00-00003958</t>
  </si>
  <si>
    <t>00-00005730</t>
  </si>
  <si>
    <t>00-00005732</t>
  </si>
  <si>
    <t>00-00000719</t>
  </si>
  <si>
    <t>Ароматизатор AURAMI спрей SPR-01 Ванильное мороженое (Vanilla) 100мл.</t>
  </si>
  <si>
    <t>00-00000720</t>
  </si>
  <si>
    <t>Ароматизатор AURAMI спрей SPR-02 Бодрящий кофе (Coffee) 100мл.</t>
  </si>
  <si>
    <t>00-00000718</t>
  </si>
  <si>
    <t>00-00000722</t>
  </si>
  <si>
    <t>00-00000721</t>
  </si>
  <si>
    <t>Ароматизатор AURAMI спрей SPR-06 Новая Машина (New Car) 100мл.</t>
  </si>
  <si>
    <t>00-00000724</t>
  </si>
  <si>
    <t>Ароматизатор AURAMI спрей SPR-10 Эгоист (Egoist) 100мл.</t>
  </si>
  <si>
    <t>00-00004770</t>
  </si>
  <si>
    <t>00-00004769</t>
  </si>
  <si>
    <t>00-00006382</t>
  </si>
  <si>
    <t>00-00006379</t>
  </si>
  <si>
    <t>00-00006381</t>
  </si>
  <si>
    <t>00-00006380</t>
  </si>
  <si>
    <t>00-00005409</t>
  </si>
  <si>
    <t>00-00005405</t>
  </si>
  <si>
    <t>00-00005404</t>
  </si>
  <si>
    <t>00-00005406</t>
  </si>
  <si>
    <t>00-00005407</t>
  </si>
  <si>
    <t>00-00006306</t>
  </si>
  <si>
    <t>00-00005539</t>
  </si>
  <si>
    <t>00-00006116</t>
  </si>
  <si>
    <t>00-00006120</t>
  </si>
  <si>
    <t>00-00006112</t>
  </si>
  <si>
    <t>00-00000835</t>
  </si>
  <si>
    <t>00-00000836</t>
  </si>
  <si>
    <t>00-00000838</t>
  </si>
  <si>
    <t>00-00000839</t>
  </si>
  <si>
    <t>00-00000840</t>
  </si>
  <si>
    <t>00-00000842</t>
  </si>
  <si>
    <t>00-00000843</t>
  </si>
  <si>
    <t>00-00000837</t>
  </si>
  <si>
    <t>00-00000413</t>
  </si>
  <si>
    <t>00-00000414</t>
  </si>
  <si>
    <t>00-00000418</t>
  </si>
  <si>
    <t>00-00004712</t>
  </si>
  <si>
    <t>00-00000407</t>
  </si>
  <si>
    <t>00-00000421</t>
  </si>
  <si>
    <t>00-00000423</t>
  </si>
  <si>
    <t>00-00000422</t>
  </si>
  <si>
    <t>00-00000425</t>
  </si>
  <si>
    <t>00-00000417</t>
  </si>
  <si>
    <t>00-00000548</t>
  </si>
  <si>
    <t>00-00000551</t>
  </si>
  <si>
    <t>00-00000553</t>
  </si>
  <si>
    <t>00-00000781</t>
  </si>
  <si>
    <t>00-00003444</t>
  </si>
  <si>
    <t>00-00005847</t>
  </si>
  <si>
    <t>00-00003446</t>
  </si>
  <si>
    <t>00-00000783</t>
  </si>
  <si>
    <t>00-00003445</t>
  </si>
  <si>
    <t>00-00000784</t>
  </si>
  <si>
    <t>00-00003100</t>
  </si>
  <si>
    <t>00-00005428</t>
  </si>
  <si>
    <t>00-00001539</t>
  </si>
  <si>
    <t>00-00006282</t>
  </si>
  <si>
    <t>00-00001561</t>
  </si>
  <si>
    <t>00-00001562</t>
  </si>
  <si>
    <t>00-00001563</t>
  </si>
  <si>
    <t>00-00004877</t>
  </si>
  <si>
    <t>00-00001560</t>
  </si>
  <si>
    <t>00-00001564</t>
  </si>
  <si>
    <t>00-00001565</t>
  </si>
  <si>
    <t>00-00001566</t>
  </si>
  <si>
    <t>00-00005200</t>
  </si>
  <si>
    <t>00-00005199</t>
  </si>
  <si>
    <t>00-00002336</t>
  </si>
  <si>
    <t>00-00002337</t>
  </si>
  <si>
    <t>00-00001765</t>
  </si>
  <si>
    <t>00-00001766</t>
  </si>
  <si>
    <t>00-00001767</t>
  </si>
  <si>
    <t>00-00001768</t>
  </si>
  <si>
    <t>00-00005616</t>
  </si>
  <si>
    <t>00-00001769</t>
  </si>
  <si>
    <t>00-00001770</t>
  </si>
  <si>
    <t>00-00005928</t>
  </si>
  <si>
    <t>00-00001778</t>
  </si>
  <si>
    <t>00-00001783</t>
  </si>
  <si>
    <t>00-00001786</t>
  </si>
  <si>
    <t>00-00001787</t>
  </si>
  <si>
    <t>00-00001788</t>
  </si>
  <si>
    <t>00-00001790</t>
  </si>
  <si>
    <t>00-00001791</t>
  </si>
  <si>
    <t>00-00001792</t>
  </si>
  <si>
    <t>00-00001794</t>
  </si>
  <si>
    <t>00-00000404</t>
  </si>
  <si>
    <t>00-00006130</t>
  </si>
  <si>
    <t>00-00000406</t>
  </si>
  <si>
    <t>00-00001436</t>
  </si>
  <si>
    <t>00-00001659</t>
  </si>
  <si>
    <t>00-00001660</t>
  </si>
  <si>
    <t>00-00001658</t>
  </si>
  <si>
    <t>00-00001705</t>
  </si>
  <si>
    <t>00-00004455</t>
  </si>
  <si>
    <t>00-00005177</t>
  </si>
  <si>
    <t>00-00005176</t>
  </si>
  <si>
    <t>00-00001845</t>
  </si>
  <si>
    <t>00-00001846</t>
  </si>
  <si>
    <t>00-00005071</t>
  </si>
  <si>
    <t>00-00005072</t>
  </si>
  <si>
    <t>00-00005073</t>
  </si>
  <si>
    <t>00-00001848</t>
  </si>
  <si>
    <t>00-00001849</t>
  </si>
  <si>
    <t>00-00001850</t>
  </si>
  <si>
    <t>00-00001847</t>
  </si>
  <si>
    <t>00-00001853</t>
  </si>
  <si>
    <t>00-00001854</t>
  </si>
  <si>
    <t>00-00001855</t>
  </si>
  <si>
    <t>00-00001856</t>
  </si>
  <si>
    <t>00-00001857</t>
  </si>
  <si>
    <t>00-00001858</t>
  </si>
  <si>
    <t>00-00001865</t>
  </si>
  <si>
    <t>00-00001866</t>
  </si>
  <si>
    <t>00-00001859</t>
  </si>
  <si>
    <t>00-00001861</t>
  </si>
  <si>
    <t>00-00001862</t>
  </si>
  <si>
    <t>00-00001863</t>
  </si>
  <si>
    <t>00-00004293</t>
  </si>
  <si>
    <t>00-00001870</t>
  </si>
  <si>
    <t>00-00004378</t>
  </si>
  <si>
    <t>00-00001871</t>
  </si>
  <si>
    <t>00-00001873</t>
  </si>
  <si>
    <t>00-00001872</t>
  </si>
  <si>
    <t>00-00001874</t>
  </si>
  <si>
    <t>00-00002062</t>
  </si>
  <si>
    <t>00-00002060</t>
  </si>
  <si>
    <t>00-00002061</t>
  </si>
  <si>
    <t>00-00002065</t>
  </si>
  <si>
    <t>00-00002063</t>
  </si>
  <si>
    <t>00-00002064</t>
  </si>
  <si>
    <t>00-00004465</t>
  </si>
  <si>
    <t>00-00004464</t>
  </si>
  <si>
    <t>Нож канцелярский большой на блистере арт.DP-235</t>
  </si>
  <si>
    <t>00-00002197</t>
  </si>
  <si>
    <t>00-00002050</t>
  </si>
  <si>
    <t>Набор бит и головок с реверсивной отверткой GQ Tools GQ-434</t>
  </si>
  <si>
    <t>00-00002051</t>
  </si>
  <si>
    <t>00-00002066</t>
  </si>
  <si>
    <t>00-00006417</t>
  </si>
  <si>
    <t>Набор инструмента AUTOVIRAZH  108 предметов AV-212108</t>
  </si>
  <si>
    <t>00-00005997</t>
  </si>
  <si>
    <t>00-00005998</t>
  </si>
  <si>
    <t>00-00005999</t>
  </si>
  <si>
    <t>00-00002077</t>
  </si>
  <si>
    <t>00-00002080</t>
  </si>
  <si>
    <t>00-00002212</t>
  </si>
  <si>
    <t>00-00002213</t>
  </si>
  <si>
    <t>00-00002214</t>
  </si>
  <si>
    <t>00-00002215</t>
  </si>
  <si>
    <t>00-00002216</t>
  </si>
  <si>
    <t>00-00002217</t>
  </si>
  <si>
    <t>00-00002218</t>
  </si>
  <si>
    <t>00-00002210</t>
  </si>
  <si>
    <t>00-00002211</t>
  </si>
  <si>
    <t>00-00006343</t>
  </si>
  <si>
    <t>00-00002221</t>
  </si>
  <si>
    <t>00-00002222</t>
  </si>
  <si>
    <t>00-00004471</t>
  </si>
  <si>
    <t>00-00004470</t>
  </si>
  <si>
    <t>00-00004472</t>
  </si>
  <si>
    <t>00-00002225</t>
  </si>
  <si>
    <t>00-00002219</t>
  </si>
  <si>
    <t>00-00005623</t>
  </si>
  <si>
    <t>00-00002302</t>
  </si>
  <si>
    <t>00-00002303</t>
  </si>
  <si>
    <t>00-00002304</t>
  </si>
  <si>
    <t>00-00002686</t>
  </si>
  <si>
    <t>00-00002688</t>
  </si>
  <si>
    <t>00-00003139</t>
  </si>
  <si>
    <t>00-00003140</t>
  </si>
  <si>
    <t>00-00003136</t>
  </si>
  <si>
    <t>00-00003137</t>
  </si>
  <si>
    <t>00-00003138</t>
  </si>
  <si>
    <t>00-00003250</t>
  </si>
  <si>
    <t>00-00003581</t>
  </si>
  <si>
    <t>00-00005829</t>
  </si>
  <si>
    <t>00-00003405</t>
  </si>
  <si>
    <t>00-00004820</t>
  </si>
  <si>
    <t>00-00005963</t>
  </si>
  <si>
    <t>00-00004127</t>
  </si>
  <si>
    <t>00-00001923</t>
  </si>
  <si>
    <t>00-00001924</t>
  </si>
  <si>
    <t>00-00001918</t>
  </si>
  <si>
    <t>00-00001919</t>
  </si>
  <si>
    <t>00-00001920</t>
  </si>
  <si>
    <t>00-00004921</t>
  </si>
  <si>
    <t>00-00001940</t>
  </si>
  <si>
    <t>00-00001941</t>
  </si>
  <si>
    <t>00-00001943</t>
  </si>
  <si>
    <t>00-00001933</t>
  </si>
  <si>
    <t>00-00001945</t>
  </si>
  <si>
    <t>00-00001946</t>
  </si>
  <si>
    <t>00-00005284</t>
  </si>
  <si>
    <t>00-00005283</t>
  </si>
  <si>
    <t>00-00004480</t>
  </si>
  <si>
    <t>00-00001948</t>
  </si>
  <si>
    <t>00-00001936</t>
  </si>
  <si>
    <t>00-00003483</t>
  </si>
  <si>
    <t>00-00001928</t>
  </si>
  <si>
    <t>00-00001930</t>
  </si>
  <si>
    <t>00-00004240</t>
  </si>
  <si>
    <t>00-00003977</t>
  </si>
  <si>
    <t>00-00004172</t>
  </si>
  <si>
    <t>00-00001932</t>
  </si>
  <si>
    <t>00-00005423</t>
  </si>
  <si>
    <t>00-00000395</t>
  </si>
  <si>
    <t>00-00000397</t>
  </si>
  <si>
    <t>00-00000398</t>
  </si>
  <si>
    <t>00-00005444</t>
  </si>
  <si>
    <t>00-00003466</t>
  </si>
  <si>
    <t>00-00005443</t>
  </si>
  <si>
    <t>00-00000402</t>
  </si>
  <si>
    <t>00-00006169</t>
  </si>
  <si>
    <t>00-00001432</t>
  </si>
  <si>
    <t>00-00003594</t>
  </si>
  <si>
    <t>00-00001667</t>
  </si>
  <si>
    <t>00-00001724</t>
  </si>
  <si>
    <t>00-00001723</t>
  </si>
  <si>
    <t>00-00001726</t>
  </si>
  <si>
    <t>00-00004137</t>
  </si>
  <si>
    <t>00-00002112</t>
  </si>
  <si>
    <t>00-00004696</t>
  </si>
  <si>
    <t>00-00002113</t>
  </si>
  <si>
    <t>00-00002116</t>
  </si>
  <si>
    <t>00-00002117</t>
  </si>
  <si>
    <t>00-00002844</t>
  </si>
  <si>
    <t>00-00002907</t>
  </si>
  <si>
    <t>00-00002903</t>
  </si>
  <si>
    <t>00-00006289</t>
  </si>
  <si>
    <t>00-00002908</t>
  </si>
  <si>
    <t>00-00002904</t>
  </si>
  <si>
    <t>00-00002910</t>
  </si>
  <si>
    <t>00-00002911</t>
  </si>
  <si>
    <t>00-00002905</t>
  </si>
  <si>
    <t>00-00002934</t>
  </si>
  <si>
    <t>00-00002935</t>
  </si>
  <si>
    <t>00-00002936</t>
  </si>
  <si>
    <t>00-00002931</t>
  </si>
  <si>
    <t>00-00002932</t>
  </si>
  <si>
    <t>00-00002933</t>
  </si>
  <si>
    <t>00-00002912</t>
  </si>
  <si>
    <t>00-00002913</t>
  </si>
  <si>
    <t>00-00002906</t>
  </si>
  <si>
    <t>00-00002927</t>
  </si>
  <si>
    <t>00-00002923</t>
  </si>
  <si>
    <t>00-00002928</t>
  </si>
  <si>
    <t>00-00002924</t>
  </si>
  <si>
    <t>00-00002921</t>
  </si>
  <si>
    <t>00-00002926</t>
  </si>
  <si>
    <t>00-00005722</t>
  </si>
  <si>
    <t>00-00006111</t>
  </si>
  <si>
    <t>00-00002086</t>
  </si>
  <si>
    <t>00-00002087</t>
  </si>
  <si>
    <t>00-00002088</t>
  </si>
  <si>
    <t>00-00003484</t>
  </si>
  <si>
    <t>00-00002090</t>
  </si>
  <si>
    <t>00-00002619</t>
  </si>
  <si>
    <t>00-00002620</t>
  </si>
  <si>
    <t>00-00006027</t>
  </si>
  <si>
    <t>00-00005343</t>
  </si>
  <si>
    <t>00-00005344</t>
  </si>
  <si>
    <t>00-00005345</t>
  </si>
  <si>
    <t>00-00002715</t>
  </si>
  <si>
    <t>00-00002716</t>
  </si>
  <si>
    <t>00-00002717</t>
  </si>
  <si>
    <t>00-00002718</t>
  </si>
  <si>
    <t>00-00002719</t>
  </si>
  <si>
    <t>00-00002720</t>
  </si>
  <si>
    <t>00-00002721</t>
  </si>
  <si>
    <t>00-00002708</t>
  </si>
  <si>
    <t>Скотч двухсторонний NOVA Bright  6 мм*5 м акриловая основа 46666 (1/25шт.)</t>
  </si>
  <si>
    <t>00-00002709</t>
  </si>
  <si>
    <t>Скотч двухсторонний NOVA Bright  8 мм*5 м акриловая основа 46919</t>
  </si>
  <si>
    <t>00-00002710</t>
  </si>
  <si>
    <t>Скотч двухсторонний NOVA Bright  9 мм*5 м акриловая основа 46667</t>
  </si>
  <si>
    <t>00-00002711</t>
  </si>
  <si>
    <t>00-00002722</t>
  </si>
  <si>
    <t>00-00002712</t>
  </si>
  <si>
    <t>00-00002713</t>
  </si>
  <si>
    <t>00-00002723</t>
  </si>
  <si>
    <t>00-00002724</t>
  </si>
  <si>
    <t>00-00002725</t>
  </si>
  <si>
    <t>00-00002726</t>
  </si>
  <si>
    <t>00-00006401</t>
  </si>
  <si>
    <t>Скотч двухсторонний прозрачный  3М  10 мм*5 м   1/12шт.</t>
  </si>
  <si>
    <t>00-00006402</t>
  </si>
  <si>
    <t>Скотч двухсторонний прозрачный  3М  12 мм*5 м   1/10шт.</t>
  </si>
  <si>
    <t>00-00006403</t>
  </si>
  <si>
    <t>Скотч двухсторонний прозрачный  3М  15 мм*5 м   1/8шт.</t>
  </si>
  <si>
    <t>00-00006404</t>
  </si>
  <si>
    <t>Скотч двухсторонний прозрачный  3М  20 мм*5 м   1/6шт.</t>
  </si>
  <si>
    <t>00-00006405</t>
  </si>
  <si>
    <t>Скотч двухсторонний прозрачный  3М  30 мм*5 м   1/4шт.</t>
  </si>
  <si>
    <t>00-00006399</t>
  </si>
  <si>
    <t>Скотч двухсторонний прозрачный  3М  8 мм*5 м   1/15шт.</t>
  </si>
  <si>
    <t>00-00006400</t>
  </si>
  <si>
    <t>Скотч двухсторонний прозрачный  3М  9 мм*5 м   1/14шт.</t>
  </si>
  <si>
    <t>00-00002764</t>
  </si>
  <si>
    <t>00-00003157</t>
  </si>
  <si>
    <t>00-00003159</t>
  </si>
  <si>
    <t>00-00003160</t>
  </si>
  <si>
    <t>00-00003163</t>
  </si>
  <si>
    <t>Шторки Crystal 60L боковые L=60cm H=42-47cm</t>
  </si>
  <si>
    <t>00-00003176</t>
  </si>
  <si>
    <t>00-00003177</t>
  </si>
  <si>
    <t>00-00003175</t>
  </si>
  <si>
    <t>00-00002615</t>
  </si>
  <si>
    <t>00-00002807</t>
  </si>
  <si>
    <t>Стяжка груза 5м 1,5т АвтоВираж AV-5105 / 4,5м CRISTYLEAVTO  (1/48шт)</t>
  </si>
  <si>
    <t>00-00002808</t>
  </si>
  <si>
    <t>00-00002809</t>
  </si>
  <si>
    <t>00-00002806</t>
  </si>
  <si>
    <t>00-00002810</t>
  </si>
  <si>
    <t>Стяжка груза Мaas 10м 5т  (1/10шт.)</t>
  </si>
  <si>
    <t>00-00002811</t>
  </si>
  <si>
    <t>Стяжка груза Мaas 12м 6т  (1/10шт.)</t>
  </si>
  <si>
    <t>00-00002818</t>
  </si>
  <si>
    <t>00-00002820</t>
  </si>
  <si>
    <t>00-00002821</t>
  </si>
  <si>
    <t>00-00002822</t>
  </si>
  <si>
    <t>00-00002823</t>
  </si>
  <si>
    <t>00-00003857</t>
  </si>
  <si>
    <t>00-00003856</t>
  </si>
  <si>
    <t>00-00003748</t>
  </si>
  <si>
    <t>00-00004497</t>
  </si>
  <si>
    <t>00-00005480</t>
  </si>
  <si>
    <t>00-00006035</t>
  </si>
  <si>
    <t>00-00002623</t>
  </si>
  <si>
    <t>00-00002622</t>
  </si>
  <si>
    <t>00-00002957</t>
  </si>
  <si>
    <t>00-00002862</t>
  </si>
  <si>
    <t>00-00002869</t>
  </si>
  <si>
    <t>00-00002863</t>
  </si>
  <si>
    <t>00-00002870</t>
  </si>
  <si>
    <t>00-00002864</t>
  </si>
  <si>
    <t>00-00002871</t>
  </si>
  <si>
    <t>00-00002865</t>
  </si>
  <si>
    <t>00-00002872</t>
  </si>
  <si>
    <t>00-00002866</t>
  </si>
  <si>
    <t>00-00002867</t>
  </si>
  <si>
    <t>00-00002874</t>
  </si>
  <si>
    <t>00-00002868</t>
  </si>
  <si>
    <t>00-00002875</t>
  </si>
  <si>
    <t>00-00002876</t>
  </si>
  <si>
    <t>00-00002881</t>
  </si>
  <si>
    <t>00-00002877</t>
  </si>
  <si>
    <t>00-00002882</t>
  </si>
  <si>
    <t>00-00002879</t>
  </si>
  <si>
    <t>00-00002884</t>
  </si>
  <si>
    <t>00-00005562</t>
  </si>
  <si>
    <t>00-00005297</t>
  </si>
  <si>
    <t>Тонировка MAAS 50% LightBlack 75см*3м  1/4шт.</t>
  </si>
  <si>
    <t>00-00002880</t>
  </si>
  <si>
    <t>00-00002885</t>
  </si>
  <si>
    <t>00-00002888</t>
  </si>
  <si>
    <t>00-00002896</t>
  </si>
  <si>
    <t>00-00002889</t>
  </si>
  <si>
    <t>00-00002897</t>
  </si>
  <si>
    <t>00-00002890</t>
  </si>
  <si>
    <t>00-00002898</t>
  </si>
  <si>
    <t>00-00002891</t>
  </si>
  <si>
    <t>00-00002899</t>
  </si>
  <si>
    <t>00-00002893</t>
  </si>
  <si>
    <t>00-00002901</t>
  </si>
  <si>
    <t>00-00004639</t>
  </si>
  <si>
    <t>00-00004731</t>
  </si>
  <si>
    <t>00-00004141</t>
  </si>
  <si>
    <t>00-00004142</t>
  </si>
  <si>
    <t>00-00005711</t>
  </si>
  <si>
    <t>00-00005485</t>
  </si>
  <si>
    <t>00-00005558</t>
  </si>
  <si>
    <t>00-00002902</t>
  </si>
  <si>
    <t>00-00001965</t>
  </si>
  <si>
    <t>00-00002798</t>
  </si>
  <si>
    <t>00-00002799</t>
  </si>
  <si>
    <t>00-00002800</t>
  </si>
  <si>
    <t>00-00002801</t>
  </si>
  <si>
    <t>00-00002802</t>
  </si>
  <si>
    <t>00-00002803</t>
  </si>
  <si>
    <t>00-00002804</t>
  </si>
  <si>
    <t>00-00002805</t>
  </si>
  <si>
    <t>00-00002794</t>
  </si>
  <si>
    <t>00-00002795</t>
  </si>
  <si>
    <t>00-00002796</t>
  </si>
  <si>
    <t>00-00002939</t>
  </si>
  <si>
    <t>00-00002940</t>
  </si>
  <si>
    <t>00-00002937</t>
  </si>
  <si>
    <t>00-00002938</t>
  </si>
  <si>
    <t>00-00002916</t>
  </si>
  <si>
    <t>00-00002917</t>
  </si>
  <si>
    <t>00-00002918</t>
  </si>
  <si>
    <t>00-00002920</t>
  </si>
  <si>
    <t>00-00002915</t>
  </si>
  <si>
    <t>00-00002914</t>
  </si>
  <si>
    <t>00-00006163</t>
  </si>
  <si>
    <t>00-00001829</t>
  </si>
  <si>
    <t>00-00001832</t>
  </si>
  <si>
    <t>00-00001834</t>
  </si>
  <si>
    <t>00-00001837</t>
  </si>
  <si>
    <t>00-00006170</t>
  </si>
  <si>
    <t>00-00004821</t>
  </si>
  <si>
    <t>00-00005195</t>
  </si>
  <si>
    <t>00-00004598</t>
  </si>
  <si>
    <t>00-00003957</t>
  </si>
  <si>
    <t>00-00004220</t>
  </si>
  <si>
    <t>00-00006408</t>
  </si>
  <si>
    <t>Клеммы АКБ Супер КОНТАКТ BT-512 (японские клеммы) латунь</t>
  </si>
  <si>
    <t>00-00001842</t>
  </si>
  <si>
    <t>00-00001844</t>
  </si>
  <si>
    <t>00-00001953</t>
  </si>
  <si>
    <t>00-00001954</t>
  </si>
  <si>
    <t>00-00001955</t>
  </si>
  <si>
    <t>00-00001956</t>
  </si>
  <si>
    <t>00-00001957</t>
  </si>
  <si>
    <t>00-00005764</t>
  </si>
  <si>
    <t>00-00002484</t>
  </si>
  <si>
    <t>00-00002478</t>
  </si>
  <si>
    <t>00-00002485</t>
  </si>
  <si>
    <t>00-00002479</t>
  </si>
  <si>
    <t>00-00002486</t>
  </si>
  <si>
    <t>00-00002480</t>
  </si>
  <si>
    <t>00-00002481</t>
  </si>
  <si>
    <t>00-00004044</t>
  </si>
  <si>
    <t>00-00002482</t>
  </si>
  <si>
    <t>00-00006114</t>
  </si>
  <si>
    <t>00-00002489</t>
  </si>
  <si>
    <t>00-00002490</t>
  </si>
  <si>
    <t>00-00002491</t>
  </si>
  <si>
    <t>00-00002492</t>
  </si>
  <si>
    <t>00-00002493</t>
  </si>
  <si>
    <t>00-00002494</t>
  </si>
  <si>
    <t>00-00002497</t>
  </si>
  <si>
    <t>00-00002498</t>
  </si>
  <si>
    <t>00-00006232</t>
  </si>
  <si>
    <t>00-00001485</t>
  </si>
  <si>
    <t>00-00001571</t>
  </si>
  <si>
    <t>00-00003976</t>
  </si>
  <si>
    <t>Губка City UP СА-148 для посуды (н-р из 4шт) микрофибра и скрапер (1/10шт.)</t>
  </si>
  <si>
    <t>00-00003715</t>
  </si>
  <si>
    <t>00-00005346</t>
  </si>
  <si>
    <t>00-00005347</t>
  </si>
  <si>
    <t>00-00004340</t>
  </si>
  <si>
    <t>00-00001579</t>
  </si>
  <si>
    <t>00-00004466</t>
  </si>
  <si>
    <t>00-00001879</t>
  </si>
  <si>
    <t>00-00001880</t>
  </si>
  <si>
    <t>00-00001881</t>
  </si>
  <si>
    <t>00-00005017</t>
  </si>
  <si>
    <t>00-00003485</t>
  </si>
  <si>
    <t>00-00006107</t>
  </si>
  <si>
    <t>00-00006108</t>
  </si>
  <si>
    <t>00-00006109</t>
  </si>
  <si>
    <t>00-00006342</t>
  </si>
  <si>
    <t>00-00002198</t>
  </si>
  <si>
    <t>00-00002199</t>
  </si>
  <si>
    <t>00-00006367</t>
  </si>
  <si>
    <t>00-00005018</t>
  </si>
  <si>
    <t>00-00005019</t>
  </si>
  <si>
    <t>00-00002200</t>
  </si>
  <si>
    <t>00-00002201</t>
  </si>
  <si>
    <t>00-00002204</t>
  </si>
  <si>
    <t>00-00003644</t>
  </si>
  <si>
    <t>00-00002663</t>
  </si>
  <si>
    <t>00-00002664</t>
  </si>
  <si>
    <t>00-00002666</t>
  </si>
  <si>
    <t>Салфетка замша City UP CA-211 / CA-211G н-р из 2 разных салфеток в тубусе  1/12шт.</t>
  </si>
  <si>
    <t>00-00002667</t>
  </si>
  <si>
    <t>00-00002668</t>
  </si>
  <si>
    <t>00-00002669</t>
  </si>
  <si>
    <t>00-00002670</t>
  </si>
  <si>
    <t>00-00002673</t>
  </si>
  <si>
    <t>00-00002674</t>
  </si>
  <si>
    <t>00-00002625</t>
  </si>
  <si>
    <t>00-00002626</t>
  </si>
  <si>
    <t>00-00004473</t>
  </si>
  <si>
    <t>00-00004710</t>
  </si>
  <si>
    <t>00-00006307</t>
  </si>
  <si>
    <t>00-00002627</t>
  </si>
  <si>
    <t>00-00004327</t>
  </si>
  <si>
    <t>00-00006308</t>
  </si>
  <si>
    <t>00-00006309</t>
  </si>
  <si>
    <t>00-00006370</t>
  </si>
  <si>
    <t>Салфетка микрофибра City UP CA-107 Crystal 36*65см</t>
  </si>
  <si>
    <t>00-00002628</t>
  </si>
  <si>
    <t>00-00006371</t>
  </si>
  <si>
    <t>00-00002633</t>
  </si>
  <si>
    <t>00-00002634</t>
  </si>
  <si>
    <t>00-00002635</t>
  </si>
  <si>
    <t>00-00002636</t>
  </si>
  <si>
    <t>00-00004447</t>
  </si>
  <si>
    <t>00-00002638</t>
  </si>
  <si>
    <t>00-00002637</t>
  </si>
  <si>
    <t>00-00002642</t>
  </si>
  <si>
    <t>00-00002644</t>
  </si>
  <si>
    <t>00-00002645</t>
  </si>
  <si>
    <t>00-00002646</t>
  </si>
  <si>
    <t>Салфетка микрофибра City UP CA-121 RunUp 30*30см (к-т 5шт)</t>
  </si>
  <si>
    <t>00-00002647</t>
  </si>
  <si>
    <t>00-00002648</t>
  </si>
  <si>
    <t>00-00004468</t>
  </si>
  <si>
    <t>00-00002654</t>
  </si>
  <si>
    <t>00-00006280</t>
  </si>
  <si>
    <t>00-00006281</t>
  </si>
  <si>
    <t>00-00002656</t>
  </si>
  <si>
    <t>00-00004780</t>
  </si>
  <si>
    <t>00-00004781</t>
  </si>
  <si>
    <t>00-00004809</t>
  </si>
  <si>
    <t>Салфетка микрофибра City UP CA-265 Cuties 30*30см  ( к-т 5шт.)</t>
  </si>
  <si>
    <t>00-00004810</t>
  </si>
  <si>
    <t>Салфетка микрофибра City UP CA-268 Cuties 30*30см  ( к-т 10шт.)</t>
  </si>
  <si>
    <t>00-00004784</t>
  </si>
  <si>
    <t>Салфетка микрофибра City UP CA-270 Cuties 25*50см    1/6шт.</t>
  </si>
  <si>
    <t>00-00004785</t>
  </si>
  <si>
    <t>Салфетка микрофибра City UP CA-272 Cuties 35*70см    1/6шт.</t>
  </si>
  <si>
    <t>00-00004782</t>
  </si>
  <si>
    <t>00-00002677</t>
  </si>
  <si>
    <t>00-00002678</t>
  </si>
  <si>
    <t>00-00002679</t>
  </si>
  <si>
    <t>00-00004481</t>
  </si>
  <si>
    <t>00-00002682</t>
  </si>
  <si>
    <t>00-00002681</t>
  </si>
  <si>
    <t>00-00002684</t>
  </si>
  <si>
    <t>00-00002685</t>
  </si>
  <si>
    <t>00-00005006</t>
  </si>
  <si>
    <t>00-00005612</t>
  </si>
  <si>
    <t>00-00005007</t>
  </si>
  <si>
    <t>00-00005008</t>
  </si>
  <si>
    <t>00-00005996</t>
  </si>
  <si>
    <t>00-00005009</t>
  </si>
  <si>
    <t>00-00005995</t>
  </si>
  <si>
    <t>00-00004994</t>
  </si>
  <si>
    <t>00-00006369</t>
  </si>
  <si>
    <t>00-00005564</t>
  </si>
  <si>
    <t>00-00004131</t>
  </si>
  <si>
    <t>00-00003130</t>
  </si>
  <si>
    <t>00-00002824</t>
  </si>
  <si>
    <t>00-00002825</t>
  </si>
  <si>
    <t>00-00002826</t>
  </si>
  <si>
    <t>00-00002827</t>
  </si>
  <si>
    <t>00-00002828</t>
  </si>
  <si>
    <t>00-00002830</t>
  </si>
  <si>
    <t>00-00002831</t>
  </si>
  <si>
    <t>00-00002832</t>
  </si>
  <si>
    <t>00-00002833</t>
  </si>
  <si>
    <t>00-00002834</t>
  </si>
  <si>
    <t>00-00002835</t>
  </si>
  <si>
    <t>00-00002836</t>
  </si>
  <si>
    <t>00-00002837</t>
  </si>
  <si>
    <t>00-00002838</t>
  </si>
  <si>
    <t>00-00002839</t>
  </si>
  <si>
    <t>00-00002840</t>
  </si>
  <si>
    <t>00-00002841</t>
  </si>
  <si>
    <t>00-00002842</t>
  </si>
  <si>
    <t>00-00002843</t>
  </si>
  <si>
    <t>00-00003069</t>
  </si>
  <si>
    <t>00-00003070</t>
  </si>
  <si>
    <t>00-00003054</t>
  </si>
  <si>
    <t>00-00003068</t>
  </si>
  <si>
    <t>00-00003055</t>
  </si>
  <si>
    <t>00-00003056</t>
  </si>
  <si>
    <t>00-00003057</t>
  </si>
  <si>
    <t>00-00003058</t>
  </si>
  <si>
    <t>00-00003059</t>
  </si>
  <si>
    <t>00-00003060</t>
  </si>
  <si>
    <t>00-00003061</t>
  </si>
  <si>
    <t>00-00003078</t>
  </si>
  <si>
    <t>00-00003062</t>
  </si>
  <si>
    <t>00-00003079</t>
  </si>
  <si>
    <t>00-00003063</t>
  </si>
  <si>
    <t>00-00003064</t>
  </si>
  <si>
    <t>00-00003065</t>
  </si>
  <si>
    <t>00-00003053</t>
  </si>
  <si>
    <t>00-00003066</t>
  </si>
  <si>
    <t>00-00003086</t>
  </si>
  <si>
    <t>00-00003087</t>
  </si>
  <si>
    <t>00-00003091</t>
  </si>
  <si>
    <t>00-00003093</t>
  </si>
  <si>
    <t>00-00001493</t>
  </si>
  <si>
    <t>00-00001494</t>
  </si>
  <si>
    <t>00-00001569</t>
  </si>
  <si>
    <t>00-00001570</t>
  </si>
  <si>
    <t>00-00002071</t>
  </si>
  <si>
    <t>00-00002081</t>
  </si>
  <si>
    <t>00-00002082</t>
  </si>
  <si>
    <t>00-00002083</t>
  </si>
  <si>
    <t>00-00002084</t>
  </si>
  <si>
    <t>00-00002085</t>
  </si>
  <si>
    <t>00-00001991</t>
  </si>
  <si>
    <t>00-00001992</t>
  </si>
  <si>
    <t>00-00005958</t>
  </si>
  <si>
    <t>00-00001998</t>
  </si>
  <si>
    <t>00-00001999</t>
  </si>
  <si>
    <t>00-00002000</t>
  </si>
  <si>
    <t>00-00002001</t>
  </si>
  <si>
    <t>00-00001995</t>
  </si>
  <si>
    <t>00-00001997</t>
  </si>
  <si>
    <t>00-00005416</t>
  </si>
  <si>
    <t>00-00001996</t>
  </si>
  <si>
    <t>00-00005960</t>
  </si>
  <si>
    <t>00-00002067</t>
  </si>
  <si>
    <t>00-00002068</t>
  </si>
  <si>
    <t>00-00002070</t>
  </si>
  <si>
    <t>00-00004791</t>
  </si>
  <si>
    <t>00-00002091</t>
  </si>
  <si>
    <t>00-00002092</t>
  </si>
  <si>
    <t>00-00002093</t>
  </si>
  <si>
    <t>00-00002094</t>
  </si>
  <si>
    <t>00-00004235</t>
  </si>
  <si>
    <t>00-00002095</t>
  </si>
  <si>
    <t>00-00002096</t>
  </si>
  <si>
    <t>00-00003097</t>
  </si>
  <si>
    <t>00-00003098</t>
  </si>
  <si>
    <t>00-00003758</t>
  </si>
  <si>
    <t>00-00002335</t>
  </si>
  <si>
    <t>Пистолет подкачки шин без шланга BR168168 (1/10шт)</t>
  </si>
  <si>
    <t>00-00002334</t>
  </si>
  <si>
    <t>00-00003132</t>
  </si>
  <si>
    <t>00-00003133</t>
  </si>
  <si>
    <t>00-00003134</t>
  </si>
  <si>
    <t>00-00003135</t>
  </si>
  <si>
    <t>00-00001524</t>
  </si>
  <si>
    <t>00-00001526</t>
  </si>
  <si>
    <t>Водосгон City UP СА-910 с поролоновой щеткой (1/50шт.)</t>
  </si>
  <si>
    <t>00-00003439</t>
  </si>
  <si>
    <t>00-00001529</t>
  </si>
  <si>
    <t>00-00002735</t>
  </si>
  <si>
    <t>00-00001532</t>
  </si>
  <si>
    <t>00-00003180</t>
  </si>
  <si>
    <t>00-00003183</t>
  </si>
  <si>
    <t>00-00003186</t>
  </si>
  <si>
    <t>00-00003192</t>
  </si>
  <si>
    <t>00-00003194</t>
  </si>
  <si>
    <t>00-00003195</t>
  </si>
  <si>
    <t>00-00003197</t>
  </si>
  <si>
    <t>00-00003198</t>
  </si>
  <si>
    <t>00-00003199</t>
  </si>
  <si>
    <t>00-00003200</t>
  </si>
  <si>
    <t>00-00003201</t>
  </si>
  <si>
    <t>00-00003202</t>
  </si>
  <si>
    <t>00-00003203</t>
  </si>
  <si>
    <t>00-00003204</t>
  </si>
  <si>
    <t>00-00003205</t>
  </si>
  <si>
    <t>00-00003251</t>
  </si>
  <si>
    <t>00-00003252</t>
  </si>
  <si>
    <t>Щетки и скребки</t>
  </si>
  <si>
    <t>Скребок</t>
  </si>
  <si>
    <t>Щетка зимняя</t>
  </si>
  <si>
    <t>00-00003230</t>
  </si>
  <si>
    <t>Щетка зимняя City UP СА-78 со скребком, телескопичка 74-101см. (1/12шт)</t>
  </si>
  <si>
    <t>00-00003248</t>
  </si>
  <si>
    <t>Щетка зимняя Tom Par со съемным скребком короткая (1/50шт)</t>
  </si>
  <si>
    <t>00-00005488</t>
  </si>
  <si>
    <t>00-00000250</t>
  </si>
  <si>
    <t>00-00000251</t>
  </si>
  <si>
    <t>00-00000252</t>
  </si>
  <si>
    <t>00-00000253</t>
  </si>
  <si>
    <t>00-00000254</t>
  </si>
  <si>
    <t>00-00000255</t>
  </si>
  <si>
    <t>00-00000256</t>
  </si>
  <si>
    <t>00-00004931</t>
  </si>
  <si>
    <t>00-00004735</t>
  </si>
  <si>
    <t>00-00004390</t>
  </si>
  <si>
    <t>00-00006162</t>
  </si>
  <si>
    <t>00-00006128</t>
  </si>
  <si>
    <t>00-00006161</t>
  </si>
  <si>
    <t>00-00004391</t>
  </si>
  <si>
    <t>00-00006129</t>
  </si>
  <si>
    <t>00-00004253</t>
  </si>
  <si>
    <t>00-00004736</t>
  </si>
  <si>
    <t>00-00004328</t>
  </si>
  <si>
    <t>00-00000249</t>
  </si>
  <si>
    <t>00-00002600</t>
  </si>
  <si>
    <t>00-00002601</t>
  </si>
  <si>
    <t>00-00002602</t>
  </si>
  <si>
    <t>00-00002603</t>
  </si>
  <si>
    <t>00-00004330</t>
  </si>
  <si>
    <t>00-00002604</t>
  </si>
  <si>
    <t>00-00004256</t>
  </si>
  <si>
    <t>00-00005808</t>
  </si>
  <si>
    <t>00-00002605</t>
  </si>
  <si>
    <t>00-00005299</t>
  </si>
  <si>
    <t>00-00002597</t>
  </si>
  <si>
    <t>00-00002598</t>
  </si>
  <si>
    <t>00-00002599</t>
  </si>
  <si>
    <t>00-00002606</t>
  </si>
  <si>
    <t>00-00002607</t>
  </si>
  <si>
    <t>00-00002608</t>
  </si>
  <si>
    <t>00-00002611</t>
  </si>
  <si>
    <t>00-00002612</t>
  </si>
  <si>
    <t>00-00002613</t>
  </si>
  <si>
    <t>00-00003269</t>
  </si>
  <si>
    <t>Щетка стеклоочистителя ALCA 11"/28 см бескаркасная 041000 (1/50шт.)</t>
  </si>
  <si>
    <t>00-00003270</t>
  </si>
  <si>
    <t>Щетка стеклоочистителя ALCA 13"/33 см бескаркасная 043000 (1/50шт.)</t>
  </si>
  <si>
    <t>00-00003271</t>
  </si>
  <si>
    <t>Щетка стеклоочистителя ALCA 14"/35 см бескаркасная 044000 (1/50шт.)</t>
  </si>
  <si>
    <t>00-00003272</t>
  </si>
  <si>
    <t>Щетка стеклоочистителя ALCA 15"/38 см бескаркасная 045000 (1/50шт.)</t>
  </si>
  <si>
    <t>00-00003273</t>
  </si>
  <si>
    <t>00-00003274</t>
  </si>
  <si>
    <t>Щетка стеклоочистителя ALCA 17"/43 см бескаркасная 047000 (1/50шт.)</t>
  </si>
  <si>
    <t>00-00003275</t>
  </si>
  <si>
    <t>Щетка стеклоочистителя ALCA 18"/45 см бескаркасная 048000 (1/50шт.)</t>
  </si>
  <si>
    <t>00-00003276</t>
  </si>
  <si>
    <t>Щетка стеклоочистителя ALCA 19"/48 см бескаркасная 049000 (1/50шт.)</t>
  </si>
  <si>
    <t>00-00003277</t>
  </si>
  <si>
    <t>Щетка стеклоочистителя ALCA 20"/50 см бескаркасная 050000 (1/50шт.)</t>
  </si>
  <si>
    <t>00-00003278</t>
  </si>
  <si>
    <t>Щетка стеклоочистителя ALCA 21"/53 см бескаркасная 051000 (1/50шт.)</t>
  </si>
  <si>
    <t>00-00003279</t>
  </si>
  <si>
    <t>Щетка стеклоочистителя ALCA 22"/56 см бескаркасная 052000 (1/50шт.)</t>
  </si>
  <si>
    <t>00-00003647</t>
  </si>
  <si>
    <t>00-00003280</t>
  </si>
  <si>
    <t>Щетка стеклоочистителя ALCA 23"/58 см бескаркасная 053000 (1/50шт.)</t>
  </si>
  <si>
    <t>00-00003281</t>
  </si>
  <si>
    <t>Щетка стеклоочистителя ALCA 24"/60 см бескаркасная 054000 (1/50шт.)</t>
  </si>
  <si>
    <t>00-00003648</t>
  </si>
  <si>
    <t>00-00003282</t>
  </si>
  <si>
    <t>Щетка стеклоочистителя ALCA 26"/65 см бескаркасная 056000 (1/50шт.)</t>
  </si>
  <si>
    <t>00-00003649</t>
  </si>
  <si>
    <t>00-00003283</t>
  </si>
  <si>
    <t>Щетка стеклоочистителя ALCA 28"/70 см бескаркасная 058000 (1/50шт.)</t>
  </si>
  <si>
    <t>00-00003650</t>
  </si>
  <si>
    <t>00-00004133</t>
  </si>
  <si>
    <t>00-00003308</t>
  </si>
  <si>
    <t>00-00003309</t>
  </si>
  <si>
    <t>00-00003310</t>
  </si>
  <si>
    <t>00-00003311</t>
  </si>
  <si>
    <t>00-00003312</t>
  </si>
  <si>
    <t>00-00003313</t>
  </si>
  <si>
    <t>00-00003314</t>
  </si>
  <si>
    <t>00-00003315</t>
  </si>
  <si>
    <t>00-00003316</t>
  </si>
  <si>
    <t>00-00003317</t>
  </si>
  <si>
    <t>00-00003318</t>
  </si>
  <si>
    <t>00-00003319</t>
  </si>
  <si>
    <t>00-00003320</t>
  </si>
  <si>
    <t>00-00003321</t>
  </si>
  <si>
    <t>00-00003322</t>
  </si>
  <si>
    <t>00-00003323</t>
  </si>
  <si>
    <t>00-00003334</t>
  </si>
  <si>
    <t>00-00003335</t>
  </si>
  <si>
    <t>00-00003336</t>
  </si>
  <si>
    <t>00-00003337</t>
  </si>
  <si>
    <t>00-00003338</t>
  </si>
  <si>
    <t>00-00003339</t>
  </si>
  <si>
    <t>00-00003340</t>
  </si>
  <si>
    <t>00-00003341</t>
  </si>
  <si>
    <t>00-00003342</t>
  </si>
  <si>
    <t>00-00003343</t>
  </si>
  <si>
    <t>00-00003344</t>
  </si>
  <si>
    <t>00-00003345</t>
  </si>
  <si>
    <t>00-00003346</t>
  </si>
  <si>
    <t>00-00003347</t>
  </si>
  <si>
    <t>00-00003362</t>
  </si>
  <si>
    <t>00-00003535</t>
  </si>
  <si>
    <t>00-00003364</t>
  </si>
  <si>
    <t>00-00003538</t>
  </si>
  <si>
    <t>00-00006207</t>
  </si>
  <si>
    <t>00-00006208</t>
  </si>
  <si>
    <t>00-00006209</t>
  </si>
  <si>
    <t>00-00006210</t>
  </si>
  <si>
    <t>00-00006211</t>
  </si>
  <si>
    <t>00-00006212</t>
  </si>
  <si>
    <t>00-00006213</t>
  </si>
  <si>
    <t>00-00006215</t>
  </si>
  <si>
    <t>00-00006216</t>
  </si>
  <si>
    <t>00-00006177</t>
  </si>
  <si>
    <t>00-00006178</t>
  </si>
  <si>
    <t>00-00006179</t>
  </si>
  <si>
    <t>00-00006180</t>
  </si>
  <si>
    <t>00-00006181</t>
  </si>
  <si>
    <t>00-00006182</t>
  </si>
  <si>
    <t>00-00006183</t>
  </si>
  <si>
    <t>00-00006184</t>
  </si>
  <si>
    <t>00-00006185</t>
  </si>
  <si>
    <t>00-00006186</t>
  </si>
  <si>
    <t>00-00006187</t>
  </si>
  <si>
    <t>00-00006188</t>
  </si>
  <si>
    <t>00-00006189</t>
  </si>
  <si>
    <t>00-00006190</t>
  </si>
  <si>
    <t>00-00006191</t>
  </si>
  <si>
    <t>00-00006192</t>
  </si>
  <si>
    <t>00-00003379</t>
  </si>
  <si>
    <t>00-00003381</t>
  </si>
  <si>
    <t>00-00003383</t>
  </si>
  <si>
    <t>00-00003384</t>
  </si>
  <si>
    <t>00-00003385</t>
  </si>
  <si>
    <t>00-00003386</t>
  </si>
  <si>
    <t>00-00003387</t>
  </si>
  <si>
    <t>00-00005913</t>
  </si>
  <si>
    <t>00-00003389</t>
  </si>
  <si>
    <t>00-00003390</t>
  </si>
  <si>
    <t>00-00003391</t>
  </si>
  <si>
    <t>00-00005544</t>
  </si>
  <si>
    <t>00-00005545</t>
  </si>
  <si>
    <t>00-00005546</t>
  </si>
  <si>
    <t>00-00005547</t>
  </si>
  <si>
    <t>00-00005548</t>
  </si>
  <si>
    <t>00-00005549</t>
  </si>
  <si>
    <t>00-00005550</t>
  </si>
  <si>
    <t>00-00005551</t>
  </si>
  <si>
    <t>00-00005552</t>
  </si>
  <si>
    <t>00-00005554</t>
  </si>
  <si>
    <t>00-00003348</t>
  </si>
  <si>
    <t>00-00003349</t>
  </si>
  <si>
    <t>00-00003350</t>
  </si>
  <si>
    <t>00-00003351</t>
  </si>
  <si>
    <t>00-00003352</t>
  </si>
  <si>
    <t>00-00003353</t>
  </si>
  <si>
    <t>00-00003354</t>
  </si>
  <si>
    <t>00-00003355</t>
  </si>
  <si>
    <t>00-00003356</t>
  </si>
  <si>
    <t>00-00003357</t>
  </si>
  <si>
    <t>00-00003358</t>
  </si>
  <si>
    <t>00-00003360</t>
  </si>
  <si>
    <t>00-00003361</t>
  </si>
  <si>
    <t>00-00006193</t>
  </si>
  <si>
    <t>00-00006194</t>
  </si>
  <si>
    <t>00-00006195</t>
  </si>
  <si>
    <t>00-00006196</t>
  </si>
  <si>
    <t>00-00006197</t>
  </si>
  <si>
    <t>00-00006198</t>
  </si>
  <si>
    <t>00-00006199</t>
  </si>
  <si>
    <t>00-00006200</t>
  </si>
  <si>
    <t>00-00006201</t>
  </si>
  <si>
    <t>00-00006202</t>
  </si>
  <si>
    <t>00-00006203</t>
  </si>
  <si>
    <t>00-00006204</t>
  </si>
  <si>
    <t>00-00006205</t>
  </si>
  <si>
    <t>00-00005587</t>
  </si>
  <si>
    <t>00-00005586</t>
  </si>
  <si>
    <t>00-00005584</t>
  </si>
  <si>
    <t>00-00005949</t>
  </si>
  <si>
    <t>00-00005585</t>
  </si>
  <si>
    <t>00-00003368</t>
  </si>
  <si>
    <t>00-00003371</t>
  </si>
  <si>
    <t>00-00003372</t>
  </si>
  <si>
    <t>00-00003373</t>
  </si>
  <si>
    <t>00-00003374</t>
  </si>
  <si>
    <t>00-00003375</t>
  </si>
  <si>
    <t>00-00003376</t>
  </si>
  <si>
    <t>00-00003286</t>
  </si>
  <si>
    <t>00-00003287</t>
  </si>
  <si>
    <t>00-00003288</t>
  </si>
  <si>
    <t>00-00003289</t>
  </si>
  <si>
    <t>Щетка стеклоочистителя ALCA 16"/40 см зима  066 000  (1/50шт.)</t>
  </si>
  <si>
    <t>00-00003290</t>
  </si>
  <si>
    <t>00-00003291</t>
  </si>
  <si>
    <t>00-00003292</t>
  </si>
  <si>
    <t>00-00003294</t>
  </si>
  <si>
    <t>00-00003295</t>
  </si>
  <si>
    <t>00-00003296</t>
  </si>
  <si>
    <t>00-00003297</t>
  </si>
  <si>
    <t>00-00003392</t>
  </si>
  <si>
    <t>00-00003393</t>
  </si>
  <si>
    <t>00-00003394</t>
  </si>
  <si>
    <t>00-00003395</t>
  </si>
  <si>
    <t>00-00003396</t>
  </si>
  <si>
    <t>00-00003397</t>
  </si>
  <si>
    <t>00-00003398</t>
  </si>
  <si>
    <t>00-00003399</t>
  </si>
  <si>
    <t>00-00003400</t>
  </si>
  <si>
    <t>00-00003402</t>
  </si>
  <si>
    <t>00-00003403</t>
  </si>
  <si>
    <t>00-00003298</t>
  </si>
  <si>
    <t>00-00004161</t>
  </si>
  <si>
    <t>00-00003300</t>
  </si>
  <si>
    <t>00-00003301</t>
  </si>
  <si>
    <t>00-00003302</t>
  </si>
  <si>
    <t>00-00003303</t>
  </si>
  <si>
    <t>00-00003304</t>
  </si>
  <si>
    <t>00-00003305</t>
  </si>
  <si>
    <t>00-00003306</t>
  </si>
  <si>
    <t>00-00003307</t>
  </si>
  <si>
    <t>00-00004039</t>
  </si>
  <si>
    <t>00-00004040</t>
  </si>
  <si>
    <t>00-00004041</t>
  </si>
  <si>
    <t>00-00006465</t>
  </si>
  <si>
    <t>Щетка стеклоочистителя HITO X-5 WINTER 14"/35см арт.23226 зима</t>
  </si>
  <si>
    <t>00-00006466</t>
  </si>
  <si>
    <t>Щетка стеклоочистителя HITO X-5 WINTER 15"/38см арт.23227 зима</t>
  </si>
  <si>
    <t>00-00006468</t>
  </si>
  <si>
    <t>Щетка стеклоочистителя HITO X-5 WINTER 17"/43см арт.23229 зима</t>
  </si>
  <si>
    <t>00-00006469</t>
  </si>
  <si>
    <t>Щетка стеклоочистителя HITO X-5 WINTER 18"/45см арт.23230 зима</t>
  </si>
  <si>
    <t>00-00006470</t>
  </si>
  <si>
    <t>Щетка стеклоочистителя HITO X-5 WINTER 19"/48см арт.23231 зима</t>
  </si>
  <si>
    <t>00-00006471</t>
  </si>
  <si>
    <t>Щетка стеклоочистителя HITO X-5 WINTER 20"/50см арт.23232 зима</t>
  </si>
  <si>
    <t>00-00006472</t>
  </si>
  <si>
    <t>Щетка стеклоочистителя HITO X-5 WINTER 21"/53см арт.23233 зима</t>
  </si>
  <si>
    <t>00-00006473</t>
  </si>
  <si>
    <t>Щетка стеклоочистителя HITO X-5 WINTER 22"/55см арт.23234 зима</t>
  </si>
  <si>
    <t>00-00006475</t>
  </si>
  <si>
    <t>Щетка стеклоочистителя HITO X-5 WINTER 26"/65см арт.23236 зима</t>
  </si>
  <si>
    <t>00-00006476</t>
  </si>
  <si>
    <t>Щетка стеклоочистителя HITO X-5 WINTER 28"/70см арт.23237 зима</t>
  </si>
  <si>
    <t>00-00004111</t>
  </si>
  <si>
    <t>00-00003254</t>
  </si>
  <si>
    <t>Щетка стеклоочистителя ALCA 11"/28 см каркасная 101000 (1/50шт.)</t>
  </si>
  <si>
    <t>00-00003255</t>
  </si>
  <si>
    <t>Щетка стеклоочистителя ALCA 13"/33 см каркасная 103000 (1/50шт.)</t>
  </si>
  <si>
    <t>00-00003256</t>
  </si>
  <si>
    <t>Щетка стеклоочистителя ALCA 14"/35 см каркасная 104000 (1/50шт.)</t>
  </si>
  <si>
    <t>00-00003257</t>
  </si>
  <si>
    <t>Щетка стеклоочистителя ALCA 15"/38 см каркасная 105000 (1/50шт.)</t>
  </si>
  <si>
    <t>00-00003258</t>
  </si>
  <si>
    <t>Щетка стеклоочистителя ALCA 16"/40 см каркасная 106000 (1/50шт.)</t>
  </si>
  <si>
    <t>00-00003259</t>
  </si>
  <si>
    <t>Щетка стеклоочистителя ALCA 17"/43 см каркасная 107000 (1/50шт.)</t>
  </si>
  <si>
    <t>00-00003260</t>
  </si>
  <si>
    <t>Щетка стеклоочистителя ALCA 18"/45 см каркасная 108000 (1/50шт.)</t>
  </si>
  <si>
    <t>00-00003261</t>
  </si>
  <si>
    <t>Щетка стеклоочистителя ALCA 19"/48 см каркасная 109000 (1/50шт.)</t>
  </si>
  <si>
    <t>00-00003262</t>
  </si>
  <si>
    <t>Щетка стеклоочистителя ALCA 20"/50 см каркасная 110000 (1/50шт.)</t>
  </si>
  <si>
    <t>00-00003263</t>
  </si>
  <si>
    <t>Щетка стеклоочистителя ALCA 21"/53 см каркасная 111000 (1/50шт.)</t>
  </si>
  <si>
    <t>00-00003264</t>
  </si>
  <si>
    <t>Щетка стеклоочистителя ALCA 22"/56 см каркасная 112000 (1/50шт.)</t>
  </si>
  <si>
    <t>00-00003265</t>
  </si>
  <si>
    <t>Щетка стеклоочистителя ALCA 23"/58 см каркасная 113000 (1/50шт.)</t>
  </si>
  <si>
    <t>00-00003266</t>
  </si>
  <si>
    <t>Щетка стеклоочистителя ALCA 24"/60 см каркасная 114000 (1/50шт.)</t>
  </si>
  <si>
    <t>00-00003267</t>
  </si>
  <si>
    <t>Щетка стеклоочистителя ALCA 26"/65 см каркасная (universal grafit) 114600 (1/50шт.)</t>
  </si>
  <si>
    <t>00-00003268</t>
  </si>
  <si>
    <t>00-00005734</t>
  </si>
  <si>
    <t>00-00005735</t>
  </si>
  <si>
    <t>00-00005736</t>
  </si>
  <si>
    <t>00-00005737</t>
  </si>
  <si>
    <t>00-00005738</t>
  </si>
  <si>
    <t>00-00005739</t>
  </si>
  <si>
    <t>00-00005740</t>
  </si>
  <si>
    <t>00-00005741</t>
  </si>
  <si>
    <t>00-00005742</t>
  </si>
  <si>
    <t>00-00005743</t>
  </si>
  <si>
    <t>00-00005744</t>
  </si>
  <si>
    <t>00-00005745</t>
  </si>
  <si>
    <t>00-00005746</t>
  </si>
  <si>
    <t>00-00005747</t>
  </si>
  <si>
    <t>00-00005748</t>
  </si>
  <si>
    <t>00-00005749</t>
  </si>
  <si>
    <t>00-00003325</t>
  </si>
  <si>
    <t>00-00003327</t>
  </si>
  <si>
    <t>00-00003329</t>
  </si>
  <si>
    <t>00-00003330</t>
  </si>
  <si>
    <t>00-00003333</t>
  </si>
  <si>
    <t>00-00006219</t>
  </si>
  <si>
    <t>00-00006220</t>
  </si>
  <si>
    <t>00-00006221</t>
  </si>
  <si>
    <t>00-00006222</t>
  </si>
  <si>
    <t>00-00006223</t>
  </si>
  <si>
    <t>00-00006225</t>
  </si>
  <si>
    <t>00-00006226</t>
  </si>
  <si>
    <t>00-00006227</t>
  </si>
  <si>
    <t>00-00005910</t>
  </si>
  <si>
    <t>00-00005911</t>
  </si>
  <si>
    <t>00-00004236</t>
  </si>
  <si>
    <t>Щетка стеклоочистителя ЭКОНОМ 13"/33 см каркасная 2101 (к-т 2шт)</t>
  </si>
  <si>
    <t>00-00004237</t>
  </si>
  <si>
    <t>00-00004238</t>
  </si>
  <si>
    <t>00-00002507</t>
  </si>
  <si>
    <t>00-00004881</t>
  </si>
  <si>
    <t>00-00004298</t>
  </si>
  <si>
    <t>00-00004297</t>
  </si>
  <si>
    <t>00-00004299</t>
  </si>
  <si>
    <t>00-00003249</t>
  </si>
  <si>
    <t>00-00005115</t>
  </si>
  <si>
    <t>00-00005116</t>
  </si>
  <si>
    <t>00-00005113</t>
  </si>
  <si>
    <t>00-00005114</t>
  </si>
  <si>
    <t>00-00004424</t>
  </si>
  <si>
    <t>00-00005538</t>
  </si>
  <si>
    <t>00-00006243</t>
  </si>
  <si>
    <t>00-00005954</t>
  </si>
  <si>
    <t>00-00005955</t>
  </si>
  <si>
    <t>00-00004002</t>
  </si>
  <si>
    <t>00-00004003</t>
  </si>
  <si>
    <t>00-00001740</t>
  </si>
  <si>
    <t>00-00001729</t>
  </si>
  <si>
    <t>00-00001741</t>
  </si>
  <si>
    <t>00-00001756</t>
  </si>
  <si>
    <t>00-00005633</t>
  </si>
  <si>
    <t>00-00005634</t>
  </si>
  <si>
    <t>00-00006252</t>
  </si>
  <si>
    <t>00-00005528</t>
  </si>
  <si>
    <t>00-00005527</t>
  </si>
  <si>
    <t>00-00005541</t>
  </si>
  <si>
    <t>00-00004087</t>
  </si>
  <si>
    <t>00-00005123</t>
  </si>
  <si>
    <t>00-00005122</t>
  </si>
  <si>
    <t>00-00005121</t>
  </si>
  <si>
    <t>00-00005090</t>
  </si>
  <si>
    <t>00-00005150</t>
  </si>
  <si>
    <t>00-00005120</t>
  </si>
  <si>
    <t>00-00005119</t>
  </si>
  <si>
    <t>00-00005118</t>
  </si>
  <si>
    <t>00-00005320</t>
  </si>
  <si>
    <t>00-00005322</t>
  </si>
  <si>
    <t>00-00005319</t>
  </si>
  <si>
    <t>00-00005321</t>
  </si>
  <si>
    <t>00-00006017</t>
  </si>
  <si>
    <t>00-00006019</t>
  </si>
  <si>
    <t>00-00005935</t>
  </si>
  <si>
    <t>00-00005934</t>
  </si>
  <si>
    <t>00-00006022</t>
  </si>
  <si>
    <t>00-00006021</t>
  </si>
  <si>
    <t>00-00006020</t>
  </si>
  <si>
    <t>00-00003694</t>
  </si>
  <si>
    <t>00-00005338</t>
  </si>
  <si>
    <t>00-00005337</t>
  </si>
  <si>
    <t>00-00003992</t>
  </si>
  <si>
    <t>00-00004752</t>
  </si>
  <si>
    <t>00-00004753</t>
  </si>
  <si>
    <t>00-00004754</t>
  </si>
  <si>
    <t>00-00002455</t>
  </si>
  <si>
    <t>00-00003475</t>
  </si>
  <si>
    <t>00-00003476</t>
  </si>
  <si>
    <t>00-00002457</t>
  </si>
  <si>
    <t>00-00005212</t>
  </si>
  <si>
    <t>00-00004290</t>
  </si>
  <si>
    <t>00-00005204</t>
  </si>
  <si>
    <t>00-00002464</t>
  </si>
  <si>
    <t>00-00006250</t>
  </si>
  <si>
    <t>00-00002314</t>
  </si>
  <si>
    <t>00-00002315</t>
  </si>
  <si>
    <t>00-00002316</t>
  </si>
  <si>
    <t>00-00002313</t>
  </si>
  <si>
    <t>00-00002319</t>
  </si>
  <si>
    <t>00-00005828</t>
  </si>
  <si>
    <t>00-00002320</t>
  </si>
  <si>
    <t>00-00005418</t>
  </si>
  <si>
    <t>00-00002472</t>
  </si>
  <si>
    <t>00-00002473</t>
  </si>
  <si>
    <t>00-00002474</t>
  </si>
  <si>
    <t>00-00004492</t>
  </si>
  <si>
    <t>00-00005419</t>
  </si>
  <si>
    <t>00-00002475</t>
  </si>
  <si>
    <t>00-00002476</t>
  </si>
  <si>
    <t>00-00002477</t>
  </si>
  <si>
    <t>00-00004491</t>
  </si>
  <si>
    <t>00-00004514</t>
  </si>
  <si>
    <t>Aux Bluetooth Адаптер на блистере</t>
  </si>
  <si>
    <t>00-00005957</t>
  </si>
  <si>
    <t>00-00002439</t>
  </si>
  <si>
    <t>00-00002433</t>
  </si>
  <si>
    <t>00-00003993</t>
  </si>
  <si>
    <t>00-00006241</t>
  </si>
  <si>
    <t>00-00003577</t>
  </si>
  <si>
    <t>00-00004005</t>
  </si>
  <si>
    <t>00-00002347</t>
  </si>
  <si>
    <t>00-00006257</t>
  </si>
  <si>
    <t>00-00004361</t>
  </si>
  <si>
    <t>00-00006026</t>
  </si>
  <si>
    <t>00-00006030</t>
  </si>
  <si>
    <t>00-00006360</t>
  </si>
  <si>
    <t>00-00006361</t>
  </si>
  <si>
    <t>00-00002976</t>
  </si>
  <si>
    <t>00-00006256</t>
  </si>
  <si>
    <t>00-00003007</t>
  </si>
  <si>
    <t>00-00006429</t>
  </si>
  <si>
    <t>Фонарь ручной арт.W-5112</t>
  </si>
  <si>
    <t>Стяжка для груза VIKING 8000 х 50мм 800кг</t>
  </si>
  <si>
    <t>40313</t>
  </si>
  <si>
    <t>Пепельница с подсветкой (вариант №2)</t>
  </si>
  <si>
    <t>Зеркало панорамное на присоске "ENES" 330 мм универсальное</t>
  </si>
  <si>
    <t>Рамка номера металлическая чёрная</t>
  </si>
  <si>
    <t>Отопитель салона AVS Comfort TE-310</t>
  </si>
  <si>
    <t>Факт</t>
  </si>
  <si>
    <t>Рек</t>
  </si>
  <si>
    <t>00-00002558</t>
  </si>
  <si>
    <t>Разветвитель прикуривателя NO-1506 Olesson на 3 гнезда 2USB с проводом,кнопкой 120W</t>
  </si>
  <si>
    <t>00-00006485</t>
  </si>
  <si>
    <t>Разветвитель прикуривателя NO-1630 Olesson на 3 гнезда 2USB с проводом,кнопкой 120W</t>
  </si>
  <si>
    <t>00-00006486</t>
  </si>
  <si>
    <t>Разветвитель прикуривателя NO-1634 Olesson на 3 гнезда 1USB с проводом,кнопкой,вольтметр 3,1 А</t>
  </si>
  <si>
    <t>Разветвитель прикуривателя NO-1637 Olesson на 2 гнезда 2USB без провода 120W LED</t>
  </si>
  <si>
    <t>Разветвитель прикуривателя NO-1639 Olesson на 3 гнезда 2USB с проводом, вольтметр</t>
  </si>
  <si>
    <t>00-00006488</t>
  </si>
  <si>
    <t>Разветвитель прикуривателя NO-1644 Olesson на 2 гнезда с проводом 100W LED</t>
  </si>
  <si>
    <t>00-00006489</t>
  </si>
  <si>
    <t>Разветвитель прикуривателя NO-1653 Olesson на 3 гнезда 2USB /Type-C с проводом 120W</t>
  </si>
  <si>
    <t>00-00006490</t>
  </si>
  <si>
    <t>Разветвитель прикуривателя NO-1654 Olesson на 4 гнезда 2USB /Type-C с проводом 120W LED</t>
  </si>
  <si>
    <t>Разветвитель прикуривателя NO-1677 Olesson на 3 гнезда 2USB с проводом</t>
  </si>
  <si>
    <t>00-00002850</t>
  </si>
  <si>
    <t>Тепловентилятор AVS TE-310 comfort  (1/20шт.)</t>
  </si>
  <si>
    <t>00-00006500</t>
  </si>
  <si>
    <t>Штекер в прикуриватель 2 USB CarLive арт.MR-31A  5V/3.1A</t>
  </si>
  <si>
    <t>00-00006498</t>
  </si>
  <si>
    <t>Штекер в прикуриватель 2 USB CarLive арт.MR-368A + PD QC3.0</t>
  </si>
  <si>
    <t>00-00006491</t>
  </si>
  <si>
    <t>Штекер в прикуриватель 4 USB CarLive арт.KC-08  QC3.0 в упаковке</t>
  </si>
  <si>
    <t>00-00006499</t>
  </si>
  <si>
    <t>Штекер в прикуриватель 4 USB CarLive арт.KC-09  QC3.0</t>
  </si>
  <si>
    <t>Паста притирочная для клапанов ВМП-Авто Классическая 40гр (1/50шт)</t>
  </si>
  <si>
    <t>00-00006134</t>
  </si>
  <si>
    <t>Полироль панели AVS глянцевый блеск арт.AVK-603  Нейтральный аромат 250мл. (1/15шт.) триггер</t>
  </si>
  <si>
    <t>00-00006368</t>
  </si>
  <si>
    <t>Полироль панели AVS матовый эффект арт.AVK-602  Нейтральный аромат 250мл. (1/15шт.) триггер</t>
  </si>
  <si>
    <t>00-00006524</t>
  </si>
  <si>
    <t>Big D -40 Многофункциональное смазочное средство 100мл. (1/12шт)</t>
  </si>
  <si>
    <t>00-00006525</t>
  </si>
  <si>
    <t>Big D -40 Многофункциональное смазочное средство 200мл. (1/12шт)</t>
  </si>
  <si>
    <t>00-00006526</t>
  </si>
  <si>
    <t>Big D -40 Многофункциональное смазочное средство 400мл. (1/12шт)</t>
  </si>
  <si>
    <t>Холодная сварка Алмаз два компонента 58г. (1/36/180шт.)</t>
  </si>
  <si>
    <t>00-00005696</t>
  </si>
  <si>
    <t>Держатель телефона hoco CA-76 (на присоске)</t>
  </si>
  <si>
    <t>Игрушка на панель</t>
  </si>
  <si>
    <t>00-00002762</t>
  </si>
  <si>
    <t>Собачки на панель Средние (1/12шт)</t>
  </si>
  <si>
    <t>00-00001960</t>
  </si>
  <si>
    <t>Крышка бензобака 08 с ключом (черная)</t>
  </si>
  <si>
    <t>00-00005824</t>
  </si>
  <si>
    <t>Оплетка руля Nova Bright M арт.47365  Бежевая с прострочкой ромбиками (1/25шт.)</t>
  </si>
  <si>
    <t>00-00005469</t>
  </si>
  <si>
    <t>Ароматизатор AREON дом-авто "HOME PERFUMES" 85мл  Spring bouquet</t>
  </si>
  <si>
    <t>00-00005470</t>
  </si>
  <si>
    <t>Ароматизатор AREON дом-авто "HOME PERFUMES" 85мл  Vanilla</t>
  </si>
  <si>
    <t>00-00005892</t>
  </si>
  <si>
    <t>Ароматизатор TASOTTI дом-авто "REED DIFFUSER" 100мл. FRESH LINEN (1/12шт)</t>
  </si>
  <si>
    <t>00-00004649</t>
  </si>
  <si>
    <t>Ароматизатор AREON в дефлектор CAR 8мл. Антитабак (Anti Tobacco)</t>
  </si>
  <si>
    <t>1/16/160 шт</t>
  </si>
  <si>
    <t>00-00005846</t>
  </si>
  <si>
    <t>Ароматизатор SLIM картридж Oud Perfume Palace  SMRFL-201</t>
  </si>
  <si>
    <t>00-00001261</t>
  </si>
  <si>
    <t>Ароматизатор SLIM картридж Арбуз арт.SMRFL-58</t>
  </si>
  <si>
    <t>00-00005646</t>
  </si>
  <si>
    <t>Ароматизатор SLIM картридж Интимное предложение SMRFL-301</t>
  </si>
  <si>
    <t>00-00006506</t>
  </si>
  <si>
    <t>Ароматизатор SLIM на дефлектор Секс на пляже SLMV-305</t>
  </si>
  <si>
    <t>00-00000466</t>
  </si>
  <si>
    <t>Ароматизатор AREON бочонок Fresco Гаваи (Havaii)</t>
  </si>
  <si>
    <t>00-00000522</t>
  </si>
  <si>
    <t>1/18/180 шт</t>
  </si>
  <si>
    <t>00-00005654</t>
  </si>
  <si>
    <t>Ароматизатор CONTRA  флакон с деревянной крышкой NEW LINE арт.D-30 "Alpha Malf"</t>
  </si>
  <si>
    <t>00-00006235</t>
  </si>
  <si>
    <t>Ароматизатор CONTRA мешочек  Warning Sexogolik (Ваниль,восточные сладости) (1/15шт.)</t>
  </si>
  <si>
    <t>00-00001333</t>
  </si>
  <si>
    <t>00-00004602</t>
  </si>
  <si>
    <t>00-00004605</t>
  </si>
  <si>
    <t>00-00006542</t>
  </si>
  <si>
    <t>00-00006496</t>
  </si>
  <si>
    <t>00-00006541</t>
  </si>
  <si>
    <t>Ароматизатор CONTRA  банка на панель  Sex First (Древесные ноты и лаванда)</t>
  </si>
  <si>
    <t>Ароматизатор CONTRA  банка на панель  Sex Queen (Cладость цветочных лепестков)</t>
  </si>
  <si>
    <t>Ароматизатор CONTRA  банка на панель  The SexMafia (Древесно-цветочная свежесть)</t>
  </si>
  <si>
    <t>Ароматизатор CONTRA  банка на панель  Warning Sexogolik (Ваниль,восточные сладости)</t>
  </si>
  <si>
    <t>00-00006515</t>
  </si>
  <si>
    <t>Ароматизатор CONTRA  банка на панель Love is... Cola-original</t>
  </si>
  <si>
    <t>00-00006521</t>
  </si>
  <si>
    <t>Ароматизатор CONTRA  банка на панель Love is... Цитрусовый рай</t>
  </si>
  <si>
    <t>00-00006511</t>
  </si>
  <si>
    <t>Ароматизатор CONTRA  банка на панель SEX CRUISE (феромоны)</t>
  </si>
  <si>
    <t>00-00006512</t>
  </si>
  <si>
    <t>Ароматизатор CONTRA  банка на панель SEX EXOTIC (феромоны)</t>
  </si>
  <si>
    <t>00-00006513</t>
  </si>
  <si>
    <t>Ароматизатор CONTRA  банка на панель SEX KILLER (феромоны)</t>
  </si>
  <si>
    <t>00-00000743</t>
  </si>
  <si>
    <t>00-00005683</t>
  </si>
  <si>
    <t>Ароматизатор CONTEX / CONTRA  спрей Love is... МИКС в ассортименте</t>
  </si>
  <si>
    <t>Паяльная лампа</t>
  </si>
  <si>
    <t>00-00002311</t>
  </si>
  <si>
    <t>Паяльная лампа 1,5 л.</t>
  </si>
  <si>
    <t>00-00001785</t>
  </si>
  <si>
    <t>Изолента Neomatec 19мм*25м зеленая  1/10шт.</t>
  </si>
  <si>
    <t>00-00004463</t>
  </si>
  <si>
    <t>Нож канцелярский складной с лезвиями на блистере арт.DP-236</t>
  </si>
  <si>
    <t>Компрессор автомобильный MAAS Торнадо АС-580 (1/8шт)</t>
  </si>
  <si>
    <t>Компрессор автомобильный MAAS Торнадо СА-650 2-х поршневой (1/6шт)</t>
  </si>
  <si>
    <t>00-00004013</t>
  </si>
  <si>
    <t>Телескопическая дубинка для самообороны</t>
  </si>
  <si>
    <t>00-00002900</t>
  </si>
  <si>
    <t>Тонировка MTF 25% 75см*3м</t>
  </si>
  <si>
    <t>00-00001833</t>
  </si>
  <si>
    <t>Клеммы АКБ DELUXE ВТ 5 Турция - BT32/33 , BT5/1</t>
  </si>
  <si>
    <t>00-00001838</t>
  </si>
  <si>
    <t>Клеммы АКБ MAAS ВТ 001 цветная Турция</t>
  </si>
  <si>
    <t>00-00002496</t>
  </si>
  <si>
    <t>00-00005189</t>
  </si>
  <si>
    <t>Набор жгутов For Tire Repair (к-т 10х5)</t>
  </si>
  <si>
    <t>00-00002069</t>
  </si>
  <si>
    <t>Набор для бескамерных шин City UP СА-791 средний (1/60шт)</t>
  </si>
  <si>
    <t>Насос ручной  (1/20шт.)</t>
  </si>
  <si>
    <t>00-00001527</t>
  </si>
  <si>
    <t>Водосгон City UP СА-940 с щеткой из микрофибры + спрей с емкостью для воды (1/12шт.)</t>
  </si>
  <si>
    <t>00-00006495</t>
  </si>
  <si>
    <t>Водосгон City UP СА-981 (1/10шт.)</t>
  </si>
  <si>
    <t>Щетка д/мытья авто City UP СА-534</t>
  </si>
  <si>
    <t>00-00002609</t>
  </si>
  <si>
    <t>Резинка для дворников AVS б/к 28"/70см  (1/250шт.)</t>
  </si>
  <si>
    <t>00-00002610</t>
  </si>
  <si>
    <t>Резинка для дворников AVS б/к 28"/71см (к-т 2шт)</t>
  </si>
  <si>
    <t>00-00006492</t>
  </si>
  <si>
    <t>Щетка стеклоочистителя KRISTAL 12"/30см бескаркасная</t>
  </si>
  <si>
    <t>1/5/50 шт</t>
  </si>
  <si>
    <t>00-00001431</t>
  </si>
  <si>
    <t>Батарейки пальчиковые ( АА )   1/4шт.</t>
  </si>
  <si>
    <t>1/4/60 шт</t>
  </si>
  <si>
    <t>00-00002462</t>
  </si>
  <si>
    <t>00-00002463</t>
  </si>
  <si>
    <t>Автопластилин 300г</t>
  </si>
  <si>
    <t>72247</t>
  </si>
  <si>
    <t>Ароматизатор (освежитель) воздуха "ёлочка" "Contra" Sex Наша работа, восточный аромат с фруктово-цветочным запахом</t>
  </si>
  <si>
    <t>Автомобильный ароматизатор "Contra" CLASSIC аромат Спелое личи</t>
  </si>
  <si>
    <t>Автомобильный ароматизатор "Contra" CLASSIC аромат Кокосовая вода</t>
  </si>
  <si>
    <t>Автомобильный ароматизатор "Contra" CLASSIC аромат Яблоко с ванилью</t>
  </si>
  <si>
    <t>Автомобильный ароматизатор "Contra" CLASSIC аромат Крем брюле</t>
  </si>
  <si>
    <t>Автомобильный ароматизатор "Contra" CLASSIC аромат Шоколадная эйфория</t>
  </si>
  <si>
    <t>Автомобильный ароматизатор "Contra" спрей + елочка аромат Buble gum</t>
  </si>
  <si>
    <t>ИП Ерошкина Елена Евгеньевна, 445017, Самарская обл, г. Тольятти, ул. Новозаводская 2Б, рынок "Ставр". Ангар №1,секции №1/1, №1/2</t>
  </si>
  <si>
    <t>Компрессор к 1 рожковому сигналу CRISTYLEAVTO (1/50шт.)</t>
  </si>
  <si>
    <t>Сигнал 1 рожковый CRISTYLEAVTO (1/12шт)</t>
  </si>
  <si>
    <t>Сигнал 3 рожковый RS-07896 CRISTYLEAVTO (1/10шт)</t>
  </si>
  <si>
    <t>Сигнал Волга 115DB CRISTYLEAVTO (1/20шт.)</t>
  </si>
  <si>
    <t>Сигнал Улитка CRISTYLEAVTO (1/20шт.)</t>
  </si>
  <si>
    <t>Разветвитель прикуривателя NO-1505 Olesson на 3 гнезда 2USB с проводом,кнопкой 120W</t>
  </si>
  <si>
    <t>00-00003456</t>
  </si>
  <si>
    <t>00-00006665</t>
  </si>
  <si>
    <t>Штекер в прикуриватель 2 USB CarLive MR-58A в упаковке</t>
  </si>
  <si>
    <t>00-00006708</t>
  </si>
  <si>
    <t>Штекер в прикуриватель 2 USB Hoco арт.Z-40 в упаковке с проводом зарядки на айфон (1/12шт.)</t>
  </si>
  <si>
    <t>00-00006705</t>
  </si>
  <si>
    <t>1/44 шт</t>
  </si>
  <si>
    <t>00-00006707</t>
  </si>
  <si>
    <t>Штекер в прикуриватель простой CRISTYLEAVTO (1/100шт)</t>
  </si>
  <si>
    <t>Штекер в прикуриватель с индикатором CRISTYLEAVTO (1/100шт)</t>
  </si>
  <si>
    <t>00-00001971</t>
  </si>
  <si>
    <t>Лампа Игл Н3 55w комплект</t>
  </si>
  <si>
    <t>00-00001973</t>
  </si>
  <si>
    <t>00-00001820</t>
  </si>
  <si>
    <t>1/288/12 шт</t>
  </si>
  <si>
    <t>00-00001821</t>
  </si>
  <si>
    <t>1/12/288 шт</t>
  </si>
  <si>
    <t>00-00004073</t>
  </si>
  <si>
    <t>Клей City UP СА-90 эпоксидный, двухкомпонентный 2*11,5мл (1/12шт)</t>
  </si>
  <si>
    <t>00-00006686</t>
  </si>
  <si>
    <t>Очиститель карбюратора, дроссельных заслонок RE MARCO CARB 500мл. арт.RM-759</t>
  </si>
  <si>
    <t>Очиститель салона ABRO FC-400-AM-RE Clean ALL с щеткой 400мл. (1/12шт)</t>
  </si>
  <si>
    <t>00-00006533</t>
  </si>
  <si>
    <t>Очиститель шин АстроХим АС-2665 (пенный) спрей 520мл</t>
  </si>
  <si>
    <t>00-00005771</t>
  </si>
  <si>
    <t>Полироль панели AVS глянцевый блеск арт.AVK-612  Яблоко 250мл. (1/15шт.) триггер</t>
  </si>
  <si>
    <t>00-00005752</t>
  </si>
  <si>
    <t>Полироль панели Плак 750мл. Tabacco (1/24шт.)</t>
  </si>
  <si>
    <t>00-00002389</t>
  </si>
  <si>
    <t>Полироль панели Плак 750мл. Гранат (1/24шт.)</t>
  </si>
  <si>
    <t>00-00002393</t>
  </si>
  <si>
    <t>Полироль панели Плак 750мл. Океан (1/24шт.)</t>
  </si>
  <si>
    <t>Разморажеватель замков с силиконам AVS Crystal AVK-123  флакон с носиком 60мл  (1/25шт)</t>
  </si>
  <si>
    <t>00-00006691</t>
  </si>
  <si>
    <t>00-00006692</t>
  </si>
  <si>
    <t>00-00006690</t>
  </si>
  <si>
    <t>00-00006557</t>
  </si>
  <si>
    <t>00-00005717</t>
  </si>
  <si>
    <t>Смазка медная ABRO CG-200-AM-RE спрей 200мл. (1/24шт.)</t>
  </si>
  <si>
    <t>00-00006688</t>
  </si>
  <si>
    <t>00-00002740</t>
  </si>
  <si>
    <t>Смазка проникающая City UP UP-40 120 г (1/24шт)</t>
  </si>
  <si>
    <t>00-00002743</t>
  </si>
  <si>
    <t>Смазка проникающая City UP UP-40 350 г.  (1/12шт.)</t>
  </si>
  <si>
    <t>00-00002756</t>
  </si>
  <si>
    <t>Смазка силиконовая City UP UP-60 350мл (1/12шт.)</t>
  </si>
  <si>
    <t>00-00006687</t>
  </si>
  <si>
    <t>00-00006558</t>
  </si>
  <si>
    <t>Антизапотеватель AVS Crystal AVK-616 (триггер) 250 мл арт.A07575S</t>
  </si>
  <si>
    <t>00-00001534</t>
  </si>
  <si>
    <t>Воронка с гофрой (1/50шт.)</t>
  </si>
  <si>
    <t>00-00001587</t>
  </si>
  <si>
    <t>00-00005266</t>
  </si>
  <si>
    <t>Держатель телефона hoco CA-52 магнитный в дефлектор</t>
  </si>
  <si>
    <t>00-00006677</t>
  </si>
  <si>
    <t>Держатель телефона hoco premium H- 1 магнитный в дефлектор</t>
  </si>
  <si>
    <t>00-00006678</t>
  </si>
  <si>
    <t>Держатель телефона hoco premium H- 2 магнитный на панель</t>
  </si>
  <si>
    <t>00-00006682</t>
  </si>
  <si>
    <t>Держатель телефона hoco premium H- 3 телескоп. (на присоске)</t>
  </si>
  <si>
    <t>00-00006679</t>
  </si>
  <si>
    <t>Держатель телефона hoco premium H- 5 телескоп. (на присоске)</t>
  </si>
  <si>
    <t>00-00001959</t>
  </si>
  <si>
    <t>Крышка бензобака 01 с ключом (черная)</t>
  </si>
  <si>
    <t>00-00002004</t>
  </si>
  <si>
    <t>00-00006543</t>
  </si>
  <si>
    <t>Оплетка руля Nova Bright M арт.46653  Черная с серыми перфорированными вставками</t>
  </si>
  <si>
    <t>00-00006539</t>
  </si>
  <si>
    <t>Оплетка руля Nova Bright M арт.47351  Черная с красными перфорированными вставками</t>
  </si>
  <si>
    <t>00-00006671</t>
  </si>
  <si>
    <t>Оплетка руля Nova Bright M арт.47353  Черная с рельефными накладками и красной строчкой</t>
  </si>
  <si>
    <t>00-00006672</t>
  </si>
  <si>
    <t>Оплетка руля Nova Bright M арт.47354 Черная с плетенной вставкой</t>
  </si>
  <si>
    <t>00-00006540</t>
  </si>
  <si>
    <t>Оплетка руля Nova Bright M арт.47372  Черная с серыми перфорированными вставками</t>
  </si>
  <si>
    <t>00-00006670</t>
  </si>
  <si>
    <t>Оплетка руля Nova Bright M арт.47517 с черными массажными вставками</t>
  </si>
  <si>
    <t>Разъем прицепа Пластмассовый CRISTYLEAVTO (1/50шт.)</t>
  </si>
  <si>
    <t>Разъем прицепа Силуминовый CRISTYLEAVTO (1/50шт.)</t>
  </si>
  <si>
    <t>Антенна на крышу АТНЕЙ АВТО А-302 декоративная</t>
  </si>
  <si>
    <t>Антенна на крышу АТНЕЙ АВТО А-303 декоративная</t>
  </si>
  <si>
    <t>00-00005474</t>
  </si>
  <si>
    <t>Ароматизатор AREON дом-авто "HOME PERFUMES" 85мл  Nordic  Forest</t>
  </si>
  <si>
    <t>00-00005836</t>
  </si>
  <si>
    <t>Ароматизатор AREON дом-авто "HOME PERFUMES" 85мл  Sunny Home</t>
  </si>
  <si>
    <t>00-00005891</t>
  </si>
  <si>
    <t>Ароматизатор TASOTTI дом-авто "REED DIFFUSER" 100мл. FRUITY JUNGLE (1/12шт)</t>
  </si>
  <si>
    <t>00-00005884</t>
  </si>
  <si>
    <t>Ароматизатор TASOTTI дом-авто "REED DIFFUSER" 100мл. ORIENTAL DREAM (1/12шт)</t>
  </si>
  <si>
    <t>00-00005896</t>
  </si>
  <si>
    <t>Ароматизатор TASOTTI дом-авто "REED DIFFUSER" 100мл. SECRET ELIXIR (1/12шт)</t>
  </si>
  <si>
    <t>00-00004656</t>
  </si>
  <si>
    <t>Ароматизатор AREON в дефлектор CAR 8мл. Золото (Gold)</t>
  </si>
  <si>
    <t>00-00000517</t>
  </si>
  <si>
    <t>00-00005312</t>
  </si>
  <si>
    <t>00-00003866</t>
  </si>
  <si>
    <t>Ароматизатор AROMA елочка Top Line Мужские ароматы №19 (Eros)</t>
  </si>
  <si>
    <t>00-00003893</t>
  </si>
  <si>
    <t>Ароматизатор AROMA елочка Top Line Мужские ароматы №73 (Gold Edition)</t>
  </si>
  <si>
    <t>00-00006234</t>
  </si>
  <si>
    <t>Ароматизатор CONTRA мешочек  Sex Наша Работа (Эйфория цветов и фруктов) (1/15шт.)</t>
  </si>
  <si>
    <t>1/16/96 шт</t>
  </si>
  <si>
    <t>Ароматизатор POLIART PERFUME флакон с деревянной крышкой арт.PE00001  ALLURE</t>
  </si>
  <si>
    <t>Ароматизатор POLIART PERFUME флакон с деревянной крышкой арт.PE00002  BOSS</t>
  </si>
  <si>
    <t>Ароматизатор POLIART PERFUME флакон с деревянной крышкой арт.PE00003  INVICTUS</t>
  </si>
  <si>
    <t>00-00006700</t>
  </si>
  <si>
    <t>Ароматизатор POLIART PERFUME флакон с деревянной крышкой арт.PE00004 MITSUBISHI</t>
  </si>
  <si>
    <t>Ароматизатор POLIART PERFUME флакон с деревянной крышкой арт.PE00005  L'IMPERATRICE</t>
  </si>
  <si>
    <t>Ароматизатор POLIART PERFUME флакон с деревянной крышкой арт.PE00006  EGOISTE</t>
  </si>
  <si>
    <t>00-00006698</t>
  </si>
  <si>
    <t>Ароматизатор POLIART PERFUME флакон с деревянной крышкой арт.PE00006 SUBARU</t>
  </si>
  <si>
    <t>00-00006693</t>
  </si>
  <si>
    <t>Ароматизатор POLIART PERFUME флакон с деревянной крышкой арт.PE00007 BMW</t>
  </si>
  <si>
    <t>Ароматизатор POLIART PERFUME флакон с деревянной крышкой арт.PE00008  EMPORIO</t>
  </si>
  <si>
    <t>Ароматизатор POLIART PERFUME флакон с деревянной крышкой арт.PE00009  CODE</t>
  </si>
  <si>
    <t>00-00006702</t>
  </si>
  <si>
    <t>Ароматизатор POLIART PERFUME флакон с деревянной крышкой арт.PE00009 MAZDA</t>
  </si>
  <si>
    <t>Ароматизатор POLIART PERFUME флакон с деревянной крышкой арт.PE00010  BLEU</t>
  </si>
  <si>
    <t>Ароматизатор POLIART PERFUME флакон с деревянной крышкой арт.PE00011  ACQUA DI GIO</t>
  </si>
  <si>
    <t>Ароматизатор POLIART PERFUME флакон с деревянной крышкой арт.PE00015  L'EAU PAR</t>
  </si>
  <si>
    <t>Ароматизатор POLIART PERFUME флакон с деревянной крышкой арт.PE00016  SAUVAGE</t>
  </si>
  <si>
    <t>Ароматизатор POLIART PERFUME флакон с деревянной крышкой арт.PE00017  MANCO MANGA</t>
  </si>
  <si>
    <t>Ароматизатор POLIART PERFUME флакон с деревянной крышкой арт.PE00018  1 MILLION</t>
  </si>
  <si>
    <t>Ароматизатор POLIART PERFUME флакон с деревянной крышкой арт.PE00019  MOLECULE</t>
  </si>
  <si>
    <t>Ароматизатор POLIART PERFUME флакон с деревянной крышкой арт.PE00021  BACCARAT</t>
  </si>
  <si>
    <t>Ароматизатор POLIART PERFUME флакон с деревянной крышкой арт.PE00022  NARCOTIQUE</t>
  </si>
  <si>
    <t>Ароматизатор POLIART PERFUME флакон с деревянной крышкой арт.PE00024  L'INTERDIT</t>
  </si>
  <si>
    <t>Ароматизатор POLIART PERFUME флакон с деревянной крышкой арт.PE00025  FAHRENHEIT</t>
  </si>
  <si>
    <t>Ароматизатор POLIART PERFUME флакон с деревянной крышкой арт.PE00026  WHITE L 12.12</t>
  </si>
  <si>
    <t>Ароматизатор POLIART PERFUME флакон с деревянной крышкой арт.PE00027 HYPNOSE</t>
  </si>
  <si>
    <t>Ароматизатор POLIART PERFUME флакон с деревянной крышкой арт.PE00029  IDEAL</t>
  </si>
  <si>
    <t>Ароматизатор POLIART PERFUME флакон с деревянной крышкой арт.PE00031  LOST CHERRY</t>
  </si>
  <si>
    <t>Ароматизатор POLIART PERFUME флакон с деревянной крышкой арт.PE00032 ESCADA</t>
  </si>
  <si>
    <t>Ароматизатор POLIART PERFUME флакон с деревянной крышкой арт.PE00033 KIRKE</t>
  </si>
  <si>
    <t>00-00006703</t>
  </si>
  <si>
    <t>Ароматизатор POLIART PERFUME флакон с деревянной крышкой арт.PE00034 Zielinski &amp; Rozen</t>
  </si>
  <si>
    <t>Ароматизатор TENSY бочонок 6мл. арт.TB-01 Пина Колада (1/15шт)</t>
  </si>
  <si>
    <t>Ароматизатор TENSY бочонок 6мл. арт.TB-02 Новая машина (1/15шт)</t>
  </si>
  <si>
    <t>Ароматизатор TENSY бочонок 6мл. арт.TB-03 Секс эликсир (1/15шт)</t>
  </si>
  <si>
    <t>Ароматизатор TENSY бочонок 6мл. арт.TB-04 Ночная орхидея (1/15шт)</t>
  </si>
  <si>
    <t>Ароматизатор TENSY бочонок 6мл. арт.TB-05 Кофе (1/15шт)</t>
  </si>
  <si>
    <t>Ароматизатор TENSY бочонок 6мл. арт.TB-06 Арбуз (1/15шт)</t>
  </si>
  <si>
    <t>Ароматизатор TENSY бочонок 6мл. арт.TB-07 Морской Бриз (1/15шт)</t>
  </si>
  <si>
    <t>Ароматизатор TENSY бочонок 6мл. арт.TB-08 Океан (1/15шт)</t>
  </si>
  <si>
    <t>Ароматизатор TENSY бочонок 6мл. арт.TB-09 Бабл Гам (1/15шт)</t>
  </si>
  <si>
    <t>Ароматизатор TENSY бочонок 6мл. арт.TB-10 Ваниль (1/15шт)</t>
  </si>
  <si>
    <t>Ароматизатор TENSY бочонок 6мл. арт.TB-12 Водопад (1/15шт)</t>
  </si>
  <si>
    <t>Ароматизатор TENSY бочонок 6мл. арт.TB-14 Тутти Фрутти (1/15шт)</t>
  </si>
  <si>
    <t>Ароматизатор TENSY бочонок 6мл. арт.TB-15 Эгоист (1/15шт)</t>
  </si>
  <si>
    <t>00-00005868</t>
  </si>
  <si>
    <t>Ароматизатор TENSY бочонок 6мл. Парфюм BOSCO (1/15шт)</t>
  </si>
  <si>
    <t>00-00006586</t>
  </si>
  <si>
    <t>Ароматизатор TENSY бочонок UMI арт.TB-2001 Океан (1/16шт)</t>
  </si>
  <si>
    <t>00-00006589</t>
  </si>
  <si>
    <t>Ароматизатор TENSY бочонок UMI арт.TB-2004 Бабл Гам (1/16шт)</t>
  </si>
  <si>
    <t>00-00006590</t>
  </si>
  <si>
    <t>Ароматизатор TENSY бочонок UMI арт.TB-2005 Ваниль (1/16шт)</t>
  </si>
  <si>
    <t>00-00006591</t>
  </si>
  <si>
    <t>Ароматизатор TENSY бочонок UMI арт.TB-2006 Тутти Фрутти (1/16шт)</t>
  </si>
  <si>
    <t>Ароматизатор TENSY елочка Эксклюзив арт.ТА-22 NEZHOST (Нежность)</t>
  </si>
  <si>
    <t>Ароматизатор TENSY елочка Эксклюзив арт.ТА-25 BARHAT (Бархат)</t>
  </si>
  <si>
    <t>Ароматизатор TENSY елочка Эксклюзив арт.ТА-26 SHCOLK (Шелк)</t>
  </si>
  <si>
    <t>Ароматизатор TENSY елочка Эксклюзив арт.ТА-29 СЕЛЕБРИТИ</t>
  </si>
  <si>
    <t>00-00006625</t>
  </si>
  <si>
    <t>Ароматизатор TENSY елочка Эксклюзив арт.ТА-31 EVOLUTION</t>
  </si>
  <si>
    <t>00-00006626</t>
  </si>
  <si>
    <t>Ароматизатор TENSY елочка Эксклюзив арт.ТА-32 AMOUR</t>
  </si>
  <si>
    <t>00-00006627</t>
  </si>
  <si>
    <t>Ароматизатор TENSY елочка Эксклюзив арт.ТА-33 FLEUR</t>
  </si>
  <si>
    <t>00-00006628</t>
  </si>
  <si>
    <t>Ароматизатор TENSY елочка Эксклюзив арт.ТА-34 PASSION</t>
  </si>
  <si>
    <t>00-00006630</t>
  </si>
  <si>
    <t>Ароматизатор TENSY елочка Эксклюзив арт.ТА-36 ANNA</t>
  </si>
  <si>
    <t>00-00006631</t>
  </si>
  <si>
    <t>Ароматизатор TENSY елочка Эксклюзив арт.ТА-37 CHARM</t>
  </si>
  <si>
    <t>00-00006592</t>
  </si>
  <si>
    <t>Ароматизатор TENSY мешочек TME-01 PINA COLADA (Пина колада) (1/12шт.)</t>
  </si>
  <si>
    <t>00-00006594</t>
  </si>
  <si>
    <t>Ароматизатор TENSY мешочек TME-03 SEX ELIXIR (Секс эликсир) (1/12шт.)</t>
  </si>
  <si>
    <t>00-00006595</t>
  </si>
  <si>
    <t>Ароматизатор TENSY мешочек TME-04 NIGHT ORCHID (Ночная орхидея) (1/12шт.)</t>
  </si>
  <si>
    <t>00-00006596</t>
  </si>
  <si>
    <t>Ароматизатор TENSY мешочек TME-05 COFFEE (Кофе) (1/12шт.)</t>
  </si>
  <si>
    <t>00-00006597</t>
  </si>
  <si>
    <t>Ароматизатор TENSY мешочек TME-06 WATERMELON (Арбуз) (1/12шт.)</t>
  </si>
  <si>
    <t>00-00006598</t>
  </si>
  <si>
    <t>Ароматизатор TENSY мешочек TME-07 SEA BREEZE (Морской бриз) (1/12шт.)</t>
  </si>
  <si>
    <t>00-00006599</t>
  </si>
  <si>
    <t>Ароматизатор TENSY мешочек TME-08 OCEAN (Океан) (1/12шт.)</t>
  </si>
  <si>
    <t>00-00006601</t>
  </si>
  <si>
    <t>Ароматизатор TENSY мешочек TME-10 VANILLA (Ваниль) (1/12шт.)</t>
  </si>
  <si>
    <t>00-00006602</t>
  </si>
  <si>
    <t>Ароматизатор TENSY мешочек TME-11 BLACK CRYSTAL (Черный лед) (1/12шт.)</t>
  </si>
  <si>
    <t>00-00006603</t>
  </si>
  <si>
    <t>Ароматизатор TENSY мешочек TME-12 WATERFALL (Водопад) (1/12шт.)</t>
  </si>
  <si>
    <t>00-00006604</t>
  </si>
  <si>
    <t>Ароматизатор TENSY мешочек TME-13 LILAC (Сирень) (1/12шт.)</t>
  </si>
  <si>
    <t>00-00006606</t>
  </si>
  <si>
    <t>Ароматизатор TENSY мешочек с гранулами TTE-02 New Car (Новая машина) (1/15шт)</t>
  </si>
  <si>
    <t>00-00006607</t>
  </si>
  <si>
    <t>Ароматизатор TENSY мешочек с гранулами TTE-03 Cherry (Вишня) (1/15шт)</t>
  </si>
  <si>
    <t>00-00006608</t>
  </si>
  <si>
    <t>Ароматизатор TENSY мешочек с гранулами TTE-04 Sex elixir (Секс элексир) (1/15шт)</t>
  </si>
  <si>
    <t>00-00006610</t>
  </si>
  <si>
    <t>Ароматизатор TENSY мешочек с гранулами TTE-06 Watermelon (Арбуз) (1/15шт)</t>
  </si>
  <si>
    <t>00-00006611</t>
  </si>
  <si>
    <t>Ароматизатор TENSY мешочек с гранулами TTE-07 Waterfall (Водопад) (1/15шт)</t>
  </si>
  <si>
    <t>00-00006612</t>
  </si>
  <si>
    <t>Ароматизатор TENSY мешочек с гранулами TTE-08 Ocean (Океан) (1/15шт)</t>
  </si>
  <si>
    <t>00-00006613</t>
  </si>
  <si>
    <t>Ароматизатор TENSY мешочек с гранулами TTE-09 Bubble gum (Бабл гам) (1/15шт)</t>
  </si>
  <si>
    <t>00-00006615</t>
  </si>
  <si>
    <t>Ароматизатор TENSY мешочек с гранулами TTE-11 Black crystal (Черный лед) (1/15шт)</t>
  </si>
  <si>
    <t>00-00006616</t>
  </si>
  <si>
    <t>Ароматизатор TENSY мешочек с гранулами TTE-12 Fantasy (Фантазия) (1/15шт)</t>
  </si>
  <si>
    <t>00-00006617</t>
  </si>
  <si>
    <t>Ароматизатор TENSY мешочек с гранулами TTE-13 Citronella (Цитронелла) (1/15шт)</t>
  </si>
  <si>
    <t>00-00006618</t>
  </si>
  <si>
    <t>Ароматизатор TENSY мешочек с гранулами TTE-14 Stream (Ручей) (1/15шт)</t>
  </si>
  <si>
    <t>00-00006619</t>
  </si>
  <si>
    <t>Ароматизатор TENSY мешочек с гранулами TTE-15 Oriental (Восточный) (1/15шт)</t>
  </si>
  <si>
    <t>00-00006620</t>
  </si>
  <si>
    <t>Ароматизатор TENSY мешочек с гранулами TTE-16 Tropicana (Тропикана) (1/15шт)</t>
  </si>
  <si>
    <t>00-00006622</t>
  </si>
  <si>
    <t>Ароматизатор TENSY мешочек с гранулами Эксклюзив BARHAT (Бархат) арт.TTE-22 (1/15шт)</t>
  </si>
  <si>
    <t>00-00006623</t>
  </si>
  <si>
    <t>Ароматизатор TENSY мешочек с гранулами Эксклюзив CHARM (Шарм) арт.TTE-23 (1/15шт)</t>
  </si>
  <si>
    <t>00-00006624</t>
  </si>
  <si>
    <t>Ароматизатор TENSY мешочек с гранулами Эксклюзив GLAMOUR (Гламур) арт.TTE-24 (1/15шт)</t>
  </si>
  <si>
    <t>00-00006621</t>
  </si>
  <si>
    <t>Ароматизатор TENSY мешочек с гранулами Эксклюзив NEZHOST (Нежность) арт.TTE-21 (1/15шт)</t>
  </si>
  <si>
    <t>Ароматизатор BIG FRESH под сиденье Океанский бриз (1/40шт.)</t>
  </si>
  <si>
    <t>Ароматизатор BIG FRESH под сиденье Цветок Ванили (1/40шт.)</t>
  </si>
  <si>
    <t>Ароматизатор MAXI FRESH под сиденье MF-101 Эгоист 100гр (1/40шт)</t>
  </si>
  <si>
    <t>Ароматизатор MAXI FRESH под сиденье MF-102 Арбуз и Дыня 100гр (1/40шт)</t>
  </si>
  <si>
    <t>Ароматизатор MAXI FRESH под сиденье MF-103 Японская Сакура 100гр (1/40шт)</t>
  </si>
  <si>
    <t>Ароматизатор MAXI FRESH под сиденье MF-104 Mystique 100гр (1/40шт)</t>
  </si>
  <si>
    <t>Ароматизатор MAXI FRESH под сиденье MF-105 Босс 100гр (1/40шт)</t>
  </si>
  <si>
    <t>Ароматизатор MAXI FRESH под сиденье MF-106 Summer Party 100гр (1/40шт)</t>
  </si>
  <si>
    <t>Ароматизатор MAXI FRESH под сиденье MF-107 Сквош 100гр (1/40шт)</t>
  </si>
  <si>
    <t>Ароматизатор MAXI FRESH под сиденье MF-108 Спорт 100гр (1/40шт)</t>
  </si>
  <si>
    <t>Ароматизатор MAXI FRESH под сиденье MF-109 Джентельмен 100гр (1/40шт)</t>
  </si>
  <si>
    <t>Ароматизатор MAXI FRESH под сиденье MF-110 Pina Colada 100гр (1/40шт)</t>
  </si>
  <si>
    <t>Ароматизатор MAXI FRESH под сиденье MF-112 Сочный Цитрус 100гр (1/40шт)</t>
  </si>
  <si>
    <t>Ароматизатор MAXI FRESH под сиденье MF-113 Ваниль 100гр (1/40шт)</t>
  </si>
  <si>
    <t>Ароматизатор MAXI FRESH под сиденье MF-115 Новая Машина 100гр (1/40шт)</t>
  </si>
  <si>
    <t>Ароматизатор MAXI FRESH под сиденье MF-116 Тутти Фрутти 100гр (1/40шт)</t>
  </si>
  <si>
    <t>Ароматизатор MAXI FRESH под сиденье MF-117 YUZU 100гр (1/40шт)</t>
  </si>
  <si>
    <t>Ароматизатор MAXI FRESH под сиденье MF-118 Marine Squash 100гр (1/40шт)</t>
  </si>
  <si>
    <t>Ароматизатор MAXI FRESH под сиденье MF-119 Кофе и ваниль 100гр (1/40шт)</t>
  </si>
  <si>
    <t>Ароматизатор MAXI FRESH под сиденье MF-121 Цитрус и Манго 100гр (1/40шт)</t>
  </si>
  <si>
    <t>Ароматизатор MAXI FRESH под сиденье MF-122 Кола и Лайм 100гр (1/40шт)</t>
  </si>
  <si>
    <t>Ароматизатор MAXI FRESH под сиденье MF-123 Mont Blanc 100гр (1/40шт)</t>
  </si>
  <si>
    <t>Ароматизатор MAXI FRESH под сиденье MF-124 Антитабак 100гр (1/40шт)</t>
  </si>
  <si>
    <t>Ароматизатор MAXI FRESH под сиденье PS-1 Perfume Сквош 100гр (1/40шт)</t>
  </si>
  <si>
    <t>Ароматизатор MAXI FRESH под сиденье PS-2 Perfume Эгоист 100гр (1/40шт)</t>
  </si>
  <si>
    <t>Ароматизатор MAXI FRESH под сиденье PS-3 Perfume Драйв (Drive) / Дьявол (Devil) 100гр</t>
  </si>
  <si>
    <t>Ароматизатор MAXI FRESH под сиденье PS-4 Perfume Ночной Король (Night King) 100гр</t>
  </si>
  <si>
    <t>Ароматизатор MAXI FRESH под сиденье PS-5 Perfume Цитрон (Citron) 100гр</t>
  </si>
  <si>
    <t>Ароматизатор MAXI FRESH под сиденье PS-6 Perfume Ночная Королева (Night Queen) 100гр</t>
  </si>
  <si>
    <t>00-00004560</t>
  </si>
  <si>
    <t>Ароматизатор AROMA спрей Top Line МИКС</t>
  </si>
  <si>
    <t>00-00005408</t>
  </si>
  <si>
    <t>Ароматизатор CONTEX / CONTRA  спрей + елочка в упак.30мл. SEX NARCOTIC (феромоны)</t>
  </si>
  <si>
    <t>00-00005410</t>
  </si>
  <si>
    <t>Ароматизатор CONTEX / CONTRA  спрей + елочка в упак.30мл. SEX SECRET (Curious) (феромоны)</t>
  </si>
  <si>
    <t>00-00006118</t>
  </si>
  <si>
    <t>Ароматизатор CONTRA спрей 100мл. Sex Queen (Cладость цветочных лепестков) (1/10шт.)</t>
  </si>
  <si>
    <t>00-00006646</t>
  </si>
  <si>
    <t>Ароматизатор TENSY спрей с пробником арт.TSS-a01 Vanilla (Ваниль) 50мл.</t>
  </si>
  <si>
    <t>00-00006647</t>
  </si>
  <si>
    <t>Ароматизатор TENSY спрей с пробником арт.TSS-a02 Black Crystal (Черный лед) 50мл.</t>
  </si>
  <si>
    <t>00-00006648</t>
  </si>
  <si>
    <t>Ароматизатор TENSY спрей с пробником арт.TSS-a03 Ocean (Океан) 50мл.</t>
  </si>
  <si>
    <t>00-00006649</t>
  </si>
  <si>
    <t>Ароматизатор TENSY спрей с пробником арт.TSS-a04 New Car (Новая машина) 50мл.</t>
  </si>
  <si>
    <t>00-00006650</t>
  </si>
  <si>
    <t>Ароматизатор TENSY спрей с пробником арт.TSS-a05 Lemon (Лимон) 50мл.</t>
  </si>
  <si>
    <t>00-00006651</t>
  </si>
  <si>
    <t>Ароматизатор TENSY спрей с пробником арт.TSS-a06 Egoist (Эгоист) 50мл.</t>
  </si>
  <si>
    <t>00-00006652</t>
  </si>
  <si>
    <t>Ароматизатор TENSY спрей с пробником арт.TSS-a07 Watermelon (Арбуз) 50мл.</t>
  </si>
  <si>
    <t>00-00006653</t>
  </si>
  <si>
    <t>Ароматизатор TENSY спрей с пробником арт.TSS-a08 Coffee (Кофе) 50мл.</t>
  </si>
  <si>
    <t>00-00006654</t>
  </si>
  <si>
    <t>Ароматизатор TENSY спрей с пробником арт.TSS-a09 Bubble Gum (Бабл Гам) 50мл.</t>
  </si>
  <si>
    <t>00-00006655</t>
  </si>
  <si>
    <t>Ароматизатор TENSY спрей с пробником арт.TSS-a10 Tutti Frutti (Тутти Фрутти) 50мл.</t>
  </si>
  <si>
    <t>00-00006656</t>
  </si>
  <si>
    <t>Ароматизатор TENSY спрей с пробником арт.TSS-a11 Green Tea (Зеленый чай) 50мл.</t>
  </si>
  <si>
    <t>00-00006633</t>
  </si>
  <si>
    <t>Ароматизатор TENSY спрей Эксклюзив арт.TSS-22 NEZHOST (Нежность)</t>
  </si>
  <si>
    <t>00-00006634</t>
  </si>
  <si>
    <t>Ароматизатор TENSY спрей Эксклюзив арт.TSS-23 CHARM (Шарм)</t>
  </si>
  <si>
    <t>00-00006635</t>
  </si>
  <si>
    <t>Ароматизатор TENSY спрей Эксклюзив арт.TSS-24 GLAMOUR (Гламур)</t>
  </si>
  <si>
    <t>00-00006636</t>
  </si>
  <si>
    <t>Ароматизатор TENSY спрей Эксклюзив арт.TSS-25 BARHAT (Бархат)</t>
  </si>
  <si>
    <t>00-00006637</t>
  </si>
  <si>
    <t>Ароматизатор TENSY спрей Эксклюзив арт.TSS-26 SCOLK (Шелк)</t>
  </si>
  <si>
    <t>00-00006638</t>
  </si>
  <si>
    <t>Ароматизатор TENSY спрей Эксклюзив арт.TSS-27 СЕЛЕБРИТИ</t>
  </si>
  <si>
    <t>00-00006639</t>
  </si>
  <si>
    <t>Ароматизатор TENSY спрей Эксклюзив арт.TSS-31 BOSCO (Боско)</t>
  </si>
  <si>
    <t>00-00006640</t>
  </si>
  <si>
    <t>Ароматизатор TENSY спрей Эксклюзив арт.TSS-33  EVOLUTION</t>
  </si>
  <si>
    <t>00-00006641</t>
  </si>
  <si>
    <t>Ароматизатор TENSY спрей Эксклюзив арт.TSS-34 AMOUR</t>
  </si>
  <si>
    <t>00-00006642</t>
  </si>
  <si>
    <t>Ароматизатор TENSY спрей Эксклюзив арт.TSS-35 FLEUR</t>
  </si>
  <si>
    <t>00-00006643</t>
  </si>
  <si>
    <t>Ароматизатор TENSY спрей Эксклюзив арт.TSS-36 PASSION</t>
  </si>
  <si>
    <t>00-00006644</t>
  </si>
  <si>
    <t>Ароматизатор TENSY спрей Эксклюзив арт.TSS-37 DANA</t>
  </si>
  <si>
    <t>00-00006645</t>
  </si>
  <si>
    <t>Ароматизатор TENSY спрей Эксклюзив арт.TSS-38 ANNA</t>
  </si>
  <si>
    <t>00-00000550</t>
  </si>
  <si>
    <t>Ароматизатор AREON консерва KEN Ваниль (Vanilla)</t>
  </si>
  <si>
    <t>Горелка газовая Kovica с пьезо элементом KS-1005/1006 (1/10шт)</t>
  </si>
  <si>
    <t>00-00006668</t>
  </si>
  <si>
    <t>Паяльная лампа 2 л. ExProfil</t>
  </si>
  <si>
    <t>00-00006667</t>
  </si>
  <si>
    <t>Плита газовая квадратная малая K-202</t>
  </si>
  <si>
    <t>00-00001779</t>
  </si>
  <si>
    <t>Изолента City UP CA-251915BK черная (25м*19мм*0,15мм)  1/10шт.</t>
  </si>
  <si>
    <t>00-00001780</t>
  </si>
  <si>
    <t>Изолента City UP CA-251915BL синяя (25м*19мм*0,15мм)  1/10шт.</t>
  </si>
  <si>
    <t>00-00006562</t>
  </si>
  <si>
    <t>Изолента City UP CA-251915RD красная (25м*19мм*0,15мм)  1/10шт.</t>
  </si>
  <si>
    <t>00-00006675</t>
  </si>
  <si>
    <t>Набор бит и головок с трещеткой XS-008</t>
  </si>
  <si>
    <t>Отвертка IGALL средняя двухсторонняя (1/24шт)</t>
  </si>
  <si>
    <t>Отвертка пузатая с резиновой ручкой двухсторонняя (1/25шт)</t>
  </si>
  <si>
    <t>Отвертка Флаг регулируемая ручка 2 в 1  (1/12шт)</t>
  </si>
  <si>
    <t>Щуп 20 лепестков CRISTYLEAVTO (1/10шт)</t>
  </si>
  <si>
    <t>Щуп MIOL Прибалтийский 13 лепестков 15-130 CRISTYLEAVTO (1/15шт.)</t>
  </si>
  <si>
    <t>00-00006581</t>
  </si>
  <si>
    <t>Компрессор автомобильный AVS Turbo KS 450L арт.80507 (1/6шт)</t>
  </si>
  <si>
    <t>00-00001938</t>
  </si>
  <si>
    <t>Аптечка Миор (Дорога) 1/30шт. Новый состав (перчатки, маска)</t>
  </si>
  <si>
    <t>1/56 шт</t>
  </si>
  <si>
    <t>Знак аварийный CRISTYLEAVTO / MAAS в пенале малый 06</t>
  </si>
  <si>
    <t>Зажигалка-горелка с пьезо элементом - двойное сопло арт.-007/ J-07 (1/12шт.)</t>
  </si>
  <si>
    <t>00-00002892</t>
  </si>
  <si>
    <t>Тонировка MTF 25% 50см*3м</t>
  </si>
  <si>
    <t>Трос буксировочный веревка  5т (1/30шт)</t>
  </si>
  <si>
    <t>00-00001840</t>
  </si>
  <si>
    <t>Клеммы АКБ Сила техники №-141 латунь Турция</t>
  </si>
  <si>
    <t>00-00001841</t>
  </si>
  <si>
    <t>Клеммы АКБ Сила техники №-151 латунь Турция</t>
  </si>
  <si>
    <t>00-00006584</t>
  </si>
  <si>
    <t>Клеммы АКБ цветная 46576 в блистере</t>
  </si>
  <si>
    <t>Провода прикуривателя Zebra 200А в сумке арт.03123 (1/24шт)</t>
  </si>
  <si>
    <t>00-00006669</t>
  </si>
  <si>
    <t>Коврик микрофибра City UP CA-190 40*55см для сушки посуды</t>
  </si>
  <si>
    <t>00-00006523</t>
  </si>
  <si>
    <t>Лопата с деревянной ручкой (55см)</t>
  </si>
  <si>
    <t>Салфетка замша Grass IT-0321 40*55см перфорированная синяя (1/25шт.)</t>
  </si>
  <si>
    <t>00-00004469</t>
  </si>
  <si>
    <t>Салфетка микрофибра City UP CA-116NP Magneto  40*40см 1/10шт.</t>
  </si>
  <si>
    <t>Салфетки влажные Top Gear Ledy для рук 30шт (1/32шт.)</t>
  </si>
  <si>
    <t>Салфетки влажные Top Gear для рук антибактериальные 30шт  (1/32шт.)</t>
  </si>
  <si>
    <t>00-00002683</t>
  </si>
  <si>
    <t>Салфетки влажные Top Gear для салона интерьера 30шт. (1/32шт.)</t>
  </si>
  <si>
    <t>Салфетки влажные Top Gear для стекол и зеркал 30шт. (1/32шт.)</t>
  </si>
  <si>
    <t>Салфетки влажные Top Gear для ухода за кожей салона 25шт. (1/32шт)</t>
  </si>
  <si>
    <t>Насадка для швабры City UP  СА-979 (1/50шт.)</t>
  </si>
  <si>
    <t>00-00006569</t>
  </si>
  <si>
    <t>Насадка для швабры City UP LUX СА-979 (1/50шт.)</t>
  </si>
  <si>
    <t>00-00003067</t>
  </si>
  <si>
    <t>Хомуты Маяк    90-110мм*13мм  (4-1/2")        1/25шт.</t>
  </si>
  <si>
    <t>Вентель для бескамерных шин хромированный 1/100шт. CRISTYLEAVTO</t>
  </si>
  <si>
    <t>Вентель для бескамерных шин черный  1/100шт. CRISTYLEAVTO</t>
  </si>
  <si>
    <t>Водосгон City UP СА-950 со скребком (1/50шт.)</t>
  </si>
  <si>
    <t>00-00002736</t>
  </si>
  <si>
    <t>1/10/240 шт</t>
  </si>
  <si>
    <t>00-00006662</t>
  </si>
  <si>
    <t>00-00006663</t>
  </si>
  <si>
    <t>Адаптер на щетки HEYNER арт.299030 KEY LOCK 01</t>
  </si>
  <si>
    <t>00-00006535</t>
  </si>
  <si>
    <t>Адаптер на щетки HEYNER арт.300230 TOP LOCK</t>
  </si>
  <si>
    <t>00-00006657</t>
  </si>
  <si>
    <t>Щетка стеклоочистителя в ассорт. Boss Auto  бескаркасная (к-т 2 шт.)</t>
  </si>
  <si>
    <t>00-00006658</t>
  </si>
  <si>
    <t>Щетка стеклоочистителя в ассорт. BRUSH бескаркасная</t>
  </si>
  <si>
    <t>00-00006659</t>
  </si>
  <si>
    <t>Щетка стеклоочистителя в ассорт. MAAS  бескаркасные</t>
  </si>
  <si>
    <t>Автомобильный ароматизатор "Contra" CLASSIC аромат Bubble gum</t>
  </si>
  <si>
    <t>Зеркало панорамное на присоске "ENES" 340 мм универсальное</t>
  </si>
  <si>
    <t>72238</t>
  </si>
  <si>
    <t>71932</t>
  </si>
  <si>
    <t>71921</t>
  </si>
  <si>
    <t>71920</t>
  </si>
  <si>
    <t>71925</t>
  </si>
  <si>
    <t>72383</t>
  </si>
  <si>
    <t>Зеркало панорамное на скобах "Panoramic Mirror" 330 мм универсальное</t>
  </si>
  <si>
    <t>72337</t>
  </si>
  <si>
    <t>Оплата: Безналичный, наличный расчет и на карты.</t>
  </si>
  <si>
    <t>00-00001731</t>
  </si>
  <si>
    <t>ЗУ AVS сетевое TIP-503 для айфон 5/6/7/8  220v РАСПРОДАЖА</t>
  </si>
  <si>
    <t>00-00004202</t>
  </si>
  <si>
    <t>Модулятор FM 8 в 1 KCB-642</t>
  </si>
  <si>
    <t>00-00002036</t>
  </si>
  <si>
    <t>Модулятор FM KD-201 / 200 в коробке</t>
  </si>
  <si>
    <t>00-00002789</t>
  </si>
  <si>
    <t>Стоп сигнал дополнительный 32 диодов</t>
  </si>
  <si>
    <t>Клей ABRO MASTERS EC-300-R эпоксидный 6мл.  (1/12шт.)</t>
  </si>
  <si>
    <t>00-00004430</t>
  </si>
  <si>
    <t>Очиститель кондиционера "RE MARCO" 400мл. в ассортим.</t>
  </si>
  <si>
    <t>Очиститель-кондиционер кожи Grass 110402 триггер-спрей 600мл. (1/6шт.)</t>
  </si>
  <si>
    <t>Полироль для кожи,резины и пластика Grass 110388 глянцевый блеск (триггер-спрей) 600мл. (1/6шт.)</t>
  </si>
  <si>
    <t>RM-40 Многофункциональное смазочное средство 100мл. арт.RM-765 (1/24шт.)</t>
  </si>
  <si>
    <t>RM-40 Многофункциональное смазочное средство 210мл. арт.RM-766 (1/24шт.)</t>
  </si>
  <si>
    <t>RM-40 Многофункциональное смазочное средство 450мл. арт.RM-767 (1/24шт.)</t>
  </si>
  <si>
    <t>Смазка медная RE MARCO 400мл.арт.RM-754 (1/24шт.)</t>
  </si>
  <si>
    <t>00-00004074</t>
  </si>
  <si>
    <t>Смазка проникающая City UP UP-40 100 г (1/24шт)</t>
  </si>
  <si>
    <t>00-00002741</t>
  </si>
  <si>
    <t>Смазка проникающая City UP UP-40 200 г (1/24шт)</t>
  </si>
  <si>
    <t>Смазка силиконовая RE MARCO SILICONE OIL 200мл.арт.RM-746 (1/24шт.)</t>
  </si>
  <si>
    <t>Смазка силиконовая RE MARCO SILICONE OIL 300мл.арт.RM-748 (1/24шт.)</t>
  </si>
  <si>
    <t>00-00001484</t>
  </si>
  <si>
    <t>Быстрый старт AVS Crystal AVK-116 для двигателя аэрозоль 520мл.(1/12шт.)</t>
  </si>
  <si>
    <t>00-00006336</t>
  </si>
  <si>
    <t>Блеск для шин RE MARCO 600мл. арт. RM-30</t>
  </si>
  <si>
    <t>Держатель телефона hoco CA-201 в дефлектор</t>
  </si>
  <si>
    <t>00-00006738</t>
  </si>
  <si>
    <t>Держатель телефона Магнитный  CarLive SX-16  в дефлектор</t>
  </si>
  <si>
    <t>00-00006737</t>
  </si>
  <si>
    <t>Насадка глушителя NOVA Bright 38874 нержав.сталь (д.65 мм)</t>
  </si>
  <si>
    <t>00-00005560</t>
  </si>
  <si>
    <t>00-00004254</t>
  </si>
  <si>
    <t>Рамка номера Силиконовая в сборе со стальной основой (к-т 2шт) белая</t>
  </si>
  <si>
    <t>00-00005912</t>
  </si>
  <si>
    <t>Ароматизатор TASOTTI дом-авто "REED DIFFUSER" 100мл. MADEMOISELLE CHIC (1/12шт)</t>
  </si>
  <si>
    <t>00-00000454</t>
  </si>
  <si>
    <t>Ароматизатор AREON бочонок  Fresco X Бабл Гам (Bubble Gum)</t>
  </si>
  <si>
    <t>00-00000562</t>
  </si>
  <si>
    <t>Ароматизатор AREON мешочек с гранулами Pearls Vanilla Mia</t>
  </si>
  <si>
    <t>00-00005860</t>
  </si>
  <si>
    <t>Ароматизатор AREON мешочек с гранулами Pearls Кокос (Coconut)</t>
  </si>
  <si>
    <t>00-00003881</t>
  </si>
  <si>
    <t>Ароматизатор AROMA елочка Top Line Мужские ароматы №49 (Zanzibar)</t>
  </si>
  <si>
    <t>00-00005381</t>
  </si>
  <si>
    <t>Ароматизатор AURA FRESH мешочек с гранулами "Fresh Bag" Pina colada (Коктейль «Пина колада»)</t>
  </si>
  <si>
    <t>00-00005589</t>
  </si>
  <si>
    <t>Ароматизатор CONTRA  флакон с деревянной крышкой CLASSIC 8мл. Cola (Кола)</t>
  </si>
  <si>
    <t>00-00006715</t>
  </si>
  <si>
    <t>Ароматизатор ION Seasons картонный подвесной арт.TA-IP-01 Winter (зима)</t>
  </si>
  <si>
    <t>00-00006716</t>
  </si>
  <si>
    <t>Ароматизатор ION Seasons картонный подвесной арт.TA-IP-02 Spring (весна)</t>
  </si>
  <si>
    <t>00-00006717</t>
  </si>
  <si>
    <t>Ароматизатор ION Seasons картонный подвесной арт.TA-IP-03 Summer (лето)</t>
  </si>
  <si>
    <t>00-00006718</t>
  </si>
  <si>
    <t>Ароматизатор ION Seasons картонный подвесной арт.TA-IP-04 Autumn (осень)</t>
  </si>
  <si>
    <t>00-00006685</t>
  </si>
  <si>
    <t>Ароматизатор LITTLE TREES елочка Драконий фрукт (Dragon Fruit)</t>
  </si>
  <si>
    <t>Ароматизатор POLIART PERFUME флакон с деревянной крышкой арт.PE00012  GUILTY</t>
  </si>
  <si>
    <t>Ароматизатор POLIART PERFUME флакон с деревянной крышкой арт.PE00023  TOBACCO VANILLE</t>
  </si>
  <si>
    <t>00-00006629</t>
  </si>
  <si>
    <t>Ароматизатор TENSY елочка Эксклюзив арт.ТА-35 DANA</t>
  </si>
  <si>
    <t>00-00000683</t>
  </si>
  <si>
    <t>Ароматизатор AURAMI банка на панель (икра) PRL-05 Черный лед (Ice)</t>
  </si>
  <si>
    <t>00-00006510</t>
  </si>
  <si>
    <t>Ароматизатор CONTRA  банка на панель  Orgasm Tester (Свежесть Морского бриза)</t>
  </si>
  <si>
    <t>00-00001142</t>
  </si>
  <si>
    <t>Ароматизатор MAXI FRESH под сиденье MF-111 Черное Золото 100гр</t>
  </si>
  <si>
    <t>Плита газовая  "керамическая" без переходника арт.GG-025 (1/6шт.)</t>
  </si>
  <si>
    <t>Плита газовая  "керамическая" с переходником арт.GG-024 (1/8шт.)</t>
  </si>
  <si>
    <t>Плита газовая HONGRY с переходником (1/6шт.)</t>
  </si>
  <si>
    <t>00-00002072</t>
  </si>
  <si>
    <t>Набор отверток 4 предмета на блистере</t>
  </si>
  <si>
    <t>00-00003158</t>
  </si>
  <si>
    <t>00-00003171</t>
  </si>
  <si>
    <t>Шторы солнцезащитные MAAS на заднее стекло IA19002 / Nova арт.12656</t>
  </si>
  <si>
    <t>00-00004012</t>
  </si>
  <si>
    <t>Телескопическая дубинка для самообороны (пружинная)</t>
  </si>
  <si>
    <t>00-00006741</t>
  </si>
  <si>
    <t>00-00002887</t>
  </si>
  <si>
    <t>Тонировка MTF  3% 50см*3м</t>
  </si>
  <si>
    <t>00-00005709</t>
  </si>
  <si>
    <t>00-00006714</t>
  </si>
  <si>
    <t>Водосгон арт.VD-001</t>
  </si>
  <si>
    <t>00-00003224</t>
  </si>
  <si>
    <t>Щетка зимняя City UP СА-69 со скребком, двухсторонняя, телескопичка 72-98см. (1/12шт)</t>
  </si>
  <si>
    <t>00-00003284</t>
  </si>
  <si>
    <t>00-00003285</t>
  </si>
  <si>
    <t>00-00003382</t>
  </si>
  <si>
    <t>Щетка стеклоочистителя KRISTAL 18"/45см бескаркасная</t>
  </si>
  <si>
    <t>00-00003388</t>
  </si>
  <si>
    <t>Щетка стеклоочистителя KRISTAL 24"/60см бескаркасная</t>
  </si>
  <si>
    <t>00-00006660</t>
  </si>
  <si>
    <t>Щетка стеклоочистителя в ассорт. Автолик</t>
  </si>
  <si>
    <t>00-00006661</t>
  </si>
  <si>
    <t>Щетка стеклоочистителя в ассорт. МЕТО</t>
  </si>
  <si>
    <t>00-00003370</t>
  </si>
  <si>
    <t>Щетка стеклоочистителя HEYNER заднего стекла Rear Classic 14"/35см каркасная 001430</t>
  </si>
  <si>
    <t>00-00003401</t>
  </si>
  <si>
    <t>Щетка стеклоочистителя AUTOVIRAZH 22"/56см зима AV-002233</t>
  </si>
  <si>
    <t>Щетка стеклоочистителя ALCA 28"/70 см каркасная (universal grafit) 114800/188003 (150шт.)</t>
  </si>
  <si>
    <t>00-00002448</t>
  </si>
  <si>
    <t>Кабель USB   AWEI CL-81 на андроид</t>
  </si>
  <si>
    <t>00-00004092</t>
  </si>
  <si>
    <t>Наименование</t>
  </si>
  <si>
    <t>Закуп</t>
  </si>
  <si>
    <t>Розница</t>
  </si>
  <si>
    <t>RS-07896</t>
  </si>
  <si>
    <t>372711</t>
  </si>
  <si>
    <t>372698</t>
  </si>
  <si>
    <t>372704</t>
  </si>
  <si>
    <t>372681</t>
  </si>
  <si>
    <t>АС-580</t>
  </si>
  <si>
    <t>E51</t>
  </si>
  <si>
    <t>А-301</t>
  </si>
  <si>
    <t>А-302</t>
  </si>
  <si>
    <t>А-303</t>
  </si>
  <si>
    <t>А-304</t>
  </si>
  <si>
    <t>А-305</t>
  </si>
  <si>
    <t>А-306</t>
  </si>
  <si>
    <t>А-307</t>
  </si>
  <si>
    <t>А-309</t>
  </si>
  <si>
    <t>А-310</t>
  </si>
  <si>
    <t>А-311</t>
  </si>
  <si>
    <t>А-312</t>
  </si>
  <si>
    <t>А-313</t>
  </si>
  <si>
    <t>А-314</t>
  </si>
  <si>
    <t>50L</t>
  </si>
  <si>
    <t>60M</t>
  </si>
  <si>
    <t>BF-07</t>
  </si>
  <si>
    <t>BF-51</t>
  </si>
  <si>
    <t>BF-61</t>
  </si>
  <si>
    <t>BF-65</t>
  </si>
  <si>
    <t>BF-72</t>
  </si>
  <si>
    <t>BF-78</t>
  </si>
  <si>
    <t>SLMV-18</t>
  </si>
  <si>
    <t>SLMV-58</t>
  </si>
  <si>
    <t>SLMV-61</t>
  </si>
  <si>
    <t>U1P-10601</t>
  </si>
  <si>
    <t>U1P-10228</t>
  </si>
  <si>
    <t>U1P-10290-RUSS</t>
  </si>
  <si>
    <t>U1P-10612</t>
  </si>
  <si>
    <t>U1P-10319-RUSS</t>
  </si>
  <si>
    <t>U1P-10967</t>
  </si>
  <si>
    <t>U1P-10189-RUSS</t>
  </si>
  <si>
    <t>U1P-10655</t>
  </si>
  <si>
    <t>U1P-19974-RUSS</t>
  </si>
  <si>
    <t>LC02-01984</t>
  </si>
  <si>
    <t>LC04-01984</t>
  </si>
  <si>
    <t>LC05-01984</t>
  </si>
  <si>
    <t>LC06-01984</t>
  </si>
  <si>
    <t>LC07-01984</t>
  </si>
  <si>
    <t>Ароматизатор воздуха "Areon LIQUID"  Yachting</t>
  </si>
  <si>
    <t>LC14-01984</t>
  </si>
  <si>
    <t>LC16-01984</t>
  </si>
  <si>
    <t>704-051-307</t>
  </si>
  <si>
    <t>704-051-310</t>
  </si>
  <si>
    <t>704-051-327</t>
  </si>
  <si>
    <t>704-051-313</t>
  </si>
  <si>
    <t>704-051-319</t>
  </si>
  <si>
    <t>704-051-324</t>
  </si>
  <si>
    <t>704-051-317</t>
  </si>
  <si>
    <t>704-051-326</t>
  </si>
  <si>
    <t>704-051-311</t>
  </si>
  <si>
    <t>704-051-320</t>
  </si>
  <si>
    <t>704-051-303</t>
  </si>
  <si>
    <t>Освежитель воздуха Areon FRESCO "бутылочка в дереве"  Lilac</t>
  </si>
  <si>
    <t>704-051-318</t>
  </si>
  <si>
    <t>704-051-308</t>
  </si>
  <si>
    <t>704-051-322</t>
  </si>
  <si>
    <t>704-043-311</t>
  </si>
  <si>
    <t>7617495200</t>
  </si>
  <si>
    <t>4574979</t>
  </si>
  <si>
    <t>46480</t>
  </si>
  <si>
    <t>Шторка на лобовое стекло серебро 140х70см "NOVA BRIGHT"</t>
  </si>
  <si>
    <t>46481</t>
  </si>
  <si>
    <t>CA-551</t>
  </si>
  <si>
    <t>CA-605</t>
  </si>
  <si>
    <t>СА-945</t>
  </si>
  <si>
    <t>CA-480</t>
  </si>
  <si>
    <t>CA-168</t>
  </si>
  <si>
    <t>CA-556</t>
  </si>
  <si>
    <t>CA-559</t>
  </si>
  <si>
    <t>CA-160</t>
  </si>
  <si>
    <t>CA-74</t>
  </si>
  <si>
    <t>СА-953</t>
  </si>
  <si>
    <t>CA-980</t>
  </si>
  <si>
    <t>CA-557</t>
  </si>
  <si>
    <t>CA-518</t>
  </si>
  <si>
    <t>CA-553</t>
  </si>
  <si>
    <t>CA-164</t>
  </si>
  <si>
    <t>CA-950</t>
  </si>
  <si>
    <t>CA-138</t>
  </si>
  <si>
    <t>CА-131</t>
  </si>
  <si>
    <t>CA-221</t>
  </si>
  <si>
    <t>CA-119/SMR-825</t>
  </si>
  <si>
    <t>СА-150</t>
  </si>
  <si>
    <t>CА-121</t>
  </si>
  <si>
    <t>СА-108</t>
  </si>
  <si>
    <t>CA-117</t>
  </si>
  <si>
    <t>CА-102</t>
  </si>
  <si>
    <t>CА-103</t>
  </si>
  <si>
    <t>CА-120</t>
  </si>
  <si>
    <t>CА-122</t>
  </si>
  <si>
    <t>CA-123</t>
  </si>
  <si>
    <t>CA-222</t>
  </si>
  <si>
    <t>DW8449</t>
  </si>
  <si>
    <t>082666</t>
  </si>
  <si>
    <t>TL-342</t>
  </si>
  <si>
    <t>PU8590</t>
  </si>
  <si>
    <t>NP-002</t>
  </si>
  <si>
    <t>AT-6000</t>
  </si>
  <si>
    <t>U1P-17365-RUSS</t>
  </si>
  <si>
    <t>U1P-17152</t>
  </si>
  <si>
    <t>U1P-10605</t>
  </si>
  <si>
    <t>U1P-17121-RUSS</t>
  </si>
  <si>
    <t>10975-RUSS</t>
  </si>
  <si>
    <t>U1P-10348-RUSS</t>
  </si>
  <si>
    <t>U1P-10543</t>
  </si>
  <si>
    <t>U1P-10945</t>
  </si>
  <si>
    <t>U1P-10311-RUSS</t>
  </si>
  <si>
    <t>U1P-10324-RUSS</t>
  </si>
  <si>
    <t>U1P-10594-RUSS</t>
  </si>
  <si>
    <t>D-03</t>
  </si>
  <si>
    <t>D-01</t>
  </si>
  <si>
    <t>D-02</t>
  </si>
  <si>
    <t>D-04</t>
  </si>
  <si>
    <t>D-05</t>
  </si>
  <si>
    <t>D-07</t>
  </si>
  <si>
    <t>D-08</t>
  </si>
  <si>
    <t>D-09</t>
  </si>
  <si>
    <t>D-10</t>
  </si>
  <si>
    <t>k-01</t>
  </si>
  <si>
    <t>K-06</t>
  </si>
  <si>
    <t>D-12</t>
  </si>
  <si>
    <t>D-15</t>
  </si>
  <si>
    <t>D-11</t>
  </si>
  <si>
    <t>D-14</t>
  </si>
  <si>
    <t>D-13</t>
  </si>
  <si>
    <t>D-17</t>
  </si>
  <si>
    <t>Si-M-165</t>
  </si>
  <si>
    <t>704-051-316</t>
  </si>
  <si>
    <t>U1P-10282-RUSS</t>
  </si>
  <si>
    <t>BF-115</t>
  </si>
  <si>
    <t>704-051-306</t>
  </si>
  <si>
    <t>BL-12</t>
  </si>
  <si>
    <t>DP-208</t>
  </si>
  <si>
    <t>VA-0120</t>
  </si>
  <si>
    <t>054000</t>
  </si>
  <si>
    <t>046000</t>
  </si>
  <si>
    <t>DP-006</t>
  </si>
  <si>
    <t>HW-24</t>
  </si>
  <si>
    <t>HW-16</t>
  </si>
  <si>
    <t>K-02</t>
  </si>
  <si>
    <t>AT300</t>
  </si>
  <si>
    <t>BL-14</t>
  </si>
  <si>
    <t>UP-60</t>
  </si>
  <si>
    <t>UP-4016</t>
  </si>
  <si>
    <t>SHT-55</t>
  </si>
  <si>
    <t>SL-624-R</t>
  </si>
  <si>
    <t>СА-235</t>
  </si>
  <si>
    <t>TE-310</t>
  </si>
  <si>
    <t>Держатель для очков универсальный</t>
  </si>
  <si>
    <t>Ароматизатор "ABRO" Organic консерва Зеленое яблоко (Green Apple)</t>
  </si>
  <si>
    <t>71060</t>
  </si>
  <si>
    <t>Ароматизатор "ABRO" Organic консерва Апельсин (Orange)</t>
  </si>
  <si>
    <t>70003</t>
  </si>
  <si>
    <t>Ароматизатор "ABRO" Organic консерва Ваниль (Vanilla)</t>
  </si>
  <si>
    <t>70005</t>
  </si>
  <si>
    <t>Ароматизатор "ABRO" Organic консерва Бубль Гум / Лимонад (Bubble Gum / Lemonade)</t>
  </si>
  <si>
    <t>71369</t>
  </si>
  <si>
    <t>Ароматизатор "ABRO" Organic консерва Бубль Гум / Тутти Фрутти (Bubble Gum / Tutti Frutti)</t>
  </si>
  <si>
    <t>71373</t>
  </si>
  <si>
    <t>Ароматизатор "ABRO" Organic консерва Новая Машина (New Car)</t>
  </si>
  <si>
    <t>70001</t>
  </si>
  <si>
    <t>Ароматизатор "ABRO" Organic консерва Гардения (Gardenia)</t>
  </si>
  <si>
    <t>70007</t>
  </si>
  <si>
    <t>Ароматизатор "ABRO" Organic консерва Жасмин (Jasmine)</t>
  </si>
  <si>
    <t>70008</t>
  </si>
  <si>
    <t>Ароматизатор "ABRO" Organic консерва Клубника (Strawberry)</t>
  </si>
  <si>
    <t>70009</t>
  </si>
  <si>
    <t>Ароматизатор "ABRO" Organic консерва Кокос (Coconut)</t>
  </si>
  <si>
    <t>70010</t>
  </si>
  <si>
    <t>Ароматизатор "ABRO" Organic консерва Хлопок (Cotton)</t>
  </si>
  <si>
    <t>70011</t>
  </si>
  <si>
    <t>Ароматизатор "ABRO" Organic консерва Лаванда (Lavender)</t>
  </si>
  <si>
    <t>70012</t>
  </si>
  <si>
    <t>Ароматизатор "ABRO" Organic консерва Лимон (Lemon)</t>
  </si>
  <si>
    <t>70014</t>
  </si>
  <si>
    <t>Ароматизатор "ABRO" Organic консерва Освежающий Бриз (Refreshing Breeze)</t>
  </si>
  <si>
    <t>70015</t>
  </si>
  <si>
    <t>Ароматизатор "ABRO" Organic консерва Тропический Бриз (Tropicana Breeze)</t>
  </si>
  <si>
    <t>70018</t>
  </si>
  <si>
    <t>Ароматизатор "ABRO" Organic консерва Сосна (Pine)</t>
  </si>
  <si>
    <t>70019</t>
  </si>
  <si>
    <t>Ароматизатор "ABRO" Organic консерва Кофе (Coffee)</t>
  </si>
  <si>
    <t>71368</t>
  </si>
  <si>
    <t>Ароматизатор "ABRO" Organic консерва Дыня (Melon)</t>
  </si>
  <si>
    <t>71370</t>
  </si>
  <si>
    <t>Ароматизатор "ABRO" Organic консерва Морской Сквош (Squash)</t>
  </si>
  <si>
    <t>71642</t>
  </si>
  <si>
    <t>20198</t>
  </si>
  <si>
    <t>00-00006790</t>
  </si>
  <si>
    <t>00-00006792</t>
  </si>
  <si>
    <t>Штекер в прикуриватель 1 USB CarLive QC3.0 арт.CR-11 в упаковке</t>
  </si>
  <si>
    <t>Штекер в прикуриватель 1 USB Gar Charger арт.ES-13 с проводом зарядки на айфон</t>
  </si>
  <si>
    <t>Штекер в прикуриватель 1 USB REMAX / MRM  R-88 v8 с проводом Micro-usb андроид</t>
  </si>
  <si>
    <t>Штекер в прикуриватель 1 USB REMAX R-77 i5 с проводом Micro-usb айфон</t>
  </si>
  <si>
    <t>Штекер в прикуриватель 2 USB  MR-61A</t>
  </si>
  <si>
    <t>Штекер в прикуриватель 2 USB Borofone арт.BZ-12  с проводом зарядки на айфон</t>
  </si>
  <si>
    <t>Штекер в прикуриватель 2 USB Borofone арт.BZ-15  с проводом зарядки на айфон</t>
  </si>
  <si>
    <t>Штекер в прикуриватель 2 USB Borofone арт.BZ-15 LED дисплей</t>
  </si>
  <si>
    <t>00-00006791</t>
  </si>
  <si>
    <t>00-00006789</t>
  </si>
  <si>
    <t>Штекер в прикуриватель 2 USB CarLive арт.CR-20i в упаковке с проводом зарядки на айфон</t>
  </si>
  <si>
    <t>00-00006788</t>
  </si>
  <si>
    <t>Штекер в прикуриватель 2 USB CarLive арт.CR-20M в упаковке с проводом зарядки на андроид</t>
  </si>
  <si>
    <t>00-00006794</t>
  </si>
  <si>
    <t>00-00006793</t>
  </si>
  <si>
    <t>00-00006795</t>
  </si>
  <si>
    <t>00-00006796</t>
  </si>
  <si>
    <t>Лампа Игл Н4 60/55w white комплект  (1/6шт.)</t>
  </si>
  <si>
    <t>00-00006751</t>
  </si>
  <si>
    <t>00-00000224</t>
  </si>
  <si>
    <t>WD-40 400 г  (1/24шт)</t>
  </si>
  <si>
    <t>Автошампунь Астрохим AC-310 Суперпена 1л. (1/10шт.)</t>
  </si>
  <si>
    <t>Герметик прокладок ABRO 10AB синий, силиконовый 85г. 1/12шт.</t>
  </si>
  <si>
    <t>Герметик прокладок ABRO 11АВ красный, высокотемпературный 85г. 1/12шт.</t>
  </si>
  <si>
    <t>Герметик прокладок ABRO 12АВ черный, силиконовый 85г. 1/12шт.</t>
  </si>
  <si>
    <t>Герметик прокладок ABRO 13АВ прозрачный, силиконовый 85г. 1/12шт.</t>
  </si>
  <si>
    <t>00-00006784</t>
  </si>
  <si>
    <t>00-00006799</t>
  </si>
  <si>
    <t>Очиститель кожи  Grass 110396 триггер-спрей 600мл. (1/6шт.)</t>
  </si>
  <si>
    <t>00-00006579</t>
  </si>
  <si>
    <t>Очиститель кондиционеров ABRO арт.AC-100-AM-RE 540мл.</t>
  </si>
  <si>
    <t>00-00006770</t>
  </si>
  <si>
    <t>Очиститель салона Grass Textile cleaner 5,4 кг  арт.125228</t>
  </si>
  <si>
    <t>Очиститель салона Grass Universal-cleaner арт.110392 600мл. триггер-спрей (1/6шт)</t>
  </si>
  <si>
    <t>00-00005005</t>
  </si>
  <si>
    <t>Очиститель салона Vinet (концентрат) 2кг.</t>
  </si>
  <si>
    <t>00-00006740</t>
  </si>
  <si>
    <t>Очиститель стекол и зеркал Grass 110401 ANTIRAIN Антидождь 600мл</t>
  </si>
  <si>
    <t>Очиститель тормозов ABRO BC-400-AM-RE 400мл. (1/12шт)</t>
  </si>
  <si>
    <t>40007</t>
  </si>
  <si>
    <t>00-00006805</t>
  </si>
  <si>
    <t>Жидкий полимер Grass 110254 Hydro polymer professional 500мл</t>
  </si>
  <si>
    <t>00-00002401</t>
  </si>
  <si>
    <t>Полироль панели Плак Матовый 600мл. 5152 Лимон (1/24шт.)</t>
  </si>
  <si>
    <t>00-00006800</t>
  </si>
  <si>
    <t>Чернитель шин Grass арт.700670 Tire Polish 650мл. аэрозоль</t>
  </si>
  <si>
    <t>00-00006546</t>
  </si>
  <si>
    <t>Смазка адгезионная петельная AVS Crystal AVK-141 335мл арт.A78378S (1/12шт)</t>
  </si>
  <si>
    <t>00-00006339</t>
  </si>
  <si>
    <t>Смазка силиконовая Big D 500мл. арт.ASC9001 аэрозоль (1/12шт)</t>
  </si>
  <si>
    <t>00-00005016</t>
  </si>
  <si>
    <t>00-00006689</t>
  </si>
  <si>
    <t>Смазка силиконовая RE MARCO SILICONE OIL 400мл.арт.RM-749 (1/24шт.)</t>
  </si>
  <si>
    <t>00-00006769</t>
  </si>
  <si>
    <t>Смазка спрей консервант ABRO FO-400-AM-RE  400мл.</t>
  </si>
  <si>
    <t>Антигравий Астрохим АС-477 аэрозоль 520мл</t>
  </si>
  <si>
    <t>00-00006802</t>
  </si>
  <si>
    <t>00-00006803</t>
  </si>
  <si>
    <t>Жидкая резина Астрохим AC-652 (Прозрачный) аэрозоль 520мл</t>
  </si>
  <si>
    <t>00-00003048</t>
  </si>
  <si>
    <t>Холодная сварка Poxipol 700004366 два компонента прозрачный (красная уп.) 14мл/16гр    1/6шт.</t>
  </si>
  <si>
    <t>00-00003121</t>
  </si>
  <si>
    <t>Чернитель покрышек АстроХим СА-2655 аэрозоль 520мл</t>
  </si>
  <si>
    <t>00-00006804</t>
  </si>
  <si>
    <t>Чернитель резины Grass 110398 полирующие средства 250мл</t>
  </si>
  <si>
    <t>00-00006244</t>
  </si>
  <si>
    <t>Брелоки марка авто CHERY</t>
  </si>
  <si>
    <t>00-00003548</t>
  </si>
  <si>
    <t>Брелоки марка авто SSANGYONG</t>
  </si>
  <si>
    <t>00-00004223</t>
  </si>
  <si>
    <t>Держатель AVS АН-1710-М  магнитный A07115S в блистере</t>
  </si>
  <si>
    <t>Держатель AVS АН-2081-XP телескопический</t>
  </si>
  <si>
    <t>Держатель AVS АН-2107-D для телефона телескопический</t>
  </si>
  <si>
    <t>Держатель AVS АН-2121-C для телефона телескопический</t>
  </si>
  <si>
    <t>Держатель AVS АН-2155-C для телефона телескопический</t>
  </si>
  <si>
    <t>00-00006746</t>
  </si>
  <si>
    <t>00-00006756</t>
  </si>
  <si>
    <t>Держатель телефона Магнитный  CarLive SX-19</t>
  </si>
  <si>
    <t>00-00005077</t>
  </si>
  <si>
    <t>00-00005880</t>
  </si>
  <si>
    <t>Коврик влаговпитывающий AVS VK-01 (к-т 2шт.) 40*45см</t>
  </si>
  <si>
    <t>00-00002003</t>
  </si>
  <si>
    <t>00-00002006</t>
  </si>
  <si>
    <t>Массажер деревянный (к-т 2шт)</t>
  </si>
  <si>
    <t>00-00006777</t>
  </si>
  <si>
    <t>00-00006233</t>
  </si>
  <si>
    <t>Оплетка руля "Кожа" L дешовая (на шнурке) ВАЗ 2101-06</t>
  </si>
  <si>
    <t>Оплетка руля Nova Bright M арт.47561  Черная с синей прострочкой ромбиками  (1/25шт.)</t>
  </si>
  <si>
    <t>00-00002209</t>
  </si>
  <si>
    <t>Органайзер AVS-3055 серый для CD и документов</t>
  </si>
  <si>
    <t>00-00006448</t>
  </si>
  <si>
    <t>Подушка на подголовник автомобильного кресла (с мордашками)</t>
  </si>
  <si>
    <t>00-00004938</t>
  </si>
  <si>
    <t>00-00002585</t>
  </si>
  <si>
    <t>00-00006787</t>
  </si>
  <si>
    <t>Антенна наружная ТРИАДА МА 76-05 на магните пассивная</t>
  </si>
  <si>
    <t>00-00005468</t>
  </si>
  <si>
    <t>Ароматизатор AREON дом-авто "HOME PERFUMES" 85мл  Neroli</t>
  </si>
  <si>
    <t>00-00005473</t>
  </si>
  <si>
    <t>Ароматизатор AREON дом-авто "HOME PERFUMES" 85мл  Patchouli Lavender Vanilla</t>
  </si>
  <si>
    <t>00-00004652</t>
  </si>
  <si>
    <t>Ароматизатор AREON в дефлектор CAR 8мл. Платина (Platinum)</t>
  </si>
  <si>
    <t>Ароматизатор SLIM  на дефлектор н-р Альпийская свежесть + Бубль Гум  арт.SMGD-113</t>
  </si>
  <si>
    <t>Ароматизатор SLIM  на дефлектор н-р Новая машина + Дождь и роса  арт.SMGD-71</t>
  </si>
  <si>
    <t>Ароматизатор SLIM  на дефлектор н-р Океанский бриз + Золотая ваниль  арт.SMGD-61</t>
  </si>
  <si>
    <t>Ароматизатор SLIM  на дефлектор н-р Тропическая ночь + Морской цитрус арт.SMGD-18</t>
  </si>
  <si>
    <t>Ароматизатор SLIM картридж CK-One сквош SMRFL-189</t>
  </si>
  <si>
    <t>Ароматизатор SLIM картридж Вечерняя прохлада SMRFL-187</t>
  </si>
  <si>
    <t>Ароматизатор SLIM картридж Горный воздух SMRFL-188</t>
  </si>
  <si>
    <t>Ароматизатор SLIM картридж Кожа и дерево SMRFL-151</t>
  </si>
  <si>
    <t>Ароматизатор SLIM картридж Морская волна SMRFL-107</t>
  </si>
  <si>
    <t>Ароматизатор SLIM картридж Морской сквош SMRFL-91</t>
  </si>
  <si>
    <t>Ароматизатор SLIM картридж Новая машина SMRFL-71</t>
  </si>
  <si>
    <t>Ароматизатор SLIM картридж Океанский бриз SMRFL-61</t>
  </si>
  <si>
    <t>Ароматизатор SLIM картридж Соблазн SMRFL-127</t>
  </si>
  <si>
    <t>Ароматизатор SLIM картридж Супер ваниль SMRFL-92</t>
  </si>
  <si>
    <t>Ароматизатор SLIM картридж Тропическая дыня SMRFL-65</t>
  </si>
  <si>
    <t>Ароматизатор SLIM картридж Тропическая ночь SMRFL-18</t>
  </si>
  <si>
    <t>Ароматизатор SLIM картридж Тутти Фрутти SMRFL-115</t>
  </si>
  <si>
    <t>Ароматизатор SLIM картридж Феромоны страсти SMRFL-182</t>
  </si>
  <si>
    <t>00-00001275</t>
  </si>
  <si>
    <t>Ароматизатор SLIM картридж Черный лед SMRFL-74</t>
  </si>
  <si>
    <t>71363</t>
  </si>
  <si>
    <t>Ароматизатор AREON елочка Sport Lux Золото (Gold) 1/10шт.</t>
  </si>
  <si>
    <t>Ароматизатор AREON елочка Sport Lux Никель (Nickel) 1/10шт.</t>
  </si>
  <si>
    <t>Ароматизатор AREON елочка Sport Lux Платина (Platinum) 1/10шт.</t>
  </si>
  <si>
    <t>Ароматизатор AREON елочка Sport Lux Серебро (Silver) 1/10шт.</t>
  </si>
  <si>
    <t>Ароматизатор AREON елочка X  Version Vanilla Black 1/10шт.</t>
  </si>
  <si>
    <t>Ароматизатор AREON елочка X  Version Бабл Гам (Bubble Gum) 1/10шт.</t>
  </si>
  <si>
    <t>Ароматизатор AREON елочка X  Version Ваниль (Vanilla) 1/10шт.</t>
  </si>
  <si>
    <t>00-00004435</t>
  </si>
  <si>
    <t>Ароматизатор AREON елочка X  Version Вишня (Californian Cherry) 1/10шт.</t>
  </si>
  <si>
    <t>Ароматизатор AREON елочка X  Version Клубника (Strawberry) 1/10шт.</t>
  </si>
  <si>
    <t>Ароматизатор AREON елочка X  Version Кокос (Coconut) 1/10шт.</t>
  </si>
  <si>
    <t>Ароматизатор AREON елочка X  Version Летний сон (Summer Dream) 1/10шт.</t>
  </si>
  <si>
    <t>Ароматизатор AREON елочка X  Version Новая Машина (New Car) 1/10шт.</t>
  </si>
  <si>
    <t>Ароматизатор AREON елочка X  Version Тутти Фрутти (Tutti Frutti) 1/10шт.</t>
  </si>
  <si>
    <t>Ароматизатор AREON елочка Мон Vanilla Black 1/10шт.</t>
  </si>
  <si>
    <t>Ароматизатор AREON елочка Мон Vanilla Bubble 1/10шт.</t>
  </si>
  <si>
    <t>Ароматизатор AREON елочка Мон Vanilla Choco  1/10шт.</t>
  </si>
  <si>
    <t>Ароматизатор AREON елочка Мон Vanilla Mia 1/10шт.</t>
  </si>
  <si>
    <t>Ароматизатор AREON елочка Мон Арбуз (Watermelon) 1/10шт.</t>
  </si>
  <si>
    <t>Ароматизатор AREON елочка Мон Бабл Гам (Bubble Gum) 1/10шт.</t>
  </si>
  <si>
    <t>Ароматизатор AREON елочка Мон Беверли Хиллc (Beverly Hills) 1/10шт.</t>
  </si>
  <si>
    <t>Ароматизатор AREON елочка Мон Вечеринка (Party) 1/10шт.</t>
  </si>
  <si>
    <t>Ароматизатор AREON елочка Мон Зеленый чай - Лайм (Green Tea - Lime) 1/10шт.</t>
  </si>
  <si>
    <t>Ароматизатор AREON елочка Мон Кожаный салон (Leather Interior) 1/10шт.</t>
  </si>
  <si>
    <t>Ароматизатор AREON елочка Мон Ландыш (Lily of the Valley) 1/10шт.</t>
  </si>
  <si>
    <t>Ароматизатор AREON елочка Мон Летний сон (Summer Dream) 1/10шт.</t>
  </si>
  <si>
    <t>Ароматизатор AREON елочка Мон Пачули-Лаванда-Ваниль (Patchouli-Lavander-Vanilla) 1/10шт.</t>
  </si>
  <si>
    <t>Ароматизатор AREON елочка Мон Пляж Майами (Miami Beach) 1/10шт.</t>
  </si>
  <si>
    <t>Ароматизатор AREON елочка Мон Роза (Ma Rose) 1/10шт.</t>
  </si>
  <si>
    <t>Ароматизатор AREON елочка Мон РОССИЯ 1/10шт.</t>
  </si>
  <si>
    <t>Ароматизатор AREON елочка Мон Свежесть гор (Mountain Fresh) 1/10шт.</t>
  </si>
  <si>
    <t>Ароматизатор AREON елочка Мон Сирень (Lilac) 1/10шт.</t>
  </si>
  <si>
    <t>Ароматизатор AREON елочка Мон Сквош (Yuzu Squash) 1/10шт.</t>
  </si>
  <si>
    <t>Ароматизатор AREON елочка Мон Черный Кристалл (Black Crystal) 1/10шт.</t>
  </si>
  <si>
    <t>Ароматизатор AREON елочка Фреш Антитабак (No Smoking) 1/10шт.</t>
  </si>
  <si>
    <t>Ароматизатор AREON елочка Фреш Ваниль (Vanilla) 1/10шт.</t>
  </si>
  <si>
    <t>Ароматизатор AREON елочка Фреш Зеленое яблоко (Green Apple) 1/10шт.</t>
  </si>
  <si>
    <t>Ароматизатор AREON елочка Фреш Клубника (Strawberry) 1/10шт.</t>
  </si>
  <si>
    <t>00-00000539</t>
  </si>
  <si>
    <t>Ароматизатор AREON елочка Фреш Кокос (Coconut) 1/10шт.</t>
  </si>
  <si>
    <t>Ароматизатор AREON елочка Фреш Кофе (Coffee) 1/10шт.</t>
  </si>
  <si>
    <t>Ароматизатор AREON елочка Фреш Лимон (Lemon) 1/10шт.</t>
  </si>
  <si>
    <t>Ароматизатор AREON елочка Фреш Океан (Ocean) 1/10шт.</t>
  </si>
  <si>
    <t>Ароматизатор AREON елочка Фреш Персик (Peach) 1/10шт.</t>
  </si>
  <si>
    <t>Ароматизатор AREON елочка Фреш Тутти Фрутти (Tutti Frutti) 1/10шт.</t>
  </si>
  <si>
    <t>Ароматизатор AREON елочка Х Дыня (Melon) 1/10шт.</t>
  </si>
  <si>
    <t>Ароматизатор AREON елочка Х Летний сон (Summer Dream) 1/10шт.</t>
  </si>
  <si>
    <t>Ароматизатор AREON елочка Х Сирень (Lilac) 1/10шт.</t>
  </si>
  <si>
    <t>Ароматизатор AREON елочка Х Черный кристалл (Black Crystal) 1/10шт.</t>
  </si>
  <si>
    <t>Ароматизатор AREON подвесной Смайл Антитабак (No Smoking) арт.ASD17 1/10шт.</t>
  </si>
  <si>
    <t>Ароматизатор AREON подвесной Смайл Бабл Гам (Bubble Gum) арт.ASD12 1/10шт.</t>
  </si>
  <si>
    <t>Ароматизатор AREON подвесной Смайл Беверли-Хиллз (Beverly Hills) арт.ASD25 1/10шт.</t>
  </si>
  <si>
    <t>Ароматизатор AREON подвесной Смайл Ваниль (Vanilla) арт.ASD11 1/10шт.</t>
  </si>
  <si>
    <t>Ароматизатор AREON подвесной Смайл Кокос (Coconut) арт.ASD20 1/10шт.</t>
  </si>
  <si>
    <t>Ароматизатор AREON подвесной Смайл Летний Сон (Summer Dream) арт.ASD23 1/10шт.</t>
  </si>
  <si>
    <t>Ароматизатор AREON подвесной Смайл Новая машина (New Car) арт.ASD21 1/10шт.</t>
  </si>
  <si>
    <t>Ароматизатор AREON подвесной Смайл Свежий воздух (Fresh Air) арт.ASD18 1/10шт.</t>
  </si>
  <si>
    <t>Ароматизатор AREON подвесной Смайл Тутти Фрутти (Tutti Frutti) арт.ASD14 1/10шт.</t>
  </si>
  <si>
    <t>Ароматизатор AREON подвесной Смайл Черная Ваниль (Vanilla Black) арт.ASD22 1/10шт.</t>
  </si>
  <si>
    <t>Ароматизатор AREON подвесной Смайл Черный Кристалл (Black Crystal) арт.ASD19 1/10шт.</t>
  </si>
  <si>
    <t>Ароматизатор AREON подвесной Смайл Яблоко и корица (Apple &amp; Cinnamon) арт.ASD24 1/10шт.</t>
  </si>
  <si>
    <t>00-00003863</t>
  </si>
  <si>
    <t>Ароматизатор AROMA елочка Top Line Мужские ароматы №11 (Blue Label)</t>
  </si>
  <si>
    <t>00-00003876</t>
  </si>
  <si>
    <t>Ароматизатор AROMA елочка Top Line Мужские ароматы №39 (212 VIP)</t>
  </si>
  <si>
    <t>00-00003880</t>
  </si>
  <si>
    <t>Ароматизатор AROMA елочка Top Line Мужские ароматы №47 (Invictus)</t>
  </si>
  <si>
    <t>00-00005906</t>
  </si>
  <si>
    <t>Ароматизатор AURA FRESH флакон с деревянной крышкой "ENERGY" арт.23393 COLA</t>
  </si>
  <si>
    <t>00-00005168</t>
  </si>
  <si>
    <t>Ароматизатор AURA FRESH флакон с деревянной крышкой "Prime Cap - №5" арт.23153</t>
  </si>
  <si>
    <t>Ароматизатор CONTEX елочка  " С Новым годом !  Sex наша работа 1/10шт.</t>
  </si>
  <si>
    <t>Ароматизатор CONTEX елочка  " С Новым годом !  Warning Sexoholig 1/10шт.</t>
  </si>
  <si>
    <t>Ароматизатор CONTEX елочка Sex First (Прохлада ночного сада) лаванда 1/10шт.</t>
  </si>
  <si>
    <t>Ароматизатор CONTEX елочка Sex on Board (Грейфрукт с лепестками розы) 1/10шт.</t>
  </si>
  <si>
    <t>Ароматизатор CONTEX елочка Sex Queen (Cладость цветочных лепестков) 1/10шт.</t>
  </si>
  <si>
    <t>Ароматизатор CONTEX елочка Sex Наша Работа (Эйфория цветов и фруктов) 1/10шт.</t>
  </si>
  <si>
    <t>Ароматизатор CONTEX елочка The SexMafia (Древесно-цветочная свежесть) 1/10шт.</t>
  </si>
  <si>
    <t>Ароматизатор CONTEX елочка Warning Sexogolik (Ваниль, восточные сладости) 1/10шт.</t>
  </si>
  <si>
    <t>71935</t>
  </si>
  <si>
    <t>00-00006735</t>
  </si>
  <si>
    <t>Ароматизатор CONTRA елочка SEX LINE арт.K-15 "Sex Lady"</t>
  </si>
  <si>
    <t>00-00006719</t>
  </si>
  <si>
    <t>Ароматизатор ION neo флакон с деревянной крышкой  арт.IP-01 RED 1</t>
  </si>
  <si>
    <t>00-00006720</t>
  </si>
  <si>
    <t>Ароматизатор ION neo флакон с деревянной крышкой  арт.IP-03 GREEN 3</t>
  </si>
  <si>
    <t>00-00006721</t>
  </si>
  <si>
    <t>Ароматизатор ION neo флакон с деревянной крышкой  арт.IP-04 ORANGE 4</t>
  </si>
  <si>
    <t>00-00006722</t>
  </si>
  <si>
    <t>Ароматизатор ION neo флакон с деревянной крышкой  арт.IP-05 SILVER 5</t>
  </si>
  <si>
    <t>00-00006723</t>
  </si>
  <si>
    <t>Ароматизатор ION neo флакон с деревянной крышкой  арт.IP-06 VELVET 6</t>
  </si>
  <si>
    <t>00-00006724</t>
  </si>
  <si>
    <t>Ароматизатор ION neo флакон с деревянной крышкой  арт.IP-08 GOLD 8</t>
  </si>
  <si>
    <t>00-00006725</t>
  </si>
  <si>
    <t>Ароматизатор ION neo флакон с деревянной крышкой  арт.IP-10 BRONZE 10</t>
  </si>
  <si>
    <t>00-00006726</t>
  </si>
  <si>
    <t>Ароматизатор ION neo флакон с деревянной крышкой  арт.IP-12 PINK GOLD 12</t>
  </si>
  <si>
    <t>1/16/48/48 шт</t>
  </si>
  <si>
    <t>00-00006766</t>
  </si>
  <si>
    <t>Ароматизатор TASOTTI банка на панель Престиж Бабл Гам (Bubble Gum)</t>
  </si>
  <si>
    <t>00-00006767</t>
  </si>
  <si>
    <t>Ароматизатор TASOTTI банка на панель Престиж Босс (Boss)</t>
  </si>
  <si>
    <t>00-00001310</t>
  </si>
  <si>
    <t>Ароматизатор TASOTTI банка на панель Престиж Грейпфрут (Grapefruit)</t>
  </si>
  <si>
    <t>00-00006763</t>
  </si>
  <si>
    <t>Ароматизатор TASOTTI банка на панель Престиж Кофе с молоком (Milk Coffee)</t>
  </si>
  <si>
    <t>1/48/16 шт</t>
  </si>
  <si>
    <t>00-00006764</t>
  </si>
  <si>
    <t>Ароматизатор TASOTTI банка на панель Престиж Красавчик (Sexy Boy)</t>
  </si>
  <si>
    <t>00-00006768</t>
  </si>
  <si>
    <t>Ароматизатор TASOTTI банка на панель Престиж Парфюм (Faith Perfumes)</t>
  </si>
  <si>
    <t>00-00001319</t>
  </si>
  <si>
    <t>Ароматизатор TASOTTI банка на панель Престиж Цитруслэндт (Citrusland)</t>
  </si>
  <si>
    <t>00-00001303</t>
  </si>
  <si>
    <t>Ароматизатор TASOTTI банка на панель Престиж Черный (Black)</t>
  </si>
  <si>
    <t>00-00006765</t>
  </si>
  <si>
    <t>Ароматизатор TASOTTI банка на панель Престиж Японская вишня (Japanese Cherry)</t>
  </si>
  <si>
    <t>00-00006762</t>
  </si>
  <si>
    <t>Ароматизатор TASOTTI спрей на панель Куб Бабл Гам (Bubble Gum)</t>
  </si>
  <si>
    <t>00-00000727</t>
  </si>
  <si>
    <t>Ароматизатор BIG FRESH под сиденье Антитабак (1/40шт.)</t>
  </si>
  <si>
    <t>00-00005728</t>
  </si>
  <si>
    <t>Ароматизатор AURA FRESH спрей " PUMP" Coffee (Кофе) 50мл. арт.23365</t>
  </si>
  <si>
    <t>1/10/168 шт</t>
  </si>
  <si>
    <t>72251</t>
  </si>
  <si>
    <t>70013</t>
  </si>
  <si>
    <t>00-00006560</t>
  </si>
  <si>
    <t>Изолента City UP CA-151915BL синяя (15м*19мм*0,15мм)  1/10шт.</t>
  </si>
  <si>
    <t>00-00001793</t>
  </si>
  <si>
    <t>Изолента ZEBRA 19мм*25м черная  1/10шт.</t>
  </si>
  <si>
    <t>00-00001869</t>
  </si>
  <si>
    <t>Ключ трубка 10-12*</t>
  </si>
  <si>
    <t>00-00001868</t>
  </si>
  <si>
    <t>Ключ трубка 8-10*</t>
  </si>
  <si>
    <t>00-00006778</t>
  </si>
  <si>
    <t>Мультитул - раскладной набор инструментов в едином корпусе</t>
  </si>
  <si>
    <t>00-00006760</t>
  </si>
  <si>
    <t>Отвертка большая крестовая Флаг арт.ОТ-028</t>
  </si>
  <si>
    <t>00-00001921</t>
  </si>
  <si>
    <t>Компрессор автомобильный AVS Turbo КЕ 450L арт.80978S (1/6шт)</t>
  </si>
  <si>
    <t>00-00001929</t>
  </si>
  <si>
    <t>Компрессор автомобильный MAAS Торнадо АС-585 (1/6шт)</t>
  </si>
  <si>
    <t>Аптечка ФЭСТ  автомобильная Новый состав (перчатки,маска) арт.2125 / 2124</t>
  </si>
  <si>
    <t>00-00006759</t>
  </si>
  <si>
    <t>Трос буксировочный Алекс 2,5т две петли красный г.Обнинск</t>
  </si>
  <si>
    <t>00-00006398</t>
  </si>
  <si>
    <t>Скотч двухсторонний прозрачный  3М  6 мм*5 м   1/20шт.</t>
  </si>
  <si>
    <t>00-00002814</t>
  </si>
  <si>
    <t>Стяжка груза Полярник 2т-4т 10м</t>
  </si>
  <si>
    <t>00-00002819</t>
  </si>
  <si>
    <t>Стяжка груза Полярник 4т-8т 12м</t>
  </si>
  <si>
    <t>00-00002816</t>
  </si>
  <si>
    <t>Стяжка груза Полярник 4т-8т 6м</t>
  </si>
  <si>
    <t>00-00002817</t>
  </si>
  <si>
    <t>Стяжка груза Полярник 4т-8т 8м</t>
  </si>
  <si>
    <t>00-00006772</t>
  </si>
  <si>
    <t>Бита бейсбольная 17</t>
  </si>
  <si>
    <t>00-00001433</t>
  </si>
  <si>
    <t>Бита бейсбольная 20</t>
  </si>
  <si>
    <t>00-00006773</t>
  </si>
  <si>
    <t>Бита бейсбольная 22</t>
  </si>
  <si>
    <t>00-00006771</t>
  </si>
  <si>
    <t>Бита бейсбольная 24</t>
  </si>
  <si>
    <t>00-00002873</t>
  </si>
  <si>
    <t>Тонировка H2M Hummer 25% (75см*3м)  (1/20шт.)</t>
  </si>
  <si>
    <t>00-00004878</t>
  </si>
  <si>
    <t>Тонировка H2M Hummer 39% (50см*3м)</t>
  </si>
  <si>
    <t>00-00004879</t>
  </si>
  <si>
    <t>Тонировка H2M Hummer 39% (75см*3м)</t>
  </si>
  <si>
    <t>00-00002895</t>
  </si>
  <si>
    <t>Тонировка MTF  3% 75см*3м</t>
  </si>
  <si>
    <t>00-00002793</t>
  </si>
  <si>
    <t>Стропа динамическая Полярник 5т-6м  (1/8шт.)</t>
  </si>
  <si>
    <t>00-00000258</t>
  </si>
  <si>
    <t>Аккумулятор холода AVS IG-200ml. арт.80707</t>
  </si>
  <si>
    <t>1/52 шт</t>
  </si>
  <si>
    <t>00-00001989</t>
  </si>
  <si>
    <t>Салфетка микрофибра City UP CA-112VNP 60*90см без упаковки  (1/100шт.)</t>
  </si>
  <si>
    <t>00-00006312</t>
  </si>
  <si>
    <t>00-00006797</t>
  </si>
  <si>
    <t>Салфетка микрофибра City UP CA-141 Magneto  25*25см (к-т 2шт.)</t>
  </si>
  <si>
    <t>00-00006798</t>
  </si>
  <si>
    <t>Салфетка микрофибра City UP CA-143 Magneto  25*25см (к-т 6шт.)</t>
  </si>
  <si>
    <t>00-00006781</t>
  </si>
  <si>
    <t>Мешки для колес</t>
  </si>
  <si>
    <t>00-00006545</t>
  </si>
  <si>
    <t>Мешки для колес AVS МК-1222 (к-т 4шт) размер 115*115 см (1/30шт.)</t>
  </si>
  <si>
    <t>28009</t>
  </si>
  <si>
    <t>27011</t>
  </si>
  <si>
    <t>00-00003196</t>
  </si>
  <si>
    <t>Щетка д/мытья авто City UP СА-608  (1/14шт.)</t>
  </si>
  <si>
    <t>00-00005341</t>
  </si>
  <si>
    <t>Скребок LS-275 арт.39921</t>
  </si>
  <si>
    <t>00-00005350</t>
  </si>
  <si>
    <t>Щетка зимняя LS-207 арт.39901 со скребком,поролоновая ручка 72 см (1/12шт)</t>
  </si>
  <si>
    <t>00-00006214</t>
  </si>
  <si>
    <t>Щетка стеклоочистителя HITO SMART  24"/60см арт.23222 бескаркасная</t>
  </si>
  <si>
    <t>00-00005555</t>
  </si>
  <si>
    <t>Щетка стеклоочистителя AVS Hybrid Line 26"/65см</t>
  </si>
  <si>
    <t>00-00002503</t>
  </si>
  <si>
    <t>Пылесгон микрофибра City UP CA-164 с силиконовой пропиткой</t>
  </si>
  <si>
    <t>00-00001521</t>
  </si>
  <si>
    <t>Вилка в розетку с USB арт. A1400 аналог</t>
  </si>
  <si>
    <t>00-00006573</t>
  </si>
  <si>
    <t>Кабель USB Hoco X-20 Type-C 2м. в упаковке</t>
  </si>
  <si>
    <t>00-00006780</t>
  </si>
  <si>
    <t>00-00006749</t>
  </si>
  <si>
    <t>Фонарик на лоб H-156 гибкий светодиод</t>
  </si>
  <si>
    <t>00-00006750</t>
  </si>
  <si>
    <t>Фонарик на лоб H-157 гибкий светодиод</t>
  </si>
  <si>
    <t>00-00004918</t>
  </si>
  <si>
    <t>Фонарик ручной POLICE Y-1-1103</t>
  </si>
  <si>
    <t>00-00003528</t>
  </si>
  <si>
    <t>00-00006754</t>
  </si>
  <si>
    <t>Фонарь кемпинговый светодиодный аккумуляторный HG-1664</t>
  </si>
  <si>
    <t>AS-560-PI</t>
  </si>
  <si>
    <t>AS-560-TB</t>
  </si>
  <si>
    <t>AS-560-FB</t>
  </si>
  <si>
    <t>https://autobel.pro/catalog/aromatizatory_vozdukha/abro_aromatizatory_/aromatizator_na_panel_keramika_banka_metall_organic_roza_rose_42_gr_abro_as_560_ro_1_24/</t>
  </si>
  <si>
    <t>https://autobel.pro/catalog/aromatizatory_vozdukha/abro_aromatizatory_/aromatizator_na_panel_keramika_banka_metall_organic_lyegkiy_briz_coolbreeze_42_gr_abro_as_560_cb/</t>
  </si>
  <si>
    <t>https://autobel.pro/catalog/aromatizatory_vozdukha/abro_aromatizatory_/aromatizator_na_panel_keramika_banka_metall_organic_bublgum_klubnika_42_gr_abro_1_24/</t>
  </si>
  <si>
    <t>AS-560-VA</t>
  </si>
  <si>
    <t>AS-560-CT-R</t>
  </si>
  <si>
    <t>AS-560-GA</t>
  </si>
  <si>
    <t>AS-560-OR</t>
  </si>
  <si>
    <t>AS-560-BG-LM-RE-12</t>
  </si>
  <si>
    <t>AS-560-BG-TF-RE-12</t>
  </si>
  <si>
    <t>AS-560-NC</t>
  </si>
  <si>
    <t>AS-560-GR</t>
  </si>
  <si>
    <t>AS-560-JA</t>
  </si>
  <si>
    <t>AS-560-ST</t>
  </si>
  <si>
    <t>AS-560-СO</t>
  </si>
  <si>
    <t>AS-560-LA</t>
  </si>
  <si>
    <t>AS-560-WB</t>
  </si>
  <si>
    <t>AS-560-LE</t>
  </si>
  <si>
    <t>AS-560-CF-RE</t>
  </si>
  <si>
    <t>AS-560-ME-RE-12</t>
  </si>
  <si>
    <t>AS-560-SQ-R</t>
  </si>
  <si>
    <t>DL-08</t>
  </si>
  <si>
    <t>8961</t>
  </si>
  <si>
    <t>28006</t>
  </si>
  <si>
    <t>71882</t>
  </si>
  <si>
    <t>50600</t>
  </si>
  <si>
    <t>115DB</t>
  </si>
  <si>
    <t>SY-429</t>
  </si>
  <si>
    <t>НС-988</t>
  </si>
  <si>
    <t>SLMV-71</t>
  </si>
  <si>
    <t>CA-610BIG</t>
  </si>
  <si>
    <t>SIS-111</t>
  </si>
  <si>
    <t>AS-560-BG-ST-RE</t>
  </si>
  <si>
    <t>Полироль для пластика "Contra" Warning Sexoholic (1000 мл)</t>
  </si>
  <si>
    <t>Полироль для пластика "Contra" Sex Наша Работа (1000 мл)</t>
  </si>
  <si>
    <t>Коврик "ScidProof" на панель приборов, c бортиками</t>
  </si>
  <si>
    <t>Ароматизатор "ABRO" Organic консерва Лесная ягода (Wild Berry)</t>
  </si>
  <si>
    <t>Ароматизатор "ABRO" Organic консерва БубльГум-Клубника (Buble Gum-Strawberries)</t>
  </si>
  <si>
    <t>Ароматизатор "ABRO" Organic консерва Лёгкий бриз (CoolBreeze)</t>
  </si>
  <si>
    <t>AS-560-CB</t>
  </si>
  <si>
    <t>70017</t>
  </si>
  <si>
    <t>Ароматизатор "ABRO" Organic консерва Роза (ROSE)</t>
  </si>
  <si>
    <t>AS-560-RO</t>
  </si>
  <si>
    <t>70016</t>
  </si>
  <si>
    <t>Огнетушитель порошковый "Ярпожинвест" ОП-2 (АВСЕ, 2 кг)</t>
  </si>
  <si>
    <t>14034</t>
  </si>
  <si>
    <t>Огнетушитель автомобильный, порошковый (1.5 кг)</t>
  </si>
  <si>
    <t>14019</t>
  </si>
  <si>
    <t>Освежитель воздуха "Areon" Vanilla Choco</t>
  </si>
  <si>
    <t>МА04</t>
  </si>
  <si>
    <t>71096</t>
  </si>
  <si>
    <t>GH-WG8</t>
  </si>
  <si>
    <t>00-00004394</t>
  </si>
  <si>
    <t>Пылесос автомобильный ALCA арт.221000  12В/60W (шнур 4м)</t>
  </si>
  <si>
    <t>00-00003533</t>
  </si>
  <si>
    <t>Пылесос автомобильный ALCA арт.222000 с влажной/сухой уборкой 12В/60W (шнур 4м)</t>
  </si>
  <si>
    <t>Разветвитель прикуривателя NO-1635 Olesson на 3 гнезда 2USB с проводом,кнопкой 100W</t>
  </si>
  <si>
    <t>Разветвитель прикуривателя NO-1636 Olesson на 3 гнезда 2USB с проводом 100W</t>
  </si>
  <si>
    <t>Рация Радиостанция Связь М-333</t>
  </si>
  <si>
    <t>00-00006508</t>
  </si>
  <si>
    <t>Штекер в прикуриватель 2 USB CarLive MR-55A в упаковке</t>
  </si>
  <si>
    <t>Штекер в прикуриватель с вольтметром с 2 USB арт.RV-017</t>
  </si>
  <si>
    <t>00-00002792</t>
  </si>
  <si>
    <t>Стоп сигнал дополнительный 60 диодов</t>
  </si>
  <si>
    <t>00-00006861</t>
  </si>
  <si>
    <t>Автошампунь AVS Crystal AVK-001 с воском 500мл (1/12шт)</t>
  </si>
  <si>
    <t>00-00006859</t>
  </si>
  <si>
    <t>Автошампунь AVS Crystal AVK-006 Универсальный (апельсин) 500мл (1/12шт)</t>
  </si>
  <si>
    <t>00-00006860</t>
  </si>
  <si>
    <t>Автошампунь AVS Crystal AVK-007 Универсальный (яблоко) 500мл (1/12шт)</t>
  </si>
  <si>
    <t>00-00006858</t>
  </si>
  <si>
    <t>Автошампунь AVS Crystal AVK-008 Суперпена 500мл (1/12шт)</t>
  </si>
  <si>
    <t>00-00000245</t>
  </si>
  <si>
    <t>Автошампунь Астрохим AC-330 для бесконтактной мойки 1л. (1/10шт.)</t>
  </si>
  <si>
    <t>00-00006807</t>
  </si>
  <si>
    <t>Герметик радиатора ABRO MASTERS SL-354-AM-RE жидкий 354мл.</t>
  </si>
  <si>
    <t>00-00006711</t>
  </si>
  <si>
    <t>Клей AVS AVK-128 эпоксидный,термостойкий 80г арт.A7830S</t>
  </si>
  <si>
    <t>Клей AVS AVK-129 эпоксидный,усиленный 80г (суперпрочный) арт.A78321S</t>
  </si>
  <si>
    <t>00-00006868</t>
  </si>
  <si>
    <t>Клей AVS AVK-170 быстродействующий 3гр 1/12шт</t>
  </si>
  <si>
    <t>00-00006869</t>
  </si>
  <si>
    <t>Клей AVS AVK-171 сверхпрочный 3гр 1/12шт</t>
  </si>
  <si>
    <t>Клей City UP UP-81 быстродействующий 3г.  1/12шт</t>
  </si>
  <si>
    <t>00-00002772</t>
  </si>
  <si>
    <t>Средство д/бесконт. мойки Grass 113140 Active Foam Power 1л. (1/12шт.)</t>
  </si>
  <si>
    <t>00-00002279</t>
  </si>
  <si>
    <t>Очиститель (концентрат жидкости) стекол AVS Crystal AVK-035 Мухомой 1л</t>
  </si>
  <si>
    <t>00-00006857</t>
  </si>
  <si>
    <t>Очиститель (концентрат жидкости) стекол AVS Crystal AVK-838 Бабл Гам 250мл (1/15шт)</t>
  </si>
  <si>
    <t>00-00006862</t>
  </si>
  <si>
    <t>Очиститель (концентрат жидкости) стекол AVS Crystal AVK-839 Лесные ягоды 250мл (1/15шт)</t>
  </si>
  <si>
    <t>00-00006863</t>
  </si>
  <si>
    <t>Очиститель (концентрат жидкости) стекол AVS Crystal AVK-840 Яблоко-дыня 250мл (1/15шт)</t>
  </si>
  <si>
    <t>00-00002228</t>
  </si>
  <si>
    <t>Очиститель битумных пятен АстроХим СА-395 спрей 500мл. (1/12шт.)</t>
  </si>
  <si>
    <t>00-00002235</t>
  </si>
  <si>
    <t>Очиститель двигателя AVS Crystal AVK-037 спрей 500мл (1/12шт)</t>
  </si>
  <si>
    <t>Очиститель двигателя АстроХим СА-385 спрей 500мл (1/12шт)</t>
  </si>
  <si>
    <t>00-00006864</t>
  </si>
  <si>
    <t>Очиститель карбюратора AVS Crystal AVK-045 аэрозоль 335мл. (1/12шт)</t>
  </si>
  <si>
    <t>00-00004945</t>
  </si>
  <si>
    <t>Очиститель кондиционеров Плак AIRCLIM Atas, 150 мл.( дымовая шашка)</t>
  </si>
  <si>
    <t>00-00006865</t>
  </si>
  <si>
    <t>Очиститель от тополиных почек и птичьего помета AVS Crystal AVK-056 триггер 500мл.(1/12шт)</t>
  </si>
  <si>
    <t>Очиститель пластика,винила и резины AVS Crystal AVK-038 спрей 500мл (1/12шт)</t>
  </si>
  <si>
    <t>00-00006785</t>
  </si>
  <si>
    <t>Очиститель салона пенный с щеткой "RE MARCO" 750мл.</t>
  </si>
  <si>
    <t>00-00002293</t>
  </si>
  <si>
    <t>Очиститель тормозной системы City UP СА-825 аэрозоль 840мл (1/12шт)</t>
  </si>
  <si>
    <t>00-00006340</t>
  </si>
  <si>
    <t>Очиститель тормозов и механизмов сцепления и электрооборудования Big D 500мл.</t>
  </si>
  <si>
    <t>Очиститель электрических контактов ABRO EC-533-210-AM-RE  160г (1/24шт)</t>
  </si>
  <si>
    <t>00-00006872</t>
  </si>
  <si>
    <t>Очиститель-кондиционер кожи AVS Crystal AVK-652 триггер 250мл (1/15шт)</t>
  </si>
  <si>
    <t>00-00005614</t>
  </si>
  <si>
    <t>00-00006809</t>
  </si>
  <si>
    <t>Средство для удаления этикеток и наклеек ABRO MASTERS SR-400-AM-RE 400мл.</t>
  </si>
  <si>
    <t>Паста притирочная для клапанов ВМП-Авто Алмазная 10г (1/60шт.)</t>
  </si>
  <si>
    <t>Паста притирочная для клапанов ВМП-Авто Алмазная 40г (1/50шт.)</t>
  </si>
  <si>
    <t>Авто-пластилин Эффект 300 г</t>
  </si>
  <si>
    <t>Авто-пластилин Эффект 500 г</t>
  </si>
  <si>
    <t>00-00002355</t>
  </si>
  <si>
    <t>Полироль кузова Астрохим СА-8010 Golden Wax Антицарапин 100мл</t>
  </si>
  <si>
    <t>00-00006866</t>
  </si>
  <si>
    <t>Полироль кузова-паста "антицарапин" AVS Crystal AVK-071 туба 100мл (1/18шт)</t>
  </si>
  <si>
    <t>00-00006270</t>
  </si>
  <si>
    <t>00-00006261</t>
  </si>
  <si>
    <t>Полироль панели "RE MARCO" 750мл. RM-801 ВИШНЯ</t>
  </si>
  <si>
    <t>00-00006264</t>
  </si>
  <si>
    <t>Полироль панели "RE MARCO" 750мл. RM-802 КЛУБНИКА</t>
  </si>
  <si>
    <t>00-00006262</t>
  </si>
  <si>
    <t>Полироль панели "RE MARCO" 750мл. RM-803 ЛИМОН</t>
  </si>
  <si>
    <t>00-00006267</t>
  </si>
  <si>
    <t>Полироль панели "RE MARCO" 750мл. RM-804 ПЕРСИК</t>
  </si>
  <si>
    <t>00-00006827</t>
  </si>
  <si>
    <t>Полироль панели "RE MARCO" 750мл. RM-805 ГРАНАТ</t>
  </si>
  <si>
    <t>00-00006263</t>
  </si>
  <si>
    <t>Полироль панели "RE MARCO" 750мл. RM-806 АРБУЗ</t>
  </si>
  <si>
    <t>00-00006265</t>
  </si>
  <si>
    <t>Полироль панели "RE MARCO" 750мл. RM-807 ВИНОГРАД</t>
  </si>
  <si>
    <t>00-00006260</t>
  </si>
  <si>
    <t>Полироль панели "RE MARCO" 750мл. RM-808 BUBBLE GUM</t>
  </si>
  <si>
    <t>00-00006269</t>
  </si>
  <si>
    <t>Полироль панели "RE MARCO" 750мл. RM-809 ФРАНЦУЗКИЙ ПАРФЮМ</t>
  </si>
  <si>
    <t>00-00006266</t>
  </si>
  <si>
    <t>Полироль панели "RE MARCO" 750мл. RM-810 ОКЕАН</t>
  </si>
  <si>
    <t>00-00006259</t>
  </si>
  <si>
    <t>00-00006337</t>
  </si>
  <si>
    <t>Полироль панели "RE MARCO" Brilliant shine 200мл.</t>
  </si>
  <si>
    <t>00-00005768</t>
  </si>
  <si>
    <t>Полироль панели AVS глянцевый блеск арт.AVK-610  Зеленый чай 250мл. (1/15шт.) триггер</t>
  </si>
  <si>
    <t>00-00005770</t>
  </si>
  <si>
    <t>Полироль панели AVS глянцевый блеск арт.AVK-611  Кокос 250мл. (1/15шт.) триггер</t>
  </si>
  <si>
    <t>00-00005773</t>
  </si>
  <si>
    <t>Полироль панели AVS глянцевый блеск арт.AVK-618  Ваниль 250мл. (1/15шт.) триггер</t>
  </si>
  <si>
    <t>00-00005774</t>
  </si>
  <si>
    <t>Полироль панели AVS глянцевый блеск арт.AVK-619  Bubble Gum 250мл. (1/15шт.) триггер</t>
  </si>
  <si>
    <t>00-00006867</t>
  </si>
  <si>
    <t>Полироль фар AVS Crystal AVK-066 туба 100мл (1/18шт)</t>
  </si>
  <si>
    <t>00-00006873</t>
  </si>
  <si>
    <t>RM-40 Многофункциональное смазочное средство 300мл. арт.RM-769 (1/24шт.)</t>
  </si>
  <si>
    <t>00-00006874</t>
  </si>
  <si>
    <t>RM-40 Многофункциональное смазочное средство 540мл. арт.RM-768 (1/24шт.)</t>
  </si>
  <si>
    <t>00-00005563</t>
  </si>
  <si>
    <t>Смазка высокотемпературная AVS медная AVK-227 арт.A40474S  (аэрозоль) 335мл. (1/12шт)</t>
  </si>
  <si>
    <t>Смазка высокотемпературная медная AVS AVK-342 (аэрозоль) 210 мл арт.A40245S (1/20шт.)</t>
  </si>
  <si>
    <t>00-00006453</t>
  </si>
  <si>
    <t>Быстрый старт ABRO SF-650-220-AM-RE для двигателя аэрозоль 200мл. (1/24шт)</t>
  </si>
  <si>
    <t>00-00006801</t>
  </si>
  <si>
    <t>Преобразователь ржавчины Grass арт.110484 Rust remover Zinc 600мл.</t>
  </si>
  <si>
    <t>00-00006761</t>
  </si>
  <si>
    <t>Холодная сварка (клеющая масса) Poxilina эпоксидная двухкомпонентная 70г ар.GE00231 1/6шт.</t>
  </si>
  <si>
    <t>Очиститель шин ABRO TC-800-R (пенный) аэрозоль 595 г (1/12шт.)</t>
  </si>
  <si>
    <t>00-00006856</t>
  </si>
  <si>
    <t>Чернитель шин AVS Crystal AVK-088 аэрозоль 1000мл (1/12шт.)</t>
  </si>
  <si>
    <t>00-00001453</t>
  </si>
  <si>
    <t>Брелоки марка авто KIA</t>
  </si>
  <si>
    <t>00-00005430</t>
  </si>
  <si>
    <t>Держатель телефона hoco CA-74 магнитный в дефлектор</t>
  </si>
  <si>
    <t>00-00006850</t>
  </si>
  <si>
    <t>Держатель телефона hoco premium HW-2  в дефлектор ( с беспроводной зарядкой)</t>
  </si>
  <si>
    <t>00-00006842</t>
  </si>
  <si>
    <t>Держатель телефона Магнитный  CarLive SX-51 на торпеду</t>
  </si>
  <si>
    <t>00-00006840</t>
  </si>
  <si>
    <t>Держатель телефона Магнитный  CarLive SX-52</t>
  </si>
  <si>
    <t>Держатель телефона Магнитный  SX-18  в дефлектор</t>
  </si>
  <si>
    <t>00-00004928</t>
  </si>
  <si>
    <t>Держатель телефона Магнитный Borofone BH-10  в дефлектор (прищепка)</t>
  </si>
  <si>
    <t>00-00004259</t>
  </si>
  <si>
    <t>00-00006834</t>
  </si>
  <si>
    <t>Заглушка ремня безопасности VIP 1шт.в коробке</t>
  </si>
  <si>
    <t>00-00006502</t>
  </si>
  <si>
    <t>Зеркало Панорамное на присоске в уп.1шт. 340мм</t>
  </si>
  <si>
    <t>00-00006855</t>
  </si>
  <si>
    <t>Игрушка на панель авто Утка с подсветкой</t>
  </si>
  <si>
    <t>Массажер Nova Bright поддержка поясничная с деревянными шариками арт.47108</t>
  </si>
  <si>
    <t>00-00003541</t>
  </si>
  <si>
    <t>Насадка глушителя NOVA Bright 36980</t>
  </si>
  <si>
    <t>00-00003543</t>
  </si>
  <si>
    <t>Насадка глушителя NOVA Bright 36982 нержав.сталь (д.55 мм)</t>
  </si>
  <si>
    <t>00-00002101</t>
  </si>
  <si>
    <t>00-00003491</t>
  </si>
  <si>
    <t>Оплетка руля MAAS SWC024-L  Черная с вставками</t>
  </si>
  <si>
    <t>00-00002577</t>
  </si>
  <si>
    <t>Рамка номера Металлическая нержавейка черная (к-т 2шт) арт.44217</t>
  </si>
  <si>
    <t>Рамка номера Пластик "Черная" (1/50шт)</t>
  </si>
  <si>
    <t>00-00002583</t>
  </si>
  <si>
    <t>Рамка номера Пластик+нержавейка белая</t>
  </si>
  <si>
    <t>00-00005950</t>
  </si>
  <si>
    <t>Подвеска деревянная "Четки мусульманские"</t>
  </si>
  <si>
    <t>00-00000320</t>
  </si>
  <si>
    <t>Антенна наружная AL KHATEEB AN-092 врезная 1м.</t>
  </si>
  <si>
    <t>Антенна наружная АТНЕЙ АВТО АМ-204 на магните 20см</t>
  </si>
  <si>
    <t>00-00005885</t>
  </si>
  <si>
    <t>Ароматизатор TASOTTI дом-авто "REED DIFFUSER" 100мл. ROYALTY (1/12шт)</t>
  </si>
  <si>
    <t>00-00006390</t>
  </si>
  <si>
    <t>Ароматизатор TASOTTI дом-авто QUEENS  "REED DIFFUSER" 100мл. Pink Sunflower</t>
  </si>
  <si>
    <t>00-00006812</t>
  </si>
  <si>
    <t>Ароматизатор TASOTTI дом-авто QUEENS "AMBER NIGHT" 100мл.</t>
  </si>
  <si>
    <t>00-00006811</t>
  </si>
  <si>
    <t>Ароматизатор TASOTTI дом-авто QUEENS "AQUA MAN" 100мл.</t>
  </si>
  <si>
    <t>00-00006813</t>
  </si>
  <si>
    <t>Ароматизатор TASOTTI дом-авто QUEENS "BLACK NOIR" 100мл.</t>
  </si>
  <si>
    <t>00-00006814</t>
  </si>
  <si>
    <t>Ароматизатор TASOTTI дом-авто QUEENS "BLACK" 100мл.</t>
  </si>
  <si>
    <t>00-00006816</t>
  </si>
  <si>
    <t>Ароматизатор TASOTTI дом-авто QUEENS "CHERRY" 100мл.</t>
  </si>
  <si>
    <t>00-00006817</t>
  </si>
  <si>
    <t>Ароматизатор TASOTTI дом-авто QUEENS "MANGO &amp; ORANGE" 100мл.</t>
  </si>
  <si>
    <t>00-00006820</t>
  </si>
  <si>
    <t>Ароматизатор TASOTTI дом-авто QUEENS "PAPAYA" 100мл.</t>
  </si>
  <si>
    <t>00-00006821</t>
  </si>
  <si>
    <t>Ароматизатор TASOTTI дом-авто QUEENS "STRAWBERRY" 100мл.</t>
  </si>
  <si>
    <t>00-00006822</t>
  </si>
  <si>
    <t>Ароматизатор TASOTTI дом-авто QUEENS "VANILLA" 100мл.</t>
  </si>
  <si>
    <t>00-00004654</t>
  </si>
  <si>
    <t>Ароматизатор AREON в дефлектор CAR 8мл. Ваниль (Vanilla)</t>
  </si>
  <si>
    <t>00-00004565</t>
  </si>
  <si>
    <t>Ароматизатор AREON в дефлектор VENT 7 Бабл Гам (Bubble Gum) 4,5мл.</t>
  </si>
  <si>
    <t>Ароматизатор AURA FRESH в дефлектор VENSO арт.23329 Lemon 6мл. (1/20шт)</t>
  </si>
  <si>
    <t>00-00006806</t>
  </si>
  <si>
    <t>Ароматизатор Dr.MARKUS в дефлектор Динамик  МИКС на листе  1/48шт.</t>
  </si>
  <si>
    <t>00-00000455</t>
  </si>
  <si>
    <t>Ароматизатор AREON бочонок  Fresco X Ваниль (Vanilla)</t>
  </si>
  <si>
    <t>00-00004566</t>
  </si>
  <si>
    <t>Ароматизатор AREON бочонок Fresco Романс (Romance)</t>
  </si>
  <si>
    <t>00-00000515</t>
  </si>
  <si>
    <t>Ароматизатор AREON елочка Sport Lux Карбон (Carbon) 1/10шт.</t>
  </si>
  <si>
    <t>00-00003657</t>
  </si>
  <si>
    <t>Ароматизатор AREON елочка Х Ваниль (Vanilla) 1/10шт.</t>
  </si>
  <si>
    <t>00-00003860</t>
  </si>
  <si>
    <t>Ароматизатор AROMA елочка Top Line Мужские ароматы № 5 (Platinum Egoiste)</t>
  </si>
  <si>
    <t>00-00003867</t>
  </si>
  <si>
    <t>Ароматизатор AROMA елочка Top Line Мужские ароматы №21 (1 Million)</t>
  </si>
  <si>
    <t>00-00003874</t>
  </si>
  <si>
    <t>Ароматизатор AROMA елочка Top Line Мужские ароматы №35 (Encre Noire)</t>
  </si>
  <si>
    <t>00-00006885</t>
  </si>
  <si>
    <t>Ароматизатор AURA FRESH подвесной FEST №1 Dior EAU SAUVAGE арт.23396 (1/40шт)</t>
  </si>
  <si>
    <t>00-00006886</t>
  </si>
  <si>
    <t>Ароматизатор AURA FRESH подвесной FEST №2 Calvin Klein CK ONE арт.23408 (1/40шт)</t>
  </si>
  <si>
    <t>00-00006887</t>
  </si>
  <si>
    <t>Ароматизатор AURA FRESH подвесной FEST №3 Paco Rabanne 1 MILLION арт.23416 (1/40шт)</t>
  </si>
  <si>
    <t>00-00006888</t>
  </si>
  <si>
    <t>Ароматизатор AURA FRESH подвесной FEST №4 Hugo Boss HUGO арт.23422 (1/40шт)</t>
  </si>
  <si>
    <t>00-00006889</t>
  </si>
  <si>
    <t>Ароматизатор AURA FRESH подвесной FEST №5 Paco Rabanne INVICTUS арт.23424 (1/40шт)</t>
  </si>
  <si>
    <t>00-00006890</t>
  </si>
  <si>
    <t>Ароматизатор AURA FRESH подвесной FEST №6 Abercrombie&amp;Fitch FIERCE COLOGNE арт.23426 (1/40шт)</t>
  </si>
  <si>
    <t>00-00006891</t>
  </si>
  <si>
    <t>Ароматизатор AURA FRESH подвесной FEST №7 Azzaro WANTED арт.23428 (1/40шт)</t>
  </si>
  <si>
    <t>00-00006892</t>
  </si>
  <si>
    <t>Ароматизатор AURA FRESH подвесной FEST №8 Lacoste LACOSTE ESSENTIAL арт.23430 (1/40шт)</t>
  </si>
  <si>
    <t>00-00006893</t>
  </si>
  <si>
    <t>Ароматизатор AURA FRESH подвесной FEST №9 Antonio Banderas BLUE SEDUCTION арт.23432 (1/40шт)</t>
  </si>
  <si>
    <t>00-00006878</t>
  </si>
  <si>
    <t>Ароматизатор AURA FRESH подвесной THRASH Aqua Storm арт.23391 (1/40шт)</t>
  </si>
  <si>
    <t>00-00006879</t>
  </si>
  <si>
    <t>Ароматизатор AURA FRESH подвесной THRASH Black Passion арт.23400 (1/40шт)</t>
  </si>
  <si>
    <t>00-00006880</t>
  </si>
  <si>
    <t>Ароматизатор AURA FRESH подвесной THRASH Bubble Gum арт.23406 (1/40шт)</t>
  </si>
  <si>
    <t>00-00006881</t>
  </si>
  <si>
    <t>Ароматизатор AURA FRESH подвесной THRASH Citrus Splash арт.23410 (1/40шт)</t>
  </si>
  <si>
    <t>00-00006882</t>
  </si>
  <si>
    <t>Ароматизатор AURA FRESH подвесной THRASH Men's Power арт.23414 (1/40шт)</t>
  </si>
  <si>
    <t>00-00006884</t>
  </si>
  <si>
    <t>Ароматизатор AURA FRESH подвесной THRASH Vanilla Voyage арт.23421 (1/40шт)</t>
  </si>
  <si>
    <t>00-00005594</t>
  </si>
  <si>
    <t>Ароматизатор CONTRA  флакон с деревянной крышкой CLASSIC 8мл. Арбуз</t>
  </si>
  <si>
    <t>00-00006509</t>
  </si>
  <si>
    <t>00-00006373</t>
  </si>
  <si>
    <t>00-00006376</t>
  </si>
  <si>
    <t>00-00000796</t>
  </si>
  <si>
    <t>Ароматизатор Dr.MARKUS бочонок Senso Бабл Гам (Bubble Gum) (1/14шт)</t>
  </si>
  <si>
    <t>Ароматизатор Dr.MARKUS мешочек с гранулами Fresh Bag Лимон (Lemon) (1/15шт)</t>
  </si>
  <si>
    <t>Ароматизатор Dr.MARKUS мешочек с гранулами Fresh Bag Тропические Фрукты (Tropican Fruits) (1/15шт)</t>
  </si>
  <si>
    <t>00-00006900</t>
  </si>
  <si>
    <t>00-00006824</t>
  </si>
  <si>
    <t>Ароматизатор IROKA елочка "SAKURA" арт.48172 в коробке 1/24шт.</t>
  </si>
  <si>
    <t>00-00006823</t>
  </si>
  <si>
    <t>Ароматизатор IROKA елочка "SAMURAI" арт.48171 в коробке 1/24шт.</t>
  </si>
  <si>
    <t>00-00001044</t>
  </si>
  <si>
    <t>Ароматизатор LITTLE TREES елочка Антитабак (No Smoking)</t>
  </si>
  <si>
    <t>00-00001059</t>
  </si>
  <si>
    <t>Ароматизатор LITTLE TREES елочка Новая Машина (New Car)</t>
  </si>
  <si>
    <t>00-00006910</t>
  </si>
  <si>
    <t>Ароматизатор LITTLE TREES елочка Сочный цитрус (Sliced)</t>
  </si>
  <si>
    <t>00-00001071</t>
  </si>
  <si>
    <t>00-00006825</t>
  </si>
  <si>
    <t>Ароматизатор NOVA елочка FORTUNE арт.48170 в коробке 1/24шт.</t>
  </si>
  <si>
    <t>00-00006898</t>
  </si>
  <si>
    <t>Ароматизатор NOVA елочка SUCCESS арт.48288 в коробке 1/24шт.</t>
  </si>
  <si>
    <t>Ароматизатор POLIART PERFUME флакон с деревянной крышкой арт.PE00007  EAU FRAICHE</t>
  </si>
  <si>
    <t>00-00004606</t>
  </si>
  <si>
    <t>Ароматизатор TENSY бочонок 6мл. арт.TB-11 Черный Лед (1/15шт)</t>
  </si>
  <si>
    <t>00-00001338</t>
  </si>
  <si>
    <t>Ароматизатор TENSY бочонок 6мл. арт.TB-13 Сирень (1/15шт)</t>
  </si>
  <si>
    <t>00-00005256</t>
  </si>
  <si>
    <t>Ароматизатор TENSY бочонок 6мл. МИКС на листе 1/20шт.</t>
  </si>
  <si>
    <t>00-00006593</t>
  </si>
  <si>
    <t>Ароматизатор TENSY мешочек TME-02 NEW CAR (Новая машина) (1/12шт.)</t>
  </si>
  <si>
    <t>00-00006600</t>
  </si>
  <si>
    <t>Ароматизатор TENSY мешочек TME-09 BUBBLE GUM (Бабл гам) (1/12шт.)</t>
  </si>
  <si>
    <t>00-00006605</t>
  </si>
  <si>
    <t>Ароматизатор TENSY мешочек с гранулами TTE-01 Pina colada (Пина колада) (1/15шт)</t>
  </si>
  <si>
    <t>00-00006609</t>
  </si>
  <si>
    <t>Ароматизатор TENSY мешочек с гранулами TTE-05 Coffee (Кофе) (1/15шт)</t>
  </si>
  <si>
    <t>00-00006614</t>
  </si>
  <si>
    <t>Ароматизатор TENSY мешочек с гранулами TTE-10 Vanilla (Ваниль) (1/15шт)</t>
  </si>
  <si>
    <t>Ароматизатор Dr.MARKUS банка на панель Senso Deluxe Бабл Гам (Bubble Gum) (1/12шт.)</t>
  </si>
  <si>
    <t>Ароматизатор Dr.MARKUS банка на панель Senso Deluxe Цитрус (Citrus) (1/12шт.)</t>
  </si>
  <si>
    <t>00-00001323</t>
  </si>
  <si>
    <t>Ароматизатор TASOTTI спрей на панель Excellent Bubble Gum (Бабл Гам)</t>
  </si>
  <si>
    <t>00-00001326</t>
  </si>
  <si>
    <t>Ароматизатор TASOTTI спрей на панель Excellent Coconut (Кокос)</t>
  </si>
  <si>
    <t>00-00001289</t>
  </si>
  <si>
    <t>Ароматизатор TASOTTI спрей на панель Куб Ананас и Яблоко (Ananas &amp; Apple)  (1/16шт.)</t>
  </si>
  <si>
    <t>00-00001290</t>
  </si>
  <si>
    <t>Ароматизатор TASOTTI спрей на панель Куб Французкая Ваниль (Vanilla French)</t>
  </si>
  <si>
    <t>00-00001287</t>
  </si>
  <si>
    <t>Ароматизатор TASOTTI спрей на панель Куб Черный (Black)  (1/16шт.)</t>
  </si>
  <si>
    <t>00-00003761</t>
  </si>
  <si>
    <t>Ароматизатор BIG FRESH под сиденье Бубль Гум (1/40шт.)</t>
  </si>
  <si>
    <t>00-00000741</t>
  </si>
  <si>
    <t>Ароматизатор BIG FRESH под сиденье Новая машина (1/40шт.)</t>
  </si>
  <si>
    <t>00-00005724</t>
  </si>
  <si>
    <t>Ароматизатор AURA FRESH спрей " PUMP" Aqua (Аква) 50мл. арт.23357</t>
  </si>
  <si>
    <t>00-00005725</t>
  </si>
  <si>
    <t>Ароматизатор AURA FRESH спрей " PUMP" Black (Черный лед) 50мл. арт.23359</t>
  </si>
  <si>
    <t>00-00005726</t>
  </si>
  <si>
    <t>Ароматизатор AURA FRESH спрей " PUMP" Bubble Gum (Бабл Гам) 50мл. арт.23361</t>
  </si>
  <si>
    <t>00-00005729</t>
  </si>
  <si>
    <t>Ароматизатор AURA FRESH спрей " PUMP" For Man (Для мужчин) 50мл. арт.23367</t>
  </si>
  <si>
    <t>00-00005731</t>
  </si>
  <si>
    <t>Ароматизатор AURA FRESH спрей " PUMP" New Car (Новая Машина) 50мл. арт.23371</t>
  </si>
  <si>
    <t>00-00005733</t>
  </si>
  <si>
    <t>Ароматизатор AURA FRESH спрей " PUMP" Vanilla (Ваниль) 50мл. арт.23375</t>
  </si>
  <si>
    <t>00-00000841</t>
  </si>
  <si>
    <t>Ароматизатор Dr.MARKUS спрей Pump Новая машина (New Car)</t>
  </si>
  <si>
    <t>00-00000546</t>
  </si>
  <si>
    <t>Ароматизатор AREON консерва KEN Vanilla Bubble</t>
  </si>
  <si>
    <t>00-00000547</t>
  </si>
  <si>
    <t>Ароматизатор AREON консерва KEN Vanilla Mia</t>
  </si>
  <si>
    <t>00-00000555</t>
  </si>
  <si>
    <t>Ароматизатор AREON консерва KEN Новая Машина (New Car)</t>
  </si>
  <si>
    <t>00-00000785</t>
  </si>
  <si>
    <t>Ароматизатор Dr.MARKUS консерва Aircan Океанский бриз (Ocean Breeze)</t>
  </si>
  <si>
    <t>00-00001784</t>
  </si>
  <si>
    <t>Изолента Neomatec 19мм*25м желтая  1/10шт</t>
  </si>
  <si>
    <t>Захват раздвижной дешевый №026 (краб) / арт. IN-065</t>
  </si>
  <si>
    <t>00-00002079</t>
  </si>
  <si>
    <t>Набор отверток ZQT DESR-1232 6 предметов на блистере</t>
  </si>
  <si>
    <t>00-00004379</t>
  </si>
  <si>
    <t>Отвертка большая крестовая</t>
  </si>
  <si>
    <t>00-00002305</t>
  </si>
  <si>
    <t>Пассатижи большие на блистере 200мм</t>
  </si>
  <si>
    <t>Съемники</t>
  </si>
  <si>
    <t>00-00006907</t>
  </si>
  <si>
    <t>Набор съемников для снятия пласт.панелей и клипс арт.А-28</t>
  </si>
  <si>
    <t>00-00001935</t>
  </si>
  <si>
    <t>00-00006066</t>
  </si>
  <si>
    <t>Башмак противооткатный (1/56шт)</t>
  </si>
  <si>
    <t>00-00002714</t>
  </si>
  <si>
    <t>Скотч двухсторонний NOVA Bright 30 мм*5 м акриловая основа 46922</t>
  </si>
  <si>
    <t>00-00003169</t>
  </si>
  <si>
    <t>00-00003858</t>
  </si>
  <si>
    <t>Бита бейсбольная 27</t>
  </si>
  <si>
    <t>00-00001434</t>
  </si>
  <si>
    <t>Бита бейсбольная 28</t>
  </si>
  <si>
    <t>00-00001435</t>
  </si>
  <si>
    <t>Бита бейсбольная 29</t>
  </si>
  <si>
    <t>00-00006808</t>
  </si>
  <si>
    <t>Бита бейсбольная 30</t>
  </si>
  <si>
    <t>Зажигалка-горелка с пьезо элементом - большая арт.601 / J-01  прозрачная/ матовая (1/12шт)</t>
  </si>
  <si>
    <t>00-00006832</t>
  </si>
  <si>
    <t>Тонировка рулонная TR-53    размер 53*130 см</t>
  </si>
  <si>
    <t>00-00006833</t>
  </si>
  <si>
    <t>Тонировка рулонная TR-64    размер 64*130 см</t>
  </si>
  <si>
    <t>00-00006552</t>
  </si>
  <si>
    <t>Крокодилы № 1 (пара) 1/10шт.</t>
  </si>
  <si>
    <t>Крокодилы № 2 (пара)  1/10шт.</t>
  </si>
  <si>
    <t>Крокодилы № 3 (пара) 1/10шт.</t>
  </si>
  <si>
    <t>Салфетка замша City UP CA-225 43*64см в тубусе (1/100шт.)</t>
  </si>
  <si>
    <t>Манометр шинный в футляре CRISTYLEAVTO (1/20шт.)</t>
  </si>
  <si>
    <t>Наконечник "для компрессоров" с удлинителем 1/10шт</t>
  </si>
  <si>
    <t>Наконечник насоса быстросъемный,массивный 1/10шт</t>
  </si>
  <si>
    <t>Наконечник насоса Евро быстросъемный длинный (хром)  1/10шт</t>
  </si>
  <si>
    <t>Наконечник насоса Евро быстросъемный короткий (хром/желтый)  1/10шт</t>
  </si>
  <si>
    <t>Наконечник насоса закручивающийся в упаковке 1/10шт</t>
  </si>
  <si>
    <t>Наконечник насоса резьбовой ( г.Ульяновск ) 1/10шт</t>
  </si>
  <si>
    <t>Наконечник насоса резьбовой новый 1/10шт</t>
  </si>
  <si>
    <t>00-00001528</t>
  </si>
  <si>
    <t>Водосгон City UP СА-945 с телескопической ручкой и поролоновой щеткой (1/24шт.)</t>
  </si>
  <si>
    <t>00-00003189</t>
  </si>
  <si>
    <t>Щетка д/мытья авто City UP СА-536 с краном подачи воды и с возможностью подсоединения к шлангу</t>
  </si>
  <si>
    <t>00-00003191</t>
  </si>
  <si>
    <t>00-00003359</t>
  </si>
  <si>
    <t>Щетка стеклоочистителя HEYNER Hybrid 26"/65см 036000  (1/50шт.)</t>
  </si>
  <si>
    <t>00-00006217</t>
  </si>
  <si>
    <t>Щетка стеклоочистителя HITO CLASSIC  13"/33см арт.23202 каркасная</t>
  </si>
  <si>
    <t>00-00002501</t>
  </si>
  <si>
    <t>Пылесгон Дастер DS-01</t>
  </si>
  <si>
    <t>Пылесгон микрофибра City UP CA-160 с cиликоновой пропиткой</t>
  </si>
  <si>
    <t>00-00006501</t>
  </si>
  <si>
    <t>00-00006830</t>
  </si>
  <si>
    <t>Кабель USB Hoco Silicone X-21 PLUS  ( Type-C на Lightning ) PD 20w</t>
  </si>
  <si>
    <t>00-00006896</t>
  </si>
  <si>
    <t>00-00003473</t>
  </si>
  <si>
    <t>00-00003474</t>
  </si>
  <si>
    <t>Кабель USB R31 3 в 1 (андроид/ айфон/ Type-C) силикон 1,2м</t>
  </si>
  <si>
    <t>00-00006848</t>
  </si>
  <si>
    <t>00-00005136</t>
  </si>
  <si>
    <t>Переходник на айфон на блистере арт.JH-027/-053</t>
  </si>
  <si>
    <t>00-00006849</t>
  </si>
  <si>
    <t>00-00006810</t>
  </si>
  <si>
    <t>00-00006894</t>
  </si>
  <si>
    <t>00-00006839</t>
  </si>
  <si>
    <t>00-00006838</t>
  </si>
  <si>
    <t>00-00006493</t>
  </si>
  <si>
    <t>Фонарик на лоб HT-2202 гибкий светодиод</t>
  </si>
  <si>
    <t>00-00006835</t>
  </si>
  <si>
    <t>00-00006836</t>
  </si>
  <si>
    <t>a301</t>
  </si>
  <si>
    <t>a302</t>
  </si>
  <si>
    <t>a303</t>
  </si>
  <si>
    <t>a304</t>
  </si>
  <si>
    <t>a305</t>
  </si>
  <si>
    <t>a306</t>
  </si>
  <si>
    <t>a307</t>
  </si>
  <si>
    <t>a309</t>
  </si>
  <si>
    <t>a310</t>
  </si>
  <si>
    <t>a311</t>
  </si>
  <si>
    <t>a312</t>
  </si>
  <si>
    <t>a313</t>
  </si>
  <si>
    <t>a314</t>
  </si>
  <si>
    <t>Набор для автостекол "TEROSON"</t>
  </si>
  <si>
    <t>Держатель телефона магнитный "Magnet Holder" в дефлектор</t>
  </si>
  <si>
    <t>SX30</t>
  </si>
  <si>
    <t>USB-зарядное устройство с вольтметром (круглое, врезное)</t>
  </si>
  <si>
    <t>Клей "BOOMER" для вклейки стекла (310 мл)</t>
  </si>
  <si>
    <t>9020</t>
  </si>
  <si>
    <t>40212</t>
  </si>
  <si>
    <t>Полироль панели "PLAK" 10 Gratis (750 мл) (Персик)</t>
  </si>
  <si>
    <t>40211</t>
  </si>
  <si>
    <t>Полироль панели "PLAK" 10 Gratis (750 мл) (Океан)</t>
  </si>
  <si>
    <t>40400</t>
  </si>
  <si>
    <t>Полироль панели "PLAK" 10 Gratis (750 мл) (Морской)</t>
  </si>
  <si>
    <t>40210</t>
  </si>
  <si>
    <t>Полироль панели "PLAK" 10 Gratis (750 мл) (Лимон)</t>
  </si>
  <si>
    <t>40209</t>
  </si>
  <si>
    <t>Полироль панели "PLAK" 10 Gratis (750 мл) (Лаванда)</t>
  </si>
  <si>
    <t>40208</t>
  </si>
  <si>
    <t>Полироль панели "PLAK" 10 Gratis (750 мл) (Клубника)</t>
  </si>
  <si>
    <t>40403</t>
  </si>
  <si>
    <t>Полироль панели "PLAK" 10 Gratis (750 мл) (Зеленые холмы)</t>
  </si>
  <si>
    <t>40329</t>
  </si>
  <si>
    <t>Полироль панели "PLAK" 10 Gratis (750 мл) (Грейпфрут)</t>
  </si>
  <si>
    <t>40207</t>
  </si>
  <si>
    <t>Полироль панели "PLAK" 10 Gratis (750 мл) (Гранат)</t>
  </si>
  <si>
    <t>40206</t>
  </si>
  <si>
    <t>Полироль панели "PLAK" 10 Gratis (750 мл) (Вишня)</t>
  </si>
  <si>
    <t>40205</t>
  </si>
  <si>
    <t>Полироль панели "PLAK" 10 Gratis (750 мл) (Виноград)</t>
  </si>
  <si>
    <t>40204</t>
  </si>
  <si>
    <t>Полироль панели "PLAK" 10 Gratis (750 мл) (Ваниль)</t>
  </si>
  <si>
    <t>40399</t>
  </si>
  <si>
    <t>Полироль панели "PLAK" 10 Gratis (750 мл) (Ананас)</t>
  </si>
  <si>
    <t>40401</t>
  </si>
  <si>
    <t>Полироль панели "PLAK" 10 Gratis (750 мл) (Tabacco)</t>
  </si>
  <si>
    <t>40402</t>
  </si>
  <si>
    <t>Полироль панели "PLAK" 10 Gratis (750 мл) (Frutti rossi)</t>
  </si>
  <si>
    <t>Ароматизатор "COBA" подвесной Лофт</t>
  </si>
  <si>
    <t>Ароматизатор "COBA" подвесной Ваниль и Грейпфрут</t>
  </si>
  <si>
    <t>Ароматизатор "COBA" подвесной Бабл-Гам</t>
  </si>
  <si>
    <t>00-00002693</t>
  </si>
  <si>
    <t>Сигнал 2 рожковый RS-07894 CRISTYLEAVTO (1/20шт)</t>
  </si>
  <si>
    <t>00-00002696</t>
  </si>
  <si>
    <t>Сигнал AutoMir A004 Dual Track Compakt FullPawer Horn (1/20шт)</t>
  </si>
  <si>
    <t>00-00002699</t>
  </si>
  <si>
    <t>Сигнал AutoMir A048 Power Horn (1/20шт)</t>
  </si>
  <si>
    <t>00-00002695</t>
  </si>
  <si>
    <t>Сигнал AutoMir А049 Dual Track Sport Horn (1/20шт)</t>
  </si>
  <si>
    <t>00-00007105</t>
  </si>
  <si>
    <t>00-00007106</t>
  </si>
  <si>
    <t>00-00007107</t>
  </si>
  <si>
    <t>00-00007108</t>
  </si>
  <si>
    <t>00-00007109</t>
  </si>
  <si>
    <t>00-00005684</t>
  </si>
  <si>
    <t>Сирена автомобильная (СГУ) 100w  CRISTYLEAVTO (1/20шт)</t>
  </si>
  <si>
    <t>00-00006971</t>
  </si>
  <si>
    <t>Авто инвертор AVS IN- 600W 24/220V Арт.A07044S</t>
  </si>
  <si>
    <t>00-00007080</t>
  </si>
  <si>
    <t>Мультиметр Арт.DT-9205A</t>
  </si>
  <si>
    <t>Подогрев сидений</t>
  </si>
  <si>
    <t>00-00006504</t>
  </si>
  <si>
    <t>Подогрев сидений MAAS с регулятором</t>
  </si>
  <si>
    <t>00-00002341</t>
  </si>
  <si>
    <t>Подогрев сидений Горыныч ( на сиденье и спинку)</t>
  </si>
  <si>
    <t>00-00002342</t>
  </si>
  <si>
    <t>Подогрев сидений Емеля 1 сидушка</t>
  </si>
  <si>
    <t>00-00002343</t>
  </si>
  <si>
    <t>Подогрев сидений Емеля 2 сидушка+спинка</t>
  </si>
  <si>
    <t>00-00002344</t>
  </si>
  <si>
    <t>Подогрев сидений Емеля 3 с регулятором</t>
  </si>
  <si>
    <t>00-00002346</t>
  </si>
  <si>
    <t>Подогрев сидений Русская -зима с регулятором (1/10шт.)</t>
  </si>
  <si>
    <t>00-00002559</t>
  </si>
  <si>
    <t>Разветвитель прикуривателя NO-1511 IN-CAR на 3 гнезда +2USB с проводом 120W</t>
  </si>
  <si>
    <t>Разветвитель прикуривателя NO-1521 Olesson на 3 гнезда с проводом 120W LED</t>
  </si>
  <si>
    <t>00-00007066</t>
  </si>
  <si>
    <t>Разветвитель прикуривателя NO-1525 Olesson на 4 гнезда 2USB с проводом 120W</t>
  </si>
  <si>
    <t>Разветвитель прикуривателя NO-1631 Olesson на 2 гнезда 1USB с проводом 120W</t>
  </si>
  <si>
    <t>Разветвитель прикуривателя NO-1632 Olesson на 3 гнезда с кнопками и проводом 120W LED</t>
  </si>
  <si>
    <t>00-00006544</t>
  </si>
  <si>
    <t>Тепловентилятор KOTO арт.EFB-220 12v.</t>
  </si>
  <si>
    <t>00-00002854</t>
  </si>
  <si>
    <t>Тепловентилятор МААС 12v</t>
  </si>
  <si>
    <t>Штекер в прикуриватель 1 USB  MR-59A  без упаковки 5V / 2.1A</t>
  </si>
  <si>
    <t>00-00007052</t>
  </si>
  <si>
    <t>Штекер в прикуриватель 1 USB  MR-59A  на блистере  2.1A</t>
  </si>
  <si>
    <t>Штекер в прикуриватель 1 USB + Type-C PD  арт.CAR-07</t>
  </si>
  <si>
    <t>00-00007088</t>
  </si>
  <si>
    <t>00-00007087</t>
  </si>
  <si>
    <t>Штекер в прикуриватель 1 USB CarLive + Type-C PD  арт.CR-34  QC3.0</t>
  </si>
  <si>
    <t>00-00007062</t>
  </si>
  <si>
    <t>00-00006980</t>
  </si>
  <si>
    <t>Штекер в прикуриватель 1 USB CarLive CR-24/CR-12  QC3.0 +  PD 20W 38W 1/10шт</t>
  </si>
  <si>
    <t>00-00004864</t>
  </si>
  <si>
    <t>00-00007051</t>
  </si>
  <si>
    <t>Штекер в прикуриватель 2 USB + Type-C CarLive арт.MR-49A</t>
  </si>
  <si>
    <t>00-00006923</t>
  </si>
  <si>
    <t>Штекер в прикуриватель 2 USB BYZ арт.D-22i в упаковке с проводом зарядки на айфон</t>
  </si>
  <si>
    <t>00-00006922</t>
  </si>
  <si>
    <t>Штекер в прикуриватель 2 USB BYZ арт.D-22m в упаковке с проводом зарядки на андроид</t>
  </si>
  <si>
    <t>00-00006979</t>
  </si>
  <si>
    <t>Штекер в прикуриватель 2 USB CarLive арт.CR-16 с инд.вольтметра без упаковки</t>
  </si>
  <si>
    <t>00-00007089</t>
  </si>
  <si>
    <t>Штекер в прикуриватель 2 USB CarLive арт.CR-29  QC3.0 с инд.вольтметра в упаковке</t>
  </si>
  <si>
    <t>00-00007090</t>
  </si>
  <si>
    <t>Штекер в прикуриватель 2 USB CarLive арт.CR-30  с инд.вольтметра в упаковке</t>
  </si>
  <si>
    <t>00-00007063</t>
  </si>
  <si>
    <t>Штекер в прикуриватель с проводом для регистратора и навигатора V3 Mini-USB 3,5м</t>
  </si>
  <si>
    <t>00-00006568</t>
  </si>
  <si>
    <t>Ходовые огни AVS light DL-1 3000LM  Арт.A070754S к-т 2шт.</t>
  </si>
  <si>
    <t>00-00003020</t>
  </si>
  <si>
    <t>Ходовые огни AVS light DL-8S 240LM</t>
  </si>
  <si>
    <t>Герметик прокладок ABRO Оригинал 11-АВ-R красный, высокотемпературный 85г. (1/12шт.)</t>
  </si>
  <si>
    <t>Герметик прокладок ABRO Оригинал 12-АВ-R черный, силиконовый 85г. (1/12шт.)</t>
  </si>
  <si>
    <t>Герметик прокладок ABRO Оригинал 13-АВ-R прозрачный, силиконовый 85г. (1/12шт.)</t>
  </si>
  <si>
    <t>Герметик прокладок ABRO Оригинал 9-АВ-R 999 серый 85г. (1/12шт.)</t>
  </si>
  <si>
    <t>00-00007002</t>
  </si>
  <si>
    <t>Шинонаполнитель ABRO MASTERS QF-15-AM-RE бескамерных шин 450мл.</t>
  </si>
  <si>
    <t>Шинонаполнитель ABRO MASTERS QF-25-AM-RE бескамерных шин 540мл. (340г)</t>
  </si>
  <si>
    <t>00-00007001</t>
  </si>
  <si>
    <t>Клей ABRO ES-518 эпоксидный, высокопрочный 14,2г (1/12шт)</t>
  </si>
  <si>
    <t>Клей ALTECO 110 3г    1/12шт.</t>
  </si>
  <si>
    <t>00-00005440</t>
  </si>
  <si>
    <t>Клей МОНОЛИТ  3г. арт.403-001      1/12шт.</t>
  </si>
  <si>
    <t>00-00004071</t>
  </si>
  <si>
    <t>Просто ГряZ Глина 520мл (1/12шт)</t>
  </si>
  <si>
    <t>00-00006914</t>
  </si>
  <si>
    <t>Очиститель Grass «Multipurpose Foam Cleaner» Унив.(пенный) без щетки 110211 750мл.</t>
  </si>
  <si>
    <t>Удалитель наклеек и следов клея "Антискотч" аэрозоль 335 мл., Астрохим арт. AC-356 (1/12шт)</t>
  </si>
  <si>
    <t>00-00006268</t>
  </si>
  <si>
    <t>Полироль панели "RE MARCO" 750мл. RM-832 ГРЕЙПФРУТ</t>
  </si>
  <si>
    <t>00-00007122</t>
  </si>
  <si>
    <t>Полироль панели "RE MARCO" 750мл. RM-834 PINA COLADA</t>
  </si>
  <si>
    <t>00-00004333</t>
  </si>
  <si>
    <t>Полироль панели "RE MARCO" 750мл. Super Matt  МИКС</t>
  </si>
  <si>
    <t>00-00002402</t>
  </si>
  <si>
    <t>Полироль панели Плак Матовый 600мл. 5153 Апельсин (1/24шт.)</t>
  </si>
  <si>
    <t>00-00002403</t>
  </si>
  <si>
    <t>Полироль панели Плак Матовый 600мл. 5154 Папайя (1/24шт.)</t>
  </si>
  <si>
    <t>00-00005352</t>
  </si>
  <si>
    <t>Быстрый старт AVS Crystal AVK-161 для двигателя аэрозоль 335мл. арт.A78558S (1/12шт.)</t>
  </si>
  <si>
    <t>Жидкая резина Астрохим AC-650 (Черный) аэрозоль 520мл (1/12шт)</t>
  </si>
  <si>
    <t>00-00006998</t>
  </si>
  <si>
    <t>Цинкарь преобразователь ржавчины 200мл спрей арт. AG0102 (1/12шт)</t>
  </si>
  <si>
    <t>00-00006997</t>
  </si>
  <si>
    <t>Цинкарь преобразователь ржавчины 60мл флакон арт. AG0101 (1/25шт)</t>
  </si>
  <si>
    <t>00-00007103</t>
  </si>
  <si>
    <t>Холодная сварка ALTECO 56,7г. (двухкомпонентный клей эпоксидный)</t>
  </si>
  <si>
    <t>00-00007065</t>
  </si>
  <si>
    <t>Чернитель резины АстроХим АС-267 (триггер-спрей) 500мл. (1/12шт.)</t>
  </si>
  <si>
    <t>00-00006354</t>
  </si>
  <si>
    <t>Чернитель шин Big D "Tire shine" 500мл. арт.ASC2101 аэрозоль (1/12шт)</t>
  </si>
  <si>
    <t>00-00006925</t>
  </si>
  <si>
    <t>Брелок утка  1/12шт</t>
  </si>
  <si>
    <t>00-00001473</t>
  </si>
  <si>
    <t>Брелоки со стразами</t>
  </si>
  <si>
    <t>00-00001615</t>
  </si>
  <si>
    <t>Держатель навигатора в коробке -288</t>
  </si>
  <si>
    <t>00-00006970</t>
  </si>
  <si>
    <t>Держатель телефона hoco CA-53 магнитный на панель</t>
  </si>
  <si>
    <t>00-00007061</t>
  </si>
  <si>
    <t>00-00007008</t>
  </si>
  <si>
    <t>Держатель телефона hoco premium H-11 в дефлектор</t>
  </si>
  <si>
    <t>00-00007010</t>
  </si>
  <si>
    <t>Держатель телефона Магнитный  CarLive SX-54 в дефлектор</t>
  </si>
  <si>
    <t>00-00007012</t>
  </si>
  <si>
    <t>Держатель телефона Магнитный  CarLive SX-57 в дефлектор</t>
  </si>
  <si>
    <t>00-00007013</t>
  </si>
  <si>
    <t>Держатель телефона Магнитный  CarLive SX-58 на присоске (гибкая штанга)</t>
  </si>
  <si>
    <t>00-00007014</t>
  </si>
  <si>
    <t>Держатель телефона Магнитный  CarLive SX-59 в дефлектор</t>
  </si>
  <si>
    <t>00-00007015</t>
  </si>
  <si>
    <t>Держатель телефона Магнитный  CarLive SX-60 в дефлектор</t>
  </si>
  <si>
    <t>00-00007016</t>
  </si>
  <si>
    <t>Держатель телефона Магнитный  CarLive SX-61 в дефлектор</t>
  </si>
  <si>
    <t>00-00007017</t>
  </si>
  <si>
    <t>Держатель телефона Магнитный  CarLive SX-62 на присоске (гибкая штанга)</t>
  </si>
  <si>
    <t>00-00007018</t>
  </si>
  <si>
    <t>Держатель телефона Магнитный  CarLive SX-63 на присоске (гибкая штанга)</t>
  </si>
  <si>
    <t>00-00006920</t>
  </si>
  <si>
    <t>Держатель телефона Магнитный  JX-002 в дефлектор</t>
  </si>
  <si>
    <t>00-00006921</t>
  </si>
  <si>
    <t>Держатель телефона Магнитный  JX-042 в дефлектор</t>
  </si>
  <si>
    <t>00-00004898</t>
  </si>
  <si>
    <t>00-00005075</t>
  </si>
  <si>
    <t>Держатель телефона Магнитный Magnet Holder CXP/FO -008 / MRM SX-31 / FL-54</t>
  </si>
  <si>
    <t>00-00005287</t>
  </si>
  <si>
    <t>Держатель телефона Магнитный MRM SX-26 телескоп. (на присоске)</t>
  </si>
  <si>
    <t>Держатель телефона Магнитный MRM SX-35/ CXP-056</t>
  </si>
  <si>
    <t>00-00007095</t>
  </si>
  <si>
    <t>Заглушка ремня безопасности металл.в пластике (к-т 2 шт) арт.ZB-007</t>
  </si>
  <si>
    <t>00-00001706</t>
  </si>
  <si>
    <t>Защита от грязных ног АвтоБра 5105</t>
  </si>
  <si>
    <t>00-00003654</t>
  </si>
  <si>
    <t>Насадка глушителя NOVA Bright 35221 нержав.сталь (д.55 мм)</t>
  </si>
  <si>
    <t>Насадка глушителя NOVA Bright 38872 нержав.сталь (д.55мм)</t>
  </si>
  <si>
    <t>Насадка глушителя NOVA Bright 38873 нержав.сталь (д.60мм)</t>
  </si>
  <si>
    <t>00-00006786</t>
  </si>
  <si>
    <t>Насадка глушителя NOVA Bright 38876 нержав.сталь (д.60 мм)</t>
  </si>
  <si>
    <t>Насадка глушителя NOVA Bright 38879 нержав.сталь (д.50мм)</t>
  </si>
  <si>
    <t>00-00006915</t>
  </si>
  <si>
    <t>Насадка глушителя NOVA Bright 47750 нержав.сталь (д.55мм)</t>
  </si>
  <si>
    <t>00-00003955</t>
  </si>
  <si>
    <t>Оплетка руля "Кожа" М дешовая (на шнурке) ГАЗ 3110 (Газель Бизнес,2108-15,Priora,Granta)</t>
  </si>
  <si>
    <t>00-00006141</t>
  </si>
  <si>
    <t>Оплетка руля Nova Bright M арт.47515 с черными массажными вставками, перфорированная</t>
  </si>
  <si>
    <t>00-00007025</t>
  </si>
  <si>
    <t>Оплетка руля Nova Bright M арт.47635  Черная с перфорированными красными вставками, синяя строчка</t>
  </si>
  <si>
    <t>Рамка номера CRISTYLEAVTO Пластик+нержавейка белая (1/30шт)</t>
  </si>
  <si>
    <t>00-00002584</t>
  </si>
  <si>
    <t>Рамка номера CRISTYLEAVTO Пластик+нержавейка хромированная (1/30шт)</t>
  </si>
  <si>
    <t>Рамка номера CRISTYLEAVTO Пластик+нержавейка черная (1/30шт)</t>
  </si>
  <si>
    <t>00-00007004</t>
  </si>
  <si>
    <t>00-00006934</t>
  </si>
  <si>
    <t>Подвеска  Клык</t>
  </si>
  <si>
    <t>00-00007059</t>
  </si>
  <si>
    <t>00-00006931</t>
  </si>
  <si>
    <t>Подвеска Крест метал.эмаль большой</t>
  </si>
  <si>
    <t>00-00006932</t>
  </si>
  <si>
    <t>Подвеска Кресты со стразами</t>
  </si>
  <si>
    <t>00-00006930</t>
  </si>
  <si>
    <t>Подвеска Мусульманская</t>
  </si>
  <si>
    <t>00-00006933</t>
  </si>
  <si>
    <t>Подвеска Четки кубик</t>
  </si>
  <si>
    <t>00-00006935</t>
  </si>
  <si>
    <t>Подвеска Эмаль Герб</t>
  </si>
  <si>
    <t>Антенна наружная АТНЕЙ АВТО АМ-505 на магните</t>
  </si>
  <si>
    <t>00-00002942</t>
  </si>
  <si>
    <t>Удлинитель антенн (2м)</t>
  </si>
  <si>
    <t>00-00002943</t>
  </si>
  <si>
    <t>Удлинитель антенн (3м)</t>
  </si>
  <si>
    <t>00-00006999</t>
  </si>
  <si>
    <t>Ароматизатор AREON дом-авто "HOME PERFUMES" 85мл Yuzu Squash</t>
  </si>
  <si>
    <t>00-00007032</t>
  </si>
  <si>
    <t>Ароматизатор CONTRA  дом-авто диффузор "AROMA HOME" 100мл Апельсин и молоко</t>
  </si>
  <si>
    <t>00-00007044</t>
  </si>
  <si>
    <t>Ароматизатор CONTRA  дом-авто диффузор "AROMA HOME" 100мл Бабл Гам (Bubble Gum)</t>
  </si>
  <si>
    <t>00-00007042</t>
  </si>
  <si>
    <t>Ароматизатор CONTRA  дом-авто диффузор "AROMA HOME" 100мл Вишня в шоколаде</t>
  </si>
  <si>
    <t>00-00007043</t>
  </si>
  <si>
    <t>Ароматизатор CONTRA  дом-авто диффузор "AROMA HOME" 100мл Домашнее печенье</t>
  </si>
  <si>
    <t>00-00007028</t>
  </si>
  <si>
    <t>Ароматизатор CONTRA  дом-авто диффузор "AROMA HOME" 100мл Зеленый чай</t>
  </si>
  <si>
    <t>00-00007038</t>
  </si>
  <si>
    <t>Ароматизатор CONTRA  дом-авто диффузор "AROMA HOME" 100мл Имбирное печенье</t>
  </si>
  <si>
    <t>00-00007026</t>
  </si>
  <si>
    <t>Ароматизатор CONTRA  дом-авто диффузор "AROMA HOME" 100мл Кокос и орех</t>
  </si>
  <si>
    <t>00-00007039</t>
  </si>
  <si>
    <t>Ароматизатор CONTRA  дом-авто диффузор "AROMA HOME" 100мл Кокосовая вода</t>
  </si>
  <si>
    <t>00-00007031</t>
  </si>
  <si>
    <t>Ароматизатор CONTRA  дом-авто диффузор "AROMA HOME" 100мл Кола</t>
  </si>
  <si>
    <t>00-00007034</t>
  </si>
  <si>
    <t>Ароматизатор CONTRA  дом-авто диффузор "AROMA HOME" 100мл Крем брюле</t>
  </si>
  <si>
    <t>00-00007037</t>
  </si>
  <si>
    <t>Ароматизатор CONTRA  дом-авто диффузор "AROMA HOME" 100мл Мангустин</t>
  </si>
  <si>
    <t>00-00007030</t>
  </si>
  <si>
    <t>Ароматизатор CONTRA  дом-авто диффузор "AROMA HOME" 100мл Маракуйя</t>
  </si>
  <si>
    <t>00-00007027</t>
  </si>
  <si>
    <t>Ароматизатор CONTRA  дом-авто диффузор "AROMA HOME" 100мл Мультифрукт</t>
  </si>
  <si>
    <t>00-00007029</t>
  </si>
  <si>
    <t>Ароматизатор CONTRA  дом-авто диффузор "AROMA HOME" 100мл Персиковый сок</t>
  </si>
  <si>
    <t>00-00007036</t>
  </si>
  <si>
    <t>Ароматизатор CONTRA  дом-авто диффузор "AROMA HOME" 100мл Синабон</t>
  </si>
  <si>
    <t>00-00007035</t>
  </si>
  <si>
    <t>Ароматизатор CONTRA  дом-авто диффузор "AROMA HOME" 100мл Сладкая папайя</t>
  </si>
  <si>
    <t>00-00007033</t>
  </si>
  <si>
    <t>Ароматизатор CONTRA  дом-авто диффузор "AROMA HOME" 100мл Спелое личи</t>
  </si>
  <si>
    <t>00-00007041</t>
  </si>
  <si>
    <t>Ароматизатор CONTRA  дом-авто диффузор "AROMA HOME" 100мл Тропические фрукты</t>
  </si>
  <si>
    <t>00-00007040</t>
  </si>
  <si>
    <t>Ароматизатор CONTRA  дом-авто диффузор "AROMA HOME" 100мл Яблоко и ваниль</t>
  </si>
  <si>
    <t>00-00004651</t>
  </si>
  <si>
    <t>Ароматизатор AREON в дефлектор CAR 8мл. Романтика (Romance)</t>
  </si>
  <si>
    <t>00-00004653</t>
  </si>
  <si>
    <t>Ароматизатор AREON в дефлектор CAR 8мл. Яблоко (Apple)</t>
  </si>
  <si>
    <t>00-00007110</t>
  </si>
  <si>
    <t>Ароматизатор Dr.MARKUS в дефлектор ( Жидкий 8мл.) SPEAKER  МИКС на листе  1/20шт.</t>
  </si>
  <si>
    <t>00-00006957</t>
  </si>
  <si>
    <t>Ароматизатор SLIM GOLD на дефлектор Cafe del Mare  арт.GFL-301</t>
  </si>
  <si>
    <t>00-00006959</t>
  </si>
  <si>
    <t>Ароматизатор SLIM GOLD на дефлектор Fashion Night  арт.GFL-303</t>
  </si>
  <si>
    <t>00-00006962</t>
  </si>
  <si>
    <t>Ароматизатор SLIM GOLD на дефлектор Альпийская свежесть  арт.GFL-306</t>
  </si>
  <si>
    <t>00-00006956</t>
  </si>
  <si>
    <t>Ароматизатор SLIM GOLD на дефлектор Ветка сакуры  арт.GFL-17</t>
  </si>
  <si>
    <t>00-00006961</t>
  </si>
  <si>
    <t>Ароматизатор SLIM GOLD на дефлектор Морская прохлада  арт.GFL-305</t>
  </si>
  <si>
    <t>00-00006960</t>
  </si>
  <si>
    <t>Ароматизатор SLIM GOLD на дефлектор Освежающий и чистый  арт.GFL-304</t>
  </si>
  <si>
    <t>00-00006964</t>
  </si>
  <si>
    <t>Ароматизатор SLIM GOLD на дефлектор Ранее утро в Париже  арт.GFL-308</t>
  </si>
  <si>
    <t>00-00006963</t>
  </si>
  <si>
    <t>Ароматизатор SLIM GOLD на дефлектор Свежесть горного утра  арт.GFL-307</t>
  </si>
  <si>
    <t>00-00005648</t>
  </si>
  <si>
    <t>Ароматизатор SLIM картридж Бархатная вишня SMRFL-300</t>
  </si>
  <si>
    <t>00-00001252</t>
  </si>
  <si>
    <t>Ароматизатор SLIM на дефлектор Соблазн арт.SLMV-127 (1/20шт.)</t>
  </si>
  <si>
    <t>00-00000453</t>
  </si>
  <si>
    <t>Ароматизатор AREON бочонок  Fresco X Блек Кристалл (Black Crystal)</t>
  </si>
  <si>
    <t>00-00006965</t>
  </si>
  <si>
    <t>00-00006966</t>
  </si>
  <si>
    <t>00-00006967</t>
  </si>
  <si>
    <t>00-00006968</t>
  </si>
  <si>
    <t>00-00003449</t>
  </si>
  <si>
    <t>Ароматизатор AREON елочка X  Version Вечеринка (Party) 1/10шт.</t>
  </si>
  <si>
    <t>00-00000527</t>
  </si>
  <si>
    <t>Ароматизатор AREON елочка Мон Кокос (Coconut) 1/10шт.</t>
  </si>
  <si>
    <t>00-00000764</t>
  </si>
  <si>
    <t>Ароматизатор AREON елочка Мон Кофе (Coffee) 1/10шт.</t>
  </si>
  <si>
    <t>00-00003662</t>
  </si>
  <si>
    <t>Ароматизатор AREON елочка Х Бабл Гам (Bubble Gum) 1/10шт.</t>
  </si>
  <si>
    <t>00-00003659</t>
  </si>
  <si>
    <t>Ароматизатор AREON елочка Х Тутти Фрутти (Tutti Frutti) 1/10шт.</t>
  </si>
  <si>
    <t>00-00004023</t>
  </si>
  <si>
    <t>Ароматизатор AREON мешочек с гранулами Pearls Золото (GOLD)</t>
  </si>
  <si>
    <t>00-00004658</t>
  </si>
  <si>
    <t>Ароматизатор AREON мешочек с гранулами Pearls Новая Машина (New Car)</t>
  </si>
  <si>
    <t>00-00000566</t>
  </si>
  <si>
    <t>Ароматизатор AREON мешочек с гранулами Pearls Персик (Peach)</t>
  </si>
  <si>
    <t>00-00005859</t>
  </si>
  <si>
    <t>Ароматизатор AREON мешочек с гранулами Pearls Черный Ваниль (Vanila Black)</t>
  </si>
  <si>
    <t>00-00000560</t>
  </si>
  <si>
    <t>Ароматизатор AREON мешочек с гранулами Pearls Черный Кристалл (Black Crystal)</t>
  </si>
  <si>
    <t>00-00005179</t>
  </si>
  <si>
    <t>Ароматизатор AURA FRESH листик гель "Prime DROP" №2 арт.23310</t>
  </si>
  <si>
    <t>00-00005383</t>
  </si>
  <si>
    <t>Ароматизатор AURA FRESH мешочек с гранулами "Fresh Bag" Aqua (Аква)</t>
  </si>
  <si>
    <t>00-00005374</t>
  </si>
  <si>
    <t>Ароматизатор AURA FRESH мешочек с гранулами "Fresh Bag" Black (Черный Лед)</t>
  </si>
  <si>
    <t>00-00005373</t>
  </si>
  <si>
    <t>Ароматизатор AURA FRESH мешочек с гранулами "Fresh Bag" Blue Lagoon (Голубая лагуна)</t>
  </si>
  <si>
    <t>00-00005378</t>
  </si>
  <si>
    <t>Ароматизатор AURA FRESH мешочек с гранулами "Fresh Bag" Forest fruits (Дикие фрукты)</t>
  </si>
  <si>
    <t>00-00005382</t>
  </si>
  <si>
    <t>Ароматизатор AURA FRESH мешочек с гранулами "Fresh Bag" Lemon (Лимон)</t>
  </si>
  <si>
    <t>00-00005377</t>
  </si>
  <si>
    <t>Ароматизатор AURA FRESH мешочек с гранулами "Fresh Bag" Margarita (Коктейль «Маргарита»)</t>
  </si>
  <si>
    <t>00-00005295</t>
  </si>
  <si>
    <t>Ароматизатор AURA FRESH мешочек с гранулами "Fresh Bag" New Car (Новая машина)</t>
  </si>
  <si>
    <t>00-00005384</t>
  </si>
  <si>
    <t>Ароматизатор AURA FRESH мешочек с гранулами "Fresh Bag" Sex on the beach</t>
  </si>
  <si>
    <t>00-00005296</t>
  </si>
  <si>
    <t>Ароматизатор AURA FRESH мешочек с гранулами "Fresh Bag" Vanilla (Ваниль)</t>
  </si>
  <si>
    <t>00-00006883</t>
  </si>
  <si>
    <t>Ароматизатор AURA FRESH подвесной THRASH New Car арт.23418 (1/40шт)</t>
  </si>
  <si>
    <t>00-00005904</t>
  </si>
  <si>
    <t>Ароматизатор AURA FRESH флакон с деревянной крышкой "ENERGY" арт.23395 ELF</t>
  </si>
  <si>
    <t>00-00005170</t>
  </si>
  <si>
    <t>Ароматизатор AURA FRESH флакон с деревянной крышкой "Prime Cap - №7" арт.23155</t>
  </si>
  <si>
    <t>00-00005171</t>
  </si>
  <si>
    <t>Ароматизатор AURA FRESH флакон с деревянной крышкой "Prime Cap - №8" арт.23156</t>
  </si>
  <si>
    <t>00-00005172</t>
  </si>
  <si>
    <t>Ароматизатор AURA FRESH флакон с деревянной крышкой "Prime Cap - №9" арт.23157</t>
  </si>
  <si>
    <t>00-00007100</t>
  </si>
  <si>
    <t>Ароматизатор AURAMI елочка LP-4 Патриот "Герб" Новая машина 1/12шт.</t>
  </si>
  <si>
    <t>00-00000697</t>
  </si>
  <si>
    <t>Ароматизатор AURAMI елочка Армия России AR-101 "Десантник" (ВДВ) Парфюм 1/12шт</t>
  </si>
  <si>
    <t>00-00000701</t>
  </si>
  <si>
    <t>Ароматизатор AURAMI елочка Армия России AR-102 "Танкист" Новая Машина 1/12шт</t>
  </si>
  <si>
    <t>00-00000699</t>
  </si>
  <si>
    <t>Ароматизатор AURAMI елочка Армия России AR-103 "Морпех" Бабл Гам 1/12шт</t>
  </si>
  <si>
    <t>00-00000698</t>
  </si>
  <si>
    <t>Ароматизатор AURAMI елочка Армия России AR-104 "Летчик" Ваниль 1/12шт</t>
  </si>
  <si>
    <t>00-00000700</t>
  </si>
  <si>
    <t>Ароматизатор AURAMI елочка Армия России AR-105 "Моряк" Морская Свежесть 1/12шт</t>
  </si>
  <si>
    <t>00-00003414</t>
  </si>
  <si>
    <t>Ароматизатор AURAMI елочка Дед Мороз (Свежий мандарин) 1/12шт.</t>
  </si>
  <si>
    <t>00-00006927</t>
  </si>
  <si>
    <t>Ароматизатор AVIEL флакон с деревянной крышкой ABU DHABI</t>
  </si>
  <si>
    <t>00-00006936</t>
  </si>
  <si>
    <t>Ароматизатор AVIEL флакон с деревянной крышкой AFRICAN BALL</t>
  </si>
  <si>
    <t>00-00006937</t>
  </si>
  <si>
    <t>Ароматизатор AVIEL флакон с деревянной крышкой AFRICAN PARTY</t>
  </si>
  <si>
    <t>00-00006938</t>
  </si>
  <si>
    <t>Ароматизатор AVIEL флакон с деревянной крышкой CASABLANCA</t>
  </si>
  <si>
    <t>00-00006939</t>
  </si>
  <si>
    <t>Ароматизатор AVIEL флакон с деревянной крышкой DUBAI</t>
  </si>
  <si>
    <t>00-00006953</t>
  </si>
  <si>
    <t>Ароматизатор AVIEL флакон с деревянной крышкой GOLDEN FLEECE</t>
  </si>
  <si>
    <t>00-00006940</t>
  </si>
  <si>
    <t>Ароматизатор AVIEL флакон с деревянной крышкой KING</t>
  </si>
  <si>
    <t>00-00006941</t>
  </si>
  <si>
    <t>Ароматизатор AVIEL флакон с деревянной крышкой MAFIOSO</t>
  </si>
  <si>
    <t>00-00006942</t>
  </si>
  <si>
    <t>Ароматизатор AVIEL флакон с деревянной крышкой MONACO</t>
  </si>
  <si>
    <t>00-00006950</t>
  </si>
  <si>
    <t>Ароматизатор AVIEL флакон с деревянной крышкой OUT WOOD</t>
  </si>
  <si>
    <t>00-00006943</t>
  </si>
  <si>
    <t>Ароматизатор AVIEL флакон с деревянной крышкой PARIS</t>
  </si>
  <si>
    <t>00-00006954</t>
  </si>
  <si>
    <t>Ароматизатор AVIEL флакон с деревянной крышкой PASSIOT</t>
  </si>
  <si>
    <t>00-00006951</t>
  </si>
  <si>
    <t>Ароматизатор AVIEL флакон с деревянной крышкой PORTO</t>
  </si>
  <si>
    <t>00-00006952</t>
  </si>
  <si>
    <t>Ароматизатор AVIEL флакон с деревянной крышкой SHOCK CHERRY</t>
  </si>
  <si>
    <t>00-00006946</t>
  </si>
  <si>
    <t>Ароматизатор AVIEL флакон с деревянной крышкой SICILIAN VANILLA</t>
  </si>
  <si>
    <t>00-00006948</t>
  </si>
  <si>
    <t>Ароматизатор AVIEL флакон с деревянной крышкой VANILLA LOST</t>
  </si>
  <si>
    <t>00-00006949</t>
  </si>
  <si>
    <t>Ароматизатор AVIEL флакон с деревянной крышкой VERONA LEATHER</t>
  </si>
  <si>
    <t>00-00006982</t>
  </si>
  <si>
    <t>Ароматизатор CONTRA  гель SEX LADY (Maitresse) (феромоны)</t>
  </si>
  <si>
    <t>00-00006983</t>
  </si>
  <si>
    <t>Ароматизатор CONTRA  гель Sex on Board (Грейфрукт с лепестками розы)</t>
  </si>
  <si>
    <t>00-00006103</t>
  </si>
  <si>
    <t>Ароматизатор CONTRA  флакон с деревянной крышкой CLASSIC 8мл. Coffee (Кофе)</t>
  </si>
  <si>
    <t>00-00005604</t>
  </si>
  <si>
    <t>Ароматизатор CONTRA  флакон с деревянной крышкой CLASSIC 8мл. Анти Табак</t>
  </si>
  <si>
    <t>00-00006995</t>
  </si>
  <si>
    <t>Ароматизатор CONTRA мешочек  Orgasm Tester (Свежесть Морского бриза)  (1/15шт.)</t>
  </si>
  <si>
    <t>00-00006996</t>
  </si>
  <si>
    <t>Ароматизатор CONTRA мешочек SEX NARCOTIC (феромоны) (1/15шт.)</t>
  </si>
  <si>
    <t>00-00007000</t>
  </si>
  <si>
    <t>Ароматизатор CONTRA мешочек Премиум Sex Наша Работа (Афган.цветок) (1/15шт.)</t>
  </si>
  <si>
    <t>00-00006988</t>
  </si>
  <si>
    <t>Ароматизатор CONTRA флакон с деревянной крышкой VIP Perfume № 4 "Acqua Di Gio" (1/20шт)</t>
  </si>
  <si>
    <t>00-00006989</t>
  </si>
  <si>
    <t>Ароматизатор CONTRA флакон с деревянной крышкой VIP Perfume № 5 "Acqua di Gio Profumo" (1/20шт)</t>
  </si>
  <si>
    <t>00-00006990</t>
  </si>
  <si>
    <t>Ароматизатор CONTRA флакон с деревянной крышкой VIP Perfume № 7 "Armani Code" (1/20шт)</t>
  </si>
  <si>
    <t>00-00006991</t>
  </si>
  <si>
    <t>Ароматизатор CONTRA флакон с деревянной крышкой VIP Perfume № 8 "Armani Code Ice" (1/20шт)</t>
  </si>
  <si>
    <t>00-00006992</t>
  </si>
  <si>
    <t>Ароматизатор CONTRA флакон с деревянной крышкой VIP Perfume № 9 "Bvlgari MAN In Black" (1/20шт)</t>
  </si>
  <si>
    <t>Ароматизатор CONTRA флакон с деревянной крышкой VIP Perfume №10 "212 VIP" (1/20шт)</t>
  </si>
  <si>
    <t>00-00006372</t>
  </si>
  <si>
    <t>Ароматизатор CONTRA флакон с деревянной крышкой VIP Perfume №12 "Allure Homme Sport"</t>
  </si>
  <si>
    <t>Ароматизатор CONTRA флакон с деревянной крышкой VIP Perfume №17 "Hugo Boss № 6"</t>
  </si>
  <si>
    <t>00-00006374</t>
  </si>
  <si>
    <t>Ароматизатор CONTRA флакон с деревянной крышкой VIP Perfume №18 "Eau de Lacoste"</t>
  </si>
  <si>
    <t>00-00006375</t>
  </si>
  <si>
    <t>Ароматизатор CONTRA флакон с деревянной крышкой VIP Perfume №19 "L'Eau Kenzo Intense"</t>
  </si>
  <si>
    <t>Ароматизатор CONTRA флакон с деревянной крышкой VIP Perfume №27 "Invictus"</t>
  </si>
  <si>
    <t>00-00006993</t>
  </si>
  <si>
    <t>Ароматизатор CONTRA флакон с деревянной крышкой VIP Perfume №28 "1 Million Prive" (1/20шт)</t>
  </si>
  <si>
    <t>00-00006994</t>
  </si>
  <si>
    <t>Ароматизатор CONTRA флакон с деревянной крышкой VIP Perfume №47 "Tobacco Vanille" (1/20шт)</t>
  </si>
  <si>
    <t>00-00000797</t>
  </si>
  <si>
    <t>Ароматизатор Dr.MARKUS бочонок Senso Ваниль (Vanilla) (1/14шт)</t>
  </si>
  <si>
    <t>00-00000800</t>
  </si>
  <si>
    <t>Ароматизатор Dr.MARKUS бочонок Senso Новая Машина (New Car) (1/14шт)</t>
  </si>
  <si>
    <t>00-00000801</t>
  </si>
  <si>
    <t>Ароматизатор Dr.MARKUS бочонок Senso Океанский бриз (Ocean Breeze) (1/14шт)</t>
  </si>
  <si>
    <t>00-00007099</t>
  </si>
  <si>
    <t>Ароматизатор Dr.MARKUS мешочек с гранулами Fresh Bag Зимний Лед (Winter Ice)</t>
  </si>
  <si>
    <t>00-00007046</t>
  </si>
  <si>
    <t>Ароматизатор ION Crystal флакон с деревянной крышкой арт.IB-50 Baccarat Rouge 8мл.</t>
  </si>
  <si>
    <t>00-00007047</t>
  </si>
  <si>
    <t>Ароматизатор ION Crystal флакон с деревянной крышкой арт.IB-51 BAL D'AFRIQUE 8мл.</t>
  </si>
  <si>
    <t>00-00007048</t>
  </si>
  <si>
    <t>Ароматизатор ION Crystal флакон с деревянной крышкой арт.IB-52 LOST CHERRY 8мл.</t>
  </si>
  <si>
    <t>00-00007049</t>
  </si>
  <si>
    <t>Ароматизатор ION Crystal флакон с деревянной крышкой арт.IB-53 TOBACCO VANILLE 8мл.</t>
  </si>
  <si>
    <t>00-00007050</t>
  </si>
  <si>
    <t>Ароматизатор ION Crystal флакон с деревянной крышкой арт.IB-55 GOOD GIRL GONE BAD 8мл.</t>
  </si>
  <si>
    <t>Ароматизатор ION Shot листик гель арт.IB-30 GUILTY BY GUCCI (1/15шт)</t>
  </si>
  <si>
    <t>00-00007119</t>
  </si>
  <si>
    <t>00-00007120</t>
  </si>
  <si>
    <t>00-00007121</t>
  </si>
  <si>
    <t>00-00001074</t>
  </si>
  <si>
    <t>Ароматизатор LITTLE TREES елочка Зеленое яблоко (Green Apple)</t>
  </si>
  <si>
    <t>00-00001061</t>
  </si>
  <si>
    <t>Ароматизатор LITTLE TREES елочка Персик (Peachy Peach)</t>
  </si>
  <si>
    <t>00-00001063</t>
  </si>
  <si>
    <t>Ароматизатор LITTLE TREES елочка Прибрежный Бриз (Bayside Breeze)</t>
  </si>
  <si>
    <t>00-00007118</t>
  </si>
  <si>
    <t>Ароматизатор NOVA елочка "Не курить" в коробке 1/50шт</t>
  </si>
  <si>
    <t>00-00006981</t>
  </si>
  <si>
    <t>Ароматизатор POLIART PERFUME флакон с деревянной крышкой арт.PA00035  MOONLIGHT</t>
  </si>
  <si>
    <t>00-00006701</t>
  </si>
  <si>
    <t>Ароматизатор POLIART PERFUME флакон с деревянной крышкой арт.PE00001 HYUNDAY</t>
  </si>
  <si>
    <t>00-00006694</t>
  </si>
  <si>
    <t>Ароматизатор POLIART PERFUME флакон с деревянной крышкой арт.PE00002 TOYOTA</t>
  </si>
  <si>
    <t>00-00006699</t>
  </si>
  <si>
    <t>Ароматизатор POLIART PERFUME флакон с деревянной крышкой арт.PE00003 HONDA</t>
  </si>
  <si>
    <t>00-00006696</t>
  </si>
  <si>
    <t>Ароматизатор POLIART PERFUME флакон с деревянной крышкой арт.PE00005 LEXUS</t>
  </si>
  <si>
    <t>00-00006695</t>
  </si>
  <si>
    <t>Ароматизатор POLIART PERFUME флакон с деревянной крышкой арт.PE00008 NISSAN</t>
  </si>
  <si>
    <t>00-00006697</t>
  </si>
  <si>
    <t>Ароматизатор POLIART PERFUME флакон с деревянной крышкой арт.PE00010 MERCEDES</t>
  </si>
  <si>
    <t>00-00000681</t>
  </si>
  <si>
    <t>Ароматизатор AURAMI банка на панель (икра) PRL-08 Леденящий восторг (Arctic Fresh)</t>
  </si>
  <si>
    <t>00-00003701</t>
  </si>
  <si>
    <t>Ароматизатор AURAMI банка на панель Black Cube "BLC 07" Морской сквош (Squash)</t>
  </si>
  <si>
    <t>00-00003702</t>
  </si>
  <si>
    <t>Ароматизатор AURAMI банка на панель Black Cube "BLC 09" Босс (Boss)</t>
  </si>
  <si>
    <t>00-00003703</t>
  </si>
  <si>
    <t>Ароматизатор AURAMI банка на панель Black Cube "BLC 10" Эгоист (Egoiste)</t>
  </si>
  <si>
    <t>Ароматизатор CONTRA  банка на панель Премиум SEX Наша работа (Black Opium)(Афган.цветок)</t>
  </si>
  <si>
    <t>00-00001320</t>
  </si>
  <si>
    <t>Ароматизатор TASOTTI спрей на панель Excellent Ice Aqua (Лед)  (1/16шт.)</t>
  </si>
  <si>
    <t>00-00001329</t>
  </si>
  <si>
    <t>Ароматизатор TASOTTI спрей на панель Excellent Tutti Frutti (Тутти Фрутти)</t>
  </si>
  <si>
    <t>00-00000750</t>
  </si>
  <si>
    <t>Ароматизатор BIG FRESH под сиденье Черный лед (1/40шт.)</t>
  </si>
  <si>
    <t>Ароматизатор MAXI FRESH под сиденье MF-120 Черная Смородина 100гр</t>
  </si>
  <si>
    <t>00-00005727</t>
  </si>
  <si>
    <t>Ароматизатор AURA FRESH спрей " PUMP" Coconut&amp;Maracuja (Кокос/Маракуйя) 50мл. арт.23363</t>
  </si>
  <si>
    <t>00-00007067</t>
  </si>
  <si>
    <t>Ароматизатор CONTEX / CONTRA  спрей + елочка в упак.30мл. SEX LADY (Maitresse) (феромоны)</t>
  </si>
  <si>
    <t>Ароматизатор CONTEX / CONTRA  спрей + елочка в упак.30мл. Sex on Board (Грейфрукт с лепестками розы)</t>
  </si>
  <si>
    <t>Ароматизатор Dr.MARKUS спрей Pump  МИКС в коробке 1/24шт</t>
  </si>
  <si>
    <t>00-00000782</t>
  </si>
  <si>
    <t>Ароматизатор Dr.MARKUS консерва Aircan Зеленое яблоко (Green Apple)</t>
  </si>
  <si>
    <t>00-00000780</t>
  </si>
  <si>
    <t>Ароматизатор Dr.MARKUS консерва Aircan Черный (Black)</t>
  </si>
  <si>
    <t>00-00007007</t>
  </si>
  <si>
    <t>Изолента Neomatec 19мм*20м матовая черная  1/10шт.</t>
  </si>
  <si>
    <t>00-00001657</t>
  </si>
  <si>
    <t>Домкрат подкатной Mega Power 2 т (330мм)</t>
  </si>
  <si>
    <t>00-00005323</t>
  </si>
  <si>
    <t>Набор съемников для демонтажа DP-193</t>
  </si>
  <si>
    <t>Отвертка Ванадий резиновая ручка 2 в 1   (1/12шт)</t>
  </si>
  <si>
    <t>00-00007102</t>
  </si>
  <si>
    <t>Компрессор автомобильный AS-782 Торнадо 65л/мин. 2-х поршневой</t>
  </si>
  <si>
    <t>00-00001939</t>
  </si>
  <si>
    <t>Компрессор автомобильный Nova Bright 46948 АК-35 металл. корпус (1/8шт)</t>
  </si>
  <si>
    <t>00-00007101</t>
  </si>
  <si>
    <t>Компрессор автомобильный Циклон KS-312 60л/мин. 2-х поршневой</t>
  </si>
  <si>
    <t>00-00001725</t>
  </si>
  <si>
    <t>Знак аварийный CRISTYLEAVTO в пенале средний 05 (1/50шт.)</t>
  </si>
  <si>
    <t>Сумка Автомобилиста цвет в ассортименте (1/25шт.)</t>
  </si>
  <si>
    <t>Стяжка груза 6м 2,5т CRISTYLEAVTO  (1/10шт.)</t>
  </si>
  <si>
    <t>00-00007097</t>
  </si>
  <si>
    <t>Стяжка груза 6м 2,5т Китай</t>
  </si>
  <si>
    <t>Стяжка груза 8м 2,5т CRISTYLEAVTO (1/10шт)</t>
  </si>
  <si>
    <t>00-00006984</t>
  </si>
  <si>
    <t>00-00006985</t>
  </si>
  <si>
    <t>Нож охотничий подарочный GERBER (ручка и чехол пластик)</t>
  </si>
  <si>
    <t>00-00002624</t>
  </si>
  <si>
    <t>Рюмка металическая средняя</t>
  </si>
  <si>
    <t>00-00002919</t>
  </si>
  <si>
    <t>Трос буксировочный Богатырь 16т веревка</t>
  </si>
  <si>
    <t>Зарядное устройство для автомобильных аккумуляторов UAP-10 (12V-10A/24V-5A) арт.RJ-C121001A /A4847</t>
  </si>
  <si>
    <t>00-00006555</t>
  </si>
  <si>
    <t>Пуско-зарядное устройство  CarLive ТМ-15 10000mAH 12V арт.S080</t>
  </si>
  <si>
    <t>00-00007092</t>
  </si>
  <si>
    <t>Пуско-зарядное устройство  CarLive ТМ-150 10000mAh 12V (с компрессором) арт.S081</t>
  </si>
  <si>
    <t>00-00007093</t>
  </si>
  <si>
    <t>Пуско-зарядное устройство  CarLive ТМ-18B 12000mAh 12V (с компрессором) арт.S082</t>
  </si>
  <si>
    <t>00-00006554</t>
  </si>
  <si>
    <t>Пуско-зарядное устройство  CarLive ТМ-41 16800mAh 12V арт.S084</t>
  </si>
  <si>
    <t>1/12/120 шт</t>
  </si>
  <si>
    <t>00-00007113</t>
  </si>
  <si>
    <t>Мочалка СА-251 Stretch wash cloth</t>
  </si>
  <si>
    <t>00-00007114</t>
  </si>
  <si>
    <t>Мочалка СА-253 Wash cloth (с ручкой)</t>
  </si>
  <si>
    <t>00-00007115</t>
  </si>
  <si>
    <t>Мочалка СА-255 Bath&amp;shower с углеволокном</t>
  </si>
  <si>
    <t>00-00007116</t>
  </si>
  <si>
    <t>Мочалка СА-257 Mash sponge (шар)</t>
  </si>
  <si>
    <t>00-00005025</t>
  </si>
  <si>
    <t>Опрыскиватель 2л. Plastic Land   г.Сызрань с клапаном (дорогой)   (1/30шт.)</t>
  </si>
  <si>
    <t>00-00007077</t>
  </si>
  <si>
    <t>Салфетка замша City UP CU-227 43*64см в тубусе</t>
  </si>
  <si>
    <t>00-00007078</t>
  </si>
  <si>
    <t>Салфетка замша City UP CU-228 43*32см в тубусе</t>
  </si>
  <si>
    <t>00-00007079</t>
  </si>
  <si>
    <t>Салфетка замша City UP CU-229 43*64см  1/5шт. упакованны в пакет</t>
  </si>
  <si>
    <t>1/5/80 шт</t>
  </si>
  <si>
    <t>Салфетка микрофибра City UP CA-106NP LUX300 40*50</t>
  </si>
  <si>
    <t>1/300 шт</t>
  </si>
  <si>
    <t>Салфетка микрофибра City UP CA-111 Crystal 36*65см (1/40шт)</t>
  </si>
  <si>
    <t>1/40/160 шт</t>
  </si>
  <si>
    <t>Салфетка микрофибра City UP CA-115NP Teddy  35*40см   1/10шт.</t>
  </si>
  <si>
    <t>00-00007045</t>
  </si>
  <si>
    <t>Щетки</t>
  </si>
  <si>
    <t>00-00003626</t>
  </si>
  <si>
    <t>Щетка д/мытья авто Li&amp;Sa LS007 с краном подачи воды 31см (1/12шт)</t>
  </si>
  <si>
    <t>00-00006911</t>
  </si>
  <si>
    <t>Манометр шинный CRISTYLEAVTO в блистере дешевый арт.500619</t>
  </si>
  <si>
    <t>00-00007111</t>
  </si>
  <si>
    <t>Водосгон City UP CU-942 с телескопической ручкой и поролоновой щеткой</t>
  </si>
  <si>
    <t>00-00007069</t>
  </si>
  <si>
    <t>Водосгон City UP CU-943 с телескопической ручкой и поролоновой щеткой</t>
  </si>
  <si>
    <t>00-00007112</t>
  </si>
  <si>
    <t>Водосгон City UP CU-953 с телескопической ручкой , со скребком</t>
  </si>
  <si>
    <t>1/12/72 шт</t>
  </si>
  <si>
    <t>00-00003956</t>
  </si>
  <si>
    <t>Водосгон City UP СА-983 (1/12шт.)</t>
  </si>
  <si>
    <t>Щетка д/мытья авто City UP СА-600L / CU-600 телескопическая 2-х секционная с краном подачи (1/14шт.)</t>
  </si>
  <si>
    <t>00-00005973</t>
  </si>
  <si>
    <t>Скребок  LIMROY NT-30 арт.090318  30см.</t>
  </si>
  <si>
    <t>00-00002727</t>
  </si>
  <si>
    <t>Скребок City UP СА-551 с двойным лезвием 25,5см. (1/24шт)</t>
  </si>
  <si>
    <t>1/24/72 шт</t>
  </si>
  <si>
    <t>00-00002730</t>
  </si>
  <si>
    <t>Скребок City UP СА-555 с варежкой</t>
  </si>
  <si>
    <t>1/40/80 шт</t>
  </si>
  <si>
    <t>00-00002734</t>
  </si>
  <si>
    <t>Скребок City UP СА-559 с водосгоном и мягкой ручкой 22см.</t>
  </si>
  <si>
    <t>00-00005339</t>
  </si>
  <si>
    <t>Скребок LS-271 арт.39917</t>
  </si>
  <si>
    <t>00-00005342</t>
  </si>
  <si>
    <t>Скребок LS-274 арт.39920</t>
  </si>
  <si>
    <t>Скребок Квадратный 1/10шт.</t>
  </si>
  <si>
    <t>00-00003208</t>
  </si>
  <si>
    <t>Щетка зимняя Black&amp;Blue BB-1001 поролоновая ручка арт.44382  48см. (1/12шт)</t>
  </si>
  <si>
    <t>00-00003209</t>
  </si>
  <si>
    <t>Щетка зимняя Black&amp;Blue BB-1002 поролоновая ручка арт.44383  65см. (1/12шт)</t>
  </si>
  <si>
    <t>00-00003210</t>
  </si>
  <si>
    <t>Щетка зимняя Black&amp;Blue BB-1003 поролоновая ручка арт.44384  48см. (1/12шт)</t>
  </si>
  <si>
    <t>00-00003211</t>
  </si>
  <si>
    <t>Щетка зимняя Black&amp;Blue BB-1004 поролоновая ручка арт.39907  42см. (1/12шт)</t>
  </si>
  <si>
    <t>00-00004732</t>
  </si>
  <si>
    <t>Щетка зимняя Black&amp;Blue BB-1005 поролоновая ручка арт.47547 телескоп. 57-70см. (1/12шт)</t>
  </si>
  <si>
    <t>00-00007073</t>
  </si>
  <si>
    <t>Щетка зимняя City UP CU-56 LUXURY LINE телескоп.со скребком, поролоновая ручка и водосгон</t>
  </si>
  <si>
    <t>00-00007074</t>
  </si>
  <si>
    <t>Щетка зимняя City UP CU-57 LUX LUXURY LINE телескоп.со скребком, поролоновая ручка и водосгон</t>
  </si>
  <si>
    <t>00-00003216</t>
  </si>
  <si>
    <t>00-00007072</t>
  </si>
  <si>
    <t>Щетка зимняя City UP CU-61 LUXURY LINE со скребком, поролоновая ручка</t>
  </si>
  <si>
    <t>00-00007075</t>
  </si>
  <si>
    <t>Щетка зимняя City UP CU-63 LUXURY LINE со скребком, поролоновая ручка</t>
  </si>
  <si>
    <t>00-00003233</t>
  </si>
  <si>
    <t>Щетка зимняя City UP CU-82 со скребком 42см. (1/28шт)</t>
  </si>
  <si>
    <t>00-00003213</t>
  </si>
  <si>
    <t>Щетка зимняя City UP СА-54 со скребком 55,5см. (1/24шт)</t>
  </si>
  <si>
    <t>00-00003221</t>
  </si>
  <si>
    <t>Щетка зимняя City UP СА-65 со скребком, удлиненная 63см. (+/-1см.) (1/12шт)</t>
  </si>
  <si>
    <t>00-00003222</t>
  </si>
  <si>
    <t>Щетка зимняя City UP СА-66 со съемным скребком 52см. (1/50шт)</t>
  </si>
  <si>
    <t>00-00003223</t>
  </si>
  <si>
    <t>Щетка зимняя City UP СА-67 со скребком, двухсторонняя 54,5см. (1/12шт)</t>
  </si>
  <si>
    <t>00-00003225</t>
  </si>
  <si>
    <t>Щетка зимняя City UP СА-70 со скребком класса люкс со стразами 51,5см (1/26шт)</t>
  </si>
  <si>
    <t>00-00003226</t>
  </si>
  <si>
    <t>00-00003227</t>
  </si>
  <si>
    <t>Щетка зимняя City UP СА-74 со скребком, изогнутая форма, удлиненная 72,5см (1/12шт)</t>
  </si>
  <si>
    <t>00-00003228</t>
  </si>
  <si>
    <t>00-00003229</t>
  </si>
  <si>
    <t>00-00003231</t>
  </si>
  <si>
    <t>Щетка зимняя City UP СА-80 со скребком, золотая серия 52см. (1/28шт)</t>
  </si>
  <si>
    <t>00-00003232</t>
  </si>
  <si>
    <t>Щетка зимняя City UP СА-81 со скребком, телескопичка 52,5-64,5 см. (1/28шт)</t>
  </si>
  <si>
    <t>00-00003234</t>
  </si>
  <si>
    <t>Щетка зимняя City UP СА-83 со скребком, поворотная голова ,мини-бульдозер (3в1) 44,5 см. (1/24шт)</t>
  </si>
  <si>
    <t>00-00003238</t>
  </si>
  <si>
    <t>00-00003239</t>
  </si>
  <si>
    <t>Щетка зимняя City UP СА-88 со скребком 61см. (1/12шт)</t>
  </si>
  <si>
    <t>00-00003240</t>
  </si>
  <si>
    <t>Щетка зимняя City UP СА-88XL со скребком, удлиненная Luxe 81см.  (1/12шт)</t>
  </si>
  <si>
    <t>00-00003241</t>
  </si>
  <si>
    <t>Щетка зимняя City UP СА-89 со скребком LUXURY 67см. (1/12шт)</t>
  </si>
  <si>
    <t>00-00003242</t>
  </si>
  <si>
    <t>Щетка зимняя City UP СА-90 со скребком 54,5см. (1/32шт)</t>
  </si>
  <si>
    <t>00-00003243</t>
  </si>
  <si>
    <t>Щетка зимняя City UP СА-91 со скребком (1/24шт)</t>
  </si>
  <si>
    <t>00-00003244</t>
  </si>
  <si>
    <t>00-00006447</t>
  </si>
  <si>
    <t>Щетка зимняя City UP СА-98 со скребком (1/12шт)</t>
  </si>
  <si>
    <t>00-00003246</t>
  </si>
  <si>
    <t>Щетка зимняя City UP СА-99 со скребком 42см. (1/12/36шт)</t>
  </si>
  <si>
    <t>1/12/36 шт</t>
  </si>
  <si>
    <t>00-00005992</t>
  </si>
  <si>
    <t>Щетка зимняя LS-211 арт.44386 со скребком,поролоновая ручка 61 см (1/12шт.)</t>
  </si>
  <si>
    <t>00-00006578</t>
  </si>
  <si>
    <t>Щетка зимняя LS-212 арт.44385 со скребком,поролоновая ручка 91,5см</t>
  </si>
  <si>
    <t>00-00006138</t>
  </si>
  <si>
    <t>Щетка зимняя LS-212/2 арт.44409 со скребком</t>
  </si>
  <si>
    <t>00-00007076</t>
  </si>
  <si>
    <t>Щетка зимняя LS-282 арт.48335 со скребком 59,5см</t>
  </si>
  <si>
    <t>00-00003247</t>
  </si>
  <si>
    <t>Щетка зимняя Tom Par со съемным скребком длинная (1/50шт) 51см.</t>
  </si>
  <si>
    <t>Щетка стеклоочистителя HEYNER  Heyner Exclusive Graphit  26"/65см каркасная арт.166000</t>
  </si>
  <si>
    <t>Щетка стеклоочистителя HEYNER  Heyner Exclusive Graphit  28"/70см каркасная арт.168000</t>
  </si>
  <si>
    <t>00-00003293</t>
  </si>
  <si>
    <t>Щетка стеклоочистителя ALCA 20"/50 см зима  070 000  (1/50шт.)</t>
  </si>
  <si>
    <t>Адаптер питания AC-DC ADAPTER (220V / 12V) с проводом</t>
  </si>
  <si>
    <t>00-00007053</t>
  </si>
  <si>
    <t>Вилка в розетку 1 USB  MRM арт.S-95  5V / 3.1A  QC3.0</t>
  </si>
  <si>
    <t>00-00005535</t>
  </si>
  <si>
    <t>Кабель USB CABLE 360 ° MRM магнитный на андроид</t>
  </si>
  <si>
    <t>Кабель USB G5 /G7 силиконовый на Type-C</t>
  </si>
  <si>
    <t>Кабель USB G5 /G7 силиконовый на айфон</t>
  </si>
  <si>
    <t>Кабель USB G5 /G7 силиконовый на андроид</t>
  </si>
  <si>
    <t>Кабель USB M2 металлический на айфон</t>
  </si>
  <si>
    <t>Кабель USB M2 металлический на андроид</t>
  </si>
  <si>
    <t>00-00003517</t>
  </si>
  <si>
    <t>00-00006975</t>
  </si>
  <si>
    <t>00-00006974</t>
  </si>
  <si>
    <t>00-00006973</t>
  </si>
  <si>
    <t>Кабель USB светодиодный "Карамелька" на андроид</t>
  </si>
  <si>
    <t>00-00004751</t>
  </si>
  <si>
    <t>00-00007068</t>
  </si>
  <si>
    <t>00-00007096</t>
  </si>
  <si>
    <t>Провод AUX JD-22 1м силиконовый (разъем в пластике) 1м</t>
  </si>
  <si>
    <t>00-00007054</t>
  </si>
  <si>
    <t>Провод AUX JD-23 1,5м силиконовый (разъем в пластике)</t>
  </si>
  <si>
    <t>00-00007057</t>
  </si>
  <si>
    <t>Провод AUX R8 резиновый, косичка 1м</t>
  </si>
  <si>
    <t>00-00007081</t>
  </si>
  <si>
    <t>Фонарик на лоб HT-807  арт.W-644</t>
  </si>
  <si>
    <t>Фонарик ручной GZ-998 / -1534 с USB</t>
  </si>
  <si>
    <t>00-00006969</t>
  </si>
  <si>
    <t>Кат. Номер</t>
  </si>
  <si>
    <t>Ст З</t>
  </si>
  <si>
    <t>Ст Р</t>
  </si>
  <si>
    <t>Разн</t>
  </si>
  <si>
    <t>Из ГУГЛа</t>
  </si>
  <si>
    <t>Коэф.</t>
  </si>
  <si>
    <t>Доп.</t>
  </si>
  <si>
    <t>%</t>
  </si>
  <si>
    <t>MR</t>
  </si>
  <si>
    <t>Арт</t>
  </si>
  <si>
    <t>Наименование элемента</t>
  </si>
  <si>
    <t>Y / N</t>
  </si>
  <si>
    <t>Каталожный номер</t>
  </si>
  <si>
    <t>Ссылка на конкурентов</t>
  </si>
  <si>
    <t>Кол-во</t>
  </si>
  <si>
    <t>Склад</t>
  </si>
  <si>
    <t>Y</t>
  </si>
  <si>
    <t>0</t>
  </si>
  <si>
    <t>Автомобильный ароматизатор "Contra" PERFUME, аромат 8№ Armani Code Ice</t>
  </si>
  <si>
    <t>Автомобильный ароматизатор "Contra" PERFUME, аромат №1 Ciel Pour Homme</t>
  </si>
  <si>
    <t>Автомобильный ароматизатор "Contra" PERFUME, аромат №10 212 VIP</t>
  </si>
  <si>
    <t>Автомобильный ароматизатор "Contra" PERFUME, аромат №11 Chance</t>
  </si>
  <si>
    <t>Автомобильный ароматизатор "Contra" PERFUME, аромат №15 Cocaine</t>
  </si>
  <si>
    <t>Автомобильный ароматизатор "Contra" PERFUME, аромат №16 Terre d'hermes</t>
  </si>
  <si>
    <t>Автомобильный ароматизатор "Contra" PERFUME, аромат №17 Hugo Boss No.6</t>
  </si>
  <si>
    <t>Автомобильный ароматизатор "Contra" PERFUME, аромат №19 L'Eau Kenzo Intense</t>
  </si>
  <si>
    <t>Автомобильный ароматизатор "Contra" PERFUME, аромат №22 Rendez-Vous a Moscou</t>
  </si>
  <si>
    <t>Автомобильный ароматизатор "Contra" PERFUME, аромат №23 Pure Gold</t>
  </si>
  <si>
    <t>Автомобильный ароматизатор "Contra" PERFUME, аромат №26 Narcotic Venus</t>
  </si>
  <si>
    <t>Автомобильный ароматизатор "Contra" PERFUME, аромат №27 Invictus</t>
  </si>
  <si>
    <t>Автомобильный ароматизатор "Contra" PERFUME, аромат №29 Fucking Fabulous</t>
  </si>
  <si>
    <t>Автомобильный ароматизатор "Contra" PERFUME, аромат №33 Sheikh Shuyukh Luxe Edition</t>
  </si>
  <si>
    <t>Автомобильный ароматизатор "Contra" PERFUME, аромат №34 Shaik Opulent No.77</t>
  </si>
  <si>
    <t>Автомобильный ароматизатор "Contra" PERFUME, аромат №39 Montale Mukhallat</t>
  </si>
  <si>
    <t>Автомобильный ароматизатор "Contra" PERFUME, аромат №4 Acqua di Gio</t>
  </si>
  <si>
    <t>Автомобильный ароматизатор "Contra" PERFUME, аромат №40 Straight to Heaven</t>
  </si>
  <si>
    <t>Автомобильный ароматизатор "Contra" PERFUME, аромат №42 Black Opium</t>
  </si>
  <si>
    <t>Автомобильный ароматизатор "Contra" PERFUME, аромат №43 Good Girl Gone Bad</t>
  </si>
  <si>
    <t>Автомобильный ароматизатор "Contra" PERFUME, аромат №45 Rose Elixir</t>
  </si>
  <si>
    <t>Автомобильный ароматизатор "Contra" PERFUME, аромат №46 Black Afgano</t>
  </si>
  <si>
    <t>Автомобильный ароматизатор "Contra" PERFUME, аромат №47 Tobacco Vanille</t>
  </si>
  <si>
    <t>Автомобильный ароматизатор "Contra" PERFUME, аромат №49 Eau Fraiche</t>
  </si>
  <si>
    <t>Автомобильный ароматизатор "Contra" PERFUME, аромат №5 Acqua di Gio Profumo</t>
  </si>
  <si>
    <t>Автомобильный ароматизатор "Contra" PERFUME, аромат №6 Si</t>
  </si>
  <si>
    <t>Автомобильный ароматизатор "Contra" PERFUME, аромат №9 Bvlgari Man in Black</t>
  </si>
  <si>
    <t>Кронштейн крепления дополнительных фар под номерной знак (ПТФ, ФСО, ДХО)</t>
  </si>
  <si>
    <t>Наклейка "Ш" (шипы) 20х20 см по ГОСТу</t>
  </si>
  <si>
    <t>Паста притирочная алмазная WMPAUTO 40гр</t>
  </si>
  <si>
    <t>Р2896</t>
  </si>
  <si>
    <t>Разъем прицепа 7PIN пластмассовый</t>
  </si>
  <si>
    <t>12091</t>
  </si>
  <si>
    <t>Разъем прицепа 7PIN силуминовый</t>
  </si>
  <si>
    <t>12092</t>
  </si>
  <si>
    <t>Разъем прицепа 7PIN стальной</t>
  </si>
  <si>
    <t>12090</t>
  </si>
  <si>
    <t>Щетка стеклоочистителя "HITO" Special бескаркасная (500 мм, 11 адаптеров)</t>
  </si>
  <si>
    <t>Щетка стеклоочистителя "HITO" Special бескаркасная (530 мм, 11 адаптеров)</t>
  </si>
  <si>
    <t>Элемент каталога</t>
  </si>
  <si>
    <t>Код товара</t>
  </si>
  <si>
    <t>Ссылка</t>
  </si>
  <si>
    <t>Ряд</t>
  </si>
  <si>
    <t>Ароматизатор "Tasotti" Престиж (банка на панель)</t>
  </si>
  <si>
    <t>Ароматизатор "Tasotti" Престиж (банка на панель) (Арбуз (Watermelon))</t>
  </si>
  <si>
    <t>Ароматизатор "Tasotti" Престиж (банка на панель) (Арома Cпа (Aroma Spa))</t>
  </si>
  <si>
    <t>Ароматизатор "Tasotti" Престиж (банка на панель) (Бабл Гам (Bubble Gum))</t>
  </si>
  <si>
    <t>Ароматизатор "Tasotti" Престиж (банка на панель) (Горная свежесть (Mountain Fresh))</t>
  </si>
  <si>
    <t>Ароматизатор "Tasotti" Престиж (банка на панель) (Грейпфрут (Grapefruit))</t>
  </si>
  <si>
    <t>Ароматизатор "Tasotti" Престиж (банка на панель) (Зеленое яблоко (Green Apple))</t>
  </si>
  <si>
    <t>Ароматизатор "Tasotti" Престиж (банка на панель) (Кофе с молоком (Milk Coffee))</t>
  </si>
  <si>
    <t>Ароматизатор "Tasotti" Престиж (банка на панель) (Красавчик (Sexy Boy))</t>
  </si>
  <si>
    <t>Ароматизатор "Tasotti" Престиж (банка на панель) (Лед Аква (Ice Aqua))</t>
  </si>
  <si>
    <t>Ароматизатор "Tasotti" Престиж (банка на панель) (Ледяная Мята (Ice Mint))</t>
  </si>
  <si>
    <t>Ароматизатор "Tasotti" Престиж (банка на панель) (Ледяной чай Персик (Ice Tea Peach))</t>
  </si>
  <si>
    <t>Ароматизатор "Tasotti" Престиж (банка на панель) (Лесная ягода (Wild Berry))</t>
  </si>
  <si>
    <t>Ароматизатор "Tasotti" Престиж (банка на панель) (Новая машина (New Car))</t>
  </si>
  <si>
    <t>Ароматизатор "Tasotti" Престиж (банка на панель) (Парфюм (Faith Perfumes))</t>
  </si>
  <si>
    <t>Ароматизатор "Tasotti" Престиж (банка на панель) (Престиж Босс (Boss))</t>
  </si>
  <si>
    <t>Ароматизатор "Tasotti" Престиж (банка на панель) (Секретный сад (Secret Garden))</t>
  </si>
  <si>
    <t>Ароматизатор "Tasotti" Престиж (банка на панель) (Тутти Фрутти (Tutti Frutti))</t>
  </si>
  <si>
    <t>Ароматизатор "Tasotti" Престиж (банка на панель) (Цитруслэндт (Citrusland))</t>
  </si>
  <si>
    <t>Ароматизатор "Tasotti" Престиж (банка на панель) (Черный (Black))</t>
  </si>
  <si>
    <t>Ароматизатор "Tasotti" Престиж (банка на панель) (Шоколадная карамель (Chocolate Caramel))</t>
  </si>
  <si>
    <t>Ароматизатор "Tasotti" Престиж (банка на панель) (Японская вишня (Japanese Cherry))</t>
  </si>
  <si>
    <t>Полироль панели "PLAK" 10 Gratis (750 мл)</t>
  </si>
  <si>
    <t>Селективный ароматизатор "COBA" подвесной</t>
  </si>
  <si>
    <t>Селективный ароматизатор "COBA" подвесной Белый Кашемир</t>
  </si>
  <si>
    <t>Селективный ароматизатор "COBA" подвесной Дикий Базилик</t>
  </si>
  <si>
    <t>Селективный ароматизатор "COBA" подвесной Зеленый Манго</t>
  </si>
  <si>
    <t>Селективный ароматизатор "COBA" подвесной Игры Престолов</t>
  </si>
  <si>
    <t>Селективный ароматизатор "COBA" подвесной Королевская замша</t>
  </si>
  <si>
    <t>Селективный ароматизатор "COBA" подвесной Красная Секвойя</t>
  </si>
  <si>
    <t>Селективный ароматизатор "COBA" подвесной Красное Вино</t>
  </si>
  <si>
    <t>Селективный ароматизатор "COBA" подвесной Лувр</t>
  </si>
  <si>
    <t>Селективный ароматизатор "COBA" подвесной Муссон</t>
  </si>
  <si>
    <t>Селективный ароматизатор "COBA" подвесной Сен-Тропе</t>
  </si>
  <si>
    <t>Селективный ароматизатор "COBA" подвесной Табак и Ваниль</t>
  </si>
  <si>
    <t>Селективный ароматизатор "COBA" подвесной Хлопок</t>
  </si>
  <si>
    <t>Селективный ароматизатор "COBA" подвесной Цветущий имбирь</t>
  </si>
  <si>
    <t>Элемент</t>
  </si>
  <si>
    <t>Сигнал CRISTYLEAVTO арт.SA-151 / CA-151 350-420 Гц (1/20шт)</t>
  </si>
  <si>
    <t>Сигнал CRISTYLEAVTO арт.SA-162 / CA-162 400-500 Гц (1/20шт)</t>
  </si>
  <si>
    <t>Сигнал CRISTYLEAVTO арт.SA-163 / CA-163 400-500 Гц (1/20шт)</t>
  </si>
  <si>
    <t>Сигнал CRISTYLEAVTO арт.SA-163H / CA-163H 400-500 Гц (1/20шт)</t>
  </si>
  <si>
    <t>Сигнал CRISTYLEAVTO арт.SA-168 / CA-168 400-500 Гц (1/20шт)</t>
  </si>
  <si>
    <t>Сигнал GMP GTR-97 /99 CRISTYLEAVTO (1/40шт)</t>
  </si>
  <si>
    <t>Автохолодильники и термосумки</t>
  </si>
  <si>
    <t>00-00002847</t>
  </si>
  <si>
    <t>Сумка-термоконтейнер AVS СВ-32A 12v объем 32л.</t>
  </si>
  <si>
    <t>00-00002859</t>
  </si>
  <si>
    <t>Термосумка AVS ТС-10 10л. арт.A80541S</t>
  </si>
  <si>
    <t>00-00002860</t>
  </si>
  <si>
    <t>Термосумка AVS ТС-20 20л. арт.A80542S</t>
  </si>
  <si>
    <t>00-00006290</t>
  </si>
  <si>
    <t>Термосумка СА-706 7л.</t>
  </si>
  <si>
    <t>00-00006291</t>
  </si>
  <si>
    <t>Термосумка СА-708 14л.</t>
  </si>
  <si>
    <t>00-00006292</t>
  </si>
  <si>
    <t>Термосумка СА-710 15л.</t>
  </si>
  <si>
    <t>00-00006293</t>
  </si>
  <si>
    <t>Термосумка СА-712 20л.</t>
  </si>
  <si>
    <t>Вентилятор</t>
  </si>
  <si>
    <t>00-00001495</t>
  </si>
  <si>
    <t>Вентилятор автомобильный 4" City UP СА-561 пластик (10,16см) на присоске (1/40шт)</t>
  </si>
  <si>
    <t>00-00005085</t>
  </si>
  <si>
    <t>Вентилятор автомобильный 5" AVS-9041 арт.43472 пластик.на присоске 12В (1/20шт)</t>
  </si>
  <si>
    <t>00-00006304</t>
  </si>
  <si>
    <t>Вентилятор автомобильный 6" AVS 8043 12v арт.43466 (1/12шт)</t>
  </si>
  <si>
    <t>00-00005643</t>
  </si>
  <si>
    <t>Вентилятор автомобильный 6" AVS 8043С 24v арт.43467 (1/12шт)</t>
  </si>
  <si>
    <t>00-00001496</t>
  </si>
  <si>
    <t>Вентилятор автомобильный 6" City UP СА-563 метал.+пластик с прищепкой DC12V (1/20шт)</t>
  </si>
  <si>
    <t>00-00006854</t>
  </si>
  <si>
    <t>Вентилятор автомобильный 6" City UP СА-563 метал.+пластик с прищепкой DC24V (1/20шт)</t>
  </si>
  <si>
    <t>00-00005039</t>
  </si>
  <si>
    <t>Вентилятор автомобильный 6" MAAS метал.с прищепкой 12v (1/12шт)</t>
  </si>
  <si>
    <t>00-00005040</t>
  </si>
  <si>
    <t>Вентилятор автомобильный 6" MAAS метал.с прищепкой 24v</t>
  </si>
  <si>
    <t>00-00006305</t>
  </si>
  <si>
    <t>Вентилятор автомобильный 8" AVS 8048C 24v арт.A78002S (1/12шт)</t>
  </si>
  <si>
    <t>00-00005042</t>
  </si>
  <si>
    <t>Вентилятор автомобильный 8" MAAS метал.с прищепкой 24v</t>
  </si>
  <si>
    <t>00-00003547</t>
  </si>
  <si>
    <t>Динамик Tweeter TP-005A высокочастотный, маленький</t>
  </si>
  <si>
    <t>00-00004414</t>
  </si>
  <si>
    <t>Модулятор Car MP3 Player G-10 2 USB</t>
  </si>
  <si>
    <t>ЕЕ-00007261</t>
  </si>
  <si>
    <t>Модулятор FM Borofone 2 USB арт.BC-38  цифровой дисплей, BT, Type-C, PD20W</t>
  </si>
  <si>
    <t>00-00006575</t>
  </si>
  <si>
    <t>Модулятор FM Borofone 2 USB арт.BC-41  цифровой дисплей, BT, TF-карта, QC3.0</t>
  </si>
  <si>
    <t>ЕЕ-00007301</t>
  </si>
  <si>
    <t>Модулятор FM Borofone 2 USB арт.BC-45  цифровой дисплей, BT, TF-карта, провод Type-C + iP</t>
  </si>
  <si>
    <t>ЕЕ-00007273</t>
  </si>
  <si>
    <t>Модулятор FM Borofone 2 USB арт.BC-48  цифровой дисплей, BT, TF-карта, Type-C</t>
  </si>
  <si>
    <t>ЕЕ-00007272</t>
  </si>
  <si>
    <t>Модулятор FM BT CAR Charger арт.S-16</t>
  </si>
  <si>
    <t>00-00007130</t>
  </si>
  <si>
    <t>Модулятор FM HOCO  2 USB арт.E-75 Type-C, PD30W, цифровой дисплей, прозрачный корпус</t>
  </si>
  <si>
    <t>ЕЕ-00007246</t>
  </si>
  <si>
    <t>Модулятор FM HOCO  2 USB арт.Е-59 QC3.0, цифровой дисплей</t>
  </si>
  <si>
    <t>00-00006747</t>
  </si>
  <si>
    <t>Модулятор FM HOCO  2 USB арт.Е-71 Bluetooth,QC3.0 , цифр. дисплей, прозрачный корпус,провод AUX</t>
  </si>
  <si>
    <t>00-00002345</t>
  </si>
  <si>
    <t>Подогрев сидений Потапыч (1/20шт)</t>
  </si>
  <si>
    <t>00-00002560</t>
  </si>
  <si>
    <t>Разветвитель прикуривателя NO-1512 IN-CAR на 3 гнезда с 2 USB с проводом 120W</t>
  </si>
  <si>
    <t>1/160 шт</t>
  </si>
  <si>
    <t>Разветвитель прикуривателя NO-1638 Olesson на 2 гнезда 2USB  120W</t>
  </si>
  <si>
    <t>00-00007178</t>
  </si>
  <si>
    <t>Разветвитель прикуривателя NO.2012 IN-CAR на 3 гнезда с 1 USB , 2 Type-C  с проводом 12/24 120W</t>
  </si>
  <si>
    <t>00-00007179</t>
  </si>
  <si>
    <t>Разветвитель прикуривателя NO.2013 IN-CAR на 3 гнезда с 1 USB , Type-C  с проводом 12/24 120W</t>
  </si>
  <si>
    <t>00-00007180</t>
  </si>
  <si>
    <t>Разветвитель прикуривателя NO.2014 IN-CAR на 4 гнезда с 1 USB , Type-C  с проводом ,цифровой дисплей</t>
  </si>
  <si>
    <t>ЕЕ-00007315</t>
  </si>
  <si>
    <t>Разветвитель прикуривателя WT-D-23 Xunniu на 3 гнезда с 2 USB  с проводом</t>
  </si>
  <si>
    <t>Тестер</t>
  </si>
  <si>
    <t>00-00002861</t>
  </si>
  <si>
    <t>Тестер для проверки свечей Аврора Тест-М</t>
  </si>
  <si>
    <t>Штекер в прикуриватель 1 USB CarLive + Type-C PD  арт.CR-25  QC3.0</t>
  </si>
  <si>
    <t>ЕЕ-00007362</t>
  </si>
  <si>
    <t>Штекер в прикуриватель 1 USB CarLive + Type-C PD  арт.LZ-05  QC3.0</t>
  </si>
  <si>
    <t>00-00007161</t>
  </si>
  <si>
    <t>Штекер в прикуриватель 1 USB CarLive + Type-C PD  арт.LZ-06  QC3.0</t>
  </si>
  <si>
    <t>Штекер в прикуриватель 1 USB CarLive + Type-C PD в упаковке арт.CR-19 QC3.0</t>
  </si>
  <si>
    <t>Штекер в прикуриватель 1 USB CarLive + Type-C PD в упаковке арт.CR-28  QC3.0 с инд.вольтметра</t>
  </si>
  <si>
    <t>1/20/160 шт</t>
  </si>
  <si>
    <t>ЕЕ-00007363</t>
  </si>
  <si>
    <t>Штекер в прикуриватель 1 USB CarLive + Type-C PD в упаковке арт.CR-38 QC3.0</t>
  </si>
  <si>
    <t>Штекер в прикуриватель 1 USB CarLive + Type-C без упаковки арт.CR-19 (Black)</t>
  </si>
  <si>
    <t>Штекер в прикуриватель 1 USB CarLive + Type-C без упаковки арт.CR-19 (White)</t>
  </si>
  <si>
    <t>Штекер в прикуриватель 2 USB  MR-60A (длинный) 12-24V  5V/2.4A</t>
  </si>
  <si>
    <t>00-00005355</t>
  </si>
  <si>
    <t>Штекер в прикуриватель 2 USB  арт.JC / BLD-01/ YY-CT-3A (длинный)</t>
  </si>
  <si>
    <t>Штекер в прикуриватель 2 USB CarLive арт.CR-13 прозрачный корпус, в упаковке</t>
  </si>
  <si>
    <t>Штекер в прикуриватель 2 USB CarLive без упаковки арт.CR-13 (Black) B4852</t>
  </si>
  <si>
    <t>Штекер в прикуриватель 2 USB CarLive без упаковки арт.CR-13 (Blue) B4853</t>
  </si>
  <si>
    <t>Штекер в прикуриватель 2 USB JL-L4 /MR-J4/CR-J4 (длинный) арт.B-1333</t>
  </si>
  <si>
    <t>00-00006251</t>
  </si>
  <si>
    <t>Штекер в прикуриватель с проводом для регистратора и навигатора  Micro 3,5м</t>
  </si>
  <si>
    <t>Фары</t>
  </si>
  <si>
    <t>ЕЕ-00007311</t>
  </si>
  <si>
    <t>Фары противотуманные 12-24 White арт.YCL-753 к-т 2шт.</t>
  </si>
  <si>
    <t>00-00003018</t>
  </si>
  <si>
    <t>Ходовые огни AVS light DL-6A 540LM  Арт.a80747s</t>
  </si>
  <si>
    <t>WD-40 330 г  (1/24шт.)</t>
  </si>
  <si>
    <t>ЕЕ-00007356</t>
  </si>
  <si>
    <t>Клей ABRO MASTERS EC-330-RE эпоксидный,прозрачный 25мл.  (1/12шт.)</t>
  </si>
  <si>
    <t>ЕЕ-00007335</t>
  </si>
  <si>
    <t>Клей ABRO RV-03-R зеркала заднего вида 6мл.  (1/12шт.)</t>
  </si>
  <si>
    <t>00-00001827</t>
  </si>
  <si>
    <t>Клей Теросон PU8590 в наборе для вклейки стёкол 310мл. (1/20шт.)</t>
  </si>
  <si>
    <t>Очиститель двигателя Grass 110442 Motor Cleaner триггер 600мл. (1/6шт.)</t>
  </si>
  <si>
    <t>Полироль панели "RE MARCO" 750мл. RM-      TUTTI FRUTTI</t>
  </si>
  <si>
    <t>Полироль панели "RE MARCO" 750мл. RM-      ВАНИЛЬ</t>
  </si>
  <si>
    <t>00-00002357</t>
  </si>
  <si>
    <t>Полироль панели City UP СА-840 Брил. блеск 750мл.Ваниль (1/12шт.)</t>
  </si>
  <si>
    <t>00-00002359</t>
  </si>
  <si>
    <t>Полироль панели City UP СА-840 Брил. блеск 750мл.Клубника (1/12шт.)</t>
  </si>
  <si>
    <t>00-00006283</t>
  </si>
  <si>
    <t>Полироль панели City UP СА-840 Брил. блеск 750мл.Кофе / Капучино (1/12шт.)</t>
  </si>
  <si>
    <t>00-00002360</t>
  </si>
  <si>
    <t>Полироль панели City UP СА-840 Брил. блеск 750мл.Лайм (1/12шт.)</t>
  </si>
  <si>
    <t>ЕЕ-00007358</t>
  </si>
  <si>
    <t>Полироль панели City UP СА-840 Брил. блеск 750мл.Океан</t>
  </si>
  <si>
    <t>00-00002362</t>
  </si>
  <si>
    <t>Полироль панели City UP СА-840 Брил. блеск 750мл.Персик (1/12шт.)</t>
  </si>
  <si>
    <t>ЕЕ-00007359</t>
  </si>
  <si>
    <t>Полироль панели City UP СА-840 Брил. блеск 750мл.Свежесть</t>
  </si>
  <si>
    <t>ЕЕ-00007360</t>
  </si>
  <si>
    <t>Полироль панели City UP СА-840 Брил. блеск 750мл.Французкий парфюм</t>
  </si>
  <si>
    <t>Полироль панели Джокер с губкой  МИКС 250мл</t>
  </si>
  <si>
    <t>00-00002387</t>
  </si>
  <si>
    <t>Полироль панели Плак 750мл. Виноград (1/24шт.)</t>
  </si>
  <si>
    <t>Полироль хрома AVS Crystal AVK-076 100мл. (1/18шт.)</t>
  </si>
  <si>
    <t>00-00002568</t>
  </si>
  <si>
    <t>Размораживатель замков Agat AG-1301 спрей с носиком 60мл. (1/25шт)</t>
  </si>
  <si>
    <t>Смазка медная ABRO CG-400-AM-RE спрей 400мл. (1/12шт)</t>
  </si>
  <si>
    <t>00-00007183</t>
  </si>
  <si>
    <t>Смазка силиконовая ABRO SL-100-APL-RE 100 мл. (1/24шт.)</t>
  </si>
  <si>
    <t>Смазка силиконовая Grass 137250  Silicone 250мл. (1/8шт.)</t>
  </si>
  <si>
    <t>Антидождь АстроХим АС-890 спрей 250мл (1/12шт)</t>
  </si>
  <si>
    <t>00-00007136</t>
  </si>
  <si>
    <t>Быстрый старт ABRO MASTERS  SF-650-540-AM-RE для двигателя аэрозоль 540мл.</t>
  </si>
  <si>
    <t>Жидкие подкрылки Астрохим СА-4946 аэрозоль 650мл (1/12шт.)</t>
  </si>
  <si>
    <t>00-00007159</t>
  </si>
  <si>
    <t>Супер растворитель ржавчины AVS Crystal AVK-221 арт.A40149S аэрозоль  520мл (1/12шт)</t>
  </si>
  <si>
    <t>00-00005013</t>
  </si>
  <si>
    <t>Антистатик НОВИНКА (1/100шт.)</t>
  </si>
  <si>
    <t>ЕЕ-00007227</t>
  </si>
  <si>
    <t>Брелоки марка авто HAVAL</t>
  </si>
  <si>
    <t>00-00001595</t>
  </si>
  <si>
    <t>Держатель AVS АН-2240 смартфона</t>
  </si>
  <si>
    <t>ЕЕ-00007274</t>
  </si>
  <si>
    <t>Держатель телефона Borofone BH-32 зажим в дефлектор  360 °</t>
  </si>
  <si>
    <t>ЕЕ-00007275</t>
  </si>
  <si>
    <t>Держатель телефона Borofone BH-95 зажим (на присоске) 360 °</t>
  </si>
  <si>
    <t>ЕЕ-00007254</t>
  </si>
  <si>
    <t>Держатель телефона hoco CA-107 магнитный (на присоске) 360 °</t>
  </si>
  <si>
    <t>ЕЕ-00007255</t>
  </si>
  <si>
    <t>Держатель телефона hoco CA-118 зажим (на присоске) 360 °</t>
  </si>
  <si>
    <t>00-00003840</t>
  </si>
  <si>
    <t>Держатель телефона hoco CA-24 магнитный на панель</t>
  </si>
  <si>
    <t>ЕЕ-00007252</t>
  </si>
  <si>
    <t>Держатель телефона hoco CA-42 магнитный телескоп. (на присоске)</t>
  </si>
  <si>
    <t>00-00007124</t>
  </si>
  <si>
    <t>Держатель телефона hoco CA-47 магнитный 360° в дефлектор</t>
  </si>
  <si>
    <t>1/180 шт</t>
  </si>
  <si>
    <t>00-00005259</t>
  </si>
  <si>
    <t>Держатель телефона hoco CA-67 магнитный телескоп. (на присоске)</t>
  </si>
  <si>
    <t>00-00007135</t>
  </si>
  <si>
    <t>Держатель телефона hoco DCA-34 беспроводная зарядка (в дефлектор) прозрачный корпус</t>
  </si>
  <si>
    <t>ЕЕ-00007247</t>
  </si>
  <si>
    <t>Держатель телефона hoco premium H-13 магнитный на панель</t>
  </si>
  <si>
    <t>Держатель телефона hoco premium H-14 в дефлектор</t>
  </si>
  <si>
    <t>ЕЕ-00007248</t>
  </si>
  <si>
    <t>Держатель телефона hoco premium H-29 магнитный в дефлектор</t>
  </si>
  <si>
    <t>ЕЕ-00007249</t>
  </si>
  <si>
    <t>Держатель телефона hoco premium H-30 магнитный на панель</t>
  </si>
  <si>
    <t>ЕЕ-00007314</t>
  </si>
  <si>
    <t>Держатель телефона Магнитный  CarLive SX-14 (на присоске)</t>
  </si>
  <si>
    <t>ЕЕ-00007319</t>
  </si>
  <si>
    <t>Держатель телефона Магнитный  CarLive SX-71 (таблетка)</t>
  </si>
  <si>
    <t>ЕЕ-00007316</t>
  </si>
  <si>
    <t>Держатель телефона Магнитный  CarLive SX-73 (таблетка)</t>
  </si>
  <si>
    <t>00-00004914</t>
  </si>
  <si>
    <t>Держатель телефона Магнитный Air Outlet FL-37 / А-22 в дефлектор (прищепка)</t>
  </si>
  <si>
    <t>00-00005076</t>
  </si>
  <si>
    <t>Держатель телефона Магнитный Borofone BH -5  на панель</t>
  </si>
  <si>
    <t>Держатель телефона Магнитный Borofone BH -6  в дефлектор</t>
  </si>
  <si>
    <t>Держатель телефона Магнитный Borofone BH -7  на панель</t>
  </si>
  <si>
    <t>Держатель телефона Магнитный Borofone BH -8  в дефлектор</t>
  </si>
  <si>
    <t>ЕЕ-00007250</t>
  </si>
  <si>
    <t>Держатель телефона Магнитный Borofone BH-21 магнитный телескоп. (на присоске)</t>
  </si>
  <si>
    <t>00-00003843</t>
  </si>
  <si>
    <t>Держатель телефона на магните №: HX-M-X9 на присоске</t>
  </si>
  <si>
    <t>Зеркало М/З  2" (1) арт.01963 Nova Bright</t>
  </si>
  <si>
    <t>Зеркало М/З  2" Nova Bright арт.01961  Ø 50мм. к-т 2шт</t>
  </si>
  <si>
    <t>00-00004182</t>
  </si>
  <si>
    <t>Зеркало М/З  3" 3/4 Nova Bright арт.01965 Ø 95мм.</t>
  </si>
  <si>
    <t>00-00007123</t>
  </si>
  <si>
    <t>Зеркало Панорамное на присоске 290мм</t>
  </si>
  <si>
    <t>Зеркало Панорамное на скобах (430мм) арт.DP-006</t>
  </si>
  <si>
    <t>00-00001883</t>
  </si>
  <si>
    <t>Коврик на панель AVS NP-002 черный (15*9см)</t>
  </si>
  <si>
    <t>00-00007162</t>
  </si>
  <si>
    <t>Коврик на панель противоскользящий арт.DP-001   7*13см  (1/50шт.)</t>
  </si>
  <si>
    <t>Насадка глушителя NOVA Bright 36977 нержав.сталь (д.60 мм)</t>
  </si>
  <si>
    <t>ЕЕ-00007349</t>
  </si>
  <si>
    <t>Насадка глушителя NOVA Bright 39421 нержав.сталь (д.55 мм)</t>
  </si>
  <si>
    <t>Насадка глушителя NOVA Bright 39423 нержав.сталь (д.50 мм)</t>
  </si>
  <si>
    <t>00-00003487</t>
  </si>
  <si>
    <t>Оплетка руля MAAS SWC010-M Черно-синяя</t>
  </si>
  <si>
    <t>00-00003670</t>
  </si>
  <si>
    <t>Оплетка руля MAAS SWC013-M Черно-коричневая</t>
  </si>
  <si>
    <t>00-00006010</t>
  </si>
  <si>
    <t>Оплетка руля Nova Bright M арт.38695 Черно-серая спонж (1/25шт.)</t>
  </si>
  <si>
    <t>00-00006139</t>
  </si>
  <si>
    <t>Оплетка руля Nova Bright M арт.47362 с серыми массажными вставками</t>
  </si>
  <si>
    <t>00-00006909</t>
  </si>
  <si>
    <t>Оплетка руля Nova Bright M арт.47562  Черная с прострочкой ромбиками (1/25шт.)</t>
  </si>
  <si>
    <t>ЕЕ-00007344</t>
  </si>
  <si>
    <t>Оплетка руля Nova Bright M арт.48307  Черная с фигурным тиснением</t>
  </si>
  <si>
    <t>ЕЕ-00007343</t>
  </si>
  <si>
    <t>Оплетка руля Nova Bright M арт.48310  Черная с фигурными резиновыми вставками</t>
  </si>
  <si>
    <t>ЕЕ-00007345</t>
  </si>
  <si>
    <t>Оплетка руля Nova Bright M арт.48312  Черная с рельефными вставками</t>
  </si>
  <si>
    <t>ЕЕ-00007346</t>
  </si>
  <si>
    <t>Оплетка руля Nova Bright M арт.48400  Черная с красной прострочкой</t>
  </si>
  <si>
    <t>ЕЕ-00007348</t>
  </si>
  <si>
    <t>Оплетка руля Nova Bright M арт.48404  Черная с красной прострочкой</t>
  </si>
  <si>
    <t>ЕЕ-00007347</t>
  </si>
  <si>
    <t>Оплетка руля Nova Bright M арт.48405  Черная с фигурным тиснением</t>
  </si>
  <si>
    <t>ЕЕ-00007340</t>
  </si>
  <si>
    <t>Оплетка руля Nova Bright M арт.48452 (37-38см) Черная с красной прострочкой</t>
  </si>
  <si>
    <t>00-00004941</t>
  </si>
  <si>
    <t>Рамка номера Металлическая SIS-111 черная  (к-т 1шт)</t>
  </si>
  <si>
    <t>ЕЕ-00007342</t>
  </si>
  <si>
    <t>Рамка номера Пластик CHERY арт.112/1-STD-CHER (1/30шт.)</t>
  </si>
  <si>
    <t>ЕЕ-00007318</t>
  </si>
  <si>
    <t>Рамка номера Пластик GEELY  арт.112/1-STD-GE (1/30шт.)</t>
  </si>
  <si>
    <t>ЕЕ-00007317</t>
  </si>
  <si>
    <t>Рамка номера Пластик HAVAL  арт.112/1-STD-HA (1/30шт.)</t>
  </si>
  <si>
    <t>00-00004939</t>
  </si>
  <si>
    <t>Рамка номера Пластик SIS-555 / арт.112/3-STD белая (1/30шт)</t>
  </si>
  <si>
    <t>Рамка номера Пластик SIS-555 / арт.112/3-STD черная (1/30шт)</t>
  </si>
  <si>
    <t>Рамка номера Силиконовая в сборе со стальной основой (к-т 2шт) арт.46139  черная</t>
  </si>
  <si>
    <t>Ремень безопасности автомобильный  2-х точечный арт.-004</t>
  </si>
  <si>
    <t>Ремень безопасности автомобильный  3-х точечный арт.005</t>
  </si>
  <si>
    <t>Подвеска Домовик цветной</t>
  </si>
  <si>
    <t>ЕЕ-00007350</t>
  </si>
  <si>
    <t>Подвеска Мусульманская Кристалл</t>
  </si>
  <si>
    <t>Фиксатор ремня безопасности Lipin R (к-т 2шт) / арт.DP-142 на блистере</t>
  </si>
  <si>
    <t>00-00000261</t>
  </si>
  <si>
    <t>Антенна внутрисалонная AL KHATEEB AN 085</t>
  </si>
  <si>
    <t>00-00000268</t>
  </si>
  <si>
    <t>Антенна внутрисалонная RATEX R03A</t>
  </si>
  <si>
    <t>00-00000270</t>
  </si>
  <si>
    <t>Антенна внутрисалонная RATEX R05A</t>
  </si>
  <si>
    <t>Антенна внутрисалонная активная ТРИАДА -001 mini</t>
  </si>
  <si>
    <t>Антенна внутрисалонная активная ТРИАДА -002 mini</t>
  </si>
  <si>
    <t>Антенна внутрисалонная активная ТРИАДА -003 mini</t>
  </si>
  <si>
    <t>Антенна внутрисалонная активная ТРИАДА -004 mini</t>
  </si>
  <si>
    <t>Антенна внутрисалонная активная ТРИАДА -005 mini</t>
  </si>
  <si>
    <t>1/1/12 шт</t>
  </si>
  <si>
    <t>00-00000336</t>
  </si>
  <si>
    <t>Антенна наружная AL KHATEEB AN-705 на магните / ЕК012 ( 92см.) (1/24шт)</t>
  </si>
  <si>
    <t>1/1/24 шт</t>
  </si>
  <si>
    <t>00-00005888</t>
  </si>
  <si>
    <t>Ароматизатор TASOTTI дом-авто "REED DIFFUSER" 100мл. WELCOME HOME (1/12шт)</t>
  </si>
  <si>
    <t>00-00004641</t>
  </si>
  <si>
    <t>Ароматизатор AREON в дефлектор VENT 7 Ваниль (Vanilla) 4,5мл.</t>
  </si>
  <si>
    <t>00-00004642</t>
  </si>
  <si>
    <t>Ароматизатор AREON в дефлектор VENT 7 Кислород (Oxygen) 4,5мл.</t>
  </si>
  <si>
    <t>00-00004643</t>
  </si>
  <si>
    <t>Ароматизатор AREON в дефлектор VENT 7 Синие камни (Blue Stones) 4,5мл.</t>
  </si>
  <si>
    <t>00-00007155</t>
  </si>
  <si>
    <t>Ароматизатор AURA FRESH в дефлектор CRASH арт.23412 Black (1/36шт.)</t>
  </si>
  <si>
    <t>00-00007154</t>
  </si>
  <si>
    <t>Ароматизатор AURA FRESH в дефлектор CRASH арт.23427 Bubble Gum (1/36шт.)</t>
  </si>
  <si>
    <t>00-00007156</t>
  </si>
  <si>
    <t>Ароматизатор AURA FRESH в дефлектор CRASH арт.23434 Citrus (1/36шт.)</t>
  </si>
  <si>
    <t>00-00007157</t>
  </si>
  <si>
    <t>Ароматизатор AURA FRESH в дефлектор CRASH арт.23438 Ocean (1/36шт.)</t>
  </si>
  <si>
    <t>00-00007158</t>
  </si>
  <si>
    <t>Ароматизатор AURA FRESH в дефлектор CRASH арт.23442 Vanilla (1/36шт.)</t>
  </si>
  <si>
    <t>00-00006477</t>
  </si>
  <si>
    <t>Ароматизатор AURA FRESH в дефлектор VENSO арт.23326 Aqua 6мл. (1/20шт)</t>
  </si>
  <si>
    <t>00-00006478</t>
  </si>
  <si>
    <t>Ароматизатор AURA FRESH в дефлектор VENSO арт.23327 Black 6мл. (1/20шт)</t>
  </si>
  <si>
    <t>00-00006479</t>
  </si>
  <si>
    <t>Ароматизатор AURA FRESH в дефлектор VENSO арт.23328 Bubble Gum 6мл. (1/20шт)</t>
  </si>
  <si>
    <t>00-00006481</t>
  </si>
  <si>
    <t>Ароматизатор AURA FRESH в дефлектор VENSO арт.23330 Vanilla 6мл. (1/20шт)</t>
  </si>
  <si>
    <t>ЕЕ-00007326</t>
  </si>
  <si>
    <t>Ароматизатор SLIM картридж Агаровое дерево арт.SMRFL-310</t>
  </si>
  <si>
    <t>00-00001260</t>
  </si>
  <si>
    <t>Ароматизатор SLIM картридж Альпийская свежесть SMRFL-113</t>
  </si>
  <si>
    <t>ЕЕ-00007324</t>
  </si>
  <si>
    <t>Ароматизатор SLIM картридж Ароматный кофе арт.SMRFL-78</t>
  </si>
  <si>
    <t>ЕЕ-00007325</t>
  </si>
  <si>
    <t>Ароматизатор SLIM картридж Ветивер тонка арт.SMRFL-312</t>
  </si>
  <si>
    <t>ЕЕ-00007327</t>
  </si>
  <si>
    <t>Ароматизатор SLIM картридж Гавайский ветер арт.SMRFL-311</t>
  </si>
  <si>
    <t>ЕЕ-00007322</t>
  </si>
  <si>
    <t>Ароматизатор SLIM картридж Горький апельсин арт.SMRFL-313</t>
  </si>
  <si>
    <t>ЕЕ-00007323</t>
  </si>
  <si>
    <t>Ароматизатор SLIM картридж Роскошный салон арт.SMRFL-314</t>
  </si>
  <si>
    <t>ЕЕ-00007321</t>
  </si>
  <si>
    <t>Ароматизатор SLIM картридж Яблочный сквош арт.SMRFL-56</t>
  </si>
  <si>
    <t>ЕЕ-00007333</t>
  </si>
  <si>
    <t>Ароматизатор SLIM на дефлектор Агаровое дерево арт.SLMV-310 (1/20шт.)</t>
  </si>
  <si>
    <t>ЕЕ-00007331</t>
  </si>
  <si>
    <t>Ароматизатор SLIM на дефлектор Ароматный кофе арт.SLMV-78 (1/20шт.)</t>
  </si>
  <si>
    <t>ЕЕ-00007332</t>
  </si>
  <si>
    <t>Ароматизатор SLIM на дефлектор Ветивер тонка арт.SLMV-312 (1/20шт.)</t>
  </si>
  <si>
    <t>ЕЕ-00007334</t>
  </si>
  <si>
    <t>Ароматизатор SLIM на дефлектор Гавайский ветер арт.SLMV-311 (1/20шт.)</t>
  </si>
  <si>
    <t>ЕЕ-00007329</t>
  </si>
  <si>
    <t>Ароматизатор SLIM на дефлектор Горький апельсин арт.SLMV-313 (1/20шт.)</t>
  </si>
  <si>
    <t>ЕЕ-00007330</t>
  </si>
  <si>
    <t>Ароматизатор SLIM на дефлектор Роскошный салон арт.SLMV-314 (1/20шт.)</t>
  </si>
  <si>
    <t>ЕЕ-00007328</t>
  </si>
  <si>
    <t>Ароматизатор SLIM на дефлектор Яблочный сквош арт.SLMV-56 (1/20шт.)</t>
  </si>
  <si>
    <t>00-00004034</t>
  </si>
  <si>
    <t>Ароматизатор AREON бочонок Fresco Синее Лето (Verano Azul)</t>
  </si>
  <si>
    <t>Ароматизатор AREON гель Ваниль (Vanilla) (1/24шт)</t>
  </si>
  <si>
    <t>Ароматизатор AREON елочка WILD арт.AW-01 Jungle King ( Король джунглей) 1/10шт.</t>
  </si>
  <si>
    <t>Ароматизатор AREON елочка WILD арт.AW-02 Black Panther ( Черная пантера) 1/10шт.</t>
  </si>
  <si>
    <t>Ароматизатор AREON елочка WILD арт.AW-03 Wild &amp; Free (Дикий и свободный) 1/10шт.</t>
  </si>
  <si>
    <t>Ароматизатор AREON елочка WILD арт.AW-04 Professor (Профессор) 1/10шт.</t>
  </si>
  <si>
    <t>ЕЕ-00007306</t>
  </si>
  <si>
    <t>Ароматизатор AREON елочка WILD арт.AW-05 The Small Tiger (Маленький тигр) 1/10шт.</t>
  </si>
  <si>
    <t>ЕЕ-00007307</t>
  </si>
  <si>
    <t>Ароматизатор AREON елочка WILD арт.AW-06 Sweet Kitty (Милая Китти) 1/10шт.</t>
  </si>
  <si>
    <t>ЕЕ-00007308</t>
  </si>
  <si>
    <t>Ароматизатор AREON елочка WILD арт.AW-07 Blue Eyes (Голубые глаза) 1/10шт.</t>
  </si>
  <si>
    <t>ЕЕ-00007309</t>
  </si>
  <si>
    <t>Ароматизатор AREON елочка WILD арт.AW-08 Agent Owl (Агент Сова) 1/10шт.</t>
  </si>
  <si>
    <t>ЕЕ-00007310</t>
  </si>
  <si>
    <t>Ароматизатор AREON елочка WILD арт.AW-10 Ice Dog (Снежный пес) 1/10шт.</t>
  </si>
  <si>
    <t>00-00003768</t>
  </si>
  <si>
    <t>Ароматизатор AREON елочка Мон Двойной Пузырь (Double Bubble) 1/10шт.</t>
  </si>
  <si>
    <t>00-00006530</t>
  </si>
  <si>
    <t>Ароматизатор AREON елочка Мон Дыня (Melon) 1/10шт.</t>
  </si>
  <si>
    <t>00-00006532</t>
  </si>
  <si>
    <t>Ароматизатор AREON елочка Мон Новая Машина (New car) 1/10шт.</t>
  </si>
  <si>
    <t>00-00000534</t>
  </si>
  <si>
    <t>Ароматизатор AREON елочка Мон Утонченность (Elegance) 1/10шт.</t>
  </si>
  <si>
    <t>00-00006531</t>
  </si>
  <si>
    <t>Ароматизатор AREON елочка Фреш Парфюм (Perfume) 1/10шт.</t>
  </si>
  <si>
    <t>00-00005767</t>
  </si>
  <si>
    <t>Ароматизатор AREON листик гель Verano Azul 5мл.</t>
  </si>
  <si>
    <t>00-00006944</t>
  </si>
  <si>
    <t>Ароматизатор AVIEL флакон с деревянной крышкой PATRONE</t>
  </si>
  <si>
    <t>00-00006947</t>
  </si>
  <si>
    <t>Ароматизатор AVIEL флакон с деревянной крышкой TABACCO VANILLA</t>
  </si>
  <si>
    <t>00-00005591</t>
  </si>
  <si>
    <t>Ароматизатор CONTRA  флакон с деревянной крышкой CLASSIC 8мл. Tutti Frutti</t>
  </si>
  <si>
    <t>00-00006294</t>
  </si>
  <si>
    <t>Ароматизатор CONTRA  флакон с деревянной крышкой Премиум D-18 Warning Sexogolik (Ваниль,лесн.орех)</t>
  </si>
  <si>
    <t>00-00007132</t>
  </si>
  <si>
    <t>Ароматизатор CONTRA мешочек  Sex on Board (Грейфрукт с лепестками розы) (1/15шт.)</t>
  </si>
  <si>
    <t>Ароматизатор FOUETTE подвесной Shield perfume Нектар Богов (1/40шт)</t>
  </si>
  <si>
    <t>00-00006901</t>
  </si>
  <si>
    <t>Ароматизатор ION Shot листик гель арт.IB-31 TERRE D'HERMENS (1/15шт)</t>
  </si>
  <si>
    <t>00-00006902</t>
  </si>
  <si>
    <t>Ароматизатор ION Shot листик гель арт.IB-32 DONNA NOIR ABSOLU BY VALENTINO (1/15шт)</t>
  </si>
  <si>
    <t>00-00006903</t>
  </si>
  <si>
    <t>Ароматизатор ION Shot листик гель арт.IB-33 JAWAD AL LAYL BY KHALIS PERFUME (1/15шт)</t>
  </si>
  <si>
    <t>Ароматизатор ION Shot листик гель арт.IB-34 LOST CHERRY (1/15шт)</t>
  </si>
  <si>
    <t>Ароматизатор ION Shot листик гель арт.IB-35 TOBACCO VANILLA (1/15шт)</t>
  </si>
  <si>
    <t>Ароматизатор ION Shot листик гель арт.IB-36 KIRKE (1/15шт)</t>
  </si>
  <si>
    <t>00-00001068</t>
  </si>
  <si>
    <t>Ароматизатор LITTLE TREES елочка Американский Флаг (Vanilla Pride )</t>
  </si>
  <si>
    <t>00-00001046</t>
  </si>
  <si>
    <t>Ароматизатор LITTLE TREES елочка Арбуз (Watermelon)</t>
  </si>
  <si>
    <t>00-00001054</t>
  </si>
  <si>
    <t>Ароматизатор LITTLE TREES елочка Кожа (Leather)</t>
  </si>
  <si>
    <t>Ароматизатор LITTLE TREES елочка Черный Лед (Black Ice) (1/24шт)</t>
  </si>
  <si>
    <t>00-00006899</t>
  </si>
  <si>
    <t>Ароматизатор NOVA елочка Девушка с обложки арт.47015 в коробке 1/12шт.</t>
  </si>
  <si>
    <t>00-00006587</t>
  </si>
  <si>
    <t>Ароматизатор TENSY бочонок UMI арт.TB-2002 Черный лед (1/16шт)</t>
  </si>
  <si>
    <t>ЕЕ-00007241</t>
  </si>
  <si>
    <t>Ароматизатор TENSY елочка арт.ТА-300 Новая машина в коробке 1/50шт.</t>
  </si>
  <si>
    <t>ЕЕ-00007242</t>
  </si>
  <si>
    <t>Ароматизатор TENSY елочка арт.ТА-301 Черный лед  в коробке 1/50шт.</t>
  </si>
  <si>
    <t>ЕЕ-00007243</t>
  </si>
  <si>
    <t>Ароматизатор TENSY елочка арт.ТА-302 Парфюм  в коробке 1/50шт.</t>
  </si>
  <si>
    <t>ЕЕ-00007244</t>
  </si>
  <si>
    <t>Ароматизатор TENSY елочка арт.ТА-303 Океан  в коробке 1/50шт.</t>
  </si>
  <si>
    <t>00-00006085</t>
  </si>
  <si>
    <t>Ароматизатор CONTRA  банка на панель  Sex on Board (Грейфрукт с лепестками розы)</t>
  </si>
  <si>
    <t>00-00006522</t>
  </si>
  <si>
    <t>Ароматизатор CONTRA  банка на панель Love is... Шоколадная эйфория</t>
  </si>
  <si>
    <t>00-00000734</t>
  </si>
  <si>
    <t>Ароматизатор BIG FRESH под сиденье Тропическая дыня (1/40шт.)</t>
  </si>
  <si>
    <t>00-00003760</t>
  </si>
  <si>
    <t>Ароматизатор BIG FRESH под сиденье Тутти Фрутти (1/40шт.)</t>
  </si>
  <si>
    <t>00-00003778</t>
  </si>
  <si>
    <t>Ароматизатор AREON спрей Премиум-класс PERFUME 50мл Золото (Gold)</t>
  </si>
  <si>
    <t>00-00003777</t>
  </si>
  <si>
    <t>Ароматизатор AREON спрей Премиум-класс PERFUME 50мл Серебро (Silver)</t>
  </si>
  <si>
    <t>00-00006632</t>
  </si>
  <si>
    <t>Ароматизатор TENSY спрей Эксклюзив арт.TSS-21 VOSTORG (Восторг)</t>
  </si>
  <si>
    <t>ЕЕ-00007264</t>
  </si>
  <si>
    <t>Колонка BOROFONE BR-22</t>
  </si>
  <si>
    <t>1/4/28 шт</t>
  </si>
  <si>
    <t>Горелка газовая (малая) (1/30шт.)</t>
  </si>
  <si>
    <t>Горелка газовая Flame Gun с пьезо элементом No.-920  (1/10шт.)</t>
  </si>
  <si>
    <t>Плита газовая HONGRY без переходника (1/8шт.)</t>
  </si>
  <si>
    <t>00-00001437</t>
  </si>
  <si>
    <t>Болт номера классика хромированный  (1/100шт.)</t>
  </si>
  <si>
    <t>00-00001704</t>
  </si>
  <si>
    <t>Захват магнитный гибкий дешевый</t>
  </si>
  <si>
    <t>Ключ балонник крест усиленный (1/20шт.)</t>
  </si>
  <si>
    <t>Ключ для снятия масляного фильтра Краб арт.HT.OF-03 / 63-102 (82-114мм./54-116 мм.) плоские ножки</t>
  </si>
  <si>
    <t>00-00001852</t>
  </si>
  <si>
    <t>Ключ прокачки тормозов 8-10*</t>
  </si>
  <si>
    <t>Набор бит и головок с трещеткой GQ Tools GQ-421 / A-710  34 предмета</t>
  </si>
  <si>
    <t>00-00005969</t>
  </si>
  <si>
    <t>Набор инструмента AUTOVIRAZH  82 предметов AV-212082 арт.16208</t>
  </si>
  <si>
    <t>00-00005970</t>
  </si>
  <si>
    <t>Набор инструмента AUTOVIRAZH  94 предметов AV-212094 арт.14705</t>
  </si>
  <si>
    <t>ЕЕ-00007291</t>
  </si>
  <si>
    <t>Набор отвертка с насадками арт.GO-462 / A-4795 30 предметов</t>
  </si>
  <si>
    <t>Набор отверток SCREWDRIVERS KQ-605/ OT-013 8 предметов</t>
  </si>
  <si>
    <t>Отвертка IGALL большая двухсторонняя (1/24шт)</t>
  </si>
  <si>
    <t>Отвертка IGALL пузатая двухсторонняя (1/30шт)</t>
  </si>
  <si>
    <t>Отвертка Т-образная (1/12шт.)</t>
  </si>
  <si>
    <t>Отвертка ударная  7 предметов NENG арт.2001</t>
  </si>
  <si>
    <t>Компрессор автомобильный  Торнадо АС-580 (1/8шт)  ЭКОНОМ арт.47555/39909</t>
  </si>
  <si>
    <t>ЕЕ-00007341</t>
  </si>
  <si>
    <t>Компрессор автомобильный 2-х поршневой AC-625 кейс с инструментами арт.47800</t>
  </si>
  <si>
    <t>Компрессор автомобильный City UP АС-565 Slim с фонарем / 35 л. в мин (1/6шт)</t>
  </si>
  <si>
    <t>Компрессор автомобильный City UP АС-566 Wheel, кейс с инструментами , рем.комплект (1/6шт)</t>
  </si>
  <si>
    <t>Компрессор автомобильный City UP АС-580  "TORNADO" / 35 л. в мин (1/8шт.)</t>
  </si>
  <si>
    <t>Компрессор автомобильный City UP АС-580 Evolution / 35 л. в мин (1/8шт)</t>
  </si>
  <si>
    <t>Компрессор автомобильный City UP АС-580 Original в кейсе / 35 л. в мин (1/8шт.)</t>
  </si>
  <si>
    <t>00-00007215</t>
  </si>
  <si>
    <t>Компрессор автомобильный City UP АС-580 Vision (1/8шт.)</t>
  </si>
  <si>
    <t>Компрессор автомобильный City UP АС-581 Professional в кейсе / 40 л. в мин (1/6шт)</t>
  </si>
  <si>
    <t>Компрессор автомобильный City UP АС-582 Eagle / 40 л. в мин (1/8шт)</t>
  </si>
  <si>
    <t>00-00001944</t>
  </si>
  <si>
    <t>Компрессор автомобильный City UP АС-583 Neon (1/8шт)</t>
  </si>
  <si>
    <t>Компрессор автомобильный City UP АС-587 Master с фонарем в кейсе / 35 л. в мин (1/6шт)</t>
  </si>
  <si>
    <t>ЕЕ-00007286</t>
  </si>
  <si>
    <t>Компрессор автомобильный City UP АС-588 Extreme с фонарем (1/6шт.)</t>
  </si>
  <si>
    <t>00-00007216</t>
  </si>
  <si>
    <t>Компрессор автомобильный City UP АС-595 Major / 40 л. в мин (1/3шт.)</t>
  </si>
  <si>
    <t>00-00007217</t>
  </si>
  <si>
    <t>Компрессор автомобильный City UP АС-597 Winner (1/8шт.)</t>
  </si>
  <si>
    <t>Компрессор автомобильный City UP АС-600 Savior 2-х поршневой в сумке, фонарь / 60 л. в мин (1/4шт.)</t>
  </si>
  <si>
    <t>Компрессор автомобильный City UP АС-606  Twin Action 2-х поршневой, фонарь / 60 л. в мин (1/6шт.)</t>
  </si>
  <si>
    <t>Компрессор автомобильный City UP АС-616 Double Piston Station 2-х поршневой / 60 л. в мин (1/4шт)</t>
  </si>
  <si>
    <t>Компрессор автомобильный City UP АС-619 Double Piston Station 2-х поршневой в сумке (1/4шт)</t>
  </si>
  <si>
    <t>Компрессор автомобильный City UP АС-620 Double Power 2-х поршневой / 60 л. в мин (1/4шт)</t>
  </si>
  <si>
    <t>Компрессор автомобильный Nova Bright 47160 АК-65 2-х поршневой / 65 л. в мин (1/4шт)</t>
  </si>
  <si>
    <t>Компрессор автомобильный Nova Bright АК-75 2-х поршневой арт.47112 / 75 л. в мин. (1/4шт)</t>
  </si>
  <si>
    <t>00-00007225</t>
  </si>
  <si>
    <t>Компрессор автомобильный Nova Bright АК-75L арт.36451 2-х поршневой в сумке</t>
  </si>
  <si>
    <t>00-00007226</t>
  </si>
  <si>
    <t>Компрессор автомобильный Nova Bright АК-75L арт.36452 2-х поршневой , кейс с инструментами</t>
  </si>
  <si>
    <t>Компрессор автомобильный Nova Bright АК-75С  2-х поршневой, кейс с инструментами арт.36448 (1/4шт)</t>
  </si>
  <si>
    <t>Компрессор автомобильный Nova Bright АК-85 2-х поршневой / 85 л. в мин</t>
  </si>
  <si>
    <t>1/6/4 шт</t>
  </si>
  <si>
    <t>Аптечка АВТОПРОФИ нов/обр.  (1/18шт.)</t>
  </si>
  <si>
    <t>Аптечка ЛЕЙКО нов/обр в кейсе (1/30шт.)</t>
  </si>
  <si>
    <t>Знак аварийный GS в пенале большой (1/18шт.)</t>
  </si>
  <si>
    <t>00-00005099</t>
  </si>
  <si>
    <t>Знак аварийный с фонарем арт. HB-6608 / 6609</t>
  </si>
  <si>
    <t>Трос буксировочный MAAS 3т лента (1/50шт.)</t>
  </si>
  <si>
    <t>ЕЕ-00007245</t>
  </si>
  <si>
    <t>Трос буксировочный Эконом 2,5т два крюка г.Обнинск</t>
  </si>
  <si>
    <t>1/6/36 шт</t>
  </si>
  <si>
    <t>00-00006905</t>
  </si>
  <si>
    <t>Шторка солнцезащитная универсальная  65*155см</t>
  </si>
  <si>
    <t>00-00006906</t>
  </si>
  <si>
    <t>Шторка солнцезащитная универсальная  70*155см</t>
  </si>
  <si>
    <t>Резинка для стяжки грузов  1/20шт.</t>
  </si>
  <si>
    <t>ЕЕ-00007281</t>
  </si>
  <si>
    <t>Нож охотничий подарочный АК-47 (ручка и чехол пластик)</t>
  </si>
  <si>
    <t>ЕЕ-00007282</t>
  </si>
  <si>
    <t>Нож охотничий подарочный арт.999/А-101/R-15/A-59/H-11 "Охотник"</t>
  </si>
  <si>
    <t>ЕЕ-00007280</t>
  </si>
  <si>
    <t>Нож охотничий подарочный арт.A-61/A-75/R-33/HR-17 "Хищник"</t>
  </si>
  <si>
    <t>ЕЕ-00007352</t>
  </si>
  <si>
    <t>Тонировка H2M Hummer 50% (50см*3м)</t>
  </si>
  <si>
    <t>ЕЕ-00007353</t>
  </si>
  <si>
    <t>Тонировка H2M Hummer 50% (75см*3м)</t>
  </si>
  <si>
    <t>00-00002878</t>
  </si>
  <si>
    <t>Тонировка MAAS 15% MediumBlack 50см*3м   1/5шт.</t>
  </si>
  <si>
    <t>00-00002883</t>
  </si>
  <si>
    <t>Тонировка MAAS 15% MediumBlack 75см*3м   1/4шт.</t>
  </si>
  <si>
    <t>Тонировка MTF  5% 50см*3м (05418) (1/20шт.)</t>
  </si>
  <si>
    <t>Тонировка MTF  5% 75см*3м HNG1-SM5 (03637) (1/20шт.)</t>
  </si>
  <si>
    <t>Тонировка MTF 10% 50см*3м (05419) (1/20шт.)</t>
  </si>
  <si>
    <t>Тонировка MTF 10% 75см*3м HNG1-SM10 (06075) (1/20шт.)</t>
  </si>
  <si>
    <t>Тонировка MTF 15% 50см*3м (05420) (1/20шт.)</t>
  </si>
  <si>
    <t>Тонировка MTF 15% 75см*3м (06076) (1/20шт.)</t>
  </si>
  <si>
    <t>Тонировка MTF 20% 75см*3м (04931) (1/20шт.)</t>
  </si>
  <si>
    <t>Тонировка MTF 35% 50см*3м (12227) (1/20шт.)</t>
  </si>
  <si>
    <t>Тонировка MTF 35% 75см*3м (29217) (1/20шт.)</t>
  </si>
  <si>
    <t>Тонировка быстросъемная H2M Hummer  5% (76см*2м)</t>
  </si>
  <si>
    <t>Тонировка быстросъемная MCF DarkBlack  5%  в рулоне 76см*2м</t>
  </si>
  <si>
    <t>ЕЕ-00007256</t>
  </si>
  <si>
    <t>Тонировка быстросъемная MCF DarkBlack 10% в рулоне 76см*2м</t>
  </si>
  <si>
    <t>ЕЕ-00007337</t>
  </si>
  <si>
    <t>Шторка рулонная Nova Bright 15% арт.48421  размер 53*130 см.</t>
  </si>
  <si>
    <t>00-00002797</t>
  </si>
  <si>
    <t>Стропа динамическая Полярник 10т- 9м (1/4шт.)</t>
  </si>
  <si>
    <t>ЕЕ-00007361</t>
  </si>
  <si>
    <t>Зарядное устройство для автомобильных аккумуляторов CarLive UAP-21 (12V6A)</t>
  </si>
  <si>
    <t>ЕЕ-00007313</t>
  </si>
  <si>
    <t>Пуско-зарядное устройство  CarLive Q-3 12000mAH 12V арт.S087</t>
  </si>
  <si>
    <t>1/1/25/150 шт</t>
  </si>
  <si>
    <t>ЕЕ-00007336</t>
  </si>
  <si>
    <t>Клеммы АКБ медная с болтом d-8 мм (грузовые)</t>
  </si>
  <si>
    <t>1/144 шт</t>
  </si>
  <si>
    <t>Крокодилы № 4 (пара) (1/25шт.)</t>
  </si>
  <si>
    <t>Провода прикуривателя MAAS / Zebra 600А в сумке арт.BC006 (1/10шт.)</t>
  </si>
  <si>
    <t>Провода прикуривателя NOVA Bright  200А (силикон) в сумке 2,5м. Арт.37659 (1/24шт.)</t>
  </si>
  <si>
    <t>Провода прикуривателя NOVA Bright  200А в сумке 2,5м. Арт.46774 (1/24шт.)</t>
  </si>
  <si>
    <t>Провода прикуривателя NOVA Bright  300А (силикон) в сумке 2,5м. Арт.37660  (1/24шт.)</t>
  </si>
  <si>
    <t>Провода прикуривателя NOVA Bright  300А в сумке 2,5м. Арт.46775 (1/24шт.)</t>
  </si>
  <si>
    <t>Провода прикуривателя NOVA Bright  400А (силикон) в сумке 2,5м. Арт.37661 (1/24шт.)</t>
  </si>
  <si>
    <t>Провода прикуривателя NOVA Bright  400А в сумке 2,5м Арт.46776  (1/24шт.)</t>
  </si>
  <si>
    <t>Провода прикуривателя NOVA Bright  500А в сумке 2,5м. Арт.46777 (1/20шт.)</t>
  </si>
  <si>
    <t>Провода прикуривателя NOVA Bright  600А (силикон) в сумке 2,5м. Арт.47010 (1/20шт.)</t>
  </si>
  <si>
    <t>Провода прикуривателя NOVA Bright  700А в сумке 4м. Арт.46779  (1/5шт.)</t>
  </si>
  <si>
    <t>Провода прикуривателя Zebra 1000А в сумке арт.47788  (1/4шт.)</t>
  </si>
  <si>
    <t>00-00007137</t>
  </si>
  <si>
    <t>Провода прикуривателя Zebra 250А в сумке арт.47797 (1/24шт)</t>
  </si>
  <si>
    <t>Провода прикуривателя Zebra 300А в сумке арт.08701 / MAAS  (1/24шт.)</t>
  </si>
  <si>
    <t>Провода прикуривателя Zebra 400А в сумке арт.36839 / MAAS  (1/24шт.)</t>
  </si>
  <si>
    <t>Провода прикуривателя Zebra 500А в сумке арт.03118 (1/20шт.)</t>
  </si>
  <si>
    <t>Провода прикуривателя Полярник 150А  (1/30шт.)</t>
  </si>
  <si>
    <t>Провода прикуривателя Полярник 250А , 2м.  (1/12шт.)</t>
  </si>
  <si>
    <t>Провода прикуривателя Полярник 400А (сумка в подарок) 4м. (1/8шт.)</t>
  </si>
  <si>
    <t>Провода прикуривателя Полярник 500А (сумка в подарок) 4м. (1/8шт.)</t>
  </si>
  <si>
    <t>00-00002499</t>
  </si>
  <si>
    <t>Провода прикуривателя Полярник 750А (сумка в подарок) 4м.</t>
  </si>
  <si>
    <t>Губка двухсторонняя FLASHLIMP Multiuso (1/5шт)</t>
  </si>
  <si>
    <t>Коврик микрофибра City UP CA-190 Stock  40*40см /38*50см для сушки посуды</t>
  </si>
  <si>
    <t>Лопата автомобильная SIS (1/20шт.)</t>
  </si>
  <si>
    <t>Опрыскиватель 1,5л LF  "BLU-WAI" желтый (1/20шт.)</t>
  </si>
  <si>
    <t>Опрыскиватель 1,5л.LA  "BLU-WAI" (1/20шт.)</t>
  </si>
  <si>
    <t>Опрыскиватель 2л.LA  "BLU-WAI" (1/20шт.)</t>
  </si>
  <si>
    <t>Опрыскиватель 2л.LF "BLU-WAI" желтый (1/20шт.)</t>
  </si>
  <si>
    <t>Опрыскиватель 3л. Plastic Land   г.Сызрань с клапаном (дорогой)   (1/20шт.)</t>
  </si>
  <si>
    <t>Опрыскиватель City UP СА-890 1,5 л. (1/20шт.)</t>
  </si>
  <si>
    <t>00-00002203</t>
  </si>
  <si>
    <t>Опрыскиватель City UP СА-893 3 л прозрачный (1/16шт.)</t>
  </si>
  <si>
    <t>ЕЕ-00007238</t>
  </si>
  <si>
    <t>Салфетка замша AUTOVIRAZH арт.AV-018312 43*32 в тубусе  (1/15шт.)</t>
  </si>
  <si>
    <t>00-00007218</t>
  </si>
  <si>
    <t>Салфетка микрофибра City UP ABSOLUTE LUX-172 30*30см.(к-т 3шт.)</t>
  </si>
  <si>
    <t>00-00007166</t>
  </si>
  <si>
    <t>Салфетка микрофибра City UP ABSOLUTE LUX-176 35*40см. 1/6шт.</t>
  </si>
  <si>
    <t>1/6/120 шт</t>
  </si>
  <si>
    <t>00-00007167</t>
  </si>
  <si>
    <t>Салфетка микрофибра City UP ABSOLUTE LUX-178 28*55см. 1/6шт.</t>
  </si>
  <si>
    <t>00-00007168</t>
  </si>
  <si>
    <t>Салфетка микрофибра City UP ABSOLUTE LUX-179 38*76см. 1/3шт.</t>
  </si>
  <si>
    <t>00-00007169</t>
  </si>
  <si>
    <t>Салфетка микрофибра City UP ABSOLUTE LUX-180 46*90см. (1/60шт.)</t>
  </si>
  <si>
    <t>1/1/60 шт</t>
  </si>
  <si>
    <t>Салфетка микрофибра City UP CA-103  35*40см (1/50шт.)</t>
  </si>
  <si>
    <t>Салфетка микрофибра City UP CA-106 PROFI 40*50см в упаковке (1/300шт.)</t>
  </si>
  <si>
    <t>ЕЕ-00007355</t>
  </si>
  <si>
    <t>ЕЕ-00007354</t>
  </si>
  <si>
    <t>00-00007222</t>
  </si>
  <si>
    <t>Салфетка микрофибра City UP CA-166 VELVET 35*40см. 1/6шт</t>
  </si>
  <si>
    <t>00-00007223</t>
  </si>
  <si>
    <t>Салфетка микрофибра City UP CA-168 VELVET 50*70см. (1/80шт.)</t>
  </si>
  <si>
    <t>1/1/80 шт</t>
  </si>
  <si>
    <t>00-00007224</t>
  </si>
  <si>
    <t>Салфетка микрофибра City UP CA-169 VELVET 70*70см.  (1/50шт.)</t>
  </si>
  <si>
    <t>1/1/50 шт</t>
  </si>
  <si>
    <t>ЕЕ-00007303</t>
  </si>
  <si>
    <t>Салфетка микрофибра City UP CA-185 BiColor 30*38см (к-т 3шт)</t>
  </si>
  <si>
    <t>ЕЕ-00007304</t>
  </si>
  <si>
    <t>Салфетка микрофибра City UP CA-187 BiColor 28*55см (к-т 3шт)</t>
  </si>
  <si>
    <t>ЕЕ-00007305</t>
  </si>
  <si>
    <t>Салфетка микрофибра City UP CA-188 BiColor 50*60см (к-т 3шт.)</t>
  </si>
  <si>
    <t>1/90 шт</t>
  </si>
  <si>
    <t>00-00005023</t>
  </si>
  <si>
    <t>Салфетка микрофибра City UP CA-282 60*90см (1/10шт)</t>
  </si>
  <si>
    <t>00-00005401</t>
  </si>
  <si>
    <t>Салфетка микрофибра City UP LUX Новейшая серия CA-120 30*30см (к-т 10шт)</t>
  </si>
  <si>
    <t>00-00007171</t>
  </si>
  <si>
    <t>Салфетка микрофибра City UP ULTRA DRY CA-139  L (50*60см.)</t>
  </si>
  <si>
    <t>00-00007170</t>
  </si>
  <si>
    <t>Салфетка микрофибра City UP ULTRA DRY CA-139  M (40*55см.)</t>
  </si>
  <si>
    <t>00-00007172</t>
  </si>
  <si>
    <t>Салфетка микрофибра City UP ULTRA DRY CA-139 XL (50*80см.)</t>
  </si>
  <si>
    <t>00-00002675</t>
  </si>
  <si>
    <t>Салфетка микрофибра Li&amp;Sa арт.44144 30*30см (к-т 10шт.)</t>
  </si>
  <si>
    <t>00-00002676</t>
  </si>
  <si>
    <t>Салфетка микрофибра Li&amp;Sa арт.44430 25*25см (к-т 10шт.)</t>
  </si>
  <si>
    <t>00-00007153</t>
  </si>
  <si>
    <t>Салфетка микрофибра Li&amp;Sa арт.48343 32*43см. для чистки,сушки и полировки 1/10шт.</t>
  </si>
  <si>
    <t>00-00007152</t>
  </si>
  <si>
    <t>Салфетка микрофибра Li&amp;Sa арт.48344 32*43см. для сушки и полировки 1/10шт.</t>
  </si>
  <si>
    <t>00-00007221</t>
  </si>
  <si>
    <t>Швабра для пола City UP LUX СА-965 телескопическая ручка. (1/12шт.)</t>
  </si>
  <si>
    <t>Швабра для пола City UP СА-961 + насадка (1/12шт.)</t>
  </si>
  <si>
    <t>Швабра для пола City UP СА-962 с телескопической ручкой + насадка (1/12шт.)</t>
  </si>
  <si>
    <t>Набор золотников №1 короткий, пластмассовый 1/10шт.</t>
  </si>
  <si>
    <t>00-00006782</t>
  </si>
  <si>
    <t>Набор золотников №2 короткий, металлический 1/10шт.</t>
  </si>
  <si>
    <t>Наконечник насоса Евро быстросъемный d-6 синий/черный 1/10шт</t>
  </si>
  <si>
    <t>ЕЕ-00007357</t>
  </si>
  <si>
    <t>Шланг насоса без манометра с металлическим наконечником (1/10шт)</t>
  </si>
  <si>
    <t>Шланг насоса без манометра с пластиковым наконечником (1/10шт)</t>
  </si>
  <si>
    <t>00-00001525</t>
  </si>
  <si>
    <t>Водосгон City UP СА-605 (1/12шт.)</t>
  </si>
  <si>
    <t>Водосгон City UP СА-980  (1/24шт)</t>
  </si>
  <si>
    <t>Щетка д/мытья авто City UP СА-606 /CU-606 телескопическая 2-х секционная (1/24шт.)</t>
  </si>
  <si>
    <t>Щетка д/мытья авто City UP СА-611 / CU-611 телескопическая 2-х секционная (1/14шт.)</t>
  </si>
  <si>
    <t>Щетка д/мытья авто City UP СА-613 / CU-613 телескопическая 2-х секционная с водосгоном (1/12шт.)</t>
  </si>
  <si>
    <t>Щетка д/мытья авто City UP СА-646 / CU-646 телескопическая 2-х секционная  2,5м. (1/12шт.)</t>
  </si>
  <si>
    <t>Щетка Ростов 6-ти рядная не пушистая (1/50шт.)</t>
  </si>
  <si>
    <t>00-00002729</t>
  </si>
  <si>
    <t>Скребок City UP СА-553 18,6см</t>
  </si>
  <si>
    <t>Щетка зимняя City UP CU-58 со скребком, поворотная голова, фиксация в 4 положениях (1/12шт)</t>
  </si>
  <si>
    <t>Щетка зимняя City UP СА-73 / CU-73 со скребком, изогнутая форма 59см. (1/12шт)</t>
  </si>
  <si>
    <t>Щетка зимняя City UP СА-76 / CU-76 со скребком (1/12шт)</t>
  </si>
  <si>
    <t>Щетка зимняя City UP СА-77 / CU-77 со скребком, золотая серия 66см. (1/12шт)</t>
  </si>
  <si>
    <t>Щетка зимняя City UP СА-87 / CU-87 со скребком, телескопичка 81-106,5 см. (1/12шт)</t>
  </si>
  <si>
    <t>Щетка зимняя City UP СА-94 / CU-94 со скребком, удлиненная 74см. (+/-1см.) (1/12/24шт)</t>
  </si>
  <si>
    <t>00-00006122</t>
  </si>
  <si>
    <t>Щетка зимняя со скребком "BLU-WAI" арт.516 TUNDRA  телескопическая</t>
  </si>
  <si>
    <t>1/22 шт</t>
  </si>
  <si>
    <t>00-00006127</t>
  </si>
  <si>
    <t>Щетка зимняя со скребком LIMROY "Канадка" арт.10722 60см. (1/50шт.)</t>
  </si>
  <si>
    <t>Адаптер на щетки ALCA 299020 KEY LOCK 01 (1/10шт.)</t>
  </si>
  <si>
    <t>1/10/300 шт</t>
  </si>
  <si>
    <t>Адаптер на щетки ALCA 300420 BAYONET LOCK (желтый) (1/10шт.)</t>
  </si>
  <si>
    <t>Адаптер на щетки ALCA 300520 SLIM TOP (розовый) (1/10шт.)</t>
  </si>
  <si>
    <t>ЕЕ-00007262</t>
  </si>
  <si>
    <t>Адаптер на щетки HEYNER арт.300530 SLIM TOP (1/10шт.)</t>
  </si>
  <si>
    <t>Адаптер на щетки HEYNER арт.300630 FLAT TAB (1/10шт.)</t>
  </si>
  <si>
    <t>1/20/300 шт</t>
  </si>
  <si>
    <t>ЕЕ-00007287</t>
  </si>
  <si>
    <t>Распродажа - Щетка стеклоочистителя ALCA 14"/35 см бескаркасная (старого образца)</t>
  </si>
  <si>
    <t>ЕЕ-00007288</t>
  </si>
  <si>
    <t>Распродажа - Щетка стеклоочистителя ALCA 16"/40 см бескаркасная (старого образца)</t>
  </si>
  <si>
    <t>ЕЕ-00007289</t>
  </si>
  <si>
    <t>Распродажа - Щетка стеклоочистителя ALCA 20"/50 см бескаркасная (старого образца)</t>
  </si>
  <si>
    <t>ЕЕ-00007290</t>
  </si>
  <si>
    <t>Распродажа - Щетка стеклоочистителя ALCA 24"/60 см бескаркасная (старого образца)</t>
  </si>
  <si>
    <t>Щетка стеклоочистителя HEYNER All Seasons 18"/45см с доп. резинкой 088000</t>
  </si>
  <si>
    <t>Щетка стеклоочистителя HEYNER All Seasons 20"/50см с доп. резинкой 090000</t>
  </si>
  <si>
    <t>Щетка стеклоочистителя HEYNER All Seasons 22"/56см с доп. резинкой 092000</t>
  </si>
  <si>
    <t>00-00003377</t>
  </si>
  <si>
    <t>Щетка стеклоочистителя KRISTAL 13"/33см бескаркасная</t>
  </si>
  <si>
    <t>00-00006467</t>
  </si>
  <si>
    <t>Щетка стеклоочистителя HITO X-5 WINTER 16"/40см арт.23228 зима</t>
  </si>
  <si>
    <t>Щетка стеклоочистителя CHAMPION 16"/41 см каркасная Е41 (к-т 2шт)</t>
  </si>
  <si>
    <t>00-00007182</t>
  </si>
  <si>
    <t>Щетка стеклоочистителя HITO CLASSIC  26"/65см арт.23213 каркасная</t>
  </si>
  <si>
    <t>00-00004296</t>
  </si>
  <si>
    <t>Щетка от пыли Li&amp;Sa №47423  (62см)</t>
  </si>
  <si>
    <t>00-00005160</t>
  </si>
  <si>
    <t>Вентилятор мини с USB  арт.JR-5500 с подсветкой</t>
  </si>
  <si>
    <t>00-00005523</t>
  </si>
  <si>
    <t>Вентилятор мини с USB "Portable fan" QF-A1</t>
  </si>
  <si>
    <t>ЕЕ-00007267</t>
  </si>
  <si>
    <t>Вилка в розетку 1 USB Borofone арт.BA-80A + Type-C QC3.0, прозрачный корпус</t>
  </si>
  <si>
    <t>ЕЕ-00007269</t>
  </si>
  <si>
    <t>Вилка в розетку 1 USB Borofone с проводом на Type-C на Type-C арт.BA-80A QC3.0</t>
  </si>
  <si>
    <t>00-00006024</t>
  </si>
  <si>
    <t>Вилка в розетку 2 USB Borofone А-53А</t>
  </si>
  <si>
    <t>00-00005542</t>
  </si>
  <si>
    <t>Кабель USB Borofone BX-51 на Type-C в упаковке</t>
  </si>
  <si>
    <t>ЕЕ-00007296</t>
  </si>
  <si>
    <t>Кабель USB G-14 на Type-C силиконовый 1м.</t>
  </si>
  <si>
    <t>ЕЕ-00007294</t>
  </si>
  <si>
    <t>Кабель USB G-14 на айфон силиконовый 1м.</t>
  </si>
  <si>
    <t>ЕЕ-00007295</t>
  </si>
  <si>
    <t>Кабель USB G-14 на андроид силиконовый 1м.</t>
  </si>
  <si>
    <t>00-00007129</t>
  </si>
  <si>
    <t>Кабель USB Hoco U-111 ( Type-C на Lightning ) 1,2м. PD20W прозрачный корпус в упаковке</t>
  </si>
  <si>
    <t>00-00007128</t>
  </si>
  <si>
    <t>Кабель USB Hoco U-111 ( Type-C на Type-C ) 1,2м. 60W прозрачный корпус в упаковке</t>
  </si>
  <si>
    <t>Кабель USB M-5 матовый 2м. на Type-C</t>
  </si>
  <si>
    <t>ЕЕ-00007293</t>
  </si>
  <si>
    <t>Кабель USB M-5 матовый 2м. на айфон</t>
  </si>
  <si>
    <t>ЕЕ-00007292</t>
  </si>
  <si>
    <t>Кабель USB M-5 матовый 2м. на андроид</t>
  </si>
  <si>
    <t>00-00004822</t>
  </si>
  <si>
    <t>Кабель USB M-5 матовый на Type-C 1м.</t>
  </si>
  <si>
    <t>Кабель USB M-5 матовый на айфон 1м.</t>
  </si>
  <si>
    <t>Кабель USB R-12 резиновый цветной Quik Charge (быстрая зарядка) на Type-C 1м.</t>
  </si>
  <si>
    <t>Кабель USB R-12 резиновый цветной Quik Charge (быстрая зарядка) на айфон 1м.</t>
  </si>
  <si>
    <t>Кабель USB R-12 резиновый цветной Quik Charge (быстрая зарядка) на андроид 1м.</t>
  </si>
  <si>
    <t>Кабель USB RC-11 с пружиной на Type-C 1м.</t>
  </si>
  <si>
    <t>Кабель USB RC-11 с пружиной на айфон 1м.</t>
  </si>
  <si>
    <t>Кабель USB RC-11 с пружиной на андроид 1м.</t>
  </si>
  <si>
    <t>ЕЕ-00007299</t>
  </si>
  <si>
    <t>Кабель USB RC-13 на Type-C гелевый силикон 1м.</t>
  </si>
  <si>
    <t>ЕЕ-00007297</t>
  </si>
  <si>
    <t>Кабель USB RC-13 на айфон гелевый силикон 1м.</t>
  </si>
  <si>
    <t>ЕЕ-00007298</t>
  </si>
  <si>
    <t>Кабель USB RC-13 на андроид гелевый силикон 1м.</t>
  </si>
  <si>
    <t>00-00004749</t>
  </si>
  <si>
    <t>Кабель USB Z-1 светодиодный (светящийся) на айфон</t>
  </si>
  <si>
    <t>Кабель USB Z-1 светодиодный (светящийся) на андроид</t>
  </si>
  <si>
    <t>Лампа</t>
  </si>
  <si>
    <t>ЕЕ-00007237</t>
  </si>
  <si>
    <t>Лампа настольная детская арт.HG-1943</t>
  </si>
  <si>
    <t>Переноска 10м 220v</t>
  </si>
  <si>
    <t>00-00007227</t>
  </si>
  <si>
    <t>Кабель Type-C на айфон арт.YD-26 1м.</t>
  </si>
  <si>
    <t>00-00004001</t>
  </si>
  <si>
    <t>Переходник на айфон Lightning to 3.5mm Headphone Adapter (4R63670ZD) /YD-44/CQ-030 - CQ-028</t>
  </si>
  <si>
    <t>Провод AUX 1м прямой  CarLive арт AX-09 в пакетике арт.B4886/4887</t>
  </si>
  <si>
    <t>Провод AUX 1м угловой резиновый CarLive AX-17 в пакетике арт.B-4890</t>
  </si>
  <si>
    <t>Провод AUX 2м прямой, резиновый CarLive арт AX-09 в пакетике арт.B-4888 / B-4889</t>
  </si>
  <si>
    <t>ЕЕ-00007270</t>
  </si>
  <si>
    <t>Провод Borofone AUX - Type-C     арт.BL-18  1м. силиконовый</t>
  </si>
  <si>
    <t>Провод HOCO UPA-17 AUX - Type-C  1м.</t>
  </si>
  <si>
    <t>ЕЕ-00007260</t>
  </si>
  <si>
    <t>Провод HOCO UPA-19 AUX - Aux 1м.</t>
  </si>
  <si>
    <t>Провод HOCO UPA-20 AUX (удлинитель) 1 м. в коробке</t>
  </si>
  <si>
    <t>Провод HOCO UPA-22 AUX - Aux 1м.</t>
  </si>
  <si>
    <t>00-00006704</t>
  </si>
  <si>
    <t>Провод HOCO UPA-22 AUX - Lightning 1м.</t>
  </si>
  <si>
    <t>Провод HOCO UPA-22 AUX - Type-C  1м.</t>
  </si>
  <si>
    <t>Провод HOCO UPA-25 AUX - Aux 1м.</t>
  </si>
  <si>
    <t>1/31/186 шт</t>
  </si>
  <si>
    <t>Провод HOCO UPA-25 AUX - Type-C  1м.</t>
  </si>
  <si>
    <t>Провод MRM  арт.AX-12 AUX в упаковке</t>
  </si>
  <si>
    <t>Провод VONK арт.V-705  AUX - Type-C  (1/20шт)</t>
  </si>
  <si>
    <t>Фонарик на лоб арт.HT-115 гибкий светодиод</t>
  </si>
  <si>
    <t>Фонарик на лоб арт.HT-376 гибкий светодиод (CB-811-4)</t>
  </si>
  <si>
    <t>Фонарик на лоб арт.HT-821 / HT-821-B LED ( Аккумулятор 18650, USB)</t>
  </si>
  <si>
    <t>ЕЕ-00007235</t>
  </si>
  <si>
    <t>Фонарик на лоб арт.YT-1880 ,USB-зарядка + ручной</t>
  </si>
  <si>
    <t>ЕЕ-00007234</t>
  </si>
  <si>
    <t>Фонарик на лоб арт.YT-2031 / 2033 аккумуляторный, USB-зарядка</t>
  </si>
  <si>
    <t>Фонарик ручной POLICE арт.YY-616 / HYD-616-T6 USB-зарядка</t>
  </si>
  <si>
    <t>ЕЕ-00007231</t>
  </si>
  <si>
    <t>Фонарик ручной на магните арт.H-3073 USB-зарядка</t>
  </si>
  <si>
    <t>00-00006025</t>
  </si>
  <si>
    <t>Фонарик ручной Огонь HEX-06</t>
  </si>
  <si>
    <t>ЕЕ-00007229</t>
  </si>
  <si>
    <t>Фонарик ручной Огонь арт.H-327-T6  USB-зарядка</t>
  </si>
  <si>
    <t>ЕЕ-00007228</t>
  </si>
  <si>
    <t>Фонарик ручной светодиодный арт.H-969-P50 в футляре, USB-зарядка</t>
  </si>
  <si>
    <t>ЕЕ-00007230</t>
  </si>
  <si>
    <t>Фонарик ручной светодиодный арт.HYD-602R  USB-зарядка</t>
  </si>
  <si>
    <t>ЕЕ-00007232</t>
  </si>
  <si>
    <t>Фонарик ручной светодиодный на магните арт.H-3096 USB-зарядка 4*LED</t>
  </si>
  <si>
    <t>ЕЕ-00007233</t>
  </si>
  <si>
    <t>Фонарик ручной светодиодный на магните арт.W-5182 USB-зарядка 3*LED</t>
  </si>
  <si>
    <t>00-00005110</t>
  </si>
  <si>
    <t>Фонарик- Шокер 1112 / 1202  (помада)</t>
  </si>
  <si>
    <t>Фонарик- Шокер Type -1101</t>
  </si>
  <si>
    <t>ЕЕ-00007240</t>
  </si>
  <si>
    <t>Фонарик- Шокер мини арт.1502 USB-зарядка</t>
  </si>
  <si>
    <t>Чайник</t>
  </si>
  <si>
    <t>00-00007163</t>
  </si>
  <si>
    <t>Чайник электрический City UP арт.CA-1301 1,7л. с цифровым управлением (1/6шт.)</t>
  </si>
  <si>
    <t>00-00007164</t>
  </si>
  <si>
    <t>Чайник электрический City UP арт.CA-1302 1,7л. со светодиодной подсветкой (1/6шт.)</t>
  </si>
  <si>
    <t>00-00007220</t>
  </si>
  <si>
    <t>Чайник электрический City UP арт.CA-1305 1,5л. с термоизоляцией (1/8шт.)</t>
  </si>
  <si>
    <t>00-00007165</t>
  </si>
  <si>
    <t>Чайник электрический City UP арт.CA-1309 1,7л. с термоизоляцией (1/8шт.)</t>
  </si>
  <si>
    <t>ANVO</t>
  </si>
  <si>
    <t>https://motorring.ru/product/26600-aromatizator-avtomobilynyy-abro</t>
  </si>
  <si>
    <t>https://motorring.ru/product/26638-aromatizator-avtomobilynyy-car-freshner</t>
  </si>
  <si>
    <t>https://motorring.ru/product/35998-fonary-shashki-taksi-podsvetkoy-12v</t>
  </si>
  <si>
    <t>https://motorring.ru/product/21507-salonnoe-zerkalo-zadnego-vida-enes-universalynoe-prisoske</t>
  </si>
  <si>
    <t>https://motorring.ru/product/26823-schetki-stekloochistitelya-beskarkas-alco-super-flat-dyuym</t>
  </si>
  <si>
    <t>https://motorring.ru/product/26819-schetki-stekloochistitelya-beskarkas-alco-super-flat-60sm</t>
  </si>
  <si>
    <t>https://motorring.ru/product/26440-aromatizator-avtomobilynyy-contex-gel</t>
  </si>
  <si>
    <t>https://motorring.ru/product/26459-aromatizator-avtomobilynyy-contex-bochonok-love</t>
  </si>
  <si>
    <t>https://motorring.ru/product/7220-pasta-pritirochnaya-wmpauto-40gr-almaznaya-r2896</t>
  </si>
  <si>
    <t>https://motorring.ru/product/2696-signal-vozdushnyy-odnoroghkovyy-vstroennym-motorom</t>
  </si>
  <si>
    <t>https://motorring.ru/product/26443-aromatizator-avtomobilynyy-contex-banka-gel</t>
  </si>
  <si>
    <t>https://motorring.ru/product/26439-aromatizator-avtomobilynyy-contex-meshochek</t>
  </si>
  <si>
    <t>https://motorring.ru/product/26441-aromatizator-avtomobilynyy-contex-meshochek</t>
  </si>
  <si>
    <t>https://motorring.ru/product/26438-aromatizator-avtomobilynyy-contex-bochonok</t>
  </si>
  <si>
    <t>https://motorring.ru/product/26442-aromatizator-avtomobilynyy-contex-sprey</t>
  </si>
  <si>
    <t>https://motorring.ru/product/26400-aromatizator-avtomobilynyy-areon</t>
  </si>
  <si>
    <t>нет на дефлектор</t>
  </si>
  <si>
    <t>https://motorring.ru/product/26391-aromatizator-avtomobilynyy-areon-gel</t>
  </si>
  <si>
    <t>https://motorring.ru/product/26388-aromatizator-avtomobilynyy-slim</t>
  </si>
  <si>
    <t>https://motorring.ru/product/26390-aromatizator-avtomobilynyy-areon-freska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</si>
  <si>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</si>
  <si>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</si>
  <si>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</si>
  <si>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</si>
  <si>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</si>
  <si>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</si>
  <si>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</si>
  <si>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</si>
  <si>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</si>
  <si>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</si>
  <si>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</si>
  <si>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</si>
  <si>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</si>
  <si>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</si>
  <si>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</si>
  <si>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</si>
  <si>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</si>
  <si>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</si>
  <si>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</si>
  <si>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#VALUE!</t>
  </si>
  <si>
    <t>https://docs.google.com/spreadsheets/d/1f8_y-lcqVEuKpceVw_F97NEKzue5YmQtx8GIXUS_2B8/export?format=xlsx</t>
  </si>
  <si>
    <t>//*[@id="e-curr-price"]/text()</t>
  </si>
  <si>
    <t>//*[@class="p_club_price pb5"]/text()</t>
  </si>
  <si>
    <t>Цена</t>
  </si>
  <si>
    <t/>
  </si>
  <si>
    <t>Автомобильный ароматизатор "Contra" PERFUME, аромат 1 million Prive</t>
  </si>
  <si>
    <t>Автомобильный ароматизатор "Contra" PERFUME, аромат Amouage Opus V</t>
  </si>
  <si>
    <t>Автомобильный ароматизатор "Contra" PERFUME, аромат Blossom Love</t>
  </si>
  <si>
    <t>Автомобильный ароматизатор "Contra" PERFUME, аромат Happy</t>
  </si>
  <si>
    <t>N</t>
  </si>
  <si>
    <t>40162</t>
  </si>
  <si>
    <t>Скребок силиконовый (водосгон) "CityUP" Handy Squeegee</t>
  </si>
  <si>
    <t>29258</t>
  </si>
  <si>
    <t>29259</t>
  </si>
  <si>
    <t>70901</t>
  </si>
  <si>
    <t>70902</t>
  </si>
  <si>
    <t>72527</t>
  </si>
  <si>
    <t>70904</t>
  </si>
  <si>
    <t>70905</t>
  </si>
  <si>
    <t>70906</t>
  </si>
  <si>
    <t>72524</t>
  </si>
  <si>
    <t>72525</t>
  </si>
  <si>
    <t>70899</t>
  </si>
  <si>
    <t>70897</t>
  </si>
  <si>
    <t>70912</t>
  </si>
  <si>
    <t>70908</t>
  </si>
  <si>
    <t>70910</t>
  </si>
  <si>
    <t>72529</t>
  </si>
  <si>
    <t>72528</t>
  </si>
  <si>
    <t>70909</t>
  </si>
  <si>
    <t>70913</t>
  </si>
  <si>
    <t>70914</t>
  </si>
  <si>
    <t>70898</t>
  </si>
  <si>
    <t>70907</t>
  </si>
  <si>
    <t>72526</t>
  </si>
  <si>
    <t>Сирена автомобильная 6т. 20w CRISTYLEAVTO (1/50шт)</t>
  </si>
  <si>
    <t>00-00000233</t>
  </si>
  <si>
    <t>Авто инвертор AVS IN- 400W 12/220V Арт.A80684S</t>
  </si>
  <si>
    <t>ЕЕ-00007409</t>
  </si>
  <si>
    <t>Вентилятор автомобильный 5" JT-9041J арт.A855557S пластик.на присоске 12В (1/20шт)</t>
  </si>
  <si>
    <t>ЕЕ-00007408</t>
  </si>
  <si>
    <t>00-00007134</t>
  </si>
  <si>
    <t>Модулятор Car FM Player M-23  2 USB   3.1 А</t>
  </si>
  <si>
    <t>00-00007133</t>
  </si>
  <si>
    <t>Модулятор Car FM Player M-9  2 USB   3.1 А</t>
  </si>
  <si>
    <t>00-00006246</t>
  </si>
  <si>
    <t>Модулятор Car MP3 Player X-28  2 USB</t>
  </si>
  <si>
    <t>Предохранители NOVA Bright Флажковые низкопрофильные 46557/48296  арт.05019 (1/50шт.)</t>
  </si>
  <si>
    <t>Разветвитель прикуривателя NO-1522 Olesson на 2 гнезда 1USB с проводом 120W LED</t>
  </si>
  <si>
    <t>ЕЕ-00007422</t>
  </si>
  <si>
    <t>Разветвитель прикуривателя NO-1523 Olesson на 3 гнезда 2USB с проводом 120W LED</t>
  </si>
  <si>
    <t>ЕЕ-00007424</t>
  </si>
  <si>
    <t>Разветвитель прикуривателя NO-1640 Olesson на 2 гнезда 2USB с компасом и проводом 120W</t>
  </si>
  <si>
    <t>ЕЕ-00007421</t>
  </si>
  <si>
    <t>Разветвитель прикуривателя NO-1642 Olesson на 2 гнезда с проводом 100W LED</t>
  </si>
  <si>
    <t>ЕЕ-00007423</t>
  </si>
  <si>
    <t>Разветвитель прикуривателя NO-1647 Olesson на 2 гнезда 2USB с проводом 120W</t>
  </si>
  <si>
    <t>ЕЕ-00007419</t>
  </si>
  <si>
    <t>Разветвитель прикуривателя NO-1655 IN-CAR на 2 гнезда 2USB/Type-C без провода 100W</t>
  </si>
  <si>
    <t>ЕЕ-00007420</t>
  </si>
  <si>
    <t>Разветвитель прикуривателя NO-1656 IN-CAR на 3 гнезда 2USB/Type-C с проводом 120W</t>
  </si>
  <si>
    <t>ЕЕ-00007417</t>
  </si>
  <si>
    <t>Разветвитель прикуривателя NO-1661 Olesson на 2 гнезда 4USB/Type-C инвертор 12V/220V 200W</t>
  </si>
  <si>
    <t>ЕЕ-00007418</t>
  </si>
  <si>
    <t>Разветвитель прикуривателя NO-1662 Olesson на 1 гнездо 4USB/Type-C инвертор 12V/220V 150W</t>
  </si>
  <si>
    <t>00-00004845</t>
  </si>
  <si>
    <t>Разветвитель прикуривателя NO-1678 IN-CAR на 3 гнезда 4USB с проводом</t>
  </si>
  <si>
    <t>ЕЕ-00007375</t>
  </si>
  <si>
    <t>Штекер в прикуриватель 1 USB  + Type-C PD  арт.LZ-07/ WR-202  QC3.0 с инд.вольтметра</t>
  </si>
  <si>
    <t>ЕЕ-00007389</t>
  </si>
  <si>
    <t>Штекер в прикуриватель 1 USB CarLive + Type-C PD  арт.CR-36  QC3.0</t>
  </si>
  <si>
    <t>ЕЕ-00007376</t>
  </si>
  <si>
    <t>Штекер в прикуриватель 2 USB арт.LZ-08/ WR-202  QC3.0 с инд.вольтметра</t>
  </si>
  <si>
    <t>Штекер в прикуриватель 2 USB арт.MR-681 /-888  QC3.0</t>
  </si>
  <si>
    <t>Штекер в прикуриватель 2 USB арт.YZS-04</t>
  </si>
  <si>
    <t>00-00001809</t>
  </si>
  <si>
    <t>Клей ABRO ES-508 эпоксидный,высокопрочный 14,2г</t>
  </si>
  <si>
    <t>Клей City UP UP-82 гель-профи 3г  1/12шт.</t>
  </si>
  <si>
    <t>00-00006355</t>
  </si>
  <si>
    <t>Очиститель карбюратора AUTO MOBIL 440мл (1/12шт)</t>
  </si>
  <si>
    <t>Очиститель карбюратора АстроХим СА-141 аэрозоль 335мл (1/12шт)</t>
  </si>
  <si>
    <t>Очиститель пластика, винила и резины АстроХим АС-365 500мл (1/12шт)</t>
  </si>
  <si>
    <t>Средство для удаления этикеток и наклеек ABRO MASTERS SR-220-AM-RE 200мл. (1/24шт)</t>
  </si>
  <si>
    <t>ЕЕ-00007411</t>
  </si>
  <si>
    <t>Чистящее средство Grass 218600 600мл. Azelit анти-жир (1/8шт)</t>
  </si>
  <si>
    <t>Полироль кузова ABRO CAR WAX паста с губкой автовоск/тефлон арт.PW-400 230г (1/12шт)</t>
  </si>
  <si>
    <t>ЕЕ-00007366</t>
  </si>
  <si>
    <t>Полироль панели City UP СА-838 Брил. блеск 200мл. в ассортименте (1/24шт)</t>
  </si>
  <si>
    <t>ЕЕ-00007416</t>
  </si>
  <si>
    <t>Полироль панели CONTRA  Sex on Board (Грейфрукт с лепестками розы)</t>
  </si>
  <si>
    <t>00-00005974</t>
  </si>
  <si>
    <t>Полироль панели CONTRA  SEX Наша работа</t>
  </si>
  <si>
    <t>ЕЕ-00007415</t>
  </si>
  <si>
    <t>Полироль панели CONTRA  The SexMafia (Древесно-цветочная свежесть)</t>
  </si>
  <si>
    <t>00-00005975</t>
  </si>
  <si>
    <t>Полироль панели CONTRA  Warning Sexogolik (Ваниль, восточные сладости)</t>
  </si>
  <si>
    <t>00-00002400</t>
  </si>
  <si>
    <t>Полироль панели Плак Матовый 600мл. 5151 Клубника (1/24шт.)</t>
  </si>
  <si>
    <t>ЕЕ-00007374</t>
  </si>
  <si>
    <t>Смазка проникающая City UP UP-40 литиевая 230 г (1/24шт)</t>
  </si>
  <si>
    <t>ЕЕ-00007412</t>
  </si>
  <si>
    <t>Антидождь Grass 800440 в бачок омывателя 250мл. (1/8шт)</t>
  </si>
  <si>
    <t>Чернитель шин и пластика City UP СА-817 750мл (1/12шт)</t>
  </si>
  <si>
    <t>00-00001448</t>
  </si>
  <si>
    <t>Брелоки марка авто GAZ</t>
  </si>
  <si>
    <t>00-00005124</t>
  </si>
  <si>
    <t>Воронка "Матрешка"</t>
  </si>
  <si>
    <t>ЕЕ-00007430</t>
  </si>
  <si>
    <t>Держатель телефона hoco CA-28 магнитный (на присоске)</t>
  </si>
  <si>
    <t>ЕЕ-00007425</t>
  </si>
  <si>
    <t>Держатель телефона hoco CA-81 магнитный в дефлектор</t>
  </si>
  <si>
    <t>ЕЕ-00007410</t>
  </si>
  <si>
    <t>Держатель телефона hoco CA-83 телескоп. (на присоске)</t>
  </si>
  <si>
    <t>00-00006908</t>
  </si>
  <si>
    <t>Пластина для магнитного держателя телефона к-т 2шт.  (1/20шт.)</t>
  </si>
  <si>
    <t>ЕЕ-00007407</t>
  </si>
  <si>
    <t>Игрушка на панель авто чёрная Утка "Вертолет"</t>
  </si>
  <si>
    <t>00-00004587</t>
  </si>
  <si>
    <t>Лентяйка MAAS металлическая на блистере</t>
  </si>
  <si>
    <t>Массажер Nova Bright арт.36578 / арт.36577 деревянный (упаковка 1шт)</t>
  </si>
  <si>
    <t>Массажер Nova Bright арт.44178 / арт.47821 "Домино"  (упаковка 1шт)</t>
  </si>
  <si>
    <t>Массажер Nova Bright арт.47104 / арт.47822 поддержка поясничная дешёвая</t>
  </si>
  <si>
    <t>ЕЕ-00007413</t>
  </si>
  <si>
    <t>Массажер Nova Bright арт.47698 с подголовником (деревянный, покрытый лаком, с рисунком) 136х52см</t>
  </si>
  <si>
    <t>Массажер Nova Bright арт.48144 / арт.48146 накидка (коврик) на сиденье</t>
  </si>
  <si>
    <t>ЕЕ-00007396</t>
  </si>
  <si>
    <t>Оплетка руля Nova Bright M арт.48322  Черная, перфорированная</t>
  </si>
  <si>
    <t>ЕЕ-00007351</t>
  </si>
  <si>
    <t>Оплетка руля Nova Bright M арт.48325  Черная с перфорированными синими вставками, синяя строчка</t>
  </si>
  <si>
    <t>ЕЕ-00007397</t>
  </si>
  <si>
    <t>Оплетка руля Nova Bright M арт.48408  Черная с красной прострочкой ромбиками</t>
  </si>
  <si>
    <t>Рамка Квадратного номера на защелке РОССИЯ  арт.115/5 - белая (1/30шт)</t>
  </si>
  <si>
    <t>Рамка Квадратного номера на защелке РОССИЯ  арт.115/5 - черная  (1/30шт)</t>
  </si>
  <si>
    <t>Сетка багажная NOVA Bright (50*50) арт.36948</t>
  </si>
  <si>
    <t>Сетка багажная NOVA Bright (70*90) арт.36947 в блистере</t>
  </si>
  <si>
    <t>00-00007064</t>
  </si>
  <si>
    <t>Подвеска Мусульманская с бахромой</t>
  </si>
  <si>
    <t>00-00000314</t>
  </si>
  <si>
    <t>Антенна на рацию Т3 -27 SIRIO на магните  ( высота 62 см.)</t>
  </si>
  <si>
    <t>00-00000321</t>
  </si>
  <si>
    <t>Антенна наружная AL KHATEEB AN 095/093 врезная 1,5м.</t>
  </si>
  <si>
    <t>00-00000322</t>
  </si>
  <si>
    <t>Антенна наружная AL KHATEEB AN-096 / AN 094  врезная 2м</t>
  </si>
  <si>
    <t>00-00006008</t>
  </si>
  <si>
    <t>Антенна наружная CRISTYLEAVTO AN-118 на желобок/водосток</t>
  </si>
  <si>
    <t>ЕЕ-00007378</t>
  </si>
  <si>
    <t>Антенна наружная CRISTYLEAVTO AN-127</t>
  </si>
  <si>
    <t>ЕЕ-00007379</t>
  </si>
  <si>
    <t>Антенна наружная CRISTYLEAVTO AN-137</t>
  </si>
  <si>
    <t>00-00006004</t>
  </si>
  <si>
    <t>Антенна наружная CRISTYLEAVTO AN-138 пассивная на желобок/водосток (80см)</t>
  </si>
  <si>
    <t>00-00006001</t>
  </si>
  <si>
    <t>Антенна наружная CRISTYLEAVTO AN-301 врезная</t>
  </si>
  <si>
    <t>00-00006664</t>
  </si>
  <si>
    <t>Антенна наружная CRISTYLEAVTO AN-705 на магните (92см)</t>
  </si>
  <si>
    <t>ЕЕ-00007367</t>
  </si>
  <si>
    <t>Ароматизатор ION дом-авто диффузор 50мл арт.IL-30 Ваниль-табак</t>
  </si>
  <si>
    <t>ЕЕ-00007368</t>
  </si>
  <si>
    <t>Ароматизатор ION дом-авто диффузор 50мл арт.IL-31 Зеленый морской</t>
  </si>
  <si>
    <t>ЕЕ-00007369</t>
  </si>
  <si>
    <t>Ароматизатор ION дом-авто диффузор 50мл арт.IL-32 Лаванда-цитрус</t>
  </si>
  <si>
    <t>ЕЕ-00007370</t>
  </si>
  <si>
    <t>Ароматизатор ION дом-авто диффузор 50мл арт.IL-33 Вишневая пудра</t>
  </si>
  <si>
    <t>ЕЕ-00007371</t>
  </si>
  <si>
    <t>Ароматизатор ION дом-авто диффузор 50мл арт.IL-34 Елка в Рождество</t>
  </si>
  <si>
    <t>ЕЕ-00007372</t>
  </si>
  <si>
    <t>Ароматизатор ION дом-авто диффузор 50мл арт.IL-35 Бергамот-пачули</t>
  </si>
  <si>
    <t>ЕЕ-00007373</t>
  </si>
  <si>
    <t>Ароматизатор ION дом-авто диффузор 50мл арт.IL-36 Ветряные облака</t>
  </si>
  <si>
    <t>ЕЕ-00007377</t>
  </si>
  <si>
    <t>Ароматизатор ION дом-авто диффузор 50мл арт.IL-37 Ванильный мусс</t>
  </si>
  <si>
    <t>00-00006507</t>
  </si>
  <si>
    <t>Ароматизатор AREON в дефлектор VENT 7 Черный кристалл (Black Crystal) 4,5мл.</t>
  </si>
  <si>
    <t>ЕЕ-00007391</t>
  </si>
  <si>
    <t>Ароматизатор CONTRA мешочек  The SexMafia (Древесно-цветочная свежесть) (1/15шт.)</t>
  </si>
  <si>
    <t>ЕЕ-00007392</t>
  </si>
  <si>
    <t>Ароматизатор CONTRA флакон с деревянной крышкой VIP Perfume №11 "Chance" (1/20шт)</t>
  </si>
  <si>
    <t>ЕЕ-00007393</t>
  </si>
  <si>
    <t>Ароматизатор CONTRA флакон с деревянной крышкой VIP Perfume №15 "Cocaine" (1/20шт)</t>
  </si>
  <si>
    <t>ЕЕ-00007394</t>
  </si>
  <si>
    <t>Ароматизатор CONTRA флакон с деревянной крышкой VIP Perfume №38 "Fahrenheit" (1/20шт)</t>
  </si>
  <si>
    <t>ЕЕ-00007395</t>
  </si>
  <si>
    <t>Ароматизатор CONTRA флакон с деревянной крышкой VIP Perfume №46 "Black Afgano" (1/20шт)</t>
  </si>
  <si>
    <t>ЕЕ-00007364</t>
  </si>
  <si>
    <t>Ароматизатор POLIART PERFUME флакон с деревянной крышкой арт.PE00046 GANYMEDE</t>
  </si>
  <si>
    <t>ЕЕ-00007365</t>
  </si>
  <si>
    <t>Ароматизатор POLIART PERFUME флакон с деревянной крышкой арт.PE00047 AQUA KISS</t>
  </si>
  <si>
    <t>00-00000684</t>
  </si>
  <si>
    <t>Ароматизатор AURAMI банка на панель (икра) PRL-10 Эгоист (Egoist)</t>
  </si>
  <si>
    <t>Ароматизатор CONTRA  банка на панель  SEX Наша работа (Эйфория цветов и фруктов)</t>
  </si>
  <si>
    <t>ЕЕ-00007402</t>
  </si>
  <si>
    <t>Ароматизатор ION гидрогель perfume арт.IEV-10 Tom Ford Tuscan Leather 100гр</t>
  </si>
  <si>
    <t>ЕЕ-00007403</t>
  </si>
  <si>
    <t>Ароматизатор ION гидрогель perfume арт.IEV-11 Lancome La Vie Est Belle 100гр</t>
  </si>
  <si>
    <t>ЕЕ-00007404</t>
  </si>
  <si>
    <t>Ароматизатор ION гидрогель perfume арт.IEV-12 Chanel Allure Homme Sport 100гр</t>
  </si>
  <si>
    <t>ЕЕ-00007405</t>
  </si>
  <si>
    <t>Ароматизатор ION гидрогель perfume арт.IEV-13 YSL Black Opium 100гр</t>
  </si>
  <si>
    <t>ЕЕ-00007406</t>
  </si>
  <si>
    <t>Ароматизатор ION гидрогель perfume арт.IEV-14 Tom Ford Tobacco Vanille  100гр</t>
  </si>
  <si>
    <t>Ароматизатор BIG FRESH под сиденье Феромоны Страсти (1/40шт.)</t>
  </si>
  <si>
    <t>00-00001134</t>
  </si>
  <si>
    <t>Ароматизатор MAXI FRESH под сиденье MF-114 Бабл Гам (Bubble Gum) 100гр (1/40шт)</t>
  </si>
  <si>
    <t>00-00000410</t>
  </si>
  <si>
    <t>Ароматизатор ABRO консерва Organic Бубль Гум (Bubble Gum)</t>
  </si>
  <si>
    <t>00-00004170</t>
  </si>
  <si>
    <t>Ароматизатор ABRO консерва Organic Бубль Гум /Вишня (Bubble Gum /Cherry)</t>
  </si>
  <si>
    <t>00-00004167</t>
  </si>
  <si>
    <t>Ароматизатор ABRO консерва Organic Бубль Гум /Лимонад (Bubble Gum /Lemonade)</t>
  </si>
  <si>
    <t>00-00000416</t>
  </si>
  <si>
    <t>Ароматизатор ABRO консерва Organic Кокос (Coconut)</t>
  </si>
  <si>
    <t>ЕЕ-00007390</t>
  </si>
  <si>
    <t>Компрессор автомобильный City UP АС-570 Digital  (1/6шт)</t>
  </si>
  <si>
    <t>00-00004842</t>
  </si>
  <si>
    <t>Ароматизатор CONTEX банка на панель Love is... Тропические фрукты</t>
  </si>
  <si>
    <t>ЕЕ-00007414</t>
  </si>
  <si>
    <t>Зонт солнцезащитный автомобильный для лобового стекла</t>
  </si>
  <si>
    <t>ЕЕ-00007428</t>
  </si>
  <si>
    <t>ЕЕ-00007398</t>
  </si>
  <si>
    <t>Шторка рулонная Nova Bright  5% арт.48420  размер 53*130 см.</t>
  </si>
  <si>
    <t>ЕЕ-00007399</t>
  </si>
  <si>
    <t>Шторка рулонная Nova Bright  5% арт.48422  размер 63*130 см.</t>
  </si>
  <si>
    <t>ЕЕ-00007400</t>
  </si>
  <si>
    <t>Шторка рулонная Nova Bright  5% арт.48431  размер 68*130 см.</t>
  </si>
  <si>
    <t>Салфетка микрофибра City UP CA-130 35*30 в упаковке</t>
  </si>
  <si>
    <t>Салфетка микрофибра City UP CA-161 VELVET 20*30см. (к-т 6шт.)</t>
  </si>
  <si>
    <t>Салфетка микрофибра City UP CA-165 VELVET 30*30см. (к-т 10шт.)</t>
  </si>
  <si>
    <t>00-00007160</t>
  </si>
  <si>
    <t>Наконечник насоса Евро быстросъемный d-8 синий/черный 1/10шт.</t>
  </si>
  <si>
    <t>1/50/10 шт</t>
  </si>
  <si>
    <t>Насос ножной (1/10шт)</t>
  </si>
  <si>
    <t>00-00003704</t>
  </si>
  <si>
    <t>Водосгон City UP СА-947 с телескопической ручкой и поролоновой щеткой  (1/12шт.)</t>
  </si>
  <si>
    <t>00-00003217</t>
  </si>
  <si>
    <t>Щетка зимняя City UP CU-59 со скребком, телескопичка, поворотная голова, 5 положений 95-134,5см.</t>
  </si>
  <si>
    <t>00-00006206</t>
  </si>
  <si>
    <t>Щетка стеклоочистителя HITO SMART  16"/40см арт.23215 бескаркасная</t>
  </si>
  <si>
    <t>00-00006224</t>
  </si>
  <si>
    <t>Щетка стеклоочистителя HITO CLASSIC  20"/50см арт.23209 каркасная</t>
  </si>
  <si>
    <t>Кабель Hoco U-95  ( Type-C на Lightning  )</t>
  </si>
  <si>
    <t>Кабель Hoco U-95  Type-C ( Type-C на Lightning )</t>
  </si>
  <si>
    <t>ЕЕ-00007381</t>
  </si>
  <si>
    <t>Кабель Hoco X-101 Silicone 27W Type-C на Lightning 1м в упаковке</t>
  </si>
  <si>
    <t>ЕЕ-00007380</t>
  </si>
  <si>
    <t>Кабель Hoco X-101 Silicone 60W Type-C на Type-C 1м в упаковке</t>
  </si>
  <si>
    <t>ЕЕ-00007384</t>
  </si>
  <si>
    <t>Кабель USB Hoco Silicone X-101 Type-C 1м в упаковке</t>
  </si>
  <si>
    <t>ЕЕ-00007382</t>
  </si>
  <si>
    <t>Кабель USB Hoco Silicone X-101 айфон 1м в упаковке</t>
  </si>
  <si>
    <t>ЕЕ-00007383</t>
  </si>
  <si>
    <t>Кабель USB Hoco Silicone X-101 андроид 1м в упаковке</t>
  </si>
  <si>
    <t>ЕЕ-00007427</t>
  </si>
  <si>
    <t>Кабель USB/Type-C Hoco U-131 Transform на Lightning 27W в упаковке</t>
  </si>
  <si>
    <t>ЕЕ-00007426</t>
  </si>
  <si>
    <t>Кабель USB/Type-C Hoco U-131 Transform на Type-C 60W в упаковке</t>
  </si>
  <si>
    <t>ЕЕ-00007431</t>
  </si>
  <si>
    <t>Переходник Headphone Adapter  AUX на Type-C арт.YD-69</t>
  </si>
  <si>
    <t>ЕЕ-00007388</t>
  </si>
  <si>
    <t>Переходник MRM арт.A4746 M-40 разъем AUX на Type-C</t>
  </si>
  <si>
    <t>ЕЕ-00007385</t>
  </si>
  <si>
    <t>Провод Borofone AUX - AUX  арт.BL-19  1м. силиконовый</t>
  </si>
  <si>
    <t>ЕЕ-00007386</t>
  </si>
  <si>
    <t>Провод Borofone AUX - AUX  угловой арт.BL-4  1м. силиконовый</t>
  </si>
  <si>
    <t>ЕЕ-00007387</t>
  </si>
  <si>
    <t>Провод Borofone AUX адаптер 2 в 1 арт.BL-19</t>
  </si>
  <si>
    <t>ЕЕ-00007429</t>
  </si>
  <si>
    <t>Провод HOCO UPA-19 AUX - Aux 2м.</t>
  </si>
  <si>
    <t>СВОД</t>
  </si>
  <si>
    <t>Данные</t>
  </si>
  <si>
    <t>Переменные</t>
  </si>
  <si>
    <t>не нашел</t>
  </si>
  <si>
    <t>https://motorring.ru/product/15150-antiskolyzyaschiy-kovrik-panely-avtomobilya</t>
  </si>
  <si>
    <t>https://motorring.ru/product/21489-zvukovoy-signal-vozdushnyy-horn-speed-3110</t>
  </si>
  <si>
    <t>https://motorring.ru/product/8519-kryshka-benzobaka-zamkom-vaz-2107-2108-21099-2110-2112</t>
  </si>
  <si>
    <t>не то</t>
  </si>
  <si>
    <t>https://motorring.ru/product/26800-schetki-stekloochistitelya-beskarkasnye-avs-basic-line</t>
  </si>
  <si>
    <t>https://motorring.ru/product/26722-derghately-magnitnyy-dlya-telefona-holder-cpx-006</t>
  </si>
  <si>
    <t>590 на 33 см</t>
  </si>
  <si>
    <t>https://motorring.ru/product/2695-signal-vozdushnyy-treh-roghkovyy-hrom</t>
  </si>
  <si>
    <t>https://motorring.ru/product/21114-ramka-nomernogo-znaka-metallicheskaya-chernyy</t>
  </si>
  <si>
    <t>https://motorring.ru/product/3977-avtomobilynyy-kompressor-tornado-580</t>
  </si>
  <si>
    <t>https://motorring.ru/product/25909-komplekt-teroson-premium-dlya-vkleivaniya-lobovogo-stekla</t>
  </si>
  <si>
    <t>https://motorring.ru/product/23940-znak-avariynoy-ostanovki-tp02</t>
  </si>
  <si>
    <t>590 похож</t>
  </si>
  <si>
    <t>249 похож</t>
  </si>
  <si>
    <t>290 похож</t>
  </si>
  <si>
    <t>Прайс-лист, заказ на 20 июня 2024 г.</t>
  </si>
  <si>
    <t>Менеджер: Мазанова Екатерина  e.mazanova@crystal-avto.com, тел. +7 9277742255, Viber: +7 9277742255, WhatsApp: +7 9277742255</t>
  </si>
  <si>
    <t>ЕЕ-00007433</t>
  </si>
  <si>
    <t>Вентилятор автомобильный 5" MARS-306 12 V</t>
  </si>
  <si>
    <t>Вентилятор автомобильный 6" двойной арт.RG-1688 MAAS12v / MARS-304</t>
  </si>
  <si>
    <t>Герметик силиконовый Victor Reinz (+320 °C) 70мл. (1/25шт)</t>
  </si>
  <si>
    <t>ЕЕ-00007436</t>
  </si>
  <si>
    <t>Герметик эластичный ABRO MASTERS Резина-спрей LS-540-RE 540мл (1/12шт.)</t>
  </si>
  <si>
    <t>Средство д/бесконт. мойки Grass 110513 Active Foam Balance 1л.  (1/12шт)</t>
  </si>
  <si>
    <t>00-00001454</t>
  </si>
  <si>
    <t>Брелоки марка авто LADA</t>
  </si>
  <si>
    <t>00-00005439</t>
  </si>
  <si>
    <t>Держатель телефона Borofone BH-35 беспроводная зарядка (2 вида крепления)</t>
  </si>
  <si>
    <t>00-00001669</t>
  </si>
  <si>
    <t>Заглушка ремня безопасности Tape дорогая арт.ZB-002</t>
  </si>
  <si>
    <t>Рамка номера на защелке без надписи  (1/20шт)</t>
  </si>
  <si>
    <t>ЕЕ-00007434</t>
  </si>
  <si>
    <t>Рамка номера Пластик с подсветкой и автостопом арт.АВ-ПР05-ч черная</t>
  </si>
  <si>
    <t>00-00000309</t>
  </si>
  <si>
    <t>Антенна на рацию CB-50 DB MAG CB/VHF  на магните</t>
  </si>
  <si>
    <t>00-00000303</t>
  </si>
  <si>
    <t>Антенна на рацию Mini CB 27 на магните</t>
  </si>
  <si>
    <t>00-00005890</t>
  </si>
  <si>
    <t>Ароматизатор TASOTTI дом-авто "REED DIFFUSER" 100мл. CAESAR (1/12шт)</t>
  </si>
  <si>
    <t>00-00004648</t>
  </si>
  <si>
    <t>Ароматизатор AREON в дефлектор CAR 8мл. Дыня (Melon)</t>
  </si>
  <si>
    <t>00-00006945</t>
  </si>
  <si>
    <t>Ароматизатор AVIEL флакон с деревянной крышкой PLATINUM</t>
  </si>
  <si>
    <t>00-00004585</t>
  </si>
  <si>
    <t>Ароматизатор CONTEX гель Sex on Board (Грейфрукт с лепестками розы)</t>
  </si>
  <si>
    <t>00-00004583</t>
  </si>
  <si>
    <t>Ароматизатор CONTEX гель Sex Наша Работа (Эйфория цветов и фруктов)  (1/50шт.)</t>
  </si>
  <si>
    <t>Ароматизатор CONTRA  флакон с деревянной крышкой D-07 Sex First (Древесные ноты и лаванда) (1/20шт)</t>
  </si>
  <si>
    <t>00-00006377</t>
  </si>
  <si>
    <t>Ароматизатор CONTRA флакон с деревянной крышкой VIP Perfume №42 "Black Opium"</t>
  </si>
  <si>
    <t>00-00000799</t>
  </si>
  <si>
    <t>Ароматизатор Dr.MARKUS бочонок Senso Лимон (Lemon) (1/14шт)</t>
  </si>
  <si>
    <t>00-00006413</t>
  </si>
  <si>
    <t>Ароматизатор TENSY елочка Эксклюзив арт.ТА-21 VOSTORG (Восторг)</t>
  </si>
  <si>
    <t>00-00006410</t>
  </si>
  <si>
    <t>Ароматизатор TENSY елочка Эксклюзив арт.ТА-23 BOSCO (Боско)</t>
  </si>
  <si>
    <t>00-00006518</t>
  </si>
  <si>
    <t>Ароматизатор CONTRA  банка на панель Love is... Мультифрукт</t>
  </si>
  <si>
    <t>00-00001315</t>
  </si>
  <si>
    <t>Ароматизатор TASOTTI банка на панель Престиж Новая машина (New Car)</t>
  </si>
  <si>
    <t>00-00001327</t>
  </si>
  <si>
    <t>Ароматизатор TASOTTI спрей на панель Excellent New Car (Новая машина)  (1/16шт.)</t>
  </si>
  <si>
    <t>00-00001295</t>
  </si>
  <si>
    <t>Ароматизатор TASOTTI спрей на панель Куб Миллионер (Millionare)  (1/16шт.)</t>
  </si>
  <si>
    <t>00-00006580</t>
  </si>
  <si>
    <t>Ароматизатор TASOTTI спрей на панель Куб Янтарная ночь (Amber Night)</t>
  </si>
  <si>
    <t>00-00006117</t>
  </si>
  <si>
    <t>Ароматизатор CONTRA спрей 100мл. Sex on Board (Грейфрукт с лепестками розы) (1/10шт.)</t>
  </si>
  <si>
    <t>00-00006119</t>
  </si>
  <si>
    <t>Ароматизатор CONTRA спрей 100мл. The SexMafia (Древесно-цветочная свежесть) (1/10шт.)</t>
  </si>
  <si>
    <t>00-00006113</t>
  </si>
  <si>
    <t>Ароматизатор CONTRA спрей 100мл. Warning Sexogolik (Ваниль,восточные сладости) (1/10шт.)</t>
  </si>
  <si>
    <t>00-00000549</t>
  </si>
  <si>
    <t>Ароматизатор AREON консерва KEN Бабл Гам (Bubble Gum)</t>
  </si>
  <si>
    <t>00-00000552</t>
  </si>
  <si>
    <t>Ароматизатор AREON консерва KEN Клубника (Strawberry)</t>
  </si>
  <si>
    <t>00-00000554</t>
  </si>
  <si>
    <t>Ароматизатор AREON консерва KEN Лимон (Lemon)</t>
  </si>
  <si>
    <t>00-00000556</t>
  </si>
  <si>
    <t>Ароматизатор AREON консерва KEN Сирень (Lilac)</t>
  </si>
  <si>
    <t>00-00000558</t>
  </si>
  <si>
    <t>Ароматизатор AREON консерва KEN Яблоко и корица (Apple&amp;Cinnamon)</t>
  </si>
  <si>
    <t>00-00001789</t>
  </si>
  <si>
    <t>Изолента Neomatec 19мм*25м черная  1/10шт.</t>
  </si>
  <si>
    <t>1/10/250 шт</t>
  </si>
  <si>
    <t>Изолента матерчатая  1/10шт.</t>
  </si>
  <si>
    <t>00-00001864</t>
  </si>
  <si>
    <t>Ключ тренога 10-12-14*</t>
  </si>
  <si>
    <t>00-00001860</t>
  </si>
  <si>
    <t>Ключ тренога 8-10-13*</t>
  </si>
  <si>
    <t>Наклейка знак ( Продаю ) односторонняя</t>
  </si>
  <si>
    <t>Скотч двухсторонний NOVA Bright 14 мм*5 м акриловая основа 46920 (1/25шт)</t>
  </si>
  <si>
    <t>00-00003584</t>
  </si>
  <si>
    <t>Шторка солнцезащитная на лобовое стекло MAAS 150*70см (1/50шт.)</t>
  </si>
  <si>
    <t>Шторка солнцезащитная на лобовое стекло Nova Bright/MAAS 140*70см</t>
  </si>
  <si>
    <t>Шторы солнцезащитные MAAS боковые IA19001 / NOVA Bright 05268/44269 44*36см</t>
  </si>
  <si>
    <t>00-00003170</t>
  </si>
  <si>
    <t>Шторы солнцезащитные MAAS боковые со скосом IA19037 / NOVA Bright 46485</t>
  </si>
  <si>
    <t>Нож охотничий подарочный  арт.SA-42/-73/-75/-83/-40/-48/-91/-88/-85/-46/-58/-59/-48/-78/-71/-68/-26</t>
  </si>
  <si>
    <t>Нож охотничий подарочный арт.4138/4168/4198/1648/1678 (ручка и чехол пластик)</t>
  </si>
  <si>
    <t>ЕЕ-00007177</t>
  </si>
  <si>
    <t>Крокодил омеднённый CRISTYLEAVTO № 5 (пара)</t>
  </si>
  <si>
    <t>00-00007082</t>
  </si>
  <si>
    <t>00-00007083</t>
  </si>
  <si>
    <t>00-00007084</t>
  </si>
  <si>
    <t>00-00007085</t>
  </si>
  <si>
    <t>00-00007086</t>
  </si>
  <si>
    <t>Крокодилы CRISTYLEAVTO № 5 (пара)</t>
  </si>
  <si>
    <t>ЕЕ-00007437</t>
  </si>
  <si>
    <t>Салфетка микрофибра City UP CA-106 CRYSTAL 65*36см в упаковке</t>
  </si>
  <si>
    <t>00-00002653</t>
  </si>
  <si>
    <t>Салфетка микрофибра City UP CA-131 35*40см Cleaner</t>
  </si>
  <si>
    <t>ЕЕ-00007439</t>
  </si>
  <si>
    <t>Хомуты червячные CRISTYLEAVTO нержавеющая сталь   8-12мм-9мм 1/100шт</t>
  </si>
  <si>
    <t>ЕЕ-00007440</t>
  </si>
  <si>
    <t>Хомуты червячные CRISTYLEAVTO нержавеющая сталь 10-16мм-9мм 1/100шт</t>
  </si>
  <si>
    <t>ЕЕ-00007456</t>
  </si>
  <si>
    <t>Хомуты червячные CRISTYLEAVTO нержавеющая сталь 100-120мм-13мм 1/25 шт</t>
  </si>
  <si>
    <t>ЕЕ-00007457</t>
  </si>
  <si>
    <t>Хомуты червячные CRISTYLEAVTO нержавеющая сталь 110-130мм-13мм 1/20 шт</t>
  </si>
  <si>
    <t>ЕЕ-00007441</t>
  </si>
  <si>
    <t>Хомуты червячные CRISTYLEAVTO нержавеющая сталь 12-20мм-9мм 1/100шт</t>
  </si>
  <si>
    <t>ЕЕ-00007442</t>
  </si>
  <si>
    <t>Хомуты червячные CRISTYLEAVTO нержавеющая сталь 12-22мм-9мм 1/100шт</t>
  </si>
  <si>
    <t>ЕЕ-00007458</t>
  </si>
  <si>
    <t>Хомуты червячные CRISTYLEAVTO нержавеющая сталь 120-140мм-13мм 1/20 шт</t>
  </si>
  <si>
    <t>ЕЕ-00007443</t>
  </si>
  <si>
    <t>Хомуты червячные CRISTYLEAVTO нержавеющая сталь 16-25мм-9мм 1/100шт</t>
  </si>
  <si>
    <t>ЕЕ-00007444</t>
  </si>
  <si>
    <t>Хомуты червячные CRISTYLEAVTO нержавеющая сталь 16-27мм-9мм 1/100шт</t>
  </si>
  <si>
    <t>ЕЕ-00007445</t>
  </si>
  <si>
    <t>Хомуты червячные CRISTYLEAVTO нержавеющая сталь 20-32мм-9мм 1/100шт</t>
  </si>
  <si>
    <t>ЕЕ-00007446</t>
  </si>
  <si>
    <t>Хомуты червячные CRISTYLEAVTO нержавеющая сталь 25-40мм-9мм 1/100шт</t>
  </si>
  <si>
    <t>ЕЕ-00007448</t>
  </si>
  <si>
    <t>Хомуты червячные CRISTYLEAVTO нержавеющая сталь 27-45мм-9мм 1/100шт</t>
  </si>
  <si>
    <t>ЕЕ-00007449</t>
  </si>
  <si>
    <t>Хомуты червячные CRISTYLEAVTO нержавеющая сталь 32-50мм-9мм 1/100шт</t>
  </si>
  <si>
    <t>ЕЕ-00007450</t>
  </si>
  <si>
    <t>Хомуты червячные CRISTYLEAVTO нержавеющая сталь 40-60мм-9мм 1/50 шт</t>
  </si>
  <si>
    <t>ЕЕ-00007451</t>
  </si>
  <si>
    <t>Хомуты червячные CRISTYLEAVTO нержавеющая сталь 50-70мм-9мм 1/50 шт</t>
  </si>
  <si>
    <t>ЕЕ-00007452</t>
  </si>
  <si>
    <t>Хомуты червячные CRISTYLEAVTO нержавеющая сталь 60-80мм-9мм 1/50 шт</t>
  </si>
  <si>
    <t>ЕЕ-00007453</t>
  </si>
  <si>
    <t>Хомуты червячные CRISTYLEAVTO нержавеющая сталь 70-90мм-9мм 1/50 шт</t>
  </si>
  <si>
    <t>ЕЕ-00007454</t>
  </si>
  <si>
    <t>Хомуты червячные CRISTYLEAVTO нержавеющая сталь 80-100мм-9мм 1/50 шт</t>
  </si>
  <si>
    <t>ЕЕ-00007455</t>
  </si>
  <si>
    <t>Хомуты червячные CRISTYLEAVTO нержавеющая сталь 90-110мм-13мм 1/25 шт</t>
  </si>
  <si>
    <t>ЕЕ-00007432</t>
  </si>
  <si>
    <t>Манометр шинный пластиковый в кейсе 7,5 Атм (1/25шт)</t>
  </si>
  <si>
    <t>1/25/200 шт</t>
  </si>
  <si>
    <t>00-00001430</t>
  </si>
  <si>
    <t>Батарейки мизинчиковые  ( ААА )  1/4шт.</t>
  </si>
  <si>
    <t>00-00003006</t>
  </si>
  <si>
    <t>Фонарик- Шокер TW-398 маленький</t>
  </si>
  <si>
    <t>Фонарик- Шокер арт.-801C / -801</t>
  </si>
  <si>
    <t>Крышка бензобака "С КОДОМ" 2108 с замком (железная) для ВАЗ (2108-21099, 2110-2112, 2113-2115), Лада (Калина, Калина 2, Приора, Гранта), Шевроле Нива</t>
  </si>
  <si>
    <t>Крышка бензобака 2108 с замком для ВАЗ (2108-21099, 2110-2112, 2113-2115), Лада (Калина, Калина 2, Приора, Гранта), Шевроле Нива</t>
  </si>
  <si>
    <t>Менеджер: Левина Вера v.levina@Crystal-avto.com, тел. +7 9277743355, Viber: +7 9277743355, WhatsApp: +7 9277743355</t>
  </si>
  <si>
    <t>Менеджер: Ирина Нестерова  i.nesterova@crystal-avto.com, тел. +7 9376572868, Viber: +7 9376572868, WhatsApp: +7 9376572868</t>
  </si>
  <si>
    <t>ЕЕ-00007447</t>
  </si>
  <si>
    <t>Переходник на компрессор CRISTYLEAVTO арт.-001</t>
  </si>
  <si>
    <t>00-00003115</t>
  </si>
  <si>
    <t>Часы NAKO NA-613d черные с будильником</t>
  </si>
  <si>
    <t>00-00002257</t>
  </si>
  <si>
    <t>Очиститель кондиционеров Плак 500мл аэрозоль МИКС (1/12шт.)</t>
  </si>
  <si>
    <t>00-00005566</t>
  </si>
  <si>
    <t>Очиститель следов насекомых Grass 110372 спрей 600мл. (1/6шт.)</t>
  </si>
  <si>
    <t>00-00000380</t>
  </si>
  <si>
    <t>Антистатик Светофор</t>
  </si>
  <si>
    <t>ЕЕ-00007479</t>
  </si>
  <si>
    <t>Брелоки карабины  1/10шт</t>
  </si>
  <si>
    <t>00-00001584</t>
  </si>
  <si>
    <t>Держатель AVS АН-2116-D для телефона телескопический</t>
  </si>
  <si>
    <t>00-00001586</t>
  </si>
  <si>
    <t>Держатель AVS АН-2116-С для телефона телескопический</t>
  </si>
  <si>
    <t>ЕЕ-00007462</t>
  </si>
  <si>
    <t>Заглушка ремня безопасности NOVA Bright 48398  к-т 2шт.</t>
  </si>
  <si>
    <t>ЕЕ-00007438</t>
  </si>
  <si>
    <t>Оплетка руля Nova Bright M арт.48327  Черная с бордовыми перфорированными вставками</t>
  </si>
  <si>
    <t>ЕЕ-00007435</t>
  </si>
  <si>
    <t>Рамка номера Пластик с боковой подсветкой арт.АВ-ПР02-ч черная</t>
  </si>
  <si>
    <t>00-00000267</t>
  </si>
  <si>
    <t>Антенна внутрисалонная RATEX R02A</t>
  </si>
  <si>
    <t>00-00005472</t>
  </si>
  <si>
    <t>Ароматизатор AREON дом-авто "HOME PERFUMES" 85мл  Black Crystal</t>
  </si>
  <si>
    <t>00-00005837</t>
  </si>
  <si>
    <t>Ароматизатор AREON дом-авто "HOME PERFUMES" 85мл  Bubble Gum</t>
  </si>
  <si>
    <t>00-00006386</t>
  </si>
  <si>
    <t>Ароматизатор TASOTTI дом-авто QUEENS  "REED DIFFUSER" 100мл. Bubble Gum</t>
  </si>
  <si>
    <t>00-00006393</t>
  </si>
  <si>
    <t>Ароматизатор TASOTTI дом-авто QUEENS  "REED DIFFUSER" 100мл. Tutti Frutti</t>
  </si>
  <si>
    <t>00-00006394</t>
  </si>
  <si>
    <t>Ароматизатор TASOTTI дом-авто QUEENS  "REED DIFFUSER" 100мл. Vanilla &amp; Orange</t>
  </si>
  <si>
    <t>00-00003407</t>
  </si>
  <si>
    <t>Ароматизатор AREON елочка Фреш Paradise 1/10шт.</t>
  </si>
  <si>
    <t>00-00000541</t>
  </si>
  <si>
    <t>Ароматизатор AREON елочка Фреш Новая Машина (New Car) 1/10шт.</t>
  </si>
  <si>
    <t>00-00000485</t>
  </si>
  <si>
    <t>Ароматизатор AREON листик гель Черный Кристалл (Black Crystal)  (1/24шт.)</t>
  </si>
  <si>
    <t>00-00006060</t>
  </si>
  <si>
    <t>Ароматизатор CONTRA  флакон с деревянной крышкой Love is... Домашнее печенье  8мл. (1/20шт.)</t>
  </si>
  <si>
    <t>00-00006081</t>
  </si>
  <si>
    <t>Ароматизатор CONTRA  флакон с деревянной крышкой Премиум D-14 SEX SECRET (Сливочные аккорды миндаля)</t>
  </si>
  <si>
    <t>00-00005994</t>
  </si>
  <si>
    <t>Ароматизатор CONTRA  флакон с деревянной крышкой Премиум D-17 SEX Наша работа (Афган.цветок)</t>
  </si>
  <si>
    <t>ЕЕ-00007469</t>
  </si>
  <si>
    <t>Ароматизатор Dr.MARKUS подвесной Lucky Top Black в коробке 1/14шт  (черные)</t>
  </si>
  <si>
    <t>ЕЕ-00007468</t>
  </si>
  <si>
    <t>Ароматизатор Dr.MARKUS подвесной Lucky Top BLUE в коробке 1/14шт</t>
  </si>
  <si>
    <t>ЕЕ-00007474</t>
  </si>
  <si>
    <t>Ароматизатор Dr.MARKUS подвесной Lucky Top Bubble Gum в коробке 1/14шт (розовые)</t>
  </si>
  <si>
    <t>ЕЕ-00007476</t>
  </si>
  <si>
    <t>Ароматизатор Dr.MARKUS подвесной Lucky Top Gedar Wood в коробке 1/14шт (коричневые)</t>
  </si>
  <si>
    <t>ЕЕ-00007467</t>
  </si>
  <si>
    <t>Ароматизатор Dr.MARKUS подвесной Lucky Top GOLD в коробке 1/14шт</t>
  </si>
  <si>
    <t>ЕЕ-00007475</t>
  </si>
  <si>
    <t>Ароматизатор Dr.MARKUS подвесной Lucky Top Green Citrus в коробке 1/14шт (зеленые)</t>
  </si>
  <si>
    <t>ЕЕ-00007473</t>
  </si>
  <si>
    <t>Ароматизатор Dr.MARKUS подвесной Lucky Top New Car в коробке 1/14шт (синие)</t>
  </si>
  <si>
    <t>ЕЕ-00007477</t>
  </si>
  <si>
    <t>Ароматизатор Dr.MARKUS подвесной Lucky Top Ocean в коробке 1/14шт</t>
  </si>
  <si>
    <t>ЕЕ-00007471</t>
  </si>
  <si>
    <t>Ароматизатор Dr.MARKUS подвесной Lucky Top Red Fruits в коробке 1/14шт (красные)</t>
  </si>
  <si>
    <t>ЕЕ-00007466</t>
  </si>
  <si>
    <t>Ароматизатор Dr.MARKUS подвесной Lucky Top SILVER в коробке 1/14шт</t>
  </si>
  <si>
    <t>ЕЕ-00007470</t>
  </si>
  <si>
    <t>Ароматизатор Dr.MARKUS подвесной Lucky Top Vanilla в коробке 1/14шт (желтые)</t>
  </si>
  <si>
    <t>ЕЕ-00007472</t>
  </si>
  <si>
    <t>Ароматизатор Dr.MARKUS подвесной Lucky Top Winter в коробке 1/14шт (белые)</t>
  </si>
  <si>
    <t>00-00006585</t>
  </si>
  <si>
    <t>Ароматизатор TASOTTI листик гель CARFATHER DROP арт.8889343 на листе 1/15шт.</t>
  </si>
  <si>
    <t>00-00006588</t>
  </si>
  <si>
    <t>Ароматизатор TENSY бочонок UMI арт.TB-2003 Новая машина (1/16шт)</t>
  </si>
  <si>
    <t>00-00006409</t>
  </si>
  <si>
    <t>Ароматизатор TENSY елочка Эксклюзив арт.ТА-24 GLAMOUR (Гламур)</t>
  </si>
  <si>
    <t>00-00000728</t>
  </si>
  <si>
    <t>Ароматизатор BIG FRESH под сиденье Сахарный Арбуз (1/40шт.)</t>
  </si>
  <si>
    <t>00-00004439</t>
  </si>
  <si>
    <t>Плита газовая "Тюльпан малый" №026 / 023 / К-203</t>
  </si>
  <si>
    <t>ЕЕ-00007460</t>
  </si>
  <si>
    <t>Компрессор автомобильный City UP АС-550 беспроводной 17 л. в мин (пауэрбанк,сумка) (1/12шт)</t>
  </si>
  <si>
    <t>ЕЕ-00007459</t>
  </si>
  <si>
    <t>Компрессор автомобильный City UP АС-560 Light беспроводной 15 л. в мин (пауэрбанк,сумка) (1/12шт)</t>
  </si>
  <si>
    <t>Компрессор автомобильный City UP АС-585 Turbo / 35 л. в мин (1/8шт)</t>
  </si>
  <si>
    <t>Компрессор автомобильный City UP АС-591 Speedy , фонарь / 35 л. в мин (1/6шт)</t>
  </si>
  <si>
    <t>ЕЕ-00007461</t>
  </si>
  <si>
    <t>Компрессор автомобильный City UP АС-630 Twin Action 2-х поршневой / 50 л. в мин (1/4шт)</t>
  </si>
  <si>
    <t>ЕЕ-00007320</t>
  </si>
  <si>
    <t>Компрессор автомобильный CRISTYLEAVTO арт.AC-580A  (1/8шт)</t>
  </si>
  <si>
    <t>00-00001927</t>
  </si>
  <si>
    <t>Компрессор автомобильный MAAS AC-600 усиленный (1/8шт)</t>
  </si>
  <si>
    <t>00-00000400</t>
  </si>
  <si>
    <t>Аптечка МИЦАР малая нов/обр.  (1/42шт.)</t>
  </si>
  <si>
    <t>1/42 шт</t>
  </si>
  <si>
    <t>Зажигалка-горелка с пьезо элементом арт.QL-028 (1/16шт)</t>
  </si>
  <si>
    <t>ЕЕ-00007463</t>
  </si>
  <si>
    <t>Тонировка рулонная 15 % размер 64</t>
  </si>
  <si>
    <t>ЕЕ-00007464</t>
  </si>
  <si>
    <t>Тонировка рулонная 15 % размер 68</t>
  </si>
  <si>
    <t>ЕЕ-00007465</t>
  </si>
  <si>
    <t>Тонировка рулонная 15 % размер 72</t>
  </si>
  <si>
    <t>Крокодилы CRISTYLEAVTO № 1 (пара)  1/10шт</t>
  </si>
  <si>
    <t>Крокодилы CRISTYLEAVTO № 2 (пара)  1/10шт</t>
  </si>
  <si>
    <t>Крокодилы CRISTYLEAVTO № 3 (пара)  1/10шт</t>
  </si>
  <si>
    <t>Крокодилы CRISTYLEAVTO № 4 (пара) 1/5шт</t>
  </si>
  <si>
    <t>1/20/100 шт</t>
  </si>
  <si>
    <t>00-00002829</t>
  </si>
  <si>
    <t>Стяжки нейлоновые- 4*300 (к-т 100шт)</t>
  </si>
  <si>
    <t>00-00006895</t>
  </si>
  <si>
    <t>Провод VONK арт.V-700  AUX - Lightning  (1/20шт)</t>
  </si>
  <si>
    <t>00-00007219</t>
  </si>
  <si>
    <t>Чайник электрический City UP арт.CA-1303 1,5л. с термоизоляцией (1/8шт.)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</si>
</sst>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9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1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b/>
      <sz val="18"/>
      <name val="Arial"/>
      <family val="2"/>
      <charset val="204"/>
    </font>
    <font>
      <sz val="10"/>
      <name val="Arial"/>
      <family val="2"/>
      <charset val="204"/>
    </font>
    <font>
      <sz val="7"/>
      <name val="Arial"/>
      <family val="2"/>
      <charset val="204"/>
    </font>
    <font>
      <b/>
      <sz val="15"/>
      <color theme="3"/>
      <name val="Calibri"/>
      <family val="2"/>
      <charset val="204"/>
    </font>
    <font>
      <b/>
      <sz val="13"/>
      <color theme="3"/>
      <name val="Calibri"/>
      <family val="2"/>
      <charset val="204"/>
    </font>
    <font>
      <b/>
      <sz val="11"/>
      <color theme="3"/>
      <name val="Calibri"/>
      <family val="2"/>
      <charset val="204"/>
    </font>
    <font>
      <sz val="10"/>
      <color rgb="FF006100"/>
      <name val="Calibri"/>
      <family val="2"/>
      <charset val="204"/>
    </font>
    <font>
      <sz val="10"/>
      <color rgb="FF9C0006"/>
      <name val="Calibri"/>
      <family val="2"/>
      <charset val="204"/>
    </font>
    <font>
      <sz val="10"/>
      <color rgb="FF9C5700"/>
      <name val="Calibri"/>
      <family val="2"/>
      <charset val="204"/>
    </font>
    <font>
      <sz val="10"/>
      <color rgb="FF3F3F76"/>
      <name val="Calibri"/>
      <family val="2"/>
      <charset val="204"/>
    </font>
    <font>
      <b/>
      <sz val="10"/>
      <color rgb="FF3F3F3F"/>
      <name val="Calibri"/>
      <family val="2"/>
      <charset val="204"/>
    </font>
    <font>
      <b/>
      <sz val="10"/>
      <color rgb="FFFA7D00"/>
      <name val="Calibri"/>
      <family val="2"/>
      <charset val="204"/>
    </font>
    <font>
      <sz val="10"/>
      <color rgb="FFFA7D00"/>
      <name val="Calibri"/>
      <family val="2"/>
      <charset val="204"/>
    </font>
    <font>
      <b/>
      <sz val="10"/>
      <color theme="0"/>
      <name val="Calibri"/>
      <family val="2"/>
      <charset val="204"/>
    </font>
    <font>
      <sz val="10"/>
      <color rgb="FFFF0000"/>
      <name val="Calibri"/>
      <family val="2"/>
      <charset val="204"/>
    </font>
    <font>
      <i/>
      <sz val="10"/>
      <color rgb="FF7F7F7F"/>
      <name val="Calibri"/>
      <family val="2"/>
      <charset val="204"/>
    </font>
    <font>
      <b/>
      <sz val="10"/>
      <color theme="1"/>
      <name val="Calibri"/>
      <family val="2"/>
      <charset val="204"/>
    </font>
    <font>
      <sz val="10"/>
      <color theme="0"/>
      <name val="Calibri"/>
      <family val="2"/>
      <charset val="204"/>
    </font>
    <font>
      <sz val="8"/>
      <name val="Arial"/>
      <family val="2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  <font>
      <b/>
      <sz val="9"/>
      <name val="Arial"/>
      <family val="2"/>
      <charset val="204"/>
    </font>
    <font>
      <sz val="10"/>
      <color theme="1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9"/>
      <name val="Arial"/>
      <family val="2"/>
      <charset val="204"/>
    </font>
    <font>
      <sz val="7"/>
      <name val="Arial"/>
    </font>
    <font>
      <b/>
      <sz val="10"/>
      <name val="Arial"/>
    </font>
    <font>
      <b/>
      <sz val="9"/>
      <name val="Arial"/>
    </font>
    <font>
      <b/>
      <sz val="11"/>
      <color rgb="FFFFFFFF"/>
      <name val="Arial"/>
    </font>
    <font>
      <b/>
      <sz val="12"/>
      <color rgb="FFFFFFFF"/>
      <name val="Arial"/>
    </font>
    <font>
      <sz val="11"/>
      <color rgb="FF9C6500"/>
      <name val="Arial"/>
    </font>
    <font>
      <b/>
      <sz val="12"/>
      <color rgb="FF9C6500"/>
      <name val="Arial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22222"/>
        <bgColor auto="1"/>
      </patternFill>
    </fill>
    <fill>
      <patternFill patternType="solid">
        <fgColor rgb="FF64B010"/>
        <bgColor auto="1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CEC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666699"/>
      </top>
      <bottom style="thin">
        <color rgb="FF666699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666699"/>
      </left>
      <right/>
      <top style="thin">
        <color rgb="FF666699"/>
      </top>
      <bottom style="thin">
        <color rgb="FF666699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96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20" fillId="0" borderId="0"/>
    <xf numFmtId="9" fontId="2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4" borderId="0" applyNumberFormat="0" applyBorder="0" applyAlignment="0" applyProtection="0"/>
    <xf numFmtId="0" fontId="2" fillId="12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1" fillId="0" borderId="0"/>
    <xf numFmtId="0" fontId="43" fillId="0" borderId="0"/>
    <xf numFmtId="0" fontId="28" fillId="0" borderId="1" applyNumberFormat="0" applyFill="0" applyAlignment="0" applyProtection="0"/>
    <xf numFmtId="0" fontId="29" fillId="0" borderId="2" applyNumberFormat="0" applyFill="0" applyAlignment="0" applyProtection="0"/>
    <xf numFmtId="0" fontId="30" fillId="0" borderId="3" applyNumberFormat="0" applyFill="0" applyAlignment="0" applyProtection="0"/>
    <xf numFmtId="0" fontId="30" fillId="0" borderId="0" applyNumberFormat="0" applyFill="0" applyBorder="0" applyAlignment="0" applyProtection="0"/>
    <xf numFmtId="0" fontId="31" fillId="2" borderId="0" applyNumberFormat="0" applyBorder="0" applyAlignment="0" applyProtection="0"/>
    <xf numFmtId="0" fontId="32" fillId="3" borderId="0" applyNumberFormat="0" applyBorder="0" applyAlignment="0" applyProtection="0"/>
    <xf numFmtId="0" fontId="33" fillId="4" borderId="0" applyNumberFormat="0" applyBorder="0" applyAlignment="0" applyProtection="0"/>
    <xf numFmtId="0" fontId="34" fillId="5" borderId="4" applyNumberFormat="0" applyAlignment="0" applyProtection="0"/>
    <xf numFmtId="0" fontId="35" fillId="6" borderId="5" applyNumberFormat="0" applyAlignment="0" applyProtection="0"/>
    <xf numFmtId="0" fontId="36" fillId="6" borderId="4" applyNumberFormat="0" applyAlignment="0" applyProtection="0"/>
    <xf numFmtId="0" fontId="37" fillId="0" borderId="6" applyNumberFormat="0" applyFill="0" applyAlignment="0" applyProtection="0"/>
    <xf numFmtId="0" fontId="38" fillId="7" borderId="7" applyNumberFormat="0" applyAlignment="0" applyProtection="0"/>
    <xf numFmtId="0" fontId="39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9" applyNumberFormat="0" applyFill="0" applyAlignment="0" applyProtection="0"/>
    <xf numFmtId="0" fontId="42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42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42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42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42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42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44" fillId="0" borderId="0"/>
    <xf numFmtId="0" fontId="50" fillId="0" borderId="0"/>
  </cellStyleXfs>
  <cellXfs count="120">
    <xf numFmtId="0" fontId="0" fillId="0" borderId="0" xfId="0"/>
    <xf numFmtId="49" fontId="19" fillId="0" borderId="15" xfId="0" applyNumberFormat="1" applyFont="1" applyBorder="1" applyAlignment="1">
      <alignment horizontal="center" vertical="center" wrapText="1"/>
    </xf>
    <xf numFmtId="2" fontId="19" fillId="0" borderId="15" xfId="0" applyNumberFormat="1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1" fontId="19" fillId="0" borderId="15" xfId="0" applyNumberFormat="1" applyFont="1" applyBorder="1" applyAlignment="1">
      <alignment horizontal="center" vertical="center" wrapText="1"/>
    </xf>
    <xf numFmtId="0" fontId="0" fillId="36" borderId="15" xfId="0" applyFill="1" applyBorder="1"/>
    <xf numFmtId="0" fontId="0" fillId="0" borderId="0" xfId="0" applyAlignment="1">
      <alignment horizontal="left"/>
    </xf>
    <xf numFmtId="1" fontId="21" fillId="0" borderId="15" xfId="42" applyNumberFormat="1" applyFont="1" applyBorder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1" fontId="19" fillId="0" borderId="15" xfId="0" applyNumberFormat="1" applyFont="1" applyBorder="1" applyAlignment="1">
      <alignment horizontal="center" vertical="center"/>
    </xf>
    <xf numFmtId="0" fontId="44" fillId="0" borderId="15" xfId="94" applyNumberFormat="1" applyBorder="1" applyAlignment="1">
      <alignment horizontal="left" vertical="top" wrapText="1"/>
    </xf>
    <xf numFmtId="1" fontId="19" fillId="0" borderId="15" xfId="0" applyNumberFormat="1" applyFont="1" applyFill="1" applyBorder="1" applyAlignment="1">
      <alignment horizontal="center" vertical="center" wrapText="1"/>
    </xf>
    <xf numFmtId="1" fontId="21" fillId="0" borderId="15" xfId="0" applyNumberFormat="1" applyFont="1" applyFill="1" applyBorder="1" applyAlignment="1">
      <alignment horizontal="center" vertical="center"/>
    </xf>
    <xf numFmtId="1" fontId="21" fillId="0" borderId="15" xfId="42" applyNumberFormat="1" applyFont="1" applyFill="1" applyBorder="1" applyAlignment="1">
      <alignment horizontal="center" vertical="center"/>
    </xf>
    <xf numFmtId="1" fontId="19" fillId="0" borderId="15" xfId="0" applyNumberFormat="1" applyFont="1" applyFill="1" applyBorder="1" applyAlignment="1">
      <alignment horizontal="center" vertical="center"/>
    </xf>
    <xf numFmtId="0" fontId="23" fillId="0" borderId="0" xfId="44"/>
    <xf numFmtId="0" fontId="44" fillId="0" borderId="15" xfId="94" applyNumberFormat="1" applyBorder="1" applyAlignment="1" applyProtection="1">
      <alignment horizontal="left" vertical="top" wrapText="1"/>
    </xf>
    <xf numFmtId="0" fontId="44" fillId="0" borderId="0" xfId="94" applyAlignment="1">
      <alignment horizontal="left" vertical="top" wrapText="1"/>
    </xf>
    <xf numFmtId="0" fontId="45" fillId="0" borderId="0" xfId="94" applyFont="1" applyAlignment="1">
      <alignment horizontal="left" vertical="top" wrapText="1"/>
    </xf>
    <xf numFmtId="0" fontId="19" fillId="0" borderId="15" xfId="0" applyNumberFormat="1" applyFont="1" applyBorder="1" applyAlignment="1">
      <alignment horizontal="left" vertical="center" wrapText="1"/>
    </xf>
    <xf numFmtId="9" fontId="0" fillId="35" borderId="15" xfId="0" applyNumberFormat="1" applyFill="1" applyBorder="1"/>
    <xf numFmtId="0" fontId="47" fillId="0" borderId="18" xfId="0" applyFont="1" applyBorder="1" applyAlignment="1">
      <alignment horizontal="right" wrapText="1"/>
    </xf>
    <xf numFmtId="0" fontId="47" fillId="35" borderId="19" xfId="0" applyFont="1" applyFill="1" applyBorder="1" applyAlignment="1">
      <alignment horizontal="right" wrapText="1"/>
    </xf>
    <xf numFmtId="0" fontId="47" fillId="0" borderId="20" xfId="0" applyFont="1" applyBorder="1" applyAlignment="1">
      <alignment horizontal="right" wrapText="1"/>
    </xf>
    <xf numFmtId="0" fontId="47" fillId="35" borderId="21" xfId="0" applyFont="1" applyFill="1" applyBorder="1" applyAlignment="1">
      <alignment horizontal="right" wrapText="1"/>
    </xf>
    <xf numFmtId="0" fontId="0" fillId="0" borderId="0" xfId="0" applyAlignment="1">
      <alignment wrapText="1"/>
    </xf>
    <xf numFmtId="0" fontId="45" fillId="38" borderId="15" xfId="0" applyFont="1" applyFill="1" applyBorder="1" applyAlignment="1">
      <alignment horizontal="left" vertical="top" wrapText="1"/>
    </xf>
    <xf numFmtId="0" fontId="0" fillId="0" borderId="15" xfId="0" applyBorder="1" applyAlignment="1">
      <alignment wrapText="1"/>
    </xf>
    <xf numFmtId="0" fontId="0" fillId="0" borderId="15" xfId="0" applyBorder="1"/>
    <xf numFmtId="1" fontId="0" fillId="0" borderId="0" xfId="0" applyNumberFormat="1"/>
    <xf numFmtId="1" fontId="45" fillId="37" borderId="15" xfId="0" applyNumberFormat="1" applyFont="1" applyFill="1" applyBorder="1" applyAlignment="1">
      <alignment horizontal="left" vertical="top" wrapText="1"/>
    </xf>
    <xf numFmtId="2" fontId="0" fillId="35" borderId="0" xfId="0" applyNumberFormat="1" applyFill="1"/>
    <xf numFmtId="9" fontId="45" fillId="39" borderId="15" xfId="43" applyFont="1" applyFill="1" applyBorder="1" applyAlignment="1">
      <alignment horizontal="left" vertical="top" wrapText="1"/>
    </xf>
    <xf numFmtId="9" fontId="48" fillId="39" borderId="15" xfId="0" applyNumberFormat="1" applyFont="1" applyFill="1" applyBorder="1" applyAlignment="1">
      <alignment horizontal="left" vertical="center"/>
    </xf>
    <xf numFmtId="0" fontId="49" fillId="0" borderId="15" xfId="0" applyFont="1" applyBorder="1" applyAlignment="1">
      <alignment horizontal="center" vertical="center" wrapText="1"/>
    </xf>
    <xf numFmtId="2" fontId="49" fillId="0" borderId="15" xfId="0" applyNumberFormat="1" applyFont="1" applyBorder="1" applyAlignment="1">
      <alignment horizontal="center" vertical="center" wrapText="1"/>
    </xf>
    <xf numFmtId="1" fontId="45" fillId="39" borderId="15" xfId="43" applyNumberFormat="1" applyFont="1" applyFill="1" applyBorder="1" applyAlignment="1">
      <alignment horizontal="left" vertical="top" wrapText="1"/>
    </xf>
    <xf numFmtId="2" fontId="48" fillId="39" borderId="15" xfId="0" applyNumberFormat="1" applyFont="1" applyFill="1" applyBorder="1" applyAlignment="1">
      <alignment horizontal="left" vertical="center"/>
    </xf>
    <xf numFmtId="0" fontId="48" fillId="39" borderId="15" xfId="0" applyFont="1" applyFill="1" applyBorder="1" applyAlignment="1">
      <alignment horizontal="left" vertical="center"/>
    </xf>
    <xf numFmtId="9" fontId="2" fillId="0" borderId="15" xfId="43" applyFont="1" applyBorder="1" applyAlignment="1">
      <alignment wrapText="1"/>
    </xf>
    <xf numFmtId="0" fontId="0" fillId="0" borderId="15" xfId="0" applyBorder="1" applyAlignment="1">
      <alignment horizontal="center" vertical="center"/>
    </xf>
    <xf numFmtId="1" fontId="8" fillId="3" borderId="15" xfId="7" applyNumberFormat="1" applyBorder="1" applyAlignment="1">
      <alignment horizontal="center" vertical="center" wrapText="1"/>
    </xf>
    <xf numFmtId="1" fontId="19" fillId="35" borderId="15" xfId="0" applyNumberFormat="1" applyFont="1" applyFill="1" applyBorder="1" applyAlignment="1">
      <alignment horizontal="center" vertical="center" wrapText="1"/>
    </xf>
    <xf numFmtId="0" fontId="45" fillId="0" borderId="15" xfId="0" applyFont="1" applyBorder="1" applyAlignment="1">
      <alignment horizontal="left" vertical="top" wrapText="1"/>
    </xf>
    <xf numFmtId="0" fontId="44" fillId="0" borderId="0" xfId="94"/>
    <xf numFmtId="0" fontId="44" fillId="35" borderId="15" xfId="94" applyNumberFormat="1" applyFill="1" applyBorder="1" applyAlignment="1">
      <alignment horizontal="left" vertical="top" wrapText="1"/>
    </xf>
    <xf numFmtId="0" fontId="19" fillId="0" borderId="0" xfId="0" applyFont="1" applyAlignment="1">
      <alignment horizontal="left" vertical="center"/>
    </xf>
    <xf numFmtId="1" fontId="19" fillId="40" borderId="15" xfId="0" applyNumberFormat="1" applyFont="1" applyFill="1" applyBorder="1" applyAlignment="1">
      <alignment horizontal="center" vertical="center" wrapText="1"/>
    </xf>
    <xf numFmtId="0" fontId="23" fillId="0" borderId="15" xfId="44" applyBorder="1" applyAlignment="1">
      <alignment horizontal="center" vertical="center"/>
    </xf>
    <xf numFmtId="1" fontId="19" fillId="0" borderId="0" xfId="0" applyNumberFormat="1" applyFont="1" applyAlignment="1">
      <alignment horizontal="left" vertical="center"/>
    </xf>
    <xf numFmtId="9" fontId="0" fillId="0" borderId="0" xfId="43" applyFont="1"/>
    <xf numFmtId="0" fontId="0" fillId="0" borderId="15" xfId="0" applyBorder="1" applyAlignment="1">
      <alignment horizontal="left" vertical="center" wrapText="1"/>
    </xf>
    <xf numFmtId="2" fontId="0" fillId="39" borderId="15" xfId="0" applyNumberFormat="1" applyFill="1" applyBorder="1" applyAlignment="1">
      <alignment horizontal="center"/>
    </xf>
    <xf numFmtId="2" fontId="0" fillId="41" borderId="15" xfId="0" applyNumberFormat="1" applyFill="1" applyBorder="1" applyAlignment="1">
      <alignment horizontal="center"/>
    </xf>
    <xf numFmtId="2" fontId="0" fillId="42" borderId="15" xfId="0" applyNumberFormat="1" applyFill="1" applyBorder="1" applyAlignment="1">
      <alignment horizontal="center"/>
    </xf>
    <xf numFmtId="2" fontId="0" fillId="43" borderId="15" xfId="0" applyNumberFormat="1" applyFill="1" applyBorder="1" applyAlignment="1">
      <alignment horizontal="center"/>
    </xf>
    <xf numFmtId="2" fontId="0" fillId="44" borderId="15" xfId="0" applyNumberFormat="1" applyFill="1" applyBorder="1" applyAlignment="1">
      <alignment horizontal="center"/>
    </xf>
    <xf numFmtId="2" fontId="19" fillId="45" borderId="15" xfId="0" applyNumberFormat="1" applyFont="1" applyFill="1" applyBorder="1" applyAlignment="1">
      <alignment horizontal="center" vertical="center"/>
    </xf>
    <xf numFmtId="2" fontId="19" fillId="46" borderId="15" xfId="0" applyNumberFormat="1" applyFont="1" applyFill="1" applyBorder="1" applyAlignment="1">
      <alignment horizontal="center" vertical="center"/>
    </xf>
    <xf numFmtId="0" fontId="44" fillId="0" borderId="0" xfId="94" applyFill="1"/>
    <xf numFmtId="0" fontId="44" fillId="0" borderId="15" xfId="94" applyBorder="1" applyAlignment="1" applyProtection="1">
      <alignment horizontal="left" vertical="top" wrapText="1"/>
    </xf>
    <xf numFmtId="0" fontId="19" fillId="0" borderId="15" xfId="0" applyNumberFormat="1" applyFont="1" applyBorder="1" applyAlignment="1">
      <alignment horizontal="center" vertical="center" wrapText="1"/>
    </xf>
    <xf numFmtId="1" fontId="0" fillId="0" borderId="15" xfId="0" applyNumberFormat="1" applyBorder="1" applyAlignment="1">
      <alignment horizontal="center" vertical="center"/>
    </xf>
    <xf numFmtId="1" fontId="0" fillId="0" borderId="15" xfId="0" applyNumberFormat="1" applyFill="1" applyBorder="1" applyAlignment="1">
      <alignment horizontal="center" vertical="center"/>
    </xf>
    <xf numFmtId="1" fontId="48" fillId="39" borderId="15" xfId="0" applyNumberFormat="1" applyFont="1" applyFill="1" applyBorder="1" applyAlignment="1">
      <alignment horizontal="left" vertical="center"/>
    </xf>
    <xf numFmtId="0" fontId="0" fillId="0" borderId="15" xfId="0" applyBorder="1" applyAlignment="1">
      <alignment horizontal="center" vertical="center" wrapText="1"/>
    </xf>
    <xf numFmtId="2" fontId="0" fillId="35" borderId="0" xfId="0" applyNumberFormat="1" applyFill="1" applyAlignment="1">
      <alignment wrapText="1"/>
    </xf>
    <xf numFmtId="0" fontId="0" fillId="47" borderId="15" xfId="0" applyFill="1" applyBorder="1"/>
    <xf numFmtId="0" fontId="45" fillId="0" borderId="15" xfId="94" applyFont="1" applyBorder="1" applyAlignment="1" applyProtection="1">
      <alignment horizontal="left" vertical="top" wrapText="1"/>
    </xf>
    <xf numFmtId="1" fontId="44" fillId="0" borderId="15" xfId="94" applyNumberFormat="1" applyBorder="1" applyAlignment="1" applyProtection="1">
      <alignment horizontal="left" vertical="top" wrapText="1"/>
    </xf>
    <xf numFmtId="0" fontId="44" fillId="0" borderId="15" xfId="94" applyBorder="1" applyAlignment="1" applyProtection="1">
      <alignment horizontal="left" vertical="top" wrapText="1"/>
    </xf>
    <xf numFmtId="1" fontId="45" fillId="35" borderId="15" xfId="94" applyNumberFormat="1" applyFont="1" applyFill="1" applyBorder="1" applyAlignment="1" applyProtection="1">
      <alignment horizontal="left" vertical="top" wrapText="1"/>
    </xf>
    <xf numFmtId="0" fontId="45" fillId="0" borderId="15" xfId="94" applyFont="1" applyBorder="1" applyAlignment="1" applyProtection="1">
      <alignment horizontal="left" vertical="top" wrapText="1"/>
    </xf>
    <xf numFmtId="1" fontId="44" fillId="0" borderId="15" xfId="94" applyNumberFormat="1" applyBorder="1" applyAlignment="1" applyProtection="1">
      <alignment horizontal="left" vertical="top" wrapText="1"/>
    </xf>
    <xf numFmtId="0" fontId="44" fillId="0" borderId="15" xfId="94" applyBorder="1" applyAlignment="1" applyProtection="1">
      <alignment horizontal="left" vertical="top" wrapText="1"/>
    </xf>
    <xf numFmtId="1" fontId="45" fillId="35" borderId="15" xfId="94" applyNumberFormat="1" applyFont="1" applyFill="1" applyBorder="1" applyAlignment="1" applyProtection="1">
      <alignment horizontal="left" vertical="top" wrapText="1"/>
    </xf>
    <xf numFmtId="0" fontId="20" fillId="0" borderId="0" xfId="42"/>
    <xf numFmtId="0" fontId="27" fillId="0" borderId="0" xfId="42" applyFont="1" applyAlignment="1">
      <alignment horizontal="left"/>
    </xf>
    <xf numFmtId="0" fontId="25" fillId="0" borderId="0" xfId="42" applyFont="1" applyAlignment="1">
      <alignment horizontal="center" vertical="center"/>
    </xf>
    <xf numFmtId="0" fontId="26" fillId="0" borderId="0" xfId="42" applyFont="1" applyAlignment="1">
      <alignment horizontal="left" vertical="center" wrapText="1"/>
    </xf>
    <xf numFmtId="0" fontId="46" fillId="0" borderId="0" xfId="0" applyFont="1" applyAlignment="1">
      <alignment horizontal="left"/>
    </xf>
    <xf numFmtId="0" fontId="51" fillId="0" borderId="0" xfId="0" applyFont="1" applyAlignment="1">
      <alignment horizontal="left"/>
    </xf>
    <xf numFmtId="0" fontId="52" fillId="0" borderId="0" xfId="0" applyFont="1" applyAlignment="1">
      <alignment horizontal="left"/>
    </xf>
    <xf numFmtId="0" fontId="53" fillId="0" borderId="11" xfId="0" applyFont="1" applyBorder="1" applyAlignment="1">
      <alignment horizontal="center" vertical="center"/>
    </xf>
    <xf numFmtId="0" fontId="54" fillId="0" borderId="11" xfId="0" applyFont="1" applyBorder="1" applyAlignment="1">
      <alignment horizontal="center" vertical="center" wrapText="1"/>
    </xf>
    <xf numFmtId="0" fontId="53" fillId="0" borderId="10" xfId="0" applyFont="1" applyBorder="1" applyAlignment="1">
      <alignment horizontal="center" vertical="center"/>
    </xf>
    <xf numFmtId="0" fontId="54" fillId="0" borderId="10" xfId="0" applyFont="1" applyBorder="1" applyAlignment="1">
      <alignment horizontal="center" vertical="center" wrapText="1"/>
    </xf>
    <xf numFmtId="0" fontId="55" fillId="33" borderId="16" xfId="0" applyFont="1" applyFill="1" applyBorder="1" applyAlignment="1">
      <alignment horizontal="left"/>
    </xf>
    <xf numFmtId="0" fontId="55" fillId="33" borderId="12" xfId="0" applyFont="1" applyFill="1" applyBorder="1" applyAlignment="1">
      <alignment horizontal="left"/>
    </xf>
    <xf numFmtId="0" fontId="56" fillId="33" borderId="12" xfId="0" applyFont="1" applyFill="1" applyBorder="1" applyAlignment="1">
      <alignment horizontal="left"/>
    </xf>
    <xf numFmtId="0" fontId="57" fillId="34" borderId="16" xfId="0" applyFont="1" applyFill="1" applyBorder="1" applyAlignment="1">
      <alignment horizontal="left"/>
    </xf>
    <xf numFmtId="0" fontId="57" fillId="34" borderId="12" xfId="0" applyFont="1" applyFill="1" applyBorder="1" applyAlignment="1">
      <alignment horizontal="left"/>
    </xf>
    <xf numFmtId="0" fontId="55" fillId="34" borderId="12" xfId="0" applyFont="1" applyFill="1" applyBorder="1" applyAlignment="1">
      <alignment horizontal="left"/>
    </xf>
    <xf numFmtId="0" fontId="58" fillId="34" borderId="12" xfId="0" applyFont="1" applyFill="1" applyBorder="1" applyAlignment="1">
      <alignment horizontal="left"/>
    </xf>
    <xf numFmtId="0" fontId="0" fillId="0" borderId="17" xfId="0" applyBorder="1" applyAlignment="1">
      <alignment horizontal="left" vertical="center"/>
    </xf>
    <xf numFmtId="0" fontId="20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center" vertical="center"/>
    </xf>
    <xf numFmtId="1" fontId="0" fillId="0" borderId="13" xfId="0" applyNumberFormat="1" applyBorder="1" applyAlignment="1">
      <alignment horizontal="right" vertical="center"/>
    </xf>
    <xf numFmtId="0" fontId="0" fillId="0" borderId="13" xfId="0" applyBorder="1" applyAlignment="1">
      <alignment horizontal="left" vertical="center"/>
    </xf>
    <xf numFmtId="0" fontId="0" fillId="48" borderId="17" xfId="0" applyFill="1" applyBorder="1" applyAlignment="1">
      <alignment horizontal="left" vertical="center"/>
    </xf>
    <xf numFmtId="0" fontId="20" fillId="48" borderId="13" xfId="0" applyFont="1" applyFill="1" applyBorder="1" applyAlignment="1">
      <alignment horizontal="left" vertical="center"/>
    </xf>
    <xf numFmtId="0" fontId="0" fillId="48" borderId="14" xfId="0" applyFill="1" applyBorder="1" applyAlignment="1">
      <alignment horizontal="center" vertical="center"/>
    </xf>
    <xf numFmtId="1" fontId="0" fillId="48" borderId="13" xfId="0" applyNumberFormat="1" applyFill="1" applyBorder="1" applyAlignment="1">
      <alignment horizontal="right" vertical="center"/>
    </xf>
    <xf numFmtId="0" fontId="0" fillId="49" borderId="17" xfId="0" applyFill="1" applyBorder="1" applyAlignment="1">
      <alignment horizontal="left" vertical="center"/>
    </xf>
    <xf numFmtId="0" fontId="0" fillId="49" borderId="13" xfId="0" applyFill="1" applyBorder="1" applyAlignment="1">
      <alignment horizontal="left" vertical="center"/>
    </xf>
    <xf numFmtId="0" fontId="0" fillId="49" borderId="14" xfId="0" applyFill="1" applyBorder="1" applyAlignment="1">
      <alignment horizontal="center" vertical="center"/>
    </xf>
    <xf numFmtId="3" fontId="0" fillId="49" borderId="13" xfId="0" applyNumberFormat="1" applyFill="1" applyBorder="1" applyAlignment="1">
      <alignment horizontal="right" vertical="center"/>
    </xf>
    <xf numFmtId="3" fontId="0" fillId="0" borderId="13" xfId="0" applyNumberFormat="1" applyBorder="1" applyAlignment="1">
      <alignment horizontal="right" vertical="center"/>
    </xf>
    <xf numFmtId="0" fontId="0" fillId="48" borderId="13" xfId="0" applyFill="1" applyBorder="1" applyAlignment="1">
      <alignment horizontal="left" vertical="center"/>
    </xf>
    <xf numFmtId="0" fontId="0" fillId="50" borderId="17" xfId="0" applyFill="1" applyBorder="1" applyAlignment="1">
      <alignment horizontal="left" vertical="center"/>
    </xf>
    <xf numFmtId="0" fontId="0" fillId="50" borderId="13" xfId="0" applyFill="1" applyBorder="1" applyAlignment="1">
      <alignment horizontal="left" vertical="center"/>
    </xf>
    <xf numFmtId="0" fontId="0" fillId="50" borderId="14" xfId="0" applyFill="1" applyBorder="1" applyAlignment="1">
      <alignment horizontal="center" vertical="center"/>
    </xf>
    <xf numFmtId="1" fontId="0" fillId="50" borderId="13" xfId="0" applyNumberFormat="1" applyFill="1" applyBorder="1" applyAlignment="1">
      <alignment horizontal="right" vertical="center"/>
    </xf>
    <xf numFmtId="1" fontId="0" fillId="49" borderId="13" xfId="0" applyNumberFormat="1" applyFill="1" applyBorder="1" applyAlignment="1">
      <alignment horizontal="right" vertical="center"/>
    </xf>
    <xf numFmtId="3" fontId="0" fillId="48" borderId="13" xfId="0" applyNumberFormat="1" applyFill="1" applyBorder="1" applyAlignment="1">
      <alignment horizontal="right" vertical="center"/>
    </xf>
    <xf numFmtId="3" fontId="0" fillId="50" borderId="13" xfId="0" applyNumberFormat="1" applyFill="1" applyBorder="1" applyAlignment="1">
      <alignment horizontal="right" vertical="center"/>
    </xf>
    <xf numFmtId="0" fontId="20" fillId="50" borderId="13" xfId="0" applyFont="1" applyFill="1" applyBorder="1" applyAlignment="1">
      <alignment horizontal="left" vertical="center"/>
    </xf>
    <xf numFmtId="164" fontId="0" fillId="0" borderId="13" xfId="0" applyNumberFormat="1" applyBorder="1" applyAlignment="1">
      <alignment horizontal="right" vertical="center"/>
    </xf>
    <xf numFmtId="164" fontId="0" fillId="50" borderId="13" xfId="0" applyNumberFormat="1" applyFill="1" applyBorder="1" applyAlignment="1">
      <alignment horizontal="right" vertical="center"/>
    </xf>
    <xf numFmtId="2" fontId="0" fillId="50" borderId="13" xfId="0" applyNumberFormat="1" applyFill="1" applyBorder="1" applyAlignment="1">
      <alignment horizontal="right" vertical="center"/>
    </xf>
  </cellXfs>
  <cellStyles count="96">
    <cellStyle name="20% — акцент1" xfId="19" builtinId="30" customBuiltin="1"/>
    <cellStyle name="20% — акцент1 2" xfId="71" xr:uid="{87B152AB-951C-457A-8F24-C8A638832DEE}"/>
    <cellStyle name="20% — акцент2" xfId="23" builtinId="34" customBuiltin="1"/>
    <cellStyle name="20% — акцент2 2" xfId="75" xr:uid="{EA09E9BC-1FE7-488C-BC9F-3AB820483AA4}"/>
    <cellStyle name="20% — акцент3" xfId="27" builtinId="38" customBuiltin="1"/>
    <cellStyle name="20% — акцент3 2" xfId="79" xr:uid="{31CE9650-4FA7-47CD-A790-C637BC0C1371}"/>
    <cellStyle name="20% — акцент4" xfId="31" builtinId="42" customBuiltin="1"/>
    <cellStyle name="20% — акцент4 2" xfId="83" xr:uid="{3106F5E4-FAD2-41DD-A183-631FAE73EA0F}"/>
    <cellStyle name="20% — акцент5" xfId="35" builtinId="46" customBuiltin="1"/>
    <cellStyle name="20% — акцент5 2" xfId="87" xr:uid="{2FD33C40-52FE-453E-8047-907A3ED081CB}"/>
    <cellStyle name="20% — акцент6" xfId="39" builtinId="50" customBuiltin="1"/>
    <cellStyle name="20% — акцент6 2" xfId="91" xr:uid="{16021E6C-9CE6-432D-821A-5ACA281100F0}"/>
    <cellStyle name="40% — акцент1" xfId="20" builtinId="31" customBuiltin="1"/>
    <cellStyle name="40% — акцент1 2" xfId="72" xr:uid="{745931AA-1F84-48D3-B787-4FC6DBE3B5D2}"/>
    <cellStyle name="40% — акцент2" xfId="24" builtinId="35" customBuiltin="1"/>
    <cellStyle name="40% — акцент2 2" xfId="76" xr:uid="{4987F90C-991D-41FF-9794-FF2241801769}"/>
    <cellStyle name="40% — акцент3" xfId="28" builtinId="39" customBuiltin="1"/>
    <cellStyle name="40% — акцент3 2" xfId="80" xr:uid="{742BFE0E-03C1-4238-A255-A02494161CC5}"/>
    <cellStyle name="40% — акцент4" xfId="32" builtinId="43" customBuiltin="1"/>
    <cellStyle name="40% — акцент4 2" xfId="84" xr:uid="{14309059-A585-4691-A067-F28B0BECB0A0}"/>
    <cellStyle name="40% — акцент5" xfId="36" builtinId="47" customBuiltin="1"/>
    <cellStyle name="40% — акцент5 2" xfId="88" xr:uid="{53FF8FBE-00D5-4EA9-8DDC-31BE49083398}"/>
    <cellStyle name="40% — акцент6" xfId="40" builtinId="51" customBuiltin="1"/>
    <cellStyle name="40% — акцент6 2" xfId="92" xr:uid="{301B2B88-A4F4-4476-BC11-B19A20F8A1A3}"/>
    <cellStyle name="60% — акцент1" xfId="21" builtinId="32" customBuiltin="1"/>
    <cellStyle name="60% — акцент1 2" xfId="46" xr:uid="{60762521-3CA1-4AD5-A4C9-DCC3062EDCBB}"/>
    <cellStyle name="60% — акцент1 3" xfId="73" xr:uid="{2C626C21-04A1-46E5-9DD5-2E75A2322BA2}"/>
    <cellStyle name="60% — акцент2" xfId="25" builtinId="36" customBuiltin="1"/>
    <cellStyle name="60% — акцент2 2" xfId="47" xr:uid="{3C828B65-0A19-481E-A25B-0F375896C3F7}"/>
    <cellStyle name="60% — акцент2 3" xfId="77" xr:uid="{A2A0EDB7-B7CF-455B-A8F5-27AC867C49D7}"/>
    <cellStyle name="60% — акцент3" xfId="29" builtinId="40" customBuiltin="1"/>
    <cellStyle name="60% — акцент3 2" xfId="48" xr:uid="{F0FBE045-B48C-4537-8512-DC3AD1F5DEAC}"/>
    <cellStyle name="60% — акцент3 3" xfId="81" xr:uid="{A7D41745-CE16-4F8A-B299-3A8D784DB318}"/>
    <cellStyle name="60% — акцент4" xfId="33" builtinId="44" customBuiltin="1"/>
    <cellStyle name="60% — акцент4 2" xfId="49" xr:uid="{1633DCD0-7BD4-40FD-8D02-E9D4C3AD1E84}"/>
    <cellStyle name="60% — акцент4 3" xfId="85" xr:uid="{D6CA9AB2-52F7-49E0-85A5-174756FFE6A2}"/>
    <cellStyle name="60% — акцент5" xfId="37" builtinId="48" customBuiltin="1"/>
    <cellStyle name="60% — акцент5 2" xfId="50" xr:uid="{C184F47C-DEDB-4ECA-8205-3561DCFE9E8C}"/>
    <cellStyle name="60% — акцент5 3" xfId="89" xr:uid="{12734967-4FD7-4E27-81C0-F24B6ABE7549}"/>
    <cellStyle name="60% — акцент6" xfId="41" builtinId="52" customBuiltin="1"/>
    <cellStyle name="60% — акцент6 2" xfId="51" xr:uid="{7B5AACF9-04F9-4BC2-8587-8916AB8E0BB2}"/>
    <cellStyle name="60% — акцент6 3" xfId="93" xr:uid="{021DCC79-7470-4971-8574-CC46DE15D00D}"/>
    <cellStyle name="Акцент1" xfId="18" builtinId="29" customBuiltin="1"/>
    <cellStyle name="Акцент1 2" xfId="70" xr:uid="{1E744A66-5EC8-4608-856B-36192365F667}"/>
    <cellStyle name="Акцент2" xfId="22" builtinId="33" customBuiltin="1"/>
    <cellStyle name="Акцент2 2" xfId="74" xr:uid="{B76D7652-CF43-4CA2-869A-5928892FC7A7}"/>
    <cellStyle name="Акцент3" xfId="26" builtinId="37" customBuiltin="1"/>
    <cellStyle name="Акцент3 2" xfId="78" xr:uid="{82D32F2A-CFBD-459D-9B68-EBCD27BF80B2}"/>
    <cellStyle name="Акцент4" xfId="30" builtinId="41" customBuiltin="1"/>
    <cellStyle name="Акцент4 2" xfId="82" xr:uid="{C63EDBB6-35BF-44CA-825F-74FCF92EFED2}"/>
    <cellStyle name="Акцент5" xfId="34" builtinId="45" customBuiltin="1"/>
    <cellStyle name="Акцент5 2" xfId="86" xr:uid="{ED0C4D05-8AC0-4DDD-AB9F-9B4F6CC2412D}"/>
    <cellStyle name="Акцент6" xfId="38" builtinId="49" customBuiltin="1"/>
    <cellStyle name="Акцент6 2" xfId="90" xr:uid="{E57393D6-2D82-4849-808E-96C30FD5CBCE}"/>
    <cellStyle name="Ввод " xfId="9" builtinId="20" customBuiltin="1"/>
    <cellStyle name="Ввод  2" xfId="61" xr:uid="{9AE92655-DE29-40E6-9AF4-DDA5684F45CF}"/>
    <cellStyle name="Вывод" xfId="10" builtinId="21" customBuiltin="1"/>
    <cellStyle name="Вывод 2" xfId="62" xr:uid="{43C10EDB-2AAD-4DDB-881B-83283D133B16}"/>
    <cellStyle name="Вычисление" xfId="11" builtinId="22" customBuiltin="1"/>
    <cellStyle name="Вычисление 2" xfId="63" xr:uid="{46297B63-64EF-4D70-9597-6BC1325EFBAB}"/>
    <cellStyle name="Гиперссылка" xfId="44" builtinId="8"/>
    <cellStyle name="Заголовок 1" xfId="2" builtinId="16" customBuiltin="1"/>
    <cellStyle name="Заголовок 1 2" xfId="54" xr:uid="{82242B32-0F93-4765-87C0-189546DF4FE3}"/>
    <cellStyle name="Заголовок 2" xfId="3" builtinId="17" customBuiltin="1"/>
    <cellStyle name="Заголовок 2 2" xfId="55" xr:uid="{A9E6EB05-2E1D-482D-99A5-9D71EC1D8BDF}"/>
    <cellStyle name="Заголовок 3" xfId="4" builtinId="18" customBuiltin="1"/>
    <cellStyle name="Заголовок 3 2" xfId="56" xr:uid="{07D0DF33-7829-4E8D-BCB8-8480868CF820}"/>
    <cellStyle name="Заголовок 4" xfId="5" builtinId="19" customBuiltin="1"/>
    <cellStyle name="Заголовок 4 2" xfId="57" xr:uid="{DDD95326-2586-4311-B0DD-2A0E2F6FBEC6}"/>
    <cellStyle name="Итог" xfId="17" builtinId="25" customBuiltin="1"/>
    <cellStyle name="Итог 2" xfId="69" xr:uid="{E5577BB5-E6F5-4FBE-8638-3A4218B805A5}"/>
    <cellStyle name="Контрольная ячейка" xfId="13" builtinId="23" customBuiltin="1"/>
    <cellStyle name="Контрольная ячейка 2" xfId="65" xr:uid="{3B8893AE-DF50-425B-8729-EBB11BB7546C}"/>
    <cellStyle name="Название" xfId="1" builtinId="15" customBuiltin="1"/>
    <cellStyle name="Нейтральный" xfId="8" builtinId="28" customBuiltin="1"/>
    <cellStyle name="Нейтральный 2" xfId="45" xr:uid="{39A1F17C-158F-4432-AD3A-AC6EBB7B6669}"/>
    <cellStyle name="Нейтральный 3" xfId="60" xr:uid="{0BFCA17F-EBAD-4DDF-B77C-8C57818B8074}"/>
    <cellStyle name="Обычный" xfId="0" builtinId="0"/>
    <cellStyle name="Обычный 2" xfId="42" xr:uid="{00000000-0005-0000-0000-000024000000}"/>
    <cellStyle name="Обычный 3" xfId="52" xr:uid="{1F07C3BD-ACA8-43F0-9D2F-3D965CA1E02F}"/>
    <cellStyle name="Обычный 4" xfId="53" xr:uid="{5BACA946-D6F6-4903-969A-2055F156281D}"/>
    <cellStyle name="Обычный 5" xfId="94" xr:uid="{8AF93C09-6F5A-4BED-8199-104E40CA6290}"/>
    <cellStyle name="Обычный 6" xfId="95" xr:uid="{75075931-7C92-4B41-9EED-874819A206C2}"/>
    <cellStyle name="Плохой" xfId="7" builtinId="27" customBuiltin="1"/>
    <cellStyle name="Плохой 2" xfId="59" xr:uid="{D46D1D27-9FB7-412A-A00B-DED1596A1059}"/>
    <cellStyle name="Пояснение" xfId="16" builtinId="53" customBuiltin="1"/>
    <cellStyle name="Пояснение 2" xfId="68" xr:uid="{49DF9BF3-3956-48C4-BAA1-1C1A4CC794DA}"/>
    <cellStyle name="Примечание" xfId="15" builtinId="10" customBuiltin="1"/>
    <cellStyle name="Примечание 2" xfId="67" xr:uid="{0E913012-EA99-48CA-AB41-C6E2F7B19EAA}"/>
    <cellStyle name="Процентный" xfId="43" builtinId="5"/>
    <cellStyle name="Связанная ячейка" xfId="12" builtinId="24" customBuiltin="1"/>
    <cellStyle name="Связанная ячейка 2" xfId="64" xr:uid="{D0BA0CB0-133A-46B2-A39B-C87A0C6E364C}"/>
    <cellStyle name="Текст предупреждения" xfId="14" builtinId="11" customBuiltin="1"/>
    <cellStyle name="Текст предупреждения 2" xfId="66" xr:uid="{2BCC47D9-6AB1-477B-9B92-D9E0A051053F}"/>
    <cellStyle name="Хороший" xfId="6" builtinId="26" customBuiltin="1"/>
    <cellStyle name="Хороший 2" xfId="58" xr:uid="{DB8F5A7D-823C-4F88-8646-CF4481F6F45A}"/>
  </cellStyles>
  <dxfs count="15"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</xdr:row>
          <xdr:rowOff>180975</xdr:rowOff>
        </xdr:from>
        <xdr:to>
          <xdr:col>11</xdr:col>
          <xdr:colOff>590550</xdr:colOff>
          <xdr:row>8</xdr:row>
          <xdr:rowOff>76200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3EADFA2-BCDB-497F-8FAF-342FEC7FE781}" autoFormatId="16" applyNumberFormats="0" applyBorderFormats="0" applyFontFormats="0" applyPatternFormats="0" applyAlignmentFormats="0" applyWidthHeightFormats="0">
  <queryTableRefresh nextId="20">
    <queryTableFields count="1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562BDB-2560-4B12-996E-80085FA35FF2}" name="кристал_авто" displayName="кристал_авто" ref="A1:S717" tableType="queryTable" totalsRowShown="0" headerRowCellStyle="Обычный 5" dataCellStyle="Обычный 5">
  <autoFilter ref="A1:S717" xr:uid="{33562BDB-2560-4B12-996E-80085FA35FF2}"/>
  <tableColumns count="19">
    <tableColumn id="1" xr3:uid="{A1D26C38-FCCD-4764-964E-5C2B99FCF5D7}" uniqueName="1" name="Column1" queryTableFieldId="1" dataCellStyle="Обычный 5"/>
    <tableColumn id="2" xr3:uid="{DF33CB4C-FA5F-4303-B2F4-54DFA6FFFC33}" uniqueName="2" name="Column2" queryTableFieldId="2" dataCellStyle="Обычный 5"/>
    <tableColumn id="3" xr3:uid="{C8A0B6AB-C13C-44E8-A338-0635F380B5BF}" uniqueName="3" name="Column3" queryTableFieldId="3" dataCellStyle="Обычный 5"/>
    <tableColumn id="4" xr3:uid="{C8CB7D0F-9B8B-4AB9-B809-39FF4EED74B9}" uniqueName="4" name="Column4" queryTableFieldId="4" dataCellStyle="Обычный 5"/>
    <tableColumn id="5" xr3:uid="{DAEE812A-FAFB-471C-AD9E-A948EAB6EF02}" uniqueName="5" name="Column5" queryTableFieldId="5" dataCellStyle="Обычный 5"/>
    <tableColumn id="6" xr3:uid="{F046DDB7-ED8C-42C9-9F4E-828BCF6766BD}" uniqueName="6" name="Column6" queryTableFieldId="6" dataCellStyle="Обычный 5"/>
    <tableColumn id="7" xr3:uid="{0B036F39-5FF6-4B91-A88B-FB4C0527EC91}" uniqueName="7" name="Column7" queryTableFieldId="7" dataCellStyle="Обычный 5"/>
    <tableColumn id="8" xr3:uid="{23BCE02F-3D8E-4AF7-93EB-C224CB3D2439}" uniqueName="8" name="Column8" queryTableFieldId="8" dataCellStyle="Обычный 5"/>
    <tableColumn id="9" xr3:uid="{175416F8-4ADE-4758-B98D-1AF08628BC90}" uniqueName="9" name="Column9" queryTableFieldId="9" dataCellStyle="Обычный 5"/>
    <tableColumn id="10" xr3:uid="{5B68FC58-0CD4-4A55-82F4-D88D5DEC263C}" uniqueName="10" name="Column10" queryTableFieldId="10" dataCellStyle="Обычный 5"/>
    <tableColumn id="11" xr3:uid="{BC06DBA9-852A-4526-A1AB-D9BEC1E4DAB3}" uniqueName="11" name="Column11" queryTableFieldId="11" dataCellStyle="Обычный 5"/>
    <tableColumn id="12" xr3:uid="{A1B5F4E3-C637-4F77-845C-39C125198782}" uniqueName="12" name="Column12" queryTableFieldId="12" dataCellStyle="Обычный 5"/>
    <tableColumn id="13" xr3:uid="{E7CA0AC7-32DE-4351-98BB-4CE48BB20F64}" uniqueName="13" name="Column13" queryTableFieldId="13" dataCellStyle="Обычный 5"/>
    <tableColumn id="14" xr3:uid="{55F4E459-BED8-4B74-A8DF-D11C5D28E949}" uniqueName="14" name="Column14" queryTableFieldId="14" dataCellStyle="Обычный 5"/>
    <tableColumn id="15" xr3:uid="{CACC7AEA-58CE-41F3-AFFB-A3BACF93DD9F}" uniqueName="15" name="Column15" queryTableFieldId="15" dataCellStyle="Обычный 5"/>
    <tableColumn id="16" xr3:uid="{C500DDA6-3537-42AE-804B-04DC49612E38}" uniqueName="16" name="Column16" queryTableFieldId="16" dataCellStyle="Обычный 5"/>
    <tableColumn id="17" xr3:uid="{76B4289F-146A-4E5D-A665-3C680AA771BD}" uniqueName="17" name="Column17" queryTableFieldId="17" dataCellStyle="Обычный 5"/>
    <tableColumn id="18" xr3:uid="{4C7F8F72-4398-48F5-95D1-3493A2DB62AE}" uniqueName="18" name="Column18" queryTableFieldId="18" dataCellStyle="Обычный 5"/>
    <tableColumn id="19" xr3:uid="{024F617D-CEDF-42B2-99F8-4F6E3803B5BE}" uniqueName="19" name="Column19" queryTableFieldId="19" dataCellStyle="Обычный 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otorring.ru/product/26638-aromatizator-avtomobilynyy-car-freshner" TargetMode="External"/><Relationship Id="rId13" Type="http://schemas.openxmlformats.org/officeDocument/2006/relationships/hyperlink" Target="https://motorring.ru/product/26638-aromatizator-avtomobilynyy-car-freshner" TargetMode="External"/><Relationship Id="rId18" Type="http://schemas.openxmlformats.org/officeDocument/2006/relationships/hyperlink" Target="https://motorring.ru/product/26638-aromatizator-avtomobilynyy-car-freshner" TargetMode="External"/><Relationship Id="rId26" Type="http://schemas.openxmlformats.org/officeDocument/2006/relationships/printerSettings" Target="../printerSettings/printerSettings1.bin"/><Relationship Id="rId3" Type="http://schemas.openxmlformats.org/officeDocument/2006/relationships/hyperlink" Target="https://motorring.ru/product/26638-aromatizator-avtomobilynyy-car-freshner" TargetMode="External"/><Relationship Id="rId21" Type="http://schemas.openxmlformats.org/officeDocument/2006/relationships/hyperlink" Target="https://motorring.ru/product/26638-aromatizator-avtomobilynyy-car-freshner" TargetMode="External"/><Relationship Id="rId7" Type="http://schemas.openxmlformats.org/officeDocument/2006/relationships/hyperlink" Target="https://motorring.ru/product/26638-aromatizator-avtomobilynyy-car-freshner" TargetMode="External"/><Relationship Id="rId12" Type="http://schemas.openxmlformats.org/officeDocument/2006/relationships/hyperlink" Target="https://motorring.ru/product/26638-aromatizator-avtomobilynyy-car-freshner" TargetMode="External"/><Relationship Id="rId17" Type="http://schemas.openxmlformats.org/officeDocument/2006/relationships/hyperlink" Target="https://motorring.ru/product/26638-aromatizator-avtomobilynyy-car-freshner" TargetMode="External"/><Relationship Id="rId25" Type="http://schemas.openxmlformats.org/officeDocument/2006/relationships/hyperlink" Target="https://motorring.ru/product/26638-aromatizator-avtomobilynyy-car-freshner" TargetMode="External"/><Relationship Id="rId2" Type="http://schemas.openxmlformats.org/officeDocument/2006/relationships/hyperlink" Target="https://motorring.ru/product/26638-aromatizator-avtomobilynyy-car-freshner" TargetMode="External"/><Relationship Id="rId16" Type="http://schemas.openxmlformats.org/officeDocument/2006/relationships/hyperlink" Target="https://motorring.ru/product/26638-aromatizator-avtomobilynyy-car-freshner" TargetMode="External"/><Relationship Id="rId20" Type="http://schemas.openxmlformats.org/officeDocument/2006/relationships/hyperlink" Target="https://motorring.ru/product/26638-aromatizator-avtomobilynyy-car-freshner" TargetMode="External"/><Relationship Id="rId1" Type="http://schemas.openxmlformats.org/officeDocument/2006/relationships/hyperlink" Target="https://motorring.ru/product/26638-aromatizator-avtomobilynyy-car-freshner" TargetMode="External"/><Relationship Id="rId6" Type="http://schemas.openxmlformats.org/officeDocument/2006/relationships/hyperlink" Target="https://motorring.ru/product/26638-aromatizator-avtomobilynyy-car-freshner" TargetMode="External"/><Relationship Id="rId11" Type="http://schemas.openxmlformats.org/officeDocument/2006/relationships/hyperlink" Target="https://motorring.ru/product/26638-aromatizator-avtomobilynyy-car-freshner" TargetMode="External"/><Relationship Id="rId24" Type="http://schemas.openxmlformats.org/officeDocument/2006/relationships/hyperlink" Target="https://motorring.ru/product/26638-aromatizator-avtomobilynyy-car-freshner" TargetMode="External"/><Relationship Id="rId5" Type="http://schemas.openxmlformats.org/officeDocument/2006/relationships/hyperlink" Target="https://motorring.ru/product/26638-aromatizator-avtomobilynyy-car-freshner" TargetMode="External"/><Relationship Id="rId15" Type="http://schemas.openxmlformats.org/officeDocument/2006/relationships/hyperlink" Target="https://motorring.ru/product/26638-aromatizator-avtomobilynyy-car-freshner" TargetMode="External"/><Relationship Id="rId23" Type="http://schemas.openxmlformats.org/officeDocument/2006/relationships/hyperlink" Target="https://motorring.ru/product/26638-aromatizator-avtomobilynyy-car-freshner" TargetMode="External"/><Relationship Id="rId10" Type="http://schemas.openxmlformats.org/officeDocument/2006/relationships/hyperlink" Target="https://motorring.ru/product/26638-aromatizator-avtomobilynyy-car-freshner" TargetMode="External"/><Relationship Id="rId19" Type="http://schemas.openxmlformats.org/officeDocument/2006/relationships/hyperlink" Target="https://motorring.ru/product/26638-aromatizator-avtomobilynyy-car-freshner" TargetMode="External"/><Relationship Id="rId4" Type="http://schemas.openxmlformats.org/officeDocument/2006/relationships/hyperlink" Target="https://motorring.ru/product/26638-aromatizator-avtomobilynyy-car-freshner" TargetMode="External"/><Relationship Id="rId9" Type="http://schemas.openxmlformats.org/officeDocument/2006/relationships/hyperlink" Target="https://motorring.ru/product/26638-aromatizator-avtomobilynyy-car-freshner" TargetMode="External"/><Relationship Id="rId14" Type="http://schemas.openxmlformats.org/officeDocument/2006/relationships/hyperlink" Target="https://motorring.ru/product/26638-aromatizator-avtomobilynyy-car-freshner" TargetMode="External"/><Relationship Id="rId22" Type="http://schemas.openxmlformats.org/officeDocument/2006/relationships/hyperlink" Target="https://motorring.ru/product/2696-signal-vozdushnyy-odnoroghkovyy-vstroennym-motor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autobel.pro/catalog/aromatizatory_vozdukha/abro_aromatizatory_/aromatizator_na_panel_keramika_banka_metall_organic_bublgum_klubnika_42_gr_abro_1_24/" TargetMode="External"/><Relationship Id="rId2" Type="http://schemas.openxmlformats.org/officeDocument/2006/relationships/hyperlink" Target="https://autobel.pro/catalog/aromatizatory_vozdukha/abro_aromatizatory_/aromatizator_na_panel_keramika_banka_metall_organic_lyegkiy_briz_coolbreeze_42_gr_abro_as_560_cb/" TargetMode="External"/><Relationship Id="rId1" Type="http://schemas.openxmlformats.org/officeDocument/2006/relationships/hyperlink" Target="https://autobel.pro/catalog/aromatizatory_vozdukha/abro_aromatizatory_/aromatizator_na_panel_keramika_banka_metall_organic_roza_rose_42_gr_abro_as_560_ro_1_24/" TargetMode="Externa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motorring.ru/product/26638-aromatizator-avtomobilynyy-car-freshner" TargetMode="External"/><Relationship Id="rId13" Type="http://schemas.openxmlformats.org/officeDocument/2006/relationships/hyperlink" Target="https://motorring.ru/product/26638-aromatizator-avtomobilynyy-car-freshner" TargetMode="External"/><Relationship Id="rId18" Type="http://schemas.openxmlformats.org/officeDocument/2006/relationships/hyperlink" Target="https://motorring.ru/product/26638-aromatizator-avtomobilynyy-car-freshner" TargetMode="External"/><Relationship Id="rId26" Type="http://schemas.openxmlformats.org/officeDocument/2006/relationships/printerSettings" Target="../printerSettings/printerSettings5.bin"/><Relationship Id="rId3" Type="http://schemas.openxmlformats.org/officeDocument/2006/relationships/hyperlink" Target="https://motorring.ru/product/26638-aromatizator-avtomobilynyy-car-freshner" TargetMode="External"/><Relationship Id="rId21" Type="http://schemas.openxmlformats.org/officeDocument/2006/relationships/hyperlink" Target="https://motorring.ru/product/26638-aromatizator-avtomobilynyy-car-freshner" TargetMode="External"/><Relationship Id="rId7" Type="http://schemas.openxmlformats.org/officeDocument/2006/relationships/hyperlink" Target="https://motorring.ru/product/26638-aromatizator-avtomobilynyy-car-freshner" TargetMode="External"/><Relationship Id="rId12" Type="http://schemas.openxmlformats.org/officeDocument/2006/relationships/hyperlink" Target="https://motorring.ru/product/26638-aromatizator-avtomobilynyy-car-freshner" TargetMode="External"/><Relationship Id="rId17" Type="http://schemas.openxmlformats.org/officeDocument/2006/relationships/hyperlink" Target="https://motorring.ru/product/26638-aromatizator-avtomobilynyy-car-freshner" TargetMode="External"/><Relationship Id="rId25" Type="http://schemas.openxmlformats.org/officeDocument/2006/relationships/hyperlink" Target="https://motorring.ru/product/26638-aromatizator-avtomobilynyy-car-freshner" TargetMode="External"/><Relationship Id="rId2" Type="http://schemas.openxmlformats.org/officeDocument/2006/relationships/hyperlink" Target="https://motorring.ru/product/26638-aromatizator-avtomobilynyy-car-freshner" TargetMode="External"/><Relationship Id="rId16" Type="http://schemas.openxmlformats.org/officeDocument/2006/relationships/hyperlink" Target="https://motorring.ru/product/26638-aromatizator-avtomobilynyy-car-freshner" TargetMode="External"/><Relationship Id="rId20" Type="http://schemas.openxmlformats.org/officeDocument/2006/relationships/hyperlink" Target="https://motorring.ru/product/26638-aromatizator-avtomobilynyy-car-freshner" TargetMode="External"/><Relationship Id="rId29" Type="http://schemas.openxmlformats.org/officeDocument/2006/relationships/control" Target="../activeX/activeX1.xml"/><Relationship Id="rId1" Type="http://schemas.openxmlformats.org/officeDocument/2006/relationships/hyperlink" Target="https://motorring.ru/product/26638-aromatizator-avtomobilynyy-car-freshner" TargetMode="External"/><Relationship Id="rId6" Type="http://schemas.openxmlformats.org/officeDocument/2006/relationships/hyperlink" Target="https://motorring.ru/product/26638-aromatizator-avtomobilynyy-car-freshner" TargetMode="External"/><Relationship Id="rId11" Type="http://schemas.openxmlformats.org/officeDocument/2006/relationships/hyperlink" Target="https://motorring.ru/product/26638-aromatizator-avtomobilynyy-car-freshner" TargetMode="External"/><Relationship Id="rId24" Type="http://schemas.openxmlformats.org/officeDocument/2006/relationships/hyperlink" Target="https://motorring.ru/product/26638-aromatizator-avtomobilynyy-car-freshner" TargetMode="External"/><Relationship Id="rId5" Type="http://schemas.openxmlformats.org/officeDocument/2006/relationships/hyperlink" Target="https://motorring.ru/product/26638-aromatizator-avtomobilynyy-car-freshner" TargetMode="External"/><Relationship Id="rId15" Type="http://schemas.openxmlformats.org/officeDocument/2006/relationships/hyperlink" Target="https://motorring.ru/product/26638-aromatizator-avtomobilynyy-car-freshner" TargetMode="External"/><Relationship Id="rId23" Type="http://schemas.openxmlformats.org/officeDocument/2006/relationships/hyperlink" Target="https://motorring.ru/product/26638-aromatizator-avtomobilynyy-car-freshner" TargetMode="External"/><Relationship Id="rId28" Type="http://schemas.openxmlformats.org/officeDocument/2006/relationships/vmlDrawing" Target="../drawings/vmlDrawing1.vml"/><Relationship Id="rId10" Type="http://schemas.openxmlformats.org/officeDocument/2006/relationships/hyperlink" Target="https://motorring.ru/product/26638-aromatizator-avtomobilynyy-car-freshner" TargetMode="External"/><Relationship Id="rId19" Type="http://schemas.openxmlformats.org/officeDocument/2006/relationships/hyperlink" Target="https://motorring.ru/product/26638-aromatizator-avtomobilynyy-car-freshner" TargetMode="External"/><Relationship Id="rId4" Type="http://schemas.openxmlformats.org/officeDocument/2006/relationships/hyperlink" Target="https://motorring.ru/product/26638-aromatizator-avtomobilynyy-car-freshner" TargetMode="External"/><Relationship Id="rId9" Type="http://schemas.openxmlformats.org/officeDocument/2006/relationships/hyperlink" Target="https://motorring.ru/product/26638-aromatizator-avtomobilynyy-car-freshner" TargetMode="External"/><Relationship Id="rId14" Type="http://schemas.openxmlformats.org/officeDocument/2006/relationships/hyperlink" Target="https://motorring.ru/product/26638-aromatizator-avtomobilynyy-car-freshner" TargetMode="External"/><Relationship Id="rId22" Type="http://schemas.openxmlformats.org/officeDocument/2006/relationships/hyperlink" Target="https://motorring.ru/product/2696-signal-vozdushnyy-odnoroghkovyy-vstroennym-motorom" TargetMode="External"/><Relationship Id="rId27" Type="http://schemas.openxmlformats.org/officeDocument/2006/relationships/drawing" Target="../drawings/drawing1.xml"/><Relationship Id="rId30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347"/>
  <sheetViews>
    <sheetView showGridLines="0" tabSelected="1" workbookViewId="0">
      <pane ySplit="2" topLeftCell="A3" activePane="bottomLeft" state="frozen"/>
      <selection pane="bottomLeft" activeCell="K8" sqref="K8"/>
    </sheetView>
  </sheetViews>
  <sheetFormatPr defaultRowHeight="15" x14ac:dyDescent="0.25"/>
  <cols>
    <col min="1" max="2" width="7" bestFit="1" customWidth="1"/>
    <col min="3" max="3" width="36.5703125" bestFit="1" customWidth="1"/>
    <col min="4" max="5" width="5.5703125" bestFit="1" customWidth="1"/>
    <col min="6" max="6" width="13.5703125" bestFit="1" customWidth="1"/>
    <col min="7" max="7" width="8.28515625" bestFit="1" customWidth="1"/>
    <col min="8" max="8" width="8.28515625" customWidth="1"/>
    <col min="9" max="9" width="11.42578125" bestFit="1" customWidth="1"/>
    <col min="10" max="10" width="10.140625" style="29" bestFit="1" customWidth="1"/>
    <col min="11" max="11" width="4.85546875" bestFit="1" customWidth="1"/>
    <col min="12" max="12" width="6.5703125" style="29" bestFit="1" customWidth="1"/>
    <col min="13" max="13" width="9.85546875" style="29" customWidth="1"/>
    <col min="14" max="14" width="6.7109375" bestFit="1" customWidth="1"/>
    <col min="15" max="15" width="6.85546875" bestFit="1" customWidth="1"/>
    <col min="16" max="17" width="7.42578125" bestFit="1" customWidth="1"/>
    <col min="18" max="18" width="5.85546875" bestFit="1" customWidth="1"/>
    <col min="19" max="19" width="9.140625" style="29" customWidth="1"/>
    <col min="20" max="20" width="8.42578125" bestFit="1" customWidth="1"/>
    <col min="21" max="21" width="7.5703125" bestFit="1" customWidth="1"/>
    <col min="22" max="22" width="9.28515625" bestFit="1" customWidth="1"/>
    <col min="23" max="23" width="6.85546875" bestFit="1" customWidth="1"/>
    <col min="24" max="24" width="8.42578125" bestFit="1" customWidth="1"/>
    <col min="25" max="25" width="8.140625" style="25" bestFit="1" customWidth="1"/>
    <col min="26" max="26" width="9.140625" style="6"/>
  </cols>
  <sheetData>
    <row r="1" spans="1:26" s="8" customFormat="1" x14ac:dyDescent="0.25">
      <c r="B1" s="25">
        <v>2</v>
      </c>
      <c r="C1" s="25">
        <v>3</v>
      </c>
      <c r="D1">
        <v>4</v>
      </c>
      <c r="E1">
        <v>14</v>
      </c>
      <c r="F1">
        <v>6</v>
      </c>
      <c r="I1" s="50">
        <f>COUNT(Кат!$Y:$Y,Торг!$Y:$Y)/COUNT(Кат!$A:$A,Торг!$B:$B)</f>
        <v>0.50810810810810814</v>
      </c>
      <c r="J1" s="41">
        <f>N1</f>
        <v>8</v>
      </c>
      <c r="L1" s="41">
        <f>O1</f>
        <v>9</v>
      </c>
      <c r="N1">
        <v>8</v>
      </c>
      <c r="O1">
        <v>9</v>
      </c>
      <c r="P1" s="29"/>
      <c r="Q1" s="29"/>
      <c r="R1"/>
      <c r="S1" s="29"/>
      <c r="T1"/>
      <c r="U1"/>
      <c r="V1" s="20" t="str">
        <f>_xlfn.CONCAT(ROUND(MIN(V3:V8995)*100,0),"-",ROUND(MAX(V3:V8995)*100,0),"%")</f>
        <v>34-266%</v>
      </c>
      <c r="W1" s="20" t="str">
        <f>_xlfn.CONCAT(ROUND(SUBTOTAL(5,W3:W8995)*100,0)," - ",ROUND(SUBTOTAL(4,W3:W8995)*100,0),"%")</f>
        <v>3 - 71%</v>
      </c>
      <c r="X1" s="20" t="str">
        <f>_xlfn.CONCAT(ROUND(SUBTOTAL(5,X3:X89995)*100,0)," - ",ROUND(SUBTOTAL(4,X3:X89995)*100,0),"%")</f>
        <v>62 - 590%</v>
      </c>
      <c r="Y1" s="66"/>
      <c r="Z1" s="49"/>
    </row>
    <row r="2" spans="1:26" s="3" customFormat="1" x14ac:dyDescent="0.25">
      <c r="A2" s="1" t="s">
        <v>0</v>
      </c>
      <c r="B2" s="26" t="s">
        <v>2440</v>
      </c>
      <c r="C2" s="26" t="s">
        <v>5489</v>
      </c>
      <c r="D2" s="26"/>
      <c r="E2" s="26"/>
      <c r="F2" s="26" t="s">
        <v>7182</v>
      </c>
      <c r="G2" s="4" t="s">
        <v>7191</v>
      </c>
      <c r="H2" s="4"/>
      <c r="I2" s="1"/>
      <c r="J2" s="42" t="s">
        <v>5490</v>
      </c>
      <c r="K2" s="2"/>
      <c r="L2" s="4"/>
      <c r="M2" s="42" t="s">
        <v>5491</v>
      </c>
      <c r="N2" s="26" t="s">
        <v>7183</v>
      </c>
      <c r="O2" s="26" t="s">
        <v>7184</v>
      </c>
      <c r="P2" s="30" t="s">
        <v>7185</v>
      </c>
      <c r="Q2" s="30" t="s">
        <v>7185</v>
      </c>
      <c r="R2" s="32">
        <v>7.0000000000000007E-2</v>
      </c>
      <c r="S2" s="64" t="s">
        <v>7186</v>
      </c>
      <c r="T2" s="33" t="s">
        <v>7187</v>
      </c>
      <c r="U2" s="33" t="s">
        <v>7188</v>
      </c>
      <c r="V2" s="34" t="s">
        <v>4834</v>
      </c>
      <c r="W2" s="34" t="s">
        <v>7189</v>
      </c>
      <c r="X2" s="34" t="s">
        <v>4835</v>
      </c>
      <c r="Y2" s="35" t="s">
        <v>7190</v>
      </c>
      <c r="Z2" s="46"/>
    </row>
    <row r="3" spans="1:26" s="3" customFormat="1" ht="45" x14ac:dyDescent="0.25">
      <c r="A3" s="28">
        <v>131465</v>
      </c>
      <c r="B3" s="28">
        <f>VLOOKUP($A3,'Выгр Кат'!$A:$R,B$1,0)</f>
        <v>32787</v>
      </c>
      <c r="C3" s="27" t="str">
        <f>VLOOKUP($A3,'Выгр Кат'!$A:$R,C$1,0)</f>
        <v>Автомобильный ароматизатор "Contra" PERFUME, аромат №39 Montale Mukhallat</v>
      </c>
      <c r="D3" s="28" t="str">
        <f>VLOOKUP($A3,'Выгр Кат'!$A:$R,D$1,0)</f>
        <v>Y</v>
      </c>
      <c r="E3" s="28" t="str">
        <f>VLOOKUP($A3,'Выгр Кат'!$A:$R,E$1,0)</f>
        <v>1</v>
      </c>
      <c r="F3" s="28" t="str">
        <f>VLOOKUP($A3,'Выгр Кат'!$A:$R,F$1,0)</f>
        <v>71785</v>
      </c>
      <c r="G3" s="7">
        <v>71785</v>
      </c>
      <c r="H3" s="7"/>
      <c r="I3" s="1" t="s">
        <v>3</v>
      </c>
      <c r="J3" s="42">
        <f>VLOOKUP(G3,Прайс!B:E,4,0)</f>
        <v>145</v>
      </c>
      <c r="K3" s="2">
        <f>VLOOKUP(J3,Наценка!$A$1:$B$8,2,1)</f>
        <v>1.89</v>
      </c>
      <c r="L3" s="4">
        <f t="shared" ref="L3" si="0">J3*K3</f>
        <v>274.05</v>
      </c>
      <c r="M3" s="42">
        <f t="shared" ref="M3" si="1">IF(L3&lt;=1000,(ROUNDUP(L3,-1)-1),(ROUNDUP(L3,-2)-10))</f>
        <v>279</v>
      </c>
      <c r="N3" s="28">
        <f>VLOOKUP($A3,'Выгр Кат'!$A:$R,N$1,0)</f>
        <v>145</v>
      </c>
      <c r="O3" s="28">
        <f>VLOOKUP($A3,'Выгр Кат'!$A:$R,O$1,0)</f>
        <v>279</v>
      </c>
      <c r="P3" s="30">
        <f>N3-J3</f>
        <v>0</v>
      </c>
      <c r="Q3" s="30">
        <f>O3-M3</f>
        <v>0</v>
      </c>
      <c r="R3" s="36">
        <f t="shared" ref="R3:R34" si="2">IFERROR(M3*(1-$R$2),"")</f>
        <v>259.46999999999997</v>
      </c>
      <c r="S3" s="64" t="str">
        <f>IFERROR((VLOOKUP($A3,'Из ГУГЛа'!$B:$G,6,0)+U3)*T3,VLOOKUP($A3,'Из ГУГЛа'!$B:$G,6,0))</f>
        <v/>
      </c>
      <c r="T3" s="38">
        <v>1</v>
      </c>
      <c r="U3" s="38">
        <v>0</v>
      </c>
      <c r="V3" s="39">
        <f>IFERROR(R3/J3-1,"")</f>
        <v>0.78944827586206867</v>
      </c>
      <c r="W3" s="39" t="str">
        <f>IFERROR((Y3-R3)/Y3,"")</f>
        <v/>
      </c>
      <c r="X3" s="39" t="str">
        <f>IFERROR(IF(Y3="","",Y3/J3-1),"")</f>
        <v/>
      </c>
      <c r="Y3" s="65" t="s">
        <v>8364</v>
      </c>
      <c r="Z3" s="46"/>
    </row>
    <row r="4" spans="1:26" s="3" customFormat="1" ht="30" x14ac:dyDescent="0.25">
      <c r="A4" s="28">
        <v>131498</v>
      </c>
      <c r="B4" s="28">
        <f>VLOOKUP($A4,'Выгр Кат'!$A:$R,B$1,0)</f>
        <v>31024</v>
      </c>
      <c r="C4" s="27" t="str">
        <f>VLOOKUP($A4,'Выгр Кат'!$A:$R,C$1,0)</f>
        <v>Автомобильный держатель универсальный "Supra" SHT-55</v>
      </c>
      <c r="D4" s="28" t="str">
        <f>VLOOKUP($A4,'Выгр Кат'!$A:$R,D$1,0)</f>
        <v>Y</v>
      </c>
      <c r="E4" s="28" t="str">
        <f>VLOOKUP($A4,'Выгр Кат'!$A:$R,E$1,0)</f>
        <v>1ск1</v>
      </c>
      <c r="F4" s="28">
        <f>VLOOKUP($A4,'Выгр Кат'!$A:$R,F$1,0)</f>
        <v>0</v>
      </c>
      <c r="G4" s="4"/>
      <c r="H4" s="4"/>
      <c r="I4" s="1" t="s">
        <v>3</v>
      </c>
      <c r="J4" s="41">
        <f t="shared" ref="J4:J8" si="3">N4</f>
        <v>0</v>
      </c>
      <c r="K4" s="2" t="e">
        <f>VLOOKUP(J4,Наценка!$A$1:$B$8,2,1)</f>
        <v>#N/A</v>
      </c>
      <c r="L4" s="41">
        <f>O4</f>
        <v>839</v>
      </c>
      <c r="M4" s="42">
        <f t="shared" ref="M4:M67" si="4">IF(L4&lt;=1000,(ROUNDUP(L4,-1)-1),(ROUNDUP(L4,-2)-10))</f>
        <v>839</v>
      </c>
      <c r="N4" s="28">
        <f>VLOOKUP($A4,'Выгр Кат'!$A:$R,N$1,0)</f>
        <v>0</v>
      </c>
      <c r="O4" s="28">
        <f>VLOOKUP($A4,'Выгр Кат'!$A:$R,O$1,0)</f>
        <v>839</v>
      </c>
      <c r="P4" s="30">
        <f t="shared" ref="P4:P66" si="5">N4-J4</f>
        <v>0</v>
      </c>
      <c r="Q4" s="30">
        <f t="shared" ref="Q4:Q66" si="6">O4-M4</f>
        <v>0</v>
      </c>
      <c r="R4" s="36">
        <f t="shared" si="2"/>
        <v>780.27</v>
      </c>
      <c r="S4" s="64" t="str">
        <f>IFERROR((VLOOKUP($A4,'Из ГУГЛа'!$B:$G,6,0)+U4)*T4,VLOOKUP($A4,'Из ГУГЛа'!$B:$G,6,0))</f>
        <v/>
      </c>
      <c r="T4" s="38">
        <v>1</v>
      </c>
      <c r="U4" s="38">
        <v>0</v>
      </c>
      <c r="V4" s="39" t="str">
        <f t="shared" ref="V4:V66" si="7">IFERROR(R4/J4-1,"")</f>
        <v/>
      </c>
      <c r="W4" s="39" t="str">
        <f t="shared" ref="W4:W66" si="8">IFERROR((Y4-R4)/Y4,"")</f>
        <v/>
      </c>
      <c r="X4" s="39" t="str">
        <f t="shared" ref="X4:X66" si="9">IFERROR(IF(Y4="","",Y4/J4-1),"")</f>
        <v/>
      </c>
      <c r="Y4" s="65" t="s">
        <v>8364</v>
      </c>
      <c r="Z4" s="46"/>
    </row>
    <row r="5" spans="1:26" s="3" customFormat="1" x14ac:dyDescent="0.25">
      <c r="A5" s="28">
        <v>131834</v>
      </c>
      <c r="B5" s="28">
        <f>VLOOKUP($A5,'Выгр Кат'!$A:$R,B$1,0)</f>
        <v>30955</v>
      </c>
      <c r="C5" s="27" t="str">
        <f>VLOOKUP($A5,'Выгр Кат'!$A:$R,C$1,0)</f>
        <v>Алкотестер "Nova Bright" Yasha AT300</v>
      </c>
      <c r="D5" s="28" t="str">
        <f>VLOOKUP($A5,'Выгр Кат'!$A:$R,D$1,0)</f>
        <v>N</v>
      </c>
      <c r="E5" s="28" t="str">
        <f>VLOOKUP($A5,'Выгр Кат'!$A:$R,E$1,0)</f>
        <v>1</v>
      </c>
      <c r="F5" s="28">
        <f>VLOOKUP($A5,'Выгр Кат'!$A:$R,F$1,0)</f>
        <v>0</v>
      </c>
      <c r="G5" s="4"/>
      <c r="H5" s="4"/>
      <c r="I5" s="1" t="s">
        <v>3</v>
      </c>
      <c r="J5" s="41">
        <f t="shared" si="3"/>
        <v>520</v>
      </c>
      <c r="K5" s="2">
        <f>VLOOKUP(J5,Наценка!$A$1:$B$8,2,1)</f>
        <v>1.63</v>
      </c>
      <c r="L5" s="4">
        <f t="shared" ref="L5:L67" si="10">J5*K5</f>
        <v>847.59999999999991</v>
      </c>
      <c r="M5" s="42">
        <f t="shared" si="4"/>
        <v>849</v>
      </c>
      <c r="N5" s="28">
        <f>VLOOKUP($A5,'Выгр Кат'!$A:$R,N$1,0)</f>
        <v>520</v>
      </c>
      <c r="O5" s="28">
        <f>VLOOKUP($A5,'Выгр Кат'!$A:$R,O$1,0)</f>
        <v>849</v>
      </c>
      <c r="P5" s="30">
        <f t="shared" si="5"/>
        <v>0</v>
      </c>
      <c r="Q5" s="30">
        <f t="shared" si="6"/>
        <v>0</v>
      </c>
      <c r="R5" s="36">
        <f t="shared" si="2"/>
        <v>789.56999999999994</v>
      </c>
      <c r="S5" s="64" t="str">
        <f>IFERROR((VLOOKUP($A5,'Из ГУГЛа'!$B:$G,6,0)+U5)*T5,VLOOKUP($A5,'Из ГУГЛа'!$B:$G,6,0))</f>
        <v/>
      </c>
      <c r="T5" s="38">
        <v>1</v>
      </c>
      <c r="U5" s="38">
        <v>0</v>
      </c>
      <c r="V5" s="39">
        <f t="shared" si="7"/>
        <v>0.51840384615384605</v>
      </c>
      <c r="W5" s="39" t="str">
        <f t="shared" si="8"/>
        <v/>
      </c>
      <c r="X5" s="39" t="str">
        <f t="shared" si="9"/>
        <v/>
      </c>
      <c r="Y5" s="65"/>
      <c r="Z5" s="46"/>
    </row>
    <row r="6" spans="1:26" s="3" customFormat="1" x14ac:dyDescent="0.25">
      <c r="A6" s="28">
        <v>131835</v>
      </c>
      <c r="B6" s="28">
        <f>VLOOKUP($A6,'Выгр Кат'!$A:$R,B$1,0)</f>
        <v>10035</v>
      </c>
      <c r="C6" s="27" t="str">
        <f>VLOOKUP($A6,'Выгр Кат'!$A:$R,C$1,0)</f>
        <v>Алкотестер AT-6000</v>
      </c>
      <c r="D6" s="28" t="str">
        <f>VLOOKUP($A6,'Выгр Кат'!$A:$R,D$1,0)</f>
        <v>N</v>
      </c>
      <c r="E6" s="28" t="str">
        <f>VLOOKUP($A6,'Выгр Кат'!$A:$R,E$1,0)</f>
        <v>1</v>
      </c>
      <c r="F6" s="28">
        <f>VLOOKUP($A6,'Выгр Кат'!$A:$R,F$1,0)</f>
        <v>0</v>
      </c>
      <c r="G6" s="4"/>
      <c r="H6" s="4"/>
      <c r="I6" s="1" t="s">
        <v>3</v>
      </c>
      <c r="J6" s="41">
        <f t="shared" si="3"/>
        <v>1200</v>
      </c>
      <c r="K6" s="2">
        <f>VLOOKUP(J6,Наценка!$A$1:$B$8,2,1)</f>
        <v>1.58</v>
      </c>
      <c r="L6" s="4">
        <f t="shared" si="10"/>
        <v>1896</v>
      </c>
      <c r="M6" s="42">
        <f t="shared" si="4"/>
        <v>1890</v>
      </c>
      <c r="N6" s="28">
        <f>VLOOKUP($A6,'Выгр Кат'!$A:$R,N$1,0)</f>
        <v>1200</v>
      </c>
      <c r="O6" s="28">
        <f>VLOOKUP($A6,'Выгр Кат'!$A:$R,O$1,0)</f>
        <v>1890</v>
      </c>
      <c r="P6" s="30">
        <f t="shared" si="5"/>
        <v>0</v>
      </c>
      <c r="Q6" s="30">
        <f t="shared" si="6"/>
        <v>0</v>
      </c>
      <c r="R6" s="36">
        <f t="shared" si="2"/>
        <v>1757.6999999999998</v>
      </c>
      <c r="S6" s="64" t="str">
        <f>IFERROR((VLOOKUP($A6,'Из ГУГЛа'!$B:$G,6,0)+U6)*T6,VLOOKUP($A6,'Из ГУГЛа'!$B:$G,6,0))</f>
        <v/>
      </c>
      <c r="T6" s="38">
        <v>1</v>
      </c>
      <c r="U6" s="38">
        <v>0</v>
      </c>
      <c r="V6" s="39">
        <f t="shared" si="7"/>
        <v>0.46474999999999977</v>
      </c>
      <c r="W6" s="39" t="str">
        <f t="shared" si="8"/>
        <v/>
      </c>
      <c r="X6" s="39" t="str">
        <f t="shared" si="9"/>
        <v/>
      </c>
      <c r="Y6" s="65"/>
      <c r="Z6" s="46"/>
    </row>
    <row r="7" spans="1:26" s="3" customFormat="1" x14ac:dyDescent="0.25">
      <c r="A7" s="28">
        <v>132858</v>
      </c>
      <c r="B7" s="28">
        <f>VLOOKUP($A7,'Выгр Кат'!$A:$R,B$1,0)</f>
        <v>7282</v>
      </c>
      <c r="C7" s="27" t="str">
        <f>VLOOKUP($A7,'Выгр Кат'!$A:$R,C$1,0)</f>
        <v>Антенна Bosch Autofun PRO</v>
      </c>
      <c r="D7" s="28" t="str">
        <f>VLOOKUP($A7,'Выгр Кат'!$A:$R,D$1,0)</f>
        <v>Y</v>
      </c>
      <c r="E7" s="28" t="str">
        <f>VLOOKUP($A7,'Выгр Кат'!$A:$R,E$1,0)</f>
        <v>0</v>
      </c>
      <c r="F7" s="28" t="str">
        <f>VLOOKUP($A7,'Выгр Кат'!$A:$R,F$1,0)</f>
        <v>60003</v>
      </c>
      <c r="G7" s="7">
        <v>60003</v>
      </c>
      <c r="H7" s="7"/>
      <c r="I7" s="1" t="s">
        <v>3</v>
      </c>
      <c r="J7" s="41">
        <f t="shared" si="3"/>
        <v>1500</v>
      </c>
      <c r="K7" s="2">
        <f>VLOOKUP(J7,Наценка!$A$1:$B$8,2,1)</f>
        <v>1.58</v>
      </c>
      <c r="L7" s="4">
        <f t="shared" si="10"/>
        <v>2370</v>
      </c>
      <c r="M7" s="42">
        <f t="shared" si="4"/>
        <v>2390</v>
      </c>
      <c r="N7" s="28">
        <f>VLOOKUP($A7,'Выгр Кат'!$A:$R,N$1,0)</f>
        <v>1500</v>
      </c>
      <c r="O7" s="28">
        <f>VLOOKUP($A7,'Выгр Кат'!$A:$R,O$1,0)</f>
        <v>2390</v>
      </c>
      <c r="P7" s="30">
        <f t="shared" si="5"/>
        <v>0</v>
      </c>
      <c r="Q7" s="30">
        <f t="shared" si="6"/>
        <v>0</v>
      </c>
      <c r="R7" s="36">
        <f t="shared" si="2"/>
        <v>2222.6999999999998</v>
      </c>
      <c r="S7" s="64" t="str">
        <f>IFERROR((VLOOKUP($A7,'Из ГУГЛа'!$B:$G,6,0)+U7)*T7,VLOOKUP($A7,'Из ГУГЛа'!$B:$G,6,0))</f>
        <v/>
      </c>
      <c r="T7" s="38">
        <v>1</v>
      </c>
      <c r="U7" s="38">
        <v>0</v>
      </c>
      <c r="V7" s="39">
        <f t="shared" si="7"/>
        <v>0.48179999999999978</v>
      </c>
      <c r="W7" s="39" t="str">
        <f t="shared" si="8"/>
        <v/>
      </c>
      <c r="X7" s="39" t="str">
        <f t="shared" si="9"/>
        <v/>
      </c>
      <c r="Y7" s="65"/>
      <c r="Z7" s="46"/>
    </row>
    <row r="8" spans="1:26" s="3" customFormat="1" x14ac:dyDescent="0.25">
      <c r="A8" s="28">
        <v>132869</v>
      </c>
      <c r="B8" s="28">
        <f>VLOOKUP($A8,'Выгр Кат'!$A:$R,B$1,0)</f>
        <v>9969</v>
      </c>
      <c r="C8" s="27" t="str">
        <f>VLOOKUP($A8,'Выгр Кат'!$A:$R,C$1,0)</f>
        <v>Антискользящий коврик AVS NP-002</v>
      </c>
      <c r="D8" s="28" t="str">
        <f>VLOOKUP($A8,'Выгр Кат'!$A:$R,D$1,0)</f>
        <v>Y</v>
      </c>
      <c r="E8" s="28" t="str">
        <f>VLOOKUP($A8,'Выгр Кат'!$A:$R,E$1,0)</f>
        <v>1</v>
      </c>
      <c r="F8" s="28" t="str">
        <f>VLOOKUP($A8,'Выгр Кат'!$A:$R,F$1,0)</f>
        <v>50173</v>
      </c>
      <c r="G8" s="7">
        <v>50173</v>
      </c>
      <c r="H8" s="7"/>
      <c r="I8" s="1" t="s">
        <v>3</v>
      </c>
      <c r="J8" s="41">
        <f t="shared" si="3"/>
        <v>80</v>
      </c>
      <c r="K8" s="2">
        <f>VLOOKUP(J8,Наценка!$A$1:$B$8,2,1)</f>
        <v>2.11</v>
      </c>
      <c r="L8" s="4">
        <f t="shared" si="10"/>
        <v>168.79999999999998</v>
      </c>
      <c r="M8" s="42">
        <f t="shared" si="4"/>
        <v>169</v>
      </c>
      <c r="N8" s="28">
        <f>VLOOKUP($A8,'Выгр Кат'!$A:$R,N$1,0)</f>
        <v>80</v>
      </c>
      <c r="O8" s="28">
        <f>VLOOKUP($A8,'Выгр Кат'!$A:$R,O$1,0)</f>
        <v>169</v>
      </c>
      <c r="P8" s="30">
        <f t="shared" si="5"/>
        <v>0</v>
      </c>
      <c r="Q8" s="30">
        <f t="shared" si="6"/>
        <v>0</v>
      </c>
      <c r="R8" s="36">
        <f t="shared" si="2"/>
        <v>157.16999999999999</v>
      </c>
      <c r="S8" s="64" t="str">
        <f>IFERROR((VLOOKUP($A8,'Из ГУГЛа'!$B:$G,6,0)+U8)*T8,VLOOKUP($A8,'Из ГУГЛа'!$B:$G,6,0))</f>
        <v/>
      </c>
      <c r="T8" s="38">
        <v>1</v>
      </c>
      <c r="U8" s="38">
        <v>0</v>
      </c>
      <c r="V8" s="39">
        <f t="shared" si="7"/>
        <v>0.96462499999999984</v>
      </c>
      <c r="W8" s="39">
        <f t="shared" si="8"/>
        <v>0.36879518072289164</v>
      </c>
      <c r="X8" s="39">
        <f t="shared" si="9"/>
        <v>2.1124999999999998</v>
      </c>
      <c r="Y8" s="65">
        <v>249</v>
      </c>
      <c r="Z8" s="46" t="s">
        <v>8365</v>
      </c>
    </row>
    <row r="9" spans="1:26" s="3" customFormat="1" ht="30" x14ac:dyDescent="0.25">
      <c r="A9" s="28">
        <v>132875</v>
      </c>
      <c r="B9" s="28">
        <f>VLOOKUP($A9,'Выгр Кат'!$A:$R,B$1,0)</f>
        <v>8782</v>
      </c>
      <c r="C9" s="27" t="str">
        <f>VLOOKUP($A9,'Выгр Кат'!$A:$R,C$1,0)</f>
        <v>Аптечка МИЦАР маленькая</v>
      </c>
      <c r="D9" s="28" t="str">
        <f>VLOOKUP($A9,'Выгр Кат'!$A:$R,D$1,0)</f>
        <v>Y</v>
      </c>
      <c r="E9" s="28" t="str">
        <f>VLOOKUP($A9,'Выгр Кат'!$A:$R,E$1,0)</f>
        <v>1</v>
      </c>
      <c r="F9" s="28" t="str">
        <f>VLOOKUP($A9,'Выгр Кат'!$A:$R,F$1,0)</f>
        <v>14007</v>
      </c>
      <c r="G9" s="7">
        <v>14007</v>
      </c>
      <c r="H9" s="7"/>
      <c r="I9" s="1" t="s">
        <v>3</v>
      </c>
      <c r="J9" s="42">
        <f>VLOOKUP(G9,Прайс!B:E,4,0)</f>
        <v>160</v>
      </c>
      <c r="K9" s="2">
        <f>VLOOKUP(J9,Наценка!$A$1:$B$8,2,1)</f>
        <v>1.89</v>
      </c>
      <c r="L9" s="4">
        <f t="shared" si="10"/>
        <v>302.39999999999998</v>
      </c>
      <c r="M9" s="42">
        <f t="shared" si="4"/>
        <v>309</v>
      </c>
      <c r="N9" s="28">
        <f>VLOOKUP($A9,'Выгр Кат'!$A:$R,N$1,0)</f>
        <v>160</v>
      </c>
      <c r="O9" s="28">
        <f>VLOOKUP($A9,'Выгр Кат'!$A:$R,O$1,0)</f>
        <v>309</v>
      </c>
      <c r="P9" s="30">
        <f t="shared" si="5"/>
        <v>0</v>
      </c>
      <c r="Q9" s="30">
        <f t="shared" si="6"/>
        <v>0</v>
      </c>
      <c r="R9" s="36">
        <f t="shared" si="2"/>
        <v>287.37</v>
      </c>
      <c r="S9" s="64" t="str">
        <f>IFERROR((VLOOKUP($A9,'Из ГУГЛа'!$B:$G,6,0)+U9)*T9,VLOOKUP($A9,'Из ГУГЛа'!$B:$G,6,0))</f>
        <v/>
      </c>
      <c r="T9" s="38">
        <v>1</v>
      </c>
      <c r="U9" s="38">
        <v>0</v>
      </c>
      <c r="V9" s="39">
        <f t="shared" si="7"/>
        <v>0.79606250000000012</v>
      </c>
      <c r="W9" s="39" t="str">
        <f t="shared" si="8"/>
        <v/>
      </c>
      <c r="X9" s="39" t="str">
        <f t="shared" si="9"/>
        <v/>
      </c>
      <c r="Y9" s="65" t="s">
        <v>8364</v>
      </c>
      <c r="Z9" s="46"/>
    </row>
    <row r="10" spans="1:26" s="3" customFormat="1" ht="30" x14ac:dyDescent="0.25">
      <c r="A10" s="28">
        <v>132992</v>
      </c>
      <c r="B10" s="28">
        <f>VLOOKUP($A10,'Выгр Кат'!$A:$R,B$1,0)</f>
        <v>24646</v>
      </c>
      <c r="C10" s="27" t="str">
        <f>VLOOKUP($A10,'Выгр Кат'!$A:$R,C$1,0)</f>
        <v>Ароматизатор (освежитель) воздуха "Contra" Love is (гель, мультифрукт)</v>
      </c>
      <c r="D10" s="28" t="str">
        <f>VLOOKUP($A10,'Выгр Кат'!$A:$R,D$1,0)</f>
        <v>Y</v>
      </c>
      <c r="E10" s="28" t="str">
        <f>VLOOKUP($A10,'Выгр Кат'!$A:$R,E$1,0)</f>
        <v>1</v>
      </c>
      <c r="F10" s="28" t="str">
        <f>VLOOKUP($A10,'Выгр Кат'!$A:$R,F$1,0)</f>
        <v>72315</v>
      </c>
      <c r="G10" s="7">
        <v>72315</v>
      </c>
      <c r="H10" s="7"/>
      <c r="I10" s="1" t="s">
        <v>3</v>
      </c>
      <c r="J10" s="41">
        <f>N10</f>
        <v>115</v>
      </c>
      <c r="K10" s="2">
        <f>VLOOKUP(J10,Наценка!$A$1:$B$8,2,1)</f>
        <v>1.89</v>
      </c>
      <c r="L10" s="4">
        <f t="shared" si="10"/>
        <v>217.35</v>
      </c>
      <c r="M10" s="42">
        <f t="shared" si="4"/>
        <v>219</v>
      </c>
      <c r="N10" s="28">
        <f>VLOOKUP($A10,'Выгр Кат'!$A:$R,N$1,0)</f>
        <v>115</v>
      </c>
      <c r="O10" s="28">
        <f>VLOOKUP($A10,'Выгр Кат'!$A:$R,O$1,0)</f>
        <v>219</v>
      </c>
      <c r="P10" s="30">
        <f t="shared" si="5"/>
        <v>0</v>
      </c>
      <c r="Q10" s="30">
        <f t="shared" si="6"/>
        <v>0</v>
      </c>
      <c r="R10" s="36">
        <f t="shared" si="2"/>
        <v>203.67</v>
      </c>
      <c r="S10" s="64" t="str">
        <f>IFERROR((VLOOKUP($A10,'Из ГУГЛа'!$B:$G,6,0)+U10)*T10,VLOOKUP($A10,'Из ГУГЛа'!$B:$G,6,0))</f>
        <v/>
      </c>
      <c r="T10" s="38">
        <v>1</v>
      </c>
      <c r="U10" s="38">
        <v>0</v>
      </c>
      <c r="V10" s="39">
        <f t="shared" si="7"/>
        <v>0.7710434782608695</v>
      </c>
      <c r="W10" s="39" t="str">
        <f t="shared" si="8"/>
        <v/>
      </c>
      <c r="X10" s="39" t="str">
        <f t="shared" si="9"/>
        <v/>
      </c>
      <c r="Y10" s="65" t="s">
        <v>8378</v>
      </c>
      <c r="Z10" s="46" t="s">
        <v>8060</v>
      </c>
    </row>
    <row r="11" spans="1:26" s="3" customFormat="1" ht="60" x14ac:dyDescent="0.25">
      <c r="A11" s="28">
        <v>131496</v>
      </c>
      <c r="B11" s="28">
        <f>VLOOKUP($A11,'Выгр Кат'!$A:$R,B$1,0)</f>
        <v>32021</v>
      </c>
      <c r="C11" s="27" t="str">
        <f>VLOOKUP($A11,'Выгр Кат'!$A:$R,C$1,0)</f>
        <v>Автомобильный ароматизатор "Contra" The SexMafia, банка на панель (Древесно-цветочная свежесть)</v>
      </c>
      <c r="D11" s="28" t="str">
        <f>VLOOKUP($A11,'Выгр Кат'!$A:$R,D$1,0)</f>
        <v>Y</v>
      </c>
      <c r="E11" s="28" t="str">
        <f>VLOOKUP($A11,'Выгр Кат'!$A:$R,E$1,0)</f>
        <v>1ск1</v>
      </c>
      <c r="F11" s="28" t="str">
        <f>VLOOKUP($A11,'Выгр Кат'!$A:$R,F$1,0)</f>
        <v>72249</v>
      </c>
      <c r="G11" s="7">
        <v>72249</v>
      </c>
      <c r="H11" s="7"/>
      <c r="I11" s="1" t="s">
        <v>3</v>
      </c>
      <c r="J11" s="42">
        <f>VLOOKUP(G11,Прайс!B:E,4,0)</f>
        <v>170</v>
      </c>
      <c r="K11" s="2">
        <f>VLOOKUP(J11,Наценка!$A$1:$B$8,2,1)</f>
        <v>1.89</v>
      </c>
      <c r="L11" s="4">
        <f t="shared" si="10"/>
        <v>321.3</v>
      </c>
      <c r="M11" s="42">
        <f t="shared" si="4"/>
        <v>329</v>
      </c>
      <c r="N11" s="28">
        <f>VLOOKUP($A11,'Выгр Кат'!$A:$R,N$1,0)</f>
        <v>170</v>
      </c>
      <c r="O11" s="28">
        <f>VLOOKUP($A11,'Выгр Кат'!$A:$R,O$1,0)</f>
        <v>329</v>
      </c>
      <c r="P11" s="30">
        <f t="shared" si="5"/>
        <v>0</v>
      </c>
      <c r="Q11" s="30">
        <f t="shared" si="6"/>
        <v>0</v>
      </c>
      <c r="R11" s="36">
        <f t="shared" si="2"/>
        <v>305.96999999999997</v>
      </c>
      <c r="S11" s="64">
        <f>IFERROR((VLOOKUP($A11,'Из ГУГЛа'!$B:$G,6,0)+U11)*T11,VLOOKUP($A11,'Из ГУГЛа'!$B:$G,6,0))</f>
        <v>390</v>
      </c>
      <c r="T11" s="38">
        <v>1</v>
      </c>
      <c r="U11" s="38">
        <v>0</v>
      </c>
      <c r="V11" s="39">
        <f t="shared" si="7"/>
        <v>0.7998235294117646</v>
      </c>
      <c r="W11" s="39">
        <f t="shared" si="8"/>
        <v>0.21546153846153854</v>
      </c>
      <c r="X11" s="39">
        <f t="shared" si="9"/>
        <v>1.2941176470588234</v>
      </c>
      <c r="Y11" s="40">
        <v>390</v>
      </c>
      <c r="Z11" s="46" t="s">
        <v>8064</v>
      </c>
    </row>
    <row r="12" spans="1:26" s="3" customFormat="1" ht="60" x14ac:dyDescent="0.25">
      <c r="A12" s="28">
        <v>132994</v>
      </c>
      <c r="B12" s="28">
        <f>VLOOKUP($A12,'Выгр Кат'!$A:$R,B$1,0)</f>
        <v>30937</v>
      </c>
      <c r="C12" s="27" t="str">
        <f>VLOOKUP($A12,'Выгр Кат'!$A:$R,C$1,0)</f>
        <v>Ароматизатор (освежитель) воздуха "ёлочка" "Contra" WARNING SEXOHOLIK, ваниль и восточные сладости (Vanilla)</v>
      </c>
      <c r="D12" s="28" t="str">
        <f>VLOOKUP($A12,'Выгр Кат'!$A:$R,D$1,0)</f>
        <v>Y</v>
      </c>
      <c r="E12" s="28" t="str">
        <f>VLOOKUP($A12,'Выгр Кат'!$A:$R,E$1,0)</f>
        <v>1</v>
      </c>
      <c r="F12" s="28" t="str">
        <f>VLOOKUP($A12,'Выгр Кат'!$A:$R,F$1,0)</f>
        <v>72230</v>
      </c>
      <c r="G12" s="7">
        <v>72230</v>
      </c>
      <c r="H12" s="7"/>
      <c r="I12" s="1" t="s">
        <v>3</v>
      </c>
      <c r="J12" s="42">
        <f>VLOOKUP(G12,Прайс!B:E,4,0)</f>
        <v>65</v>
      </c>
      <c r="K12" s="2">
        <f>VLOOKUP(J12,Наценка!$A$1:$B$8,2,1)</f>
        <v>2.11</v>
      </c>
      <c r="L12" s="4">
        <f t="shared" si="10"/>
        <v>137.15</v>
      </c>
      <c r="M12" s="42">
        <f t="shared" si="4"/>
        <v>139</v>
      </c>
      <c r="N12" s="28">
        <f>VLOOKUP($A12,'Выгр Кат'!$A:$R,N$1,0)</f>
        <v>65</v>
      </c>
      <c r="O12" s="28">
        <f>VLOOKUP($A12,'Выгр Кат'!$A:$R,O$1,0)</f>
        <v>139</v>
      </c>
      <c r="P12" s="30">
        <f t="shared" si="5"/>
        <v>0</v>
      </c>
      <c r="Q12" s="30">
        <f t="shared" si="6"/>
        <v>0</v>
      </c>
      <c r="R12" s="36">
        <f t="shared" si="2"/>
        <v>129.26999999999998</v>
      </c>
      <c r="S12" s="64">
        <f>IFERROR((VLOOKUP($A12,'Из ГУГЛа'!$B:$G,6,0)+U12)*T12,VLOOKUP($A12,'Из ГУГЛа'!$B:$G,6,0))</f>
        <v>190</v>
      </c>
      <c r="T12" s="38">
        <v>1</v>
      </c>
      <c r="U12" s="38">
        <v>0</v>
      </c>
      <c r="V12" s="39">
        <f t="shared" si="7"/>
        <v>0.9887692307692304</v>
      </c>
      <c r="W12" s="39">
        <f t="shared" si="8"/>
        <v>0.31963157894736854</v>
      </c>
      <c r="X12" s="39">
        <f t="shared" si="9"/>
        <v>1.9230769230769229</v>
      </c>
      <c r="Y12" s="40">
        <v>190</v>
      </c>
      <c r="Z12" s="46" t="s">
        <v>8065</v>
      </c>
    </row>
    <row r="13" spans="1:26" s="3" customFormat="1" ht="45" x14ac:dyDescent="0.25">
      <c r="A13" s="28">
        <v>132995</v>
      </c>
      <c r="B13" s="28">
        <f>VLOOKUP($A13,'Выгр Кат'!$A:$R,B$1,0)</f>
        <v>16938</v>
      </c>
      <c r="C13" s="27" t="str">
        <f>VLOOKUP($A13,'Выгр Кат'!$A:$R,C$1,0)</f>
        <v>Ароматизатор (освежитель) воздуха "ёлочка" Contra "Orgasm tester" Свежесть морского бриза</v>
      </c>
      <c r="D13" s="28" t="str">
        <f>VLOOKUP($A13,'Выгр Кат'!$A:$R,D$1,0)</f>
        <v>Y</v>
      </c>
      <c r="E13" s="28" t="str">
        <f>VLOOKUP($A13,'Выгр Кат'!$A:$R,E$1,0)</f>
        <v>1</v>
      </c>
      <c r="F13" s="28" t="str">
        <f>VLOOKUP($A13,'Выгр Кат'!$A:$R,F$1,0)</f>
        <v>72301</v>
      </c>
      <c r="G13" s="7">
        <v>72301</v>
      </c>
      <c r="H13" s="7"/>
      <c r="I13" s="1" t="s">
        <v>3</v>
      </c>
      <c r="J13" s="42">
        <f>VLOOKUP(G13,Прайс!B:E,4,0)</f>
        <v>65</v>
      </c>
      <c r="K13" s="2">
        <f>VLOOKUP(J13,Наценка!$A$1:$B$8,2,1)</f>
        <v>2.11</v>
      </c>
      <c r="L13" s="4">
        <f t="shared" si="10"/>
        <v>137.15</v>
      </c>
      <c r="M13" s="42">
        <f t="shared" si="4"/>
        <v>139</v>
      </c>
      <c r="N13" s="28">
        <f>VLOOKUP($A13,'Выгр Кат'!$A:$R,N$1,0)</f>
        <v>65</v>
      </c>
      <c r="O13" s="28">
        <f>VLOOKUP($A13,'Выгр Кат'!$A:$R,O$1,0)</f>
        <v>139</v>
      </c>
      <c r="P13" s="30">
        <f t="shared" si="5"/>
        <v>0</v>
      </c>
      <c r="Q13" s="30">
        <f t="shared" si="6"/>
        <v>0</v>
      </c>
      <c r="R13" s="36">
        <f t="shared" si="2"/>
        <v>129.26999999999998</v>
      </c>
      <c r="S13" s="64">
        <f>IFERROR((VLOOKUP($A13,'Из ГУГЛа'!$B:$G,6,0)+U13)*T13,VLOOKUP($A13,'Из ГУГЛа'!$B:$G,6,0))</f>
        <v>190</v>
      </c>
      <c r="T13" s="38">
        <v>1</v>
      </c>
      <c r="U13" s="38">
        <v>0</v>
      </c>
      <c r="V13" s="39">
        <f t="shared" si="7"/>
        <v>0.9887692307692304</v>
      </c>
      <c r="W13" s="39">
        <f t="shared" si="8"/>
        <v>0.31963157894736854</v>
      </c>
      <c r="X13" s="39">
        <f t="shared" si="9"/>
        <v>1.9230769230769229</v>
      </c>
      <c r="Y13" s="40">
        <v>190</v>
      </c>
      <c r="Z13" s="46" t="s">
        <v>8065</v>
      </c>
    </row>
    <row r="14" spans="1:26" s="3" customFormat="1" ht="45" x14ac:dyDescent="0.25">
      <c r="A14" s="28">
        <v>132998</v>
      </c>
      <c r="B14" s="28">
        <f>VLOOKUP($A14,'Выгр Кат'!$A:$R,B$1,0)</f>
        <v>16936</v>
      </c>
      <c r="C14" s="27" t="str">
        <f>VLOOKUP($A14,'Выгр Кат'!$A:$R,C$1,0)</f>
        <v>Ароматизатор (освежитель) воздуха "ёлочка" Contra "Sex Queen" Нежность цветочных лепестков</v>
      </c>
      <c r="D14" s="28" t="str">
        <f>VLOOKUP($A14,'Выгр Кат'!$A:$R,D$1,0)</f>
        <v>Y</v>
      </c>
      <c r="E14" s="28" t="str">
        <f>VLOOKUP($A14,'Выгр Кат'!$A:$R,E$1,0)</f>
        <v>1</v>
      </c>
      <c r="F14" s="28" t="str">
        <f>VLOOKUP($A14,'Выгр Кат'!$A:$R,F$1,0)</f>
        <v>72267</v>
      </c>
      <c r="G14" s="7">
        <v>72267</v>
      </c>
      <c r="H14" s="7"/>
      <c r="I14" s="1" t="s">
        <v>3</v>
      </c>
      <c r="J14" s="42">
        <f>VLOOKUP(G14,Прайс!B:E,4,0)</f>
        <v>65</v>
      </c>
      <c r="K14" s="2">
        <f>VLOOKUP(J14,Наценка!$A$1:$B$8,2,1)</f>
        <v>2.11</v>
      </c>
      <c r="L14" s="4">
        <f t="shared" si="10"/>
        <v>137.15</v>
      </c>
      <c r="M14" s="42">
        <f t="shared" si="4"/>
        <v>139</v>
      </c>
      <c r="N14" s="28">
        <f>VLOOKUP($A14,'Выгр Кат'!$A:$R,N$1,0)</f>
        <v>65</v>
      </c>
      <c r="O14" s="28">
        <f>VLOOKUP($A14,'Выгр Кат'!$A:$R,O$1,0)</f>
        <v>139</v>
      </c>
      <c r="P14" s="30">
        <f t="shared" si="5"/>
        <v>0</v>
      </c>
      <c r="Q14" s="30">
        <f t="shared" si="6"/>
        <v>0</v>
      </c>
      <c r="R14" s="36">
        <f t="shared" si="2"/>
        <v>129.26999999999998</v>
      </c>
      <c r="S14" s="64">
        <f>IFERROR((VLOOKUP($A14,'Из ГУГЛа'!$B:$G,6,0)+U14)*T14,VLOOKUP($A14,'Из ГУГЛа'!$B:$G,6,0))</f>
        <v>190</v>
      </c>
      <c r="T14" s="38">
        <v>1</v>
      </c>
      <c r="U14" s="38">
        <v>0</v>
      </c>
      <c r="V14" s="39">
        <f t="shared" si="7"/>
        <v>0.9887692307692304</v>
      </c>
      <c r="W14" s="39">
        <f t="shared" si="8"/>
        <v>0.31963157894736854</v>
      </c>
      <c r="X14" s="39">
        <f t="shared" si="9"/>
        <v>1.9230769230769229</v>
      </c>
      <c r="Y14" s="40">
        <v>190</v>
      </c>
      <c r="Z14" s="46" t="s">
        <v>8065</v>
      </c>
    </row>
    <row r="15" spans="1:26" s="3" customFormat="1" ht="45" x14ac:dyDescent="0.25">
      <c r="A15" s="28">
        <v>132999</v>
      </c>
      <c r="B15" s="28">
        <f>VLOOKUP($A15,'Выгр Кат'!$A:$R,B$1,0)</f>
        <v>16935</v>
      </c>
      <c r="C15" s="27" t="str">
        <f>VLOOKUP($A15,'Выгр Кат'!$A:$R,C$1,0)</f>
        <v>Ароматизатор (освежитель) воздуха "ёлочка" Contra "Sex наша работа" Эйфория цветов и фруктов (Audabe)</v>
      </c>
      <c r="D15" s="28" t="str">
        <f>VLOOKUP($A15,'Выгр Кат'!$A:$R,D$1,0)</f>
        <v>Y</v>
      </c>
      <c r="E15" s="28" t="str">
        <f>VLOOKUP($A15,'Выгр Кат'!$A:$R,E$1,0)</f>
        <v>1</v>
      </c>
      <c r="F15" s="28" t="str">
        <f>VLOOKUP($A15,'Выгр Кат'!$A:$R,F$1,0)</f>
        <v>72229</v>
      </c>
      <c r="G15" s="7">
        <v>72229</v>
      </c>
      <c r="H15" s="7"/>
      <c r="I15" s="1" t="s">
        <v>3</v>
      </c>
      <c r="J15" s="42">
        <f>VLOOKUP(G15,Прайс!B:E,4,0)</f>
        <v>65</v>
      </c>
      <c r="K15" s="2">
        <f>VLOOKUP(J15,Наценка!$A$1:$B$8,2,1)</f>
        <v>2.11</v>
      </c>
      <c r="L15" s="4">
        <f t="shared" si="10"/>
        <v>137.15</v>
      </c>
      <c r="M15" s="42">
        <f t="shared" si="4"/>
        <v>139</v>
      </c>
      <c r="N15" s="28">
        <f>VLOOKUP($A15,'Выгр Кат'!$A:$R,N$1,0)</f>
        <v>65</v>
      </c>
      <c r="O15" s="28">
        <f>VLOOKUP($A15,'Выгр Кат'!$A:$R,O$1,0)</f>
        <v>139</v>
      </c>
      <c r="P15" s="30">
        <f t="shared" si="5"/>
        <v>0</v>
      </c>
      <c r="Q15" s="30">
        <f t="shared" si="6"/>
        <v>0</v>
      </c>
      <c r="R15" s="36">
        <f t="shared" si="2"/>
        <v>129.26999999999998</v>
      </c>
      <c r="S15" s="64">
        <f>IFERROR((VLOOKUP($A15,'Из ГУГЛа'!$B:$G,6,0)+U15)*T15,VLOOKUP($A15,'Из ГУГЛа'!$B:$G,6,0))</f>
        <v>190</v>
      </c>
      <c r="T15" s="38">
        <v>1</v>
      </c>
      <c r="U15" s="38">
        <v>0</v>
      </c>
      <c r="V15" s="39">
        <f t="shared" si="7"/>
        <v>0.9887692307692304</v>
      </c>
      <c r="W15" s="39">
        <f t="shared" si="8"/>
        <v>0.31963157894736854</v>
      </c>
      <c r="X15" s="39">
        <f t="shared" si="9"/>
        <v>1.9230769230769229</v>
      </c>
      <c r="Y15" s="40">
        <v>190</v>
      </c>
      <c r="Z15" s="46" t="s">
        <v>8065</v>
      </c>
    </row>
    <row r="16" spans="1:26" s="3" customFormat="1" ht="45" x14ac:dyDescent="0.25">
      <c r="A16" s="28">
        <v>133004</v>
      </c>
      <c r="B16" s="28">
        <f>VLOOKUP($A16,'Выгр Кат'!$A:$R,B$1,0)</f>
        <v>14174</v>
      </c>
      <c r="C16" s="27" t="str">
        <f>VLOOKUP($A16,'Выгр Кат'!$A:$R,C$1,0)</f>
        <v>Ароматизатор (освежитель) воздуха "мешочек" Contra "Sex наша работа" Эйфория цветов и фруктов (Audabe)</v>
      </c>
      <c r="D16" s="28" t="str">
        <f>VLOOKUP($A16,'Выгр Кат'!$A:$R,D$1,0)</f>
        <v>Y</v>
      </c>
      <c r="E16" s="28" t="str">
        <f>VLOOKUP($A16,'Выгр Кат'!$A:$R,E$1,0)</f>
        <v>1</v>
      </c>
      <c r="F16" s="28" t="str">
        <f>VLOOKUP($A16,'Выгр Кат'!$A:$R,F$1,0)</f>
        <v>72290</v>
      </c>
      <c r="G16" s="7">
        <v>72290</v>
      </c>
      <c r="H16" s="7"/>
      <c r="I16" s="1" t="s">
        <v>3</v>
      </c>
      <c r="J16" s="42">
        <f>VLOOKUP(G16,Прайс!B:E,4,0)</f>
        <v>140</v>
      </c>
      <c r="K16" s="2">
        <f>VLOOKUP(J16,Наценка!$A$1:$B$8,2,1)</f>
        <v>1.89</v>
      </c>
      <c r="L16" s="4">
        <f t="shared" si="10"/>
        <v>264.59999999999997</v>
      </c>
      <c r="M16" s="42">
        <f t="shared" si="4"/>
        <v>269</v>
      </c>
      <c r="N16" s="28">
        <f>VLOOKUP($A16,'Выгр Кат'!$A:$R,N$1,0)</f>
        <v>140</v>
      </c>
      <c r="O16" s="28">
        <f>VLOOKUP($A16,'Выгр Кат'!$A:$R,O$1,0)</f>
        <v>269</v>
      </c>
      <c r="P16" s="30">
        <f t="shared" si="5"/>
        <v>0</v>
      </c>
      <c r="Q16" s="30">
        <f t="shared" si="6"/>
        <v>0</v>
      </c>
      <c r="R16" s="36">
        <f t="shared" si="2"/>
        <v>250.17</v>
      </c>
      <c r="S16" s="64">
        <f>IFERROR((VLOOKUP($A16,'Из ГУГЛа'!$B:$G,6,0)+U16)*T16,VLOOKUP($A16,'Из ГУГЛа'!$B:$G,6,0))</f>
        <v>469</v>
      </c>
      <c r="T16" s="38">
        <v>1</v>
      </c>
      <c r="U16" s="38">
        <v>0</v>
      </c>
      <c r="V16" s="39">
        <f t="shared" si="7"/>
        <v>0.78692857142857142</v>
      </c>
      <c r="W16" s="39">
        <f t="shared" si="8"/>
        <v>0.46658848614072496</v>
      </c>
      <c r="X16" s="39">
        <f t="shared" si="9"/>
        <v>2.35</v>
      </c>
      <c r="Y16" s="40">
        <v>469</v>
      </c>
      <c r="Z16" s="46" t="s">
        <v>8066</v>
      </c>
    </row>
    <row r="17" spans="1:26" s="3" customFormat="1" ht="45" x14ac:dyDescent="0.25">
      <c r="A17" s="28">
        <v>133005</v>
      </c>
      <c r="B17" s="28">
        <f>VLOOKUP($A17,'Выгр Кат'!$A:$R,B$1,0)</f>
        <v>14173</v>
      </c>
      <c r="C17" s="27" t="str">
        <f>VLOOKUP($A17,'Выгр Кат'!$A:$R,C$1,0)</f>
        <v>Ароматизатор (освежитель) воздуха "мешочек" Contra "Sexoholic" Ваниль и восточные сладости (Vanilla)</v>
      </c>
      <c r="D17" s="28" t="str">
        <f>VLOOKUP($A17,'Выгр Кат'!$A:$R,D$1,0)</f>
        <v>Y</v>
      </c>
      <c r="E17" s="28" t="str">
        <f>VLOOKUP($A17,'Выгр Кат'!$A:$R,E$1,0)</f>
        <v>1</v>
      </c>
      <c r="F17" s="28" t="str">
        <f>VLOOKUP($A17,'Выгр Кат'!$A:$R,F$1,0)</f>
        <v>72291</v>
      </c>
      <c r="G17" s="7">
        <v>72291</v>
      </c>
      <c r="H17" s="7"/>
      <c r="I17" s="1" t="s">
        <v>3</v>
      </c>
      <c r="J17" s="42">
        <f>VLOOKUP(G17,Прайс!B:E,4,0)</f>
        <v>140</v>
      </c>
      <c r="K17" s="2">
        <f>VLOOKUP(J17,Наценка!$A$1:$B$8,2,1)</f>
        <v>1.89</v>
      </c>
      <c r="L17" s="4">
        <f t="shared" si="10"/>
        <v>264.59999999999997</v>
      </c>
      <c r="M17" s="42">
        <f t="shared" si="4"/>
        <v>269</v>
      </c>
      <c r="N17" s="28">
        <f>VLOOKUP($A17,'Выгр Кат'!$A:$R,N$1,0)</f>
        <v>140</v>
      </c>
      <c r="O17" s="28">
        <f>VLOOKUP($A17,'Выгр Кат'!$A:$R,O$1,0)</f>
        <v>269</v>
      </c>
      <c r="P17" s="30">
        <f t="shared" si="5"/>
        <v>0</v>
      </c>
      <c r="Q17" s="30">
        <f t="shared" si="6"/>
        <v>0</v>
      </c>
      <c r="R17" s="36">
        <f t="shared" si="2"/>
        <v>250.17</v>
      </c>
      <c r="S17" s="64">
        <f>IFERROR((VLOOKUP($A17,'Из ГУГЛа'!$B:$G,6,0)+U17)*T17,VLOOKUP($A17,'Из ГУГЛа'!$B:$G,6,0))</f>
        <v>469</v>
      </c>
      <c r="T17" s="38">
        <v>1</v>
      </c>
      <c r="U17" s="38">
        <v>0</v>
      </c>
      <c r="V17" s="39">
        <f t="shared" si="7"/>
        <v>0.78692857142857142</v>
      </c>
      <c r="W17" s="39">
        <f t="shared" si="8"/>
        <v>0.46658848614072496</v>
      </c>
      <c r="X17" s="39">
        <f t="shared" si="9"/>
        <v>2.35</v>
      </c>
      <c r="Y17" s="40">
        <v>469</v>
      </c>
      <c r="Z17" s="46" t="s">
        <v>8066</v>
      </c>
    </row>
    <row r="18" spans="1:26" s="3" customFormat="1" ht="30" x14ac:dyDescent="0.25">
      <c r="A18" s="28">
        <v>133007</v>
      </c>
      <c r="B18" s="28">
        <f>VLOOKUP($A18,'Выгр Кат'!$A:$R,B$1,0)</f>
        <v>17617</v>
      </c>
      <c r="C18" s="27" t="str">
        <f>VLOOKUP($A18,'Выгр Кат'!$A:$R,C$1,0)</f>
        <v>Ароматизатор (освежитель) воздуха Contra "Love is..." Cola original</v>
      </c>
      <c r="D18" s="28" t="str">
        <f>VLOOKUP($A18,'Выгр Кат'!$A:$R,D$1,0)</f>
        <v>Y</v>
      </c>
      <c r="E18" s="28" t="str">
        <f>VLOOKUP($A18,'Выгр Кат'!$A:$R,E$1,0)</f>
        <v>1</v>
      </c>
      <c r="F18" s="28" t="str">
        <f>VLOOKUP($A18,'Выгр Кат'!$A:$R,F$1,0)</f>
        <v>72237</v>
      </c>
      <c r="G18" s="7">
        <v>72237</v>
      </c>
      <c r="H18" s="7"/>
      <c r="I18" s="1" t="s">
        <v>3</v>
      </c>
      <c r="J18" s="42">
        <f>VLOOKUP(G18,Прайс!B:E,4,0)</f>
        <v>130</v>
      </c>
      <c r="K18" s="2">
        <f>VLOOKUP(J18,Наценка!$A$1:$B$8,2,1)</f>
        <v>1.89</v>
      </c>
      <c r="L18" s="4">
        <f t="shared" si="10"/>
        <v>245.7</v>
      </c>
      <c r="M18" s="42">
        <f t="shared" si="4"/>
        <v>249</v>
      </c>
      <c r="N18" s="28">
        <f>VLOOKUP($A18,'Выгр Кат'!$A:$R,N$1,0)</f>
        <v>130</v>
      </c>
      <c r="O18" s="28">
        <f>VLOOKUP($A18,'Выгр Кат'!$A:$R,O$1,0)</f>
        <v>249</v>
      </c>
      <c r="P18" s="30">
        <f t="shared" si="5"/>
        <v>0</v>
      </c>
      <c r="Q18" s="30">
        <f t="shared" si="6"/>
        <v>0</v>
      </c>
      <c r="R18" s="36">
        <f t="shared" si="2"/>
        <v>231.57</v>
      </c>
      <c r="S18" s="64">
        <f>IFERROR((VLOOKUP($A18,'Из ГУГЛа'!$B:$G,6,0)+U18)*T18,VLOOKUP($A18,'Из ГУГЛа'!$B:$G,6,0))</f>
        <v>469</v>
      </c>
      <c r="T18" s="38">
        <v>1</v>
      </c>
      <c r="U18" s="38">
        <v>0</v>
      </c>
      <c r="V18" s="39">
        <f t="shared" si="7"/>
        <v>0.78130769230769226</v>
      </c>
      <c r="W18" s="39">
        <f t="shared" si="8"/>
        <v>0.50624733475479744</v>
      </c>
      <c r="X18" s="39">
        <f t="shared" si="9"/>
        <v>2.6076923076923078</v>
      </c>
      <c r="Y18" s="40">
        <v>469</v>
      </c>
      <c r="Z18" s="46" t="s">
        <v>8061</v>
      </c>
    </row>
    <row r="19" spans="1:26" s="3" customFormat="1" ht="30" x14ac:dyDescent="0.25">
      <c r="A19" s="28">
        <v>133008</v>
      </c>
      <c r="B19" s="28">
        <f>VLOOKUP($A19,'Выгр Кат'!$A:$R,B$1,0)</f>
        <v>17616</v>
      </c>
      <c r="C19" s="27" t="str">
        <f>VLOOKUP($A19,'Выгр Кат'!$A:$R,C$1,0)</f>
        <v>Ароматизатор (освежитель) воздуха Contra "Love is..." Вишня в шоколаде</v>
      </c>
      <c r="D19" s="28" t="str">
        <f>VLOOKUP($A19,'Выгр Кат'!$A:$R,D$1,0)</f>
        <v>Y</v>
      </c>
      <c r="E19" s="28" t="str">
        <f>VLOOKUP($A19,'Выгр Кат'!$A:$R,E$1,0)</f>
        <v>1</v>
      </c>
      <c r="F19" s="28" t="str">
        <f>VLOOKUP($A19,'Выгр Кат'!$A:$R,F$1,0)</f>
        <v>72233</v>
      </c>
      <c r="G19" s="7">
        <v>72233</v>
      </c>
      <c r="H19" s="7"/>
      <c r="I19" s="1" t="s">
        <v>3</v>
      </c>
      <c r="J19" s="42">
        <f>VLOOKUP(G19,Прайс!B:E,4,0)</f>
        <v>130</v>
      </c>
      <c r="K19" s="2">
        <f>VLOOKUP(J19,Наценка!$A$1:$B$8,2,1)</f>
        <v>1.89</v>
      </c>
      <c r="L19" s="4">
        <f t="shared" si="10"/>
        <v>245.7</v>
      </c>
      <c r="M19" s="42">
        <f t="shared" si="4"/>
        <v>249</v>
      </c>
      <c r="N19" s="28">
        <f>VLOOKUP($A19,'Выгр Кат'!$A:$R,N$1,0)</f>
        <v>130</v>
      </c>
      <c r="O19" s="28">
        <f>VLOOKUP($A19,'Выгр Кат'!$A:$R,O$1,0)</f>
        <v>249</v>
      </c>
      <c r="P19" s="30">
        <f t="shared" si="5"/>
        <v>0</v>
      </c>
      <c r="Q19" s="30">
        <f t="shared" si="6"/>
        <v>0</v>
      </c>
      <c r="R19" s="36">
        <f t="shared" si="2"/>
        <v>231.57</v>
      </c>
      <c r="S19" s="64">
        <f>IFERROR((VLOOKUP($A19,'Из ГУГЛа'!$B:$G,6,0)+U19)*T19,VLOOKUP($A19,'Из ГУГЛа'!$B:$G,6,0))</f>
        <v>469</v>
      </c>
      <c r="T19" s="38">
        <v>1</v>
      </c>
      <c r="U19" s="38">
        <v>0</v>
      </c>
      <c r="V19" s="39">
        <f t="shared" si="7"/>
        <v>0.78130769230769226</v>
      </c>
      <c r="W19" s="39">
        <f t="shared" si="8"/>
        <v>0.50624733475479744</v>
      </c>
      <c r="X19" s="39">
        <f t="shared" si="9"/>
        <v>2.6076923076923078</v>
      </c>
      <c r="Y19" s="40">
        <v>469</v>
      </c>
      <c r="Z19" s="46" t="s">
        <v>8061</v>
      </c>
    </row>
    <row r="20" spans="1:26" s="3" customFormat="1" ht="30" x14ac:dyDescent="0.25">
      <c r="A20" s="28">
        <v>133009</v>
      </c>
      <c r="B20" s="28">
        <f>VLOOKUP($A20,'Выгр Кат'!$A:$R,B$1,0)</f>
        <v>17614</v>
      </c>
      <c r="C20" s="27" t="str">
        <f>VLOOKUP($A20,'Выгр Кат'!$A:$R,C$1,0)</f>
        <v>Ароматизатор (освежитель) воздуха Contra "Love is..." Мультифрукт</v>
      </c>
      <c r="D20" s="28" t="str">
        <f>VLOOKUP($A20,'Выгр Кат'!$A:$R,D$1,0)</f>
        <v>Y</v>
      </c>
      <c r="E20" s="28" t="str">
        <f>VLOOKUP($A20,'Выгр Кат'!$A:$R,E$1,0)</f>
        <v>1</v>
      </c>
      <c r="F20" s="28" t="str">
        <f>VLOOKUP($A20,'Выгр Кат'!$A:$R,F$1,0)</f>
        <v>72240</v>
      </c>
      <c r="G20" s="7">
        <v>72240</v>
      </c>
      <c r="H20" s="7"/>
      <c r="I20" s="1" t="s">
        <v>3</v>
      </c>
      <c r="J20" s="42">
        <f>VLOOKUP(G20,Прайс!B:E,4,0)</f>
        <v>130</v>
      </c>
      <c r="K20" s="2">
        <f>VLOOKUP(J20,Наценка!$A$1:$B$8,2,1)</f>
        <v>1.89</v>
      </c>
      <c r="L20" s="4">
        <f t="shared" si="10"/>
        <v>245.7</v>
      </c>
      <c r="M20" s="42">
        <f t="shared" si="4"/>
        <v>249</v>
      </c>
      <c r="N20" s="28">
        <f>VLOOKUP($A20,'Выгр Кат'!$A:$R,N$1,0)</f>
        <v>130</v>
      </c>
      <c r="O20" s="28">
        <f>VLOOKUP($A20,'Выгр Кат'!$A:$R,O$1,0)</f>
        <v>249</v>
      </c>
      <c r="P20" s="30">
        <f t="shared" si="5"/>
        <v>0</v>
      </c>
      <c r="Q20" s="30">
        <f t="shared" si="6"/>
        <v>0</v>
      </c>
      <c r="R20" s="36">
        <f t="shared" si="2"/>
        <v>231.57</v>
      </c>
      <c r="S20" s="64">
        <f>IFERROR((VLOOKUP($A20,'Из ГУГЛа'!$B:$G,6,0)+U20)*T20,VLOOKUP($A20,'Из ГУГЛа'!$B:$G,6,0))</f>
        <v>469</v>
      </c>
      <c r="T20" s="38">
        <v>1</v>
      </c>
      <c r="U20" s="38">
        <v>0</v>
      </c>
      <c r="V20" s="39">
        <f t="shared" si="7"/>
        <v>0.78130769230769226</v>
      </c>
      <c r="W20" s="39">
        <f t="shared" si="8"/>
        <v>0.50624733475479744</v>
      </c>
      <c r="X20" s="39">
        <f t="shared" si="9"/>
        <v>2.6076923076923078</v>
      </c>
      <c r="Y20" s="40">
        <v>469</v>
      </c>
      <c r="Z20" s="46" t="s">
        <v>8061</v>
      </c>
    </row>
    <row r="21" spans="1:26" s="3" customFormat="1" ht="45" x14ac:dyDescent="0.25">
      <c r="A21" s="28">
        <v>133010</v>
      </c>
      <c r="B21" s="28">
        <f>VLOOKUP($A21,'Выгр Кат'!$A:$R,B$1,0)</f>
        <v>17613</v>
      </c>
      <c r="C21" s="27" t="str">
        <f>VLOOKUP($A21,'Выгр Кат'!$A:$R,C$1,0)</f>
        <v>Ароматизатор (освежитель) воздуха Contra "Love is..." Свежесть тайского арбуза</v>
      </c>
      <c r="D21" s="28" t="str">
        <f>VLOOKUP($A21,'Выгр Кат'!$A:$R,D$1,0)</f>
        <v>Y</v>
      </c>
      <c r="E21" s="28" t="str">
        <f>VLOOKUP($A21,'Выгр Кат'!$A:$R,E$1,0)</f>
        <v>1</v>
      </c>
      <c r="F21" s="28" t="str">
        <f>VLOOKUP($A21,'Выгр Кат'!$A:$R,F$1,0)</f>
        <v>72235</v>
      </c>
      <c r="G21" s="7">
        <v>72235</v>
      </c>
      <c r="H21" s="7"/>
      <c r="I21" s="1" t="s">
        <v>3</v>
      </c>
      <c r="J21" s="42">
        <f>VLOOKUP(G21,Прайс!B:E,4,0)</f>
        <v>130</v>
      </c>
      <c r="K21" s="2">
        <f>VLOOKUP(J21,Наценка!$A$1:$B$8,2,1)</f>
        <v>1.89</v>
      </c>
      <c r="L21" s="4">
        <f t="shared" si="10"/>
        <v>245.7</v>
      </c>
      <c r="M21" s="42">
        <f t="shared" si="4"/>
        <v>249</v>
      </c>
      <c r="N21" s="28">
        <f>VLOOKUP($A21,'Выгр Кат'!$A:$R,N$1,0)</f>
        <v>130</v>
      </c>
      <c r="O21" s="28">
        <f>VLOOKUP($A21,'Выгр Кат'!$A:$R,O$1,0)</f>
        <v>249</v>
      </c>
      <c r="P21" s="30">
        <f t="shared" si="5"/>
        <v>0</v>
      </c>
      <c r="Q21" s="30">
        <f t="shared" si="6"/>
        <v>0</v>
      </c>
      <c r="R21" s="36">
        <f t="shared" si="2"/>
        <v>231.57</v>
      </c>
      <c r="S21" s="64">
        <f>IFERROR((VLOOKUP($A21,'Из ГУГЛа'!$B:$G,6,0)+U21)*T21,VLOOKUP($A21,'Из ГУГЛа'!$B:$G,6,0))</f>
        <v>469</v>
      </c>
      <c r="T21" s="38">
        <v>1</v>
      </c>
      <c r="U21" s="38">
        <v>0</v>
      </c>
      <c r="V21" s="39">
        <f t="shared" si="7"/>
        <v>0.78130769230769226</v>
      </c>
      <c r="W21" s="39">
        <f t="shared" si="8"/>
        <v>0.50624733475479744</v>
      </c>
      <c r="X21" s="39">
        <f t="shared" si="9"/>
        <v>2.6076923076923078</v>
      </c>
      <c r="Y21" s="40">
        <v>469</v>
      </c>
      <c r="Z21" s="46" t="s">
        <v>8061</v>
      </c>
    </row>
    <row r="22" spans="1:26" s="3" customFormat="1" ht="30" x14ac:dyDescent="0.25">
      <c r="A22" s="28">
        <v>133011</v>
      </c>
      <c r="B22" s="28">
        <f>VLOOKUP($A22,'Выгр Кат'!$A:$R,B$1,0)</f>
        <v>17615</v>
      </c>
      <c r="C22" s="27" t="str">
        <f>VLOOKUP($A22,'Выгр Кат'!$A:$R,C$1,0)</f>
        <v>Ароматизатор (освежитель) воздуха Contra "Love is..." Цитрусовый рай</v>
      </c>
      <c r="D22" s="28" t="str">
        <f>VLOOKUP($A22,'Выгр Кат'!$A:$R,D$1,0)</f>
        <v>Y</v>
      </c>
      <c r="E22" s="28" t="str">
        <f>VLOOKUP($A22,'Выгр Кат'!$A:$R,E$1,0)</f>
        <v>1</v>
      </c>
      <c r="F22" s="28" t="str">
        <f>VLOOKUP($A22,'Выгр Кат'!$A:$R,F$1,0)</f>
        <v>72239</v>
      </c>
      <c r="G22" s="7">
        <v>72239</v>
      </c>
      <c r="H22" s="7"/>
      <c r="I22" s="1" t="s">
        <v>3</v>
      </c>
      <c r="J22" s="42">
        <f>VLOOKUP(G22,Прайс!B:E,4,0)</f>
        <v>130</v>
      </c>
      <c r="K22" s="2">
        <f>VLOOKUP(J22,Наценка!$A$1:$B$8,2,1)</f>
        <v>1.89</v>
      </c>
      <c r="L22" s="4">
        <f t="shared" si="10"/>
        <v>245.7</v>
      </c>
      <c r="M22" s="42">
        <f t="shared" si="4"/>
        <v>249</v>
      </c>
      <c r="N22" s="28">
        <f>VLOOKUP($A22,'Выгр Кат'!$A:$R,N$1,0)</f>
        <v>130</v>
      </c>
      <c r="O22" s="28">
        <f>VLOOKUP($A22,'Выгр Кат'!$A:$R,O$1,0)</f>
        <v>249</v>
      </c>
      <c r="P22" s="30">
        <f t="shared" si="5"/>
        <v>0</v>
      </c>
      <c r="Q22" s="30">
        <f t="shared" si="6"/>
        <v>0</v>
      </c>
      <c r="R22" s="36">
        <f t="shared" si="2"/>
        <v>231.57</v>
      </c>
      <c r="S22" s="64">
        <f>IFERROR((VLOOKUP($A22,'Из ГУГЛа'!$B:$G,6,0)+U22)*T22,VLOOKUP($A22,'Из ГУГЛа'!$B:$G,6,0))</f>
        <v>469</v>
      </c>
      <c r="T22" s="38">
        <v>1</v>
      </c>
      <c r="U22" s="38">
        <v>0</v>
      </c>
      <c r="V22" s="39">
        <f t="shared" si="7"/>
        <v>0.78130769230769226</v>
      </c>
      <c r="W22" s="39">
        <f t="shared" si="8"/>
        <v>0.50624733475479744</v>
      </c>
      <c r="X22" s="39">
        <f t="shared" si="9"/>
        <v>2.6076923076923078</v>
      </c>
      <c r="Y22" s="40">
        <v>469</v>
      </c>
      <c r="Z22" s="46" t="s">
        <v>8061</v>
      </c>
    </row>
    <row r="23" spans="1:26" s="3" customFormat="1" ht="60" x14ac:dyDescent="0.25">
      <c r="A23" s="28">
        <v>133012</v>
      </c>
      <c r="B23" s="28">
        <f>VLOOKUP($A23,'Выгр Кат'!$A:$R,B$1,0)</f>
        <v>17063</v>
      </c>
      <c r="C23" s="27" t="str">
        <f>VLOOKUP($A23,'Выгр Кат'!$A:$R,C$1,0)</f>
        <v>Ароматизатор (освежитель) воздуха Contra "Sex Cruise" Сицилийский бергамот, окутанный свежим воздухом после шторма</v>
      </c>
      <c r="D23" s="28" t="str">
        <f>VLOOKUP($A23,'Выгр Кат'!$A:$R,D$1,0)</f>
        <v>Y</v>
      </c>
      <c r="E23" s="28" t="str">
        <f>VLOOKUP($A23,'Выгр Кат'!$A:$R,E$1,0)</f>
        <v>1</v>
      </c>
      <c r="F23" s="28" t="str">
        <f>VLOOKUP($A23,'Выгр Кат'!$A:$R,F$1,0)</f>
        <v>72308</v>
      </c>
      <c r="G23" s="7">
        <v>72308</v>
      </c>
      <c r="H23" s="7"/>
      <c r="I23" s="1" t="s">
        <v>3</v>
      </c>
      <c r="J23" s="42">
        <f>VLOOKUP(G23,Прайс!B:E,4,0)</f>
        <v>135</v>
      </c>
      <c r="K23" s="2">
        <f>VLOOKUP(J23,Наценка!$A$1:$B$8,2,1)</f>
        <v>1.89</v>
      </c>
      <c r="L23" s="4">
        <f t="shared" si="10"/>
        <v>255.14999999999998</v>
      </c>
      <c r="M23" s="42">
        <f t="shared" si="4"/>
        <v>259</v>
      </c>
      <c r="N23" s="28">
        <f>VLOOKUP($A23,'Выгр Кат'!$A:$R,N$1,0)</f>
        <v>135</v>
      </c>
      <c r="O23" s="28">
        <f>VLOOKUP($A23,'Выгр Кат'!$A:$R,O$1,0)</f>
        <v>259</v>
      </c>
      <c r="P23" s="30">
        <f t="shared" si="5"/>
        <v>0</v>
      </c>
      <c r="Q23" s="30">
        <f t="shared" si="6"/>
        <v>0</v>
      </c>
      <c r="R23" s="36">
        <f t="shared" si="2"/>
        <v>240.86999999999998</v>
      </c>
      <c r="S23" s="64">
        <f>IFERROR((VLOOKUP($A23,'Из ГУГЛа'!$B:$G,6,0)+U23)*T23,VLOOKUP($A23,'Из ГУГЛа'!$B:$G,6,0))</f>
        <v>390</v>
      </c>
      <c r="T23" s="38">
        <v>1</v>
      </c>
      <c r="U23" s="38">
        <v>0</v>
      </c>
      <c r="V23" s="39">
        <f t="shared" si="7"/>
        <v>0.78422222222222215</v>
      </c>
      <c r="W23" s="39">
        <f t="shared" si="8"/>
        <v>0.38238461538461543</v>
      </c>
      <c r="X23" s="39">
        <f t="shared" si="9"/>
        <v>1.8888888888888888</v>
      </c>
      <c r="Y23" s="40">
        <v>390</v>
      </c>
      <c r="Z23" s="46" t="s">
        <v>8067</v>
      </c>
    </row>
    <row r="24" spans="1:26" s="3" customFormat="1" ht="60" x14ac:dyDescent="0.25">
      <c r="A24" s="28">
        <v>133013</v>
      </c>
      <c r="B24" s="28">
        <f>VLOOKUP($A24,'Выгр Кат'!$A:$R,B$1,0)</f>
        <v>14172</v>
      </c>
      <c r="C24" s="27" t="str">
        <f>VLOOKUP($A24,'Выгр Кат'!$A:$R,C$1,0)</f>
        <v>Ароматизатор (освежитель) воздуха Contra "Sex First" Элегантный запах с древесными нотами и тонким шлейфом лаванды (In the night)</v>
      </c>
      <c r="D24" s="28" t="str">
        <f>VLOOKUP($A24,'Выгр Кат'!$A:$R,D$1,0)</f>
        <v>Y</v>
      </c>
      <c r="E24" s="28" t="str">
        <f>VLOOKUP($A24,'Выгр Кат'!$A:$R,E$1,0)</f>
        <v>1</v>
      </c>
      <c r="F24" s="28" t="str">
        <f>VLOOKUP($A24,'Выгр Кат'!$A:$R,F$1,0)</f>
        <v>72296</v>
      </c>
      <c r="G24" s="7">
        <v>72296</v>
      </c>
      <c r="H24" s="7"/>
      <c r="I24" s="1" t="s">
        <v>3</v>
      </c>
      <c r="J24" s="42">
        <f>VLOOKUP(G24,Прайс!B:E,4,0)</f>
        <v>100</v>
      </c>
      <c r="K24" s="2">
        <f>VLOOKUP(J24,Наценка!$A$1:$B$8,2,1)</f>
        <v>1.89</v>
      </c>
      <c r="L24" s="4">
        <f t="shared" si="10"/>
        <v>189</v>
      </c>
      <c r="M24" s="42">
        <f t="shared" si="4"/>
        <v>189</v>
      </c>
      <c r="N24" s="28">
        <f>VLOOKUP($A24,'Выгр Кат'!$A:$R,N$1,0)</f>
        <v>100</v>
      </c>
      <c r="O24" s="28">
        <f>VLOOKUP($A24,'Выгр Кат'!$A:$R,O$1,0)</f>
        <v>189</v>
      </c>
      <c r="P24" s="30">
        <f t="shared" si="5"/>
        <v>0</v>
      </c>
      <c r="Q24" s="30">
        <f t="shared" si="6"/>
        <v>0</v>
      </c>
      <c r="R24" s="36">
        <f t="shared" si="2"/>
        <v>175.76999999999998</v>
      </c>
      <c r="S24" s="64">
        <f>IFERROR((VLOOKUP($A24,'Из ГУГЛа'!$B:$G,6,0)+U24)*T24,VLOOKUP($A24,'Из ГУГЛа'!$B:$G,6,0))</f>
        <v>390</v>
      </c>
      <c r="T24" s="38">
        <v>1</v>
      </c>
      <c r="U24" s="38">
        <v>0</v>
      </c>
      <c r="V24" s="39">
        <f t="shared" si="7"/>
        <v>0.75769999999999982</v>
      </c>
      <c r="W24" s="39">
        <f t="shared" si="8"/>
        <v>0.54930769230769239</v>
      </c>
      <c r="X24" s="39">
        <f t="shared" si="9"/>
        <v>2.9</v>
      </c>
      <c r="Y24" s="40">
        <v>390</v>
      </c>
      <c r="Z24" s="46" t="s">
        <v>8067</v>
      </c>
    </row>
    <row r="25" spans="1:26" s="3" customFormat="1" ht="45" x14ac:dyDescent="0.25">
      <c r="A25" s="28">
        <v>133014</v>
      </c>
      <c r="B25" s="28">
        <f>VLOOKUP($A25,'Выгр Кат'!$A:$R,B$1,0)</f>
        <v>17061</v>
      </c>
      <c r="C25" s="27" t="str">
        <f>VLOOKUP($A25,'Выгр Кат'!$A:$R,C$1,0)</f>
        <v>Ароматизатор (освежитель) воздуха Contra "Sex Killer" Черная ваниль и ликер</v>
      </c>
      <c r="D25" s="28" t="str">
        <f>VLOOKUP($A25,'Выгр Кат'!$A:$R,D$1,0)</f>
        <v>Y</v>
      </c>
      <c r="E25" s="28" t="str">
        <f>VLOOKUP($A25,'Выгр Кат'!$A:$R,E$1,0)</f>
        <v>1</v>
      </c>
      <c r="F25" s="28" t="str">
        <f>VLOOKUP($A25,'Выгр Кат'!$A:$R,F$1,0)</f>
        <v>72243</v>
      </c>
      <c r="G25" s="7">
        <v>72243</v>
      </c>
      <c r="H25" s="7"/>
      <c r="I25" s="1" t="s">
        <v>3</v>
      </c>
      <c r="J25" s="42">
        <f>VLOOKUP(G25,Прайс!B:E,4,0)</f>
        <v>135</v>
      </c>
      <c r="K25" s="2">
        <f>VLOOKUP(J25,Наценка!$A$1:$B$8,2,1)</f>
        <v>1.89</v>
      </c>
      <c r="L25" s="4">
        <f t="shared" si="10"/>
        <v>255.14999999999998</v>
      </c>
      <c r="M25" s="42">
        <f t="shared" si="4"/>
        <v>259</v>
      </c>
      <c r="N25" s="28">
        <f>VLOOKUP($A25,'Выгр Кат'!$A:$R,N$1,0)</f>
        <v>135</v>
      </c>
      <c r="O25" s="28">
        <f>VLOOKUP($A25,'Выгр Кат'!$A:$R,O$1,0)</f>
        <v>259</v>
      </c>
      <c r="P25" s="30">
        <f t="shared" si="5"/>
        <v>0</v>
      </c>
      <c r="Q25" s="30">
        <f t="shared" si="6"/>
        <v>0</v>
      </c>
      <c r="R25" s="36">
        <f t="shared" si="2"/>
        <v>240.86999999999998</v>
      </c>
      <c r="S25" s="64">
        <f>IFERROR((VLOOKUP($A25,'Из ГУГЛа'!$B:$G,6,0)+U25)*T25,VLOOKUP($A25,'Из ГУГЛа'!$B:$G,6,0))</f>
        <v>390</v>
      </c>
      <c r="T25" s="38">
        <v>1</v>
      </c>
      <c r="U25" s="38">
        <v>0</v>
      </c>
      <c r="V25" s="39">
        <f t="shared" si="7"/>
        <v>0.78422222222222215</v>
      </c>
      <c r="W25" s="39">
        <f t="shared" si="8"/>
        <v>0.38238461538461543</v>
      </c>
      <c r="X25" s="39">
        <f t="shared" si="9"/>
        <v>1.8888888888888888</v>
      </c>
      <c r="Y25" s="40">
        <v>390</v>
      </c>
      <c r="Z25" s="46" t="s">
        <v>8067</v>
      </c>
    </row>
    <row r="26" spans="1:26" s="3" customFormat="1" ht="45" x14ac:dyDescent="0.25">
      <c r="A26" s="28">
        <v>133016</v>
      </c>
      <c r="B26" s="28">
        <f>VLOOKUP($A26,'Выгр Кат'!$A:$R,B$1,0)</f>
        <v>17060</v>
      </c>
      <c r="C26" s="27" t="str">
        <f>VLOOKUP($A26,'Выгр Кат'!$A:$R,C$1,0)</f>
        <v>Ароматизатор (освежитель) воздуха Contra "Sex Lady" Сочетание белых цветов, нот айвы и грейпфрута</v>
      </c>
      <c r="D26" s="28" t="str">
        <f>VLOOKUP($A26,'Выгр Кат'!$A:$R,D$1,0)</f>
        <v>Y</v>
      </c>
      <c r="E26" s="28" t="str">
        <f>VLOOKUP($A26,'Выгр Кат'!$A:$R,E$1,0)</f>
        <v>1</v>
      </c>
      <c r="F26" s="28" t="str">
        <f>VLOOKUP($A26,'Выгр Кат'!$A:$R,F$1,0)</f>
        <v>72241</v>
      </c>
      <c r="G26" s="7">
        <v>72241</v>
      </c>
      <c r="H26" s="7"/>
      <c r="I26" s="1" t="s">
        <v>3</v>
      </c>
      <c r="J26" s="42">
        <f>VLOOKUP(G26,Прайс!B:E,4,0)</f>
        <v>135</v>
      </c>
      <c r="K26" s="2">
        <f>VLOOKUP(J26,Наценка!$A$1:$B$8,2,1)</f>
        <v>1.89</v>
      </c>
      <c r="L26" s="4">
        <f t="shared" si="10"/>
        <v>255.14999999999998</v>
      </c>
      <c r="M26" s="42">
        <f t="shared" si="4"/>
        <v>259</v>
      </c>
      <c r="N26" s="28">
        <f>VLOOKUP($A26,'Выгр Кат'!$A:$R,N$1,0)</f>
        <v>135</v>
      </c>
      <c r="O26" s="28">
        <f>VLOOKUP($A26,'Выгр Кат'!$A:$R,O$1,0)</f>
        <v>259</v>
      </c>
      <c r="P26" s="30">
        <f t="shared" si="5"/>
        <v>0</v>
      </c>
      <c r="Q26" s="30">
        <f t="shared" si="6"/>
        <v>0</v>
      </c>
      <c r="R26" s="36">
        <f t="shared" si="2"/>
        <v>240.86999999999998</v>
      </c>
      <c r="S26" s="64">
        <f>IFERROR((VLOOKUP($A26,'Из ГУГЛа'!$B:$G,6,0)+U26)*T26,VLOOKUP($A26,'Из ГУГЛа'!$B:$G,6,0))</f>
        <v>390</v>
      </c>
      <c r="T26" s="38">
        <v>1</v>
      </c>
      <c r="U26" s="38">
        <v>0</v>
      </c>
      <c r="V26" s="39">
        <f t="shared" si="7"/>
        <v>0.78422222222222215</v>
      </c>
      <c r="W26" s="39">
        <f t="shared" si="8"/>
        <v>0.38238461538461543</v>
      </c>
      <c r="X26" s="39">
        <f t="shared" si="9"/>
        <v>1.8888888888888888</v>
      </c>
      <c r="Y26" s="40">
        <v>390</v>
      </c>
      <c r="Z26" s="46" t="s">
        <v>8067</v>
      </c>
    </row>
    <row r="27" spans="1:26" s="3" customFormat="1" ht="45" x14ac:dyDescent="0.25">
      <c r="A27" s="28">
        <v>133017</v>
      </c>
      <c r="B27" s="28">
        <f>VLOOKUP($A27,'Выгр Кат'!$A:$R,B$1,0)</f>
        <v>16469</v>
      </c>
      <c r="C27" s="27" t="str">
        <f>VLOOKUP($A27,'Выгр Кат'!$A:$R,C$1,0)</f>
        <v>Ароматизатор (освежитель) воздуха Contra "Sex Narcotic" Древесно-ванильная эйфория с феромонами</v>
      </c>
      <c r="D27" s="28" t="str">
        <f>VLOOKUP($A27,'Выгр Кат'!$A:$R,D$1,0)</f>
        <v>Y</v>
      </c>
      <c r="E27" s="28" t="str">
        <f>VLOOKUP($A27,'Выгр Кат'!$A:$R,E$1,0)</f>
        <v>1</v>
      </c>
      <c r="F27" s="28" t="str">
        <f>VLOOKUP($A27,'Выгр Кат'!$A:$R,F$1,0)</f>
        <v>72245</v>
      </c>
      <c r="G27" s="7">
        <v>72245</v>
      </c>
      <c r="H27" s="7"/>
      <c r="I27" s="1" t="s">
        <v>3</v>
      </c>
      <c r="J27" s="42">
        <f>VLOOKUP(G27,Прайс!B:E,4,0)</f>
        <v>135</v>
      </c>
      <c r="K27" s="2">
        <f>VLOOKUP(J27,Наценка!$A$1:$B$8,2,1)</f>
        <v>1.89</v>
      </c>
      <c r="L27" s="4">
        <f t="shared" si="10"/>
        <v>255.14999999999998</v>
      </c>
      <c r="M27" s="42">
        <f t="shared" si="4"/>
        <v>259</v>
      </c>
      <c r="N27" s="28">
        <f>VLOOKUP($A27,'Выгр Кат'!$A:$R,N$1,0)</f>
        <v>135</v>
      </c>
      <c r="O27" s="28">
        <f>VLOOKUP($A27,'Выгр Кат'!$A:$R,O$1,0)</f>
        <v>259</v>
      </c>
      <c r="P27" s="30">
        <f t="shared" si="5"/>
        <v>0</v>
      </c>
      <c r="Q27" s="30">
        <f t="shared" si="6"/>
        <v>0</v>
      </c>
      <c r="R27" s="36">
        <f t="shared" si="2"/>
        <v>240.86999999999998</v>
      </c>
      <c r="S27" s="64">
        <f>IFERROR((VLOOKUP($A27,'Из ГУГЛа'!$B:$G,6,0)+U27)*T27,VLOOKUP($A27,'Из ГУГЛа'!$B:$G,6,0))</f>
        <v>390</v>
      </c>
      <c r="T27" s="38">
        <v>1</v>
      </c>
      <c r="U27" s="38">
        <v>0</v>
      </c>
      <c r="V27" s="39">
        <f t="shared" si="7"/>
        <v>0.78422222222222215</v>
      </c>
      <c r="W27" s="39">
        <f t="shared" si="8"/>
        <v>0.38238461538461543</v>
      </c>
      <c r="X27" s="39">
        <f t="shared" si="9"/>
        <v>1.8888888888888888</v>
      </c>
      <c r="Y27" s="40">
        <v>390</v>
      </c>
      <c r="Z27" s="46" t="s">
        <v>8067</v>
      </c>
    </row>
    <row r="28" spans="1:26" s="3" customFormat="1" ht="45" x14ac:dyDescent="0.25">
      <c r="A28" s="28">
        <v>133018</v>
      </c>
      <c r="B28" s="28">
        <f>VLOOKUP($A28,'Выгр Кат'!$A:$R,B$1,0)</f>
        <v>13780</v>
      </c>
      <c r="C28" s="27" t="str">
        <f>VLOOKUP($A28,'Выгр Кат'!$A:$R,C$1,0)</f>
        <v>Ароматизатор (освежитель) воздуха Contra "Sex on board" Грейпфрут с лепестками розы (Grapefruit rose)</v>
      </c>
      <c r="D28" s="28" t="str">
        <f>VLOOKUP($A28,'Выгр Кат'!$A:$R,D$1,0)</f>
        <v>Y</v>
      </c>
      <c r="E28" s="28" t="str">
        <f>VLOOKUP($A28,'Выгр Кат'!$A:$R,E$1,0)</f>
        <v>1</v>
      </c>
      <c r="F28" s="28" t="str">
        <f>VLOOKUP($A28,'Выгр Кат'!$A:$R,F$1,0)</f>
        <v>72297</v>
      </c>
      <c r="G28" s="7">
        <v>72297</v>
      </c>
      <c r="H28" s="7"/>
      <c r="I28" s="1" t="s">
        <v>3</v>
      </c>
      <c r="J28" s="42">
        <f>VLOOKUP(G28,Прайс!B:E,4,0)</f>
        <v>100</v>
      </c>
      <c r="K28" s="2">
        <f>VLOOKUP(J28,Наценка!$A$1:$B$8,2,1)</f>
        <v>1.89</v>
      </c>
      <c r="L28" s="4">
        <f t="shared" si="10"/>
        <v>189</v>
      </c>
      <c r="M28" s="42">
        <f t="shared" si="4"/>
        <v>189</v>
      </c>
      <c r="N28" s="28">
        <f>VLOOKUP($A28,'Выгр Кат'!$A:$R,N$1,0)</f>
        <v>100</v>
      </c>
      <c r="O28" s="28">
        <f>VLOOKUP($A28,'Выгр Кат'!$A:$R,O$1,0)</f>
        <v>189</v>
      </c>
      <c r="P28" s="30">
        <f t="shared" si="5"/>
        <v>0</v>
      </c>
      <c r="Q28" s="30">
        <f t="shared" si="6"/>
        <v>0</v>
      </c>
      <c r="R28" s="36">
        <f t="shared" si="2"/>
        <v>175.76999999999998</v>
      </c>
      <c r="S28" s="64">
        <f>IFERROR((VLOOKUP($A28,'Из ГУГЛа'!$B:$G,6,0)+U28)*T28,VLOOKUP($A28,'Из ГУГЛа'!$B:$G,6,0))</f>
        <v>390</v>
      </c>
      <c r="T28" s="38">
        <v>1</v>
      </c>
      <c r="U28" s="38">
        <v>0</v>
      </c>
      <c r="V28" s="39">
        <f t="shared" si="7"/>
        <v>0.75769999999999982</v>
      </c>
      <c r="W28" s="39">
        <f t="shared" si="8"/>
        <v>0.54930769230769239</v>
      </c>
      <c r="X28" s="39">
        <f t="shared" si="9"/>
        <v>2.9</v>
      </c>
      <c r="Y28" s="40">
        <v>390</v>
      </c>
      <c r="Z28" s="46" t="s">
        <v>8067</v>
      </c>
    </row>
    <row r="29" spans="1:26" s="3" customFormat="1" ht="45" x14ac:dyDescent="0.25">
      <c r="A29" s="28">
        <v>133019</v>
      </c>
      <c r="B29" s="28">
        <f>VLOOKUP($A29,'Выгр Кат'!$A:$R,B$1,0)</f>
        <v>16468</v>
      </c>
      <c r="C29" s="27" t="str">
        <f>VLOOKUP($A29,'Выгр Кат'!$A:$R,C$1,0)</f>
        <v>Ароматизатор (освежитель) воздуха Contra "Sex Police" Красный мандарин и белый мускус</v>
      </c>
      <c r="D29" s="28" t="str">
        <f>VLOOKUP($A29,'Выгр Кат'!$A:$R,D$1,0)</f>
        <v>Y</v>
      </c>
      <c r="E29" s="28" t="str">
        <f>VLOOKUP($A29,'Выгр Кат'!$A:$R,E$1,0)</f>
        <v>1</v>
      </c>
      <c r="F29" s="28" t="str">
        <f>VLOOKUP($A29,'Выгр Кат'!$A:$R,F$1,0)</f>
        <v>72242</v>
      </c>
      <c r="G29" s="7">
        <v>72242</v>
      </c>
      <c r="H29" s="7"/>
      <c r="I29" s="1" t="s">
        <v>3</v>
      </c>
      <c r="J29" s="42">
        <f>VLOOKUP(G29,Прайс!B:E,4,0)</f>
        <v>135</v>
      </c>
      <c r="K29" s="2">
        <f>VLOOKUP(J29,Наценка!$A$1:$B$8,2,1)</f>
        <v>1.89</v>
      </c>
      <c r="L29" s="4">
        <f t="shared" si="10"/>
        <v>255.14999999999998</v>
      </c>
      <c r="M29" s="42">
        <f t="shared" si="4"/>
        <v>259</v>
      </c>
      <c r="N29" s="28">
        <f>VLOOKUP($A29,'Выгр Кат'!$A:$R,N$1,0)</f>
        <v>135</v>
      </c>
      <c r="O29" s="28">
        <f>VLOOKUP($A29,'Выгр Кат'!$A:$R,O$1,0)</f>
        <v>259</v>
      </c>
      <c r="P29" s="30">
        <f t="shared" si="5"/>
        <v>0</v>
      </c>
      <c r="Q29" s="30">
        <f t="shared" si="6"/>
        <v>0</v>
      </c>
      <c r="R29" s="36">
        <f t="shared" si="2"/>
        <v>240.86999999999998</v>
      </c>
      <c r="S29" s="64">
        <f>IFERROR((VLOOKUP($A29,'Из ГУГЛа'!$B:$G,6,0)+U29)*T29,VLOOKUP($A29,'Из ГУГЛа'!$B:$G,6,0))</f>
        <v>390</v>
      </c>
      <c r="T29" s="38">
        <v>1</v>
      </c>
      <c r="U29" s="38">
        <v>0</v>
      </c>
      <c r="V29" s="39">
        <f t="shared" si="7"/>
        <v>0.78422222222222215</v>
      </c>
      <c r="W29" s="39">
        <f t="shared" si="8"/>
        <v>0.38238461538461543</v>
      </c>
      <c r="X29" s="39">
        <f t="shared" si="9"/>
        <v>1.8888888888888888</v>
      </c>
      <c r="Y29" s="40">
        <v>390</v>
      </c>
      <c r="Z29" s="46" t="s">
        <v>8067</v>
      </c>
    </row>
    <row r="30" spans="1:26" s="3" customFormat="1" ht="45" x14ac:dyDescent="0.25">
      <c r="A30" s="28">
        <v>133020</v>
      </c>
      <c r="B30" s="28">
        <f>VLOOKUP($A30,'Выгр Кат'!$A:$R,B$1,0)</f>
        <v>14089</v>
      </c>
      <c r="C30" s="27" t="str">
        <f>VLOOKUP($A30,'Выгр Кат'!$A:$R,C$1,0)</f>
        <v>Ароматизатор (освежитель) воздуха Contra "Sex Queen" Сладкий аромат с цветочными нотами (Ocean sweet)</v>
      </c>
      <c r="D30" s="28" t="str">
        <f>VLOOKUP($A30,'Выгр Кат'!$A:$R,D$1,0)</f>
        <v>Y</v>
      </c>
      <c r="E30" s="28" t="str">
        <f>VLOOKUP($A30,'Выгр Кат'!$A:$R,E$1,0)</f>
        <v>1</v>
      </c>
      <c r="F30" s="28" t="str">
        <f>VLOOKUP($A30,'Выгр Кат'!$A:$R,F$1,0)</f>
        <v>72298</v>
      </c>
      <c r="G30" s="7">
        <v>72298</v>
      </c>
      <c r="H30" s="7"/>
      <c r="I30" s="1" t="s">
        <v>3</v>
      </c>
      <c r="J30" s="42">
        <f>VLOOKUP(G30,Прайс!B:E,4,0)</f>
        <v>100</v>
      </c>
      <c r="K30" s="2">
        <f>VLOOKUP(J30,Наценка!$A$1:$B$8,2,1)</f>
        <v>1.89</v>
      </c>
      <c r="L30" s="4">
        <f t="shared" si="10"/>
        <v>189</v>
      </c>
      <c r="M30" s="42">
        <f t="shared" si="4"/>
        <v>189</v>
      </c>
      <c r="N30" s="28">
        <f>VLOOKUP($A30,'Выгр Кат'!$A:$R,N$1,0)</f>
        <v>100</v>
      </c>
      <c r="O30" s="28">
        <f>VLOOKUP($A30,'Выгр Кат'!$A:$R,O$1,0)</f>
        <v>189</v>
      </c>
      <c r="P30" s="30">
        <f t="shared" si="5"/>
        <v>0</v>
      </c>
      <c r="Q30" s="30">
        <f t="shared" si="6"/>
        <v>0</v>
      </c>
      <c r="R30" s="36">
        <f t="shared" si="2"/>
        <v>175.76999999999998</v>
      </c>
      <c r="S30" s="64">
        <f>IFERROR((VLOOKUP($A30,'Из ГУГЛа'!$B:$G,6,0)+U30)*T30,VLOOKUP($A30,'Из ГУГЛа'!$B:$G,6,0))</f>
        <v>390</v>
      </c>
      <c r="T30" s="38">
        <v>1</v>
      </c>
      <c r="U30" s="38">
        <v>0</v>
      </c>
      <c r="V30" s="39">
        <f t="shared" si="7"/>
        <v>0.75769999999999982</v>
      </c>
      <c r="W30" s="39">
        <f t="shared" si="8"/>
        <v>0.54930769230769239</v>
      </c>
      <c r="X30" s="39">
        <f t="shared" si="9"/>
        <v>2.9</v>
      </c>
      <c r="Y30" s="40">
        <v>390</v>
      </c>
      <c r="Z30" s="46" t="s">
        <v>8067</v>
      </c>
    </row>
    <row r="31" spans="1:26" s="3" customFormat="1" ht="60" x14ac:dyDescent="0.25">
      <c r="A31" s="28">
        <v>133021</v>
      </c>
      <c r="B31" s="28">
        <f>VLOOKUP($A31,'Выгр Кат'!$A:$R,B$1,0)</f>
        <v>17062</v>
      </c>
      <c r="C31" s="27" t="str">
        <f>VLOOKUP($A31,'Выгр Кат'!$A:$R,C$1,0)</f>
        <v>Ароматизатор (освежитель) воздуха Contra "Sex Secret" Сливочные аккорды миндаля, терпкие ноты черной смородины и нежные цветы</v>
      </c>
      <c r="D31" s="28" t="str">
        <f>VLOOKUP($A31,'Выгр Кат'!$A:$R,D$1,0)</f>
        <v>Y</v>
      </c>
      <c r="E31" s="28" t="str">
        <f>VLOOKUP($A31,'Выгр Кат'!$A:$R,E$1,0)</f>
        <v>1</v>
      </c>
      <c r="F31" s="28" t="str">
        <f>VLOOKUP($A31,'Выгр Кат'!$A:$R,F$1,0)</f>
        <v>72244</v>
      </c>
      <c r="G31" s="7">
        <v>72244</v>
      </c>
      <c r="H31" s="7"/>
      <c r="I31" s="1" t="s">
        <v>3</v>
      </c>
      <c r="J31" s="42">
        <f>VLOOKUP(G31,Прайс!B:E,4,0)</f>
        <v>135</v>
      </c>
      <c r="K31" s="2">
        <f>VLOOKUP(J31,Наценка!$A$1:$B$8,2,1)</f>
        <v>1.89</v>
      </c>
      <c r="L31" s="4">
        <f t="shared" si="10"/>
        <v>255.14999999999998</v>
      </c>
      <c r="M31" s="42">
        <f t="shared" si="4"/>
        <v>259</v>
      </c>
      <c r="N31" s="28">
        <f>VLOOKUP($A31,'Выгр Кат'!$A:$R,N$1,0)</f>
        <v>135</v>
      </c>
      <c r="O31" s="28">
        <f>VLOOKUP($A31,'Выгр Кат'!$A:$R,O$1,0)</f>
        <v>259</v>
      </c>
      <c r="P31" s="30">
        <f t="shared" si="5"/>
        <v>0</v>
      </c>
      <c r="Q31" s="30">
        <f t="shared" si="6"/>
        <v>0</v>
      </c>
      <c r="R31" s="36">
        <f t="shared" si="2"/>
        <v>240.86999999999998</v>
      </c>
      <c r="S31" s="64">
        <f>IFERROR((VLOOKUP($A31,'Из ГУГЛа'!$B:$G,6,0)+U31)*T31,VLOOKUP($A31,'Из ГУГЛа'!$B:$G,6,0))</f>
        <v>390</v>
      </c>
      <c r="T31" s="38">
        <v>1</v>
      </c>
      <c r="U31" s="38">
        <v>0</v>
      </c>
      <c r="V31" s="39">
        <f t="shared" si="7"/>
        <v>0.78422222222222215</v>
      </c>
      <c r="W31" s="39">
        <f t="shared" si="8"/>
        <v>0.38238461538461543</v>
      </c>
      <c r="X31" s="39">
        <f t="shared" si="9"/>
        <v>1.8888888888888888</v>
      </c>
      <c r="Y31" s="40">
        <v>390</v>
      </c>
      <c r="Z31" s="46" t="s">
        <v>8067</v>
      </c>
    </row>
    <row r="32" spans="1:26" s="3" customFormat="1" ht="60" x14ac:dyDescent="0.25">
      <c r="A32" s="28">
        <v>133022</v>
      </c>
      <c r="B32" s="28">
        <f>VLOOKUP($A32,'Выгр Кат'!$A:$R,B$1,0)</f>
        <v>17064</v>
      </c>
      <c r="C32" s="27" t="str">
        <f>VLOOKUP($A32,'Выгр Кат'!$A:$R,C$1,0)</f>
        <v>Ароматизатор (освежитель) воздуха Contra "Sex Наша работа Limited" Дерзкое сочетание афганского цветка и белого кедра</v>
      </c>
      <c r="D32" s="28" t="str">
        <f>VLOOKUP($A32,'Выгр Кат'!$A:$R,D$1,0)</f>
        <v>Y</v>
      </c>
      <c r="E32" s="28" t="str">
        <f>VLOOKUP($A32,'Выгр Кат'!$A:$R,E$1,0)</f>
        <v>1</v>
      </c>
      <c r="F32" s="28" t="str">
        <f>VLOOKUP($A32,'Выгр Кат'!$A:$R,F$1,0)</f>
        <v>72231</v>
      </c>
      <c r="G32" s="7">
        <v>72231</v>
      </c>
      <c r="H32" s="7"/>
      <c r="I32" s="1" t="s">
        <v>3</v>
      </c>
      <c r="J32" s="42">
        <f>VLOOKUP(G32,Прайс!B:E,4,0)</f>
        <v>135</v>
      </c>
      <c r="K32" s="2">
        <f>VLOOKUP(J32,Наценка!$A$1:$B$8,2,1)</f>
        <v>1.89</v>
      </c>
      <c r="L32" s="4">
        <f t="shared" si="10"/>
        <v>255.14999999999998</v>
      </c>
      <c r="M32" s="42">
        <f t="shared" si="4"/>
        <v>259</v>
      </c>
      <c r="N32" s="28">
        <f>VLOOKUP($A32,'Выгр Кат'!$A:$R,N$1,0)</f>
        <v>135</v>
      </c>
      <c r="O32" s="28">
        <f>VLOOKUP($A32,'Выгр Кат'!$A:$R,O$1,0)</f>
        <v>259</v>
      </c>
      <c r="P32" s="30">
        <f t="shared" si="5"/>
        <v>0</v>
      </c>
      <c r="Q32" s="30">
        <f t="shared" si="6"/>
        <v>0</v>
      </c>
      <c r="R32" s="36">
        <f t="shared" si="2"/>
        <v>240.86999999999998</v>
      </c>
      <c r="S32" s="64">
        <f>IFERROR((VLOOKUP($A32,'Из ГУГЛа'!$B:$G,6,0)+U32)*T32,VLOOKUP($A32,'Из ГУГЛа'!$B:$G,6,0))</f>
        <v>390</v>
      </c>
      <c r="T32" s="38">
        <v>1</v>
      </c>
      <c r="U32" s="38">
        <v>0</v>
      </c>
      <c r="V32" s="39">
        <f t="shared" si="7"/>
        <v>0.78422222222222215</v>
      </c>
      <c r="W32" s="39">
        <f t="shared" si="8"/>
        <v>0.38238461538461543</v>
      </c>
      <c r="X32" s="39">
        <f t="shared" si="9"/>
        <v>1.8888888888888888</v>
      </c>
      <c r="Y32" s="40">
        <v>390</v>
      </c>
      <c r="Z32" s="46" t="s">
        <v>8067</v>
      </c>
    </row>
    <row r="33" spans="1:26" s="3" customFormat="1" ht="45" x14ac:dyDescent="0.25">
      <c r="A33" s="28">
        <v>133023</v>
      </c>
      <c r="B33" s="28">
        <f>VLOOKUP($A33,'Выгр Кат'!$A:$R,B$1,0)</f>
        <v>13778</v>
      </c>
      <c r="C33" s="27" t="str">
        <f>VLOOKUP($A33,'Выгр Кат'!$A:$R,C$1,0)</f>
        <v>Ароматизатор (освежитель) воздуха Contra "Sex наша работа" Эйфория цветов и фруктов (Audabe)</v>
      </c>
      <c r="D33" s="28" t="str">
        <f>VLOOKUP($A33,'Выгр Кат'!$A:$R,D$1,0)</f>
        <v>Y</v>
      </c>
      <c r="E33" s="28" t="str">
        <f>VLOOKUP($A33,'Выгр Кат'!$A:$R,E$1,0)</f>
        <v>1</v>
      </c>
      <c r="F33" s="28" t="str">
        <f>VLOOKUP($A33,'Выгр Кат'!$A:$R,F$1,0)</f>
        <v>72292</v>
      </c>
      <c r="G33" s="7">
        <v>72292</v>
      </c>
      <c r="H33" s="7"/>
      <c r="I33" s="1" t="s">
        <v>3</v>
      </c>
      <c r="J33" s="42">
        <f>VLOOKUP(G33,Прайс!B:E,4,0)</f>
        <v>100</v>
      </c>
      <c r="K33" s="2">
        <f>VLOOKUP(J33,Наценка!$A$1:$B$8,2,1)</f>
        <v>1.89</v>
      </c>
      <c r="L33" s="4">
        <f t="shared" si="10"/>
        <v>189</v>
      </c>
      <c r="M33" s="42">
        <f t="shared" si="4"/>
        <v>189</v>
      </c>
      <c r="N33" s="28">
        <f>VLOOKUP($A33,'Выгр Кат'!$A:$R,N$1,0)</f>
        <v>100</v>
      </c>
      <c r="O33" s="28">
        <f>VLOOKUP($A33,'Выгр Кат'!$A:$R,O$1,0)</f>
        <v>189</v>
      </c>
      <c r="P33" s="30">
        <f t="shared" si="5"/>
        <v>0</v>
      </c>
      <c r="Q33" s="30">
        <f t="shared" si="6"/>
        <v>0</v>
      </c>
      <c r="R33" s="36">
        <f t="shared" si="2"/>
        <v>175.76999999999998</v>
      </c>
      <c r="S33" s="64">
        <f>IFERROR((VLOOKUP($A33,'Из ГУГЛа'!$B:$G,6,0)+U33)*T33,VLOOKUP($A33,'Из ГУГЛа'!$B:$G,6,0))</f>
        <v>390</v>
      </c>
      <c r="T33" s="38">
        <v>1</v>
      </c>
      <c r="U33" s="38">
        <v>0</v>
      </c>
      <c r="V33" s="39">
        <f t="shared" si="7"/>
        <v>0.75769999999999982</v>
      </c>
      <c r="W33" s="39">
        <f t="shared" si="8"/>
        <v>0.54930769230769239</v>
      </c>
      <c r="X33" s="39">
        <f t="shared" si="9"/>
        <v>2.9</v>
      </c>
      <c r="Y33" s="40">
        <v>390</v>
      </c>
      <c r="Z33" s="46" t="s">
        <v>8067</v>
      </c>
    </row>
    <row r="34" spans="1:26" s="3" customFormat="1" ht="45" x14ac:dyDescent="0.25">
      <c r="A34" s="28">
        <v>133024</v>
      </c>
      <c r="B34" s="28">
        <f>VLOOKUP($A34,'Выгр Кат'!$A:$R,B$1,0)</f>
        <v>13779</v>
      </c>
      <c r="C34" s="27" t="str">
        <f>VLOOKUP($A34,'Выгр Кат'!$A:$R,C$1,0)</f>
        <v>Ароматизатор (освежитель) воздуха Contra "Sexoholic" Ваниль и восточные сладости (Vanilla)</v>
      </c>
      <c r="D34" s="28" t="str">
        <f>VLOOKUP($A34,'Выгр Кат'!$A:$R,D$1,0)</f>
        <v>Y</v>
      </c>
      <c r="E34" s="28" t="str">
        <f>VLOOKUP($A34,'Выгр Кат'!$A:$R,E$1,0)</f>
        <v>1</v>
      </c>
      <c r="F34" s="28" t="str">
        <f>VLOOKUP($A34,'Выгр Кат'!$A:$R,F$1,0)</f>
        <v>72293</v>
      </c>
      <c r="G34" s="7">
        <v>72293</v>
      </c>
      <c r="H34" s="7"/>
      <c r="I34" s="1" t="s">
        <v>3</v>
      </c>
      <c r="J34" s="42">
        <f>VLOOKUP(G34,Прайс!B:E,4,0)</f>
        <v>100</v>
      </c>
      <c r="K34" s="2">
        <f>VLOOKUP(J34,Наценка!$A$1:$B$8,2,1)</f>
        <v>1.89</v>
      </c>
      <c r="L34" s="4">
        <f t="shared" si="10"/>
        <v>189</v>
      </c>
      <c r="M34" s="42">
        <f t="shared" si="4"/>
        <v>189</v>
      </c>
      <c r="N34" s="28">
        <f>VLOOKUP($A34,'Выгр Кат'!$A:$R,N$1,0)</f>
        <v>100</v>
      </c>
      <c r="O34" s="28">
        <f>VLOOKUP($A34,'Выгр Кат'!$A:$R,O$1,0)</f>
        <v>189</v>
      </c>
      <c r="P34" s="30">
        <f t="shared" si="5"/>
        <v>0</v>
      </c>
      <c r="Q34" s="30">
        <f t="shared" si="6"/>
        <v>0</v>
      </c>
      <c r="R34" s="36">
        <f t="shared" si="2"/>
        <v>175.76999999999998</v>
      </c>
      <c r="S34" s="64">
        <f>IFERROR((VLOOKUP($A34,'Из ГУГЛа'!$B:$G,6,0)+U34)*T34,VLOOKUP($A34,'Из ГУГЛа'!$B:$G,6,0))</f>
        <v>390</v>
      </c>
      <c r="T34" s="38">
        <v>1</v>
      </c>
      <c r="U34" s="38">
        <v>0</v>
      </c>
      <c r="V34" s="39">
        <f t="shared" si="7"/>
        <v>0.75769999999999982</v>
      </c>
      <c r="W34" s="39">
        <f t="shared" si="8"/>
        <v>0.54930769230769239</v>
      </c>
      <c r="X34" s="39">
        <f t="shared" si="9"/>
        <v>2.9</v>
      </c>
      <c r="Y34" s="40">
        <v>390</v>
      </c>
      <c r="Z34" s="46" t="s">
        <v>8067</v>
      </c>
    </row>
    <row r="35" spans="1:26" s="3" customFormat="1" ht="45" x14ac:dyDescent="0.25">
      <c r="A35" s="28">
        <v>133025</v>
      </c>
      <c r="B35" s="28">
        <f>VLOOKUP($A35,'Выгр Кат'!$A:$R,B$1,0)</f>
        <v>17059</v>
      </c>
      <c r="C35" s="27" t="str">
        <f>VLOOKUP($A35,'Выгр Кат'!$A:$R,C$1,0)</f>
        <v>Ароматизатор (освежитель) воздуха Contra "SEXotic" Сочный дуэт из мандарина и маракуйи с феромонами</v>
      </c>
      <c r="D35" s="28" t="str">
        <f>VLOOKUP($A35,'Выгр Кат'!$A:$R,D$1,0)</f>
        <v>Y</v>
      </c>
      <c r="E35" s="28" t="str">
        <f>VLOOKUP($A35,'Выгр Кат'!$A:$R,E$1,0)</f>
        <v>1</v>
      </c>
      <c r="F35" s="28" t="str">
        <f>VLOOKUP($A35,'Выгр Кат'!$A:$R,F$1,0)</f>
        <v>72309</v>
      </c>
      <c r="G35" s="7">
        <v>72309</v>
      </c>
      <c r="H35" s="7"/>
      <c r="I35" s="1" t="s">
        <v>3</v>
      </c>
      <c r="J35" s="42">
        <f>VLOOKUP(G35,Прайс!B:E,4,0)</f>
        <v>135</v>
      </c>
      <c r="K35" s="2">
        <f>VLOOKUP(J35,Наценка!$A$1:$B$8,2,1)</f>
        <v>1.89</v>
      </c>
      <c r="L35" s="4">
        <f t="shared" si="10"/>
        <v>255.14999999999998</v>
      </c>
      <c r="M35" s="42">
        <f t="shared" si="4"/>
        <v>259</v>
      </c>
      <c r="N35" s="28">
        <f>VLOOKUP($A35,'Выгр Кат'!$A:$R,N$1,0)</f>
        <v>135</v>
      </c>
      <c r="O35" s="28">
        <f>VLOOKUP($A35,'Выгр Кат'!$A:$R,O$1,0)</f>
        <v>259</v>
      </c>
      <c r="P35" s="30">
        <f t="shared" si="5"/>
        <v>0</v>
      </c>
      <c r="Q35" s="30">
        <f t="shared" si="6"/>
        <v>0</v>
      </c>
      <c r="R35" s="36">
        <f t="shared" ref="R35:R66" si="11">IFERROR(M35*(1-$R$2),"")</f>
        <v>240.86999999999998</v>
      </c>
      <c r="S35" s="64">
        <f>IFERROR((VLOOKUP($A35,'Из ГУГЛа'!$B:$G,6,0)+U35)*T35,VLOOKUP($A35,'Из ГУГЛа'!$B:$G,6,0))</f>
        <v>390</v>
      </c>
      <c r="T35" s="38">
        <v>1</v>
      </c>
      <c r="U35" s="38">
        <v>0</v>
      </c>
      <c r="V35" s="39">
        <f t="shared" si="7"/>
        <v>0.78422222222222215</v>
      </c>
      <c r="W35" s="39">
        <f t="shared" si="8"/>
        <v>0.38238461538461543</v>
      </c>
      <c r="X35" s="39">
        <f t="shared" si="9"/>
        <v>1.8888888888888888</v>
      </c>
      <c r="Y35" s="40">
        <v>390</v>
      </c>
      <c r="Z35" s="46" t="s">
        <v>8067</v>
      </c>
    </row>
    <row r="36" spans="1:26" s="3" customFormat="1" ht="45" x14ac:dyDescent="0.25">
      <c r="A36" s="28">
        <v>133026</v>
      </c>
      <c r="B36" s="28">
        <f>VLOOKUP($A36,'Выгр Кат'!$A:$R,B$1,0)</f>
        <v>13777</v>
      </c>
      <c r="C36" s="27" t="str">
        <f>VLOOKUP($A36,'Выгр Кат'!$A:$R,C$1,0)</f>
        <v>Ароматизатор (освежитель) воздуха Contra "The Sex Mafia" Древесно-цветочная свежесть (Fabrice)</v>
      </c>
      <c r="D36" s="28" t="str">
        <f>VLOOKUP($A36,'Выгр Кат'!$A:$R,D$1,0)</f>
        <v>Y</v>
      </c>
      <c r="E36" s="28" t="str">
        <f>VLOOKUP($A36,'Выгр Кат'!$A:$R,E$1,0)</f>
        <v>1</v>
      </c>
      <c r="F36" s="28" t="str">
        <f>VLOOKUP($A36,'Выгр Кат'!$A:$R,F$1,0)</f>
        <v>72295</v>
      </c>
      <c r="G36" s="7">
        <v>72295</v>
      </c>
      <c r="H36" s="7"/>
      <c r="I36" s="1" t="s">
        <v>3</v>
      </c>
      <c r="J36" s="42">
        <f>VLOOKUP(G36,Прайс!B:E,4,0)</f>
        <v>100</v>
      </c>
      <c r="K36" s="2">
        <f>VLOOKUP(J36,Наценка!$A$1:$B$8,2,1)</f>
        <v>1.89</v>
      </c>
      <c r="L36" s="4">
        <f t="shared" si="10"/>
        <v>189</v>
      </c>
      <c r="M36" s="42">
        <f t="shared" si="4"/>
        <v>189</v>
      </c>
      <c r="N36" s="28">
        <f>VLOOKUP($A36,'Выгр Кат'!$A:$R,N$1,0)</f>
        <v>100</v>
      </c>
      <c r="O36" s="28">
        <f>VLOOKUP($A36,'Выгр Кат'!$A:$R,O$1,0)</f>
        <v>189</v>
      </c>
      <c r="P36" s="30">
        <f t="shared" si="5"/>
        <v>0</v>
      </c>
      <c r="Q36" s="30">
        <f t="shared" si="6"/>
        <v>0</v>
      </c>
      <c r="R36" s="36">
        <f t="shared" si="11"/>
        <v>175.76999999999998</v>
      </c>
      <c r="S36" s="64">
        <f>IFERROR((VLOOKUP($A36,'Из ГУГЛа'!$B:$G,6,0)+U36)*T36,VLOOKUP($A36,'Из ГУГЛа'!$B:$G,6,0))</f>
        <v>390</v>
      </c>
      <c r="T36" s="38">
        <v>1</v>
      </c>
      <c r="U36" s="38">
        <v>0</v>
      </c>
      <c r="V36" s="39">
        <f t="shared" si="7"/>
        <v>0.75769999999999982</v>
      </c>
      <c r="W36" s="39">
        <f t="shared" si="8"/>
        <v>0.54930769230769239</v>
      </c>
      <c r="X36" s="39">
        <f t="shared" si="9"/>
        <v>2.9</v>
      </c>
      <c r="Y36" s="40">
        <v>390</v>
      </c>
      <c r="Z36" s="46" t="s">
        <v>8067</v>
      </c>
    </row>
    <row r="37" spans="1:26" s="3" customFormat="1" ht="60" x14ac:dyDescent="0.25">
      <c r="A37" s="28">
        <v>133029</v>
      </c>
      <c r="B37" s="28">
        <f>VLOOKUP($A37,'Выгр Кат'!$A:$R,B$1,0)</f>
        <v>16471</v>
      </c>
      <c r="C37" s="27" t="str">
        <f>VLOOKUP($A37,'Выгр Кат'!$A:$R,C$1,0)</f>
        <v>Ароматизатор (освежитель) воздуха аэрозольный Contra "Sex Narcotic" Древесно-ванильная эйфория с феромонами</v>
      </c>
      <c r="D37" s="28" t="str">
        <f>VLOOKUP($A37,'Выгр Кат'!$A:$R,D$1,0)</f>
        <v>Y</v>
      </c>
      <c r="E37" s="28" t="str">
        <f>VLOOKUP($A37,'Выгр Кат'!$A:$R,E$1,0)</f>
        <v>0</v>
      </c>
      <c r="F37" s="28">
        <f>VLOOKUP($A37,'Выгр Кат'!$A:$R,F$1,0)</f>
        <v>0</v>
      </c>
      <c r="G37" s="4"/>
      <c r="H37" s="4"/>
      <c r="I37" s="1" t="s">
        <v>3</v>
      </c>
      <c r="J37" s="41">
        <f>N37</f>
        <v>140</v>
      </c>
      <c r="K37" s="2">
        <f>VLOOKUP(J37,Наценка!$A$1:$B$8,2,1)</f>
        <v>1.89</v>
      </c>
      <c r="L37" s="4">
        <f t="shared" si="10"/>
        <v>264.59999999999997</v>
      </c>
      <c r="M37" s="42">
        <f t="shared" si="4"/>
        <v>269</v>
      </c>
      <c r="N37" s="28">
        <f>VLOOKUP($A37,'Выгр Кат'!$A:$R,N$1,0)</f>
        <v>140</v>
      </c>
      <c r="O37" s="28">
        <f>VLOOKUP($A37,'Выгр Кат'!$A:$R,O$1,0)</f>
        <v>269</v>
      </c>
      <c r="P37" s="30">
        <f t="shared" si="5"/>
        <v>0</v>
      </c>
      <c r="Q37" s="30">
        <f t="shared" si="6"/>
        <v>0</v>
      </c>
      <c r="R37" s="36">
        <f t="shared" si="11"/>
        <v>250.17</v>
      </c>
      <c r="S37" s="64">
        <f>IFERROR((VLOOKUP($A37,'Из ГУГЛа'!$B:$G,6,0)+U37)*T37,VLOOKUP($A37,'Из ГУГЛа'!$B:$G,6,0))</f>
        <v>290</v>
      </c>
      <c r="T37" s="38">
        <v>1</v>
      </c>
      <c r="U37" s="38">
        <v>0</v>
      </c>
      <c r="V37" s="39">
        <f t="shared" si="7"/>
        <v>0.78692857142857142</v>
      </c>
      <c r="W37" s="39">
        <f t="shared" si="8"/>
        <v>0.13734482758620695</v>
      </c>
      <c r="X37" s="39">
        <f t="shared" si="9"/>
        <v>1.0714285714285716</v>
      </c>
      <c r="Y37" s="40">
        <v>290</v>
      </c>
      <c r="Z37" s="46" t="s">
        <v>8068</v>
      </c>
    </row>
    <row r="38" spans="1:26" s="3" customFormat="1" ht="60" x14ac:dyDescent="0.25">
      <c r="A38" s="28">
        <v>133030</v>
      </c>
      <c r="B38" s="28">
        <f>VLOOKUP($A38,'Выгр Кат'!$A:$R,B$1,0)</f>
        <v>14179</v>
      </c>
      <c r="C38" s="27" t="str">
        <f>VLOOKUP($A38,'Выгр Кат'!$A:$R,C$1,0)</f>
        <v>Ароматизатор (освежитель) воздуха аэрозольный Contra "Sex on board" Грейпфрут с лепестками розы (Grapefruit rose)</v>
      </c>
      <c r="D38" s="28" t="str">
        <f>VLOOKUP($A38,'Выгр Кат'!$A:$R,D$1,0)</f>
        <v>Y</v>
      </c>
      <c r="E38" s="28" t="str">
        <f>VLOOKUP($A38,'Выгр Кат'!$A:$R,E$1,0)</f>
        <v>1</v>
      </c>
      <c r="F38" s="28" t="str">
        <f>VLOOKUP($A38,'Выгр Кат'!$A:$R,F$1,0)</f>
        <v>72263</v>
      </c>
      <c r="G38" s="7">
        <v>72263</v>
      </c>
      <c r="H38" s="7"/>
      <c r="I38" s="1" t="s">
        <v>3</v>
      </c>
      <c r="J38" s="42">
        <f>VLOOKUP(G38,Прайс!B:E,4,0)</f>
        <v>140</v>
      </c>
      <c r="K38" s="2">
        <f>VLOOKUP(J38,Наценка!$A$1:$B$8,2,1)</f>
        <v>1.89</v>
      </c>
      <c r="L38" s="4">
        <f t="shared" si="10"/>
        <v>264.59999999999997</v>
      </c>
      <c r="M38" s="42">
        <f t="shared" si="4"/>
        <v>269</v>
      </c>
      <c r="N38" s="28">
        <f>VLOOKUP($A38,'Выгр Кат'!$A:$R,N$1,0)</f>
        <v>140</v>
      </c>
      <c r="O38" s="28">
        <f>VLOOKUP($A38,'Выгр Кат'!$A:$R,O$1,0)</f>
        <v>269</v>
      </c>
      <c r="P38" s="30">
        <f t="shared" si="5"/>
        <v>0</v>
      </c>
      <c r="Q38" s="30">
        <f t="shared" si="6"/>
        <v>0</v>
      </c>
      <c r="R38" s="36">
        <f t="shared" si="11"/>
        <v>250.17</v>
      </c>
      <c r="S38" s="64">
        <f>IFERROR((VLOOKUP($A38,'Из ГУГЛа'!$B:$G,6,0)+U38)*T38,VLOOKUP($A38,'Из ГУГЛа'!$B:$G,6,0))</f>
        <v>290</v>
      </c>
      <c r="T38" s="38">
        <v>1</v>
      </c>
      <c r="U38" s="38">
        <v>0</v>
      </c>
      <c r="V38" s="39">
        <f t="shared" si="7"/>
        <v>0.78692857142857142</v>
      </c>
      <c r="W38" s="39">
        <f t="shared" si="8"/>
        <v>0.13734482758620695</v>
      </c>
      <c r="X38" s="39">
        <f t="shared" si="9"/>
        <v>1.0714285714285716</v>
      </c>
      <c r="Y38" s="40">
        <v>290</v>
      </c>
      <c r="Z38" s="46" t="s">
        <v>8068</v>
      </c>
    </row>
    <row r="39" spans="1:26" s="3" customFormat="1" ht="45" x14ac:dyDescent="0.25">
      <c r="A39" s="28">
        <v>133031</v>
      </c>
      <c r="B39" s="28">
        <f>VLOOKUP($A39,'Выгр Кат'!$A:$R,B$1,0)</f>
        <v>16472</v>
      </c>
      <c r="C39" s="27" t="str">
        <f>VLOOKUP($A39,'Выгр Кат'!$A:$R,C$1,0)</f>
        <v>Ароматизатор (освежитель) воздуха аэрозольный Contra "Sex Police" Красный мандарин и белый мускус</v>
      </c>
      <c r="D39" s="28" t="str">
        <f>VLOOKUP($A39,'Выгр Кат'!$A:$R,D$1,0)</f>
        <v>Y</v>
      </c>
      <c r="E39" s="28" t="str">
        <f>VLOOKUP($A39,'Выгр Кат'!$A:$R,E$1,0)</f>
        <v>1</v>
      </c>
      <c r="F39" s="28" t="str">
        <f>VLOOKUP($A39,'Выгр Кат'!$A:$R,F$1,0)</f>
        <v>72266</v>
      </c>
      <c r="G39" s="7">
        <v>72266</v>
      </c>
      <c r="H39" s="7"/>
      <c r="I39" s="1" t="s">
        <v>3</v>
      </c>
      <c r="J39" s="42">
        <f>VLOOKUP(G39,Прайс!B:E,4,0)</f>
        <v>140</v>
      </c>
      <c r="K39" s="2">
        <f>VLOOKUP(J39,Наценка!$A$1:$B$8,2,1)</f>
        <v>1.89</v>
      </c>
      <c r="L39" s="4">
        <f t="shared" si="10"/>
        <v>264.59999999999997</v>
      </c>
      <c r="M39" s="42">
        <f t="shared" si="4"/>
        <v>269</v>
      </c>
      <c r="N39" s="28">
        <f>VLOOKUP($A39,'Выгр Кат'!$A:$R,N$1,0)</f>
        <v>140</v>
      </c>
      <c r="O39" s="28">
        <f>VLOOKUP($A39,'Выгр Кат'!$A:$R,O$1,0)</f>
        <v>269</v>
      </c>
      <c r="P39" s="30">
        <f t="shared" si="5"/>
        <v>0</v>
      </c>
      <c r="Q39" s="30">
        <f t="shared" si="6"/>
        <v>0</v>
      </c>
      <c r="R39" s="36">
        <f t="shared" si="11"/>
        <v>250.17</v>
      </c>
      <c r="S39" s="64">
        <f>IFERROR((VLOOKUP($A39,'Из ГУГЛа'!$B:$G,6,0)+U39)*T39,VLOOKUP($A39,'Из ГУГЛа'!$B:$G,6,0))</f>
        <v>290</v>
      </c>
      <c r="T39" s="38">
        <v>1</v>
      </c>
      <c r="U39" s="38">
        <v>0</v>
      </c>
      <c r="V39" s="39">
        <f t="shared" si="7"/>
        <v>0.78692857142857142</v>
      </c>
      <c r="W39" s="39">
        <f t="shared" si="8"/>
        <v>0.13734482758620695</v>
      </c>
      <c r="X39" s="39">
        <f t="shared" si="9"/>
        <v>1.0714285714285716</v>
      </c>
      <c r="Y39" s="40">
        <v>290</v>
      </c>
      <c r="Z39" s="46" t="s">
        <v>8068</v>
      </c>
    </row>
    <row r="40" spans="1:26" s="3" customFormat="1" ht="60" x14ac:dyDescent="0.25">
      <c r="A40" s="28">
        <v>133032</v>
      </c>
      <c r="B40" s="28">
        <f>VLOOKUP($A40,'Выгр Кат'!$A:$R,B$1,0)</f>
        <v>14091</v>
      </c>
      <c r="C40" s="27" t="str">
        <f>VLOOKUP($A40,'Выгр Кат'!$A:$R,C$1,0)</f>
        <v>Ароматизатор (освежитель) воздуха аэрозольный Contra "Sex наша работа" Эйфория цветов и фруктов (Audabe)</v>
      </c>
      <c r="D40" s="28" t="str">
        <f>VLOOKUP($A40,'Выгр Кат'!$A:$R,D$1,0)</f>
        <v>Y</v>
      </c>
      <c r="E40" s="28" t="str">
        <f>VLOOKUP($A40,'Выгр Кат'!$A:$R,E$1,0)</f>
        <v>1</v>
      </c>
      <c r="F40" s="28" t="str">
        <f>VLOOKUP($A40,'Выгр Кат'!$A:$R,F$1,0)</f>
        <v>72259</v>
      </c>
      <c r="G40" s="7">
        <v>72259</v>
      </c>
      <c r="H40" s="7"/>
      <c r="I40" s="1" t="s">
        <v>3</v>
      </c>
      <c r="J40" s="42">
        <f>VLOOKUP(G40,Прайс!B:E,4,0)</f>
        <v>140</v>
      </c>
      <c r="K40" s="2">
        <f>VLOOKUP(J40,Наценка!$A$1:$B$8,2,1)</f>
        <v>1.89</v>
      </c>
      <c r="L40" s="4">
        <f t="shared" si="10"/>
        <v>264.59999999999997</v>
      </c>
      <c r="M40" s="42">
        <f t="shared" si="4"/>
        <v>269</v>
      </c>
      <c r="N40" s="28">
        <f>VLOOKUP($A40,'Выгр Кат'!$A:$R,N$1,0)</f>
        <v>140</v>
      </c>
      <c r="O40" s="28">
        <f>VLOOKUP($A40,'Выгр Кат'!$A:$R,O$1,0)</f>
        <v>269</v>
      </c>
      <c r="P40" s="30">
        <f t="shared" si="5"/>
        <v>0</v>
      </c>
      <c r="Q40" s="30">
        <f t="shared" si="6"/>
        <v>0</v>
      </c>
      <c r="R40" s="36">
        <f t="shared" si="11"/>
        <v>250.17</v>
      </c>
      <c r="S40" s="64">
        <f>IFERROR((VLOOKUP($A40,'Из ГУГЛа'!$B:$G,6,0)+U40)*T40,VLOOKUP($A40,'Из ГУГЛа'!$B:$G,6,0))</f>
        <v>290</v>
      </c>
      <c r="T40" s="38">
        <v>1</v>
      </c>
      <c r="U40" s="38">
        <v>0</v>
      </c>
      <c r="V40" s="39">
        <f t="shared" si="7"/>
        <v>0.78692857142857142</v>
      </c>
      <c r="W40" s="39">
        <f t="shared" si="8"/>
        <v>0.13734482758620695</v>
      </c>
      <c r="X40" s="39">
        <f t="shared" si="9"/>
        <v>1.0714285714285716</v>
      </c>
      <c r="Y40" s="40">
        <v>290</v>
      </c>
      <c r="Z40" s="46" t="s">
        <v>8068</v>
      </c>
    </row>
    <row r="41" spans="1:26" s="3" customFormat="1" ht="60" x14ac:dyDescent="0.25">
      <c r="A41" s="28">
        <v>133033</v>
      </c>
      <c r="B41" s="28">
        <f>VLOOKUP($A41,'Выгр Кат'!$A:$R,B$1,0)</f>
        <v>14090</v>
      </c>
      <c r="C41" s="27" t="str">
        <f>VLOOKUP($A41,'Выгр Кат'!$A:$R,C$1,0)</f>
        <v>Ароматизатор (освежитель) воздуха аэрозольный Contra "Sexoholic" Ваниль и восточные сладости (Vanilla)</v>
      </c>
      <c r="D41" s="28" t="str">
        <f>VLOOKUP($A41,'Выгр Кат'!$A:$R,D$1,0)</f>
        <v>Y</v>
      </c>
      <c r="E41" s="28" t="str">
        <f>VLOOKUP($A41,'Выгр Кат'!$A:$R,E$1,0)</f>
        <v>1</v>
      </c>
      <c r="F41" s="28" t="str">
        <f>VLOOKUP($A41,'Выгр Кат'!$A:$R,F$1,0)</f>
        <v>72260</v>
      </c>
      <c r="G41" s="7">
        <v>72260</v>
      </c>
      <c r="H41" s="7"/>
      <c r="I41" s="1" t="s">
        <v>3</v>
      </c>
      <c r="J41" s="42">
        <f>VLOOKUP(G41,Прайс!B:E,4,0)</f>
        <v>140</v>
      </c>
      <c r="K41" s="2">
        <f>VLOOKUP(J41,Наценка!$A$1:$B$8,2,1)</f>
        <v>1.89</v>
      </c>
      <c r="L41" s="4">
        <f t="shared" si="10"/>
        <v>264.59999999999997</v>
      </c>
      <c r="M41" s="42">
        <f t="shared" si="4"/>
        <v>269</v>
      </c>
      <c r="N41" s="28">
        <f>VLOOKUP($A41,'Выгр Кат'!$A:$R,N$1,0)</f>
        <v>140</v>
      </c>
      <c r="O41" s="28">
        <f>VLOOKUP($A41,'Выгр Кат'!$A:$R,O$1,0)</f>
        <v>269</v>
      </c>
      <c r="P41" s="30">
        <f t="shared" si="5"/>
        <v>0</v>
      </c>
      <c r="Q41" s="30">
        <f t="shared" si="6"/>
        <v>0</v>
      </c>
      <c r="R41" s="36">
        <f t="shared" si="11"/>
        <v>250.17</v>
      </c>
      <c r="S41" s="64">
        <f>IFERROR((VLOOKUP($A41,'Из ГУГЛа'!$B:$G,6,0)+U41)*T41,VLOOKUP($A41,'Из ГУГЛа'!$B:$G,6,0))</f>
        <v>290</v>
      </c>
      <c r="T41" s="38">
        <v>1</v>
      </c>
      <c r="U41" s="38">
        <v>0</v>
      </c>
      <c r="V41" s="39">
        <f t="shared" si="7"/>
        <v>0.78692857142857142</v>
      </c>
      <c r="W41" s="39">
        <f t="shared" si="8"/>
        <v>0.13734482758620695</v>
      </c>
      <c r="X41" s="39">
        <f t="shared" si="9"/>
        <v>1.0714285714285716</v>
      </c>
      <c r="Y41" s="40">
        <v>290</v>
      </c>
      <c r="Z41" s="46" t="s">
        <v>8068</v>
      </c>
    </row>
    <row r="42" spans="1:26" s="3" customFormat="1" ht="60" x14ac:dyDescent="0.25">
      <c r="A42" s="28">
        <v>133034</v>
      </c>
      <c r="B42" s="28">
        <f>VLOOKUP($A42,'Выгр Кат'!$A:$R,B$1,0)</f>
        <v>14180</v>
      </c>
      <c r="C42" s="27" t="str">
        <f>VLOOKUP($A42,'Выгр Кат'!$A:$R,C$1,0)</f>
        <v>Ароматизатор (освежитель) воздуха аэрозольный Contra "The Sex Mafia" Древесно-цветочная свежесть (Fabrice)</v>
      </c>
      <c r="D42" s="28" t="str">
        <f>VLOOKUP($A42,'Выгр Кат'!$A:$R,D$1,0)</f>
        <v>Y</v>
      </c>
      <c r="E42" s="28" t="str">
        <f>VLOOKUP($A42,'Выгр Кат'!$A:$R,E$1,0)</f>
        <v>1</v>
      </c>
      <c r="F42" s="28" t="str">
        <f>VLOOKUP($A42,'Выгр Кат'!$A:$R,F$1,0)</f>
        <v>72265</v>
      </c>
      <c r="G42" s="7">
        <v>72265</v>
      </c>
      <c r="H42" s="7"/>
      <c r="I42" s="1" t="s">
        <v>3</v>
      </c>
      <c r="J42" s="42">
        <f>VLOOKUP(G42,Прайс!B:E,4,0)</f>
        <v>140</v>
      </c>
      <c r="K42" s="2">
        <f>VLOOKUP(J42,Наценка!$A$1:$B$8,2,1)</f>
        <v>1.89</v>
      </c>
      <c r="L42" s="4">
        <f t="shared" si="10"/>
        <v>264.59999999999997</v>
      </c>
      <c r="M42" s="42">
        <f t="shared" si="4"/>
        <v>269</v>
      </c>
      <c r="N42" s="28">
        <f>VLOOKUP($A42,'Выгр Кат'!$A:$R,N$1,0)</f>
        <v>140</v>
      </c>
      <c r="O42" s="28">
        <f>VLOOKUP($A42,'Выгр Кат'!$A:$R,O$1,0)</f>
        <v>269</v>
      </c>
      <c r="P42" s="30">
        <f t="shared" si="5"/>
        <v>0</v>
      </c>
      <c r="Q42" s="30">
        <f t="shared" si="6"/>
        <v>0</v>
      </c>
      <c r="R42" s="36">
        <f t="shared" si="11"/>
        <v>250.17</v>
      </c>
      <c r="S42" s="64">
        <f>IFERROR((VLOOKUP($A42,'Из ГУГЛа'!$B:$G,6,0)+U42)*T42,VLOOKUP($A42,'Из ГУГЛа'!$B:$G,6,0))</f>
        <v>290</v>
      </c>
      <c r="T42" s="38">
        <v>1</v>
      </c>
      <c r="U42" s="38">
        <v>0</v>
      </c>
      <c r="V42" s="39">
        <f t="shared" si="7"/>
        <v>0.78692857142857142</v>
      </c>
      <c r="W42" s="39">
        <f t="shared" si="8"/>
        <v>0.13734482758620695</v>
      </c>
      <c r="X42" s="39">
        <f t="shared" si="9"/>
        <v>1.0714285714285716</v>
      </c>
      <c r="Y42" s="40">
        <v>290</v>
      </c>
      <c r="Z42" s="46" t="s">
        <v>8068</v>
      </c>
    </row>
    <row r="43" spans="1:26" s="3" customFormat="1" ht="60" x14ac:dyDescent="0.25">
      <c r="A43" s="28">
        <v>133038</v>
      </c>
      <c r="B43" s="28">
        <f>VLOOKUP($A43,'Выгр Кат'!$A:$R,B$1,0)</f>
        <v>16990</v>
      </c>
      <c r="C43" s="27" t="str">
        <f>VLOOKUP($A43,'Выгр Кат'!$A:$R,C$1,0)</f>
        <v>Ароматизатор (освежитель) воздуха на дефлектор вентиляции Contra "Sex on board" Утончённый аромат розы, окутанный цитрусовыми нотами</v>
      </c>
      <c r="D43" s="28" t="str">
        <f>VLOOKUP($A43,'Выгр Кат'!$A:$R,D$1,0)</f>
        <v>Y</v>
      </c>
      <c r="E43" s="28" t="str">
        <f>VLOOKUP($A43,'Выгр Кат'!$A:$R,E$1,0)</f>
        <v>1</v>
      </c>
      <c r="F43" s="28" t="str">
        <f>VLOOKUP($A43,'Выгр Кат'!$A:$R,F$1,0)</f>
        <v>71435</v>
      </c>
      <c r="G43" s="7">
        <v>71435</v>
      </c>
      <c r="H43" s="7"/>
      <c r="I43" s="1" t="s">
        <v>3</v>
      </c>
      <c r="J43" s="41">
        <f t="shared" ref="J43:J47" si="12">N43</f>
        <v>310</v>
      </c>
      <c r="K43" s="2">
        <f>VLOOKUP(J43,Наценка!$A$1:$B$8,2,1)</f>
        <v>1.68</v>
      </c>
      <c r="L43" s="4">
        <f t="shared" si="10"/>
        <v>520.79999999999995</v>
      </c>
      <c r="M43" s="42">
        <f t="shared" si="4"/>
        <v>529</v>
      </c>
      <c r="N43" s="28">
        <f>VLOOKUP($A43,'Выгр Кат'!$A:$R,N$1,0)</f>
        <v>310</v>
      </c>
      <c r="O43" s="28">
        <f>VLOOKUP($A43,'Выгр Кат'!$A:$R,O$1,0)</f>
        <v>529</v>
      </c>
      <c r="P43" s="30">
        <f t="shared" si="5"/>
        <v>0</v>
      </c>
      <c r="Q43" s="30">
        <f t="shared" si="6"/>
        <v>0</v>
      </c>
      <c r="R43" s="36">
        <f t="shared" si="11"/>
        <v>491.96999999999997</v>
      </c>
      <c r="S43" s="64" t="str">
        <f>IFERROR((VLOOKUP($A43,'Из ГУГЛа'!$B:$G,6,0)+U43)*T43,VLOOKUP($A43,'Из ГУГЛа'!$B:$G,6,0))</f>
        <v/>
      </c>
      <c r="T43" s="38">
        <v>1</v>
      </c>
      <c r="U43" s="38">
        <v>0</v>
      </c>
      <c r="V43" s="39">
        <f t="shared" si="7"/>
        <v>0.58699999999999997</v>
      </c>
      <c r="W43" s="39" t="str">
        <f t="shared" si="8"/>
        <v/>
      </c>
      <c r="X43" s="39" t="str">
        <f t="shared" si="9"/>
        <v/>
      </c>
      <c r="Y43" s="51" t="s">
        <v>8070</v>
      </c>
      <c r="Z43" s="46"/>
    </row>
    <row r="44" spans="1:26" s="3" customFormat="1" ht="60" x14ac:dyDescent="0.25">
      <c r="A44" s="28">
        <v>133039</v>
      </c>
      <c r="B44" s="28">
        <f>VLOOKUP($A44,'Выгр Кат'!$A:$R,B$1,0)</f>
        <v>16995</v>
      </c>
      <c r="C44" s="27" t="str">
        <f>VLOOKUP($A44,'Выгр Кат'!$A:$R,C$1,0)</f>
        <v>Ароматизатор (освежитель) воздуха на дефлектор вентиляции Contra "Sex Police" Красный мандарин и белый мускус</v>
      </c>
      <c r="D44" s="28" t="str">
        <f>VLOOKUP($A44,'Выгр Кат'!$A:$R,D$1,0)</f>
        <v>Y</v>
      </c>
      <c r="E44" s="28" t="str">
        <f>VLOOKUP($A44,'Выгр Кат'!$A:$R,E$1,0)</f>
        <v>0</v>
      </c>
      <c r="F44" s="28" t="str">
        <f>VLOOKUP($A44,'Выгр Кат'!$A:$R,F$1,0)</f>
        <v>71443</v>
      </c>
      <c r="G44" s="7">
        <v>71443</v>
      </c>
      <c r="H44" s="7"/>
      <c r="I44" s="1" t="s">
        <v>3</v>
      </c>
      <c r="J44" s="41">
        <f t="shared" si="12"/>
        <v>310</v>
      </c>
      <c r="K44" s="2">
        <f>VLOOKUP(J44,Наценка!$A$1:$B$8,2,1)</f>
        <v>1.68</v>
      </c>
      <c r="L44" s="4">
        <f t="shared" si="10"/>
        <v>520.79999999999995</v>
      </c>
      <c r="M44" s="42">
        <f t="shared" si="4"/>
        <v>529</v>
      </c>
      <c r="N44" s="28">
        <f>VLOOKUP($A44,'Выгр Кат'!$A:$R,N$1,0)</f>
        <v>310</v>
      </c>
      <c r="O44" s="28">
        <f>VLOOKUP($A44,'Выгр Кат'!$A:$R,O$1,0)</f>
        <v>529</v>
      </c>
      <c r="P44" s="30">
        <f t="shared" si="5"/>
        <v>0</v>
      </c>
      <c r="Q44" s="30">
        <f t="shared" si="6"/>
        <v>0</v>
      </c>
      <c r="R44" s="36">
        <f t="shared" si="11"/>
        <v>491.96999999999997</v>
      </c>
      <c r="S44" s="64" t="str">
        <f>IFERROR((VLOOKUP($A44,'Из ГУГЛа'!$B:$G,6,0)+U44)*T44,VLOOKUP($A44,'Из ГУГЛа'!$B:$G,6,0))</f>
        <v/>
      </c>
      <c r="T44" s="38">
        <v>1</v>
      </c>
      <c r="U44" s="38">
        <v>0</v>
      </c>
      <c r="V44" s="39">
        <f t="shared" si="7"/>
        <v>0.58699999999999997</v>
      </c>
      <c r="W44" s="39" t="str">
        <f t="shared" si="8"/>
        <v/>
      </c>
      <c r="X44" s="39" t="str">
        <f t="shared" si="9"/>
        <v/>
      </c>
      <c r="Y44" s="51" t="s">
        <v>8070</v>
      </c>
      <c r="Z44" s="46"/>
    </row>
    <row r="45" spans="1:26" s="3" customFormat="1" ht="60" x14ac:dyDescent="0.25">
      <c r="A45" s="28">
        <v>133040</v>
      </c>
      <c r="B45" s="28">
        <f>VLOOKUP($A45,'Выгр Кат'!$A:$R,B$1,0)</f>
        <v>23750</v>
      </c>
      <c r="C45" s="27" t="str">
        <f>VLOOKUP($A45,'Выгр Кат'!$A:$R,C$1,0)</f>
        <v>Ароматизатор (освежитель) воздуха на дефлектор вентиляции Contra "Sex наша работа" Дерзкое сочетание афганского цветка и белого кедра</v>
      </c>
      <c r="D45" s="28" t="str">
        <f>VLOOKUP($A45,'Выгр Кат'!$A:$R,D$1,0)</f>
        <v>Y</v>
      </c>
      <c r="E45" s="28" t="str">
        <f>VLOOKUP($A45,'Выгр Кат'!$A:$R,E$1,0)</f>
        <v>0</v>
      </c>
      <c r="F45" s="28">
        <f>VLOOKUP($A45,'Выгр Кат'!$A:$R,F$1,0)</f>
        <v>0</v>
      </c>
      <c r="G45" s="4"/>
      <c r="H45" s="4"/>
      <c r="I45" s="1" t="s">
        <v>3</v>
      </c>
      <c r="J45" s="41">
        <f t="shared" si="12"/>
        <v>340</v>
      </c>
      <c r="K45" s="2">
        <f>VLOOKUP(J45,Наценка!$A$1:$B$8,2,1)</f>
        <v>1.68</v>
      </c>
      <c r="L45" s="4">
        <f t="shared" si="10"/>
        <v>571.19999999999993</v>
      </c>
      <c r="M45" s="42">
        <f t="shared" si="4"/>
        <v>579</v>
      </c>
      <c r="N45" s="28">
        <f>VLOOKUP($A45,'Выгр Кат'!$A:$R,N$1,0)</f>
        <v>340</v>
      </c>
      <c r="O45" s="28">
        <f>VLOOKUP($A45,'Выгр Кат'!$A:$R,O$1,0)</f>
        <v>579</v>
      </c>
      <c r="P45" s="30">
        <f t="shared" si="5"/>
        <v>0</v>
      </c>
      <c r="Q45" s="30">
        <f t="shared" si="6"/>
        <v>0</v>
      </c>
      <c r="R45" s="36">
        <f t="shared" si="11"/>
        <v>538.46999999999991</v>
      </c>
      <c r="S45" s="64" t="str">
        <f>IFERROR((VLOOKUP($A45,'Из ГУГЛа'!$B:$G,6,0)+U45)*T45,VLOOKUP($A45,'Из ГУГЛа'!$B:$G,6,0))</f>
        <v/>
      </c>
      <c r="T45" s="38">
        <v>1</v>
      </c>
      <c r="U45" s="38">
        <v>0</v>
      </c>
      <c r="V45" s="39">
        <f t="shared" si="7"/>
        <v>0.5837352941176468</v>
      </c>
      <c r="W45" s="39" t="str">
        <f t="shared" si="8"/>
        <v/>
      </c>
      <c r="X45" s="39" t="str">
        <f t="shared" si="9"/>
        <v/>
      </c>
      <c r="Y45" s="51" t="s">
        <v>8070</v>
      </c>
      <c r="Z45" s="46"/>
    </row>
    <row r="46" spans="1:26" s="3" customFormat="1" ht="60" x14ac:dyDescent="0.25">
      <c r="A46" s="28">
        <v>133041</v>
      </c>
      <c r="B46" s="28">
        <f>VLOOKUP($A46,'Выгр Кат'!$A:$R,B$1,0)</f>
        <v>16991</v>
      </c>
      <c r="C46" s="27" t="str">
        <f>VLOOKUP($A46,'Выгр Кат'!$A:$R,C$1,0)</f>
        <v>Ароматизатор (освежитель) воздуха на дефлектор вентиляции Contra "Sex наша работа" Утренний концерт из цветочных и фруктовых запахов</v>
      </c>
      <c r="D46" s="28" t="str">
        <f>VLOOKUP($A46,'Выгр Кат'!$A:$R,D$1,0)</f>
        <v>Y</v>
      </c>
      <c r="E46" s="28" t="str">
        <f>VLOOKUP($A46,'Выгр Кат'!$A:$R,E$1,0)</f>
        <v>1</v>
      </c>
      <c r="F46" s="28" t="str">
        <f>VLOOKUP($A46,'Выгр Кат'!$A:$R,F$1,0)</f>
        <v>72303</v>
      </c>
      <c r="G46" s="4">
        <v>72303</v>
      </c>
      <c r="H46" s="4"/>
      <c r="I46" s="1" t="s">
        <v>3</v>
      </c>
      <c r="J46" s="41">
        <f t="shared" si="12"/>
        <v>300</v>
      </c>
      <c r="K46" s="2">
        <f>VLOOKUP(J46,Наценка!$A$1:$B$8,2,1)</f>
        <v>1.68</v>
      </c>
      <c r="L46" s="4">
        <f t="shared" si="10"/>
        <v>504</v>
      </c>
      <c r="M46" s="42">
        <f t="shared" si="4"/>
        <v>509</v>
      </c>
      <c r="N46" s="28">
        <f>VLOOKUP($A46,'Выгр Кат'!$A:$R,N$1,0)</f>
        <v>300</v>
      </c>
      <c r="O46" s="28">
        <f>VLOOKUP($A46,'Выгр Кат'!$A:$R,O$1,0)</f>
        <v>509</v>
      </c>
      <c r="P46" s="30">
        <f t="shared" si="5"/>
        <v>0</v>
      </c>
      <c r="Q46" s="30">
        <f t="shared" si="6"/>
        <v>0</v>
      </c>
      <c r="R46" s="36">
        <f t="shared" si="11"/>
        <v>473.36999999999995</v>
      </c>
      <c r="S46" s="64" t="str">
        <f>IFERROR((VLOOKUP($A46,'Из ГУГЛа'!$B:$G,6,0)+U46)*T46,VLOOKUP($A46,'Из ГУГЛа'!$B:$G,6,0))</f>
        <v/>
      </c>
      <c r="T46" s="38">
        <v>1</v>
      </c>
      <c r="U46" s="38">
        <v>0</v>
      </c>
      <c r="V46" s="39">
        <f t="shared" si="7"/>
        <v>0.57789999999999986</v>
      </c>
      <c r="W46" s="39" t="str">
        <f t="shared" si="8"/>
        <v/>
      </c>
      <c r="X46" s="39" t="str">
        <f t="shared" si="9"/>
        <v/>
      </c>
      <c r="Y46" s="51" t="s">
        <v>8070</v>
      </c>
      <c r="Z46" s="46"/>
    </row>
    <row r="47" spans="1:26" s="3" customFormat="1" ht="60" x14ac:dyDescent="0.25">
      <c r="A47" s="28">
        <v>133043</v>
      </c>
      <c r="B47" s="28">
        <f>VLOOKUP($A47,'Выгр Кат'!$A:$R,B$1,0)</f>
        <v>16983</v>
      </c>
      <c r="C47" s="27" t="str">
        <f>VLOOKUP($A47,'Выгр Кат'!$A:$R,C$1,0)</f>
        <v>Ароматизатор (освежитель) воздуха на дефлектор вентиляции Contra "Warning Sexoholic" Ваниль c мечтой о восточных сладостях</v>
      </c>
      <c r="D47" s="28" t="str">
        <f>VLOOKUP($A47,'Выгр Кат'!$A:$R,D$1,0)</f>
        <v>Y</v>
      </c>
      <c r="E47" s="28" t="str">
        <f>VLOOKUP($A47,'Выгр Кат'!$A:$R,E$1,0)</f>
        <v>1</v>
      </c>
      <c r="F47" s="28" t="str">
        <f>VLOOKUP($A47,'Выгр Кат'!$A:$R,F$1,0)</f>
        <v>72304</v>
      </c>
      <c r="G47" s="7">
        <v>72304</v>
      </c>
      <c r="H47" s="7"/>
      <c r="I47" s="1" t="s">
        <v>3</v>
      </c>
      <c r="J47" s="41">
        <f t="shared" si="12"/>
        <v>300</v>
      </c>
      <c r="K47" s="2">
        <f>VLOOKUP(J47,Наценка!$A$1:$B$8,2,1)</f>
        <v>1.68</v>
      </c>
      <c r="L47" s="4">
        <f t="shared" si="10"/>
        <v>504</v>
      </c>
      <c r="M47" s="42">
        <f t="shared" si="4"/>
        <v>509</v>
      </c>
      <c r="N47" s="28">
        <f>VLOOKUP($A47,'Выгр Кат'!$A:$R,N$1,0)</f>
        <v>300</v>
      </c>
      <c r="O47" s="28">
        <f>VLOOKUP($A47,'Выгр Кат'!$A:$R,O$1,0)</f>
        <v>509</v>
      </c>
      <c r="P47" s="30">
        <f t="shared" si="5"/>
        <v>0</v>
      </c>
      <c r="Q47" s="30">
        <f t="shared" si="6"/>
        <v>0</v>
      </c>
      <c r="R47" s="36">
        <f t="shared" si="11"/>
        <v>473.36999999999995</v>
      </c>
      <c r="S47" s="64" t="str">
        <f>IFERROR((VLOOKUP($A47,'Из ГУГЛа'!$B:$G,6,0)+U47)*T47,VLOOKUP($A47,'Из ГУГЛа'!$B:$G,6,0))</f>
        <v/>
      </c>
      <c r="T47" s="38">
        <v>1</v>
      </c>
      <c r="U47" s="38">
        <v>0</v>
      </c>
      <c r="V47" s="39">
        <f t="shared" si="7"/>
        <v>0.57789999999999986</v>
      </c>
      <c r="W47" s="39" t="str">
        <f t="shared" si="8"/>
        <v/>
      </c>
      <c r="X47" s="39" t="str">
        <f t="shared" si="9"/>
        <v/>
      </c>
      <c r="Y47" s="51" t="s">
        <v>8070</v>
      </c>
      <c r="Z47" s="46"/>
    </row>
    <row r="48" spans="1:26" s="3" customFormat="1" ht="45" x14ac:dyDescent="0.25">
      <c r="A48" s="28">
        <v>185780</v>
      </c>
      <c r="B48" s="28">
        <f>VLOOKUP($A48,'Выгр Кат'!$A:$R,B$1,0)</f>
        <v>6337</v>
      </c>
      <c r="C48" s="27" t="str">
        <f>VLOOKUP($A48,'Выгр Кат'!$A:$R,C$1,0)</f>
        <v>Освежитель воздуха Аreon Сухой MON CLASSIC "Елочки" Green Apple (зелен.ябл.)</v>
      </c>
      <c r="D48" s="28" t="str">
        <f>VLOOKUP($A48,'Выгр Кат'!$A:$R,D$1,0)</f>
        <v>Y</v>
      </c>
      <c r="E48" s="28" t="str">
        <f>VLOOKUP($A48,'Выгр Кат'!$A:$R,E$1,0)</f>
        <v>1</v>
      </c>
      <c r="F48" s="28" t="str">
        <f>VLOOKUP($A48,'Выгр Кат'!$A:$R,F$1,0)</f>
        <v>70132</v>
      </c>
      <c r="G48" s="4">
        <v>70132</v>
      </c>
      <c r="H48" s="4"/>
      <c r="I48" s="1" t="s">
        <v>3</v>
      </c>
      <c r="J48" s="42">
        <f>VLOOKUP(G48,Прайс!B:E,4,0)</f>
        <v>42</v>
      </c>
      <c r="K48" s="2">
        <f>VLOOKUP(J48,Наценка!$A$1:$B$8,2,1)</f>
        <v>2.11</v>
      </c>
      <c r="L48" s="4">
        <f t="shared" si="10"/>
        <v>88.61999999999999</v>
      </c>
      <c r="M48" s="42">
        <f t="shared" si="4"/>
        <v>89</v>
      </c>
      <c r="N48" s="28">
        <f>VLOOKUP($A48,'Выгр Кат'!$A:$R,N$1,0)</f>
        <v>42</v>
      </c>
      <c r="O48" s="28">
        <f>VLOOKUP($A48,'Выгр Кат'!$A:$R,O$1,0)</f>
        <v>89</v>
      </c>
      <c r="P48" s="30">
        <f t="shared" si="5"/>
        <v>0</v>
      </c>
      <c r="Q48" s="30">
        <f t="shared" si="6"/>
        <v>0</v>
      </c>
      <c r="R48" s="36">
        <f t="shared" si="11"/>
        <v>82.77</v>
      </c>
      <c r="S48" s="64">
        <f>IFERROR((VLOOKUP($A48,'Из ГУГЛа'!$B:$G,6,0)+U48)*T48,VLOOKUP($A48,'Из ГУГЛа'!$B:$G,6,0))</f>
        <v>149</v>
      </c>
      <c r="T48" s="38">
        <v>1</v>
      </c>
      <c r="U48" s="38">
        <v>0</v>
      </c>
      <c r="V48" s="39">
        <f t="shared" si="7"/>
        <v>0.97071428571428564</v>
      </c>
      <c r="W48" s="39">
        <f t="shared" si="8"/>
        <v>0.44449664429530206</v>
      </c>
      <c r="X48" s="39">
        <f t="shared" si="9"/>
        <v>2.5476190476190474</v>
      </c>
      <c r="Y48" s="40">
        <v>149</v>
      </c>
      <c r="Z48" s="46" t="s">
        <v>8069</v>
      </c>
    </row>
    <row r="49" spans="1:26" s="3" customFormat="1" ht="30" x14ac:dyDescent="0.25">
      <c r="A49" s="28">
        <v>185781</v>
      </c>
      <c r="B49" s="28">
        <f>VLOOKUP($A49,'Выгр Кат'!$A:$R,B$1,0)</f>
        <v>6338</v>
      </c>
      <c r="C49" s="27" t="str">
        <f>VLOOKUP($A49,'Выгр Кат'!$A:$R,C$1,0)</f>
        <v>Освежитель воздуха Аreon Сухой MON CLASSIC "Елочки" Lemon</v>
      </c>
      <c r="D49" s="28" t="str">
        <f>VLOOKUP($A49,'Выгр Кат'!$A:$R,D$1,0)</f>
        <v>Y</v>
      </c>
      <c r="E49" s="28" t="str">
        <f>VLOOKUP($A49,'Выгр Кат'!$A:$R,E$1,0)</f>
        <v>1</v>
      </c>
      <c r="F49" s="28" t="str">
        <f>VLOOKUP($A49,'Выгр Кат'!$A:$R,F$1,0)</f>
        <v>71093</v>
      </c>
      <c r="G49" s="62">
        <v>71093</v>
      </c>
      <c r="H49" s="62"/>
      <c r="I49" s="1" t="s">
        <v>3</v>
      </c>
      <c r="J49" s="42">
        <f>VLOOKUP(G49,Прайс!B:E,4,0)</f>
        <v>42</v>
      </c>
      <c r="K49" s="2">
        <f>VLOOKUP(J49,Наценка!$A$1:$B$8,2,1)</f>
        <v>2.11</v>
      </c>
      <c r="L49" s="4">
        <f t="shared" si="10"/>
        <v>88.61999999999999</v>
      </c>
      <c r="M49" s="42">
        <f t="shared" si="4"/>
        <v>89</v>
      </c>
      <c r="N49" s="28">
        <f>VLOOKUP($A49,'Выгр Кат'!$A:$R,N$1,0)</f>
        <v>42</v>
      </c>
      <c r="O49" s="28">
        <f>VLOOKUP($A49,'Выгр Кат'!$A:$R,O$1,0)</f>
        <v>89</v>
      </c>
      <c r="P49" s="30">
        <f t="shared" si="5"/>
        <v>0</v>
      </c>
      <c r="Q49" s="30">
        <f t="shared" si="6"/>
        <v>0</v>
      </c>
      <c r="R49" s="36">
        <f t="shared" si="11"/>
        <v>82.77</v>
      </c>
      <c r="S49" s="64">
        <f>IFERROR((VLOOKUP($A49,'Из ГУГЛа'!$B:$G,6,0)+U49)*T49,VLOOKUP($A49,'Из ГУГЛа'!$B:$G,6,0))</f>
        <v>149</v>
      </c>
      <c r="T49" s="38">
        <v>1</v>
      </c>
      <c r="U49" s="38">
        <v>0</v>
      </c>
      <c r="V49" s="39">
        <f t="shared" si="7"/>
        <v>0.97071428571428564</v>
      </c>
      <c r="W49" s="39">
        <f t="shared" si="8"/>
        <v>0.44449664429530206</v>
      </c>
      <c r="X49" s="39">
        <f t="shared" si="9"/>
        <v>2.5476190476190474</v>
      </c>
      <c r="Y49" s="40">
        <v>149</v>
      </c>
      <c r="Z49" s="46" t="s">
        <v>8069</v>
      </c>
    </row>
    <row r="50" spans="1:26" s="3" customFormat="1" ht="30" x14ac:dyDescent="0.25">
      <c r="A50" s="28">
        <v>185782</v>
      </c>
      <c r="B50" s="28">
        <f>VLOOKUP($A50,'Выгр Кат'!$A:$R,B$1,0)</f>
        <v>6345</v>
      </c>
      <c r="C50" s="27" t="str">
        <f>VLOOKUP($A50,'Выгр Кат'!$A:$R,C$1,0)</f>
        <v>Освежитель воздуха Аreon Сухой MON CLASSIC "Елочки" New Car</v>
      </c>
      <c r="D50" s="28" t="str">
        <f>VLOOKUP($A50,'Выгр Кат'!$A:$R,D$1,0)</f>
        <v>Y</v>
      </c>
      <c r="E50" s="28" t="str">
        <f>VLOOKUP($A50,'Выгр Кат'!$A:$R,E$1,0)</f>
        <v>1</v>
      </c>
      <c r="F50" s="28" t="str">
        <f>VLOOKUP($A50,'Выгр Кат'!$A:$R,F$1,0)</f>
        <v>70135</v>
      </c>
      <c r="G50" s="4">
        <v>70135</v>
      </c>
      <c r="H50" s="4"/>
      <c r="I50" s="1" t="s">
        <v>3</v>
      </c>
      <c r="J50" s="42">
        <f>VLOOKUP(G50,Прайс!B:E,4,0)</f>
        <v>42</v>
      </c>
      <c r="K50" s="2">
        <f>VLOOKUP(J50,Наценка!$A$1:$B$8,2,1)</f>
        <v>2.11</v>
      </c>
      <c r="L50" s="4">
        <f t="shared" si="10"/>
        <v>88.61999999999999</v>
      </c>
      <c r="M50" s="42">
        <f t="shared" si="4"/>
        <v>89</v>
      </c>
      <c r="N50" s="28">
        <f>VLOOKUP($A50,'Выгр Кат'!$A:$R,N$1,0)</f>
        <v>42</v>
      </c>
      <c r="O50" s="28">
        <f>VLOOKUP($A50,'Выгр Кат'!$A:$R,O$1,0)</f>
        <v>89</v>
      </c>
      <c r="P50" s="30">
        <f t="shared" si="5"/>
        <v>0</v>
      </c>
      <c r="Q50" s="30">
        <f t="shared" si="6"/>
        <v>0</v>
      </c>
      <c r="R50" s="36">
        <f t="shared" si="11"/>
        <v>82.77</v>
      </c>
      <c r="S50" s="64">
        <f>IFERROR((VLOOKUP($A50,'Из ГУГЛа'!$B:$G,6,0)+U50)*T50,VLOOKUP($A50,'Из ГУГЛа'!$B:$G,6,0))</f>
        <v>149</v>
      </c>
      <c r="T50" s="38">
        <v>1</v>
      </c>
      <c r="U50" s="38">
        <v>0</v>
      </c>
      <c r="V50" s="39">
        <f t="shared" si="7"/>
        <v>0.97071428571428564</v>
      </c>
      <c r="W50" s="39">
        <f t="shared" si="8"/>
        <v>0.44449664429530206</v>
      </c>
      <c r="X50" s="39">
        <f t="shared" si="9"/>
        <v>2.5476190476190474</v>
      </c>
      <c r="Y50" s="40">
        <v>149</v>
      </c>
      <c r="Z50" s="46" t="s">
        <v>8069</v>
      </c>
    </row>
    <row r="51" spans="1:26" s="3" customFormat="1" ht="30" x14ac:dyDescent="0.25">
      <c r="A51" s="28">
        <v>185783</v>
      </c>
      <c r="B51" s="28">
        <f>VLOOKUP($A51,'Выгр Кат'!$A:$R,B$1,0)</f>
        <v>6339</v>
      </c>
      <c r="C51" s="27" t="str">
        <f>VLOOKUP($A51,'Выгр Кат'!$A:$R,C$1,0)</f>
        <v>Освежитель воздуха Аreon Сухой MON CLASSIC "Елочки" No Smoking</v>
      </c>
      <c r="D51" s="28" t="str">
        <f>VLOOKUP($A51,'Выгр Кат'!$A:$R,D$1,0)</f>
        <v>Y</v>
      </c>
      <c r="E51" s="28" t="str">
        <f>VLOOKUP($A51,'Выгр Кат'!$A:$R,E$1,0)</f>
        <v>1</v>
      </c>
      <c r="F51" s="28" t="str">
        <f>VLOOKUP($A51,'Выгр Кат'!$A:$R,F$1,0)</f>
        <v>71095</v>
      </c>
      <c r="G51" s="4">
        <v>71095</v>
      </c>
      <c r="H51" s="4"/>
      <c r="I51" s="1" t="s">
        <v>3</v>
      </c>
      <c r="J51" s="42">
        <f>VLOOKUP(G51,Прайс!B:E,4,0)</f>
        <v>42</v>
      </c>
      <c r="K51" s="2">
        <f>VLOOKUP(J51,Наценка!$A$1:$B$8,2,1)</f>
        <v>2.11</v>
      </c>
      <c r="L51" s="4">
        <f t="shared" si="10"/>
        <v>88.61999999999999</v>
      </c>
      <c r="M51" s="42">
        <f t="shared" si="4"/>
        <v>89</v>
      </c>
      <c r="N51" s="28">
        <f>VLOOKUP($A51,'Выгр Кат'!$A:$R,N$1,0)</f>
        <v>42</v>
      </c>
      <c r="O51" s="28">
        <f>VLOOKUP($A51,'Выгр Кат'!$A:$R,O$1,0)</f>
        <v>89</v>
      </c>
      <c r="P51" s="30">
        <f t="shared" si="5"/>
        <v>0</v>
      </c>
      <c r="Q51" s="30">
        <f t="shared" si="6"/>
        <v>0</v>
      </c>
      <c r="R51" s="36">
        <f t="shared" si="11"/>
        <v>82.77</v>
      </c>
      <c r="S51" s="64">
        <f>IFERROR((VLOOKUP($A51,'Из ГУГЛа'!$B:$G,6,0)+U51)*T51,VLOOKUP($A51,'Из ГУГЛа'!$B:$G,6,0))</f>
        <v>149</v>
      </c>
      <c r="T51" s="38">
        <v>1</v>
      </c>
      <c r="U51" s="38">
        <v>0</v>
      </c>
      <c r="V51" s="39">
        <f t="shared" si="7"/>
        <v>0.97071428571428564</v>
      </c>
      <c r="W51" s="39">
        <f t="shared" si="8"/>
        <v>0.44449664429530206</v>
      </c>
      <c r="X51" s="39">
        <f t="shared" si="9"/>
        <v>2.5476190476190474</v>
      </c>
      <c r="Y51" s="40">
        <v>149</v>
      </c>
      <c r="Z51" s="46" t="s">
        <v>8069</v>
      </c>
    </row>
    <row r="52" spans="1:26" s="3" customFormat="1" ht="30" x14ac:dyDescent="0.25">
      <c r="A52" s="28">
        <v>185784</v>
      </c>
      <c r="B52" s="28">
        <f>VLOOKUP($A52,'Выгр Кат'!$A:$R,B$1,0)</f>
        <v>6340</v>
      </c>
      <c r="C52" s="27" t="str">
        <f>VLOOKUP($A52,'Выгр Кат'!$A:$R,C$1,0)</f>
        <v>Освежитель воздуха Аreon Сухой MON CLASSIC "Елочки" Ocean</v>
      </c>
      <c r="D52" s="28" t="str">
        <f>VLOOKUP($A52,'Выгр Кат'!$A:$R,D$1,0)</f>
        <v>Y</v>
      </c>
      <c r="E52" s="28" t="str">
        <f>VLOOKUP($A52,'Выгр Кат'!$A:$R,E$1,0)</f>
        <v>1</v>
      </c>
      <c r="F52" s="28" t="str">
        <f>VLOOKUP($A52,'Выгр Кат'!$A:$R,F$1,0)</f>
        <v>70136</v>
      </c>
      <c r="G52" s="4">
        <v>70136</v>
      </c>
      <c r="H52" s="4"/>
      <c r="I52" s="1" t="s">
        <v>3</v>
      </c>
      <c r="J52" s="42">
        <f>VLOOKUP(G52,Прайс!B:E,4,0)</f>
        <v>42</v>
      </c>
      <c r="K52" s="2">
        <f>VLOOKUP(J52,Наценка!$A$1:$B$8,2,1)</f>
        <v>2.11</v>
      </c>
      <c r="L52" s="4">
        <f t="shared" si="10"/>
        <v>88.61999999999999</v>
      </c>
      <c r="M52" s="42">
        <f t="shared" si="4"/>
        <v>89</v>
      </c>
      <c r="N52" s="28">
        <f>VLOOKUP($A52,'Выгр Кат'!$A:$R,N$1,0)</f>
        <v>42</v>
      </c>
      <c r="O52" s="28">
        <f>VLOOKUP($A52,'Выгр Кат'!$A:$R,O$1,0)</f>
        <v>89</v>
      </c>
      <c r="P52" s="30">
        <f t="shared" si="5"/>
        <v>0</v>
      </c>
      <c r="Q52" s="30">
        <f t="shared" si="6"/>
        <v>0</v>
      </c>
      <c r="R52" s="36">
        <f t="shared" si="11"/>
        <v>82.77</v>
      </c>
      <c r="S52" s="64">
        <f>IFERROR((VLOOKUP($A52,'Из ГУГЛа'!$B:$G,6,0)+U52)*T52,VLOOKUP($A52,'Из ГУГЛа'!$B:$G,6,0))</f>
        <v>149</v>
      </c>
      <c r="T52" s="38">
        <v>1</v>
      </c>
      <c r="U52" s="38">
        <v>0</v>
      </c>
      <c r="V52" s="39">
        <f t="shared" si="7"/>
        <v>0.97071428571428564</v>
      </c>
      <c r="W52" s="39">
        <f t="shared" si="8"/>
        <v>0.44449664429530206</v>
      </c>
      <c r="X52" s="39">
        <f t="shared" si="9"/>
        <v>2.5476190476190474</v>
      </c>
      <c r="Y52" s="40">
        <v>149</v>
      </c>
      <c r="Z52" s="46" t="s">
        <v>8069</v>
      </c>
    </row>
    <row r="53" spans="1:26" s="3" customFormat="1" ht="30" x14ac:dyDescent="0.25">
      <c r="A53" s="28">
        <v>185785</v>
      </c>
      <c r="B53" s="28">
        <f>VLOOKUP($A53,'Выгр Кат'!$A:$R,B$1,0)</f>
        <v>6341</v>
      </c>
      <c r="C53" s="27" t="str">
        <f>VLOOKUP($A53,'Выгр Кат'!$A:$R,C$1,0)</f>
        <v>Освежитель воздуха Аreon Сухой MON CLASSIC "Елочки" Paradise (рай)</v>
      </c>
      <c r="D53" s="28" t="str">
        <f>VLOOKUP($A53,'Выгр Кат'!$A:$R,D$1,0)</f>
        <v>Y</v>
      </c>
      <c r="E53" s="28" t="str">
        <f>VLOOKUP($A53,'Выгр Кат'!$A:$R,E$1,0)</f>
        <v>1</v>
      </c>
      <c r="F53" s="28" t="str">
        <f>VLOOKUP($A53,'Выгр Кат'!$A:$R,F$1,0)</f>
        <v>71027</v>
      </c>
      <c r="G53" s="4">
        <v>71027</v>
      </c>
      <c r="H53" s="4"/>
      <c r="I53" s="1" t="s">
        <v>3</v>
      </c>
      <c r="J53" s="42">
        <f>VLOOKUP(G53,Прайс!B:E,4,0)</f>
        <v>42</v>
      </c>
      <c r="K53" s="2">
        <f>VLOOKUP(J53,Наценка!$A$1:$B$8,2,1)</f>
        <v>2.11</v>
      </c>
      <c r="L53" s="4">
        <f t="shared" si="10"/>
        <v>88.61999999999999</v>
      </c>
      <c r="M53" s="42">
        <f t="shared" si="4"/>
        <v>89</v>
      </c>
      <c r="N53" s="28">
        <f>VLOOKUP($A53,'Выгр Кат'!$A:$R,N$1,0)</f>
        <v>42</v>
      </c>
      <c r="O53" s="28">
        <f>VLOOKUP($A53,'Выгр Кат'!$A:$R,O$1,0)</f>
        <v>89</v>
      </c>
      <c r="P53" s="30">
        <f t="shared" si="5"/>
        <v>0</v>
      </c>
      <c r="Q53" s="30">
        <f t="shared" si="6"/>
        <v>0</v>
      </c>
      <c r="R53" s="36">
        <f t="shared" si="11"/>
        <v>82.77</v>
      </c>
      <c r="S53" s="64">
        <f>IFERROR((VLOOKUP($A53,'Из ГУГЛа'!$B:$G,6,0)+U53)*T53,VLOOKUP($A53,'Из ГУГЛа'!$B:$G,6,0))</f>
        <v>149</v>
      </c>
      <c r="T53" s="38">
        <v>1</v>
      </c>
      <c r="U53" s="38">
        <v>0</v>
      </c>
      <c r="V53" s="39">
        <f t="shared" si="7"/>
        <v>0.97071428571428564</v>
      </c>
      <c r="W53" s="39">
        <f t="shared" si="8"/>
        <v>0.44449664429530206</v>
      </c>
      <c r="X53" s="39">
        <f t="shared" si="9"/>
        <v>2.5476190476190474</v>
      </c>
      <c r="Y53" s="40">
        <v>149</v>
      </c>
      <c r="Z53" s="46" t="s">
        <v>8069</v>
      </c>
    </row>
    <row r="54" spans="1:26" s="3" customFormat="1" ht="30" x14ac:dyDescent="0.25">
      <c r="A54" s="28">
        <v>185786</v>
      </c>
      <c r="B54" s="28">
        <f>VLOOKUP($A54,'Выгр Кат'!$A:$R,B$1,0)</f>
        <v>6342</v>
      </c>
      <c r="C54" s="27" t="str">
        <f>VLOOKUP($A54,'Выгр Кат'!$A:$R,C$1,0)</f>
        <v>Освежитель воздуха Аreon Сухой MON CLASSIC "Елочки" Perfume</v>
      </c>
      <c r="D54" s="28" t="str">
        <f>VLOOKUP($A54,'Выгр Кат'!$A:$R,D$1,0)</f>
        <v>Y</v>
      </c>
      <c r="E54" s="28" t="str">
        <f>VLOOKUP($A54,'Выгр Кат'!$A:$R,E$1,0)</f>
        <v>0</v>
      </c>
      <c r="F54" s="28">
        <f>VLOOKUP($A54,'Выгр Кат'!$A:$R,F$1,0)</f>
        <v>0</v>
      </c>
      <c r="G54" s="4"/>
      <c r="H54" s="4"/>
      <c r="I54" s="1" t="s">
        <v>3</v>
      </c>
      <c r="J54" s="41">
        <f>N54</f>
        <v>42</v>
      </c>
      <c r="K54" s="2">
        <f>VLOOKUP(J54,Наценка!$A$1:$B$8,2,1)</f>
        <v>2.11</v>
      </c>
      <c r="L54" s="4">
        <f t="shared" si="10"/>
        <v>88.61999999999999</v>
      </c>
      <c r="M54" s="42">
        <f t="shared" si="4"/>
        <v>89</v>
      </c>
      <c r="N54" s="28">
        <f>VLOOKUP($A54,'Выгр Кат'!$A:$R,N$1,0)</f>
        <v>42</v>
      </c>
      <c r="O54" s="28">
        <f>VLOOKUP($A54,'Выгр Кат'!$A:$R,O$1,0)</f>
        <v>89</v>
      </c>
      <c r="P54" s="30">
        <f t="shared" si="5"/>
        <v>0</v>
      </c>
      <c r="Q54" s="30">
        <f t="shared" si="6"/>
        <v>0</v>
      </c>
      <c r="R54" s="36">
        <f t="shared" si="11"/>
        <v>82.77</v>
      </c>
      <c r="S54" s="64">
        <f>IFERROR((VLOOKUP($A54,'Из ГУГЛа'!$B:$G,6,0)+U54)*T54,VLOOKUP($A54,'Из ГУГЛа'!$B:$G,6,0))</f>
        <v>149</v>
      </c>
      <c r="T54" s="38">
        <v>1</v>
      </c>
      <c r="U54" s="38">
        <v>0</v>
      </c>
      <c r="V54" s="39">
        <f t="shared" si="7"/>
        <v>0.97071428571428564</v>
      </c>
      <c r="W54" s="39">
        <f t="shared" si="8"/>
        <v>0.44449664429530206</v>
      </c>
      <c r="X54" s="39">
        <f t="shared" si="9"/>
        <v>2.5476190476190474</v>
      </c>
      <c r="Y54" s="40">
        <v>149</v>
      </c>
      <c r="Z54" s="46" t="s">
        <v>8069</v>
      </c>
    </row>
    <row r="55" spans="1:26" s="3" customFormat="1" ht="30" x14ac:dyDescent="0.25">
      <c r="A55" s="28">
        <v>185787</v>
      </c>
      <c r="B55" s="28">
        <f>VLOOKUP($A55,'Выгр Кат'!$A:$R,B$1,0)</f>
        <v>6343</v>
      </c>
      <c r="C55" s="27" t="str">
        <f>VLOOKUP($A55,'Выгр Кат'!$A:$R,C$1,0)</f>
        <v>Освежитель воздуха Аreon Сухой MON CLASSIC "Елочки" Strawberry</v>
      </c>
      <c r="D55" s="28" t="str">
        <f>VLOOKUP($A55,'Выгр Кат'!$A:$R,D$1,0)</f>
        <v>Y</v>
      </c>
      <c r="E55" s="28" t="str">
        <f>VLOOKUP($A55,'Выгр Кат'!$A:$R,E$1,0)</f>
        <v>1</v>
      </c>
      <c r="F55" s="28" t="str">
        <f>VLOOKUP($A55,'Выгр Кат'!$A:$R,F$1,0)</f>
        <v>71094</v>
      </c>
      <c r="G55" s="4">
        <v>71094</v>
      </c>
      <c r="H55" s="4"/>
      <c r="I55" s="1" t="s">
        <v>3</v>
      </c>
      <c r="J55" s="42">
        <f>VLOOKUP(G55,Прайс!B:E,4,0)</f>
        <v>42</v>
      </c>
      <c r="K55" s="2">
        <f>VLOOKUP(J55,Наценка!$A$1:$B$8,2,1)</f>
        <v>2.11</v>
      </c>
      <c r="L55" s="4">
        <f t="shared" si="10"/>
        <v>88.61999999999999</v>
      </c>
      <c r="M55" s="42">
        <f t="shared" si="4"/>
        <v>89</v>
      </c>
      <c r="N55" s="28">
        <f>VLOOKUP($A55,'Выгр Кат'!$A:$R,N$1,0)</f>
        <v>42</v>
      </c>
      <c r="O55" s="28">
        <f>VLOOKUP($A55,'Выгр Кат'!$A:$R,O$1,0)</f>
        <v>89</v>
      </c>
      <c r="P55" s="30">
        <f t="shared" si="5"/>
        <v>0</v>
      </c>
      <c r="Q55" s="30">
        <f t="shared" si="6"/>
        <v>0</v>
      </c>
      <c r="R55" s="36">
        <f t="shared" si="11"/>
        <v>82.77</v>
      </c>
      <c r="S55" s="64">
        <f>IFERROR((VLOOKUP($A55,'Из ГУГЛа'!$B:$G,6,0)+U55)*T55,VLOOKUP($A55,'Из ГУГЛа'!$B:$G,6,0))</f>
        <v>149</v>
      </c>
      <c r="T55" s="38">
        <v>1</v>
      </c>
      <c r="U55" s="38">
        <v>0</v>
      </c>
      <c r="V55" s="39">
        <f t="shared" si="7"/>
        <v>0.97071428571428564</v>
      </c>
      <c r="W55" s="39">
        <f t="shared" si="8"/>
        <v>0.44449664429530206</v>
      </c>
      <c r="X55" s="39">
        <f t="shared" si="9"/>
        <v>2.5476190476190474</v>
      </c>
      <c r="Y55" s="40">
        <v>149</v>
      </c>
      <c r="Z55" s="46" t="s">
        <v>8069</v>
      </c>
    </row>
    <row r="56" spans="1:26" s="3" customFormat="1" ht="30" x14ac:dyDescent="0.25">
      <c r="A56" s="28">
        <v>185788</v>
      </c>
      <c r="B56" s="28">
        <f>VLOOKUP($A56,'Выгр Кат'!$A:$R,B$1,0)</f>
        <v>6346</v>
      </c>
      <c r="C56" s="27" t="str">
        <f>VLOOKUP($A56,'Выгр Кат'!$A:$R,C$1,0)</f>
        <v>Освежитель воздуха Аreon Сухой MON CLASSIC "Елочки" Tutti Frutti</v>
      </c>
      <c r="D56" s="28" t="str">
        <f>VLOOKUP($A56,'Выгр Кат'!$A:$R,D$1,0)</f>
        <v>Y</v>
      </c>
      <c r="E56" s="28" t="str">
        <f>VLOOKUP($A56,'Выгр Кат'!$A:$R,E$1,0)</f>
        <v>1</v>
      </c>
      <c r="F56" s="28" t="str">
        <f>VLOOKUP($A56,'Выгр Кат'!$A:$R,F$1,0)</f>
        <v>70138</v>
      </c>
      <c r="G56" s="62">
        <v>70138</v>
      </c>
      <c r="H56" s="62"/>
      <c r="I56" s="1" t="s">
        <v>3</v>
      </c>
      <c r="J56" s="42">
        <f>VLOOKUP(G56,Прайс!B:E,4,0)</f>
        <v>42</v>
      </c>
      <c r="K56" s="2">
        <f>VLOOKUP(J56,Наценка!$A$1:$B$8,2,1)</f>
        <v>2.11</v>
      </c>
      <c r="L56" s="4">
        <f t="shared" si="10"/>
        <v>88.61999999999999</v>
      </c>
      <c r="M56" s="42">
        <f t="shared" si="4"/>
        <v>89</v>
      </c>
      <c r="N56" s="28">
        <f>VLOOKUP($A56,'Выгр Кат'!$A:$R,N$1,0)</f>
        <v>42</v>
      </c>
      <c r="O56" s="28">
        <f>VLOOKUP($A56,'Выгр Кат'!$A:$R,O$1,0)</f>
        <v>89</v>
      </c>
      <c r="P56" s="30">
        <f t="shared" si="5"/>
        <v>0</v>
      </c>
      <c r="Q56" s="30">
        <f t="shared" si="6"/>
        <v>0</v>
      </c>
      <c r="R56" s="36">
        <f t="shared" si="11"/>
        <v>82.77</v>
      </c>
      <c r="S56" s="64">
        <f>IFERROR((VLOOKUP($A56,'Из ГУГЛа'!$B:$G,6,0)+U56)*T56,VLOOKUP($A56,'Из ГУГЛа'!$B:$G,6,0))</f>
        <v>149</v>
      </c>
      <c r="T56" s="38">
        <v>1</v>
      </c>
      <c r="U56" s="38">
        <v>0</v>
      </c>
      <c r="V56" s="39">
        <f t="shared" si="7"/>
        <v>0.97071428571428564</v>
      </c>
      <c r="W56" s="39">
        <f t="shared" si="8"/>
        <v>0.44449664429530206</v>
      </c>
      <c r="X56" s="39">
        <f t="shared" si="9"/>
        <v>2.5476190476190474</v>
      </c>
      <c r="Y56" s="40">
        <v>149</v>
      </c>
      <c r="Z56" s="46" t="s">
        <v>8069</v>
      </c>
    </row>
    <row r="57" spans="1:26" s="3" customFormat="1" ht="30" x14ac:dyDescent="0.25">
      <c r="A57" s="28">
        <v>185789</v>
      </c>
      <c r="B57" s="28">
        <f>VLOOKUP($A57,'Выгр Кат'!$A:$R,B$1,0)</f>
        <v>6344</v>
      </c>
      <c r="C57" s="27" t="str">
        <f>VLOOKUP($A57,'Выгр Кат'!$A:$R,C$1,0)</f>
        <v>Освежитель воздуха Аreon Сухой MON CLASSIC "Елочки" Vanilla</v>
      </c>
      <c r="D57" s="28" t="str">
        <f>VLOOKUP($A57,'Выгр Кат'!$A:$R,D$1,0)</f>
        <v>Y</v>
      </c>
      <c r="E57" s="28" t="str">
        <f>VLOOKUP($A57,'Выгр Кат'!$A:$R,E$1,0)</f>
        <v>1</v>
      </c>
      <c r="F57" s="28" t="str">
        <f>VLOOKUP($A57,'Выгр Кат'!$A:$R,F$1,0)</f>
        <v>70131</v>
      </c>
      <c r="G57" s="4">
        <v>70131</v>
      </c>
      <c r="H57" s="4"/>
      <c r="I57" s="1" t="s">
        <v>3</v>
      </c>
      <c r="J57" s="42">
        <f>VLOOKUP(G57,Прайс!B:E,4,0)</f>
        <v>42</v>
      </c>
      <c r="K57" s="2">
        <f>VLOOKUP(J57,Наценка!$A$1:$B$8,2,1)</f>
        <v>2.11</v>
      </c>
      <c r="L57" s="4">
        <f t="shared" si="10"/>
        <v>88.61999999999999</v>
      </c>
      <c r="M57" s="42">
        <f t="shared" si="4"/>
        <v>89</v>
      </c>
      <c r="N57" s="28">
        <f>VLOOKUP($A57,'Выгр Кат'!$A:$R,N$1,0)</f>
        <v>42</v>
      </c>
      <c r="O57" s="28">
        <f>VLOOKUP($A57,'Выгр Кат'!$A:$R,O$1,0)</f>
        <v>89</v>
      </c>
      <c r="P57" s="30">
        <f t="shared" si="5"/>
        <v>0</v>
      </c>
      <c r="Q57" s="30">
        <f t="shared" si="6"/>
        <v>0</v>
      </c>
      <c r="R57" s="36">
        <f t="shared" si="11"/>
        <v>82.77</v>
      </c>
      <c r="S57" s="64">
        <f>IFERROR((VLOOKUP($A57,'Из ГУГЛа'!$B:$G,6,0)+U57)*T57,VLOOKUP($A57,'Из ГУГЛа'!$B:$G,6,0))</f>
        <v>149</v>
      </c>
      <c r="T57" s="38">
        <v>1</v>
      </c>
      <c r="U57" s="38">
        <v>0</v>
      </c>
      <c r="V57" s="39">
        <f t="shared" si="7"/>
        <v>0.97071428571428564</v>
      </c>
      <c r="W57" s="39">
        <f t="shared" si="8"/>
        <v>0.44449664429530206</v>
      </c>
      <c r="X57" s="39">
        <f t="shared" si="9"/>
        <v>2.5476190476190474</v>
      </c>
      <c r="Y57" s="40">
        <v>149</v>
      </c>
      <c r="Z57" s="46" t="s">
        <v>8069</v>
      </c>
    </row>
    <row r="58" spans="1:26" s="3" customFormat="1" ht="60" x14ac:dyDescent="0.25">
      <c r="A58" s="28">
        <v>133035</v>
      </c>
      <c r="B58" s="28">
        <f>VLOOKUP($A58,'Выгр Кат'!$A:$R,B$1,0)</f>
        <v>16997</v>
      </c>
      <c r="C58" s="27" t="str">
        <f>VLOOKUP($A58,'Выгр Кат'!$A:$R,C$1,0)</f>
        <v>Ароматизатор (освежитель) воздуха на дефлектор вентиляции Contra "Orgasm tester" Морской бриз, мандарин, лаванда и кардамон</v>
      </c>
      <c r="D58" s="28" t="str">
        <f>VLOOKUP($A58,'Выгр Кат'!$A:$R,D$1,0)</f>
        <v>Y</v>
      </c>
      <c r="E58" s="28" t="str">
        <f>VLOOKUP($A58,'Выгр Кат'!$A:$R,E$1,0)</f>
        <v>1</v>
      </c>
      <c r="F58" s="28" t="str">
        <f>VLOOKUP($A58,'Выгр Кат'!$A:$R,F$1,0)</f>
        <v>71434</v>
      </c>
      <c r="G58" s="7">
        <v>71434</v>
      </c>
      <c r="H58" s="7"/>
      <c r="I58" s="1" t="s">
        <v>3</v>
      </c>
      <c r="J58" s="41">
        <f t="shared" ref="J58:J61" si="13">N58</f>
        <v>310</v>
      </c>
      <c r="K58" s="2">
        <f>VLOOKUP(J58,Наценка!$A$1:$B$8,2,1)</f>
        <v>1.68</v>
      </c>
      <c r="L58" s="4">
        <f t="shared" si="10"/>
        <v>520.79999999999995</v>
      </c>
      <c r="M58" s="42">
        <f t="shared" si="4"/>
        <v>529</v>
      </c>
      <c r="N58" s="28">
        <f>VLOOKUP($A58,'Выгр Кат'!$A:$R,N$1,0)</f>
        <v>310</v>
      </c>
      <c r="O58" s="28">
        <f>VLOOKUP($A58,'Выгр Кат'!$A:$R,O$1,0)</f>
        <v>529</v>
      </c>
      <c r="P58" s="30">
        <f t="shared" si="5"/>
        <v>0</v>
      </c>
      <c r="Q58" s="30">
        <f t="shared" si="6"/>
        <v>0</v>
      </c>
      <c r="R58" s="36">
        <f t="shared" si="11"/>
        <v>491.96999999999997</v>
      </c>
      <c r="S58" s="64" t="str">
        <f>IFERROR((VLOOKUP($A58,'Из ГУГЛа'!$B:$G,6,0)+U58)*T58,VLOOKUP($A58,'Из ГУГЛа'!$B:$G,6,0))</f>
        <v/>
      </c>
      <c r="T58" s="38">
        <v>1</v>
      </c>
      <c r="U58" s="38">
        <v>0</v>
      </c>
      <c r="V58" s="39">
        <f t="shared" si="7"/>
        <v>0.58699999999999997</v>
      </c>
      <c r="W58" s="39" t="str">
        <f t="shared" si="8"/>
        <v/>
      </c>
      <c r="X58" s="39" t="str">
        <f t="shared" si="9"/>
        <v/>
      </c>
      <c r="Y58" s="51" t="s">
        <v>8070</v>
      </c>
      <c r="Z58" s="46"/>
    </row>
    <row r="59" spans="1:26" s="3" customFormat="1" ht="60" x14ac:dyDescent="0.25">
      <c r="A59" s="28">
        <v>133036</v>
      </c>
      <c r="B59" s="28">
        <f>VLOOKUP($A59,'Выгр Кат'!$A:$R,B$1,0)</f>
        <v>16998</v>
      </c>
      <c r="C59" s="27" t="str">
        <f>VLOOKUP($A59,'Выгр Кат'!$A:$R,C$1,0)</f>
        <v>Ароматизатор (освежитель) воздуха на дефлектор вентиляции Contra "Sex First" Элегантный запах с древесными нотами и шлейфом лаванды</v>
      </c>
      <c r="D59" s="28" t="str">
        <f>VLOOKUP($A59,'Выгр Кат'!$A:$R,D$1,0)</f>
        <v>Y</v>
      </c>
      <c r="E59" s="28" t="str">
        <f>VLOOKUP($A59,'Выгр Кат'!$A:$R,E$1,0)</f>
        <v>1</v>
      </c>
      <c r="F59" s="28" t="str">
        <f>VLOOKUP($A59,'Выгр Кат'!$A:$R,F$1,0)</f>
        <v>71436</v>
      </c>
      <c r="G59" s="7">
        <v>71436</v>
      </c>
      <c r="H59" s="7"/>
      <c r="I59" s="1" t="s">
        <v>3</v>
      </c>
      <c r="J59" s="41">
        <f t="shared" si="13"/>
        <v>310</v>
      </c>
      <c r="K59" s="2">
        <f>VLOOKUP(J59,Наценка!$A$1:$B$8,2,1)</f>
        <v>1.68</v>
      </c>
      <c r="L59" s="4">
        <f t="shared" si="10"/>
        <v>520.79999999999995</v>
      </c>
      <c r="M59" s="42">
        <f t="shared" si="4"/>
        <v>529</v>
      </c>
      <c r="N59" s="28">
        <f>VLOOKUP($A59,'Выгр Кат'!$A:$R,N$1,0)</f>
        <v>310</v>
      </c>
      <c r="O59" s="28">
        <f>VLOOKUP($A59,'Выгр Кат'!$A:$R,O$1,0)</f>
        <v>529</v>
      </c>
      <c r="P59" s="30">
        <f t="shared" si="5"/>
        <v>0</v>
      </c>
      <c r="Q59" s="30">
        <f t="shared" si="6"/>
        <v>0</v>
      </c>
      <c r="R59" s="36">
        <f t="shared" si="11"/>
        <v>491.96999999999997</v>
      </c>
      <c r="S59" s="64" t="str">
        <f>IFERROR((VLOOKUP($A59,'Из ГУГЛа'!$B:$G,6,0)+U59)*T59,VLOOKUP($A59,'Из ГУГЛа'!$B:$G,6,0))</f>
        <v/>
      </c>
      <c r="T59" s="38">
        <v>1</v>
      </c>
      <c r="U59" s="38">
        <v>0</v>
      </c>
      <c r="V59" s="39">
        <f t="shared" si="7"/>
        <v>0.58699999999999997</v>
      </c>
      <c r="W59" s="39" t="str">
        <f t="shared" si="8"/>
        <v/>
      </c>
      <c r="X59" s="39" t="str">
        <f t="shared" si="9"/>
        <v/>
      </c>
      <c r="Y59" s="51" t="s">
        <v>8070</v>
      </c>
      <c r="Z59" s="46"/>
    </row>
    <row r="60" spans="1:26" s="3" customFormat="1" ht="60" x14ac:dyDescent="0.25">
      <c r="A60" s="28">
        <v>133037</v>
      </c>
      <c r="B60" s="28">
        <f>VLOOKUP($A60,'Выгр Кат'!$A:$R,B$1,0)</f>
        <v>16996</v>
      </c>
      <c r="C60" s="27" t="str">
        <f>VLOOKUP($A60,'Выгр Кат'!$A:$R,C$1,0)</f>
        <v>Ароматизатор (освежитель) воздуха на дефлектор вентиляции Contra "Sex King" Королевский гранат и кора черного дерева</v>
      </c>
      <c r="D60" s="28" t="str">
        <f>VLOOKUP($A60,'Выгр Кат'!$A:$R,D$1,0)</f>
        <v>Y</v>
      </c>
      <c r="E60" s="28" t="str">
        <f>VLOOKUP($A60,'Выгр Кат'!$A:$R,E$1,0)</f>
        <v>1</v>
      </c>
      <c r="F60" s="28" t="str">
        <f>VLOOKUP($A60,'Выгр Кат'!$A:$R,F$1,0)</f>
        <v>71441</v>
      </c>
      <c r="G60" s="7">
        <v>71441</v>
      </c>
      <c r="H60" s="7"/>
      <c r="I60" s="1" t="s">
        <v>3</v>
      </c>
      <c r="J60" s="41">
        <f t="shared" si="13"/>
        <v>310</v>
      </c>
      <c r="K60" s="2">
        <f>VLOOKUP(J60,Наценка!$A$1:$B$8,2,1)</f>
        <v>1.68</v>
      </c>
      <c r="L60" s="4">
        <f t="shared" si="10"/>
        <v>520.79999999999995</v>
      </c>
      <c r="M60" s="42">
        <f t="shared" si="4"/>
        <v>529</v>
      </c>
      <c r="N60" s="28">
        <f>VLOOKUP($A60,'Выгр Кат'!$A:$R,N$1,0)</f>
        <v>310</v>
      </c>
      <c r="O60" s="28">
        <f>VLOOKUP($A60,'Выгр Кат'!$A:$R,O$1,0)</f>
        <v>529</v>
      </c>
      <c r="P60" s="30">
        <f t="shared" si="5"/>
        <v>0</v>
      </c>
      <c r="Q60" s="30">
        <f t="shared" si="6"/>
        <v>0</v>
      </c>
      <c r="R60" s="36">
        <f t="shared" si="11"/>
        <v>491.96999999999997</v>
      </c>
      <c r="S60" s="64" t="str">
        <f>IFERROR((VLOOKUP($A60,'Из ГУГЛа'!$B:$G,6,0)+U60)*T60,VLOOKUP($A60,'Из ГУГЛа'!$B:$G,6,0))</f>
        <v/>
      </c>
      <c r="T60" s="38">
        <v>1</v>
      </c>
      <c r="U60" s="38">
        <v>0</v>
      </c>
      <c r="V60" s="39">
        <f t="shared" si="7"/>
        <v>0.58699999999999997</v>
      </c>
      <c r="W60" s="39" t="str">
        <f t="shared" si="8"/>
        <v/>
      </c>
      <c r="X60" s="39" t="str">
        <f t="shared" si="9"/>
        <v/>
      </c>
      <c r="Y60" s="51" t="s">
        <v>8070</v>
      </c>
      <c r="Z60" s="46"/>
    </row>
    <row r="61" spans="1:26" s="3" customFormat="1" ht="60" x14ac:dyDescent="0.25">
      <c r="A61" s="28">
        <v>133042</v>
      </c>
      <c r="B61" s="28">
        <f>VLOOKUP($A61,'Выгр Кат'!$A:$R,B$1,0)</f>
        <v>16992</v>
      </c>
      <c r="C61" s="27" t="str">
        <f>VLOOKUP($A61,'Выгр Кат'!$A:$R,C$1,0)</f>
        <v>Ароматизатор (освежитель) воздуха на дефлектор вентиляции Contra "The Sex Mafia" Древесно-цветочная свежесть</v>
      </c>
      <c r="D61" s="28" t="str">
        <f>VLOOKUP($A61,'Выгр Кат'!$A:$R,D$1,0)</f>
        <v>Y</v>
      </c>
      <c r="E61" s="28" t="str">
        <f>VLOOKUP($A61,'Выгр Кат'!$A:$R,E$1,0)</f>
        <v>1</v>
      </c>
      <c r="F61" s="28" t="str">
        <f>VLOOKUP($A61,'Выгр Кат'!$A:$R,F$1,0)</f>
        <v>71437</v>
      </c>
      <c r="G61" s="7">
        <v>71437</v>
      </c>
      <c r="H61" s="7"/>
      <c r="I61" s="1" t="s">
        <v>3</v>
      </c>
      <c r="J61" s="41">
        <f t="shared" si="13"/>
        <v>310</v>
      </c>
      <c r="K61" s="2">
        <f>VLOOKUP(J61,Наценка!$A$1:$B$8,2,1)</f>
        <v>1.68</v>
      </c>
      <c r="L61" s="4">
        <f t="shared" si="10"/>
        <v>520.79999999999995</v>
      </c>
      <c r="M61" s="42">
        <f t="shared" si="4"/>
        <v>529</v>
      </c>
      <c r="N61" s="28">
        <f>VLOOKUP($A61,'Выгр Кат'!$A:$R,N$1,0)</f>
        <v>310</v>
      </c>
      <c r="O61" s="28">
        <f>VLOOKUP($A61,'Выгр Кат'!$A:$R,O$1,0)</f>
        <v>529</v>
      </c>
      <c r="P61" s="30">
        <f t="shared" si="5"/>
        <v>0</v>
      </c>
      <c r="Q61" s="30">
        <f t="shared" si="6"/>
        <v>0</v>
      </c>
      <c r="R61" s="36">
        <f t="shared" si="11"/>
        <v>491.96999999999997</v>
      </c>
      <c r="S61" s="64" t="str">
        <f>IFERROR((VLOOKUP($A61,'Из ГУГЛа'!$B:$G,6,0)+U61)*T61,VLOOKUP($A61,'Из ГУГЛа'!$B:$G,6,0))</f>
        <v/>
      </c>
      <c r="T61" s="38">
        <v>1</v>
      </c>
      <c r="U61" s="38">
        <v>0</v>
      </c>
      <c r="V61" s="39">
        <f t="shared" si="7"/>
        <v>0.58699999999999997</v>
      </c>
      <c r="W61" s="39" t="str">
        <f t="shared" si="8"/>
        <v/>
      </c>
      <c r="X61" s="39" t="str">
        <f t="shared" si="9"/>
        <v/>
      </c>
      <c r="Y61" s="51" t="s">
        <v>8070</v>
      </c>
      <c r="Z61" s="46"/>
    </row>
    <row r="62" spans="1:26" s="3" customFormat="1" ht="45" x14ac:dyDescent="0.25">
      <c r="A62" s="28">
        <v>132996</v>
      </c>
      <c r="B62" s="28">
        <f>VLOOKUP($A62,'Выгр Кат'!$A:$R,B$1,0)</f>
        <v>16937</v>
      </c>
      <c r="C62" s="27" t="str">
        <f>VLOOKUP($A62,'Выгр Кат'!$A:$R,C$1,0)</f>
        <v>Ароматизатор (освежитель) воздуха "ёлочка" Contra "Sex first" Прохлада ночного сада</v>
      </c>
      <c r="D62" s="28" t="str">
        <f>VLOOKUP($A62,'Выгр Кат'!$A:$R,D$1,0)</f>
        <v>Y</v>
      </c>
      <c r="E62" s="28" t="str">
        <f>VLOOKUP($A62,'Выгр Кат'!$A:$R,E$1,0)</f>
        <v>1</v>
      </c>
      <c r="F62" s="28" t="str">
        <f>VLOOKUP($A62,'Выгр Кат'!$A:$R,F$1,0)</f>
        <v>70350</v>
      </c>
      <c r="G62" s="7">
        <v>70350</v>
      </c>
      <c r="H62" s="7"/>
      <c r="I62" s="1" t="s">
        <v>3</v>
      </c>
      <c r="J62" s="42">
        <f>VLOOKUP(G62,Прайс!B:E,4,0)</f>
        <v>100</v>
      </c>
      <c r="K62" s="2">
        <f>VLOOKUP(J62,Наценка!$A$1:$B$8,2,1)</f>
        <v>1.89</v>
      </c>
      <c r="L62" s="4">
        <f t="shared" si="10"/>
        <v>189</v>
      </c>
      <c r="M62" s="42">
        <f t="shared" si="4"/>
        <v>189</v>
      </c>
      <c r="N62" s="28">
        <f>VLOOKUP($A62,'Выгр Кат'!$A:$R,N$1,0)</f>
        <v>100</v>
      </c>
      <c r="O62" s="28">
        <f>VLOOKUP($A62,'Выгр Кат'!$A:$R,O$1,0)</f>
        <v>189</v>
      </c>
      <c r="P62" s="30">
        <f t="shared" si="5"/>
        <v>0</v>
      </c>
      <c r="Q62" s="30">
        <f t="shared" si="6"/>
        <v>0</v>
      </c>
      <c r="R62" s="36">
        <f t="shared" si="11"/>
        <v>175.76999999999998</v>
      </c>
      <c r="S62" s="64">
        <f>IFERROR((VLOOKUP($A62,'Из ГУГЛа'!$B:$G,6,0)+U62)*T62,VLOOKUP($A62,'Из ГУГЛа'!$B:$G,6,0))</f>
        <v>190</v>
      </c>
      <c r="T62" s="38">
        <v>1</v>
      </c>
      <c r="U62" s="38">
        <v>0</v>
      </c>
      <c r="V62" s="39">
        <f t="shared" si="7"/>
        <v>0.75769999999999982</v>
      </c>
      <c r="W62" s="39">
        <f t="shared" si="8"/>
        <v>7.4894736842105361E-2</v>
      </c>
      <c r="X62" s="39">
        <f t="shared" si="9"/>
        <v>0.89999999999999991</v>
      </c>
      <c r="Y62" s="40">
        <v>190</v>
      </c>
      <c r="Z62" s="46" t="s">
        <v>8065</v>
      </c>
    </row>
    <row r="63" spans="1:26" s="3" customFormat="1" ht="60" x14ac:dyDescent="0.25">
      <c r="A63" s="28">
        <v>132997</v>
      </c>
      <c r="B63" s="28">
        <f>VLOOKUP($A63,'Выгр Кат'!$A:$R,B$1,0)</f>
        <v>16933</v>
      </c>
      <c r="C63" s="27" t="str">
        <f>VLOOKUP($A63,'Выгр Кат'!$A:$R,C$1,0)</f>
        <v>Ароматизатор (освежитель) воздуха "ёлочка" Contra "Sex on board" Грейпфрут с лепестками розы (Grapefruit rose)</v>
      </c>
      <c r="D63" s="28" t="str">
        <f>VLOOKUP($A63,'Выгр Кат'!$A:$R,D$1,0)</f>
        <v>Y</v>
      </c>
      <c r="E63" s="28" t="str">
        <f>VLOOKUP($A63,'Выгр Кат'!$A:$R,E$1,0)</f>
        <v>1</v>
      </c>
      <c r="F63" s="28" t="str">
        <f>VLOOKUP($A63,'Выгр Кат'!$A:$R,F$1,0)</f>
        <v>70351</v>
      </c>
      <c r="G63" s="7">
        <v>70351</v>
      </c>
      <c r="H63" s="7"/>
      <c r="I63" s="1" t="s">
        <v>3</v>
      </c>
      <c r="J63" s="42">
        <f>VLOOKUP(G63,Прайс!B:E,4,0)</f>
        <v>100</v>
      </c>
      <c r="K63" s="2">
        <f>VLOOKUP(J63,Наценка!$A$1:$B$8,2,1)</f>
        <v>1.89</v>
      </c>
      <c r="L63" s="4">
        <f t="shared" si="10"/>
        <v>189</v>
      </c>
      <c r="M63" s="42">
        <f t="shared" si="4"/>
        <v>189</v>
      </c>
      <c r="N63" s="28">
        <f>VLOOKUP($A63,'Выгр Кат'!$A:$R,N$1,0)</f>
        <v>100</v>
      </c>
      <c r="O63" s="28">
        <f>VLOOKUP($A63,'Выгр Кат'!$A:$R,O$1,0)</f>
        <v>189</v>
      </c>
      <c r="P63" s="30">
        <f t="shared" si="5"/>
        <v>0</v>
      </c>
      <c r="Q63" s="30">
        <f t="shared" si="6"/>
        <v>0</v>
      </c>
      <c r="R63" s="36">
        <f t="shared" si="11"/>
        <v>175.76999999999998</v>
      </c>
      <c r="S63" s="64">
        <f>IFERROR((VLOOKUP($A63,'Из ГУГЛа'!$B:$G,6,0)+U63)*T63,VLOOKUP($A63,'Из ГУГЛа'!$B:$G,6,0))</f>
        <v>190</v>
      </c>
      <c r="T63" s="38">
        <v>1</v>
      </c>
      <c r="U63" s="38">
        <v>0</v>
      </c>
      <c r="V63" s="39">
        <f t="shared" si="7"/>
        <v>0.75769999999999982</v>
      </c>
      <c r="W63" s="39">
        <f t="shared" si="8"/>
        <v>7.4894736842105361E-2</v>
      </c>
      <c r="X63" s="39">
        <f t="shared" si="9"/>
        <v>0.89999999999999991</v>
      </c>
      <c r="Y63" s="40">
        <v>190</v>
      </c>
      <c r="Z63" s="46" t="s">
        <v>8065</v>
      </c>
    </row>
    <row r="64" spans="1:26" s="3" customFormat="1" ht="45" x14ac:dyDescent="0.25">
      <c r="A64" s="28">
        <v>133000</v>
      </c>
      <c r="B64" s="28">
        <f>VLOOKUP($A64,'Выгр Кат'!$A:$R,B$1,0)</f>
        <v>16934</v>
      </c>
      <c r="C64" s="27" t="str">
        <f>VLOOKUP($A64,'Выгр Кат'!$A:$R,C$1,0)</f>
        <v>Ароматизатор (освежитель) воздуха "ёлочка" Contra "Sexoholic" Ваниль и восточные сладости (Vanilla)</v>
      </c>
      <c r="D64" s="28" t="str">
        <f>VLOOKUP($A64,'Выгр Кат'!$A:$R,D$1,0)</f>
        <v>Y</v>
      </c>
      <c r="E64" s="28" t="str">
        <f>VLOOKUP($A64,'Выгр Кат'!$A:$R,E$1,0)</f>
        <v>1</v>
      </c>
      <c r="F64" s="28" t="str">
        <f>VLOOKUP($A64,'Выгр Кат'!$A:$R,F$1,0)</f>
        <v>70355</v>
      </c>
      <c r="G64" s="7">
        <v>70355</v>
      </c>
      <c r="H64" s="7"/>
      <c r="I64" s="1" t="s">
        <v>3</v>
      </c>
      <c r="J64" s="42">
        <f>VLOOKUP(G64,Прайс!B:E,4,0)</f>
        <v>100</v>
      </c>
      <c r="K64" s="2">
        <f>VLOOKUP(J64,Наценка!$A$1:$B$8,2,1)</f>
        <v>1.89</v>
      </c>
      <c r="L64" s="4">
        <f t="shared" si="10"/>
        <v>189</v>
      </c>
      <c r="M64" s="42">
        <f t="shared" si="4"/>
        <v>189</v>
      </c>
      <c r="N64" s="28">
        <f>VLOOKUP($A64,'Выгр Кат'!$A:$R,N$1,0)</f>
        <v>100</v>
      </c>
      <c r="O64" s="28">
        <f>VLOOKUP($A64,'Выгр Кат'!$A:$R,O$1,0)</f>
        <v>189</v>
      </c>
      <c r="P64" s="30">
        <f t="shared" si="5"/>
        <v>0</v>
      </c>
      <c r="Q64" s="30">
        <f t="shared" si="6"/>
        <v>0</v>
      </c>
      <c r="R64" s="36">
        <f t="shared" si="11"/>
        <v>175.76999999999998</v>
      </c>
      <c r="S64" s="64">
        <f>IFERROR((VLOOKUP($A64,'Из ГУГЛа'!$B:$G,6,0)+U64)*T64,VLOOKUP($A64,'Из ГУГЛа'!$B:$G,6,0))</f>
        <v>190</v>
      </c>
      <c r="T64" s="38">
        <v>1</v>
      </c>
      <c r="U64" s="38">
        <v>0</v>
      </c>
      <c r="V64" s="39">
        <f t="shared" si="7"/>
        <v>0.75769999999999982</v>
      </c>
      <c r="W64" s="39">
        <f t="shared" si="8"/>
        <v>7.4894736842105361E-2</v>
      </c>
      <c r="X64" s="39">
        <f t="shared" si="9"/>
        <v>0.89999999999999991</v>
      </c>
      <c r="Y64" s="40">
        <v>190</v>
      </c>
      <c r="Z64" s="46" t="s">
        <v>8065</v>
      </c>
    </row>
    <row r="65" spans="1:26" s="3" customFormat="1" ht="60" x14ac:dyDescent="0.25">
      <c r="A65" s="28">
        <v>133001</v>
      </c>
      <c r="B65" s="28">
        <f>VLOOKUP($A65,'Выгр Кат'!$A:$R,B$1,0)</f>
        <v>17612</v>
      </c>
      <c r="C65" s="27" t="str">
        <f>VLOOKUP($A65,'Выгр Кат'!$A:$R,C$1,0)</f>
        <v>Ароматизатор (освежитель) воздуха "мешочек" Contra "Sex First" Элегантный запах с древесными нотами и тонким шлейфом лаванды</v>
      </c>
      <c r="D65" s="28" t="str">
        <f>VLOOKUP($A65,'Выгр Кат'!$A:$R,D$1,0)</f>
        <v>Y</v>
      </c>
      <c r="E65" s="28" t="str">
        <f>VLOOKUP($A65,'Выгр Кат'!$A:$R,E$1,0)</f>
        <v>1</v>
      </c>
      <c r="F65" s="28" t="str">
        <f>VLOOKUP($A65,'Выгр Кат'!$A:$R,F$1,0)</f>
        <v>71473</v>
      </c>
      <c r="G65" s="7">
        <v>71473</v>
      </c>
      <c r="H65" s="7"/>
      <c r="I65" s="1" t="s">
        <v>3</v>
      </c>
      <c r="J65" s="42">
        <f>VLOOKUP(G65,Прайс!B:E,4,0)</f>
        <v>140</v>
      </c>
      <c r="K65" s="2">
        <f>VLOOKUP(J65,Наценка!$A$1:$B$8,2,1)</f>
        <v>1.89</v>
      </c>
      <c r="L65" s="4">
        <f t="shared" si="10"/>
        <v>264.59999999999997</v>
      </c>
      <c r="M65" s="42">
        <f t="shared" si="4"/>
        <v>269</v>
      </c>
      <c r="N65" s="28">
        <f>VLOOKUP($A65,'Выгр Кат'!$A:$R,N$1,0)</f>
        <v>140</v>
      </c>
      <c r="O65" s="28">
        <f>VLOOKUP($A65,'Выгр Кат'!$A:$R,O$1,0)</f>
        <v>269</v>
      </c>
      <c r="P65" s="30">
        <f t="shared" si="5"/>
        <v>0</v>
      </c>
      <c r="Q65" s="30">
        <f t="shared" si="6"/>
        <v>0</v>
      </c>
      <c r="R65" s="36">
        <f t="shared" si="11"/>
        <v>250.17</v>
      </c>
      <c r="S65" s="64">
        <f>IFERROR((VLOOKUP($A65,'Из ГУГЛа'!$B:$G,6,0)+U65)*T65,VLOOKUP($A65,'Из ГУГЛа'!$B:$G,6,0))</f>
        <v>469</v>
      </c>
      <c r="T65" s="38">
        <v>1</v>
      </c>
      <c r="U65" s="38">
        <v>0</v>
      </c>
      <c r="V65" s="39">
        <f t="shared" si="7"/>
        <v>0.78692857142857142</v>
      </c>
      <c r="W65" s="39">
        <f t="shared" si="8"/>
        <v>0.46658848614072496</v>
      </c>
      <c r="X65" s="39">
        <f t="shared" si="9"/>
        <v>2.35</v>
      </c>
      <c r="Y65" s="40">
        <v>469</v>
      </c>
      <c r="Z65" s="46" t="s">
        <v>8066</v>
      </c>
    </row>
    <row r="66" spans="1:26" s="3" customFormat="1" ht="60" x14ac:dyDescent="0.25">
      <c r="A66" s="28">
        <v>133002</v>
      </c>
      <c r="B66" s="28">
        <f>VLOOKUP($A66,'Выгр Кат'!$A:$R,B$1,0)</f>
        <v>17611</v>
      </c>
      <c r="C66" s="27" t="str">
        <f>VLOOKUP($A66,'Выгр Кат'!$A:$R,C$1,0)</f>
        <v>Ароматизатор (освежитель) воздуха "мешочек" Contra "Sex Narcotic" Древесно-ванильная эйфория с феромонами</v>
      </c>
      <c r="D66" s="28" t="str">
        <f>VLOOKUP($A66,'Выгр Кат'!$A:$R,D$1,0)</f>
        <v>Y</v>
      </c>
      <c r="E66" s="28" t="str">
        <f>VLOOKUP($A66,'Выгр Кат'!$A:$R,E$1,0)</f>
        <v>1</v>
      </c>
      <c r="F66" s="28" t="str">
        <f>VLOOKUP($A66,'Выгр Кат'!$A:$R,F$1,0)</f>
        <v>71472</v>
      </c>
      <c r="G66" s="7">
        <v>71472</v>
      </c>
      <c r="H66" s="7"/>
      <c r="I66" s="1" t="s">
        <v>3</v>
      </c>
      <c r="J66" s="41">
        <f t="shared" ref="J66:J70" si="14">N66</f>
        <v>135</v>
      </c>
      <c r="K66" s="2">
        <f>VLOOKUP(J66,Наценка!$A$1:$B$8,2,1)</f>
        <v>1.89</v>
      </c>
      <c r="L66" s="4">
        <f t="shared" si="10"/>
        <v>255.14999999999998</v>
      </c>
      <c r="M66" s="42">
        <f t="shared" si="4"/>
        <v>259</v>
      </c>
      <c r="N66" s="28">
        <f>VLOOKUP($A66,'Выгр Кат'!$A:$R,N$1,0)</f>
        <v>135</v>
      </c>
      <c r="O66" s="28">
        <f>VLOOKUP($A66,'Выгр Кат'!$A:$R,O$1,0)</f>
        <v>259</v>
      </c>
      <c r="P66" s="30">
        <f t="shared" si="5"/>
        <v>0</v>
      </c>
      <c r="Q66" s="30">
        <f t="shared" si="6"/>
        <v>0</v>
      </c>
      <c r="R66" s="36">
        <f t="shared" si="11"/>
        <v>240.86999999999998</v>
      </c>
      <c r="S66" s="64">
        <f>IFERROR((VLOOKUP($A66,'Из ГУГЛа'!$B:$G,6,0)+U66)*T66,VLOOKUP($A66,'Из ГУГЛа'!$B:$G,6,0))</f>
        <v>469</v>
      </c>
      <c r="T66" s="38">
        <v>1</v>
      </c>
      <c r="U66" s="38">
        <v>0</v>
      </c>
      <c r="V66" s="39">
        <f t="shared" si="7"/>
        <v>0.78422222222222215</v>
      </c>
      <c r="W66" s="39">
        <f t="shared" si="8"/>
        <v>0.48641791044776123</v>
      </c>
      <c r="X66" s="39">
        <f t="shared" si="9"/>
        <v>2.4740740740740739</v>
      </c>
      <c r="Y66" s="40">
        <v>469</v>
      </c>
      <c r="Z66" s="46" t="s">
        <v>8066</v>
      </c>
    </row>
    <row r="67" spans="1:26" s="3" customFormat="1" ht="60" x14ac:dyDescent="0.25">
      <c r="A67" s="28">
        <v>133003</v>
      </c>
      <c r="B67" s="28">
        <f>VLOOKUP($A67,'Выгр Кат'!$A:$R,B$1,0)</f>
        <v>14175</v>
      </c>
      <c r="C67" s="27" t="str">
        <f>VLOOKUP($A67,'Выгр Кат'!$A:$R,C$1,0)</f>
        <v>Ароматизатор (освежитель) воздуха "мешочек" Contra "Sex on board" Грейпфрут с лепестками розы (Grapefruit rose)</v>
      </c>
      <c r="D67" s="28" t="str">
        <f>VLOOKUP($A67,'Выгр Кат'!$A:$R,D$1,0)</f>
        <v>Y</v>
      </c>
      <c r="E67" s="28" t="str">
        <f>VLOOKUP($A67,'Выгр Кат'!$A:$R,E$1,0)</f>
        <v>1</v>
      </c>
      <c r="F67" s="28" t="str">
        <f>VLOOKUP($A67,'Выгр Кат'!$A:$R,F$1,0)</f>
        <v>71355</v>
      </c>
      <c r="G67" s="7">
        <v>71355</v>
      </c>
      <c r="H67" s="7"/>
      <c r="I67" s="1" t="s">
        <v>3</v>
      </c>
      <c r="J67" s="41">
        <f t="shared" si="14"/>
        <v>140</v>
      </c>
      <c r="K67" s="2">
        <f>VLOOKUP(J67,Наценка!$A$1:$B$8,2,1)</f>
        <v>1.89</v>
      </c>
      <c r="L67" s="4">
        <f t="shared" si="10"/>
        <v>264.59999999999997</v>
      </c>
      <c r="M67" s="42">
        <f t="shared" si="4"/>
        <v>269</v>
      </c>
      <c r="N67" s="28">
        <f>VLOOKUP($A67,'Выгр Кат'!$A:$R,N$1,0)</f>
        <v>140</v>
      </c>
      <c r="O67" s="28">
        <f>VLOOKUP($A67,'Выгр Кат'!$A:$R,O$1,0)</f>
        <v>269</v>
      </c>
      <c r="P67" s="30">
        <f t="shared" ref="P67:P127" si="15">N67-J67</f>
        <v>0</v>
      </c>
      <c r="Q67" s="30">
        <f t="shared" ref="Q67:Q127" si="16">O67-M67</f>
        <v>0</v>
      </c>
      <c r="R67" s="36">
        <f t="shared" ref="R67:R98" si="17">IFERROR(M67*(1-$R$2),"")</f>
        <v>250.17</v>
      </c>
      <c r="S67" s="64">
        <f>IFERROR((VLOOKUP($A67,'Из ГУГЛа'!$B:$G,6,0)+U67)*T67,VLOOKUP($A67,'Из ГУГЛа'!$B:$G,6,0))</f>
        <v>469</v>
      </c>
      <c r="T67" s="38">
        <v>1</v>
      </c>
      <c r="U67" s="38">
        <v>0</v>
      </c>
      <c r="V67" s="39">
        <f t="shared" ref="V67:V127" si="18">IFERROR(R67/J67-1,"")</f>
        <v>0.78692857142857142</v>
      </c>
      <c r="W67" s="39">
        <f t="shared" ref="W67:W127" si="19">IFERROR((Y67-R67)/Y67,"")</f>
        <v>0.46658848614072496</v>
      </c>
      <c r="X67" s="39">
        <f t="shared" ref="X67:X127" si="20">IFERROR(IF(Y67="","",Y67/J67-1),"")</f>
        <v>2.35</v>
      </c>
      <c r="Y67" s="40">
        <v>469</v>
      </c>
      <c r="Z67" s="46" t="s">
        <v>8066</v>
      </c>
    </row>
    <row r="68" spans="1:26" s="3" customFormat="1" ht="60" x14ac:dyDescent="0.25">
      <c r="A68" s="28">
        <v>133006</v>
      </c>
      <c r="B68" s="28">
        <f>VLOOKUP($A68,'Выгр Кат'!$A:$R,B$1,0)</f>
        <v>14195</v>
      </c>
      <c r="C68" s="27" t="str">
        <f>VLOOKUP($A68,'Выгр Кат'!$A:$R,C$1,0)</f>
        <v>Ароматизатор (освежитель) воздуха "мешочек" Contra "The Sex Mafia" Древесно-цветочная свежесть (Fabrice)</v>
      </c>
      <c r="D68" s="28" t="str">
        <f>VLOOKUP($A68,'Выгр Кат'!$A:$R,D$1,0)</f>
        <v>Y</v>
      </c>
      <c r="E68" s="28" t="str">
        <f>VLOOKUP($A68,'Выгр Кат'!$A:$R,E$1,0)</f>
        <v>1</v>
      </c>
      <c r="F68" s="28" t="str">
        <f>VLOOKUP($A68,'Выгр Кат'!$A:$R,F$1,0)</f>
        <v>71376</v>
      </c>
      <c r="G68" s="7">
        <v>71376</v>
      </c>
      <c r="H68" s="7"/>
      <c r="I68" s="1" t="s">
        <v>3</v>
      </c>
      <c r="J68" s="41">
        <f t="shared" si="14"/>
        <v>140</v>
      </c>
      <c r="K68" s="2">
        <f>VLOOKUP(J68,Наценка!$A$1:$B$8,2,1)</f>
        <v>1.89</v>
      </c>
      <c r="L68" s="4">
        <f t="shared" ref="L68:L131" si="21">J68*K68</f>
        <v>264.59999999999997</v>
      </c>
      <c r="M68" s="42">
        <f t="shared" ref="M68:M131" si="22">IF(L68&lt;=1000,(ROUNDUP(L68,-1)-1),(ROUNDUP(L68,-2)-10))</f>
        <v>269</v>
      </c>
      <c r="N68" s="28">
        <f>VLOOKUP($A68,'Выгр Кат'!$A:$R,N$1,0)</f>
        <v>140</v>
      </c>
      <c r="O68" s="28">
        <f>VLOOKUP($A68,'Выгр Кат'!$A:$R,O$1,0)</f>
        <v>269</v>
      </c>
      <c r="P68" s="30">
        <f t="shared" si="15"/>
        <v>0</v>
      </c>
      <c r="Q68" s="30">
        <f t="shared" si="16"/>
        <v>0</v>
      </c>
      <c r="R68" s="36">
        <f t="shared" si="17"/>
        <v>250.17</v>
      </c>
      <c r="S68" s="64">
        <f>IFERROR((VLOOKUP($A68,'Из ГУГЛа'!$B:$G,6,0)+U68)*T68,VLOOKUP($A68,'Из ГУГЛа'!$B:$G,6,0))</f>
        <v>469</v>
      </c>
      <c r="T68" s="38">
        <v>1</v>
      </c>
      <c r="U68" s="38">
        <v>0</v>
      </c>
      <c r="V68" s="39">
        <f t="shared" si="18"/>
        <v>0.78692857142857142</v>
      </c>
      <c r="W68" s="39">
        <f t="shared" si="19"/>
        <v>0.46658848614072496</v>
      </c>
      <c r="X68" s="39">
        <f t="shared" si="20"/>
        <v>2.35</v>
      </c>
      <c r="Y68" s="40">
        <v>469</v>
      </c>
      <c r="Z68" s="46" t="s">
        <v>8066</v>
      </c>
    </row>
    <row r="69" spans="1:26" s="3" customFormat="1" ht="60" x14ac:dyDescent="0.25">
      <c r="A69" s="28">
        <v>133028</v>
      </c>
      <c r="B69" s="28">
        <f>VLOOKUP($A69,'Выгр Кат'!$A:$R,B$1,0)</f>
        <v>16473</v>
      </c>
      <c r="C69" s="27" t="str">
        <f>VLOOKUP($A69,'Выгр Кат'!$A:$R,C$1,0)</f>
        <v>Ароматизатор (освежитель) воздуха аэрозольный Contra "Sex King" Королевский гранат и кора черного дерева</v>
      </c>
      <c r="D69" s="28" t="str">
        <f>VLOOKUP($A69,'Выгр Кат'!$A:$R,D$1,0)</f>
        <v>Y</v>
      </c>
      <c r="E69" s="28" t="str">
        <f>VLOOKUP($A69,'Выгр Кат'!$A:$R,E$1,0)</f>
        <v>1</v>
      </c>
      <c r="F69" s="28" t="str">
        <f>VLOOKUP($A69,'Выгр Кат'!$A:$R,F$1,0)</f>
        <v>71408</v>
      </c>
      <c r="G69" s="7">
        <v>71408</v>
      </c>
      <c r="H69" s="7"/>
      <c r="I69" s="1" t="s">
        <v>3</v>
      </c>
      <c r="J69" s="41">
        <f t="shared" si="14"/>
        <v>140</v>
      </c>
      <c r="K69" s="2">
        <f>VLOOKUP(J69,Наценка!$A$1:$B$8,2,1)</f>
        <v>1.89</v>
      </c>
      <c r="L69" s="4">
        <f t="shared" si="21"/>
        <v>264.59999999999997</v>
      </c>
      <c r="M69" s="42">
        <f t="shared" si="22"/>
        <v>269</v>
      </c>
      <c r="N69" s="28">
        <f>VLOOKUP($A69,'Выгр Кат'!$A:$R,N$1,0)</f>
        <v>140</v>
      </c>
      <c r="O69" s="28">
        <f>VLOOKUP($A69,'Выгр Кат'!$A:$R,O$1,0)</f>
        <v>269</v>
      </c>
      <c r="P69" s="30">
        <f t="shared" si="15"/>
        <v>0</v>
      </c>
      <c r="Q69" s="30">
        <f t="shared" si="16"/>
        <v>0</v>
      </c>
      <c r="R69" s="36">
        <f t="shared" si="17"/>
        <v>250.17</v>
      </c>
      <c r="S69" s="64">
        <f>IFERROR((VLOOKUP($A69,'Из ГУГЛа'!$B:$G,6,0)+U69)*T69,VLOOKUP($A69,'Из ГУГЛа'!$B:$G,6,0))</f>
        <v>290</v>
      </c>
      <c r="T69" s="38">
        <v>1</v>
      </c>
      <c r="U69" s="38">
        <v>0</v>
      </c>
      <c r="V69" s="39">
        <f t="shared" si="18"/>
        <v>0.78692857142857142</v>
      </c>
      <c r="W69" s="39">
        <f t="shared" si="19"/>
        <v>0.13734482758620695</v>
      </c>
      <c r="X69" s="39">
        <f t="shared" si="20"/>
        <v>1.0714285714285716</v>
      </c>
      <c r="Y69" s="40">
        <v>290</v>
      </c>
      <c r="Z69" s="46" t="s">
        <v>8068</v>
      </c>
    </row>
    <row r="70" spans="1:26" s="3" customFormat="1" ht="45" x14ac:dyDescent="0.25">
      <c r="A70" s="28">
        <v>133027</v>
      </c>
      <c r="B70" s="28">
        <f>VLOOKUP($A70,'Выгр Кат'!$A:$R,B$1,0)</f>
        <v>23970</v>
      </c>
      <c r="C70" s="27" t="str">
        <f>VLOOKUP($A70,'Выгр Кат'!$A:$R,C$1,0)</f>
        <v>Ароматизатор (освежитель) воздуха Contra "The Sex Mafia" Древесно-цветочная свежесть (Fabrice) XXL</v>
      </c>
      <c r="D70" s="28" t="str">
        <f>VLOOKUP($A70,'Выгр Кат'!$A:$R,D$1,0)</f>
        <v>Y</v>
      </c>
      <c r="E70" s="28" t="str">
        <f>VLOOKUP($A70,'Выгр Кат'!$A:$R,E$1,0)</f>
        <v>1</v>
      </c>
      <c r="F70" s="28" t="str">
        <f>VLOOKUP($A70,'Выгр Кат'!$A:$R,F$1,0)</f>
        <v>71882</v>
      </c>
      <c r="G70" s="11">
        <v>71882</v>
      </c>
      <c r="H70" s="11"/>
      <c r="I70" s="1" t="s">
        <v>3</v>
      </c>
      <c r="J70" s="41">
        <f t="shared" si="14"/>
        <v>330</v>
      </c>
      <c r="K70" s="2">
        <f>VLOOKUP(J70,Наценка!$A$1:$B$8,2,1)</f>
        <v>1.68</v>
      </c>
      <c r="L70" s="4">
        <f t="shared" si="21"/>
        <v>554.4</v>
      </c>
      <c r="M70" s="42">
        <f t="shared" si="22"/>
        <v>559</v>
      </c>
      <c r="N70" s="28">
        <f>VLOOKUP($A70,'Выгр Кат'!$A:$R,N$1,0)</f>
        <v>330</v>
      </c>
      <c r="O70" s="28">
        <f>VLOOKUP($A70,'Выгр Кат'!$A:$R,O$1,0)</f>
        <v>559</v>
      </c>
      <c r="P70" s="30">
        <f t="shared" si="15"/>
        <v>0</v>
      </c>
      <c r="Q70" s="30">
        <f t="shared" si="16"/>
        <v>0</v>
      </c>
      <c r="R70" s="36">
        <f t="shared" si="17"/>
        <v>519.87</v>
      </c>
      <c r="S70" s="64" t="str">
        <f>IFERROR((VLOOKUP($A70,'Из ГУГЛа'!$B:$G,6,0)+U70)*T70,VLOOKUP($A70,'Из ГУГЛа'!$B:$G,6,0))</f>
        <v/>
      </c>
      <c r="T70" s="38">
        <v>1</v>
      </c>
      <c r="U70" s="38">
        <v>0</v>
      </c>
      <c r="V70" s="39">
        <f t="shared" si="18"/>
        <v>0.5753636363636363</v>
      </c>
      <c r="W70" s="39" t="str">
        <f t="shared" si="19"/>
        <v/>
      </c>
      <c r="X70" s="39" t="str">
        <f t="shared" si="20"/>
        <v/>
      </c>
      <c r="Y70" s="65" t="s">
        <v>8364</v>
      </c>
      <c r="Z70" s="46"/>
    </row>
    <row r="71" spans="1:26" s="3" customFormat="1" ht="45" x14ac:dyDescent="0.25">
      <c r="A71" s="28">
        <v>131477</v>
      </c>
      <c r="B71" s="28">
        <f>VLOOKUP($A71,'Выгр Кат'!$A:$R,B$1,0)</f>
        <v>19976</v>
      </c>
      <c r="C71" s="27" t="str">
        <f>VLOOKUP($A71,'Выгр Кат'!$A:$R,C$1,0)</f>
        <v>Автомобильный ароматизатор "Contra" PERFUME, аромат №1 Ciel Pour Homme</v>
      </c>
      <c r="D71" s="28" t="str">
        <f>VLOOKUP($A71,'Выгр Кат'!$A:$R,D$1,0)</f>
        <v>Y</v>
      </c>
      <c r="E71" s="28" t="str">
        <f>VLOOKUP($A71,'Выгр Кат'!$A:$R,E$1,0)</f>
        <v>1</v>
      </c>
      <c r="F71" s="28" t="str">
        <f>VLOOKUP($A71,'Выгр Кат'!$A:$R,F$1,0)</f>
        <v>71754</v>
      </c>
      <c r="G71" s="7">
        <v>71754</v>
      </c>
      <c r="H71" s="7"/>
      <c r="I71" s="1" t="s">
        <v>3</v>
      </c>
      <c r="J71" s="42">
        <f>VLOOKUP(G71,Прайс!B:E,4,0)</f>
        <v>145</v>
      </c>
      <c r="K71" s="2">
        <f>VLOOKUP(J71,Наценка!$A$1:$B$8,2,1)</f>
        <v>1.89</v>
      </c>
      <c r="L71" s="4">
        <f t="shared" si="21"/>
        <v>274.05</v>
      </c>
      <c r="M71" s="42">
        <f t="shared" si="22"/>
        <v>279</v>
      </c>
      <c r="N71" s="28">
        <f>VLOOKUP($A71,'Выгр Кат'!$A:$R,N$1,0)</f>
        <v>145</v>
      </c>
      <c r="O71" s="28">
        <f>VLOOKUP($A71,'Выгр Кат'!$A:$R,O$1,0)</f>
        <v>279</v>
      </c>
      <c r="P71" s="30">
        <f t="shared" si="15"/>
        <v>0</v>
      </c>
      <c r="Q71" s="30">
        <f t="shared" si="16"/>
        <v>0</v>
      </c>
      <c r="R71" s="36">
        <f t="shared" si="17"/>
        <v>259.46999999999997</v>
      </c>
      <c r="S71" s="64">
        <f>IFERROR((VLOOKUP($A71,'Из ГУГЛа'!$B:$G,6,0)+U71)*T71,VLOOKUP($A71,'Из ГУГЛа'!$B:$G,6,0))</f>
        <v>390</v>
      </c>
      <c r="T71" s="38">
        <v>1</v>
      </c>
      <c r="U71" s="38">
        <v>0</v>
      </c>
      <c r="V71" s="39">
        <f t="shared" si="18"/>
        <v>0.78944827586206867</v>
      </c>
      <c r="W71" s="39">
        <f t="shared" si="19"/>
        <v>0.33469230769230779</v>
      </c>
      <c r="X71" s="39">
        <f t="shared" si="20"/>
        <v>1.6896551724137931</v>
      </c>
      <c r="Y71" s="40">
        <v>390</v>
      </c>
      <c r="Z71" s="46" t="s">
        <v>8067</v>
      </c>
    </row>
    <row r="72" spans="1:26" s="3" customFormat="1" ht="45" x14ac:dyDescent="0.25">
      <c r="A72" s="28">
        <v>131470</v>
      </c>
      <c r="B72" s="28">
        <f>VLOOKUP($A72,'Выгр Кат'!$A:$R,B$1,0)</f>
        <v>19982</v>
      </c>
      <c r="C72" s="27" t="str">
        <f>VLOOKUP($A72,'Выгр Кат'!$A:$R,C$1,0)</f>
        <v>Автомобильный ароматизатор "Contra" PERFUME, аромат Amouage Opus V</v>
      </c>
      <c r="D72" s="28" t="str">
        <f>VLOOKUP($A72,'Выгр Кат'!$A:$R,D$1,0)</f>
        <v>Y</v>
      </c>
      <c r="E72" s="28" t="str">
        <f>VLOOKUP($A72,'Выгр Кат'!$A:$R,E$1,0)</f>
        <v>1</v>
      </c>
      <c r="F72" s="28" t="str">
        <f>VLOOKUP($A72,'Выгр Кат'!$A:$R,F$1,0)</f>
        <v>71755</v>
      </c>
      <c r="G72" s="7">
        <v>71755</v>
      </c>
      <c r="H72" s="7"/>
      <c r="I72" s="1" t="s">
        <v>3</v>
      </c>
      <c r="J72" s="42">
        <f>VLOOKUP(G72,Прайс!B:E,4,0)</f>
        <v>145</v>
      </c>
      <c r="K72" s="2">
        <f>VLOOKUP(J72,Наценка!$A$1:$B$8,2,1)</f>
        <v>1.89</v>
      </c>
      <c r="L72" s="4">
        <f t="shared" si="21"/>
        <v>274.05</v>
      </c>
      <c r="M72" s="42">
        <f t="shared" si="22"/>
        <v>279</v>
      </c>
      <c r="N72" s="28">
        <f>VLOOKUP($A72,'Выгр Кат'!$A:$R,N$1,0)</f>
        <v>145</v>
      </c>
      <c r="O72" s="28">
        <f>VLOOKUP($A72,'Выгр Кат'!$A:$R,O$1,0)</f>
        <v>279</v>
      </c>
      <c r="P72" s="30">
        <f t="shared" si="15"/>
        <v>0</v>
      </c>
      <c r="Q72" s="30">
        <f t="shared" si="16"/>
        <v>0</v>
      </c>
      <c r="R72" s="36">
        <f t="shared" si="17"/>
        <v>259.46999999999997</v>
      </c>
      <c r="S72" s="64">
        <f>IFERROR((VLOOKUP($A72,'Из ГУГЛа'!$B:$G,6,0)+U72)*T72,VLOOKUP($A72,'Из ГУГЛа'!$B:$G,6,0))</f>
        <v>390</v>
      </c>
      <c r="T72" s="38">
        <v>1</v>
      </c>
      <c r="U72" s="38">
        <v>0</v>
      </c>
      <c r="V72" s="39">
        <f t="shared" si="18"/>
        <v>0.78944827586206867</v>
      </c>
      <c r="W72" s="39">
        <f t="shared" si="19"/>
        <v>0.33469230769230779</v>
      </c>
      <c r="X72" s="39">
        <f t="shared" si="20"/>
        <v>1.6896551724137931</v>
      </c>
      <c r="Y72" s="40">
        <v>390</v>
      </c>
      <c r="Z72" s="46" t="s">
        <v>8067</v>
      </c>
    </row>
    <row r="73" spans="1:26" s="3" customFormat="1" ht="45" x14ac:dyDescent="0.25">
      <c r="A73" s="28">
        <v>131468</v>
      </c>
      <c r="B73" s="28">
        <f>VLOOKUP($A73,'Выгр Кат'!$A:$R,B$1,0)</f>
        <v>19985</v>
      </c>
      <c r="C73" s="27" t="str">
        <f>VLOOKUP($A73,'Выгр Кат'!$A:$R,C$1,0)</f>
        <v>Автомобильный ароматизатор "Contra" PERFUME, аромат №4 Acqua di Gio</v>
      </c>
      <c r="D73" s="28" t="str">
        <f>VLOOKUP($A73,'Выгр Кат'!$A:$R,D$1,0)</f>
        <v>Y</v>
      </c>
      <c r="E73" s="28" t="str">
        <f>VLOOKUP($A73,'Выгр Кат'!$A:$R,E$1,0)</f>
        <v>1</v>
      </c>
      <c r="F73" s="28" t="str">
        <f>VLOOKUP($A73,'Выгр Кат'!$A:$R,F$1,0)</f>
        <v>71757</v>
      </c>
      <c r="G73" s="7">
        <v>71757</v>
      </c>
      <c r="H73" s="7"/>
      <c r="I73" s="1" t="s">
        <v>3</v>
      </c>
      <c r="J73" s="41">
        <f t="shared" ref="J73:J74" si="23">N73</f>
        <v>145</v>
      </c>
      <c r="K73" s="2">
        <f>VLOOKUP(J73,Наценка!$A$1:$B$8,2,1)</f>
        <v>1.89</v>
      </c>
      <c r="L73" s="4">
        <f t="shared" si="21"/>
        <v>274.05</v>
      </c>
      <c r="M73" s="42">
        <f t="shared" si="22"/>
        <v>279</v>
      </c>
      <c r="N73" s="28">
        <f>VLOOKUP($A73,'Выгр Кат'!$A:$R,N$1,0)</f>
        <v>145</v>
      </c>
      <c r="O73" s="28">
        <f>VLOOKUP($A73,'Выгр Кат'!$A:$R,O$1,0)</f>
        <v>279</v>
      </c>
      <c r="P73" s="30">
        <f t="shared" si="15"/>
        <v>0</v>
      </c>
      <c r="Q73" s="30">
        <f t="shared" si="16"/>
        <v>0</v>
      </c>
      <c r="R73" s="36">
        <f t="shared" si="17"/>
        <v>259.46999999999997</v>
      </c>
      <c r="S73" s="64">
        <f>IFERROR((VLOOKUP($A73,'Из ГУГЛа'!$B:$G,6,0)+U73)*T73,VLOOKUP($A73,'Из ГУГЛа'!$B:$G,6,0))</f>
        <v>390</v>
      </c>
      <c r="T73" s="38">
        <v>1</v>
      </c>
      <c r="U73" s="38">
        <v>0</v>
      </c>
      <c r="V73" s="39">
        <f t="shared" si="18"/>
        <v>0.78944827586206867</v>
      </c>
      <c r="W73" s="39">
        <f t="shared" si="19"/>
        <v>0.33469230769230779</v>
      </c>
      <c r="X73" s="39">
        <f t="shared" si="20"/>
        <v>1.6896551724137931</v>
      </c>
      <c r="Y73" s="40">
        <v>390</v>
      </c>
      <c r="Z73" s="46" t="s">
        <v>8067</v>
      </c>
    </row>
    <row r="74" spans="1:26" s="3" customFormat="1" ht="45" x14ac:dyDescent="0.25">
      <c r="A74" s="28">
        <v>131469</v>
      </c>
      <c r="B74" s="28">
        <f>VLOOKUP($A74,'Выгр Кат'!$A:$R,B$1,0)</f>
        <v>19989</v>
      </c>
      <c r="C74" s="27" t="str">
        <f>VLOOKUP($A74,'Выгр Кат'!$A:$R,C$1,0)</f>
        <v>Автомобильный ароматизатор "Contra" PERFUME, аромат №5 Acqua di Gio Profumo</v>
      </c>
      <c r="D74" s="28" t="str">
        <f>VLOOKUP($A74,'Выгр Кат'!$A:$R,D$1,0)</f>
        <v>Y</v>
      </c>
      <c r="E74" s="28" t="str">
        <f>VLOOKUP($A74,'Выгр Кат'!$A:$R,E$1,0)</f>
        <v>1</v>
      </c>
      <c r="F74" s="28" t="str">
        <f>VLOOKUP($A74,'Выгр Кат'!$A:$R,F$1,0)</f>
        <v>71758</v>
      </c>
      <c r="G74" s="7">
        <v>71758</v>
      </c>
      <c r="H74" s="7"/>
      <c r="I74" s="1" t="s">
        <v>3</v>
      </c>
      <c r="J74" s="41">
        <f t="shared" si="23"/>
        <v>145</v>
      </c>
      <c r="K74" s="2">
        <f>VLOOKUP(J74,Наценка!$A$1:$B$8,2,1)</f>
        <v>1.89</v>
      </c>
      <c r="L74" s="4">
        <f t="shared" si="21"/>
        <v>274.05</v>
      </c>
      <c r="M74" s="42">
        <f t="shared" si="22"/>
        <v>279</v>
      </c>
      <c r="N74" s="28">
        <f>VLOOKUP($A74,'Выгр Кат'!$A:$R,N$1,0)</f>
        <v>145</v>
      </c>
      <c r="O74" s="28">
        <f>VLOOKUP($A74,'Выгр Кат'!$A:$R,O$1,0)</f>
        <v>279</v>
      </c>
      <c r="P74" s="30">
        <f t="shared" si="15"/>
        <v>0</v>
      </c>
      <c r="Q74" s="30">
        <f t="shared" si="16"/>
        <v>0</v>
      </c>
      <c r="R74" s="36">
        <f t="shared" si="17"/>
        <v>259.46999999999997</v>
      </c>
      <c r="S74" s="64">
        <f>IFERROR((VLOOKUP($A74,'Из ГУГЛа'!$B:$G,6,0)+U74)*T74,VLOOKUP($A74,'Из ГУГЛа'!$B:$G,6,0))</f>
        <v>390</v>
      </c>
      <c r="T74" s="38">
        <v>1</v>
      </c>
      <c r="U74" s="38">
        <v>0</v>
      </c>
      <c r="V74" s="39">
        <f t="shared" si="18"/>
        <v>0.78944827586206867</v>
      </c>
      <c r="W74" s="39">
        <f t="shared" si="19"/>
        <v>0.33469230769230779</v>
      </c>
      <c r="X74" s="39">
        <f t="shared" si="20"/>
        <v>1.6896551724137931</v>
      </c>
      <c r="Y74" s="40">
        <v>390</v>
      </c>
      <c r="Z74" s="46" t="s">
        <v>8067</v>
      </c>
    </row>
    <row r="75" spans="1:26" s="3" customFormat="1" ht="30" x14ac:dyDescent="0.25">
      <c r="A75" s="28">
        <v>131492</v>
      </c>
      <c r="B75" s="28">
        <f>VLOOKUP($A75,'Выгр Кат'!$A:$R,B$1,0)</f>
        <v>19981</v>
      </c>
      <c r="C75" s="27" t="str">
        <f>VLOOKUP($A75,'Выгр Кат'!$A:$R,C$1,0)</f>
        <v>Автомобильный ароматизатор "Contra" PERFUME, аромат №6 Si</v>
      </c>
      <c r="D75" s="28" t="str">
        <f>VLOOKUP($A75,'Выгр Кат'!$A:$R,D$1,0)</f>
        <v>Y</v>
      </c>
      <c r="E75" s="28" t="str">
        <f>VLOOKUP($A75,'Выгр Кат'!$A:$R,E$1,0)</f>
        <v>1</v>
      </c>
      <c r="F75" s="28" t="str">
        <f>VLOOKUP($A75,'Выгр Кат'!$A:$R,F$1,0)</f>
        <v>71759</v>
      </c>
      <c r="G75" s="7">
        <v>71759</v>
      </c>
      <c r="H75" s="7"/>
      <c r="I75" s="1" t="s">
        <v>3</v>
      </c>
      <c r="J75" s="42">
        <f>VLOOKUP(G75,Прайс!B:E,4,0)</f>
        <v>145</v>
      </c>
      <c r="K75" s="2">
        <f>VLOOKUP(J75,Наценка!$A$1:$B$8,2,1)</f>
        <v>1.89</v>
      </c>
      <c r="L75" s="4">
        <f t="shared" si="21"/>
        <v>274.05</v>
      </c>
      <c r="M75" s="42">
        <f t="shared" si="22"/>
        <v>279</v>
      </c>
      <c r="N75" s="28">
        <f>VLOOKUP($A75,'Выгр Кат'!$A:$R,N$1,0)</f>
        <v>145</v>
      </c>
      <c r="O75" s="28">
        <f>VLOOKUP($A75,'Выгр Кат'!$A:$R,O$1,0)</f>
        <v>279</v>
      </c>
      <c r="P75" s="30">
        <f t="shared" si="15"/>
        <v>0</v>
      </c>
      <c r="Q75" s="30">
        <f t="shared" si="16"/>
        <v>0</v>
      </c>
      <c r="R75" s="36">
        <f t="shared" si="17"/>
        <v>259.46999999999997</v>
      </c>
      <c r="S75" s="64">
        <f>IFERROR((VLOOKUP($A75,'Из ГУГЛа'!$B:$G,6,0)+U75)*T75,VLOOKUP($A75,'Из ГУГЛа'!$B:$G,6,0))</f>
        <v>390</v>
      </c>
      <c r="T75" s="38">
        <v>1</v>
      </c>
      <c r="U75" s="38">
        <v>0</v>
      </c>
      <c r="V75" s="39">
        <f t="shared" si="18"/>
        <v>0.78944827586206867</v>
      </c>
      <c r="W75" s="39">
        <f t="shared" si="19"/>
        <v>0.33469230769230779</v>
      </c>
      <c r="X75" s="39">
        <f t="shared" si="20"/>
        <v>1.6896551724137931</v>
      </c>
      <c r="Y75" s="40">
        <v>390</v>
      </c>
      <c r="Z75" s="46" t="s">
        <v>8067</v>
      </c>
    </row>
    <row r="76" spans="1:26" s="3" customFormat="1" ht="45" x14ac:dyDescent="0.25">
      <c r="A76" s="28">
        <v>131471</v>
      </c>
      <c r="B76" s="28">
        <f>VLOOKUP($A76,'Выгр Кат'!$A:$R,B$1,0)</f>
        <v>19984</v>
      </c>
      <c r="C76" s="27" t="str">
        <f>VLOOKUP($A76,'Выгр Кат'!$A:$R,C$1,0)</f>
        <v>Автомобильный ароматизатор "Contra" PERFUME, аромат 8№ Armani Code Ice</v>
      </c>
      <c r="D76" s="28" t="str">
        <f>VLOOKUP($A76,'Выгр Кат'!$A:$R,D$1,0)</f>
        <v>Y</v>
      </c>
      <c r="E76" s="28" t="str">
        <f>VLOOKUP($A76,'Выгр Кат'!$A:$R,E$1,0)</f>
        <v>1</v>
      </c>
      <c r="F76" s="28" t="str">
        <f>VLOOKUP($A76,'Выгр Кат'!$A:$R,F$1,0)</f>
        <v>71760</v>
      </c>
      <c r="G76" s="7">
        <v>71760</v>
      </c>
      <c r="H76" s="7"/>
      <c r="I76" s="1" t="s">
        <v>3</v>
      </c>
      <c r="J76" s="41">
        <f t="shared" ref="J76:J78" si="24">N76</f>
        <v>145</v>
      </c>
      <c r="K76" s="2">
        <f>VLOOKUP(J76,Наценка!$A$1:$B$8,2,1)</f>
        <v>1.89</v>
      </c>
      <c r="L76" s="4">
        <f t="shared" si="21"/>
        <v>274.05</v>
      </c>
      <c r="M76" s="42">
        <f t="shared" si="22"/>
        <v>279</v>
      </c>
      <c r="N76" s="28">
        <f>VLOOKUP($A76,'Выгр Кат'!$A:$R,N$1,0)</f>
        <v>145</v>
      </c>
      <c r="O76" s="28">
        <f>VLOOKUP($A76,'Выгр Кат'!$A:$R,O$1,0)</f>
        <v>279</v>
      </c>
      <c r="P76" s="30">
        <f t="shared" si="15"/>
        <v>0</v>
      </c>
      <c r="Q76" s="30">
        <f t="shared" si="16"/>
        <v>0</v>
      </c>
      <c r="R76" s="36">
        <f t="shared" si="17"/>
        <v>259.46999999999997</v>
      </c>
      <c r="S76" s="64">
        <f>IFERROR((VLOOKUP($A76,'Из ГУГЛа'!$B:$G,6,0)+U76)*T76,VLOOKUP($A76,'Из ГУГЛа'!$B:$G,6,0))</f>
        <v>390</v>
      </c>
      <c r="T76" s="38">
        <v>1</v>
      </c>
      <c r="U76" s="38">
        <v>0</v>
      </c>
      <c r="V76" s="39">
        <f t="shared" si="18"/>
        <v>0.78944827586206867</v>
      </c>
      <c r="W76" s="39">
        <f t="shared" si="19"/>
        <v>0.33469230769230779</v>
      </c>
      <c r="X76" s="39">
        <f t="shared" si="20"/>
        <v>1.6896551724137931</v>
      </c>
      <c r="Y76" s="40">
        <v>390</v>
      </c>
      <c r="Z76" s="46" t="s">
        <v>8067</v>
      </c>
    </row>
    <row r="77" spans="1:26" s="3" customFormat="1" ht="45" x14ac:dyDescent="0.25">
      <c r="A77" s="28">
        <v>131475</v>
      </c>
      <c r="B77" s="28">
        <f>VLOOKUP($A77,'Выгр Кат'!$A:$R,B$1,0)</f>
        <v>19993</v>
      </c>
      <c r="C77" s="27" t="str">
        <f>VLOOKUP($A77,'Выгр Кат'!$A:$R,C$1,0)</f>
        <v>Автомобильный ароматизатор "Contra" PERFUME, аромат №9 Bvlgari Man in Black</v>
      </c>
      <c r="D77" s="28" t="str">
        <f>VLOOKUP($A77,'Выгр Кат'!$A:$R,D$1,0)</f>
        <v>Y</v>
      </c>
      <c r="E77" s="28" t="str">
        <f>VLOOKUP($A77,'Выгр Кат'!$A:$R,E$1,0)</f>
        <v>1</v>
      </c>
      <c r="F77" s="28" t="str">
        <f>VLOOKUP($A77,'Выгр Кат'!$A:$R,F$1,0)</f>
        <v>71761</v>
      </c>
      <c r="G77" s="7">
        <v>71761</v>
      </c>
      <c r="H77" s="7"/>
      <c r="I77" s="1" t="s">
        <v>3</v>
      </c>
      <c r="J77" s="41">
        <f t="shared" si="24"/>
        <v>145</v>
      </c>
      <c r="K77" s="2">
        <f>VLOOKUP(J77,Наценка!$A$1:$B$8,2,1)</f>
        <v>1.89</v>
      </c>
      <c r="L77" s="4">
        <f t="shared" si="21"/>
        <v>274.05</v>
      </c>
      <c r="M77" s="42">
        <f t="shared" si="22"/>
        <v>279</v>
      </c>
      <c r="N77" s="28">
        <f>VLOOKUP($A77,'Выгр Кат'!$A:$R,N$1,0)</f>
        <v>145</v>
      </c>
      <c r="O77" s="28">
        <f>VLOOKUP($A77,'Выгр Кат'!$A:$R,O$1,0)</f>
        <v>279</v>
      </c>
      <c r="P77" s="30">
        <f t="shared" si="15"/>
        <v>0</v>
      </c>
      <c r="Q77" s="30">
        <f t="shared" si="16"/>
        <v>0</v>
      </c>
      <c r="R77" s="36">
        <f t="shared" si="17"/>
        <v>259.46999999999997</v>
      </c>
      <c r="S77" s="64">
        <f>IFERROR((VLOOKUP($A77,'Из ГУГЛа'!$B:$G,6,0)+U77)*T77,VLOOKUP($A77,'Из ГУГЛа'!$B:$G,6,0))</f>
        <v>390</v>
      </c>
      <c r="T77" s="38">
        <v>1</v>
      </c>
      <c r="U77" s="38">
        <v>0</v>
      </c>
      <c r="V77" s="39">
        <f t="shared" si="18"/>
        <v>0.78944827586206867</v>
      </c>
      <c r="W77" s="39">
        <f t="shared" si="19"/>
        <v>0.33469230769230779</v>
      </c>
      <c r="X77" s="39">
        <f t="shared" si="20"/>
        <v>1.6896551724137931</v>
      </c>
      <c r="Y77" s="40">
        <v>390</v>
      </c>
      <c r="Z77" s="46" t="s">
        <v>8067</v>
      </c>
    </row>
    <row r="78" spans="1:26" s="3" customFormat="1" ht="45" x14ac:dyDescent="0.25">
      <c r="A78" s="28">
        <v>131467</v>
      </c>
      <c r="B78" s="28">
        <f>VLOOKUP($A78,'Выгр Кат'!$A:$R,B$1,0)</f>
        <v>19992</v>
      </c>
      <c r="C78" s="27" t="str">
        <f>VLOOKUP($A78,'Выгр Кат'!$A:$R,C$1,0)</f>
        <v>Автомобильный ароматизатор "Contra" PERFUME, аромат №10 212 VIP</v>
      </c>
      <c r="D78" s="28" t="str">
        <f>VLOOKUP($A78,'Выгр Кат'!$A:$R,D$1,0)</f>
        <v>Y</v>
      </c>
      <c r="E78" s="28" t="str">
        <f>VLOOKUP($A78,'Выгр Кат'!$A:$R,E$1,0)</f>
        <v>1</v>
      </c>
      <c r="F78" s="28" t="str">
        <f>VLOOKUP($A78,'Выгр Кат'!$A:$R,F$1,0)</f>
        <v>71762</v>
      </c>
      <c r="G78" s="7">
        <v>71762</v>
      </c>
      <c r="H78" s="7"/>
      <c r="I78" s="1" t="s">
        <v>3</v>
      </c>
      <c r="J78" s="41">
        <f t="shared" si="24"/>
        <v>145</v>
      </c>
      <c r="K78" s="2">
        <f>VLOOKUP(J78,Наценка!$A$1:$B$8,2,1)</f>
        <v>1.89</v>
      </c>
      <c r="L78" s="4">
        <f t="shared" si="21"/>
        <v>274.05</v>
      </c>
      <c r="M78" s="42">
        <f t="shared" si="22"/>
        <v>279</v>
      </c>
      <c r="N78" s="28">
        <f>VLOOKUP($A78,'Выгр Кат'!$A:$R,N$1,0)</f>
        <v>145</v>
      </c>
      <c r="O78" s="28">
        <f>VLOOKUP($A78,'Выгр Кат'!$A:$R,O$1,0)</f>
        <v>279</v>
      </c>
      <c r="P78" s="30">
        <f t="shared" si="15"/>
        <v>0</v>
      </c>
      <c r="Q78" s="30">
        <f t="shared" si="16"/>
        <v>0</v>
      </c>
      <c r="R78" s="36">
        <f t="shared" si="17"/>
        <v>259.46999999999997</v>
      </c>
      <c r="S78" s="64">
        <f>IFERROR((VLOOKUP($A78,'Из ГУГЛа'!$B:$G,6,0)+U78)*T78,VLOOKUP($A78,'Из ГУГЛа'!$B:$G,6,0))</f>
        <v>390</v>
      </c>
      <c r="T78" s="38">
        <v>1</v>
      </c>
      <c r="U78" s="38">
        <v>0</v>
      </c>
      <c r="V78" s="39">
        <f t="shared" si="18"/>
        <v>0.78944827586206867</v>
      </c>
      <c r="W78" s="39">
        <f t="shared" si="19"/>
        <v>0.33469230769230779</v>
      </c>
      <c r="X78" s="39">
        <f t="shared" si="20"/>
        <v>1.6896551724137931</v>
      </c>
      <c r="Y78" s="40">
        <v>390</v>
      </c>
      <c r="Z78" s="46" t="s">
        <v>8067</v>
      </c>
    </row>
    <row r="79" spans="1:26" s="3" customFormat="1" ht="45" x14ac:dyDescent="0.25">
      <c r="A79" s="28">
        <v>131476</v>
      </c>
      <c r="B79" s="28">
        <f>VLOOKUP($A79,'Выгр Кат'!$A:$R,B$1,0)</f>
        <v>20002</v>
      </c>
      <c r="C79" s="27" t="str">
        <f>VLOOKUP($A79,'Выгр Кат'!$A:$R,C$1,0)</f>
        <v>Автомобильный ароматизатор "Contra" PERFUME, аромат №11 Chance</v>
      </c>
      <c r="D79" s="28" t="str">
        <f>VLOOKUP($A79,'Выгр Кат'!$A:$R,D$1,0)</f>
        <v>Y</v>
      </c>
      <c r="E79" s="28" t="str">
        <f>VLOOKUP($A79,'Выгр Кат'!$A:$R,E$1,0)</f>
        <v>1</v>
      </c>
      <c r="F79" s="28" t="str">
        <f>VLOOKUP($A79,'Выгр Кат'!$A:$R,F$1,0)</f>
        <v>71763</v>
      </c>
      <c r="G79" s="7">
        <v>71763</v>
      </c>
      <c r="H79" s="7"/>
      <c r="I79" s="1" t="s">
        <v>3</v>
      </c>
      <c r="J79" s="42">
        <f>VLOOKUP(G79,Прайс!B:E,4,0)</f>
        <v>145</v>
      </c>
      <c r="K79" s="2">
        <f>VLOOKUP(J79,Наценка!$A$1:$B$8,2,1)</f>
        <v>1.89</v>
      </c>
      <c r="L79" s="4">
        <f t="shared" si="21"/>
        <v>274.05</v>
      </c>
      <c r="M79" s="42">
        <f t="shared" si="22"/>
        <v>279</v>
      </c>
      <c r="N79" s="28">
        <f>VLOOKUP($A79,'Выгр Кат'!$A:$R,N$1,0)</f>
        <v>145</v>
      </c>
      <c r="O79" s="28">
        <f>VLOOKUP($A79,'Выгр Кат'!$A:$R,O$1,0)</f>
        <v>279</v>
      </c>
      <c r="P79" s="30">
        <f t="shared" si="15"/>
        <v>0</v>
      </c>
      <c r="Q79" s="30">
        <f t="shared" si="16"/>
        <v>0</v>
      </c>
      <c r="R79" s="36">
        <f t="shared" si="17"/>
        <v>259.46999999999997</v>
      </c>
      <c r="S79" s="64">
        <f>IFERROR((VLOOKUP($A79,'Из ГУГЛа'!$B:$G,6,0)+U79)*T79,VLOOKUP($A79,'Из ГУГЛа'!$B:$G,6,0))</f>
        <v>390</v>
      </c>
      <c r="T79" s="38">
        <v>1</v>
      </c>
      <c r="U79" s="38">
        <v>0</v>
      </c>
      <c r="V79" s="39">
        <f t="shared" si="18"/>
        <v>0.78944827586206867</v>
      </c>
      <c r="W79" s="39">
        <f t="shared" si="19"/>
        <v>0.33469230769230779</v>
      </c>
      <c r="X79" s="39">
        <f t="shared" si="20"/>
        <v>1.6896551724137931</v>
      </c>
      <c r="Y79" s="40">
        <v>390</v>
      </c>
      <c r="Z79" s="46" t="s">
        <v>8067</v>
      </c>
    </row>
    <row r="80" spans="1:26" s="3" customFormat="1" ht="30" x14ac:dyDescent="0.25">
      <c r="A80" s="28">
        <v>131482</v>
      </c>
      <c r="B80" s="28">
        <f>VLOOKUP($A80,'Выгр Кат'!$A:$R,B$1,0)</f>
        <v>19983</v>
      </c>
      <c r="C80" s="27" t="str">
        <f>VLOOKUP($A80,'Выгр Кат'!$A:$R,C$1,0)</f>
        <v>Автомобильный ароматизатор "Contra" PERFUME, аромат Happy</v>
      </c>
      <c r="D80" s="28" t="str">
        <f>VLOOKUP($A80,'Выгр Кат'!$A:$R,D$1,0)</f>
        <v>Y</v>
      </c>
      <c r="E80" s="28" t="str">
        <f>VLOOKUP($A80,'Выгр Кат'!$A:$R,E$1,0)</f>
        <v>1</v>
      </c>
      <c r="F80" s="28" t="str">
        <f>VLOOKUP($A80,'Выгр Кат'!$A:$R,F$1,0)</f>
        <v>71765</v>
      </c>
      <c r="G80" s="7">
        <v>71765</v>
      </c>
      <c r="H80" s="7"/>
      <c r="I80" s="1" t="s">
        <v>3</v>
      </c>
      <c r="J80" s="42">
        <f>VLOOKUP(G80,Прайс!B:E,4,0)</f>
        <v>145</v>
      </c>
      <c r="K80" s="2">
        <f>VLOOKUP(J80,Наценка!$A$1:$B$8,2,1)</f>
        <v>1.89</v>
      </c>
      <c r="L80" s="4">
        <f t="shared" si="21"/>
        <v>274.05</v>
      </c>
      <c r="M80" s="42">
        <f t="shared" si="22"/>
        <v>279</v>
      </c>
      <c r="N80" s="28">
        <f>VLOOKUP($A80,'Выгр Кат'!$A:$R,N$1,0)</f>
        <v>145</v>
      </c>
      <c r="O80" s="28">
        <f>VLOOKUP($A80,'Выгр Кат'!$A:$R,O$1,0)</f>
        <v>279</v>
      </c>
      <c r="P80" s="30">
        <f t="shared" si="15"/>
        <v>0</v>
      </c>
      <c r="Q80" s="30">
        <f t="shared" si="16"/>
        <v>0</v>
      </c>
      <c r="R80" s="36">
        <f t="shared" si="17"/>
        <v>259.46999999999997</v>
      </c>
      <c r="S80" s="64">
        <f>IFERROR((VLOOKUP($A80,'Из ГУГЛа'!$B:$G,6,0)+U80)*T80,VLOOKUP($A80,'Из ГУГЛа'!$B:$G,6,0))</f>
        <v>390</v>
      </c>
      <c r="T80" s="38">
        <v>1</v>
      </c>
      <c r="U80" s="38">
        <v>0</v>
      </c>
      <c r="V80" s="39">
        <f t="shared" si="18"/>
        <v>0.78944827586206867</v>
      </c>
      <c r="W80" s="39">
        <f t="shared" si="19"/>
        <v>0.33469230769230779</v>
      </c>
      <c r="X80" s="39">
        <f t="shared" si="20"/>
        <v>1.6896551724137931</v>
      </c>
      <c r="Y80" s="40">
        <v>390</v>
      </c>
      <c r="Z80" s="46" t="s">
        <v>8067</v>
      </c>
    </row>
    <row r="81" spans="1:26" s="3" customFormat="1" ht="45" x14ac:dyDescent="0.25">
      <c r="A81" s="28">
        <v>131478</v>
      </c>
      <c r="B81" s="28">
        <f>VLOOKUP($A81,'Выгр Кат'!$A:$R,B$1,0)</f>
        <v>19986</v>
      </c>
      <c r="C81" s="27" t="str">
        <f>VLOOKUP($A81,'Выгр Кат'!$A:$R,C$1,0)</f>
        <v>Автомобильный ароматизатор "Contra" PERFUME, аромат №15 Cocaine</v>
      </c>
      <c r="D81" s="28" t="str">
        <f>VLOOKUP($A81,'Выгр Кат'!$A:$R,D$1,0)</f>
        <v>Y</v>
      </c>
      <c r="E81" s="28" t="str">
        <f>VLOOKUP($A81,'Выгр Кат'!$A:$R,E$1,0)</f>
        <v>1</v>
      </c>
      <c r="F81" s="28" t="str">
        <f>VLOOKUP($A81,'Выгр Кат'!$A:$R,F$1,0)</f>
        <v>71766</v>
      </c>
      <c r="G81" s="7">
        <v>71766</v>
      </c>
      <c r="H81" s="7"/>
      <c r="I81" s="1" t="s">
        <v>3</v>
      </c>
      <c r="J81" s="41">
        <f>N81</f>
        <v>145</v>
      </c>
      <c r="K81" s="2">
        <f>VLOOKUP(J81,Наценка!$A$1:$B$8,2,1)</f>
        <v>1.89</v>
      </c>
      <c r="L81" s="4">
        <f t="shared" si="21"/>
        <v>274.05</v>
      </c>
      <c r="M81" s="42">
        <f t="shared" si="22"/>
        <v>279</v>
      </c>
      <c r="N81" s="28">
        <f>VLOOKUP($A81,'Выгр Кат'!$A:$R,N$1,0)</f>
        <v>145</v>
      </c>
      <c r="O81" s="28">
        <f>VLOOKUP($A81,'Выгр Кат'!$A:$R,O$1,0)</f>
        <v>279</v>
      </c>
      <c r="P81" s="30">
        <f t="shared" si="15"/>
        <v>0</v>
      </c>
      <c r="Q81" s="30">
        <f t="shared" si="16"/>
        <v>0</v>
      </c>
      <c r="R81" s="36">
        <f t="shared" si="17"/>
        <v>259.46999999999997</v>
      </c>
      <c r="S81" s="64">
        <f>IFERROR((VLOOKUP($A81,'Из ГУГЛа'!$B:$G,6,0)+U81)*T81,VLOOKUP($A81,'Из ГУГЛа'!$B:$G,6,0))</f>
        <v>390</v>
      </c>
      <c r="T81" s="38">
        <v>1</v>
      </c>
      <c r="U81" s="38">
        <v>0</v>
      </c>
      <c r="V81" s="39">
        <f t="shared" si="18"/>
        <v>0.78944827586206867</v>
      </c>
      <c r="W81" s="39">
        <f t="shared" si="19"/>
        <v>0.33469230769230779</v>
      </c>
      <c r="X81" s="39">
        <f t="shared" si="20"/>
        <v>1.6896551724137931</v>
      </c>
      <c r="Y81" s="40">
        <v>390</v>
      </c>
      <c r="Z81" s="46" t="s">
        <v>8067</v>
      </c>
    </row>
    <row r="82" spans="1:26" s="3" customFormat="1" ht="45" x14ac:dyDescent="0.25">
      <c r="A82" s="28">
        <v>131494</v>
      </c>
      <c r="B82" s="28">
        <f>VLOOKUP($A82,'Выгр Кат'!$A:$R,B$1,0)</f>
        <v>20005</v>
      </c>
      <c r="C82" s="27" t="str">
        <f>VLOOKUP($A82,'Выгр Кат'!$A:$R,C$1,0)</f>
        <v>Автомобильный ароматизатор "Contra" PERFUME, аромат №16 Terre d'hermes</v>
      </c>
      <c r="D82" s="28" t="str">
        <f>VLOOKUP($A82,'Выгр Кат'!$A:$R,D$1,0)</f>
        <v>Y</v>
      </c>
      <c r="E82" s="28" t="str">
        <f>VLOOKUP($A82,'Выгр Кат'!$A:$R,E$1,0)</f>
        <v>1</v>
      </c>
      <c r="F82" s="28" t="str">
        <f>VLOOKUP($A82,'Выгр Кат'!$A:$R,F$1,0)</f>
        <v>71767</v>
      </c>
      <c r="G82" s="7">
        <v>71767</v>
      </c>
      <c r="H82" s="7"/>
      <c r="I82" s="1" t="s">
        <v>3</v>
      </c>
      <c r="J82" s="42">
        <f>VLOOKUP(G82,Прайс!B:E,4,0)</f>
        <v>145</v>
      </c>
      <c r="K82" s="2">
        <f>VLOOKUP(J82,Наценка!$A$1:$B$8,2,1)</f>
        <v>1.89</v>
      </c>
      <c r="L82" s="4">
        <f t="shared" si="21"/>
        <v>274.05</v>
      </c>
      <c r="M82" s="42">
        <f t="shared" si="22"/>
        <v>279</v>
      </c>
      <c r="N82" s="28">
        <f>VLOOKUP($A82,'Выгр Кат'!$A:$R,N$1,0)</f>
        <v>145</v>
      </c>
      <c r="O82" s="28">
        <f>VLOOKUP($A82,'Выгр Кат'!$A:$R,O$1,0)</f>
        <v>279</v>
      </c>
      <c r="P82" s="30">
        <f t="shared" si="15"/>
        <v>0</v>
      </c>
      <c r="Q82" s="30">
        <f t="shared" si="16"/>
        <v>0</v>
      </c>
      <c r="R82" s="36">
        <f t="shared" si="17"/>
        <v>259.46999999999997</v>
      </c>
      <c r="S82" s="64">
        <f>IFERROR((VLOOKUP($A82,'Из ГУГЛа'!$B:$G,6,0)+U82)*T82,VLOOKUP($A82,'Из ГУГЛа'!$B:$G,6,0))</f>
        <v>390</v>
      </c>
      <c r="T82" s="38">
        <v>1</v>
      </c>
      <c r="U82" s="38">
        <v>0</v>
      </c>
      <c r="V82" s="39">
        <f t="shared" si="18"/>
        <v>0.78944827586206867</v>
      </c>
      <c r="W82" s="39">
        <f t="shared" si="19"/>
        <v>0.33469230769230779</v>
      </c>
      <c r="X82" s="39">
        <f t="shared" si="20"/>
        <v>1.6896551724137931</v>
      </c>
      <c r="Y82" s="40">
        <v>390</v>
      </c>
      <c r="Z82" s="46" t="s">
        <v>8067</v>
      </c>
    </row>
    <row r="83" spans="1:26" s="3" customFormat="1" ht="45" x14ac:dyDescent="0.25">
      <c r="A83" s="28">
        <v>131483</v>
      </c>
      <c r="B83" s="28">
        <f>VLOOKUP($A83,'Выгр Кат'!$A:$R,B$1,0)</f>
        <v>19996</v>
      </c>
      <c r="C83" s="27" t="str">
        <f>VLOOKUP($A83,'Выгр Кат'!$A:$R,C$1,0)</f>
        <v>Автомобильный ароматизатор "Contra" PERFUME, аромат №17 Hugo Boss No.6</v>
      </c>
      <c r="D83" s="28" t="str">
        <f>VLOOKUP($A83,'Выгр Кат'!$A:$R,D$1,0)</f>
        <v>Y</v>
      </c>
      <c r="E83" s="28" t="str">
        <f>VLOOKUP($A83,'Выгр Кат'!$A:$R,E$1,0)</f>
        <v>1</v>
      </c>
      <c r="F83" s="28" t="str">
        <f>VLOOKUP($A83,'Выгр Кат'!$A:$R,F$1,0)</f>
        <v>72337</v>
      </c>
      <c r="G83" s="7">
        <v>72337</v>
      </c>
      <c r="H83" s="7"/>
      <c r="I83" s="1" t="s">
        <v>3</v>
      </c>
      <c r="J83" s="42">
        <f>VLOOKUP(G83,Прайс!B:E,4,0)</f>
        <v>145</v>
      </c>
      <c r="K83" s="2">
        <f>VLOOKUP(J83,Наценка!$A$1:$B$8,2,1)</f>
        <v>1.89</v>
      </c>
      <c r="L83" s="4">
        <f t="shared" si="21"/>
        <v>274.05</v>
      </c>
      <c r="M83" s="42">
        <f t="shared" si="22"/>
        <v>279</v>
      </c>
      <c r="N83" s="28">
        <f>VLOOKUP($A83,'Выгр Кат'!$A:$R,N$1,0)</f>
        <v>145</v>
      </c>
      <c r="O83" s="28">
        <f>VLOOKUP($A83,'Выгр Кат'!$A:$R,O$1,0)</f>
        <v>279</v>
      </c>
      <c r="P83" s="30">
        <f t="shared" si="15"/>
        <v>0</v>
      </c>
      <c r="Q83" s="30">
        <f t="shared" si="16"/>
        <v>0</v>
      </c>
      <c r="R83" s="36">
        <f t="shared" si="17"/>
        <v>259.46999999999997</v>
      </c>
      <c r="S83" s="64">
        <f>IFERROR((VLOOKUP($A83,'Из ГУГЛа'!$B:$G,6,0)+U83)*T83,VLOOKUP($A83,'Из ГУГЛа'!$B:$G,6,0))</f>
        <v>390</v>
      </c>
      <c r="T83" s="38">
        <v>1</v>
      </c>
      <c r="U83" s="38">
        <v>0</v>
      </c>
      <c r="V83" s="39">
        <f t="shared" si="18"/>
        <v>0.78944827586206867</v>
      </c>
      <c r="W83" s="39">
        <f t="shared" si="19"/>
        <v>0.33469230769230779</v>
      </c>
      <c r="X83" s="39">
        <f t="shared" si="20"/>
        <v>1.6896551724137931</v>
      </c>
      <c r="Y83" s="40">
        <v>390</v>
      </c>
      <c r="Z83" s="46" t="s">
        <v>8067</v>
      </c>
    </row>
    <row r="84" spans="1:26" s="3" customFormat="1" ht="45" x14ac:dyDescent="0.25">
      <c r="A84" s="28">
        <v>131485</v>
      </c>
      <c r="B84" s="28">
        <f>VLOOKUP($A84,'Выгр Кат'!$A:$R,B$1,0)</f>
        <v>19995</v>
      </c>
      <c r="C84" s="27" t="str">
        <f>VLOOKUP($A84,'Выгр Кат'!$A:$R,C$1,0)</f>
        <v>Автомобильный ароматизатор "Contra" PERFUME, аромат №19 L'Eau Kenzo Intense</v>
      </c>
      <c r="D84" s="28" t="str">
        <f>VLOOKUP($A84,'Выгр Кат'!$A:$R,D$1,0)</f>
        <v>Y</v>
      </c>
      <c r="E84" s="28" t="str">
        <f>VLOOKUP($A84,'Выгр Кат'!$A:$R,E$1,0)</f>
        <v>1</v>
      </c>
      <c r="F84" s="28" t="str">
        <f>VLOOKUP($A84,'Выгр Кат'!$A:$R,F$1,0)</f>
        <v>71770</v>
      </c>
      <c r="G84" s="7">
        <v>71770</v>
      </c>
      <c r="H84" s="7"/>
      <c r="I84" s="1" t="s">
        <v>3</v>
      </c>
      <c r="J84" s="41">
        <f>N84</f>
        <v>145</v>
      </c>
      <c r="K84" s="2">
        <f>VLOOKUP(J84,Наценка!$A$1:$B$8,2,1)</f>
        <v>1.89</v>
      </c>
      <c r="L84" s="4">
        <f t="shared" si="21"/>
        <v>274.05</v>
      </c>
      <c r="M84" s="42">
        <f t="shared" si="22"/>
        <v>279</v>
      </c>
      <c r="N84" s="28">
        <f>VLOOKUP($A84,'Выгр Кат'!$A:$R,N$1,0)</f>
        <v>145</v>
      </c>
      <c r="O84" s="28">
        <f>VLOOKUP($A84,'Выгр Кат'!$A:$R,O$1,0)</f>
        <v>279</v>
      </c>
      <c r="P84" s="30">
        <f t="shared" si="15"/>
        <v>0</v>
      </c>
      <c r="Q84" s="30">
        <f t="shared" si="16"/>
        <v>0</v>
      </c>
      <c r="R84" s="36">
        <f t="shared" si="17"/>
        <v>259.46999999999997</v>
      </c>
      <c r="S84" s="64">
        <f>IFERROR((VLOOKUP($A84,'Из ГУГЛа'!$B:$G,6,0)+U84)*T84,VLOOKUP($A84,'Из ГУГЛа'!$B:$G,6,0))</f>
        <v>390</v>
      </c>
      <c r="T84" s="38">
        <v>1</v>
      </c>
      <c r="U84" s="38">
        <v>0</v>
      </c>
      <c r="V84" s="39">
        <f t="shared" si="18"/>
        <v>0.78944827586206867</v>
      </c>
      <c r="W84" s="39">
        <f t="shared" si="19"/>
        <v>0.33469230769230779</v>
      </c>
      <c r="X84" s="39">
        <f t="shared" si="20"/>
        <v>1.6896551724137931</v>
      </c>
      <c r="Y84" s="40">
        <v>390</v>
      </c>
      <c r="Z84" s="46" t="s">
        <v>8067</v>
      </c>
    </row>
    <row r="85" spans="1:26" s="3" customFormat="1" ht="45" x14ac:dyDescent="0.25">
      <c r="A85" s="28">
        <v>131488</v>
      </c>
      <c r="B85" s="28">
        <f>VLOOKUP($A85,'Выгр Кат'!$A:$R,B$1,0)</f>
        <v>19997</v>
      </c>
      <c r="C85" s="27" t="str">
        <f>VLOOKUP($A85,'Выгр Кат'!$A:$R,C$1,0)</f>
        <v>Автомобильный ароматизатор "Contra" PERFUME, аромат №22 Rendez-Vous a Moscou</v>
      </c>
      <c r="D85" s="28" t="str">
        <f>VLOOKUP($A85,'Выгр Кат'!$A:$R,D$1,0)</f>
        <v>Y</v>
      </c>
      <c r="E85" s="28" t="str">
        <f>VLOOKUP($A85,'Выгр Кат'!$A:$R,E$1,0)</f>
        <v>1</v>
      </c>
      <c r="F85" s="28" t="str">
        <f>VLOOKUP($A85,'Выгр Кат'!$A:$R,F$1,0)</f>
        <v>71773</v>
      </c>
      <c r="G85" s="7">
        <v>71773</v>
      </c>
      <c r="H85" s="7"/>
      <c r="I85" s="1" t="s">
        <v>3</v>
      </c>
      <c r="J85" s="42">
        <f>VLOOKUP(G85,Прайс!B:E,4,0)</f>
        <v>145</v>
      </c>
      <c r="K85" s="2">
        <f>VLOOKUP(J85,Наценка!$A$1:$B$8,2,1)</f>
        <v>1.89</v>
      </c>
      <c r="L85" s="4">
        <f t="shared" si="21"/>
        <v>274.05</v>
      </c>
      <c r="M85" s="42">
        <f t="shared" si="22"/>
        <v>279</v>
      </c>
      <c r="N85" s="28">
        <f>VLOOKUP($A85,'Выгр Кат'!$A:$R,N$1,0)</f>
        <v>145</v>
      </c>
      <c r="O85" s="28">
        <f>VLOOKUP($A85,'Выгр Кат'!$A:$R,O$1,0)</f>
        <v>279</v>
      </c>
      <c r="P85" s="30">
        <f t="shared" si="15"/>
        <v>0</v>
      </c>
      <c r="Q85" s="30">
        <f t="shared" si="16"/>
        <v>0</v>
      </c>
      <c r="R85" s="36">
        <f t="shared" si="17"/>
        <v>259.46999999999997</v>
      </c>
      <c r="S85" s="64">
        <f>IFERROR((VLOOKUP($A85,'Из ГУГЛа'!$B:$G,6,0)+U85)*T85,VLOOKUP($A85,'Из ГУГЛа'!$B:$G,6,0))</f>
        <v>390</v>
      </c>
      <c r="T85" s="38">
        <v>1</v>
      </c>
      <c r="U85" s="38">
        <v>0</v>
      </c>
      <c r="V85" s="39">
        <f t="shared" si="18"/>
        <v>0.78944827586206867</v>
      </c>
      <c r="W85" s="39">
        <f t="shared" si="19"/>
        <v>0.33469230769230779</v>
      </c>
      <c r="X85" s="39">
        <f t="shared" si="20"/>
        <v>1.6896551724137931</v>
      </c>
      <c r="Y85" s="40">
        <v>390</v>
      </c>
      <c r="Z85" s="46" t="s">
        <v>8067</v>
      </c>
    </row>
    <row r="86" spans="1:26" s="3" customFormat="1" ht="45" x14ac:dyDescent="0.25">
      <c r="A86" s="28">
        <v>131487</v>
      </c>
      <c r="B86" s="28">
        <f>VLOOKUP($A86,'Выгр Кат'!$A:$R,B$1,0)</f>
        <v>19977</v>
      </c>
      <c r="C86" s="27" t="str">
        <f>VLOOKUP($A86,'Выгр Кат'!$A:$R,C$1,0)</f>
        <v>Автомобильный ароматизатор "Contra" PERFUME, аромат №23 Pure Gold</v>
      </c>
      <c r="D86" s="28" t="str">
        <f>VLOOKUP($A86,'Выгр Кат'!$A:$R,D$1,0)</f>
        <v>Y</v>
      </c>
      <c r="E86" s="28" t="str">
        <f>VLOOKUP($A86,'Выгр Кат'!$A:$R,E$1,0)</f>
        <v>1</v>
      </c>
      <c r="F86" s="28" t="str">
        <f>VLOOKUP($A86,'Выгр Кат'!$A:$R,F$1,0)</f>
        <v>71774</v>
      </c>
      <c r="G86" s="7">
        <v>71774</v>
      </c>
      <c r="H86" s="7"/>
      <c r="I86" s="1" t="s">
        <v>3</v>
      </c>
      <c r="J86" s="42">
        <f>VLOOKUP(G86,Прайс!B:E,4,0)</f>
        <v>145</v>
      </c>
      <c r="K86" s="2">
        <f>VLOOKUP(J86,Наценка!$A$1:$B$8,2,1)</f>
        <v>1.89</v>
      </c>
      <c r="L86" s="4">
        <f t="shared" si="21"/>
        <v>274.05</v>
      </c>
      <c r="M86" s="42">
        <f t="shared" si="22"/>
        <v>279</v>
      </c>
      <c r="N86" s="28">
        <f>VLOOKUP($A86,'Выгр Кат'!$A:$R,N$1,0)</f>
        <v>145</v>
      </c>
      <c r="O86" s="28">
        <f>VLOOKUP($A86,'Выгр Кат'!$A:$R,O$1,0)</f>
        <v>279</v>
      </c>
      <c r="P86" s="30">
        <f t="shared" si="15"/>
        <v>0</v>
      </c>
      <c r="Q86" s="30">
        <f t="shared" si="16"/>
        <v>0</v>
      </c>
      <c r="R86" s="36">
        <f t="shared" si="17"/>
        <v>259.46999999999997</v>
      </c>
      <c r="S86" s="64">
        <f>IFERROR((VLOOKUP($A86,'Из ГУГЛа'!$B:$G,6,0)+U86)*T86,VLOOKUP($A86,'Из ГУГЛа'!$B:$G,6,0))</f>
        <v>390</v>
      </c>
      <c r="T86" s="38">
        <v>1</v>
      </c>
      <c r="U86" s="38">
        <v>0</v>
      </c>
      <c r="V86" s="39">
        <f t="shared" si="18"/>
        <v>0.78944827586206867</v>
      </c>
      <c r="W86" s="39">
        <f t="shared" si="19"/>
        <v>0.33469230769230779</v>
      </c>
      <c r="X86" s="39">
        <f t="shared" si="20"/>
        <v>1.6896551724137931</v>
      </c>
      <c r="Y86" s="40">
        <v>390</v>
      </c>
      <c r="Z86" s="46" t="s">
        <v>8067</v>
      </c>
    </row>
    <row r="87" spans="1:26" s="3" customFormat="1" ht="45" x14ac:dyDescent="0.25">
      <c r="A87" s="28">
        <v>131486</v>
      </c>
      <c r="B87" s="28">
        <f>VLOOKUP($A87,'Выгр Кат'!$A:$R,B$1,0)</f>
        <v>19994</v>
      </c>
      <c r="C87" s="27" t="str">
        <f>VLOOKUP($A87,'Выгр Кат'!$A:$R,C$1,0)</f>
        <v>Автомобильный ароматизатор "Contra" PERFUME, аромат №26 Narcotic Venus</v>
      </c>
      <c r="D87" s="28" t="str">
        <f>VLOOKUP($A87,'Выгр Кат'!$A:$R,D$1,0)</f>
        <v>Y</v>
      </c>
      <c r="E87" s="28" t="str">
        <f>VLOOKUP($A87,'Выгр Кат'!$A:$R,E$1,0)</f>
        <v>1</v>
      </c>
      <c r="F87" s="28" t="str">
        <f>VLOOKUP($A87,'Выгр Кат'!$A:$R,F$1,0)</f>
        <v>71777</v>
      </c>
      <c r="G87" s="7">
        <v>71777</v>
      </c>
      <c r="H87" s="7"/>
      <c r="I87" s="1" t="s">
        <v>3</v>
      </c>
      <c r="J87" s="42">
        <f>VLOOKUP(G87,Прайс!B:E,4,0)</f>
        <v>145</v>
      </c>
      <c r="K87" s="2">
        <f>VLOOKUP(J87,Наценка!$A$1:$B$8,2,1)</f>
        <v>1.89</v>
      </c>
      <c r="L87" s="4">
        <f t="shared" si="21"/>
        <v>274.05</v>
      </c>
      <c r="M87" s="42">
        <f t="shared" si="22"/>
        <v>279</v>
      </c>
      <c r="N87" s="28">
        <f>VLOOKUP($A87,'Выгр Кат'!$A:$R,N$1,0)</f>
        <v>145</v>
      </c>
      <c r="O87" s="28">
        <f>VLOOKUP($A87,'Выгр Кат'!$A:$R,O$1,0)</f>
        <v>279</v>
      </c>
      <c r="P87" s="30">
        <f t="shared" si="15"/>
        <v>0</v>
      </c>
      <c r="Q87" s="30">
        <f t="shared" si="16"/>
        <v>0</v>
      </c>
      <c r="R87" s="36">
        <f t="shared" si="17"/>
        <v>259.46999999999997</v>
      </c>
      <c r="S87" s="64">
        <f>IFERROR((VLOOKUP($A87,'Из ГУГЛа'!$B:$G,6,0)+U87)*T87,VLOOKUP($A87,'Из ГУГЛа'!$B:$G,6,0))</f>
        <v>390</v>
      </c>
      <c r="T87" s="38">
        <v>1</v>
      </c>
      <c r="U87" s="38">
        <v>0</v>
      </c>
      <c r="V87" s="39">
        <f t="shared" si="18"/>
        <v>0.78944827586206867</v>
      </c>
      <c r="W87" s="39">
        <f t="shared" si="19"/>
        <v>0.33469230769230779</v>
      </c>
      <c r="X87" s="39">
        <f t="shared" si="20"/>
        <v>1.6896551724137931</v>
      </c>
      <c r="Y87" s="40">
        <v>390</v>
      </c>
      <c r="Z87" s="46" t="s">
        <v>8067</v>
      </c>
    </row>
    <row r="88" spans="1:26" s="3" customFormat="1" ht="45" x14ac:dyDescent="0.25">
      <c r="A88" s="28">
        <v>131484</v>
      </c>
      <c r="B88" s="28">
        <f>VLOOKUP($A88,'Выгр Кат'!$A:$R,B$1,0)</f>
        <v>20001</v>
      </c>
      <c r="C88" s="27" t="str">
        <f>VLOOKUP($A88,'Выгр Кат'!$A:$R,C$1,0)</f>
        <v>Автомобильный ароматизатор "Contra" PERFUME, аромат №27 Invictus</v>
      </c>
      <c r="D88" s="28" t="str">
        <f>VLOOKUP($A88,'Выгр Кат'!$A:$R,D$1,0)</f>
        <v>Y</v>
      </c>
      <c r="E88" s="28" t="str">
        <f>VLOOKUP($A88,'Выгр Кат'!$A:$R,E$1,0)</f>
        <v>1</v>
      </c>
      <c r="F88" s="28" t="str">
        <f>VLOOKUP($A88,'Выгр Кат'!$A:$R,F$1,0)</f>
        <v>71778</v>
      </c>
      <c r="G88" s="7">
        <v>71778</v>
      </c>
      <c r="H88" s="7"/>
      <c r="I88" s="1" t="s">
        <v>3</v>
      </c>
      <c r="J88" s="41">
        <f t="shared" ref="J88:J89" si="25">N88</f>
        <v>145</v>
      </c>
      <c r="K88" s="2">
        <f>VLOOKUP(J88,Наценка!$A$1:$B$8,2,1)</f>
        <v>1.89</v>
      </c>
      <c r="L88" s="4">
        <f t="shared" si="21"/>
        <v>274.05</v>
      </c>
      <c r="M88" s="42">
        <f t="shared" si="22"/>
        <v>279</v>
      </c>
      <c r="N88" s="28">
        <f>VLOOKUP($A88,'Выгр Кат'!$A:$R,N$1,0)</f>
        <v>145</v>
      </c>
      <c r="O88" s="28">
        <f>VLOOKUP($A88,'Выгр Кат'!$A:$R,O$1,0)</f>
        <v>279</v>
      </c>
      <c r="P88" s="30">
        <f t="shared" si="15"/>
        <v>0</v>
      </c>
      <c r="Q88" s="30">
        <f t="shared" si="16"/>
        <v>0</v>
      </c>
      <c r="R88" s="36">
        <f t="shared" si="17"/>
        <v>259.46999999999997</v>
      </c>
      <c r="S88" s="64">
        <f>IFERROR((VLOOKUP($A88,'Из ГУГЛа'!$B:$G,6,0)+U88)*T88,VLOOKUP($A88,'Из ГУГЛа'!$B:$G,6,0))</f>
        <v>390</v>
      </c>
      <c r="T88" s="38">
        <v>1</v>
      </c>
      <c r="U88" s="38">
        <v>0</v>
      </c>
      <c r="V88" s="39">
        <f t="shared" si="18"/>
        <v>0.78944827586206867</v>
      </c>
      <c r="W88" s="39">
        <f t="shared" si="19"/>
        <v>0.33469230769230779</v>
      </c>
      <c r="X88" s="39">
        <f t="shared" si="20"/>
        <v>1.6896551724137931</v>
      </c>
      <c r="Y88" s="40">
        <v>390</v>
      </c>
      <c r="Z88" s="46" t="s">
        <v>8067</v>
      </c>
    </row>
    <row r="89" spans="1:26" s="3" customFormat="1" ht="45" x14ac:dyDescent="0.25">
      <c r="A89" s="28">
        <v>131466</v>
      </c>
      <c r="B89" s="28">
        <f>VLOOKUP($A89,'Выгр Кат'!$A:$R,B$1,0)</f>
        <v>19998</v>
      </c>
      <c r="C89" s="27" t="str">
        <f>VLOOKUP($A89,'Выгр Кат'!$A:$R,C$1,0)</f>
        <v>Автомобильный ароматизатор "Contra" PERFUME, аромат 1 million Prive</v>
      </c>
      <c r="D89" s="28" t="str">
        <f>VLOOKUP($A89,'Выгр Кат'!$A:$R,D$1,0)</f>
        <v>Y</v>
      </c>
      <c r="E89" s="28" t="str">
        <f>VLOOKUP($A89,'Выгр Кат'!$A:$R,E$1,0)</f>
        <v>1</v>
      </c>
      <c r="F89" s="28" t="str">
        <f>VLOOKUP($A89,'Выгр Кат'!$A:$R,F$1,0)</f>
        <v>71779</v>
      </c>
      <c r="G89" s="7">
        <v>71779</v>
      </c>
      <c r="H89" s="7"/>
      <c r="I89" s="1" t="s">
        <v>3</v>
      </c>
      <c r="J89" s="41">
        <f t="shared" si="25"/>
        <v>145</v>
      </c>
      <c r="K89" s="2">
        <f>VLOOKUP(J89,Наценка!$A$1:$B$8,2,1)</f>
        <v>1.89</v>
      </c>
      <c r="L89" s="4">
        <f t="shared" si="21"/>
        <v>274.05</v>
      </c>
      <c r="M89" s="42">
        <f t="shared" si="22"/>
        <v>279</v>
      </c>
      <c r="N89" s="28">
        <f>VLOOKUP($A89,'Выгр Кат'!$A:$R,N$1,0)</f>
        <v>145</v>
      </c>
      <c r="O89" s="28">
        <f>VLOOKUP($A89,'Выгр Кат'!$A:$R,O$1,0)</f>
        <v>279</v>
      </c>
      <c r="P89" s="30">
        <f t="shared" si="15"/>
        <v>0</v>
      </c>
      <c r="Q89" s="30">
        <f t="shared" si="16"/>
        <v>0</v>
      </c>
      <c r="R89" s="36">
        <f t="shared" si="17"/>
        <v>259.46999999999997</v>
      </c>
      <c r="S89" s="64">
        <f>IFERROR((VLOOKUP($A89,'Из ГУГЛа'!$B:$G,6,0)+U89)*T89,VLOOKUP($A89,'Из ГУГЛа'!$B:$G,6,0))</f>
        <v>390</v>
      </c>
      <c r="T89" s="38">
        <v>1</v>
      </c>
      <c r="U89" s="38">
        <v>0</v>
      </c>
      <c r="V89" s="39">
        <f t="shared" si="18"/>
        <v>0.78944827586206867</v>
      </c>
      <c r="W89" s="39">
        <f t="shared" si="19"/>
        <v>0.33469230769230779</v>
      </c>
      <c r="X89" s="39">
        <f t="shared" si="20"/>
        <v>1.6896551724137931</v>
      </c>
      <c r="Y89" s="40">
        <v>390</v>
      </c>
      <c r="Z89" s="46" t="s">
        <v>8067</v>
      </c>
    </row>
    <row r="90" spans="1:26" s="3" customFormat="1" ht="45" x14ac:dyDescent="0.25">
      <c r="A90" s="28">
        <v>131480</v>
      </c>
      <c r="B90" s="28">
        <f>VLOOKUP($A90,'Выгр Кат'!$A:$R,B$1,0)</f>
        <v>20004</v>
      </c>
      <c r="C90" s="27" t="str">
        <f>VLOOKUP($A90,'Выгр Кат'!$A:$R,C$1,0)</f>
        <v>Автомобильный ароматизатор "Contra" PERFUME, аромат №29 Fucking Fabulous</v>
      </c>
      <c r="D90" s="28" t="str">
        <f>VLOOKUP($A90,'Выгр Кат'!$A:$R,D$1,0)</f>
        <v>Y</v>
      </c>
      <c r="E90" s="28" t="str">
        <f>VLOOKUP($A90,'Выгр Кат'!$A:$R,E$1,0)</f>
        <v>1</v>
      </c>
      <c r="F90" s="28" t="str">
        <f>VLOOKUP($A90,'Выгр Кат'!$A:$R,F$1,0)</f>
        <v>71780</v>
      </c>
      <c r="G90" s="7">
        <v>71780</v>
      </c>
      <c r="H90" s="7"/>
      <c r="I90" s="1" t="s">
        <v>3</v>
      </c>
      <c r="J90" s="42">
        <f>VLOOKUP(G90,Прайс!B:E,4,0)</f>
        <v>145</v>
      </c>
      <c r="K90" s="2">
        <f>VLOOKUP(J90,Наценка!$A$1:$B$8,2,1)</f>
        <v>1.89</v>
      </c>
      <c r="L90" s="4">
        <f t="shared" si="21"/>
        <v>274.05</v>
      </c>
      <c r="M90" s="42">
        <f t="shared" si="22"/>
        <v>279</v>
      </c>
      <c r="N90" s="28">
        <f>VLOOKUP($A90,'Выгр Кат'!$A:$R,N$1,0)</f>
        <v>145</v>
      </c>
      <c r="O90" s="28">
        <f>VLOOKUP($A90,'Выгр Кат'!$A:$R,O$1,0)</f>
        <v>279</v>
      </c>
      <c r="P90" s="30">
        <f t="shared" si="15"/>
        <v>0</v>
      </c>
      <c r="Q90" s="30">
        <f t="shared" si="16"/>
        <v>0</v>
      </c>
      <c r="R90" s="36">
        <f t="shared" si="17"/>
        <v>259.46999999999997</v>
      </c>
      <c r="S90" s="64">
        <f>IFERROR((VLOOKUP($A90,'Из ГУГЛа'!$B:$G,6,0)+U90)*T90,VLOOKUP($A90,'Из ГУГЛа'!$B:$G,6,0))</f>
        <v>390</v>
      </c>
      <c r="T90" s="38">
        <v>1</v>
      </c>
      <c r="U90" s="38">
        <v>0</v>
      </c>
      <c r="V90" s="39">
        <f t="shared" si="18"/>
        <v>0.78944827586206867</v>
      </c>
      <c r="W90" s="39">
        <f t="shared" si="19"/>
        <v>0.33469230769230779</v>
      </c>
      <c r="X90" s="39">
        <f t="shared" si="20"/>
        <v>1.6896551724137931</v>
      </c>
      <c r="Y90" s="40">
        <v>390</v>
      </c>
      <c r="Z90" s="46" t="s">
        <v>8067</v>
      </c>
    </row>
    <row r="91" spans="1:26" s="3" customFormat="1" ht="45" x14ac:dyDescent="0.25">
      <c r="A91" s="28">
        <v>131491</v>
      </c>
      <c r="B91" s="28">
        <f>VLOOKUP($A91,'Выгр Кат'!$A:$R,B$1,0)</f>
        <v>19999</v>
      </c>
      <c r="C91" s="27" t="str">
        <f>VLOOKUP($A91,'Выгр Кат'!$A:$R,C$1,0)</f>
        <v>Автомобильный ароматизатор "Contra" PERFUME, аромат №33 Sheikh Shuyukh Luxe Edition</v>
      </c>
      <c r="D91" s="28" t="str">
        <f>VLOOKUP($A91,'Выгр Кат'!$A:$R,D$1,0)</f>
        <v>Y</v>
      </c>
      <c r="E91" s="28" t="str">
        <f>VLOOKUP($A91,'Выгр Кат'!$A:$R,E$1,0)</f>
        <v>1</v>
      </c>
      <c r="F91" s="28" t="str">
        <f>VLOOKUP($A91,'Выгр Кат'!$A:$R,F$1,0)</f>
        <v>71783</v>
      </c>
      <c r="G91" s="7">
        <v>71783</v>
      </c>
      <c r="H91" s="7"/>
      <c r="I91" s="1" t="s">
        <v>3</v>
      </c>
      <c r="J91" s="42">
        <f>VLOOKUP(G91,Прайс!B:E,4,0)</f>
        <v>145</v>
      </c>
      <c r="K91" s="2">
        <f>VLOOKUP(J91,Наценка!$A$1:$B$8,2,1)</f>
        <v>1.89</v>
      </c>
      <c r="L91" s="4">
        <f t="shared" si="21"/>
        <v>274.05</v>
      </c>
      <c r="M91" s="42">
        <f t="shared" si="22"/>
        <v>279</v>
      </c>
      <c r="N91" s="28">
        <f>VLOOKUP($A91,'Выгр Кат'!$A:$R,N$1,0)</f>
        <v>145</v>
      </c>
      <c r="O91" s="28">
        <f>VLOOKUP($A91,'Выгр Кат'!$A:$R,O$1,0)</f>
        <v>279</v>
      </c>
      <c r="P91" s="30">
        <f t="shared" si="15"/>
        <v>0</v>
      </c>
      <c r="Q91" s="30">
        <f t="shared" si="16"/>
        <v>0</v>
      </c>
      <c r="R91" s="36">
        <f t="shared" si="17"/>
        <v>259.46999999999997</v>
      </c>
      <c r="S91" s="64">
        <f>IFERROR((VLOOKUP($A91,'Из ГУГЛа'!$B:$G,6,0)+U91)*T91,VLOOKUP($A91,'Из ГУГЛа'!$B:$G,6,0))</f>
        <v>390</v>
      </c>
      <c r="T91" s="38">
        <v>1</v>
      </c>
      <c r="U91" s="38">
        <v>0</v>
      </c>
      <c r="V91" s="39">
        <f t="shared" si="18"/>
        <v>0.78944827586206867</v>
      </c>
      <c r="W91" s="39">
        <f t="shared" si="19"/>
        <v>0.33469230769230779</v>
      </c>
      <c r="X91" s="39">
        <f t="shared" si="20"/>
        <v>1.6896551724137931</v>
      </c>
      <c r="Y91" s="40">
        <v>390</v>
      </c>
      <c r="Z91" s="46" t="s">
        <v>8067</v>
      </c>
    </row>
    <row r="92" spans="1:26" s="3" customFormat="1" ht="45" x14ac:dyDescent="0.25">
      <c r="A92" s="28">
        <v>131490</v>
      </c>
      <c r="B92" s="28">
        <f>VLOOKUP($A92,'Выгр Кат'!$A:$R,B$1,0)</f>
        <v>19990</v>
      </c>
      <c r="C92" s="27" t="str">
        <f>VLOOKUP($A92,'Выгр Кат'!$A:$R,C$1,0)</f>
        <v>Автомобильный ароматизатор "Contra" PERFUME, аромат №34 Shaik Opulent No.77</v>
      </c>
      <c r="D92" s="28" t="str">
        <f>VLOOKUP($A92,'Выгр Кат'!$A:$R,D$1,0)</f>
        <v>Y</v>
      </c>
      <c r="E92" s="28" t="str">
        <f>VLOOKUP($A92,'Выгр Кат'!$A:$R,E$1,0)</f>
        <v>1</v>
      </c>
      <c r="F92" s="28" t="str">
        <f>VLOOKUP($A92,'Выгр Кат'!$A:$R,F$1,0)</f>
        <v>71862</v>
      </c>
      <c r="G92" s="7">
        <v>71862</v>
      </c>
      <c r="H92" s="7"/>
      <c r="I92" s="1" t="s">
        <v>3</v>
      </c>
      <c r="J92" s="42">
        <f>VLOOKUP(G92,Прайс!B:E,4,0)</f>
        <v>145</v>
      </c>
      <c r="K92" s="2">
        <f>VLOOKUP(J92,Наценка!$A$1:$B$8,2,1)</f>
        <v>1.89</v>
      </c>
      <c r="L92" s="4">
        <f t="shared" si="21"/>
        <v>274.05</v>
      </c>
      <c r="M92" s="42">
        <f t="shared" si="22"/>
        <v>279</v>
      </c>
      <c r="N92" s="28">
        <f>VLOOKUP($A92,'Выгр Кат'!$A:$R,N$1,0)</f>
        <v>145</v>
      </c>
      <c r="O92" s="28">
        <f>VLOOKUP($A92,'Выгр Кат'!$A:$R,O$1,0)</f>
        <v>279</v>
      </c>
      <c r="P92" s="30">
        <f t="shared" si="15"/>
        <v>0</v>
      </c>
      <c r="Q92" s="30">
        <f t="shared" si="16"/>
        <v>0</v>
      </c>
      <c r="R92" s="36">
        <f t="shared" si="17"/>
        <v>259.46999999999997</v>
      </c>
      <c r="S92" s="64">
        <f>IFERROR((VLOOKUP($A92,'Из ГУГЛа'!$B:$G,6,0)+U92)*T92,VLOOKUP($A92,'Из ГУГЛа'!$B:$G,6,0))</f>
        <v>390</v>
      </c>
      <c r="T92" s="38">
        <v>1</v>
      </c>
      <c r="U92" s="38">
        <v>0</v>
      </c>
      <c r="V92" s="39">
        <f t="shared" si="18"/>
        <v>0.78944827586206867</v>
      </c>
      <c r="W92" s="39">
        <f t="shared" si="19"/>
        <v>0.33469230769230779</v>
      </c>
      <c r="X92" s="39">
        <f t="shared" si="20"/>
        <v>1.6896551724137931</v>
      </c>
      <c r="Y92" s="40">
        <v>390</v>
      </c>
      <c r="Z92" s="46" t="s">
        <v>8067</v>
      </c>
    </row>
    <row r="93" spans="1:26" s="3" customFormat="1" ht="45" x14ac:dyDescent="0.25">
      <c r="A93" s="28">
        <v>131493</v>
      </c>
      <c r="B93" s="28">
        <f>VLOOKUP($A93,'Выгр Кат'!$A:$R,B$1,0)</f>
        <v>19987</v>
      </c>
      <c r="C93" s="27" t="str">
        <f>VLOOKUP($A93,'Выгр Кат'!$A:$R,C$1,0)</f>
        <v>Автомобильный ароматизатор "Contra" PERFUME, аромат №40 Straight to Heaven</v>
      </c>
      <c r="D93" s="28" t="str">
        <f>VLOOKUP($A93,'Выгр Кат'!$A:$R,D$1,0)</f>
        <v>Y</v>
      </c>
      <c r="E93" s="28" t="str">
        <f>VLOOKUP($A93,'Выгр Кат'!$A:$R,E$1,0)</f>
        <v>1</v>
      </c>
      <c r="F93" s="28" t="str">
        <f>VLOOKUP($A93,'Выгр Кат'!$A:$R,F$1,0)</f>
        <v>71786</v>
      </c>
      <c r="G93" s="7">
        <v>71786</v>
      </c>
      <c r="H93" s="7"/>
      <c r="I93" s="1" t="s">
        <v>3</v>
      </c>
      <c r="J93" s="42">
        <f>VLOOKUP(G93,Прайс!B:E,4,0)</f>
        <v>145</v>
      </c>
      <c r="K93" s="2">
        <f>VLOOKUP(J93,Наценка!$A$1:$B$8,2,1)</f>
        <v>1.89</v>
      </c>
      <c r="L93" s="4">
        <f t="shared" si="21"/>
        <v>274.05</v>
      </c>
      <c r="M93" s="42">
        <f t="shared" si="22"/>
        <v>279</v>
      </c>
      <c r="N93" s="28">
        <f>VLOOKUP($A93,'Выгр Кат'!$A:$R,N$1,0)</f>
        <v>145</v>
      </c>
      <c r="O93" s="28">
        <f>VLOOKUP($A93,'Выгр Кат'!$A:$R,O$1,0)</f>
        <v>279</v>
      </c>
      <c r="P93" s="30">
        <f t="shared" si="15"/>
        <v>0</v>
      </c>
      <c r="Q93" s="30">
        <f t="shared" si="16"/>
        <v>0</v>
      </c>
      <c r="R93" s="36">
        <f t="shared" si="17"/>
        <v>259.46999999999997</v>
      </c>
      <c r="S93" s="64">
        <f>IFERROR((VLOOKUP($A93,'Из ГУГЛа'!$B:$G,6,0)+U93)*T93,VLOOKUP($A93,'Из ГУГЛа'!$B:$G,6,0))</f>
        <v>390</v>
      </c>
      <c r="T93" s="38">
        <v>1</v>
      </c>
      <c r="U93" s="38">
        <v>0</v>
      </c>
      <c r="V93" s="39">
        <f t="shared" si="18"/>
        <v>0.78944827586206867</v>
      </c>
      <c r="W93" s="39">
        <f t="shared" si="19"/>
        <v>0.33469230769230779</v>
      </c>
      <c r="X93" s="39">
        <f t="shared" si="20"/>
        <v>1.6896551724137931</v>
      </c>
      <c r="Y93" s="40">
        <v>390</v>
      </c>
      <c r="Z93" s="46" t="s">
        <v>8067</v>
      </c>
    </row>
    <row r="94" spans="1:26" s="3" customFormat="1" ht="45" x14ac:dyDescent="0.25">
      <c r="A94" s="28">
        <v>131474</v>
      </c>
      <c r="B94" s="28">
        <f>VLOOKUP($A94,'Выгр Кат'!$A:$R,B$1,0)</f>
        <v>19979</v>
      </c>
      <c r="C94" s="27" t="str">
        <f>VLOOKUP($A94,'Выгр Кат'!$A:$R,C$1,0)</f>
        <v>Автомобильный ароматизатор "Contra" PERFUME, аромат Blossom Love</v>
      </c>
      <c r="D94" s="28" t="str">
        <f>VLOOKUP($A94,'Выгр Кат'!$A:$R,D$1,0)</f>
        <v>Y</v>
      </c>
      <c r="E94" s="28" t="str">
        <f>VLOOKUP($A94,'Выгр Кат'!$A:$R,E$1,0)</f>
        <v>1</v>
      </c>
      <c r="F94" s="28" t="str">
        <f>VLOOKUP($A94,'Выгр Кат'!$A:$R,F$1,0)</f>
        <v>71787</v>
      </c>
      <c r="G94" s="7">
        <v>71787</v>
      </c>
      <c r="H94" s="7"/>
      <c r="I94" s="1" t="s">
        <v>3</v>
      </c>
      <c r="J94" s="42">
        <f>VLOOKUP(G94,Прайс!B:E,4,0)</f>
        <v>145</v>
      </c>
      <c r="K94" s="2">
        <f>VLOOKUP(J94,Наценка!$A$1:$B$8,2,1)</f>
        <v>1.89</v>
      </c>
      <c r="L94" s="4">
        <f t="shared" si="21"/>
        <v>274.05</v>
      </c>
      <c r="M94" s="42">
        <f t="shared" si="22"/>
        <v>279</v>
      </c>
      <c r="N94" s="28">
        <f>VLOOKUP($A94,'Выгр Кат'!$A:$R,N$1,0)</f>
        <v>145</v>
      </c>
      <c r="O94" s="28">
        <f>VLOOKUP($A94,'Выгр Кат'!$A:$R,O$1,0)</f>
        <v>279</v>
      </c>
      <c r="P94" s="30">
        <f t="shared" si="15"/>
        <v>0</v>
      </c>
      <c r="Q94" s="30">
        <f t="shared" si="16"/>
        <v>0</v>
      </c>
      <c r="R94" s="36">
        <f t="shared" si="17"/>
        <v>259.46999999999997</v>
      </c>
      <c r="S94" s="64">
        <f>IFERROR((VLOOKUP($A94,'Из ГУГЛа'!$B:$G,6,0)+U94)*T94,VLOOKUP($A94,'Из ГУГЛа'!$B:$G,6,0))</f>
        <v>390</v>
      </c>
      <c r="T94" s="38">
        <v>1</v>
      </c>
      <c r="U94" s="38">
        <v>0</v>
      </c>
      <c r="V94" s="39">
        <f t="shared" si="18"/>
        <v>0.78944827586206867</v>
      </c>
      <c r="W94" s="39">
        <f t="shared" si="19"/>
        <v>0.33469230769230779</v>
      </c>
      <c r="X94" s="39">
        <f t="shared" si="20"/>
        <v>1.6896551724137931</v>
      </c>
      <c r="Y94" s="40">
        <v>390</v>
      </c>
      <c r="Z94" s="46" t="s">
        <v>8067</v>
      </c>
    </row>
    <row r="95" spans="1:26" s="3" customFormat="1" ht="45" x14ac:dyDescent="0.25">
      <c r="A95" s="28">
        <v>131473</v>
      </c>
      <c r="B95" s="28">
        <f>VLOOKUP($A95,'Выгр Кат'!$A:$R,B$1,0)</f>
        <v>19988</v>
      </c>
      <c r="C95" s="27" t="str">
        <f>VLOOKUP($A95,'Выгр Кат'!$A:$R,C$1,0)</f>
        <v>Автомобильный ароматизатор "Contra" PERFUME, аромат №42 Black Opium</v>
      </c>
      <c r="D95" s="28" t="str">
        <f>VLOOKUP($A95,'Выгр Кат'!$A:$R,D$1,0)</f>
        <v>Y</v>
      </c>
      <c r="E95" s="28" t="str">
        <f>VLOOKUP($A95,'Выгр Кат'!$A:$R,E$1,0)</f>
        <v>1</v>
      </c>
      <c r="F95" s="28" t="str">
        <f>VLOOKUP($A95,'Выгр Кат'!$A:$R,F$1,0)</f>
        <v>71788</v>
      </c>
      <c r="G95" s="7">
        <v>71788</v>
      </c>
      <c r="H95" s="7"/>
      <c r="I95" s="1" t="s">
        <v>3</v>
      </c>
      <c r="J95" s="41">
        <f>N95</f>
        <v>145</v>
      </c>
      <c r="K95" s="2">
        <f>VLOOKUP(J95,Наценка!$A$1:$B$8,2,1)</f>
        <v>1.89</v>
      </c>
      <c r="L95" s="4">
        <f t="shared" si="21"/>
        <v>274.05</v>
      </c>
      <c r="M95" s="42">
        <f t="shared" si="22"/>
        <v>279</v>
      </c>
      <c r="N95" s="28">
        <f>VLOOKUP($A95,'Выгр Кат'!$A:$R,N$1,0)</f>
        <v>145</v>
      </c>
      <c r="O95" s="28">
        <f>VLOOKUP($A95,'Выгр Кат'!$A:$R,O$1,0)</f>
        <v>279</v>
      </c>
      <c r="P95" s="30">
        <f t="shared" si="15"/>
        <v>0</v>
      </c>
      <c r="Q95" s="30">
        <f t="shared" si="16"/>
        <v>0</v>
      </c>
      <c r="R95" s="36">
        <f t="shared" si="17"/>
        <v>259.46999999999997</v>
      </c>
      <c r="S95" s="64">
        <f>IFERROR((VLOOKUP($A95,'Из ГУГЛа'!$B:$G,6,0)+U95)*T95,VLOOKUP($A95,'Из ГУГЛа'!$B:$G,6,0))</f>
        <v>390</v>
      </c>
      <c r="T95" s="38">
        <v>1</v>
      </c>
      <c r="U95" s="38">
        <v>0</v>
      </c>
      <c r="V95" s="39">
        <f t="shared" si="18"/>
        <v>0.78944827586206867</v>
      </c>
      <c r="W95" s="39">
        <f t="shared" si="19"/>
        <v>0.33469230769230779</v>
      </c>
      <c r="X95" s="39">
        <f t="shared" si="20"/>
        <v>1.6896551724137931</v>
      </c>
      <c r="Y95" s="40">
        <v>390</v>
      </c>
      <c r="Z95" s="46" t="s">
        <v>8067</v>
      </c>
    </row>
    <row r="96" spans="1:26" s="3" customFormat="1" ht="45" x14ac:dyDescent="0.25">
      <c r="A96" s="28">
        <v>131481</v>
      </c>
      <c r="B96" s="28">
        <f>VLOOKUP($A96,'Выгр Кат'!$A:$R,B$1,0)</f>
        <v>20003</v>
      </c>
      <c r="C96" s="27" t="str">
        <f>VLOOKUP($A96,'Выгр Кат'!$A:$R,C$1,0)</f>
        <v>Автомобильный ароматизатор "Contra" PERFUME, аромат №43 Good Girl Gone Bad</v>
      </c>
      <c r="D96" s="28" t="str">
        <f>VLOOKUP($A96,'Выгр Кат'!$A:$R,D$1,0)</f>
        <v>Y</v>
      </c>
      <c r="E96" s="28" t="str">
        <f>VLOOKUP($A96,'Выгр Кат'!$A:$R,E$1,0)</f>
        <v>1</v>
      </c>
      <c r="F96" s="28" t="str">
        <f>VLOOKUP($A96,'Выгр Кат'!$A:$R,F$1,0)</f>
        <v>71789</v>
      </c>
      <c r="G96" s="7">
        <v>71789</v>
      </c>
      <c r="H96" s="7"/>
      <c r="I96" s="1" t="s">
        <v>3</v>
      </c>
      <c r="J96" s="42">
        <f>VLOOKUP(G96,Прайс!B:E,4,0)</f>
        <v>145</v>
      </c>
      <c r="K96" s="2">
        <f>VLOOKUP(J96,Наценка!$A$1:$B$8,2,1)</f>
        <v>1.89</v>
      </c>
      <c r="L96" s="4">
        <f t="shared" si="21"/>
        <v>274.05</v>
      </c>
      <c r="M96" s="42">
        <f t="shared" si="22"/>
        <v>279</v>
      </c>
      <c r="N96" s="28">
        <f>VLOOKUP($A96,'Выгр Кат'!$A:$R,N$1,0)</f>
        <v>145</v>
      </c>
      <c r="O96" s="28">
        <f>VLOOKUP($A96,'Выгр Кат'!$A:$R,O$1,0)</f>
        <v>279</v>
      </c>
      <c r="P96" s="30">
        <f t="shared" si="15"/>
        <v>0</v>
      </c>
      <c r="Q96" s="30">
        <f t="shared" si="16"/>
        <v>0</v>
      </c>
      <c r="R96" s="36">
        <f t="shared" si="17"/>
        <v>259.46999999999997</v>
      </c>
      <c r="S96" s="64">
        <f>IFERROR((VLOOKUP($A96,'Из ГУГЛа'!$B:$G,6,0)+U96)*T96,VLOOKUP($A96,'Из ГУГЛа'!$B:$G,6,0))</f>
        <v>390</v>
      </c>
      <c r="T96" s="38">
        <v>1</v>
      </c>
      <c r="U96" s="38">
        <v>0</v>
      </c>
      <c r="V96" s="39">
        <f t="shared" si="18"/>
        <v>0.78944827586206867</v>
      </c>
      <c r="W96" s="39">
        <f t="shared" si="19"/>
        <v>0.33469230769230779</v>
      </c>
      <c r="X96" s="39">
        <f t="shared" si="20"/>
        <v>1.6896551724137931</v>
      </c>
      <c r="Y96" s="40">
        <v>390</v>
      </c>
      <c r="Z96" s="46" t="s">
        <v>8067</v>
      </c>
    </row>
    <row r="97" spans="1:26" s="3" customFormat="1" ht="45" x14ac:dyDescent="0.25">
      <c r="A97" s="28">
        <v>131489</v>
      </c>
      <c r="B97" s="28">
        <f>VLOOKUP($A97,'Выгр Кат'!$A:$R,B$1,0)</f>
        <v>19980</v>
      </c>
      <c r="C97" s="27" t="str">
        <f>VLOOKUP($A97,'Выгр Кат'!$A:$R,C$1,0)</f>
        <v>Автомобильный ароматизатор "Contra" PERFUME, аромат №45 Rose Elixir</v>
      </c>
      <c r="D97" s="28" t="str">
        <f>VLOOKUP($A97,'Выгр Кат'!$A:$R,D$1,0)</f>
        <v>Y</v>
      </c>
      <c r="E97" s="28" t="str">
        <f>VLOOKUP($A97,'Выгр Кат'!$A:$R,E$1,0)</f>
        <v>1</v>
      </c>
      <c r="F97" s="28" t="str">
        <f>VLOOKUP($A97,'Выгр Кат'!$A:$R,F$1,0)</f>
        <v>71790</v>
      </c>
      <c r="G97" s="7">
        <v>71790</v>
      </c>
      <c r="H97" s="7"/>
      <c r="I97" s="1" t="s">
        <v>3</v>
      </c>
      <c r="J97" s="42">
        <f>VLOOKUP(G97,Прайс!B:E,4,0)</f>
        <v>145</v>
      </c>
      <c r="K97" s="2">
        <f>VLOOKUP(J97,Наценка!$A$1:$B$8,2,1)</f>
        <v>1.89</v>
      </c>
      <c r="L97" s="4">
        <f t="shared" si="21"/>
        <v>274.05</v>
      </c>
      <c r="M97" s="42">
        <f t="shared" si="22"/>
        <v>279</v>
      </c>
      <c r="N97" s="28">
        <f>VLOOKUP($A97,'Выгр Кат'!$A:$R,N$1,0)</f>
        <v>145</v>
      </c>
      <c r="O97" s="28">
        <f>VLOOKUP($A97,'Выгр Кат'!$A:$R,O$1,0)</f>
        <v>279</v>
      </c>
      <c r="P97" s="30">
        <f t="shared" si="15"/>
        <v>0</v>
      </c>
      <c r="Q97" s="30">
        <f t="shared" si="16"/>
        <v>0</v>
      </c>
      <c r="R97" s="36">
        <f t="shared" si="17"/>
        <v>259.46999999999997</v>
      </c>
      <c r="S97" s="64">
        <f>IFERROR((VLOOKUP($A97,'Из ГУГЛа'!$B:$G,6,0)+U97)*T97,VLOOKUP($A97,'Из ГУГЛа'!$B:$G,6,0))</f>
        <v>390</v>
      </c>
      <c r="T97" s="38">
        <v>1</v>
      </c>
      <c r="U97" s="38">
        <v>0</v>
      </c>
      <c r="V97" s="39">
        <f t="shared" si="18"/>
        <v>0.78944827586206867</v>
      </c>
      <c r="W97" s="39">
        <f t="shared" si="19"/>
        <v>0.33469230769230779</v>
      </c>
      <c r="X97" s="39">
        <f t="shared" si="20"/>
        <v>1.6896551724137931</v>
      </c>
      <c r="Y97" s="40">
        <v>390</v>
      </c>
      <c r="Z97" s="46" t="s">
        <v>8067</v>
      </c>
    </row>
    <row r="98" spans="1:26" s="3" customFormat="1" ht="45" x14ac:dyDescent="0.25">
      <c r="A98" s="28">
        <v>131472</v>
      </c>
      <c r="B98" s="28">
        <f>VLOOKUP($A98,'Выгр Кат'!$A:$R,B$1,0)</f>
        <v>20000</v>
      </c>
      <c r="C98" s="27" t="str">
        <f>VLOOKUP($A98,'Выгр Кат'!$A:$R,C$1,0)</f>
        <v>Автомобильный ароматизатор "Contra" PERFUME, аромат №46 Black Afgano</v>
      </c>
      <c r="D98" s="28" t="str">
        <f>VLOOKUP($A98,'Выгр Кат'!$A:$R,D$1,0)</f>
        <v>Y</v>
      </c>
      <c r="E98" s="28" t="str">
        <f>VLOOKUP($A98,'Выгр Кат'!$A:$R,E$1,0)</f>
        <v>1</v>
      </c>
      <c r="F98" s="28" t="str">
        <f>VLOOKUP($A98,'Выгр Кат'!$A:$R,F$1,0)</f>
        <v>71791</v>
      </c>
      <c r="G98" s="7">
        <v>71791</v>
      </c>
      <c r="H98" s="7"/>
      <c r="I98" s="1" t="s">
        <v>3</v>
      </c>
      <c r="J98" s="41">
        <f t="shared" ref="J98:J99" si="26">N98</f>
        <v>145</v>
      </c>
      <c r="K98" s="2">
        <f>VLOOKUP(J98,Наценка!$A$1:$B$8,2,1)</f>
        <v>1.89</v>
      </c>
      <c r="L98" s="4">
        <f t="shared" si="21"/>
        <v>274.05</v>
      </c>
      <c r="M98" s="42">
        <f t="shared" si="22"/>
        <v>279</v>
      </c>
      <c r="N98" s="28">
        <f>VLOOKUP($A98,'Выгр Кат'!$A:$R,N$1,0)</f>
        <v>145</v>
      </c>
      <c r="O98" s="28">
        <f>VLOOKUP($A98,'Выгр Кат'!$A:$R,O$1,0)</f>
        <v>279</v>
      </c>
      <c r="P98" s="30">
        <f t="shared" si="15"/>
        <v>0</v>
      </c>
      <c r="Q98" s="30">
        <f t="shared" si="16"/>
        <v>0</v>
      </c>
      <c r="R98" s="36">
        <f t="shared" si="17"/>
        <v>259.46999999999997</v>
      </c>
      <c r="S98" s="64">
        <f>IFERROR((VLOOKUP($A98,'Из ГУГЛа'!$B:$G,6,0)+U98)*T98,VLOOKUP($A98,'Из ГУГЛа'!$B:$G,6,0))</f>
        <v>390</v>
      </c>
      <c r="T98" s="38">
        <v>1</v>
      </c>
      <c r="U98" s="38">
        <v>0</v>
      </c>
      <c r="V98" s="39">
        <f t="shared" si="18"/>
        <v>0.78944827586206867</v>
      </c>
      <c r="W98" s="39">
        <f t="shared" si="19"/>
        <v>0.33469230769230779</v>
      </c>
      <c r="X98" s="39">
        <f t="shared" si="20"/>
        <v>1.6896551724137931</v>
      </c>
      <c r="Y98" s="40">
        <v>390</v>
      </c>
      <c r="Z98" s="46" t="s">
        <v>8067</v>
      </c>
    </row>
    <row r="99" spans="1:26" s="3" customFormat="1" ht="45" x14ac:dyDescent="0.25">
      <c r="A99" s="28">
        <v>131495</v>
      </c>
      <c r="B99" s="28">
        <f>VLOOKUP($A99,'Выгр Кат'!$A:$R,B$1,0)</f>
        <v>19991</v>
      </c>
      <c r="C99" s="27" t="str">
        <f>VLOOKUP($A99,'Выгр Кат'!$A:$R,C$1,0)</f>
        <v>Автомобильный ароматизатор "Contra" PERFUME, аромат №47 Tobacco Vanille</v>
      </c>
      <c r="D99" s="28" t="str">
        <f>VLOOKUP($A99,'Выгр Кат'!$A:$R,D$1,0)</f>
        <v>Y</v>
      </c>
      <c r="E99" s="28" t="str">
        <f>VLOOKUP($A99,'Выгр Кат'!$A:$R,E$1,0)</f>
        <v>1</v>
      </c>
      <c r="F99" s="28" t="str">
        <f>VLOOKUP($A99,'Выгр Кат'!$A:$R,F$1,0)</f>
        <v>71792</v>
      </c>
      <c r="G99" s="7">
        <v>71792</v>
      </c>
      <c r="H99" s="7"/>
      <c r="I99" s="1" t="s">
        <v>3</v>
      </c>
      <c r="J99" s="41">
        <f t="shared" si="26"/>
        <v>145</v>
      </c>
      <c r="K99" s="2">
        <f>VLOOKUP(J99,Наценка!$A$1:$B$8,2,1)</f>
        <v>1.89</v>
      </c>
      <c r="L99" s="4">
        <f t="shared" si="21"/>
        <v>274.05</v>
      </c>
      <c r="M99" s="42">
        <f t="shared" si="22"/>
        <v>279</v>
      </c>
      <c r="N99" s="28">
        <f>VLOOKUP($A99,'Выгр Кат'!$A:$R,N$1,0)</f>
        <v>145</v>
      </c>
      <c r="O99" s="28">
        <f>VLOOKUP($A99,'Выгр Кат'!$A:$R,O$1,0)</f>
        <v>279</v>
      </c>
      <c r="P99" s="30">
        <f t="shared" si="15"/>
        <v>0</v>
      </c>
      <c r="Q99" s="30">
        <f t="shared" si="16"/>
        <v>0</v>
      </c>
      <c r="R99" s="36">
        <f t="shared" ref="R99:R127" si="27">IFERROR(M99*(1-$R$2),"")</f>
        <v>259.46999999999997</v>
      </c>
      <c r="S99" s="64">
        <f>IFERROR((VLOOKUP($A99,'Из ГУГЛа'!$B:$G,6,0)+U99)*T99,VLOOKUP($A99,'Из ГУГЛа'!$B:$G,6,0))</f>
        <v>390</v>
      </c>
      <c r="T99" s="38">
        <v>1</v>
      </c>
      <c r="U99" s="38">
        <v>0</v>
      </c>
      <c r="V99" s="39">
        <f t="shared" si="18"/>
        <v>0.78944827586206867</v>
      </c>
      <c r="W99" s="39">
        <f t="shared" si="19"/>
        <v>0.33469230769230779</v>
      </c>
      <c r="X99" s="39">
        <f t="shared" si="20"/>
        <v>1.6896551724137931</v>
      </c>
      <c r="Y99" s="40">
        <v>390</v>
      </c>
      <c r="Z99" s="46" t="s">
        <v>8067</v>
      </c>
    </row>
    <row r="100" spans="1:26" s="3" customFormat="1" ht="45" x14ac:dyDescent="0.25">
      <c r="A100" s="28">
        <v>131479</v>
      </c>
      <c r="B100" s="28">
        <f>VLOOKUP($A100,'Выгр Кат'!$A:$R,B$1,0)</f>
        <v>19978</v>
      </c>
      <c r="C100" s="27" t="str">
        <f>VLOOKUP($A100,'Выгр Кат'!$A:$R,C$1,0)</f>
        <v>Автомобильный ароматизатор "Contra" PERFUME, аромат №49 Eau Fraiche</v>
      </c>
      <c r="D100" s="28" t="str">
        <f>VLOOKUP($A100,'Выгр Кат'!$A:$R,D$1,0)</f>
        <v>Y</v>
      </c>
      <c r="E100" s="28" t="str">
        <f>VLOOKUP($A100,'Выгр Кат'!$A:$R,E$1,0)</f>
        <v>1</v>
      </c>
      <c r="F100" s="28" t="str">
        <f>VLOOKUP($A100,'Выгр Кат'!$A:$R,F$1,0)</f>
        <v>71794</v>
      </c>
      <c r="G100" s="7">
        <v>71794</v>
      </c>
      <c r="H100" s="7"/>
      <c r="I100" s="1" t="s">
        <v>3</v>
      </c>
      <c r="J100" s="42">
        <f>VLOOKUP(G100,Прайс!B:E,4,0)</f>
        <v>145</v>
      </c>
      <c r="K100" s="2">
        <f>VLOOKUP(J100,Наценка!$A$1:$B$8,2,1)</f>
        <v>1.89</v>
      </c>
      <c r="L100" s="4">
        <f t="shared" si="21"/>
        <v>274.05</v>
      </c>
      <c r="M100" s="42">
        <f t="shared" si="22"/>
        <v>279</v>
      </c>
      <c r="N100" s="28">
        <f>VLOOKUP($A100,'Выгр Кат'!$A:$R,N$1,0)</f>
        <v>145</v>
      </c>
      <c r="O100" s="28">
        <f>VLOOKUP($A100,'Выгр Кат'!$A:$R,O$1,0)</f>
        <v>279</v>
      </c>
      <c r="P100" s="30">
        <f t="shared" si="15"/>
        <v>0</v>
      </c>
      <c r="Q100" s="30">
        <f t="shared" si="16"/>
        <v>0</v>
      </c>
      <c r="R100" s="36">
        <f t="shared" si="27"/>
        <v>259.46999999999997</v>
      </c>
      <c r="S100" s="64">
        <f>IFERROR((VLOOKUP($A100,'Из ГУГЛа'!$B:$G,6,0)+U100)*T100,VLOOKUP($A100,'Из ГУГЛа'!$B:$G,6,0))</f>
        <v>390</v>
      </c>
      <c r="T100" s="38">
        <v>1</v>
      </c>
      <c r="U100" s="38">
        <v>0</v>
      </c>
      <c r="V100" s="39">
        <f t="shared" si="18"/>
        <v>0.78944827586206867</v>
      </c>
      <c r="W100" s="39">
        <f t="shared" si="19"/>
        <v>0.33469230769230779</v>
      </c>
      <c r="X100" s="39">
        <f t="shared" si="20"/>
        <v>1.6896551724137931</v>
      </c>
      <c r="Y100" s="40">
        <v>390</v>
      </c>
      <c r="Z100" s="46" t="s">
        <v>8067</v>
      </c>
    </row>
    <row r="101" spans="1:26" s="3" customFormat="1" ht="45" x14ac:dyDescent="0.25">
      <c r="A101" s="28">
        <v>133015</v>
      </c>
      <c r="B101" s="28">
        <f>VLOOKUP($A101,'Выгр Кат'!$A:$R,B$1,0)</f>
        <v>16470</v>
      </c>
      <c r="C101" s="27" t="str">
        <f>VLOOKUP($A101,'Выгр Кат'!$A:$R,C$1,0)</f>
        <v>Ароматизатор (освежитель) воздуха Contra "Sex King" Королевский гранат и кора черного дерева</v>
      </c>
      <c r="D101" s="28" t="str">
        <f>VLOOKUP($A101,'Выгр Кат'!$A:$R,D$1,0)</f>
        <v>Y</v>
      </c>
      <c r="E101" s="28" t="str">
        <f>VLOOKUP($A101,'Выгр Кат'!$A:$R,E$1,0)</f>
        <v>1</v>
      </c>
      <c r="F101" s="28" t="str">
        <f>VLOOKUP($A101,'Выгр Кат'!$A:$R,F$1,0)</f>
        <v>72302</v>
      </c>
      <c r="G101" s="7">
        <v>72302</v>
      </c>
      <c r="H101" s="7"/>
      <c r="I101" s="1" t="s">
        <v>3</v>
      </c>
      <c r="J101" s="42">
        <f>VLOOKUP(G101,Прайс!B:E,4,0)</f>
        <v>135</v>
      </c>
      <c r="K101" s="2">
        <f>VLOOKUP(J101,Наценка!$A$1:$B$8,2,1)</f>
        <v>1.89</v>
      </c>
      <c r="L101" s="4">
        <f t="shared" si="21"/>
        <v>255.14999999999998</v>
      </c>
      <c r="M101" s="42">
        <f t="shared" si="22"/>
        <v>259</v>
      </c>
      <c r="N101" s="28">
        <f>VLOOKUP($A101,'Выгр Кат'!$A:$R,N$1,0)</f>
        <v>135</v>
      </c>
      <c r="O101" s="28">
        <f>VLOOKUP($A101,'Выгр Кат'!$A:$R,O$1,0)</f>
        <v>259</v>
      </c>
      <c r="P101" s="30">
        <f t="shared" si="15"/>
        <v>0</v>
      </c>
      <c r="Q101" s="30">
        <f t="shared" si="16"/>
        <v>0</v>
      </c>
      <c r="R101" s="36">
        <f t="shared" si="27"/>
        <v>240.86999999999998</v>
      </c>
      <c r="S101" s="64">
        <f>IFERROR((VLOOKUP($A101,'Из ГУГЛа'!$B:$G,6,0)+U101)*T101,VLOOKUP($A101,'Из ГУГЛа'!$B:$G,6,0))</f>
        <v>390</v>
      </c>
      <c r="T101" s="38">
        <v>1</v>
      </c>
      <c r="U101" s="38">
        <v>0</v>
      </c>
      <c r="V101" s="39">
        <f t="shared" si="18"/>
        <v>0.78422222222222215</v>
      </c>
      <c r="W101" s="39">
        <f t="shared" si="19"/>
        <v>0.38238461538461543</v>
      </c>
      <c r="X101" s="39">
        <f t="shared" si="20"/>
        <v>1.8888888888888888</v>
      </c>
      <c r="Y101" s="40">
        <v>390</v>
      </c>
      <c r="Z101" s="46" t="s">
        <v>8067</v>
      </c>
    </row>
    <row r="102" spans="1:26" s="3" customFormat="1" ht="30" x14ac:dyDescent="0.25">
      <c r="A102" s="28">
        <v>133045</v>
      </c>
      <c r="B102" s="28">
        <f>VLOOKUP($A102,'Выгр Кат'!$A:$R,B$1,0)</f>
        <v>6315</v>
      </c>
      <c r="C102" s="27" t="str">
        <f>VLOOKUP($A102,'Выгр Кат'!$A:$R,C$1,0)</f>
        <v>Ароматизатор воздуха "Areon LIQUID" ваниль</v>
      </c>
      <c r="D102" s="28" t="str">
        <f>VLOOKUP($A102,'Выгр Кат'!$A:$R,D$1,0)</f>
        <v>Y</v>
      </c>
      <c r="E102" s="28" t="str">
        <f>VLOOKUP($A102,'Выгр Кат'!$A:$R,E$1,0)</f>
        <v>1</v>
      </c>
      <c r="F102" s="28" t="str">
        <f>VLOOKUP($A102,'Выгр Кат'!$A:$R,F$1,0)</f>
        <v>70094</v>
      </c>
      <c r="G102" s="7">
        <v>70094</v>
      </c>
      <c r="H102" s="7"/>
      <c r="I102" s="1" t="s">
        <v>3</v>
      </c>
      <c r="J102" s="42">
        <f>VLOOKUP(G102,Прайс!B:E,4,0)</f>
        <v>75</v>
      </c>
      <c r="K102" s="2">
        <f>VLOOKUP(J102,Наценка!$A$1:$B$8,2,1)</f>
        <v>2.11</v>
      </c>
      <c r="L102" s="4">
        <f t="shared" si="21"/>
        <v>158.25</v>
      </c>
      <c r="M102" s="42">
        <f t="shared" si="22"/>
        <v>159</v>
      </c>
      <c r="N102" s="28">
        <f>VLOOKUP($A102,'Выгр Кат'!$A:$R,N$1,0)</f>
        <v>75</v>
      </c>
      <c r="O102" s="28">
        <f>VLOOKUP($A102,'Выгр Кат'!$A:$R,O$1,0)</f>
        <v>159</v>
      </c>
      <c r="P102" s="30">
        <f t="shared" si="15"/>
        <v>0</v>
      </c>
      <c r="Q102" s="30">
        <f t="shared" si="16"/>
        <v>0</v>
      </c>
      <c r="R102" s="36">
        <f t="shared" si="27"/>
        <v>147.86999999999998</v>
      </c>
      <c r="S102" s="64">
        <f>IFERROR((VLOOKUP($A102,'Из ГУГЛа'!$B:$G,6,0)+U102)*T102,VLOOKUP($A102,'Из ГУГЛа'!$B:$G,6,0))</f>
        <v>190</v>
      </c>
      <c r="T102" s="38">
        <v>1</v>
      </c>
      <c r="U102" s="38">
        <v>0</v>
      </c>
      <c r="V102" s="39">
        <f t="shared" si="18"/>
        <v>0.97159999999999958</v>
      </c>
      <c r="W102" s="39">
        <f t="shared" si="19"/>
        <v>0.22173684210526329</v>
      </c>
      <c r="X102" s="39">
        <f t="shared" si="20"/>
        <v>1.5333333333333332</v>
      </c>
      <c r="Y102" s="40">
        <v>190</v>
      </c>
      <c r="Z102" s="46" t="s">
        <v>8071</v>
      </c>
    </row>
    <row r="103" spans="1:26" s="3" customFormat="1" ht="30" x14ac:dyDescent="0.25">
      <c r="A103" s="28">
        <v>133046</v>
      </c>
      <c r="B103" s="28">
        <f>VLOOKUP($A103,'Выгр Кат'!$A:$R,B$1,0)</f>
        <v>6319</v>
      </c>
      <c r="C103" s="27" t="str">
        <f>VLOOKUP($A103,'Выгр Кат'!$A:$R,C$1,0)</f>
        <v>Ароматизатор воздуха "Areon LIQUID" кислород</v>
      </c>
      <c r="D103" s="28" t="str">
        <f>VLOOKUP($A103,'Выгр Кат'!$A:$R,D$1,0)</f>
        <v>Y</v>
      </c>
      <c r="E103" s="28" t="str">
        <f>VLOOKUP($A103,'Выгр Кат'!$A:$R,E$1,0)</f>
        <v>1</v>
      </c>
      <c r="F103" s="28" t="str">
        <f>VLOOKUP($A103,'Выгр Кат'!$A:$R,F$1,0)</f>
        <v>70100</v>
      </c>
      <c r="G103" s="7">
        <v>70100</v>
      </c>
      <c r="H103" s="7"/>
      <c r="I103" s="1" t="s">
        <v>3</v>
      </c>
      <c r="J103" s="42">
        <f>VLOOKUP(G103,Прайс!B:E,4,0)</f>
        <v>75</v>
      </c>
      <c r="K103" s="2">
        <f>VLOOKUP(J103,Наценка!$A$1:$B$8,2,1)</f>
        <v>2.11</v>
      </c>
      <c r="L103" s="4">
        <f t="shared" si="21"/>
        <v>158.25</v>
      </c>
      <c r="M103" s="42">
        <f t="shared" si="22"/>
        <v>159</v>
      </c>
      <c r="N103" s="28">
        <f>VLOOKUP($A103,'Выгр Кат'!$A:$R,N$1,0)</f>
        <v>75</v>
      </c>
      <c r="O103" s="28">
        <f>VLOOKUP($A103,'Выгр Кат'!$A:$R,O$1,0)</f>
        <v>159</v>
      </c>
      <c r="P103" s="30">
        <f t="shared" si="15"/>
        <v>0</v>
      </c>
      <c r="Q103" s="30">
        <f t="shared" si="16"/>
        <v>0</v>
      </c>
      <c r="R103" s="36">
        <f t="shared" si="27"/>
        <v>147.86999999999998</v>
      </c>
      <c r="S103" s="64">
        <f>IFERROR((VLOOKUP($A103,'Из ГУГЛа'!$B:$G,6,0)+U103)*T103,VLOOKUP($A103,'Из ГУГЛа'!$B:$G,6,0))</f>
        <v>190</v>
      </c>
      <c r="T103" s="38">
        <v>1</v>
      </c>
      <c r="U103" s="38">
        <v>0</v>
      </c>
      <c r="V103" s="39">
        <f t="shared" si="18"/>
        <v>0.97159999999999958</v>
      </c>
      <c r="W103" s="39">
        <f t="shared" si="19"/>
        <v>0.22173684210526329</v>
      </c>
      <c r="X103" s="39">
        <f t="shared" si="20"/>
        <v>1.5333333333333332</v>
      </c>
      <c r="Y103" s="40">
        <v>190</v>
      </c>
      <c r="Z103" s="46" t="s">
        <v>8071</v>
      </c>
    </row>
    <row r="104" spans="1:26" s="3" customFormat="1" ht="30" x14ac:dyDescent="0.25">
      <c r="A104" s="28">
        <v>133047</v>
      </c>
      <c r="B104" s="28">
        <f>VLOOKUP($A104,'Выгр Кат'!$A:$R,B$1,0)</f>
        <v>6311</v>
      </c>
      <c r="C104" s="27" t="str">
        <f>VLOOKUP($A104,'Выгр Кат'!$A:$R,C$1,0)</f>
        <v>Ароматизатор воздуха "Areon LIQUID" кофе</v>
      </c>
      <c r="D104" s="28" t="str">
        <f>VLOOKUP($A104,'Выгр Кат'!$A:$R,D$1,0)</f>
        <v>Y</v>
      </c>
      <c r="E104" s="28" t="str">
        <f>VLOOKUP($A104,'Выгр Кат'!$A:$R,E$1,0)</f>
        <v>1</v>
      </c>
      <c r="F104" s="28" t="str">
        <f>VLOOKUP($A104,'Выгр Кат'!$A:$R,F$1,0)</f>
        <v>70096</v>
      </c>
      <c r="G104" s="7">
        <v>70096</v>
      </c>
      <c r="H104" s="7"/>
      <c r="I104" s="1" t="s">
        <v>3</v>
      </c>
      <c r="J104" s="42">
        <f>VLOOKUP(G104,Прайс!B:E,4,0)</f>
        <v>75</v>
      </c>
      <c r="K104" s="2">
        <f>VLOOKUP(J104,Наценка!$A$1:$B$8,2,1)</f>
        <v>2.11</v>
      </c>
      <c r="L104" s="4">
        <f t="shared" si="21"/>
        <v>158.25</v>
      </c>
      <c r="M104" s="42">
        <f t="shared" si="22"/>
        <v>159</v>
      </c>
      <c r="N104" s="28">
        <f>VLOOKUP($A104,'Выгр Кат'!$A:$R,N$1,0)</f>
        <v>75</v>
      </c>
      <c r="O104" s="28">
        <f>VLOOKUP($A104,'Выгр Кат'!$A:$R,O$1,0)</f>
        <v>159</v>
      </c>
      <c r="P104" s="30">
        <f t="shared" si="15"/>
        <v>0</v>
      </c>
      <c r="Q104" s="30">
        <f t="shared" si="16"/>
        <v>0</v>
      </c>
      <c r="R104" s="36">
        <f t="shared" si="27"/>
        <v>147.86999999999998</v>
      </c>
      <c r="S104" s="64">
        <f>IFERROR((VLOOKUP($A104,'Из ГУГЛа'!$B:$G,6,0)+U104)*T104,VLOOKUP($A104,'Из ГУГЛа'!$B:$G,6,0))</f>
        <v>190</v>
      </c>
      <c r="T104" s="38">
        <v>1</v>
      </c>
      <c r="U104" s="38">
        <v>0</v>
      </c>
      <c r="V104" s="39">
        <f t="shared" si="18"/>
        <v>0.97159999999999958</v>
      </c>
      <c r="W104" s="39">
        <f t="shared" si="19"/>
        <v>0.22173684210526329</v>
      </c>
      <c r="X104" s="39">
        <f t="shared" si="20"/>
        <v>1.5333333333333332</v>
      </c>
      <c r="Y104" s="40">
        <v>190</v>
      </c>
      <c r="Z104" s="46" t="s">
        <v>8071</v>
      </c>
    </row>
    <row r="105" spans="1:26" s="3" customFormat="1" ht="30" x14ac:dyDescent="0.25">
      <c r="A105" s="28">
        <v>133048</v>
      </c>
      <c r="B105" s="28">
        <f>VLOOKUP($A105,'Выгр Кат'!$A:$R,B$1,0)</f>
        <v>6313</v>
      </c>
      <c r="C105" s="27" t="str">
        <f>VLOOKUP($A105,'Выгр Кат'!$A:$R,C$1,0)</f>
        <v>Ароматизатор воздуха "Areon LIQUID" лимон</v>
      </c>
      <c r="D105" s="28" t="str">
        <f>VLOOKUP($A105,'Выгр Кат'!$A:$R,D$1,0)</f>
        <v>Y</v>
      </c>
      <c r="E105" s="28" t="str">
        <f>VLOOKUP($A105,'Выгр Кат'!$A:$R,E$1,0)</f>
        <v>1</v>
      </c>
      <c r="F105" s="28" t="str">
        <f>VLOOKUP($A105,'Выгр Кат'!$A:$R,F$1,0)</f>
        <v>70097</v>
      </c>
      <c r="G105" s="7">
        <v>70097</v>
      </c>
      <c r="H105" s="7"/>
      <c r="I105" s="1" t="s">
        <v>3</v>
      </c>
      <c r="J105" s="42">
        <f>VLOOKUP(G105,Прайс!B:E,4,0)</f>
        <v>75</v>
      </c>
      <c r="K105" s="2">
        <f>VLOOKUP(J105,Наценка!$A$1:$B$8,2,1)</f>
        <v>2.11</v>
      </c>
      <c r="L105" s="4">
        <f t="shared" si="21"/>
        <v>158.25</v>
      </c>
      <c r="M105" s="42">
        <f t="shared" si="22"/>
        <v>159</v>
      </c>
      <c r="N105" s="28">
        <f>VLOOKUP($A105,'Выгр Кат'!$A:$R,N$1,0)</f>
        <v>75</v>
      </c>
      <c r="O105" s="28">
        <f>VLOOKUP($A105,'Выгр Кат'!$A:$R,O$1,0)</f>
        <v>159</v>
      </c>
      <c r="P105" s="30">
        <f t="shared" si="15"/>
        <v>0</v>
      </c>
      <c r="Q105" s="30">
        <f t="shared" si="16"/>
        <v>0</v>
      </c>
      <c r="R105" s="36">
        <f t="shared" si="27"/>
        <v>147.86999999999998</v>
      </c>
      <c r="S105" s="64">
        <f>IFERROR((VLOOKUP($A105,'Из ГУГЛа'!$B:$G,6,0)+U105)*T105,VLOOKUP($A105,'Из ГУГЛа'!$B:$G,6,0))</f>
        <v>190</v>
      </c>
      <c r="T105" s="38">
        <v>1</v>
      </c>
      <c r="U105" s="38">
        <v>0</v>
      </c>
      <c r="V105" s="39">
        <f t="shared" si="18"/>
        <v>0.97159999999999958</v>
      </c>
      <c r="W105" s="39">
        <f t="shared" si="19"/>
        <v>0.22173684210526329</v>
      </c>
      <c r="X105" s="39">
        <f t="shared" si="20"/>
        <v>1.5333333333333332</v>
      </c>
      <c r="Y105" s="40">
        <v>190</v>
      </c>
      <c r="Z105" s="46" t="s">
        <v>8071</v>
      </c>
    </row>
    <row r="106" spans="1:26" s="3" customFormat="1" ht="30" x14ac:dyDescent="0.25">
      <c r="A106" s="28">
        <v>133049</v>
      </c>
      <c r="B106" s="28">
        <f>VLOOKUP($A106,'Выгр Кат'!$A:$R,B$1,0)</f>
        <v>6314</v>
      </c>
      <c r="C106" s="27" t="str">
        <f>VLOOKUP($A106,'Выгр Кат'!$A:$R,C$1,0)</f>
        <v>Ароматизатор воздуха "Areon LIQUID" Новый автомобиль</v>
      </c>
      <c r="D106" s="28" t="str">
        <f>VLOOKUP($A106,'Выгр Кат'!$A:$R,D$1,0)</f>
        <v>Y</v>
      </c>
      <c r="E106" s="28" t="str">
        <f>VLOOKUP($A106,'Выгр Кат'!$A:$R,E$1,0)</f>
        <v>1</v>
      </c>
      <c r="F106" s="28" t="str">
        <f>VLOOKUP($A106,'Выгр Кат'!$A:$R,F$1,0)</f>
        <v>70098</v>
      </c>
      <c r="G106" s="7">
        <v>70098</v>
      </c>
      <c r="H106" s="7"/>
      <c r="I106" s="1" t="s">
        <v>3</v>
      </c>
      <c r="J106" s="42">
        <f>VLOOKUP(G106,Прайс!B:E,4,0)</f>
        <v>75</v>
      </c>
      <c r="K106" s="2">
        <f>VLOOKUP(J106,Наценка!$A$1:$B$8,2,1)</f>
        <v>2.11</v>
      </c>
      <c r="L106" s="4">
        <f t="shared" si="21"/>
        <v>158.25</v>
      </c>
      <c r="M106" s="42">
        <f t="shared" si="22"/>
        <v>159</v>
      </c>
      <c r="N106" s="28">
        <f>VLOOKUP($A106,'Выгр Кат'!$A:$R,N$1,0)</f>
        <v>75</v>
      </c>
      <c r="O106" s="28">
        <f>VLOOKUP($A106,'Выгр Кат'!$A:$R,O$1,0)</f>
        <v>159</v>
      </c>
      <c r="P106" s="30">
        <f t="shared" si="15"/>
        <v>0</v>
      </c>
      <c r="Q106" s="30">
        <f t="shared" si="16"/>
        <v>0</v>
      </c>
      <c r="R106" s="36">
        <f t="shared" si="27"/>
        <v>147.86999999999998</v>
      </c>
      <c r="S106" s="64">
        <f>IFERROR((VLOOKUP($A106,'Из ГУГЛа'!$B:$G,6,0)+U106)*T106,VLOOKUP($A106,'Из ГУГЛа'!$B:$G,6,0))</f>
        <v>190</v>
      </c>
      <c r="T106" s="38">
        <v>1</v>
      </c>
      <c r="U106" s="38">
        <v>0</v>
      </c>
      <c r="V106" s="39">
        <f t="shared" si="18"/>
        <v>0.97159999999999958</v>
      </c>
      <c r="W106" s="39">
        <f t="shared" si="19"/>
        <v>0.22173684210526329</v>
      </c>
      <c r="X106" s="39">
        <f t="shared" si="20"/>
        <v>1.5333333333333332</v>
      </c>
      <c r="Y106" s="40">
        <v>190</v>
      </c>
      <c r="Z106" s="46" t="s">
        <v>8071</v>
      </c>
    </row>
    <row r="107" spans="1:26" s="3" customFormat="1" ht="30" x14ac:dyDescent="0.25">
      <c r="A107" s="28">
        <v>133050</v>
      </c>
      <c r="B107" s="28">
        <f>VLOOKUP($A107,'Выгр Кат'!$A:$R,B$1,0)</f>
        <v>6312</v>
      </c>
      <c r="C107" s="27" t="str">
        <f>VLOOKUP($A107,'Выгр Кат'!$A:$R,C$1,0)</f>
        <v>Ароматизатор воздуха "Areon LIQUID" Тутти Фрутти</v>
      </c>
      <c r="D107" s="28" t="str">
        <f>VLOOKUP($A107,'Выгр Кат'!$A:$R,D$1,0)</f>
        <v>Y</v>
      </c>
      <c r="E107" s="28" t="str">
        <f>VLOOKUP($A107,'Выгр Кат'!$A:$R,E$1,0)</f>
        <v>1</v>
      </c>
      <c r="F107" s="28" t="str">
        <f>VLOOKUP($A107,'Выгр Кат'!$A:$R,F$1,0)</f>
        <v>70103</v>
      </c>
      <c r="G107" s="7">
        <v>70103</v>
      </c>
      <c r="H107" s="7"/>
      <c r="I107" s="1" t="s">
        <v>3</v>
      </c>
      <c r="J107" s="42">
        <f>VLOOKUP(G107,Прайс!B:E,4,0)</f>
        <v>75</v>
      </c>
      <c r="K107" s="2">
        <f>VLOOKUP(J107,Наценка!$A$1:$B$8,2,1)</f>
        <v>2.11</v>
      </c>
      <c r="L107" s="4">
        <f t="shared" si="21"/>
        <v>158.25</v>
      </c>
      <c r="M107" s="42">
        <f t="shared" si="22"/>
        <v>159</v>
      </c>
      <c r="N107" s="28">
        <f>VLOOKUP($A107,'Выгр Кат'!$A:$R,N$1,0)</f>
        <v>75</v>
      </c>
      <c r="O107" s="28">
        <f>VLOOKUP($A107,'Выгр Кат'!$A:$R,O$1,0)</f>
        <v>159</v>
      </c>
      <c r="P107" s="30">
        <f t="shared" si="15"/>
        <v>0</v>
      </c>
      <c r="Q107" s="30">
        <f t="shared" si="16"/>
        <v>0</v>
      </c>
      <c r="R107" s="36">
        <f t="shared" si="27"/>
        <v>147.86999999999998</v>
      </c>
      <c r="S107" s="64">
        <f>IFERROR((VLOOKUP($A107,'Из ГУГЛа'!$B:$G,6,0)+U107)*T107,VLOOKUP($A107,'Из ГУГЛа'!$B:$G,6,0))</f>
        <v>190</v>
      </c>
      <c r="T107" s="38">
        <v>1</v>
      </c>
      <c r="U107" s="38">
        <v>0</v>
      </c>
      <c r="V107" s="39">
        <f t="shared" si="18"/>
        <v>0.97159999999999958</v>
      </c>
      <c r="W107" s="39">
        <f t="shared" si="19"/>
        <v>0.22173684210526329</v>
      </c>
      <c r="X107" s="39">
        <f t="shared" si="20"/>
        <v>1.5333333333333332</v>
      </c>
      <c r="Y107" s="40">
        <v>190</v>
      </c>
      <c r="Z107" s="46" t="s">
        <v>8071</v>
      </c>
    </row>
    <row r="108" spans="1:26" s="3" customFormat="1" ht="30" x14ac:dyDescent="0.25">
      <c r="A108" s="28">
        <v>133044</v>
      </c>
      <c r="B108" s="28">
        <f>VLOOKUP($A108,'Выгр Кат'!$A:$R,B$1,0)</f>
        <v>6318</v>
      </c>
      <c r="C108" s="27" t="str">
        <f>VLOOKUP($A108,'Выгр Кат'!$A:$R,C$1,0)</f>
        <v>Ароматизатор воздуха "Areon LIQUID"  Yachting</v>
      </c>
      <c r="D108" s="28" t="str">
        <f>VLOOKUP($A108,'Выгр Кат'!$A:$R,D$1,0)</f>
        <v>Y</v>
      </c>
      <c r="E108" s="28" t="str">
        <f>VLOOKUP($A108,'Выгр Кат'!$A:$R,E$1,0)</f>
        <v>1</v>
      </c>
      <c r="F108" s="28" t="str">
        <f>VLOOKUP($A108,'Выгр Кат'!$A:$R,F$1,0)</f>
        <v>70105</v>
      </c>
      <c r="G108" s="7">
        <v>70105</v>
      </c>
      <c r="H108" s="7"/>
      <c r="I108" s="1" t="s">
        <v>3</v>
      </c>
      <c r="J108" s="42">
        <f>VLOOKUP(G108,Прайс!B:E,4,0)</f>
        <v>75</v>
      </c>
      <c r="K108" s="2">
        <f>VLOOKUP(J108,Наценка!$A$1:$B$8,2,1)</f>
        <v>2.11</v>
      </c>
      <c r="L108" s="4">
        <f t="shared" si="21"/>
        <v>158.25</v>
      </c>
      <c r="M108" s="42">
        <f t="shared" si="22"/>
        <v>159</v>
      </c>
      <c r="N108" s="28">
        <f>VLOOKUP($A108,'Выгр Кат'!$A:$R,N$1,0)</f>
        <v>75</v>
      </c>
      <c r="O108" s="28">
        <f>VLOOKUP($A108,'Выгр Кат'!$A:$R,O$1,0)</f>
        <v>159</v>
      </c>
      <c r="P108" s="30">
        <f t="shared" si="15"/>
        <v>0</v>
      </c>
      <c r="Q108" s="30">
        <f t="shared" si="16"/>
        <v>0</v>
      </c>
      <c r="R108" s="36">
        <f t="shared" si="27"/>
        <v>147.86999999999998</v>
      </c>
      <c r="S108" s="64">
        <f>IFERROR((VLOOKUP($A108,'Из ГУГЛа'!$B:$G,6,0)+U108)*T108,VLOOKUP($A108,'Из ГУГЛа'!$B:$G,6,0))</f>
        <v>190</v>
      </c>
      <c r="T108" s="38">
        <v>1</v>
      </c>
      <c r="U108" s="38">
        <v>0</v>
      </c>
      <c r="V108" s="39">
        <f t="shared" si="18"/>
        <v>0.97159999999999958</v>
      </c>
      <c r="W108" s="39">
        <f t="shared" si="19"/>
        <v>0.22173684210526329</v>
      </c>
      <c r="X108" s="39">
        <f t="shared" si="20"/>
        <v>1.5333333333333332</v>
      </c>
      <c r="Y108" s="40">
        <v>190</v>
      </c>
      <c r="Z108" s="46" t="s">
        <v>8071</v>
      </c>
    </row>
    <row r="109" spans="1:26" s="3" customFormat="1" ht="30" x14ac:dyDescent="0.25">
      <c r="A109" s="28">
        <v>133052</v>
      </c>
      <c r="B109" s="28">
        <f>VLOOKUP($A109,'Выгр Кат'!$A:$R,B$1,0)</f>
        <v>19078</v>
      </c>
      <c r="C109" s="27" t="str">
        <f>VLOOKUP($A109,'Выгр Кат'!$A:$R,C$1,0)</f>
        <v>Ароматизатор воздуха "BIG FRESH" BF-115 бубль гум (200 гр.)</v>
      </c>
      <c r="D109" s="28" t="str">
        <f>VLOOKUP($A109,'Выгр Кат'!$A:$R,D$1,0)</f>
        <v>Y</v>
      </c>
      <c r="E109" s="28" t="str">
        <f>VLOOKUP($A109,'Выгр Кат'!$A:$R,E$1,0)</f>
        <v>1</v>
      </c>
      <c r="F109" s="28" t="str">
        <f>VLOOKUP($A109,'Выгр Кат'!$A:$R,F$1,0)</f>
        <v>71128</v>
      </c>
      <c r="G109" s="7">
        <v>71128</v>
      </c>
      <c r="H109" s="7"/>
      <c r="I109" s="1" t="s">
        <v>3</v>
      </c>
      <c r="J109" s="42">
        <f>VLOOKUP(G109,Прайс!B:E,4,0)</f>
        <v>440</v>
      </c>
      <c r="K109" s="2">
        <f>VLOOKUP(J109,Наценка!$A$1:$B$8,2,1)</f>
        <v>1.68</v>
      </c>
      <c r="L109" s="4">
        <f t="shared" si="21"/>
        <v>739.19999999999993</v>
      </c>
      <c r="M109" s="42">
        <f t="shared" si="22"/>
        <v>739</v>
      </c>
      <c r="N109" s="28">
        <f>VLOOKUP($A109,'Выгр Кат'!$A:$R,N$1,0)</f>
        <v>440</v>
      </c>
      <c r="O109" s="28">
        <f>VLOOKUP($A109,'Выгр Кат'!$A:$R,O$1,0)</f>
        <v>739</v>
      </c>
      <c r="P109" s="30">
        <f t="shared" si="15"/>
        <v>0</v>
      </c>
      <c r="Q109" s="30">
        <f t="shared" si="16"/>
        <v>0</v>
      </c>
      <c r="R109" s="36">
        <f t="shared" si="27"/>
        <v>687.27</v>
      </c>
      <c r="S109" s="64" t="str">
        <f>IFERROR((VLOOKUP($A109,'Из ГУГЛа'!$B:$G,6,0)+U109)*T109,VLOOKUP($A109,'Из ГУГЛа'!$B:$G,6,0))</f>
        <v/>
      </c>
      <c r="T109" s="38">
        <v>1</v>
      </c>
      <c r="U109" s="38">
        <v>0</v>
      </c>
      <c r="V109" s="39">
        <f t="shared" si="18"/>
        <v>0.56197727272727271</v>
      </c>
      <c r="W109" s="39" t="str">
        <f t="shared" si="19"/>
        <v/>
      </c>
      <c r="X109" s="39" t="str">
        <f t="shared" si="20"/>
        <v/>
      </c>
      <c r="Y109" s="65" t="s">
        <v>8364</v>
      </c>
      <c r="Z109" s="46"/>
    </row>
    <row r="110" spans="1:26" s="3" customFormat="1" ht="30" x14ac:dyDescent="0.25">
      <c r="A110" s="28">
        <v>133058</v>
      </c>
      <c r="B110" s="28">
        <f>VLOOKUP($A110,'Выгр Кат'!$A:$R,B$1,0)</f>
        <v>13626</v>
      </c>
      <c r="C110" s="27" t="str">
        <f>VLOOKUP($A110,'Выгр Кат'!$A:$R,C$1,0)</f>
        <v>Ароматизатор воздуха "Car-Freshner" Американский флаг (Vanilla pride)</v>
      </c>
      <c r="D110" s="28" t="str">
        <f>VLOOKUP($A110,'Выгр Кат'!$A:$R,D$1,0)</f>
        <v>Y</v>
      </c>
      <c r="E110" s="28" t="str">
        <f>VLOOKUP($A110,'Выгр Кат'!$A:$R,E$1,0)</f>
        <v>1</v>
      </c>
      <c r="F110" s="28" t="str">
        <f>VLOOKUP($A110,'Выгр Кат'!$A:$R,F$1,0)</f>
        <v>70662</v>
      </c>
      <c r="G110" s="7">
        <v>70662</v>
      </c>
      <c r="H110" s="7"/>
      <c r="I110" s="1" t="s">
        <v>3</v>
      </c>
      <c r="J110" s="42">
        <f>VLOOKUP(G110,Прайс!B:E,4,0)</f>
        <v>110</v>
      </c>
      <c r="K110" s="2">
        <f>VLOOKUP(J110,Наценка!$A$1:$B$8,2,1)</f>
        <v>1.89</v>
      </c>
      <c r="L110" s="55">
        <f t="shared" ref="L110:L128" si="28">Y110*1.05</f>
        <v>199.5</v>
      </c>
      <c r="M110" s="42">
        <f t="shared" si="22"/>
        <v>199</v>
      </c>
      <c r="N110" s="28">
        <f>VLOOKUP($A110,'Выгр Кат'!$A:$R,N$1,0)</f>
        <v>110</v>
      </c>
      <c r="O110" s="28">
        <f>VLOOKUP($A110,'Выгр Кат'!$A:$R,O$1,0)</f>
        <v>199</v>
      </c>
      <c r="P110" s="30">
        <f t="shared" si="15"/>
        <v>0</v>
      </c>
      <c r="Q110" s="30">
        <f t="shared" si="16"/>
        <v>0</v>
      </c>
      <c r="R110" s="36">
        <f t="shared" si="27"/>
        <v>185.07</v>
      </c>
      <c r="S110" s="64">
        <f>IFERROR((VLOOKUP($A110,'Из ГУГЛа'!$B:$G,6,0)+U110)*T110,VLOOKUP($A110,'Из ГУГЛа'!$B:$G,6,0))</f>
        <v>190</v>
      </c>
      <c r="T110" s="38">
        <v>1</v>
      </c>
      <c r="U110" s="38">
        <v>0</v>
      </c>
      <c r="V110" s="39">
        <f t="shared" si="18"/>
        <v>0.68245454545454542</v>
      </c>
      <c r="W110" s="39">
        <f t="shared" si="19"/>
        <v>2.5947368421052667E-2</v>
      </c>
      <c r="X110" s="39">
        <f t="shared" si="20"/>
        <v>0.72727272727272729</v>
      </c>
      <c r="Y110" s="48">
        <v>190</v>
      </c>
      <c r="Z110" s="46" t="s">
        <v>8055</v>
      </c>
    </row>
    <row r="111" spans="1:26" s="3" customFormat="1" ht="30" x14ac:dyDescent="0.25">
      <c r="A111" s="28">
        <v>133059</v>
      </c>
      <c r="B111" s="28">
        <f>VLOOKUP($A111,'Выгр Кат'!$A:$R,B$1,0)</f>
        <v>13619</v>
      </c>
      <c r="C111" s="27" t="str">
        <f>VLOOKUP($A111,'Выгр Кат'!$A:$R,C$1,0)</f>
        <v>Ароматизатор воздуха "Car-Freshner" Аромат ванили</v>
      </c>
      <c r="D111" s="28" t="str">
        <f>VLOOKUP($A111,'Выгр Кат'!$A:$R,D$1,0)</f>
        <v>Y</v>
      </c>
      <c r="E111" s="28" t="str">
        <f>VLOOKUP($A111,'Выгр Кат'!$A:$R,E$1,0)</f>
        <v>1</v>
      </c>
      <c r="F111" s="28" t="str">
        <f>VLOOKUP($A111,'Выгр Кат'!$A:$R,F$1,0)</f>
        <v>70642</v>
      </c>
      <c r="G111" s="7">
        <v>70642</v>
      </c>
      <c r="H111" s="7"/>
      <c r="I111" s="1" t="s">
        <v>3</v>
      </c>
      <c r="J111" s="42">
        <f>VLOOKUP(G111,Прайс!B:E,4,0)</f>
        <v>110</v>
      </c>
      <c r="K111" s="2">
        <f>VLOOKUP(J111,Наценка!$A$1:$B$8,2,1)</f>
        <v>1.89</v>
      </c>
      <c r="L111" s="55">
        <f t="shared" si="28"/>
        <v>199.5</v>
      </c>
      <c r="M111" s="42">
        <f t="shared" si="22"/>
        <v>199</v>
      </c>
      <c r="N111" s="28">
        <f>VLOOKUP($A111,'Выгр Кат'!$A:$R,N$1,0)</f>
        <v>110</v>
      </c>
      <c r="O111" s="28">
        <f>VLOOKUP($A111,'Выгр Кат'!$A:$R,O$1,0)</f>
        <v>199</v>
      </c>
      <c r="P111" s="30">
        <f t="shared" si="15"/>
        <v>0</v>
      </c>
      <c r="Q111" s="30">
        <f t="shared" si="16"/>
        <v>0</v>
      </c>
      <c r="R111" s="36">
        <f t="shared" si="27"/>
        <v>185.07</v>
      </c>
      <c r="S111" s="64">
        <f>IFERROR((VLOOKUP($A111,'Из ГУГЛа'!$B:$G,6,0)+U111)*T111,VLOOKUP($A111,'Из ГУГЛа'!$B:$G,6,0))</f>
        <v>190</v>
      </c>
      <c r="T111" s="38">
        <v>1</v>
      </c>
      <c r="U111" s="38">
        <v>0</v>
      </c>
      <c r="V111" s="39">
        <f t="shared" si="18"/>
        <v>0.68245454545454542</v>
      </c>
      <c r="W111" s="39">
        <f t="shared" si="19"/>
        <v>2.5947368421052667E-2</v>
      </c>
      <c r="X111" s="39">
        <f t="shared" si="20"/>
        <v>0.72727272727272729</v>
      </c>
      <c r="Y111" s="48">
        <v>190</v>
      </c>
      <c r="Z111" s="46" t="s">
        <v>8055</v>
      </c>
    </row>
    <row r="112" spans="1:26" s="3" customFormat="1" ht="30" x14ac:dyDescent="0.25">
      <c r="A112" s="28">
        <v>133060</v>
      </c>
      <c r="B112" s="28">
        <f>VLOOKUP($A112,'Выгр Кат'!$A:$R,B$1,0)</f>
        <v>6295</v>
      </c>
      <c r="C112" s="27" t="str">
        <f>VLOOKUP($A112,'Выгр Кат'!$A:$R,C$1,0)</f>
        <v>Ароматизатор воздуха "Car-Freshner" Аромат клубники</v>
      </c>
      <c r="D112" s="28" t="str">
        <f>VLOOKUP($A112,'Выгр Кат'!$A:$R,D$1,0)</f>
        <v>Y</v>
      </c>
      <c r="E112" s="28" t="str">
        <f>VLOOKUP($A112,'Выгр Кат'!$A:$R,E$1,0)</f>
        <v>1</v>
      </c>
      <c r="F112" s="28" t="str">
        <f>VLOOKUP($A112,'Выгр Кат'!$A:$R,F$1,0)</f>
        <v>70647</v>
      </c>
      <c r="G112" s="7">
        <v>70647</v>
      </c>
      <c r="H112" s="7"/>
      <c r="I112" s="1" t="s">
        <v>3</v>
      </c>
      <c r="J112" s="42">
        <f>VLOOKUP(G112,Прайс!B:E,4,0)</f>
        <v>110</v>
      </c>
      <c r="K112" s="2">
        <f>VLOOKUP(J112,Наценка!$A$1:$B$8,2,1)</f>
        <v>1.89</v>
      </c>
      <c r="L112" s="55">
        <f t="shared" si="28"/>
        <v>199.5</v>
      </c>
      <c r="M112" s="42">
        <f t="shared" si="22"/>
        <v>199</v>
      </c>
      <c r="N112" s="28">
        <f>VLOOKUP($A112,'Выгр Кат'!$A:$R,N$1,0)</f>
        <v>110</v>
      </c>
      <c r="O112" s="28">
        <f>VLOOKUP($A112,'Выгр Кат'!$A:$R,O$1,0)</f>
        <v>199</v>
      </c>
      <c r="P112" s="30">
        <f t="shared" si="15"/>
        <v>0</v>
      </c>
      <c r="Q112" s="30">
        <f t="shared" si="16"/>
        <v>0</v>
      </c>
      <c r="R112" s="36">
        <f t="shared" si="27"/>
        <v>185.07</v>
      </c>
      <c r="S112" s="64">
        <f>IFERROR((VLOOKUP($A112,'Из ГУГЛа'!$B:$G,6,0)+U112)*T112,VLOOKUP($A112,'Из ГУГЛа'!$B:$G,6,0))</f>
        <v>190</v>
      </c>
      <c r="T112" s="38">
        <v>1</v>
      </c>
      <c r="U112" s="38">
        <v>0</v>
      </c>
      <c r="V112" s="39">
        <f t="shared" si="18"/>
        <v>0.68245454545454542</v>
      </c>
      <c r="W112" s="39">
        <f t="shared" si="19"/>
        <v>2.5947368421052667E-2</v>
      </c>
      <c r="X112" s="39">
        <f t="shared" si="20"/>
        <v>0.72727272727272729</v>
      </c>
      <c r="Y112" s="48">
        <v>190</v>
      </c>
      <c r="Z112" s="46" t="s">
        <v>8055</v>
      </c>
    </row>
    <row r="113" spans="1:26" s="3" customFormat="1" ht="30" x14ac:dyDescent="0.25">
      <c r="A113" s="28">
        <v>133061</v>
      </c>
      <c r="B113" s="28">
        <f>VLOOKUP($A113,'Выгр Кат'!$A:$R,B$1,0)</f>
        <v>6298</v>
      </c>
      <c r="C113" s="27" t="str">
        <f>VLOOKUP($A113,'Выгр Кат'!$A:$R,C$1,0)</f>
        <v>Ароматизатор воздуха "Car-Freshner" Аромат персика</v>
      </c>
      <c r="D113" s="28" t="str">
        <f>VLOOKUP($A113,'Выгр Кат'!$A:$R,D$1,0)</f>
        <v>Y</v>
      </c>
      <c r="E113" s="28" t="str">
        <f>VLOOKUP($A113,'Выгр Кат'!$A:$R,E$1,0)</f>
        <v>1</v>
      </c>
      <c r="F113" s="28" t="str">
        <f>VLOOKUP($A113,'Выгр Кат'!$A:$R,F$1,0)</f>
        <v>70655</v>
      </c>
      <c r="G113" s="7">
        <v>70655</v>
      </c>
      <c r="H113" s="7"/>
      <c r="I113" s="1" t="s">
        <v>3</v>
      </c>
      <c r="J113" s="42">
        <f>VLOOKUP(G113,Прайс!B:E,4,0)</f>
        <v>110</v>
      </c>
      <c r="K113" s="2">
        <f>VLOOKUP(J113,Наценка!$A$1:$B$8,2,1)</f>
        <v>1.89</v>
      </c>
      <c r="L113" s="55">
        <f t="shared" si="28"/>
        <v>199.5</v>
      </c>
      <c r="M113" s="42">
        <f t="shared" si="22"/>
        <v>199</v>
      </c>
      <c r="N113" s="28">
        <f>VLOOKUP($A113,'Выгр Кат'!$A:$R,N$1,0)</f>
        <v>110</v>
      </c>
      <c r="O113" s="28">
        <f>VLOOKUP($A113,'Выгр Кат'!$A:$R,O$1,0)</f>
        <v>199</v>
      </c>
      <c r="P113" s="30">
        <f t="shared" si="15"/>
        <v>0</v>
      </c>
      <c r="Q113" s="30">
        <f t="shared" si="16"/>
        <v>0</v>
      </c>
      <c r="R113" s="36">
        <f t="shared" si="27"/>
        <v>185.07</v>
      </c>
      <c r="S113" s="64">
        <f>IFERROR((VLOOKUP($A113,'Из ГУГЛа'!$B:$G,6,0)+U113)*T113,VLOOKUP($A113,'Из ГУГЛа'!$B:$G,6,0))</f>
        <v>190</v>
      </c>
      <c r="T113" s="38">
        <v>1</v>
      </c>
      <c r="U113" s="38">
        <v>0</v>
      </c>
      <c r="V113" s="39">
        <f t="shared" si="18"/>
        <v>0.68245454545454542</v>
      </c>
      <c r="W113" s="39">
        <f t="shared" si="19"/>
        <v>2.5947368421052667E-2</v>
      </c>
      <c r="X113" s="39">
        <f t="shared" si="20"/>
        <v>0.72727272727272729</v>
      </c>
      <c r="Y113" s="48">
        <v>190</v>
      </c>
      <c r="Z113" s="46" t="s">
        <v>8055</v>
      </c>
    </row>
    <row r="114" spans="1:26" s="3" customFormat="1" ht="30" x14ac:dyDescent="0.25">
      <c r="A114" s="28">
        <v>133062</v>
      </c>
      <c r="B114" s="28">
        <f>VLOOKUP($A114,'Выгр Кат'!$A:$R,B$1,0)</f>
        <v>13616</v>
      </c>
      <c r="C114" s="27" t="str">
        <f>VLOOKUP($A114,'Выгр Кат'!$A:$R,C$1,0)</f>
        <v>Ароматизатор воздуха "Car-Freshner" Аромат эвкалипта</v>
      </c>
      <c r="D114" s="28" t="str">
        <f>VLOOKUP($A114,'Выгр Кат'!$A:$R,D$1,0)</f>
        <v>Y</v>
      </c>
      <c r="E114" s="28" t="str">
        <f>VLOOKUP($A114,'Выгр Кат'!$A:$R,E$1,0)</f>
        <v>1</v>
      </c>
      <c r="F114" s="28" t="str">
        <f>VLOOKUP($A114,'Выгр Кат'!$A:$R,F$1,0)</f>
        <v>70361</v>
      </c>
      <c r="G114" s="7">
        <v>70361</v>
      </c>
      <c r="H114" s="7"/>
      <c r="I114" s="1" t="s">
        <v>3</v>
      </c>
      <c r="J114" s="41">
        <f>N114</f>
        <v>110</v>
      </c>
      <c r="K114" s="2">
        <f>VLOOKUP(J114,Наценка!$A$1:$B$8,2,1)</f>
        <v>1.89</v>
      </c>
      <c r="L114" s="55">
        <f t="shared" si="28"/>
        <v>199.5</v>
      </c>
      <c r="M114" s="42">
        <f t="shared" si="22"/>
        <v>199</v>
      </c>
      <c r="N114" s="28">
        <f>VLOOKUP($A114,'Выгр Кат'!$A:$R,N$1,0)</f>
        <v>110</v>
      </c>
      <c r="O114" s="28">
        <f>VLOOKUP($A114,'Выгр Кат'!$A:$R,O$1,0)</f>
        <v>199</v>
      </c>
      <c r="P114" s="30">
        <f t="shared" si="15"/>
        <v>0</v>
      </c>
      <c r="Q114" s="30">
        <f t="shared" si="16"/>
        <v>0</v>
      </c>
      <c r="R114" s="36">
        <f t="shared" si="27"/>
        <v>185.07</v>
      </c>
      <c r="S114" s="64">
        <f>IFERROR((VLOOKUP($A114,'Из ГУГЛа'!$B:$G,6,0)+U114)*T114,VLOOKUP($A114,'Из ГУГЛа'!$B:$G,6,0))</f>
        <v>190</v>
      </c>
      <c r="T114" s="38">
        <v>1</v>
      </c>
      <c r="U114" s="38">
        <v>0</v>
      </c>
      <c r="V114" s="39">
        <f t="shared" si="18"/>
        <v>0.68245454545454542</v>
      </c>
      <c r="W114" s="39">
        <f t="shared" si="19"/>
        <v>2.5947368421052667E-2</v>
      </c>
      <c r="X114" s="39">
        <f t="shared" si="20"/>
        <v>0.72727272727272729</v>
      </c>
      <c r="Y114" s="48">
        <v>190</v>
      </c>
      <c r="Z114" s="46" t="s">
        <v>8055</v>
      </c>
    </row>
    <row r="115" spans="1:26" s="3" customFormat="1" ht="30" x14ac:dyDescent="0.25">
      <c r="A115" s="28">
        <v>133063</v>
      </c>
      <c r="B115" s="28">
        <f>VLOOKUP($A115,'Выгр Кат'!$A:$R,B$1,0)</f>
        <v>13624</v>
      </c>
      <c r="C115" s="27" t="str">
        <f>VLOOKUP($A115,'Выгр Кат'!$A:$R,C$1,0)</f>
        <v>Ароматизатор воздуха "Car-Freshner" Бабл гам (Bubble gum)</v>
      </c>
      <c r="D115" s="28" t="str">
        <f>VLOOKUP($A115,'Выгр Кат'!$A:$R,D$1,0)</f>
        <v>Y</v>
      </c>
      <c r="E115" s="28" t="str">
        <f>VLOOKUP($A115,'Выгр Кат'!$A:$R,E$1,0)</f>
        <v>1</v>
      </c>
      <c r="F115" s="28" t="str">
        <f>VLOOKUP($A115,'Выгр Кат'!$A:$R,F$1,0)</f>
        <v>70641</v>
      </c>
      <c r="G115" s="7">
        <v>70641</v>
      </c>
      <c r="H115" s="7"/>
      <c r="I115" s="1" t="s">
        <v>3</v>
      </c>
      <c r="J115" s="42">
        <f>VLOOKUP(G115,Прайс!B:E,4,0)</f>
        <v>110</v>
      </c>
      <c r="K115" s="2">
        <f>VLOOKUP(J115,Наценка!$A$1:$B$8,2,1)</f>
        <v>1.89</v>
      </c>
      <c r="L115" s="55">
        <f t="shared" si="28"/>
        <v>199.5</v>
      </c>
      <c r="M115" s="42">
        <f t="shared" si="22"/>
        <v>199</v>
      </c>
      <c r="N115" s="28">
        <f>VLOOKUP($A115,'Выгр Кат'!$A:$R,N$1,0)</f>
        <v>110</v>
      </c>
      <c r="O115" s="28">
        <f>VLOOKUP($A115,'Выгр Кат'!$A:$R,O$1,0)</f>
        <v>199</v>
      </c>
      <c r="P115" s="30">
        <f t="shared" si="15"/>
        <v>0</v>
      </c>
      <c r="Q115" s="30">
        <f t="shared" si="16"/>
        <v>0</v>
      </c>
      <c r="R115" s="36">
        <f t="shared" si="27"/>
        <v>185.07</v>
      </c>
      <c r="S115" s="64">
        <f>IFERROR((VLOOKUP($A115,'Из ГУГЛа'!$B:$G,6,0)+U115)*T115,VLOOKUP($A115,'Из ГУГЛа'!$B:$G,6,0))</f>
        <v>190</v>
      </c>
      <c r="T115" s="38">
        <v>1</v>
      </c>
      <c r="U115" s="38">
        <v>0</v>
      </c>
      <c r="V115" s="39">
        <f t="shared" si="18"/>
        <v>0.68245454545454542</v>
      </c>
      <c r="W115" s="39">
        <f t="shared" si="19"/>
        <v>2.5947368421052667E-2</v>
      </c>
      <c r="X115" s="39">
        <f t="shared" si="20"/>
        <v>0.72727272727272729</v>
      </c>
      <c r="Y115" s="48">
        <v>190</v>
      </c>
      <c r="Z115" s="46" t="s">
        <v>8055</v>
      </c>
    </row>
    <row r="116" spans="1:26" s="3" customFormat="1" ht="30" x14ac:dyDescent="0.25">
      <c r="A116" s="28">
        <v>133064</v>
      </c>
      <c r="B116" s="28">
        <f>VLOOKUP($A116,'Выгр Кат'!$A:$R,B$1,0)</f>
        <v>13621</v>
      </c>
      <c r="C116" s="27" t="str">
        <f>VLOOKUP($A116,'Выгр Кат'!$A:$R,C$1,0)</f>
        <v>Ароматизатор воздуха "Car-Freshner" Бурбон</v>
      </c>
      <c r="D116" s="28" t="str">
        <f>VLOOKUP($A116,'Выгр Кат'!$A:$R,D$1,0)</f>
        <v>Y</v>
      </c>
      <c r="E116" s="28" t="str">
        <f>VLOOKUP($A116,'Выгр Кат'!$A:$R,E$1,0)</f>
        <v>0</v>
      </c>
      <c r="F116" s="28" t="str">
        <f>VLOOKUP($A116,'Выгр Кат'!$A:$R,F$1,0)</f>
        <v>70360</v>
      </c>
      <c r="G116" s="7">
        <v>70360</v>
      </c>
      <c r="H116" s="7"/>
      <c r="I116" s="1" t="s">
        <v>3</v>
      </c>
      <c r="J116" s="41">
        <f>N116</f>
        <v>110</v>
      </c>
      <c r="K116" s="2">
        <f>VLOOKUP(J116,Наценка!$A$1:$B$8,2,1)</f>
        <v>1.89</v>
      </c>
      <c r="L116" s="55">
        <f t="shared" si="28"/>
        <v>199.5</v>
      </c>
      <c r="M116" s="42">
        <f t="shared" si="22"/>
        <v>199</v>
      </c>
      <c r="N116" s="28">
        <f>VLOOKUP($A116,'Выгр Кат'!$A:$R,N$1,0)</f>
        <v>110</v>
      </c>
      <c r="O116" s="28">
        <f>VLOOKUP($A116,'Выгр Кат'!$A:$R,O$1,0)</f>
        <v>199</v>
      </c>
      <c r="P116" s="30">
        <f t="shared" si="15"/>
        <v>0</v>
      </c>
      <c r="Q116" s="30">
        <f t="shared" si="16"/>
        <v>0</v>
      </c>
      <c r="R116" s="36">
        <f t="shared" si="27"/>
        <v>185.07</v>
      </c>
      <c r="S116" s="64">
        <f>IFERROR((VLOOKUP($A116,'Из ГУГЛа'!$B:$G,6,0)+U116)*T116,VLOOKUP($A116,'Из ГУГЛа'!$B:$G,6,0))</f>
        <v>190</v>
      </c>
      <c r="T116" s="38">
        <v>1</v>
      </c>
      <c r="U116" s="38">
        <v>0</v>
      </c>
      <c r="V116" s="39">
        <f t="shared" si="18"/>
        <v>0.68245454545454542</v>
      </c>
      <c r="W116" s="39">
        <f t="shared" si="19"/>
        <v>2.5947368421052667E-2</v>
      </c>
      <c r="X116" s="39">
        <f t="shared" si="20"/>
        <v>0.72727272727272729</v>
      </c>
      <c r="Y116" s="48">
        <v>190</v>
      </c>
      <c r="Z116" s="46" t="s">
        <v>8055</v>
      </c>
    </row>
    <row r="117" spans="1:26" s="3" customFormat="1" ht="30" x14ac:dyDescent="0.25">
      <c r="A117" s="28">
        <v>133065</v>
      </c>
      <c r="B117" s="28">
        <f>VLOOKUP($A117,'Выгр Кат'!$A:$R,B$1,0)</f>
        <v>13629</v>
      </c>
      <c r="C117" s="27" t="str">
        <f>VLOOKUP($A117,'Выгр Кат'!$A:$R,C$1,0)</f>
        <v>Ароматизатор воздуха "Car-Freshner" Дикая вишня (Wild cherry)</v>
      </c>
      <c r="D117" s="28" t="str">
        <f>VLOOKUP($A117,'Выгр Кат'!$A:$R,D$1,0)</f>
        <v>Y</v>
      </c>
      <c r="E117" s="28" t="str">
        <f>VLOOKUP($A117,'Выгр Кат'!$A:$R,E$1,0)</f>
        <v>1</v>
      </c>
      <c r="F117" s="28" t="str">
        <f>VLOOKUP($A117,'Выгр Кат'!$A:$R,F$1,0)</f>
        <v>70644</v>
      </c>
      <c r="G117" s="7">
        <v>70644</v>
      </c>
      <c r="H117" s="7"/>
      <c r="I117" s="1" t="s">
        <v>3</v>
      </c>
      <c r="J117" s="42">
        <f>VLOOKUP(G117,Прайс!B:E,4,0)</f>
        <v>110</v>
      </c>
      <c r="K117" s="2">
        <f>VLOOKUP(J117,Наценка!$A$1:$B$8,2,1)</f>
        <v>1.89</v>
      </c>
      <c r="L117" s="55">
        <f t="shared" si="28"/>
        <v>199.5</v>
      </c>
      <c r="M117" s="42">
        <f t="shared" si="22"/>
        <v>199</v>
      </c>
      <c r="N117" s="28">
        <f>VLOOKUP($A117,'Выгр Кат'!$A:$R,N$1,0)</f>
        <v>110</v>
      </c>
      <c r="O117" s="28">
        <f>VLOOKUP($A117,'Выгр Кат'!$A:$R,O$1,0)</f>
        <v>199</v>
      </c>
      <c r="P117" s="30">
        <f t="shared" si="15"/>
        <v>0</v>
      </c>
      <c r="Q117" s="30">
        <f t="shared" si="16"/>
        <v>0</v>
      </c>
      <c r="R117" s="36">
        <f t="shared" si="27"/>
        <v>185.07</v>
      </c>
      <c r="S117" s="64">
        <f>IFERROR((VLOOKUP($A117,'Из ГУГЛа'!$B:$G,6,0)+U117)*T117,VLOOKUP($A117,'Из ГУГЛа'!$B:$G,6,0))</f>
        <v>190</v>
      </c>
      <c r="T117" s="38">
        <v>1</v>
      </c>
      <c r="U117" s="38">
        <v>0</v>
      </c>
      <c r="V117" s="39">
        <f t="shared" si="18"/>
        <v>0.68245454545454542</v>
      </c>
      <c r="W117" s="39">
        <f t="shared" si="19"/>
        <v>2.5947368421052667E-2</v>
      </c>
      <c r="X117" s="39">
        <f t="shared" si="20"/>
        <v>0.72727272727272729</v>
      </c>
      <c r="Y117" s="48">
        <v>190</v>
      </c>
      <c r="Z117" s="46" t="s">
        <v>8055</v>
      </c>
    </row>
    <row r="118" spans="1:26" s="3" customFormat="1" ht="45" x14ac:dyDescent="0.25">
      <c r="A118" s="28">
        <v>133067</v>
      </c>
      <c r="B118" s="28">
        <f>VLOOKUP($A118,'Выгр Кат'!$A:$R,B$1,0)</f>
        <v>13630</v>
      </c>
      <c r="C118" s="27" t="str">
        <f>VLOOKUP($A118,'Выгр Кат'!$A:$R,C$1,0)</f>
        <v>Ароматизатор воздуха "Car-Freshner" Карибский коктейль (Caribbean colada)</v>
      </c>
      <c r="D118" s="28" t="str">
        <f>VLOOKUP($A118,'Выгр Кат'!$A:$R,D$1,0)</f>
        <v>Y</v>
      </c>
      <c r="E118" s="28" t="str">
        <f>VLOOKUP($A118,'Выгр Кат'!$A:$R,E$1,0)</f>
        <v>1</v>
      </c>
      <c r="F118" s="28" t="str">
        <f>VLOOKUP($A118,'Выгр Кат'!$A:$R,F$1,0)</f>
        <v>70632</v>
      </c>
      <c r="G118" s="7">
        <v>70632</v>
      </c>
      <c r="H118" s="7"/>
      <c r="I118" s="1" t="s">
        <v>3</v>
      </c>
      <c r="J118" s="42">
        <f>VLOOKUP(G118,Прайс!B:E,4,0)</f>
        <v>110</v>
      </c>
      <c r="K118" s="2">
        <f>VLOOKUP(J118,Наценка!$A$1:$B$8,2,1)</f>
        <v>1.89</v>
      </c>
      <c r="L118" s="55">
        <f t="shared" si="28"/>
        <v>199.5</v>
      </c>
      <c r="M118" s="42">
        <f t="shared" si="22"/>
        <v>199</v>
      </c>
      <c r="N118" s="28">
        <f>VLOOKUP($A118,'Выгр Кат'!$A:$R,N$1,0)</f>
        <v>110</v>
      </c>
      <c r="O118" s="28">
        <f>VLOOKUP($A118,'Выгр Кат'!$A:$R,O$1,0)</f>
        <v>199</v>
      </c>
      <c r="P118" s="30">
        <f t="shared" si="15"/>
        <v>0</v>
      </c>
      <c r="Q118" s="30">
        <f t="shared" si="16"/>
        <v>0</v>
      </c>
      <c r="R118" s="36">
        <f t="shared" si="27"/>
        <v>185.07</v>
      </c>
      <c r="S118" s="64">
        <f>IFERROR((VLOOKUP($A118,'Из ГУГЛа'!$B:$G,6,0)+U118)*T118,VLOOKUP($A118,'Из ГУГЛа'!$B:$G,6,0))</f>
        <v>190</v>
      </c>
      <c r="T118" s="38">
        <v>1</v>
      </c>
      <c r="U118" s="38">
        <v>0</v>
      </c>
      <c r="V118" s="39">
        <f t="shared" si="18"/>
        <v>0.68245454545454542</v>
      </c>
      <c r="W118" s="39">
        <f t="shared" si="19"/>
        <v>2.5947368421052667E-2</v>
      </c>
      <c r="X118" s="39">
        <f t="shared" si="20"/>
        <v>0.72727272727272729</v>
      </c>
      <c r="Y118" s="48">
        <v>190</v>
      </c>
      <c r="Z118" s="46" t="s">
        <v>8055</v>
      </c>
    </row>
    <row r="119" spans="1:26" s="3" customFormat="1" ht="30" x14ac:dyDescent="0.25">
      <c r="A119" s="28">
        <v>133069</v>
      </c>
      <c r="B119" s="28">
        <f>VLOOKUP($A119,'Выгр Кат'!$A:$R,B$1,0)</f>
        <v>13631</v>
      </c>
      <c r="C119" s="27" t="str">
        <f>VLOOKUP($A119,'Выгр Кат'!$A:$R,C$1,0)</f>
        <v>Ароматизатор воздуха "Car-Freshner" Лимонный сад (Lemon grove)</v>
      </c>
      <c r="D119" s="28" t="str">
        <f>VLOOKUP($A119,'Выгр Кат'!$A:$R,D$1,0)</f>
        <v>Y</v>
      </c>
      <c r="E119" s="28" t="str">
        <f>VLOOKUP($A119,'Выгр Кат'!$A:$R,E$1,0)</f>
        <v>1</v>
      </c>
      <c r="F119" s="28" t="str">
        <f>VLOOKUP($A119,'Выгр Кат'!$A:$R,F$1,0)</f>
        <v>70633</v>
      </c>
      <c r="G119" s="7">
        <v>70633</v>
      </c>
      <c r="H119" s="7"/>
      <c r="I119" s="1" t="s">
        <v>3</v>
      </c>
      <c r="J119" s="41">
        <f t="shared" ref="J119:J120" si="29">N119</f>
        <v>110</v>
      </c>
      <c r="K119" s="2">
        <f>VLOOKUP(J119,Наценка!$A$1:$B$8,2,1)</f>
        <v>1.89</v>
      </c>
      <c r="L119" s="55">
        <f t="shared" si="28"/>
        <v>199.5</v>
      </c>
      <c r="M119" s="42">
        <f t="shared" si="22"/>
        <v>199</v>
      </c>
      <c r="N119" s="28">
        <f>VLOOKUP($A119,'Выгр Кат'!$A:$R,N$1,0)</f>
        <v>110</v>
      </c>
      <c r="O119" s="28">
        <f>VLOOKUP($A119,'Выгр Кат'!$A:$R,O$1,0)</f>
        <v>199</v>
      </c>
      <c r="P119" s="30">
        <f t="shared" si="15"/>
        <v>0</v>
      </c>
      <c r="Q119" s="30">
        <f t="shared" si="16"/>
        <v>0</v>
      </c>
      <c r="R119" s="36">
        <f t="shared" si="27"/>
        <v>185.07</v>
      </c>
      <c r="S119" s="64">
        <f>IFERROR((VLOOKUP($A119,'Из ГУГЛа'!$B:$G,6,0)+U119)*T119,VLOOKUP($A119,'Из ГУГЛа'!$B:$G,6,0))</f>
        <v>190</v>
      </c>
      <c r="T119" s="38">
        <v>1</v>
      </c>
      <c r="U119" s="38">
        <v>0</v>
      </c>
      <c r="V119" s="39">
        <f t="shared" si="18"/>
        <v>0.68245454545454542</v>
      </c>
      <c r="W119" s="39">
        <f t="shared" si="19"/>
        <v>2.5947368421052667E-2</v>
      </c>
      <c r="X119" s="39">
        <f t="shared" si="20"/>
        <v>0.72727272727272729</v>
      </c>
      <c r="Y119" s="48">
        <v>190</v>
      </c>
      <c r="Z119" s="46" t="s">
        <v>8055</v>
      </c>
    </row>
    <row r="120" spans="1:26" s="3" customFormat="1" ht="30" x14ac:dyDescent="0.25">
      <c r="A120" s="28">
        <v>133070</v>
      </c>
      <c r="B120" s="28">
        <f>VLOOKUP($A120,'Выгр Кат'!$A:$R,B$1,0)</f>
        <v>13623</v>
      </c>
      <c r="C120" s="27" t="str">
        <f>VLOOKUP($A120,'Выгр Кат'!$A:$R,C$1,0)</f>
        <v>Ароматизатор воздуха "Car-Freshner" Манго</v>
      </c>
      <c r="D120" s="28" t="str">
        <f>VLOOKUP($A120,'Выгр Кат'!$A:$R,D$1,0)</f>
        <v>Y</v>
      </c>
      <c r="E120" s="28" t="str">
        <f>VLOOKUP($A120,'Выгр Кат'!$A:$R,E$1,0)</f>
        <v>0</v>
      </c>
      <c r="F120" s="28">
        <f>VLOOKUP($A120,'Выгр Кат'!$A:$R,F$1,0)</f>
        <v>0</v>
      </c>
      <c r="G120" s="4"/>
      <c r="H120" s="4"/>
      <c r="I120" s="1" t="s">
        <v>3</v>
      </c>
      <c r="J120" s="41">
        <f t="shared" si="29"/>
        <v>110</v>
      </c>
      <c r="K120" s="2">
        <f>VLOOKUP(J120,Наценка!$A$1:$B$8,2,1)</f>
        <v>1.89</v>
      </c>
      <c r="L120" s="55">
        <f t="shared" si="28"/>
        <v>199.5</v>
      </c>
      <c r="M120" s="42">
        <f t="shared" si="22"/>
        <v>199</v>
      </c>
      <c r="N120" s="28">
        <f>VLOOKUP($A120,'Выгр Кат'!$A:$R,N$1,0)</f>
        <v>110</v>
      </c>
      <c r="O120" s="28">
        <f>VLOOKUP($A120,'Выгр Кат'!$A:$R,O$1,0)</f>
        <v>199</v>
      </c>
      <c r="P120" s="30">
        <f t="shared" si="15"/>
        <v>0</v>
      </c>
      <c r="Q120" s="30">
        <f t="shared" si="16"/>
        <v>0</v>
      </c>
      <c r="R120" s="36">
        <f t="shared" si="27"/>
        <v>185.07</v>
      </c>
      <c r="S120" s="64">
        <f>IFERROR((VLOOKUP($A120,'Из ГУГЛа'!$B:$G,6,0)+U120)*T120,VLOOKUP($A120,'Из ГУГЛа'!$B:$G,6,0))</f>
        <v>190</v>
      </c>
      <c r="T120" s="38">
        <v>1</v>
      </c>
      <c r="U120" s="38">
        <v>0</v>
      </c>
      <c r="V120" s="39">
        <f t="shared" si="18"/>
        <v>0.68245454545454542</v>
      </c>
      <c r="W120" s="39">
        <f t="shared" si="19"/>
        <v>2.5947368421052667E-2</v>
      </c>
      <c r="X120" s="39">
        <f t="shared" si="20"/>
        <v>0.72727272727272729</v>
      </c>
      <c r="Y120" s="48">
        <v>190</v>
      </c>
      <c r="Z120" s="46" t="s">
        <v>8055</v>
      </c>
    </row>
    <row r="121" spans="1:26" s="3" customFormat="1" ht="30" x14ac:dyDescent="0.25">
      <c r="A121" s="28">
        <v>133071</v>
      </c>
      <c r="B121" s="28">
        <f>VLOOKUP($A121,'Выгр Кат'!$A:$R,B$1,0)</f>
        <v>13625</v>
      </c>
      <c r="C121" s="27" t="str">
        <f>VLOOKUP($A121,'Выгр Кат'!$A:$R,C$1,0)</f>
        <v>Ароматизатор воздуха "Car-Freshner" Маргарита (Margarita)</v>
      </c>
      <c r="D121" s="28" t="str">
        <f>VLOOKUP($A121,'Выгр Кат'!$A:$R,D$1,0)</f>
        <v>Y</v>
      </c>
      <c r="E121" s="28" t="str">
        <f>VLOOKUP($A121,'Выгр Кат'!$A:$R,E$1,0)</f>
        <v>1</v>
      </c>
      <c r="F121" s="28" t="str">
        <f>VLOOKUP($A121,'Выгр Кат'!$A:$R,F$1,0)</f>
        <v>70652</v>
      </c>
      <c r="G121" s="7">
        <v>70652</v>
      </c>
      <c r="H121" s="7"/>
      <c r="I121" s="1" t="s">
        <v>3</v>
      </c>
      <c r="J121" s="42">
        <f>VLOOKUP(G121,Прайс!B:E,4,0)</f>
        <v>110</v>
      </c>
      <c r="K121" s="2">
        <f>VLOOKUP(J121,Наценка!$A$1:$B$8,2,1)</f>
        <v>1.89</v>
      </c>
      <c r="L121" s="55">
        <f t="shared" si="28"/>
        <v>199.5</v>
      </c>
      <c r="M121" s="42">
        <f t="shared" si="22"/>
        <v>199</v>
      </c>
      <c r="N121" s="28">
        <f>VLOOKUP($A121,'Выгр Кат'!$A:$R,N$1,0)</f>
        <v>110</v>
      </c>
      <c r="O121" s="28">
        <f>VLOOKUP($A121,'Выгр Кат'!$A:$R,O$1,0)</f>
        <v>199</v>
      </c>
      <c r="P121" s="30">
        <f t="shared" si="15"/>
        <v>0</v>
      </c>
      <c r="Q121" s="30">
        <f t="shared" si="16"/>
        <v>0</v>
      </c>
      <c r="R121" s="36">
        <f t="shared" si="27"/>
        <v>185.07</v>
      </c>
      <c r="S121" s="64">
        <f>IFERROR((VLOOKUP($A121,'Из ГУГЛа'!$B:$G,6,0)+U121)*T121,VLOOKUP($A121,'Из ГУГЛа'!$B:$G,6,0))</f>
        <v>190</v>
      </c>
      <c r="T121" s="38">
        <v>1</v>
      </c>
      <c r="U121" s="38">
        <v>0</v>
      </c>
      <c r="V121" s="39">
        <f t="shared" si="18"/>
        <v>0.68245454545454542</v>
      </c>
      <c r="W121" s="39">
        <f t="shared" si="19"/>
        <v>2.5947368421052667E-2</v>
      </c>
      <c r="X121" s="39">
        <f t="shared" si="20"/>
        <v>0.72727272727272729</v>
      </c>
      <c r="Y121" s="48">
        <v>190</v>
      </c>
      <c r="Z121" s="46" t="s">
        <v>8055</v>
      </c>
    </row>
    <row r="122" spans="1:26" s="3" customFormat="1" ht="30" x14ac:dyDescent="0.25">
      <c r="A122" s="28">
        <v>133072</v>
      </c>
      <c r="B122" s="28">
        <f>VLOOKUP($A122,'Выгр Кат'!$A:$R,B$1,0)</f>
        <v>6304</v>
      </c>
      <c r="C122" s="27" t="str">
        <f>VLOOKUP($A122,'Выгр Кат'!$A:$R,C$1,0)</f>
        <v>Ароматизатор воздуха "Car-Freshner" Новая машина</v>
      </c>
      <c r="D122" s="28" t="str">
        <f>VLOOKUP($A122,'Выгр Кат'!$A:$R,D$1,0)</f>
        <v>Y</v>
      </c>
      <c r="E122" s="28" t="str">
        <f>VLOOKUP($A122,'Выгр Кат'!$A:$R,E$1,0)</f>
        <v>1</v>
      </c>
      <c r="F122" s="28" t="str">
        <f>VLOOKUP($A122,'Выгр Кат'!$A:$R,F$1,0)</f>
        <v>70653</v>
      </c>
      <c r="G122" s="7">
        <v>70653</v>
      </c>
      <c r="H122" s="7"/>
      <c r="I122" s="1" t="s">
        <v>3</v>
      </c>
      <c r="J122" s="42">
        <f>VLOOKUP(G122,Прайс!B:E,4,0)</f>
        <v>110</v>
      </c>
      <c r="K122" s="2">
        <f>VLOOKUP(J122,Наценка!$A$1:$B$8,2,1)</f>
        <v>1.89</v>
      </c>
      <c r="L122" s="55">
        <f t="shared" si="28"/>
        <v>199.5</v>
      </c>
      <c r="M122" s="42">
        <f t="shared" si="22"/>
        <v>199</v>
      </c>
      <c r="N122" s="28">
        <f>VLOOKUP($A122,'Выгр Кат'!$A:$R,N$1,0)</f>
        <v>110</v>
      </c>
      <c r="O122" s="28">
        <f>VLOOKUP($A122,'Выгр Кат'!$A:$R,O$1,0)</f>
        <v>199</v>
      </c>
      <c r="P122" s="30">
        <f t="shared" si="15"/>
        <v>0</v>
      </c>
      <c r="Q122" s="30">
        <f t="shared" si="16"/>
        <v>0</v>
      </c>
      <c r="R122" s="36">
        <f t="shared" si="27"/>
        <v>185.07</v>
      </c>
      <c r="S122" s="64">
        <f>IFERROR((VLOOKUP($A122,'Из ГУГЛа'!$B:$G,6,0)+U122)*T122,VLOOKUP($A122,'Из ГУГЛа'!$B:$G,6,0))</f>
        <v>190</v>
      </c>
      <c r="T122" s="38">
        <v>1</v>
      </c>
      <c r="U122" s="38">
        <v>0</v>
      </c>
      <c r="V122" s="39">
        <f t="shared" si="18"/>
        <v>0.68245454545454542</v>
      </c>
      <c r="W122" s="39">
        <f t="shared" si="19"/>
        <v>2.5947368421052667E-2</v>
      </c>
      <c r="X122" s="39">
        <f t="shared" si="20"/>
        <v>0.72727272727272729</v>
      </c>
      <c r="Y122" s="48">
        <v>190</v>
      </c>
      <c r="Z122" s="46" t="s">
        <v>8055</v>
      </c>
    </row>
    <row r="123" spans="1:26" s="3" customFormat="1" ht="30" x14ac:dyDescent="0.25">
      <c r="A123" s="28">
        <v>133073</v>
      </c>
      <c r="B123" s="28">
        <f>VLOOKUP($A123,'Выгр Кат'!$A:$R,B$1,0)</f>
        <v>6303</v>
      </c>
      <c r="C123" s="27" t="str">
        <f>VLOOKUP($A123,'Выгр Кат'!$A:$R,C$1,0)</f>
        <v>Ароматизатор воздуха "Car-Freshner" Пина Колада</v>
      </c>
      <c r="D123" s="28" t="str">
        <f>VLOOKUP($A123,'Выгр Кат'!$A:$R,D$1,0)</f>
        <v>Y</v>
      </c>
      <c r="E123" s="28" t="str">
        <f>VLOOKUP($A123,'Выгр Кат'!$A:$R,E$1,0)</f>
        <v>1</v>
      </c>
      <c r="F123" s="28" t="str">
        <f>VLOOKUP($A123,'Выгр Кат'!$A:$R,F$1,0)</f>
        <v>70656</v>
      </c>
      <c r="G123" s="7">
        <v>70656</v>
      </c>
      <c r="H123" s="7"/>
      <c r="I123" s="1" t="s">
        <v>3</v>
      </c>
      <c r="J123" s="42">
        <f>VLOOKUP(G123,Прайс!B:E,4,0)</f>
        <v>110</v>
      </c>
      <c r="K123" s="2">
        <f>VLOOKUP(J123,Наценка!$A$1:$B$8,2,1)</f>
        <v>1.89</v>
      </c>
      <c r="L123" s="55">
        <f t="shared" si="28"/>
        <v>199.5</v>
      </c>
      <c r="M123" s="42">
        <f t="shared" si="22"/>
        <v>199</v>
      </c>
      <c r="N123" s="28">
        <f>VLOOKUP($A123,'Выгр Кат'!$A:$R,N$1,0)</f>
        <v>110</v>
      </c>
      <c r="O123" s="28">
        <f>VLOOKUP($A123,'Выгр Кат'!$A:$R,O$1,0)</f>
        <v>199</v>
      </c>
      <c r="P123" s="30">
        <f t="shared" si="15"/>
        <v>0</v>
      </c>
      <c r="Q123" s="30">
        <f t="shared" si="16"/>
        <v>0</v>
      </c>
      <c r="R123" s="36">
        <f t="shared" si="27"/>
        <v>185.07</v>
      </c>
      <c r="S123" s="64">
        <f>IFERROR((VLOOKUP($A123,'Из ГУГЛа'!$B:$G,6,0)+U123)*T123,VLOOKUP($A123,'Из ГУГЛа'!$B:$G,6,0))</f>
        <v>190</v>
      </c>
      <c r="T123" s="38">
        <v>1</v>
      </c>
      <c r="U123" s="38">
        <v>0</v>
      </c>
      <c r="V123" s="39">
        <f t="shared" si="18"/>
        <v>0.68245454545454542</v>
      </c>
      <c r="W123" s="39">
        <f t="shared" si="19"/>
        <v>2.5947368421052667E-2</v>
      </c>
      <c r="X123" s="39">
        <f t="shared" si="20"/>
        <v>0.72727272727272729</v>
      </c>
      <c r="Y123" s="48">
        <v>190</v>
      </c>
      <c r="Z123" s="46" t="s">
        <v>8055</v>
      </c>
    </row>
    <row r="124" spans="1:26" s="3" customFormat="1" ht="30" x14ac:dyDescent="0.25">
      <c r="A124" s="28">
        <v>133074</v>
      </c>
      <c r="B124" s="28">
        <f>VLOOKUP($A124,'Выгр Кат'!$A:$R,B$1,0)</f>
        <v>13620</v>
      </c>
      <c r="C124" s="27" t="str">
        <f>VLOOKUP($A124,'Выгр Кат'!$A:$R,C$1,0)</f>
        <v>Ароматизатор воздуха "Car-Freshner" Прибрежный бриз</v>
      </c>
      <c r="D124" s="28" t="str">
        <f>VLOOKUP($A124,'Выгр Кат'!$A:$R,D$1,0)</f>
        <v>Y</v>
      </c>
      <c r="E124" s="28" t="str">
        <f>VLOOKUP($A124,'Выгр Кат'!$A:$R,E$1,0)</f>
        <v>1</v>
      </c>
      <c r="F124" s="28" t="str">
        <f>VLOOKUP($A124,'Выгр Кат'!$A:$R,F$1,0)</f>
        <v>70657</v>
      </c>
      <c r="G124" s="7">
        <v>70657</v>
      </c>
      <c r="H124" s="7"/>
      <c r="I124" s="1" t="s">
        <v>3</v>
      </c>
      <c r="J124" s="42">
        <f>VLOOKUP(G124,Прайс!B:E,4,0)</f>
        <v>110</v>
      </c>
      <c r="K124" s="2">
        <f>VLOOKUP(J124,Наценка!$A$1:$B$8,2,1)</f>
        <v>1.89</v>
      </c>
      <c r="L124" s="55">
        <f t="shared" si="28"/>
        <v>199.5</v>
      </c>
      <c r="M124" s="42">
        <f t="shared" si="22"/>
        <v>199</v>
      </c>
      <c r="N124" s="28">
        <f>VLOOKUP($A124,'Выгр Кат'!$A:$R,N$1,0)</f>
        <v>110</v>
      </c>
      <c r="O124" s="28">
        <f>VLOOKUP($A124,'Выгр Кат'!$A:$R,O$1,0)</f>
        <v>199</v>
      </c>
      <c r="P124" s="30">
        <f t="shared" si="15"/>
        <v>0</v>
      </c>
      <c r="Q124" s="30">
        <f t="shared" si="16"/>
        <v>0</v>
      </c>
      <c r="R124" s="36">
        <f t="shared" si="27"/>
        <v>185.07</v>
      </c>
      <c r="S124" s="64">
        <f>IFERROR((VLOOKUP($A124,'Из ГУГЛа'!$B:$G,6,0)+U124)*T124,VLOOKUP($A124,'Из ГУГЛа'!$B:$G,6,0))</f>
        <v>190</v>
      </c>
      <c r="T124" s="38">
        <v>1</v>
      </c>
      <c r="U124" s="38">
        <v>0</v>
      </c>
      <c r="V124" s="39">
        <f t="shared" si="18"/>
        <v>0.68245454545454542</v>
      </c>
      <c r="W124" s="39">
        <f t="shared" si="19"/>
        <v>2.5947368421052667E-2</v>
      </c>
      <c r="X124" s="39">
        <f t="shared" si="20"/>
        <v>0.72727272727272729</v>
      </c>
      <c r="Y124" s="48">
        <v>190</v>
      </c>
      <c r="Z124" s="46" t="s">
        <v>8055</v>
      </c>
    </row>
    <row r="125" spans="1:26" s="3" customFormat="1" ht="30" x14ac:dyDescent="0.25">
      <c r="A125" s="28">
        <v>133075</v>
      </c>
      <c r="B125" s="28">
        <f>VLOOKUP($A125,'Выгр Кат'!$A:$R,B$1,0)</f>
        <v>18714</v>
      </c>
      <c r="C125" s="27" t="str">
        <f>VLOOKUP($A125,'Выгр Кат'!$A:$R,C$1,0)</f>
        <v>Ароматизатор воздуха "Car-Freshner" Сладкая вата</v>
      </c>
      <c r="D125" s="28" t="str">
        <f>VLOOKUP($A125,'Выгр Кат'!$A:$R,D$1,0)</f>
        <v>Y</v>
      </c>
      <c r="E125" s="28" t="str">
        <f>VLOOKUP($A125,'Выгр Кат'!$A:$R,E$1,0)</f>
        <v>1</v>
      </c>
      <c r="F125" s="28" t="str">
        <f>VLOOKUP($A125,'Выгр Кат'!$A:$R,F$1,0)</f>
        <v>70660</v>
      </c>
      <c r="G125" s="7">
        <v>70660</v>
      </c>
      <c r="H125" s="7"/>
      <c r="I125" s="1" t="s">
        <v>3</v>
      </c>
      <c r="J125" s="41">
        <f>N125</f>
        <v>110</v>
      </c>
      <c r="K125" s="2">
        <f>VLOOKUP(J125,Наценка!$A$1:$B$8,2,1)</f>
        <v>1.89</v>
      </c>
      <c r="L125" s="55">
        <f t="shared" si="28"/>
        <v>199.5</v>
      </c>
      <c r="M125" s="42">
        <f t="shared" si="22"/>
        <v>199</v>
      </c>
      <c r="N125" s="28">
        <f>VLOOKUP($A125,'Выгр Кат'!$A:$R,N$1,0)</f>
        <v>110</v>
      </c>
      <c r="O125" s="28">
        <f>VLOOKUP($A125,'Выгр Кат'!$A:$R,O$1,0)</f>
        <v>199</v>
      </c>
      <c r="P125" s="30">
        <f t="shared" si="15"/>
        <v>0</v>
      </c>
      <c r="Q125" s="30">
        <f t="shared" si="16"/>
        <v>0</v>
      </c>
      <c r="R125" s="36">
        <f t="shared" si="27"/>
        <v>185.07</v>
      </c>
      <c r="S125" s="64">
        <f>IFERROR((VLOOKUP($A125,'Из ГУГЛа'!$B:$G,6,0)+U125)*T125,VLOOKUP($A125,'Из ГУГЛа'!$B:$G,6,0))</f>
        <v>190</v>
      </c>
      <c r="T125" s="38">
        <v>1</v>
      </c>
      <c r="U125" s="38">
        <v>0</v>
      </c>
      <c r="V125" s="39">
        <f t="shared" si="18"/>
        <v>0.68245454545454542</v>
      </c>
      <c r="W125" s="39">
        <f t="shared" si="19"/>
        <v>2.5947368421052667E-2</v>
      </c>
      <c r="X125" s="39">
        <f t="shared" si="20"/>
        <v>0.72727272727272729</v>
      </c>
      <c r="Y125" s="48">
        <v>190</v>
      </c>
      <c r="Z125" s="46" t="s">
        <v>8055</v>
      </c>
    </row>
    <row r="126" spans="1:26" s="3" customFormat="1" ht="30" x14ac:dyDescent="0.25">
      <c r="A126" s="28">
        <v>133076</v>
      </c>
      <c r="B126" s="28">
        <f>VLOOKUP($A126,'Выгр Кат'!$A:$R,B$1,0)</f>
        <v>13618</v>
      </c>
      <c r="C126" s="27" t="str">
        <f>VLOOKUP($A126,'Выгр Кат'!$A:$R,C$1,0)</f>
        <v>Ароматизатор воздуха "Car-Freshner" Стальная сила</v>
      </c>
      <c r="D126" s="28" t="str">
        <f>VLOOKUP($A126,'Выгр Кат'!$A:$R,D$1,0)</f>
        <v>Y</v>
      </c>
      <c r="E126" s="28" t="str">
        <f>VLOOKUP($A126,'Выгр Кат'!$A:$R,E$1,0)</f>
        <v>1</v>
      </c>
      <c r="F126" s="28" t="str">
        <f>VLOOKUP($A126,'Выгр Кат'!$A:$R,F$1,0)</f>
        <v>70661</v>
      </c>
      <c r="G126" s="7">
        <v>70661</v>
      </c>
      <c r="H126" s="7"/>
      <c r="I126" s="1" t="s">
        <v>3</v>
      </c>
      <c r="J126" s="42">
        <f>VLOOKUP(G126,Прайс!B:E,4,0)</f>
        <v>110</v>
      </c>
      <c r="K126" s="2">
        <f>VLOOKUP(J126,Наценка!$A$1:$B$8,2,1)</f>
        <v>1.89</v>
      </c>
      <c r="L126" s="55">
        <f t="shared" si="28"/>
        <v>199.5</v>
      </c>
      <c r="M126" s="42">
        <f t="shared" si="22"/>
        <v>199</v>
      </c>
      <c r="N126" s="28">
        <f>VLOOKUP($A126,'Выгр Кат'!$A:$R,N$1,0)</f>
        <v>110</v>
      </c>
      <c r="O126" s="28">
        <f>VLOOKUP($A126,'Выгр Кат'!$A:$R,O$1,0)</f>
        <v>199</v>
      </c>
      <c r="P126" s="30">
        <f t="shared" si="15"/>
        <v>0</v>
      </c>
      <c r="Q126" s="30">
        <f t="shared" si="16"/>
        <v>0</v>
      </c>
      <c r="R126" s="36">
        <f t="shared" si="27"/>
        <v>185.07</v>
      </c>
      <c r="S126" s="64">
        <f>IFERROR((VLOOKUP($A126,'Из ГУГЛа'!$B:$G,6,0)+U126)*T126,VLOOKUP($A126,'Из ГУГЛа'!$B:$G,6,0))</f>
        <v>190</v>
      </c>
      <c r="T126" s="38">
        <v>1</v>
      </c>
      <c r="U126" s="38">
        <v>0</v>
      </c>
      <c r="V126" s="39">
        <f t="shared" si="18"/>
        <v>0.68245454545454542</v>
      </c>
      <c r="W126" s="39">
        <f t="shared" si="19"/>
        <v>2.5947368421052667E-2</v>
      </c>
      <c r="X126" s="39">
        <f t="shared" si="20"/>
        <v>0.72727272727272729</v>
      </c>
      <c r="Y126" s="48">
        <v>190</v>
      </c>
      <c r="Z126" s="46" t="s">
        <v>8055</v>
      </c>
    </row>
    <row r="127" spans="1:26" s="3" customFormat="1" ht="30" x14ac:dyDescent="0.25">
      <c r="A127" s="28">
        <v>133079</v>
      </c>
      <c r="B127" s="28">
        <f>VLOOKUP($A127,'Выгр Кат'!$A:$R,B$1,0)</f>
        <v>13627</v>
      </c>
      <c r="C127" s="27" t="str">
        <f>VLOOKUP($A127,'Выгр Кат'!$A:$R,C$1,0)</f>
        <v>Ароматизатор воздуха "Car-Freshner" Ягодный бриз (Sunberry cooler)</v>
      </c>
      <c r="D127" s="28" t="str">
        <f>VLOOKUP($A127,'Выгр Кат'!$A:$R,D$1,0)</f>
        <v>Y</v>
      </c>
      <c r="E127" s="28" t="str">
        <f>VLOOKUP($A127,'Выгр Кат'!$A:$R,E$1,0)</f>
        <v>1</v>
      </c>
      <c r="F127" s="28">
        <f>VLOOKUP($A127,'Выгр Кат'!$A:$R,F$1,0)</f>
        <v>0</v>
      </c>
      <c r="G127" s="4"/>
      <c r="H127" s="4"/>
      <c r="I127" s="1" t="s">
        <v>3</v>
      </c>
      <c r="J127" s="41">
        <f>N127</f>
        <v>110</v>
      </c>
      <c r="K127" s="2">
        <f>VLOOKUP(J127,Наценка!$A$1:$B$8,2,1)</f>
        <v>1.89</v>
      </c>
      <c r="L127" s="55">
        <f t="shared" si="28"/>
        <v>199.5</v>
      </c>
      <c r="M127" s="42">
        <f t="shared" si="22"/>
        <v>199</v>
      </c>
      <c r="N127" s="28">
        <f>VLOOKUP($A127,'Выгр Кат'!$A:$R,N$1,0)</f>
        <v>110</v>
      </c>
      <c r="O127" s="28">
        <f>VLOOKUP($A127,'Выгр Кат'!$A:$R,O$1,0)</f>
        <v>199</v>
      </c>
      <c r="P127" s="30">
        <f t="shared" si="15"/>
        <v>0</v>
      </c>
      <c r="Q127" s="30">
        <f t="shared" si="16"/>
        <v>0</v>
      </c>
      <c r="R127" s="36">
        <f t="shared" si="27"/>
        <v>185.07</v>
      </c>
      <c r="S127" s="64">
        <f>IFERROR((VLOOKUP($A127,'Из ГУГЛа'!$B:$G,6,0)+U127)*T127,VLOOKUP($A127,'Из ГУГЛа'!$B:$G,6,0))</f>
        <v>190</v>
      </c>
      <c r="T127" s="38">
        <v>1</v>
      </c>
      <c r="U127" s="38">
        <v>0</v>
      </c>
      <c r="V127" s="39">
        <f t="shared" si="18"/>
        <v>0.68245454545454542</v>
      </c>
      <c r="W127" s="39">
        <f t="shared" si="19"/>
        <v>2.5947368421052667E-2</v>
      </c>
      <c r="X127" s="39">
        <f t="shared" si="20"/>
        <v>0.72727272727272729</v>
      </c>
      <c r="Y127" s="48">
        <v>190</v>
      </c>
      <c r="Z127" s="46" t="s">
        <v>8055</v>
      </c>
    </row>
    <row r="128" spans="1:26" s="3" customFormat="1" ht="30" x14ac:dyDescent="0.25">
      <c r="A128" s="28">
        <v>133080</v>
      </c>
      <c r="B128" s="28">
        <f>VLOOKUP($A128,'Выгр Кат'!$A:$R,B$1,0)</f>
        <v>6290</v>
      </c>
      <c r="C128" s="27" t="str">
        <f>VLOOKUP($A128,'Выгр Кат'!$A:$R,C$1,0)</f>
        <v>Ароматизатор воздуха "Little Trees-Royal Pine" Королевская сосна</v>
      </c>
      <c r="D128" s="28" t="str">
        <f>VLOOKUP($A128,'Выгр Кат'!$A:$R,D$1,0)</f>
        <v>Y</v>
      </c>
      <c r="E128" s="28" t="str">
        <f>VLOOKUP($A128,'Выгр Кат'!$A:$R,E$1,0)</f>
        <v>1</v>
      </c>
      <c r="F128" s="28" t="str">
        <f>VLOOKUP($A128,'Выгр Кат'!$A:$R,F$1,0)</f>
        <v>70664</v>
      </c>
      <c r="G128" s="7">
        <v>70664</v>
      </c>
      <c r="H128" s="7"/>
      <c r="I128" s="1" t="s">
        <v>3</v>
      </c>
      <c r="J128" s="42">
        <f>VLOOKUP(G128,Прайс!B:E,4,0)</f>
        <v>110</v>
      </c>
      <c r="K128" s="2">
        <f>VLOOKUP(J128,Наценка!$A$1:$B$8,2,1)</f>
        <v>1.89</v>
      </c>
      <c r="L128" s="55">
        <f t="shared" si="28"/>
        <v>199.5</v>
      </c>
      <c r="M128" s="42">
        <f t="shared" si="22"/>
        <v>199</v>
      </c>
      <c r="N128" s="28">
        <f>VLOOKUP($A128,'Выгр Кат'!$A:$R,N$1,0)</f>
        <v>110</v>
      </c>
      <c r="O128" s="28">
        <f>VLOOKUP($A128,'Выгр Кат'!$A:$R,O$1,0)</f>
        <v>199</v>
      </c>
      <c r="P128" s="30">
        <f t="shared" ref="P128:P191" si="30">N128-J128</f>
        <v>0</v>
      </c>
      <c r="Q128" s="30">
        <f t="shared" ref="Q128:Q191" si="31">O128-M128</f>
        <v>0</v>
      </c>
      <c r="R128" s="36">
        <f t="shared" ref="R128:R191" si="32">IFERROR(M128*(1-$R$2),"")</f>
        <v>185.07</v>
      </c>
      <c r="S128" s="64">
        <f>IFERROR((VLOOKUP($A128,'Из ГУГЛа'!$B:$G,6,0)+U128)*T128,VLOOKUP($A128,'Из ГУГЛа'!$B:$G,6,0))</f>
        <v>190</v>
      </c>
      <c r="T128" s="38">
        <v>1</v>
      </c>
      <c r="U128" s="38">
        <v>0</v>
      </c>
      <c r="V128" s="39">
        <f t="shared" ref="V128:V191" si="33">IFERROR(R128/J128-1,"")</f>
        <v>0.68245454545454542</v>
      </c>
      <c r="W128" s="39">
        <f t="shared" ref="W128:W191" si="34">IFERROR((Y128-R128)/Y128,"")</f>
        <v>2.5947368421052667E-2</v>
      </c>
      <c r="X128" s="39">
        <f t="shared" ref="X128:X191" si="35">IFERROR(IF(Y128="","",Y128/J128-1),"")</f>
        <v>0.72727272727272729</v>
      </c>
      <c r="Y128" s="48">
        <v>190</v>
      </c>
      <c r="Z128" s="46" t="s">
        <v>8055</v>
      </c>
    </row>
    <row r="129" spans="1:26" s="3" customFormat="1" ht="30" x14ac:dyDescent="0.25">
      <c r="A129" s="28">
        <v>133051</v>
      </c>
      <c r="B129" s="28">
        <f>VLOOKUP($A129,'Выгр Кат'!$A:$R,B$1,0)</f>
        <v>6273</v>
      </c>
      <c r="C129" s="27" t="str">
        <f>VLOOKUP($A129,'Выгр Кат'!$A:$R,C$1,0)</f>
        <v>Ароматизатор воздуха "BIG FRESH" BF-07 Антистресс</v>
      </c>
      <c r="D129" s="28" t="str">
        <f>VLOOKUP($A129,'Выгр Кат'!$A:$R,D$1,0)</f>
        <v>Y</v>
      </c>
      <c r="E129" s="28" t="str">
        <f>VLOOKUP($A129,'Выгр Кат'!$A:$R,E$1,0)</f>
        <v>1</v>
      </c>
      <c r="F129" s="28" t="str">
        <f>VLOOKUP($A129,'Выгр Кат'!$A:$R,F$1,0)</f>
        <v>70320</v>
      </c>
      <c r="G129" s="7">
        <v>70320</v>
      </c>
      <c r="H129" s="7"/>
      <c r="I129" s="1" t="s">
        <v>3</v>
      </c>
      <c r="J129" s="41">
        <f>N129</f>
        <v>440</v>
      </c>
      <c r="K129" s="2">
        <f>VLOOKUP(J129,Наценка!$A$1:$B$8,2,1)</f>
        <v>1.68</v>
      </c>
      <c r="L129" s="4">
        <f t="shared" si="21"/>
        <v>739.19999999999993</v>
      </c>
      <c r="M129" s="42">
        <f t="shared" si="22"/>
        <v>739</v>
      </c>
      <c r="N129" s="28">
        <f>VLOOKUP($A129,'Выгр Кат'!$A:$R,N$1,0)</f>
        <v>440</v>
      </c>
      <c r="O129" s="28">
        <f>VLOOKUP($A129,'Выгр Кат'!$A:$R,O$1,0)</f>
        <v>739</v>
      </c>
      <c r="P129" s="30">
        <f t="shared" si="30"/>
        <v>0</v>
      </c>
      <c r="Q129" s="30">
        <f t="shared" si="31"/>
        <v>0</v>
      </c>
      <c r="R129" s="36">
        <f t="shared" si="32"/>
        <v>687.27</v>
      </c>
      <c r="S129" s="64" t="str">
        <f>IFERROR((VLOOKUP($A129,'Из ГУГЛа'!$B:$G,6,0)+U129)*T129,VLOOKUP($A129,'Из ГУГЛа'!$B:$G,6,0))</f>
        <v/>
      </c>
      <c r="T129" s="38">
        <v>1</v>
      </c>
      <c r="U129" s="38">
        <v>0</v>
      </c>
      <c r="V129" s="39">
        <f t="shared" si="33"/>
        <v>0.56197727272727271</v>
      </c>
      <c r="W129" s="39" t="str">
        <f t="shared" si="34"/>
        <v/>
      </c>
      <c r="X129" s="39" t="str">
        <f t="shared" si="35"/>
        <v/>
      </c>
      <c r="Y129" s="65" t="s">
        <v>8364</v>
      </c>
      <c r="Z129" s="46"/>
    </row>
    <row r="130" spans="1:26" s="3" customFormat="1" ht="30" x14ac:dyDescent="0.25">
      <c r="A130" s="28">
        <v>133057</v>
      </c>
      <c r="B130" s="28">
        <f>VLOOKUP($A130,'Выгр Кат'!$A:$R,B$1,0)</f>
        <v>6281</v>
      </c>
      <c r="C130" s="27" t="str">
        <f>VLOOKUP($A130,'Выгр Кат'!$A:$R,C$1,0)</f>
        <v>Ароматизатор воздуха "BIG FRESH" BF-78 Ароматный кофе</v>
      </c>
      <c r="D130" s="28" t="str">
        <f>VLOOKUP($A130,'Выгр Кат'!$A:$R,D$1,0)</f>
        <v>Y</v>
      </c>
      <c r="E130" s="28" t="str">
        <f>VLOOKUP($A130,'Выгр Кат'!$A:$R,E$1,0)</f>
        <v>1</v>
      </c>
      <c r="F130" s="28" t="str">
        <f>VLOOKUP($A130,'Выгр Кат'!$A:$R,F$1,0)</f>
        <v>70331</v>
      </c>
      <c r="G130" s="7">
        <v>70331</v>
      </c>
      <c r="H130" s="7"/>
      <c r="I130" s="1" t="s">
        <v>3</v>
      </c>
      <c r="J130" s="42">
        <f>VLOOKUP(G130,Прайс!B:E,4,0)</f>
        <v>440</v>
      </c>
      <c r="K130" s="2">
        <f>VLOOKUP(J130,Наценка!$A$1:$B$8,2,1)</f>
        <v>1.68</v>
      </c>
      <c r="L130" s="4">
        <f t="shared" si="21"/>
        <v>739.19999999999993</v>
      </c>
      <c r="M130" s="42">
        <f t="shared" si="22"/>
        <v>739</v>
      </c>
      <c r="N130" s="28">
        <f>VLOOKUP($A130,'Выгр Кат'!$A:$R,N$1,0)</f>
        <v>440</v>
      </c>
      <c r="O130" s="28">
        <f>VLOOKUP($A130,'Выгр Кат'!$A:$R,O$1,0)</f>
        <v>739</v>
      </c>
      <c r="P130" s="30">
        <f t="shared" si="30"/>
        <v>0</v>
      </c>
      <c r="Q130" s="30">
        <f t="shared" si="31"/>
        <v>0</v>
      </c>
      <c r="R130" s="36">
        <f t="shared" si="32"/>
        <v>687.27</v>
      </c>
      <c r="S130" s="64" t="str">
        <f>IFERROR((VLOOKUP($A130,'Из ГУГЛа'!$B:$G,6,0)+U130)*T130,VLOOKUP($A130,'Из ГУГЛа'!$B:$G,6,0))</f>
        <v/>
      </c>
      <c r="T130" s="38">
        <v>1</v>
      </c>
      <c r="U130" s="38">
        <v>0</v>
      </c>
      <c r="V130" s="39">
        <f t="shared" si="33"/>
        <v>0.56197727272727271</v>
      </c>
      <c r="W130" s="39" t="str">
        <f t="shared" si="34"/>
        <v/>
      </c>
      <c r="X130" s="39" t="str">
        <f t="shared" si="35"/>
        <v/>
      </c>
      <c r="Y130" s="65" t="s">
        <v>8364</v>
      </c>
      <c r="Z130" s="46"/>
    </row>
    <row r="131" spans="1:26" s="3" customFormat="1" ht="30" x14ac:dyDescent="0.25">
      <c r="A131" s="28">
        <v>133053</v>
      </c>
      <c r="B131" s="28">
        <f>VLOOKUP($A131,'Выгр Кат'!$A:$R,B$1,0)</f>
        <v>6276</v>
      </c>
      <c r="C131" s="27" t="str">
        <f>VLOOKUP($A131,'Выгр Кат'!$A:$R,C$1,0)</f>
        <v>Ароматизатор воздуха "BIG FRESH" BF-51 Душистая земляника</v>
      </c>
      <c r="D131" s="28" t="str">
        <f>VLOOKUP($A131,'Выгр Кат'!$A:$R,D$1,0)</f>
        <v>Y</v>
      </c>
      <c r="E131" s="28" t="str">
        <f>VLOOKUP($A131,'Выгр Кат'!$A:$R,E$1,0)</f>
        <v>1</v>
      </c>
      <c r="F131" s="28" t="str">
        <f>VLOOKUP($A131,'Выгр Кат'!$A:$R,F$1,0)</f>
        <v>70329</v>
      </c>
      <c r="G131" s="7">
        <v>70329</v>
      </c>
      <c r="H131" s="7"/>
      <c r="I131" s="1" t="s">
        <v>3</v>
      </c>
      <c r="J131" s="42">
        <f>VLOOKUP(G131,Прайс!B:E,4,0)</f>
        <v>440</v>
      </c>
      <c r="K131" s="2">
        <f>VLOOKUP(J131,Наценка!$A$1:$B$8,2,1)</f>
        <v>1.68</v>
      </c>
      <c r="L131" s="4">
        <f t="shared" si="21"/>
        <v>739.19999999999993</v>
      </c>
      <c r="M131" s="42">
        <f t="shared" si="22"/>
        <v>739</v>
      </c>
      <c r="N131" s="28">
        <f>VLOOKUP($A131,'Выгр Кат'!$A:$R,N$1,0)</f>
        <v>440</v>
      </c>
      <c r="O131" s="28">
        <f>VLOOKUP($A131,'Выгр Кат'!$A:$R,O$1,0)</f>
        <v>739</v>
      </c>
      <c r="P131" s="30">
        <f t="shared" si="30"/>
        <v>0</v>
      </c>
      <c r="Q131" s="30">
        <f t="shared" si="31"/>
        <v>0</v>
      </c>
      <c r="R131" s="36">
        <f t="shared" si="32"/>
        <v>687.27</v>
      </c>
      <c r="S131" s="64" t="str">
        <f>IFERROR((VLOOKUP($A131,'Из ГУГЛа'!$B:$G,6,0)+U131)*T131,VLOOKUP($A131,'Из ГУГЛа'!$B:$G,6,0))</f>
        <v/>
      </c>
      <c r="T131" s="38">
        <v>1</v>
      </c>
      <c r="U131" s="38">
        <v>0</v>
      </c>
      <c r="V131" s="39">
        <f t="shared" si="33"/>
        <v>0.56197727272727271</v>
      </c>
      <c r="W131" s="39" t="str">
        <f t="shared" si="34"/>
        <v/>
      </c>
      <c r="X131" s="39" t="str">
        <f t="shared" si="35"/>
        <v/>
      </c>
      <c r="Y131" s="65" t="s">
        <v>8364</v>
      </c>
      <c r="Z131" s="46"/>
    </row>
    <row r="132" spans="1:26" s="3" customFormat="1" ht="30" x14ac:dyDescent="0.25">
      <c r="A132" s="28">
        <v>133056</v>
      </c>
      <c r="B132" s="28">
        <f>VLOOKUP($A132,'Выгр Кат'!$A:$R,B$1,0)</f>
        <v>6280</v>
      </c>
      <c r="C132" s="27" t="str">
        <f>VLOOKUP($A132,'Выгр Кат'!$A:$R,C$1,0)</f>
        <v>Ароматизатор воздуха "BIG FRESH" BF-72 Новая Машина</v>
      </c>
      <c r="D132" s="28" t="str">
        <f>VLOOKUP($A132,'Выгр Кат'!$A:$R,D$1,0)</f>
        <v>Y</v>
      </c>
      <c r="E132" s="28" t="str">
        <f>VLOOKUP($A132,'Выгр Кат'!$A:$R,E$1,0)</f>
        <v>1</v>
      </c>
      <c r="F132" s="28" t="str">
        <f>VLOOKUP($A132,'Выгр Кат'!$A:$R,F$1,0)</f>
        <v>70335</v>
      </c>
      <c r="G132" s="7">
        <v>70335</v>
      </c>
      <c r="H132" s="7"/>
      <c r="I132" s="1" t="s">
        <v>3</v>
      </c>
      <c r="J132" s="42">
        <f>VLOOKUP(G132,Прайс!B:E,4,0)</f>
        <v>440</v>
      </c>
      <c r="K132" s="2">
        <f>VLOOKUP(J132,Наценка!$A$1:$B$8,2,1)</f>
        <v>1.68</v>
      </c>
      <c r="L132" s="4">
        <f t="shared" ref="L132:L195" si="36">J132*K132</f>
        <v>739.19999999999993</v>
      </c>
      <c r="M132" s="42">
        <f t="shared" ref="M132:M195" si="37">IF(L132&lt;=1000,(ROUNDUP(L132,-1)-1),(ROUNDUP(L132,-2)-10))</f>
        <v>739</v>
      </c>
      <c r="N132" s="28">
        <f>VLOOKUP($A132,'Выгр Кат'!$A:$R,N$1,0)</f>
        <v>440</v>
      </c>
      <c r="O132" s="28">
        <f>VLOOKUP($A132,'Выгр Кат'!$A:$R,O$1,0)</f>
        <v>739</v>
      </c>
      <c r="P132" s="30">
        <f t="shared" si="30"/>
        <v>0</v>
      </c>
      <c r="Q132" s="30">
        <f t="shared" si="31"/>
        <v>0</v>
      </c>
      <c r="R132" s="36">
        <f t="shared" si="32"/>
        <v>687.27</v>
      </c>
      <c r="S132" s="64" t="str">
        <f>IFERROR((VLOOKUP($A132,'Из ГУГЛа'!$B:$G,6,0)+U132)*T132,VLOOKUP($A132,'Из ГУГЛа'!$B:$G,6,0))</f>
        <v/>
      </c>
      <c r="T132" s="38">
        <v>1</v>
      </c>
      <c r="U132" s="38">
        <v>0</v>
      </c>
      <c r="V132" s="39">
        <f t="shared" si="33"/>
        <v>0.56197727272727271</v>
      </c>
      <c r="W132" s="39" t="str">
        <f t="shared" si="34"/>
        <v/>
      </c>
      <c r="X132" s="39" t="str">
        <f t="shared" si="35"/>
        <v/>
      </c>
      <c r="Y132" s="65" t="s">
        <v>8364</v>
      </c>
      <c r="Z132" s="46"/>
    </row>
    <row r="133" spans="1:26" s="3" customFormat="1" ht="30" x14ac:dyDescent="0.25">
      <c r="A133" s="28">
        <v>133054</v>
      </c>
      <c r="B133" s="28">
        <f>VLOOKUP($A133,'Выгр Кат'!$A:$R,B$1,0)</f>
        <v>6277</v>
      </c>
      <c r="C133" s="27" t="str">
        <f>VLOOKUP($A133,'Выгр Кат'!$A:$R,C$1,0)</f>
        <v>Ароматизатор воздуха "BIG FRESH" BF-61 Океанский бриз</v>
      </c>
      <c r="D133" s="28" t="str">
        <f>VLOOKUP($A133,'Выгр Кат'!$A:$R,D$1,0)</f>
        <v>Y</v>
      </c>
      <c r="E133" s="28" t="str">
        <f>VLOOKUP($A133,'Выгр Кат'!$A:$R,E$1,0)</f>
        <v>1</v>
      </c>
      <c r="F133" s="28" t="str">
        <f>VLOOKUP($A133,'Выгр Кат'!$A:$R,F$1,0)</f>
        <v>70337</v>
      </c>
      <c r="G133" s="7">
        <v>70337</v>
      </c>
      <c r="H133" s="7"/>
      <c r="I133" s="1" t="s">
        <v>3</v>
      </c>
      <c r="J133" s="42">
        <f>VLOOKUP(G133,Прайс!B:E,4,0)</f>
        <v>440</v>
      </c>
      <c r="K133" s="2">
        <f>VLOOKUP(J133,Наценка!$A$1:$B$8,2,1)</f>
        <v>1.68</v>
      </c>
      <c r="L133" s="4">
        <f t="shared" si="36"/>
        <v>739.19999999999993</v>
      </c>
      <c r="M133" s="42">
        <f t="shared" si="37"/>
        <v>739</v>
      </c>
      <c r="N133" s="28">
        <f>VLOOKUP($A133,'Выгр Кат'!$A:$R,N$1,0)</f>
        <v>440</v>
      </c>
      <c r="O133" s="28">
        <f>VLOOKUP($A133,'Выгр Кат'!$A:$R,O$1,0)</f>
        <v>739</v>
      </c>
      <c r="P133" s="30">
        <f t="shared" si="30"/>
        <v>0</v>
      </c>
      <c r="Q133" s="30">
        <f t="shared" si="31"/>
        <v>0</v>
      </c>
      <c r="R133" s="36">
        <f t="shared" si="32"/>
        <v>687.27</v>
      </c>
      <c r="S133" s="64" t="str">
        <f>IFERROR((VLOOKUP($A133,'Из ГУГЛа'!$B:$G,6,0)+U133)*T133,VLOOKUP($A133,'Из ГУГЛа'!$B:$G,6,0))</f>
        <v/>
      </c>
      <c r="T133" s="38">
        <v>1</v>
      </c>
      <c r="U133" s="38">
        <v>0</v>
      </c>
      <c r="V133" s="39">
        <f t="shared" si="33"/>
        <v>0.56197727272727271</v>
      </c>
      <c r="W133" s="39" t="str">
        <f t="shared" si="34"/>
        <v/>
      </c>
      <c r="X133" s="39" t="str">
        <f t="shared" si="35"/>
        <v/>
      </c>
      <c r="Y133" s="65" t="s">
        <v>8364</v>
      </c>
      <c r="Z133" s="46"/>
    </row>
    <row r="134" spans="1:26" s="3" customFormat="1" ht="30" x14ac:dyDescent="0.25">
      <c r="A134" s="28">
        <v>133055</v>
      </c>
      <c r="B134" s="28">
        <f>VLOOKUP($A134,'Выгр Кат'!$A:$R,B$1,0)</f>
        <v>6279</v>
      </c>
      <c r="C134" s="27" t="str">
        <f>VLOOKUP($A134,'Выгр Кат'!$A:$R,C$1,0)</f>
        <v>Ароматизатор воздуха "BIG FRESH" BF-65 Тропическая дыня</v>
      </c>
      <c r="D134" s="28" t="str">
        <f>VLOOKUP($A134,'Выгр Кат'!$A:$R,D$1,0)</f>
        <v>Y</v>
      </c>
      <c r="E134" s="28" t="str">
        <f>VLOOKUP($A134,'Выгр Кат'!$A:$R,E$1,0)</f>
        <v>1</v>
      </c>
      <c r="F134" s="28" t="str">
        <f>VLOOKUP($A134,'Выгр Кат'!$A:$R,F$1,0)</f>
        <v>70328</v>
      </c>
      <c r="G134" s="7">
        <v>70328</v>
      </c>
      <c r="H134" s="7"/>
      <c r="I134" s="1" t="s">
        <v>3</v>
      </c>
      <c r="J134" s="42">
        <f>VLOOKUP(G134,Прайс!B:E,4,0)</f>
        <v>440</v>
      </c>
      <c r="K134" s="2">
        <f>VLOOKUP(J134,Наценка!$A$1:$B$8,2,1)</f>
        <v>1.68</v>
      </c>
      <c r="L134" s="4">
        <f t="shared" si="36"/>
        <v>739.19999999999993</v>
      </c>
      <c r="M134" s="42">
        <f t="shared" si="37"/>
        <v>739</v>
      </c>
      <c r="N134" s="28">
        <f>VLOOKUP($A134,'Выгр Кат'!$A:$R,N$1,0)</f>
        <v>440</v>
      </c>
      <c r="O134" s="28">
        <f>VLOOKUP($A134,'Выгр Кат'!$A:$R,O$1,0)</f>
        <v>739</v>
      </c>
      <c r="P134" s="30">
        <f t="shared" si="30"/>
        <v>0</v>
      </c>
      <c r="Q134" s="30">
        <f t="shared" si="31"/>
        <v>0</v>
      </c>
      <c r="R134" s="36">
        <f t="shared" si="32"/>
        <v>687.27</v>
      </c>
      <c r="S134" s="64" t="str">
        <f>IFERROR((VLOOKUP($A134,'Из ГУГЛа'!$B:$G,6,0)+U134)*T134,VLOOKUP($A134,'Из ГУГЛа'!$B:$G,6,0))</f>
        <v/>
      </c>
      <c r="T134" s="38">
        <v>1</v>
      </c>
      <c r="U134" s="38">
        <v>0</v>
      </c>
      <c r="V134" s="39">
        <f t="shared" si="33"/>
        <v>0.56197727272727271</v>
      </c>
      <c r="W134" s="39" t="str">
        <f t="shared" si="34"/>
        <v/>
      </c>
      <c r="X134" s="39" t="str">
        <f t="shared" si="35"/>
        <v/>
      </c>
      <c r="Y134" s="65" t="s">
        <v>8364</v>
      </c>
      <c r="Z134" s="46"/>
    </row>
    <row r="135" spans="1:26" s="3" customFormat="1" ht="30" x14ac:dyDescent="0.25">
      <c r="A135" s="28">
        <v>133081</v>
      </c>
      <c r="B135" s="28">
        <f>VLOOKUP($A135,'Выгр Кат'!$A:$R,B$1,0)</f>
        <v>6297</v>
      </c>
      <c r="C135" s="27" t="str">
        <f>VLOOKUP($A135,'Выгр Кат'!$A:$R,C$1,0)</f>
        <v>Ароматизатор воздуха \"Car-Freshner\" Аромат смородины</v>
      </c>
      <c r="D135" s="28" t="str">
        <f>VLOOKUP($A135,'Выгр Кат'!$A:$R,D$1,0)</f>
        <v>Y</v>
      </c>
      <c r="E135" s="28" t="str">
        <f>VLOOKUP($A135,'Выгр Кат'!$A:$R,E$1,0)</f>
        <v>0</v>
      </c>
      <c r="F135" s="28">
        <f>VLOOKUP($A135,'Выгр Кат'!$A:$R,F$1,0)</f>
        <v>0</v>
      </c>
      <c r="G135" s="7"/>
      <c r="H135" s="7"/>
      <c r="I135" s="1" t="s">
        <v>3</v>
      </c>
      <c r="J135" s="41">
        <f>N135</f>
        <v>110</v>
      </c>
      <c r="K135" s="2">
        <f>VLOOKUP(J135,Наценка!$A$1:$B$8,2,1)</f>
        <v>1.89</v>
      </c>
      <c r="L135" s="55">
        <f t="shared" ref="L135:L137" si="38">Y135*1.05</f>
        <v>199.5</v>
      </c>
      <c r="M135" s="42">
        <f t="shared" si="37"/>
        <v>199</v>
      </c>
      <c r="N135" s="28">
        <f>VLOOKUP($A135,'Выгр Кат'!$A:$R,N$1,0)</f>
        <v>110</v>
      </c>
      <c r="O135" s="28">
        <f>VLOOKUP($A135,'Выгр Кат'!$A:$R,O$1,0)</f>
        <v>199</v>
      </c>
      <c r="P135" s="30">
        <f t="shared" si="30"/>
        <v>0</v>
      </c>
      <c r="Q135" s="30">
        <f t="shared" si="31"/>
        <v>0</v>
      </c>
      <c r="R135" s="36">
        <f t="shared" si="32"/>
        <v>185.07</v>
      </c>
      <c r="S135" s="64">
        <f>IFERROR((VLOOKUP($A135,'Из ГУГЛа'!$B:$G,6,0)+U135)*T135,VLOOKUP($A135,'Из ГУГЛа'!$B:$G,6,0))</f>
        <v>190</v>
      </c>
      <c r="T135" s="38">
        <v>1</v>
      </c>
      <c r="U135" s="38">
        <v>0</v>
      </c>
      <c r="V135" s="39">
        <f t="shared" si="33"/>
        <v>0.68245454545454542</v>
      </c>
      <c r="W135" s="39">
        <f t="shared" si="34"/>
        <v>2.5947368421052667E-2</v>
      </c>
      <c r="X135" s="39">
        <f t="shared" si="35"/>
        <v>0.72727272727272729</v>
      </c>
      <c r="Y135" s="48">
        <v>190</v>
      </c>
      <c r="Z135" s="46" t="s">
        <v>8055</v>
      </c>
    </row>
    <row r="136" spans="1:26" s="3" customFormat="1" ht="30" x14ac:dyDescent="0.25">
      <c r="A136" s="28">
        <v>133068</v>
      </c>
      <c r="B136" s="28">
        <f>VLOOKUP($A136,'Выгр Кат'!$A:$R,B$1,0)</f>
        <v>6293</v>
      </c>
      <c r="C136" s="27" t="str">
        <f>VLOOKUP($A136,'Выгр Кат'!$A:$R,C$1,0)</f>
        <v>Ароматизатор воздуха "Car-Freshner" Кожа</v>
      </c>
      <c r="D136" s="28" t="str">
        <f>VLOOKUP($A136,'Выгр Кат'!$A:$R,D$1,0)</f>
        <v>Y</v>
      </c>
      <c r="E136" s="28" t="str">
        <f>VLOOKUP($A136,'Выгр Кат'!$A:$R,E$1,0)</f>
        <v>1</v>
      </c>
      <c r="F136" s="28" t="str">
        <f>VLOOKUP($A136,'Выгр Кат'!$A:$R,F$1,0)</f>
        <v>70648</v>
      </c>
      <c r="G136" s="7">
        <v>70648</v>
      </c>
      <c r="H136" s="7"/>
      <c r="I136" s="1" t="s">
        <v>3</v>
      </c>
      <c r="J136" s="42">
        <f>VLOOKUP(G136,Прайс!B:E,4,0)</f>
        <v>110</v>
      </c>
      <c r="K136" s="2">
        <f>VLOOKUP(J136,Наценка!$A$1:$B$8,2,1)</f>
        <v>1.89</v>
      </c>
      <c r="L136" s="55">
        <f t="shared" si="38"/>
        <v>199.5</v>
      </c>
      <c r="M136" s="42">
        <f t="shared" si="37"/>
        <v>199</v>
      </c>
      <c r="N136" s="28">
        <f>VLOOKUP($A136,'Выгр Кат'!$A:$R,N$1,0)</f>
        <v>110</v>
      </c>
      <c r="O136" s="28">
        <f>VLOOKUP($A136,'Выгр Кат'!$A:$R,O$1,0)</f>
        <v>199</v>
      </c>
      <c r="P136" s="30">
        <f t="shared" si="30"/>
        <v>0</v>
      </c>
      <c r="Q136" s="30">
        <f t="shared" si="31"/>
        <v>0</v>
      </c>
      <c r="R136" s="36">
        <f t="shared" si="32"/>
        <v>185.07</v>
      </c>
      <c r="S136" s="64">
        <f>IFERROR((VLOOKUP($A136,'Из ГУГЛа'!$B:$G,6,0)+U136)*T136,VLOOKUP($A136,'Из ГУГЛа'!$B:$G,6,0))</f>
        <v>190</v>
      </c>
      <c r="T136" s="38">
        <v>1</v>
      </c>
      <c r="U136" s="38">
        <v>0</v>
      </c>
      <c r="V136" s="39">
        <f t="shared" si="33"/>
        <v>0.68245454545454542</v>
      </c>
      <c r="W136" s="39">
        <f t="shared" si="34"/>
        <v>2.5947368421052667E-2</v>
      </c>
      <c r="X136" s="39">
        <f t="shared" si="35"/>
        <v>0.72727272727272729</v>
      </c>
      <c r="Y136" s="48">
        <v>190</v>
      </c>
      <c r="Z136" s="46" t="s">
        <v>8055</v>
      </c>
    </row>
    <row r="137" spans="1:26" s="3" customFormat="1" ht="30" x14ac:dyDescent="0.25">
      <c r="A137" s="28">
        <v>133077</v>
      </c>
      <c r="B137" s="28">
        <f>VLOOKUP($A137,'Выгр Кат'!$A:$R,B$1,0)</f>
        <v>6292</v>
      </c>
      <c r="C137" s="27" t="str">
        <f>VLOOKUP($A137,'Выгр Кат'!$A:$R,C$1,0)</f>
        <v>Ароматизатор воздуха "Car-Freshner" Утренняя свежесть</v>
      </c>
      <c r="D137" s="28" t="str">
        <f>VLOOKUP($A137,'Выгр Кат'!$A:$R,D$1,0)</f>
        <v>Y</v>
      </c>
      <c r="E137" s="28" t="str">
        <f>VLOOKUP($A137,'Выгр Кат'!$A:$R,E$1,0)</f>
        <v>1</v>
      </c>
      <c r="F137" s="28" t="str">
        <f>VLOOKUP($A137,'Выгр Кат'!$A:$R,F$1,0)</f>
        <v>70663</v>
      </c>
      <c r="G137" s="7">
        <v>70663</v>
      </c>
      <c r="H137" s="7"/>
      <c r="I137" s="1" t="s">
        <v>3</v>
      </c>
      <c r="J137" s="41">
        <f>N137</f>
        <v>110</v>
      </c>
      <c r="K137" s="2">
        <f>VLOOKUP(J137,Наценка!$A$1:$B$8,2,1)</f>
        <v>1.89</v>
      </c>
      <c r="L137" s="55">
        <f t="shared" si="38"/>
        <v>199.5</v>
      </c>
      <c r="M137" s="42">
        <f t="shared" si="37"/>
        <v>199</v>
      </c>
      <c r="N137" s="28">
        <f>VLOOKUP($A137,'Выгр Кат'!$A:$R,N$1,0)</f>
        <v>110</v>
      </c>
      <c r="O137" s="28">
        <f>VLOOKUP($A137,'Выгр Кат'!$A:$R,O$1,0)</f>
        <v>199</v>
      </c>
      <c r="P137" s="30">
        <f t="shared" si="30"/>
        <v>0</v>
      </c>
      <c r="Q137" s="30">
        <f t="shared" si="31"/>
        <v>0</v>
      </c>
      <c r="R137" s="36">
        <f t="shared" si="32"/>
        <v>185.07</v>
      </c>
      <c r="S137" s="64">
        <f>IFERROR((VLOOKUP($A137,'Из ГУГЛа'!$B:$G,6,0)+U137)*T137,VLOOKUP($A137,'Из ГУГЛа'!$B:$G,6,0))</f>
        <v>190</v>
      </c>
      <c r="T137" s="38">
        <v>1</v>
      </c>
      <c r="U137" s="38">
        <v>0</v>
      </c>
      <c r="V137" s="39">
        <f t="shared" si="33"/>
        <v>0.68245454545454542</v>
      </c>
      <c r="W137" s="39">
        <f t="shared" si="34"/>
        <v>2.5947368421052667E-2</v>
      </c>
      <c r="X137" s="39">
        <f t="shared" si="35"/>
        <v>0.72727272727272729</v>
      </c>
      <c r="Y137" s="48">
        <v>190</v>
      </c>
      <c r="Z137" s="46" t="s">
        <v>8055</v>
      </c>
    </row>
    <row r="138" spans="1:26" s="3" customFormat="1" ht="30" x14ac:dyDescent="0.25">
      <c r="A138" s="28">
        <v>133082</v>
      </c>
      <c r="B138" s="28">
        <f>VLOOKUP($A138,'Выгр Кат'!$A:$R,B$1,0)</f>
        <v>6288</v>
      </c>
      <c r="C138" s="27" t="str">
        <f>VLOOKUP($A138,'Выгр Кат'!$A:$R,C$1,0)</f>
        <v>Ароматизатор воздуха \"SLIM\" Новая Машина</v>
      </c>
      <c r="D138" s="28" t="str">
        <f>VLOOKUP($A138,'Выгр Кат'!$A:$R,D$1,0)</f>
        <v>Y</v>
      </c>
      <c r="E138" s="28" t="str">
        <f>VLOOKUP($A138,'Выгр Кат'!$A:$R,E$1,0)</f>
        <v>1</v>
      </c>
      <c r="F138" s="28" t="str">
        <f>VLOOKUP($A138,'Выгр Кат'!$A:$R,F$1,0)</f>
        <v>70833</v>
      </c>
      <c r="G138" s="7">
        <v>70833</v>
      </c>
      <c r="H138" s="7"/>
      <c r="I138" s="1" t="s">
        <v>3</v>
      </c>
      <c r="J138" s="42">
        <f>VLOOKUP(G138,Прайс!B:E,4,0)</f>
        <v>550</v>
      </c>
      <c r="K138" s="2">
        <f>VLOOKUP(J138,Наценка!$A$1:$B$8,2,1)</f>
        <v>1.63</v>
      </c>
      <c r="L138" s="4">
        <f t="shared" si="36"/>
        <v>896.49999999999989</v>
      </c>
      <c r="M138" s="42">
        <f t="shared" si="37"/>
        <v>899</v>
      </c>
      <c r="N138" s="28">
        <f>VLOOKUP($A138,'Выгр Кат'!$A:$R,N$1,0)</f>
        <v>550</v>
      </c>
      <c r="O138" s="28">
        <f>VLOOKUP($A138,'Выгр Кат'!$A:$R,O$1,0)</f>
        <v>899</v>
      </c>
      <c r="P138" s="30">
        <f t="shared" si="30"/>
        <v>0</v>
      </c>
      <c r="Q138" s="30">
        <f t="shared" si="31"/>
        <v>0</v>
      </c>
      <c r="R138" s="36">
        <f t="shared" si="32"/>
        <v>836.06999999999994</v>
      </c>
      <c r="S138" s="64">
        <f>IFERROR((VLOOKUP($A138,'Из ГУГЛа'!$B:$G,6,0)+U138)*T138,VLOOKUP($A138,'Из ГУГЛа'!$B:$G,6,0))</f>
        <v>890</v>
      </c>
      <c r="T138" s="38">
        <v>1</v>
      </c>
      <c r="U138" s="38">
        <v>0</v>
      </c>
      <c r="V138" s="39">
        <f t="shared" si="33"/>
        <v>0.52012727272727255</v>
      </c>
      <c r="W138" s="39">
        <f t="shared" si="34"/>
        <v>6.0595505617977601E-2</v>
      </c>
      <c r="X138" s="39">
        <f t="shared" si="35"/>
        <v>0.61818181818181817</v>
      </c>
      <c r="Y138" s="40">
        <v>890</v>
      </c>
      <c r="Z138" s="46" t="s">
        <v>8072</v>
      </c>
    </row>
    <row r="139" spans="1:26" s="3" customFormat="1" ht="30" x14ac:dyDescent="0.25">
      <c r="A139" s="28">
        <v>133083</v>
      </c>
      <c r="B139" s="28">
        <f>VLOOKUP($A139,'Выгр Кат'!$A:$R,B$1,0)</f>
        <v>6287</v>
      </c>
      <c r="C139" s="27" t="str">
        <f>VLOOKUP($A139,'Выгр Кат'!$A:$R,C$1,0)</f>
        <v>Ароматизатор воздуха \"SLIM\" Океанский бриз</v>
      </c>
      <c r="D139" s="28" t="str">
        <f>VLOOKUP($A139,'Выгр Кат'!$A:$R,D$1,0)</f>
        <v>Y</v>
      </c>
      <c r="E139" s="28" t="str">
        <f>VLOOKUP($A139,'Выгр Кат'!$A:$R,E$1,0)</f>
        <v>1</v>
      </c>
      <c r="F139" s="28" t="str">
        <f>VLOOKUP($A139,'Выгр Кат'!$A:$R,F$1,0)</f>
        <v>70834</v>
      </c>
      <c r="G139" s="7">
        <v>70834</v>
      </c>
      <c r="H139" s="7"/>
      <c r="I139" s="1" t="s">
        <v>3</v>
      </c>
      <c r="J139" s="42">
        <f>VLOOKUP(G139,Прайс!B:E,4,0)</f>
        <v>550</v>
      </c>
      <c r="K139" s="2">
        <f>VLOOKUP(J139,Наценка!$A$1:$B$8,2,1)</f>
        <v>1.63</v>
      </c>
      <c r="L139" s="4">
        <f t="shared" si="36"/>
        <v>896.49999999999989</v>
      </c>
      <c r="M139" s="42">
        <f t="shared" si="37"/>
        <v>899</v>
      </c>
      <c r="N139" s="28">
        <f>VLOOKUP($A139,'Выгр Кат'!$A:$R,N$1,0)</f>
        <v>550</v>
      </c>
      <c r="O139" s="28">
        <f>VLOOKUP($A139,'Выгр Кат'!$A:$R,O$1,0)</f>
        <v>899</v>
      </c>
      <c r="P139" s="30">
        <f t="shared" si="30"/>
        <v>0</v>
      </c>
      <c r="Q139" s="30">
        <f t="shared" si="31"/>
        <v>0</v>
      </c>
      <c r="R139" s="36">
        <f t="shared" si="32"/>
        <v>836.06999999999994</v>
      </c>
      <c r="S139" s="64">
        <f>IFERROR((VLOOKUP($A139,'Из ГУГЛа'!$B:$G,6,0)+U139)*T139,VLOOKUP($A139,'Из ГУГЛа'!$B:$G,6,0))</f>
        <v>890</v>
      </c>
      <c r="T139" s="38">
        <v>1</v>
      </c>
      <c r="U139" s="38">
        <v>0</v>
      </c>
      <c r="V139" s="39">
        <f t="shared" si="33"/>
        <v>0.52012727272727255</v>
      </c>
      <c r="W139" s="39">
        <f t="shared" si="34"/>
        <v>6.0595505617977601E-2</v>
      </c>
      <c r="X139" s="39">
        <f t="shared" si="35"/>
        <v>0.61818181818181817</v>
      </c>
      <c r="Y139" s="40">
        <v>890</v>
      </c>
      <c r="Z139" s="46" t="s">
        <v>8072</v>
      </c>
    </row>
    <row r="140" spans="1:26" s="3" customFormat="1" ht="30" x14ac:dyDescent="0.25">
      <c r="A140" s="28">
        <v>133084</v>
      </c>
      <c r="B140" s="28">
        <f>VLOOKUP($A140,'Выгр Кат'!$A:$R,B$1,0)</f>
        <v>6283</v>
      </c>
      <c r="C140" s="27" t="str">
        <f>VLOOKUP($A140,'Выгр Кат'!$A:$R,C$1,0)</f>
        <v>Ароматизатор воздуха \"SLIM\" Тропическая ночь</v>
      </c>
      <c r="D140" s="28" t="str">
        <f>VLOOKUP($A140,'Выгр Кат'!$A:$R,D$1,0)</f>
        <v>Y</v>
      </c>
      <c r="E140" s="28" t="str">
        <f>VLOOKUP($A140,'Выгр Кат'!$A:$R,E$1,0)</f>
        <v>1</v>
      </c>
      <c r="F140" s="28" t="str">
        <f>VLOOKUP($A140,'Выгр Кат'!$A:$R,F$1,0)</f>
        <v>70835</v>
      </c>
      <c r="G140" s="7">
        <v>70835</v>
      </c>
      <c r="H140" s="7"/>
      <c r="I140" s="1" t="s">
        <v>3</v>
      </c>
      <c r="J140" s="42">
        <f>VLOOKUP(G140,Прайс!B:E,4,0)</f>
        <v>550</v>
      </c>
      <c r="K140" s="2">
        <f>VLOOKUP(J140,Наценка!$A$1:$B$8,2,1)</f>
        <v>1.63</v>
      </c>
      <c r="L140" s="4">
        <f t="shared" si="36"/>
        <v>896.49999999999989</v>
      </c>
      <c r="M140" s="42">
        <f t="shared" si="37"/>
        <v>899</v>
      </c>
      <c r="N140" s="28">
        <f>VLOOKUP($A140,'Выгр Кат'!$A:$R,N$1,0)</f>
        <v>550</v>
      </c>
      <c r="O140" s="28">
        <f>VLOOKUP($A140,'Выгр Кат'!$A:$R,O$1,0)</f>
        <v>899</v>
      </c>
      <c r="P140" s="30">
        <f t="shared" si="30"/>
        <v>0</v>
      </c>
      <c r="Q140" s="30">
        <f t="shared" si="31"/>
        <v>0</v>
      </c>
      <c r="R140" s="36">
        <f t="shared" si="32"/>
        <v>836.06999999999994</v>
      </c>
      <c r="S140" s="64">
        <f>IFERROR((VLOOKUP($A140,'Из ГУГЛа'!$B:$G,6,0)+U140)*T140,VLOOKUP($A140,'Из ГУГЛа'!$B:$G,6,0))</f>
        <v>890</v>
      </c>
      <c r="T140" s="38">
        <v>1</v>
      </c>
      <c r="U140" s="38">
        <v>0</v>
      </c>
      <c r="V140" s="39">
        <f t="shared" si="33"/>
        <v>0.52012727272727255</v>
      </c>
      <c r="W140" s="39">
        <f t="shared" si="34"/>
        <v>6.0595505617977601E-2</v>
      </c>
      <c r="X140" s="39">
        <f t="shared" si="35"/>
        <v>0.61818181818181817</v>
      </c>
      <c r="Y140" s="40">
        <v>890</v>
      </c>
      <c r="Z140" s="46" t="s">
        <v>8072</v>
      </c>
    </row>
    <row r="141" spans="1:26" s="3" customFormat="1" x14ac:dyDescent="0.25">
      <c r="A141" s="28">
        <v>133085</v>
      </c>
      <c r="B141" s="28">
        <f>VLOOKUP($A141,'Выгр Кат'!$A:$R,B$1,0)</f>
        <v>6286</v>
      </c>
      <c r="C141" s="27" t="str">
        <f>VLOOKUP($A141,'Выгр Кат'!$A:$R,C$1,0)</f>
        <v>Ароматизатор воздуха SLIM Арбуз</v>
      </c>
      <c r="D141" s="28" t="str">
        <f>VLOOKUP($A141,'Выгр Кат'!$A:$R,D$1,0)</f>
        <v>Y</v>
      </c>
      <c r="E141" s="28" t="str">
        <f>VLOOKUP($A141,'Выгр Кат'!$A:$R,E$1,0)</f>
        <v>1</v>
      </c>
      <c r="F141" s="28" t="str">
        <f>VLOOKUP($A141,'Выгр Кат'!$A:$R,F$1,0)</f>
        <v>70832</v>
      </c>
      <c r="G141" s="7">
        <v>70832</v>
      </c>
      <c r="H141" s="7"/>
      <c r="I141" s="1" t="s">
        <v>3</v>
      </c>
      <c r="J141" s="41">
        <f t="shared" ref="J141:J142" si="39">N141</f>
        <v>550</v>
      </c>
      <c r="K141" s="2">
        <f>VLOOKUP(J141,Наценка!$A$1:$B$8,2,1)</f>
        <v>1.63</v>
      </c>
      <c r="L141" s="4">
        <f t="shared" si="36"/>
        <v>896.49999999999989</v>
      </c>
      <c r="M141" s="42">
        <f t="shared" si="37"/>
        <v>899</v>
      </c>
      <c r="N141" s="28">
        <f>VLOOKUP($A141,'Выгр Кат'!$A:$R,N$1,0)</f>
        <v>550</v>
      </c>
      <c r="O141" s="28">
        <f>VLOOKUP($A141,'Выгр Кат'!$A:$R,O$1,0)</f>
        <v>899</v>
      </c>
      <c r="P141" s="30">
        <f t="shared" si="30"/>
        <v>0</v>
      </c>
      <c r="Q141" s="30">
        <f t="shared" si="31"/>
        <v>0</v>
      </c>
      <c r="R141" s="36">
        <f t="shared" si="32"/>
        <v>836.06999999999994</v>
      </c>
      <c r="S141" s="64">
        <f>IFERROR((VLOOKUP($A141,'Из ГУГЛа'!$B:$G,6,0)+U141)*T141,VLOOKUP($A141,'Из ГУГЛа'!$B:$G,6,0))</f>
        <v>890</v>
      </c>
      <c r="T141" s="38">
        <v>1</v>
      </c>
      <c r="U141" s="38">
        <v>0</v>
      </c>
      <c r="V141" s="39">
        <f t="shared" si="33"/>
        <v>0.52012727272727255</v>
      </c>
      <c r="W141" s="39">
        <f t="shared" si="34"/>
        <v>6.0595505617977601E-2</v>
      </c>
      <c r="X141" s="39">
        <f t="shared" si="35"/>
        <v>0.61818181818181817</v>
      </c>
      <c r="Y141" s="40">
        <v>890</v>
      </c>
      <c r="Z141" s="46" t="s">
        <v>8072</v>
      </c>
    </row>
    <row r="142" spans="1:26" s="3" customFormat="1" ht="30" x14ac:dyDescent="0.25">
      <c r="A142" s="28">
        <v>139537</v>
      </c>
      <c r="B142" s="28">
        <f>VLOOKUP($A142,'Выгр Кат'!$A:$R,B$1,0)</f>
        <v>19335</v>
      </c>
      <c r="C142" s="27" t="str">
        <f>VLOOKUP($A142,'Выгр Кат'!$A:$R,C$1,0)</f>
        <v>Временная карта парковки с номером телефона Mivo MZ21</v>
      </c>
      <c r="D142" s="28" t="str">
        <f>VLOOKUP($A142,'Выгр Кат'!$A:$R,D$1,0)</f>
        <v>Y</v>
      </c>
      <c r="E142" s="28" t="str">
        <f>VLOOKUP($A142,'Выгр Кат'!$A:$R,E$1,0)</f>
        <v>0</v>
      </c>
      <c r="F142" s="28">
        <f>VLOOKUP($A142,'Выгр Кат'!$A:$R,F$1,0)</f>
        <v>0</v>
      </c>
      <c r="G142" s="4"/>
      <c r="H142" s="4"/>
      <c r="I142" s="1" t="s">
        <v>3</v>
      </c>
      <c r="J142" s="41">
        <f t="shared" si="39"/>
        <v>250</v>
      </c>
      <c r="K142" s="2">
        <f>VLOOKUP(J142,Наценка!$A$1:$B$8,2,1)</f>
        <v>1.89</v>
      </c>
      <c r="L142" s="4">
        <f t="shared" si="36"/>
        <v>472.5</v>
      </c>
      <c r="M142" s="42">
        <f t="shared" si="37"/>
        <v>479</v>
      </c>
      <c r="N142" s="28">
        <f>VLOOKUP($A142,'Выгр Кат'!$A:$R,N$1,0)</f>
        <v>250</v>
      </c>
      <c r="O142" s="28">
        <f>VLOOKUP($A142,'Выгр Кат'!$A:$R,O$1,0)</f>
        <v>479</v>
      </c>
      <c r="P142" s="30">
        <f t="shared" si="30"/>
        <v>0</v>
      </c>
      <c r="Q142" s="30">
        <f t="shared" si="31"/>
        <v>0</v>
      </c>
      <c r="R142" s="36">
        <f t="shared" si="32"/>
        <v>445.46999999999997</v>
      </c>
      <c r="S142" s="64" t="str">
        <f>IFERROR((VLOOKUP($A142,'Из ГУГЛа'!$B:$G,6,0)+U142)*T142,VLOOKUP($A142,'Из ГУГЛа'!$B:$G,6,0))</f>
        <v/>
      </c>
      <c r="T142" s="38">
        <v>1</v>
      </c>
      <c r="U142" s="38">
        <v>0</v>
      </c>
      <c r="V142" s="39">
        <f t="shared" si="33"/>
        <v>0.78187999999999991</v>
      </c>
      <c r="W142" s="39" t="str">
        <f t="shared" si="34"/>
        <v/>
      </c>
      <c r="X142" s="39" t="str">
        <f t="shared" si="35"/>
        <v/>
      </c>
      <c r="Y142" s="65"/>
      <c r="Z142" s="46"/>
    </row>
    <row r="143" spans="1:26" s="3" customFormat="1" ht="60" x14ac:dyDescent="0.25">
      <c r="A143" s="28">
        <v>140709</v>
      </c>
      <c r="B143" s="28">
        <f>VLOOKUP($A143,'Выгр Кат'!$A:$R,B$1,0)</f>
        <v>21363</v>
      </c>
      <c r="C143" s="27" t="str">
        <f>VLOOKUP($A143,'Выгр Кат'!$A:$R,C$1,0)</f>
        <v>Гелевый ароматизатор "Contra" SEX НАША РАБОТА (Утренний концерт из цветочных и фруктовых запахов с восточным оттенком)</v>
      </c>
      <c r="D143" s="28" t="str">
        <f>VLOOKUP($A143,'Выгр Кат'!$A:$R,D$1,0)</f>
        <v>Y</v>
      </c>
      <c r="E143" s="28" t="str">
        <f>VLOOKUP($A143,'Выгр Кат'!$A:$R,E$1,0)</f>
        <v>1</v>
      </c>
      <c r="F143" s="28" t="str">
        <f>VLOOKUP($A143,'Выгр Кат'!$A:$R,F$1,0)</f>
        <v>72268</v>
      </c>
      <c r="G143" s="7">
        <v>72268</v>
      </c>
      <c r="H143" s="7"/>
      <c r="I143" s="1" t="s">
        <v>3</v>
      </c>
      <c r="J143" s="42">
        <f>VLOOKUP(G143,Прайс!B:E,4,0)</f>
        <v>170</v>
      </c>
      <c r="K143" s="2">
        <f>VLOOKUP(J143,Наценка!$A$1:$B$8,2,1)</f>
        <v>1.89</v>
      </c>
      <c r="L143" s="4">
        <f t="shared" si="36"/>
        <v>321.3</v>
      </c>
      <c r="M143" s="42">
        <f t="shared" si="37"/>
        <v>329</v>
      </c>
      <c r="N143" s="28">
        <f>VLOOKUP($A143,'Выгр Кат'!$A:$R,N$1,0)</f>
        <v>170</v>
      </c>
      <c r="O143" s="28">
        <f>VLOOKUP($A143,'Выгр Кат'!$A:$R,O$1,0)</f>
        <v>329</v>
      </c>
      <c r="P143" s="30">
        <f t="shared" si="30"/>
        <v>0</v>
      </c>
      <c r="Q143" s="30">
        <f t="shared" si="31"/>
        <v>0</v>
      </c>
      <c r="R143" s="36">
        <f t="shared" si="32"/>
        <v>305.96999999999997</v>
      </c>
      <c r="S143" s="64">
        <f>IFERROR((VLOOKUP($A143,'Из ГУГЛа'!$B:$G,6,0)+U143)*T143,VLOOKUP($A143,'Из ГУГЛа'!$B:$G,6,0))</f>
        <v>390</v>
      </c>
      <c r="T143" s="38">
        <v>1</v>
      </c>
      <c r="U143" s="38">
        <v>0</v>
      </c>
      <c r="V143" s="39">
        <f t="shared" si="33"/>
        <v>0.7998235294117646</v>
      </c>
      <c r="W143" s="39">
        <f t="shared" si="34"/>
        <v>0.21546153846153854</v>
      </c>
      <c r="X143" s="39">
        <f t="shared" si="35"/>
        <v>1.2941176470588234</v>
      </c>
      <c r="Y143" s="40">
        <v>390</v>
      </c>
      <c r="Z143" s="46" t="s">
        <v>8064</v>
      </c>
    </row>
    <row r="144" spans="1:26" s="3" customFormat="1" ht="45" x14ac:dyDescent="0.25">
      <c r="A144" s="28">
        <v>140710</v>
      </c>
      <c r="B144" s="28">
        <f>VLOOKUP($A144,'Выгр Кат'!$A:$R,B$1,0)</f>
        <v>18639</v>
      </c>
      <c r="C144" s="27" t="str">
        <f>VLOOKUP($A144,'Выгр Кат'!$A:$R,C$1,0)</f>
        <v>Гелевый ароматизатор Contra WARNING SEXOHOLIC (ваниль и восточные сладости)</v>
      </c>
      <c r="D144" s="28" t="str">
        <f>VLOOKUP($A144,'Выгр Кат'!$A:$R,D$1,0)</f>
        <v>Y</v>
      </c>
      <c r="E144" s="28" t="str">
        <f>VLOOKUP($A144,'Выгр Кат'!$A:$R,E$1,0)</f>
        <v>1</v>
      </c>
      <c r="F144" s="28" t="str">
        <f>VLOOKUP($A144,'Выгр Кат'!$A:$R,F$1,0)</f>
        <v>72247</v>
      </c>
      <c r="G144" s="7">
        <v>72247</v>
      </c>
      <c r="H144" s="7"/>
      <c r="I144" s="1" t="s">
        <v>3</v>
      </c>
      <c r="J144" s="42">
        <f>VLOOKUP(G144,Прайс!B:E,4,0)</f>
        <v>170</v>
      </c>
      <c r="K144" s="2">
        <f>VLOOKUP(J144,Наценка!$A$1:$B$8,2,1)</f>
        <v>1.89</v>
      </c>
      <c r="L144" s="4">
        <f t="shared" si="36"/>
        <v>321.3</v>
      </c>
      <c r="M144" s="42">
        <f t="shared" si="37"/>
        <v>329</v>
      </c>
      <c r="N144" s="28">
        <f>VLOOKUP($A144,'Выгр Кат'!$A:$R,N$1,0)</f>
        <v>170</v>
      </c>
      <c r="O144" s="28">
        <f>VLOOKUP($A144,'Выгр Кат'!$A:$R,O$1,0)</f>
        <v>329</v>
      </c>
      <c r="P144" s="30">
        <f t="shared" si="30"/>
        <v>0</v>
      </c>
      <c r="Q144" s="30">
        <f t="shared" si="31"/>
        <v>0</v>
      </c>
      <c r="R144" s="36">
        <f t="shared" si="32"/>
        <v>305.96999999999997</v>
      </c>
      <c r="S144" s="64">
        <f>IFERROR((VLOOKUP($A144,'Из ГУГЛа'!$B:$G,6,0)+U144)*T144,VLOOKUP($A144,'Из ГУГЛа'!$B:$G,6,0))</f>
        <v>390</v>
      </c>
      <c r="T144" s="38">
        <v>1</v>
      </c>
      <c r="U144" s="38">
        <v>0</v>
      </c>
      <c r="V144" s="39">
        <f t="shared" si="33"/>
        <v>0.7998235294117646</v>
      </c>
      <c r="W144" s="39">
        <f t="shared" si="34"/>
        <v>0.21546153846153854</v>
      </c>
      <c r="X144" s="39">
        <f t="shared" si="35"/>
        <v>1.2941176470588234</v>
      </c>
      <c r="Y144" s="40">
        <v>390</v>
      </c>
      <c r="Z144" s="46" t="s">
        <v>8064</v>
      </c>
    </row>
    <row r="145" spans="1:26" s="3" customFormat="1" ht="30" x14ac:dyDescent="0.25">
      <c r="A145" s="28">
        <v>140757</v>
      </c>
      <c r="B145" s="28">
        <f>VLOOKUP($A145,'Выгр Кат'!$A:$R,B$1,0)</f>
        <v>31701</v>
      </c>
      <c r="C145" s="27" t="str">
        <f>VLOOKUP($A145,'Выгр Кат'!$A:$R,C$1,0)</f>
        <v>Герметик радиатора "ABRO" жидкий (325 мл)</v>
      </c>
      <c r="D145" s="28" t="str">
        <f>VLOOKUP($A145,'Выгр Кат'!$A:$R,D$1,0)</f>
        <v>Y</v>
      </c>
      <c r="E145" s="28" t="str">
        <f>VLOOKUP($A145,'Выгр Кат'!$A:$R,E$1,0)</f>
        <v>1</v>
      </c>
      <c r="F145" s="28" t="str">
        <f>VLOOKUP($A145,'Выгр Кат'!$A:$R,F$1,0)</f>
        <v>40040</v>
      </c>
      <c r="G145" s="7">
        <v>40040</v>
      </c>
      <c r="H145" s="7"/>
      <c r="I145" s="1" t="s">
        <v>3</v>
      </c>
      <c r="J145" s="42">
        <f>VLOOKUP(G145,Прайс!B:E,4,0)</f>
        <v>235</v>
      </c>
      <c r="K145" s="2">
        <f>VLOOKUP(J145,Наценка!$A$1:$B$8,2,1)</f>
        <v>1.89</v>
      </c>
      <c r="L145" s="4">
        <f t="shared" si="36"/>
        <v>444.15</v>
      </c>
      <c r="M145" s="42">
        <f t="shared" si="37"/>
        <v>449</v>
      </c>
      <c r="N145" s="28">
        <f>VLOOKUP($A145,'Выгр Кат'!$A:$R,N$1,0)</f>
        <v>235</v>
      </c>
      <c r="O145" s="28">
        <f>VLOOKUP($A145,'Выгр Кат'!$A:$R,O$1,0)</f>
        <v>449</v>
      </c>
      <c r="P145" s="30">
        <f t="shared" si="30"/>
        <v>0</v>
      </c>
      <c r="Q145" s="30">
        <f t="shared" si="31"/>
        <v>0</v>
      </c>
      <c r="R145" s="36">
        <f t="shared" si="32"/>
        <v>417.57</v>
      </c>
      <c r="S145" s="64" t="str">
        <f>IFERROR((VLOOKUP($A145,'Из ГУГЛа'!$B:$G,6,0)+U145)*T145,VLOOKUP($A145,'Из ГУГЛа'!$B:$G,6,0))</f>
        <v/>
      </c>
      <c r="T145" s="38">
        <v>1</v>
      </c>
      <c r="U145" s="38">
        <v>0</v>
      </c>
      <c r="V145" s="39">
        <f t="shared" si="33"/>
        <v>0.77689361702127657</v>
      </c>
      <c r="W145" s="39" t="str">
        <f t="shared" si="34"/>
        <v/>
      </c>
      <c r="X145" s="39" t="str">
        <f t="shared" si="35"/>
        <v/>
      </c>
      <c r="Y145" s="65" t="s">
        <v>8364</v>
      </c>
      <c r="Z145" s="46"/>
    </row>
    <row r="146" spans="1:26" s="3" customFormat="1" x14ac:dyDescent="0.25">
      <c r="A146" s="28">
        <v>143570</v>
      </c>
      <c r="B146" s="28">
        <f>VLOOKUP($A146,'Выгр Кат'!$A:$R,B$1,0)</f>
        <v>10032</v>
      </c>
      <c r="C146" s="27" t="str">
        <f>VLOOKUP($A146,'Выгр Кат'!$A:$R,C$1,0)</f>
        <v>Держатель для очков</v>
      </c>
      <c r="D146" s="28" t="str">
        <f>VLOOKUP($A146,'Выгр Кат'!$A:$R,D$1,0)</f>
        <v>Y</v>
      </c>
      <c r="E146" s="28" t="str">
        <f>VLOOKUP($A146,'Выгр Кат'!$A:$R,E$1,0)</f>
        <v>0</v>
      </c>
      <c r="F146" s="28">
        <f>VLOOKUP($A146,'Выгр Кат'!$A:$R,F$1,0)</f>
        <v>0</v>
      </c>
      <c r="G146" s="4"/>
      <c r="H146" s="4"/>
      <c r="I146" s="1" t="s">
        <v>3</v>
      </c>
      <c r="J146" s="41">
        <f>N146</f>
        <v>0</v>
      </c>
      <c r="K146" s="2" t="e">
        <f>VLOOKUP(J146,Наценка!$A$1:$B$8,2,1)</f>
        <v>#N/A</v>
      </c>
      <c r="L146" s="41">
        <f>O146</f>
        <v>159</v>
      </c>
      <c r="M146" s="42">
        <f t="shared" si="37"/>
        <v>159</v>
      </c>
      <c r="N146" s="28">
        <f>VLOOKUP($A146,'Выгр Кат'!$A:$R,N$1,0)</f>
        <v>0</v>
      </c>
      <c r="O146" s="28">
        <f>VLOOKUP($A146,'Выгр Кат'!$A:$R,O$1,0)</f>
        <v>159</v>
      </c>
      <c r="P146" s="30">
        <f t="shared" si="30"/>
        <v>0</v>
      </c>
      <c r="Q146" s="30">
        <f t="shared" si="31"/>
        <v>0</v>
      </c>
      <c r="R146" s="36">
        <f t="shared" si="32"/>
        <v>147.86999999999998</v>
      </c>
      <c r="S146" s="64" t="str">
        <f>IFERROR((VLOOKUP($A146,'Из ГУГЛа'!$B:$G,6,0)+U146)*T146,VLOOKUP($A146,'Из ГУГЛа'!$B:$G,6,0))</f>
        <v/>
      </c>
      <c r="T146" s="38">
        <v>1</v>
      </c>
      <c r="U146" s="38">
        <v>0</v>
      </c>
      <c r="V146" s="39" t="str">
        <f t="shared" si="33"/>
        <v/>
      </c>
      <c r="W146" s="39" t="str">
        <f t="shared" si="34"/>
        <v/>
      </c>
      <c r="X146" s="39" t="str">
        <f t="shared" si="35"/>
        <v/>
      </c>
      <c r="Y146" s="65"/>
      <c r="Z146" s="46"/>
    </row>
    <row r="147" spans="1:26" s="3" customFormat="1" ht="30" x14ac:dyDescent="0.25">
      <c r="A147" s="28">
        <v>143582</v>
      </c>
      <c r="B147" s="28">
        <f>VLOOKUP($A147,'Выгр Кат'!$A:$R,B$1,0)</f>
        <v>31022</v>
      </c>
      <c r="C147" s="27" t="str">
        <f>VLOOKUP($A147,'Выгр Кат'!$A:$R,C$1,0)</f>
        <v>Держатель телефона магнитный "Magnet Holder" в дефлектор</v>
      </c>
      <c r="D147" s="28" t="str">
        <f>VLOOKUP($A147,'Выгр Кат'!$A:$R,D$1,0)</f>
        <v>Y</v>
      </c>
      <c r="E147" s="28" t="str">
        <f>VLOOKUP($A147,'Выгр Кат'!$A:$R,E$1,0)</f>
        <v>1</v>
      </c>
      <c r="F147" s="28" t="str">
        <f>VLOOKUP($A147,'Выгр Кат'!$A:$R,F$1,0)</f>
        <v>50400</v>
      </c>
      <c r="G147" s="7">
        <v>50400</v>
      </c>
      <c r="H147" s="7"/>
      <c r="I147" s="1" t="s">
        <v>3</v>
      </c>
      <c r="J147" s="42">
        <f>VLOOKUP(G147,Прайс!B:E,4,0)</f>
        <v>100</v>
      </c>
      <c r="K147" s="2">
        <f>VLOOKUP(J147,Наценка!$A$1:$B$8,2,1)</f>
        <v>1.89</v>
      </c>
      <c r="L147" s="4">
        <f t="shared" si="36"/>
        <v>189</v>
      </c>
      <c r="M147" s="42">
        <f t="shared" si="37"/>
        <v>189</v>
      </c>
      <c r="N147" s="28">
        <f>VLOOKUP($A147,'Выгр Кат'!$A:$R,N$1,0)</f>
        <v>100</v>
      </c>
      <c r="O147" s="28">
        <f>VLOOKUP($A147,'Выгр Кат'!$A:$R,O$1,0)</f>
        <v>189</v>
      </c>
      <c r="P147" s="30">
        <f t="shared" si="30"/>
        <v>0</v>
      </c>
      <c r="Q147" s="30">
        <f t="shared" si="31"/>
        <v>0</v>
      </c>
      <c r="R147" s="36">
        <f t="shared" si="32"/>
        <v>175.76999999999998</v>
      </c>
      <c r="S147" s="64" t="str">
        <f>IFERROR((VLOOKUP($A147,'Из ГУГЛа'!$B:$G,6,0)+U147)*T147,VLOOKUP($A147,'Из ГУГЛа'!$B:$G,6,0))</f>
        <v/>
      </c>
      <c r="T147" s="38">
        <v>1</v>
      </c>
      <c r="U147" s="38">
        <v>0</v>
      </c>
      <c r="V147" s="39">
        <f t="shared" si="33"/>
        <v>0.75769999999999982</v>
      </c>
      <c r="W147" s="39">
        <f t="shared" si="34"/>
        <v>0.70208474576271185</v>
      </c>
      <c r="X147" s="39">
        <f t="shared" si="35"/>
        <v>4.9000000000000004</v>
      </c>
      <c r="Y147" s="65">
        <v>590</v>
      </c>
      <c r="Z147" s="46" t="s">
        <v>8370</v>
      </c>
    </row>
    <row r="148" spans="1:26" s="3" customFormat="1" ht="30" x14ac:dyDescent="0.25">
      <c r="A148" s="28">
        <v>152870</v>
      </c>
      <c r="B148" s="28">
        <f>VLOOKUP($A148,'Выгр Кат'!$A:$R,B$1,0)</f>
        <v>26554</v>
      </c>
      <c r="C148" s="27" t="str">
        <f>VLOOKUP($A148,'Выгр Кат'!$A:$R,C$1,0)</f>
        <v>Звуковой сигнал "Crystal" (115 Дцб, 12 В) для Волга, ГАЗ</v>
      </c>
      <c r="D148" s="28" t="str">
        <f>VLOOKUP($A148,'Выгр Кат'!$A:$R,D$1,0)</f>
        <v>Y</v>
      </c>
      <c r="E148" s="28" t="str">
        <f>VLOOKUP($A148,'Выгр Кат'!$A:$R,E$1,0)</f>
        <v>1</v>
      </c>
      <c r="F148" s="28" t="str">
        <f>VLOOKUP($A148,'Выгр Кат'!$A:$R,F$1,0)</f>
        <v>10021</v>
      </c>
      <c r="G148" s="7">
        <v>10021</v>
      </c>
      <c r="H148" s="7"/>
      <c r="I148" s="1" t="s">
        <v>3</v>
      </c>
      <c r="J148" s="42">
        <f>VLOOKUP(G148,Прайс!B:E,4,0)</f>
        <v>350</v>
      </c>
      <c r="K148" s="2">
        <f>VLOOKUP(J148,Наценка!$A$1:$B$8,2,1)</f>
        <v>1.68</v>
      </c>
      <c r="L148" s="4">
        <f t="shared" si="36"/>
        <v>588</v>
      </c>
      <c r="M148" s="42">
        <f t="shared" si="37"/>
        <v>589</v>
      </c>
      <c r="N148" s="28">
        <f>VLOOKUP($A148,'Выгр Кат'!$A:$R,N$1,0)</f>
        <v>350</v>
      </c>
      <c r="O148" s="28">
        <f>VLOOKUP($A148,'Выгр Кат'!$A:$R,O$1,0)</f>
        <v>589</v>
      </c>
      <c r="P148" s="30">
        <f t="shared" si="30"/>
        <v>0</v>
      </c>
      <c r="Q148" s="30">
        <f t="shared" si="31"/>
        <v>0</v>
      </c>
      <c r="R148" s="36">
        <f t="shared" si="32"/>
        <v>547.77</v>
      </c>
      <c r="S148" s="64" t="str">
        <f>IFERROR((VLOOKUP($A148,'Из ГУГЛа'!$B:$G,6,0)+U148)*T148,VLOOKUP($A148,'Из ГУГЛа'!$B:$G,6,0))</f>
        <v/>
      </c>
      <c r="T148" s="38">
        <v>1</v>
      </c>
      <c r="U148" s="38">
        <v>0</v>
      </c>
      <c r="V148" s="39">
        <f t="shared" si="33"/>
        <v>0.5650571428571427</v>
      </c>
      <c r="W148" s="39">
        <f t="shared" si="34"/>
        <v>0.41036598493003229</v>
      </c>
      <c r="X148" s="39">
        <f t="shared" si="35"/>
        <v>1.6542857142857144</v>
      </c>
      <c r="Y148" s="65">
        <v>929</v>
      </c>
      <c r="Z148" s="46" t="s">
        <v>8366</v>
      </c>
    </row>
    <row r="149" spans="1:26" s="3" customFormat="1" ht="45" x14ac:dyDescent="0.25">
      <c r="A149" s="28">
        <v>152929</v>
      </c>
      <c r="B149" s="28">
        <f>VLOOKUP($A149,'Выгр Кат'!$A:$R,B$1,0)</f>
        <v>30846</v>
      </c>
      <c r="C149" s="27" t="str">
        <f>VLOOKUP($A149,'Выгр Кат'!$A:$R,C$1,0)</f>
        <v>Зеркало панорамное на скобах "Panoramic Mirror" 330 мм универсальное</v>
      </c>
      <c r="D149" s="28" t="str">
        <f>VLOOKUP($A149,'Выгр Кат'!$A:$R,D$1,0)</f>
        <v>Y</v>
      </c>
      <c r="E149" s="28" t="str">
        <f>VLOOKUP($A149,'Выгр Кат'!$A:$R,E$1,0)</f>
        <v>1</v>
      </c>
      <c r="F149" s="28">
        <f>VLOOKUP($A149,'Выгр Кат'!$A:$R,F$1,0)</f>
        <v>0</v>
      </c>
      <c r="G149" s="4"/>
      <c r="H149" s="4"/>
      <c r="I149" s="1" t="s">
        <v>3</v>
      </c>
      <c r="J149" s="41">
        <f t="shared" ref="J149:J150" si="40">N149</f>
        <v>340</v>
      </c>
      <c r="K149" s="2">
        <f>VLOOKUP(J149,Наценка!$A$1:$B$8,2,1)</f>
        <v>1.68</v>
      </c>
      <c r="L149" s="4">
        <f t="shared" si="36"/>
        <v>571.19999999999993</v>
      </c>
      <c r="M149" s="42">
        <f t="shared" si="37"/>
        <v>579</v>
      </c>
      <c r="N149" s="28">
        <f>VLOOKUP($A149,'Выгр Кат'!$A:$R,N$1,0)</f>
        <v>340</v>
      </c>
      <c r="O149" s="28">
        <f>VLOOKUP($A149,'Выгр Кат'!$A:$R,O$1,0)</f>
        <v>579</v>
      </c>
      <c r="P149" s="30">
        <f t="shared" si="30"/>
        <v>0</v>
      </c>
      <c r="Q149" s="30">
        <f t="shared" si="31"/>
        <v>0</v>
      </c>
      <c r="R149" s="36">
        <f t="shared" si="32"/>
        <v>538.46999999999991</v>
      </c>
      <c r="S149" s="64" t="str">
        <f>IFERROR((VLOOKUP($A149,'Из ГУГЛа'!$B:$G,6,0)+U149)*T149,VLOOKUP($A149,'Из ГУГЛа'!$B:$G,6,0))</f>
        <v/>
      </c>
      <c r="T149" s="38">
        <v>1</v>
      </c>
      <c r="U149" s="38">
        <v>0</v>
      </c>
      <c r="V149" s="39">
        <f t="shared" si="33"/>
        <v>0.5837352941176468</v>
      </c>
      <c r="W149" s="39" t="str">
        <f t="shared" si="34"/>
        <v/>
      </c>
      <c r="X149" s="39" t="str">
        <f t="shared" si="35"/>
        <v/>
      </c>
      <c r="Y149" s="65" t="s">
        <v>8364</v>
      </c>
      <c r="Z149" s="46"/>
    </row>
    <row r="150" spans="1:26" s="3" customFormat="1" ht="30" x14ac:dyDescent="0.25">
      <c r="A150" s="28">
        <v>153001</v>
      </c>
      <c r="B150" s="28">
        <f>VLOOKUP($A150,'Выгр Кат'!$A:$R,B$1,0)</f>
        <v>18629</v>
      </c>
      <c r="C150" s="27" t="str">
        <f>VLOOKUP($A150,'Выгр Кат'!$A:$R,C$1,0)</f>
        <v>Знак "Taxi" шашечки, 4 магнита, с подсветкой (Белый)</v>
      </c>
      <c r="D150" s="28" t="str">
        <f>VLOOKUP($A150,'Выгр Кат'!$A:$R,D$1,0)</f>
        <v>Y</v>
      </c>
      <c r="E150" s="28" t="str">
        <f>VLOOKUP($A150,'Выгр Кат'!$A:$R,E$1,0)</f>
        <v>1</v>
      </c>
      <c r="F150" s="28" t="str">
        <f>VLOOKUP($A150,'Выгр Кат'!$A:$R,F$1,0)</f>
        <v>20466</v>
      </c>
      <c r="G150" s="7">
        <v>20466</v>
      </c>
      <c r="H150" s="7"/>
      <c r="I150" s="1" t="s">
        <v>3</v>
      </c>
      <c r="J150" s="41">
        <f t="shared" si="40"/>
        <v>280</v>
      </c>
      <c r="K150" s="2">
        <f>VLOOKUP(J150,Наценка!$A$1:$B$8,2,1)</f>
        <v>1.89</v>
      </c>
      <c r="L150" s="4">
        <f t="shared" si="36"/>
        <v>529.19999999999993</v>
      </c>
      <c r="M150" s="42">
        <f t="shared" si="37"/>
        <v>529</v>
      </c>
      <c r="N150" s="28">
        <f>VLOOKUP($A150,'Выгр Кат'!$A:$R,N$1,0)</f>
        <v>280</v>
      </c>
      <c r="O150" s="28">
        <f>VLOOKUP($A150,'Выгр Кат'!$A:$R,O$1,0)</f>
        <v>529</v>
      </c>
      <c r="P150" s="30">
        <f t="shared" si="30"/>
        <v>0</v>
      </c>
      <c r="Q150" s="30">
        <f t="shared" si="31"/>
        <v>0</v>
      </c>
      <c r="R150" s="36">
        <f t="shared" si="32"/>
        <v>491.96999999999997</v>
      </c>
      <c r="S150" s="64">
        <f>IFERROR((VLOOKUP($A150,'Из ГУГЛа'!$B:$G,6,0)+U150)*T150,VLOOKUP($A150,'Из ГУГЛа'!$B:$G,6,0))</f>
        <v>590</v>
      </c>
      <c r="T150" s="38">
        <v>1</v>
      </c>
      <c r="U150" s="38">
        <v>0</v>
      </c>
      <c r="V150" s="39">
        <f t="shared" si="33"/>
        <v>0.75703571428571426</v>
      </c>
      <c r="W150" s="39">
        <f t="shared" si="34"/>
        <v>0.16615254237288141</v>
      </c>
      <c r="X150" s="39">
        <f t="shared" si="35"/>
        <v>1.1071428571428572</v>
      </c>
      <c r="Y150" s="40">
        <v>590</v>
      </c>
      <c r="Z150" s="46" t="s">
        <v>8056</v>
      </c>
    </row>
    <row r="151" spans="1:26" s="3" customFormat="1" ht="30" x14ac:dyDescent="0.25">
      <c r="A151" s="28">
        <v>153002</v>
      </c>
      <c r="B151" s="28">
        <f>VLOOKUP($A151,'Выгр Кат'!$A:$R,B$1,0)</f>
        <v>18625</v>
      </c>
      <c r="C151" s="27" t="str">
        <f>VLOOKUP($A151,'Выгр Кат'!$A:$R,C$1,0)</f>
        <v>Знак "Taxi" шашечки, 4 магнита, с подсветкой (Желтый)</v>
      </c>
      <c r="D151" s="28" t="str">
        <f>VLOOKUP($A151,'Выгр Кат'!$A:$R,D$1,0)</f>
        <v>Y</v>
      </c>
      <c r="E151" s="28" t="str">
        <f>VLOOKUP($A151,'Выгр Кат'!$A:$R,E$1,0)</f>
        <v>1</v>
      </c>
      <c r="F151" s="28" t="str">
        <f>VLOOKUP($A151,'Выгр Кат'!$A:$R,F$1,0)</f>
        <v>20465</v>
      </c>
      <c r="G151" s="7">
        <v>20465</v>
      </c>
      <c r="H151" s="7"/>
      <c r="I151" s="1" t="s">
        <v>3</v>
      </c>
      <c r="J151" s="42">
        <f>VLOOKUP(G151,Прайс!B:E,4,0)</f>
        <v>280</v>
      </c>
      <c r="K151" s="2">
        <f>VLOOKUP(J151,Наценка!$A$1:$B$8,2,1)</f>
        <v>1.89</v>
      </c>
      <c r="L151" s="4">
        <f t="shared" si="36"/>
        <v>529.19999999999993</v>
      </c>
      <c r="M151" s="42">
        <f t="shared" si="37"/>
        <v>529</v>
      </c>
      <c r="N151" s="28">
        <f>VLOOKUP($A151,'Выгр Кат'!$A:$R,N$1,0)</f>
        <v>280</v>
      </c>
      <c r="O151" s="28">
        <f>VLOOKUP($A151,'Выгр Кат'!$A:$R,O$1,0)</f>
        <v>529</v>
      </c>
      <c r="P151" s="30">
        <f t="shared" si="30"/>
        <v>0</v>
      </c>
      <c r="Q151" s="30">
        <f t="shared" si="31"/>
        <v>0</v>
      </c>
      <c r="R151" s="36">
        <f t="shared" si="32"/>
        <v>491.96999999999997</v>
      </c>
      <c r="S151" s="64">
        <f>IFERROR((VLOOKUP($A151,'Из ГУГЛа'!$B:$G,6,0)+U151)*T151,VLOOKUP($A151,'Из ГУГЛа'!$B:$G,6,0))</f>
        <v>590</v>
      </c>
      <c r="T151" s="38">
        <v>1</v>
      </c>
      <c r="U151" s="38">
        <v>0</v>
      </c>
      <c r="V151" s="39">
        <f t="shared" si="33"/>
        <v>0.75703571428571426</v>
      </c>
      <c r="W151" s="39">
        <f t="shared" si="34"/>
        <v>0.16615254237288141</v>
      </c>
      <c r="X151" s="39">
        <f t="shared" si="35"/>
        <v>1.1071428571428572</v>
      </c>
      <c r="Y151" s="40">
        <v>590</v>
      </c>
      <c r="Z151" s="46" t="s">
        <v>8056</v>
      </c>
    </row>
    <row r="152" spans="1:26" s="3" customFormat="1" ht="30" x14ac:dyDescent="0.25">
      <c r="A152" s="28">
        <v>153003</v>
      </c>
      <c r="B152" s="28">
        <f>VLOOKUP($A152,'Выгр Кат'!$A:$R,B$1,0)</f>
        <v>18626</v>
      </c>
      <c r="C152" s="27" t="str">
        <f>VLOOKUP($A152,'Выгр Кат'!$A:$R,C$1,0)</f>
        <v>Знак "Taxi" шашечки, 4 магнита, с подсветкой (Красный)</v>
      </c>
      <c r="D152" s="28" t="str">
        <f>VLOOKUP($A152,'Выгр Кат'!$A:$R,D$1,0)</f>
        <v>Y</v>
      </c>
      <c r="E152" s="28" t="str">
        <f>VLOOKUP($A152,'Выгр Кат'!$A:$R,E$1,0)</f>
        <v>1</v>
      </c>
      <c r="F152" s="28" t="str">
        <f>VLOOKUP($A152,'Выгр Кат'!$A:$R,F$1,0)</f>
        <v>20473</v>
      </c>
      <c r="G152" s="61">
        <v>20473</v>
      </c>
      <c r="H152" s="4"/>
      <c r="I152" s="1" t="s">
        <v>3</v>
      </c>
      <c r="J152" s="42">
        <f>VLOOKUP(G152,Прайс!B:E,4,0)</f>
        <v>350</v>
      </c>
      <c r="K152" s="2">
        <f>VLOOKUP(J152,Наценка!$A$1:$B$8,2,1)</f>
        <v>1.68</v>
      </c>
      <c r="L152" s="4">
        <f t="shared" si="36"/>
        <v>588</v>
      </c>
      <c r="M152" s="42">
        <f t="shared" si="37"/>
        <v>589</v>
      </c>
      <c r="N152" s="28">
        <f>VLOOKUP($A152,'Выгр Кат'!$A:$R,N$1,0)</f>
        <v>350</v>
      </c>
      <c r="O152" s="28">
        <f>VLOOKUP($A152,'Выгр Кат'!$A:$R,O$1,0)</f>
        <v>589</v>
      </c>
      <c r="P152" s="30">
        <f t="shared" si="30"/>
        <v>0</v>
      </c>
      <c r="Q152" s="30">
        <f t="shared" si="31"/>
        <v>0</v>
      </c>
      <c r="R152" s="36">
        <f t="shared" si="32"/>
        <v>547.77</v>
      </c>
      <c r="S152" s="64">
        <f>IFERROR((VLOOKUP($A152,'Из ГУГЛа'!$B:$G,6,0)+U152)*T152,VLOOKUP($A152,'Из ГУГЛа'!$B:$G,6,0))</f>
        <v>590</v>
      </c>
      <c r="T152" s="38">
        <v>1</v>
      </c>
      <c r="U152" s="38">
        <v>0</v>
      </c>
      <c r="V152" s="39">
        <f t="shared" si="33"/>
        <v>0.5650571428571427</v>
      </c>
      <c r="W152" s="39">
        <f t="shared" si="34"/>
        <v>7.1576271186440707E-2</v>
      </c>
      <c r="X152" s="39">
        <f t="shared" si="35"/>
        <v>0.68571428571428572</v>
      </c>
      <c r="Y152" s="40">
        <v>590</v>
      </c>
      <c r="Z152" s="46" t="s">
        <v>8056</v>
      </c>
    </row>
    <row r="153" spans="1:26" s="3" customFormat="1" ht="30" x14ac:dyDescent="0.25">
      <c r="A153" s="28">
        <v>153004</v>
      </c>
      <c r="B153" s="28">
        <f>VLOOKUP($A153,'Выгр Кат'!$A:$R,B$1,0)</f>
        <v>18628</v>
      </c>
      <c r="C153" s="27" t="str">
        <f>VLOOKUP($A153,'Выгр Кат'!$A:$R,C$1,0)</f>
        <v>Знак "Taxi" шашечки, 4 магнита, с подсветкой (Оранжевый)</v>
      </c>
      <c r="D153" s="28" t="str">
        <f>VLOOKUP($A153,'Выгр Кат'!$A:$R,D$1,0)</f>
        <v>Y</v>
      </c>
      <c r="E153" s="28" t="str">
        <f>VLOOKUP($A153,'Выгр Кат'!$A:$R,E$1,0)</f>
        <v>1</v>
      </c>
      <c r="F153" s="28" t="str">
        <f>VLOOKUP($A153,'Выгр Кат'!$A:$R,F$1,0)</f>
        <v>20467</v>
      </c>
      <c r="G153" s="7">
        <v>20467</v>
      </c>
      <c r="H153" s="7"/>
      <c r="I153" s="1" t="s">
        <v>3</v>
      </c>
      <c r="J153" s="42">
        <f>VLOOKUP(G153,Прайс!B:E,4,0)</f>
        <v>280</v>
      </c>
      <c r="K153" s="2">
        <f>VLOOKUP(J153,Наценка!$A$1:$B$8,2,1)</f>
        <v>1.89</v>
      </c>
      <c r="L153" s="4">
        <f t="shared" si="36"/>
        <v>529.19999999999993</v>
      </c>
      <c r="M153" s="42">
        <f t="shared" si="37"/>
        <v>529</v>
      </c>
      <c r="N153" s="28">
        <f>VLOOKUP($A153,'Выгр Кат'!$A:$R,N$1,0)</f>
        <v>280</v>
      </c>
      <c r="O153" s="28">
        <f>VLOOKUP($A153,'Выгр Кат'!$A:$R,O$1,0)</f>
        <v>529</v>
      </c>
      <c r="P153" s="30">
        <f t="shared" si="30"/>
        <v>0</v>
      </c>
      <c r="Q153" s="30">
        <f t="shared" si="31"/>
        <v>0</v>
      </c>
      <c r="R153" s="36">
        <f t="shared" si="32"/>
        <v>491.96999999999997</v>
      </c>
      <c r="S153" s="64">
        <f>IFERROR((VLOOKUP($A153,'Из ГУГЛа'!$B:$G,6,0)+U153)*T153,VLOOKUP($A153,'Из ГУГЛа'!$B:$G,6,0))</f>
        <v>590</v>
      </c>
      <c r="T153" s="38">
        <v>1</v>
      </c>
      <c r="U153" s="38">
        <v>0</v>
      </c>
      <c r="V153" s="39">
        <f t="shared" si="33"/>
        <v>0.75703571428571426</v>
      </c>
      <c r="W153" s="39">
        <f t="shared" si="34"/>
        <v>0.16615254237288141</v>
      </c>
      <c r="X153" s="39">
        <f t="shared" si="35"/>
        <v>1.1071428571428572</v>
      </c>
      <c r="Y153" s="40">
        <v>590</v>
      </c>
      <c r="Z153" s="46" t="s">
        <v>8056</v>
      </c>
    </row>
    <row r="154" spans="1:26" s="3" customFormat="1" ht="30" x14ac:dyDescent="0.25">
      <c r="A154" s="28">
        <v>153010</v>
      </c>
      <c r="B154" s="28">
        <f>VLOOKUP($A154,'Выгр Кат'!$A:$R,B$1,0)</f>
        <v>8770</v>
      </c>
      <c r="C154" s="27" t="str">
        <f>VLOOKUP($A154,'Выгр Кат'!$A:$R,C$1,0)</f>
        <v>Знак аварийной остановки FuDing (Е 11)/MAAS пластиковая упаковка</v>
      </c>
      <c r="D154" s="28" t="str">
        <f>VLOOKUP($A154,'Выгр Кат'!$A:$R,D$1,0)</f>
        <v>Y</v>
      </c>
      <c r="E154" s="28" t="str">
        <f>VLOOKUP($A154,'Выгр Кат'!$A:$R,E$1,0)</f>
        <v>1</v>
      </c>
      <c r="F154" s="28" t="str">
        <f>VLOOKUP($A154,'Выгр Кат'!$A:$R,F$1,0)</f>
        <v>14016</v>
      </c>
      <c r="G154" s="7">
        <v>14016</v>
      </c>
      <c r="H154" s="7"/>
      <c r="I154" s="1" t="s">
        <v>3</v>
      </c>
      <c r="J154" s="42">
        <f>VLOOKUP(G154,Прайс!B:E,4,0)</f>
        <v>195</v>
      </c>
      <c r="K154" s="2">
        <f>VLOOKUP(J154,Наценка!$A$1:$B$8,2,1)</f>
        <v>1.89</v>
      </c>
      <c r="L154" s="4">
        <f t="shared" si="36"/>
        <v>368.54999999999995</v>
      </c>
      <c r="M154" s="42">
        <f t="shared" si="37"/>
        <v>369</v>
      </c>
      <c r="N154" s="28">
        <f>VLOOKUP($A154,'Выгр Кат'!$A:$R,N$1,0)</f>
        <v>195</v>
      </c>
      <c r="O154" s="28">
        <f>VLOOKUP($A154,'Выгр Кат'!$A:$R,O$1,0)</f>
        <v>369</v>
      </c>
      <c r="P154" s="30">
        <f t="shared" si="30"/>
        <v>0</v>
      </c>
      <c r="Q154" s="30">
        <f t="shared" si="31"/>
        <v>0</v>
      </c>
      <c r="R154" s="36">
        <f t="shared" si="32"/>
        <v>343.16999999999996</v>
      </c>
      <c r="S154" s="64" t="str">
        <f>IFERROR((VLOOKUP($A154,'Из ГУГЛа'!$B:$G,6,0)+U154)*T154,VLOOKUP($A154,'Из ГУГЛа'!$B:$G,6,0))</f>
        <v/>
      </c>
      <c r="T154" s="38">
        <v>1</v>
      </c>
      <c r="U154" s="38">
        <v>0</v>
      </c>
      <c r="V154" s="39">
        <f t="shared" si="33"/>
        <v>0.75984615384615362</v>
      </c>
      <c r="W154" s="39" t="str">
        <f t="shared" si="34"/>
        <v/>
      </c>
      <c r="X154" s="39" t="str">
        <f t="shared" si="35"/>
        <v/>
      </c>
      <c r="Y154" s="65" t="s">
        <v>8377</v>
      </c>
      <c r="Z154" s="46" t="s">
        <v>8376</v>
      </c>
    </row>
    <row r="155" spans="1:26" s="3" customFormat="1" ht="30" x14ac:dyDescent="0.25">
      <c r="A155" s="28">
        <v>155690</v>
      </c>
      <c r="B155" s="28">
        <f>VLOOKUP($A155,'Выгр Кат'!$A:$R,B$1,0)</f>
        <v>10030</v>
      </c>
      <c r="C155" s="27" t="str">
        <f>VLOOKUP($A155,'Выгр Кат'!$A:$R,C$1,0)</f>
        <v>Карандаш для удаления мелких царапин FIX IT PRO</v>
      </c>
      <c r="D155" s="28" t="str">
        <f>VLOOKUP($A155,'Выгр Кат'!$A:$R,D$1,0)</f>
        <v>Y</v>
      </c>
      <c r="E155" s="28" t="str">
        <f>VLOOKUP($A155,'Выгр Кат'!$A:$R,E$1,0)</f>
        <v>0</v>
      </c>
      <c r="F155" s="28">
        <f>VLOOKUP($A155,'Выгр Кат'!$A:$R,F$1,0)</f>
        <v>0</v>
      </c>
      <c r="G155" s="4"/>
      <c r="H155" s="4"/>
      <c r="I155" s="1" t="s">
        <v>3</v>
      </c>
      <c r="J155" s="41">
        <f t="shared" ref="J155:J156" si="41">N155</f>
        <v>150</v>
      </c>
      <c r="K155" s="2">
        <f>VLOOKUP(J155,Наценка!$A$1:$B$8,2,1)</f>
        <v>1.89</v>
      </c>
      <c r="L155" s="4">
        <f t="shared" si="36"/>
        <v>283.5</v>
      </c>
      <c r="M155" s="42">
        <f t="shared" si="37"/>
        <v>289</v>
      </c>
      <c r="N155" s="28">
        <f>VLOOKUP($A155,'Выгр Кат'!$A:$R,N$1,0)</f>
        <v>150</v>
      </c>
      <c r="O155" s="28">
        <f>VLOOKUP($A155,'Выгр Кат'!$A:$R,O$1,0)</f>
        <v>289</v>
      </c>
      <c r="P155" s="30">
        <f t="shared" si="30"/>
        <v>0</v>
      </c>
      <c r="Q155" s="30">
        <f t="shared" si="31"/>
        <v>0</v>
      </c>
      <c r="R155" s="36">
        <f t="shared" si="32"/>
        <v>268.77</v>
      </c>
      <c r="S155" s="64" t="str">
        <f>IFERROR((VLOOKUP($A155,'Из ГУГЛа'!$B:$G,6,0)+U155)*T155,VLOOKUP($A155,'Из ГУГЛа'!$B:$G,6,0))</f>
        <v/>
      </c>
      <c r="T155" s="38">
        <v>1</v>
      </c>
      <c r="U155" s="38">
        <v>0</v>
      </c>
      <c r="V155" s="39">
        <f t="shared" si="33"/>
        <v>0.79179999999999984</v>
      </c>
      <c r="W155" s="39" t="str">
        <f t="shared" si="34"/>
        <v/>
      </c>
      <c r="X155" s="39" t="str">
        <f t="shared" si="35"/>
        <v/>
      </c>
      <c r="Y155" s="65"/>
      <c r="Z155" s="46"/>
    </row>
    <row r="156" spans="1:26" s="3" customFormat="1" x14ac:dyDescent="0.25">
      <c r="A156" s="28">
        <v>164974</v>
      </c>
      <c r="B156" s="28">
        <f>VLOOKUP($A156,'Выгр Кат'!$A:$R,B$1,0)</f>
        <v>9482</v>
      </c>
      <c r="C156" s="27" t="str">
        <f>VLOOKUP($A156,'Выгр Кат'!$A:$R,C$1,0)</f>
        <v>Набор для автостекол "TEROSON"</v>
      </c>
      <c r="D156" s="28" t="str">
        <f>VLOOKUP($A156,'Выгр Кат'!$A:$R,D$1,0)</f>
        <v>Y</v>
      </c>
      <c r="E156" s="28" t="str">
        <f>VLOOKUP($A156,'Выгр Кат'!$A:$R,E$1,0)</f>
        <v>1</v>
      </c>
      <c r="F156" s="28" t="str">
        <f>VLOOKUP($A156,'Выгр Кат'!$A:$R,F$1,0)</f>
        <v>40081</v>
      </c>
      <c r="G156" s="7">
        <v>40081</v>
      </c>
      <c r="H156" s="7"/>
      <c r="I156" s="1" t="s">
        <v>3</v>
      </c>
      <c r="J156" s="41">
        <f t="shared" si="41"/>
        <v>500</v>
      </c>
      <c r="K156" s="2">
        <f>VLOOKUP(J156,Наценка!$A$1:$B$8,2,1)</f>
        <v>1.63</v>
      </c>
      <c r="L156" s="4">
        <f t="shared" si="36"/>
        <v>815</v>
      </c>
      <c r="M156" s="42">
        <f t="shared" si="37"/>
        <v>819</v>
      </c>
      <c r="N156" s="28">
        <f>VLOOKUP($A156,'Выгр Кат'!$A:$R,N$1,0)</f>
        <v>500</v>
      </c>
      <c r="O156" s="28">
        <f>VLOOKUP($A156,'Выгр Кат'!$A:$R,O$1,0)</f>
        <v>819</v>
      </c>
      <c r="P156" s="30">
        <f t="shared" si="30"/>
        <v>0</v>
      </c>
      <c r="Q156" s="30">
        <f t="shared" si="31"/>
        <v>0</v>
      </c>
      <c r="R156" s="36">
        <f t="shared" si="32"/>
        <v>761.67</v>
      </c>
      <c r="S156" s="64" t="str">
        <f>IFERROR((VLOOKUP($A156,'Из ГУГЛа'!$B:$G,6,0)+U156)*T156,VLOOKUP($A156,'Из ГУГЛа'!$B:$G,6,0))</f>
        <v/>
      </c>
      <c r="T156" s="38">
        <v>1</v>
      </c>
      <c r="U156" s="38">
        <v>0</v>
      </c>
      <c r="V156" s="39">
        <f t="shared" si="33"/>
        <v>0.52333999999999992</v>
      </c>
      <c r="W156" s="39">
        <f t="shared" si="34"/>
        <v>0.23063636363636367</v>
      </c>
      <c r="X156" s="39">
        <f t="shared" si="35"/>
        <v>0.98</v>
      </c>
      <c r="Y156" s="65">
        <v>990</v>
      </c>
      <c r="Z156" s="46" t="s">
        <v>8375</v>
      </c>
    </row>
    <row r="157" spans="1:26" s="3" customFormat="1" ht="30" x14ac:dyDescent="0.25">
      <c r="A157" s="28">
        <v>156787</v>
      </c>
      <c r="B157" s="28">
        <f>VLOOKUP($A157,'Выгр Кат'!$A:$R,B$1,0)</f>
        <v>32893</v>
      </c>
      <c r="C157" s="27" t="str">
        <f>VLOOKUP($A157,'Выгр Кат'!$A:$R,C$1,0)</f>
        <v>Коврик "ScidProof" на панель приборов, c бортиками</v>
      </c>
      <c r="D157" s="28" t="str">
        <f>VLOOKUP($A157,'Выгр Кат'!$A:$R,D$1,0)</f>
        <v>Y</v>
      </c>
      <c r="E157" s="28" t="str">
        <f>VLOOKUP($A157,'Выгр Кат'!$A:$R,E$1,0)</f>
        <v>1</v>
      </c>
      <c r="F157" s="28" t="str">
        <f>VLOOKUP($A157,'Выгр Кат'!$A:$R,F$1,0)</f>
        <v>50187</v>
      </c>
      <c r="G157" s="7">
        <v>50187</v>
      </c>
      <c r="H157" s="7"/>
      <c r="I157" s="1" t="s">
        <v>3</v>
      </c>
      <c r="J157" s="42">
        <f>VLOOKUP(G157,Прайс!B:E,4,0)</f>
        <v>60</v>
      </c>
      <c r="K157" s="2">
        <f>VLOOKUP(J157,Наценка!$A$1:$B$8,2,1)</f>
        <v>2.11</v>
      </c>
      <c r="L157" s="4">
        <f t="shared" si="36"/>
        <v>126.6</v>
      </c>
      <c r="M157" s="42">
        <f t="shared" si="37"/>
        <v>129</v>
      </c>
      <c r="N157" s="28">
        <f>VLOOKUP($A157,'Выгр Кат'!$A:$R,N$1,0)</f>
        <v>60</v>
      </c>
      <c r="O157" s="28">
        <f>VLOOKUP($A157,'Выгр Кат'!$A:$R,O$1,0)</f>
        <v>129</v>
      </c>
      <c r="P157" s="30">
        <f t="shared" si="30"/>
        <v>0</v>
      </c>
      <c r="Q157" s="30">
        <f t="shared" si="31"/>
        <v>0</v>
      </c>
      <c r="R157" s="36">
        <f t="shared" si="32"/>
        <v>119.97</v>
      </c>
      <c r="S157" s="64" t="str">
        <f>IFERROR((VLOOKUP($A157,'Из ГУГЛа'!$B:$G,6,0)+U157)*T157,VLOOKUP($A157,'Из ГУГЛа'!$B:$G,6,0))</f>
        <v/>
      </c>
      <c r="T157" s="38">
        <v>1</v>
      </c>
      <c r="U157" s="38">
        <v>0</v>
      </c>
      <c r="V157" s="39">
        <f t="shared" si="33"/>
        <v>0.99950000000000006</v>
      </c>
      <c r="W157" s="39" t="str">
        <f t="shared" si="34"/>
        <v/>
      </c>
      <c r="X157" s="39" t="str">
        <f t="shared" si="35"/>
        <v/>
      </c>
      <c r="Y157" s="65" t="s">
        <v>8364</v>
      </c>
      <c r="Z157" s="46"/>
    </row>
    <row r="158" spans="1:26" s="3" customFormat="1" ht="30" x14ac:dyDescent="0.25">
      <c r="A158" s="28">
        <v>131501</v>
      </c>
      <c r="B158" s="28">
        <f>VLOOKUP($A158,'Выгр Кат'!$A:$R,B$1,0)</f>
        <v>5534</v>
      </c>
      <c r="C158" s="27" t="str">
        <f>VLOOKUP($A158,'Выгр Кат'!$A:$R,C$1,0)</f>
        <v>Автомобильный компрессор TORNADO АС-580</v>
      </c>
      <c r="D158" s="28" t="str">
        <f>VLOOKUP($A158,'Выгр Кат'!$A:$R,D$1,0)</f>
        <v>Y</v>
      </c>
      <c r="E158" s="28" t="str">
        <f>VLOOKUP($A158,'Выгр Кат'!$A:$R,E$1,0)</f>
        <v>1</v>
      </c>
      <c r="F158" s="28" t="str">
        <f>VLOOKUP($A158,'Выгр Кат'!$A:$R,F$1,0)</f>
        <v>13041</v>
      </c>
      <c r="G158" s="4">
        <v>13041</v>
      </c>
      <c r="H158" s="4"/>
      <c r="I158" s="1" t="s">
        <v>3</v>
      </c>
      <c r="J158" s="42">
        <f>VLOOKUP(G158,Прайс!B:E,4,0)</f>
        <v>720</v>
      </c>
      <c r="K158" s="2">
        <f>VLOOKUP(J158,Наценка!$A$1:$B$8,2,1)</f>
        <v>1.63</v>
      </c>
      <c r="L158" s="4">
        <f t="shared" si="36"/>
        <v>1173.5999999999999</v>
      </c>
      <c r="M158" s="42">
        <f t="shared" si="37"/>
        <v>1190</v>
      </c>
      <c r="N158" s="28">
        <f>VLOOKUP($A158,'Выгр Кат'!$A:$R,N$1,0)</f>
        <v>750</v>
      </c>
      <c r="O158" s="28">
        <f>VLOOKUP($A158,'Выгр Кат'!$A:$R,O$1,0)</f>
        <v>1190</v>
      </c>
      <c r="P158" s="30">
        <f t="shared" si="30"/>
        <v>30</v>
      </c>
      <c r="Q158" s="30">
        <f t="shared" si="31"/>
        <v>0</v>
      </c>
      <c r="R158" s="36">
        <f t="shared" si="32"/>
        <v>1106.6999999999998</v>
      </c>
      <c r="S158" s="64" t="str">
        <f>IFERROR((VLOOKUP($A158,'Из ГУГЛа'!$B:$G,6,0)+U158)*T158,VLOOKUP($A158,'Из ГУГЛа'!$B:$G,6,0))</f>
        <v/>
      </c>
      <c r="T158" s="38">
        <v>1</v>
      </c>
      <c r="U158" s="38">
        <v>0</v>
      </c>
      <c r="V158" s="39">
        <f t="shared" si="33"/>
        <v>0.53708333333333313</v>
      </c>
      <c r="W158" s="39">
        <f t="shared" si="34"/>
        <v>7.0000000000000159E-2</v>
      </c>
      <c r="X158" s="39">
        <f t="shared" si="35"/>
        <v>0.65277777777777768</v>
      </c>
      <c r="Y158" s="65">
        <v>1190</v>
      </c>
      <c r="Z158" s="46" t="s">
        <v>8374</v>
      </c>
    </row>
    <row r="159" spans="1:26" s="3" customFormat="1" ht="60" x14ac:dyDescent="0.25">
      <c r="A159" s="28">
        <v>162675</v>
      </c>
      <c r="B159" s="28">
        <f>VLOOKUP($A159,'Выгр Кат'!$A:$R,B$1,0)</f>
        <v>16914</v>
      </c>
      <c r="C159" s="27" t="str">
        <f>VLOOKUP($A159,'Выгр Кат'!$A:$R,C$1,0)</f>
        <v>Крышка бензобака "С КОДОМ" железная, с замком для ВАЗ 2101-2107, Лада Нива 4х4 (карбюраторный двигатель)</v>
      </c>
      <c r="D159" s="28" t="str">
        <f>VLOOKUP($A159,'Выгр Кат'!$A:$R,D$1,0)</f>
        <v>Y</v>
      </c>
      <c r="E159" s="28" t="str">
        <f>VLOOKUP($A159,'Выгр Кат'!$A:$R,E$1,0)</f>
        <v>1</v>
      </c>
      <c r="F159" s="28" t="str">
        <f>VLOOKUP($A159,'Выгр Кат'!$A:$R,F$1,0)</f>
        <v>50194</v>
      </c>
      <c r="G159" s="7">
        <v>50194</v>
      </c>
      <c r="H159" s="7"/>
      <c r="I159" s="1" t="s">
        <v>3</v>
      </c>
      <c r="J159" s="42">
        <f>VLOOKUP(G159,Прайс!B:E,4,0)</f>
        <v>145</v>
      </c>
      <c r="K159" s="2">
        <f>VLOOKUP(J159,Наценка!$A$1:$B$8,2,1)</f>
        <v>1.89</v>
      </c>
      <c r="L159" s="4">
        <f t="shared" si="36"/>
        <v>274.05</v>
      </c>
      <c r="M159" s="42">
        <f t="shared" si="37"/>
        <v>279</v>
      </c>
      <c r="N159" s="28">
        <f>VLOOKUP($A159,'Выгр Кат'!$A:$R,N$1,0)</f>
        <v>145</v>
      </c>
      <c r="O159" s="28">
        <f>VLOOKUP($A159,'Выгр Кат'!$A:$R,O$1,0)</f>
        <v>279</v>
      </c>
      <c r="P159" s="30">
        <f t="shared" si="30"/>
        <v>0</v>
      </c>
      <c r="Q159" s="30">
        <f t="shared" si="31"/>
        <v>0</v>
      </c>
      <c r="R159" s="36">
        <f t="shared" si="32"/>
        <v>259.46999999999997</v>
      </c>
      <c r="S159" s="64" t="str">
        <f>IFERROR((VLOOKUP($A159,'Из ГУГЛа'!$B:$G,6,0)+U159)*T159,VLOOKUP($A159,'Из ГУГЛа'!$B:$G,6,0))</f>
        <v/>
      </c>
      <c r="T159" s="38">
        <v>1</v>
      </c>
      <c r="U159" s="38">
        <v>0</v>
      </c>
      <c r="V159" s="39">
        <f t="shared" si="33"/>
        <v>0.78944827586206867</v>
      </c>
      <c r="W159" s="39" t="str">
        <f t="shared" si="34"/>
        <v/>
      </c>
      <c r="X159" s="39" t="str">
        <f t="shared" si="35"/>
        <v/>
      </c>
      <c r="Y159" s="65" t="s">
        <v>8364</v>
      </c>
      <c r="Z159" s="46"/>
    </row>
    <row r="160" spans="1:26" s="3" customFormat="1" ht="75" x14ac:dyDescent="0.25">
      <c r="A160" s="28">
        <v>162679</v>
      </c>
      <c r="B160" s="28">
        <f>VLOOKUP($A160,'Выгр Кат'!$A:$R,B$1,0)</f>
        <v>16913</v>
      </c>
      <c r="C160" s="27" t="str">
        <f>VLOOKUP($A160,'Выгр Кат'!$A:$R,C$1,0)</f>
        <v>Крышка бензобака "С КОДОМ" 2108 с замком (железная) для ВАЗ (2108-21099, 2110-2112, 2113-2115), Лада (Калина, Калина 2, Приора, Гранта), Шевроле Нива</v>
      </c>
      <c r="D160" s="28" t="str">
        <f>VLOOKUP($A160,'Выгр Кат'!$A:$R,D$1,0)</f>
        <v>Y</v>
      </c>
      <c r="E160" s="28" t="str">
        <f>VLOOKUP($A160,'Выгр Кат'!$A:$R,E$1,0)</f>
        <v>1</v>
      </c>
      <c r="F160" s="28" t="str">
        <f>VLOOKUP($A160,'Выгр Кат'!$A:$R,F$1,0)</f>
        <v>50195</v>
      </c>
      <c r="G160" s="7">
        <v>50195</v>
      </c>
      <c r="H160" s="7"/>
      <c r="I160" s="1" t="s">
        <v>3</v>
      </c>
      <c r="J160" s="42">
        <f>VLOOKUP(G160,Прайс!B:E,4,0)</f>
        <v>145</v>
      </c>
      <c r="K160" s="2">
        <f>VLOOKUP(J160,Наценка!$A$1:$B$8,2,1)</f>
        <v>1.89</v>
      </c>
      <c r="L160" s="4">
        <f t="shared" si="36"/>
        <v>274.05</v>
      </c>
      <c r="M160" s="42">
        <f t="shared" si="37"/>
        <v>279</v>
      </c>
      <c r="N160" s="28">
        <f>VLOOKUP($A160,'Выгр Кат'!$A:$R,N$1,0)</f>
        <v>145</v>
      </c>
      <c r="O160" s="28">
        <f>VLOOKUP($A160,'Выгр Кат'!$A:$R,O$1,0)</f>
        <v>279</v>
      </c>
      <c r="P160" s="30">
        <f t="shared" si="30"/>
        <v>0</v>
      </c>
      <c r="Q160" s="30">
        <f t="shared" si="31"/>
        <v>0</v>
      </c>
      <c r="R160" s="36">
        <f t="shared" si="32"/>
        <v>259.46999999999997</v>
      </c>
      <c r="S160" s="64" t="str">
        <f>IFERROR((VLOOKUP($A160,'Из ГУГЛа'!$B:$G,6,0)+U160)*T160,VLOOKUP($A160,'Из ГУГЛа'!$B:$G,6,0))</f>
        <v/>
      </c>
      <c r="T160" s="38">
        <v>1</v>
      </c>
      <c r="U160" s="38">
        <v>0</v>
      </c>
      <c r="V160" s="39">
        <f t="shared" si="33"/>
        <v>0.78944827586206867</v>
      </c>
      <c r="W160" s="39" t="str">
        <f t="shared" si="34"/>
        <v/>
      </c>
      <c r="X160" s="39" t="str">
        <f t="shared" si="35"/>
        <v/>
      </c>
      <c r="Y160" s="65" t="s">
        <v>8364</v>
      </c>
      <c r="Z160" s="46"/>
    </row>
    <row r="161" spans="1:26" s="3" customFormat="1" ht="60" x14ac:dyDescent="0.25">
      <c r="A161" s="28">
        <v>162682</v>
      </c>
      <c r="B161" s="28">
        <f>VLOOKUP($A161,'Выгр Кат'!$A:$R,B$1,0)</f>
        <v>10034</v>
      </c>
      <c r="C161" s="27" t="str">
        <f>VLOOKUP($A161,'Выгр Кат'!$A:$R,C$1,0)</f>
        <v>Крышка бензобака 2108 с замком для ВАЗ (2108-21099, 2110-2112, 2113-2115), Лада (Калина, Калина 2, Приора, Гранта), Шевроле Нива</v>
      </c>
      <c r="D161" s="28" t="str">
        <f>VLOOKUP($A161,'Выгр Кат'!$A:$R,D$1,0)</f>
        <v>Y</v>
      </c>
      <c r="E161" s="28" t="str">
        <f>VLOOKUP($A161,'Выгр Кат'!$A:$R,E$1,0)</f>
        <v>1</v>
      </c>
      <c r="F161" s="28" t="str">
        <f>VLOOKUP($A161,'Выгр Кат'!$A:$R,F$1,0)</f>
        <v>50193</v>
      </c>
      <c r="G161" s="7">
        <v>50193</v>
      </c>
      <c r="H161" s="7"/>
      <c r="I161" s="1" t="s">
        <v>3</v>
      </c>
      <c r="J161" s="42">
        <f>VLOOKUP(G161,Прайс!B:E,4,0)</f>
        <v>105</v>
      </c>
      <c r="K161" s="2">
        <f>VLOOKUP(J161,Наценка!$A$1:$B$8,2,1)</f>
        <v>1.89</v>
      </c>
      <c r="L161" s="4">
        <f t="shared" si="36"/>
        <v>198.45</v>
      </c>
      <c r="M161" s="42">
        <f t="shared" si="37"/>
        <v>199</v>
      </c>
      <c r="N161" s="28">
        <f>VLOOKUP($A161,'Выгр Кат'!$A:$R,N$1,0)</f>
        <v>105</v>
      </c>
      <c r="O161" s="28">
        <f>VLOOKUP($A161,'Выгр Кат'!$A:$R,O$1,0)</f>
        <v>199</v>
      </c>
      <c r="P161" s="30">
        <f t="shared" si="30"/>
        <v>0</v>
      </c>
      <c r="Q161" s="30">
        <f t="shared" si="31"/>
        <v>0</v>
      </c>
      <c r="R161" s="36">
        <f t="shared" si="32"/>
        <v>185.07</v>
      </c>
      <c r="S161" s="64" t="str">
        <f>IFERROR((VLOOKUP($A161,'Из ГУГЛа'!$B:$G,6,0)+U161)*T161,VLOOKUP($A161,'Из ГУГЛа'!$B:$G,6,0))</f>
        <v/>
      </c>
      <c r="T161" s="38">
        <v>1</v>
      </c>
      <c r="U161" s="38">
        <v>0</v>
      </c>
      <c r="V161" s="39">
        <f t="shared" si="33"/>
        <v>0.76257142857142846</v>
      </c>
      <c r="W161" s="39">
        <f t="shared" si="34"/>
        <v>0.46971346704871064</v>
      </c>
      <c r="X161" s="39">
        <f t="shared" si="35"/>
        <v>2.323809523809524</v>
      </c>
      <c r="Y161" s="65">
        <v>349</v>
      </c>
      <c r="Z161" s="46" t="s">
        <v>8367</v>
      </c>
    </row>
    <row r="162" spans="1:26" s="3" customFormat="1" ht="30" x14ac:dyDescent="0.25">
      <c r="A162" s="28">
        <v>171024</v>
      </c>
      <c r="B162" s="28">
        <f>VLOOKUP($A162,'Выгр Кат'!$A:$R,B$1,0)</f>
        <v>11040</v>
      </c>
      <c r="C162" s="27" t="str">
        <f>VLOOKUP($A162,'Выгр Кат'!$A:$R,C$1,0)</f>
        <v>Наклейка "Ш" (шипы) 20х20 см по ГОСТу</v>
      </c>
      <c r="D162" s="28" t="str">
        <f>VLOOKUP($A162,'Выгр Кат'!$A:$R,D$1,0)</f>
        <v>Y</v>
      </c>
      <c r="E162" s="28" t="str">
        <f>VLOOKUP($A162,'Выгр Кат'!$A:$R,E$1,0)</f>
        <v>1</v>
      </c>
      <c r="F162" s="28" t="str">
        <f>VLOOKUP($A162,'Выгр Кат'!$A:$R,F$1,0)</f>
        <v>15003</v>
      </c>
      <c r="G162" s="7">
        <v>15003</v>
      </c>
      <c r="H162" s="7"/>
      <c r="I162" s="1" t="s">
        <v>3</v>
      </c>
      <c r="J162" s="42">
        <f>VLOOKUP(G162,Прайс!B:E,4,0)</f>
        <v>14</v>
      </c>
      <c r="K162" s="2">
        <f>VLOOKUP(J162,Наценка!$A$1:$B$8,2,1)</f>
        <v>2.11</v>
      </c>
      <c r="L162" s="4">
        <f t="shared" si="36"/>
        <v>29.54</v>
      </c>
      <c r="M162" s="42">
        <f t="shared" si="37"/>
        <v>29</v>
      </c>
      <c r="N162" s="28">
        <f>VLOOKUP($A162,'Выгр Кат'!$A:$R,N$1,0)</f>
        <v>14</v>
      </c>
      <c r="O162" s="28">
        <f>VLOOKUP($A162,'Выгр Кат'!$A:$R,O$1,0)</f>
        <v>29</v>
      </c>
      <c r="P162" s="30">
        <f t="shared" si="30"/>
        <v>0</v>
      </c>
      <c r="Q162" s="30">
        <f t="shared" si="31"/>
        <v>0</v>
      </c>
      <c r="R162" s="36">
        <f t="shared" si="32"/>
        <v>26.97</v>
      </c>
      <c r="S162" s="64" t="str">
        <f>IFERROR((VLOOKUP($A162,'Из ГУГЛа'!$B:$G,6,0)+U162)*T162,VLOOKUP($A162,'Из ГУГЛа'!$B:$G,6,0))</f>
        <v/>
      </c>
      <c r="T162" s="38">
        <v>1</v>
      </c>
      <c r="U162" s="38">
        <v>0</v>
      </c>
      <c r="V162" s="39">
        <f t="shared" si="33"/>
        <v>0.92642857142857138</v>
      </c>
      <c r="W162" s="39" t="str">
        <f t="shared" si="34"/>
        <v/>
      </c>
      <c r="X162" s="39" t="str">
        <f t="shared" si="35"/>
        <v/>
      </c>
      <c r="Y162" s="65" t="s">
        <v>8364</v>
      </c>
      <c r="Z162" s="46"/>
    </row>
    <row r="163" spans="1:26" s="3" customFormat="1" ht="30" x14ac:dyDescent="0.25">
      <c r="A163" s="28">
        <v>133066</v>
      </c>
      <c r="B163" s="28">
        <f>VLOOKUP($A163,'Выгр Кат'!$A:$R,B$1,0)</f>
        <v>6307</v>
      </c>
      <c r="C163" s="27" t="str">
        <f>VLOOKUP($A163,'Выгр Кат'!$A:$R,C$1,0)</f>
        <v>Ароматизатор воздуха "Car-Freshner" Елочка. Российский флаг</v>
      </c>
      <c r="D163" s="28" t="str">
        <f>VLOOKUP($A163,'Выгр Кат'!$A:$R,D$1,0)</f>
        <v>Y</v>
      </c>
      <c r="E163" s="28" t="str">
        <f>VLOOKUP($A163,'Выгр Кат'!$A:$R,E$1,0)</f>
        <v>1</v>
      </c>
      <c r="F163" s="28" t="str">
        <f>VLOOKUP($A163,'Выгр Кат'!$A:$R,F$1,0)</f>
        <v>70658</v>
      </c>
      <c r="G163" s="7">
        <v>70658</v>
      </c>
      <c r="H163" s="7"/>
      <c r="I163" s="1" t="s">
        <v>3</v>
      </c>
      <c r="J163" s="42">
        <f>VLOOKUP(G163,Прайс!B:E,4,0)</f>
        <v>110</v>
      </c>
      <c r="K163" s="2">
        <f>VLOOKUP(J163,Наценка!$A$1:$B$8,2,1)</f>
        <v>1.89</v>
      </c>
      <c r="L163" s="55">
        <f>Y163*1.05</f>
        <v>199.5</v>
      </c>
      <c r="M163" s="42">
        <f t="shared" si="37"/>
        <v>199</v>
      </c>
      <c r="N163" s="28">
        <f>VLOOKUP($A163,'Выгр Кат'!$A:$R,N$1,0)</f>
        <v>110</v>
      </c>
      <c r="O163" s="28">
        <f>VLOOKUP($A163,'Выгр Кат'!$A:$R,O$1,0)</f>
        <v>199</v>
      </c>
      <c r="P163" s="30">
        <f t="shared" si="30"/>
        <v>0</v>
      </c>
      <c r="Q163" s="30">
        <f t="shared" si="31"/>
        <v>0</v>
      </c>
      <c r="R163" s="36">
        <f t="shared" si="32"/>
        <v>185.07</v>
      </c>
      <c r="S163" s="64">
        <f>IFERROR((VLOOKUP($A163,'Из ГУГЛа'!$B:$G,6,0)+U163)*T163,VLOOKUP($A163,'Из ГУГЛа'!$B:$G,6,0))</f>
        <v>190</v>
      </c>
      <c r="T163" s="38">
        <v>1</v>
      </c>
      <c r="U163" s="38">
        <v>0</v>
      </c>
      <c r="V163" s="39">
        <f t="shared" si="33"/>
        <v>0.68245454545454542</v>
      </c>
      <c r="W163" s="39">
        <f t="shared" si="34"/>
        <v>2.5947368421052667E-2</v>
      </c>
      <c r="X163" s="39">
        <f t="shared" si="35"/>
        <v>0.72727272727272729</v>
      </c>
      <c r="Y163" s="48">
        <v>190</v>
      </c>
      <c r="Z163" s="46" t="s">
        <v>8055</v>
      </c>
    </row>
    <row r="164" spans="1:26" s="3" customFormat="1" ht="30" x14ac:dyDescent="0.25">
      <c r="A164" s="28">
        <v>133078</v>
      </c>
      <c r="B164" s="28">
        <f>VLOOKUP($A164,'Выгр Кат'!$A:$R,B$1,0)</f>
        <v>6305</v>
      </c>
      <c r="C164" s="27" t="str">
        <f>VLOOKUP($A164,'Выгр Кат'!$A:$R,C$1,0)</f>
        <v>Ароматизатор воздуха "Car-Freshner" Черный лед</v>
      </c>
      <c r="D164" s="28" t="str">
        <f>VLOOKUP($A164,'Выгр Кат'!$A:$R,D$1,0)</f>
        <v>Y</v>
      </c>
      <c r="E164" s="28" t="str">
        <f>VLOOKUP($A164,'Выгр Кат'!$A:$R,E$1,0)</f>
        <v>1</v>
      </c>
      <c r="F164" s="28" t="str">
        <f>VLOOKUP($A164,'Выгр Кат'!$A:$R,F$1,0)</f>
        <v>70665</v>
      </c>
      <c r="G164" s="7">
        <v>70665</v>
      </c>
      <c r="H164" s="7"/>
      <c r="I164" s="1" t="s">
        <v>3</v>
      </c>
      <c r="J164" s="42">
        <f>VLOOKUP(G164,Прайс!B:E,4,0)</f>
        <v>110</v>
      </c>
      <c r="K164" s="2">
        <f>VLOOKUP(J164,Наценка!$A$1:$B$8,2,1)</f>
        <v>1.89</v>
      </c>
      <c r="L164" s="55">
        <f>Y164*1.05</f>
        <v>199.5</v>
      </c>
      <c r="M164" s="42">
        <f t="shared" si="37"/>
        <v>199</v>
      </c>
      <c r="N164" s="28">
        <f>VLOOKUP($A164,'Выгр Кат'!$A:$R,N$1,0)</f>
        <v>110</v>
      </c>
      <c r="O164" s="28">
        <f>VLOOKUP($A164,'Выгр Кат'!$A:$R,O$1,0)</f>
        <v>199</v>
      </c>
      <c r="P164" s="30">
        <f t="shared" si="30"/>
        <v>0</v>
      </c>
      <c r="Q164" s="30">
        <f t="shared" si="31"/>
        <v>0</v>
      </c>
      <c r="R164" s="36">
        <f t="shared" si="32"/>
        <v>185.07</v>
      </c>
      <c r="S164" s="64">
        <f>IFERROR((VLOOKUP($A164,'Из ГУГЛа'!$B:$G,6,0)+U164)*T164,VLOOKUP($A164,'Из ГУГЛа'!$B:$G,6,0))</f>
        <v>190</v>
      </c>
      <c r="T164" s="38">
        <v>1</v>
      </c>
      <c r="U164" s="38">
        <v>0</v>
      </c>
      <c r="V164" s="39">
        <f t="shared" si="33"/>
        <v>0.68245454545454542</v>
      </c>
      <c r="W164" s="39">
        <f t="shared" si="34"/>
        <v>2.5947368421052667E-2</v>
      </c>
      <c r="X164" s="39">
        <f t="shared" si="35"/>
        <v>0.72727272727272729</v>
      </c>
      <c r="Y164" s="48">
        <v>190</v>
      </c>
      <c r="Z164" s="46" t="s">
        <v>8055</v>
      </c>
    </row>
    <row r="165" spans="1:26" s="3" customFormat="1" ht="45" x14ac:dyDescent="0.25">
      <c r="A165" s="28">
        <v>185767</v>
      </c>
      <c r="B165" s="28">
        <f>VLOOKUP($A165,'Выгр Кат'!$A:$R,B$1,0)</f>
        <v>6333</v>
      </c>
      <c r="C165" s="27" t="str">
        <f>VLOOKUP($A165,'Выгр Кат'!$A:$R,C$1,0)</f>
        <v>Освежитель воздуха Areon FRESCO "бутылочка в дереве" Lily of the Valley</v>
      </c>
      <c r="D165" s="28" t="str">
        <f>VLOOKUP($A165,'Выгр Кат'!$A:$R,D$1,0)</f>
        <v>Y</v>
      </c>
      <c r="E165" s="28" t="str">
        <f>VLOOKUP($A165,'Выгр Кат'!$A:$R,E$1,0)</f>
        <v>1</v>
      </c>
      <c r="F165" s="28" t="str">
        <f>VLOOKUP($A165,'Выгр Кат'!$A:$R,F$1,0)</f>
        <v>70066</v>
      </c>
      <c r="G165" s="7">
        <v>70066</v>
      </c>
      <c r="H165" s="7"/>
      <c r="I165" s="1" t="s">
        <v>3</v>
      </c>
      <c r="J165" s="42">
        <f>VLOOKUP(G165,Прайс!B:E,4,0)</f>
        <v>140</v>
      </c>
      <c r="K165" s="2">
        <f>VLOOKUP(J165,Наценка!$A$1:$B$8,2,1)</f>
        <v>1.89</v>
      </c>
      <c r="L165" s="4">
        <f t="shared" si="36"/>
        <v>264.59999999999997</v>
      </c>
      <c r="M165" s="42">
        <f t="shared" si="37"/>
        <v>269</v>
      </c>
      <c r="N165" s="28">
        <f>VLOOKUP($A165,'Выгр Кат'!$A:$R,N$1,0)</f>
        <v>140</v>
      </c>
      <c r="O165" s="28">
        <f>VLOOKUP($A165,'Выгр Кат'!$A:$R,O$1,0)</f>
        <v>269</v>
      </c>
      <c r="P165" s="30">
        <f t="shared" si="30"/>
        <v>0</v>
      </c>
      <c r="Q165" s="30">
        <f t="shared" si="31"/>
        <v>0</v>
      </c>
      <c r="R165" s="36">
        <f t="shared" si="32"/>
        <v>250.17</v>
      </c>
      <c r="S165" s="64">
        <f>IFERROR((VLOOKUP($A165,'Из ГУГЛа'!$B:$G,6,0)+U165)*T165,VLOOKUP($A165,'Из ГУГЛа'!$B:$G,6,0))</f>
        <v>290</v>
      </c>
      <c r="T165" s="38">
        <v>1</v>
      </c>
      <c r="U165" s="38">
        <v>0</v>
      </c>
      <c r="V165" s="39">
        <f t="shared" si="33"/>
        <v>0.78692857142857142</v>
      </c>
      <c r="W165" s="39">
        <f t="shared" si="34"/>
        <v>0.13734482758620695</v>
      </c>
      <c r="X165" s="39">
        <f t="shared" si="35"/>
        <v>1.0714285714285716</v>
      </c>
      <c r="Y165" s="40">
        <v>290</v>
      </c>
      <c r="Z165" s="46" t="s">
        <v>8073</v>
      </c>
    </row>
    <row r="166" spans="1:26" s="3" customFormat="1" ht="30" x14ac:dyDescent="0.25">
      <c r="A166" s="28">
        <v>185770</v>
      </c>
      <c r="B166" s="28">
        <f>VLOOKUP($A166,'Выгр Кат'!$A:$R,B$1,0)</f>
        <v>6334</v>
      </c>
      <c r="C166" s="27" t="str">
        <f>VLOOKUP($A166,'Выгр Кат'!$A:$R,C$1,0)</f>
        <v>Освежитель воздуха Areon FRESCO "бутылочка в дереве" Oxygen</v>
      </c>
      <c r="D166" s="28" t="str">
        <f>VLOOKUP($A166,'Выгр Кат'!$A:$R,D$1,0)</f>
        <v>Y</v>
      </c>
      <c r="E166" s="28" t="str">
        <f>VLOOKUP($A166,'Выгр Кат'!$A:$R,E$1,0)</f>
        <v>1</v>
      </c>
      <c r="F166" s="28" t="str">
        <f>VLOOKUP($A166,'Выгр Кат'!$A:$R,F$1,0)</f>
        <v>70062</v>
      </c>
      <c r="G166" s="7">
        <v>70062</v>
      </c>
      <c r="H166" s="7"/>
      <c r="I166" s="1" t="s">
        <v>3</v>
      </c>
      <c r="J166" s="42">
        <f>VLOOKUP(G166,Прайс!B:E,4,0)</f>
        <v>140</v>
      </c>
      <c r="K166" s="2">
        <f>VLOOKUP(J166,Наценка!$A$1:$B$8,2,1)</f>
        <v>1.89</v>
      </c>
      <c r="L166" s="4">
        <f t="shared" si="36"/>
        <v>264.59999999999997</v>
      </c>
      <c r="M166" s="42">
        <f t="shared" si="37"/>
        <v>269</v>
      </c>
      <c r="N166" s="28">
        <f>VLOOKUP($A166,'Выгр Кат'!$A:$R,N$1,0)</f>
        <v>140</v>
      </c>
      <c r="O166" s="28">
        <f>VLOOKUP($A166,'Выгр Кат'!$A:$R,O$1,0)</f>
        <v>269</v>
      </c>
      <c r="P166" s="30">
        <f t="shared" si="30"/>
        <v>0</v>
      </c>
      <c r="Q166" s="30">
        <f t="shared" si="31"/>
        <v>0</v>
      </c>
      <c r="R166" s="36">
        <f t="shared" si="32"/>
        <v>250.17</v>
      </c>
      <c r="S166" s="64">
        <f>IFERROR((VLOOKUP($A166,'Из ГУГЛа'!$B:$G,6,0)+U166)*T166,VLOOKUP($A166,'Из ГУГЛа'!$B:$G,6,0))</f>
        <v>290</v>
      </c>
      <c r="T166" s="38">
        <v>1</v>
      </c>
      <c r="U166" s="38">
        <v>0</v>
      </c>
      <c r="V166" s="39">
        <f t="shared" si="33"/>
        <v>0.78692857142857142</v>
      </c>
      <c r="W166" s="39">
        <f t="shared" si="34"/>
        <v>0.13734482758620695</v>
      </c>
      <c r="X166" s="39">
        <f t="shared" si="35"/>
        <v>1.0714285714285716</v>
      </c>
      <c r="Y166" s="40">
        <v>290</v>
      </c>
      <c r="Z166" s="46" t="s">
        <v>8073</v>
      </c>
    </row>
    <row r="167" spans="1:26" s="3" customFormat="1" ht="30" x14ac:dyDescent="0.25">
      <c r="A167" s="28">
        <v>185773</v>
      </c>
      <c r="B167" s="28">
        <f>VLOOKUP($A167,'Выгр Кат'!$A:$R,B$1,0)</f>
        <v>6335</v>
      </c>
      <c r="C167" s="27" t="str">
        <f>VLOOKUP($A167,'Выгр Кат'!$A:$R,C$1,0)</f>
        <v>Освежитель воздуха Areon FRESCO "бутылочка в дереве" Tortuga (Ocean)</v>
      </c>
      <c r="D167" s="28" t="str">
        <f>VLOOKUP($A167,'Выгр Кат'!$A:$R,D$1,0)</f>
        <v>Y</v>
      </c>
      <c r="E167" s="28" t="str">
        <f>VLOOKUP($A167,'Выгр Кат'!$A:$R,E$1,0)</f>
        <v>1</v>
      </c>
      <c r="F167" s="28" t="str">
        <f>VLOOKUP($A167,'Выгр Кат'!$A:$R,F$1,0)</f>
        <v>70071</v>
      </c>
      <c r="G167" s="7">
        <v>70071</v>
      </c>
      <c r="H167" s="7"/>
      <c r="I167" s="1" t="s">
        <v>3</v>
      </c>
      <c r="J167" s="42">
        <f>VLOOKUP(G167,Прайс!B:E,4,0)</f>
        <v>140</v>
      </c>
      <c r="K167" s="2">
        <f>VLOOKUP(J167,Наценка!$A$1:$B$8,2,1)</f>
        <v>1.89</v>
      </c>
      <c r="L167" s="4">
        <f t="shared" si="36"/>
        <v>264.59999999999997</v>
      </c>
      <c r="M167" s="42">
        <f t="shared" si="37"/>
        <v>269</v>
      </c>
      <c r="N167" s="28">
        <f>VLOOKUP($A167,'Выгр Кат'!$A:$R,N$1,0)</f>
        <v>140</v>
      </c>
      <c r="O167" s="28">
        <f>VLOOKUP($A167,'Выгр Кат'!$A:$R,O$1,0)</f>
        <v>269</v>
      </c>
      <c r="P167" s="30">
        <f t="shared" si="30"/>
        <v>0</v>
      </c>
      <c r="Q167" s="30">
        <f t="shared" si="31"/>
        <v>0</v>
      </c>
      <c r="R167" s="36">
        <f t="shared" si="32"/>
        <v>250.17</v>
      </c>
      <c r="S167" s="64">
        <f>IFERROR((VLOOKUP($A167,'Из ГУГЛа'!$B:$G,6,0)+U167)*T167,VLOOKUP($A167,'Из ГУГЛа'!$B:$G,6,0))</f>
        <v>290</v>
      </c>
      <c r="T167" s="38">
        <v>1</v>
      </c>
      <c r="U167" s="38">
        <v>0</v>
      </c>
      <c r="V167" s="39">
        <f t="shared" si="33"/>
        <v>0.78692857142857142</v>
      </c>
      <c r="W167" s="39">
        <f t="shared" si="34"/>
        <v>0.13734482758620695</v>
      </c>
      <c r="X167" s="39">
        <f t="shared" si="35"/>
        <v>1.0714285714285716</v>
      </c>
      <c r="Y167" s="40">
        <v>290</v>
      </c>
      <c r="Z167" s="46" t="s">
        <v>8073</v>
      </c>
    </row>
    <row r="168" spans="1:26" s="3" customFormat="1" ht="30" x14ac:dyDescent="0.25">
      <c r="A168" s="28">
        <v>185760</v>
      </c>
      <c r="B168" s="28">
        <f>VLOOKUP($A168,'Выгр Кат'!$A:$R,B$1,0)</f>
        <v>6329</v>
      </c>
      <c r="C168" s="27" t="str">
        <f>VLOOKUP($A168,'Выгр Кат'!$A:$R,C$1,0)</f>
        <v>Освежитель воздуха Areon FRESCO "бутылочка в дереве" Apple</v>
      </c>
      <c r="D168" s="28" t="str">
        <f>VLOOKUP($A168,'Выгр Кат'!$A:$R,D$1,0)</f>
        <v>Y</v>
      </c>
      <c r="E168" s="28" t="str">
        <f>VLOOKUP($A168,'Выгр Кат'!$A:$R,E$1,0)</f>
        <v>1</v>
      </c>
      <c r="F168" s="28" t="str">
        <f>VLOOKUP($A168,'Выгр Кат'!$A:$R,F$1,0)</f>
        <v>70074</v>
      </c>
      <c r="G168" s="7">
        <v>70074</v>
      </c>
      <c r="H168" s="7"/>
      <c r="I168" s="1" t="s">
        <v>3</v>
      </c>
      <c r="J168" s="42">
        <f>VLOOKUP(G168,Прайс!B:E,4,0)</f>
        <v>140</v>
      </c>
      <c r="K168" s="2">
        <f>VLOOKUP(J168,Наценка!$A$1:$B$8,2,1)</f>
        <v>1.89</v>
      </c>
      <c r="L168" s="4">
        <f t="shared" si="36"/>
        <v>264.59999999999997</v>
      </c>
      <c r="M168" s="42">
        <f t="shared" si="37"/>
        <v>269</v>
      </c>
      <c r="N168" s="28">
        <f>VLOOKUP($A168,'Выгр Кат'!$A:$R,N$1,0)</f>
        <v>140</v>
      </c>
      <c r="O168" s="28">
        <f>VLOOKUP($A168,'Выгр Кат'!$A:$R,O$1,0)</f>
        <v>269</v>
      </c>
      <c r="P168" s="30">
        <f t="shared" si="30"/>
        <v>0</v>
      </c>
      <c r="Q168" s="30">
        <f t="shared" si="31"/>
        <v>0</v>
      </c>
      <c r="R168" s="36">
        <f t="shared" si="32"/>
        <v>250.17</v>
      </c>
      <c r="S168" s="64">
        <f>IFERROR((VLOOKUP($A168,'Из ГУГЛа'!$B:$G,6,0)+U168)*T168,VLOOKUP($A168,'Из ГУГЛа'!$B:$G,6,0))</f>
        <v>290</v>
      </c>
      <c r="T168" s="38">
        <v>1</v>
      </c>
      <c r="U168" s="38">
        <v>0</v>
      </c>
      <c r="V168" s="39">
        <f t="shared" si="33"/>
        <v>0.78692857142857142</v>
      </c>
      <c r="W168" s="39">
        <f t="shared" si="34"/>
        <v>0.13734482758620695</v>
      </c>
      <c r="X168" s="39">
        <f t="shared" si="35"/>
        <v>1.0714285714285716</v>
      </c>
      <c r="Y168" s="40">
        <v>290</v>
      </c>
      <c r="Z168" s="46" t="s">
        <v>8073</v>
      </c>
    </row>
    <row r="169" spans="1:26" s="3" customFormat="1" ht="30" x14ac:dyDescent="0.25">
      <c r="A169" s="28">
        <v>185761</v>
      </c>
      <c r="B169" s="28">
        <f>VLOOKUP($A169,'Выгр Кат'!$A:$R,B$1,0)</f>
        <v>6327</v>
      </c>
      <c r="C169" s="27" t="str">
        <f>VLOOKUP($A169,'Выгр Кат'!$A:$R,C$1,0)</f>
        <v>Освежитель воздуха Areon FRESCO "бутылочка в дереве" Black Crystal</v>
      </c>
      <c r="D169" s="28" t="str">
        <f>VLOOKUP($A169,'Выгр Кат'!$A:$R,D$1,0)</f>
        <v>Y</v>
      </c>
      <c r="E169" s="28" t="str">
        <f>VLOOKUP($A169,'Выгр Кат'!$A:$R,E$1,0)</f>
        <v>1</v>
      </c>
      <c r="F169" s="28" t="str">
        <f>VLOOKUP($A169,'Выгр Кат'!$A:$R,F$1,0)</f>
        <v>70057</v>
      </c>
      <c r="G169" s="7">
        <v>70057</v>
      </c>
      <c r="H169" s="7"/>
      <c r="I169" s="1" t="s">
        <v>3</v>
      </c>
      <c r="J169" s="42">
        <f>VLOOKUP(G169,Прайс!B:E,4,0)</f>
        <v>140</v>
      </c>
      <c r="K169" s="2">
        <f>VLOOKUP(J169,Наценка!$A$1:$B$8,2,1)</f>
        <v>1.89</v>
      </c>
      <c r="L169" s="4">
        <f t="shared" si="36"/>
        <v>264.59999999999997</v>
      </c>
      <c r="M169" s="42">
        <f t="shared" si="37"/>
        <v>269</v>
      </c>
      <c r="N169" s="28">
        <f>VLOOKUP($A169,'Выгр Кат'!$A:$R,N$1,0)</f>
        <v>140</v>
      </c>
      <c r="O169" s="28">
        <f>VLOOKUP($A169,'Выгр Кат'!$A:$R,O$1,0)</f>
        <v>269</v>
      </c>
      <c r="P169" s="30">
        <f t="shared" si="30"/>
        <v>0</v>
      </c>
      <c r="Q169" s="30">
        <f t="shared" si="31"/>
        <v>0</v>
      </c>
      <c r="R169" s="36">
        <f t="shared" si="32"/>
        <v>250.17</v>
      </c>
      <c r="S169" s="64">
        <f>IFERROR((VLOOKUP($A169,'Из ГУГЛа'!$B:$G,6,0)+U169)*T169,VLOOKUP($A169,'Из ГУГЛа'!$B:$G,6,0))</f>
        <v>290</v>
      </c>
      <c r="T169" s="38">
        <v>1</v>
      </c>
      <c r="U169" s="38">
        <v>0</v>
      </c>
      <c r="V169" s="39">
        <f t="shared" si="33"/>
        <v>0.78692857142857142</v>
      </c>
      <c r="W169" s="39">
        <f t="shared" si="34"/>
        <v>0.13734482758620695</v>
      </c>
      <c r="X169" s="39">
        <f t="shared" si="35"/>
        <v>1.0714285714285716</v>
      </c>
      <c r="Y169" s="40">
        <v>290</v>
      </c>
      <c r="Z169" s="46" t="s">
        <v>8073</v>
      </c>
    </row>
    <row r="170" spans="1:26" s="3" customFormat="1" ht="30" x14ac:dyDescent="0.25">
      <c r="A170" s="28">
        <v>185762</v>
      </c>
      <c r="B170" s="28">
        <f>VLOOKUP($A170,'Выгр Кат'!$A:$R,B$1,0)</f>
        <v>6320</v>
      </c>
      <c r="C170" s="27" t="str">
        <f>VLOOKUP($A170,'Выгр Кат'!$A:$R,C$1,0)</f>
        <v>Освежитель воздуха Areon FRESCO "бутылочка в дереве" Bubble Gum</v>
      </c>
      <c r="D170" s="28" t="str">
        <f>VLOOKUP($A170,'Выгр Кат'!$A:$R,D$1,0)</f>
        <v>Y</v>
      </c>
      <c r="E170" s="28" t="str">
        <f>VLOOKUP($A170,'Выгр Кат'!$A:$R,E$1,0)</f>
        <v>1</v>
      </c>
      <c r="F170" s="28" t="str">
        <f>VLOOKUP($A170,'Выгр Кат'!$A:$R,F$1,0)</f>
        <v>70058</v>
      </c>
      <c r="G170" s="7">
        <v>70058</v>
      </c>
      <c r="H170" s="7"/>
      <c r="I170" s="1" t="s">
        <v>3</v>
      </c>
      <c r="J170" s="42">
        <f>VLOOKUP(G170,Прайс!B:E,4,0)</f>
        <v>140</v>
      </c>
      <c r="K170" s="2">
        <f>VLOOKUP(J170,Наценка!$A$1:$B$8,2,1)</f>
        <v>1.89</v>
      </c>
      <c r="L170" s="4">
        <f t="shared" si="36"/>
        <v>264.59999999999997</v>
      </c>
      <c r="M170" s="42">
        <f t="shared" si="37"/>
        <v>269</v>
      </c>
      <c r="N170" s="28">
        <f>VLOOKUP($A170,'Выгр Кат'!$A:$R,N$1,0)</f>
        <v>140</v>
      </c>
      <c r="O170" s="28">
        <f>VLOOKUP($A170,'Выгр Кат'!$A:$R,O$1,0)</f>
        <v>269</v>
      </c>
      <c r="P170" s="30">
        <f t="shared" si="30"/>
        <v>0</v>
      </c>
      <c r="Q170" s="30">
        <f t="shared" si="31"/>
        <v>0</v>
      </c>
      <c r="R170" s="36">
        <f t="shared" si="32"/>
        <v>250.17</v>
      </c>
      <c r="S170" s="64">
        <f>IFERROR((VLOOKUP($A170,'Из ГУГЛа'!$B:$G,6,0)+U170)*T170,VLOOKUP($A170,'Из ГУГЛа'!$B:$G,6,0))</f>
        <v>290</v>
      </c>
      <c r="T170" s="38">
        <v>1</v>
      </c>
      <c r="U170" s="38">
        <v>0</v>
      </c>
      <c r="V170" s="39">
        <f t="shared" si="33"/>
        <v>0.78692857142857142</v>
      </c>
      <c r="W170" s="39">
        <f t="shared" si="34"/>
        <v>0.13734482758620695</v>
      </c>
      <c r="X170" s="39">
        <f t="shared" si="35"/>
        <v>1.0714285714285716</v>
      </c>
      <c r="Y170" s="40">
        <v>290</v>
      </c>
      <c r="Z170" s="46" t="s">
        <v>8073</v>
      </c>
    </row>
    <row r="171" spans="1:26" s="3" customFormat="1" ht="30" x14ac:dyDescent="0.25">
      <c r="A171" s="28">
        <v>185763</v>
      </c>
      <c r="B171" s="28">
        <f>VLOOKUP($A171,'Выгр Кат'!$A:$R,B$1,0)</f>
        <v>6321</v>
      </c>
      <c r="C171" s="27" t="str">
        <f>VLOOKUP($A171,'Выгр Кат'!$A:$R,C$1,0)</f>
        <v>Освежитель воздуха Areon FRESCO "бутылочка в дереве" Coconut</v>
      </c>
      <c r="D171" s="28" t="str">
        <f>VLOOKUP($A171,'Выгр Кат'!$A:$R,D$1,0)</f>
        <v>Y</v>
      </c>
      <c r="E171" s="28" t="str">
        <f>VLOOKUP($A171,'Выгр Кат'!$A:$R,E$1,0)</f>
        <v>1</v>
      </c>
      <c r="F171" s="28" t="str">
        <f>VLOOKUP($A171,'Выгр Кат'!$A:$R,F$1,0)</f>
        <v>70064</v>
      </c>
      <c r="G171" s="7">
        <v>70064</v>
      </c>
      <c r="H171" s="7"/>
      <c r="I171" s="1" t="s">
        <v>3</v>
      </c>
      <c r="J171" s="42">
        <f>VLOOKUP(G171,Прайс!B:E,4,0)</f>
        <v>140</v>
      </c>
      <c r="K171" s="2">
        <f>VLOOKUP(J171,Наценка!$A$1:$B$8,2,1)</f>
        <v>1.89</v>
      </c>
      <c r="L171" s="4">
        <f t="shared" si="36"/>
        <v>264.59999999999997</v>
      </c>
      <c r="M171" s="42">
        <f t="shared" si="37"/>
        <v>269</v>
      </c>
      <c r="N171" s="28">
        <f>VLOOKUP($A171,'Выгр Кат'!$A:$R,N$1,0)</f>
        <v>140</v>
      </c>
      <c r="O171" s="28">
        <f>VLOOKUP($A171,'Выгр Кат'!$A:$R,O$1,0)</f>
        <v>269</v>
      </c>
      <c r="P171" s="30">
        <f t="shared" si="30"/>
        <v>0</v>
      </c>
      <c r="Q171" s="30">
        <f t="shared" si="31"/>
        <v>0</v>
      </c>
      <c r="R171" s="36">
        <f t="shared" si="32"/>
        <v>250.17</v>
      </c>
      <c r="S171" s="64">
        <f>IFERROR((VLOOKUP($A171,'Из ГУГЛа'!$B:$G,6,0)+U171)*T171,VLOOKUP($A171,'Из ГУГЛа'!$B:$G,6,0))</f>
        <v>290</v>
      </c>
      <c r="T171" s="38">
        <v>1</v>
      </c>
      <c r="U171" s="38">
        <v>0</v>
      </c>
      <c r="V171" s="39">
        <f t="shared" si="33"/>
        <v>0.78692857142857142</v>
      </c>
      <c r="W171" s="39">
        <f t="shared" si="34"/>
        <v>0.13734482758620695</v>
      </c>
      <c r="X171" s="39">
        <f t="shared" si="35"/>
        <v>1.0714285714285716</v>
      </c>
      <c r="Y171" s="40">
        <v>290</v>
      </c>
      <c r="Z171" s="46" t="s">
        <v>8073</v>
      </c>
    </row>
    <row r="172" spans="1:26" s="3" customFormat="1" ht="30" x14ac:dyDescent="0.25">
      <c r="A172" s="28">
        <v>185764</v>
      </c>
      <c r="B172" s="28">
        <f>VLOOKUP($A172,'Выгр Кат'!$A:$R,B$1,0)</f>
        <v>6322</v>
      </c>
      <c r="C172" s="27" t="str">
        <f>VLOOKUP($A172,'Выгр Кат'!$A:$R,C$1,0)</f>
        <v>Освежитель воздуха Areon FRESCO "бутылочка в дереве" Coffee</v>
      </c>
      <c r="D172" s="28" t="str">
        <f>VLOOKUP($A172,'Выгр Кат'!$A:$R,D$1,0)</f>
        <v>Y</v>
      </c>
      <c r="E172" s="28" t="str">
        <f>VLOOKUP($A172,'Выгр Кат'!$A:$R,E$1,0)</f>
        <v>1</v>
      </c>
      <c r="F172" s="28" t="str">
        <f>VLOOKUP($A172,'Выгр Кат'!$A:$R,F$1,0)</f>
        <v>70065</v>
      </c>
      <c r="G172" s="7">
        <v>70065</v>
      </c>
      <c r="H172" s="7"/>
      <c r="I172" s="1" t="s">
        <v>3</v>
      </c>
      <c r="J172" s="42">
        <f>VLOOKUP(G172,Прайс!B:E,4,0)</f>
        <v>140</v>
      </c>
      <c r="K172" s="2">
        <f>VLOOKUP(J172,Наценка!$A$1:$B$8,2,1)</f>
        <v>1.89</v>
      </c>
      <c r="L172" s="4">
        <f t="shared" si="36"/>
        <v>264.59999999999997</v>
      </c>
      <c r="M172" s="42">
        <f t="shared" si="37"/>
        <v>269</v>
      </c>
      <c r="N172" s="28">
        <f>VLOOKUP($A172,'Выгр Кат'!$A:$R,N$1,0)</f>
        <v>140</v>
      </c>
      <c r="O172" s="28">
        <f>VLOOKUP($A172,'Выгр Кат'!$A:$R,O$1,0)</f>
        <v>269</v>
      </c>
      <c r="P172" s="30">
        <f t="shared" si="30"/>
        <v>0</v>
      </c>
      <c r="Q172" s="30">
        <f t="shared" si="31"/>
        <v>0</v>
      </c>
      <c r="R172" s="36">
        <f t="shared" si="32"/>
        <v>250.17</v>
      </c>
      <c r="S172" s="64">
        <f>IFERROR((VLOOKUP($A172,'Из ГУГЛа'!$B:$G,6,0)+U172)*T172,VLOOKUP($A172,'Из ГУГЛа'!$B:$G,6,0))</f>
        <v>290</v>
      </c>
      <c r="T172" s="38">
        <v>1</v>
      </c>
      <c r="U172" s="38">
        <v>0</v>
      </c>
      <c r="V172" s="39">
        <f t="shared" si="33"/>
        <v>0.78692857142857142</v>
      </c>
      <c r="W172" s="39">
        <f t="shared" si="34"/>
        <v>0.13734482758620695</v>
      </c>
      <c r="X172" s="39">
        <f t="shared" si="35"/>
        <v>1.0714285714285716</v>
      </c>
      <c r="Y172" s="40">
        <v>290</v>
      </c>
      <c r="Z172" s="46" t="s">
        <v>8073</v>
      </c>
    </row>
    <row r="173" spans="1:26" s="3" customFormat="1" ht="30" x14ac:dyDescent="0.25">
      <c r="A173" s="28">
        <v>185765</v>
      </c>
      <c r="B173" s="28">
        <f>VLOOKUP($A173,'Выгр Кат'!$A:$R,B$1,0)</f>
        <v>6323</v>
      </c>
      <c r="C173" s="27" t="str">
        <f>VLOOKUP($A173,'Выгр Кат'!$A:$R,C$1,0)</f>
        <v>Освежитель воздуха Areon FRESCO "бутылочка в дереве" Hawaii</v>
      </c>
      <c r="D173" s="28" t="str">
        <f>VLOOKUP($A173,'Выгр Кат'!$A:$R,D$1,0)</f>
        <v>Y</v>
      </c>
      <c r="E173" s="28" t="str">
        <f>VLOOKUP($A173,'Выгр Кат'!$A:$R,E$1,0)</f>
        <v>1</v>
      </c>
      <c r="F173" s="28" t="str">
        <f>VLOOKUP($A173,'Выгр Кат'!$A:$R,F$1,0)</f>
        <v>70060</v>
      </c>
      <c r="G173" s="7">
        <v>70060</v>
      </c>
      <c r="H173" s="7"/>
      <c r="I173" s="1" t="s">
        <v>3</v>
      </c>
      <c r="J173" s="42">
        <f>VLOOKUP(G173,Прайс!B:E,4,0)</f>
        <v>140</v>
      </c>
      <c r="K173" s="2">
        <f>VLOOKUP(J173,Наценка!$A$1:$B$8,2,1)</f>
        <v>1.89</v>
      </c>
      <c r="L173" s="4">
        <f t="shared" si="36"/>
        <v>264.59999999999997</v>
      </c>
      <c r="M173" s="42">
        <f t="shared" si="37"/>
        <v>269</v>
      </c>
      <c r="N173" s="28">
        <f>VLOOKUP($A173,'Выгр Кат'!$A:$R,N$1,0)</f>
        <v>140</v>
      </c>
      <c r="O173" s="28">
        <f>VLOOKUP($A173,'Выгр Кат'!$A:$R,O$1,0)</f>
        <v>269</v>
      </c>
      <c r="P173" s="30">
        <f t="shared" si="30"/>
        <v>0</v>
      </c>
      <c r="Q173" s="30">
        <f t="shared" si="31"/>
        <v>0</v>
      </c>
      <c r="R173" s="36">
        <f t="shared" si="32"/>
        <v>250.17</v>
      </c>
      <c r="S173" s="64">
        <f>IFERROR((VLOOKUP($A173,'Из ГУГЛа'!$B:$G,6,0)+U173)*T173,VLOOKUP($A173,'Из ГУГЛа'!$B:$G,6,0))</f>
        <v>290</v>
      </c>
      <c r="T173" s="38">
        <v>1</v>
      </c>
      <c r="U173" s="38">
        <v>0</v>
      </c>
      <c r="V173" s="39">
        <f t="shared" si="33"/>
        <v>0.78692857142857142</v>
      </c>
      <c r="W173" s="39">
        <f t="shared" si="34"/>
        <v>0.13734482758620695</v>
      </c>
      <c r="X173" s="39">
        <f t="shared" si="35"/>
        <v>1.0714285714285716</v>
      </c>
      <c r="Y173" s="40">
        <v>290</v>
      </c>
      <c r="Z173" s="46" t="s">
        <v>8073</v>
      </c>
    </row>
    <row r="174" spans="1:26" s="3" customFormat="1" ht="30" x14ac:dyDescent="0.25">
      <c r="A174" s="28">
        <v>185776</v>
      </c>
      <c r="B174" s="28">
        <f>VLOOKUP($A174,'Выгр Кат'!$A:$R,B$1,0)</f>
        <v>23337</v>
      </c>
      <c r="C174" s="27" t="str">
        <f>VLOOKUP($A174,'Выгр Кат'!$A:$R,C$1,0)</f>
        <v>Освежитель воздуха Аreon Fresco "бутылочка в дереве" Lavender</v>
      </c>
      <c r="D174" s="28" t="str">
        <f>VLOOKUP($A174,'Выгр Кат'!$A:$R,D$1,0)</f>
        <v>Y</v>
      </c>
      <c r="E174" s="28" t="str">
        <f>VLOOKUP($A174,'Выгр Кат'!$A:$R,E$1,0)</f>
        <v>1</v>
      </c>
      <c r="F174" s="28" t="str">
        <f>VLOOKUP($A174,'Выгр Кат'!$A:$R,F$1,0)</f>
        <v>71363</v>
      </c>
      <c r="G174" s="13">
        <v>71363</v>
      </c>
      <c r="H174" s="13"/>
      <c r="I174" s="1" t="s">
        <v>3</v>
      </c>
      <c r="J174" s="42">
        <f>VLOOKUP(G174,Прайс!B:E,4,0)</f>
        <v>140</v>
      </c>
      <c r="K174" s="2">
        <f>VLOOKUP(J174,Наценка!$A$1:$B$8,2,1)</f>
        <v>1.89</v>
      </c>
      <c r="L174" s="4">
        <f t="shared" si="36"/>
        <v>264.59999999999997</v>
      </c>
      <c r="M174" s="42">
        <f t="shared" si="37"/>
        <v>269</v>
      </c>
      <c r="N174" s="28">
        <f>VLOOKUP($A174,'Выгр Кат'!$A:$R,N$1,0)</f>
        <v>140</v>
      </c>
      <c r="O174" s="28">
        <f>VLOOKUP($A174,'Выгр Кат'!$A:$R,O$1,0)</f>
        <v>269</v>
      </c>
      <c r="P174" s="30">
        <f t="shared" si="30"/>
        <v>0</v>
      </c>
      <c r="Q174" s="30">
        <f t="shared" si="31"/>
        <v>0</v>
      </c>
      <c r="R174" s="36">
        <f t="shared" si="32"/>
        <v>250.17</v>
      </c>
      <c r="S174" s="64">
        <f>IFERROR((VLOOKUP($A174,'Из ГУГЛа'!$B:$G,6,0)+U174)*T174,VLOOKUP($A174,'Из ГУГЛа'!$B:$G,6,0))</f>
        <v>290</v>
      </c>
      <c r="T174" s="38">
        <v>1</v>
      </c>
      <c r="U174" s="38">
        <v>0</v>
      </c>
      <c r="V174" s="39">
        <f t="shared" si="33"/>
        <v>0.78692857142857142</v>
      </c>
      <c r="W174" s="39">
        <f t="shared" si="34"/>
        <v>0.13734482758620695</v>
      </c>
      <c r="X174" s="39">
        <f t="shared" si="35"/>
        <v>1.0714285714285716</v>
      </c>
      <c r="Y174" s="40">
        <v>290</v>
      </c>
      <c r="Z174" s="46" t="s">
        <v>8073</v>
      </c>
    </row>
    <row r="175" spans="1:26" s="3" customFormat="1" ht="30" x14ac:dyDescent="0.25">
      <c r="A175" s="28">
        <v>185766</v>
      </c>
      <c r="B175" s="28">
        <f>VLOOKUP($A175,'Выгр Кат'!$A:$R,B$1,0)</f>
        <v>6324</v>
      </c>
      <c r="C175" s="27" t="str">
        <f>VLOOKUP($A175,'Выгр Кат'!$A:$R,C$1,0)</f>
        <v>Освежитель воздуха Areon FRESCO "бутылочка в дереве" Lemon</v>
      </c>
      <c r="D175" s="28" t="str">
        <f>VLOOKUP($A175,'Выгр Кат'!$A:$R,D$1,0)</f>
        <v>Y</v>
      </c>
      <c r="E175" s="28" t="str">
        <f>VLOOKUP($A175,'Выгр Кат'!$A:$R,E$1,0)</f>
        <v>1</v>
      </c>
      <c r="F175" s="28" t="str">
        <f>VLOOKUP($A175,'Выгр Кат'!$A:$R,F$1,0)</f>
        <v>70067</v>
      </c>
      <c r="G175" s="7">
        <v>70067</v>
      </c>
      <c r="H175" s="7"/>
      <c r="I175" s="1" t="s">
        <v>3</v>
      </c>
      <c r="J175" s="42">
        <f>VLOOKUP(G175,Прайс!B:E,4,0)</f>
        <v>140</v>
      </c>
      <c r="K175" s="2">
        <f>VLOOKUP(J175,Наценка!$A$1:$B$8,2,1)</f>
        <v>1.89</v>
      </c>
      <c r="L175" s="4">
        <f t="shared" si="36"/>
        <v>264.59999999999997</v>
      </c>
      <c r="M175" s="42">
        <f t="shared" si="37"/>
        <v>269</v>
      </c>
      <c r="N175" s="28">
        <f>VLOOKUP($A175,'Выгр Кат'!$A:$R,N$1,0)</f>
        <v>140</v>
      </c>
      <c r="O175" s="28">
        <f>VLOOKUP($A175,'Выгр Кат'!$A:$R,O$1,0)</f>
        <v>269</v>
      </c>
      <c r="P175" s="30">
        <f t="shared" si="30"/>
        <v>0</v>
      </c>
      <c r="Q175" s="30">
        <f t="shared" si="31"/>
        <v>0</v>
      </c>
      <c r="R175" s="36">
        <f t="shared" si="32"/>
        <v>250.17</v>
      </c>
      <c r="S175" s="64">
        <f>IFERROR((VLOOKUP($A175,'Из ГУГЛа'!$B:$G,6,0)+U175)*T175,VLOOKUP($A175,'Из ГУГЛа'!$B:$G,6,0))</f>
        <v>290</v>
      </c>
      <c r="T175" s="38">
        <v>1</v>
      </c>
      <c r="U175" s="38">
        <v>0</v>
      </c>
      <c r="V175" s="39">
        <f t="shared" si="33"/>
        <v>0.78692857142857142</v>
      </c>
      <c r="W175" s="39">
        <f t="shared" si="34"/>
        <v>0.13734482758620695</v>
      </c>
      <c r="X175" s="39">
        <f t="shared" si="35"/>
        <v>1.0714285714285716</v>
      </c>
      <c r="Y175" s="40">
        <v>290</v>
      </c>
      <c r="Z175" s="46" t="s">
        <v>8073</v>
      </c>
    </row>
    <row r="176" spans="1:26" s="3" customFormat="1" ht="30" x14ac:dyDescent="0.25">
      <c r="A176" s="28">
        <v>185768</v>
      </c>
      <c r="B176" s="28">
        <f>VLOOKUP($A176,'Выгр Кат'!$A:$R,B$1,0)</f>
        <v>23339</v>
      </c>
      <c r="C176" s="27" t="str">
        <f>VLOOKUP($A176,'Выгр Кат'!$A:$R,C$1,0)</f>
        <v>Освежитель воздуха Areon FRESCO "бутылочка в дереве" Melon</v>
      </c>
      <c r="D176" s="28" t="str">
        <f>VLOOKUP($A176,'Выгр Кат'!$A:$R,D$1,0)</f>
        <v>Y</v>
      </c>
      <c r="E176" s="28" t="str">
        <f>VLOOKUP($A176,'Выгр Кат'!$A:$R,E$1,0)</f>
        <v>1</v>
      </c>
      <c r="F176" s="28" t="str">
        <f>VLOOKUP($A176,'Выгр Кат'!$A:$R,F$1,0)</f>
        <v>70061</v>
      </c>
      <c r="G176" s="7">
        <v>70061</v>
      </c>
      <c r="H176" s="7"/>
      <c r="I176" s="1" t="s">
        <v>3</v>
      </c>
      <c r="J176" s="42">
        <f>VLOOKUP(G176,Прайс!B:E,4,0)</f>
        <v>140</v>
      </c>
      <c r="K176" s="2">
        <f>VLOOKUP(J176,Наценка!$A$1:$B$8,2,1)</f>
        <v>1.89</v>
      </c>
      <c r="L176" s="4">
        <f t="shared" si="36"/>
        <v>264.59999999999997</v>
      </c>
      <c r="M176" s="42">
        <f t="shared" si="37"/>
        <v>269</v>
      </c>
      <c r="N176" s="28">
        <f>VLOOKUP($A176,'Выгр Кат'!$A:$R,N$1,0)</f>
        <v>140</v>
      </c>
      <c r="O176" s="28">
        <f>VLOOKUP($A176,'Выгр Кат'!$A:$R,O$1,0)</f>
        <v>269</v>
      </c>
      <c r="P176" s="30">
        <f t="shared" si="30"/>
        <v>0</v>
      </c>
      <c r="Q176" s="30">
        <f t="shared" si="31"/>
        <v>0</v>
      </c>
      <c r="R176" s="36">
        <f t="shared" si="32"/>
        <v>250.17</v>
      </c>
      <c r="S176" s="64">
        <f>IFERROR((VLOOKUP($A176,'Из ГУГЛа'!$B:$G,6,0)+U176)*T176,VLOOKUP($A176,'Из ГУГЛа'!$B:$G,6,0))</f>
        <v>290</v>
      </c>
      <c r="T176" s="38">
        <v>1</v>
      </c>
      <c r="U176" s="38">
        <v>0</v>
      </c>
      <c r="V176" s="39">
        <f t="shared" si="33"/>
        <v>0.78692857142857142</v>
      </c>
      <c r="W176" s="39">
        <f t="shared" si="34"/>
        <v>0.13734482758620695</v>
      </c>
      <c r="X176" s="39">
        <f t="shared" si="35"/>
        <v>1.0714285714285716</v>
      </c>
      <c r="Y176" s="40">
        <v>290</v>
      </c>
      <c r="Z176" s="46" t="s">
        <v>8073</v>
      </c>
    </row>
    <row r="177" spans="1:26" s="3" customFormat="1" ht="30" x14ac:dyDescent="0.25">
      <c r="A177" s="28">
        <v>185769</v>
      </c>
      <c r="B177" s="28">
        <f>VLOOKUP($A177,'Выгр Кат'!$A:$R,B$1,0)</f>
        <v>6328</v>
      </c>
      <c r="C177" s="27" t="str">
        <f>VLOOKUP($A177,'Выгр Кат'!$A:$R,C$1,0)</f>
        <v>Освежитель воздуха Areon FRESCO "бутылочка в дереве" New Car</v>
      </c>
      <c r="D177" s="28" t="str">
        <f>VLOOKUP($A177,'Выгр Кат'!$A:$R,D$1,0)</f>
        <v>Y</v>
      </c>
      <c r="E177" s="28" t="str">
        <f>VLOOKUP($A177,'Выгр Кат'!$A:$R,E$1,0)</f>
        <v>1</v>
      </c>
      <c r="F177" s="28" t="str">
        <f>VLOOKUP($A177,'Выгр Кат'!$A:$R,F$1,0)</f>
        <v>70068</v>
      </c>
      <c r="G177" s="7">
        <v>70068</v>
      </c>
      <c r="H177" s="7"/>
      <c r="I177" s="1" t="s">
        <v>3</v>
      </c>
      <c r="J177" s="42">
        <f>VLOOKUP(G177,Прайс!B:E,4,0)</f>
        <v>140</v>
      </c>
      <c r="K177" s="2">
        <f>VLOOKUP(J177,Наценка!$A$1:$B$8,2,1)</f>
        <v>1.89</v>
      </c>
      <c r="L177" s="4">
        <f t="shared" si="36"/>
        <v>264.59999999999997</v>
      </c>
      <c r="M177" s="42">
        <f t="shared" si="37"/>
        <v>269</v>
      </c>
      <c r="N177" s="28">
        <f>VLOOKUP($A177,'Выгр Кат'!$A:$R,N$1,0)</f>
        <v>140</v>
      </c>
      <c r="O177" s="28">
        <f>VLOOKUP($A177,'Выгр Кат'!$A:$R,O$1,0)</f>
        <v>269</v>
      </c>
      <c r="P177" s="30">
        <f t="shared" si="30"/>
        <v>0</v>
      </c>
      <c r="Q177" s="30">
        <f t="shared" si="31"/>
        <v>0</v>
      </c>
      <c r="R177" s="36">
        <f t="shared" si="32"/>
        <v>250.17</v>
      </c>
      <c r="S177" s="64">
        <f>IFERROR((VLOOKUP($A177,'Из ГУГЛа'!$B:$G,6,0)+U177)*T177,VLOOKUP($A177,'Из ГУГЛа'!$B:$G,6,0))</f>
        <v>290</v>
      </c>
      <c r="T177" s="38">
        <v>1</v>
      </c>
      <c r="U177" s="38">
        <v>0</v>
      </c>
      <c r="V177" s="39">
        <f t="shared" si="33"/>
        <v>0.78692857142857142</v>
      </c>
      <c r="W177" s="39">
        <f t="shared" si="34"/>
        <v>0.13734482758620695</v>
      </c>
      <c r="X177" s="39">
        <f t="shared" si="35"/>
        <v>1.0714285714285716</v>
      </c>
      <c r="Y177" s="40">
        <v>290</v>
      </c>
      <c r="Z177" s="46" t="s">
        <v>8073</v>
      </c>
    </row>
    <row r="178" spans="1:26" s="3" customFormat="1" ht="30" x14ac:dyDescent="0.25">
      <c r="A178" s="28">
        <v>185777</v>
      </c>
      <c r="B178" s="28">
        <f>VLOOKUP($A178,'Выгр Кат'!$A:$R,B$1,0)</f>
        <v>23338</v>
      </c>
      <c r="C178" s="27" t="str">
        <f>VLOOKUP($A178,'Выгр Кат'!$A:$R,C$1,0)</f>
        <v>Освежитель воздуха Аreon Fresco "бутылочка в дереве" Papaya</v>
      </c>
      <c r="D178" s="28" t="str">
        <f>VLOOKUP($A178,'Выгр Кат'!$A:$R,D$1,0)</f>
        <v>Y</v>
      </c>
      <c r="E178" s="28" t="str">
        <f>VLOOKUP($A178,'Выгр Кат'!$A:$R,E$1,0)</f>
        <v>0</v>
      </c>
      <c r="F178" s="28">
        <f>VLOOKUP($A178,'Выгр Кат'!$A:$R,F$1,0)</f>
        <v>0</v>
      </c>
      <c r="G178" s="4"/>
      <c r="H178" s="4"/>
      <c r="I178" s="1" t="s">
        <v>3</v>
      </c>
      <c r="J178" s="41">
        <f>N178</f>
        <v>140</v>
      </c>
      <c r="K178" s="2">
        <f>VLOOKUP(J178,Наценка!$A$1:$B$8,2,1)</f>
        <v>1.89</v>
      </c>
      <c r="L178" s="4">
        <f t="shared" si="36"/>
        <v>264.59999999999997</v>
      </c>
      <c r="M178" s="42">
        <f t="shared" si="37"/>
        <v>269</v>
      </c>
      <c r="N178" s="28">
        <f>VLOOKUP($A178,'Выгр Кат'!$A:$R,N$1,0)</f>
        <v>140</v>
      </c>
      <c r="O178" s="28">
        <f>VLOOKUP($A178,'Выгр Кат'!$A:$R,O$1,0)</f>
        <v>269</v>
      </c>
      <c r="P178" s="30">
        <f t="shared" si="30"/>
        <v>0</v>
      </c>
      <c r="Q178" s="30">
        <f t="shared" si="31"/>
        <v>0</v>
      </c>
      <c r="R178" s="36">
        <f t="shared" si="32"/>
        <v>250.17</v>
      </c>
      <c r="S178" s="64">
        <f>IFERROR((VLOOKUP($A178,'Из ГУГЛа'!$B:$G,6,0)+U178)*T178,VLOOKUP($A178,'Из ГУГЛа'!$B:$G,6,0))</f>
        <v>290</v>
      </c>
      <c r="T178" s="38">
        <v>1</v>
      </c>
      <c r="U178" s="38">
        <v>0</v>
      </c>
      <c r="V178" s="39">
        <f t="shared" si="33"/>
        <v>0.78692857142857142</v>
      </c>
      <c r="W178" s="39">
        <f t="shared" si="34"/>
        <v>0.13734482758620695</v>
      </c>
      <c r="X178" s="39">
        <f t="shared" si="35"/>
        <v>1.0714285714285716</v>
      </c>
      <c r="Y178" s="40">
        <v>290</v>
      </c>
      <c r="Z178" s="46" t="s">
        <v>8073</v>
      </c>
    </row>
    <row r="179" spans="1:26" s="3" customFormat="1" ht="30" x14ac:dyDescent="0.25">
      <c r="A179" s="28">
        <v>185771</v>
      </c>
      <c r="B179" s="28">
        <f>VLOOKUP($A179,'Выгр Кат'!$A:$R,B$1,0)</f>
        <v>6325</v>
      </c>
      <c r="C179" s="27" t="str">
        <f>VLOOKUP($A179,'Выгр Кат'!$A:$R,C$1,0)</f>
        <v>Освежитель воздуха Areon FRESCO "бутылочка в дереве" Peach</v>
      </c>
      <c r="D179" s="28" t="str">
        <f>VLOOKUP($A179,'Выгр Кат'!$A:$R,D$1,0)</f>
        <v>Y</v>
      </c>
      <c r="E179" s="28" t="str">
        <f>VLOOKUP($A179,'Выгр Кат'!$A:$R,E$1,0)</f>
        <v>1</v>
      </c>
      <c r="F179" s="28" t="str">
        <f>VLOOKUP($A179,'Выгр Кат'!$A:$R,F$1,0)</f>
        <v>70069</v>
      </c>
      <c r="G179" s="7">
        <v>70069</v>
      </c>
      <c r="H179" s="7"/>
      <c r="I179" s="1" t="s">
        <v>3</v>
      </c>
      <c r="J179" s="42">
        <f>VLOOKUP(G179,Прайс!B:E,4,0)</f>
        <v>140</v>
      </c>
      <c r="K179" s="2">
        <f>VLOOKUP(J179,Наценка!$A$1:$B$8,2,1)</f>
        <v>1.89</v>
      </c>
      <c r="L179" s="4">
        <f t="shared" si="36"/>
        <v>264.59999999999997</v>
      </c>
      <c r="M179" s="42">
        <f t="shared" si="37"/>
        <v>269</v>
      </c>
      <c r="N179" s="28">
        <f>VLOOKUP($A179,'Выгр Кат'!$A:$R,N$1,0)</f>
        <v>140</v>
      </c>
      <c r="O179" s="28">
        <f>VLOOKUP($A179,'Выгр Кат'!$A:$R,O$1,0)</f>
        <v>269</v>
      </c>
      <c r="P179" s="30">
        <f t="shared" si="30"/>
        <v>0</v>
      </c>
      <c r="Q179" s="30">
        <f t="shared" si="31"/>
        <v>0</v>
      </c>
      <c r="R179" s="36">
        <f t="shared" si="32"/>
        <v>250.17</v>
      </c>
      <c r="S179" s="64">
        <f>IFERROR((VLOOKUP($A179,'Из ГУГЛа'!$B:$G,6,0)+U179)*T179,VLOOKUP($A179,'Из ГУГЛа'!$B:$G,6,0))</f>
        <v>290</v>
      </c>
      <c r="T179" s="38">
        <v>1</v>
      </c>
      <c r="U179" s="38">
        <v>0</v>
      </c>
      <c r="V179" s="39">
        <f t="shared" si="33"/>
        <v>0.78692857142857142</v>
      </c>
      <c r="W179" s="39">
        <f t="shared" si="34"/>
        <v>0.13734482758620695</v>
      </c>
      <c r="X179" s="39">
        <f t="shared" si="35"/>
        <v>1.0714285714285716</v>
      </c>
      <c r="Y179" s="40">
        <v>290</v>
      </c>
      <c r="Z179" s="46" t="s">
        <v>8073</v>
      </c>
    </row>
    <row r="180" spans="1:26" s="3" customFormat="1" ht="30" x14ac:dyDescent="0.25">
      <c r="A180" s="28">
        <v>185772</v>
      </c>
      <c r="B180" s="28">
        <f>VLOOKUP($A180,'Выгр Кат'!$A:$R,B$1,0)</f>
        <v>6330</v>
      </c>
      <c r="C180" s="27" t="str">
        <f>VLOOKUP($A180,'Выгр Кат'!$A:$R,C$1,0)</f>
        <v>Освежитель воздуха Areon FRESCO "бутылочка в дереве" Strawberry</v>
      </c>
      <c r="D180" s="28" t="str">
        <f>VLOOKUP($A180,'Выгр Кат'!$A:$R,D$1,0)</f>
        <v>Y</v>
      </c>
      <c r="E180" s="28" t="str">
        <f>VLOOKUP($A180,'Выгр Кат'!$A:$R,E$1,0)</f>
        <v>1</v>
      </c>
      <c r="F180" s="28" t="str">
        <f>VLOOKUP($A180,'Выгр Кат'!$A:$R,F$1,0)</f>
        <v>70063</v>
      </c>
      <c r="G180" s="7">
        <v>70063</v>
      </c>
      <c r="H180" s="7"/>
      <c r="I180" s="1" t="s">
        <v>3</v>
      </c>
      <c r="J180" s="42">
        <f>VLOOKUP(G180,Прайс!B:E,4,0)</f>
        <v>140</v>
      </c>
      <c r="K180" s="2">
        <f>VLOOKUP(J180,Наценка!$A$1:$B$8,2,1)</f>
        <v>1.89</v>
      </c>
      <c r="L180" s="4">
        <f t="shared" si="36"/>
        <v>264.59999999999997</v>
      </c>
      <c r="M180" s="42">
        <f t="shared" si="37"/>
        <v>269</v>
      </c>
      <c r="N180" s="28">
        <f>VLOOKUP($A180,'Выгр Кат'!$A:$R,N$1,0)</f>
        <v>140</v>
      </c>
      <c r="O180" s="28">
        <f>VLOOKUP($A180,'Выгр Кат'!$A:$R,O$1,0)</f>
        <v>269</v>
      </c>
      <c r="P180" s="30">
        <f t="shared" si="30"/>
        <v>0</v>
      </c>
      <c r="Q180" s="30">
        <f t="shared" si="31"/>
        <v>0</v>
      </c>
      <c r="R180" s="36">
        <f t="shared" si="32"/>
        <v>250.17</v>
      </c>
      <c r="S180" s="64">
        <f>IFERROR((VLOOKUP($A180,'Из ГУГЛа'!$B:$G,6,0)+U180)*T180,VLOOKUP($A180,'Из ГУГЛа'!$B:$G,6,0))</f>
        <v>290</v>
      </c>
      <c r="T180" s="38">
        <v>1</v>
      </c>
      <c r="U180" s="38">
        <v>0</v>
      </c>
      <c r="V180" s="39">
        <f t="shared" si="33"/>
        <v>0.78692857142857142</v>
      </c>
      <c r="W180" s="39">
        <f t="shared" si="34"/>
        <v>0.13734482758620695</v>
      </c>
      <c r="X180" s="39">
        <f t="shared" si="35"/>
        <v>1.0714285714285716</v>
      </c>
      <c r="Y180" s="40">
        <v>290</v>
      </c>
      <c r="Z180" s="46" t="s">
        <v>8073</v>
      </c>
    </row>
    <row r="181" spans="1:26" s="3" customFormat="1" ht="30" x14ac:dyDescent="0.25">
      <c r="A181" s="28">
        <v>185774</v>
      </c>
      <c r="B181" s="28">
        <f>VLOOKUP($A181,'Выгр Кат'!$A:$R,B$1,0)</f>
        <v>17959</v>
      </c>
      <c r="C181" s="27" t="str">
        <f>VLOOKUP($A181,'Выгр Кат'!$A:$R,C$1,0)</f>
        <v>Освежитель воздуха Areon FRESCO "бутылочка в дереве" Tropicana</v>
      </c>
      <c r="D181" s="28" t="str">
        <f>VLOOKUP($A181,'Выгр Кат'!$A:$R,D$1,0)</f>
        <v>Y</v>
      </c>
      <c r="E181" s="28" t="str">
        <f>VLOOKUP($A181,'Выгр Кат'!$A:$R,E$1,0)</f>
        <v>1</v>
      </c>
      <c r="F181" s="28" t="str">
        <f>VLOOKUP($A181,'Выгр Кат'!$A:$R,F$1,0)</f>
        <v>70072</v>
      </c>
      <c r="G181" s="7">
        <v>70072</v>
      </c>
      <c r="H181" s="7"/>
      <c r="I181" s="1" t="s">
        <v>3</v>
      </c>
      <c r="J181" s="42">
        <f>VLOOKUP(G181,Прайс!B:E,4,0)</f>
        <v>140</v>
      </c>
      <c r="K181" s="2">
        <f>VLOOKUP(J181,Наценка!$A$1:$B$8,2,1)</f>
        <v>1.89</v>
      </c>
      <c r="L181" s="4">
        <f t="shared" si="36"/>
        <v>264.59999999999997</v>
      </c>
      <c r="M181" s="42">
        <f t="shared" si="37"/>
        <v>269</v>
      </c>
      <c r="N181" s="28">
        <f>VLOOKUP($A181,'Выгр Кат'!$A:$R,N$1,0)</f>
        <v>140</v>
      </c>
      <c r="O181" s="28">
        <f>VLOOKUP($A181,'Выгр Кат'!$A:$R,O$1,0)</f>
        <v>269</v>
      </c>
      <c r="P181" s="30">
        <f t="shared" si="30"/>
        <v>0</v>
      </c>
      <c r="Q181" s="30">
        <f t="shared" si="31"/>
        <v>0</v>
      </c>
      <c r="R181" s="36">
        <f t="shared" si="32"/>
        <v>250.17</v>
      </c>
      <c r="S181" s="64">
        <f>IFERROR((VLOOKUP($A181,'Из ГУГЛа'!$B:$G,6,0)+U181)*T181,VLOOKUP($A181,'Из ГУГЛа'!$B:$G,6,0))</f>
        <v>290</v>
      </c>
      <c r="T181" s="38">
        <v>1</v>
      </c>
      <c r="U181" s="38">
        <v>0</v>
      </c>
      <c r="V181" s="39">
        <f t="shared" si="33"/>
        <v>0.78692857142857142</v>
      </c>
      <c r="W181" s="39">
        <f t="shared" si="34"/>
        <v>0.13734482758620695</v>
      </c>
      <c r="X181" s="39">
        <f t="shared" si="35"/>
        <v>1.0714285714285716</v>
      </c>
      <c r="Y181" s="40">
        <v>290</v>
      </c>
      <c r="Z181" s="46" t="s">
        <v>8073</v>
      </c>
    </row>
    <row r="182" spans="1:26" s="3" customFormat="1" ht="30" x14ac:dyDescent="0.25">
      <c r="A182" s="28">
        <v>185775</v>
      </c>
      <c r="B182" s="28">
        <f>VLOOKUP($A182,'Выгр Кат'!$A:$R,B$1,0)</f>
        <v>6331</v>
      </c>
      <c r="C182" s="27" t="str">
        <f>VLOOKUP($A182,'Выгр Кат'!$A:$R,C$1,0)</f>
        <v>Освежитель воздуха Areon FRESCO "бутылочка в дереве" Vanilla</v>
      </c>
      <c r="D182" s="28" t="str">
        <f>VLOOKUP($A182,'Выгр Кат'!$A:$R,D$1,0)</f>
        <v>Y</v>
      </c>
      <c r="E182" s="28" t="str">
        <f>VLOOKUP($A182,'Выгр Кат'!$A:$R,E$1,0)</f>
        <v>1</v>
      </c>
      <c r="F182" s="28" t="str">
        <f>VLOOKUP($A182,'Выгр Кат'!$A:$R,F$1,0)</f>
        <v>70059</v>
      </c>
      <c r="G182" s="7">
        <v>70059</v>
      </c>
      <c r="H182" s="7"/>
      <c r="I182" s="1" t="s">
        <v>3</v>
      </c>
      <c r="J182" s="42">
        <f>VLOOKUP(G182,Прайс!B:E,4,0)</f>
        <v>140</v>
      </c>
      <c r="K182" s="2">
        <f>VLOOKUP(J182,Наценка!$A$1:$B$8,2,1)</f>
        <v>1.89</v>
      </c>
      <c r="L182" s="4">
        <f t="shared" si="36"/>
        <v>264.59999999999997</v>
      </c>
      <c r="M182" s="42">
        <f t="shared" si="37"/>
        <v>269</v>
      </c>
      <c r="N182" s="28">
        <f>VLOOKUP($A182,'Выгр Кат'!$A:$R,N$1,0)</f>
        <v>140</v>
      </c>
      <c r="O182" s="28">
        <f>VLOOKUP($A182,'Выгр Кат'!$A:$R,O$1,0)</f>
        <v>269</v>
      </c>
      <c r="P182" s="30">
        <f t="shared" si="30"/>
        <v>0</v>
      </c>
      <c r="Q182" s="30">
        <f t="shared" si="31"/>
        <v>0</v>
      </c>
      <c r="R182" s="36">
        <f t="shared" si="32"/>
        <v>250.17</v>
      </c>
      <c r="S182" s="64">
        <f>IFERROR((VLOOKUP($A182,'Из ГУГЛа'!$B:$G,6,0)+U182)*T182,VLOOKUP($A182,'Из ГУГЛа'!$B:$G,6,0))</f>
        <v>290</v>
      </c>
      <c r="T182" s="38">
        <v>1</v>
      </c>
      <c r="U182" s="38">
        <v>0</v>
      </c>
      <c r="V182" s="39">
        <f t="shared" si="33"/>
        <v>0.78692857142857142</v>
      </c>
      <c r="W182" s="39">
        <f t="shared" si="34"/>
        <v>0.13734482758620695</v>
      </c>
      <c r="X182" s="39">
        <f t="shared" si="35"/>
        <v>1.0714285714285716</v>
      </c>
      <c r="Y182" s="40">
        <v>290</v>
      </c>
      <c r="Z182" s="46" t="s">
        <v>8073</v>
      </c>
    </row>
    <row r="183" spans="1:26" s="3" customFormat="1" ht="30" x14ac:dyDescent="0.25">
      <c r="A183" s="28">
        <v>185778</v>
      </c>
      <c r="B183" s="28">
        <f>VLOOKUP($A183,'Выгр Кат'!$A:$R,B$1,0)</f>
        <v>6326</v>
      </c>
      <c r="C183" s="27" t="str">
        <f>VLOOKUP($A183,'Выгр Кат'!$A:$R,C$1,0)</f>
        <v>Освежитель воздуха Аreon FRESCO "бутылочка в дереве" Voyage</v>
      </c>
      <c r="D183" s="28" t="str">
        <f>VLOOKUP($A183,'Выгр Кат'!$A:$R,D$1,0)</f>
        <v>Y</v>
      </c>
      <c r="E183" s="28" t="str">
        <f>VLOOKUP($A183,'Выгр Кат'!$A:$R,E$1,0)</f>
        <v>1</v>
      </c>
      <c r="F183" s="28" t="str">
        <f>VLOOKUP($A183,'Выгр Кат'!$A:$R,F$1,0)</f>
        <v>72169</v>
      </c>
      <c r="G183" s="7">
        <v>72169</v>
      </c>
      <c r="H183" s="7"/>
      <c r="I183" s="1" t="s">
        <v>3</v>
      </c>
      <c r="J183" s="42">
        <f>VLOOKUP(G183,Прайс!B:E,4,0)</f>
        <v>140</v>
      </c>
      <c r="K183" s="2">
        <f>VLOOKUP(J183,Наценка!$A$1:$B$8,2,1)</f>
        <v>1.89</v>
      </c>
      <c r="L183" s="4">
        <f t="shared" si="36"/>
        <v>264.59999999999997</v>
      </c>
      <c r="M183" s="42">
        <f t="shared" si="37"/>
        <v>269</v>
      </c>
      <c r="N183" s="28">
        <f>VLOOKUP($A183,'Выгр Кат'!$A:$R,N$1,0)</f>
        <v>140</v>
      </c>
      <c r="O183" s="28">
        <f>VLOOKUP($A183,'Выгр Кат'!$A:$R,O$1,0)</f>
        <v>269</v>
      </c>
      <c r="P183" s="30">
        <f t="shared" si="30"/>
        <v>0</v>
      </c>
      <c r="Q183" s="30">
        <f t="shared" si="31"/>
        <v>0</v>
      </c>
      <c r="R183" s="36">
        <f t="shared" si="32"/>
        <v>250.17</v>
      </c>
      <c r="S183" s="64">
        <f>IFERROR((VLOOKUP($A183,'Из ГУГЛа'!$B:$G,6,0)+U183)*T183,VLOOKUP($A183,'Из ГУГЛа'!$B:$G,6,0))</f>
        <v>290</v>
      </c>
      <c r="T183" s="38">
        <v>1</v>
      </c>
      <c r="U183" s="38">
        <v>0</v>
      </c>
      <c r="V183" s="39">
        <f t="shared" si="33"/>
        <v>0.78692857142857142</v>
      </c>
      <c r="W183" s="39">
        <f t="shared" si="34"/>
        <v>0.13734482758620695</v>
      </c>
      <c r="X183" s="39">
        <f t="shared" si="35"/>
        <v>1.0714285714285716</v>
      </c>
      <c r="Y183" s="40">
        <v>290</v>
      </c>
      <c r="Z183" s="46" t="s">
        <v>8073</v>
      </c>
    </row>
    <row r="184" spans="1:26" s="3" customFormat="1" ht="30" x14ac:dyDescent="0.25">
      <c r="A184" s="28">
        <v>185779</v>
      </c>
      <c r="B184" s="28">
        <f>VLOOKUP($A184,'Выгр Кат'!$A:$R,B$1,0)</f>
        <v>6336</v>
      </c>
      <c r="C184" s="27" t="str">
        <f>VLOOKUP($A184,'Выгр Кат'!$A:$R,C$1,0)</f>
        <v>Освежитель воздуха Аreon Сухой MON CLASSIC "Елочки" Coconut</v>
      </c>
      <c r="D184" s="28" t="str">
        <f>VLOOKUP($A184,'Выгр Кат'!$A:$R,D$1,0)</f>
        <v>Y</v>
      </c>
      <c r="E184" s="28" t="str">
        <f>VLOOKUP($A184,'Выгр Кат'!$A:$R,E$1,0)</f>
        <v>1</v>
      </c>
      <c r="F184" s="28" t="str">
        <f>VLOOKUP($A184,'Выгр Кат'!$A:$R,F$1,0)</f>
        <v>70121</v>
      </c>
      <c r="G184" s="7">
        <v>70121</v>
      </c>
      <c r="H184" s="7"/>
      <c r="I184" s="1" t="s">
        <v>3</v>
      </c>
      <c r="J184" s="42">
        <f>VLOOKUP(G184,Прайс!B:E,4,0)</f>
        <v>42</v>
      </c>
      <c r="K184" s="2">
        <f>VLOOKUP(J184,Наценка!$A$1:$B$8,2,1)</f>
        <v>2.11</v>
      </c>
      <c r="L184" s="4">
        <f t="shared" si="36"/>
        <v>88.61999999999999</v>
      </c>
      <c r="M184" s="42">
        <f t="shared" si="37"/>
        <v>89</v>
      </c>
      <c r="N184" s="28">
        <f>VLOOKUP($A184,'Выгр Кат'!$A:$R,N$1,0)</f>
        <v>42</v>
      </c>
      <c r="O184" s="28">
        <f>VLOOKUP($A184,'Выгр Кат'!$A:$R,O$1,0)</f>
        <v>89</v>
      </c>
      <c r="P184" s="30">
        <f t="shared" si="30"/>
        <v>0</v>
      </c>
      <c r="Q184" s="30">
        <f t="shared" si="31"/>
        <v>0</v>
      </c>
      <c r="R184" s="36">
        <f t="shared" si="32"/>
        <v>82.77</v>
      </c>
      <c r="S184" s="64">
        <f>IFERROR((VLOOKUP($A184,'Из ГУГЛа'!$B:$G,6,0)+U184)*T184,VLOOKUP($A184,'Из ГУГЛа'!$B:$G,6,0))</f>
        <v>290</v>
      </c>
      <c r="T184" s="38">
        <v>1</v>
      </c>
      <c r="U184" s="38">
        <v>0</v>
      </c>
      <c r="V184" s="39">
        <f t="shared" si="33"/>
        <v>0.97071428571428564</v>
      </c>
      <c r="W184" s="39">
        <f t="shared" si="34"/>
        <v>0.71458620689655183</v>
      </c>
      <c r="X184" s="39">
        <f t="shared" si="35"/>
        <v>5.9047619047619051</v>
      </c>
      <c r="Y184" s="40">
        <v>290</v>
      </c>
      <c r="Z184" s="46" t="s">
        <v>8073</v>
      </c>
    </row>
    <row r="185" spans="1:26" s="3" customFormat="1" ht="30" x14ac:dyDescent="0.25">
      <c r="A185" s="28">
        <v>185759</v>
      </c>
      <c r="B185" s="28">
        <f>VLOOKUP($A185,'Выгр Кат'!$A:$R,B$1,0)</f>
        <v>6332</v>
      </c>
      <c r="C185" s="27" t="str">
        <f>VLOOKUP($A185,'Выгр Кат'!$A:$R,C$1,0)</f>
        <v>Освежитель воздуха Areon FRESCO "бутылочка в дереве"  Lilac</v>
      </c>
      <c r="D185" s="28" t="str">
        <f>VLOOKUP($A185,'Выгр Кат'!$A:$R,D$1,0)</f>
        <v>Y</v>
      </c>
      <c r="E185" s="28" t="str">
        <f>VLOOKUP($A185,'Выгр Кат'!$A:$R,E$1,0)</f>
        <v>1</v>
      </c>
      <c r="F185" s="28" t="str">
        <f>VLOOKUP($A185,'Выгр Кат'!$A:$R,F$1,0)</f>
        <v>71362</v>
      </c>
      <c r="G185" s="7">
        <v>71362</v>
      </c>
      <c r="H185" s="7"/>
      <c r="I185" s="1" t="s">
        <v>3</v>
      </c>
      <c r="J185" s="42">
        <f>VLOOKUP(G185,Прайс!B:E,4,0)</f>
        <v>140</v>
      </c>
      <c r="K185" s="2">
        <f>VLOOKUP(J185,Наценка!$A$1:$B$8,2,1)</f>
        <v>1.89</v>
      </c>
      <c r="L185" s="4">
        <f t="shared" si="36"/>
        <v>264.59999999999997</v>
      </c>
      <c r="M185" s="42">
        <f t="shared" si="37"/>
        <v>269</v>
      </c>
      <c r="N185" s="28">
        <f>VLOOKUP($A185,'Выгр Кат'!$A:$R,N$1,0)</f>
        <v>140</v>
      </c>
      <c r="O185" s="28">
        <f>VLOOKUP($A185,'Выгр Кат'!$A:$R,O$1,0)</f>
        <v>269</v>
      </c>
      <c r="P185" s="30">
        <f t="shared" si="30"/>
        <v>0</v>
      </c>
      <c r="Q185" s="30">
        <f t="shared" si="31"/>
        <v>0</v>
      </c>
      <c r="R185" s="36">
        <f t="shared" si="32"/>
        <v>250.17</v>
      </c>
      <c r="S185" s="64">
        <f>IFERROR((VLOOKUP($A185,'Из ГУГЛа'!$B:$G,6,0)+U185)*T185,VLOOKUP($A185,'Из ГУГЛа'!$B:$G,6,0))</f>
        <v>290</v>
      </c>
      <c r="T185" s="38">
        <v>1</v>
      </c>
      <c r="U185" s="38">
        <v>0</v>
      </c>
      <c r="V185" s="39">
        <f t="shared" si="33"/>
        <v>0.78692857142857142</v>
      </c>
      <c r="W185" s="39">
        <f t="shared" si="34"/>
        <v>0.13734482758620695</v>
      </c>
      <c r="X185" s="39">
        <f t="shared" si="35"/>
        <v>1.0714285714285716</v>
      </c>
      <c r="Y185" s="40">
        <v>290</v>
      </c>
      <c r="Z185" s="46" t="s">
        <v>8073</v>
      </c>
    </row>
    <row r="186" spans="1:26" s="3" customFormat="1" ht="45" x14ac:dyDescent="0.25">
      <c r="A186" s="28">
        <v>186316</v>
      </c>
      <c r="B186" s="28">
        <f>VLOOKUP($A186,'Выгр Кат'!$A:$R,B$1,0)</f>
        <v>30956</v>
      </c>
      <c r="C186" s="27" t="str">
        <f>VLOOKUP($A186,'Выгр Кат'!$A:$R,C$1,0)</f>
        <v>Парковочная карта (автовизитка) чёрная, модифицированная версия, противоударный термопластик</v>
      </c>
      <c r="D186" s="28" t="str">
        <f>VLOOKUP($A186,'Выгр Кат'!$A:$R,D$1,0)</f>
        <v>Y</v>
      </c>
      <c r="E186" s="28" t="str">
        <f>VLOOKUP($A186,'Выгр Кат'!$A:$R,E$1,0)</f>
        <v>1</v>
      </c>
      <c r="F186" s="28" t="str">
        <f>VLOOKUP($A186,'Выгр Кат'!$A:$R,F$1,0)</f>
        <v>50512</v>
      </c>
      <c r="G186" s="7">
        <v>50512</v>
      </c>
      <c r="H186" s="7"/>
      <c r="I186" s="1" t="s">
        <v>3</v>
      </c>
      <c r="J186" s="42">
        <f>VLOOKUP(G186,Прайс!B:E,4,0)</f>
        <v>40</v>
      </c>
      <c r="K186" s="2">
        <f>VLOOKUP(J186,Наценка!$A$1:$B$8,2,1)</f>
        <v>2.11</v>
      </c>
      <c r="L186" s="4">
        <f t="shared" si="36"/>
        <v>84.399999999999991</v>
      </c>
      <c r="M186" s="42">
        <f t="shared" si="37"/>
        <v>89</v>
      </c>
      <c r="N186" s="28">
        <f>VLOOKUP($A186,'Выгр Кат'!$A:$R,N$1,0)</f>
        <v>40</v>
      </c>
      <c r="O186" s="28">
        <f>VLOOKUP($A186,'Выгр Кат'!$A:$R,O$1,0)</f>
        <v>89</v>
      </c>
      <c r="P186" s="30">
        <f t="shared" si="30"/>
        <v>0</v>
      </c>
      <c r="Q186" s="30">
        <f t="shared" si="31"/>
        <v>0</v>
      </c>
      <c r="R186" s="36">
        <f t="shared" si="32"/>
        <v>82.77</v>
      </c>
      <c r="S186" s="64" t="str">
        <f>IFERROR((VLOOKUP($A186,'Из ГУГЛа'!$B:$G,6,0)+U186)*T186,VLOOKUP($A186,'Из ГУГЛа'!$B:$G,6,0))</f>
        <v/>
      </c>
      <c r="T186" s="38">
        <v>1</v>
      </c>
      <c r="U186" s="38">
        <v>0</v>
      </c>
      <c r="V186" s="39">
        <f t="shared" si="33"/>
        <v>1.0692499999999998</v>
      </c>
      <c r="W186" s="39" t="str">
        <f t="shared" si="34"/>
        <v/>
      </c>
      <c r="X186" s="39" t="str">
        <f t="shared" si="35"/>
        <v/>
      </c>
      <c r="Y186" s="65" t="s">
        <v>8364</v>
      </c>
      <c r="Z186" s="46"/>
    </row>
    <row r="187" spans="1:26" s="3" customFormat="1" ht="30" x14ac:dyDescent="0.25">
      <c r="A187" s="28">
        <v>193986</v>
      </c>
      <c r="B187" s="28">
        <f>VLOOKUP($A187,'Выгр Кат'!$A:$R,B$1,0)</f>
        <v>9043</v>
      </c>
      <c r="C187" s="27" t="str">
        <f>VLOOKUP($A187,'Выгр Кат'!$A:$R,C$1,0)</f>
        <v>Пленка тонировочная H2M HUMMER/ LIMO 50 х300см в ассортименте</v>
      </c>
      <c r="D187" s="28" t="str">
        <f>VLOOKUP($A187,'Выгр Кат'!$A:$R,D$1,0)</f>
        <v>Y</v>
      </c>
      <c r="E187" s="28" t="str">
        <f>VLOOKUP($A187,'Выгр Кат'!$A:$R,E$1,0)</f>
        <v>1</v>
      </c>
      <c r="F187" s="28" t="str">
        <f>VLOOKUP($A187,'Выгр Кат'!$A:$R,F$1,0)</f>
        <v>21001</v>
      </c>
      <c r="G187" s="7">
        <v>21001</v>
      </c>
      <c r="H187" s="7"/>
      <c r="I187" s="1" t="s">
        <v>3</v>
      </c>
      <c r="J187" s="42">
        <f>VLOOKUP(G187,Прайс!B:E,4,0)</f>
        <v>460</v>
      </c>
      <c r="K187" s="2">
        <f>VLOOKUP(J187,Наценка!$A$1:$B$8,2,1)</f>
        <v>1.68</v>
      </c>
      <c r="L187" s="4">
        <f t="shared" si="36"/>
        <v>772.8</v>
      </c>
      <c r="M187" s="42">
        <f t="shared" si="37"/>
        <v>779</v>
      </c>
      <c r="N187" s="28">
        <f>VLOOKUP($A187,'Выгр Кат'!$A:$R,N$1,0)</f>
        <v>460</v>
      </c>
      <c r="O187" s="28">
        <f>VLOOKUP($A187,'Выгр Кат'!$A:$R,O$1,0)</f>
        <v>779</v>
      </c>
      <c r="P187" s="30">
        <f t="shared" si="30"/>
        <v>0</v>
      </c>
      <c r="Q187" s="30">
        <f t="shared" si="31"/>
        <v>0</v>
      </c>
      <c r="R187" s="36">
        <f t="shared" si="32"/>
        <v>724.46999999999991</v>
      </c>
      <c r="S187" s="64" t="str">
        <f>IFERROR((VLOOKUP($A187,'Из ГУГЛа'!$B:$G,6,0)+U187)*T187,VLOOKUP($A187,'Из ГУГЛа'!$B:$G,6,0))</f>
        <v/>
      </c>
      <c r="T187" s="38">
        <v>1</v>
      </c>
      <c r="U187" s="38">
        <v>0</v>
      </c>
      <c r="V187" s="39">
        <f t="shared" si="33"/>
        <v>0.57493478260869546</v>
      </c>
      <c r="W187" s="39" t="str">
        <f t="shared" si="34"/>
        <v/>
      </c>
      <c r="X187" s="39" t="str">
        <f t="shared" si="35"/>
        <v/>
      </c>
      <c r="Y187" s="65" t="s">
        <v>8368</v>
      </c>
      <c r="Z187" s="46"/>
    </row>
    <row r="188" spans="1:26" s="3" customFormat="1" ht="45" x14ac:dyDescent="0.25">
      <c r="A188" s="28">
        <v>193987</v>
      </c>
      <c r="B188" s="28">
        <f>VLOOKUP($A188,'Выгр Кат'!$A:$R,B$1,0)</f>
        <v>9046</v>
      </c>
      <c r="C188" s="27" t="str">
        <f>VLOOKUP($A188,'Выгр Кат'!$A:$R,C$1,0)</f>
        <v>Пленка тонировочная H2M HUMMER/LIMO 75х300см в ассортименте</v>
      </c>
      <c r="D188" s="28" t="str">
        <f>VLOOKUP($A188,'Выгр Кат'!$A:$R,D$1,0)</f>
        <v>Y</v>
      </c>
      <c r="E188" s="28" t="str">
        <f>VLOOKUP($A188,'Выгр Кат'!$A:$R,E$1,0)</f>
        <v>1</v>
      </c>
      <c r="F188" s="28" t="str">
        <f>VLOOKUP($A188,'Выгр Кат'!$A:$R,F$1,0)</f>
        <v>21008</v>
      </c>
      <c r="G188" s="7">
        <v>21008</v>
      </c>
      <c r="H188" s="7"/>
      <c r="I188" s="1" t="s">
        <v>3</v>
      </c>
      <c r="J188" s="42">
        <f>VLOOKUP(G188,Прайс!B:E,4,0)</f>
        <v>590</v>
      </c>
      <c r="K188" s="2">
        <f>VLOOKUP(J188,Наценка!$A$1:$B$8,2,1)</f>
        <v>1.63</v>
      </c>
      <c r="L188" s="4">
        <f t="shared" si="36"/>
        <v>961.69999999999993</v>
      </c>
      <c r="M188" s="42">
        <f t="shared" si="37"/>
        <v>969</v>
      </c>
      <c r="N188" s="28">
        <f>VLOOKUP($A188,'Выгр Кат'!$A:$R,N$1,0)</f>
        <v>590</v>
      </c>
      <c r="O188" s="28">
        <f>VLOOKUP($A188,'Выгр Кат'!$A:$R,O$1,0)</f>
        <v>969</v>
      </c>
      <c r="P188" s="30">
        <f t="shared" si="30"/>
        <v>0</v>
      </c>
      <c r="Q188" s="30">
        <f t="shared" si="31"/>
        <v>0</v>
      </c>
      <c r="R188" s="36">
        <f t="shared" si="32"/>
        <v>901.17</v>
      </c>
      <c r="S188" s="64" t="str">
        <f>IFERROR((VLOOKUP($A188,'Из ГУГЛа'!$B:$G,6,0)+U188)*T188,VLOOKUP($A188,'Из ГУГЛа'!$B:$G,6,0))</f>
        <v/>
      </c>
      <c r="T188" s="38">
        <v>1</v>
      </c>
      <c r="U188" s="38">
        <v>0</v>
      </c>
      <c r="V188" s="39">
        <f t="shared" si="33"/>
        <v>0.5274067796610169</v>
      </c>
      <c r="W188" s="39" t="str">
        <f t="shared" si="34"/>
        <v/>
      </c>
      <c r="X188" s="39" t="str">
        <f t="shared" si="35"/>
        <v/>
      </c>
      <c r="Y188" s="65" t="s">
        <v>8368</v>
      </c>
      <c r="Z188" s="46"/>
    </row>
    <row r="189" spans="1:26" s="3" customFormat="1" ht="30" x14ac:dyDescent="0.25">
      <c r="A189" s="28">
        <v>193988</v>
      </c>
      <c r="B189" s="28">
        <f>VLOOKUP($A189,'Выгр Кат'!$A:$R,B$1,0)</f>
        <v>9041</v>
      </c>
      <c r="C189" s="27" t="str">
        <f>VLOOKUP($A189,'Выгр Кат'!$A:$R,C$1,0)</f>
        <v>Пленка тонировочная SOLEX 50х300 Dark Black/Black</v>
      </c>
      <c r="D189" s="28" t="str">
        <f>VLOOKUP($A189,'Выгр Кат'!$A:$R,D$1,0)</f>
        <v>Y</v>
      </c>
      <c r="E189" s="28" t="str">
        <f>VLOOKUP($A189,'Выгр Кат'!$A:$R,E$1,0)</f>
        <v>1ск1</v>
      </c>
      <c r="F189" s="28">
        <f>VLOOKUP($A189,'Выгр Кат'!$A:$R,F$1,0)</f>
        <v>0</v>
      </c>
      <c r="G189" s="4"/>
      <c r="H189" s="4"/>
      <c r="I189" s="1" t="s">
        <v>3</v>
      </c>
      <c r="J189" s="41">
        <f t="shared" ref="J189:J196" si="42">N189</f>
        <v>110</v>
      </c>
      <c r="K189" s="2">
        <f>VLOOKUP(J189,Наценка!$A$1:$B$8,2,1)</f>
        <v>1.89</v>
      </c>
      <c r="L189" s="4">
        <f t="shared" si="36"/>
        <v>207.89999999999998</v>
      </c>
      <c r="M189" s="42">
        <f t="shared" si="37"/>
        <v>209</v>
      </c>
      <c r="N189" s="28">
        <f>VLOOKUP($A189,'Выгр Кат'!$A:$R,N$1,0)</f>
        <v>110</v>
      </c>
      <c r="O189" s="28">
        <f>VLOOKUP($A189,'Выгр Кат'!$A:$R,O$1,0)</f>
        <v>209</v>
      </c>
      <c r="P189" s="30">
        <f t="shared" si="30"/>
        <v>0</v>
      </c>
      <c r="Q189" s="30">
        <f t="shared" si="31"/>
        <v>0</v>
      </c>
      <c r="R189" s="36">
        <f t="shared" si="32"/>
        <v>194.36999999999998</v>
      </c>
      <c r="S189" s="64" t="str">
        <f>IFERROR((VLOOKUP($A189,'Из ГУГЛа'!$B:$G,6,0)+U189)*T189,VLOOKUP($A189,'Из ГУГЛа'!$B:$G,6,0))</f>
        <v/>
      </c>
      <c r="T189" s="38">
        <v>1</v>
      </c>
      <c r="U189" s="38">
        <v>0</v>
      </c>
      <c r="V189" s="39">
        <f t="shared" si="33"/>
        <v>0.76699999999999968</v>
      </c>
      <c r="W189" s="39" t="str">
        <f t="shared" si="34"/>
        <v/>
      </c>
      <c r="X189" s="39" t="str">
        <f t="shared" si="35"/>
        <v/>
      </c>
      <c r="Y189" s="65" t="s">
        <v>8368</v>
      </c>
      <c r="Z189" s="46"/>
    </row>
    <row r="190" spans="1:26" s="3" customFormat="1" ht="30" x14ac:dyDescent="0.25">
      <c r="A190" s="28">
        <v>193989</v>
      </c>
      <c r="B190" s="28">
        <f>VLOOKUP($A190,'Выгр Кат'!$A:$R,B$1,0)</f>
        <v>9038</v>
      </c>
      <c r="C190" s="27" t="str">
        <f>VLOOKUP($A190,'Выгр Кат'!$A:$R,C$1,0)</f>
        <v>Пленка тонировочная SOLEX 50х300 Medium Black</v>
      </c>
      <c r="D190" s="28" t="str">
        <f>VLOOKUP($A190,'Выгр Кат'!$A:$R,D$1,0)</f>
        <v>Y</v>
      </c>
      <c r="E190" s="28" t="str">
        <f>VLOOKUP($A190,'Выгр Кат'!$A:$R,E$1,0)</f>
        <v>1ск1</v>
      </c>
      <c r="F190" s="28">
        <f>VLOOKUP($A190,'Выгр Кат'!$A:$R,F$1,0)</f>
        <v>0</v>
      </c>
      <c r="G190" s="4"/>
      <c r="H190" s="4"/>
      <c r="I190" s="1" t="s">
        <v>3</v>
      </c>
      <c r="J190" s="41">
        <f t="shared" si="42"/>
        <v>110</v>
      </c>
      <c r="K190" s="2">
        <f>VLOOKUP(J190,Наценка!$A$1:$B$8,2,1)</f>
        <v>1.89</v>
      </c>
      <c r="L190" s="4">
        <f t="shared" si="36"/>
        <v>207.89999999999998</v>
      </c>
      <c r="M190" s="42">
        <f t="shared" si="37"/>
        <v>209</v>
      </c>
      <c r="N190" s="28">
        <f>VLOOKUP($A190,'Выгр Кат'!$A:$R,N$1,0)</f>
        <v>110</v>
      </c>
      <c r="O190" s="28">
        <f>VLOOKUP($A190,'Выгр Кат'!$A:$R,O$1,0)</f>
        <v>209</v>
      </c>
      <c r="P190" s="30">
        <f t="shared" si="30"/>
        <v>0</v>
      </c>
      <c r="Q190" s="30">
        <f t="shared" si="31"/>
        <v>0</v>
      </c>
      <c r="R190" s="36">
        <f t="shared" si="32"/>
        <v>194.36999999999998</v>
      </c>
      <c r="S190" s="64" t="str">
        <f>IFERROR((VLOOKUP($A190,'Из ГУГЛа'!$B:$G,6,0)+U190)*T190,VLOOKUP($A190,'Из ГУГЛа'!$B:$G,6,0))</f>
        <v/>
      </c>
      <c r="T190" s="38">
        <v>1</v>
      </c>
      <c r="U190" s="38">
        <v>0</v>
      </c>
      <c r="V190" s="39">
        <f t="shared" si="33"/>
        <v>0.76699999999999968</v>
      </c>
      <c r="W190" s="39" t="str">
        <f t="shared" si="34"/>
        <v/>
      </c>
      <c r="X190" s="39" t="str">
        <f t="shared" si="35"/>
        <v/>
      </c>
      <c r="Y190" s="65" t="s">
        <v>8368</v>
      </c>
      <c r="Z190" s="46"/>
    </row>
    <row r="191" spans="1:26" s="3" customFormat="1" ht="30" x14ac:dyDescent="0.25">
      <c r="A191" s="28">
        <v>193990</v>
      </c>
      <c r="B191" s="28">
        <f>VLOOKUP($A191,'Выгр Кат'!$A:$R,B$1,0)</f>
        <v>9039</v>
      </c>
      <c r="C191" s="27" t="str">
        <f>VLOOKUP($A191,'Выгр Кат'!$A:$R,C$1,0)</f>
        <v>Пленка тонировочная SOLEX 50х300 Silver</v>
      </c>
      <c r="D191" s="28" t="str">
        <f>VLOOKUP($A191,'Выгр Кат'!$A:$R,D$1,0)</f>
        <v>Y</v>
      </c>
      <c r="E191" s="28" t="str">
        <f>VLOOKUP($A191,'Выгр Кат'!$A:$R,E$1,0)</f>
        <v>1</v>
      </c>
      <c r="F191" s="28">
        <f>VLOOKUP($A191,'Выгр Кат'!$A:$R,F$1,0)</f>
        <v>0</v>
      </c>
      <c r="G191" s="4"/>
      <c r="H191" s="4"/>
      <c r="I191" s="1" t="s">
        <v>3</v>
      </c>
      <c r="J191" s="41">
        <f t="shared" si="42"/>
        <v>120</v>
      </c>
      <c r="K191" s="2">
        <f>VLOOKUP(J191,Наценка!$A$1:$B$8,2,1)</f>
        <v>1.89</v>
      </c>
      <c r="L191" s="4">
        <f t="shared" si="36"/>
        <v>226.79999999999998</v>
      </c>
      <c r="M191" s="42">
        <f t="shared" si="37"/>
        <v>229</v>
      </c>
      <c r="N191" s="28">
        <f>VLOOKUP($A191,'Выгр Кат'!$A:$R,N$1,0)</f>
        <v>120</v>
      </c>
      <c r="O191" s="28">
        <f>VLOOKUP($A191,'Выгр Кат'!$A:$R,O$1,0)</f>
        <v>229</v>
      </c>
      <c r="P191" s="30">
        <f t="shared" si="30"/>
        <v>0</v>
      </c>
      <c r="Q191" s="30">
        <f t="shared" si="31"/>
        <v>0</v>
      </c>
      <c r="R191" s="36">
        <f t="shared" si="32"/>
        <v>212.97</v>
      </c>
      <c r="S191" s="64" t="str">
        <f>IFERROR((VLOOKUP($A191,'Из ГУГЛа'!$B:$G,6,0)+U191)*T191,VLOOKUP($A191,'Из ГУГЛа'!$B:$G,6,0))</f>
        <v/>
      </c>
      <c r="T191" s="38">
        <v>1</v>
      </c>
      <c r="U191" s="38">
        <v>0</v>
      </c>
      <c r="V191" s="39">
        <f t="shared" si="33"/>
        <v>0.77475000000000005</v>
      </c>
      <c r="W191" s="39" t="str">
        <f t="shared" si="34"/>
        <v/>
      </c>
      <c r="X191" s="39" t="str">
        <f t="shared" si="35"/>
        <v/>
      </c>
      <c r="Y191" s="65" t="s">
        <v>8368</v>
      </c>
      <c r="Z191" s="46"/>
    </row>
    <row r="192" spans="1:26" s="3" customFormat="1" ht="30" x14ac:dyDescent="0.25">
      <c r="A192" s="28">
        <v>193991</v>
      </c>
      <c r="B192" s="28">
        <f>VLOOKUP($A192,'Выгр Кат'!$A:$R,B$1,0)</f>
        <v>9037</v>
      </c>
      <c r="C192" s="27" t="str">
        <f>VLOOKUP($A192,'Выгр Кат'!$A:$R,C$1,0)</f>
        <v>Пленка тонировочная SOLEX 50х300 Silver &amp; Black</v>
      </c>
      <c r="D192" s="28" t="str">
        <f>VLOOKUP($A192,'Выгр Кат'!$A:$R,D$1,0)</f>
        <v>Y</v>
      </c>
      <c r="E192" s="28" t="str">
        <f>VLOOKUP($A192,'Выгр Кат'!$A:$R,E$1,0)</f>
        <v>0</v>
      </c>
      <c r="F192" s="28">
        <f>VLOOKUP($A192,'Выгр Кат'!$A:$R,F$1,0)</f>
        <v>0</v>
      </c>
      <c r="G192" s="4"/>
      <c r="H192" s="4"/>
      <c r="I192" s="1" t="s">
        <v>3</v>
      </c>
      <c r="J192" s="41">
        <f t="shared" si="42"/>
        <v>120</v>
      </c>
      <c r="K192" s="2">
        <f>VLOOKUP(J192,Наценка!$A$1:$B$8,2,1)</f>
        <v>1.89</v>
      </c>
      <c r="L192" s="4">
        <f t="shared" si="36"/>
        <v>226.79999999999998</v>
      </c>
      <c r="M192" s="42">
        <f t="shared" si="37"/>
        <v>229</v>
      </c>
      <c r="N192" s="28">
        <f>VLOOKUP($A192,'Выгр Кат'!$A:$R,N$1,0)</f>
        <v>120</v>
      </c>
      <c r="O192" s="28">
        <f>VLOOKUP($A192,'Выгр Кат'!$A:$R,O$1,0)</f>
        <v>229</v>
      </c>
      <c r="P192" s="30">
        <f t="shared" ref="P192:P255" si="43">N192-J192</f>
        <v>0</v>
      </c>
      <c r="Q192" s="30">
        <f t="shared" ref="Q192:Q255" si="44">O192-M192</f>
        <v>0</v>
      </c>
      <c r="R192" s="36">
        <f t="shared" ref="R192:R255" si="45">IFERROR(M192*(1-$R$2),"")</f>
        <v>212.97</v>
      </c>
      <c r="S192" s="64" t="str">
        <f>IFERROR((VLOOKUP($A192,'Из ГУГЛа'!$B:$G,6,0)+U192)*T192,VLOOKUP($A192,'Из ГУГЛа'!$B:$G,6,0))</f>
        <v/>
      </c>
      <c r="T192" s="38">
        <v>1</v>
      </c>
      <c r="U192" s="38">
        <v>0</v>
      </c>
      <c r="V192" s="39">
        <f t="shared" ref="V192:V255" si="46">IFERROR(R192/J192-1,"")</f>
        <v>0.77475000000000005</v>
      </c>
      <c r="W192" s="39" t="str">
        <f t="shared" ref="W192:W255" si="47">IFERROR((Y192-R192)/Y192,"")</f>
        <v/>
      </c>
      <c r="X192" s="39" t="str">
        <f t="shared" ref="X192:X255" si="48">IFERROR(IF(Y192="","",Y192/J192-1),"")</f>
        <v/>
      </c>
      <c r="Y192" s="65" t="s">
        <v>8368</v>
      </c>
      <c r="Z192" s="46"/>
    </row>
    <row r="193" spans="1:26" s="3" customFormat="1" ht="30" x14ac:dyDescent="0.25">
      <c r="A193" s="28">
        <v>193992</v>
      </c>
      <c r="B193" s="28">
        <f>VLOOKUP($A193,'Выгр Кат'!$A:$R,B$1,0)</f>
        <v>9042</v>
      </c>
      <c r="C193" s="27" t="str">
        <f>VLOOKUP($A193,'Выгр Кат'!$A:$R,C$1,0)</f>
        <v>Пленка тонировочная SOLEX 50х300 Super Dark Black (5%)</v>
      </c>
      <c r="D193" s="28" t="str">
        <f>VLOOKUP($A193,'Выгр Кат'!$A:$R,D$1,0)</f>
        <v>Y</v>
      </c>
      <c r="E193" s="28" t="str">
        <f>VLOOKUP($A193,'Выгр Кат'!$A:$R,E$1,0)</f>
        <v>1ск1</v>
      </c>
      <c r="F193" s="28">
        <f>VLOOKUP($A193,'Выгр Кат'!$A:$R,F$1,0)</f>
        <v>0</v>
      </c>
      <c r="G193" s="4"/>
      <c r="H193" s="4"/>
      <c r="I193" s="1" t="s">
        <v>3</v>
      </c>
      <c r="J193" s="41">
        <f t="shared" si="42"/>
        <v>120</v>
      </c>
      <c r="K193" s="2">
        <f>VLOOKUP(J193,Наценка!$A$1:$B$8,2,1)</f>
        <v>1.89</v>
      </c>
      <c r="L193" s="4">
        <f t="shared" si="36"/>
        <v>226.79999999999998</v>
      </c>
      <c r="M193" s="42">
        <f t="shared" si="37"/>
        <v>229</v>
      </c>
      <c r="N193" s="28">
        <f>VLOOKUP($A193,'Выгр Кат'!$A:$R,N$1,0)</f>
        <v>120</v>
      </c>
      <c r="O193" s="28">
        <f>VLOOKUP($A193,'Выгр Кат'!$A:$R,O$1,0)</f>
        <v>229</v>
      </c>
      <c r="P193" s="30">
        <f t="shared" si="43"/>
        <v>0</v>
      </c>
      <c r="Q193" s="30">
        <f t="shared" si="44"/>
        <v>0</v>
      </c>
      <c r="R193" s="36">
        <f t="shared" si="45"/>
        <v>212.97</v>
      </c>
      <c r="S193" s="64" t="str">
        <f>IFERROR((VLOOKUP($A193,'Из ГУГЛа'!$B:$G,6,0)+U193)*T193,VLOOKUP($A193,'Из ГУГЛа'!$B:$G,6,0))</f>
        <v/>
      </c>
      <c r="T193" s="38">
        <v>1</v>
      </c>
      <c r="U193" s="38">
        <v>0</v>
      </c>
      <c r="V193" s="39">
        <f t="shared" si="46"/>
        <v>0.77475000000000005</v>
      </c>
      <c r="W193" s="39" t="str">
        <f t="shared" si="47"/>
        <v/>
      </c>
      <c r="X193" s="39" t="str">
        <f t="shared" si="48"/>
        <v/>
      </c>
      <c r="Y193" s="65" t="s">
        <v>8368</v>
      </c>
      <c r="Z193" s="46"/>
    </row>
    <row r="194" spans="1:26" s="3" customFormat="1" ht="30" x14ac:dyDescent="0.25">
      <c r="A194" s="28">
        <v>193993</v>
      </c>
      <c r="B194" s="28">
        <f>VLOOKUP($A194,'Выгр Кат'!$A:$R,B$1,0)</f>
        <v>9040</v>
      </c>
      <c r="C194" s="27" t="str">
        <f>VLOOKUP($A194,'Выгр Кат'!$A:$R,C$1,0)</f>
        <v>Пленка тонировочная SOLEX 75х300 Dark Black/Black</v>
      </c>
      <c r="D194" s="28" t="str">
        <f>VLOOKUP($A194,'Выгр Кат'!$A:$R,D$1,0)</f>
        <v>Y</v>
      </c>
      <c r="E194" s="28" t="str">
        <f>VLOOKUP($A194,'Выгр Кат'!$A:$R,E$1,0)</f>
        <v>1ск1</v>
      </c>
      <c r="F194" s="28">
        <f>VLOOKUP($A194,'Выгр Кат'!$A:$R,F$1,0)</f>
        <v>0</v>
      </c>
      <c r="G194" s="4"/>
      <c r="H194" s="4"/>
      <c r="I194" s="1" t="s">
        <v>3</v>
      </c>
      <c r="J194" s="41">
        <f t="shared" si="42"/>
        <v>110</v>
      </c>
      <c r="K194" s="2">
        <f>VLOOKUP(J194,Наценка!$A$1:$B$8,2,1)</f>
        <v>1.89</v>
      </c>
      <c r="L194" s="4">
        <f t="shared" si="36"/>
        <v>207.89999999999998</v>
      </c>
      <c r="M194" s="42">
        <f t="shared" si="37"/>
        <v>209</v>
      </c>
      <c r="N194" s="28">
        <f>VLOOKUP($A194,'Выгр Кат'!$A:$R,N$1,0)</f>
        <v>110</v>
      </c>
      <c r="O194" s="28">
        <f>VLOOKUP($A194,'Выгр Кат'!$A:$R,O$1,0)</f>
        <v>209</v>
      </c>
      <c r="P194" s="30">
        <f t="shared" si="43"/>
        <v>0</v>
      </c>
      <c r="Q194" s="30">
        <f t="shared" si="44"/>
        <v>0</v>
      </c>
      <c r="R194" s="36">
        <f t="shared" si="45"/>
        <v>194.36999999999998</v>
      </c>
      <c r="S194" s="64" t="str">
        <f>IFERROR((VLOOKUP($A194,'Из ГУГЛа'!$B:$G,6,0)+U194)*T194,VLOOKUP($A194,'Из ГУГЛа'!$B:$G,6,0))</f>
        <v/>
      </c>
      <c r="T194" s="38">
        <v>1</v>
      </c>
      <c r="U194" s="38">
        <v>0</v>
      </c>
      <c r="V194" s="39">
        <f t="shared" si="46"/>
        <v>0.76699999999999968</v>
      </c>
      <c r="W194" s="39" t="str">
        <f t="shared" si="47"/>
        <v/>
      </c>
      <c r="X194" s="39" t="str">
        <f t="shared" si="48"/>
        <v/>
      </c>
      <c r="Y194" s="65" t="s">
        <v>8368</v>
      </c>
      <c r="Z194" s="46"/>
    </row>
    <row r="195" spans="1:26" s="3" customFormat="1" ht="30" x14ac:dyDescent="0.25">
      <c r="A195" s="28">
        <v>193994</v>
      </c>
      <c r="B195" s="28">
        <f>VLOOKUP($A195,'Выгр Кат'!$A:$R,B$1,0)</f>
        <v>9045</v>
      </c>
      <c r="C195" s="27" t="str">
        <f>VLOOKUP($A195,'Выгр Кат'!$A:$R,C$1,0)</f>
        <v>Пленка тонировочная SOLEX 75х300 Silver</v>
      </c>
      <c r="D195" s="28" t="str">
        <f>VLOOKUP($A195,'Выгр Кат'!$A:$R,D$1,0)</f>
        <v>Y</v>
      </c>
      <c r="E195" s="28" t="str">
        <f>VLOOKUP($A195,'Выгр Кат'!$A:$R,E$1,0)</f>
        <v>1</v>
      </c>
      <c r="F195" s="28">
        <f>VLOOKUP($A195,'Выгр Кат'!$A:$R,F$1,0)</f>
        <v>0</v>
      </c>
      <c r="G195" s="4"/>
      <c r="H195" s="4"/>
      <c r="I195" s="1" t="s">
        <v>3</v>
      </c>
      <c r="J195" s="41">
        <f t="shared" si="42"/>
        <v>110</v>
      </c>
      <c r="K195" s="2">
        <f>VLOOKUP(J195,Наценка!$A$1:$B$8,2,1)</f>
        <v>1.89</v>
      </c>
      <c r="L195" s="4">
        <f t="shared" si="36"/>
        <v>207.89999999999998</v>
      </c>
      <c r="M195" s="42">
        <f t="shared" si="37"/>
        <v>209</v>
      </c>
      <c r="N195" s="28">
        <f>VLOOKUP($A195,'Выгр Кат'!$A:$R,N$1,0)</f>
        <v>110</v>
      </c>
      <c r="O195" s="28">
        <f>VLOOKUP($A195,'Выгр Кат'!$A:$R,O$1,0)</f>
        <v>209</v>
      </c>
      <c r="P195" s="30">
        <f t="shared" si="43"/>
        <v>0</v>
      </c>
      <c r="Q195" s="30">
        <f t="shared" si="44"/>
        <v>0</v>
      </c>
      <c r="R195" s="36">
        <f t="shared" si="45"/>
        <v>194.36999999999998</v>
      </c>
      <c r="S195" s="64" t="str">
        <f>IFERROR((VLOOKUP($A195,'Из ГУГЛа'!$B:$G,6,0)+U195)*T195,VLOOKUP($A195,'Из ГУГЛа'!$B:$G,6,0))</f>
        <v/>
      </c>
      <c r="T195" s="38">
        <v>1</v>
      </c>
      <c r="U195" s="38">
        <v>0</v>
      </c>
      <c r="V195" s="39">
        <f t="shared" si="46"/>
        <v>0.76699999999999968</v>
      </c>
      <c r="W195" s="39" t="str">
        <f t="shared" si="47"/>
        <v/>
      </c>
      <c r="X195" s="39" t="str">
        <f t="shared" si="48"/>
        <v/>
      </c>
      <c r="Y195" s="65" t="s">
        <v>8368</v>
      </c>
      <c r="Z195" s="46"/>
    </row>
    <row r="196" spans="1:26" s="3" customFormat="1" ht="30" x14ac:dyDescent="0.25">
      <c r="A196" s="28">
        <v>193995</v>
      </c>
      <c r="B196" s="28">
        <f>VLOOKUP($A196,'Выгр Кат'!$A:$R,B$1,0)</f>
        <v>9044</v>
      </c>
      <c r="C196" s="27" t="str">
        <f>VLOOKUP($A196,'Выгр Кат'!$A:$R,C$1,0)</f>
        <v>Пленка тонировочная SOLEX 75х300 Super Dark Black</v>
      </c>
      <c r="D196" s="28" t="str">
        <f>VLOOKUP($A196,'Выгр Кат'!$A:$R,D$1,0)</f>
        <v>Y</v>
      </c>
      <c r="E196" s="28" t="str">
        <f>VLOOKUP($A196,'Выгр Кат'!$A:$R,E$1,0)</f>
        <v>1</v>
      </c>
      <c r="F196" s="28">
        <f>VLOOKUP($A196,'Выгр Кат'!$A:$R,F$1,0)</f>
        <v>0</v>
      </c>
      <c r="G196" s="4"/>
      <c r="H196" s="4"/>
      <c r="I196" s="1" t="s">
        <v>3</v>
      </c>
      <c r="J196" s="41">
        <f t="shared" si="42"/>
        <v>170</v>
      </c>
      <c r="K196" s="2">
        <f>VLOOKUP(J196,Наценка!$A$1:$B$8,2,1)</f>
        <v>1.89</v>
      </c>
      <c r="L196" s="4">
        <f t="shared" ref="L196:L259" si="49">J196*K196</f>
        <v>321.3</v>
      </c>
      <c r="M196" s="42">
        <f t="shared" ref="M196:M259" si="50">IF(L196&lt;=1000,(ROUNDUP(L196,-1)-1),(ROUNDUP(L196,-2)-10))</f>
        <v>329</v>
      </c>
      <c r="N196" s="28">
        <f>VLOOKUP($A196,'Выгр Кат'!$A:$R,N$1,0)</f>
        <v>170</v>
      </c>
      <c r="O196" s="28">
        <f>VLOOKUP($A196,'Выгр Кат'!$A:$R,O$1,0)</f>
        <v>329</v>
      </c>
      <c r="P196" s="30">
        <f t="shared" si="43"/>
        <v>0</v>
      </c>
      <c r="Q196" s="30">
        <f t="shared" si="44"/>
        <v>0</v>
      </c>
      <c r="R196" s="36">
        <f t="shared" si="45"/>
        <v>305.96999999999997</v>
      </c>
      <c r="S196" s="64" t="str">
        <f>IFERROR((VLOOKUP($A196,'Из ГУГЛа'!$B:$G,6,0)+U196)*T196,VLOOKUP($A196,'Из ГУГЛа'!$B:$G,6,0))</f>
        <v/>
      </c>
      <c r="T196" s="38">
        <v>1</v>
      </c>
      <c r="U196" s="38">
        <v>0</v>
      </c>
      <c r="V196" s="39">
        <f t="shared" si="46"/>
        <v>0.7998235294117646</v>
      </c>
      <c r="W196" s="39" t="str">
        <f t="shared" si="47"/>
        <v/>
      </c>
      <c r="X196" s="39" t="str">
        <f t="shared" si="48"/>
        <v/>
      </c>
      <c r="Y196" s="65" t="s">
        <v>8368</v>
      </c>
      <c r="Z196" s="46"/>
    </row>
    <row r="197" spans="1:26" s="3" customFormat="1" ht="30" x14ac:dyDescent="0.25">
      <c r="A197" s="28">
        <v>195168</v>
      </c>
      <c r="B197" s="28">
        <f>VLOOKUP($A197,'Выгр Кат'!$A:$R,B$1,0)</f>
        <v>31128</v>
      </c>
      <c r="C197" s="27" t="str">
        <f>VLOOKUP($A197,'Выгр Кат'!$A:$R,C$1,0)</f>
        <v>Полироль для пластика "Contra" Sex Наша Работа (1000 мл)</v>
      </c>
      <c r="D197" s="28" t="str">
        <f>VLOOKUP($A197,'Выгр Кат'!$A:$R,D$1,0)</f>
        <v>Y</v>
      </c>
      <c r="E197" s="28" t="str">
        <f>VLOOKUP($A197,'Выгр Кат'!$A:$R,E$1,0)</f>
        <v>1</v>
      </c>
      <c r="F197" s="28" t="str">
        <f>VLOOKUP($A197,'Выгр Кат'!$A:$R,F$1,0)</f>
        <v>40420</v>
      </c>
      <c r="G197" s="7">
        <v>40420</v>
      </c>
      <c r="H197" s="7"/>
      <c r="I197" s="1" t="s">
        <v>3</v>
      </c>
      <c r="J197" s="42">
        <f>VLOOKUP(G197,Прайс!B:E,4,0)</f>
        <v>480</v>
      </c>
      <c r="K197" s="2">
        <f>VLOOKUP(J197,Наценка!$A$1:$B$8,2,1)</f>
        <v>1.68</v>
      </c>
      <c r="L197" s="4">
        <f t="shared" si="49"/>
        <v>806.4</v>
      </c>
      <c r="M197" s="42">
        <f t="shared" si="50"/>
        <v>809</v>
      </c>
      <c r="N197" s="28">
        <f>VLOOKUP($A197,'Выгр Кат'!$A:$R,N$1,0)</f>
        <v>480</v>
      </c>
      <c r="O197" s="28">
        <f>VLOOKUP($A197,'Выгр Кат'!$A:$R,O$1,0)</f>
        <v>809</v>
      </c>
      <c r="P197" s="30">
        <f t="shared" si="43"/>
        <v>0</v>
      </c>
      <c r="Q197" s="30">
        <f t="shared" si="44"/>
        <v>0</v>
      </c>
      <c r="R197" s="36">
        <f t="shared" si="45"/>
        <v>752.37</v>
      </c>
      <c r="S197" s="64" t="str">
        <f>IFERROR((VLOOKUP($A197,'Из ГУГЛа'!$B:$G,6,0)+U197)*T197,VLOOKUP($A197,'Из ГУГЛа'!$B:$G,6,0))</f>
        <v/>
      </c>
      <c r="T197" s="38">
        <v>1</v>
      </c>
      <c r="U197" s="38">
        <v>0</v>
      </c>
      <c r="V197" s="39">
        <f t="shared" si="46"/>
        <v>0.56743750000000004</v>
      </c>
      <c r="W197" s="39" t="str">
        <f t="shared" si="47"/>
        <v/>
      </c>
      <c r="X197" s="39" t="str">
        <f t="shared" si="48"/>
        <v/>
      </c>
      <c r="Y197" s="65" t="s">
        <v>8364</v>
      </c>
      <c r="Z197" s="46"/>
    </row>
    <row r="198" spans="1:26" s="3" customFormat="1" ht="30" x14ac:dyDescent="0.25">
      <c r="A198" s="28">
        <v>195169</v>
      </c>
      <c r="B198" s="28">
        <f>VLOOKUP($A198,'Выгр Кат'!$A:$R,B$1,0)</f>
        <v>31127</v>
      </c>
      <c r="C198" s="27" t="str">
        <f>VLOOKUP($A198,'Выгр Кат'!$A:$R,C$1,0)</f>
        <v>Полироль для пластика "Contra" Warning Sexoholic (1000 мл)</v>
      </c>
      <c r="D198" s="28" t="str">
        <f>VLOOKUP($A198,'Выгр Кат'!$A:$R,D$1,0)</f>
        <v>Y</v>
      </c>
      <c r="E198" s="28" t="str">
        <f>VLOOKUP($A198,'Выгр Кат'!$A:$R,E$1,0)</f>
        <v>1</v>
      </c>
      <c r="F198" s="28" t="str">
        <f>VLOOKUP($A198,'Выгр Кат'!$A:$R,F$1,0)</f>
        <v>40421</v>
      </c>
      <c r="G198" s="7">
        <v>40421</v>
      </c>
      <c r="H198" s="7"/>
      <c r="I198" s="1" t="s">
        <v>3</v>
      </c>
      <c r="J198" s="42">
        <f>VLOOKUP(G198,Прайс!B:E,4,0)</f>
        <v>480</v>
      </c>
      <c r="K198" s="2">
        <f>VLOOKUP(J198,Наценка!$A$1:$B$8,2,1)</f>
        <v>1.68</v>
      </c>
      <c r="L198" s="4">
        <f t="shared" si="49"/>
        <v>806.4</v>
      </c>
      <c r="M198" s="42">
        <f t="shared" si="50"/>
        <v>809</v>
      </c>
      <c r="N198" s="28">
        <f>VLOOKUP($A198,'Выгр Кат'!$A:$R,N$1,0)</f>
        <v>480</v>
      </c>
      <c r="O198" s="28">
        <f>VLOOKUP($A198,'Выгр Кат'!$A:$R,O$1,0)</f>
        <v>809</v>
      </c>
      <c r="P198" s="30">
        <f t="shared" si="43"/>
        <v>0</v>
      </c>
      <c r="Q198" s="30">
        <f t="shared" si="44"/>
        <v>0</v>
      </c>
      <c r="R198" s="36">
        <f t="shared" si="45"/>
        <v>752.37</v>
      </c>
      <c r="S198" s="64" t="str">
        <f>IFERROR((VLOOKUP($A198,'Из ГУГЛа'!$B:$G,6,0)+U198)*T198,VLOOKUP($A198,'Из ГУГЛа'!$B:$G,6,0))</f>
        <v/>
      </c>
      <c r="T198" s="38">
        <v>1</v>
      </c>
      <c r="U198" s="38">
        <v>0</v>
      </c>
      <c r="V198" s="39">
        <f t="shared" si="46"/>
        <v>0.56743750000000004</v>
      </c>
      <c r="W198" s="39" t="str">
        <f t="shared" si="47"/>
        <v/>
      </c>
      <c r="X198" s="39" t="str">
        <f t="shared" si="48"/>
        <v/>
      </c>
      <c r="Y198" s="65" t="s">
        <v>8364</v>
      </c>
      <c r="Z198" s="46"/>
    </row>
    <row r="199" spans="1:26" s="3" customFormat="1" ht="30" x14ac:dyDescent="0.25">
      <c r="A199" s="28">
        <v>195170</v>
      </c>
      <c r="B199" s="28">
        <f>VLOOKUP($A199,'Выгр Кат'!$A:$R,B$1,0)</f>
        <v>9291</v>
      </c>
      <c r="C199" s="27" t="str">
        <f>VLOOKUP($A199,'Выгр Кат'!$A:$R,C$1,0)</f>
        <v>Полироль кузова Doctor Wax 300мл зеленая (DW8449)</v>
      </c>
      <c r="D199" s="28" t="str">
        <f>VLOOKUP($A199,'Выгр Кат'!$A:$R,D$1,0)</f>
        <v>Y</v>
      </c>
      <c r="E199" s="28" t="str">
        <f>VLOOKUP($A199,'Выгр Кат'!$A:$R,E$1,0)</f>
        <v>0</v>
      </c>
      <c r="F199" s="28">
        <f>VLOOKUP($A199,'Выгр Кат'!$A:$R,F$1,0)</f>
        <v>0</v>
      </c>
      <c r="G199" s="4"/>
      <c r="H199" s="4"/>
      <c r="I199" s="1" t="s">
        <v>3</v>
      </c>
      <c r="J199" s="41">
        <f>N199</f>
        <v>400</v>
      </c>
      <c r="K199" s="2">
        <f>VLOOKUP(J199,Наценка!$A$1:$B$8,2,1)</f>
        <v>1.68</v>
      </c>
      <c r="L199" s="41">
        <f>O199</f>
        <v>739</v>
      </c>
      <c r="M199" s="42">
        <f t="shared" si="50"/>
        <v>739</v>
      </c>
      <c r="N199" s="28">
        <f>VLOOKUP($A199,'Выгр Кат'!$A:$R,N$1,0)</f>
        <v>400</v>
      </c>
      <c r="O199" s="28">
        <f>VLOOKUP($A199,'Выгр Кат'!$A:$R,O$1,0)</f>
        <v>739</v>
      </c>
      <c r="P199" s="30">
        <f t="shared" si="43"/>
        <v>0</v>
      </c>
      <c r="Q199" s="30">
        <f t="shared" si="44"/>
        <v>0</v>
      </c>
      <c r="R199" s="36">
        <f t="shared" si="45"/>
        <v>687.27</v>
      </c>
      <c r="S199" s="64" t="str">
        <f>IFERROR((VLOOKUP($A199,'Из ГУГЛа'!$B:$G,6,0)+U199)*T199,VLOOKUP($A199,'Из ГУГЛа'!$B:$G,6,0))</f>
        <v/>
      </c>
      <c r="T199" s="38">
        <v>1</v>
      </c>
      <c r="U199" s="38">
        <v>0</v>
      </c>
      <c r="V199" s="39">
        <f t="shared" si="46"/>
        <v>0.71817500000000001</v>
      </c>
      <c r="W199" s="39" t="str">
        <f t="shared" si="47"/>
        <v/>
      </c>
      <c r="X199" s="39" t="str">
        <f t="shared" si="48"/>
        <v/>
      </c>
      <c r="Y199" s="65"/>
      <c r="Z199" s="46"/>
    </row>
    <row r="200" spans="1:26" s="3" customFormat="1" ht="30" x14ac:dyDescent="0.25">
      <c r="A200" s="28">
        <v>195172</v>
      </c>
      <c r="B200" s="28">
        <f>VLOOKUP($A200,'Выгр Кат'!$A:$R,B$1,0)</f>
        <v>9307</v>
      </c>
      <c r="C200" s="27" t="str">
        <f>VLOOKUP($A200,'Выгр Кат'!$A:$R,C$1,0)</f>
        <v>Полироль панели "PLAK" 400мл в ассортименте</v>
      </c>
      <c r="D200" s="28" t="str">
        <f>VLOOKUP($A200,'Выгр Кат'!$A:$R,D$1,0)</f>
        <v>Y</v>
      </c>
      <c r="E200" s="28" t="str">
        <f>VLOOKUP($A200,'Выгр Кат'!$A:$R,E$1,0)</f>
        <v>1</v>
      </c>
      <c r="F200" s="28" t="str">
        <f>VLOOKUP($A200,'Выгр Кат'!$A:$R,F$1,0)</f>
        <v>40313</v>
      </c>
      <c r="G200" s="62">
        <v>40313</v>
      </c>
      <c r="H200" s="62"/>
      <c r="I200" s="1" t="s">
        <v>3</v>
      </c>
      <c r="J200" s="42">
        <f>VLOOKUP(G200,Прайс!B:E,4,0)</f>
        <v>220</v>
      </c>
      <c r="K200" s="2">
        <f>VLOOKUP(J200,Наценка!$A$1:$B$8,2,1)</f>
        <v>1.89</v>
      </c>
      <c r="L200" s="4">
        <f t="shared" si="49"/>
        <v>415.79999999999995</v>
      </c>
      <c r="M200" s="42">
        <f t="shared" si="50"/>
        <v>419</v>
      </c>
      <c r="N200" s="28">
        <f>VLOOKUP($A200,'Выгр Кат'!$A:$R,N$1,0)</f>
        <v>220</v>
      </c>
      <c r="O200" s="28">
        <f>VLOOKUP($A200,'Выгр Кат'!$A:$R,O$1,0)</f>
        <v>419</v>
      </c>
      <c r="P200" s="30">
        <f t="shared" si="43"/>
        <v>0</v>
      </c>
      <c r="Q200" s="30">
        <f t="shared" si="44"/>
        <v>0</v>
      </c>
      <c r="R200" s="36">
        <f t="shared" si="45"/>
        <v>389.66999999999996</v>
      </c>
      <c r="S200" s="64" t="str">
        <f>IFERROR((VLOOKUP($A200,'Из ГУГЛа'!$B:$G,6,0)+U200)*T200,VLOOKUP($A200,'Из ГУГЛа'!$B:$G,6,0))</f>
        <v/>
      </c>
      <c r="T200" s="38">
        <v>1</v>
      </c>
      <c r="U200" s="38">
        <v>0</v>
      </c>
      <c r="V200" s="39">
        <f t="shared" si="46"/>
        <v>0.77122727272727265</v>
      </c>
      <c r="W200" s="39" t="str">
        <f t="shared" si="47"/>
        <v/>
      </c>
      <c r="X200" s="39" t="str">
        <f t="shared" si="48"/>
        <v/>
      </c>
      <c r="Y200" s="65" t="s">
        <v>8364</v>
      </c>
      <c r="Z200" s="46"/>
    </row>
    <row r="201" spans="1:26" s="3" customFormat="1" x14ac:dyDescent="0.25">
      <c r="A201" s="28">
        <v>202605</v>
      </c>
      <c r="B201" s="28">
        <f>VLOOKUP($A201,'Выгр Кат'!$A:$R,B$1,0)</f>
        <v>32091</v>
      </c>
      <c r="C201" s="27" t="str">
        <f>VLOOKUP($A201,'Выгр Кат'!$A:$R,C$1,0)</f>
        <v>Рамка номера металлическая чёрная</v>
      </c>
      <c r="D201" s="28" t="str">
        <f>VLOOKUP($A201,'Выгр Кат'!$A:$R,D$1,0)</f>
        <v>Y</v>
      </c>
      <c r="E201" s="28" t="str">
        <f>VLOOKUP($A201,'Выгр Кат'!$A:$R,E$1,0)</f>
        <v>1ск1</v>
      </c>
      <c r="F201" s="28" t="str">
        <f>VLOOKUP($A201,'Выгр Кат'!$A:$R,F$1,0)</f>
        <v>50458</v>
      </c>
      <c r="G201" s="7">
        <v>50458</v>
      </c>
      <c r="H201" s="7"/>
      <c r="I201" s="1" t="s">
        <v>3</v>
      </c>
      <c r="J201" s="42">
        <f>VLOOKUP(G201,Прайс!B:E,4,0)</f>
        <v>280</v>
      </c>
      <c r="K201" s="2">
        <f>VLOOKUP(J201,Наценка!$A$1:$B$8,2,1)</f>
        <v>1.89</v>
      </c>
      <c r="L201" s="4">
        <f t="shared" si="49"/>
        <v>529.19999999999993</v>
      </c>
      <c r="M201" s="42">
        <f t="shared" si="50"/>
        <v>529</v>
      </c>
      <c r="N201" s="28">
        <f>VLOOKUP($A201,'Выгр Кат'!$A:$R,N$1,0)</f>
        <v>280</v>
      </c>
      <c r="O201" s="28">
        <f>VLOOKUP($A201,'Выгр Кат'!$A:$R,O$1,0)</f>
        <v>529</v>
      </c>
      <c r="P201" s="30">
        <f t="shared" si="43"/>
        <v>0</v>
      </c>
      <c r="Q201" s="30">
        <f t="shared" si="44"/>
        <v>0</v>
      </c>
      <c r="R201" s="36">
        <f t="shared" si="45"/>
        <v>491.96999999999997</v>
      </c>
      <c r="S201" s="64" t="str">
        <f>IFERROR((VLOOKUP($A201,'Из ГУГЛа'!$B:$G,6,0)+U201)*T201,VLOOKUP($A201,'Из ГУГЛа'!$B:$G,6,0))</f>
        <v/>
      </c>
      <c r="T201" s="38">
        <v>1</v>
      </c>
      <c r="U201" s="38">
        <v>0</v>
      </c>
      <c r="V201" s="39">
        <f t="shared" si="46"/>
        <v>0.75703571428571426</v>
      </c>
      <c r="W201" s="39">
        <f t="shared" si="47"/>
        <v>0.16615254237288141</v>
      </c>
      <c r="X201" s="39">
        <f t="shared" si="48"/>
        <v>1.1071428571428572</v>
      </c>
      <c r="Y201" s="65">
        <v>590</v>
      </c>
      <c r="Z201" s="46" t="s">
        <v>8373</v>
      </c>
    </row>
    <row r="202" spans="1:26" s="3" customFormat="1" ht="30" x14ac:dyDescent="0.25">
      <c r="A202" s="28">
        <v>213269</v>
      </c>
      <c r="B202" s="28">
        <f>VLOOKUP($A202,'Выгр Кат'!$A:$R,B$1,0)</f>
        <v>9060</v>
      </c>
      <c r="C202" s="27" t="str">
        <f>VLOOKUP($A202,'Выгр Кат'!$A:$R,C$1,0)</f>
        <v>Салфетка Варежка микрофибра СА-150</v>
      </c>
      <c r="D202" s="28" t="str">
        <f>VLOOKUP($A202,'Выгр Кат'!$A:$R,D$1,0)</f>
        <v>Y</v>
      </c>
      <c r="E202" s="28" t="str">
        <f>VLOOKUP($A202,'Выгр Кат'!$A:$R,E$1,0)</f>
        <v>1</v>
      </c>
      <c r="F202" s="28" t="str">
        <f>VLOOKUP($A202,'Выгр Кат'!$A:$R,F$1,0)</f>
        <v>24001</v>
      </c>
      <c r="G202" s="7">
        <v>24001</v>
      </c>
      <c r="H202" s="7"/>
      <c r="I202" s="1" t="s">
        <v>3</v>
      </c>
      <c r="J202" s="42">
        <f>VLOOKUP(G202,Прайс!B:E,4,0)</f>
        <v>85</v>
      </c>
      <c r="K202" s="2">
        <f>VLOOKUP(J202,Наценка!$A$1:$B$8,2,1)</f>
        <v>2.11</v>
      </c>
      <c r="L202" s="4">
        <f t="shared" si="49"/>
        <v>179.35</v>
      </c>
      <c r="M202" s="42">
        <f t="shared" si="50"/>
        <v>179</v>
      </c>
      <c r="N202" s="28">
        <f>VLOOKUP($A202,'Выгр Кат'!$A:$R,N$1,0)</f>
        <v>85</v>
      </c>
      <c r="O202" s="28">
        <f>VLOOKUP($A202,'Выгр Кат'!$A:$R,O$1,0)</f>
        <v>179</v>
      </c>
      <c r="P202" s="30">
        <f t="shared" si="43"/>
        <v>0</v>
      </c>
      <c r="Q202" s="30">
        <f t="shared" si="44"/>
        <v>0</v>
      </c>
      <c r="R202" s="36">
        <f t="shared" si="45"/>
        <v>166.47</v>
      </c>
      <c r="S202" s="64" t="str">
        <f>IFERROR((VLOOKUP($A202,'Из ГУГЛа'!$B:$G,6,0)+U202)*T202,VLOOKUP($A202,'Из ГУГЛа'!$B:$G,6,0))</f>
        <v/>
      </c>
      <c r="T202" s="38">
        <v>1</v>
      </c>
      <c r="U202" s="38">
        <v>0</v>
      </c>
      <c r="V202" s="39">
        <f t="shared" si="46"/>
        <v>0.95847058823529419</v>
      </c>
      <c r="W202" s="39" t="str">
        <f t="shared" si="47"/>
        <v/>
      </c>
      <c r="X202" s="39" t="str">
        <f t="shared" si="48"/>
        <v/>
      </c>
      <c r="Y202" s="65" t="s">
        <v>8364</v>
      </c>
      <c r="Z202" s="46"/>
    </row>
    <row r="203" spans="1:26" s="3" customFormat="1" ht="30" x14ac:dyDescent="0.25">
      <c r="A203" s="28">
        <v>213270</v>
      </c>
      <c r="B203" s="28">
        <f>VLOOKUP($A203,'Выгр Кат'!$A:$R,B$1,0)</f>
        <v>9056</v>
      </c>
      <c r="C203" s="27" t="str">
        <f>VLOOKUP($A203,'Выгр Кат'!$A:$R,C$1,0)</f>
        <v>Салфетка замша City UP CA-221 43*64см в тубе (большая)</v>
      </c>
      <c r="D203" s="28" t="str">
        <f>VLOOKUP($A203,'Выгр Кат'!$A:$R,D$1,0)</f>
        <v>Y</v>
      </c>
      <c r="E203" s="28" t="str">
        <f>VLOOKUP($A203,'Выгр Кат'!$A:$R,E$1,0)</f>
        <v>1</v>
      </c>
      <c r="F203" s="28" t="str">
        <f>VLOOKUP($A203,'Выгр Кат'!$A:$R,F$1,0)</f>
        <v>24082</v>
      </c>
      <c r="G203" s="7">
        <v>24082</v>
      </c>
      <c r="H203" s="7"/>
      <c r="I203" s="1" t="s">
        <v>3</v>
      </c>
      <c r="J203" s="42">
        <f>VLOOKUP(G203,Прайс!B:E,4,0)</f>
        <v>150</v>
      </c>
      <c r="K203" s="2">
        <f>VLOOKUP(J203,Наценка!$A$1:$B$8,2,1)</f>
        <v>1.89</v>
      </c>
      <c r="L203" s="4">
        <f t="shared" si="49"/>
        <v>283.5</v>
      </c>
      <c r="M203" s="42">
        <f t="shared" si="50"/>
        <v>289</v>
      </c>
      <c r="N203" s="28">
        <f>VLOOKUP($A203,'Выгр Кат'!$A:$R,N$1,0)</f>
        <v>150</v>
      </c>
      <c r="O203" s="28">
        <f>VLOOKUP($A203,'Выгр Кат'!$A:$R,O$1,0)</f>
        <v>289</v>
      </c>
      <c r="P203" s="30">
        <f t="shared" si="43"/>
        <v>0</v>
      </c>
      <c r="Q203" s="30">
        <f t="shared" si="44"/>
        <v>0</v>
      </c>
      <c r="R203" s="36">
        <f t="shared" si="45"/>
        <v>268.77</v>
      </c>
      <c r="S203" s="64" t="str">
        <f>IFERROR((VLOOKUP($A203,'Из ГУГЛа'!$B:$G,6,0)+U203)*T203,VLOOKUP($A203,'Из ГУГЛа'!$B:$G,6,0))</f>
        <v/>
      </c>
      <c r="T203" s="38">
        <v>1</v>
      </c>
      <c r="U203" s="38">
        <v>0</v>
      </c>
      <c r="V203" s="39">
        <f t="shared" si="46"/>
        <v>0.79179999999999984</v>
      </c>
      <c r="W203" s="39" t="str">
        <f t="shared" si="47"/>
        <v/>
      </c>
      <c r="X203" s="39" t="str">
        <f t="shared" si="48"/>
        <v/>
      </c>
      <c r="Y203" s="65" t="s">
        <v>8364</v>
      </c>
      <c r="Z203" s="46"/>
    </row>
    <row r="204" spans="1:26" s="3" customFormat="1" ht="30" x14ac:dyDescent="0.25">
      <c r="A204" s="28">
        <v>213271</v>
      </c>
      <c r="B204" s="28">
        <f>VLOOKUP($A204,'Выгр Кат'!$A:$R,B$1,0)</f>
        <v>9100</v>
      </c>
      <c r="C204" s="27" t="str">
        <f>VLOOKUP($A204,'Выгр Кат'!$A:$R,C$1,0)</f>
        <v>Салфетка замша City UP CA-222 43*32см в тубе (маленькая)</v>
      </c>
      <c r="D204" s="28" t="str">
        <f>VLOOKUP($A204,'Выгр Кат'!$A:$R,D$1,0)</f>
        <v>Y</v>
      </c>
      <c r="E204" s="28" t="str">
        <f>VLOOKUP($A204,'Выгр Кат'!$A:$R,E$1,0)</f>
        <v>1</v>
      </c>
      <c r="F204" s="28" t="str">
        <f>VLOOKUP($A204,'Выгр Кат'!$A:$R,F$1,0)</f>
        <v>24083</v>
      </c>
      <c r="G204" s="7">
        <v>24083</v>
      </c>
      <c r="H204" s="7"/>
      <c r="I204" s="1" t="s">
        <v>3</v>
      </c>
      <c r="J204" s="42">
        <f>VLOOKUP(G204,Прайс!B:E,4,0)</f>
        <v>80</v>
      </c>
      <c r="K204" s="2">
        <f>VLOOKUP(J204,Наценка!$A$1:$B$8,2,1)</f>
        <v>2.11</v>
      </c>
      <c r="L204" s="4">
        <f t="shared" si="49"/>
        <v>168.79999999999998</v>
      </c>
      <c r="M204" s="42">
        <f t="shared" si="50"/>
        <v>169</v>
      </c>
      <c r="N204" s="28">
        <f>VLOOKUP($A204,'Выгр Кат'!$A:$R,N$1,0)</f>
        <v>80</v>
      </c>
      <c r="O204" s="28">
        <f>VLOOKUP($A204,'Выгр Кат'!$A:$R,O$1,0)</f>
        <v>169</v>
      </c>
      <c r="P204" s="30">
        <f t="shared" si="43"/>
        <v>0</v>
      </c>
      <c r="Q204" s="30">
        <f t="shared" si="44"/>
        <v>0</v>
      </c>
      <c r="R204" s="36">
        <f t="shared" si="45"/>
        <v>157.16999999999999</v>
      </c>
      <c r="S204" s="64" t="str">
        <f>IFERROR((VLOOKUP($A204,'Из ГУГЛа'!$B:$G,6,0)+U204)*T204,VLOOKUP($A204,'Из ГУГЛа'!$B:$G,6,0))</f>
        <v/>
      </c>
      <c r="T204" s="38">
        <v>1</v>
      </c>
      <c r="U204" s="38">
        <v>0</v>
      </c>
      <c r="V204" s="39">
        <f t="shared" si="46"/>
        <v>0.96462499999999984</v>
      </c>
      <c r="W204" s="39" t="str">
        <f t="shared" si="47"/>
        <v/>
      </c>
      <c r="X204" s="39" t="str">
        <f t="shared" si="48"/>
        <v/>
      </c>
      <c r="Y204" s="65" t="s">
        <v>8364</v>
      </c>
      <c r="Z204" s="46"/>
    </row>
    <row r="205" spans="1:26" s="3" customFormat="1" ht="30" x14ac:dyDescent="0.25">
      <c r="A205" s="28">
        <v>213272</v>
      </c>
      <c r="B205" s="28">
        <f>VLOOKUP($A205,'Выгр Кат'!$A:$R,B$1,0)</f>
        <v>9070</v>
      </c>
      <c r="C205" s="27" t="str">
        <f>VLOOKUP($A205,'Выгр Кат'!$A:$R,C$1,0)</f>
        <v>Салфетка микрофибра "City UP" размер 40*60см</v>
      </c>
      <c r="D205" s="28" t="str">
        <f>VLOOKUP($A205,'Выгр Кат'!$A:$R,D$1,0)</f>
        <v>Y</v>
      </c>
      <c r="E205" s="28" t="str">
        <f>VLOOKUP($A205,'Выгр Кат'!$A:$R,E$1,0)</f>
        <v>1</v>
      </c>
      <c r="F205" s="28" t="str">
        <f>VLOOKUP($A205,'Выгр Кат'!$A:$R,F$1,0)</f>
        <v>24044</v>
      </c>
      <c r="G205" s="7">
        <v>24044</v>
      </c>
      <c r="H205" s="7"/>
      <c r="I205" s="1" t="s">
        <v>3</v>
      </c>
      <c r="J205" s="41">
        <f>N205</f>
        <v>80</v>
      </c>
      <c r="K205" s="2">
        <f>VLOOKUP(J205,Наценка!$A$1:$B$8,2,1)</f>
        <v>2.11</v>
      </c>
      <c r="L205" s="4">
        <f t="shared" si="49"/>
        <v>168.79999999999998</v>
      </c>
      <c r="M205" s="42">
        <f t="shared" si="50"/>
        <v>169</v>
      </c>
      <c r="N205" s="28">
        <f>VLOOKUP($A205,'Выгр Кат'!$A:$R,N$1,0)</f>
        <v>80</v>
      </c>
      <c r="O205" s="28">
        <f>VLOOKUP($A205,'Выгр Кат'!$A:$R,O$1,0)</f>
        <v>169</v>
      </c>
      <c r="P205" s="30">
        <f t="shared" si="43"/>
        <v>0</v>
      </c>
      <c r="Q205" s="30">
        <f t="shared" si="44"/>
        <v>0</v>
      </c>
      <c r="R205" s="36">
        <f t="shared" si="45"/>
        <v>157.16999999999999</v>
      </c>
      <c r="S205" s="64" t="str">
        <f>IFERROR((VLOOKUP($A205,'Из ГУГЛа'!$B:$G,6,0)+U205)*T205,VLOOKUP($A205,'Из ГУГЛа'!$B:$G,6,0))</f>
        <v/>
      </c>
      <c r="T205" s="38">
        <v>1</v>
      </c>
      <c r="U205" s="38">
        <v>0</v>
      </c>
      <c r="V205" s="39">
        <f t="shared" si="46"/>
        <v>0.96462499999999984</v>
      </c>
      <c r="W205" s="39" t="str">
        <f t="shared" si="47"/>
        <v/>
      </c>
      <c r="X205" s="39" t="str">
        <f t="shared" si="48"/>
        <v/>
      </c>
      <c r="Y205" s="65" t="s">
        <v>8364</v>
      </c>
      <c r="Z205" s="46"/>
    </row>
    <row r="206" spans="1:26" s="3" customFormat="1" ht="30" x14ac:dyDescent="0.25">
      <c r="A206" s="28">
        <v>213274</v>
      </c>
      <c r="B206" s="28">
        <f>VLOOKUP($A206,'Выгр Кат'!$A:$R,B$1,0)</f>
        <v>9077</v>
      </c>
      <c r="C206" s="27" t="str">
        <f>VLOOKUP($A206,'Выгр Кат'!$A:$R,C$1,0)</f>
        <v>Салфетка микрофибра CА-103</v>
      </c>
      <c r="D206" s="28" t="str">
        <f>VLOOKUP($A206,'Выгр Кат'!$A:$R,D$1,0)</f>
        <v>Y</v>
      </c>
      <c r="E206" s="28" t="str">
        <f>VLOOKUP($A206,'Выгр Кат'!$A:$R,E$1,0)</f>
        <v>1</v>
      </c>
      <c r="F206" s="28" t="str">
        <f>VLOOKUP($A206,'Выгр Кат'!$A:$R,F$1,0)</f>
        <v>24041</v>
      </c>
      <c r="G206" s="7">
        <v>24041</v>
      </c>
      <c r="H206" s="7"/>
      <c r="I206" s="1" t="s">
        <v>3</v>
      </c>
      <c r="J206" s="42">
        <f>VLOOKUP(G206,Прайс!B:E,4,0)</f>
        <v>65</v>
      </c>
      <c r="K206" s="2">
        <f>VLOOKUP(J206,Наценка!$A$1:$B$8,2,1)</f>
        <v>2.11</v>
      </c>
      <c r="L206" s="4">
        <f t="shared" si="49"/>
        <v>137.15</v>
      </c>
      <c r="M206" s="42">
        <f t="shared" si="50"/>
        <v>139</v>
      </c>
      <c r="N206" s="28">
        <f>VLOOKUP($A206,'Выгр Кат'!$A:$R,N$1,0)</f>
        <v>65</v>
      </c>
      <c r="O206" s="28">
        <f>VLOOKUP($A206,'Выгр Кат'!$A:$R,O$1,0)</f>
        <v>139</v>
      </c>
      <c r="P206" s="30">
        <f t="shared" si="43"/>
        <v>0</v>
      </c>
      <c r="Q206" s="30">
        <f t="shared" si="44"/>
        <v>0</v>
      </c>
      <c r="R206" s="36">
        <f t="shared" si="45"/>
        <v>129.26999999999998</v>
      </c>
      <c r="S206" s="64" t="str">
        <f>IFERROR((VLOOKUP($A206,'Из ГУГЛа'!$B:$G,6,0)+U206)*T206,VLOOKUP($A206,'Из ГУГЛа'!$B:$G,6,0))</f>
        <v/>
      </c>
      <c r="T206" s="38">
        <v>1</v>
      </c>
      <c r="U206" s="38">
        <v>0</v>
      </c>
      <c r="V206" s="39">
        <f t="shared" si="46"/>
        <v>0.9887692307692304</v>
      </c>
      <c r="W206" s="39" t="str">
        <f t="shared" si="47"/>
        <v/>
      </c>
      <c r="X206" s="39" t="str">
        <f t="shared" si="48"/>
        <v/>
      </c>
      <c r="Y206" s="65" t="s">
        <v>8364</v>
      </c>
      <c r="Z206" s="46"/>
    </row>
    <row r="207" spans="1:26" s="3" customFormat="1" ht="30" x14ac:dyDescent="0.25">
      <c r="A207" s="28">
        <v>213275</v>
      </c>
      <c r="B207" s="28">
        <f>VLOOKUP($A207,'Выгр Кат'!$A:$R,B$1,0)</f>
        <v>9048</v>
      </c>
      <c r="C207" s="27" t="str">
        <f>VLOOKUP($A207,'Выгр Кат'!$A:$R,C$1,0)</f>
        <v>Салфетка микрофибра CА-131</v>
      </c>
      <c r="D207" s="28" t="str">
        <f>VLOOKUP($A207,'Выгр Кат'!$A:$R,D$1,0)</f>
        <v>Y</v>
      </c>
      <c r="E207" s="28" t="str">
        <f>VLOOKUP($A207,'Выгр Кат'!$A:$R,E$1,0)</f>
        <v>1</v>
      </c>
      <c r="F207" s="28" t="str">
        <f>VLOOKUP($A207,'Выгр Кат'!$A:$R,F$1,0)</f>
        <v>24068</v>
      </c>
      <c r="G207" s="7">
        <v>24068</v>
      </c>
      <c r="H207" s="7"/>
      <c r="I207" s="1" t="s">
        <v>3</v>
      </c>
      <c r="J207" s="42">
        <f>VLOOKUP(G207,Прайс!B:E,4,0)</f>
        <v>60</v>
      </c>
      <c r="K207" s="2">
        <f>VLOOKUP(J207,Наценка!$A$1:$B$8,2,1)</f>
        <v>2.11</v>
      </c>
      <c r="L207" s="4">
        <f t="shared" si="49"/>
        <v>126.6</v>
      </c>
      <c r="M207" s="42">
        <f t="shared" si="50"/>
        <v>129</v>
      </c>
      <c r="N207" s="28">
        <f>VLOOKUP($A207,'Выгр Кат'!$A:$R,N$1,0)</f>
        <v>60</v>
      </c>
      <c r="O207" s="28">
        <f>VLOOKUP($A207,'Выгр Кат'!$A:$R,O$1,0)</f>
        <v>129</v>
      </c>
      <c r="P207" s="30">
        <f t="shared" si="43"/>
        <v>0</v>
      </c>
      <c r="Q207" s="30">
        <f t="shared" si="44"/>
        <v>0</v>
      </c>
      <c r="R207" s="36">
        <f t="shared" si="45"/>
        <v>119.97</v>
      </c>
      <c r="S207" s="64" t="str">
        <f>IFERROR((VLOOKUP($A207,'Из ГУГЛа'!$B:$G,6,0)+U207)*T207,VLOOKUP($A207,'Из ГУГЛа'!$B:$G,6,0))</f>
        <v/>
      </c>
      <c r="T207" s="38">
        <v>1</v>
      </c>
      <c r="U207" s="38">
        <v>0</v>
      </c>
      <c r="V207" s="39">
        <f t="shared" si="46"/>
        <v>0.99950000000000006</v>
      </c>
      <c r="W207" s="39" t="str">
        <f t="shared" si="47"/>
        <v/>
      </c>
      <c r="X207" s="39" t="str">
        <f t="shared" si="48"/>
        <v/>
      </c>
      <c r="Y207" s="65" t="s">
        <v>8364</v>
      </c>
      <c r="Z207" s="46"/>
    </row>
    <row r="208" spans="1:26" s="3" customFormat="1" ht="30" x14ac:dyDescent="0.25">
      <c r="A208" s="28">
        <v>213282</v>
      </c>
      <c r="B208" s="28">
        <f>VLOOKUP($A208,'Выгр Кат'!$A:$R,B$1,0)</f>
        <v>9059</v>
      </c>
      <c r="C208" s="27" t="str">
        <f>VLOOKUP($A208,'Выгр Кат'!$A:$R,C$1,0)</f>
        <v>Салфетки микрофибра CA-119/SMR-825 (15 шт)</v>
      </c>
      <c r="D208" s="28" t="str">
        <f>VLOOKUP($A208,'Выгр Кат'!$A:$R,D$1,0)</f>
        <v>Y</v>
      </c>
      <c r="E208" s="28" t="str">
        <f>VLOOKUP($A208,'Выгр Кат'!$A:$R,E$1,0)</f>
        <v>1</v>
      </c>
      <c r="F208" s="28" t="str">
        <f>VLOOKUP($A208,'Выгр Кат'!$A:$R,F$1,0)</f>
        <v>24059</v>
      </c>
      <c r="G208" s="7">
        <v>24059</v>
      </c>
      <c r="H208" s="7"/>
      <c r="I208" s="1" t="s">
        <v>3</v>
      </c>
      <c r="J208" s="42">
        <f>VLOOKUP(G208,Прайс!B:E,4,0)</f>
        <v>310</v>
      </c>
      <c r="K208" s="2">
        <f>VLOOKUP(J208,Наценка!$A$1:$B$8,2,1)</f>
        <v>1.68</v>
      </c>
      <c r="L208" s="4">
        <f t="shared" si="49"/>
        <v>520.79999999999995</v>
      </c>
      <c r="M208" s="42">
        <f t="shared" si="50"/>
        <v>529</v>
      </c>
      <c r="N208" s="28">
        <f>VLOOKUP($A208,'Выгр Кат'!$A:$R,N$1,0)</f>
        <v>310</v>
      </c>
      <c r="O208" s="28">
        <f>VLOOKUP($A208,'Выгр Кат'!$A:$R,O$1,0)</f>
        <v>529</v>
      </c>
      <c r="P208" s="30">
        <f t="shared" si="43"/>
        <v>0</v>
      </c>
      <c r="Q208" s="30">
        <f t="shared" si="44"/>
        <v>0</v>
      </c>
      <c r="R208" s="36">
        <f t="shared" si="45"/>
        <v>491.96999999999997</v>
      </c>
      <c r="S208" s="64" t="str">
        <f>IFERROR((VLOOKUP($A208,'Из ГУГЛа'!$B:$G,6,0)+U208)*T208,VLOOKUP($A208,'Из ГУГЛа'!$B:$G,6,0))</f>
        <v/>
      </c>
      <c r="T208" s="38">
        <v>1</v>
      </c>
      <c r="U208" s="38">
        <v>0</v>
      </c>
      <c r="V208" s="39">
        <f t="shared" si="46"/>
        <v>0.58699999999999997</v>
      </c>
      <c r="W208" s="39" t="str">
        <f t="shared" si="47"/>
        <v/>
      </c>
      <c r="X208" s="39" t="str">
        <f t="shared" si="48"/>
        <v/>
      </c>
      <c r="Y208" s="65" t="s">
        <v>8364</v>
      </c>
      <c r="Z208" s="46"/>
    </row>
    <row r="209" spans="1:26" s="3" customFormat="1" ht="30" x14ac:dyDescent="0.25">
      <c r="A209" s="28">
        <v>213283</v>
      </c>
      <c r="B209" s="28">
        <f>VLOOKUP($A209,'Выгр Кат'!$A:$R,B$1,0)</f>
        <v>9075</v>
      </c>
      <c r="C209" s="27" t="str">
        <f>VLOOKUP($A209,'Выгр Кат'!$A:$R,C$1,0)</f>
        <v>Салфетки микрофибра CА-102 (3 шт)</v>
      </c>
      <c r="D209" s="28" t="str">
        <f>VLOOKUP($A209,'Выгр Кат'!$A:$R,D$1,0)</f>
        <v>Y</v>
      </c>
      <c r="E209" s="28" t="str">
        <f>VLOOKUP($A209,'Выгр Кат'!$A:$R,E$1,0)</f>
        <v>1</v>
      </c>
      <c r="F209" s="28" t="str">
        <f>VLOOKUP($A209,'Выгр Кат'!$A:$R,F$1,0)</f>
        <v>24040</v>
      </c>
      <c r="G209" s="7">
        <v>24040</v>
      </c>
      <c r="H209" s="7"/>
      <c r="I209" s="1" t="s">
        <v>3</v>
      </c>
      <c r="J209" s="42">
        <f>VLOOKUP(G209,Прайс!B:E,4,0)</f>
        <v>85</v>
      </c>
      <c r="K209" s="2">
        <f>VLOOKUP(J209,Наценка!$A$1:$B$8,2,1)</f>
        <v>2.11</v>
      </c>
      <c r="L209" s="4">
        <f t="shared" si="49"/>
        <v>179.35</v>
      </c>
      <c r="M209" s="42">
        <f t="shared" si="50"/>
        <v>179</v>
      </c>
      <c r="N209" s="28">
        <f>VLOOKUP($A209,'Выгр Кат'!$A:$R,N$1,0)</f>
        <v>85</v>
      </c>
      <c r="O209" s="28">
        <f>VLOOKUP($A209,'Выгр Кат'!$A:$R,O$1,0)</f>
        <v>179</v>
      </c>
      <c r="P209" s="30">
        <f t="shared" si="43"/>
        <v>0</v>
      </c>
      <c r="Q209" s="30">
        <f t="shared" si="44"/>
        <v>0</v>
      </c>
      <c r="R209" s="36">
        <f t="shared" si="45"/>
        <v>166.47</v>
      </c>
      <c r="S209" s="64" t="str">
        <f>IFERROR((VLOOKUP($A209,'Из ГУГЛа'!$B:$G,6,0)+U209)*T209,VLOOKUP($A209,'Из ГУГЛа'!$B:$G,6,0))</f>
        <v/>
      </c>
      <c r="T209" s="38">
        <v>1</v>
      </c>
      <c r="U209" s="38">
        <v>0</v>
      </c>
      <c r="V209" s="39">
        <f t="shared" si="46"/>
        <v>0.95847058823529419</v>
      </c>
      <c r="W209" s="39" t="str">
        <f t="shared" si="47"/>
        <v/>
      </c>
      <c r="X209" s="39" t="str">
        <f t="shared" si="48"/>
        <v/>
      </c>
      <c r="Y209" s="65" t="s">
        <v>8364</v>
      </c>
      <c r="Z209" s="46"/>
    </row>
    <row r="210" spans="1:26" s="3" customFormat="1" ht="30" x14ac:dyDescent="0.25">
      <c r="A210" s="28">
        <v>213284</v>
      </c>
      <c r="B210" s="28">
        <f>VLOOKUP($A210,'Выгр Кат'!$A:$R,B$1,0)</f>
        <v>9073</v>
      </c>
      <c r="C210" s="27" t="str">
        <f>VLOOKUP($A210,'Выгр Кат'!$A:$R,C$1,0)</f>
        <v>Салфетки микрофибра CА-117 (20 шт.)</v>
      </c>
      <c r="D210" s="28" t="str">
        <f>VLOOKUP($A210,'Выгр Кат'!$A:$R,D$1,0)</f>
        <v>Y</v>
      </c>
      <c r="E210" s="28" t="str">
        <f>VLOOKUP($A210,'Выгр Кат'!$A:$R,E$1,0)</f>
        <v>1</v>
      </c>
      <c r="F210" s="28" t="str">
        <f>VLOOKUP($A210,'Выгр Кат'!$A:$R,F$1,0)</f>
        <v>24057</v>
      </c>
      <c r="G210" s="7">
        <v>24057</v>
      </c>
      <c r="H210" s="7"/>
      <c r="I210" s="1" t="s">
        <v>3</v>
      </c>
      <c r="J210" s="42">
        <f>VLOOKUP(G210,Прайс!B:E,4,0)</f>
        <v>410</v>
      </c>
      <c r="K210" s="2">
        <f>VLOOKUP(J210,Наценка!$A$1:$B$8,2,1)</f>
        <v>1.68</v>
      </c>
      <c r="L210" s="4">
        <f t="shared" si="49"/>
        <v>688.8</v>
      </c>
      <c r="M210" s="42">
        <f t="shared" si="50"/>
        <v>689</v>
      </c>
      <c r="N210" s="28">
        <f>VLOOKUP($A210,'Выгр Кат'!$A:$R,N$1,0)</f>
        <v>410</v>
      </c>
      <c r="O210" s="28">
        <f>VLOOKUP($A210,'Выгр Кат'!$A:$R,O$1,0)</f>
        <v>689</v>
      </c>
      <c r="P210" s="30">
        <f t="shared" si="43"/>
        <v>0</v>
      </c>
      <c r="Q210" s="30">
        <f t="shared" si="44"/>
        <v>0</v>
      </c>
      <c r="R210" s="36">
        <f t="shared" si="45"/>
        <v>640.77</v>
      </c>
      <c r="S210" s="64" t="str">
        <f>IFERROR((VLOOKUP($A210,'Из ГУГЛа'!$B:$G,6,0)+U210)*T210,VLOOKUP($A210,'Из ГУГЛа'!$B:$G,6,0))</f>
        <v/>
      </c>
      <c r="T210" s="38">
        <v>1</v>
      </c>
      <c r="U210" s="38">
        <v>0</v>
      </c>
      <c r="V210" s="39">
        <f t="shared" si="46"/>
        <v>0.56285365853658531</v>
      </c>
      <c r="W210" s="39" t="str">
        <f t="shared" si="47"/>
        <v/>
      </c>
      <c r="X210" s="39" t="str">
        <f t="shared" si="48"/>
        <v/>
      </c>
      <c r="Y210" s="65" t="s">
        <v>8364</v>
      </c>
      <c r="Z210" s="46"/>
    </row>
    <row r="211" spans="1:26" s="3" customFormat="1" ht="30" x14ac:dyDescent="0.25">
      <c r="A211" s="28">
        <v>213285</v>
      </c>
      <c r="B211" s="28">
        <f>VLOOKUP($A211,'Выгр Кат'!$A:$R,B$1,0)</f>
        <v>9078</v>
      </c>
      <c r="C211" s="27" t="str">
        <f>VLOOKUP($A211,'Выгр Кат'!$A:$R,C$1,0)</f>
        <v>Салфетки микрофибра CА-120 (10 шт)</v>
      </c>
      <c r="D211" s="28" t="str">
        <f>VLOOKUP($A211,'Выгр Кат'!$A:$R,D$1,0)</f>
        <v>Y</v>
      </c>
      <c r="E211" s="28" t="str">
        <f>VLOOKUP($A211,'Выгр Кат'!$A:$R,E$1,0)</f>
        <v>1</v>
      </c>
      <c r="F211" s="28" t="str">
        <f>VLOOKUP($A211,'Выгр Кат'!$A:$R,F$1,0)</f>
        <v>24060</v>
      </c>
      <c r="G211" s="7">
        <v>24060</v>
      </c>
      <c r="H211" s="7"/>
      <c r="I211" s="1" t="s">
        <v>3</v>
      </c>
      <c r="J211" s="42">
        <f>VLOOKUP(G211,Прайс!B:E,4,0)</f>
        <v>200</v>
      </c>
      <c r="K211" s="2">
        <f>VLOOKUP(J211,Наценка!$A$1:$B$8,2,1)</f>
        <v>1.89</v>
      </c>
      <c r="L211" s="4">
        <f t="shared" si="49"/>
        <v>378</v>
      </c>
      <c r="M211" s="42">
        <f t="shared" si="50"/>
        <v>379</v>
      </c>
      <c r="N211" s="28">
        <f>VLOOKUP($A211,'Выгр Кат'!$A:$R,N$1,0)</f>
        <v>200</v>
      </c>
      <c r="O211" s="28">
        <f>VLOOKUP($A211,'Выгр Кат'!$A:$R,O$1,0)</f>
        <v>379</v>
      </c>
      <c r="P211" s="30">
        <f t="shared" si="43"/>
        <v>0</v>
      </c>
      <c r="Q211" s="30">
        <f t="shared" si="44"/>
        <v>0</v>
      </c>
      <c r="R211" s="36">
        <f t="shared" si="45"/>
        <v>352.46999999999997</v>
      </c>
      <c r="S211" s="64" t="str">
        <f>IFERROR((VLOOKUP($A211,'Из ГУГЛа'!$B:$G,6,0)+U211)*T211,VLOOKUP($A211,'Из ГУГЛа'!$B:$G,6,0))</f>
        <v/>
      </c>
      <c r="T211" s="38">
        <v>1</v>
      </c>
      <c r="U211" s="38">
        <v>0</v>
      </c>
      <c r="V211" s="39">
        <f t="shared" si="46"/>
        <v>0.76234999999999986</v>
      </c>
      <c r="W211" s="39" t="str">
        <f t="shared" si="47"/>
        <v/>
      </c>
      <c r="X211" s="39" t="str">
        <f t="shared" si="48"/>
        <v/>
      </c>
      <c r="Y211" s="65" t="s">
        <v>8364</v>
      </c>
      <c r="Z211" s="46"/>
    </row>
    <row r="212" spans="1:26" s="3" customFormat="1" ht="30" x14ac:dyDescent="0.25">
      <c r="A212" s="28">
        <v>213286</v>
      </c>
      <c r="B212" s="28">
        <f>VLOOKUP($A212,'Выгр Кат'!$A:$R,B$1,0)</f>
        <v>9067</v>
      </c>
      <c r="C212" s="27" t="str">
        <f>VLOOKUP($A212,'Выгр Кат'!$A:$R,C$1,0)</f>
        <v>Салфетки микрофибра CА-121 (5 шт)</v>
      </c>
      <c r="D212" s="28" t="str">
        <f>VLOOKUP($A212,'Выгр Кат'!$A:$R,D$1,0)</f>
        <v>Y</v>
      </c>
      <c r="E212" s="28" t="str">
        <f>VLOOKUP($A212,'Выгр Кат'!$A:$R,E$1,0)</f>
        <v>1</v>
      </c>
      <c r="F212" s="28" t="str">
        <f>VLOOKUP($A212,'Выгр Кат'!$A:$R,F$1,0)</f>
        <v>24061</v>
      </c>
      <c r="G212" s="7">
        <v>24061</v>
      </c>
      <c r="H212" s="7"/>
      <c r="I212" s="1" t="s">
        <v>3</v>
      </c>
      <c r="J212" s="42">
        <f>VLOOKUP(G212,Прайс!B:E,4,0)</f>
        <v>115</v>
      </c>
      <c r="K212" s="2">
        <f>VLOOKUP(J212,Наценка!$A$1:$B$8,2,1)</f>
        <v>1.89</v>
      </c>
      <c r="L212" s="4">
        <f t="shared" si="49"/>
        <v>217.35</v>
      </c>
      <c r="M212" s="42">
        <f t="shared" si="50"/>
        <v>219</v>
      </c>
      <c r="N212" s="28">
        <f>VLOOKUP($A212,'Выгр Кат'!$A:$R,N$1,0)</f>
        <v>115</v>
      </c>
      <c r="O212" s="28">
        <f>VLOOKUP($A212,'Выгр Кат'!$A:$R,O$1,0)</f>
        <v>219</v>
      </c>
      <c r="P212" s="30">
        <f t="shared" si="43"/>
        <v>0</v>
      </c>
      <c r="Q212" s="30">
        <f t="shared" si="44"/>
        <v>0</v>
      </c>
      <c r="R212" s="36">
        <f t="shared" si="45"/>
        <v>203.67</v>
      </c>
      <c r="S212" s="64" t="str">
        <f>IFERROR((VLOOKUP($A212,'Из ГУГЛа'!$B:$G,6,0)+U212)*T212,VLOOKUP($A212,'Из ГУГЛа'!$B:$G,6,0))</f>
        <v/>
      </c>
      <c r="T212" s="38">
        <v>1</v>
      </c>
      <c r="U212" s="38">
        <v>0</v>
      </c>
      <c r="V212" s="39">
        <f t="shared" si="46"/>
        <v>0.7710434782608695</v>
      </c>
      <c r="W212" s="39" t="str">
        <f t="shared" si="47"/>
        <v/>
      </c>
      <c r="X212" s="39" t="str">
        <f t="shared" si="48"/>
        <v/>
      </c>
      <c r="Y212" s="65" t="s">
        <v>8364</v>
      </c>
      <c r="Z212" s="46"/>
    </row>
    <row r="213" spans="1:26" s="3" customFormat="1" ht="30" x14ac:dyDescent="0.25">
      <c r="A213" s="28">
        <v>213287</v>
      </c>
      <c r="B213" s="28">
        <f>VLOOKUP($A213,'Выгр Кат'!$A:$R,B$1,0)</f>
        <v>9079</v>
      </c>
      <c r="C213" s="27" t="str">
        <f>VLOOKUP($A213,'Выгр Кат'!$A:$R,C$1,0)</f>
        <v>Салфетки микрофибра CА-122 (6 шт)</v>
      </c>
      <c r="D213" s="28" t="str">
        <f>VLOOKUP($A213,'Выгр Кат'!$A:$R,D$1,0)</f>
        <v>Y</v>
      </c>
      <c r="E213" s="28" t="str">
        <f>VLOOKUP($A213,'Выгр Кат'!$A:$R,E$1,0)</f>
        <v>1</v>
      </c>
      <c r="F213" s="28" t="str">
        <f>VLOOKUP($A213,'Выгр Кат'!$A:$R,F$1,0)</f>
        <v>24062</v>
      </c>
      <c r="G213" s="7">
        <v>24062</v>
      </c>
      <c r="H213" s="7"/>
      <c r="I213" s="1" t="s">
        <v>3</v>
      </c>
      <c r="J213" s="42">
        <f>VLOOKUP(G213,Прайс!B:E,4,0)</f>
        <v>110</v>
      </c>
      <c r="K213" s="2">
        <f>VLOOKUP(J213,Наценка!$A$1:$B$8,2,1)</f>
        <v>1.89</v>
      </c>
      <c r="L213" s="4">
        <f t="shared" si="49"/>
        <v>207.89999999999998</v>
      </c>
      <c r="M213" s="42">
        <f t="shared" si="50"/>
        <v>209</v>
      </c>
      <c r="N213" s="28">
        <f>VLOOKUP($A213,'Выгр Кат'!$A:$R,N$1,0)</f>
        <v>110</v>
      </c>
      <c r="O213" s="28">
        <f>VLOOKUP($A213,'Выгр Кат'!$A:$R,O$1,0)</f>
        <v>209</v>
      </c>
      <c r="P213" s="30">
        <f t="shared" si="43"/>
        <v>0</v>
      </c>
      <c r="Q213" s="30">
        <f t="shared" si="44"/>
        <v>0</v>
      </c>
      <c r="R213" s="36">
        <f t="shared" si="45"/>
        <v>194.36999999999998</v>
      </c>
      <c r="S213" s="64" t="str">
        <f>IFERROR((VLOOKUP($A213,'Из ГУГЛа'!$B:$G,6,0)+U213)*T213,VLOOKUP($A213,'Из ГУГЛа'!$B:$G,6,0))</f>
        <v/>
      </c>
      <c r="T213" s="38">
        <v>1</v>
      </c>
      <c r="U213" s="38">
        <v>0</v>
      </c>
      <c r="V213" s="39">
        <f t="shared" si="46"/>
        <v>0.76699999999999968</v>
      </c>
      <c r="W213" s="39" t="str">
        <f t="shared" si="47"/>
        <v/>
      </c>
      <c r="X213" s="39" t="str">
        <f t="shared" si="48"/>
        <v/>
      </c>
      <c r="Y213" s="65" t="s">
        <v>8364</v>
      </c>
      <c r="Z213" s="46"/>
    </row>
    <row r="214" spans="1:26" s="3" customFormat="1" ht="30" x14ac:dyDescent="0.25">
      <c r="A214" s="28">
        <v>213288</v>
      </c>
      <c r="B214" s="28">
        <f>VLOOKUP($A214,'Выгр Кат'!$A:$R,B$1,0)</f>
        <v>9089</v>
      </c>
      <c r="C214" s="27" t="str">
        <f>VLOOKUP($A214,'Выгр Кат'!$A:$R,C$1,0)</f>
        <v>Салфетки микрофибра CА-123 (12 шт)</v>
      </c>
      <c r="D214" s="28" t="str">
        <f>VLOOKUP($A214,'Выгр Кат'!$A:$R,D$1,0)</f>
        <v>Y</v>
      </c>
      <c r="E214" s="28" t="str">
        <f>VLOOKUP($A214,'Выгр Кат'!$A:$R,E$1,0)</f>
        <v>1</v>
      </c>
      <c r="F214" s="28" t="str">
        <f>VLOOKUP($A214,'Выгр Кат'!$A:$R,F$1,0)</f>
        <v>24063</v>
      </c>
      <c r="G214" s="7">
        <v>24063</v>
      </c>
      <c r="H214" s="7"/>
      <c r="I214" s="1" t="s">
        <v>3</v>
      </c>
      <c r="J214" s="42">
        <f>VLOOKUP(G214,Прайс!B:E,4,0)</f>
        <v>420</v>
      </c>
      <c r="K214" s="2">
        <f>VLOOKUP(J214,Наценка!$A$1:$B$8,2,1)</f>
        <v>1.68</v>
      </c>
      <c r="L214" s="4">
        <f t="shared" si="49"/>
        <v>705.6</v>
      </c>
      <c r="M214" s="42">
        <f t="shared" si="50"/>
        <v>709</v>
      </c>
      <c r="N214" s="28">
        <f>VLOOKUP($A214,'Выгр Кат'!$A:$R,N$1,0)</f>
        <v>420</v>
      </c>
      <c r="O214" s="28">
        <f>VLOOKUP($A214,'Выгр Кат'!$A:$R,O$1,0)</f>
        <v>709</v>
      </c>
      <c r="P214" s="30">
        <f t="shared" si="43"/>
        <v>0</v>
      </c>
      <c r="Q214" s="30">
        <f t="shared" si="44"/>
        <v>0</v>
      </c>
      <c r="R214" s="36">
        <f t="shared" si="45"/>
        <v>659.37</v>
      </c>
      <c r="S214" s="64" t="str">
        <f>IFERROR((VLOOKUP($A214,'Из ГУГЛа'!$B:$G,6,0)+U214)*T214,VLOOKUP($A214,'Из ГУГЛа'!$B:$G,6,0))</f>
        <v/>
      </c>
      <c r="T214" s="38">
        <v>1</v>
      </c>
      <c r="U214" s="38">
        <v>0</v>
      </c>
      <c r="V214" s="39">
        <f t="shared" si="46"/>
        <v>0.56992857142857134</v>
      </c>
      <c r="W214" s="39" t="str">
        <f t="shared" si="47"/>
        <v/>
      </c>
      <c r="X214" s="39" t="str">
        <f t="shared" si="48"/>
        <v/>
      </c>
      <c r="Y214" s="65" t="s">
        <v>8364</v>
      </c>
      <c r="Z214" s="46"/>
    </row>
    <row r="215" spans="1:26" s="3" customFormat="1" ht="30" x14ac:dyDescent="0.25">
      <c r="A215" s="28">
        <v>213873</v>
      </c>
      <c r="B215" s="28">
        <f>VLOOKUP($A215,'Выгр Кат'!$A:$R,B$1,0)</f>
        <v>5486</v>
      </c>
      <c r="C215" s="27" t="str">
        <f>VLOOKUP($A215,'Выгр Кат'!$A:$R,C$1,0)</f>
        <v>Сигнал воздушный трёх рожковый (хром) RS-07896</v>
      </c>
      <c r="D215" s="28" t="str">
        <f>VLOOKUP($A215,'Выгр Кат'!$A:$R,D$1,0)</f>
        <v>Y</v>
      </c>
      <c r="E215" s="28" t="str">
        <f>VLOOKUP($A215,'Выгр Кат'!$A:$R,E$1,0)</f>
        <v>1</v>
      </c>
      <c r="F215" s="28" t="str">
        <f>VLOOKUP($A215,'Выгр Кат'!$A:$R,F$1,0)</f>
        <v>10009</v>
      </c>
      <c r="G215" s="7">
        <v>10009</v>
      </c>
      <c r="H215" s="7"/>
      <c r="I215" s="1" t="s">
        <v>3</v>
      </c>
      <c r="J215" s="42">
        <f>VLOOKUP(G215,Прайс!B:E,4,0)</f>
        <v>750</v>
      </c>
      <c r="K215" s="2">
        <f>VLOOKUP(J215,Наценка!$A$1:$B$8,2,1)</f>
        <v>1.63</v>
      </c>
      <c r="L215" s="4">
        <f t="shared" si="49"/>
        <v>1222.5</v>
      </c>
      <c r="M215" s="42">
        <f t="shared" si="50"/>
        <v>1290</v>
      </c>
      <c r="N215" s="28">
        <f>VLOOKUP($A215,'Выгр Кат'!$A:$R,N$1,0)</f>
        <v>750</v>
      </c>
      <c r="O215" s="28">
        <f>VLOOKUP($A215,'Выгр Кат'!$A:$R,O$1,0)</f>
        <v>1290</v>
      </c>
      <c r="P215" s="30">
        <f t="shared" si="43"/>
        <v>0</v>
      </c>
      <c r="Q215" s="30">
        <f t="shared" si="44"/>
        <v>0</v>
      </c>
      <c r="R215" s="36">
        <f t="shared" si="45"/>
        <v>1199.6999999999998</v>
      </c>
      <c r="S215" s="64" t="str">
        <f>IFERROR((VLOOKUP($A215,'Из ГУГЛа'!$B:$G,6,0)+U215)*T215,VLOOKUP($A215,'Из ГУГЛа'!$B:$G,6,0))</f>
        <v/>
      </c>
      <c r="T215" s="38">
        <v>1</v>
      </c>
      <c r="U215" s="38">
        <v>0</v>
      </c>
      <c r="V215" s="39">
        <f t="shared" si="46"/>
        <v>0.59959999999999969</v>
      </c>
      <c r="W215" s="39">
        <f t="shared" si="47"/>
        <v>0.13690647482014401</v>
      </c>
      <c r="X215" s="39">
        <f t="shared" si="48"/>
        <v>0.85333333333333328</v>
      </c>
      <c r="Y215" s="65">
        <v>1390</v>
      </c>
      <c r="Z215" s="46" t="s">
        <v>8372</v>
      </c>
    </row>
    <row r="216" spans="1:26" s="3" customFormat="1" ht="30" x14ac:dyDescent="0.25">
      <c r="A216" s="28">
        <v>213987</v>
      </c>
      <c r="B216" s="28">
        <f>VLOOKUP($A216,'Выгр Кат'!$A:$R,B$1,0)</f>
        <v>17702</v>
      </c>
      <c r="C216" s="27" t="str">
        <f>VLOOKUP($A216,'Выгр Кат'!$A:$R,C$1,0)</f>
        <v>Силиконовая смазка Si-M (аэрозоль) 165 грамм</v>
      </c>
      <c r="D216" s="28" t="str">
        <f>VLOOKUP($A216,'Выгр Кат'!$A:$R,D$1,0)</f>
        <v>Y</v>
      </c>
      <c r="E216" s="28" t="str">
        <f>VLOOKUP($A216,'Выгр Кат'!$A:$R,E$1,0)</f>
        <v>1</v>
      </c>
      <c r="F216" s="28" t="str">
        <f>VLOOKUP($A216,'Выгр Кат'!$A:$R,F$1,0)</f>
        <v>40260</v>
      </c>
      <c r="G216" s="7">
        <v>40260</v>
      </c>
      <c r="H216" s="7"/>
      <c r="I216" s="1" t="s">
        <v>3</v>
      </c>
      <c r="J216" s="42">
        <f>VLOOKUP(G216,Прайс!B:E,4,0)</f>
        <v>175</v>
      </c>
      <c r="K216" s="2">
        <f>VLOOKUP(J216,Наценка!$A$1:$B$8,2,1)</f>
        <v>1.89</v>
      </c>
      <c r="L216" s="4">
        <f t="shared" si="49"/>
        <v>330.75</v>
      </c>
      <c r="M216" s="42">
        <f t="shared" si="50"/>
        <v>339</v>
      </c>
      <c r="N216" s="28">
        <f>VLOOKUP($A216,'Выгр Кат'!$A:$R,N$1,0)</f>
        <v>175</v>
      </c>
      <c r="O216" s="28">
        <f>VLOOKUP($A216,'Выгр Кат'!$A:$R,O$1,0)</f>
        <v>339</v>
      </c>
      <c r="P216" s="30">
        <f t="shared" si="43"/>
        <v>0</v>
      </c>
      <c r="Q216" s="30">
        <f t="shared" si="44"/>
        <v>0</v>
      </c>
      <c r="R216" s="36">
        <f t="shared" si="45"/>
        <v>315.27</v>
      </c>
      <c r="S216" s="64" t="str">
        <f>IFERROR((VLOOKUP($A216,'Из ГУГЛа'!$B:$G,6,0)+U216)*T216,VLOOKUP($A216,'Из ГУГЛа'!$B:$G,6,0))</f>
        <v/>
      </c>
      <c r="T216" s="38">
        <v>1</v>
      </c>
      <c r="U216" s="38">
        <v>0</v>
      </c>
      <c r="V216" s="39">
        <f t="shared" si="46"/>
        <v>0.80154285714285711</v>
      </c>
      <c r="W216" s="39" t="str">
        <f t="shared" si="47"/>
        <v/>
      </c>
      <c r="X216" s="39" t="str">
        <f t="shared" si="48"/>
        <v/>
      </c>
      <c r="Y216" s="65" t="s">
        <v>8364</v>
      </c>
      <c r="Z216" s="46"/>
    </row>
    <row r="217" spans="1:26" s="3" customFormat="1" ht="30" x14ac:dyDescent="0.25">
      <c r="A217" s="28">
        <v>214029</v>
      </c>
      <c r="B217" s="28">
        <f>VLOOKUP($A217,'Выгр Кат'!$A:$R,B$1,0)</f>
        <v>8944</v>
      </c>
      <c r="C217" s="27" t="str">
        <f>VLOOKUP($A217,'Выгр Кат'!$A:$R,C$1,0)</f>
        <v>Скребок СА-551</v>
      </c>
      <c r="D217" s="28" t="str">
        <f>VLOOKUP($A217,'Выгр Кат'!$A:$R,D$1,0)</f>
        <v>Y</v>
      </c>
      <c r="E217" s="28" t="str">
        <f>VLOOKUP($A217,'Выгр Кат'!$A:$R,E$1,0)</f>
        <v>1</v>
      </c>
      <c r="F217" s="28">
        <f>VLOOKUP($A217,'Выгр Кат'!$A:$R,F$1,0)</f>
        <v>0</v>
      </c>
      <c r="G217" s="4">
        <v>28001</v>
      </c>
      <c r="H217" s="4"/>
      <c r="I217" s="1" t="s">
        <v>3</v>
      </c>
      <c r="J217" s="42">
        <f>VLOOKUP(G217,Прайс!B:E,4,0)</f>
        <v>80</v>
      </c>
      <c r="K217" s="2">
        <f>VLOOKUP(J217,Наценка!$A$1:$B$8,2,1)</f>
        <v>2.11</v>
      </c>
      <c r="L217" s="4">
        <f t="shared" si="49"/>
        <v>168.79999999999998</v>
      </c>
      <c r="M217" s="42">
        <f t="shared" si="50"/>
        <v>169</v>
      </c>
      <c r="N217" s="28">
        <f>VLOOKUP($A217,'Выгр Кат'!$A:$R,N$1,0)</f>
        <v>80</v>
      </c>
      <c r="O217" s="28">
        <f>VLOOKUP($A217,'Выгр Кат'!$A:$R,O$1,0)</f>
        <v>169</v>
      </c>
      <c r="P217" s="30">
        <f t="shared" si="43"/>
        <v>0</v>
      </c>
      <c r="Q217" s="30">
        <f t="shared" si="44"/>
        <v>0</v>
      </c>
      <c r="R217" s="36">
        <f t="shared" si="45"/>
        <v>157.16999999999999</v>
      </c>
      <c r="S217" s="64" t="str">
        <f>IFERROR((VLOOKUP($A217,'Из ГУГЛа'!$B:$G,6,0)+U217)*T217,VLOOKUP($A217,'Из ГУГЛа'!$B:$G,6,0))</f>
        <v/>
      </c>
      <c r="T217" s="38">
        <v>1</v>
      </c>
      <c r="U217" s="38">
        <v>0</v>
      </c>
      <c r="V217" s="39">
        <f t="shared" si="46"/>
        <v>0.96462499999999984</v>
      </c>
      <c r="W217" s="39" t="str">
        <f t="shared" si="47"/>
        <v/>
      </c>
      <c r="X217" s="39" t="str">
        <f t="shared" si="48"/>
        <v/>
      </c>
      <c r="Y217" s="65" t="s">
        <v>8364</v>
      </c>
      <c r="Z217" s="46"/>
    </row>
    <row r="218" spans="1:26" s="3" customFormat="1" ht="30" x14ac:dyDescent="0.25">
      <c r="A218" s="28">
        <v>214030</v>
      </c>
      <c r="B218" s="28">
        <f>VLOOKUP($A218,'Выгр Кат'!$A:$R,B$1,0)</f>
        <v>8972</v>
      </c>
      <c r="C218" s="27" t="str">
        <f>VLOOKUP($A218,'Выгр Кат'!$A:$R,C$1,0)</f>
        <v>Скребок СА-553</v>
      </c>
      <c r="D218" s="28" t="str">
        <f>VLOOKUP($A218,'Выгр Кат'!$A:$R,D$1,0)</f>
        <v>Y</v>
      </c>
      <c r="E218" s="28" t="str">
        <f>VLOOKUP($A218,'Выгр Кат'!$A:$R,E$1,0)</f>
        <v>0</v>
      </c>
      <c r="F218" s="28">
        <f>VLOOKUP($A218,'Выгр Кат'!$A:$R,F$1,0)</f>
        <v>0</v>
      </c>
      <c r="G218" s="4"/>
      <c r="H218" s="4"/>
      <c r="I218" s="1" t="s">
        <v>3</v>
      </c>
      <c r="J218" s="41">
        <f t="shared" ref="J218:J220" si="51">N218</f>
        <v>105</v>
      </c>
      <c r="K218" s="2">
        <f>VLOOKUP(J218,Наценка!$A$1:$B$8,2,1)</f>
        <v>1.89</v>
      </c>
      <c r="L218" s="4">
        <f t="shared" si="49"/>
        <v>198.45</v>
      </c>
      <c r="M218" s="42">
        <f t="shared" si="50"/>
        <v>199</v>
      </c>
      <c r="N218" s="28">
        <f>VLOOKUP($A218,'Выгр Кат'!$A:$R,N$1,0)</f>
        <v>105</v>
      </c>
      <c r="O218" s="28">
        <f>VLOOKUP($A218,'Выгр Кат'!$A:$R,O$1,0)</f>
        <v>199</v>
      </c>
      <c r="P218" s="30">
        <f t="shared" si="43"/>
        <v>0</v>
      </c>
      <c r="Q218" s="30">
        <f t="shared" si="44"/>
        <v>0</v>
      </c>
      <c r="R218" s="36">
        <f t="shared" si="45"/>
        <v>185.07</v>
      </c>
      <c r="S218" s="64" t="str">
        <f>IFERROR((VLOOKUP($A218,'Из ГУГЛа'!$B:$G,6,0)+U218)*T218,VLOOKUP($A218,'Из ГУГЛа'!$B:$G,6,0))</f>
        <v/>
      </c>
      <c r="T218" s="38">
        <v>1</v>
      </c>
      <c r="U218" s="38">
        <v>0</v>
      </c>
      <c r="V218" s="39">
        <f t="shared" si="46"/>
        <v>0.76257142857142846</v>
      </c>
      <c r="W218" s="39" t="str">
        <f t="shared" si="47"/>
        <v/>
      </c>
      <c r="X218" s="39" t="str">
        <f t="shared" si="48"/>
        <v/>
      </c>
      <c r="Y218" s="65" t="s">
        <v>8364</v>
      </c>
      <c r="Z218" s="46"/>
    </row>
    <row r="219" spans="1:26" s="3" customFormat="1" ht="30" x14ac:dyDescent="0.25">
      <c r="A219" s="28">
        <v>214031</v>
      </c>
      <c r="B219" s="28">
        <f>VLOOKUP($A219,'Выгр Кат'!$A:$R,B$1,0)</f>
        <v>8957</v>
      </c>
      <c r="C219" s="27" t="str">
        <f>VLOOKUP($A219,'Выгр Кат'!$A:$R,C$1,0)</f>
        <v>Скребок СА-556</v>
      </c>
      <c r="D219" s="28" t="str">
        <f>VLOOKUP($A219,'Выгр Кат'!$A:$R,D$1,0)</f>
        <v>Y</v>
      </c>
      <c r="E219" s="28" t="str">
        <f>VLOOKUP($A219,'Выгр Кат'!$A:$R,E$1,0)</f>
        <v>0</v>
      </c>
      <c r="F219" s="28">
        <f>VLOOKUP($A219,'Выгр Кат'!$A:$R,F$1,0)</f>
        <v>0</v>
      </c>
      <c r="G219" s="4"/>
      <c r="H219" s="4"/>
      <c r="I219" s="1" t="s">
        <v>3</v>
      </c>
      <c r="J219" s="41">
        <f t="shared" si="51"/>
        <v>0</v>
      </c>
      <c r="K219" s="2" t="e">
        <f>VLOOKUP(J219,Наценка!$A$1:$B$8,2,1)</f>
        <v>#N/A</v>
      </c>
      <c r="L219" s="41">
        <f t="shared" ref="L219:L220" si="52">O219</f>
        <v>119</v>
      </c>
      <c r="M219" s="42">
        <f t="shared" si="50"/>
        <v>119</v>
      </c>
      <c r="N219" s="28">
        <f>VLOOKUP($A219,'Выгр Кат'!$A:$R,N$1,0)</f>
        <v>0</v>
      </c>
      <c r="O219" s="28">
        <f>VLOOKUP($A219,'Выгр Кат'!$A:$R,O$1,0)</f>
        <v>119</v>
      </c>
      <c r="P219" s="30">
        <f t="shared" si="43"/>
        <v>0</v>
      </c>
      <c r="Q219" s="30">
        <f t="shared" si="44"/>
        <v>0</v>
      </c>
      <c r="R219" s="36">
        <f t="shared" si="45"/>
        <v>110.66999999999999</v>
      </c>
      <c r="S219" s="64" t="str">
        <f>IFERROR((VLOOKUP($A219,'Из ГУГЛа'!$B:$G,6,0)+U219)*T219,VLOOKUP($A219,'Из ГУГЛа'!$B:$G,6,0))</f>
        <v/>
      </c>
      <c r="T219" s="38">
        <v>1</v>
      </c>
      <c r="U219" s="38">
        <v>0</v>
      </c>
      <c r="V219" s="39" t="str">
        <f t="shared" si="46"/>
        <v/>
      </c>
      <c r="W219" s="39" t="str">
        <f t="shared" si="47"/>
        <v/>
      </c>
      <c r="X219" s="39" t="str">
        <f t="shared" si="48"/>
        <v/>
      </c>
      <c r="Y219" s="65" t="s">
        <v>8364</v>
      </c>
      <c r="Z219" s="46"/>
    </row>
    <row r="220" spans="1:26" s="3" customFormat="1" ht="30" x14ac:dyDescent="0.25">
      <c r="A220" s="28">
        <v>214032</v>
      </c>
      <c r="B220" s="28">
        <f>VLOOKUP($A220,'Выгр Кат'!$A:$R,B$1,0)</f>
        <v>8966</v>
      </c>
      <c r="C220" s="27" t="str">
        <f>VLOOKUP($A220,'Выгр Кат'!$A:$R,C$1,0)</f>
        <v>Скребок СА-557 / цветной</v>
      </c>
      <c r="D220" s="28" t="str">
        <f>VLOOKUP($A220,'Выгр Кат'!$A:$R,D$1,0)</f>
        <v>Y</v>
      </c>
      <c r="E220" s="28" t="str">
        <f>VLOOKUP($A220,'Выгр Кат'!$A:$R,E$1,0)</f>
        <v>0</v>
      </c>
      <c r="F220" s="28" t="str">
        <f>VLOOKUP($A220,'Выгр Кат'!$A:$R,F$1,0)</f>
        <v>28006</v>
      </c>
      <c r="G220" s="11">
        <v>28006</v>
      </c>
      <c r="H220" s="11"/>
      <c r="I220" s="1" t="s">
        <v>3</v>
      </c>
      <c r="J220" s="41">
        <f t="shared" si="51"/>
        <v>15</v>
      </c>
      <c r="K220" s="2">
        <f>VLOOKUP(J220,Наценка!$A$1:$B$8,2,1)</f>
        <v>2.11</v>
      </c>
      <c r="L220" s="41">
        <f t="shared" si="52"/>
        <v>59</v>
      </c>
      <c r="M220" s="42">
        <f t="shared" si="50"/>
        <v>59</v>
      </c>
      <c r="N220" s="28">
        <f>VLOOKUP($A220,'Выгр Кат'!$A:$R,N$1,0)</f>
        <v>15</v>
      </c>
      <c r="O220" s="28">
        <f>VLOOKUP($A220,'Выгр Кат'!$A:$R,O$1,0)</f>
        <v>59</v>
      </c>
      <c r="P220" s="30">
        <f t="shared" si="43"/>
        <v>0</v>
      </c>
      <c r="Q220" s="30">
        <f t="shared" si="44"/>
        <v>0</v>
      </c>
      <c r="R220" s="36">
        <f t="shared" si="45"/>
        <v>54.87</v>
      </c>
      <c r="S220" s="64" t="str">
        <f>IFERROR((VLOOKUP($A220,'Из ГУГЛа'!$B:$G,6,0)+U220)*T220,VLOOKUP($A220,'Из ГУГЛа'!$B:$G,6,0))</f>
        <v/>
      </c>
      <c r="T220" s="38">
        <v>1</v>
      </c>
      <c r="U220" s="38">
        <v>0</v>
      </c>
      <c r="V220" s="39">
        <f t="shared" si="46"/>
        <v>2.6579999999999999</v>
      </c>
      <c r="W220" s="39" t="str">
        <f t="shared" si="47"/>
        <v/>
      </c>
      <c r="X220" s="39" t="str">
        <f t="shared" si="48"/>
        <v/>
      </c>
      <c r="Y220" s="65" t="s">
        <v>8364</v>
      </c>
      <c r="Z220" s="46"/>
    </row>
    <row r="221" spans="1:26" s="3" customFormat="1" ht="30" x14ac:dyDescent="0.25">
      <c r="A221" s="28">
        <v>214033</v>
      </c>
      <c r="B221" s="28">
        <f>VLOOKUP($A221,'Выгр Кат'!$A:$R,B$1,0)</f>
        <v>8959</v>
      </c>
      <c r="C221" s="27" t="str">
        <f>VLOOKUP($A221,'Выгр Кат'!$A:$R,C$1,0)</f>
        <v>Скребок СА-559</v>
      </c>
      <c r="D221" s="28" t="str">
        <f>VLOOKUP($A221,'Выгр Кат'!$A:$R,D$1,0)</f>
        <v>Y</v>
      </c>
      <c r="E221" s="28" t="str">
        <f>VLOOKUP($A221,'Выгр Кат'!$A:$R,E$1,0)</f>
        <v>1</v>
      </c>
      <c r="F221" s="28">
        <f>VLOOKUP($A221,'Выгр Кат'!$A:$R,F$1,0)</f>
        <v>0</v>
      </c>
      <c r="G221" s="4">
        <v>28008</v>
      </c>
      <c r="H221" s="4"/>
      <c r="I221" s="1" t="s">
        <v>3</v>
      </c>
      <c r="J221" s="42">
        <f>VLOOKUP(G221,Прайс!B:E,4,0)</f>
        <v>65</v>
      </c>
      <c r="K221" s="2">
        <f>VLOOKUP(J221,Наценка!$A$1:$B$8,2,1)</f>
        <v>2.11</v>
      </c>
      <c r="L221" s="4">
        <f t="shared" si="49"/>
        <v>137.15</v>
      </c>
      <c r="M221" s="42">
        <f t="shared" si="50"/>
        <v>139</v>
      </c>
      <c r="N221" s="28">
        <f>VLOOKUP($A221,'Выгр Кат'!$A:$R,N$1,0)</f>
        <v>65</v>
      </c>
      <c r="O221" s="28">
        <f>VLOOKUP($A221,'Выгр Кат'!$A:$R,O$1,0)</f>
        <v>139</v>
      </c>
      <c r="P221" s="30">
        <f t="shared" si="43"/>
        <v>0</v>
      </c>
      <c r="Q221" s="30">
        <f t="shared" si="44"/>
        <v>0</v>
      </c>
      <c r="R221" s="36">
        <f t="shared" si="45"/>
        <v>129.26999999999998</v>
      </c>
      <c r="S221" s="64" t="str">
        <f>IFERROR((VLOOKUP($A221,'Из ГУГЛа'!$B:$G,6,0)+U221)*T221,VLOOKUP($A221,'Из ГУГЛа'!$B:$G,6,0))</f>
        <v/>
      </c>
      <c r="T221" s="38">
        <v>1</v>
      </c>
      <c r="U221" s="38">
        <v>0</v>
      </c>
      <c r="V221" s="39">
        <f t="shared" si="46"/>
        <v>0.9887692307692304</v>
      </c>
      <c r="W221" s="39" t="str">
        <f t="shared" si="47"/>
        <v/>
      </c>
      <c r="X221" s="39" t="str">
        <f t="shared" si="48"/>
        <v/>
      </c>
      <c r="Y221" s="65" t="s">
        <v>8364</v>
      </c>
      <c r="Z221" s="46"/>
    </row>
    <row r="222" spans="1:26" s="3" customFormat="1" ht="30" x14ac:dyDescent="0.25">
      <c r="A222" s="28">
        <v>214034</v>
      </c>
      <c r="B222" s="28">
        <f>VLOOKUP($A222,'Выгр Кат'!$A:$R,B$1,0)</f>
        <v>8954</v>
      </c>
      <c r="C222" s="27" t="str">
        <f>VLOOKUP($A222,'Выгр Кат'!$A:$R,C$1,0)</f>
        <v>Скребок силиконовый Водосгон СА-480</v>
      </c>
      <c r="D222" s="28" t="str">
        <f>VLOOKUP($A222,'Выгр Кат'!$A:$R,D$1,0)</f>
        <v>Y</v>
      </c>
      <c r="E222" s="28" t="str">
        <f>VLOOKUP($A222,'Выгр Кат'!$A:$R,E$1,0)</f>
        <v>1</v>
      </c>
      <c r="F222" s="28" t="str">
        <f>VLOOKUP($A222,'Выгр Кат'!$A:$R,F$1,0)</f>
        <v>27001</v>
      </c>
      <c r="G222" s="7">
        <v>27001</v>
      </c>
      <c r="H222" s="7"/>
      <c r="I222" s="1" t="s">
        <v>3</v>
      </c>
      <c r="J222" s="41">
        <f>N222</f>
        <v>165</v>
      </c>
      <c r="K222" s="2">
        <f>VLOOKUP(J222,Наценка!$A$1:$B$8,2,1)</f>
        <v>1.89</v>
      </c>
      <c r="L222" s="4">
        <f t="shared" si="49"/>
        <v>311.84999999999997</v>
      </c>
      <c r="M222" s="42">
        <f t="shared" si="50"/>
        <v>319</v>
      </c>
      <c r="N222" s="28">
        <f>VLOOKUP($A222,'Выгр Кат'!$A:$R,N$1,0)</f>
        <v>165</v>
      </c>
      <c r="O222" s="28">
        <f>VLOOKUP($A222,'Выгр Кат'!$A:$R,O$1,0)</f>
        <v>319</v>
      </c>
      <c r="P222" s="30">
        <f t="shared" si="43"/>
        <v>0</v>
      </c>
      <c r="Q222" s="30">
        <f t="shared" si="44"/>
        <v>0</v>
      </c>
      <c r="R222" s="36">
        <f t="shared" si="45"/>
        <v>296.66999999999996</v>
      </c>
      <c r="S222" s="64" t="str">
        <f>IFERROR((VLOOKUP($A222,'Из ГУГЛа'!$B:$G,6,0)+U222)*T222,VLOOKUP($A222,'Из ГУГЛа'!$B:$G,6,0))</f>
        <v/>
      </c>
      <c r="T222" s="38">
        <v>1</v>
      </c>
      <c r="U222" s="38">
        <v>0</v>
      </c>
      <c r="V222" s="39">
        <f t="shared" si="46"/>
        <v>0.79799999999999982</v>
      </c>
      <c r="W222" s="39" t="str">
        <f t="shared" si="47"/>
        <v/>
      </c>
      <c r="X222" s="39" t="str">
        <f t="shared" si="48"/>
        <v/>
      </c>
      <c r="Y222" s="65" t="s">
        <v>8364</v>
      </c>
      <c r="Z222" s="46"/>
    </row>
    <row r="223" spans="1:26" s="3" customFormat="1" ht="30" x14ac:dyDescent="0.25">
      <c r="A223" s="28">
        <v>214035</v>
      </c>
      <c r="B223" s="28">
        <f>VLOOKUP($A223,'Выгр Кат'!$A:$R,B$1,0)</f>
        <v>8971</v>
      </c>
      <c r="C223" s="27" t="str">
        <f>VLOOKUP($A223,'Выгр Кат'!$A:$R,C$1,0)</f>
        <v>Скребок силиконовый Водосгон СА-518</v>
      </c>
      <c r="D223" s="28" t="str">
        <f>VLOOKUP($A223,'Выгр Кат'!$A:$R,D$1,0)</f>
        <v>Y</v>
      </c>
      <c r="E223" s="28" t="str">
        <f>VLOOKUP($A223,'Выгр Кат'!$A:$R,E$1,0)</f>
        <v>1</v>
      </c>
      <c r="F223" s="28" t="str">
        <f>VLOOKUP($A223,'Выгр Кат'!$A:$R,F$1,0)</f>
        <v>27002</v>
      </c>
      <c r="G223" s="7">
        <v>27002</v>
      </c>
      <c r="H223" s="7"/>
      <c r="I223" s="1" t="s">
        <v>3</v>
      </c>
      <c r="J223" s="42">
        <f>VLOOKUP(G223,Прайс!B:E,4,0)</f>
        <v>145</v>
      </c>
      <c r="K223" s="2">
        <f>VLOOKUP(J223,Наценка!$A$1:$B$8,2,1)</f>
        <v>1.89</v>
      </c>
      <c r="L223" s="4">
        <f t="shared" si="49"/>
        <v>274.05</v>
      </c>
      <c r="M223" s="42">
        <f t="shared" si="50"/>
        <v>279</v>
      </c>
      <c r="N223" s="28">
        <f>VLOOKUP($A223,'Выгр Кат'!$A:$R,N$1,0)</f>
        <v>145</v>
      </c>
      <c r="O223" s="28">
        <f>VLOOKUP($A223,'Выгр Кат'!$A:$R,O$1,0)</f>
        <v>279</v>
      </c>
      <c r="P223" s="30">
        <f t="shared" si="43"/>
        <v>0</v>
      </c>
      <c r="Q223" s="30">
        <f t="shared" si="44"/>
        <v>0</v>
      </c>
      <c r="R223" s="36">
        <f t="shared" si="45"/>
        <v>259.46999999999997</v>
      </c>
      <c r="S223" s="64" t="str">
        <f>IFERROR((VLOOKUP($A223,'Из ГУГЛа'!$B:$G,6,0)+U223)*T223,VLOOKUP($A223,'Из ГУГЛа'!$B:$G,6,0))</f>
        <v/>
      </c>
      <c r="T223" s="38">
        <v>1</v>
      </c>
      <c r="U223" s="38">
        <v>0</v>
      </c>
      <c r="V223" s="39">
        <f t="shared" si="46"/>
        <v>0.78944827586206867</v>
      </c>
      <c r="W223" s="39" t="str">
        <f t="shared" si="47"/>
        <v/>
      </c>
      <c r="X223" s="39" t="str">
        <f t="shared" si="48"/>
        <v/>
      </c>
      <c r="Y223" s="65" t="s">
        <v>8364</v>
      </c>
      <c r="Z223" s="46"/>
    </row>
    <row r="224" spans="1:26" s="3" customFormat="1" ht="30" x14ac:dyDescent="0.25">
      <c r="A224" s="28">
        <v>214036</v>
      </c>
      <c r="B224" s="28">
        <f>VLOOKUP($A224,'Выгр Кат'!$A:$R,B$1,0)</f>
        <v>8950</v>
      </c>
      <c r="C224" s="27" t="str">
        <f>VLOOKUP($A224,'Выгр Кат'!$A:$R,C$1,0)</f>
        <v>Скребок силиконовый Водосгон СА-605</v>
      </c>
      <c r="D224" s="28" t="str">
        <f>VLOOKUP($A224,'Выгр Кат'!$A:$R,D$1,0)</f>
        <v>Y</v>
      </c>
      <c r="E224" s="28" t="str">
        <f>VLOOKUP($A224,'Выгр Кат'!$A:$R,E$1,0)</f>
        <v>1</v>
      </c>
      <c r="F224" s="28" t="str">
        <f>VLOOKUP($A224,'Выгр Кат'!$A:$R,F$1,0)</f>
        <v>27003</v>
      </c>
      <c r="G224" s="7">
        <v>27003</v>
      </c>
      <c r="H224" s="7"/>
      <c r="I224" s="1" t="s">
        <v>3</v>
      </c>
      <c r="J224" s="42">
        <f>VLOOKUP(G224,Прайс!B:E,4,0)</f>
        <v>85</v>
      </c>
      <c r="K224" s="2">
        <f>VLOOKUP(J224,Наценка!$A$1:$B$8,2,1)</f>
        <v>2.11</v>
      </c>
      <c r="L224" s="4">
        <f t="shared" si="49"/>
        <v>179.35</v>
      </c>
      <c r="M224" s="42">
        <f t="shared" si="50"/>
        <v>179</v>
      </c>
      <c r="N224" s="28">
        <f>VLOOKUP($A224,'Выгр Кат'!$A:$R,N$1,0)</f>
        <v>85</v>
      </c>
      <c r="O224" s="28">
        <f>VLOOKUP($A224,'Выгр Кат'!$A:$R,O$1,0)</f>
        <v>179</v>
      </c>
      <c r="P224" s="30">
        <f t="shared" si="43"/>
        <v>0</v>
      </c>
      <c r="Q224" s="30">
        <f t="shared" si="44"/>
        <v>0</v>
      </c>
      <c r="R224" s="36">
        <f t="shared" si="45"/>
        <v>166.47</v>
      </c>
      <c r="S224" s="64" t="str">
        <f>IFERROR((VLOOKUP($A224,'Из ГУГЛа'!$B:$G,6,0)+U224)*T224,VLOOKUP($A224,'Из ГУГЛа'!$B:$G,6,0))</f>
        <v/>
      </c>
      <c r="T224" s="38">
        <v>1</v>
      </c>
      <c r="U224" s="38">
        <v>0</v>
      </c>
      <c r="V224" s="39">
        <f t="shared" si="46"/>
        <v>0.95847058823529419</v>
      </c>
      <c r="W224" s="39" t="str">
        <f t="shared" si="47"/>
        <v/>
      </c>
      <c r="X224" s="39" t="str">
        <f t="shared" si="48"/>
        <v/>
      </c>
      <c r="Y224" s="65" t="s">
        <v>8364</v>
      </c>
      <c r="Z224" s="46"/>
    </row>
    <row r="225" spans="1:26" s="3" customFormat="1" ht="30" x14ac:dyDescent="0.25">
      <c r="A225" s="28">
        <v>214037</v>
      </c>
      <c r="B225" s="28">
        <f>VLOOKUP($A225,'Выгр Кат'!$A:$R,B$1,0)</f>
        <v>9010</v>
      </c>
      <c r="C225" s="27" t="str">
        <f>VLOOKUP($A225,'Выгр Кат'!$A:$R,C$1,0)</f>
        <v>Скребок силиконовый Водосгон СА-950</v>
      </c>
      <c r="D225" s="28" t="str">
        <f>VLOOKUP($A225,'Выгр Кат'!$A:$R,D$1,0)</f>
        <v>Y</v>
      </c>
      <c r="E225" s="28" t="str">
        <f>VLOOKUP($A225,'Выгр Кат'!$A:$R,E$1,0)</f>
        <v>1</v>
      </c>
      <c r="F225" s="28" t="str">
        <f>VLOOKUP($A225,'Выгр Кат'!$A:$R,F$1,0)</f>
        <v>28009</v>
      </c>
      <c r="G225" s="12">
        <v>28009</v>
      </c>
      <c r="H225" s="12"/>
      <c r="I225" s="1" t="s">
        <v>3</v>
      </c>
      <c r="J225" s="42">
        <f>VLOOKUP(G225,Прайс!B:E,4,0)</f>
        <v>50</v>
      </c>
      <c r="K225" s="2">
        <f>VLOOKUP(J225,Наценка!$A$1:$B$8,2,1)</f>
        <v>2.11</v>
      </c>
      <c r="L225" s="4">
        <f t="shared" si="49"/>
        <v>105.5</v>
      </c>
      <c r="M225" s="42">
        <f t="shared" si="50"/>
        <v>109</v>
      </c>
      <c r="N225" s="28">
        <f>VLOOKUP($A225,'Выгр Кат'!$A:$R,N$1,0)</f>
        <v>50</v>
      </c>
      <c r="O225" s="28">
        <f>VLOOKUP($A225,'Выгр Кат'!$A:$R,O$1,0)</f>
        <v>109</v>
      </c>
      <c r="P225" s="30">
        <f t="shared" si="43"/>
        <v>0</v>
      </c>
      <c r="Q225" s="30">
        <f t="shared" si="44"/>
        <v>0</v>
      </c>
      <c r="R225" s="36">
        <f t="shared" si="45"/>
        <v>101.36999999999999</v>
      </c>
      <c r="S225" s="64" t="str">
        <f>IFERROR((VLOOKUP($A225,'Из ГУГЛа'!$B:$G,6,0)+U225)*T225,VLOOKUP($A225,'Из ГУГЛа'!$B:$G,6,0))</f>
        <v/>
      </c>
      <c r="T225" s="38">
        <v>1</v>
      </c>
      <c r="U225" s="38">
        <v>0</v>
      </c>
      <c r="V225" s="39">
        <f t="shared" si="46"/>
        <v>1.0273999999999996</v>
      </c>
      <c r="W225" s="39" t="str">
        <f t="shared" si="47"/>
        <v/>
      </c>
      <c r="X225" s="39" t="str">
        <f t="shared" si="48"/>
        <v/>
      </c>
      <c r="Y225" s="65" t="s">
        <v>8364</v>
      </c>
      <c r="Z225" s="46"/>
    </row>
    <row r="226" spans="1:26" s="3" customFormat="1" ht="30" x14ac:dyDescent="0.25">
      <c r="A226" s="28">
        <v>214038</v>
      </c>
      <c r="B226" s="28">
        <f>VLOOKUP($A226,'Выгр Кат'!$A:$R,B$1,0)</f>
        <v>8962</v>
      </c>
      <c r="C226" s="27" t="str">
        <f>VLOOKUP($A226,'Выгр Кат'!$A:$R,C$1,0)</f>
        <v>Скребок силиконовый Водосгон СА-953</v>
      </c>
      <c r="D226" s="28" t="str">
        <f>VLOOKUP($A226,'Выгр Кат'!$A:$R,D$1,0)</f>
        <v>Y</v>
      </c>
      <c r="E226" s="28" t="str">
        <f>VLOOKUP($A226,'Выгр Кат'!$A:$R,E$1,0)</f>
        <v>1</v>
      </c>
      <c r="F226" s="28">
        <f>VLOOKUP($A226,'Выгр Кат'!$A:$R,F$1,0)</f>
        <v>0</v>
      </c>
      <c r="G226" s="4">
        <v>27053</v>
      </c>
      <c r="H226" s="4"/>
      <c r="I226" s="1" t="s">
        <v>3</v>
      </c>
      <c r="J226" s="42">
        <f>VLOOKUP(G226,Прайс!B:E,4,0)</f>
        <v>300</v>
      </c>
      <c r="K226" s="2">
        <f>VLOOKUP(J226,Наценка!$A$1:$B$8,2,1)</f>
        <v>1.68</v>
      </c>
      <c r="L226" s="4">
        <f t="shared" si="49"/>
        <v>504</v>
      </c>
      <c r="M226" s="42">
        <f t="shared" si="50"/>
        <v>509</v>
      </c>
      <c r="N226" s="28">
        <f>VLOOKUP($A226,'Выгр Кат'!$A:$R,N$1,0)</f>
        <v>300</v>
      </c>
      <c r="O226" s="28">
        <f>VLOOKUP($A226,'Выгр Кат'!$A:$R,O$1,0)</f>
        <v>509</v>
      </c>
      <c r="P226" s="30">
        <f t="shared" si="43"/>
        <v>0</v>
      </c>
      <c r="Q226" s="30">
        <f t="shared" si="44"/>
        <v>0</v>
      </c>
      <c r="R226" s="36">
        <f t="shared" si="45"/>
        <v>473.36999999999995</v>
      </c>
      <c r="S226" s="64" t="str">
        <f>IFERROR((VLOOKUP($A226,'Из ГУГЛа'!$B:$G,6,0)+U226)*T226,VLOOKUP($A226,'Из ГУГЛа'!$B:$G,6,0))</f>
        <v/>
      </c>
      <c r="T226" s="38">
        <v>1</v>
      </c>
      <c r="U226" s="38">
        <v>0</v>
      </c>
      <c r="V226" s="39">
        <f t="shared" si="46"/>
        <v>0.57789999999999986</v>
      </c>
      <c r="W226" s="39" t="str">
        <f t="shared" si="47"/>
        <v/>
      </c>
      <c r="X226" s="39" t="str">
        <f t="shared" si="48"/>
        <v/>
      </c>
      <c r="Y226" s="65" t="s">
        <v>8364</v>
      </c>
      <c r="Z226" s="46"/>
    </row>
    <row r="227" spans="1:26" s="3" customFormat="1" ht="30" x14ac:dyDescent="0.25">
      <c r="A227" s="28">
        <v>214039</v>
      </c>
      <c r="B227" s="28">
        <f>VLOOKUP($A227,'Выгр Кат'!$A:$R,B$1,0)</f>
        <v>8963</v>
      </c>
      <c r="C227" s="27" t="str">
        <f>VLOOKUP($A227,'Выгр Кат'!$A:$R,C$1,0)</f>
        <v>Скребок силиконовый (водосгон) "CityUP" Handy Squeegee</v>
      </c>
      <c r="D227" s="28" t="str">
        <f>VLOOKUP($A227,'Выгр Кат'!$A:$R,D$1,0)</f>
        <v>Y</v>
      </c>
      <c r="E227" s="28" t="str">
        <f>VLOOKUP($A227,'Выгр Кат'!$A:$R,E$1,0)</f>
        <v>1</v>
      </c>
      <c r="F227" s="28" t="str">
        <f>VLOOKUP($A227,'Выгр Кат'!$A:$R,F$1,0)</f>
        <v>27010</v>
      </c>
      <c r="G227" s="7">
        <v>27010</v>
      </c>
      <c r="H227" s="7"/>
      <c r="I227" s="1" t="s">
        <v>3</v>
      </c>
      <c r="J227" s="42">
        <f>VLOOKUP(G227,Прайс!B:E,4,0)</f>
        <v>75</v>
      </c>
      <c r="K227" s="2">
        <f>VLOOKUP(J227,Наценка!$A$1:$B$8,2,1)</f>
        <v>2.11</v>
      </c>
      <c r="L227" s="4">
        <f t="shared" si="49"/>
        <v>158.25</v>
      </c>
      <c r="M227" s="42">
        <f t="shared" si="50"/>
        <v>159</v>
      </c>
      <c r="N227" s="28">
        <f>VLOOKUP($A227,'Выгр Кат'!$A:$R,N$1,0)</f>
        <v>75</v>
      </c>
      <c r="O227" s="28">
        <f>VLOOKUP($A227,'Выгр Кат'!$A:$R,O$1,0)</f>
        <v>159</v>
      </c>
      <c r="P227" s="30">
        <f t="shared" si="43"/>
        <v>0</v>
      </c>
      <c r="Q227" s="30">
        <f t="shared" si="44"/>
        <v>0</v>
      </c>
      <c r="R227" s="36">
        <f t="shared" si="45"/>
        <v>147.86999999999998</v>
      </c>
      <c r="S227" s="64" t="str">
        <f>IFERROR((VLOOKUP($A227,'Из ГУГЛа'!$B:$G,6,0)+U227)*T227,VLOOKUP($A227,'Из ГУГЛа'!$B:$G,6,0))</f>
        <v/>
      </c>
      <c r="T227" s="38">
        <v>1</v>
      </c>
      <c r="U227" s="38">
        <v>0</v>
      </c>
      <c r="V227" s="39">
        <f t="shared" si="46"/>
        <v>0.97159999999999958</v>
      </c>
      <c r="W227" s="39" t="str">
        <f t="shared" si="47"/>
        <v/>
      </c>
      <c r="X227" s="39" t="str">
        <f t="shared" si="48"/>
        <v/>
      </c>
      <c r="Y227" s="65" t="s">
        <v>8364</v>
      </c>
      <c r="Z227" s="46"/>
    </row>
    <row r="228" spans="1:26" s="3" customFormat="1" ht="30" x14ac:dyDescent="0.25">
      <c r="A228" s="28">
        <v>214048</v>
      </c>
      <c r="B228" s="28">
        <f>VLOOKUP($A228,'Выгр Кат'!$A:$R,B$1,0)</f>
        <v>31021</v>
      </c>
      <c r="C228" s="27" t="str">
        <f>VLOOKUP($A228,'Выгр Кат'!$A:$R,C$1,0)</f>
        <v>Смазка проникающая усиленная "City UP" UP-40 (100 мл)</v>
      </c>
      <c r="D228" s="28" t="str">
        <f>VLOOKUP($A228,'Выгр Кат'!$A:$R,D$1,0)</f>
        <v>Y</v>
      </c>
      <c r="E228" s="28" t="str">
        <f>VLOOKUP($A228,'Выгр Кат'!$A:$R,E$1,0)</f>
        <v>1</v>
      </c>
      <c r="F228" s="28" t="str">
        <f>VLOOKUP($A228,'Выгр Кат'!$A:$R,F$1,0)</f>
        <v>40304</v>
      </c>
      <c r="G228" s="7">
        <v>40325</v>
      </c>
      <c r="H228" s="7"/>
      <c r="I228" s="1" t="s">
        <v>3</v>
      </c>
      <c r="J228" s="42">
        <f>VLOOKUP(G228,Прайс!B:E,4,0)</f>
        <v>80</v>
      </c>
      <c r="K228" s="2">
        <f>VLOOKUP(J228,Наценка!$A$1:$B$8,2,1)</f>
        <v>2.11</v>
      </c>
      <c r="L228" s="4">
        <f t="shared" si="49"/>
        <v>168.79999999999998</v>
      </c>
      <c r="M228" s="42">
        <f t="shared" si="50"/>
        <v>169</v>
      </c>
      <c r="N228" s="28">
        <f>VLOOKUP($A228,'Выгр Кат'!$A:$R,N$1,0)</f>
        <v>80</v>
      </c>
      <c r="O228" s="28">
        <f>VLOOKUP($A228,'Выгр Кат'!$A:$R,O$1,0)</f>
        <v>169</v>
      </c>
      <c r="P228" s="30">
        <f t="shared" si="43"/>
        <v>0</v>
      </c>
      <c r="Q228" s="30">
        <f t="shared" si="44"/>
        <v>0</v>
      </c>
      <c r="R228" s="36">
        <f t="shared" si="45"/>
        <v>157.16999999999999</v>
      </c>
      <c r="S228" s="64" t="str">
        <f>IFERROR((VLOOKUP($A228,'Из ГУГЛа'!$B:$G,6,0)+U228)*T228,VLOOKUP($A228,'Из ГУГЛа'!$B:$G,6,0))</f>
        <v/>
      </c>
      <c r="T228" s="38">
        <v>1</v>
      </c>
      <c r="U228" s="38">
        <v>0</v>
      </c>
      <c r="V228" s="39">
        <f t="shared" si="46"/>
        <v>0.96462499999999984</v>
      </c>
      <c r="W228" s="39" t="str">
        <f t="shared" si="47"/>
        <v/>
      </c>
      <c r="X228" s="39" t="str">
        <f t="shared" si="48"/>
        <v/>
      </c>
      <c r="Y228" s="65" t="s">
        <v>8364</v>
      </c>
      <c r="Z228" s="46"/>
    </row>
    <row r="229" spans="1:26" s="3" customFormat="1" ht="30" x14ac:dyDescent="0.25">
      <c r="A229" s="28">
        <v>214049</v>
      </c>
      <c r="B229" s="28">
        <f>VLOOKUP($A229,'Выгр Кат'!$A:$R,B$1,0)</f>
        <v>31020</v>
      </c>
      <c r="C229" s="27" t="str">
        <f>VLOOKUP($A229,'Выгр Кат'!$A:$R,C$1,0)</f>
        <v>Смазка силиконовая "City UP" UP-60 (120 мл)</v>
      </c>
      <c r="D229" s="28" t="str">
        <f>VLOOKUP($A229,'Выгр Кат'!$A:$R,D$1,0)</f>
        <v>Y</v>
      </c>
      <c r="E229" s="28" t="str">
        <f>VLOOKUP($A229,'Выгр Кат'!$A:$R,E$1,0)</f>
        <v>1</v>
      </c>
      <c r="F229" s="28" t="str">
        <f>VLOOKUP($A229,'Выгр Кат'!$A:$R,F$1,0)</f>
        <v>40258</v>
      </c>
      <c r="G229" s="7">
        <v>40258</v>
      </c>
      <c r="H229" s="7"/>
      <c r="I229" s="1" t="s">
        <v>3</v>
      </c>
      <c r="J229" s="41">
        <f t="shared" ref="J229:J234" si="53">N229</f>
        <v>95</v>
      </c>
      <c r="K229" s="2">
        <f>VLOOKUP(J229,Наценка!$A$1:$B$8,2,1)</f>
        <v>2.11</v>
      </c>
      <c r="L229" s="4">
        <f t="shared" si="49"/>
        <v>200.45</v>
      </c>
      <c r="M229" s="42">
        <f t="shared" si="50"/>
        <v>209</v>
      </c>
      <c r="N229" s="28">
        <f>VLOOKUP($A229,'Выгр Кат'!$A:$R,N$1,0)</f>
        <v>95</v>
      </c>
      <c r="O229" s="28">
        <f>VLOOKUP($A229,'Выгр Кат'!$A:$R,O$1,0)</f>
        <v>209</v>
      </c>
      <c r="P229" s="30">
        <f t="shared" si="43"/>
        <v>0</v>
      </c>
      <c r="Q229" s="30">
        <f t="shared" si="44"/>
        <v>0</v>
      </c>
      <c r="R229" s="36">
        <f t="shared" si="45"/>
        <v>194.36999999999998</v>
      </c>
      <c r="S229" s="64" t="str">
        <f>IFERROR((VLOOKUP($A229,'Из ГУГЛа'!$B:$G,6,0)+U229)*T229,VLOOKUP($A229,'Из ГУГЛа'!$B:$G,6,0))</f>
        <v/>
      </c>
      <c r="T229" s="38">
        <v>1</v>
      </c>
      <c r="U229" s="38">
        <v>0</v>
      </c>
      <c r="V229" s="39">
        <f t="shared" si="46"/>
        <v>1.0459999999999998</v>
      </c>
      <c r="W229" s="39" t="str">
        <f t="shared" si="47"/>
        <v/>
      </c>
      <c r="X229" s="39" t="str">
        <f t="shared" si="48"/>
        <v/>
      </c>
      <c r="Y229" s="65" t="s">
        <v>8364</v>
      </c>
      <c r="Z229" s="46"/>
    </row>
    <row r="230" spans="1:26" s="3" customFormat="1" ht="30" x14ac:dyDescent="0.25">
      <c r="A230" s="28">
        <v>218615</v>
      </c>
      <c r="B230" s="28">
        <f>VLOOKUP($A230,'Выгр Кат'!$A:$R,B$1,0)</f>
        <v>8867</v>
      </c>
      <c r="C230" s="27" t="str">
        <f>VLOOKUP($A230,'Выгр Кат'!$A:$R,C$1,0)</f>
        <v>Стяжка для груза VIKING 8000 х 50мм 800кг</v>
      </c>
      <c r="D230" s="28" t="str">
        <f>VLOOKUP($A230,'Выгр Кат'!$A:$R,D$1,0)</f>
        <v>Y</v>
      </c>
      <c r="E230" s="28" t="str">
        <f>VLOOKUP($A230,'Выгр Кат'!$A:$R,E$1,0)</f>
        <v>1ск1</v>
      </c>
      <c r="F230" s="28">
        <f>VLOOKUP($A230,'Выгр Кат'!$A:$R,F$1,0)</f>
        <v>0</v>
      </c>
      <c r="G230" s="4"/>
      <c r="H230" s="4"/>
      <c r="I230" s="1" t="s">
        <v>3</v>
      </c>
      <c r="J230" s="41">
        <f t="shared" si="53"/>
        <v>0</v>
      </c>
      <c r="K230" s="2" t="e">
        <f>VLOOKUP(J230,Наценка!$A$1:$B$8,2,1)</f>
        <v>#N/A</v>
      </c>
      <c r="L230" s="41">
        <f>O230</f>
        <v>1190</v>
      </c>
      <c r="M230" s="42">
        <f t="shared" si="50"/>
        <v>1190</v>
      </c>
      <c r="N230" s="28">
        <f>VLOOKUP($A230,'Выгр Кат'!$A:$R,N$1,0)</f>
        <v>0</v>
      </c>
      <c r="O230" s="28">
        <f>VLOOKUP($A230,'Выгр Кат'!$A:$R,O$1,0)</f>
        <v>1190</v>
      </c>
      <c r="P230" s="30">
        <f t="shared" si="43"/>
        <v>0</v>
      </c>
      <c r="Q230" s="30">
        <f t="shared" si="44"/>
        <v>0</v>
      </c>
      <c r="R230" s="36">
        <f t="shared" si="45"/>
        <v>1106.6999999999998</v>
      </c>
      <c r="S230" s="64" t="str">
        <f>IFERROR((VLOOKUP($A230,'Из ГУГЛа'!$B:$G,6,0)+U230)*T230,VLOOKUP($A230,'Из ГУГЛа'!$B:$G,6,0))</f>
        <v/>
      </c>
      <c r="T230" s="38">
        <v>1</v>
      </c>
      <c r="U230" s="38">
        <v>0</v>
      </c>
      <c r="V230" s="39" t="str">
        <f t="shared" si="46"/>
        <v/>
      </c>
      <c r="W230" s="39" t="str">
        <f t="shared" si="47"/>
        <v/>
      </c>
      <c r="X230" s="39" t="str">
        <f t="shared" si="48"/>
        <v/>
      </c>
      <c r="Y230" s="65" t="s">
        <v>8368</v>
      </c>
      <c r="Z230" s="46"/>
    </row>
    <row r="231" spans="1:26" s="3" customFormat="1" ht="30" x14ac:dyDescent="0.25">
      <c r="A231" s="28">
        <v>219278</v>
      </c>
      <c r="B231" s="28">
        <f>VLOOKUP($A231,'Выгр Кат'!$A:$R,B$1,0)</f>
        <v>5516</v>
      </c>
      <c r="C231" s="27" t="str">
        <f>VLOOKUP($A231,'Выгр Кат'!$A:$R,C$1,0)</f>
        <v>Тонировочный лак, Tuning Line Backlight 150мл, (Красный)</v>
      </c>
      <c r="D231" s="28" t="str">
        <f>VLOOKUP($A231,'Выгр Кат'!$A:$R,D$1,0)</f>
        <v>Y</v>
      </c>
      <c r="E231" s="28" t="str">
        <f>VLOOKUP($A231,'Выгр Кат'!$A:$R,E$1,0)</f>
        <v>0</v>
      </c>
      <c r="F231" s="28">
        <f>VLOOKUP($A231,'Выгр Кат'!$A:$R,F$1,0)</f>
        <v>0</v>
      </c>
      <c r="G231" s="4"/>
      <c r="H231" s="4"/>
      <c r="I231" s="1" t="s">
        <v>3</v>
      </c>
      <c r="J231" s="41">
        <f t="shared" si="53"/>
        <v>270</v>
      </c>
      <c r="K231" s="2">
        <f>VLOOKUP(J231,Наценка!$A$1:$B$8,2,1)</f>
        <v>1.89</v>
      </c>
      <c r="L231" s="4">
        <f t="shared" si="49"/>
        <v>510.29999999999995</v>
      </c>
      <c r="M231" s="42">
        <f t="shared" si="50"/>
        <v>519</v>
      </c>
      <c r="N231" s="28">
        <f>VLOOKUP($A231,'Выгр Кат'!$A:$R,N$1,0)</f>
        <v>270</v>
      </c>
      <c r="O231" s="28">
        <f>VLOOKUP($A231,'Выгр Кат'!$A:$R,O$1,0)</f>
        <v>519</v>
      </c>
      <c r="P231" s="30">
        <f t="shared" si="43"/>
        <v>0</v>
      </c>
      <c r="Q231" s="30">
        <f t="shared" si="44"/>
        <v>0</v>
      </c>
      <c r="R231" s="36">
        <f t="shared" si="45"/>
        <v>482.66999999999996</v>
      </c>
      <c r="S231" s="64" t="str">
        <f>IFERROR((VLOOKUP($A231,'Из ГУГЛа'!$B:$G,6,0)+U231)*T231,VLOOKUP($A231,'Из ГУГЛа'!$B:$G,6,0))</f>
        <v/>
      </c>
      <c r="T231" s="38">
        <v>1</v>
      </c>
      <c r="U231" s="38">
        <v>0</v>
      </c>
      <c r="V231" s="39">
        <f t="shared" si="46"/>
        <v>0.78766666666666652</v>
      </c>
      <c r="W231" s="39" t="str">
        <f t="shared" si="47"/>
        <v/>
      </c>
      <c r="X231" s="39" t="str">
        <f t="shared" si="48"/>
        <v/>
      </c>
      <c r="Y231" s="65"/>
      <c r="Z231" s="46"/>
    </row>
    <row r="232" spans="1:26" s="3" customFormat="1" ht="30" x14ac:dyDescent="0.25">
      <c r="A232" s="28">
        <v>219279</v>
      </c>
      <c r="B232" s="28">
        <f>VLOOKUP($A232,'Выгр Кат'!$A:$R,B$1,0)</f>
        <v>5513</v>
      </c>
      <c r="C232" s="27" t="str">
        <f>VLOOKUP($A232,'Выгр Кат'!$A:$R,C$1,0)</f>
        <v>Тонировочный лак, Tuning Line Backlight 150мл, (Черный)</v>
      </c>
      <c r="D232" s="28" t="str">
        <f>VLOOKUP($A232,'Выгр Кат'!$A:$R,D$1,0)</f>
        <v>Y</v>
      </c>
      <c r="E232" s="28" t="str">
        <f>VLOOKUP($A232,'Выгр Кат'!$A:$R,E$1,0)</f>
        <v>0</v>
      </c>
      <c r="F232" s="28">
        <f>VLOOKUP($A232,'Выгр Кат'!$A:$R,F$1,0)</f>
        <v>0</v>
      </c>
      <c r="G232" s="4"/>
      <c r="H232" s="4"/>
      <c r="I232" s="1" t="s">
        <v>3</v>
      </c>
      <c r="J232" s="41">
        <f t="shared" si="53"/>
        <v>450</v>
      </c>
      <c r="K232" s="2">
        <f>VLOOKUP(J232,Наценка!$A$1:$B$8,2,1)</f>
        <v>1.68</v>
      </c>
      <c r="L232" s="4">
        <f t="shared" si="49"/>
        <v>756</v>
      </c>
      <c r="M232" s="42">
        <f t="shared" si="50"/>
        <v>759</v>
      </c>
      <c r="N232" s="28">
        <f>VLOOKUP($A232,'Выгр Кат'!$A:$R,N$1,0)</f>
        <v>450</v>
      </c>
      <c r="O232" s="28">
        <f>VLOOKUP($A232,'Выгр Кат'!$A:$R,O$1,0)</f>
        <v>759</v>
      </c>
      <c r="P232" s="30">
        <f t="shared" si="43"/>
        <v>0</v>
      </c>
      <c r="Q232" s="30">
        <f t="shared" si="44"/>
        <v>0</v>
      </c>
      <c r="R232" s="36">
        <f t="shared" si="45"/>
        <v>705.87</v>
      </c>
      <c r="S232" s="64" t="str">
        <f>IFERROR((VLOOKUP($A232,'Из ГУГЛа'!$B:$G,6,0)+U232)*T232,VLOOKUP($A232,'Из ГУГЛа'!$B:$G,6,0))</f>
        <v/>
      </c>
      <c r="T232" s="38">
        <v>1</v>
      </c>
      <c r="U232" s="38">
        <v>0</v>
      </c>
      <c r="V232" s="39">
        <f t="shared" si="46"/>
        <v>0.56859999999999999</v>
      </c>
      <c r="W232" s="39" t="str">
        <f t="shared" si="47"/>
        <v/>
      </c>
      <c r="X232" s="39" t="str">
        <f t="shared" si="48"/>
        <v/>
      </c>
      <c r="Y232" s="65"/>
      <c r="Z232" s="46"/>
    </row>
    <row r="233" spans="1:26" s="3" customFormat="1" ht="30" x14ac:dyDescent="0.25">
      <c r="A233" s="28">
        <v>219280</v>
      </c>
      <c r="B233" s="28">
        <f>VLOOKUP($A233,'Выгр Кат'!$A:$R,B$1,0)</f>
        <v>5517</v>
      </c>
      <c r="C233" s="27" t="str">
        <f>VLOOKUP($A233,'Выгр Кат'!$A:$R,C$1,0)</f>
        <v>Тонировочный лак, Tuning Line Backlight 400мл, (Красный)</v>
      </c>
      <c r="D233" s="28" t="str">
        <f>VLOOKUP($A233,'Выгр Кат'!$A:$R,D$1,0)</f>
        <v>Y</v>
      </c>
      <c r="E233" s="28" t="str">
        <f>VLOOKUP($A233,'Выгр Кат'!$A:$R,E$1,0)</f>
        <v>0</v>
      </c>
      <c r="F233" s="28">
        <f>VLOOKUP($A233,'Выгр Кат'!$A:$R,F$1,0)</f>
        <v>0</v>
      </c>
      <c r="G233" s="4"/>
      <c r="H233" s="4"/>
      <c r="I233" s="1" t="s">
        <v>3</v>
      </c>
      <c r="J233" s="41">
        <f t="shared" si="53"/>
        <v>650</v>
      </c>
      <c r="K233" s="2">
        <f>VLOOKUP(J233,Наценка!$A$1:$B$8,2,1)</f>
        <v>1.63</v>
      </c>
      <c r="L233" s="4">
        <f t="shared" si="49"/>
        <v>1059.5</v>
      </c>
      <c r="M233" s="42">
        <f t="shared" si="50"/>
        <v>1090</v>
      </c>
      <c r="N233" s="28">
        <f>VLOOKUP($A233,'Выгр Кат'!$A:$R,N$1,0)</f>
        <v>650</v>
      </c>
      <c r="O233" s="28">
        <f>VLOOKUP($A233,'Выгр Кат'!$A:$R,O$1,0)</f>
        <v>1090</v>
      </c>
      <c r="P233" s="30">
        <f t="shared" si="43"/>
        <v>0</v>
      </c>
      <c r="Q233" s="30">
        <f t="shared" si="44"/>
        <v>0</v>
      </c>
      <c r="R233" s="36">
        <f t="shared" si="45"/>
        <v>1013.6999999999999</v>
      </c>
      <c r="S233" s="64" t="str">
        <f>IFERROR((VLOOKUP($A233,'Из ГУГЛа'!$B:$G,6,0)+U233)*T233,VLOOKUP($A233,'Из ГУГЛа'!$B:$G,6,0))</f>
        <v/>
      </c>
      <c r="T233" s="38">
        <v>1</v>
      </c>
      <c r="U233" s="38">
        <v>0</v>
      </c>
      <c r="V233" s="39">
        <f t="shared" si="46"/>
        <v>0.55953846153846154</v>
      </c>
      <c r="W233" s="39" t="str">
        <f t="shared" si="47"/>
        <v/>
      </c>
      <c r="X233" s="39" t="str">
        <f t="shared" si="48"/>
        <v/>
      </c>
      <c r="Y233" s="65"/>
      <c r="Z233" s="46"/>
    </row>
    <row r="234" spans="1:26" s="3" customFormat="1" ht="30" x14ac:dyDescent="0.25">
      <c r="A234" s="28">
        <v>219281</v>
      </c>
      <c r="B234" s="28">
        <f>VLOOKUP($A234,'Выгр Кат'!$A:$R,B$1,0)</f>
        <v>5515</v>
      </c>
      <c r="C234" s="27" t="str">
        <f>VLOOKUP($A234,'Выгр Кат'!$A:$R,C$1,0)</f>
        <v>Тонировочный лак, Tuning Line Backlight 400мл, (Черный)</v>
      </c>
      <c r="D234" s="28" t="str">
        <f>VLOOKUP($A234,'Выгр Кат'!$A:$R,D$1,0)</f>
        <v>Y</v>
      </c>
      <c r="E234" s="28" t="str">
        <f>VLOOKUP($A234,'Выгр Кат'!$A:$R,E$1,0)</f>
        <v>0</v>
      </c>
      <c r="F234" s="28">
        <f>VLOOKUP($A234,'Выгр Кат'!$A:$R,F$1,0)</f>
        <v>0</v>
      </c>
      <c r="G234" s="4"/>
      <c r="H234" s="4"/>
      <c r="I234" s="1" t="s">
        <v>3</v>
      </c>
      <c r="J234" s="41">
        <f t="shared" si="53"/>
        <v>400</v>
      </c>
      <c r="K234" s="2">
        <f>VLOOKUP(J234,Наценка!$A$1:$B$8,2,1)</f>
        <v>1.68</v>
      </c>
      <c r="L234" s="4">
        <f t="shared" si="49"/>
        <v>672</v>
      </c>
      <c r="M234" s="42">
        <f t="shared" si="50"/>
        <v>679</v>
      </c>
      <c r="N234" s="28">
        <f>VLOOKUP($A234,'Выгр Кат'!$A:$R,N$1,0)</f>
        <v>400</v>
      </c>
      <c r="O234" s="28">
        <f>VLOOKUP($A234,'Выгр Кат'!$A:$R,O$1,0)</f>
        <v>679</v>
      </c>
      <c r="P234" s="30">
        <f t="shared" si="43"/>
        <v>0</v>
      </c>
      <c r="Q234" s="30">
        <f t="shared" si="44"/>
        <v>0</v>
      </c>
      <c r="R234" s="36">
        <f t="shared" si="45"/>
        <v>631.46999999999991</v>
      </c>
      <c r="S234" s="64" t="str">
        <f>IFERROR((VLOOKUP($A234,'Из ГУГЛа'!$B:$G,6,0)+U234)*T234,VLOOKUP($A234,'Из ГУГЛа'!$B:$G,6,0))</f>
        <v/>
      </c>
      <c r="T234" s="38">
        <v>1</v>
      </c>
      <c r="U234" s="38">
        <v>0</v>
      </c>
      <c r="V234" s="39">
        <f t="shared" si="46"/>
        <v>0.57867499999999983</v>
      </c>
      <c r="W234" s="39" t="str">
        <f t="shared" si="47"/>
        <v/>
      </c>
      <c r="X234" s="39" t="str">
        <f t="shared" si="48"/>
        <v/>
      </c>
      <c r="Y234" s="65"/>
      <c r="Z234" s="46"/>
    </row>
    <row r="235" spans="1:26" s="3" customFormat="1" ht="30" x14ac:dyDescent="0.25">
      <c r="A235" s="28">
        <v>223976</v>
      </c>
      <c r="B235" s="28">
        <f>VLOOKUP($A235,'Выгр Кат'!$A:$R,B$1,0)</f>
        <v>9469</v>
      </c>
      <c r="C235" s="27" t="str">
        <f>VLOOKUP($A235,'Выгр Кат'!$A:$R,C$1,0)</f>
        <v>Фиксатор резьбы анаэробный ABRO синий 6мл (TL-342)</v>
      </c>
      <c r="D235" s="28" t="str">
        <f>VLOOKUP($A235,'Выгр Кат'!$A:$R,D$1,0)</f>
        <v>Y</v>
      </c>
      <c r="E235" s="28" t="str">
        <f>VLOOKUP($A235,'Выгр Кат'!$A:$R,E$1,0)</f>
        <v>1</v>
      </c>
      <c r="F235" s="28" t="str">
        <f>VLOOKUP($A235,'Выгр Кат'!$A:$R,F$1,0)</f>
        <v>40278</v>
      </c>
      <c r="G235" s="7">
        <v>40278</v>
      </c>
      <c r="H235" s="7"/>
      <c r="I235" s="1" t="s">
        <v>3</v>
      </c>
      <c r="J235" s="42">
        <f>VLOOKUP(G235,Прайс!B:E,4,0)</f>
        <v>155</v>
      </c>
      <c r="K235" s="2">
        <f>VLOOKUP(J235,Наценка!$A$1:$B$8,2,1)</f>
        <v>1.89</v>
      </c>
      <c r="L235" s="4">
        <f t="shared" si="49"/>
        <v>292.95</v>
      </c>
      <c r="M235" s="42">
        <f t="shared" si="50"/>
        <v>299</v>
      </c>
      <c r="N235" s="28">
        <f>VLOOKUP($A235,'Выгр Кат'!$A:$R,N$1,0)</f>
        <v>155</v>
      </c>
      <c r="O235" s="28">
        <f>VLOOKUP($A235,'Выгр Кат'!$A:$R,O$1,0)</f>
        <v>299</v>
      </c>
      <c r="P235" s="30">
        <f t="shared" si="43"/>
        <v>0</v>
      </c>
      <c r="Q235" s="30">
        <f t="shared" si="44"/>
        <v>0</v>
      </c>
      <c r="R235" s="36">
        <f t="shared" si="45"/>
        <v>278.07</v>
      </c>
      <c r="S235" s="64" t="str">
        <f>IFERROR((VLOOKUP($A235,'Из ГУГЛа'!$B:$G,6,0)+U235)*T235,VLOOKUP($A235,'Из ГУГЛа'!$B:$G,6,0))</f>
        <v/>
      </c>
      <c r="T235" s="38">
        <v>1</v>
      </c>
      <c r="U235" s="38">
        <v>0</v>
      </c>
      <c r="V235" s="39">
        <f t="shared" si="46"/>
        <v>0.79400000000000004</v>
      </c>
      <c r="W235" s="39" t="str">
        <f t="shared" si="47"/>
        <v/>
      </c>
      <c r="X235" s="39" t="str">
        <f t="shared" si="48"/>
        <v/>
      </c>
      <c r="Y235" s="65" t="s">
        <v>8364</v>
      </c>
      <c r="Z235" s="46"/>
    </row>
    <row r="236" spans="1:26" s="3" customFormat="1" ht="30" x14ac:dyDescent="0.25">
      <c r="A236" s="28">
        <v>226520</v>
      </c>
      <c r="B236" s="28">
        <f>VLOOKUP($A236,'Выгр Кат'!$A:$R,B$1,0)</f>
        <v>8910</v>
      </c>
      <c r="C236" s="27" t="str">
        <f>VLOOKUP($A236,'Выгр Кат'!$A:$R,C$1,0)</f>
        <v>Шторка на лобовое стекло серебро 140х70см "NOVA BRIGHT"</v>
      </c>
      <c r="D236" s="28" t="str">
        <f>VLOOKUP($A236,'Выгр Кат'!$A:$R,D$1,0)</f>
        <v>Y</v>
      </c>
      <c r="E236" s="28" t="str">
        <f>VLOOKUP($A236,'Выгр Кат'!$A:$R,E$1,0)</f>
        <v>1ск1</v>
      </c>
      <c r="F236" s="28" t="str">
        <f>VLOOKUP($A236,'Выгр Кат'!$A:$R,F$1,0)</f>
        <v>17003</v>
      </c>
      <c r="G236" s="7">
        <v>17003</v>
      </c>
      <c r="H236" s="7"/>
      <c r="I236" s="1" t="s">
        <v>3</v>
      </c>
      <c r="J236" s="42">
        <f>VLOOKUP(G236,Прайс!B:E,4,0)</f>
        <v>160</v>
      </c>
      <c r="K236" s="2">
        <f>VLOOKUP(J236,Наценка!$A$1:$B$8,2,1)</f>
        <v>1.89</v>
      </c>
      <c r="L236" s="4">
        <f t="shared" si="49"/>
        <v>302.39999999999998</v>
      </c>
      <c r="M236" s="42">
        <f t="shared" si="50"/>
        <v>309</v>
      </c>
      <c r="N236" s="28">
        <f>VLOOKUP($A236,'Выгр Кат'!$A:$R,N$1,0)</f>
        <v>160</v>
      </c>
      <c r="O236" s="28">
        <f>VLOOKUP($A236,'Выгр Кат'!$A:$R,O$1,0)</f>
        <v>309</v>
      </c>
      <c r="P236" s="30">
        <f t="shared" si="43"/>
        <v>0</v>
      </c>
      <c r="Q236" s="30">
        <f t="shared" si="44"/>
        <v>0</v>
      </c>
      <c r="R236" s="36">
        <f t="shared" si="45"/>
        <v>287.37</v>
      </c>
      <c r="S236" s="64" t="str">
        <f>IFERROR((VLOOKUP($A236,'Из ГУГЛа'!$B:$G,6,0)+U236)*T236,VLOOKUP($A236,'Из ГУГЛа'!$B:$G,6,0))</f>
        <v/>
      </c>
      <c r="T236" s="38">
        <v>1</v>
      </c>
      <c r="U236" s="38">
        <v>0</v>
      </c>
      <c r="V236" s="39">
        <f t="shared" si="46"/>
        <v>0.79606250000000012</v>
      </c>
      <c r="W236" s="39" t="str">
        <f t="shared" si="47"/>
        <v/>
      </c>
      <c r="X236" s="39" t="str">
        <f t="shared" si="48"/>
        <v/>
      </c>
      <c r="Y236" s="65" t="s">
        <v>8364</v>
      </c>
      <c r="Z236" s="46"/>
    </row>
    <row r="237" spans="1:26" s="3" customFormat="1" ht="45" x14ac:dyDescent="0.25">
      <c r="A237" s="28">
        <v>226519</v>
      </c>
      <c r="B237" s="28">
        <f>VLOOKUP($A237,'Выгр Кат'!$A:$R,B$1,0)</f>
        <v>8909</v>
      </c>
      <c r="C237" s="27" t="str">
        <f>VLOOKUP($A237,'Выгр Кат'!$A:$R,C$1,0)</f>
        <v>Шторка на лобовое стекло 130х60см / серебро Nova Bright 46480 / MAAS IA19021</v>
      </c>
      <c r="D237" s="28" t="str">
        <f>VLOOKUP($A237,'Выгр Кат'!$A:$R,D$1,0)</f>
        <v>Y</v>
      </c>
      <c r="E237" s="28" t="str">
        <f>VLOOKUP($A237,'Выгр Кат'!$A:$R,E$1,0)</f>
        <v>1</v>
      </c>
      <c r="F237" s="28" t="str">
        <f>VLOOKUP($A237,'Выгр Кат'!$A:$R,F$1,0)</f>
        <v>17002</v>
      </c>
      <c r="G237" s="7">
        <v>17002</v>
      </c>
      <c r="H237" s="7"/>
      <c r="I237" s="1" t="s">
        <v>3</v>
      </c>
      <c r="J237" s="42">
        <f>VLOOKUP(G237,Прайс!B:E,4,0)</f>
        <v>140</v>
      </c>
      <c r="K237" s="2">
        <f>VLOOKUP(J237,Наценка!$A$1:$B$8,2,1)</f>
        <v>1.89</v>
      </c>
      <c r="L237" s="4">
        <f t="shared" si="49"/>
        <v>264.59999999999997</v>
      </c>
      <c r="M237" s="42">
        <f t="shared" si="50"/>
        <v>269</v>
      </c>
      <c r="N237" s="28">
        <f>VLOOKUP($A237,'Выгр Кат'!$A:$R,N$1,0)</f>
        <v>140</v>
      </c>
      <c r="O237" s="28">
        <f>VLOOKUP($A237,'Выгр Кат'!$A:$R,O$1,0)</f>
        <v>269</v>
      </c>
      <c r="P237" s="30">
        <f t="shared" si="43"/>
        <v>0</v>
      </c>
      <c r="Q237" s="30">
        <f t="shared" si="44"/>
        <v>0</v>
      </c>
      <c r="R237" s="36">
        <f t="shared" si="45"/>
        <v>250.17</v>
      </c>
      <c r="S237" s="64" t="str">
        <f>IFERROR((VLOOKUP($A237,'Из ГУГЛа'!$B:$G,6,0)+U237)*T237,VLOOKUP($A237,'Из ГУГЛа'!$B:$G,6,0))</f>
        <v/>
      </c>
      <c r="T237" s="38">
        <v>1</v>
      </c>
      <c r="U237" s="38">
        <v>0</v>
      </c>
      <c r="V237" s="39">
        <f t="shared" si="46"/>
        <v>0.78692857142857142</v>
      </c>
      <c r="W237" s="39" t="str">
        <f t="shared" si="47"/>
        <v/>
      </c>
      <c r="X237" s="39" t="str">
        <f t="shared" si="48"/>
        <v/>
      </c>
      <c r="Y237" s="65" t="s">
        <v>8364</v>
      </c>
      <c r="Z237" s="46"/>
    </row>
    <row r="238" spans="1:26" s="3" customFormat="1" x14ac:dyDescent="0.25">
      <c r="A238" s="28">
        <v>226521</v>
      </c>
      <c r="B238" s="28">
        <f>VLOOKUP($A238,'Выгр Кат'!$A:$R,B$1,0)</f>
        <v>5733</v>
      </c>
      <c r="C238" s="27" t="str">
        <f>VLOOKUP($A238,'Выгр Кат'!$A:$R,C$1,0)</f>
        <v>Шторки на стекла Crystal 50L (50 см)</v>
      </c>
      <c r="D238" s="28" t="str">
        <f>VLOOKUP($A238,'Выгр Кат'!$A:$R,D$1,0)</f>
        <v>Y</v>
      </c>
      <c r="E238" s="28" t="str">
        <f>VLOOKUP($A238,'Выгр Кат'!$A:$R,E$1,0)</f>
        <v>1</v>
      </c>
      <c r="F238" s="28" t="str">
        <f>VLOOKUP($A238,'Выгр Кат'!$A:$R,F$1,0)</f>
        <v>17006</v>
      </c>
      <c r="G238" s="7">
        <v>17006</v>
      </c>
      <c r="H238" s="7"/>
      <c r="I238" s="1" t="s">
        <v>3</v>
      </c>
      <c r="J238" s="41">
        <f t="shared" ref="J238:J241" si="54">N238</f>
        <v>500</v>
      </c>
      <c r="K238" s="2">
        <f>VLOOKUP(J238,Наценка!$A$1:$B$8,2,1)</f>
        <v>1.63</v>
      </c>
      <c r="L238" s="4">
        <f t="shared" si="49"/>
        <v>815</v>
      </c>
      <c r="M238" s="42">
        <f t="shared" si="50"/>
        <v>819</v>
      </c>
      <c r="N238" s="28">
        <f>VLOOKUP($A238,'Выгр Кат'!$A:$R,N$1,0)</f>
        <v>500</v>
      </c>
      <c r="O238" s="28">
        <f>VLOOKUP($A238,'Выгр Кат'!$A:$R,O$1,0)</f>
        <v>819</v>
      </c>
      <c r="P238" s="30">
        <f t="shared" si="43"/>
        <v>0</v>
      </c>
      <c r="Q238" s="30">
        <f t="shared" si="44"/>
        <v>0</v>
      </c>
      <c r="R238" s="36">
        <f t="shared" si="45"/>
        <v>761.67</v>
      </c>
      <c r="S238" s="64" t="str">
        <f>IFERROR((VLOOKUP($A238,'Из ГУГЛа'!$B:$G,6,0)+U238)*T238,VLOOKUP($A238,'Из ГУГЛа'!$B:$G,6,0))</f>
        <v/>
      </c>
      <c r="T238" s="38">
        <v>1</v>
      </c>
      <c r="U238" s="38">
        <v>0</v>
      </c>
      <c r="V238" s="39">
        <f t="shared" si="46"/>
        <v>0.52333999999999992</v>
      </c>
      <c r="W238" s="39" t="str">
        <f t="shared" si="47"/>
        <v/>
      </c>
      <c r="X238" s="39" t="str">
        <f t="shared" si="48"/>
        <v/>
      </c>
      <c r="Y238" s="65" t="s">
        <v>8368</v>
      </c>
      <c r="Z238" s="46"/>
    </row>
    <row r="239" spans="1:26" s="3" customFormat="1" x14ac:dyDescent="0.25">
      <c r="A239" s="28">
        <v>226522</v>
      </c>
      <c r="B239" s="28">
        <f>VLOOKUP($A239,'Выгр Кат'!$A:$R,B$1,0)</f>
        <v>5735</v>
      </c>
      <c r="C239" s="27" t="str">
        <f>VLOOKUP($A239,'Выгр Кат'!$A:$R,C$1,0)</f>
        <v>Шторки на стекла Crystal 60M (60 см)</v>
      </c>
      <c r="D239" s="28" t="str">
        <f>VLOOKUP($A239,'Выгр Кат'!$A:$R,D$1,0)</f>
        <v>Y</v>
      </c>
      <c r="E239" s="28" t="str">
        <f>VLOOKUP($A239,'Выгр Кат'!$A:$R,E$1,0)</f>
        <v>1</v>
      </c>
      <c r="F239" s="28" t="str">
        <f>VLOOKUP($A239,'Выгр Кат'!$A:$R,F$1,0)</f>
        <v>17009</v>
      </c>
      <c r="G239" s="7">
        <v>17009</v>
      </c>
      <c r="H239" s="7"/>
      <c r="I239" s="1" t="s">
        <v>3</v>
      </c>
      <c r="J239" s="41">
        <f t="shared" si="54"/>
        <v>500</v>
      </c>
      <c r="K239" s="2">
        <f>VLOOKUP(J239,Наценка!$A$1:$B$8,2,1)</f>
        <v>1.63</v>
      </c>
      <c r="L239" s="4">
        <f t="shared" si="49"/>
        <v>815</v>
      </c>
      <c r="M239" s="42">
        <f t="shared" si="50"/>
        <v>819</v>
      </c>
      <c r="N239" s="28">
        <f>VLOOKUP($A239,'Выгр Кат'!$A:$R,N$1,0)</f>
        <v>500</v>
      </c>
      <c r="O239" s="28">
        <f>VLOOKUP($A239,'Выгр Кат'!$A:$R,O$1,0)</f>
        <v>819</v>
      </c>
      <c r="P239" s="30">
        <f t="shared" si="43"/>
        <v>0</v>
      </c>
      <c r="Q239" s="30">
        <f t="shared" si="44"/>
        <v>0</v>
      </c>
      <c r="R239" s="36">
        <f t="shared" si="45"/>
        <v>761.67</v>
      </c>
      <c r="S239" s="64" t="str">
        <f>IFERROR((VLOOKUP($A239,'Из ГУГЛа'!$B:$G,6,0)+U239)*T239,VLOOKUP($A239,'Из ГУГЛа'!$B:$G,6,0))</f>
        <v/>
      </c>
      <c r="T239" s="38">
        <v>1</v>
      </c>
      <c r="U239" s="38">
        <v>0</v>
      </c>
      <c r="V239" s="39">
        <f t="shared" si="46"/>
        <v>0.52333999999999992</v>
      </c>
      <c r="W239" s="39" t="str">
        <f t="shared" si="47"/>
        <v/>
      </c>
      <c r="X239" s="39" t="str">
        <f t="shared" si="48"/>
        <v/>
      </c>
      <c r="Y239" s="65" t="s">
        <v>8368</v>
      </c>
      <c r="Z239" s="46"/>
    </row>
    <row r="240" spans="1:26" s="3" customFormat="1" ht="30" x14ac:dyDescent="0.25">
      <c r="A240" s="28">
        <v>226601</v>
      </c>
      <c r="B240" s="28">
        <f>VLOOKUP($A240,'Выгр Кат'!$A:$R,B$1,0)</f>
        <v>30607</v>
      </c>
      <c r="C240" s="27" t="str">
        <f>VLOOKUP($A240,'Выгр Кат'!$A:$R,C$1,0)</f>
        <v>Щётка бескаркасная "RAINBOX" премиум, 40 см</v>
      </c>
      <c r="D240" s="28" t="str">
        <f>VLOOKUP($A240,'Выгр Кат'!$A:$R,D$1,0)</f>
        <v>Y</v>
      </c>
      <c r="E240" s="28" t="str">
        <f>VLOOKUP($A240,'Выгр Кат'!$A:$R,E$1,0)</f>
        <v>1</v>
      </c>
      <c r="F240" s="28" t="str">
        <f>VLOOKUP($A240,'Выгр Кат'!$A:$R,F$1,0)</f>
        <v>RB070</v>
      </c>
      <c r="G240" s="11"/>
      <c r="H240" s="11"/>
      <c r="I240" s="1" t="s">
        <v>3</v>
      </c>
      <c r="J240" s="41">
        <f t="shared" si="54"/>
        <v>220</v>
      </c>
      <c r="K240" s="2">
        <f>VLOOKUP(J240,Наценка!$A$1:$B$8,2,1)</f>
        <v>1.89</v>
      </c>
      <c r="L240" s="4">
        <f t="shared" si="49"/>
        <v>415.79999999999995</v>
      </c>
      <c r="M240" s="42">
        <f t="shared" si="50"/>
        <v>419</v>
      </c>
      <c r="N240" s="28">
        <f>VLOOKUP($A240,'Выгр Кат'!$A:$R,N$1,0)</f>
        <v>220</v>
      </c>
      <c r="O240" s="28">
        <f>VLOOKUP($A240,'Выгр Кат'!$A:$R,O$1,0)</f>
        <v>419</v>
      </c>
      <c r="P240" s="30">
        <f t="shared" si="43"/>
        <v>0</v>
      </c>
      <c r="Q240" s="30">
        <f t="shared" si="44"/>
        <v>0</v>
      </c>
      <c r="R240" s="36">
        <f t="shared" si="45"/>
        <v>389.66999999999996</v>
      </c>
      <c r="S240" s="64" t="str">
        <f>IFERROR((VLOOKUP($A240,'Из ГУГЛа'!$B:$G,6,0)+U240)*T240,VLOOKUP($A240,'Из ГУГЛа'!$B:$G,6,0))</f>
        <v/>
      </c>
      <c r="T240" s="38">
        <v>1</v>
      </c>
      <c r="U240" s="38">
        <v>0</v>
      </c>
      <c r="V240" s="39">
        <f t="shared" si="46"/>
        <v>0.77122727272727265</v>
      </c>
      <c r="W240" s="39" t="str">
        <f t="shared" si="47"/>
        <v/>
      </c>
      <c r="X240" s="39" t="str">
        <f t="shared" si="48"/>
        <v/>
      </c>
      <c r="Y240" s="65" t="s">
        <v>8364</v>
      </c>
      <c r="Z240" s="46"/>
    </row>
    <row r="241" spans="1:26" s="3" customFormat="1" ht="30" x14ac:dyDescent="0.25">
      <c r="A241" s="28">
        <v>226602</v>
      </c>
      <c r="B241" s="28">
        <f>VLOOKUP($A241,'Выгр Кат'!$A:$R,B$1,0)</f>
        <v>30606</v>
      </c>
      <c r="C241" s="27" t="str">
        <f>VLOOKUP($A241,'Выгр Кат'!$A:$R,C$1,0)</f>
        <v>Щётка бескаркасная "RAINBOX" премиум, 60 см</v>
      </c>
      <c r="D241" s="28" t="str">
        <f>VLOOKUP($A241,'Выгр Кат'!$A:$R,D$1,0)</f>
        <v>Y</v>
      </c>
      <c r="E241" s="28" t="str">
        <f>VLOOKUP($A241,'Выгр Кат'!$A:$R,E$1,0)</f>
        <v>1</v>
      </c>
      <c r="F241" s="28" t="str">
        <f>VLOOKUP($A241,'Выгр Кат'!$A:$R,F$1,0)</f>
        <v>RB077</v>
      </c>
      <c r="G241" s="11"/>
      <c r="H241" s="11"/>
      <c r="I241" s="1" t="s">
        <v>3</v>
      </c>
      <c r="J241" s="41">
        <f t="shared" si="54"/>
        <v>220</v>
      </c>
      <c r="K241" s="2">
        <f>VLOOKUP(J241,Наценка!$A$1:$B$8,2,1)</f>
        <v>1.89</v>
      </c>
      <c r="L241" s="4">
        <f t="shared" si="49"/>
        <v>415.79999999999995</v>
      </c>
      <c r="M241" s="42">
        <f t="shared" si="50"/>
        <v>419</v>
      </c>
      <c r="N241" s="28">
        <f>VLOOKUP($A241,'Выгр Кат'!$A:$R,N$1,0)</f>
        <v>220</v>
      </c>
      <c r="O241" s="28">
        <f>VLOOKUP($A241,'Выгр Кат'!$A:$R,O$1,0)</f>
        <v>419</v>
      </c>
      <c r="P241" s="30">
        <f t="shared" si="43"/>
        <v>0</v>
      </c>
      <c r="Q241" s="30">
        <f t="shared" si="44"/>
        <v>0</v>
      </c>
      <c r="R241" s="36">
        <f t="shared" si="45"/>
        <v>389.66999999999996</v>
      </c>
      <c r="S241" s="64" t="str">
        <f>IFERROR((VLOOKUP($A241,'Из ГУГЛа'!$B:$G,6,0)+U241)*T241,VLOOKUP($A241,'Из ГУГЛа'!$B:$G,6,0))</f>
        <v/>
      </c>
      <c r="T241" s="38">
        <v>1</v>
      </c>
      <c r="U241" s="38">
        <v>0</v>
      </c>
      <c r="V241" s="39">
        <f t="shared" si="46"/>
        <v>0.77122727272727265</v>
      </c>
      <c r="W241" s="39" t="str">
        <f t="shared" si="47"/>
        <v/>
      </c>
      <c r="X241" s="39" t="str">
        <f t="shared" si="48"/>
        <v/>
      </c>
      <c r="Y241" s="65" t="s">
        <v>8364</v>
      </c>
      <c r="Z241" s="46"/>
    </row>
    <row r="242" spans="1:26" s="3" customFormat="1" ht="30" x14ac:dyDescent="0.25">
      <c r="A242" s="28">
        <v>226603</v>
      </c>
      <c r="B242" s="28">
        <f>VLOOKUP($A242,'Выгр Кат'!$A:$R,B$1,0)</f>
        <v>9016</v>
      </c>
      <c r="C242" s="27" t="str">
        <f>VLOOKUP($A242,'Выгр Кат'!$A:$R,C$1,0)</f>
        <v>Щетка для мытья а/м под воду раздвижная CA-610BIG</v>
      </c>
      <c r="D242" s="28" t="str">
        <f>VLOOKUP($A242,'Выгр Кат'!$A:$R,D$1,0)</f>
        <v>Y</v>
      </c>
      <c r="E242" s="28" t="str">
        <f>VLOOKUP($A242,'Выгр Кат'!$A:$R,E$1,0)</f>
        <v>1</v>
      </c>
      <c r="F242" s="28" t="str">
        <f>VLOOKUP($A242,'Выгр Кат'!$A:$R,F$1,0)</f>
        <v>27030</v>
      </c>
      <c r="G242" s="7">
        <v>27030</v>
      </c>
      <c r="H242" s="7"/>
      <c r="I242" s="1" t="s">
        <v>3</v>
      </c>
      <c r="J242" s="42">
        <f>VLOOKUP(G242,Прайс!B:E,4,0)</f>
        <v>700</v>
      </c>
      <c r="K242" s="2">
        <f>VLOOKUP(J242,Наценка!$A$1:$B$8,2,1)</f>
        <v>1.63</v>
      </c>
      <c r="L242" s="4">
        <f t="shared" si="49"/>
        <v>1141</v>
      </c>
      <c r="M242" s="42">
        <f t="shared" si="50"/>
        <v>1190</v>
      </c>
      <c r="N242" s="28">
        <f>VLOOKUP($A242,'Выгр Кат'!$A:$R,N$1,0)</f>
        <v>700</v>
      </c>
      <c r="O242" s="28">
        <f>VLOOKUP($A242,'Выгр Кат'!$A:$R,O$1,0)</f>
        <v>1190</v>
      </c>
      <c r="P242" s="30">
        <f t="shared" si="43"/>
        <v>0</v>
      </c>
      <c r="Q242" s="30">
        <f t="shared" si="44"/>
        <v>0</v>
      </c>
      <c r="R242" s="36">
        <f t="shared" si="45"/>
        <v>1106.6999999999998</v>
      </c>
      <c r="S242" s="64" t="str">
        <f>IFERROR((VLOOKUP($A242,'Из ГУГЛа'!$B:$G,6,0)+U242)*T242,VLOOKUP($A242,'Из ГУГЛа'!$B:$G,6,0))</f>
        <v/>
      </c>
      <c r="T242" s="38">
        <v>1</v>
      </c>
      <c r="U242" s="38">
        <v>0</v>
      </c>
      <c r="V242" s="39">
        <f t="shared" si="46"/>
        <v>0.58099999999999974</v>
      </c>
      <c r="W242" s="39" t="str">
        <f t="shared" si="47"/>
        <v/>
      </c>
      <c r="X242" s="39" t="str">
        <f t="shared" si="48"/>
        <v/>
      </c>
      <c r="Y242" s="65" t="s">
        <v>8364</v>
      </c>
      <c r="Z242" s="46"/>
    </row>
    <row r="243" spans="1:26" s="3" customFormat="1" ht="30" x14ac:dyDescent="0.25">
      <c r="A243" s="28">
        <v>226604</v>
      </c>
      <c r="B243" s="28">
        <f>VLOOKUP($A243,'Выгр Кат'!$A:$R,B$1,0)</f>
        <v>32770</v>
      </c>
      <c r="C243" s="27" t="str">
        <f>VLOOKUP($A243,'Выгр Кат'!$A:$R,C$1,0)</f>
        <v>Щетка для мытья авто под шланг СА-235</v>
      </c>
      <c r="D243" s="28" t="str">
        <f>VLOOKUP($A243,'Выгр Кат'!$A:$R,D$1,0)</f>
        <v>Y</v>
      </c>
      <c r="E243" s="28" t="str">
        <f>VLOOKUP($A243,'Выгр Кат'!$A:$R,E$1,0)</f>
        <v>1</v>
      </c>
      <c r="F243" s="28" t="str">
        <f>VLOOKUP($A243,'Выгр Кат'!$A:$R,F$1,0)</f>
        <v>27011</v>
      </c>
      <c r="G243" s="13">
        <v>27011</v>
      </c>
      <c r="H243" s="13"/>
      <c r="I243" s="1" t="s">
        <v>3</v>
      </c>
      <c r="J243" s="42">
        <f>VLOOKUP(G243,Прайс!B:E,4,0)</f>
        <v>160</v>
      </c>
      <c r="K243" s="2">
        <f>VLOOKUP(J243,Наценка!$A$1:$B$8,2,1)</f>
        <v>1.89</v>
      </c>
      <c r="L243" s="4">
        <f t="shared" si="49"/>
        <v>302.39999999999998</v>
      </c>
      <c r="M243" s="42">
        <f t="shared" si="50"/>
        <v>309</v>
      </c>
      <c r="N243" s="28">
        <f>VLOOKUP($A243,'Выгр Кат'!$A:$R,N$1,0)</f>
        <v>160</v>
      </c>
      <c r="O243" s="28">
        <f>VLOOKUP($A243,'Выгр Кат'!$A:$R,O$1,0)</f>
        <v>309</v>
      </c>
      <c r="P243" s="30">
        <f t="shared" si="43"/>
        <v>0</v>
      </c>
      <c r="Q243" s="30">
        <f t="shared" si="44"/>
        <v>0</v>
      </c>
      <c r="R243" s="36">
        <f t="shared" si="45"/>
        <v>287.37</v>
      </c>
      <c r="S243" s="64" t="str">
        <f>IFERROR((VLOOKUP($A243,'Из ГУГЛа'!$B:$G,6,0)+U243)*T243,VLOOKUP($A243,'Из ГУГЛа'!$B:$G,6,0))</f>
        <v/>
      </c>
      <c r="T243" s="38">
        <v>1</v>
      </c>
      <c r="U243" s="38">
        <v>0</v>
      </c>
      <c r="V243" s="39">
        <f t="shared" si="46"/>
        <v>0.79606250000000012</v>
      </c>
      <c r="W243" s="39" t="str">
        <f t="shared" si="47"/>
        <v/>
      </c>
      <c r="X243" s="39" t="str">
        <f t="shared" si="48"/>
        <v/>
      </c>
      <c r="Y243" s="65" t="s">
        <v>8364</v>
      </c>
      <c r="Z243" s="46"/>
    </row>
    <row r="244" spans="1:26" s="3" customFormat="1" ht="30" x14ac:dyDescent="0.25">
      <c r="A244" s="28">
        <v>226605</v>
      </c>
      <c r="B244" s="28">
        <f>VLOOKUP($A244,'Выгр Кат'!$A:$R,B$1,0)</f>
        <v>8952</v>
      </c>
      <c r="C244" s="27" t="str">
        <f>VLOOKUP($A244,'Выгр Кат'!$A:$R,C$1,0)</f>
        <v>Щетка для мытья стекол с водосгоном СА-945</v>
      </c>
      <c r="D244" s="28" t="str">
        <f>VLOOKUP($A244,'Выгр Кат'!$A:$R,D$1,0)</f>
        <v>Y</v>
      </c>
      <c r="E244" s="28" t="str">
        <f>VLOOKUP($A244,'Выгр Кат'!$A:$R,E$1,0)</f>
        <v>1</v>
      </c>
      <c r="F244" s="28" t="str">
        <f>VLOOKUP($A244,'Выгр Кат'!$A:$R,F$1,0)</f>
        <v>27006</v>
      </c>
      <c r="G244" s="7">
        <v>27006</v>
      </c>
      <c r="H244" s="7"/>
      <c r="I244" s="1" t="s">
        <v>3</v>
      </c>
      <c r="J244" s="42">
        <f>VLOOKUP(G244,Прайс!B:E,4,0)</f>
        <v>300</v>
      </c>
      <c r="K244" s="2">
        <f>VLOOKUP(J244,Наценка!$A$1:$B$8,2,1)</f>
        <v>1.68</v>
      </c>
      <c r="L244" s="4">
        <f t="shared" si="49"/>
        <v>504</v>
      </c>
      <c r="M244" s="42">
        <f t="shared" si="50"/>
        <v>509</v>
      </c>
      <c r="N244" s="28">
        <f>VLOOKUP($A244,'Выгр Кат'!$A:$R,N$1,0)</f>
        <v>300</v>
      </c>
      <c r="O244" s="28">
        <f>VLOOKUP($A244,'Выгр Кат'!$A:$R,O$1,0)</f>
        <v>509</v>
      </c>
      <c r="P244" s="30">
        <f t="shared" si="43"/>
        <v>0</v>
      </c>
      <c r="Q244" s="30">
        <f t="shared" si="44"/>
        <v>0</v>
      </c>
      <c r="R244" s="36">
        <f t="shared" si="45"/>
        <v>473.36999999999995</v>
      </c>
      <c r="S244" s="64" t="str">
        <f>IFERROR((VLOOKUP($A244,'Из ГУГЛа'!$B:$G,6,0)+U244)*T244,VLOOKUP($A244,'Из ГУГЛа'!$B:$G,6,0))</f>
        <v/>
      </c>
      <c r="T244" s="38">
        <v>1</v>
      </c>
      <c r="U244" s="38">
        <v>0</v>
      </c>
      <c r="V244" s="39">
        <f t="shared" si="46"/>
        <v>0.57789999999999986</v>
      </c>
      <c r="W244" s="39" t="str">
        <f t="shared" si="47"/>
        <v/>
      </c>
      <c r="X244" s="39" t="str">
        <f t="shared" si="48"/>
        <v/>
      </c>
      <c r="Y244" s="65" t="s">
        <v>8364</v>
      </c>
      <c r="Z244" s="46"/>
    </row>
    <row r="245" spans="1:26" s="3" customFormat="1" ht="30" x14ac:dyDescent="0.25">
      <c r="A245" s="28">
        <v>226607</v>
      </c>
      <c r="B245" s="28">
        <f>VLOOKUP($A245,'Выгр Кат'!$A:$R,B$1,0)</f>
        <v>8961</v>
      </c>
      <c r="C245" s="27" t="str">
        <f>VLOOKUP($A245,'Выгр Кат'!$A:$R,C$1,0)</f>
        <v>Щетка для снега CA-74</v>
      </c>
      <c r="D245" s="28" t="str">
        <f>VLOOKUP($A245,'Выгр Кат'!$A:$R,D$1,0)</f>
        <v>Y</v>
      </c>
      <c r="E245" s="28" t="str">
        <f>VLOOKUP($A245,'Выгр Кат'!$A:$R,E$1,0)</f>
        <v>1</v>
      </c>
      <c r="F245" s="28" t="str">
        <f>VLOOKUP($A245,'Выгр Кат'!$A:$R,F$1,0)</f>
        <v>8961</v>
      </c>
      <c r="G245" s="11">
        <v>28030</v>
      </c>
      <c r="H245" s="11"/>
      <c r="I245" s="1" t="s">
        <v>3</v>
      </c>
      <c r="J245" s="42">
        <f>VLOOKUP(G245,Прайс!B:E,4,0)</f>
        <v>300</v>
      </c>
      <c r="K245" s="2">
        <f>VLOOKUP(J245,Наценка!$A$1:$B$8,2,1)</f>
        <v>1.68</v>
      </c>
      <c r="L245" s="4">
        <f t="shared" si="49"/>
        <v>504</v>
      </c>
      <c r="M245" s="42">
        <f t="shared" si="50"/>
        <v>509</v>
      </c>
      <c r="N245" s="28">
        <f>VLOOKUP($A245,'Выгр Кат'!$A:$R,N$1,0)</f>
        <v>300</v>
      </c>
      <c r="O245" s="28">
        <f>VLOOKUP($A245,'Выгр Кат'!$A:$R,O$1,0)</f>
        <v>509</v>
      </c>
      <c r="P245" s="30">
        <f t="shared" si="43"/>
        <v>0</v>
      </c>
      <c r="Q245" s="30">
        <f t="shared" si="44"/>
        <v>0</v>
      </c>
      <c r="R245" s="36">
        <f t="shared" si="45"/>
        <v>473.36999999999995</v>
      </c>
      <c r="S245" s="64" t="str">
        <f>IFERROR((VLOOKUP($A245,'Из ГУГЛа'!$B:$G,6,0)+U245)*T245,VLOOKUP($A245,'Из ГУГЛа'!$B:$G,6,0))</f>
        <v/>
      </c>
      <c r="T245" s="38">
        <v>1</v>
      </c>
      <c r="U245" s="38">
        <v>0</v>
      </c>
      <c r="V245" s="39">
        <f t="shared" si="46"/>
        <v>0.57789999999999986</v>
      </c>
      <c r="W245" s="39" t="str">
        <f t="shared" si="47"/>
        <v/>
      </c>
      <c r="X245" s="39" t="str">
        <f t="shared" si="48"/>
        <v/>
      </c>
      <c r="Y245" s="65" t="s">
        <v>8364</v>
      </c>
      <c r="Z245" s="46"/>
    </row>
    <row r="246" spans="1:26" s="3" customFormat="1" ht="30" x14ac:dyDescent="0.25">
      <c r="A246" s="28">
        <v>226608</v>
      </c>
      <c r="B246" s="28">
        <f>VLOOKUP($A246,'Выгр Кат'!$A:$R,B$1,0)</f>
        <v>9023</v>
      </c>
      <c r="C246" s="27" t="str">
        <f>VLOOKUP($A246,'Выгр Кат'!$A:$R,C$1,0)</f>
        <v>Щетка для удаления пыли CA-138</v>
      </c>
      <c r="D246" s="28" t="str">
        <f>VLOOKUP($A246,'Выгр Кат'!$A:$R,D$1,0)</f>
        <v>Y</v>
      </c>
      <c r="E246" s="28" t="str">
        <f>VLOOKUP($A246,'Выгр Кат'!$A:$R,E$1,0)</f>
        <v>1</v>
      </c>
      <c r="F246" s="28" t="str">
        <f>VLOOKUP($A246,'Выгр Кат'!$A:$R,F$1,0)</f>
        <v>31013</v>
      </c>
      <c r="G246" s="7">
        <v>31013</v>
      </c>
      <c r="H246" s="7"/>
      <c r="I246" s="1" t="s">
        <v>3</v>
      </c>
      <c r="J246" s="42">
        <f>VLOOKUP(G246,Прайс!B:E,4,0)</f>
        <v>500</v>
      </c>
      <c r="K246" s="2">
        <f>VLOOKUP(J246,Наценка!$A$1:$B$8,2,1)</f>
        <v>1.63</v>
      </c>
      <c r="L246" s="4">
        <f t="shared" si="49"/>
        <v>815</v>
      </c>
      <c r="M246" s="42">
        <f t="shared" si="50"/>
        <v>819</v>
      </c>
      <c r="N246" s="28">
        <f>VLOOKUP($A246,'Выгр Кат'!$A:$R,N$1,0)</f>
        <v>500</v>
      </c>
      <c r="O246" s="28">
        <f>VLOOKUP($A246,'Выгр Кат'!$A:$R,O$1,0)</f>
        <v>819</v>
      </c>
      <c r="P246" s="30">
        <f t="shared" si="43"/>
        <v>0</v>
      </c>
      <c r="Q246" s="30">
        <f t="shared" si="44"/>
        <v>0</v>
      </c>
      <c r="R246" s="36">
        <f t="shared" si="45"/>
        <v>761.67</v>
      </c>
      <c r="S246" s="64" t="str">
        <f>IFERROR((VLOOKUP($A246,'Из ГУГЛа'!$B:$G,6,0)+U246)*T246,VLOOKUP($A246,'Из ГУГЛа'!$B:$G,6,0))</f>
        <v/>
      </c>
      <c r="T246" s="38">
        <v>1</v>
      </c>
      <c r="U246" s="38">
        <v>0</v>
      </c>
      <c r="V246" s="39">
        <f t="shared" si="46"/>
        <v>0.52333999999999992</v>
      </c>
      <c r="W246" s="39" t="str">
        <f t="shared" si="47"/>
        <v/>
      </c>
      <c r="X246" s="39" t="str">
        <f t="shared" si="48"/>
        <v/>
      </c>
      <c r="Y246" s="65" t="s">
        <v>8364</v>
      </c>
      <c r="Z246" s="46"/>
    </row>
    <row r="247" spans="1:26" s="3" customFormat="1" ht="30" x14ac:dyDescent="0.25">
      <c r="A247" s="28">
        <v>226609</v>
      </c>
      <c r="B247" s="28">
        <f>VLOOKUP($A247,'Выгр Кат'!$A:$R,B$1,0)</f>
        <v>8960</v>
      </c>
      <c r="C247" s="27" t="str">
        <f>VLOOKUP($A247,'Выгр Кат'!$A:$R,C$1,0)</f>
        <v>Щетка для удаления пыли CA-160</v>
      </c>
      <c r="D247" s="28" t="str">
        <f>VLOOKUP($A247,'Выгр Кат'!$A:$R,D$1,0)</f>
        <v>Y</v>
      </c>
      <c r="E247" s="28" t="str">
        <f>VLOOKUP($A247,'Выгр Кат'!$A:$R,E$1,0)</f>
        <v>1</v>
      </c>
      <c r="F247" s="28" t="str">
        <f>VLOOKUP($A247,'Выгр Кат'!$A:$R,F$1,0)</f>
        <v>31007</v>
      </c>
      <c r="G247" s="7">
        <v>31007</v>
      </c>
      <c r="H247" s="7"/>
      <c r="I247" s="1" t="s">
        <v>3</v>
      </c>
      <c r="J247" s="42">
        <f>VLOOKUP(G247,Прайс!B:E,4,0)</f>
        <v>600</v>
      </c>
      <c r="K247" s="2">
        <f>VLOOKUP(J247,Наценка!$A$1:$B$8,2,1)</f>
        <v>1.63</v>
      </c>
      <c r="L247" s="4">
        <f t="shared" si="49"/>
        <v>977.99999999999989</v>
      </c>
      <c r="M247" s="42">
        <f t="shared" si="50"/>
        <v>979</v>
      </c>
      <c r="N247" s="28">
        <f>VLOOKUP($A247,'Выгр Кат'!$A:$R,N$1,0)</f>
        <v>600</v>
      </c>
      <c r="O247" s="28">
        <f>VLOOKUP($A247,'Выгр Кат'!$A:$R,O$1,0)</f>
        <v>979</v>
      </c>
      <c r="P247" s="30">
        <f t="shared" si="43"/>
        <v>0</v>
      </c>
      <c r="Q247" s="30">
        <f t="shared" si="44"/>
        <v>0</v>
      </c>
      <c r="R247" s="36">
        <f t="shared" si="45"/>
        <v>910.46999999999991</v>
      </c>
      <c r="S247" s="64" t="str">
        <f>IFERROR((VLOOKUP($A247,'Из ГУГЛа'!$B:$G,6,0)+U247)*T247,VLOOKUP($A247,'Из ГУГЛа'!$B:$G,6,0))</f>
        <v/>
      </c>
      <c r="T247" s="38">
        <v>1</v>
      </c>
      <c r="U247" s="38">
        <v>0</v>
      </c>
      <c r="V247" s="39">
        <f t="shared" si="46"/>
        <v>0.51744999999999997</v>
      </c>
      <c r="W247" s="39" t="str">
        <f t="shared" si="47"/>
        <v/>
      </c>
      <c r="X247" s="39" t="str">
        <f t="shared" si="48"/>
        <v/>
      </c>
      <c r="Y247" s="65" t="s">
        <v>8364</v>
      </c>
      <c r="Z247" s="46"/>
    </row>
    <row r="248" spans="1:26" s="3" customFormat="1" ht="30" x14ac:dyDescent="0.25">
      <c r="A248" s="28">
        <v>226610</v>
      </c>
      <c r="B248" s="28">
        <f>VLOOKUP($A248,'Выгр Кат'!$A:$R,B$1,0)</f>
        <v>8975</v>
      </c>
      <c r="C248" s="27" t="str">
        <f>VLOOKUP($A248,'Выгр Кат'!$A:$R,C$1,0)</f>
        <v>Щетка для удаления пыли CA-164</v>
      </c>
      <c r="D248" s="28" t="str">
        <f>VLOOKUP($A248,'Выгр Кат'!$A:$R,D$1,0)</f>
        <v>Y</v>
      </c>
      <c r="E248" s="28" t="str">
        <f>VLOOKUP($A248,'Выгр Кат'!$A:$R,E$1,0)</f>
        <v>1</v>
      </c>
      <c r="F248" s="28" t="str">
        <f>VLOOKUP($A248,'Выгр Кат'!$A:$R,F$1,0)</f>
        <v>31003</v>
      </c>
      <c r="G248" s="7">
        <v>31003</v>
      </c>
      <c r="H248" s="7"/>
      <c r="I248" s="1" t="s">
        <v>3</v>
      </c>
      <c r="J248" s="42">
        <f>VLOOKUP(G248,Прайс!B:E,4,0)</f>
        <v>550</v>
      </c>
      <c r="K248" s="2">
        <f>VLOOKUP(J248,Наценка!$A$1:$B$8,2,1)</f>
        <v>1.63</v>
      </c>
      <c r="L248" s="4">
        <f t="shared" si="49"/>
        <v>896.49999999999989</v>
      </c>
      <c r="M248" s="42">
        <f t="shared" si="50"/>
        <v>899</v>
      </c>
      <c r="N248" s="28">
        <f>VLOOKUP($A248,'Выгр Кат'!$A:$R,N$1,0)</f>
        <v>550</v>
      </c>
      <c r="O248" s="28">
        <f>VLOOKUP($A248,'Выгр Кат'!$A:$R,O$1,0)</f>
        <v>899</v>
      </c>
      <c r="P248" s="30">
        <f t="shared" si="43"/>
        <v>0</v>
      </c>
      <c r="Q248" s="30">
        <f t="shared" si="44"/>
        <v>0</v>
      </c>
      <c r="R248" s="36">
        <f t="shared" si="45"/>
        <v>836.06999999999994</v>
      </c>
      <c r="S248" s="64" t="str">
        <f>IFERROR((VLOOKUP($A248,'Из ГУГЛа'!$B:$G,6,0)+U248)*T248,VLOOKUP($A248,'Из ГУГЛа'!$B:$G,6,0))</f>
        <v/>
      </c>
      <c r="T248" s="38">
        <v>1</v>
      </c>
      <c r="U248" s="38">
        <v>0</v>
      </c>
      <c r="V248" s="39">
        <f t="shared" si="46"/>
        <v>0.52012727272727255</v>
      </c>
      <c r="W248" s="39" t="str">
        <f t="shared" si="47"/>
        <v/>
      </c>
      <c r="X248" s="39" t="str">
        <f t="shared" si="48"/>
        <v/>
      </c>
      <c r="Y248" s="65" t="s">
        <v>8364</v>
      </c>
      <c r="Z248" s="46"/>
    </row>
    <row r="249" spans="1:26" s="3" customFormat="1" ht="30" x14ac:dyDescent="0.25">
      <c r="A249" s="28">
        <v>226611</v>
      </c>
      <c r="B249" s="28">
        <f>VLOOKUP($A249,'Выгр Кат'!$A:$R,B$1,0)</f>
        <v>8956</v>
      </c>
      <c r="C249" s="27" t="str">
        <f>VLOOKUP($A249,'Выгр Кат'!$A:$R,C$1,0)</f>
        <v>Щетка для удаления пыли CA-168</v>
      </c>
      <c r="D249" s="28" t="str">
        <f>VLOOKUP($A249,'Выгр Кат'!$A:$R,D$1,0)</f>
        <v>Y</v>
      </c>
      <c r="E249" s="28" t="str">
        <f>VLOOKUP($A249,'Выгр Кат'!$A:$R,E$1,0)</f>
        <v>0</v>
      </c>
      <c r="F249" s="28">
        <f>VLOOKUP($A249,'Выгр Кат'!$A:$R,F$1,0)</f>
        <v>0</v>
      </c>
      <c r="G249" s="4"/>
      <c r="H249" s="4"/>
      <c r="I249" s="1" t="s">
        <v>3</v>
      </c>
      <c r="J249" s="41">
        <f>N249</f>
        <v>0</v>
      </c>
      <c r="K249" s="2" t="e">
        <f>VLOOKUP(J249,Наценка!$A$1:$B$8,2,1)</f>
        <v>#N/A</v>
      </c>
      <c r="L249" s="41">
        <f>O249</f>
        <v>99</v>
      </c>
      <c r="M249" s="42">
        <f t="shared" si="50"/>
        <v>99</v>
      </c>
      <c r="N249" s="28">
        <f>VLOOKUP($A249,'Выгр Кат'!$A:$R,N$1,0)</f>
        <v>0</v>
      </c>
      <c r="O249" s="28">
        <f>VLOOKUP($A249,'Выгр Кат'!$A:$R,O$1,0)</f>
        <v>99</v>
      </c>
      <c r="P249" s="30">
        <f t="shared" si="43"/>
        <v>0</v>
      </c>
      <c r="Q249" s="30">
        <f t="shared" si="44"/>
        <v>0</v>
      </c>
      <c r="R249" s="36">
        <f t="shared" si="45"/>
        <v>92.07</v>
      </c>
      <c r="S249" s="64" t="str">
        <f>IFERROR((VLOOKUP($A249,'Из ГУГЛа'!$B:$G,6,0)+U249)*T249,VLOOKUP($A249,'Из ГУГЛа'!$B:$G,6,0))</f>
        <v/>
      </c>
      <c r="T249" s="38">
        <v>1</v>
      </c>
      <c r="U249" s="38">
        <v>0</v>
      </c>
      <c r="V249" s="39" t="str">
        <f t="shared" si="46"/>
        <v/>
      </c>
      <c r="W249" s="39" t="str">
        <f t="shared" si="47"/>
        <v/>
      </c>
      <c r="X249" s="39" t="str">
        <f t="shared" si="48"/>
        <v/>
      </c>
      <c r="Y249" s="65" t="s">
        <v>8364</v>
      </c>
      <c r="Z249" s="46"/>
    </row>
    <row r="250" spans="1:26" s="3" customFormat="1" ht="30" x14ac:dyDescent="0.25">
      <c r="A250" s="28">
        <v>226599</v>
      </c>
      <c r="B250" s="28">
        <f>VLOOKUP($A250,'Выгр Кат'!$A:$R,B$1,0)</f>
        <v>30609</v>
      </c>
      <c r="C250" s="27" t="str">
        <f>VLOOKUP($A250,'Выгр Кат'!$A:$R,C$1,0)</f>
        <v>Щётка бескаркасная "ALCA" Super Flat Graphit, 400 мм</v>
      </c>
      <c r="D250" s="28" t="str">
        <f>VLOOKUP($A250,'Выгр Кат'!$A:$R,D$1,0)</f>
        <v>Y</v>
      </c>
      <c r="E250" s="28" t="str">
        <f>VLOOKUP($A250,'Выгр Кат'!$A:$R,E$1,0)</f>
        <v>1</v>
      </c>
      <c r="F250" s="28" t="str">
        <f>VLOOKUP($A250,'Выгр Кат'!$A:$R,F$1,0)</f>
        <v>29045</v>
      </c>
      <c r="G250" s="7">
        <v>29045</v>
      </c>
      <c r="H250" s="7"/>
      <c r="I250" s="1" t="s">
        <v>3</v>
      </c>
      <c r="J250" s="42">
        <f>VLOOKUP(G250,Прайс!B:E,4,0)</f>
        <v>260</v>
      </c>
      <c r="K250" s="2">
        <f>VLOOKUP(J250,Наценка!$A$1:$B$8,2,1)</f>
        <v>1.89</v>
      </c>
      <c r="L250" s="4">
        <f t="shared" si="49"/>
        <v>491.4</v>
      </c>
      <c r="M250" s="42">
        <f t="shared" si="50"/>
        <v>499</v>
      </c>
      <c r="N250" s="28">
        <f>VLOOKUP($A250,'Выгр Кат'!$A:$R,N$1,0)</f>
        <v>260</v>
      </c>
      <c r="O250" s="28">
        <f>VLOOKUP($A250,'Выгр Кат'!$A:$R,O$1,0)</f>
        <v>499</v>
      </c>
      <c r="P250" s="30">
        <f t="shared" si="43"/>
        <v>0</v>
      </c>
      <c r="Q250" s="30">
        <f t="shared" si="44"/>
        <v>0</v>
      </c>
      <c r="R250" s="36">
        <f t="shared" si="45"/>
        <v>464.07</v>
      </c>
      <c r="S250" s="64">
        <f>IFERROR((VLOOKUP($A250,'Из ГУГЛа'!$B:$G,6,0)+U250)*T250,VLOOKUP($A250,'Из ГУГЛа'!$B:$G,6,0))</f>
        <v>690</v>
      </c>
      <c r="T250" s="38">
        <v>1</v>
      </c>
      <c r="U250" s="38">
        <v>0</v>
      </c>
      <c r="V250" s="39">
        <f t="shared" si="46"/>
        <v>0.7848846153846154</v>
      </c>
      <c r="W250" s="39">
        <f t="shared" si="47"/>
        <v>0.32743478260869568</v>
      </c>
      <c r="X250" s="39">
        <f t="shared" si="48"/>
        <v>1.6538461538461537</v>
      </c>
      <c r="Y250" s="40">
        <v>690</v>
      </c>
      <c r="Z250" s="46" t="s">
        <v>8058</v>
      </c>
    </row>
    <row r="251" spans="1:26" s="3" customFormat="1" ht="30" x14ac:dyDescent="0.25">
      <c r="A251" s="28">
        <v>226600</v>
      </c>
      <c r="B251" s="28">
        <f>VLOOKUP($A251,'Выгр Кат'!$A:$R,B$1,0)</f>
        <v>30608</v>
      </c>
      <c r="C251" s="27" t="str">
        <f>VLOOKUP($A251,'Выгр Кат'!$A:$R,C$1,0)</f>
        <v>Щётка бескаркасная "ALCA" Super Flat Graphit, 600 мм</v>
      </c>
      <c r="D251" s="28" t="str">
        <f>VLOOKUP($A251,'Выгр Кат'!$A:$R,D$1,0)</f>
        <v>Y</v>
      </c>
      <c r="E251" s="28" t="str">
        <f>VLOOKUP($A251,'Выгр Кат'!$A:$R,E$1,0)</f>
        <v>1</v>
      </c>
      <c r="F251" s="28" t="str">
        <f>VLOOKUP($A251,'Выгр Кат'!$A:$R,F$1,0)</f>
        <v>29053</v>
      </c>
      <c r="G251" s="7">
        <v>29053</v>
      </c>
      <c r="H251" s="7"/>
      <c r="I251" s="1" t="s">
        <v>3</v>
      </c>
      <c r="J251" s="42">
        <f>VLOOKUP(G251,Прайс!B:E,4,0)</f>
        <v>305</v>
      </c>
      <c r="K251" s="2">
        <f>VLOOKUP(J251,Наценка!$A$1:$B$8,2,1)</f>
        <v>1.68</v>
      </c>
      <c r="L251" s="4">
        <f t="shared" si="49"/>
        <v>512.4</v>
      </c>
      <c r="M251" s="42">
        <f t="shared" si="50"/>
        <v>519</v>
      </c>
      <c r="N251" s="28">
        <f>VLOOKUP($A251,'Выгр Кат'!$A:$R,N$1,0)</f>
        <v>305</v>
      </c>
      <c r="O251" s="28">
        <f>VLOOKUP($A251,'Выгр Кат'!$A:$R,O$1,0)</f>
        <v>519</v>
      </c>
      <c r="P251" s="30">
        <f t="shared" si="43"/>
        <v>0</v>
      </c>
      <c r="Q251" s="30">
        <f t="shared" si="44"/>
        <v>0</v>
      </c>
      <c r="R251" s="36">
        <f t="shared" si="45"/>
        <v>482.66999999999996</v>
      </c>
      <c r="S251" s="64">
        <f>IFERROR((VLOOKUP($A251,'Из ГУГЛа'!$B:$G,6,0)+U251)*T251,VLOOKUP($A251,'Из ГУГЛа'!$B:$G,6,0))</f>
        <v>729</v>
      </c>
      <c r="T251" s="38">
        <v>1</v>
      </c>
      <c r="U251" s="38">
        <v>0</v>
      </c>
      <c r="V251" s="39">
        <f t="shared" si="46"/>
        <v>0.58252459016393421</v>
      </c>
      <c r="W251" s="39">
        <f t="shared" si="47"/>
        <v>0.33790123456790128</v>
      </c>
      <c r="X251" s="39">
        <f t="shared" si="48"/>
        <v>1.3901639344262295</v>
      </c>
      <c r="Y251" s="40">
        <v>729</v>
      </c>
      <c r="Z251" s="46" t="s">
        <v>8059</v>
      </c>
    </row>
    <row r="252" spans="1:26" s="3" customFormat="1" ht="30" x14ac:dyDescent="0.25">
      <c r="A252" s="28">
        <v>226753</v>
      </c>
      <c r="B252" s="28">
        <f>VLOOKUP($A252,'Выгр Кат'!$A:$R,B$1,0)</f>
        <v>5572</v>
      </c>
      <c r="C252" s="27" t="str">
        <f>VLOOKUP($A252,'Выгр Кат'!$A:$R,C$1,0)</f>
        <v>Щетки стеклоочистителя каркасная Champion E51 20" (510 мм)</v>
      </c>
      <c r="D252" s="28" t="str">
        <f>VLOOKUP($A252,'Выгр Кат'!$A:$R,D$1,0)</f>
        <v>Y</v>
      </c>
      <c r="E252" s="28" t="str">
        <f>VLOOKUP($A252,'Выгр Кат'!$A:$R,E$1,0)</f>
        <v>1</v>
      </c>
      <c r="F252" s="28" t="str">
        <f>VLOOKUP($A252,'Выгр Кат'!$A:$R,F$1,0)</f>
        <v>29102</v>
      </c>
      <c r="G252" s="7">
        <v>29102</v>
      </c>
      <c r="H252" s="7"/>
      <c r="I252" s="1" t="s">
        <v>3</v>
      </c>
      <c r="J252" s="42">
        <f>VLOOKUP(G252,Прайс!B:E,4,0)</f>
        <v>190</v>
      </c>
      <c r="K252" s="2">
        <f>VLOOKUP(J252,Наценка!$A$1:$B$8,2,1)</f>
        <v>1.89</v>
      </c>
      <c r="L252" s="4">
        <f t="shared" si="49"/>
        <v>359.09999999999997</v>
      </c>
      <c r="M252" s="42">
        <f t="shared" si="50"/>
        <v>359</v>
      </c>
      <c r="N252" s="28">
        <f>VLOOKUP($A252,'Выгр Кат'!$A:$R,N$1,0)</f>
        <v>190</v>
      </c>
      <c r="O252" s="28">
        <f>VLOOKUP($A252,'Выгр Кат'!$A:$R,O$1,0)</f>
        <v>359</v>
      </c>
      <c r="P252" s="30">
        <f t="shared" si="43"/>
        <v>0</v>
      </c>
      <c r="Q252" s="30">
        <f t="shared" si="44"/>
        <v>0</v>
      </c>
      <c r="R252" s="36">
        <f t="shared" si="45"/>
        <v>333.87</v>
      </c>
      <c r="S252" s="64" t="str">
        <f>IFERROR((VLOOKUP($A252,'Из ГУГЛа'!$B:$G,6,0)+U252)*T252,VLOOKUP($A252,'Из ГУГЛа'!$B:$G,6,0))</f>
        <v/>
      </c>
      <c r="T252" s="38">
        <v>1</v>
      </c>
      <c r="U252" s="38">
        <v>0</v>
      </c>
      <c r="V252" s="39">
        <f t="shared" si="46"/>
        <v>0.75721052631578956</v>
      </c>
      <c r="W252" s="39" t="str">
        <f t="shared" si="47"/>
        <v/>
      </c>
      <c r="X252" s="39" t="str">
        <f t="shared" si="48"/>
        <v/>
      </c>
      <c r="Y252" s="65" t="s">
        <v>8364</v>
      </c>
      <c r="Z252" s="46"/>
    </row>
    <row r="253" spans="1:26" s="3" customFormat="1" ht="30" x14ac:dyDescent="0.25">
      <c r="A253" s="28">
        <v>226704</v>
      </c>
      <c r="B253" s="28">
        <f>VLOOKUP($A253,'Выгр Кат'!$A:$R,B$1,0)</f>
        <v>30959</v>
      </c>
      <c r="C253" s="27" t="str">
        <f>VLOOKUP($A253,'Выгр Кат'!$A:$R,C$1,0)</f>
        <v>Щётка стеклоочистителя бескаркасная "AVS" 35 см</v>
      </c>
      <c r="D253" s="28" t="str">
        <f>VLOOKUP($A253,'Выгр Кат'!$A:$R,D$1,0)</f>
        <v>Y</v>
      </c>
      <c r="E253" s="28" t="str">
        <f>VLOOKUP($A253,'Выгр Кат'!$A:$R,E$1,0)</f>
        <v>1</v>
      </c>
      <c r="F253" s="28" t="str">
        <f>VLOOKUP($A253,'Выгр Кат'!$A:$R,F$1,0)</f>
        <v>29081</v>
      </c>
      <c r="G253" s="7">
        <v>29081</v>
      </c>
      <c r="H253" s="7"/>
      <c r="I253" s="1" t="s">
        <v>3</v>
      </c>
      <c r="J253" s="42">
        <f>VLOOKUP(G253,Прайс!B:E,4,0)</f>
        <v>230</v>
      </c>
      <c r="K253" s="2">
        <f>VLOOKUP(J253,Наценка!$A$1:$B$8,2,1)</f>
        <v>1.89</v>
      </c>
      <c r="L253" s="4">
        <f t="shared" si="49"/>
        <v>434.7</v>
      </c>
      <c r="M253" s="42">
        <f t="shared" si="50"/>
        <v>439</v>
      </c>
      <c r="N253" s="28">
        <f>VLOOKUP($A253,'Выгр Кат'!$A:$R,N$1,0)</f>
        <v>230</v>
      </c>
      <c r="O253" s="28">
        <f>VLOOKUP($A253,'Выгр Кат'!$A:$R,O$1,0)</f>
        <v>439</v>
      </c>
      <c r="P253" s="30">
        <f t="shared" si="43"/>
        <v>0</v>
      </c>
      <c r="Q253" s="30">
        <f t="shared" si="44"/>
        <v>0</v>
      </c>
      <c r="R253" s="36">
        <f t="shared" si="45"/>
        <v>408.27</v>
      </c>
      <c r="S253" s="64" t="str">
        <f>IFERROR((VLOOKUP($A253,'Из ГУГЛа'!$B:$G,6,0)+U253)*T253,VLOOKUP($A253,'Из ГУГЛа'!$B:$G,6,0))</f>
        <v/>
      </c>
      <c r="T253" s="38">
        <v>1</v>
      </c>
      <c r="U253" s="38">
        <v>0</v>
      </c>
      <c r="V253" s="39">
        <f t="shared" si="46"/>
        <v>0.77508695652173909</v>
      </c>
      <c r="W253" s="39">
        <f t="shared" si="47"/>
        <v>0.30801694915254241</v>
      </c>
      <c r="X253" s="39">
        <f t="shared" si="48"/>
        <v>1.5652173913043477</v>
      </c>
      <c r="Y253" s="65">
        <v>590</v>
      </c>
      <c r="Z253" s="46" t="s">
        <v>8369</v>
      </c>
    </row>
    <row r="254" spans="1:26" s="3" customFormat="1" ht="30" x14ac:dyDescent="0.25">
      <c r="A254" s="28">
        <v>226709</v>
      </c>
      <c r="B254" s="28">
        <f>VLOOKUP($A254,'Выгр Кат'!$A:$R,B$1,0)</f>
        <v>5584</v>
      </c>
      <c r="C254" s="27" t="str">
        <f>VLOOKUP($A254,'Выгр Кат'!$A:$R,C$1,0)</f>
        <v>Щетка стеклоочистителя бескаркасная ANVO 33см</v>
      </c>
      <c r="D254" s="28" t="str">
        <f>VLOOKUP($A254,'Выгр Кат'!$A:$R,D$1,0)</f>
        <v>Y</v>
      </c>
      <c r="E254" s="28" t="str">
        <f>VLOOKUP($A254,'Выгр Кат'!$A:$R,E$1,0)</f>
        <v>1</v>
      </c>
      <c r="F254" s="28">
        <f>VLOOKUP($A254,'Выгр Кат'!$A:$R,F$1,0)</f>
        <v>0</v>
      </c>
      <c r="G254" s="4" t="s">
        <v>6472</v>
      </c>
      <c r="H254" s="4" t="s">
        <v>8053</v>
      </c>
      <c r="I254" s="1" t="s">
        <v>3</v>
      </c>
      <c r="J254" s="41">
        <f t="shared" ref="J254:J266" si="55">N254</f>
        <v>276</v>
      </c>
      <c r="K254" s="2">
        <f>VLOOKUP(J254,Наценка!$A$1:$B$8,2,1)</f>
        <v>1.89</v>
      </c>
      <c r="L254" s="4">
        <f t="shared" si="49"/>
        <v>521.64</v>
      </c>
      <c r="M254" s="42">
        <f t="shared" si="50"/>
        <v>529</v>
      </c>
      <c r="N254" s="28">
        <f>VLOOKUP($A254,'Выгр Кат'!$A:$R,N$1,0)</f>
        <v>276</v>
      </c>
      <c r="O254" s="28">
        <f>VLOOKUP($A254,'Выгр Кат'!$A:$R,O$1,0)</f>
        <v>529</v>
      </c>
      <c r="P254" s="30">
        <f t="shared" si="43"/>
        <v>0</v>
      </c>
      <c r="Q254" s="30">
        <f t="shared" si="44"/>
        <v>0</v>
      </c>
      <c r="R254" s="36">
        <f t="shared" si="45"/>
        <v>491.96999999999997</v>
      </c>
      <c r="S254" s="64" t="str">
        <f>IFERROR((VLOOKUP($A254,'Из ГУГЛа'!$B:$G,6,0)+U254)*T254,VLOOKUP($A254,'Из ГУГЛа'!$B:$G,6,0))</f>
        <v/>
      </c>
      <c r="T254" s="38">
        <v>1</v>
      </c>
      <c r="U254" s="38">
        <v>0</v>
      </c>
      <c r="V254" s="39">
        <f t="shared" si="46"/>
        <v>0.78249999999999997</v>
      </c>
      <c r="W254" s="39" t="str">
        <f t="shared" si="47"/>
        <v/>
      </c>
      <c r="X254" s="39" t="str">
        <f t="shared" si="48"/>
        <v/>
      </c>
      <c r="Y254" s="65" t="s">
        <v>8364</v>
      </c>
      <c r="Z254" s="46"/>
    </row>
    <row r="255" spans="1:26" s="3" customFormat="1" ht="30" x14ac:dyDescent="0.25">
      <c r="A255" s="28">
        <v>226710</v>
      </c>
      <c r="B255" s="28">
        <f>VLOOKUP($A255,'Выгр Кат'!$A:$R,B$1,0)</f>
        <v>5585</v>
      </c>
      <c r="C255" s="27" t="str">
        <f>VLOOKUP($A255,'Выгр Кат'!$A:$R,C$1,0)</f>
        <v>Щетка стеклоочистителя бескаркасная ANVO 35см</v>
      </c>
      <c r="D255" s="28" t="str">
        <f>VLOOKUP($A255,'Выгр Кат'!$A:$R,D$1,0)</f>
        <v>Y</v>
      </c>
      <c r="E255" s="28" t="str">
        <f>VLOOKUP($A255,'Выгр Кат'!$A:$R,E$1,0)</f>
        <v>1</v>
      </c>
      <c r="F255" s="28">
        <f>VLOOKUP($A255,'Выгр Кат'!$A:$R,F$1,0)</f>
        <v>0</v>
      </c>
      <c r="G255" s="4" t="s">
        <v>6473</v>
      </c>
      <c r="H255" s="4" t="s">
        <v>8053</v>
      </c>
      <c r="I255" s="1" t="s">
        <v>3</v>
      </c>
      <c r="J255" s="41">
        <f t="shared" si="55"/>
        <v>276</v>
      </c>
      <c r="K255" s="2">
        <f>VLOOKUP(J255,Наценка!$A$1:$B$8,2,1)</f>
        <v>1.89</v>
      </c>
      <c r="L255" s="4">
        <f t="shared" si="49"/>
        <v>521.64</v>
      </c>
      <c r="M255" s="42">
        <f t="shared" si="50"/>
        <v>529</v>
      </c>
      <c r="N255" s="28">
        <f>VLOOKUP($A255,'Выгр Кат'!$A:$R,N$1,0)</f>
        <v>276</v>
      </c>
      <c r="O255" s="28">
        <f>VLOOKUP($A255,'Выгр Кат'!$A:$R,O$1,0)</f>
        <v>529</v>
      </c>
      <c r="P255" s="30">
        <f t="shared" si="43"/>
        <v>0</v>
      </c>
      <c r="Q255" s="30">
        <f t="shared" si="44"/>
        <v>0</v>
      </c>
      <c r="R255" s="36">
        <f t="shared" si="45"/>
        <v>491.96999999999997</v>
      </c>
      <c r="S255" s="64" t="str">
        <f>IFERROR((VLOOKUP($A255,'Из ГУГЛа'!$B:$G,6,0)+U255)*T255,VLOOKUP($A255,'Из ГУГЛа'!$B:$G,6,0))</f>
        <v/>
      </c>
      <c r="T255" s="38">
        <v>1</v>
      </c>
      <c r="U255" s="38">
        <v>0</v>
      </c>
      <c r="V255" s="39">
        <f t="shared" si="46"/>
        <v>0.78249999999999997</v>
      </c>
      <c r="W255" s="39" t="str">
        <f t="shared" si="47"/>
        <v/>
      </c>
      <c r="X255" s="39" t="str">
        <f t="shared" si="48"/>
        <v/>
      </c>
      <c r="Y255" s="65" t="s">
        <v>8364</v>
      </c>
      <c r="Z255" s="46"/>
    </row>
    <row r="256" spans="1:26" s="3" customFormat="1" ht="30" x14ac:dyDescent="0.25">
      <c r="A256" s="28">
        <v>226711</v>
      </c>
      <c r="B256" s="28">
        <f>VLOOKUP($A256,'Выгр Кат'!$A:$R,B$1,0)</f>
        <v>5586</v>
      </c>
      <c r="C256" s="27" t="str">
        <f>VLOOKUP($A256,'Выгр Кат'!$A:$R,C$1,0)</f>
        <v>Щетка стеклоочистителя бескаркасная ANVO 38см</v>
      </c>
      <c r="D256" s="28" t="str">
        <f>VLOOKUP($A256,'Выгр Кат'!$A:$R,D$1,0)</f>
        <v>Y</v>
      </c>
      <c r="E256" s="28" t="str">
        <f>VLOOKUP($A256,'Выгр Кат'!$A:$R,E$1,0)</f>
        <v>1</v>
      </c>
      <c r="F256" s="28">
        <f>VLOOKUP($A256,'Выгр Кат'!$A:$R,F$1,0)</f>
        <v>0</v>
      </c>
      <c r="G256" s="4" t="s">
        <v>6474</v>
      </c>
      <c r="H256" s="4" t="s">
        <v>8053</v>
      </c>
      <c r="I256" s="1" t="s">
        <v>3</v>
      </c>
      <c r="J256" s="41">
        <f t="shared" si="55"/>
        <v>276</v>
      </c>
      <c r="K256" s="2">
        <f>VLOOKUP(J256,Наценка!$A$1:$B$8,2,1)</f>
        <v>1.89</v>
      </c>
      <c r="L256" s="4">
        <f t="shared" si="49"/>
        <v>521.64</v>
      </c>
      <c r="M256" s="42">
        <f t="shared" si="50"/>
        <v>529</v>
      </c>
      <c r="N256" s="28">
        <f>VLOOKUP($A256,'Выгр Кат'!$A:$R,N$1,0)</f>
        <v>276</v>
      </c>
      <c r="O256" s="28">
        <f>VLOOKUP($A256,'Выгр Кат'!$A:$R,O$1,0)</f>
        <v>529</v>
      </c>
      <c r="P256" s="30">
        <f t="shared" ref="P256:P313" si="56">N256-J256</f>
        <v>0</v>
      </c>
      <c r="Q256" s="30">
        <f t="shared" ref="Q256:Q313" si="57">O256-M256</f>
        <v>0</v>
      </c>
      <c r="R256" s="36">
        <f t="shared" ref="R256:R313" si="58">IFERROR(M256*(1-$R$2),"")</f>
        <v>491.96999999999997</v>
      </c>
      <c r="S256" s="64" t="str">
        <f>IFERROR((VLOOKUP($A256,'Из ГУГЛа'!$B:$G,6,0)+U256)*T256,VLOOKUP($A256,'Из ГУГЛа'!$B:$G,6,0))</f>
        <v/>
      </c>
      <c r="T256" s="38">
        <v>1</v>
      </c>
      <c r="U256" s="38">
        <v>0</v>
      </c>
      <c r="V256" s="39">
        <f t="shared" ref="V256:V313" si="59">IFERROR(R256/J256-1,"")</f>
        <v>0.78249999999999997</v>
      </c>
      <c r="W256" s="39" t="str">
        <f t="shared" ref="W256:W313" si="60">IFERROR((Y256-R256)/Y256,"")</f>
        <v/>
      </c>
      <c r="X256" s="39" t="str">
        <f t="shared" ref="X256:X313" si="61">IFERROR(IF(Y256="","",Y256/J256-1),"")</f>
        <v/>
      </c>
      <c r="Y256" s="65" t="s">
        <v>8364</v>
      </c>
      <c r="Z256" s="46"/>
    </row>
    <row r="257" spans="1:26" s="3" customFormat="1" ht="30" x14ac:dyDescent="0.25">
      <c r="A257" s="28">
        <v>226712</v>
      </c>
      <c r="B257" s="28">
        <f>VLOOKUP($A257,'Выгр Кат'!$A:$R,B$1,0)</f>
        <v>5588</v>
      </c>
      <c r="C257" s="27" t="str">
        <f>VLOOKUP($A257,'Выгр Кат'!$A:$R,C$1,0)</f>
        <v>Щетка стеклоочистителя бескаркасная ANVO 41см</v>
      </c>
      <c r="D257" s="28" t="str">
        <f>VLOOKUP($A257,'Выгр Кат'!$A:$R,D$1,0)</f>
        <v>Y</v>
      </c>
      <c r="E257" s="28" t="str">
        <f>VLOOKUP($A257,'Выгр Кат'!$A:$R,E$1,0)</f>
        <v>1</v>
      </c>
      <c r="F257" s="28">
        <f>VLOOKUP($A257,'Выгр Кат'!$A:$R,F$1,0)</f>
        <v>0</v>
      </c>
      <c r="G257" s="4" t="s">
        <v>6475</v>
      </c>
      <c r="H257" s="4" t="s">
        <v>8053</v>
      </c>
      <c r="I257" s="1" t="s">
        <v>3</v>
      </c>
      <c r="J257" s="41">
        <f t="shared" si="55"/>
        <v>276</v>
      </c>
      <c r="K257" s="2">
        <f>VLOOKUP(J257,Наценка!$A$1:$B$8,2,1)</f>
        <v>1.89</v>
      </c>
      <c r="L257" s="4">
        <f t="shared" si="49"/>
        <v>521.64</v>
      </c>
      <c r="M257" s="42">
        <f t="shared" si="50"/>
        <v>529</v>
      </c>
      <c r="N257" s="28">
        <f>VLOOKUP($A257,'Выгр Кат'!$A:$R,N$1,0)</f>
        <v>276</v>
      </c>
      <c r="O257" s="28">
        <f>VLOOKUP($A257,'Выгр Кат'!$A:$R,O$1,0)</f>
        <v>529</v>
      </c>
      <c r="P257" s="30">
        <f t="shared" si="56"/>
        <v>0</v>
      </c>
      <c r="Q257" s="30">
        <f t="shared" si="57"/>
        <v>0</v>
      </c>
      <c r="R257" s="36">
        <f t="shared" si="58"/>
        <v>491.96999999999997</v>
      </c>
      <c r="S257" s="64" t="str">
        <f>IFERROR((VLOOKUP($A257,'Из ГУГЛа'!$B:$G,6,0)+U257)*T257,VLOOKUP($A257,'Из ГУГЛа'!$B:$G,6,0))</f>
        <v/>
      </c>
      <c r="T257" s="38">
        <v>1</v>
      </c>
      <c r="U257" s="38">
        <v>0</v>
      </c>
      <c r="V257" s="39">
        <f t="shared" si="59"/>
        <v>0.78249999999999997</v>
      </c>
      <c r="W257" s="39" t="str">
        <f t="shared" si="60"/>
        <v/>
      </c>
      <c r="X257" s="39" t="str">
        <f t="shared" si="61"/>
        <v/>
      </c>
      <c r="Y257" s="65" t="s">
        <v>8364</v>
      </c>
      <c r="Z257" s="46"/>
    </row>
    <row r="258" spans="1:26" s="3" customFormat="1" ht="30" x14ac:dyDescent="0.25">
      <c r="A258" s="28">
        <v>226713</v>
      </c>
      <c r="B258" s="28">
        <f>VLOOKUP($A258,'Выгр Кат'!$A:$R,B$1,0)</f>
        <v>5589</v>
      </c>
      <c r="C258" s="27" t="str">
        <f>VLOOKUP($A258,'Выгр Кат'!$A:$R,C$1,0)</f>
        <v>Щетка стеклоочистителя бескаркасная ANVO 43см</v>
      </c>
      <c r="D258" s="28" t="str">
        <f>VLOOKUP($A258,'Выгр Кат'!$A:$R,D$1,0)</f>
        <v>Y</v>
      </c>
      <c r="E258" s="28" t="str">
        <f>VLOOKUP($A258,'Выгр Кат'!$A:$R,E$1,0)</f>
        <v>1</v>
      </c>
      <c r="F258" s="28">
        <f>VLOOKUP($A258,'Выгр Кат'!$A:$R,F$1,0)</f>
        <v>0</v>
      </c>
      <c r="G258" s="4" t="s">
        <v>6476</v>
      </c>
      <c r="H258" s="4" t="s">
        <v>8053</v>
      </c>
      <c r="I258" s="1" t="s">
        <v>3</v>
      </c>
      <c r="J258" s="41">
        <f t="shared" si="55"/>
        <v>276</v>
      </c>
      <c r="K258" s="2">
        <f>VLOOKUP(J258,Наценка!$A$1:$B$8,2,1)</f>
        <v>1.89</v>
      </c>
      <c r="L258" s="4">
        <f t="shared" si="49"/>
        <v>521.64</v>
      </c>
      <c r="M258" s="42">
        <f t="shared" si="50"/>
        <v>529</v>
      </c>
      <c r="N258" s="28">
        <f>VLOOKUP($A258,'Выгр Кат'!$A:$R,N$1,0)</f>
        <v>276</v>
      </c>
      <c r="O258" s="28">
        <f>VLOOKUP($A258,'Выгр Кат'!$A:$R,O$1,0)</f>
        <v>529</v>
      </c>
      <c r="P258" s="30">
        <f t="shared" si="56"/>
        <v>0</v>
      </c>
      <c r="Q258" s="30">
        <f t="shared" si="57"/>
        <v>0</v>
      </c>
      <c r="R258" s="36">
        <f t="shared" si="58"/>
        <v>491.96999999999997</v>
      </c>
      <c r="S258" s="64" t="str">
        <f>IFERROR((VLOOKUP($A258,'Из ГУГЛа'!$B:$G,6,0)+U258)*T258,VLOOKUP($A258,'Из ГУГЛа'!$B:$G,6,0))</f>
        <v/>
      </c>
      <c r="T258" s="38">
        <v>1</v>
      </c>
      <c r="U258" s="38">
        <v>0</v>
      </c>
      <c r="V258" s="39">
        <f t="shared" si="59"/>
        <v>0.78249999999999997</v>
      </c>
      <c r="W258" s="39" t="str">
        <f t="shared" si="60"/>
        <v/>
      </c>
      <c r="X258" s="39" t="str">
        <f t="shared" si="61"/>
        <v/>
      </c>
      <c r="Y258" s="65" t="s">
        <v>8364</v>
      </c>
      <c r="Z258" s="46"/>
    </row>
    <row r="259" spans="1:26" s="3" customFormat="1" ht="30" x14ac:dyDescent="0.25">
      <c r="A259" s="28">
        <v>226714</v>
      </c>
      <c r="B259" s="28">
        <f>VLOOKUP($A259,'Выгр Кат'!$A:$R,B$1,0)</f>
        <v>5590</v>
      </c>
      <c r="C259" s="27" t="str">
        <f>VLOOKUP($A259,'Выгр Кат'!$A:$R,C$1,0)</f>
        <v>Щетка стеклоочистителя бескаркасная ANVO 45см</v>
      </c>
      <c r="D259" s="28" t="str">
        <f>VLOOKUP($A259,'Выгр Кат'!$A:$R,D$1,0)</f>
        <v>Y</v>
      </c>
      <c r="E259" s="28" t="str">
        <f>VLOOKUP($A259,'Выгр Кат'!$A:$R,E$1,0)</f>
        <v>1</v>
      </c>
      <c r="F259" s="28">
        <f>VLOOKUP($A259,'Выгр Кат'!$A:$R,F$1,0)</f>
        <v>0</v>
      </c>
      <c r="G259" s="4" t="s">
        <v>6477</v>
      </c>
      <c r="H259" s="4" t="s">
        <v>8053</v>
      </c>
      <c r="I259" s="1" t="s">
        <v>3</v>
      </c>
      <c r="J259" s="41">
        <f t="shared" si="55"/>
        <v>276</v>
      </c>
      <c r="K259" s="2">
        <f>VLOOKUP(J259,Наценка!$A$1:$B$8,2,1)</f>
        <v>1.89</v>
      </c>
      <c r="L259" s="4">
        <f t="shared" si="49"/>
        <v>521.64</v>
      </c>
      <c r="M259" s="42">
        <f t="shared" si="50"/>
        <v>529</v>
      </c>
      <c r="N259" s="28">
        <f>VLOOKUP($A259,'Выгр Кат'!$A:$R,N$1,0)</f>
        <v>276</v>
      </c>
      <c r="O259" s="28">
        <f>VLOOKUP($A259,'Выгр Кат'!$A:$R,O$1,0)</f>
        <v>529</v>
      </c>
      <c r="P259" s="30">
        <f t="shared" si="56"/>
        <v>0</v>
      </c>
      <c r="Q259" s="30">
        <f t="shared" si="57"/>
        <v>0</v>
      </c>
      <c r="R259" s="36">
        <f t="shared" si="58"/>
        <v>491.96999999999997</v>
      </c>
      <c r="S259" s="64" t="str">
        <f>IFERROR((VLOOKUP($A259,'Из ГУГЛа'!$B:$G,6,0)+U259)*T259,VLOOKUP($A259,'Из ГУГЛа'!$B:$G,6,0))</f>
        <v/>
      </c>
      <c r="T259" s="38">
        <v>1</v>
      </c>
      <c r="U259" s="38">
        <v>0</v>
      </c>
      <c r="V259" s="39">
        <f t="shared" si="59"/>
        <v>0.78249999999999997</v>
      </c>
      <c r="W259" s="39" t="str">
        <f t="shared" si="60"/>
        <v/>
      </c>
      <c r="X259" s="39" t="str">
        <f t="shared" si="61"/>
        <v/>
      </c>
      <c r="Y259" s="65" t="s">
        <v>8364</v>
      </c>
      <c r="Z259" s="46"/>
    </row>
    <row r="260" spans="1:26" s="3" customFormat="1" ht="30" x14ac:dyDescent="0.25">
      <c r="A260" s="28">
        <v>226715</v>
      </c>
      <c r="B260" s="28">
        <f>VLOOKUP($A260,'Выгр Кат'!$A:$R,B$1,0)</f>
        <v>5592</v>
      </c>
      <c r="C260" s="27" t="str">
        <f>VLOOKUP($A260,'Выгр Кат'!$A:$R,C$1,0)</f>
        <v>Щетка стеклоочистителя бескаркасная ANVO 48см</v>
      </c>
      <c r="D260" s="28" t="str">
        <f>VLOOKUP($A260,'Выгр Кат'!$A:$R,D$1,0)</f>
        <v>Y</v>
      </c>
      <c r="E260" s="28" t="str">
        <f>VLOOKUP($A260,'Выгр Кат'!$A:$R,E$1,0)</f>
        <v>1</v>
      </c>
      <c r="F260" s="28">
        <f>VLOOKUP($A260,'Выгр Кат'!$A:$R,F$1,0)</f>
        <v>0</v>
      </c>
      <c r="G260" s="4" t="s">
        <v>6478</v>
      </c>
      <c r="H260" s="4" t="s">
        <v>8053</v>
      </c>
      <c r="I260" s="1" t="s">
        <v>3</v>
      </c>
      <c r="J260" s="41">
        <f t="shared" si="55"/>
        <v>276</v>
      </c>
      <c r="K260" s="2">
        <f>VLOOKUP(J260,Наценка!$A$1:$B$8,2,1)</f>
        <v>1.89</v>
      </c>
      <c r="L260" s="4">
        <f t="shared" ref="L260:L322" si="62">J260*K260</f>
        <v>521.64</v>
      </c>
      <c r="M260" s="42">
        <f t="shared" ref="M260:M322" si="63">IF(L260&lt;=1000,(ROUNDUP(L260,-1)-1),(ROUNDUP(L260,-2)-10))</f>
        <v>529</v>
      </c>
      <c r="N260" s="28">
        <f>VLOOKUP($A260,'Выгр Кат'!$A:$R,N$1,0)</f>
        <v>276</v>
      </c>
      <c r="O260" s="28">
        <f>VLOOKUP($A260,'Выгр Кат'!$A:$R,O$1,0)</f>
        <v>529</v>
      </c>
      <c r="P260" s="30">
        <f t="shared" si="56"/>
        <v>0</v>
      </c>
      <c r="Q260" s="30">
        <f t="shared" si="57"/>
        <v>0</v>
      </c>
      <c r="R260" s="36">
        <f t="shared" si="58"/>
        <v>491.96999999999997</v>
      </c>
      <c r="S260" s="64" t="str">
        <f>IFERROR((VLOOKUP($A260,'Из ГУГЛа'!$B:$G,6,0)+U260)*T260,VLOOKUP($A260,'Из ГУГЛа'!$B:$G,6,0))</f>
        <v/>
      </c>
      <c r="T260" s="38">
        <v>1</v>
      </c>
      <c r="U260" s="38">
        <v>0</v>
      </c>
      <c r="V260" s="39">
        <f t="shared" si="59"/>
        <v>0.78249999999999997</v>
      </c>
      <c r="W260" s="39" t="str">
        <f t="shared" si="60"/>
        <v/>
      </c>
      <c r="X260" s="39" t="str">
        <f t="shared" si="61"/>
        <v/>
      </c>
      <c r="Y260" s="65" t="s">
        <v>8364</v>
      </c>
      <c r="Z260" s="46"/>
    </row>
    <row r="261" spans="1:26" s="3" customFormat="1" ht="30" x14ac:dyDescent="0.25">
      <c r="A261" s="28">
        <v>226717</v>
      </c>
      <c r="B261" s="28">
        <f>VLOOKUP($A261,'Выгр Кат'!$A:$R,B$1,0)</f>
        <v>5594</v>
      </c>
      <c r="C261" s="27" t="str">
        <f>VLOOKUP($A261,'Выгр Кат'!$A:$R,C$1,0)</f>
        <v>Щетка стеклоочистителя бескаркасная ANVO 53см</v>
      </c>
      <c r="D261" s="28" t="str">
        <f>VLOOKUP($A261,'Выгр Кат'!$A:$R,D$1,0)</f>
        <v>Y</v>
      </c>
      <c r="E261" s="28" t="str">
        <f>VLOOKUP($A261,'Выгр Кат'!$A:$R,E$1,0)</f>
        <v>1</v>
      </c>
      <c r="F261" s="28">
        <f>VLOOKUP($A261,'Выгр Кат'!$A:$R,F$1,0)</f>
        <v>0</v>
      </c>
      <c r="G261" s="4" t="s">
        <v>6479</v>
      </c>
      <c r="H261" s="4" t="s">
        <v>8053</v>
      </c>
      <c r="I261" s="1" t="s">
        <v>3</v>
      </c>
      <c r="J261" s="41">
        <f t="shared" si="55"/>
        <v>276</v>
      </c>
      <c r="K261" s="2">
        <f>VLOOKUP(J261,Наценка!$A$1:$B$8,2,1)</f>
        <v>1.89</v>
      </c>
      <c r="L261" s="4">
        <f t="shared" si="62"/>
        <v>521.64</v>
      </c>
      <c r="M261" s="42">
        <f t="shared" si="63"/>
        <v>529</v>
      </c>
      <c r="N261" s="28">
        <f>VLOOKUP($A261,'Выгр Кат'!$A:$R,N$1,0)</f>
        <v>276</v>
      </c>
      <c r="O261" s="28">
        <f>VLOOKUP($A261,'Выгр Кат'!$A:$R,O$1,0)</f>
        <v>529</v>
      </c>
      <c r="P261" s="30">
        <f t="shared" si="56"/>
        <v>0</v>
      </c>
      <c r="Q261" s="30">
        <f t="shared" si="57"/>
        <v>0</v>
      </c>
      <c r="R261" s="36">
        <f t="shared" si="58"/>
        <v>491.96999999999997</v>
      </c>
      <c r="S261" s="64" t="str">
        <f>IFERROR((VLOOKUP($A261,'Из ГУГЛа'!$B:$G,6,0)+U261)*T261,VLOOKUP($A261,'Из ГУГЛа'!$B:$G,6,0))</f>
        <v/>
      </c>
      <c r="T261" s="38">
        <v>1</v>
      </c>
      <c r="U261" s="38">
        <v>0</v>
      </c>
      <c r="V261" s="39">
        <f t="shared" si="59"/>
        <v>0.78249999999999997</v>
      </c>
      <c r="W261" s="39" t="str">
        <f t="shared" si="60"/>
        <v/>
      </c>
      <c r="X261" s="39" t="str">
        <f t="shared" si="61"/>
        <v/>
      </c>
      <c r="Y261" s="65" t="s">
        <v>8364</v>
      </c>
      <c r="Z261" s="46"/>
    </row>
    <row r="262" spans="1:26" s="3" customFormat="1" ht="30" x14ac:dyDescent="0.25">
      <c r="A262" s="28">
        <v>226718</v>
      </c>
      <c r="B262" s="28">
        <f>VLOOKUP($A262,'Выгр Кат'!$A:$R,B$1,0)</f>
        <v>5597</v>
      </c>
      <c r="C262" s="27" t="str">
        <f>VLOOKUP($A262,'Выгр Кат'!$A:$R,C$1,0)</f>
        <v>Щетка стеклоочистителя бескаркасная ANVO 55см</v>
      </c>
      <c r="D262" s="28" t="str">
        <f>VLOOKUP($A262,'Выгр Кат'!$A:$R,D$1,0)</f>
        <v>Y</v>
      </c>
      <c r="E262" s="28" t="str">
        <f>VLOOKUP($A262,'Выгр Кат'!$A:$R,E$1,0)</f>
        <v>1</v>
      </c>
      <c r="F262" s="28">
        <f>VLOOKUP($A262,'Выгр Кат'!$A:$R,F$1,0)</f>
        <v>0</v>
      </c>
      <c r="G262" s="4" t="s">
        <v>6480</v>
      </c>
      <c r="H262" s="4" t="s">
        <v>8053</v>
      </c>
      <c r="I262" s="1" t="s">
        <v>3</v>
      </c>
      <c r="J262" s="41">
        <f t="shared" si="55"/>
        <v>276</v>
      </c>
      <c r="K262" s="2">
        <f>VLOOKUP(J262,Наценка!$A$1:$B$8,2,1)</f>
        <v>1.89</v>
      </c>
      <c r="L262" s="4">
        <f t="shared" si="62"/>
        <v>521.64</v>
      </c>
      <c r="M262" s="42">
        <f t="shared" si="63"/>
        <v>529</v>
      </c>
      <c r="N262" s="28">
        <f>VLOOKUP($A262,'Выгр Кат'!$A:$R,N$1,0)</f>
        <v>276</v>
      </c>
      <c r="O262" s="28">
        <f>VLOOKUP($A262,'Выгр Кат'!$A:$R,O$1,0)</f>
        <v>529</v>
      </c>
      <c r="P262" s="30">
        <f t="shared" si="56"/>
        <v>0</v>
      </c>
      <c r="Q262" s="30">
        <f t="shared" si="57"/>
        <v>0</v>
      </c>
      <c r="R262" s="36">
        <f t="shared" si="58"/>
        <v>491.96999999999997</v>
      </c>
      <c r="S262" s="64" t="str">
        <f>IFERROR((VLOOKUP($A262,'Из ГУГЛа'!$B:$G,6,0)+U262)*T262,VLOOKUP($A262,'Из ГУГЛа'!$B:$G,6,0))</f>
        <v/>
      </c>
      <c r="T262" s="38">
        <v>1</v>
      </c>
      <c r="U262" s="38">
        <v>0</v>
      </c>
      <c r="V262" s="39">
        <f t="shared" si="59"/>
        <v>0.78249999999999997</v>
      </c>
      <c r="W262" s="39" t="str">
        <f t="shared" si="60"/>
        <v/>
      </c>
      <c r="X262" s="39" t="str">
        <f t="shared" si="61"/>
        <v/>
      </c>
      <c r="Y262" s="65" t="s">
        <v>8364</v>
      </c>
      <c r="Z262" s="46"/>
    </row>
    <row r="263" spans="1:26" s="3" customFormat="1" ht="30" x14ac:dyDescent="0.25">
      <c r="A263" s="28">
        <v>226719</v>
      </c>
      <c r="B263" s="28">
        <f>VLOOKUP($A263,'Выгр Кат'!$A:$R,B$1,0)</f>
        <v>5598</v>
      </c>
      <c r="C263" s="27" t="str">
        <f>VLOOKUP($A263,'Выгр Кат'!$A:$R,C$1,0)</f>
        <v>Щетка стеклоочистителя бескаркасная ANVO 61см</v>
      </c>
      <c r="D263" s="28" t="str">
        <f>VLOOKUP($A263,'Выгр Кат'!$A:$R,D$1,0)</f>
        <v>Y</v>
      </c>
      <c r="E263" s="28" t="str">
        <f>VLOOKUP($A263,'Выгр Кат'!$A:$R,E$1,0)</f>
        <v>1</v>
      </c>
      <c r="F263" s="28">
        <f>VLOOKUP($A263,'Выгр Кат'!$A:$R,F$1,0)</f>
        <v>0</v>
      </c>
      <c r="G263" s="4" t="s">
        <v>6481</v>
      </c>
      <c r="H263" s="4" t="s">
        <v>8053</v>
      </c>
      <c r="I263" s="1" t="s">
        <v>3</v>
      </c>
      <c r="J263" s="41">
        <f t="shared" si="55"/>
        <v>276</v>
      </c>
      <c r="K263" s="2">
        <f>VLOOKUP(J263,Наценка!$A$1:$B$8,2,1)</f>
        <v>1.89</v>
      </c>
      <c r="L263" s="4">
        <f t="shared" si="62"/>
        <v>521.64</v>
      </c>
      <c r="M263" s="42">
        <f t="shared" si="63"/>
        <v>529</v>
      </c>
      <c r="N263" s="28">
        <f>VLOOKUP($A263,'Выгр Кат'!$A:$R,N$1,0)</f>
        <v>276</v>
      </c>
      <c r="O263" s="28">
        <f>VLOOKUP($A263,'Выгр Кат'!$A:$R,O$1,0)</f>
        <v>529</v>
      </c>
      <c r="P263" s="30">
        <f t="shared" si="56"/>
        <v>0</v>
      </c>
      <c r="Q263" s="30">
        <f t="shared" si="57"/>
        <v>0</v>
      </c>
      <c r="R263" s="36">
        <f t="shared" si="58"/>
        <v>491.96999999999997</v>
      </c>
      <c r="S263" s="64" t="str">
        <f>IFERROR((VLOOKUP($A263,'Из ГУГЛа'!$B:$G,6,0)+U263)*T263,VLOOKUP($A263,'Из ГУГЛа'!$B:$G,6,0))</f>
        <v/>
      </c>
      <c r="T263" s="38">
        <v>1</v>
      </c>
      <c r="U263" s="38">
        <v>0</v>
      </c>
      <c r="V263" s="39">
        <f t="shared" si="59"/>
        <v>0.78249999999999997</v>
      </c>
      <c r="W263" s="39" t="str">
        <f t="shared" si="60"/>
        <v/>
      </c>
      <c r="X263" s="39" t="str">
        <f t="shared" si="61"/>
        <v/>
      </c>
      <c r="Y263" s="65" t="s">
        <v>8364</v>
      </c>
      <c r="Z263" s="46"/>
    </row>
    <row r="264" spans="1:26" s="3" customFormat="1" ht="30" x14ac:dyDescent="0.25">
      <c r="A264" s="28">
        <v>226720</v>
      </c>
      <c r="B264" s="28">
        <f>VLOOKUP($A264,'Выгр Кат'!$A:$R,B$1,0)</f>
        <v>5601</v>
      </c>
      <c r="C264" s="27" t="str">
        <f>VLOOKUP($A264,'Выгр Кат'!$A:$R,C$1,0)</f>
        <v>Щетка стеклоочистителя бескаркасная ANVO 63см</v>
      </c>
      <c r="D264" s="28" t="str">
        <f>VLOOKUP($A264,'Выгр Кат'!$A:$R,D$1,0)</f>
        <v>Y</v>
      </c>
      <c r="E264" s="28" t="str">
        <f>VLOOKUP($A264,'Выгр Кат'!$A:$R,E$1,0)</f>
        <v>1</v>
      </c>
      <c r="F264" s="28">
        <f>VLOOKUP($A264,'Выгр Кат'!$A:$R,F$1,0)</f>
        <v>0</v>
      </c>
      <c r="G264" s="4" t="s">
        <v>6482</v>
      </c>
      <c r="H264" s="4" t="s">
        <v>8053</v>
      </c>
      <c r="I264" s="1" t="s">
        <v>3</v>
      </c>
      <c r="J264" s="41">
        <f t="shared" si="55"/>
        <v>276</v>
      </c>
      <c r="K264" s="2">
        <f>VLOOKUP(J264,Наценка!$A$1:$B$8,2,1)</f>
        <v>1.89</v>
      </c>
      <c r="L264" s="4">
        <f t="shared" si="62"/>
        <v>521.64</v>
      </c>
      <c r="M264" s="42">
        <f t="shared" si="63"/>
        <v>529</v>
      </c>
      <c r="N264" s="28">
        <f>VLOOKUP($A264,'Выгр Кат'!$A:$R,N$1,0)</f>
        <v>276</v>
      </c>
      <c r="O264" s="28">
        <f>VLOOKUP($A264,'Выгр Кат'!$A:$R,O$1,0)</f>
        <v>529</v>
      </c>
      <c r="P264" s="30">
        <f t="shared" si="56"/>
        <v>0</v>
      </c>
      <c r="Q264" s="30">
        <f t="shared" si="57"/>
        <v>0</v>
      </c>
      <c r="R264" s="36">
        <f t="shared" si="58"/>
        <v>491.96999999999997</v>
      </c>
      <c r="S264" s="64" t="str">
        <f>IFERROR((VLOOKUP($A264,'Из ГУГЛа'!$B:$G,6,0)+U264)*T264,VLOOKUP($A264,'Из ГУГЛа'!$B:$G,6,0))</f>
        <v/>
      </c>
      <c r="T264" s="38">
        <v>1</v>
      </c>
      <c r="U264" s="38">
        <v>0</v>
      </c>
      <c r="V264" s="39">
        <f t="shared" si="59"/>
        <v>0.78249999999999997</v>
      </c>
      <c r="W264" s="39" t="str">
        <f t="shared" si="60"/>
        <v/>
      </c>
      <c r="X264" s="39" t="str">
        <f t="shared" si="61"/>
        <v/>
      </c>
      <c r="Y264" s="65" t="s">
        <v>8364</v>
      </c>
      <c r="Z264" s="46"/>
    </row>
    <row r="265" spans="1:26" s="3" customFormat="1" ht="30" x14ac:dyDescent="0.25">
      <c r="A265" s="28">
        <v>226721</v>
      </c>
      <c r="B265" s="28">
        <f>VLOOKUP($A265,'Выгр Кат'!$A:$R,B$1,0)</f>
        <v>5603</v>
      </c>
      <c r="C265" s="27" t="str">
        <f>VLOOKUP($A265,'Выгр Кат'!$A:$R,C$1,0)</f>
        <v>Щетка стеклоочистителя бескаркасная ANVO 65см</v>
      </c>
      <c r="D265" s="28" t="str">
        <f>VLOOKUP($A265,'Выгр Кат'!$A:$R,D$1,0)</f>
        <v>Y</v>
      </c>
      <c r="E265" s="28" t="str">
        <f>VLOOKUP($A265,'Выгр Кат'!$A:$R,E$1,0)</f>
        <v>1</v>
      </c>
      <c r="F265" s="28">
        <f>VLOOKUP($A265,'Выгр Кат'!$A:$R,F$1,0)</f>
        <v>0</v>
      </c>
      <c r="G265" s="4" t="s">
        <v>6483</v>
      </c>
      <c r="H265" s="4" t="s">
        <v>8053</v>
      </c>
      <c r="I265" s="1" t="s">
        <v>3</v>
      </c>
      <c r="J265" s="41">
        <f t="shared" si="55"/>
        <v>276</v>
      </c>
      <c r="K265" s="2">
        <f>VLOOKUP(J265,Наценка!$A$1:$B$8,2,1)</f>
        <v>1.89</v>
      </c>
      <c r="L265" s="4">
        <f t="shared" si="62"/>
        <v>521.64</v>
      </c>
      <c r="M265" s="42">
        <f t="shared" si="63"/>
        <v>529</v>
      </c>
      <c r="N265" s="28">
        <f>VLOOKUP($A265,'Выгр Кат'!$A:$R,N$1,0)</f>
        <v>276</v>
      </c>
      <c r="O265" s="28">
        <f>VLOOKUP($A265,'Выгр Кат'!$A:$R,O$1,0)</f>
        <v>529</v>
      </c>
      <c r="P265" s="30">
        <f t="shared" si="56"/>
        <v>0</v>
      </c>
      <c r="Q265" s="30">
        <f t="shared" si="57"/>
        <v>0</v>
      </c>
      <c r="R265" s="36">
        <f t="shared" si="58"/>
        <v>491.96999999999997</v>
      </c>
      <c r="S265" s="64" t="str">
        <f>IFERROR((VLOOKUP($A265,'Из ГУГЛа'!$B:$G,6,0)+U265)*T265,VLOOKUP($A265,'Из ГУГЛа'!$B:$G,6,0))</f>
        <v/>
      </c>
      <c r="T265" s="38">
        <v>1</v>
      </c>
      <c r="U265" s="38">
        <v>0</v>
      </c>
      <c r="V265" s="39">
        <f t="shared" si="59"/>
        <v>0.78249999999999997</v>
      </c>
      <c r="W265" s="39" t="str">
        <f t="shared" si="60"/>
        <v/>
      </c>
      <c r="X265" s="39" t="str">
        <f t="shared" si="61"/>
        <v/>
      </c>
      <c r="Y265" s="65" t="s">
        <v>8364</v>
      </c>
      <c r="Z265" s="46"/>
    </row>
    <row r="266" spans="1:26" s="3" customFormat="1" ht="30" x14ac:dyDescent="0.25">
      <c r="A266" s="28">
        <v>226722</v>
      </c>
      <c r="B266" s="28">
        <f>VLOOKUP($A266,'Выгр Кат'!$A:$R,B$1,0)</f>
        <v>5604</v>
      </c>
      <c r="C266" s="27" t="str">
        <f>VLOOKUP($A266,'Выгр Кат'!$A:$R,C$1,0)</f>
        <v>Щетка стеклоочистителя бескаркасная ANVO 70см</v>
      </c>
      <c r="D266" s="28" t="str">
        <f>VLOOKUP($A266,'Выгр Кат'!$A:$R,D$1,0)</f>
        <v>Y</v>
      </c>
      <c r="E266" s="28" t="str">
        <f>VLOOKUP($A266,'Выгр Кат'!$A:$R,E$1,0)</f>
        <v>1</v>
      </c>
      <c r="F266" s="28">
        <f>VLOOKUP($A266,'Выгр Кат'!$A:$R,F$1,0)</f>
        <v>0</v>
      </c>
      <c r="G266" s="4" t="s">
        <v>6484</v>
      </c>
      <c r="H266" s="4" t="s">
        <v>8053</v>
      </c>
      <c r="I266" s="1" t="s">
        <v>3</v>
      </c>
      <c r="J266" s="41">
        <f t="shared" si="55"/>
        <v>276</v>
      </c>
      <c r="K266" s="2">
        <f>VLOOKUP(J266,Наценка!$A$1:$B$8,2,1)</f>
        <v>1.89</v>
      </c>
      <c r="L266" s="4">
        <f t="shared" si="62"/>
        <v>521.64</v>
      </c>
      <c r="M266" s="42">
        <f t="shared" si="63"/>
        <v>529</v>
      </c>
      <c r="N266" s="28">
        <f>VLOOKUP($A266,'Выгр Кат'!$A:$R,N$1,0)</f>
        <v>276</v>
      </c>
      <c r="O266" s="28">
        <f>VLOOKUP($A266,'Выгр Кат'!$A:$R,O$1,0)</f>
        <v>529</v>
      </c>
      <c r="P266" s="30">
        <f t="shared" si="56"/>
        <v>0</v>
      </c>
      <c r="Q266" s="30">
        <f t="shared" si="57"/>
        <v>0</v>
      </c>
      <c r="R266" s="36">
        <f t="shared" si="58"/>
        <v>491.96999999999997</v>
      </c>
      <c r="S266" s="64" t="str">
        <f>IFERROR((VLOOKUP($A266,'Из ГУГЛа'!$B:$G,6,0)+U266)*T266,VLOOKUP($A266,'Из ГУГЛа'!$B:$G,6,0))</f>
        <v/>
      </c>
      <c r="T266" s="38">
        <v>1</v>
      </c>
      <c r="U266" s="38">
        <v>0</v>
      </c>
      <c r="V266" s="39">
        <f t="shared" si="59"/>
        <v>0.78249999999999997</v>
      </c>
      <c r="W266" s="39" t="str">
        <f t="shared" si="60"/>
        <v/>
      </c>
      <c r="X266" s="39" t="str">
        <f t="shared" si="61"/>
        <v/>
      </c>
      <c r="Y266" s="65" t="s">
        <v>8364</v>
      </c>
      <c r="Z266" s="46"/>
    </row>
    <row r="267" spans="1:26" s="3" customFormat="1" ht="30" x14ac:dyDescent="0.25">
      <c r="A267" s="28">
        <v>226734</v>
      </c>
      <c r="B267" s="28">
        <f>VLOOKUP($A267,'Выгр Кат'!$A:$R,B$1,0)</f>
        <v>30936</v>
      </c>
      <c r="C267" s="27" t="str">
        <f>VLOOKUP($A267,'Выгр Кат'!$A:$R,C$1,0)</f>
        <v>Щётка стеклоочистителя гибридная "AVS" Hybrid Line, 40 см</v>
      </c>
      <c r="D267" s="28" t="str">
        <f>VLOOKUP($A267,'Выгр Кат'!$A:$R,D$1,0)</f>
        <v>Y</v>
      </c>
      <c r="E267" s="28" t="str">
        <f>VLOOKUP($A267,'Выгр Кат'!$A:$R,E$1,0)</f>
        <v>1</v>
      </c>
      <c r="F267" s="28" t="str">
        <f>VLOOKUP($A267,'Выгр Кат'!$A:$R,F$1,0)</f>
        <v>29210</v>
      </c>
      <c r="G267" s="7">
        <v>29210</v>
      </c>
      <c r="H267" s="7"/>
      <c r="I267" s="1" t="s">
        <v>3</v>
      </c>
      <c r="J267" s="42">
        <f>VLOOKUP(G267,Прайс!B:E,4,0)</f>
        <v>360</v>
      </c>
      <c r="K267" s="2">
        <f>VLOOKUP(J267,Наценка!$A$1:$B$8,2,1)</f>
        <v>1.68</v>
      </c>
      <c r="L267" s="4">
        <f t="shared" si="62"/>
        <v>604.79999999999995</v>
      </c>
      <c r="M267" s="42">
        <f t="shared" si="63"/>
        <v>609</v>
      </c>
      <c r="N267" s="28">
        <f>VLOOKUP($A267,'Выгр Кат'!$A:$R,N$1,0)</f>
        <v>360</v>
      </c>
      <c r="O267" s="28">
        <f>VLOOKUP($A267,'Выгр Кат'!$A:$R,O$1,0)</f>
        <v>609</v>
      </c>
      <c r="P267" s="30">
        <f t="shared" si="56"/>
        <v>0</v>
      </c>
      <c r="Q267" s="30">
        <f t="shared" si="57"/>
        <v>0</v>
      </c>
      <c r="R267" s="36">
        <f t="shared" si="58"/>
        <v>566.37</v>
      </c>
      <c r="S267" s="64" t="str">
        <f>IFERROR((VLOOKUP($A267,'Из ГУГЛа'!$B:$G,6,0)+U267)*T267,VLOOKUP($A267,'Из ГУГЛа'!$B:$G,6,0))</f>
        <v/>
      </c>
      <c r="T267" s="38">
        <v>1</v>
      </c>
      <c r="U267" s="38">
        <v>0</v>
      </c>
      <c r="V267" s="39">
        <f t="shared" si="59"/>
        <v>0.57325000000000004</v>
      </c>
      <c r="W267" s="39" t="str">
        <f t="shared" si="60"/>
        <v/>
      </c>
      <c r="X267" s="39" t="str">
        <f t="shared" si="61"/>
        <v/>
      </c>
      <c r="Y267" s="65" t="s">
        <v>8364</v>
      </c>
      <c r="Z267" s="46"/>
    </row>
    <row r="268" spans="1:26" s="3" customFormat="1" ht="30" x14ac:dyDescent="0.25">
      <c r="A268" s="28">
        <v>226735</v>
      </c>
      <c r="B268" s="28">
        <f>VLOOKUP($A268,'Выгр Кат'!$A:$R,B$1,0)</f>
        <v>30935</v>
      </c>
      <c r="C268" s="27" t="str">
        <f>VLOOKUP($A268,'Выгр Кат'!$A:$R,C$1,0)</f>
        <v>Щётка стеклоочистителя гибридная "AVS" Hybrid Line, 60 см</v>
      </c>
      <c r="D268" s="28" t="str">
        <f>VLOOKUP($A268,'Выгр Кат'!$A:$R,D$1,0)</f>
        <v>Y</v>
      </c>
      <c r="E268" s="28" t="str">
        <f>VLOOKUP($A268,'Выгр Кат'!$A:$R,E$1,0)</f>
        <v>1</v>
      </c>
      <c r="F268" s="28" t="str">
        <f>VLOOKUP($A268,'Выгр Кат'!$A:$R,F$1,0)</f>
        <v>29218</v>
      </c>
      <c r="G268" s="7">
        <v>29218</v>
      </c>
      <c r="H268" s="7"/>
      <c r="I268" s="1" t="s">
        <v>3</v>
      </c>
      <c r="J268" s="42">
        <f>VLOOKUP(G268,Прайс!B:E,4,0)</f>
        <v>360</v>
      </c>
      <c r="K268" s="2">
        <f>VLOOKUP(J268,Наценка!$A$1:$B$8,2,1)</f>
        <v>1.68</v>
      </c>
      <c r="L268" s="4">
        <f t="shared" si="62"/>
        <v>604.79999999999995</v>
      </c>
      <c r="M268" s="42">
        <f t="shared" si="63"/>
        <v>609</v>
      </c>
      <c r="N268" s="28">
        <f>VLOOKUP($A268,'Выгр Кат'!$A:$R,N$1,0)</f>
        <v>360</v>
      </c>
      <c r="O268" s="28">
        <f>VLOOKUP($A268,'Выгр Кат'!$A:$R,O$1,0)</f>
        <v>609</v>
      </c>
      <c r="P268" s="30">
        <f t="shared" si="56"/>
        <v>0</v>
      </c>
      <c r="Q268" s="30">
        <f t="shared" si="57"/>
        <v>0</v>
      </c>
      <c r="R268" s="36">
        <f t="shared" si="58"/>
        <v>566.37</v>
      </c>
      <c r="S268" s="64" t="str">
        <f>IFERROR((VLOOKUP($A268,'Из ГУГЛа'!$B:$G,6,0)+U268)*T268,VLOOKUP($A268,'Из ГУГЛа'!$B:$G,6,0))</f>
        <v/>
      </c>
      <c r="T268" s="38">
        <v>1</v>
      </c>
      <c r="U268" s="38">
        <v>0</v>
      </c>
      <c r="V268" s="39">
        <f t="shared" si="59"/>
        <v>0.57325000000000004</v>
      </c>
      <c r="W268" s="39" t="str">
        <f t="shared" si="60"/>
        <v/>
      </c>
      <c r="X268" s="39" t="str">
        <f t="shared" si="61"/>
        <v/>
      </c>
      <c r="Y268" s="65" t="s">
        <v>8364</v>
      </c>
      <c r="Z268" s="46"/>
    </row>
    <row r="269" spans="1:26" s="3" customFormat="1" ht="30" x14ac:dyDescent="0.25">
      <c r="A269" s="28">
        <v>143581</v>
      </c>
      <c r="B269" s="28">
        <f>VLOOKUP($A269,'Выгр Кат'!$A:$R,B$1,0)</f>
        <v>25080</v>
      </c>
      <c r="C269" s="27" t="str">
        <f>VLOOKUP($A269,'Выгр Кат'!$A:$R,C$1,0)</f>
        <v>Держатель стакана JC-53 (подстаканник) в дефлектор</v>
      </c>
      <c r="D269" s="28" t="str">
        <f>VLOOKUP($A269,'Выгр Кат'!$A:$R,D$1,0)</f>
        <v>Y</v>
      </c>
      <c r="E269" s="28" t="str">
        <f>VLOOKUP($A269,'Выгр Кат'!$A:$R,E$1,0)</f>
        <v>0</v>
      </c>
      <c r="F269" s="28">
        <f>VLOOKUP($A269,'Выгр Кат'!$A:$R,F$1,0)</f>
        <v>0</v>
      </c>
      <c r="G269" s="4"/>
      <c r="H269" s="4"/>
      <c r="I269" s="1" t="s">
        <v>3</v>
      </c>
      <c r="J269" s="41">
        <f t="shared" ref="J269:J270" si="64">N269</f>
        <v>150</v>
      </c>
      <c r="K269" s="2">
        <f>VLOOKUP(J269,Наценка!$A$1:$B$8,2,1)</f>
        <v>1.89</v>
      </c>
      <c r="L269" s="4">
        <f t="shared" si="62"/>
        <v>283.5</v>
      </c>
      <c r="M269" s="42">
        <f t="shared" si="63"/>
        <v>289</v>
      </c>
      <c r="N269" s="28">
        <f>VLOOKUP($A269,'Выгр Кат'!$A:$R,N$1,0)</f>
        <v>150</v>
      </c>
      <c r="O269" s="28">
        <f>VLOOKUP($A269,'Выгр Кат'!$A:$R,O$1,0)</f>
        <v>289</v>
      </c>
      <c r="P269" s="30">
        <f t="shared" si="56"/>
        <v>0</v>
      </c>
      <c r="Q269" s="30">
        <f t="shared" si="57"/>
        <v>0</v>
      </c>
      <c r="R269" s="36">
        <f t="shared" si="58"/>
        <v>268.77</v>
      </c>
      <c r="S269" s="64" t="str">
        <f>IFERROR((VLOOKUP($A269,'Из ГУГЛа'!$B:$G,6,0)+U269)*T269,VLOOKUP($A269,'Из ГУГЛа'!$B:$G,6,0))</f>
        <v/>
      </c>
      <c r="T269" s="38">
        <v>1</v>
      </c>
      <c r="U269" s="38">
        <v>0</v>
      </c>
      <c r="V269" s="39">
        <f t="shared" si="59"/>
        <v>0.79179999999999984</v>
      </c>
      <c r="W269" s="39" t="str">
        <f t="shared" si="60"/>
        <v/>
      </c>
      <c r="X269" s="39" t="str">
        <f t="shared" si="61"/>
        <v/>
      </c>
      <c r="Y269" s="65"/>
      <c r="Z269" s="46"/>
    </row>
    <row r="270" spans="1:26" s="3" customFormat="1" ht="30" x14ac:dyDescent="0.25">
      <c r="A270" s="28">
        <v>226716</v>
      </c>
      <c r="B270" s="28">
        <f>VLOOKUP($A270,'Выгр Кат'!$A:$R,B$1,0)</f>
        <v>5593</v>
      </c>
      <c r="C270" s="27" t="str">
        <f>VLOOKUP($A270,'Выгр Кат'!$A:$R,C$1,0)</f>
        <v>Щетка стеклоочистителя бескаркасная ANVO 51см</v>
      </c>
      <c r="D270" s="28" t="str">
        <f>VLOOKUP($A270,'Выгр Кат'!$A:$R,D$1,0)</f>
        <v>Y</v>
      </c>
      <c r="E270" s="28" t="str">
        <f>VLOOKUP($A270,'Выгр Кат'!$A:$R,E$1,0)</f>
        <v>1</v>
      </c>
      <c r="F270" s="28" t="str">
        <f>VLOOKUP($A270,'Выгр Кат'!$A:$R,F$1,0)</f>
        <v>A308</v>
      </c>
      <c r="G270" s="4" t="s">
        <v>2159</v>
      </c>
      <c r="H270" s="4" t="s">
        <v>8053</v>
      </c>
      <c r="I270" s="1" t="s">
        <v>3</v>
      </c>
      <c r="J270" s="41">
        <f t="shared" si="64"/>
        <v>276</v>
      </c>
      <c r="K270" s="2">
        <f>VLOOKUP(J270,Наценка!$A$1:$B$8,2,1)</f>
        <v>1.89</v>
      </c>
      <c r="L270" s="4">
        <f t="shared" si="62"/>
        <v>521.64</v>
      </c>
      <c r="M270" s="42">
        <f t="shared" si="63"/>
        <v>529</v>
      </c>
      <c r="N270" s="28">
        <f>VLOOKUP($A270,'Выгр Кат'!$A:$R,N$1,0)</f>
        <v>276</v>
      </c>
      <c r="O270" s="28">
        <f>VLOOKUP($A270,'Выгр Кат'!$A:$R,O$1,0)</f>
        <v>529</v>
      </c>
      <c r="P270" s="30">
        <f t="shared" si="56"/>
        <v>0</v>
      </c>
      <c r="Q270" s="30">
        <f t="shared" si="57"/>
        <v>0</v>
      </c>
      <c r="R270" s="36">
        <f t="shared" si="58"/>
        <v>491.96999999999997</v>
      </c>
      <c r="S270" s="64" t="str">
        <f>IFERROR((VLOOKUP($A270,'Из ГУГЛа'!$B:$G,6,0)+U270)*T270,VLOOKUP($A270,'Из ГУГЛа'!$B:$G,6,0))</f>
        <v/>
      </c>
      <c r="T270" s="38">
        <v>1</v>
      </c>
      <c r="U270" s="38">
        <v>0</v>
      </c>
      <c r="V270" s="39">
        <f t="shared" si="59"/>
        <v>0.78249999999999997</v>
      </c>
      <c r="W270" s="39" t="str">
        <f t="shared" si="60"/>
        <v/>
      </c>
      <c r="X270" s="39" t="str">
        <f t="shared" si="61"/>
        <v/>
      </c>
      <c r="Y270" s="65" t="s">
        <v>8364</v>
      </c>
      <c r="Z270" s="46"/>
    </row>
    <row r="271" spans="1:26" s="3" customFormat="1" ht="30" x14ac:dyDescent="0.25">
      <c r="A271" s="28">
        <v>213870</v>
      </c>
      <c r="B271" s="28">
        <f>VLOOKUP($A271,'Выгр Кат'!$A:$R,B$1,0)</f>
        <v>5489</v>
      </c>
      <c r="C271" s="27" t="str">
        <f>VLOOKUP($A271,'Выгр Кат'!$A:$R,C$1,0)</f>
        <v>Сигнал воздушный однорожковый со встроенным мотором</v>
      </c>
      <c r="D271" s="28" t="str">
        <f>VLOOKUP($A271,'Выгр Кат'!$A:$R,D$1,0)</f>
        <v>Y</v>
      </c>
      <c r="E271" s="28" t="str">
        <f>VLOOKUP($A271,'Выгр Кат'!$A:$R,E$1,0)</f>
        <v>1</v>
      </c>
      <c r="F271" s="28" t="str">
        <f>VLOOKUP($A271,'Выгр Кат'!$A:$R,F$1,0)</f>
        <v>10007</v>
      </c>
      <c r="G271" s="4">
        <v>10007</v>
      </c>
      <c r="H271" s="4"/>
      <c r="I271" s="1" t="s">
        <v>3</v>
      </c>
      <c r="J271" s="42">
        <f>VLOOKUP(G271,Прайс!B:E,4,0)</f>
        <v>750</v>
      </c>
      <c r="K271" s="2">
        <f>VLOOKUP(J271,Наценка!$A$1:$B$8,2,1)</f>
        <v>1.63</v>
      </c>
      <c r="L271" s="4">
        <f t="shared" si="62"/>
        <v>1222.5</v>
      </c>
      <c r="M271" s="42">
        <f t="shared" si="63"/>
        <v>1290</v>
      </c>
      <c r="N271" s="28">
        <f>VLOOKUP($A271,'Выгр Кат'!$A:$R,N$1,0)</f>
        <v>750</v>
      </c>
      <c r="O271" s="28">
        <f>VLOOKUP($A271,'Выгр Кат'!$A:$R,O$1,0)</f>
        <v>1290</v>
      </c>
      <c r="P271" s="30">
        <f t="shared" si="56"/>
        <v>0</v>
      </c>
      <c r="Q271" s="30">
        <f t="shared" si="57"/>
        <v>0</v>
      </c>
      <c r="R271" s="36">
        <f t="shared" si="58"/>
        <v>1199.6999999999998</v>
      </c>
      <c r="S271" s="64">
        <f>IFERROR((VLOOKUP($A271,'Из ГУГЛа'!$B:$G,6,0)+U271)*T271,VLOOKUP($A271,'Из ГУГЛа'!$B:$G,6,0))</f>
        <v>1390</v>
      </c>
      <c r="T271" s="38">
        <v>1</v>
      </c>
      <c r="U271" s="38">
        <v>0</v>
      </c>
      <c r="V271" s="39">
        <f t="shared" si="59"/>
        <v>0.59959999999999969</v>
      </c>
      <c r="W271" s="39">
        <f t="shared" si="60"/>
        <v>0.13690647482014401</v>
      </c>
      <c r="X271" s="39">
        <f t="shared" si="61"/>
        <v>0.85333333333333328</v>
      </c>
      <c r="Y271" s="48">
        <v>1390</v>
      </c>
      <c r="Z271" s="46" t="s">
        <v>8063</v>
      </c>
    </row>
    <row r="272" spans="1:26" s="3" customFormat="1" ht="30" x14ac:dyDescent="0.25">
      <c r="A272" s="28">
        <v>187069</v>
      </c>
      <c r="B272" s="28">
        <f>VLOOKUP($A272,'Выгр Кат'!$A:$R,B$1,0)</f>
        <v>24699</v>
      </c>
      <c r="C272" s="27" t="str">
        <f>VLOOKUP($A272,'Выгр Кат'!$A:$R,C$1,0)</f>
        <v>Пепельница с подсветкой (вариант №2)</v>
      </c>
      <c r="D272" s="28" t="str">
        <f>VLOOKUP($A272,'Выгр Кат'!$A:$R,D$1,0)</f>
        <v>Y</v>
      </c>
      <c r="E272" s="28" t="str">
        <f>VLOOKUP($A272,'Выгр Кат'!$A:$R,E$1,0)</f>
        <v>1</v>
      </c>
      <c r="F272" s="28">
        <f>VLOOKUP($A272,'Выгр Кат'!$A:$R,F$1,0)</f>
        <v>0</v>
      </c>
      <c r="G272" s="4"/>
      <c r="H272" s="4"/>
      <c r="I272" s="1" t="s">
        <v>3</v>
      </c>
      <c r="J272" s="41">
        <f t="shared" ref="J272:J273" si="65">N272</f>
        <v>250</v>
      </c>
      <c r="K272" s="2">
        <f>VLOOKUP(J272,Наценка!$A$1:$B$8,2,1)</f>
        <v>1.89</v>
      </c>
      <c r="L272" s="4">
        <f t="shared" si="62"/>
        <v>472.5</v>
      </c>
      <c r="M272" s="42">
        <f t="shared" si="63"/>
        <v>479</v>
      </c>
      <c r="N272" s="28">
        <f>VLOOKUP($A272,'Выгр Кат'!$A:$R,N$1,0)</f>
        <v>250</v>
      </c>
      <c r="O272" s="28">
        <f>VLOOKUP($A272,'Выгр Кат'!$A:$R,O$1,0)</f>
        <v>479</v>
      </c>
      <c r="P272" s="30">
        <f t="shared" si="56"/>
        <v>0</v>
      </c>
      <c r="Q272" s="30">
        <f t="shared" si="57"/>
        <v>0</v>
      </c>
      <c r="R272" s="36">
        <f t="shared" si="58"/>
        <v>445.46999999999997</v>
      </c>
      <c r="S272" s="64" t="str">
        <f>IFERROR((VLOOKUP($A272,'Из ГУГЛа'!$B:$G,6,0)+U272)*T272,VLOOKUP($A272,'Из ГУГЛа'!$B:$G,6,0))</f>
        <v/>
      </c>
      <c r="T272" s="38">
        <v>1</v>
      </c>
      <c r="U272" s="38">
        <v>0</v>
      </c>
      <c r="V272" s="39">
        <f t="shared" si="59"/>
        <v>0.78187999999999991</v>
      </c>
      <c r="W272" s="39" t="str">
        <f t="shared" si="60"/>
        <v/>
      </c>
      <c r="X272" s="39" t="str">
        <f t="shared" si="61"/>
        <v/>
      </c>
      <c r="Y272" s="65" t="s">
        <v>8364</v>
      </c>
      <c r="Z272" s="46"/>
    </row>
    <row r="273" spans="1:26" s="3" customFormat="1" ht="30" x14ac:dyDescent="0.25">
      <c r="A273" s="28">
        <v>152927</v>
      </c>
      <c r="B273" s="28">
        <f>VLOOKUP($A273,'Выгр Кат'!$A:$R,B$1,0)</f>
        <v>27110</v>
      </c>
      <c r="C273" s="27" t="str">
        <f>VLOOKUP($A273,'Выгр Кат'!$A:$R,C$1,0)</f>
        <v>Зеркало панорамное на присоске "ENES" 330 мм универсальное</v>
      </c>
      <c r="D273" s="28" t="str">
        <f>VLOOKUP($A273,'Выгр Кат'!$A:$R,D$1,0)</f>
        <v>Y</v>
      </c>
      <c r="E273" s="28" t="str">
        <f>VLOOKUP($A273,'Выгр Кат'!$A:$R,E$1,0)</f>
        <v>1</v>
      </c>
      <c r="F273" s="28">
        <f>VLOOKUP($A273,'Выгр Кат'!$A:$R,F$1,0)</f>
        <v>0</v>
      </c>
      <c r="G273" s="4"/>
      <c r="H273" s="4"/>
      <c r="I273" s="1" t="s">
        <v>3</v>
      </c>
      <c r="J273" s="41">
        <f t="shared" si="65"/>
        <v>340</v>
      </c>
      <c r="K273" s="2">
        <f>VLOOKUP(J273,Наценка!$A$1:$B$8,2,1)</f>
        <v>1.68</v>
      </c>
      <c r="L273" s="4">
        <f t="shared" si="62"/>
        <v>571.19999999999993</v>
      </c>
      <c r="M273" s="42">
        <f t="shared" si="63"/>
        <v>579</v>
      </c>
      <c r="N273" s="28">
        <f>VLOOKUP($A273,'Выгр Кат'!$A:$R,N$1,0)</f>
        <v>340</v>
      </c>
      <c r="O273" s="28">
        <f>VLOOKUP($A273,'Выгр Кат'!$A:$R,O$1,0)</f>
        <v>579</v>
      </c>
      <c r="P273" s="30">
        <f t="shared" si="56"/>
        <v>0</v>
      </c>
      <c r="Q273" s="30">
        <f t="shared" si="57"/>
        <v>0</v>
      </c>
      <c r="R273" s="36">
        <f t="shared" si="58"/>
        <v>538.46999999999991</v>
      </c>
      <c r="S273" s="64">
        <f>IFERROR((VLOOKUP($A273,'Из ГУГЛа'!$B:$G,6,0)+U273)*T273,VLOOKUP($A273,'Из ГУГЛа'!$B:$G,6,0))</f>
        <v>590</v>
      </c>
      <c r="T273" s="38">
        <v>1</v>
      </c>
      <c r="U273" s="38">
        <v>0</v>
      </c>
      <c r="V273" s="39">
        <f t="shared" si="59"/>
        <v>0.5837352941176468</v>
      </c>
      <c r="W273" s="39">
        <f t="shared" si="60"/>
        <v>8.7338983050847599E-2</v>
      </c>
      <c r="X273" s="39">
        <f t="shared" si="61"/>
        <v>0.73529411764705888</v>
      </c>
      <c r="Y273" s="40">
        <v>590</v>
      </c>
      <c r="Z273" s="46" t="s">
        <v>8057</v>
      </c>
    </row>
    <row r="274" spans="1:26" s="3" customFormat="1" ht="30" x14ac:dyDescent="0.25">
      <c r="A274" s="28">
        <v>186072</v>
      </c>
      <c r="B274" s="28">
        <f>VLOOKUP($A274,'Выгр Кат'!$A:$R,B$1,0)</f>
        <v>36904</v>
      </c>
      <c r="C274" s="27" t="str">
        <f>VLOOKUP($A274,'Выгр Кат'!$A:$R,C$1,0)</f>
        <v>Отопитель салона AVS Comfort TE-310</v>
      </c>
      <c r="D274" s="28" t="str">
        <f>VLOOKUP($A274,'Выгр Кат'!$A:$R,D$1,0)</f>
        <v>Y</v>
      </c>
      <c r="E274" s="28" t="str">
        <f>VLOOKUP($A274,'Выгр Кат'!$A:$R,E$1,0)</f>
        <v>1</v>
      </c>
      <c r="F274" s="28" t="str">
        <f>VLOOKUP($A274,'Выгр Кат'!$A:$R,F$1,0)</f>
        <v>20198</v>
      </c>
      <c r="G274" s="63">
        <v>20198</v>
      </c>
      <c r="H274" s="63"/>
      <c r="I274" s="1" t="s">
        <v>3</v>
      </c>
      <c r="J274" s="42">
        <f>VLOOKUP(G274,Прайс!B:E,4,0)</f>
        <v>950</v>
      </c>
      <c r="K274" s="2">
        <f>VLOOKUP(J274,Наценка!$A$1:$B$8,2,1)</f>
        <v>1.63</v>
      </c>
      <c r="L274" s="4">
        <f t="shared" si="62"/>
        <v>1548.5</v>
      </c>
      <c r="M274" s="42">
        <f t="shared" si="63"/>
        <v>1590</v>
      </c>
      <c r="N274" s="28">
        <f>VLOOKUP($A274,'Выгр Кат'!$A:$R,N$1,0)</f>
        <v>950</v>
      </c>
      <c r="O274" s="28">
        <f>VLOOKUP($A274,'Выгр Кат'!$A:$R,O$1,0)</f>
        <v>1590</v>
      </c>
      <c r="P274" s="30">
        <f t="shared" si="56"/>
        <v>0</v>
      </c>
      <c r="Q274" s="30">
        <f t="shared" si="57"/>
        <v>0</v>
      </c>
      <c r="R274" s="36">
        <f t="shared" si="58"/>
        <v>1478.6999999999998</v>
      </c>
      <c r="S274" s="64" t="str">
        <f>IFERROR((VLOOKUP($A274,'Из ГУГЛа'!$B:$G,6,0)+U274)*T274,VLOOKUP($A274,'Из ГУГЛа'!$B:$G,6,0))</f>
        <v/>
      </c>
      <c r="T274" s="38">
        <v>1</v>
      </c>
      <c r="U274" s="38">
        <v>0</v>
      </c>
      <c r="V274" s="39">
        <f t="shared" si="59"/>
        <v>0.55652631578947354</v>
      </c>
      <c r="W274" s="39" t="str">
        <f t="shared" si="60"/>
        <v/>
      </c>
      <c r="X274" s="39" t="str">
        <f t="shared" si="61"/>
        <v/>
      </c>
      <c r="Y274" s="65" t="s">
        <v>8364</v>
      </c>
      <c r="Z274" s="46"/>
    </row>
    <row r="275" spans="1:26" s="3" customFormat="1" ht="30" x14ac:dyDescent="0.25">
      <c r="A275" s="28">
        <v>131521</v>
      </c>
      <c r="B275" s="28">
        <f>VLOOKUP($A275,'Выгр Кат'!$A:$R,B$1,0)</f>
        <v>9430</v>
      </c>
      <c r="C275" s="27" t="str">
        <f>VLOOKUP($A275,'Выгр Кат'!$A:$R,C$1,0)</f>
        <v>Автопластилин 300г</v>
      </c>
      <c r="D275" s="28" t="str">
        <f>VLOOKUP($A275,'Выгр Кат'!$A:$R,D$1,0)</f>
        <v>Y</v>
      </c>
      <c r="E275" s="28" t="str">
        <f>VLOOKUP($A275,'Выгр Кат'!$A:$R,E$1,0)</f>
        <v>1</v>
      </c>
      <c r="F275" s="28" t="str">
        <f>VLOOKUP($A275,'Выгр Кат'!$A:$R,F$1,0)</f>
        <v>40007</v>
      </c>
      <c r="G275" s="14">
        <v>40007</v>
      </c>
      <c r="H275" s="14"/>
      <c r="I275" s="1" t="s">
        <v>3</v>
      </c>
      <c r="J275" s="42">
        <f>VLOOKUP(G275,Прайс!B:E,4,0)</f>
        <v>95</v>
      </c>
      <c r="K275" s="2">
        <f>VLOOKUP(J275,Наценка!$A$1:$B$8,2,1)</f>
        <v>2.11</v>
      </c>
      <c r="L275" s="4">
        <f t="shared" si="62"/>
        <v>200.45</v>
      </c>
      <c r="M275" s="42">
        <f t="shared" si="63"/>
        <v>209</v>
      </c>
      <c r="N275" s="28">
        <f>VLOOKUP($A275,'Выгр Кат'!$A:$R,N$1,0)</f>
        <v>95</v>
      </c>
      <c r="O275" s="28">
        <f>VLOOKUP($A275,'Выгр Кат'!$A:$R,O$1,0)</f>
        <v>209</v>
      </c>
      <c r="P275" s="30">
        <f t="shared" si="56"/>
        <v>0</v>
      </c>
      <c r="Q275" s="30">
        <f t="shared" si="57"/>
        <v>0</v>
      </c>
      <c r="R275" s="36">
        <f t="shared" si="58"/>
        <v>194.36999999999998</v>
      </c>
      <c r="S275" s="64" t="str">
        <f>IFERROR((VLOOKUP($A275,'Из ГУГЛа'!$B:$G,6,0)+U275)*T275,VLOOKUP($A275,'Из ГУГЛа'!$B:$G,6,0))</f>
        <v/>
      </c>
      <c r="T275" s="38">
        <v>1</v>
      </c>
      <c r="U275" s="38">
        <v>0</v>
      </c>
      <c r="V275" s="39">
        <f t="shared" si="59"/>
        <v>1.0459999999999998</v>
      </c>
      <c r="W275" s="39" t="str">
        <f t="shared" si="60"/>
        <v/>
      </c>
      <c r="X275" s="39" t="str">
        <f t="shared" si="61"/>
        <v/>
      </c>
      <c r="Y275" s="65" t="s">
        <v>8364</v>
      </c>
      <c r="Z275" s="46"/>
    </row>
    <row r="276" spans="1:26" s="3" customFormat="1" ht="60" x14ac:dyDescent="0.25">
      <c r="A276" s="28">
        <v>132993</v>
      </c>
      <c r="B276" s="28">
        <f>VLOOKUP($A276,'Выгр Кат'!$A:$R,B$1,0)</f>
        <v>37802</v>
      </c>
      <c r="C276" s="27" t="str">
        <f>VLOOKUP($A276,'Выгр Кат'!$A:$R,C$1,0)</f>
        <v>Ароматизатор (освежитель) воздуха "ёлочка" "Contra" Sex Наша работа, восточный аромат с фруктово-цветочным запахом</v>
      </c>
      <c r="D276" s="28" t="str">
        <f>VLOOKUP($A276,'Выгр Кат'!$A:$R,D$1,0)</f>
        <v>Y</v>
      </c>
      <c r="E276" s="28" t="str">
        <f>VLOOKUP($A276,'Выгр Кат'!$A:$R,E$1,0)</f>
        <v>1</v>
      </c>
      <c r="F276" s="28" t="str">
        <f>VLOOKUP($A276,'Выгр Кат'!$A:$R,F$1,0)</f>
        <v>72383</v>
      </c>
      <c r="G276" s="9">
        <v>72383</v>
      </c>
      <c r="H276" s="9"/>
      <c r="I276" s="1" t="s">
        <v>3</v>
      </c>
      <c r="J276" s="42">
        <f>VLOOKUP(G276,Прайс!B:E,4,0)</f>
        <v>115</v>
      </c>
      <c r="K276" s="2">
        <f>VLOOKUP(J276,Наценка!$A$1:$B$8,2,1)</f>
        <v>1.89</v>
      </c>
      <c r="L276" s="4">
        <f t="shared" si="62"/>
        <v>217.35</v>
      </c>
      <c r="M276" s="42">
        <f t="shared" si="63"/>
        <v>219</v>
      </c>
      <c r="N276" s="28">
        <f>VLOOKUP($A276,'Выгр Кат'!$A:$R,N$1,0)</f>
        <v>115</v>
      </c>
      <c r="O276" s="28">
        <f>VLOOKUP($A276,'Выгр Кат'!$A:$R,O$1,0)</f>
        <v>219</v>
      </c>
      <c r="P276" s="30">
        <f t="shared" si="56"/>
        <v>0</v>
      </c>
      <c r="Q276" s="30">
        <f t="shared" si="57"/>
        <v>0</v>
      </c>
      <c r="R276" s="36">
        <f t="shared" si="58"/>
        <v>203.67</v>
      </c>
      <c r="S276" s="64">
        <f>IFERROR((VLOOKUP($A276,'Из ГУГЛа'!$B:$G,6,0)+U276)*T276,VLOOKUP($A276,'Из ГУГЛа'!$B:$G,6,0))</f>
        <v>249</v>
      </c>
      <c r="T276" s="38">
        <v>1</v>
      </c>
      <c r="U276" s="38">
        <v>0</v>
      </c>
      <c r="V276" s="39">
        <f t="shared" si="59"/>
        <v>0.7710434782608695</v>
      </c>
      <c r="W276" s="39">
        <f t="shared" si="60"/>
        <v>0.18204819277108439</v>
      </c>
      <c r="X276" s="39">
        <f t="shared" si="61"/>
        <v>1.1652173913043478</v>
      </c>
      <c r="Y276" s="40">
        <v>249</v>
      </c>
      <c r="Z276" s="46" t="s">
        <v>8060</v>
      </c>
    </row>
    <row r="277" spans="1:26" s="3" customFormat="1" ht="30" x14ac:dyDescent="0.25">
      <c r="A277" s="28">
        <v>131462</v>
      </c>
      <c r="B277" s="28">
        <f>VLOOKUP($A277,'Выгр Кат'!$A:$R,B$1,0)</f>
        <v>38360</v>
      </c>
      <c r="C277" s="27" t="str">
        <f>VLOOKUP($A277,'Выгр Кат'!$A:$R,C$1,0)</f>
        <v>Автомобильный ароматизатор "Contra" CLASSIC аромат Спелое личи</v>
      </c>
      <c r="D277" s="28" t="str">
        <f>VLOOKUP($A277,'Выгр Кат'!$A:$R,D$1,0)</f>
        <v>Y</v>
      </c>
      <c r="E277" s="28" t="str">
        <f>VLOOKUP($A277,'Выгр Кат'!$A:$R,E$1,0)</f>
        <v>1</v>
      </c>
      <c r="F277" s="28" t="str">
        <f>VLOOKUP($A277,'Выгр Кат'!$A:$R,F$1,0)</f>
        <v>71925</v>
      </c>
      <c r="G277" s="9">
        <v>71925</v>
      </c>
      <c r="H277" s="9"/>
      <c r="I277" s="1" t="s">
        <v>3</v>
      </c>
      <c r="J277" s="42">
        <f>VLOOKUP(G277,Прайс!B:E,4,0)</f>
        <v>130</v>
      </c>
      <c r="K277" s="2">
        <f>VLOOKUP(J277,Наценка!$A$1:$B$8,2,1)</f>
        <v>1.89</v>
      </c>
      <c r="L277" s="4">
        <f t="shared" si="62"/>
        <v>245.7</v>
      </c>
      <c r="M277" s="42">
        <f t="shared" si="63"/>
        <v>249</v>
      </c>
      <c r="N277" s="28">
        <f>VLOOKUP($A277,'Выгр Кат'!$A:$R,N$1,0)</f>
        <v>130</v>
      </c>
      <c r="O277" s="28">
        <f>VLOOKUP($A277,'Выгр Кат'!$A:$R,O$1,0)</f>
        <v>249</v>
      </c>
      <c r="P277" s="30">
        <f t="shared" si="56"/>
        <v>0</v>
      </c>
      <c r="Q277" s="30">
        <f t="shared" si="57"/>
        <v>0</v>
      </c>
      <c r="R277" s="36">
        <f t="shared" si="58"/>
        <v>231.57</v>
      </c>
      <c r="S277" s="64">
        <f>IFERROR((VLOOKUP($A277,'Из ГУГЛа'!$B:$G,6,0)+U277)*T277,VLOOKUP($A277,'Из ГУГЛа'!$B:$G,6,0))</f>
        <v>469</v>
      </c>
      <c r="T277" s="38">
        <v>1</v>
      </c>
      <c r="U277" s="38">
        <v>0</v>
      </c>
      <c r="V277" s="39">
        <f t="shared" si="59"/>
        <v>0.78130769230769226</v>
      </c>
      <c r="W277" s="39">
        <f t="shared" si="60"/>
        <v>0.50624733475479744</v>
      </c>
      <c r="X277" s="39">
        <f t="shared" si="61"/>
        <v>2.6076923076923078</v>
      </c>
      <c r="Y277" s="40">
        <v>469</v>
      </c>
      <c r="Z277" s="46" t="s">
        <v>8061</v>
      </c>
    </row>
    <row r="278" spans="1:26" s="3" customFormat="1" ht="45" x14ac:dyDescent="0.25">
      <c r="A278" s="28">
        <v>131460</v>
      </c>
      <c r="B278" s="28">
        <f>VLOOKUP($A278,'Выгр Кат'!$A:$R,B$1,0)</f>
        <v>38361</v>
      </c>
      <c r="C278" s="27" t="str">
        <f>VLOOKUP($A278,'Выгр Кат'!$A:$R,C$1,0)</f>
        <v>Автомобильный ароматизатор "Contra" CLASSIC аромат Кокосовая вода</v>
      </c>
      <c r="D278" s="28" t="str">
        <f>VLOOKUP($A278,'Выгр Кат'!$A:$R,D$1,0)</f>
        <v>Y</v>
      </c>
      <c r="E278" s="28" t="str">
        <f>VLOOKUP($A278,'Выгр Кат'!$A:$R,E$1,0)</f>
        <v>1</v>
      </c>
      <c r="F278" s="28" t="str">
        <f>VLOOKUP($A278,'Выгр Кат'!$A:$R,F$1,0)</f>
        <v>71920</v>
      </c>
      <c r="G278" s="9">
        <v>71920</v>
      </c>
      <c r="H278" s="9"/>
      <c r="I278" s="1" t="s">
        <v>3</v>
      </c>
      <c r="J278" s="42">
        <f>VLOOKUP(G278,Прайс!B:E,4,0)</f>
        <v>130</v>
      </c>
      <c r="K278" s="2">
        <f>VLOOKUP(J278,Наценка!$A$1:$B$8,2,1)</f>
        <v>1.89</v>
      </c>
      <c r="L278" s="4">
        <f t="shared" si="62"/>
        <v>245.7</v>
      </c>
      <c r="M278" s="42">
        <f t="shared" si="63"/>
        <v>249</v>
      </c>
      <c r="N278" s="28">
        <f>VLOOKUP($A278,'Выгр Кат'!$A:$R,N$1,0)</f>
        <v>130</v>
      </c>
      <c r="O278" s="28">
        <f>VLOOKUP($A278,'Выгр Кат'!$A:$R,O$1,0)</f>
        <v>249</v>
      </c>
      <c r="P278" s="30">
        <f t="shared" si="56"/>
        <v>0</v>
      </c>
      <c r="Q278" s="30">
        <f t="shared" si="57"/>
        <v>0</v>
      </c>
      <c r="R278" s="36">
        <f t="shared" si="58"/>
        <v>231.57</v>
      </c>
      <c r="S278" s="64">
        <f>IFERROR((VLOOKUP($A278,'Из ГУГЛа'!$B:$G,6,0)+U278)*T278,VLOOKUP($A278,'Из ГУГЛа'!$B:$G,6,0))</f>
        <v>469</v>
      </c>
      <c r="T278" s="38">
        <v>1</v>
      </c>
      <c r="U278" s="38">
        <v>0</v>
      </c>
      <c r="V278" s="39">
        <f t="shared" si="59"/>
        <v>0.78130769230769226</v>
      </c>
      <c r="W278" s="39">
        <f t="shared" si="60"/>
        <v>0.50624733475479744</v>
      </c>
      <c r="X278" s="39">
        <f t="shared" si="61"/>
        <v>2.6076923076923078</v>
      </c>
      <c r="Y278" s="40">
        <v>469</v>
      </c>
      <c r="Z278" s="46" t="s">
        <v>8061</v>
      </c>
    </row>
    <row r="279" spans="1:26" s="3" customFormat="1" ht="30" x14ac:dyDescent="0.25">
      <c r="A279" s="28">
        <v>131459</v>
      </c>
      <c r="B279" s="28">
        <f>VLOOKUP($A279,'Выгр Кат'!$A:$R,B$1,0)</f>
        <v>38362</v>
      </c>
      <c r="C279" s="27" t="str">
        <f>VLOOKUP($A279,'Выгр Кат'!$A:$R,C$1,0)</f>
        <v>Автомобильный ароматизатор "Contra" CLASSIC аромат Bubble gum</v>
      </c>
      <c r="D279" s="28" t="str">
        <f>VLOOKUP($A279,'Выгр Кат'!$A:$R,D$1,0)</f>
        <v>Y</v>
      </c>
      <c r="E279" s="28" t="str">
        <f>VLOOKUP($A279,'Выгр Кат'!$A:$R,E$1,0)</f>
        <v>1</v>
      </c>
      <c r="F279" s="28" t="str">
        <f>VLOOKUP($A279,'Выгр Кат'!$A:$R,F$1,0)</f>
        <v>71935</v>
      </c>
      <c r="G279" s="14">
        <v>71935</v>
      </c>
      <c r="H279" s="14"/>
      <c r="I279" s="1" t="s">
        <v>3</v>
      </c>
      <c r="J279" s="42">
        <f>VLOOKUP(G279,Прайс!B:E,4,0)</f>
        <v>130</v>
      </c>
      <c r="K279" s="2">
        <f>VLOOKUP(J279,Наценка!$A$1:$B$8,2,1)</f>
        <v>1.89</v>
      </c>
      <c r="L279" s="4">
        <f t="shared" si="62"/>
        <v>245.7</v>
      </c>
      <c r="M279" s="42">
        <f t="shared" si="63"/>
        <v>249</v>
      </c>
      <c r="N279" s="28">
        <f>VLOOKUP($A279,'Выгр Кат'!$A:$R,N$1,0)</f>
        <v>130</v>
      </c>
      <c r="O279" s="28">
        <f>VLOOKUP($A279,'Выгр Кат'!$A:$R,O$1,0)</f>
        <v>249</v>
      </c>
      <c r="P279" s="30">
        <f t="shared" si="56"/>
        <v>0</v>
      </c>
      <c r="Q279" s="30">
        <f t="shared" si="57"/>
        <v>0</v>
      </c>
      <c r="R279" s="36">
        <f t="shared" si="58"/>
        <v>231.57</v>
      </c>
      <c r="S279" s="64">
        <f>IFERROR((VLOOKUP($A279,'Из ГУГЛа'!$B:$G,6,0)+U279)*T279,VLOOKUP($A279,'Из ГУГЛа'!$B:$G,6,0))</f>
        <v>469</v>
      </c>
      <c r="T279" s="38">
        <v>1</v>
      </c>
      <c r="U279" s="38">
        <v>0</v>
      </c>
      <c r="V279" s="39">
        <f t="shared" si="59"/>
        <v>0.78130769230769226</v>
      </c>
      <c r="W279" s="39">
        <f t="shared" si="60"/>
        <v>0.50624733475479744</v>
      </c>
      <c r="X279" s="39">
        <f t="shared" si="61"/>
        <v>2.6076923076923078</v>
      </c>
      <c r="Y279" s="40">
        <v>469</v>
      </c>
      <c r="Z279" s="46" t="s">
        <v>8061</v>
      </c>
    </row>
    <row r="280" spans="1:26" s="3" customFormat="1" ht="45" x14ac:dyDescent="0.25">
      <c r="A280" s="28">
        <v>131464</v>
      </c>
      <c r="B280" s="28">
        <f>VLOOKUP($A280,'Выгр Кат'!$A:$R,B$1,0)</f>
        <v>38363</v>
      </c>
      <c r="C280" s="27" t="str">
        <f>VLOOKUP($A280,'Выгр Кат'!$A:$R,C$1,0)</f>
        <v>Автомобильный ароматизатор "Contra" CLASSIC аромат Яблоко с ванилью</v>
      </c>
      <c r="D280" s="28" t="str">
        <f>VLOOKUP($A280,'Выгр Кат'!$A:$R,D$1,0)</f>
        <v>Y</v>
      </c>
      <c r="E280" s="28" t="str">
        <f>VLOOKUP($A280,'Выгр Кат'!$A:$R,E$1,0)</f>
        <v>1</v>
      </c>
      <c r="F280" s="28" t="str">
        <f>VLOOKUP($A280,'Выгр Кат'!$A:$R,F$1,0)</f>
        <v>71921</v>
      </c>
      <c r="G280" s="9">
        <v>71921</v>
      </c>
      <c r="H280" s="9"/>
      <c r="I280" s="1" t="s">
        <v>3</v>
      </c>
      <c r="J280" s="41">
        <f>N280</f>
        <v>130</v>
      </c>
      <c r="K280" s="2">
        <f>VLOOKUP(J280,Наценка!$A$1:$B$8,2,1)</f>
        <v>1.89</v>
      </c>
      <c r="L280" s="4">
        <f t="shared" si="62"/>
        <v>245.7</v>
      </c>
      <c r="M280" s="42">
        <f t="shared" si="63"/>
        <v>249</v>
      </c>
      <c r="N280" s="28">
        <f>VLOOKUP($A280,'Выгр Кат'!$A:$R,N$1,0)</f>
        <v>130</v>
      </c>
      <c r="O280" s="28">
        <f>VLOOKUP($A280,'Выгр Кат'!$A:$R,O$1,0)</f>
        <v>249</v>
      </c>
      <c r="P280" s="30">
        <f t="shared" si="56"/>
        <v>0</v>
      </c>
      <c r="Q280" s="30">
        <f t="shared" si="57"/>
        <v>0</v>
      </c>
      <c r="R280" s="36">
        <f t="shared" si="58"/>
        <v>231.57</v>
      </c>
      <c r="S280" s="64">
        <f>IFERROR((VLOOKUP($A280,'Из ГУГЛа'!$B:$G,6,0)+U280)*T280,VLOOKUP($A280,'Из ГУГЛа'!$B:$G,6,0))</f>
        <v>469</v>
      </c>
      <c r="T280" s="38">
        <v>1</v>
      </c>
      <c r="U280" s="38">
        <v>0</v>
      </c>
      <c r="V280" s="39">
        <f t="shared" si="59"/>
        <v>0.78130769230769226</v>
      </c>
      <c r="W280" s="39">
        <f t="shared" si="60"/>
        <v>0.50624733475479744</v>
      </c>
      <c r="X280" s="39">
        <f t="shared" si="61"/>
        <v>2.6076923076923078</v>
      </c>
      <c r="Y280" s="40">
        <v>469</v>
      </c>
      <c r="Z280" s="46" t="s">
        <v>8061</v>
      </c>
    </row>
    <row r="281" spans="1:26" s="3" customFormat="1" ht="30" x14ac:dyDescent="0.25">
      <c r="A281" s="28">
        <v>131461</v>
      </c>
      <c r="B281" s="28">
        <f>VLOOKUP($A281,'Выгр Кат'!$A:$R,B$1,0)</f>
        <v>38364</v>
      </c>
      <c r="C281" s="27" t="str">
        <f>VLOOKUP($A281,'Выгр Кат'!$A:$R,C$1,0)</f>
        <v>Автомобильный ароматизатор "Contra" CLASSIC аромат Крем брюле</v>
      </c>
      <c r="D281" s="28" t="str">
        <f>VLOOKUP($A281,'Выгр Кат'!$A:$R,D$1,0)</f>
        <v>Y</v>
      </c>
      <c r="E281" s="28" t="str">
        <f>VLOOKUP($A281,'Выгр Кат'!$A:$R,E$1,0)</f>
        <v>1</v>
      </c>
      <c r="F281" s="28" t="str">
        <f>VLOOKUP($A281,'Выгр Кат'!$A:$R,F$1,0)</f>
        <v>71932</v>
      </c>
      <c r="G281" s="9">
        <v>71932</v>
      </c>
      <c r="H281" s="9"/>
      <c r="I281" s="1" t="s">
        <v>3</v>
      </c>
      <c r="J281" s="42">
        <f>VLOOKUP(G281,Прайс!B:E,4,0)</f>
        <v>130</v>
      </c>
      <c r="K281" s="2">
        <f>VLOOKUP(J281,Наценка!$A$1:$B$8,2,1)</f>
        <v>1.89</v>
      </c>
      <c r="L281" s="4">
        <f t="shared" si="62"/>
        <v>245.7</v>
      </c>
      <c r="M281" s="42">
        <f t="shared" si="63"/>
        <v>249</v>
      </c>
      <c r="N281" s="28">
        <f>VLOOKUP($A281,'Выгр Кат'!$A:$R,N$1,0)</f>
        <v>130</v>
      </c>
      <c r="O281" s="28">
        <f>VLOOKUP($A281,'Выгр Кат'!$A:$R,O$1,0)</f>
        <v>249</v>
      </c>
      <c r="P281" s="30">
        <f t="shared" si="56"/>
        <v>0</v>
      </c>
      <c r="Q281" s="30">
        <f t="shared" si="57"/>
        <v>0</v>
      </c>
      <c r="R281" s="36">
        <f t="shared" si="58"/>
        <v>231.57</v>
      </c>
      <c r="S281" s="64">
        <f>IFERROR((VLOOKUP($A281,'Из ГУГЛа'!$B:$G,6,0)+U281)*T281,VLOOKUP($A281,'Из ГУГЛа'!$B:$G,6,0))</f>
        <v>469</v>
      </c>
      <c r="T281" s="38">
        <v>1</v>
      </c>
      <c r="U281" s="38">
        <v>0</v>
      </c>
      <c r="V281" s="39">
        <f t="shared" si="59"/>
        <v>0.78130769230769226</v>
      </c>
      <c r="W281" s="39">
        <f t="shared" si="60"/>
        <v>0.50624733475479744</v>
      </c>
      <c r="X281" s="39">
        <f t="shared" si="61"/>
        <v>2.6076923076923078</v>
      </c>
      <c r="Y281" s="40">
        <v>469</v>
      </c>
      <c r="Z281" s="46" t="s">
        <v>8061</v>
      </c>
    </row>
    <row r="282" spans="1:26" s="3" customFormat="1" ht="45" x14ac:dyDescent="0.25">
      <c r="A282" s="28">
        <v>131463</v>
      </c>
      <c r="B282" s="28">
        <f>VLOOKUP($A282,'Выгр Кат'!$A:$R,B$1,0)</f>
        <v>38365</v>
      </c>
      <c r="C282" s="27" t="str">
        <f>VLOOKUP($A282,'Выгр Кат'!$A:$R,C$1,0)</f>
        <v>Автомобильный ароматизатор "Contra" CLASSIC аромат Шоколадная эйфория</v>
      </c>
      <c r="D282" s="28" t="str">
        <f>VLOOKUP($A282,'Выгр Кат'!$A:$R,D$1,0)</f>
        <v>Y</v>
      </c>
      <c r="E282" s="28" t="str">
        <f>VLOOKUP($A282,'Выгр Кат'!$A:$R,E$1,0)</f>
        <v>1</v>
      </c>
      <c r="F282" s="28" t="str">
        <f>VLOOKUP($A282,'Выгр Кат'!$A:$R,F$1,0)</f>
        <v>72238</v>
      </c>
      <c r="G282" s="9">
        <v>72238</v>
      </c>
      <c r="H282" s="9"/>
      <c r="I282" s="1" t="s">
        <v>3</v>
      </c>
      <c r="J282" s="41">
        <f t="shared" ref="J282:J283" si="66">N282</f>
        <v>130</v>
      </c>
      <c r="K282" s="2">
        <f>VLOOKUP(J282,Наценка!$A$1:$B$8,2,1)</f>
        <v>1.89</v>
      </c>
      <c r="L282" s="4">
        <f t="shared" si="62"/>
        <v>245.7</v>
      </c>
      <c r="M282" s="42">
        <f t="shared" si="63"/>
        <v>249</v>
      </c>
      <c r="N282" s="28">
        <f>VLOOKUP($A282,'Выгр Кат'!$A:$R,N$1,0)</f>
        <v>130</v>
      </c>
      <c r="O282" s="28">
        <f>VLOOKUP($A282,'Выгр Кат'!$A:$R,O$1,0)</f>
        <v>249</v>
      </c>
      <c r="P282" s="30">
        <f t="shared" si="56"/>
        <v>0</v>
      </c>
      <c r="Q282" s="30">
        <f t="shared" si="57"/>
        <v>0</v>
      </c>
      <c r="R282" s="36">
        <f t="shared" si="58"/>
        <v>231.57</v>
      </c>
      <c r="S282" s="64">
        <f>IFERROR((VLOOKUP($A282,'Из ГУГЛа'!$B:$G,6,0)+U282)*T282,VLOOKUP($A282,'Из ГУГЛа'!$B:$G,6,0))</f>
        <v>469</v>
      </c>
      <c r="T282" s="38">
        <v>1</v>
      </c>
      <c r="U282" s="38">
        <v>0</v>
      </c>
      <c r="V282" s="39">
        <f t="shared" si="59"/>
        <v>0.78130769230769226</v>
      </c>
      <c r="W282" s="39">
        <f t="shared" si="60"/>
        <v>0.50624733475479744</v>
      </c>
      <c r="X282" s="39">
        <f t="shared" si="61"/>
        <v>2.6076923076923078</v>
      </c>
      <c r="Y282" s="40">
        <v>469</v>
      </c>
      <c r="Z282" s="46" t="s">
        <v>8061</v>
      </c>
    </row>
    <row r="283" spans="1:26" s="3" customFormat="1" ht="45" x14ac:dyDescent="0.25">
      <c r="A283" s="28">
        <v>131497</v>
      </c>
      <c r="B283" s="28">
        <f>VLOOKUP($A283,'Выгр Кат'!$A:$R,B$1,0)</f>
        <v>38366</v>
      </c>
      <c r="C283" s="27" t="str">
        <f>VLOOKUP($A283,'Выгр Кат'!$A:$R,C$1,0)</f>
        <v>Автомобильный ароматизатор "Contra" спрей + елочка аромат Buble gum</v>
      </c>
      <c r="D283" s="28" t="str">
        <f>VLOOKUP($A283,'Выгр Кат'!$A:$R,D$1,0)</f>
        <v>Y</v>
      </c>
      <c r="E283" s="28" t="str">
        <f>VLOOKUP($A283,'Выгр Кат'!$A:$R,E$1,0)</f>
        <v>1</v>
      </c>
      <c r="F283" s="28">
        <f>VLOOKUP($A283,'Выгр Кат'!$A:$R,F$1,0)</f>
        <v>0</v>
      </c>
      <c r="G283" s="9"/>
      <c r="H283" s="9"/>
      <c r="I283" s="1" t="s">
        <v>3</v>
      </c>
      <c r="J283" s="41">
        <f t="shared" si="66"/>
        <v>140</v>
      </c>
      <c r="K283" s="2">
        <f>VLOOKUP(J283,Наценка!$A$1:$B$8,2,1)</f>
        <v>1.89</v>
      </c>
      <c r="L283" s="4">
        <f t="shared" si="62"/>
        <v>264.59999999999997</v>
      </c>
      <c r="M283" s="42">
        <f t="shared" si="63"/>
        <v>269</v>
      </c>
      <c r="N283" s="28">
        <f>VLOOKUP($A283,'Выгр Кат'!$A:$R,N$1,0)</f>
        <v>140</v>
      </c>
      <c r="O283" s="28">
        <f>VLOOKUP($A283,'Выгр Кат'!$A:$R,O$1,0)</f>
        <v>269</v>
      </c>
      <c r="P283" s="30">
        <f t="shared" si="56"/>
        <v>0</v>
      </c>
      <c r="Q283" s="30">
        <f t="shared" si="57"/>
        <v>0</v>
      </c>
      <c r="R283" s="36">
        <f t="shared" si="58"/>
        <v>250.17</v>
      </c>
      <c r="S283" s="64" t="str">
        <f>IFERROR((VLOOKUP($A283,'Из ГУГЛа'!$B:$G,6,0)+U283)*T283,VLOOKUP($A283,'Из ГУГЛа'!$B:$G,6,0))</f>
        <v/>
      </c>
      <c r="T283" s="38">
        <v>1</v>
      </c>
      <c r="U283" s="38">
        <v>0</v>
      </c>
      <c r="V283" s="39">
        <f t="shared" si="59"/>
        <v>0.78692857142857142</v>
      </c>
      <c r="W283" s="39" t="str">
        <f t="shared" si="60"/>
        <v/>
      </c>
      <c r="X283" s="39" t="str">
        <f t="shared" si="61"/>
        <v/>
      </c>
      <c r="Y283" s="65" t="s">
        <v>8379</v>
      </c>
      <c r="Z283" s="46" t="s">
        <v>8068</v>
      </c>
    </row>
    <row r="284" spans="1:26" s="3" customFormat="1" ht="30" x14ac:dyDescent="0.25">
      <c r="A284" s="28">
        <v>152928</v>
      </c>
      <c r="B284" s="28">
        <f>VLOOKUP($A284,'Выгр Кат'!$A:$R,B$1,0)</f>
        <v>39062</v>
      </c>
      <c r="C284" s="27" t="str">
        <f>VLOOKUP($A284,'Выгр Кат'!$A:$R,C$1,0)</f>
        <v>Зеркало панорамное на присоске "ENES" 340 мм универсальное</v>
      </c>
      <c r="D284" s="28" t="str">
        <f>VLOOKUP($A284,'Выгр Кат'!$A:$R,D$1,0)</f>
        <v>Y</v>
      </c>
      <c r="E284" s="28" t="str">
        <f>VLOOKUP($A284,'Выгр Кат'!$A:$R,E$1,0)</f>
        <v>1</v>
      </c>
      <c r="F284" s="28" t="str">
        <f>VLOOKUP($A284,'Выгр Кат'!$A:$R,F$1,0)</f>
        <v>50600</v>
      </c>
      <c r="G284" s="14">
        <v>50600</v>
      </c>
      <c r="H284" s="14"/>
      <c r="I284" s="1" t="s">
        <v>3</v>
      </c>
      <c r="J284" s="42">
        <f>VLOOKUP(G284,Прайс!B:E,4,0)</f>
        <v>315</v>
      </c>
      <c r="K284" s="2">
        <f>VLOOKUP(J284,Наценка!$A$1:$B$8,2,1)</f>
        <v>1.68</v>
      </c>
      <c r="L284" s="4">
        <f t="shared" si="62"/>
        <v>529.19999999999993</v>
      </c>
      <c r="M284" s="42">
        <f t="shared" si="63"/>
        <v>529</v>
      </c>
      <c r="N284" s="28">
        <f>VLOOKUP($A284,'Выгр Кат'!$A:$R,N$1,0)</f>
        <v>315</v>
      </c>
      <c r="O284" s="28">
        <f>VLOOKUP($A284,'Выгр Кат'!$A:$R,O$1,0)</f>
        <v>529</v>
      </c>
      <c r="P284" s="30">
        <f t="shared" si="56"/>
        <v>0</v>
      </c>
      <c r="Q284" s="30">
        <f t="shared" si="57"/>
        <v>0</v>
      </c>
      <c r="R284" s="36">
        <f t="shared" si="58"/>
        <v>491.96999999999997</v>
      </c>
      <c r="S284" s="64" t="str">
        <f>IFERROR((VLOOKUP($A284,'Из ГУГЛа'!$B:$G,6,0)+U284)*T284,VLOOKUP($A284,'Из ГУГЛа'!$B:$G,6,0))</f>
        <v/>
      </c>
      <c r="T284" s="38">
        <v>1</v>
      </c>
      <c r="U284" s="38">
        <v>0</v>
      </c>
      <c r="V284" s="39">
        <f t="shared" si="59"/>
        <v>0.56180952380952376</v>
      </c>
      <c r="W284" s="39" t="str">
        <f t="shared" si="60"/>
        <v/>
      </c>
      <c r="X284" s="39" t="str">
        <f t="shared" si="61"/>
        <v/>
      </c>
      <c r="Y284" s="65" t="s">
        <v>8371</v>
      </c>
      <c r="Z284" s="46" t="s">
        <v>8057</v>
      </c>
    </row>
    <row r="285" spans="1:26" s="3" customFormat="1" x14ac:dyDescent="0.25">
      <c r="A285" s="28">
        <v>143571</v>
      </c>
      <c r="B285" s="28">
        <f>VLOOKUP($A285,'Выгр Кат'!$A:$R,B$1,0)</f>
        <v>42943</v>
      </c>
      <c r="C285" s="27" t="str">
        <f>VLOOKUP($A285,'Выгр Кат'!$A:$R,C$1,0)</f>
        <v>Держатель для очков универсальный</v>
      </c>
      <c r="D285" s="28" t="str">
        <f>VLOOKUP($A285,'Выгр Кат'!$A:$R,D$1,0)</f>
        <v>Y</v>
      </c>
      <c r="E285" s="28" t="str">
        <f>VLOOKUP($A285,'Выгр Кат'!$A:$R,E$1,0)</f>
        <v>1ск1</v>
      </c>
      <c r="F285" s="28">
        <f>VLOOKUP($A285,'Выгр Кат'!$A:$R,F$1,0)</f>
        <v>0</v>
      </c>
      <c r="G285" s="4"/>
      <c r="H285" s="4"/>
      <c r="I285" s="1" t="s">
        <v>3</v>
      </c>
      <c r="J285" s="41">
        <f t="shared" ref="J285:J288" si="67">N285</f>
        <v>0</v>
      </c>
      <c r="K285" s="2" t="e">
        <f>VLOOKUP(J285,Наценка!$A$1:$B$8,2,1)</f>
        <v>#N/A</v>
      </c>
      <c r="L285" s="41">
        <f>O285</f>
        <v>289</v>
      </c>
      <c r="M285" s="42">
        <f t="shared" si="63"/>
        <v>289</v>
      </c>
      <c r="N285" s="28">
        <f>VLOOKUP($A285,'Выгр Кат'!$A:$R,N$1,0)</f>
        <v>0</v>
      </c>
      <c r="O285" s="28">
        <f>VLOOKUP($A285,'Выгр Кат'!$A:$R,O$1,0)</f>
        <v>289</v>
      </c>
      <c r="P285" s="30">
        <f t="shared" si="56"/>
        <v>0</v>
      </c>
      <c r="Q285" s="30">
        <f t="shared" si="57"/>
        <v>0</v>
      </c>
      <c r="R285" s="36">
        <f t="shared" si="58"/>
        <v>268.77</v>
      </c>
      <c r="S285" s="64" t="str">
        <f>IFERROR((VLOOKUP($A285,'Из ГУГЛа'!$B:$G,6,0)+U285)*T285,VLOOKUP($A285,'Из ГУГЛа'!$B:$G,6,0))</f>
        <v/>
      </c>
      <c r="T285" s="38">
        <v>1</v>
      </c>
      <c r="U285" s="38">
        <v>0</v>
      </c>
      <c r="V285" s="39" t="str">
        <f t="shared" si="59"/>
        <v/>
      </c>
      <c r="W285" s="39" t="str">
        <f t="shared" si="60"/>
        <v/>
      </c>
      <c r="X285" s="39" t="str">
        <f t="shared" si="61"/>
        <v/>
      </c>
      <c r="Y285" s="65" t="s">
        <v>8368</v>
      </c>
      <c r="Z285" s="46"/>
    </row>
    <row r="286" spans="1:26" s="3" customFormat="1" ht="45" x14ac:dyDescent="0.25">
      <c r="A286" s="28">
        <v>132913</v>
      </c>
      <c r="B286" s="28">
        <f>VLOOKUP($A286,'Выгр Кат'!$A:$R,B$1,0)</f>
        <v>51373</v>
      </c>
      <c r="C286" s="27" t="str">
        <f>VLOOKUP($A286,'Выгр Кат'!$A:$R,C$1,0)</f>
        <v>Ароматизатор "ABRO" Organic консерва Зеленое яблоко (Green Apple)</v>
      </c>
      <c r="D286" s="28" t="str">
        <f>VLOOKUP($A286,'Выгр Кат'!$A:$R,D$1,0)</f>
        <v>Y</v>
      </c>
      <c r="E286" s="28" t="str">
        <f>VLOOKUP($A286,'Выгр Кат'!$A:$R,E$1,0)</f>
        <v>1</v>
      </c>
      <c r="F286" s="28" t="str">
        <f>VLOOKUP($A286,'Выгр Кат'!$A:$R,F$1,0)</f>
        <v>71060</v>
      </c>
      <c r="G286" s="10">
        <v>71060</v>
      </c>
      <c r="H286" s="10"/>
      <c r="I286" s="1" t="s">
        <v>3</v>
      </c>
      <c r="J286" s="41">
        <f t="shared" si="67"/>
        <v>200</v>
      </c>
      <c r="K286" s="2">
        <f>VLOOKUP(J286,Наценка!$A$1:$B$8,2,1)</f>
        <v>1.89</v>
      </c>
      <c r="L286" s="47">
        <v>289</v>
      </c>
      <c r="M286" s="42">
        <f t="shared" si="63"/>
        <v>289</v>
      </c>
      <c r="N286" s="28">
        <f>VLOOKUP($A286,'Выгр Кат'!$A:$R,N$1,0)</f>
        <v>200</v>
      </c>
      <c r="O286" s="28">
        <f>VLOOKUP($A286,'Выгр Кат'!$A:$R,O$1,0)</f>
        <v>289</v>
      </c>
      <c r="P286" s="30">
        <f t="shared" si="56"/>
        <v>0</v>
      </c>
      <c r="Q286" s="30">
        <f t="shared" si="57"/>
        <v>0</v>
      </c>
      <c r="R286" s="36">
        <f t="shared" si="58"/>
        <v>268.77</v>
      </c>
      <c r="S286" s="64">
        <f>IFERROR((VLOOKUP($A286,'Из ГУГЛа'!$B:$G,6,0)+U286)*T286,VLOOKUP($A286,'Из ГУГЛа'!$B:$G,6,0))</f>
        <v>549</v>
      </c>
      <c r="T286" s="38">
        <v>1</v>
      </c>
      <c r="U286" s="38">
        <v>0</v>
      </c>
      <c r="V286" s="39">
        <f t="shared" si="59"/>
        <v>0.34384999999999999</v>
      </c>
      <c r="W286" s="39">
        <f t="shared" si="60"/>
        <v>0.51043715846994542</v>
      </c>
      <c r="X286" s="39">
        <f t="shared" si="61"/>
        <v>1.7450000000000001</v>
      </c>
      <c r="Y286" s="40">
        <v>549</v>
      </c>
      <c r="Z286" s="46" t="s">
        <v>8054</v>
      </c>
    </row>
    <row r="287" spans="1:26" s="3" customFormat="1" ht="30" x14ac:dyDescent="0.25">
      <c r="A287" s="28">
        <v>132905</v>
      </c>
      <c r="B287" s="28">
        <f>VLOOKUP($A287,'Выгр Кат'!$A:$R,B$1,0)</f>
        <v>51375</v>
      </c>
      <c r="C287" s="27" t="str">
        <f>VLOOKUP($A287,'Выгр Кат'!$A:$R,C$1,0)</f>
        <v>Ароматизатор "ABRO" Organic консерва Апельсин (Orange)</v>
      </c>
      <c r="D287" s="28" t="str">
        <f>VLOOKUP($A287,'Выгр Кат'!$A:$R,D$1,0)</f>
        <v>Y</v>
      </c>
      <c r="E287" s="28" t="str">
        <f>VLOOKUP($A287,'Выгр Кат'!$A:$R,E$1,0)</f>
        <v>1</v>
      </c>
      <c r="F287" s="28" t="str">
        <f>VLOOKUP($A287,'Выгр Кат'!$A:$R,F$1,0)</f>
        <v>70003</v>
      </c>
      <c r="G287" s="10">
        <v>70003</v>
      </c>
      <c r="H287" s="10"/>
      <c r="I287" s="1" t="s">
        <v>3</v>
      </c>
      <c r="J287" s="41">
        <f t="shared" si="67"/>
        <v>200</v>
      </c>
      <c r="K287" s="2">
        <f>VLOOKUP(J287,Наценка!$A$1:$B$8,2,1)</f>
        <v>1.89</v>
      </c>
      <c r="L287" s="47">
        <v>289</v>
      </c>
      <c r="M287" s="42">
        <f t="shared" si="63"/>
        <v>289</v>
      </c>
      <c r="N287" s="28">
        <f>VLOOKUP($A287,'Выгр Кат'!$A:$R,N$1,0)</f>
        <v>200</v>
      </c>
      <c r="O287" s="28">
        <f>VLOOKUP($A287,'Выгр Кат'!$A:$R,O$1,0)</f>
        <v>289</v>
      </c>
      <c r="P287" s="30">
        <f t="shared" si="56"/>
        <v>0</v>
      </c>
      <c r="Q287" s="30">
        <f t="shared" si="57"/>
        <v>0</v>
      </c>
      <c r="R287" s="36">
        <f t="shared" si="58"/>
        <v>268.77</v>
      </c>
      <c r="S287" s="64">
        <f>IFERROR((VLOOKUP($A287,'Из ГУГЛа'!$B:$G,6,0)+U287)*T287,VLOOKUP($A287,'Из ГУГЛа'!$B:$G,6,0))</f>
        <v>549</v>
      </c>
      <c r="T287" s="38">
        <v>1</v>
      </c>
      <c r="U287" s="38">
        <v>0</v>
      </c>
      <c r="V287" s="39">
        <f t="shared" si="59"/>
        <v>0.34384999999999999</v>
      </c>
      <c r="W287" s="39">
        <f t="shared" si="60"/>
        <v>0.51043715846994542</v>
      </c>
      <c r="X287" s="39">
        <f t="shared" si="61"/>
        <v>1.7450000000000001</v>
      </c>
      <c r="Y287" s="40">
        <v>549</v>
      </c>
      <c r="Z287" s="46" t="s">
        <v>8054</v>
      </c>
    </row>
    <row r="288" spans="1:26" s="3" customFormat="1" ht="30" x14ac:dyDescent="0.25">
      <c r="A288" s="28">
        <v>132909</v>
      </c>
      <c r="B288" s="28">
        <f>VLOOKUP($A288,'Выгр Кат'!$A:$R,B$1,0)</f>
        <v>51376</v>
      </c>
      <c r="C288" s="27" t="str">
        <f>VLOOKUP($A288,'Выгр Кат'!$A:$R,C$1,0)</f>
        <v>Ароматизатор "ABRO" Organic консерва Ваниль (Vanilla)</v>
      </c>
      <c r="D288" s="28" t="str">
        <f>VLOOKUP($A288,'Выгр Кат'!$A:$R,D$1,0)</f>
        <v>Y</v>
      </c>
      <c r="E288" s="28" t="str">
        <f>VLOOKUP($A288,'Выгр Кат'!$A:$R,E$1,0)</f>
        <v>1</v>
      </c>
      <c r="F288" s="28" t="str">
        <f>VLOOKUP($A288,'Выгр Кат'!$A:$R,F$1,0)</f>
        <v>70005</v>
      </c>
      <c r="G288" s="10">
        <v>70005</v>
      </c>
      <c r="H288" s="10"/>
      <c r="I288" s="1" t="s">
        <v>3</v>
      </c>
      <c r="J288" s="41">
        <f t="shared" si="67"/>
        <v>200</v>
      </c>
      <c r="K288" s="2">
        <f>VLOOKUP(J288,Наценка!$A$1:$B$8,2,1)</f>
        <v>1.89</v>
      </c>
      <c r="L288" s="47">
        <v>289</v>
      </c>
      <c r="M288" s="42">
        <f t="shared" si="63"/>
        <v>289</v>
      </c>
      <c r="N288" s="28">
        <f>VLOOKUP($A288,'Выгр Кат'!$A:$R,N$1,0)</f>
        <v>200</v>
      </c>
      <c r="O288" s="28">
        <f>VLOOKUP($A288,'Выгр Кат'!$A:$R,O$1,0)</f>
        <v>289</v>
      </c>
      <c r="P288" s="30">
        <f t="shared" si="56"/>
        <v>0</v>
      </c>
      <c r="Q288" s="30">
        <f t="shared" si="57"/>
        <v>0</v>
      </c>
      <c r="R288" s="36">
        <f t="shared" si="58"/>
        <v>268.77</v>
      </c>
      <c r="S288" s="64">
        <f>IFERROR((VLOOKUP($A288,'Из ГУГЛа'!$B:$G,6,0)+U288)*T288,VLOOKUP($A288,'Из ГУГЛа'!$B:$G,6,0))</f>
        <v>549</v>
      </c>
      <c r="T288" s="38">
        <v>1</v>
      </c>
      <c r="U288" s="38">
        <v>0</v>
      </c>
      <c r="V288" s="39">
        <f t="shared" si="59"/>
        <v>0.34384999999999999</v>
      </c>
      <c r="W288" s="39">
        <f t="shared" si="60"/>
        <v>0.51043715846994542</v>
      </c>
      <c r="X288" s="39">
        <f t="shared" si="61"/>
        <v>1.7450000000000001</v>
      </c>
      <c r="Y288" s="40">
        <v>549</v>
      </c>
      <c r="Z288" s="46" t="s">
        <v>8054</v>
      </c>
    </row>
    <row r="289" spans="1:26" s="3" customFormat="1" ht="45" x14ac:dyDescent="0.25">
      <c r="A289" s="28">
        <v>132906</v>
      </c>
      <c r="B289" s="28">
        <f>VLOOKUP($A289,'Выгр Кат'!$A:$R,B$1,0)</f>
        <v>51377</v>
      </c>
      <c r="C289" s="27" t="str">
        <f>VLOOKUP($A289,'Выгр Кат'!$A:$R,C$1,0)</f>
        <v>Ароматизатор "ABRO" Organic консерва Бубль Гум / Лимонад (Bubble Gum / Lemonade)</v>
      </c>
      <c r="D289" s="28" t="str">
        <f>VLOOKUP($A289,'Выгр Кат'!$A:$R,D$1,0)</f>
        <v>Y</v>
      </c>
      <c r="E289" s="28" t="str">
        <f>VLOOKUP($A289,'Выгр Кат'!$A:$R,E$1,0)</f>
        <v>1</v>
      </c>
      <c r="F289" s="28" t="str">
        <f>VLOOKUP($A289,'Выгр Кат'!$A:$R,F$1,0)</f>
        <v>71369</v>
      </c>
      <c r="G289" s="10">
        <v>71369</v>
      </c>
      <c r="H289" s="10"/>
      <c r="I289" s="1" t="s">
        <v>3</v>
      </c>
      <c r="J289" s="42">
        <f>VLOOKUP(G289,Прайс!B:E,4,0)</f>
        <v>200</v>
      </c>
      <c r="K289" s="2">
        <f>VLOOKUP(J289,Наценка!$A$1:$B$8,2,1)</f>
        <v>1.89</v>
      </c>
      <c r="L289" s="47">
        <v>289</v>
      </c>
      <c r="M289" s="42">
        <f t="shared" si="63"/>
        <v>289</v>
      </c>
      <c r="N289" s="28">
        <f>VLOOKUP($A289,'Выгр Кат'!$A:$R,N$1,0)</f>
        <v>200</v>
      </c>
      <c r="O289" s="28">
        <f>VLOOKUP($A289,'Выгр Кат'!$A:$R,O$1,0)</f>
        <v>289</v>
      </c>
      <c r="P289" s="30">
        <f t="shared" si="56"/>
        <v>0</v>
      </c>
      <c r="Q289" s="30">
        <f t="shared" si="57"/>
        <v>0</v>
      </c>
      <c r="R289" s="36">
        <f t="shared" si="58"/>
        <v>268.77</v>
      </c>
      <c r="S289" s="64">
        <f>IFERROR((VLOOKUP($A289,'Из ГУГЛа'!$B:$G,6,0)+U289)*T289,VLOOKUP($A289,'Из ГУГЛа'!$B:$G,6,0))</f>
        <v>549</v>
      </c>
      <c r="T289" s="38">
        <v>1</v>
      </c>
      <c r="U289" s="38">
        <v>0</v>
      </c>
      <c r="V289" s="39">
        <f t="shared" si="59"/>
        <v>0.34384999999999999</v>
      </c>
      <c r="W289" s="39">
        <f t="shared" si="60"/>
        <v>0.51043715846994542</v>
      </c>
      <c r="X289" s="39">
        <f t="shared" si="61"/>
        <v>1.7450000000000001</v>
      </c>
      <c r="Y289" s="40">
        <v>549</v>
      </c>
      <c r="Z289" s="46" t="s">
        <v>8054</v>
      </c>
    </row>
    <row r="290" spans="1:26" s="3" customFormat="1" ht="45" x14ac:dyDescent="0.25">
      <c r="A290" s="28">
        <v>132907</v>
      </c>
      <c r="B290" s="28">
        <f>VLOOKUP($A290,'Выгр Кат'!$A:$R,B$1,0)</f>
        <v>51378</v>
      </c>
      <c r="C290" s="27" t="str">
        <f>VLOOKUP($A290,'Выгр Кат'!$A:$R,C$1,0)</f>
        <v>Ароматизатор "ABRO" Organic консерва Бубль Гум / Тутти Фрутти (Bubble Gum / Tutti Frutti)</v>
      </c>
      <c r="D290" s="28" t="str">
        <f>VLOOKUP($A290,'Выгр Кат'!$A:$R,D$1,0)</f>
        <v>Y</v>
      </c>
      <c r="E290" s="28" t="str">
        <f>VLOOKUP($A290,'Выгр Кат'!$A:$R,E$1,0)</f>
        <v>1</v>
      </c>
      <c r="F290" s="28" t="str">
        <f>VLOOKUP($A290,'Выгр Кат'!$A:$R,F$1,0)</f>
        <v>71373</v>
      </c>
      <c r="G290" s="10">
        <v>71373</v>
      </c>
      <c r="H290" s="10"/>
      <c r="I290" s="1" t="s">
        <v>3</v>
      </c>
      <c r="J290" s="41">
        <f>N290</f>
        <v>200</v>
      </c>
      <c r="K290" s="2">
        <f>VLOOKUP(J290,Наценка!$A$1:$B$8,2,1)</f>
        <v>1.89</v>
      </c>
      <c r="L290" s="47">
        <v>289</v>
      </c>
      <c r="M290" s="42">
        <f t="shared" si="63"/>
        <v>289</v>
      </c>
      <c r="N290" s="28">
        <f>VLOOKUP($A290,'Выгр Кат'!$A:$R,N$1,0)</f>
        <v>200</v>
      </c>
      <c r="O290" s="28">
        <f>VLOOKUP($A290,'Выгр Кат'!$A:$R,O$1,0)</f>
        <v>289</v>
      </c>
      <c r="P290" s="30">
        <f t="shared" si="56"/>
        <v>0</v>
      </c>
      <c r="Q290" s="30">
        <f t="shared" si="57"/>
        <v>0</v>
      </c>
      <c r="R290" s="36">
        <f t="shared" si="58"/>
        <v>268.77</v>
      </c>
      <c r="S290" s="64">
        <f>IFERROR((VLOOKUP($A290,'Из ГУГЛа'!$B:$G,6,0)+U290)*T290,VLOOKUP($A290,'Из ГУГЛа'!$B:$G,6,0))</f>
        <v>549</v>
      </c>
      <c r="T290" s="38">
        <v>1</v>
      </c>
      <c r="U290" s="38">
        <v>0</v>
      </c>
      <c r="V290" s="39">
        <f t="shared" si="59"/>
        <v>0.34384999999999999</v>
      </c>
      <c r="W290" s="39">
        <f t="shared" si="60"/>
        <v>0.51043715846994542</v>
      </c>
      <c r="X290" s="39">
        <f t="shared" si="61"/>
        <v>1.7450000000000001</v>
      </c>
      <c r="Y290" s="40">
        <v>549</v>
      </c>
      <c r="Z290" s="46" t="s">
        <v>8054</v>
      </c>
    </row>
    <row r="291" spans="1:26" s="3" customFormat="1" ht="30" x14ac:dyDescent="0.25">
      <c r="A291" s="28">
        <v>132922</v>
      </c>
      <c r="B291" s="28">
        <f>VLOOKUP($A291,'Выгр Кат'!$A:$R,B$1,0)</f>
        <v>51379</v>
      </c>
      <c r="C291" s="27" t="str">
        <f>VLOOKUP($A291,'Выгр Кат'!$A:$R,C$1,0)</f>
        <v>Ароматизатор "ABRO" Organic консерва Новая Машина (New Car)</v>
      </c>
      <c r="D291" s="28" t="str">
        <f>VLOOKUP($A291,'Выгр Кат'!$A:$R,D$1,0)</f>
        <v>Y</v>
      </c>
      <c r="E291" s="28" t="str">
        <f>VLOOKUP($A291,'Выгр Кат'!$A:$R,E$1,0)</f>
        <v>1</v>
      </c>
      <c r="F291" s="28" t="str">
        <f>VLOOKUP($A291,'Выгр Кат'!$A:$R,F$1,0)</f>
        <v>70001</v>
      </c>
      <c r="G291" s="10">
        <v>70001</v>
      </c>
      <c r="H291" s="10"/>
      <c r="I291" s="1" t="s">
        <v>3</v>
      </c>
      <c r="J291" s="42">
        <f>VLOOKUP(G291,Прайс!B:E,4,0)</f>
        <v>200</v>
      </c>
      <c r="K291" s="2">
        <f>VLOOKUP(J291,Наценка!$A$1:$B$8,2,1)</f>
        <v>1.89</v>
      </c>
      <c r="L291" s="47">
        <v>289</v>
      </c>
      <c r="M291" s="42">
        <f t="shared" si="63"/>
        <v>289</v>
      </c>
      <c r="N291" s="28">
        <f>VLOOKUP($A291,'Выгр Кат'!$A:$R,N$1,0)</f>
        <v>200</v>
      </c>
      <c r="O291" s="28">
        <f>VLOOKUP($A291,'Выгр Кат'!$A:$R,O$1,0)</f>
        <v>289</v>
      </c>
      <c r="P291" s="30">
        <f t="shared" si="56"/>
        <v>0</v>
      </c>
      <c r="Q291" s="30">
        <f t="shared" si="57"/>
        <v>0</v>
      </c>
      <c r="R291" s="36">
        <f t="shared" si="58"/>
        <v>268.77</v>
      </c>
      <c r="S291" s="64">
        <f>IFERROR((VLOOKUP($A291,'Из ГУГЛа'!$B:$G,6,0)+U291)*T291,VLOOKUP($A291,'Из ГУГЛа'!$B:$G,6,0))</f>
        <v>549</v>
      </c>
      <c r="T291" s="38">
        <v>1</v>
      </c>
      <c r="U291" s="38">
        <v>0</v>
      </c>
      <c r="V291" s="39">
        <f t="shared" si="59"/>
        <v>0.34384999999999999</v>
      </c>
      <c r="W291" s="39">
        <f t="shared" si="60"/>
        <v>0.51043715846994542</v>
      </c>
      <c r="X291" s="39">
        <f t="shared" si="61"/>
        <v>1.7450000000000001</v>
      </c>
      <c r="Y291" s="40">
        <v>549</v>
      </c>
      <c r="Z291" s="46" t="s">
        <v>8054</v>
      </c>
    </row>
    <row r="292" spans="1:26" s="3" customFormat="1" ht="30" x14ac:dyDescent="0.25">
      <c r="A292" s="28">
        <v>132910</v>
      </c>
      <c r="B292" s="28">
        <f>VLOOKUP($A292,'Выгр Кат'!$A:$R,B$1,0)</f>
        <v>51380</v>
      </c>
      <c r="C292" s="27" t="str">
        <f>VLOOKUP($A292,'Выгр Кат'!$A:$R,C$1,0)</f>
        <v>Ароматизатор "ABRO" Organic консерва Гардения (Gardenia)</v>
      </c>
      <c r="D292" s="28" t="str">
        <f>VLOOKUP($A292,'Выгр Кат'!$A:$R,D$1,0)</f>
        <v>Y</v>
      </c>
      <c r="E292" s="28" t="str">
        <f>VLOOKUP($A292,'Выгр Кат'!$A:$R,E$1,0)</f>
        <v>1</v>
      </c>
      <c r="F292" s="28" t="str">
        <f>VLOOKUP($A292,'Выгр Кат'!$A:$R,F$1,0)</f>
        <v>70007</v>
      </c>
      <c r="G292" s="10">
        <v>70007</v>
      </c>
      <c r="H292" s="10"/>
      <c r="I292" s="1" t="s">
        <v>3</v>
      </c>
      <c r="J292" s="42">
        <f>VLOOKUP(G292,Прайс!B:E,4,0)</f>
        <v>200</v>
      </c>
      <c r="K292" s="2">
        <f>VLOOKUP(J292,Наценка!$A$1:$B$8,2,1)</f>
        <v>1.89</v>
      </c>
      <c r="L292" s="47">
        <v>289</v>
      </c>
      <c r="M292" s="42">
        <f t="shared" si="63"/>
        <v>289</v>
      </c>
      <c r="N292" s="28">
        <f>VLOOKUP($A292,'Выгр Кат'!$A:$R,N$1,0)</f>
        <v>200</v>
      </c>
      <c r="O292" s="28">
        <f>VLOOKUP($A292,'Выгр Кат'!$A:$R,O$1,0)</f>
        <v>289</v>
      </c>
      <c r="P292" s="30">
        <f t="shared" si="56"/>
        <v>0</v>
      </c>
      <c r="Q292" s="30">
        <f t="shared" si="57"/>
        <v>0</v>
      </c>
      <c r="R292" s="36">
        <f t="shared" si="58"/>
        <v>268.77</v>
      </c>
      <c r="S292" s="64">
        <f>IFERROR((VLOOKUP($A292,'Из ГУГЛа'!$B:$G,6,0)+U292)*T292,VLOOKUP($A292,'Из ГУГЛа'!$B:$G,6,0))</f>
        <v>549</v>
      </c>
      <c r="T292" s="38">
        <v>1</v>
      </c>
      <c r="U292" s="38">
        <v>0</v>
      </c>
      <c r="V292" s="39">
        <f t="shared" si="59"/>
        <v>0.34384999999999999</v>
      </c>
      <c r="W292" s="39">
        <f t="shared" si="60"/>
        <v>0.51043715846994542</v>
      </c>
      <c r="X292" s="39">
        <f t="shared" si="61"/>
        <v>1.7450000000000001</v>
      </c>
      <c r="Y292" s="40">
        <v>549</v>
      </c>
      <c r="Z292" s="46" t="s">
        <v>8054</v>
      </c>
    </row>
    <row r="293" spans="1:26" s="3" customFormat="1" ht="30" x14ac:dyDescent="0.25">
      <c r="A293" s="28">
        <v>132912</v>
      </c>
      <c r="B293" s="28">
        <f>VLOOKUP($A293,'Выгр Кат'!$A:$R,B$1,0)</f>
        <v>51381</v>
      </c>
      <c r="C293" s="27" t="str">
        <f>VLOOKUP($A293,'Выгр Кат'!$A:$R,C$1,0)</f>
        <v>Ароматизатор "ABRO" Organic консерва Жасмин (Jasmine)</v>
      </c>
      <c r="D293" s="28" t="str">
        <f>VLOOKUP($A293,'Выгр Кат'!$A:$R,D$1,0)</f>
        <v>Y</v>
      </c>
      <c r="E293" s="28" t="str">
        <f>VLOOKUP($A293,'Выгр Кат'!$A:$R,E$1,0)</f>
        <v>1</v>
      </c>
      <c r="F293" s="28" t="str">
        <f>VLOOKUP($A293,'Выгр Кат'!$A:$R,F$1,0)</f>
        <v>70008</v>
      </c>
      <c r="G293" s="10">
        <v>70008</v>
      </c>
      <c r="H293" s="10"/>
      <c r="I293" s="1" t="s">
        <v>3</v>
      </c>
      <c r="J293" s="42">
        <f>VLOOKUP(G293,Прайс!B:E,4,0)</f>
        <v>200</v>
      </c>
      <c r="K293" s="2">
        <f>VLOOKUP(J293,Наценка!$A$1:$B$8,2,1)</f>
        <v>1.89</v>
      </c>
      <c r="L293" s="47">
        <v>289</v>
      </c>
      <c r="M293" s="42">
        <f t="shared" si="63"/>
        <v>289</v>
      </c>
      <c r="N293" s="28">
        <f>VLOOKUP($A293,'Выгр Кат'!$A:$R,N$1,0)</f>
        <v>200</v>
      </c>
      <c r="O293" s="28">
        <f>VLOOKUP($A293,'Выгр Кат'!$A:$R,O$1,0)</f>
        <v>289</v>
      </c>
      <c r="P293" s="30">
        <f t="shared" si="56"/>
        <v>0</v>
      </c>
      <c r="Q293" s="30">
        <f t="shared" si="57"/>
        <v>0</v>
      </c>
      <c r="R293" s="36">
        <f t="shared" si="58"/>
        <v>268.77</v>
      </c>
      <c r="S293" s="64">
        <f>IFERROR((VLOOKUP($A293,'Из ГУГЛа'!$B:$G,6,0)+U293)*T293,VLOOKUP($A293,'Из ГУГЛа'!$B:$G,6,0))</f>
        <v>549</v>
      </c>
      <c r="T293" s="38">
        <v>1</v>
      </c>
      <c r="U293" s="38">
        <v>0</v>
      </c>
      <c r="V293" s="39">
        <f t="shared" si="59"/>
        <v>0.34384999999999999</v>
      </c>
      <c r="W293" s="39">
        <f t="shared" si="60"/>
        <v>0.51043715846994542</v>
      </c>
      <c r="X293" s="39">
        <f t="shared" si="61"/>
        <v>1.7450000000000001</v>
      </c>
      <c r="Y293" s="40">
        <v>549</v>
      </c>
      <c r="Z293" s="46" t="s">
        <v>8054</v>
      </c>
    </row>
    <row r="294" spans="1:26" s="3" customFormat="1" ht="30" x14ac:dyDescent="0.25">
      <c r="A294" s="28">
        <v>132914</v>
      </c>
      <c r="B294" s="28">
        <f>VLOOKUP($A294,'Выгр Кат'!$A:$R,B$1,0)</f>
        <v>51382</v>
      </c>
      <c r="C294" s="27" t="str">
        <f>VLOOKUP($A294,'Выгр Кат'!$A:$R,C$1,0)</f>
        <v>Ароматизатор "ABRO" Organic консерва Клубника (Strawberry)</v>
      </c>
      <c r="D294" s="28" t="str">
        <f>VLOOKUP($A294,'Выгр Кат'!$A:$R,D$1,0)</f>
        <v>Y</v>
      </c>
      <c r="E294" s="28" t="str">
        <f>VLOOKUP($A294,'Выгр Кат'!$A:$R,E$1,0)</f>
        <v>1</v>
      </c>
      <c r="F294" s="28" t="str">
        <f>VLOOKUP($A294,'Выгр Кат'!$A:$R,F$1,0)</f>
        <v>70009</v>
      </c>
      <c r="G294" s="10">
        <v>70009</v>
      </c>
      <c r="H294" s="10"/>
      <c r="I294" s="1" t="s">
        <v>3</v>
      </c>
      <c r="J294" s="41">
        <f>N294</f>
        <v>200</v>
      </c>
      <c r="K294" s="2">
        <f>VLOOKUP(J294,Наценка!$A$1:$B$8,2,1)</f>
        <v>1.89</v>
      </c>
      <c r="L294" s="47">
        <v>289</v>
      </c>
      <c r="M294" s="42">
        <f t="shared" si="63"/>
        <v>289</v>
      </c>
      <c r="N294" s="28">
        <f>VLOOKUP($A294,'Выгр Кат'!$A:$R,N$1,0)</f>
        <v>200</v>
      </c>
      <c r="O294" s="28">
        <f>VLOOKUP($A294,'Выгр Кат'!$A:$R,O$1,0)</f>
        <v>289</v>
      </c>
      <c r="P294" s="30">
        <f t="shared" si="56"/>
        <v>0</v>
      </c>
      <c r="Q294" s="30">
        <f t="shared" si="57"/>
        <v>0</v>
      </c>
      <c r="R294" s="36">
        <f t="shared" si="58"/>
        <v>268.77</v>
      </c>
      <c r="S294" s="64">
        <f>IFERROR((VLOOKUP($A294,'Из ГУГЛа'!$B:$G,6,0)+U294)*T294,VLOOKUP($A294,'Из ГУГЛа'!$B:$G,6,0))</f>
        <v>549</v>
      </c>
      <c r="T294" s="38">
        <v>1</v>
      </c>
      <c r="U294" s="38">
        <v>0</v>
      </c>
      <c r="V294" s="39">
        <f t="shared" si="59"/>
        <v>0.34384999999999999</v>
      </c>
      <c r="W294" s="39">
        <f t="shared" si="60"/>
        <v>0.51043715846994542</v>
      </c>
      <c r="X294" s="39">
        <f t="shared" si="61"/>
        <v>1.7450000000000001</v>
      </c>
      <c r="Y294" s="40">
        <v>549</v>
      </c>
      <c r="Z294" s="46" t="s">
        <v>8054</v>
      </c>
    </row>
    <row r="295" spans="1:26" s="3" customFormat="1" ht="30" x14ac:dyDescent="0.25">
      <c r="A295" s="28">
        <v>132915</v>
      </c>
      <c r="B295" s="28">
        <f>VLOOKUP($A295,'Выгр Кат'!$A:$R,B$1,0)</f>
        <v>51383</v>
      </c>
      <c r="C295" s="27" t="str">
        <f>VLOOKUP($A295,'Выгр Кат'!$A:$R,C$1,0)</f>
        <v>Ароматизатор "ABRO" Organic консерва Кокос (Coconut)</v>
      </c>
      <c r="D295" s="28" t="str">
        <f>VLOOKUP($A295,'Выгр Кат'!$A:$R,D$1,0)</f>
        <v>Y</v>
      </c>
      <c r="E295" s="28" t="str">
        <f>VLOOKUP($A295,'Выгр Кат'!$A:$R,E$1,0)</f>
        <v>1</v>
      </c>
      <c r="F295" s="28" t="str">
        <f>VLOOKUP($A295,'Выгр Кат'!$A:$R,F$1,0)</f>
        <v>70010</v>
      </c>
      <c r="G295" s="10">
        <v>70010</v>
      </c>
      <c r="H295" s="10"/>
      <c r="I295" s="1" t="s">
        <v>3</v>
      </c>
      <c r="J295" s="42">
        <f>VLOOKUP(G295,Прайс!B:E,4,0)</f>
        <v>200</v>
      </c>
      <c r="K295" s="2">
        <f>VLOOKUP(J295,Наценка!$A$1:$B$8,2,1)</f>
        <v>1.89</v>
      </c>
      <c r="L295" s="47">
        <v>289</v>
      </c>
      <c r="M295" s="42">
        <f t="shared" si="63"/>
        <v>289</v>
      </c>
      <c r="N295" s="28">
        <f>VLOOKUP($A295,'Выгр Кат'!$A:$R,N$1,0)</f>
        <v>200</v>
      </c>
      <c r="O295" s="28">
        <f>VLOOKUP($A295,'Выгр Кат'!$A:$R,O$1,0)</f>
        <v>289</v>
      </c>
      <c r="P295" s="30">
        <f t="shared" si="56"/>
        <v>0</v>
      </c>
      <c r="Q295" s="30">
        <f t="shared" si="57"/>
        <v>0</v>
      </c>
      <c r="R295" s="36">
        <f t="shared" si="58"/>
        <v>268.77</v>
      </c>
      <c r="S295" s="64">
        <f>IFERROR((VLOOKUP($A295,'Из ГУГЛа'!$B:$G,6,0)+U295)*T295,VLOOKUP($A295,'Из ГУГЛа'!$B:$G,6,0))</f>
        <v>549</v>
      </c>
      <c r="T295" s="38">
        <v>1</v>
      </c>
      <c r="U295" s="38">
        <v>0</v>
      </c>
      <c r="V295" s="39">
        <f t="shared" si="59"/>
        <v>0.34384999999999999</v>
      </c>
      <c r="W295" s="39">
        <f t="shared" si="60"/>
        <v>0.51043715846994542</v>
      </c>
      <c r="X295" s="39">
        <f t="shared" si="61"/>
        <v>1.7450000000000001</v>
      </c>
      <c r="Y295" s="40">
        <v>549</v>
      </c>
      <c r="Z295" s="46" t="s">
        <v>8054</v>
      </c>
    </row>
    <row r="296" spans="1:26" s="3" customFormat="1" ht="30" x14ac:dyDescent="0.25">
      <c r="A296" s="28">
        <v>132927</v>
      </c>
      <c r="B296" s="28">
        <f>VLOOKUP($A296,'Выгр Кат'!$A:$R,B$1,0)</f>
        <v>51384</v>
      </c>
      <c r="C296" s="27" t="str">
        <f>VLOOKUP($A296,'Выгр Кат'!$A:$R,C$1,0)</f>
        <v>Ароматизатор "ABRO" Organic консерва Хлопок (Cotton)</v>
      </c>
      <c r="D296" s="28" t="str">
        <f>VLOOKUP($A296,'Выгр Кат'!$A:$R,D$1,0)</f>
        <v>Y</v>
      </c>
      <c r="E296" s="28" t="str">
        <f>VLOOKUP($A296,'Выгр Кат'!$A:$R,E$1,0)</f>
        <v>1</v>
      </c>
      <c r="F296" s="28" t="str">
        <f>VLOOKUP($A296,'Выгр Кат'!$A:$R,F$1,0)</f>
        <v>70011</v>
      </c>
      <c r="G296" s="10">
        <v>70011</v>
      </c>
      <c r="H296" s="10"/>
      <c r="I296" s="1" t="s">
        <v>3</v>
      </c>
      <c r="J296" s="42">
        <f>VLOOKUP(G296,Прайс!B:E,4,0)</f>
        <v>200</v>
      </c>
      <c r="K296" s="2">
        <f>VLOOKUP(J296,Наценка!$A$1:$B$8,2,1)</f>
        <v>1.89</v>
      </c>
      <c r="L296" s="47">
        <v>289</v>
      </c>
      <c r="M296" s="42">
        <f t="shared" si="63"/>
        <v>289</v>
      </c>
      <c r="N296" s="28">
        <f>VLOOKUP($A296,'Выгр Кат'!$A:$R,N$1,0)</f>
        <v>200</v>
      </c>
      <c r="O296" s="28">
        <f>VLOOKUP($A296,'Выгр Кат'!$A:$R,O$1,0)</f>
        <v>289</v>
      </c>
      <c r="P296" s="30">
        <f t="shared" si="56"/>
        <v>0</v>
      </c>
      <c r="Q296" s="30">
        <f t="shared" si="57"/>
        <v>0</v>
      </c>
      <c r="R296" s="36">
        <f t="shared" si="58"/>
        <v>268.77</v>
      </c>
      <c r="S296" s="64">
        <f>IFERROR((VLOOKUP($A296,'Из ГУГЛа'!$B:$G,6,0)+U296)*T296,VLOOKUP($A296,'Из ГУГЛа'!$B:$G,6,0))</f>
        <v>549</v>
      </c>
      <c r="T296" s="38">
        <v>1</v>
      </c>
      <c r="U296" s="38">
        <v>0</v>
      </c>
      <c r="V296" s="39">
        <f t="shared" si="59"/>
        <v>0.34384999999999999</v>
      </c>
      <c r="W296" s="39">
        <f t="shared" si="60"/>
        <v>0.51043715846994542</v>
      </c>
      <c r="X296" s="39">
        <f t="shared" si="61"/>
        <v>1.7450000000000001</v>
      </c>
      <c r="Y296" s="40">
        <v>549</v>
      </c>
      <c r="Z296" s="46" t="s">
        <v>8054</v>
      </c>
    </row>
    <row r="297" spans="1:26" s="3" customFormat="1" ht="30" x14ac:dyDescent="0.25">
      <c r="A297" s="28">
        <v>132917</v>
      </c>
      <c r="B297" s="28">
        <f>VLOOKUP($A297,'Выгр Кат'!$A:$R,B$1,0)</f>
        <v>51385</v>
      </c>
      <c r="C297" s="27" t="str">
        <f>VLOOKUP($A297,'Выгр Кат'!$A:$R,C$1,0)</f>
        <v>Ароматизатор "ABRO" Organic консерва Лаванда (Lavender)</v>
      </c>
      <c r="D297" s="28" t="str">
        <f>VLOOKUP($A297,'Выгр Кат'!$A:$R,D$1,0)</f>
        <v>Y</v>
      </c>
      <c r="E297" s="28" t="str">
        <f>VLOOKUP($A297,'Выгр Кат'!$A:$R,E$1,0)</f>
        <v>1</v>
      </c>
      <c r="F297" s="28" t="str">
        <f>VLOOKUP($A297,'Выгр Кат'!$A:$R,F$1,0)</f>
        <v>70012</v>
      </c>
      <c r="G297" s="10">
        <v>70012</v>
      </c>
      <c r="H297" s="10"/>
      <c r="I297" s="1" t="s">
        <v>3</v>
      </c>
      <c r="J297" s="42">
        <f>VLOOKUP(G297,Прайс!B:E,4,0)</f>
        <v>200</v>
      </c>
      <c r="K297" s="2">
        <f>VLOOKUP(J297,Наценка!$A$1:$B$8,2,1)</f>
        <v>1.89</v>
      </c>
      <c r="L297" s="47">
        <v>289</v>
      </c>
      <c r="M297" s="42">
        <f t="shared" si="63"/>
        <v>289</v>
      </c>
      <c r="N297" s="28">
        <f>VLOOKUP($A297,'Выгр Кат'!$A:$R,N$1,0)</f>
        <v>200</v>
      </c>
      <c r="O297" s="28">
        <f>VLOOKUP($A297,'Выгр Кат'!$A:$R,O$1,0)</f>
        <v>289</v>
      </c>
      <c r="P297" s="30">
        <f t="shared" si="56"/>
        <v>0</v>
      </c>
      <c r="Q297" s="30">
        <f t="shared" si="57"/>
        <v>0</v>
      </c>
      <c r="R297" s="36">
        <f t="shared" si="58"/>
        <v>268.77</v>
      </c>
      <c r="S297" s="64">
        <f>IFERROR((VLOOKUP($A297,'Из ГУГЛа'!$B:$G,6,0)+U297)*T297,VLOOKUP($A297,'Из ГУГЛа'!$B:$G,6,0))</f>
        <v>549</v>
      </c>
      <c r="T297" s="38">
        <v>1</v>
      </c>
      <c r="U297" s="38">
        <v>0</v>
      </c>
      <c r="V297" s="39">
        <f t="shared" si="59"/>
        <v>0.34384999999999999</v>
      </c>
      <c r="W297" s="39">
        <f t="shared" si="60"/>
        <v>0.51043715846994542</v>
      </c>
      <c r="X297" s="39">
        <f t="shared" si="61"/>
        <v>1.7450000000000001</v>
      </c>
      <c r="Y297" s="40">
        <v>549</v>
      </c>
      <c r="Z297" s="46" t="s">
        <v>8054</v>
      </c>
    </row>
    <row r="298" spans="1:26" s="3" customFormat="1" ht="30" x14ac:dyDescent="0.25">
      <c r="A298" s="28">
        <v>132919</v>
      </c>
      <c r="B298" s="28">
        <f>VLOOKUP($A298,'Выгр Кат'!$A:$R,B$1,0)</f>
        <v>51386</v>
      </c>
      <c r="C298" s="27" t="str">
        <f>VLOOKUP($A298,'Выгр Кат'!$A:$R,C$1,0)</f>
        <v>Ароматизатор "ABRO" Organic консерва Лесная ягода (Wild Berry)</v>
      </c>
      <c r="D298" s="28" t="str">
        <f>VLOOKUP($A298,'Выгр Кат'!$A:$R,D$1,0)</f>
        <v>Y</v>
      </c>
      <c r="E298" s="28" t="str">
        <f>VLOOKUP($A298,'Выгр Кат'!$A:$R,E$1,0)</f>
        <v>1</v>
      </c>
      <c r="F298" s="28" t="str">
        <f>VLOOKUP($A298,'Выгр Кат'!$A:$R,F$1,0)</f>
        <v>70013</v>
      </c>
      <c r="G298" s="10">
        <v>70013</v>
      </c>
      <c r="H298" s="10"/>
      <c r="I298" s="1" t="s">
        <v>3</v>
      </c>
      <c r="J298" s="41">
        <f t="shared" ref="J298:J299" si="68">N298</f>
        <v>200</v>
      </c>
      <c r="K298" s="2">
        <f>VLOOKUP(J298,Наценка!$A$1:$B$8,2,1)</f>
        <v>1.89</v>
      </c>
      <c r="L298" s="47">
        <v>289</v>
      </c>
      <c r="M298" s="42">
        <f t="shared" si="63"/>
        <v>289</v>
      </c>
      <c r="N298" s="28">
        <f>VLOOKUP($A298,'Выгр Кат'!$A:$R,N$1,0)</f>
        <v>200</v>
      </c>
      <c r="O298" s="28">
        <f>VLOOKUP($A298,'Выгр Кат'!$A:$R,O$1,0)</f>
        <v>289</v>
      </c>
      <c r="P298" s="30">
        <f t="shared" si="56"/>
        <v>0</v>
      </c>
      <c r="Q298" s="30">
        <f t="shared" si="57"/>
        <v>0</v>
      </c>
      <c r="R298" s="36">
        <f t="shared" si="58"/>
        <v>268.77</v>
      </c>
      <c r="S298" s="64">
        <f>IFERROR((VLOOKUP($A298,'Из ГУГЛа'!$B:$G,6,0)+U298)*T298,VLOOKUP($A298,'Из ГУГЛа'!$B:$G,6,0))</f>
        <v>549</v>
      </c>
      <c r="T298" s="38">
        <v>1</v>
      </c>
      <c r="U298" s="38">
        <v>0</v>
      </c>
      <c r="V298" s="39">
        <f t="shared" si="59"/>
        <v>0.34384999999999999</v>
      </c>
      <c r="W298" s="39">
        <f t="shared" si="60"/>
        <v>0.51043715846994542</v>
      </c>
      <c r="X298" s="39">
        <f t="shared" si="61"/>
        <v>1.7450000000000001</v>
      </c>
      <c r="Y298" s="40">
        <v>549</v>
      </c>
      <c r="Z298" s="46" t="s">
        <v>8054</v>
      </c>
    </row>
    <row r="299" spans="1:26" s="3" customFormat="1" ht="30" x14ac:dyDescent="0.25">
      <c r="A299" s="28">
        <v>132920</v>
      </c>
      <c r="B299" s="28">
        <f>VLOOKUP($A299,'Выгр Кат'!$A:$R,B$1,0)</f>
        <v>51387</v>
      </c>
      <c r="C299" s="27" t="str">
        <f>VLOOKUP($A299,'Выгр Кат'!$A:$R,C$1,0)</f>
        <v>Ароматизатор "ABRO" Organic консерва Лимон (Lemon)</v>
      </c>
      <c r="D299" s="28" t="str">
        <f>VLOOKUP($A299,'Выгр Кат'!$A:$R,D$1,0)</f>
        <v>Y</v>
      </c>
      <c r="E299" s="28" t="str">
        <f>VLOOKUP($A299,'Выгр Кат'!$A:$R,E$1,0)</f>
        <v>1</v>
      </c>
      <c r="F299" s="28" t="str">
        <f>VLOOKUP($A299,'Выгр Кат'!$A:$R,F$1,0)</f>
        <v>70014</v>
      </c>
      <c r="G299" s="10">
        <v>70014</v>
      </c>
      <c r="H299" s="10"/>
      <c r="I299" s="1" t="s">
        <v>3</v>
      </c>
      <c r="J299" s="41">
        <f t="shared" si="68"/>
        <v>200</v>
      </c>
      <c r="K299" s="2">
        <f>VLOOKUP(J299,Наценка!$A$1:$B$8,2,1)</f>
        <v>1.89</v>
      </c>
      <c r="L299" s="47">
        <v>289</v>
      </c>
      <c r="M299" s="42">
        <f t="shared" si="63"/>
        <v>289</v>
      </c>
      <c r="N299" s="28">
        <f>VLOOKUP($A299,'Выгр Кат'!$A:$R,N$1,0)</f>
        <v>200</v>
      </c>
      <c r="O299" s="28">
        <f>VLOOKUP($A299,'Выгр Кат'!$A:$R,O$1,0)</f>
        <v>289</v>
      </c>
      <c r="P299" s="30">
        <f t="shared" si="56"/>
        <v>0</v>
      </c>
      <c r="Q299" s="30">
        <f t="shared" si="57"/>
        <v>0</v>
      </c>
      <c r="R299" s="36">
        <f t="shared" si="58"/>
        <v>268.77</v>
      </c>
      <c r="S299" s="64">
        <f>IFERROR((VLOOKUP($A299,'Из ГУГЛа'!$B:$G,6,0)+U299)*T299,VLOOKUP($A299,'Из ГУГЛа'!$B:$G,6,0))</f>
        <v>549</v>
      </c>
      <c r="T299" s="38">
        <v>1</v>
      </c>
      <c r="U299" s="38">
        <v>0</v>
      </c>
      <c r="V299" s="39">
        <f t="shared" si="59"/>
        <v>0.34384999999999999</v>
      </c>
      <c r="W299" s="39">
        <f t="shared" si="60"/>
        <v>0.51043715846994542</v>
      </c>
      <c r="X299" s="39">
        <f t="shared" si="61"/>
        <v>1.7450000000000001</v>
      </c>
      <c r="Y299" s="40">
        <v>549</v>
      </c>
      <c r="Z299" s="46" t="s">
        <v>8054</v>
      </c>
    </row>
    <row r="300" spans="1:26" s="3" customFormat="1" ht="45" x14ac:dyDescent="0.25">
      <c r="A300" s="28">
        <v>132923</v>
      </c>
      <c r="B300" s="28">
        <f>VLOOKUP($A300,'Выгр Кат'!$A:$R,B$1,0)</f>
        <v>51388</v>
      </c>
      <c r="C300" s="27" t="str">
        <f>VLOOKUP($A300,'Выгр Кат'!$A:$R,C$1,0)</f>
        <v>Ароматизатор "ABRO" Organic консерва Освежающий Бриз (Refreshing Breeze)</v>
      </c>
      <c r="D300" s="28" t="str">
        <f>VLOOKUP($A300,'Выгр Кат'!$A:$R,D$1,0)</f>
        <v>Y</v>
      </c>
      <c r="E300" s="28" t="str">
        <f>VLOOKUP($A300,'Выгр Кат'!$A:$R,E$1,0)</f>
        <v>1</v>
      </c>
      <c r="F300" s="28" t="str">
        <f>VLOOKUP($A300,'Выгр Кат'!$A:$R,F$1,0)</f>
        <v>70015</v>
      </c>
      <c r="G300" s="10">
        <v>70015</v>
      </c>
      <c r="H300" s="10"/>
      <c r="I300" s="1" t="s">
        <v>3</v>
      </c>
      <c r="J300" s="42">
        <f>VLOOKUP(G300,Прайс!B:E,4,0)</f>
        <v>200</v>
      </c>
      <c r="K300" s="2">
        <f>VLOOKUP(J300,Наценка!$A$1:$B$8,2,1)</f>
        <v>1.89</v>
      </c>
      <c r="L300" s="47">
        <v>289</v>
      </c>
      <c r="M300" s="42">
        <f t="shared" si="63"/>
        <v>289</v>
      </c>
      <c r="N300" s="28">
        <f>VLOOKUP($A300,'Выгр Кат'!$A:$R,N$1,0)</f>
        <v>200</v>
      </c>
      <c r="O300" s="28">
        <f>VLOOKUP($A300,'Выгр Кат'!$A:$R,O$1,0)</f>
        <v>289</v>
      </c>
      <c r="P300" s="30">
        <f t="shared" si="56"/>
        <v>0</v>
      </c>
      <c r="Q300" s="30">
        <f t="shared" si="57"/>
        <v>0</v>
      </c>
      <c r="R300" s="36">
        <f t="shared" si="58"/>
        <v>268.77</v>
      </c>
      <c r="S300" s="64">
        <f>IFERROR((VLOOKUP($A300,'Из ГУГЛа'!$B:$G,6,0)+U300)*T300,VLOOKUP($A300,'Из ГУГЛа'!$B:$G,6,0))</f>
        <v>549</v>
      </c>
      <c r="T300" s="38">
        <v>1</v>
      </c>
      <c r="U300" s="38">
        <v>0</v>
      </c>
      <c r="V300" s="39">
        <f t="shared" si="59"/>
        <v>0.34384999999999999</v>
      </c>
      <c r="W300" s="39">
        <f t="shared" si="60"/>
        <v>0.51043715846994542</v>
      </c>
      <c r="X300" s="39">
        <f t="shared" si="61"/>
        <v>1.7450000000000001</v>
      </c>
      <c r="Y300" s="40">
        <v>549</v>
      </c>
      <c r="Z300" s="46" t="s">
        <v>8054</v>
      </c>
    </row>
    <row r="301" spans="1:26" s="3" customFormat="1" ht="45" x14ac:dyDescent="0.25">
      <c r="A301" s="28">
        <v>132926</v>
      </c>
      <c r="B301" s="28">
        <f>VLOOKUP($A301,'Выгр Кат'!$A:$R,B$1,0)</f>
        <v>51389</v>
      </c>
      <c r="C301" s="27" t="str">
        <f>VLOOKUP($A301,'Выгр Кат'!$A:$R,C$1,0)</f>
        <v>Ароматизатор "ABRO" Organic консерва Тропический Бриз (Tropicana Breeze)</v>
      </c>
      <c r="D301" s="28" t="str">
        <f>VLOOKUP($A301,'Выгр Кат'!$A:$R,D$1,0)</f>
        <v>Y</v>
      </c>
      <c r="E301" s="28" t="str">
        <f>VLOOKUP($A301,'Выгр Кат'!$A:$R,E$1,0)</f>
        <v>1</v>
      </c>
      <c r="F301" s="28" t="str">
        <f>VLOOKUP($A301,'Выгр Кат'!$A:$R,F$1,0)</f>
        <v>70018</v>
      </c>
      <c r="G301" s="10">
        <v>70018</v>
      </c>
      <c r="H301" s="10"/>
      <c r="I301" s="1" t="s">
        <v>3</v>
      </c>
      <c r="J301" s="41">
        <f>N301</f>
        <v>200</v>
      </c>
      <c r="K301" s="2">
        <f>VLOOKUP(J301,Наценка!$A$1:$B$8,2,1)</f>
        <v>1.89</v>
      </c>
      <c r="L301" s="47">
        <v>289</v>
      </c>
      <c r="M301" s="42">
        <f t="shared" si="63"/>
        <v>289</v>
      </c>
      <c r="N301" s="28">
        <f>VLOOKUP($A301,'Выгр Кат'!$A:$R,N$1,0)</f>
        <v>200</v>
      </c>
      <c r="O301" s="28">
        <f>VLOOKUP($A301,'Выгр Кат'!$A:$R,O$1,0)</f>
        <v>289</v>
      </c>
      <c r="P301" s="30">
        <f t="shared" si="56"/>
        <v>0</v>
      </c>
      <c r="Q301" s="30">
        <f t="shared" si="57"/>
        <v>0</v>
      </c>
      <c r="R301" s="36">
        <f t="shared" si="58"/>
        <v>268.77</v>
      </c>
      <c r="S301" s="64">
        <f>IFERROR((VLOOKUP($A301,'Из ГУГЛа'!$B:$G,6,0)+U301)*T301,VLOOKUP($A301,'Из ГУГЛа'!$B:$G,6,0))</f>
        <v>549</v>
      </c>
      <c r="T301" s="38">
        <v>1</v>
      </c>
      <c r="U301" s="38">
        <v>0</v>
      </c>
      <c r="V301" s="39">
        <f t="shared" si="59"/>
        <v>0.34384999999999999</v>
      </c>
      <c r="W301" s="39">
        <f t="shared" si="60"/>
        <v>0.51043715846994542</v>
      </c>
      <c r="X301" s="39">
        <f t="shared" si="61"/>
        <v>1.7450000000000001</v>
      </c>
      <c r="Y301" s="40">
        <v>549</v>
      </c>
      <c r="Z301" s="46" t="s">
        <v>8054</v>
      </c>
    </row>
    <row r="302" spans="1:26" s="3" customFormat="1" ht="30" x14ac:dyDescent="0.25">
      <c r="A302" s="28">
        <v>132925</v>
      </c>
      <c r="B302" s="28">
        <f>VLOOKUP($A302,'Выгр Кат'!$A:$R,B$1,0)</f>
        <v>51390</v>
      </c>
      <c r="C302" s="27" t="str">
        <f>VLOOKUP($A302,'Выгр Кат'!$A:$R,C$1,0)</f>
        <v>Ароматизатор "ABRO" Organic консерва Сосна (Pine)</v>
      </c>
      <c r="D302" s="28" t="str">
        <f>VLOOKUP($A302,'Выгр Кат'!$A:$R,D$1,0)</f>
        <v>Y</v>
      </c>
      <c r="E302" s="28" t="str">
        <f>VLOOKUP($A302,'Выгр Кат'!$A:$R,E$1,0)</f>
        <v>1</v>
      </c>
      <c r="F302" s="28" t="str">
        <f>VLOOKUP($A302,'Выгр Кат'!$A:$R,F$1,0)</f>
        <v>70019</v>
      </c>
      <c r="G302" s="10">
        <v>70019</v>
      </c>
      <c r="H302" s="10"/>
      <c r="I302" s="1" t="s">
        <v>3</v>
      </c>
      <c r="J302" s="42">
        <f>VLOOKUP(G302,Прайс!B:E,4,0)</f>
        <v>200</v>
      </c>
      <c r="K302" s="2">
        <f>VLOOKUP(J302,Наценка!$A$1:$B$8,2,1)</f>
        <v>1.89</v>
      </c>
      <c r="L302" s="47">
        <v>289</v>
      </c>
      <c r="M302" s="42">
        <f t="shared" si="63"/>
        <v>289</v>
      </c>
      <c r="N302" s="28">
        <f>VLOOKUP($A302,'Выгр Кат'!$A:$R,N$1,0)</f>
        <v>200</v>
      </c>
      <c r="O302" s="28">
        <f>VLOOKUP($A302,'Выгр Кат'!$A:$R,O$1,0)</f>
        <v>289</v>
      </c>
      <c r="P302" s="30">
        <f t="shared" si="56"/>
        <v>0</v>
      </c>
      <c r="Q302" s="30">
        <f t="shared" si="57"/>
        <v>0</v>
      </c>
      <c r="R302" s="36">
        <f t="shared" si="58"/>
        <v>268.77</v>
      </c>
      <c r="S302" s="64">
        <f>IFERROR((VLOOKUP($A302,'Из ГУГЛа'!$B:$G,6,0)+U302)*T302,VLOOKUP($A302,'Из ГУГЛа'!$B:$G,6,0))</f>
        <v>549</v>
      </c>
      <c r="T302" s="38">
        <v>1</v>
      </c>
      <c r="U302" s="38">
        <v>0</v>
      </c>
      <c r="V302" s="39">
        <f t="shared" si="59"/>
        <v>0.34384999999999999</v>
      </c>
      <c r="W302" s="39">
        <f t="shared" si="60"/>
        <v>0.51043715846994542</v>
      </c>
      <c r="X302" s="39">
        <f t="shared" si="61"/>
        <v>1.7450000000000001</v>
      </c>
      <c r="Y302" s="40">
        <v>549</v>
      </c>
      <c r="Z302" s="46" t="s">
        <v>8054</v>
      </c>
    </row>
    <row r="303" spans="1:26" s="3" customFormat="1" ht="30" x14ac:dyDescent="0.25">
      <c r="A303" s="28">
        <v>132916</v>
      </c>
      <c r="B303" s="28">
        <f>VLOOKUP($A303,'Выгр Кат'!$A:$R,B$1,0)</f>
        <v>51391</v>
      </c>
      <c r="C303" s="27" t="str">
        <f>VLOOKUP($A303,'Выгр Кат'!$A:$R,C$1,0)</f>
        <v>Ароматизатор "ABRO" Organic консерва Кофе (Coffee)</v>
      </c>
      <c r="D303" s="28" t="str">
        <f>VLOOKUP($A303,'Выгр Кат'!$A:$R,D$1,0)</f>
        <v>Y</v>
      </c>
      <c r="E303" s="28" t="str">
        <f>VLOOKUP($A303,'Выгр Кат'!$A:$R,E$1,0)</f>
        <v>1</v>
      </c>
      <c r="F303" s="28" t="str">
        <f>VLOOKUP($A303,'Выгр Кат'!$A:$R,F$1,0)</f>
        <v>71368</v>
      </c>
      <c r="G303" s="10">
        <v>71368</v>
      </c>
      <c r="H303" s="10"/>
      <c r="I303" s="1" t="s">
        <v>3</v>
      </c>
      <c r="J303" s="41">
        <f t="shared" ref="J303:J304" si="69">N303</f>
        <v>200</v>
      </c>
      <c r="K303" s="2">
        <f>VLOOKUP(J303,Наценка!$A$1:$B$8,2,1)</f>
        <v>1.89</v>
      </c>
      <c r="L303" s="47">
        <v>289</v>
      </c>
      <c r="M303" s="42">
        <f t="shared" si="63"/>
        <v>289</v>
      </c>
      <c r="N303" s="28">
        <f>VLOOKUP($A303,'Выгр Кат'!$A:$R,N$1,0)</f>
        <v>200</v>
      </c>
      <c r="O303" s="28">
        <f>VLOOKUP($A303,'Выгр Кат'!$A:$R,O$1,0)</f>
        <v>289</v>
      </c>
      <c r="P303" s="30">
        <f t="shared" si="56"/>
        <v>0</v>
      </c>
      <c r="Q303" s="30">
        <f t="shared" si="57"/>
        <v>0</v>
      </c>
      <c r="R303" s="36">
        <f t="shared" si="58"/>
        <v>268.77</v>
      </c>
      <c r="S303" s="64">
        <f>IFERROR((VLOOKUP($A303,'Из ГУГЛа'!$B:$G,6,0)+U303)*T303,VLOOKUP($A303,'Из ГУГЛа'!$B:$G,6,0))</f>
        <v>549</v>
      </c>
      <c r="T303" s="38">
        <v>1</v>
      </c>
      <c r="U303" s="38">
        <v>0</v>
      </c>
      <c r="V303" s="39">
        <f t="shared" si="59"/>
        <v>0.34384999999999999</v>
      </c>
      <c r="W303" s="39">
        <f t="shared" si="60"/>
        <v>0.51043715846994542</v>
      </c>
      <c r="X303" s="39">
        <f t="shared" si="61"/>
        <v>1.7450000000000001</v>
      </c>
      <c r="Y303" s="40">
        <v>549</v>
      </c>
      <c r="Z303" s="46" t="s">
        <v>8054</v>
      </c>
    </row>
    <row r="304" spans="1:26" s="3" customFormat="1" ht="30" x14ac:dyDescent="0.25">
      <c r="A304" s="28">
        <v>132911</v>
      </c>
      <c r="B304" s="28">
        <f>VLOOKUP($A304,'Выгр Кат'!$A:$R,B$1,0)</f>
        <v>51392</v>
      </c>
      <c r="C304" s="27" t="str">
        <f>VLOOKUP($A304,'Выгр Кат'!$A:$R,C$1,0)</f>
        <v>Ароматизатор "ABRO" Organic консерва Дыня (Melon)</v>
      </c>
      <c r="D304" s="28" t="str">
        <f>VLOOKUP($A304,'Выгр Кат'!$A:$R,D$1,0)</f>
        <v>Y</v>
      </c>
      <c r="E304" s="28" t="str">
        <f>VLOOKUP($A304,'Выгр Кат'!$A:$R,E$1,0)</f>
        <v>1</v>
      </c>
      <c r="F304" s="28" t="str">
        <f>VLOOKUP($A304,'Выгр Кат'!$A:$R,F$1,0)</f>
        <v>71370</v>
      </c>
      <c r="G304" s="10">
        <v>71370</v>
      </c>
      <c r="H304" s="10"/>
      <c r="I304" s="1" t="s">
        <v>3</v>
      </c>
      <c r="J304" s="41">
        <f t="shared" si="69"/>
        <v>200</v>
      </c>
      <c r="K304" s="2">
        <f>VLOOKUP(J304,Наценка!$A$1:$B$8,2,1)</f>
        <v>1.89</v>
      </c>
      <c r="L304" s="47">
        <v>289</v>
      </c>
      <c r="M304" s="42">
        <f t="shared" si="63"/>
        <v>289</v>
      </c>
      <c r="N304" s="28">
        <f>VLOOKUP($A304,'Выгр Кат'!$A:$R,N$1,0)</f>
        <v>200</v>
      </c>
      <c r="O304" s="28">
        <f>VLOOKUP($A304,'Выгр Кат'!$A:$R,O$1,0)</f>
        <v>289</v>
      </c>
      <c r="P304" s="30">
        <f t="shared" si="56"/>
        <v>0</v>
      </c>
      <c r="Q304" s="30">
        <f t="shared" si="57"/>
        <v>0</v>
      </c>
      <c r="R304" s="36">
        <f t="shared" si="58"/>
        <v>268.77</v>
      </c>
      <c r="S304" s="64">
        <f>IFERROR((VLOOKUP($A304,'Из ГУГЛа'!$B:$G,6,0)+U304)*T304,VLOOKUP($A304,'Из ГУГЛа'!$B:$G,6,0))</f>
        <v>549</v>
      </c>
      <c r="T304" s="38">
        <v>1</v>
      </c>
      <c r="U304" s="38">
        <v>0</v>
      </c>
      <c r="V304" s="39">
        <f t="shared" si="59"/>
        <v>0.34384999999999999</v>
      </c>
      <c r="W304" s="39">
        <f t="shared" si="60"/>
        <v>0.51043715846994542</v>
      </c>
      <c r="X304" s="39">
        <f t="shared" si="61"/>
        <v>1.7450000000000001</v>
      </c>
      <c r="Y304" s="40">
        <v>549</v>
      </c>
      <c r="Z304" s="46" t="s">
        <v>8054</v>
      </c>
    </row>
    <row r="305" spans="1:26" s="3" customFormat="1" ht="30" x14ac:dyDescent="0.25">
      <c r="A305" s="28">
        <v>132921</v>
      </c>
      <c r="B305" s="28">
        <f>VLOOKUP($A305,'Выгр Кат'!$A:$R,B$1,0)</f>
        <v>51393</v>
      </c>
      <c r="C305" s="27" t="str">
        <f>VLOOKUP($A305,'Выгр Кат'!$A:$R,C$1,0)</f>
        <v>Ароматизатор "ABRO" Organic консерва Морской Сквош (Squash)</v>
      </c>
      <c r="D305" s="28" t="str">
        <f>VLOOKUP($A305,'Выгр Кат'!$A:$R,D$1,0)</f>
        <v>Y</v>
      </c>
      <c r="E305" s="28" t="str">
        <f>VLOOKUP($A305,'Выгр Кат'!$A:$R,E$1,0)</f>
        <v>1</v>
      </c>
      <c r="F305" s="28" t="str">
        <f>VLOOKUP($A305,'Выгр Кат'!$A:$R,F$1,0)</f>
        <v>71642</v>
      </c>
      <c r="G305" s="10">
        <v>71642</v>
      </c>
      <c r="H305" s="10"/>
      <c r="I305" s="1" t="s">
        <v>3</v>
      </c>
      <c r="J305" s="42">
        <f>VLOOKUP(G305,Прайс!B:E,4,0)</f>
        <v>200</v>
      </c>
      <c r="K305" s="2">
        <f>VLOOKUP(J305,Наценка!$A$1:$B$8,2,1)</f>
        <v>1.89</v>
      </c>
      <c r="L305" s="47">
        <v>289</v>
      </c>
      <c r="M305" s="42">
        <f t="shared" si="63"/>
        <v>289</v>
      </c>
      <c r="N305" s="28">
        <f>VLOOKUP($A305,'Выгр Кат'!$A:$R,N$1,0)</f>
        <v>200</v>
      </c>
      <c r="O305" s="28">
        <f>VLOOKUP($A305,'Выгр Кат'!$A:$R,O$1,0)</f>
        <v>289</v>
      </c>
      <c r="P305" s="30">
        <f t="shared" si="56"/>
        <v>0</v>
      </c>
      <c r="Q305" s="30">
        <f t="shared" si="57"/>
        <v>0</v>
      </c>
      <c r="R305" s="36">
        <f t="shared" si="58"/>
        <v>268.77</v>
      </c>
      <c r="S305" s="64">
        <f>IFERROR((VLOOKUP($A305,'Из ГУГЛа'!$B:$G,6,0)+U305)*T305,VLOOKUP($A305,'Из ГУГЛа'!$B:$G,6,0))</f>
        <v>549</v>
      </c>
      <c r="T305" s="38">
        <v>1</v>
      </c>
      <c r="U305" s="38">
        <v>0</v>
      </c>
      <c r="V305" s="39">
        <f t="shared" si="59"/>
        <v>0.34384999999999999</v>
      </c>
      <c r="W305" s="39">
        <f t="shared" si="60"/>
        <v>0.51043715846994542</v>
      </c>
      <c r="X305" s="39">
        <f t="shared" si="61"/>
        <v>1.7450000000000001</v>
      </c>
      <c r="Y305" s="40">
        <v>549</v>
      </c>
      <c r="Z305" s="46" t="s">
        <v>8054</v>
      </c>
    </row>
    <row r="306" spans="1:26" s="3" customFormat="1" ht="45" x14ac:dyDescent="0.25">
      <c r="A306" s="28">
        <v>132908</v>
      </c>
      <c r="B306" s="28">
        <f>VLOOKUP($A306,'Выгр Кат'!$A:$R,B$1,0)</f>
        <v>53030</v>
      </c>
      <c r="C306" s="27" t="str">
        <f>VLOOKUP($A306,'Выгр Кат'!$A:$R,C$1,0)</f>
        <v>Ароматизатор "ABRO" Organic консерва БубльГум-Клубника (Buble Gum-Strawberries)</v>
      </c>
      <c r="D306" s="28" t="str">
        <f>VLOOKUP($A306,'Выгр Кат'!$A:$R,D$1,0)</f>
        <v>Y</v>
      </c>
      <c r="E306" s="28" t="str">
        <f>VLOOKUP($A306,'Выгр Кат'!$A:$R,E$1,0)</f>
        <v>1</v>
      </c>
      <c r="F306" s="28" t="str">
        <f>VLOOKUP($A306,'Выгр Кат'!$A:$R,F$1,0)</f>
        <v>72251</v>
      </c>
      <c r="G306" s="16">
        <v>72251</v>
      </c>
      <c r="H306" s="16"/>
      <c r="I306" s="1" t="s">
        <v>3</v>
      </c>
      <c r="J306" s="41">
        <f>N306</f>
        <v>200</v>
      </c>
      <c r="K306" s="2">
        <f>VLOOKUP(J306,Наценка!$A$1:$B$8,2,1)</f>
        <v>1.89</v>
      </c>
      <c r="L306" s="47">
        <v>289</v>
      </c>
      <c r="M306" s="42">
        <f t="shared" si="63"/>
        <v>289</v>
      </c>
      <c r="N306" s="28">
        <f>VLOOKUP($A306,'Выгр Кат'!$A:$R,N$1,0)</f>
        <v>200</v>
      </c>
      <c r="O306" s="28">
        <f>VLOOKUP($A306,'Выгр Кат'!$A:$R,O$1,0)</f>
        <v>289</v>
      </c>
      <c r="P306" s="30">
        <f t="shared" si="56"/>
        <v>0</v>
      </c>
      <c r="Q306" s="30">
        <f t="shared" si="57"/>
        <v>0</v>
      </c>
      <c r="R306" s="36">
        <f t="shared" si="58"/>
        <v>268.77</v>
      </c>
      <c r="S306" s="64">
        <f>IFERROR((VLOOKUP($A306,'Из ГУГЛа'!$B:$G,6,0)+U306)*T306,VLOOKUP($A306,'Из ГУГЛа'!$B:$G,6,0))</f>
        <v>549</v>
      </c>
      <c r="T306" s="38">
        <v>1</v>
      </c>
      <c r="U306" s="38">
        <v>0</v>
      </c>
      <c r="V306" s="39">
        <f t="shared" si="59"/>
        <v>0.34384999999999999</v>
      </c>
      <c r="W306" s="39">
        <f t="shared" si="60"/>
        <v>0.51043715846994542</v>
      </c>
      <c r="X306" s="39">
        <f t="shared" si="61"/>
        <v>1.7450000000000001</v>
      </c>
      <c r="Y306" s="40">
        <v>549</v>
      </c>
      <c r="Z306" s="46" t="s">
        <v>8054</v>
      </c>
    </row>
    <row r="307" spans="1:26" s="3" customFormat="1" ht="30" x14ac:dyDescent="0.25">
      <c r="A307" s="28">
        <v>132918</v>
      </c>
      <c r="B307" s="28">
        <f>VLOOKUP($A307,'Выгр Кат'!$A:$R,B$1,0)</f>
        <v>53032</v>
      </c>
      <c r="C307" s="27" t="str">
        <f>VLOOKUP($A307,'Выгр Кат'!$A:$R,C$1,0)</f>
        <v>Ароматизатор "ABRO" Organic консерва Лёгкий бриз (CoolBreeze)</v>
      </c>
      <c r="D307" s="28" t="str">
        <f>VLOOKUP($A307,'Выгр Кат'!$A:$R,D$1,0)</f>
        <v>Y</v>
      </c>
      <c r="E307" s="28" t="str">
        <f>VLOOKUP($A307,'Выгр Кат'!$A:$R,E$1,0)</f>
        <v>0</v>
      </c>
      <c r="F307" s="28" t="str">
        <f>VLOOKUP($A307,'Выгр Кат'!$A:$R,F$1,0)</f>
        <v>70017</v>
      </c>
      <c r="G307" s="16">
        <v>70017</v>
      </c>
      <c r="H307" s="16"/>
      <c r="I307" s="1" t="s">
        <v>3</v>
      </c>
      <c r="J307" s="42">
        <f>VLOOKUP(G307,Прайс!B:E,4,0)</f>
        <v>200</v>
      </c>
      <c r="K307" s="2">
        <f>VLOOKUP(J307,Наценка!$A$1:$B$8,2,1)</f>
        <v>1.89</v>
      </c>
      <c r="L307" s="47">
        <v>289</v>
      </c>
      <c r="M307" s="42">
        <f t="shared" si="63"/>
        <v>289</v>
      </c>
      <c r="N307" s="28">
        <f>VLOOKUP($A307,'Выгр Кат'!$A:$R,N$1,0)</f>
        <v>200</v>
      </c>
      <c r="O307" s="28">
        <f>VLOOKUP($A307,'Выгр Кат'!$A:$R,O$1,0)</f>
        <v>289</v>
      </c>
      <c r="P307" s="30">
        <f t="shared" si="56"/>
        <v>0</v>
      </c>
      <c r="Q307" s="30">
        <f t="shared" si="57"/>
        <v>0</v>
      </c>
      <c r="R307" s="36">
        <f t="shared" si="58"/>
        <v>268.77</v>
      </c>
      <c r="S307" s="64">
        <f>IFERROR((VLOOKUP($A307,'Из ГУГЛа'!$B:$G,6,0)+U307)*T307,VLOOKUP($A307,'Из ГУГЛа'!$B:$G,6,0))</f>
        <v>549</v>
      </c>
      <c r="T307" s="38">
        <v>1</v>
      </c>
      <c r="U307" s="38">
        <v>0</v>
      </c>
      <c r="V307" s="39">
        <f t="shared" si="59"/>
        <v>0.34384999999999999</v>
      </c>
      <c r="W307" s="39">
        <f t="shared" si="60"/>
        <v>0.51043715846994542</v>
      </c>
      <c r="X307" s="39">
        <f t="shared" si="61"/>
        <v>1.7450000000000001</v>
      </c>
      <c r="Y307" s="40">
        <v>549</v>
      </c>
      <c r="Z307" s="46" t="s">
        <v>8054</v>
      </c>
    </row>
    <row r="308" spans="1:26" s="3" customFormat="1" ht="30" x14ac:dyDescent="0.25">
      <c r="A308" s="28">
        <v>132924</v>
      </c>
      <c r="B308" s="28">
        <f>VLOOKUP($A308,'Выгр Кат'!$A:$R,B$1,0)</f>
        <v>53034</v>
      </c>
      <c r="C308" s="27" t="str">
        <f>VLOOKUP($A308,'Выгр Кат'!$A:$R,C$1,0)</f>
        <v>Ароматизатор "ABRO" Organic консерва Роза (ROSE)</v>
      </c>
      <c r="D308" s="28" t="str">
        <f>VLOOKUP($A308,'Выгр Кат'!$A:$R,D$1,0)</f>
        <v>Y</v>
      </c>
      <c r="E308" s="28" t="str">
        <f>VLOOKUP($A308,'Выгр Кат'!$A:$R,E$1,0)</f>
        <v>1</v>
      </c>
      <c r="F308" s="28" t="str">
        <f>VLOOKUP($A308,'Выгр Кат'!$A:$R,F$1,0)</f>
        <v>70016</v>
      </c>
      <c r="G308" s="16">
        <v>70016</v>
      </c>
      <c r="H308" s="16"/>
      <c r="I308" s="1" t="s">
        <v>3</v>
      </c>
      <c r="J308" s="42">
        <f>VLOOKUP(G308,Прайс!B:E,4,0)</f>
        <v>200</v>
      </c>
      <c r="K308" s="2">
        <f>VLOOKUP(J308,Наценка!$A$1:$B$8,2,1)</f>
        <v>1.89</v>
      </c>
      <c r="L308" s="47">
        <v>289</v>
      </c>
      <c r="M308" s="42">
        <f t="shared" si="63"/>
        <v>289</v>
      </c>
      <c r="N308" s="28">
        <f>VLOOKUP($A308,'Выгр Кат'!$A:$R,N$1,0)</f>
        <v>200</v>
      </c>
      <c r="O308" s="28">
        <f>VLOOKUP($A308,'Выгр Кат'!$A:$R,O$1,0)</f>
        <v>289</v>
      </c>
      <c r="P308" s="30">
        <f t="shared" si="56"/>
        <v>0</v>
      </c>
      <c r="Q308" s="30">
        <f t="shared" si="57"/>
        <v>0</v>
      </c>
      <c r="R308" s="36">
        <f t="shared" si="58"/>
        <v>268.77</v>
      </c>
      <c r="S308" s="64">
        <f>IFERROR((VLOOKUP($A308,'Из ГУГЛа'!$B:$G,6,0)+U308)*T308,VLOOKUP($A308,'Из ГУГЛа'!$B:$G,6,0))</f>
        <v>549</v>
      </c>
      <c r="T308" s="38">
        <v>1</v>
      </c>
      <c r="U308" s="38">
        <v>0</v>
      </c>
      <c r="V308" s="39">
        <f t="shared" si="59"/>
        <v>0.34384999999999999</v>
      </c>
      <c r="W308" s="39">
        <f t="shared" si="60"/>
        <v>0.51043715846994542</v>
      </c>
      <c r="X308" s="39">
        <f t="shared" si="61"/>
        <v>1.7450000000000001</v>
      </c>
      <c r="Y308" s="40">
        <v>549</v>
      </c>
      <c r="Z308" s="46" t="s">
        <v>8054</v>
      </c>
    </row>
    <row r="309" spans="1:26" s="3" customFormat="1" ht="30" x14ac:dyDescent="0.25">
      <c r="A309" s="28">
        <v>181292</v>
      </c>
      <c r="B309" s="28">
        <f>VLOOKUP($A309,'Выгр Кат'!$A:$R,B$1,0)</f>
        <v>54347</v>
      </c>
      <c r="C309" s="27" t="str">
        <f>VLOOKUP($A309,'Выгр Кат'!$A:$R,C$1,0)</f>
        <v>Огнетушитель порошковый "Ярпожинвест" ОП-2 (АВСЕ, 2 кг)</v>
      </c>
      <c r="D309" s="28" t="str">
        <f>VLOOKUP($A309,'Выгр Кат'!$A:$R,D$1,0)</f>
        <v>Y</v>
      </c>
      <c r="E309" s="28" t="str">
        <f>VLOOKUP($A309,'Выгр Кат'!$A:$R,E$1,0)</f>
        <v>1</v>
      </c>
      <c r="F309" s="28" t="str">
        <f>VLOOKUP($A309,'Выгр Кат'!$A:$R,F$1,0)</f>
        <v>14034</v>
      </c>
      <c r="G309" s="16">
        <v>14034</v>
      </c>
      <c r="H309" s="16"/>
      <c r="I309" s="1" t="s">
        <v>3</v>
      </c>
      <c r="J309" s="42">
        <f>VLOOKUP(G309,Прайс!B:E,4,0)</f>
        <v>300</v>
      </c>
      <c r="K309" s="2">
        <f>VLOOKUP(J309,Наценка!$A$1:$B$8,2,1)</f>
        <v>1.68</v>
      </c>
      <c r="L309" s="4">
        <f t="shared" si="62"/>
        <v>504</v>
      </c>
      <c r="M309" s="42">
        <f t="shared" si="63"/>
        <v>509</v>
      </c>
      <c r="N309" s="28">
        <f>VLOOKUP($A309,'Выгр Кат'!$A:$R,N$1,0)</f>
        <v>300</v>
      </c>
      <c r="O309" s="28">
        <f>VLOOKUP($A309,'Выгр Кат'!$A:$R,O$1,0)</f>
        <v>509</v>
      </c>
      <c r="P309" s="30">
        <f t="shared" si="56"/>
        <v>0</v>
      </c>
      <c r="Q309" s="30">
        <f t="shared" si="57"/>
        <v>0</v>
      </c>
      <c r="R309" s="36">
        <f t="shared" si="58"/>
        <v>473.36999999999995</v>
      </c>
      <c r="S309" s="64" t="str">
        <f>IFERROR((VLOOKUP($A309,'Из ГУГЛа'!$B:$G,6,0)+U309)*T309,VLOOKUP($A309,'Из ГУГЛа'!$B:$G,6,0))</f>
        <v/>
      </c>
      <c r="T309" s="38">
        <v>1</v>
      </c>
      <c r="U309" s="38">
        <v>0</v>
      </c>
      <c r="V309" s="39">
        <f t="shared" si="59"/>
        <v>0.57789999999999986</v>
      </c>
      <c r="W309" s="39" t="str">
        <f t="shared" si="60"/>
        <v/>
      </c>
      <c r="X309" s="39" t="str">
        <f t="shared" si="61"/>
        <v/>
      </c>
      <c r="Y309" s="65" t="s">
        <v>8364</v>
      </c>
      <c r="Z309" s="46"/>
    </row>
    <row r="310" spans="1:26" s="3" customFormat="1" ht="30" x14ac:dyDescent="0.25">
      <c r="A310" s="28">
        <v>181289</v>
      </c>
      <c r="B310" s="28">
        <f>VLOOKUP($A310,'Выгр Кат'!$A:$R,B$1,0)</f>
        <v>54391</v>
      </c>
      <c r="C310" s="27" t="str">
        <f>VLOOKUP($A310,'Выгр Кат'!$A:$R,C$1,0)</f>
        <v>Огнетушитель автомобильный, порошковый (1.5 кг)</v>
      </c>
      <c r="D310" s="28" t="str">
        <f>VLOOKUP($A310,'Выгр Кат'!$A:$R,D$1,0)</f>
        <v>Y</v>
      </c>
      <c r="E310" s="28" t="str">
        <f>VLOOKUP($A310,'Выгр Кат'!$A:$R,E$1,0)</f>
        <v>1</v>
      </c>
      <c r="F310" s="28" t="str">
        <f>VLOOKUP($A310,'Выгр Кат'!$A:$R,F$1,0)</f>
        <v>14019</v>
      </c>
      <c r="G310" s="16">
        <v>14019</v>
      </c>
      <c r="H310" s="16"/>
      <c r="I310" s="1" t="s">
        <v>3</v>
      </c>
      <c r="J310" s="42">
        <f>VLOOKUP(G310,Прайс!B:E,4,0)</f>
        <v>80</v>
      </c>
      <c r="K310" s="2">
        <f>VLOOKUP(J310,Наценка!$A$1:$B$8,2,1)</f>
        <v>2.11</v>
      </c>
      <c r="L310" s="4">
        <f t="shared" si="62"/>
        <v>168.79999999999998</v>
      </c>
      <c r="M310" s="42">
        <f t="shared" si="63"/>
        <v>169</v>
      </c>
      <c r="N310" s="28">
        <f>VLOOKUP($A310,'Выгр Кат'!$A:$R,N$1,0)</f>
        <v>80</v>
      </c>
      <c r="O310" s="28">
        <f>VLOOKUP($A310,'Выгр Кат'!$A:$R,O$1,0)</f>
        <v>169</v>
      </c>
      <c r="P310" s="30">
        <f t="shared" si="56"/>
        <v>0</v>
      </c>
      <c r="Q310" s="30">
        <f t="shared" si="57"/>
        <v>0</v>
      </c>
      <c r="R310" s="36">
        <f t="shared" si="58"/>
        <v>157.16999999999999</v>
      </c>
      <c r="S310" s="64" t="str">
        <f>IFERROR((VLOOKUP($A310,'Из ГУГЛа'!$B:$G,6,0)+U310)*T310,VLOOKUP($A310,'Из ГУГЛа'!$B:$G,6,0))</f>
        <v/>
      </c>
      <c r="T310" s="38">
        <v>1</v>
      </c>
      <c r="U310" s="38">
        <v>0</v>
      </c>
      <c r="V310" s="39">
        <f t="shared" si="59"/>
        <v>0.96462499999999984</v>
      </c>
      <c r="W310" s="39" t="str">
        <f t="shared" si="60"/>
        <v/>
      </c>
      <c r="X310" s="39" t="str">
        <f t="shared" si="61"/>
        <v/>
      </c>
      <c r="Y310" s="65" t="s">
        <v>8364</v>
      </c>
      <c r="Z310" s="46"/>
    </row>
    <row r="311" spans="1:26" s="3" customFormat="1" ht="30" x14ac:dyDescent="0.25">
      <c r="A311" s="28">
        <v>185758</v>
      </c>
      <c r="B311" s="28">
        <f>VLOOKUP($A311,'Выгр Кат'!$A:$R,B$1,0)</f>
        <v>65128</v>
      </c>
      <c r="C311" s="27" t="str">
        <f>VLOOKUP($A311,'Выгр Кат'!$A:$R,C$1,0)</f>
        <v>Освежитель воздуха "Areon" Vanilla Choco</v>
      </c>
      <c r="D311" s="28" t="str">
        <f>VLOOKUP($A311,'Выгр Кат'!$A:$R,D$1,0)</f>
        <v>Y</v>
      </c>
      <c r="E311" s="28" t="str">
        <f>VLOOKUP($A311,'Выгр Кат'!$A:$R,E$1,0)</f>
        <v>1ск1</v>
      </c>
      <c r="F311" s="28" t="str">
        <f>VLOOKUP($A311,'Выгр Кат'!$A:$R,F$1,0)</f>
        <v>71096</v>
      </c>
      <c r="G311" s="16">
        <v>71096</v>
      </c>
      <c r="H311" s="16"/>
      <c r="I311" s="1" t="s">
        <v>3</v>
      </c>
      <c r="J311" s="42">
        <f>VLOOKUP(G311,Прайс!B:E,4,0)</f>
        <v>42</v>
      </c>
      <c r="K311" s="2">
        <f>VLOOKUP(J311,Наценка!$A$1:$B$8,2,1)</f>
        <v>2.11</v>
      </c>
      <c r="L311" s="4">
        <f t="shared" si="62"/>
        <v>88.61999999999999</v>
      </c>
      <c r="M311" s="42">
        <f t="shared" si="63"/>
        <v>89</v>
      </c>
      <c r="N311" s="28">
        <f>VLOOKUP($A311,'Выгр Кат'!$A:$R,N$1,0)</f>
        <v>42</v>
      </c>
      <c r="O311" s="28">
        <f>VLOOKUP($A311,'Выгр Кат'!$A:$R,O$1,0)</f>
        <v>89</v>
      </c>
      <c r="P311" s="30">
        <f t="shared" si="56"/>
        <v>0</v>
      </c>
      <c r="Q311" s="30">
        <f t="shared" si="57"/>
        <v>0</v>
      </c>
      <c r="R311" s="36">
        <f t="shared" si="58"/>
        <v>82.77</v>
      </c>
      <c r="S311" s="64" t="str">
        <f>IFERROR((VLOOKUP($A311,'Из ГУГЛа'!$B:$G,6,0)+U311)*T311,VLOOKUP($A311,'Из ГУГЛа'!$B:$G,6,0))</f>
        <v/>
      </c>
      <c r="T311" s="38">
        <v>1</v>
      </c>
      <c r="U311" s="38">
        <v>0</v>
      </c>
      <c r="V311" s="39">
        <f t="shared" si="59"/>
        <v>0.97071428571428564</v>
      </c>
      <c r="W311" s="39">
        <f t="shared" si="60"/>
        <v>0.44449664429530206</v>
      </c>
      <c r="X311" s="39">
        <f t="shared" si="61"/>
        <v>2.5476190476190474</v>
      </c>
      <c r="Y311" s="65">
        <v>149</v>
      </c>
      <c r="Z311" s="46" t="s">
        <v>8069</v>
      </c>
    </row>
    <row r="312" spans="1:26" s="3" customFormat="1" ht="30" x14ac:dyDescent="0.25">
      <c r="A312" s="28">
        <v>117320</v>
      </c>
      <c r="B312" s="28">
        <f>VLOOKUP($A312,'Выгр Кат'!$A:$R,B$1,0)</f>
        <v>73159</v>
      </c>
      <c r="C312" s="27" t="str">
        <f>VLOOKUP($A312,'Выгр Кат'!$A:$R,C$1,0)</f>
        <v>USB-зарядное устройство с вольтметром (круглое, врезное)</v>
      </c>
      <c r="D312" s="28" t="str">
        <f>VLOOKUP($A312,'Выгр Кат'!$A:$R,D$1,0)</f>
        <v>Y</v>
      </c>
      <c r="E312" s="28" t="str">
        <f>VLOOKUP($A312,'Выгр Кат'!$A:$R,E$1,0)</f>
        <v>0</v>
      </c>
      <c r="F312" s="28">
        <f>VLOOKUP($A312,'Выгр Кат'!$A:$R,F$1,0)</f>
        <v>0</v>
      </c>
      <c r="G312" s="60"/>
      <c r="H312" s="60"/>
      <c r="I312" s="1" t="s">
        <v>3</v>
      </c>
      <c r="J312" s="41">
        <f t="shared" ref="J312:J314" si="70">N312</f>
        <v>555</v>
      </c>
      <c r="K312" s="2">
        <f>VLOOKUP(J312,Наценка!$A$1:$B$8,2,1)</f>
        <v>1.63</v>
      </c>
      <c r="L312" s="4">
        <f t="shared" si="62"/>
        <v>904.65</v>
      </c>
      <c r="M312" s="42">
        <f t="shared" si="63"/>
        <v>909</v>
      </c>
      <c r="N312" s="28">
        <f>VLOOKUP($A312,'Выгр Кат'!$A:$R,N$1,0)</f>
        <v>555</v>
      </c>
      <c r="O312" s="28">
        <f>VLOOKUP($A312,'Выгр Кат'!$A:$R,O$1,0)</f>
        <v>909</v>
      </c>
      <c r="P312" s="30">
        <f t="shared" si="56"/>
        <v>0</v>
      </c>
      <c r="Q312" s="30">
        <f t="shared" si="57"/>
        <v>0</v>
      </c>
      <c r="R312" s="36">
        <f t="shared" si="58"/>
        <v>845.36999999999989</v>
      </c>
      <c r="S312" s="64" t="str">
        <f>IFERROR((VLOOKUP($A312,'Из ГУГЛа'!$B:$G,6,0)+U312)*T312,VLOOKUP($A312,'Из ГУГЛа'!$B:$G,6,0))</f>
        <v/>
      </c>
      <c r="T312" s="38">
        <v>1</v>
      </c>
      <c r="U312" s="38">
        <v>0</v>
      </c>
      <c r="V312" s="39">
        <f t="shared" si="59"/>
        <v>0.52318918918918889</v>
      </c>
      <c r="W312" s="39" t="str">
        <f t="shared" si="60"/>
        <v/>
      </c>
      <c r="X312" s="39" t="str">
        <f t="shared" si="61"/>
        <v/>
      </c>
      <c r="Y312" s="65"/>
      <c r="Z312" s="46"/>
    </row>
    <row r="313" spans="1:26" s="3" customFormat="1" ht="30" x14ac:dyDescent="0.25">
      <c r="A313" s="28">
        <v>155899</v>
      </c>
      <c r="B313" s="28">
        <f>VLOOKUP($A313,'Выгр Кат'!$A:$R,B$1,0)</f>
        <v>81079</v>
      </c>
      <c r="C313" s="27" t="str">
        <f>VLOOKUP($A313,'Выгр Кат'!$A:$R,C$1,0)</f>
        <v>Клей "BOOMER" для вклейки стекла (310 мл)</v>
      </c>
      <c r="D313" s="28" t="str">
        <f>VLOOKUP($A313,'Выгр Кат'!$A:$R,D$1,0)</f>
        <v>Y</v>
      </c>
      <c r="E313" s="28" t="str">
        <f>VLOOKUP($A313,'Выгр Кат'!$A:$R,E$1,0)</f>
        <v>1</v>
      </c>
      <c r="F313" s="28">
        <f>VLOOKUP($A313,'Выгр Кат'!$A:$R,F$1,0)</f>
        <v>0</v>
      </c>
      <c r="G313" s="19">
        <v>40471</v>
      </c>
      <c r="H313" s="19"/>
      <c r="I313" s="1" t="s">
        <v>3</v>
      </c>
      <c r="J313" s="41">
        <f t="shared" si="70"/>
        <v>460</v>
      </c>
      <c r="K313" s="2">
        <f>VLOOKUP(J313,Наценка!$A$1:$B$8,2,1)</f>
        <v>1.68</v>
      </c>
      <c r="L313" s="4">
        <f t="shared" si="62"/>
        <v>772.8</v>
      </c>
      <c r="M313" s="42">
        <f t="shared" si="63"/>
        <v>779</v>
      </c>
      <c r="N313" s="28">
        <f>VLOOKUP($A313,'Выгр Кат'!$A:$R,N$1,0)</f>
        <v>460</v>
      </c>
      <c r="O313" s="28">
        <f>VLOOKUP($A313,'Выгр Кат'!$A:$R,O$1,0)</f>
        <v>779</v>
      </c>
      <c r="P313" s="30">
        <f t="shared" si="56"/>
        <v>0</v>
      </c>
      <c r="Q313" s="30">
        <f t="shared" si="57"/>
        <v>0</v>
      </c>
      <c r="R313" s="36">
        <f t="shared" si="58"/>
        <v>724.46999999999991</v>
      </c>
      <c r="S313" s="64" t="str">
        <f>IFERROR((VLOOKUP($A313,'Из ГУГЛа'!$B:$G,6,0)+U313)*T313,VLOOKUP($A313,'Из ГУГЛа'!$B:$G,6,0))</f>
        <v/>
      </c>
      <c r="T313" s="38">
        <v>1</v>
      </c>
      <c r="U313" s="38">
        <v>0</v>
      </c>
      <c r="V313" s="39">
        <f t="shared" si="59"/>
        <v>0.57493478260869546</v>
      </c>
      <c r="W313" s="39" t="str">
        <f t="shared" si="60"/>
        <v/>
      </c>
      <c r="X313" s="39" t="str">
        <f t="shared" si="61"/>
        <v/>
      </c>
      <c r="Y313" s="65" t="s">
        <v>8364</v>
      </c>
      <c r="Z313" s="46"/>
    </row>
    <row r="314" spans="1:26" s="3" customFormat="1" ht="45" x14ac:dyDescent="0.25">
      <c r="A314" s="28">
        <v>160662</v>
      </c>
      <c r="B314" s="28">
        <f>VLOOKUP($A314,'Выгр Кат'!$A:$R,B$1,0)</f>
        <v>65671</v>
      </c>
      <c r="C314" s="27" t="str">
        <f>VLOOKUP($A314,'Выгр Кат'!$A:$R,C$1,0)</f>
        <v>Кронштейн крепления дополнительных фар под номерной знак (ПТФ, ФСО, ДХО)</v>
      </c>
      <c r="D314" s="28" t="str">
        <f>VLOOKUP($A314,'Выгр Кат'!$A:$R,D$1,0)</f>
        <v>Y</v>
      </c>
      <c r="E314" s="28" t="str">
        <f>VLOOKUP($A314,'Выгр Кат'!$A:$R,E$1,0)</f>
        <v>1</v>
      </c>
      <c r="F314" s="28">
        <f>VLOOKUP($A314,'Выгр Кат'!$A:$R,F$1,0)</f>
        <v>0</v>
      </c>
      <c r="G314" s="19"/>
      <c r="H314" s="19"/>
      <c r="I314" s="1" t="s">
        <v>3</v>
      </c>
      <c r="J314" s="41">
        <f t="shared" si="70"/>
        <v>900</v>
      </c>
      <c r="K314" s="2">
        <f>VLOOKUP(J314,Наценка!$A$1:$B$8,2,1)</f>
        <v>1.63</v>
      </c>
      <c r="L314" s="4">
        <f t="shared" si="62"/>
        <v>1467</v>
      </c>
      <c r="M314" s="42">
        <f t="shared" si="63"/>
        <v>1490</v>
      </c>
      <c r="N314" s="28">
        <f>VLOOKUP($A314,'Выгр Кат'!$A:$R,N$1,0)</f>
        <v>900</v>
      </c>
      <c r="O314" s="28">
        <f>VLOOKUP($A314,'Выгр Кат'!$A:$R,O$1,0)</f>
        <v>1490</v>
      </c>
      <c r="P314" s="30">
        <f t="shared" ref="P314" si="71">N314-J314</f>
        <v>0</v>
      </c>
      <c r="Q314" s="30">
        <f t="shared" ref="Q314" si="72">O314-M314</f>
        <v>0</v>
      </c>
      <c r="R314" s="36">
        <f>IFERROR(M314*(1-$R$2),"")</f>
        <v>1385.6999999999998</v>
      </c>
      <c r="S314" s="64" t="str">
        <f>IFERROR((VLOOKUP($A314,'Из ГУГЛа'!$B:$G,6,0)+U314)*T314,VLOOKUP($A314,'Из ГУГЛа'!$B:$G,6,0))</f>
        <v/>
      </c>
      <c r="T314" s="38">
        <v>1</v>
      </c>
      <c r="U314" s="38">
        <v>0</v>
      </c>
      <c r="V314" s="39">
        <f t="shared" ref="V314" si="73">IFERROR(R314/J314-1,"")</f>
        <v>0.53966666666666652</v>
      </c>
      <c r="W314" s="39" t="str">
        <f t="shared" ref="W314" si="74">IFERROR((Y314-R314)/Y314,"")</f>
        <v/>
      </c>
      <c r="X314" s="39" t="str">
        <f t="shared" ref="X314" si="75">IFERROR(IF(Y314="","",Y314/J314-1),"")</f>
        <v/>
      </c>
      <c r="Y314" s="65" t="s">
        <v>8364</v>
      </c>
      <c r="Z314" s="46"/>
    </row>
    <row r="315" spans="1:26" s="3" customFormat="1" ht="30" x14ac:dyDescent="0.25">
      <c r="A315" s="28">
        <v>186356</v>
      </c>
      <c r="B315" s="28">
        <f>VLOOKUP($A315,'Выгр Кат'!$A:$R,B$1,0)</f>
        <v>10419</v>
      </c>
      <c r="C315" s="27" t="str">
        <f>VLOOKUP($A315,'Выгр Кат'!$A:$R,C$1,0)</f>
        <v>Паста притирочная алмазная WMPAUTO 40гр</v>
      </c>
      <c r="D315" s="28" t="str">
        <f>VLOOKUP($A315,'Выгр Кат'!$A:$R,D$1,0)</f>
        <v>N</v>
      </c>
      <c r="E315" s="28" t="str">
        <f>VLOOKUP($A315,'Выгр Кат'!$A:$R,E$1,0)</f>
        <v>1</v>
      </c>
      <c r="F315" s="28" t="str">
        <f>VLOOKUP($A315,'Выгр Кат'!$A:$R,F$1,0)</f>
        <v>40162</v>
      </c>
      <c r="G315" s="19">
        <v>40162</v>
      </c>
      <c r="H315" s="19"/>
      <c r="I315" s="1" t="s">
        <v>3</v>
      </c>
      <c r="J315" s="42">
        <f>VLOOKUP(G315,Прайс!B:E,4,0)</f>
        <v>300</v>
      </c>
      <c r="K315" s="2">
        <f>VLOOKUP(J315,Наценка!$A$1:$B$8,2,1)</f>
        <v>1.68</v>
      </c>
      <c r="L315" s="4">
        <f t="shared" si="62"/>
        <v>504</v>
      </c>
      <c r="M315" s="42">
        <f t="shared" si="63"/>
        <v>509</v>
      </c>
      <c r="N315" s="28">
        <f>VLOOKUP($A315,'Выгр Кат'!$A:$R,N$1,0)</f>
        <v>300</v>
      </c>
      <c r="O315" s="28">
        <f>VLOOKUP($A315,'Выгр Кат'!$A:$R,O$1,0)</f>
        <v>509</v>
      </c>
      <c r="P315" s="30">
        <f t="shared" ref="P315:P336" si="76">N315-J315</f>
        <v>0</v>
      </c>
      <c r="Q315" s="30">
        <f t="shared" ref="Q315:Q336" si="77">O315-M315</f>
        <v>0</v>
      </c>
      <c r="R315" s="36">
        <f t="shared" ref="R315:R336" si="78">IFERROR(M315*(1-$R$2),"")</f>
        <v>473.36999999999995</v>
      </c>
      <c r="S315" s="64">
        <f>IFERROR((VLOOKUP($A315,'Из ГУГЛа'!$B:$G,6,0)+U315)*T315,VLOOKUP($A315,'Из ГУГЛа'!$B:$G,6,0))</f>
        <v>590</v>
      </c>
      <c r="T315" s="38">
        <v>1</v>
      </c>
      <c r="U315" s="38">
        <v>0</v>
      </c>
      <c r="V315" s="39">
        <f t="shared" ref="V315:V336" si="79">IFERROR(R315/J315-1,"")</f>
        <v>0.57789999999999986</v>
      </c>
      <c r="W315" s="39">
        <f t="shared" ref="W315:W336" si="80">IFERROR((Y315-R315)/Y315,"")</f>
        <v>0.197677966101695</v>
      </c>
      <c r="X315" s="39">
        <f t="shared" ref="X315:X336" si="81">IFERROR(IF(Y315="","",Y315/J315-1),"")</f>
        <v>0.96666666666666656</v>
      </c>
      <c r="Y315" s="40">
        <v>590</v>
      </c>
      <c r="Z315" s="46" t="s">
        <v>8062</v>
      </c>
    </row>
    <row r="316" spans="1:26" s="3" customFormat="1" ht="30" x14ac:dyDescent="0.25">
      <c r="A316" s="28">
        <v>274401</v>
      </c>
      <c r="B316" s="28">
        <f>VLOOKUP($A316,'Выгр Кат'!$A:$R,B$1,0)</f>
        <v>225744</v>
      </c>
      <c r="C316" s="27" t="str">
        <f>VLOOKUP($A316,'Выгр Кат'!$A:$R,C$1,0)</f>
        <v>Разъем прицепа 7PIN пластмассовый</v>
      </c>
      <c r="D316" s="28" t="str">
        <f>VLOOKUP($A316,'Выгр Кат'!$A:$R,D$1,0)</f>
        <v>Y</v>
      </c>
      <c r="E316" s="28" t="str">
        <f>VLOOKUP($A316,'Выгр Кат'!$A:$R,E$1,0)</f>
        <v>1</v>
      </c>
      <c r="F316" s="28">
        <f>VLOOKUP($A316,'Выгр Кат'!$A:$R,F$1,0)</f>
        <v>0</v>
      </c>
      <c r="G316" s="19">
        <v>12091</v>
      </c>
      <c r="H316" s="19"/>
      <c r="I316" s="1" t="s">
        <v>3</v>
      </c>
      <c r="J316" s="42">
        <f>VLOOKUP(G316,Прайс!B:E,4,0)</f>
        <v>170</v>
      </c>
      <c r="K316" s="2">
        <f>VLOOKUP(J316,Наценка!$A$1:$B$8,2,1)</f>
        <v>1.89</v>
      </c>
      <c r="L316" s="4">
        <f t="shared" si="62"/>
        <v>321.3</v>
      </c>
      <c r="M316" s="42">
        <f t="shared" si="63"/>
        <v>329</v>
      </c>
      <c r="N316" s="28">
        <f>VLOOKUP($A316,'Выгр Кат'!$A:$R,N$1,0)</f>
        <v>170</v>
      </c>
      <c r="O316" s="28">
        <f>VLOOKUP($A316,'Выгр Кат'!$A:$R,O$1,0)</f>
        <v>329</v>
      </c>
      <c r="P316" s="30">
        <f t="shared" si="76"/>
        <v>0</v>
      </c>
      <c r="Q316" s="30">
        <f t="shared" si="77"/>
        <v>0</v>
      </c>
      <c r="R316" s="36">
        <f t="shared" si="78"/>
        <v>305.96999999999997</v>
      </c>
      <c r="S316" s="64" t="str">
        <f>IFERROR((VLOOKUP($A316,'Из ГУГЛа'!$B:$G,6,0)+U316)*T316,VLOOKUP($A316,'Из ГУГЛа'!$B:$G,6,0))</f>
        <v/>
      </c>
      <c r="T316" s="38">
        <v>1</v>
      </c>
      <c r="U316" s="38">
        <v>0</v>
      </c>
      <c r="V316" s="39">
        <f t="shared" si="79"/>
        <v>0.7998235294117646</v>
      </c>
      <c r="W316" s="39" t="str">
        <f t="shared" si="80"/>
        <v/>
      </c>
      <c r="X316" s="39" t="str">
        <f t="shared" si="81"/>
        <v/>
      </c>
      <c r="Y316" s="65" t="s">
        <v>8364</v>
      </c>
      <c r="Z316" s="46"/>
    </row>
    <row r="317" spans="1:26" s="3" customFormat="1" ht="30" x14ac:dyDescent="0.25">
      <c r="A317" s="28">
        <v>274402</v>
      </c>
      <c r="B317" s="28">
        <f>VLOOKUP($A317,'Выгр Кат'!$A:$R,B$1,0)</f>
        <v>225745</v>
      </c>
      <c r="C317" s="27" t="str">
        <f>VLOOKUP($A317,'Выгр Кат'!$A:$R,C$1,0)</f>
        <v>Разъем прицепа 7PIN силуминовый</v>
      </c>
      <c r="D317" s="28" t="str">
        <f>VLOOKUP($A317,'Выгр Кат'!$A:$R,D$1,0)</f>
        <v>Y</v>
      </c>
      <c r="E317" s="28" t="str">
        <f>VLOOKUP($A317,'Выгр Кат'!$A:$R,E$1,0)</f>
        <v>1</v>
      </c>
      <c r="F317" s="28">
        <f>VLOOKUP($A317,'Выгр Кат'!$A:$R,F$1,0)</f>
        <v>0</v>
      </c>
      <c r="G317" s="19">
        <v>12092</v>
      </c>
      <c r="H317" s="19"/>
      <c r="I317" s="1" t="s">
        <v>3</v>
      </c>
      <c r="J317" s="42">
        <f>VLOOKUP(G317,Прайс!B:E,4,0)</f>
        <v>240</v>
      </c>
      <c r="K317" s="2">
        <f>VLOOKUP(J317,Наценка!$A$1:$B$8,2,1)</f>
        <v>1.89</v>
      </c>
      <c r="L317" s="4">
        <f t="shared" si="62"/>
        <v>453.59999999999997</v>
      </c>
      <c r="M317" s="42">
        <f t="shared" si="63"/>
        <v>459</v>
      </c>
      <c r="N317" s="28">
        <f>VLOOKUP($A317,'Выгр Кат'!$A:$R,N$1,0)</f>
        <v>240</v>
      </c>
      <c r="O317" s="28">
        <f>VLOOKUP($A317,'Выгр Кат'!$A:$R,O$1,0)</f>
        <v>459</v>
      </c>
      <c r="P317" s="30">
        <f t="shared" si="76"/>
        <v>0</v>
      </c>
      <c r="Q317" s="30">
        <f t="shared" si="77"/>
        <v>0</v>
      </c>
      <c r="R317" s="36">
        <f t="shared" si="78"/>
        <v>426.86999999999995</v>
      </c>
      <c r="S317" s="64" t="str">
        <f>IFERROR((VLOOKUP($A317,'Из ГУГЛа'!$B:$G,6,0)+U317)*T317,VLOOKUP($A317,'Из ГУГЛа'!$B:$G,6,0))</f>
        <v/>
      </c>
      <c r="T317" s="38">
        <v>1</v>
      </c>
      <c r="U317" s="38">
        <v>0</v>
      </c>
      <c r="V317" s="39">
        <f t="shared" si="79"/>
        <v>0.77862499999999968</v>
      </c>
      <c r="W317" s="39" t="str">
        <f t="shared" si="80"/>
        <v/>
      </c>
      <c r="X317" s="39" t="str">
        <f t="shared" si="81"/>
        <v/>
      </c>
      <c r="Y317" s="65" t="s">
        <v>8364</v>
      </c>
      <c r="Z317" s="46"/>
    </row>
    <row r="318" spans="1:26" s="3" customFormat="1" ht="30" x14ac:dyDescent="0.25">
      <c r="A318" s="28">
        <v>274400</v>
      </c>
      <c r="B318" s="28">
        <f>VLOOKUP($A318,'Выгр Кат'!$A:$R,B$1,0)</f>
        <v>225741</v>
      </c>
      <c r="C318" s="27" t="str">
        <f>VLOOKUP($A318,'Выгр Кат'!$A:$R,C$1,0)</f>
        <v>Разъем прицепа 7PIN стальной</v>
      </c>
      <c r="D318" s="28" t="str">
        <f>VLOOKUP($A318,'Выгр Кат'!$A:$R,D$1,0)</f>
        <v>Y</v>
      </c>
      <c r="E318" s="28" t="str">
        <f>VLOOKUP($A318,'Выгр Кат'!$A:$R,E$1,0)</f>
        <v>1</v>
      </c>
      <c r="F318" s="28">
        <f>VLOOKUP($A318,'Выгр Кат'!$A:$R,F$1,0)</f>
        <v>0</v>
      </c>
      <c r="G318" s="19">
        <v>12090</v>
      </c>
      <c r="H318" s="19"/>
      <c r="I318" s="1" t="s">
        <v>3</v>
      </c>
      <c r="J318" s="42">
        <f>VLOOKUP(G318,Прайс!B:E,4,0)</f>
        <v>480</v>
      </c>
      <c r="K318" s="2">
        <f>VLOOKUP(J318,Наценка!$A$1:$B$8,2,1)</f>
        <v>1.68</v>
      </c>
      <c r="L318" s="4">
        <f t="shared" si="62"/>
        <v>806.4</v>
      </c>
      <c r="M318" s="42">
        <f t="shared" si="63"/>
        <v>809</v>
      </c>
      <c r="N318" s="28">
        <f>VLOOKUP($A318,'Выгр Кат'!$A:$R,N$1,0)</f>
        <v>480</v>
      </c>
      <c r="O318" s="28">
        <f>VLOOKUP($A318,'Выгр Кат'!$A:$R,O$1,0)</f>
        <v>809</v>
      </c>
      <c r="P318" s="30">
        <f t="shared" si="76"/>
        <v>0</v>
      </c>
      <c r="Q318" s="30">
        <f t="shared" si="77"/>
        <v>0</v>
      </c>
      <c r="R318" s="36">
        <f t="shared" si="78"/>
        <v>752.37</v>
      </c>
      <c r="S318" s="64" t="str">
        <f>IFERROR((VLOOKUP($A318,'Из ГУГЛа'!$B:$G,6,0)+U318)*T318,VLOOKUP($A318,'Из ГУГЛа'!$B:$G,6,0))</f>
        <v/>
      </c>
      <c r="T318" s="38">
        <v>1</v>
      </c>
      <c r="U318" s="38">
        <v>0</v>
      </c>
      <c r="V318" s="39">
        <f t="shared" si="79"/>
        <v>0.56743750000000004</v>
      </c>
      <c r="W318" s="39" t="str">
        <f t="shared" si="80"/>
        <v/>
      </c>
      <c r="X318" s="39" t="str">
        <f t="shared" si="81"/>
        <v/>
      </c>
      <c r="Y318" s="65" t="s">
        <v>8364</v>
      </c>
      <c r="Z318" s="46"/>
    </row>
    <row r="319" spans="1:26" s="3" customFormat="1" ht="45" x14ac:dyDescent="0.25">
      <c r="A319" s="28">
        <v>264918</v>
      </c>
      <c r="B319" s="28">
        <f>VLOOKUP($A319,'Выгр Кат'!$A:$R,B$1,0)</f>
        <v>205005</v>
      </c>
      <c r="C319" s="27" t="str">
        <f>VLOOKUP($A319,'Выгр Кат'!$A:$R,C$1,0)</f>
        <v>Щетка стеклоочистителя "HITO" Special бескаркасная (500 мм, 11 адаптеров)</v>
      </c>
      <c r="D319" s="28" t="str">
        <f>VLOOKUP($A319,'Выгр Кат'!$A:$R,D$1,0)</f>
        <v>Y</v>
      </c>
      <c r="E319" s="28" t="str">
        <f>VLOOKUP($A319,'Выгр Кат'!$A:$R,E$1,0)</f>
        <v>1</v>
      </c>
      <c r="F319" s="28" t="str">
        <f>VLOOKUP($A319,'Выгр Кат'!$A:$R,F$1,0)</f>
        <v>29258</v>
      </c>
      <c r="G319" s="19">
        <v>29258</v>
      </c>
      <c r="H319" s="19"/>
      <c r="I319" s="1" t="s">
        <v>3</v>
      </c>
      <c r="J319" s="42">
        <f>VLOOKUP(G319,Прайс!B:E,4,0)</f>
        <v>340</v>
      </c>
      <c r="K319" s="2">
        <f>VLOOKUP(J319,Наценка!$A$1:$B$8,2,1)</f>
        <v>1.68</v>
      </c>
      <c r="L319" s="4">
        <f t="shared" si="62"/>
        <v>571.19999999999993</v>
      </c>
      <c r="M319" s="42">
        <f t="shared" si="63"/>
        <v>579</v>
      </c>
      <c r="N319" s="28">
        <f>VLOOKUP($A319,'Выгр Кат'!$A:$R,N$1,0)</f>
        <v>290</v>
      </c>
      <c r="O319" s="28">
        <f>VLOOKUP($A319,'Выгр Кат'!$A:$R,O$1,0)</f>
        <v>549</v>
      </c>
      <c r="P319" s="30">
        <f t="shared" si="76"/>
        <v>-50</v>
      </c>
      <c r="Q319" s="30">
        <f t="shared" si="77"/>
        <v>-30</v>
      </c>
      <c r="R319" s="36">
        <f t="shared" si="78"/>
        <v>538.46999999999991</v>
      </c>
      <c r="S319" s="64" t="str">
        <f>IFERROR((VLOOKUP($A319,'Из ГУГЛа'!$B:$G,6,0)+U319)*T319,VLOOKUP($A319,'Из ГУГЛа'!$B:$G,6,0))</f>
        <v/>
      </c>
      <c r="T319" s="38">
        <v>1</v>
      </c>
      <c r="U319" s="38">
        <v>0</v>
      </c>
      <c r="V319" s="39">
        <f t="shared" si="79"/>
        <v>0.5837352941176468</v>
      </c>
      <c r="W319" s="39" t="str">
        <f t="shared" si="80"/>
        <v/>
      </c>
      <c r="X319" s="39" t="str">
        <f t="shared" si="81"/>
        <v/>
      </c>
      <c r="Y319" s="65" t="s">
        <v>8364</v>
      </c>
      <c r="Z319" s="46"/>
    </row>
    <row r="320" spans="1:26" s="3" customFormat="1" ht="45" x14ac:dyDescent="0.25">
      <c r="A320" s="28">
        <v>264919</v>
      </c>
      <c r="B320" s="28">
        <f>VLOOKUP($A320,'Выгр Кат'!$A:$R,B$1,0)</f>
        <v>205007</v>
      </c>
      <c r="C320" s="27" t="str">
        <f>VLOOKUP($A320,'Выгр Кат'!$A:$R,C$1,0)</f>
        <v>Щетка стеклоочистителя "HITO" Special бескаркасная (530 мм, 11 адаптеров)</v>
      </c>
      <c r="D320" s="28" t="str">
        <f>VLOOKUP($A320,'Выгр Кат'!$A:$R,D$1,0)</f>
        <v>Y</v>
      </c>
      <c r="E320" s="28" t="str">
        <f>VLOOKUP($A320,'Выгр Кат'!$A:$R,E$1,0)</f>
        <v>1</v>
      </c>
      <c r="F320" s="28" t="str">
        <f>VLOOKUP($A320,'Выгр Кат'!$A:$R,F$1,0)</f>
        <v>29259</v>
      </c>
      <c r="G320" s="19">
        <v>29259</v>
      </c>
      <c r="H320" s="19"/>
      <c r="I320" s="1" t="s">
        <v>3</v>
      </c>
      <c r="J320" s="42">
        <f>VLOOKUP(G320,Прайс!B:E,4,0)</f>
        <v>340</v>
      </c>
      <c r="K320" s="2">
        <f>VLOOKUP(J320,Наценка!$A$1:$B$8,2,1)</f>
        <v>1.68</v>
      </c>
      <c r="L320" s="4">
        <f t="shared" si="62"/>
        <v>571.19999999999993</v>
      </c>
      <c r="M320" s="42">
        <f t="shared" si="63"/>
        <v>579</v>
      </c>
      <c r="N320" s="28">
        <f>VLOOKUP($A320,'Выгр Кат'!$A:$R,N$1,0)</f>
        <v>290</v>
      </c>
      <c r="O320" s="28">
        <f>VLOOKUP($A320,'Выгр Кат'!$A:$R,O$1,0)</f>
        <v>549</v>
      </c>
      <c r="P320" s="30">
        <f t="shared" si="76"/>
        <v>-50</v>
      </c>
      <c r="Q320" s="30">
        <f t="shared" si="77"/>
        <v>-30</v>
      </c>
      <c r="R320" s="36">
        <f t="shared" si="78"/>
        <v>538.46999999999991</v>
      </c>
      <c r="S320" s="64" t="str">
        <f>IFERROR((VLOOKUP($A320,'Из ГУГЛа'!$B:$G,6,0)+U320)*T320,VLOOKUP($A320,'Из ГУГЛа'!$B:$G,6,0))</f>
        <v/>
      </c>
      <c r="T320" s="38">
        <v>1</v>
      </c>
      <c r="U320" s="38">
        <v>0</v>
      </c>
      <c r="V320" s="39">
        <f t="shared" si="79"/>
        <v>0.5837352941176468</v>
      </c>
      <c r="W320" s="39" t="str">
        <f t="shared" si="80"/>
        <v/>
      </c>
      <c r="X320" s="39" t="str">
        <f t="shared" si="81"/>
        <v/>
      </c>
      <c r="Y320" s="65" t="s">
        <v>8364</v>
      </c>
      <c r="Z320" s="46"/>
    </row>
    <row r="321" spans="1:26" s="3" customFormat="1" x14ac:dyDescent="0.25">
      <c r="A321" s="28"/>
      <c r="B321" s="28" t="e">
        <f>VLOOKUP($A321,'Выгр Кат'!$A:$R,B$1,0)</f>
        <v>#N/A</v>
      </c>
      <c r="C321" s="27" t="e">
        <f>VLOOKUP($A321,'Выгр Кат'!$A:$R,C$1,0)</f>
        <v>#N/A</v>
      </c>
      <c r="D321" s="28" t="e">
        <f>VLOOKUP($A321,'Выгр Кат'!$A:$R,D$1,0)</f>
        <v>#N/A</v>
      </c>
      <c r="E321" s="28" t="e">
        <f>VLOOKUP($A321,'Выгр Кат'!$A:$R,E$1,0)</f>
        <v>#N/A</v>
      </c>
      <c r="F321" s="28" t="e">
        <f>VLOOKUP($A321,'Выгр Кат'!$A:$R,F$1,0)</f>
        <v>#N/A</v>
      </c>
      <c r="G321" s="19"/>
      <c r="H321" s="19"/>
      <c r="I321" s="1" t="s">
        <v>3</v>
      </c>
      <c r="J321" s="42" t="e">
        <f>VLOOKUP(G321,Прайс!B:E,4,0)</f>
        <v>#N/A</v>
      </c>
      <c r="K321" s="2" t="e">
        <f>VLOOKUP(J321,Наценка!$A$1:$B$8,2,1)</f>
        <v>#N/A</v>
      </c>
      <c r="L321" s="4" t="e">
        <f t="shared" si="62"/>
        <v>#N/A</v>
      </c>
      <c r="M321" s="42" t="e">
        <f t="shared" si="63"/>
        <v>#N/A</v>
      </c>
      <c r="N321" s="28" t="e">
        <f>VLOOKUP($A321,'Выгр Кат'!$A:$R,N$1,0)</f>
        <v>#N/A</v>
      </c>
      <c r="O321" s="28" t="e">
        <f>VLOOKUP($A321,'Выгр Кат'!$A:$R,O$1,0)</f>
        <v>#N/A</v>
      </c>
      <c r="P321" s="30" t="e">
        <f t="shared" si="76"/>
        <v>#N/A</v>
      </c>
      <c r="Q321" s="30" t="e">
        <f t="shared" si="77"/>
        <v>#N/A</v>
      </c>
      <c r="R321" s="36" t="str">
        <f t="shared" si="78"/>
        <v/>
      </c>
      <c r="S321" s="64" t="e">
        <f>IFERROR((VLOOKUP($A321,'Из ГУГЛа'!$B:$G,6,0)+U321)*T321,VLOOKUP($A321,'Из ГУГЛа'!$B:$G,6,0))</f>
        <v>#N/A</v>
      </c>
      <c r="T321" s="38">
        <v>1</v>
      </c>
      <c r="U321" s="38">
        <v>0</v>
      </c>
      <c r="V321" s="39" t="str">
        <f t="shared" si="79"/>
        <v/>
      </c>
      <c r="W321" s="39" t="str">
        <f t="shared" si="80"/>
        <v/>
      </c>
      <c r="X321" s="39" t="str">
        <f t="shared" si="81"/>
        <v/>
      </c>
      <c r="Y321" s="65"/>
      <c r="Z321" s="46"/>
    </row>
    <row r="322" spans="1:26" s="3" customFormat="1" x14ac:dyDescent="0.25">
      <c r="A322" s="28"/>
      <c r="B322" s="28" t="e">
        <f>VLOOKUP($A322,'Выгр Кат'!$A:$R,B$1,0)</f>
        <v>#N/A</v>
      </c>
      <c r="C322" s="27" t="e">
        <f>VLOOKUP($A322,'Выгр Кат'!$A:$R,C$1,0)</f>
        <v>#N/A</v>
      </c>
      <c r="D322" s="28" t="e">
        <f>VLOOKUP($A322,'Выгр Кат'!$A:$R,D$1,0)</f>
        <v>#N/A</v>
      </c>
      <c r="E322" s="28" t="e">
        <f>VLOOKUP($A322,'Выгр Кат'!$A:$R,E$1,0)</f>
        <v>#N/A</v>
      </c>
      <c r="F322" s="28" t="e">
        <f>VLOOKUP($A322,'Выгр Кат'!$A:$R,F$1,0)</f>
        <v>#N/A</v>
      </c>
      <c r="G322" s="19"/>
      <c r="H322" s="19"/>
      <c r="I322" s="1" t="s">
        <v>3</v>
      </c>
      <c r="J322" s="42" t="e">
        <f>VLOOKUP(G322,Прайс!B:E,4,0)</f>
        <v>#N/A</v>
      </c>
      <c r="K322" s="2" t="e">
        <f>VLOOKUP(J322,Наценка!$A$1:$B$8,2,1)</f>
        <v>#N/A</v>
      </c>
      <c r="L322" s="4" t="e">
        <f t="shared" si="62"/>
        <v>#N/A</v>
      </c>
      <c r="M322" s="42" t="e">
        <f t="shared" si="63"/>
        <v>#N/A</v>
      </c>
      <c r="N322" s="28" t="e">
        <f>VLOOKUP($A322,'Выгр Кат'!$A:$R,N$1,0)</f>
        <v>#N/A</v>
      </c>
      <c r="O322" s="28" t="e">
        <f>VLOOKUP($A322,'Выгр Кат'!$A:$R,O$1,0)</f>
        <v>#N/A</v>
      </c>
      <c r="P322" s="30" t="e">
        <f t="shared" si="76"/>
        <v>#N/A</v>
      </c>
      <c r="Q322" s="30" t="e">
        <f t="shared" si="77"/>
        <v>#N/A</v>
      </c>
      <c r="R322" s="36" t="str">
        <f t="shared" si="78"/>
        <v/>
      </c>
      <c r="S322" s="64" t="e">
        <f>IFERROR((VLOOKUP($A322,'Из ГУГЛа'!$B:$G,6,0)+U322)*T322,VLOOKUP($A322,'Из ГУГЛа'!$B:$G,6,0))</f>
        <v>#N/A</v>
      </c>
      <c r="T322" s="38">
        <v>1</v>
      </c>
      <c r="U322" s="38">
        <v>0</v>
      </c>
      <c r="V322" s="39" t="str">
        <f t="shared" si="79"/>
        <v/>
      </c>
      <c r="W322" s="39" t="str">
        <f t="shared" si="80"/>
        <v/>
      </c>
      <c r="X322" s="39" t="str">
        <f t="shared" si="81"/>
        <v/>
      </c>
      <c r="Y322" s="65"/>
      <c r="Z322" s="46"/>
    </row>
    <row r="323" spans="1:26" s="3" customFormat="1" x14ac:dyDescent="0.25">
      <c r="A323" s="28"/>
      <c r="B323" s="28" t="e">
        <f>VLOOKUP($A323,'Выгр Кат'!$A:$R,B$1,0)</f>
        <v>#N/A</v>
      </c>
      <c r="C323" s="27" t="e">
        <f>VLOOKUP($A323,'Выгр Кат'!$A:$R,C$1,0)</f>
        <v>#N/A</v>
      </c>
      <c r="D323" s="28" t="e">
        <f>VLOOKUP($A323,'Выгр Кат'!$A:$R,D$1,0)</f>
        <v>#N/A</v>
      </c>
      <c r="E323" s="28" t="e">
        <f>VLOOKUP($A323,'Выгр Кат'!$A:$R,E$1,0)</f>
        <v>#N/A</v>
      </c>
      <c r="F323" s="28" t="e">
        <f>VLOOKUP($A323,'Выгр Кат'!$A:$R,F$1,0)</f>
        <v>#N/A</v>
      </c>
      <c r="G323" s="19"/>
      <c r="H323" s="19"/>
      <c r="I323" s="1" t="s">
        <v>3</v>
      </c>
      <c r="J323" s="42" t="e">
        <f>VLOOKUP(G323,Прайс!B:E,4,0)</f>
        <v>#N/A</v>
      </c>
      <c r="K323" s="2" t="e">
        <f>VLOOKUP(J323,Наценка!$A$1:$B$8,2,1)</f>
        <v>#N/A</v>
      </c>
      <c r="L323" s="4" t="e">
        <f t="shared" ref="L323:L336" si="82">J323*K323</f>
        <v>#N/A</v>
      </c>
      <c r="M323" s="42" t="e">
        <f t="shared" ref="M323:M336" si="83">IF(L323&lt;=1000,(ROUNDUP(L323,-1)-1),(ROUNDUP(L323,-2)-10))</f>
        <v>#N/A</v>
      </c>
      <c r="N323" s="28" t="e">
        <f>VLOOKUP($A323,'Выгр Кат'!$A:$R,N$1,0)</f>
        <v>#N/A</v>
      </c>
      <c r="O323" s="28" t="e">
        <f>VLOOKUP($A323,'Выгр Кат'!$A:$R,O$1,0)</f>
        <v>#N/A</v>
      </c>
      <c r="P323" s="30" t="e">
        <f t="shared" si="76"/>
        <v>#N/A</v>
      </c>
      <c r="Q323" s="30" t="e">
        <f t="shared" si="77"/>
        <v>#N/A</v>
      </c>
      <c r="R323" s="36" t="str">
        <f t="shared" si="78"/>
        <v/>
      </c>
      <c r="S323" s="64" t="e">
        <f>IFERROR((VLOOKUP($A323,'Из ГУГЛа'!$B:$G,6,0)+U323)*T323,VLOOKUP($A323,'Из ГУГЛа'!$B:$G,6,0))</f>
        <v>#N/A</v>
      </c>
      <c r="T323" s="38">
        <v>1</v>
      </c>
      <c r="U323" s="38">
        <v>0</v>
      </c>
      <c r="V323" s="39" t="str">
        <f t="shared" si="79"/>
        <v/>
      </c>
      <c r="W323" s="39" t="str">
        <f t="shared" si="80"/>
        <v/>
      </c>
      <c r="X323" s="39" t="str">
        <f t="shared" si="81"/>
        <v/>
      </c>
      <c r="Y323" s="65"/>
      <c r="Z323" s="46"/>
    </row>
    <row r="324" spans="1:26" s="3" customFormat="1" x14ac:dyDescent="0.25">
      <c r="A324" s="28"/>
      <c r="B324" s="28" t="e">
        <f>VLOOKUP($A324,'Выгр Кат'!$A:$R,B$1,0)</f>
        <v>#N/A</v>
      </c>
      <c r="C324" s="27" t="e">
        <f>VLOOKUP($A324,'Выгр Кат'!$A:$R,C$1,0)</f>
        <v>#N/A</v>
      </c>
      <c r="D324" s="28" t="e">
        <f>VLOOKUP($A324,'Выгр Кат'!$A:$R,D$1,0)</f>
        <v>#N/A</v>
      </c>
      <c r="E324" s="28" t="e">
        <f>VLOOKUP($A324,'Выгр Кат'!$A:$R,E$1,0)</f>
        <v>#N/A</v>
      </c>
      <c r="F324" s="28" t="e">
        <f>VLOOKUP($A324,'Выгр Кат'!$A:$R,F$1,0)</f>
        <v>#N/A</v>
      </c>
      <c r="G324" s="19"/>
      <c r="H324" s="19"/>
      <c r="I324" s="1" t="s">
        <v>3</v>
      </c>
      <c r="J324" s="42" t="e">
        <f>VLOOKUP(G324,Прайс!B:E,4,0)</f>
        <v>#N/A</v>
      </c>
      <c r="K324" s="2" t="e">
        <f>VLOOKUP(J324,Наценка!$A$1:$B$8,2,1)</f>
        <v>#N/A</v>
      </c>
      <c r="L324" s="4" t="e">
        <f t="shared" si="82"/>
        <v>#N/A</v>
      </c>
      <c r="M324" s="42" t="e">
        <f t="shared" si="83"/>
        <v>#N/A</v>
      </c>
      <c r="N324" s="28" t="e">
        <f>VLOOKUP($A324,'Выгр Кат'!$A:$R,N$1,0)</f>
        <v>#N/A</v>
      </c>
      <c r="O324" s="28" t="e">
        <f>VLOOKUP($A324,'Выгр Кат'!$A:$R,O$1,0)</f>
        <v>#N/A</v>
      </c>
      <c r="P324" s="30" t="e">
        <f t="shared" si="76"/>
        <v>#N/A</v>
      </c>
      <c r="Q324" s="30" t="e">
        <f t="shared" si="77"/>
        <v>#N/A</v>
      </c>
      <c r="R324" s="36" t="str">
        <f t="shared" si="78"/>
        <v/>
      </c>
      <c r="S324" s="64" t="e">
        <f>IFERROR((VLOOKUP($A324,'Из ГУГЛа'!$B:$G,6,0)+U324)*T324,VLOOKUP($A324,'Из ГУГЛа'!$B:$G,6,0))</f>
        <v>#N/A</v>
      </c>
      <c r="T324" s="38">
        <v>1</v>
      </c>
      <c r="U324" s="38">
        <v>0</v>
      </c>
      <c r="V324" s="39" t="str">
        <f t="shared" si="79"/>
        <v/>
      </c>
      <c r="W324" s="39" t="str">
        <f t="shared" si="80"/>
        <v/>
      </c>
      <c r="X324" s="39" t="str">
        <f t="shared" si="81"/>
        <v/>
      </c>
      <c r="Y324" s="65"/>
      <c r="Z324" s="46"/>
    </row>
    <row r="325" spans="1:26" s="3" customFormat="1" x14ac:dyDescent="0.25">
      <c r="A325" s="28"/>
      <c r="B325" s="28" t="e">
        <f>VLOOKUP($A325,'Выгр Кат'!$A:$R,B$1,0)</f>
        <v>#N/A</v>
      </c>
      <c r="C325" s="27" t="e">
        <f>VLOOKUP($A325,'Выгр Кат'!$A:$R,C$1,0)</f>
        <v>#N/A</v>
      </c>
      <c r="D325" s="28" t="e">
        <f>VLOOKUP($A325,'Выгр Кат'!$A:$R,D$1,0)</f>
        <v>#N/A</v>
      </c>
      <c r="E325" s="28" t="e">
        <f>VLOOKUP($A325,'Выгр Кат'!$A:$R,E$1,0)</f>
        <v>#N/A</v>
      </c>
      <c r="F325" s="28" t="e">
        <f>VLOOKUP($A325,'Выгр Кат'!$A:$R,F$1,0)</f>
        <v>#N/A</v>
      </c>
      <c r="G325" s="19"/>
      <c r="H325" s="19"/>
      <c r="I325" s="1" t="s">
        <v>3</v>
      </c>
      <c r="J325" s="42" t="e">
        <f>VLOOKUP(G325,Прайс!B:E,4,0)</f>
        <v>#N/A</v>
      </c>
      <c r="K325" s="2" t="e">
        <f>VLOOKUP(J325,Наценка!$A$1:$B$8,2,1)</f>
        <v>#N/A</v>
      </c>
      <c r="L325" s="4" t="e">
        <f t="shared" si="82"/>
        <v>#N/A</v>
      </c>
      <c r="M325" s="42" t="e">
        <f t="shared" si="83"/>
        <v>#N/A</v>
      </c>
      <c r="N325" s="28" t="e">
        <f>VLOOKUP($A325,'Выгр Кат'!$A:$R,N$1,0)</f>
        <v>#N/A</v>
      </c>
      <c r="O325" s="28" t="e">
        <f>VLOOKUP($A325,'Выгр Кат'!$A:$R,O$1,0)</f>
        <v>#N/A</v>
      </c>
      <c r="P325" s="30" t="e">
        <f t="shared" si="76"/>
        <v>#N/A</v>
      </c>
      <c r="Q325" s="30" t="e">
        <f t="shared" si="77"/>
        <v>#N/A</v>
      </c>
      <c r="R325" s="36" t="str">
        <f t="shared" si="78"/>
        <v/>
      </c>
      <c r="S325" s="64" t="e">
        <f>IFERROR((VLOOKUP($A325,'Из ГУГЛа'!$B:$G,6,0)+U325)*T325,VLOOKUP($A325,'Из ГУГЛа'!$B:$G,6,0))</f>
        <v>#N/A</v>
      </c>
      <c r="T325" s="38">
        <v>1</v>
      </c>
      <c r="U325" s="38">
        <v>0</v>
      </c>
      <c r="V325" s="39" t="str">
        <f t="shared" si="79"/>
        <v/>
      </c>
      <c r="W325" s="39" t="str">
        <f t="shared" si="80"/>
        <v/>
      </c>
      <c r="X325" s="39" t="str">
        <f t="shared" si="81"/>
        <v/>
      </c>
      <c r="Y325" s="65"/>
      <c r="Z325" s="46"/>
    </row>
    <row r="326" spans="1:26" s="3" customFormat="1" x14ac:dyDescent="0.25">
      <c r="A326" s="28"/>
      <c r="B326" s="28" t="e">
        <f>VLOOKUP($A326,'Выгр Кат'!$A:$R,B$1,0)</f>
        <v>#N/A</v>
      </c>
      <c r="C326" s="27" t="e">
        <f>VLOOKUP($A326,'Выгр Кат'!$A:$R,C$1,0)</f>
        <v>#N/A</v>
      </c>
      <c r="D326" s="28" t="e">
        <f>VLOOKUP($A326,'Выгр Кат'!$A:$R,D$1,0)</f>
        <v>#N/A</v>
      </c>
      <c r="E326" s="28" t="e">
        <f>VLOOKUP($A326,'Выгр Кат'!$A:$R,E$1,0)</f>
        <v>#N/A</v>
      </c>
      <c r="F326" s="28" t="e">
        <f>VLOOKUP($A326,'Выгр Кат'!$A:$R,F$1,0)</f>
        <v>#N/A</v>
      </c>
      <c r="G326" s="19"/>
      <c r="H326" s="19"/>
      <c r="I326" s="1" t="s">
        <v>3</v>
      </c>
      <c r="J326" s="42" t="e">
        <f>VLOOKUP(G326,Прайс!B:E,4,0)</f>
        <v>#N/A</v>
      </c>
      <c r="K326" s="2" t="e">
        <f>VLOOKUP(J326,Наценка!$A$1:$B$8,2,1)</f>
        <v>#N/A</v>
      </c>
      <c r="L326" s="4" t="e">
        <f t="shared" si="82"/>
        <v>#N/A</v>
      </c>
      <c r="M326" s="42" t="e">
        <f t="shared" si="83"/>
        <v>#N/A</v>
      </c>
      <c r="N326" s="28" t="e">
        <f>VLOOKUP($A326,'Выгр Кат'!$A:$R,N$1,0)</f>
        <v>#N/A</v>
      </c>
      <c r="O326" s="28" t="e">
        <f>VLOOKUP($A326,'Выгр Кат'!$A:$R,O$1,0)</f>
        <v>#N/A</v>
      </c>
      <c r="P326" s="30" t="e">
        <f t="shared" si="76"/>
        <v>#N/A</v>
      </c>
      <c r="Q326" s="30" t="e">
        <f t="shared" si="77"/>
        <v>#N/A</v>
      </c>
      <c r="R326" s="36" t="str">
        <f t="shared" si="78"/>
        <v/>
      </c>
      <c r="S326" s="64" t="e">
        <f>IFERROR((VLOOKUP($A326,'Из ГУГЛа'!$B:$G,6,0)+U326)*T326,VLOOKUP($A326,'Из ГУГЛа'!$B:$G,6,0))</f>
        <v>#N/A</v>
      </c>
      <c r="T326" s="38">
        <v>1</v>
      </c>
      <c r="U326" s="38">
        <v>0</v>
      </c>
      <c r="V326" s="39" t="str">
        <f t="shared" si="79"/>
        <v/>
      </c>
      <c r="W326" s="39" t="str">
        <f t="shared" si="80"/>
        <v/>
      </c>
      <c r="X326" s="39" t="str">
        <f t="shared" si="81"/>
        <v/>
      </c>
      <c r="Y326" s="65"/>
      <c r="Z326" s="46"/>
    </row>
    <row r="327" spans="1:26" s="3" customFormat="1" x14ac:dyDescent="0.25">
      <c r="A327" s="28"/>
      <c r="B327" s="28" t="e">
        <f>VLOOKUP($A327,'Выгр Кат'!$A:$R,B$1,0)</f>
        <v>#N/A</v>
      </c>
      <c r="C327" s="27" t="e">
        <f>VLOOKUP($A327,'Выгр Кат'!$A:$R,C$1,0)</f>
        <v>#N/A</v>
      </c>
      <c r="D327" s="28" t="e">
        <f>VLOOKUP($A327,'Выгр Кат'!$A:$R,D$1,0)</f>
        <v>#N/A</v>
      </c>
      <c r="E327" s="28" t="e">
        <f>VLOOKUP($A327,'Выгр Кат'!$A:$R,E$1,0)</f>
        <v>#N/A</v>
      </c>
      <c r="F327" s="28" t="e">
        <f>VLOOKUP($A327,'Выгр Кат'!$A:$R,F$1,0)</f>
        <v>#N/A</v>
      </c>
      <c r="G327" s="19"/>
      <c r="H327" s="19"/>
      <c r="I327" s="1" t="s">
        <v>3</v>
      </c>
      <c r="J327" s="42" t="e">
        <f>VLOOKUP(G327,Прайс!B:E,4,0)</f>
        <v>#N/A</v>
      </c>
      <c r="K327" s="2" t="e">
        <f>VLOOKUP(J327,Наценка!$A$1:$B$8,2,1)</f>
        <v>#N/A</v>
      </c>
      <c r="L327" s="4" t="e">
        <f t="shared" si="82"/>
        <v>#N/A</v>
      </c>
      <c r="M327" s="42" t="e">
        <f t="shared" si="83"/>
        <v>#N/A</v>
      </c>
      <c r="N327" s="28" t="e">
        <f>VLOOKUP($A327,'Выгр Кат'!$A:$R,N$1,0)</f>
        <v>#N/A</v>
      </c>
      <c r="O327" s="28" t="e">
        <f>VLOOKUP($A327,'Выгр Кат'!$A:$R,O$1,0)</f>
        <v>#N/A</v>
      </c>
      <c r="P327" s="30" t="e">
        <f t="shared" si="76"/>
        <v>#N/A</v>
      </c>
      <c r="Q327" s="30" t="e">
        <f t="shared" si="77"/>
        <v>#N/A</v>
      </c>
      <c r="R327" s="36" t="str">
        <f t="shared" si="78"/>
        <v/>
      </c>
      <c r="S327" s="64" t="e">
        <f>IFERROR((VLOOKUP($A327,'Из ГУГЛа'!$B:$G,6,0)+U327)*T327,VLOOKUP($A327,'Из ГУГЛа'!$B:$G,6,0))</f>
        <v>#N/A</v>
      </c>
      <c r="T327" s="38">
        <v>1</v>
      </c>
      <c r="U327" s="38">
        <v>0</v>
      </c>
      <c r="V327" s="39" t="str">
        <f t="shared" si="79"/>
        <v/>
      </c>
      <c r="W327" s="39" t="str">
        <f t="shared" si="80"/>
        <v/>
      </c>
      <c r="X327" s="39" t="str">
        <f t="shared" si="81"/>
        <v/>
      </c>
      <c r="Y327" s="65"/>
      <c r="Z327" s="46"/>
    </row>
    <row r="328" spans="1:26" s="3" customFormat="1" x14ac:dyDescent="0.25">
      <c r="A328" s="28"/>
      <c r="B328" s="28" t="e">
        <f>VLOOKUP($A328,'Выгр Кат'!$A:$R,B$1,0)</f>
        <v>#N/A</v>
      </c>
      <c r="C328" s="27" t="e">
        <f>VLOOKUP($A328,'Выгр Кат'!$A:$R,C$1,0)</f>
        <v>#N/A</v>
      </c>
      <c r="D328" s="28" t="e">
        <f>VLOOKUP($A328,'Выгр Кат'!$A:$R,D$1,0)</f>
        <v>#N/A</v>
      </c>
      <c r="E328" s="28" t="e">
        <f>VLOOKUP($A328,'Выгр Кат'!$A:$R,E$1,0)</f>
        <v>#N/A</v>
      </c>
      <c r="F328" s="28" t="e">
        <f>VLOOKUP($A328,'Выгр Кат'!$A:$R,F$1,0)</f>
        <v>#N/A</v>
      </c>
      <c r="G328" s="19"/>
      <c r="H328" s="19"/>
      <c r="I328" s="1" t="s">
        <v>3</v>
      </c>
      <c r="J328" s="42" t="e">
        <f>VLOOKUP(G328,Прайс!B:E,4,0)</f>
        <v>#N/A</v>
      </c>
      <c r="K328" s="2" t="e">
        <f>VLOOKUP(J328,Наценка!$A$1:$B$8,2,1)</f>
        <v>#N/A</v>
      </c>
      <c r="L328" s="4" t="e">
        <f t="shared" si="82"/>
        <v>#N/A</v>
      </c>
      <c r="M328" s="42" t="e">
        <f t="shared" si="83"/>
        <v>#N/A</v>
      </c>
      <c r="N328" s="28" t="e">
        <f>VLOOKUP($A328,'Выгр Кат'!$A:$R,N$1,0)</f>
        <v>#N/A</v>
      </c>
      <c r="O328" s="28" t="e">
        <f>VLOOKUP($A328,'Выгр Кат'!$A:$R,O$1,0)</f>
        <v>#N/A</v>
      </c>
      <c r="P328" s="30" t="e">
        <f t="shared" si="76"/>
        <v>#N/A</v>
      </c>
      <c r="Q328" s="30" t="e">
        <f t="shared" si="77"/>
        <v>#N/A</v>
      </c>
      <c r="R328" s="36" t="str">
        <f t="shared" si="78"/>
        <v/>
      </c>
      <c r="S328" s="64" t="e">
        <f>IFERROR((VLOOKUP($A328,'Из ГУГЛа'!$B:$G,6,0)+U328)*T328,VLOOKUP($A328,'Из ГУГЛа'!$B:$G,6,0))</f>
        <v>#N/A</v>
      </c>
      <c r="T328" s="38">
        <v>1</v>
      </c>
      <c r="U328" s="38">
        <v>0</v>
      </c>
      <c r="V328" s="39" t="str">
        <f t="shared" si="79"/>
        <v/>
      </c>
      <c r="W328" s="39" t="str">
        <f t="shared" si="80"/>
        <v/>
      </c>
      <c r="X328" s="39" t="str">
        <f t="shared" si="81"/>
        <v/>
      </c>
      <c r="Y328" s="65"/>
      <c r="Z328" s="46"/>
    </row>
    <row r="329" spans="1:26" s="3" customFormat="1" x14ac:dyDescent="0.25">
      <c r="A329" s="28"/>
      <c r="B329" s="28" t="e">
        <f>VLOOKUP($A329,'Выгр Кат'!$A:$R,B$1,0)</f>
        <v>#N/A</v>
      </c>
      <c r="C329" s="27" t="e">
        <f>VLOOKUP($A329,'Выгр Кат'!$A:$R,C$1,0)</f>
        <v>#N/A</v>
      </c>
      <c r="D329" s="28" t="e">
        <f>VLOOKUP($A329,'Выгр Кат'!$A:$R,D$1,0)</f>
        <v>#N/A</v>
      </c>
      <c r="E329" s="28" t="e">
        <f>VLOOKUP($A329,'Выгр Кат'!$A:$R,E$1,0)</f>
        <v>#N/A</v>
      </c>
      <c r="F329" s="28" t="e">
        <f>VLOOKUP($A329,'Выгр Кат'!$A:$R,F$1,0)</f>
        <v>#N/A</v>
      </c>
      <c r="G329" s="19"/>
      <c r="H329" s="19"/>
      <c r="I329" s="1" t="s">
        <v>3</v>
      </c>
      <c r="J329" s="42" t="e">
        <f>VLOOKUP(G329,Прайс!B:E,4,0)</f>
        <v>#N/A</v>
      </c>
      <c r="K329" s="2" t="e">
        <f>VLOOKUP(J329,Наценка!$A$1:$B$8,2,1)</f>
        <v>#N/A</v>
      </c>
      <c r="L329" s="4" t="e">
        <f t="shared" si="82"/>
        <v>#N/A</v>
      </c>
      <c r="M329" s="42" t="e">
        <f t="shared" si="83"/>
        <v>#N/A</v>
      </c>
      <c r="N329" s="28" t="e">
        <f>VLOOKUP($A329,'Выгр Кат'!$A:$R,N$1,0)</f>
        <v>#N/A</v>
      </c>
      <c r="O329" s="28" t="e">
        <f>VLOOKUP($A329,'Выгр Кат'!$A:$R,O$1,0)</f>
        <v>#N/A</v>
      </c>
      <c r="P329" s="30" t="e">
        <f t="shared" si="76"/>
        <v>#N/A</v>
      </c>
      <c r="Q329" s="30" t="e">
        <f t="shared" si="77"/>
        <v>#N/A</v>
      </c>
      <c r="R329" s="36" t="str">
        <f t="shared" si="78"/>
        <v/>
      </c>
      <c r="S329" s="64" t="e">
        <f>IFERROR((VLOOKUP($A329,'Из ГУГЛа'!$B:$G,6,0)+U329)*T329,VLOOKUP($A329,'Из ГУГЛа'!$B:$G,6,0))</f>
        <v>#N/A</v>
      </c>
      <c r="T329" s="38">
        <v>1</v>
      </c>
      <c r="U329" s="38">
        <v>0</v>
      </c>
      <c r="V329" s="39" t="str">
        <f t="shared" si="79"/>
        <v/>
      </c>
      <c r="W329" s="39" t="str">
        <f t="shared" si="80"/>
        <v/>
      </c>
      <c r="X329" s="39" t="str">
        <f t="shared" si="81"/>
        <v/>
      </c>
      <c r="Y329" s="65"/>
      <c r="Z329" s="46"/>
    </row>
    <row r="330" spans="1:26" s="3" customFormat="1" x14ac:dyDescent="0.25">
      <c r="A330" s="28"/>
      <c r="B330" s="28" t="e">
        <f>VLOOKUP($A330,'Выгр Кат'!$A:$R,B$1,0)</f>
        <v>#N/A</v>
      </c>
      <c r="C330" s="27" t="e">
        <f>VLOOKUP($A330,'Выгр Кат'!$A:$R,C$1,0)</f>
        <v>#N/A</v>
      </c>
      <c r="D330" s="28" t="e">
        <f>VLOOKUP($A330,'Выгр Кат'!$A:$R,D$1,0)</f>
        <v>#N/A</v>
      </c>
      <c r="E330" s="28" t="e">
        <f>VLOOKUP($A330,'Выгр Кат'!$A:$R,E$1,0)</f>
        <v>#N/A</v>
      </c>
      <c r="F330" s="28" t="e">
        <f>VLOOKUP($A330,'Выгр Кат'!$A:$R,F$1,0)</f>
        <v>#N/A</v>
      </c>
      <c r="G330" s="19"/>
      <c r="H330" s="19"/>
      <c r="I330" s="1" t="s">
        <v>3</v>
      </c>
      <c r="J330" s="42" t="e">
        <f>VLOOKUP(G330,Прайс!B:E,4,0)</f>
        <v>#N/A</v>
      </c>
      <c r="K330" s="2" t="e">
        <f>VLOOKUP(J330,Наценка!$A$1:$B$8,2,1)</f>
        <v>#N/A</v>
      </c>
      <c r="L330" s="4" t="e">
        <f t="shared" si="82"/>
        <v>#N/A</v>
      </c>
      <c r="M330" s="42" t="e">
        <f t="shared" si="83"/>
        <v>#N/A</v>
      </c>
      <c r="N330" s="28" t="e">
        <f>VLOOKUP($A330,'Выгр Кат'!$A:$R,N$1,0)</f>
        <v>#N/A</v>
      </c>
      <c r="O330" s="28" t="e">
        <f>VLOOKUP($A330,'Выгр Кат'!$A:$R,O$1,0)</f>
        <v>#N/A</v>
      </c>
      <c r="P330" s="30" t="e">
        <f t="shared" si="76"/>
        <v>#N/A</v>
      </c>
      <c r="Q330" s="30" t="e">
        <f t="shared" si="77"/>
        <v>#N/A</v>
      </c>
      <c r="R330" s="36" t="str">
        <f t="shared" si="78"/>
        <v/>
      </c>
      <c r="S330" s="64" t="e">
        <f>IFERROR((VLOOKUP($A330,'Из ГУГЛа'!$B:$G,6,0)+U330)*T330,VLOOKUP($A330,'Из ГУГЛа'!$B:$G,6,0))</f>
        <v>#N/A</v>
      </c>
      <c r="T330" s="38">
        <v>1</v>
      </c>
      <c r="U330" s="38">
        <v>0</v>
      </c>
      <c r="V330" s="39" t="str">
        <f t="shared" si="79"/>
        <v/>
      </c>
      <c r="W330" s="39" t="str">
        <f t="shared" si="80"/>
        <v/>
      </c>
      <c r="X330" s="39" t="str">
        <f t="shared" si="81"/>
        <v/>
      </c>
      <c r="Y330" s="65"/>
      <c r="Z330" s="46"/>
    </row>
    <row r="331" spans="1:26" s="3" customFormat="1" x14ac:dyDescent="0.25">
      <c r="A331" s="28"/>
      <c r="B331" s="28" t="e">
        <f>VLOOKUP($A331,'Выгр Кат'!$A:$R,B$1,0)</f>
        <v>#N/A</v>
      </c>
      <c r="C331" s="27" t="e">
        <f>VLOOKUP($A331,'Выгр Кат'!$A:$R,C$1,0)</f>
        <v>#N/A</v>
      </c>
      <c r="D331" s="28" t="e">
        <f>VLOOKUP($A331,'Выгр Кат'!$A:$R,D$1,0)</f>
        <v>#N/A</v>
      </c>
      <c r="E331" s="28" t="e">
        <f>VLOOKUP($A331,'Выгр Кат'!$A:$R,E$1,0)</f>
        <v>#N/A</v>
      </c>
      <c r="F331" s="28" t="e">
        <f>VLOOKUP($A331,'Выгр Кат'!$A:$R,F$1,0)</f>
        <v>#N/A</v>
      </c>
      <c r="G331" s="19"/>
      <c r="H331" s="19"/>
      <c r="I331" s="1" t="s">
        <v>3</v>
      </c>
      <c r="J331" s="42" t="e">
        <f>VLOOKUP(G331,Прайс!B:E,4,0)</f>
        <v>#N/A</v>
      </c>
      <c r="K331" s="2" t="e">
        <f>VLOOKUP(J331,Наценка!$A$1:$B$8,2,1)</f>
        <v>#N/A</v>
      </c>
      <c r="L331" s="4" t="e">
        <f t="shared" si="82"/>
        <v>#N/A</v>
      </c>
      <c r="M331" s="42" t="e">
        <f t="shared" si="83"/>
        <v>#N/A</v>
      </c>
      <c r="N331" s="28" t="e">
        <f>VLOOKUP($A331,'Выгр Кат'!$A:$R,N$1,0)</f>
        <v>#N/A</v>
      </c>
      <c r="O331" s="28" t="e">
        <f>VLOOKUP($A331,'Выгр Кат'!$A:$R,O$1,0)</f>
        <v>#N/A</v>
      </c>
      <c r="P331" s="30" t="e">
        <f t="shared" si="76"/>
        <v>#N/A</v>
      </c>
      <c r="Q331" s="30" t="e">
        <f t="shared" si="77"/>
        <v>#N/A</v>
      </c>
      <c r="R331" s="36" t="str">
        <f t="shared" si="78"/>
        <v/>
      </c>
      <c r="S331" s="64" t="e">
        <f>IFERROR((VLOOKUP($A331,'Из ГУГЛа'!$B:$G,6,0)+U331)*T331,VLOOKUP($A331,'Из ГУГЛа'!$B:$G,6,0))</f>
        <v>#N/A</v>
      </c>
      <c r="T331" s="38">
        <v>1</v>
      </c>
      <c r="U331" s="38">
        <v>0</v>
      </c>
      <c r="V331" s="39" t="str">
        <f t="shared" si="79"/>
        <v/>
      </c>
      <c r="W331" s="39" t="str">
        <f t="shared" si="80"/>
        <v/>
      </c>
      <c r="X331" s="39" t="str">
        <f t="shared" si="81"/>
        <v/>
      </c>
      <c r="Y331" s="65"/>
      <c r="Z331" s="46"/>
    </row>
    <row r="332" spans="1:26" s="3" customFormat="1" x14ac:dyDescent="0.25">
      <c r="A332" s="28"/>
      <c r="B332" s="28" t="e">
        <f>VLOOKUP($A332,'Выгр Кат'!$A:$R,B$1,0)</f>
        <v>#N/A</v>
      </c>
      <c r="C332" s="27" t="e">
        <f>VLOOKUP($A332,'Выгр Кат'!$A:$R,C$1,0)</f>
        <v>#N/A</v>
      </c>
      <c r="D332" s="28" t="e">
        <f>VLOOKUP($A332,'Выгр Кат'!$A:$R,D$1,0)</f>
        <v>#N/A</v>
      </c>
      <c r="E332" s="28" t="e">
        <f>VLOOKUP($A332,'Выгр Кат'!$A:$R,E$1,0)</f>
        <v>#N/A</v>
      </c>
      <c r="F332" s="28" t="e">
        <f>VLOOKUP($A332,'Выгр Кат'!$A:$R,F$1,0)</f>
        <v>#N/A</v>
      </c>
      <c r="G332" s="19"/>
      <c r="H332" s="19"/>
      <c r="I332" s="1" t="s">
        <v>3</v>
      </c>
      <c r="J332" s="42" t="e">
        <f>VLOOKUP(G332,Прайс!B:E,4,0)</f>
        <v>#N/A</v>
      </c>
      <c r="K332" s="2" t="e">
        <f>VLOOKUP(J332,Наценка!$A$1:$B$8,2,1)</f>
        <v>#N/A</v>
      </c>
      <c r="L332" s="4" t="e">
        <f t="shared" si="82"/>
        <v>#N/A</v>
      </c>
      <c r="M332" s="42" t="e">
        <f t="shared" si="83"/>
        <v>#N/A</v>
      </c>
      <c r="N332" s="28" t="e">
        <f>VLOOKUP($A332,'Выгр Кат'!$A:$R,N$1,0)</f>
        <v>#N/A</v>
      </c>
      <c r="O332" s="28" t="e">
        <f>VLOOKUP($A332,'Выгр Кат'!$A:$R,O$1,0)</f>
        <v>#N/A</v>
      </c>
      <c r="P332" s="30" t="e">
        <f t="shared" si="76"/>
        <v>#N/A</v>
      </c>
      <c r="Q332" s="30" t="e">
        <f t="shared" si="77"/>
        <v>#N/A</v>
      </c>
      <c r="R332" s="36" t="str">
        <f t="shared" si="78"/>
        <v/>
      </c>
      <c r="S332" s="64" t="e">
        <f>IFERROR((VLOOKUP($A332,'Из ГУГЛа'!$B:$G,6,0)+U332)*T332,VLOOKUP($A332,'Из ГУГЛа'!$B:$G,6,0))</f>
        <v>#N/A</v>
      </c>
      <c r="T332" s="38">
        <v>1</v>
      </c>
      <c r="U332" s="38">
        <v>0</v>
      </c>
      <c r="V332" s="39" t="str">
        <f t="shared" si="79"/>
        <v/>
      </c>
      <c r="W332" s="39" t="str">
        <f t="shared" si="80"/>
        <v/>
      </c>
      <c r="X332" s="39" t="str">
        <f t="shared" si="81"/>
        <v/>
      </c>
      <c r="Y332" s="65"/>
      <c r="Z332" s="46"/>
    </row>
    <row r="333" spans="1:26" s="3" customFormat="1" x14ac:dyDescent="0.25">
      <c r="A333" s="28"/>
      <c r="B333" s="28" t="e">
        <f>VLOOKUP($A333,'Выгр Кат'!$A:$R,B$1,0)</f>
        <v>#N/A</v>
      </c>
      <c r="C333" s="27" t="e">
        <f>VLOOKUP($A333,'Выгр Кат'!$A:$R,C$1,0)</f>
        <v>#N/A</v>
      </c>
      <c r="D333" s="28" t="e">
        <f>VLOOKUP($A333,'Выгр Кат'!$A:$R,D$1,0)</f>
        <v>#N/A</v>
      </c>
      <c r="E333" s="28" t="e">
        <f>VLOOKUP($A333,'Выгр Кат'!$A:$R,E$1,0)</f>
        <v>#N/A</v>
      </c>
      <c r="F333" s="28" t="e">
        <f>VLOOKUP($A333,'Выгр Кат'!$A:$R,F$1,0)</f>
        <v>#N/A</v>
      </c>
      <c r="G333" s="19"/>
      <c r="H333" s="19"/>
      <c r="I333" s="1" t="s">
        <v>3</v>
      </c>
      <c r="J333" s="42" t="e">
        <f>VLOOKUP(G333,Прайс!B:E,4,0)</f>
        <v>#N/A</v>
      </c>
      <c r="K333" s="2" t="e">
        <f>VLOOKUP(J333,Наценка!$A$1:$B$8,2,1)</f>
        <v>#N/A</v>
      </c>
      <c r="L333" s="4" t="e">
        <f t="shared" si="82"/>
        <v>#N/A</v>
      </c>
      <c r="M333" s="42" t="e">
        <f t="shared" si="83"/>
        <v>#N/A</v>
      </c>
      <c r="N333" s="28" t="e">
        <f>VLOOKUP($A333,'Выгр Кат'!$A:$R,N$1,0)</f>
        <v>#N/A</v>
      </c>
      <c r="O333" s="28" t="e">
        <f>VLOOKUP($A333,'Выгр Кат'!$A:$R,O$1,0)</f>
        <v>#N/A</v>
      </c>
      <c r="P333" s="30" t="e">
        <f t="shared" si="76"/>
        <v>#N/A</v>
      </c>
      <c r="Q333" s="30" t="e">
        <f t="shared" si="77"/>
        <v>#N/A</v>
      </c>
      <c r="R333" s="36" t="str">
        <f t="shared" si="78"/>
        <v/>
      </c>
      <c r="S333" s="64" t="e">
        <f>IFERROR((VLOOKUP($A333,'Из ГУГЛа'!$B:$G,6,0)+U333)*T333,VLOOKUP($A333,'Из ГУГЛа'!$B:$G,6,0))</f>
        <v>#N/A</v>
      </c>
      <c r="T333" s="38">
        <v>1</v>
      </c>
      <c r="U333" s="38">
        <v>0</v>
      </c>
      <c r="V333" s="39" t="str">
        <f t="shared" si="79"/>
        <v/>
      </c>
      <c r="W333" s="39" t="str">
        <f t="shared" si="80"/>
        <v/>
      </c>
      <c r="X333" s="39" t="str">
        <f t="shared" si="81"/>
        <v/>
      </c>
      <c r="Y333" s="65"/>
      <c r="Z333" s="46"/>
    </row>
    <row r="334" spans="1:26" s="3" customFormat="1" x14ac:dyDescent="0.25">
      <c r="A334" s="28"/>
      <c r="B334" s="28" t="e">
        <f>VLOOKUP($A334,'Выгр Кат'!$A:$R,B$1,0)</f>
        <v>#N/A</v>
      </c>
      <c r="C334" s="27" t="e">
        <f>VLOOKUP($A334,'Выгр Кат'!$A:$R,C$1,0)</f>
        <v>#N/A</v>
      </c>
      <c r="D334" s="28" t="e">
        <f>VLOOKUP($A334,'Выгр Кат'!$A:$R,D$1,0)</f>
        <v>#N/A</v>
      </c>
      <c r="E334" s="28" t="e">
        <f>VLOOKUP($A334,'Выгр Кат'!$A:$R,E$1,0)</f>
        <v>#N/A</v>
      </c>
      <c r="F334" s="28" t="e">
        <f>VLOOKUP($A334,'Выгр Кат'!$A:$R,F$1,0)</f>
        <v>#N/A</v>
      </c>
      <c r="G334" s="19"/>
      <c r="H334" s="19"/>
      <c r="I334" s="1" t="s">
        <v>3</v>
      </c>
      <c r="J334" s="42" t="e">
        <f>VLOOKUP(G334,Прайс!B:E,4,0)</f>
        <v>#N/A</v>
      </c>
      <c r="K334" s="2" t="e">
        <f>VLOOKUP(J334,Наценка!$A$1:$B$8,2,1)</f>
        <v>#N/A</v>
      </c>
      <c r="L334" s="4" t="e">
        <f t="shared" si="82"/>
        <v>#N/A</v>
      </c>
      <c r="M334" s="42" t="e">
        <f t="shared" si="83"/>
        <v>#N/A</v>
      </c>
      <c r="N334" s="28" t="e">
        <f>VLOOKUP($A334,'Выгр Кат'!$A:$R,N$1,0)</f>
        <v>#N/A</v>
      </c>
      <c r="O334" s="28" t="e">
        <f>VLOOKUP($A334,'Выгр Кат'!$A:$R,O$1,0)</f>
        <v>#N/A</v>
      </c>
      <c r="P334" s="30" t="e">
        <f t="shared" si="76"/>
        <v>#N/A</v>
      </c>
      <c r="Q334" s="30" t="e">
        <f t="shared" si="77"/>
        <v>#N/A</v>
      </c>
      <c r="R334" s="36" t="str">
        <f t="shared" si="78"/>
        <v/>
      </c>
      <c r="S334" s="64" t="e">
        <f>IFERROR((VLOOKUP($A334,'Из ГУГЛа'!$B:$G,6,0)+U334)*T334,VLOOKUP($A334,'Из ГУГЛа'!$B:$G,6,0))</f>
        <v>#N/A</v>
      </c>
      <c r="T334" s="38">
        <v>1</v>
      </c>
      <c r="U334" s="38">
        <v>0</v>
      </c>
      <c r="V334" s="39" t="str">
        <f t="shared" si="79"/>
        <v/>
      </c>
      <c r="W334" s="39" t="str">
        <f t="shared" si="80"/>
        <v/>
      </c>
      <c r="X334" s="39" t="str">
        <f t="shared" si="81"/>
        <v/>
      </c>
      <c r="Y334" s="65"/>
      <c r="Z334" s="46"/>
    </row>
    <row r="335" spans="1:26" s="3" customFormat="1" x14ac:dyDescent="0.25">
      <c r="A335" s="28"/>
      <c r="B335" s="28" t="e">
        <f>VLOOKUP($A335,'Выгр Кат'!$A:$R,B$1,0)</f>
        <v>#N/A</v>
      </c>
      <c r="C335" s="27" t="e">
        <f>VLOOKUP($A335,'Выгр Кат'!$A:$R,C$1,0)</f>
        <v>#N/A</v>
      </c>
      <c r="D335" s="28" t="e">
        <f>VLOOKUP($A335,'Выгр Кат'!$A:$R,D$1,0)</f>
        <v>#N/A</v>
      </c>
      <c r="E335" s="28" t="e">
        <f>VLOOKUP($A335,'Выгр Кат'!$A:$R,E$1,0)</f>
        <v>#N/A</v>
      </c>
      <c r="F335" s="28" t="e">
        <f>VLOOKUP($A335,'Выгр Кат'!$A:$R,F$1,0)</f>
        <v>#N/A</v>
      </c>
      <c r="G335" s="19"/>
      <c r="H335" s="19"/>
      <c r="I335" s="1" t="s">
        <v>3</v>
      </c>
      <c r="J335" s="42" t="e">
        <f>VLOOKUP(G335,Прайс!B:E,4,0)</f>
        <v>#N/A</v>
      </c>
      <c r="K335" s="2" t="e">
        <f>VLOOKUP(J335,Наценка!$A$1:$B$8,2,1)</f>
        <v>#N/A</v>
      </c>
      <c r="L335" s="4" t="e">
        <f t="shared" si="82"/>
        <v>#N/A</v>
      </c>
      <c r="M335" s="42" t="e">
        <f t="shared" si="83"/>
        <v>#N/A</v>
      </c>
      <c r="N335" s="28" t="e">
        <f>VLOOKUP($A335,'Выгр Кат'!$A:$R,N$1,0)</f>
        <v>#N/A</v>
      </c>
      <c r="O335" s="28" t="e">
        <f>VLOOKUP($A335,'Выгр Кат'!$A:$R,O$1,0)</f>
        <v>#N/A</v>
      </c>
      <c r="P335" s="30" t="e">
        <f t="shared" si="76"/>
        <v>#N/A</v>
      </c>
      <c r="Q335" s="30" t="e">
        <f t="shared" si="77"/>
        <v>#N/A</v>
      </c>
      <c r="R335" s="36" t="str">
        <f t="shared" si="78"/>
        <v/>
      </c>
      <c r="S335" s="64" t="e">
        <f>IFERROR((VLOOKUP($A335,'Из ГУГЛа'!$B:$G,6,0)+U335)*T335,VLOOKUP($A335,'Из ГУГЛа'!$B:$G,6,0))</f>
        <v>#N/A</v>
      </c>
      <c r="T335" s="38">
        <v>1</v>
      </c>
      <c r="U335" s="38">
        <v>0</v>
      </c>
      <c r="V335" s="39" t="str">
        <f t="shared" si="79"/>
        <v/>
      </c>
      <c r="W335" s="39" t="str">
        <f t="shared" si="80"/>
        <v/>
      </c>
      <c r="X335" s="39" t="str">
        <f t="shared" si="81"/>
        <v/>
      </c>
      <c r="Y335" s="65"/>
      <c r="Z335" s="46"/>
    </row>
    <row r="336" spans="1:26" s="3" customFormat="1" x14ac:dyDescent="0.25">
      <c r="A336" s="28"/>
      <c r="B336" s="28" t="e">
        <f>VLOOKUP($A336,'Выгр Кат'!$A:$R,B$1,0)</f>
        <v>#N/A</v>
      </c>
      <c r="C336" s="27" t="e">
        <f>VLOOKUP($A336,'Выгр Кат'!$A:$R,C$1,0)</f>
        <v>#N/A</v>
      </c>
      <c r="D336" s="28" t="e">
        <f>VLOOKUP($A336,'Выгр Кат'!$A:$R,D$1,0)</f>
        <v>#N/A</v>
      </c>
      <c r="E336" s="28" t="e">
        <f>VLOOKUP($A336,'Выгр Кат'!$A:$R,E$1,0)</f>
        <v>#N/A</v>
      </c>
      <c r="F336" s="28" t="e">
        <f>VLOOKUP($A336,'Выгр Кат'!$A:$R,F$1,0)</f>
        <v>#N/A</v>
      </c>
      <c r="G336" s="19"/>
      <c r="H336" s="19"/>
      <c r="I336" s="1" t="s">
        <v>3</v>
      </c>
      <c r="J336" s="42" t="e">
        <f>VLOOKUP(G336,Прайс!B:E,4,0)</f>
        <v>#N/A</v>
      </c>
      <c r="K336" s="2" t="e">
        <f>VLOOKUP(J336,Наценка!$A$1:$B$8,2,1)</f>
        <v>#N/A</v>
      </c>
      <c r="L336" s="4" t="e">
        <f t="shared" si="82"/>
        <v>#N/A</v>
      </c>
      <c r="M336" s="42" t="e">
        <f t="shared" si="83"/>
        <v>#N/A</v>
      </c>
      <c r="N336" s="28" t="e">
        <f>VLOOKUP($A336,'Выгр Кат'!$A:$R,N$1,0)</f>
        <v>#N/A</v>
      </c>
      <c r="O336" s="28" t="e">
        <f>VLOOKUP($A336,'Выгр Кат'!$A:$R,O$1,0)</f>
        <v>#N/A</v>
      </c>
      <c r="P336" s="30" t="e">
        <f t="shared" si="76"/>
        <v>#N/A</v>
      </c>
      <c r="Q336" s="30" t="e">
        <f t="shared" si="77"/>
        <v>#N/A</v>
      </c>
      <c r="R336" s="36" t="str">
        <f t="shared" si="78"/>
        <v/>
      </c>
      <c r="S336" s="64" t="e">
        <f>IFERROR((VLOOKUP($A336,'Из ГУГЛа'!$B:$G,6,0)+U336)*T336,VLOOKUP($A336,'Из ГУГЛа'!$B:$G,6,0))</f>
        <v>#N/A</v>
      </c>
      <c r="T336" s="38">
        <v>1</v>
      </c>
      <c r="U336" s="38">
        <v>0</v>
      </c>
      <c r="V336" s="39" t="str">
        <f t="shared" si="79"/>
        <v/>
      </c>
      <c r="W336" s="39" t="str">
        <f t="shared" si="80"/>
        <v/>
      </c>
      <c r="X336" s="39" t="str">
        <f t="shared" si="81"/>
        <v/>
      </c>
      <c r="Y336" s="65"/>
      <c r="Z336" s="46"/>
    </row>
    <row r="340" spans="12:12" x14ac:dyDescent="0.25">
      <c r="L340" s="52">
        <f>Y340*1</f>
        <v>0</v>
      </c>
    </row>
    <row r="341" spans="12:12" x14ac:dyDescent="0.25">
      <c r="L341" s="53">
        <f>Y341*1.02</f>
        <v>0</v>
      </c>
    </row>
    <row r="342" spans="12:12" x14ac:dyDescent="0.25">
      <c r="L342" s="54">
        <f>Y342*1.04</f>
        <v>0</v>
      </c>
    </row>
    <row r="343" spans="12:12" x14ac:dyDescent="0.25">
      <c r="L343" s="55">
        <f>Y343*1.05</f>
        <v>0</v>
      </c>
    </row>
    <row r="344" spans="12:12" x14ac:dyDescent="0.25">
      <c r="L344" s="55">
        <f>Y344*1.06</f>
        <v>0</v>
      </c>
    </row>
    <row r="345" spans="12:12" x14ac:dyDescent="0.25">
      <c r="L345" s="56">
        <f>Y345*1.07</f>
        <v>0</v>
      </c>
    </row>
    <row r="346" spans="12:12" x14ac:dyDescent="0.25">
      <c r="L346" s="57">
        <f>Y346*1.08</f>
        <v>0</v>
      </c>
    </row>
    <row r="347" spans="12:12" x14ac:dyDescent="0.25">
      <c r="L347" s="58">
        <f>J347*1.15*100/93</f>
        <v>0</v>
      </c>
    </row>
  </sheetData>
  <autoFilter ref="A2:Y336" xr:uid="{26459BB1-A0AB-4FF8-A06C-AE10D39B4358}"/>
  <phoneticPr fontId="22" type="noConversion"/>
  <conditionalFormatting sqref="C337:C1048576">
    <cfRule type="expression" dxfId="14" priority="7">
      <formula>OR(D337="нет",E337="1")</formula>
    </cfRule>
  </conditionalFormatting>
  <conditionalFormatting sqref="C3:C336">
    <cfRule type="expression" dxfId="13" priority="6">
      <formula>OR(D3="N",E3="0")</formula>
    </cfRule>
  </conditionalFormatting>
  <conditionalFormatting sqref="A3:A336">
    <cfRule type="expression" dxfId="12" priority="5">
      <formula>AND(ROUNDDOWN($Q3,0)=0,ROUNDDOWN($P3,0)=0)</formula>
    </cfRule>
  </conditionalFormatting>
  <conditionalFormatting sqref="V3:V336 X3:X336">
    <cfRule type="cellIs" dxfId="11" priority="4" operator="lessThan">
      <formula>0.15</formula>
    </cfRule>
  </conditionalFormatting>
  <conditionalFormatting sqref="W3:W336">
    <cfRule type="cellIs" dxfId="10" priority="3" operator="lessThan">
      <formula>0%</formula>
    </cfRule>
  </conditionalFormatting>
  <conditionalFormatting sqref="S2:S336">
    <cfRule type="expression" dxfId="9" priority="1">
      <formula>VALUE(S2)&lt;&gt;Y2</formula>
    </cfRule>
  </conditionalFormatting>
  <conditionalFormatting sqref="G2:G312">
    <cfRule type="duplicateValues" dxfId="8" priority="120"/>
  </conditionalFormatting>
  <hyperlinks>
    <hyperlink ref="Y111" r:id="rId1" display="https://motorring.ru/product/26638-aromatizator-avtomobilynyy-car-freshner" xr:uid="{37F0AD71-6939-4BEF-8D67-41D8316A0A51}"/>
    <hyperlink ref="Y112" r:id="rId2" display="https://motorring.ru/product/26638-aromatizator-avtomobilynyy-car-freshner" xr:uid="{7210B00F-0158-4B60-A401-6FFF3610CAB8}"/>
    <hyperlink ref="Y113" r:id="rId3" display="https://motorring.ru/product/26638-aromatizator-avtomobilynyy-car-freshner" xr:uid="{09C1F7A9-BAA1-4E4F-851F-B7219A1DE4FA}"/>
    <hyperlink ref="Y114" r:id="rId4" display="https://motorring.ru/product/26638-aromatizator-avtomobilynyy-car-freshner" xr:uid="{FB3181DB-FC6A-4953-ABCE-6B278C68DB91}"/>
    <hyperlink ref="Y115" r:id="rId5" display="https://motorring.ru/product/26638-aromatizator-avtomobilynyy-car-freshner" xr:uid="{9544F91D-E6EE-45CD-A25A-6209C234B79B}"/>
    <hyperlink ref="Y116" r:id="rId6" display="https://motorring.ru/product/26638-aromatizator-avtomobilynyy-car-freshner" xr:uid="{ABC32630-DA1F-4F6F-829B-191FF57BD5E1}"/>
    <hyperlink ref="Y117" r:id="rId7" display="https://motorring.ru/product/26638-aromatizator-avtomobilynyy-car-freshner" xr:uid="{BC064E18-1751-4D89-96CC-D9EAD970A69C}"/>
    <hyperlink ref="Y118" r:id="rId8" display="https://motorring.ru/product/26638-aromatizator-avtomobilynyy-car-freshner" xr:uid="{D1D75EA3-1540-4472-9C9D-B592867C6291}"/>
    <hyperlink ref="Y119" r:id="rId9" display="https://motorring.ru/product/26638-aromatizator-avtomobilynyy-car-freshner" xr:uid="{06AA6EFF-E9E9-4E11-85DE-36C7AEBB548B}"/>
    <hyperlink ref="Y120" r:id="rId10" display="https://motorring.ru/product/26638-aromatizator-avtomobilynyy-car-freshner" xr:uid="{A7D0436E-03B6-41CE-A7C6-32830BE7D991}"/>
    <hyperlink ref="Y121" r:id="rId11" display="https://motorring.ru/product/26638-aromatizator-avtomobilynyy-car-freshner" xr:uid="{6EF8917F-83DC-40FB-B950-9887F6ECEA41}"/>
    <hyperlink ref="Y122" r:id="rId12" display="https://motorring.ru/product/26638-aromatizator-avtomobilynyy-car-freshner" xr:uid="{DA0B7CF4-C28B-4CA6-B98B-6176407BC3BF}"/>
    <hyperlink ref="Y123" r:id="rId13" display="https://motorring.ru/product/26638-aromatizator-avtomobilynyy-car-freshner" xr:uid="{570AE12D-FE27-4AEB-8546-80F69CAE3380}"/>
    <hyperlink ref="Y124" r:id="rId14" display="https://motorring.ru/product/26638-aromatizator-avtomobilynyy-car-freshner" xr:uid="{FE6D0BDB-D8BE-4425-9BEE-17F0D280CFF0}"/>
    <hyperlink ref="Y125" r:id="rId15" display="https://motorring.ru/product/26638-aromatizator-avtomobilynyy-car-freshner" xr:uid="{ACEC8F46-D813-43B8-AAFD-D8CC497225DC}"/>
    <hyperlink ref="Y126" r:id="rId16" display="https://motorring.ru/product/26638-aromatizator-avtomobilynyy-car-freshner" xr:uid="{81728A31-B191-41D0-A95A-DA253EE1ACB4}"/>
    <hyperlink ref="Y127" r:id="rId17" display="https://motorring.ru/product/26638-aromatizator-avtomobilynyy-car-freshner" xr:uid="{47474841-CCF8-454E-AE8F-F2A9A78300F6}"/>
    <hyperlink ref="Y128" r:id="rId18" display="https://motorring.ru/product/26638-aromatizator-avtomobilynyy-car-freshner" xr:uid="{4F4E9861-697B-4595-8865-3D6658F26DFA}"/>
    <hyperlink ref="Y135" r:id="rId19" display="https://motorring.ru/product/26638-aromatizator-avtomobilynyy-car-freshner" xr:uid="{36AF2C0C-FC76-4AE5-A706-07BF6FBDCD57}"/>
    <hyperlink ref="Y136" r:id="rId20" display="https://motorring.ru/product/26638-aromatizator-avtomobilynyy-car-freshner" xr:uid="{91C6CFE2-FEEC-40BA-A5BB-23D31BC0B556}"/>
    <hyperlink ref="Y137" r:id="rId21" display="https://motorring.ru/product/26638-aromatizator-avtomobilynyy-car-freshner" xr:uid="{4FDD3998-7062-458E-95AC-32EF772B748B}"/>
    <hyperlink ref="Y271" r:id="rId22" display="https://motorring.ru/product/2696-signal-vozdushnyy-odnoroghkovyy-vstroennym-motorom" xr:uid="{3C5C26D3-84A0-49CA-B2A3-752FD1BDC1D2}"/>
    <hyperlink ref="Y110" r:id="rId23" display="https://motorring.ru/product/26638-aromatizator-avtomobilynyy-car-freshner" xr:uid="{C2A28D48-984B-40D0-BADF-7D8247E7124D}"/>
    <hyperlink ref="Y163" r:id="rId24" display="https://motorring.ru/product/26638-aromatizator-avtomobilynyy-car-freshner" xr:uid="{8B9671CA-F501-4B32-841D-1F2881F5C659}"/>
    <hyperlink ref="Y164" r:id="rId25" display="https://motorring.ru/product/26638-aromatizator-avtomobilynyy-car-freshner" xr:uid="{64035615-02F0-483F-9F67-A300A17CB37B}"/>
  </hyperlinks>
  <pageMargins left="0.75" right="0.75" top="1" bottom="1" header="0.5" footer="0.5"/>
  <pageSetup paperSize="9" orientation="portrait" r:id="rId2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BBFDD-02A0-46C6-A2C9-0B553F00D715}">
  <dimension ref="A1:Y69"/>
  <sheetViews>
    <sheetView showGridLines="0" workbookViewId="0">
      <pane ySplit="2" topLeftCell="A51" activePane="bottomLeft" state="frozen"/>
      <selection pane="bottomLeft" activeCell="Y54" sqref="Y2:Z54"/>
    </sheetView>
  </sheetViews>
  <sheetFormatPr defaultRowHeight="15" outlineLevelCol="1" x14ac:dyDescent="0.25"/>
  <cols>
    <col min="1" max="1" width="24.140625" customWidth="1" outlineLevel="1"/>
    <col min="2" max="2" width="7.28515625" bestFit="1" customWidth="1"/>
    <col min="3" max="3" width="7.28515625" customWidth="1"/>
    <col min="4" max="4" width="36.5703125" bestFit="1" customWidth="1"/>
    <col min="5" max="5" width="3.42578125" bestFit="1" customWidth="1"/>
    <col min="6" max="6" width="3" bestFit="1" customWidth="1"/>
    <col min="7" max="7" width="13.5703125" bestFit="1" customWidth="1"/>
    <col min="8" max="8" width="8.28515625" bestFit="1" customWidth="1"/>
    <col min="9" max="9" width="13.42578125" bestFit="1" customWidth="1"/>
    <col min="10" max="10" width="10.140625" style="29" bestFit="1" customWidth="1"/>
    <col min="11" max="11" width="4.85546875" bestFit="1" customWidth="1"/>
    <col min="12" max="12" width="4.85546875" style="29" bestFit="1" customWidth="1"/>
    <col min="13" max="13" width="12.42578125" style="29" bestFit="1" customWidth="1"/>
    <col min="14" max="14" width="6.7109375" bestFit="1" customWidth="1"/>
    <col min="15" max="15" width="6.85546875" bestFit="1" customWidth="1"/>
    <col min="16" max="17" width="7.42578125" bestFit="1" customWidth="1"/>
    <col min="18" max="18" width="5.85546875" bestFit="1" customWidth="1"/>
    <col min="19" max="19" width="10.140625" customWidth="1"/>
    <col min="20" max="20" width="8.42578125" bestFit="1" customWidth="1"/>
    <col min="21" max="21" width="7.5703125" bestFit="1" customWidth="1"/>
    <col min="22" max="22" width="9.28515625" bestFit="1" customWidth="1"/>
    <col min="23" max="23" width="6.85546875" bestFit="1" customWidth="1"/>
    <col min="24" max="24" width="8.42578125" bestFit="1" customWidth="1"/>
    <col min="25" max="25" width="8.140625" bestFit="1" customWidth="1"/>
  </cols>
  <sheetData>
    <row r="1" spans="1:25" s="8" customFormat="1" x14ac:dyDescent="0.25">
      <c r="A1"/>
      <c r="C1" s="25">
        <v>2</v>
      </c>
      <c r="D1" s="25">
        <v>3</v>
      </c>
      <c r="E1">
        <v>4</v>
      </c>
      <c r="F1">
        <v>15</v>
      </c>
      <c r="G1">
        <v>7</v>
      </c>
      <c r="J1" s="41">
        <f>N1</f>
        <v>9</v>
      </c>
      <c r="L1" s="41">
        <f>O1</f>
        <v>10</v>
      </c>
      <c r="M1" s="41">
        <f>O1</f>
        <v>10</v>
      </c>
      <c r="N1">
        <v>9</v>
      </c>
      <c r="O1">
        <v>10</v>
      </c>
      <c r="P1" s="29"/>
      <c r="Q1" s="29"/>
      <c r="R1"/>
      <c r="S1"/>
      <c r="T1"/>
      <c r="U1"/>
      <c r="V1" s="20" t="str">
        <f>_xlfn.CONCAT(ROUND(MIN(V3:V9000)*100,0),"-",ROUND(MAX(V3:V9000)*100,0),"%")</f>
        <v>57-78%</v>
      </c>
      <c r="W1" s="20" t="str">
        <f>_xlfn.CONCAT(ROUND(SUBTOTAL(5,W3:W9000)*100,0)," - ",ROUND(SUBTOTAL(4,W3:W9000)*100,0),"%")</f>
        <v>0 - 0%</v>
      </c>
      <c r="X1" s="20" t="str">
        <f>_xlfn.CONCAT(ROUND(SUBTOTAL(5,X3:X90000)*100,0)," - ",ROUND(SUBTOTAL(4,X3:X90000)*100,0),"%")</f>
        <v>0 - 0%</v>
      </c>
      <c r="Y1" s="31"/>
    </row>
    <row r="2" spans="1:25" s="3" customFormat="1" x14ac:dyDescent="0.25">
      <c r="A2" s="43" t="s">
        <v>7280</v>
      </c>
      <c r="B2" s="1" t="s">
        <v>0</v>
      </c>
      <c r="C2" s="26" t="s">
        <v>2440</v>
      </c>
      <c r="D2" s="26" t="s">
        <v>5489</v>
      </c>
      <c r="E2" s="26"/>
      <c r="F2" s="26"/>
      <c r="G2" s="26" t="s">
        <v>7182</v>
      </c>
      <c r="H2" s="4" t="s">
        <v>7191</v>
      </c>
      <c r="I2" s="1" t="s">
        <v>2</v>
      </c>
      <c r="J2" s="42" t="s">
        <v>5490</v>
      </c>
      <c r="K2" s="2"/>
      <c r="L2" s="4"/>
      <c r="M2" s="42" t="s">
        <v>5491</v>
      </c>
      <c r="N2" s="26" t="s">
        <v>7183</v>
      </c>
      <c r="O2" s="26" t="s">
        <v>7184</v>
      </c>
      <c r="P2" s="30" t="s">
        <v>7185</v>
      </c>
      <c r="Q2" s="30" t="s">
        <v>7185</v>
      </c>
      <c r="R2" s="32">
        <v>7.0000000000000007E-2</v>
      </c>
      <c r="S2" s="33" t="s">
        <v>7186</v>
      </c>
      <c r="T2" s="33" t="s">
        <v>7187</v>
      </c>
      <c r="U2" s="33" t="s">
        <v>7188</v>
      </c>
      <c r="V2" s="34" t="s">
        <v>4834</v>
      </c>
      <c r="W2" s="34" t="s">
        <v>7189</v>
      </c>
      <c r="X2" s="34" t="s">
        <v>4835</v>
      </c>
      <c r="Y2" s="35" t="s">
        <v>7190</v>
      </c>
    </row>
    <row r="3" spans="1:25" s="3" customFormat="1" ht="45" x14ac:dyDescent="0.25">
      <c r="A3" s="27" t="str">
        <f>INDEX('Выгр Торг'!$A:$A,MATCH($B3,'Выгр Торг'!$B:$B,0))</f>
        <v>Селективный ароматизатор "COBA" подвесной</v>
      </c>
      <c r="B3" s="28">
        <v>242730</v>
      </c>
      <c r="C3" s="28">
        <f>VLOOKUP($B3,'Выгр Торг'!$B:$Q,C$1,0)</f>
        <v>175486</v>
      </c>
      <c r="D3" s="27" t="str">
        <f>VLOOKUP($B3,'Выгр Торг'!$B:$Q,D$1,0)</f>
        <v>Ароматизатор "COBA" подвесной Бабл-Гам</v>
      </c>
      <c r="E3" s="28" t="str">
        <f>VLOOKUP($B3,'Выгр Торг'!$B:$Q,E$1,0)</f>
        <v>Y</v>
      </c>
      <c r="F3" s="28" t="str">
        <f>VLOOKUP($B3,'Выгр Торг'!$B:$Q,F$1,0)</f>
        <v>1</v>
      </c>
      <c r="G3" s="28">
        <f>VLOOKUP($B3,'Выгр Торг'!$B:$Q,G$1,0)</f>
        <v>0</v>
      </c>
      <c r="H3" s="7"/>
      <c r="I3" s="1" t="s">
        <v>3</v>
      </c>
      <c r="J3" s="41">
        <f t="shared" ref="J3:J18" si="0">N3</f>
        <v>0</v>
      </c>
      <c r="K3" s="2" t="e">
        <f>VLOOKUP(J3,Наценка!$A$1:$B$8,2,1)</f>
        <v>#N/A</v>
      </c>
      <c r="L3" s="4" t="e">
        <f t="shared" ref="L3" si="1">J3*K3</f>
        <v>#N/A</v>
      </c>
      <c r="M3" s="42" t="e">
        <f t="shared" ref="M3" si="2">IF(L3&lt;=1000,(ROUNDUP(L3,-1)-1),(ROUNDUP(L3,-2)-10))</f>
        <v>#N/A</v>
      </c>
      <c r="N3" s="28">
        <f>VLOOKUP($B3,'Выгр Торг'!$B:$Q,N$1,0)</f>
        <v>0</v>
      </c>
      <c r="O3" s="28">
        <f>VLOOKUP($B3,'Выгр Торг'!$B:$Q,O$1,0)</f>
        <v>590</v>
      </c>
      <c r="P3" s="30">
        <f>N3-J3</f>
        <v>0</v>
      </c>
      <c r="Q3" s="30" t="e">
        <f>O3-M3</f>
        <v>#N/A</v>
      </c>
      <c r="R3" s="36" t="str">
        <f>IFERROR(M3*(1-$R$2),"")</f>
        <v/>
      </c>
      <c r="S3" s="37" t="e">
        <f>IFERROR((VLOOKUP($B3,'Из ГУГЛа'!$B:$G,6,0)+U3)*T3,VLOOKUP($B3,'Из ГУГЛа'!$B:$G,6,0))</f>
        <v>#N/A</v>
      </c>
      <c r="T3" s="38">
        <v>1</v>
      </c>
      <c r="U3" s="38"/>
      <c r="V3" s="39" t="str">
        <f>IFERROR(R3/J3-1,"")</f>
        <v/>
      </c>
      <c r="W3" s="39" t="str">
        <f>IFERROR((Y3-R3)/Y3,"")</f>
        <v/>
      </c>
      <c r="X3" s="39" t="str">
        <f>IFERROR(IF(Y3="","",Y3/J3-1),"")</f>
        <v/>
      </c>
      <c r="Y3" s="40" t="s">
        <v>8364</v>
      </c>
    </row>
    <row r="4" spans="1:25" ht="45" x14ac:dyDescent="0.25">
      <c r="A4" s="27" t="str">
        <f>INDEX('Выгр Торг'!$A:$A,MATCH($B4,'Выгр Торг'!$B:$B,0))</f>
        <v>Селективный ароматизатор "COBA" подвесной</v>
      </c>
      <c r="B4" s="28">
        <v>274105</v>
      </c>
      <c r="C4" s="28">
        <f>VLOOKUP($B4,'Выгр Торг'!$B:$Q,C$1,0)</f>
        <v>175493</v>
      </c>
      <c r="D4" s="27" t="str">
        <f>VLOOKUP($B4,'Выгр Торг'!$B:$Q,D$1,0)</f>
        <v>Селективный ароматизатор "COBA" подвесной Белый Кашемир</v>
      </c>
      <c r="E4" s="28" t="str">
        <f>VLOOKUP($B4,'Выгр Торг'!$B:$Q,E$1,0)</f>
        <v>Y</v>
      </c>
      <c r="F4" s="28" t="str">
        <f>VLOOKUP($B4,'Выгр Торг'!$B:$Q,F$1,0)</f>
        <v>1</v>
      </c>
      <c r="G4" s="28">
        <f>VLOOKUP($B4,'Выгр Торг'!$B:$Q,G$1,0)</f>
        <v>0</v>
      </c>
      <c r="H4" s="7"/>
      <c r="I4" s="1" t="s">
        <v>3</v>
      </c>
      <c r="J4" s="41">
        <f t="shared" si="0"/>
        <v>0</v>
      </c>
      <c r="K4" s="2" t="e">
        <f>VLOOKUP(J4,Наценка!$A$1:$B$8,2,1)</f>
        <v>#N/A</v>
      </c>
      <c r="L4" s="4" t="e">
        <f t="shared" ref="L4:L67" si="3">J4*K4</f>
        <v>#N/A</v>
      </c>
      <c r="M4" s="42" t="e">
        <f t="shared" ref="M4:M67" si="4">IF(L4&lt;=1000,(ROUNDUP(L4,-1)-1),(ROUNDUP(L4,-2)-10))</f>
        <v>#N/A</v>
      </c>
      <c r="N4" s="28">
        <f>VLOOKUP($B4,'Выгр Торг'!$B:$Q,N$1,0)</f>
        <v>0</v>
      </c>
      <c r="O4" s="28">
        <f>VLOOKUP($B4,'Выгр Торг'!$B:$Q,O$1,0)</f>
        <v>590</v>
      </c>
      <c r="P4" s="30">
        <f t="shared" ref="P4:P33" si="5">N4-J4</f>
        <v>0</v>
      </c>
      <c r="Q4" s="30" t="e">
        <f t="shared" ref="Q4:Q33" si="6">O4-M4</f>
        <v>#N/A</v>
      </c>
      <c r="R4" s="36" t="str">
        <f t="shared" ref="R4:R33" si="7">IFERROR(M4*(1-$R$2),"")</f>
        <v/>
      </c>
      <c r="S4" s="37" t="e">
        <f>IFERROR((VLOOKUP($B4,'Из ГУГЛа'!$B:$G,6,0)+U4)*T4,VLOOKUP($B4,'Из ГУГЛа'!$B:$G,6,0))</f>
        <v>#N/A</v>
      </c>
      <c r="T4" s="38">
        <v>1</v>
      </c>
      <c r="U4" s="38"/>
      <c r="V4" s="39" t="str">
        <f t="shared" ref="V4:V33" si="8">IFERROR(R4/J4-1,"")</f>
        <v/>
      </c>
      <c r="W4" s="39" t="str">
        <f t="shared" ref="W4:W33" si="9">IFERROR((Y4-R4)/Y4,"")</f>
        <v/>
      </c>
      <c r="X4" s="39" t="str">
        <f t="shared" ref="X4:X33" si="10">IFERROR(IF(Y4="","",Y4/J4-1),"")</f>
        <v/>
      </c>
      <c r="Y4" s="40" t="s">
        <v>8364</v>
      </c>
    </row>
    <row r="5" spans="1:25" ht="45" x14ac:dyDescent="0.25">
      <c r="A5" s="27" t="str">
        <f>INDEX('Выгр Торг'!$A:$A,MATCH($B5,'Выгр Торг'!$B:$B,0))</f>
        <v>Селективный ароматизатор "COBA" подвесной</v>
      </c>
      <c r="B5" s="28">
        <v>242732</v>
      </c>
      <c r="C5" s="28">
        <f>VLOOKUP($B5,'Выгр Торг'!$B:$Q,C$1,0)</f>
        <v>175487</v>
      </c>
      <c r="D5" s="27" t="str">
        <f>VLOOKUP($B5,'Выгр Торг'!$B:$Q,D$1,0)</f>
        <v>Ароматизатор "COBA" подвесной Ваниль и Грейпфрут</v>
      </c>
      <c r="E5" s="28" t="str">
        <f>VLOOKUP($B5,'Выгр Торг'!$B:$Q,E$1,0)</f>
        <v>Y</v>
      </c>
      <c r="F5" s="28" t="str">
        <f>VLOOKUP($B5,'Выгр Торг'!$B:$Q,F$1,0)</f>
        <v>1</v>
      </c>
      <c r="G5" s="28">
        <f>VLOOKUP($B5,'Выгр Торг'!$B:$Q,G$1,0)</f>
        <v>0</v>
      </c>
      <c r="H5" s="7"/>
      <c r="I5" s="1" t="s">
        <v>3</v>
      </c>
      <c r="J5" s="41">
        <f t="shared" si="0"/>
        <v>0</v>
      </c>
      <c r="K5" s="2" t="e">
        <f>VLOOKUP(J5,Наценка!$A$1:$B$8,2,1)</f>
        <v>#N/A</v>
      </c>
      <c r="L5" s="4" t="e">
        <f t="shared" si="3"/>
        <v>#N/A</v>
      </c>
      <c r="M5" s="42" t="e">
        <f t="shared" si="4"/>
        <v>#N/A</v>
      </c>
      <c r="N5" s="28">
        <f>VLOOKUP($B5,'Выгр Торг'!$B:$Q,N$1,0)</f>
        <v>0</v>
      </c>
      <c r="O5" s="28">
        <f>VLOOKUP($B5,'Выгр Торг'!$B:$Q,O$1,0)</f>
        <v>590</v>
      </c>
      <c r="P5" s="30">
        <f t="shared" si="5"/>
        <v>0</v>
      </c>
      <c r="Q5" s="30" t="e">
        <f t="shared" si="6"/>
        <v>#N/A</v>
      </c>
      <c r="R5" s="36" t="str">
        <f t="shared" si="7"/>
        <v/>
      </c>
      <c r="S5" s="37" t="e">
        <f>IFERROR((VLOOKUP($B5,'Из ГУГЛа'!$B:$G,6,0)+U5)*T5,VLOOKUP($B5,'Из ГУГЛа'!$B:$G,6,0))</f>
        <v>#N/A</v>
      </c>
      <c r="T5" s="38">
        <v>1</v>
      </c>
      <c r="U5" s="38"/>
      <c r="V5" s="39" t="str">
        <f t="shared" si="8"/>
        <v/>
      </c>
      <c r="W5" s="39" t="str">
        <f t="shared" si="9"/>
        <v/>
      </c>
      <c r="X5" s="39" t="str">
        <f t="shared" si="10"/>
        <v/>
      </c>
      <c r="Y5" s="40" t="s">
        <v>8364</v>
      </c>
    </row>
    <row r="6" spans="1:25" ht="45" x14ac:dyDescent="0.25">
      <c r="A6" s="27" t="str">
        <f>INDEX('Выгр Торг'!$A:$A,MATCH($B6,'Выгр Торг'!$B:$B,0))</f>
        <v>Селективный ароматизатор "COBA" подвесной</v>
      </c>
      <c r="B6" s="28">
        <v>274106</v>
      </c>
      <c r="C6" s="28">
        <f>VLOOKUP($B6,'Выгр Торг'!$B:$Q,C$1,0)</f>
        <v>175500</v>
      </c>
      <c r="D6" s="27" t="str">
        <f>VLOOKUP($B6,'Выгр Торг'!$B:$Q,D$1,0)</f>
        <v>Селективный ароматизатор "COBA" подвесной Дикий Базилик</v>
      </c>
      <c r="E6" s="28" t="str">
        <f>VLOOKUP($B6,'Выгр Торг'!$B:$Q,E$1,0)</f>
        <v>Y</v>
      </c>
      <c r="F6" s="28" t="str">
        <f>VLOOKUP($B6,'Выгр Торг'!$B:$Q,F$1,0)</f>
        <v>1</v>
      </c>
      <c r="G6" s="28">
        <f>VLOOKUP($B6,'Выгр Торг'!$B:$Q,G$1,0)</f>
        <v>0</v>
      </c>
      <c r="H6" s="7"/>
      <c r="I6" s="1" t="s">
        <v>3</v>
      </c>
      <c r="J6" s="41">
        <f t="shared" si="0"/>
        <v>0</v>
      </c>
      <c r="K6" s="2" t="e">
        <f>VLOOKUP(J6,Наценка!$A$1:$B$8,2,1)</f>
        <v>#N/A</v>
      </c>
      <c r="L6" s="4" t="e">
        <f t="shared" si="3"/>
        <v>#N/A</v>
      </c>
      <c r="M6" s="42" t="e">
        <f t="shared" si="4"/>
        <v>#N/A</v>
      </c>
      <c r="N6" s="28">
        <f>VLOOKUP($B6,'Выгр Торг'!$B:$Q,N$1,0)</f>
        <v>0</v>
      </c>
      <c r="O6" s="28">
        <f>VLOOKUP($B6,'Выгр Торг'!$B:$Q,O$1,0)</f>
        <v>590</v>
      </c>
      <c r="P6" s="30">
        <f t="shared" si="5"/>
        <v>0</v>
      </c>
      <c r="Q6" s="30" t="e">
        <f t="shared" si="6"/>
        <v>#N/A</v>
      </c>
      <c r="R6" s="36" t="str">
        <f t="shared" si="7"/>
        <v/>
      </c>
      <c r="S6" s="37" t="e">
        <f>IFERROR((VLOOKUP($B6,'Из ГУГЛа'!$B:$G,6,0)+U6)*T6,VLOOKUP($B6,'Из ГУГЛа'!$B:$G,6,0))</f>
        <v>#N/A</v>
      </c>
      <c r="T6" s="38">
        <v>1</v>
      </c>
      <c r="U6" s="38"/>
      <c r="V6" s="39" t="str">
        <f t="shared" si="8"/>
        <v/>
      </c>
      <c r="W6" s="39" t="str">
        <f t="shared" si="9"/>
        <v/>
      </c>
      <c r="X6" s="39" t="str">
        <f t="shared" si="10"/>
        <v/>
      </c>
      <c r="Y6" s="40" t="s">
        <v>8364</v>
      </c>
    </row>
    <row r="7" spans="1:25" ht="45" x14ac:dyDescent="0.25">
      <c r="A7" s="27" t="str">
        <f>INDEX('Выгр Торг'!$A:$A,MATCH($B7,'Выгр Торг'!$B:$B,0))</f>
        <v>Селективный ароматизатор "COBA" подвесной</v>
      </c>
      <c r="B7" s="28">
        <v>274107</v>
      </c>
      <c r="C7" s="28">
        <f>VLOOKUP($B7,'Выгр Торг'!$B:$Q,C$1,0)</f>
        <v>175497</v>
      </c>
      <c r="D7" s="27" t="str">
        <f>VLOOKUP($B7,'Выгр Торг'!$B:$Q,D$1,0)</f>
        <v>Селективный ароматизатор "COBA" подвесной Зеленый Манго</v>
      </c>
      <c r="E7" s="28" t="str">
        <f>VLOOKUP($B7,'Выгр Торг'!$B:$Q,E$1,0)</f>
        <v>Y</v>
      </c>
      <c r="F7" s="28" t="str">
        <f>VLOOKUP($B7,'Выгр Торг'!$B:$Q,F$1,0)</f>
        <v>1</v>
      </c>
      <c r="G7" s="28">
        <f>VLOOKUP($B7,'Выгр Торг'!$B:$Q,G$1,0)</f>
        <v>0</v>
      </c>
      <c r="H7" s="7"/>
      <c r="I7" s="1" t="s">
        <v>3</v>
      </c>
      <c r="J7" s="41">
        <f t="shared" si="0"/>
        <v>0</v>
      </c>
      <c r="K7" s="2" t="e">
        <f>VLOOKUP(J7,Наценка!$A$1:$B$8,2,1)</f>
        <v>#N/A</v>
      </c>
      <c r="L7" s="4" t="e">
        <f t="shared" si="3"/>
        <v>#N/A</v>
      </c>
      <c r="M7" s="42" t="e">
        <f t="shared" si="4"/>
        <v>#N/A</v>
      </c>
      <c r="N7" s="28">
        <f>VLOOKUP($B7,'Выгр Торг'!$B:$Q,N$1,0)</f>
        <v>0</v>
      </c>
      <c r="O7" s="28">
        <f>VLOOKUP($B7,'Выгр Торг'!$B:$Q,O$1,0)</f>
        <v>590</v>
      </c>
      <c r="P7" s="30">
        <f t="shared" si="5"/>
        <v>0</v>
      </c>
      <c r="Q7" s="30" t="e">
        <f t="shared" si="6"/>
        <v>#N/A</v>
      </c>
      <c r="R7" s="36" t="str">
        <f t="shared" si="7"/>
        <v/>
      </c>
      <c r="S7" s="37" t="e">
        <f>IFERROR((VLOOKUP($B7,'Из ГУГЛа'!$B:$G,6,0)+U7)*T7,VLOOKUP($B7,'Из ГУГЛа'!$B:$G,6,0))</f>
        <v>#N/A</v>
      </c>
      <c r="T7" s="38">
        <v>1</v>
      </c>
      <c r="U7" s="38"/>
      <c r="V7" s="39" t="str">
        <f t="shared" si="8"/>
        <v/>
      </c>
      <c r="W7" s="39" t="str">
        <f t="shared" si="9"/>
        <v/>
      </c>
      <c r="X7" s="39" t="str">
        <f t="shared" si="10"/>
        <v/>
      </c>
      <c r="Y7" s="40" t="s">
        <v>8364</v>
      </c>
    </row>
    <row r="8" spans="1:25" ht="45" x14ac:dyDescent="0.25">
      <c r="A8" s="27" t="str">
        <f>INDEX('Выгр Торг'!$A:$A,MATCH($B8,'Выгр Торг'!$B:$B,0))</f>
        <v>Селективный ароматизатор "COBA" подвесной</v>
      </c>
      <c r="B8" s="28">
        <v>274108</v>
      </c>
      <c r="C8" s="28">
        <f>VLOOKUP($B8,'Выгр Торг'!$B:$Q,C$1,0)</f>
        <v>175498</v>
      </c>
      <c r="D8" s="27" t="str">
        <f>VLOOKUP($B8,'Выгр Торг'!$B:$Q,D$1,0)</f>
        <v>Селективный ароматизатор "COBA" подвесной Игры Престолов</v>
      </c>
      <c r="E8" s="28" t="str">
        <f>VLOOKUP($B8,'Выгр Торг'!$B:$Q,E$1,0)</f>
        <v>Y</v>
      </c>
      <c r="F8" s="28" t="str">
        <f>VLOOKUP($B8,'Выгр Торг'!$B:$Q,F$1,0)</f>
        <v>1</v>
      </c>
      <c r="G8" s="28">
        <f>VLOOKUP($B8,'Выгр Торг'!$B:$Q,G$1,0)</f>
        <v>0</v>
      </c>
      <c r="H8" s="7"/>
      <c r="I8" s="1" t="s">
        <v>3</v>
      </c>
      <c r="J8" s="41">
        <f t="shared" si="0"/>
        <v>0</v>
      </c>
      <c r="K8" s="2" t="e">
        <f>VLOOKUP(J8,Наценка!$A$1:$B$8,2,1)</f>
        <v>#N/A</v>
      </c>
      <c r="L8" s="4" t="e">
        <f t="shared" si="3"/>
        <v>#N/A</v>
      </c>
      <c r="M8" s="42" t="e">
        <f t="shared" si="4"/>
        <v>#N/A</v>
      </c>
      <c r="N8" s="28">
        <f>VLOOKUP($B8,'Выгр Торг'!$B:$Q,N$1,0)</f>
        <v>0</v>
      </c>
      <c r="O8" s="28">
        <f>VLOOKUP($B8,'Выгр Торг'!$B:$Q,O$1,0)</f>
        <v>590</v>
      </c>
      <c r="P8" s="30">
        <f t="shared" si="5"/>
        <v>0</v>
      </c>
      <c r="Q8" s="30" t="e">
        <f t="shared" si="6"/>
        <v>#N/A</v>
      </c>
      <c r="R8" s="36" t="str">
        <f t="shared" si="7"/>
        <v/>
      </c>
      <c r="S8" s="37" t="e">
        <f>IFERROR((VLOOKUP($B8,'Из ГУГЛа'!$B:$G,6,0)+U8)*T8,VLOOKUP($B8,'Из ГУГЛа'!$B:$G,6,0))</f>
        <v>#N/A</v>
      </c>
      <c r="T8" s="38">
        <v>1</v>
      </c>
      <c r="U8" s="38"/>
      <c r="V8" s="39" t="str">
        <f t="shared" si="8"/>
        <v/>
      </c>
      <c r="W8" s="39" t="str">
        <f t="shared" si="9"/>
        <v/>
      </c>
      <c r="X8" s="39" t="str">
        <f t="shared" si="10"/>
        <v/>
      </c>
      <c r="Y8" s="40" t="s">
        <v>8364</v>
      </c>
    </row>
    <row r="9" spans="1:25" ht="45" x14ac:dyDescent="0.25">
      <c r="A9" s="27" t="str">
        <f>INDEX('Выгр Торг'!$A:$A,MATCH($B9,'Выгр Торг'!$B:$B,0))</f>
        <v>Селективный ароматизатор "COBA" подвесной</v>
      </c>
      <c r="B9" s="28">
        <v>274109</v>
      </c>
      <c r="C9" s="28">
        <f>VLOOKUP($B9,'Выгр Торг'!$B:$Q,C$1,0)</f>
        <v>175494</v>
      </c>
      <c r="D9" s="27" t="str">
        <f>VLOOKUP($B9,'Выгр Торг'!$B:$Q,D$1,0)</f>
        <v>Селективный ароматизатор "COBA" подвесной Королевская замша</v>
      </c>
      <c r="E9" s="28" t="str">
        <f>VLOOKUP($B9,'Выгр Торг'!$B:$Q,E$1,0)</f>
        <v>Y</v>
      </c>
      <c r="F9" s="28" t="str">
        <f>VLOOKUP($B9,'Выгр Торг'!$B:$Q,F$1,0)</f>
        <v>1</v>
      </c>
      <c r="G9" s="28">
        <f>VLOOKUP($B9,'Выгр Торг'!$B:$Q,G$1,0)</f>
        <v>0</v>
      </c>
      <c r="H9" s="7"/>
      <c r="I9" s="1" t="s">
        <v>3</v>
      </c>
      <c r="J9" s="41">
        <f t="shared" si="0"/>
        <v>0</v>
      </c>
      <c r="K9" s="2" t="e">
        <f>VLOOKUP(J9,Наценка!$A$1:$B$8,2,1)</f>
        <v>#N/A</v>
      </c>
      <c r="L9" s="4" t="e">
        <f t="shared" si="3"/>
        <v>#N/A</v>
      </c>
      <c r="M9" s="42" t="e">
        <f t="shared" si="4"/>
        <v>#N/A</v>
      </c>
      <c r="N9" s="28">
        <f>VLOOKUP($B9,'Выгр Торг'!$B:$Q,N$1,0)</f>
        <v>0</v>
      </c>
      <c r="O9" s="28">
        <f>VLOOKUP($B9,'Выгр Торг'!$B:$Q,O$1,0)</f>
        <v>590</v>
      </c>
      <c r="P9" s="30">
        <f t="shared" si="5"/>
        <v>0</v>
      </c>
      <c r="Q9" s="30" t="e">
        <f t="shared" si="6"/>
        <v>#N/A</v>
      </c>
      <c r="R9" s="36" t="str">
        <f t="shared" si="7"/>
        <v/>
      </c>
      <c r="S9" s="37" t="e">
        <f>IFERROR((VLOOKUP($B9,'Из ГУГЛа'!$B:$G,6,0)+U9)*T9,VLOOKUP($B9,'Из ГУГЛа'!$B:$G,6,0))</f>
        <v>#N/A</v>
      </c>
      <c r="T9" s="38">
        <v>1</v>
      </c>
      <c r="U9" s="38"/>
      <c r="V9" s="39" t="str">
        <f t="shared" si="8"/>
        <v/>
      </c>
      <c r="W9" s="39" t="str">
        <f t="shared" si="9"/>
        <v/>
      </c>
      <c r="X9" s="39" t="str">
        <f t="shared" si="10"/>
        <v/>
      </c>
      <c r="Y9" s="40" t="s">
        <v>8364</v>
      </c>
    </row>
    <row r="10" spans="1:25" ht="45" x14ac:dyDescent="0.25">
      <c r="A10" s="27" t="str">
        <f>INDEX('Выгр Торг'!$A:$A,MATCH($B10,'Выгр Торг'!$B:$B,0))</f>
        <v>Селективный ароматизатор "COBA" подвесной</v>
      </c>
      <c r="B10" s="28">
        <v>274110</v>
      </c>
      <c r="C10" s="28">
        <f>VLOOKUP($B10,'Выгр Торг'!$B:$Q,C$1,0)</f>
        <v>175495</v>
      </c>
      <c r="D10" s="27" t="str">
        <f>VLOOKUP($B10,'Выгр Торг'!$B:$Q,D$1,0)</f>
        <v>Селективный ароматизатор "COBA" подвесной Красная Секвойя</v>
      </c>
      <c r="E10" s="28" t="str">
        <f>VLOOKUP($B10,'Выгр Торг'!$B:$Q,E$1,0)</f>
        <v>Y</v>
      </c>
      <c r="F10" s="28" t="str">
        <f>VLOOKUP($B10,'Выгр Торг'!$B:$Q,F$1,0)</f>
        <v>1</v>
      </c>
      <c r="G10" s="28">
        <f>VLOOKUP($B10,'Выгр Торг'!$B:$Q,G$1,0)</f>
        <v>0</v>
      </c>
      <c r="H10" s="7"/>
      <c r="I10" s="1" t="s">
        <v>3</v>
      </c>
      <c r="J10" s="41">
        <f t="shared" si="0"/>
        <v>0</v>
      </c>
      <c r="K10" s="2" t="e">
        <f>VLOOKUP(J10,Наценка!$A$1:$B$8,2,1)</f>
        <v>#N/A</v>
      </c>
      <c r="L10" s="4" t="e">
        <f t="shared" si="3"/>
        <v>#N/A</v>
      </c>
      <c r="M10" s="42" t="e">
        <f t="shared" si="4"/>
        <v>#N/A</v>
      </c>
      <c r="N10" s="28">
        <f>VLOOKUP($B10,'Выгр Торг'!$B:$Q,N$1,0)</f>
        <v>0</v>
      </c>
      <c r="O10" s="28">
        <f>VLOOKUP($B10,'Выгр Торг'!$B:$Q,O$1,0)</f>
        <v>590</v>
      </c>
      <c r="P10" s="30">
        <f t="shared" si="5"/>
        <v>0</v>
      </c>
      <c r="Q10" s="30" t="e">
        <f t="shared" si="6"/>
        <v>#N/A</v>
      </c>
      <c r="R10" s="36" t="str">
        <f t="shared" si="7"/>
        <v/>
      </c>
      <c r="S10" s="37" t="e">
        <f>IFERROR((VLOOKUP($B10,'Из ГУГЛа'!$B:$G,6,0)+U10)*T10,VLOOKUP($B10,'Из ГУГЛа'!$B:$G,6,0))</f>
        <v>#N/A</v>
      </c>
      <c r="T10" s="38">
        <v>1</v>
      </c>
      <c r="U10" s="38"/>
      <c r="V10" s="39" t="str">
        <f t="shared" si="8"/>
        <v/>
      </c>
      <c r="W10" s="39" t="str">
        <f t="shared" si="9"/>
        <v/>
      </c>
      <c r="X10" s="39" t="str">
        <f t="shared" si="10"/>
        <v/>
      </c>
      <c r="Y10" s="40" t="s">
        <v>8364</v>
      </c>
    </row>
    <row r="11" spans="1:25" ht="45" x14ac:dyDescent="0.25">
      <c r="A11" s="27" t="str">
        <f>INDEX('Выгр Торг'!$A:$A,MATCH($B11,'Выгр Торг'!$B:$B,0))</f>
        <v>Селективный ароматизатор "COBA" подвесной</v>
      </c>
      <c r="B11" s="28">
        <v>274111</v>
      </c>
      <c r="C11" s="28">
        <f>VLOOKUP($B11,'Выгр Торг'!$B:$Q,C$1,0)</f>
        <v>175491</v>
      </c>
      <c r="D11" s="27" t="str">
        <f>VLOOKUP($B11,'Выгр Торг'!$B:$Q,D$1,0)</f>
        <v>Селективный ароматизатор "COBA" подвесной Красное Вино</v>
      </c>
      <c r="E11" s="28" t="str">
        <f>VLOOKUP($B11,'Выгр Торг'!$B:$Q,E$1,0)</f>
        <v>Y</v>
      </c>
      <c r="F11" s="28" t="str">
        <f>VLOOKUP($B11,'Выгр Торг'!$B:$Q,F$1,0)</f>
        <v>1</v>
      </c>
      <c r="G11" s="28">
        <f>VLOOKUP($B11,'Выгр Торг'!$B:$Q,G$1,0)</f>
        <v>0</v>
      </c>
      <c r="H11" s="7"/>
      <c r="I11" s="1" t="s">
        <v>3</v>
      </c>
      <c r="J11" s="41">
        <f t="shared" si="0"/>
        <v>0</v>
      </c>
      <c r="K11" s="2" t="e">
        <f>VLOOKUP(J11,Наценка!$A$1:$B$8,2,1)</f>
        <v>#N/A</v>
      </c>
      <c r="L11" s="4" t="e">
        <f t="shared" si="3"/>
        <v>#N/A</v>
      </c>
      <c r="M11" s="42" t="e">
        <f t="shared" si="4"/>
        <v>#N/A</v>
      </c>
      <c r="N11" s="28">
        <f>VLOOKUP($B11,'Выгр Торг'!$B:$Q,N$1,0)</f>
        <v>0</v>
      </c>
      <c r="O11" s="28">
        <f>VLOOKUP($B11,'Выгр Торг'!$B:$Q,O$1,0)</f>
        <v>590</v>
      </c>
      <c r="P11" s="30">
        <f t="shared" si="5"/>
        <v>0</v>
      </c>
      <c r="Q11" s="30" t="e">
        <f t="shared" si="6"/>
        <v>#N/A</v>
      </c>
      <c r="R11" s="36" t="str">
        <f t="shared" si="7"/>
        <v/>
      </c>
      <c r="S11" s="37" t="e">
        <f>IFERROR((VLOOKUP($B11,'Из ГУГЛа'!$B:$G,6,0)+U11)*T11,VLOOKUP($B11,'Из ГУГЛа'!$B:$G,6,0))</f>
        <v>#N/A</v>
      </c>
      <c r="T11" s="38">
        <v>1</v>
      </c>
      <c r="U11" s="38"/>
      <c r="V11" s="39" t="str">
        <f t="shared" si="8"/>
        <v/>
      </c>
      <c r="W11" s="39" t="str">
        <f t="shared" si="9"/>
        <v/>
      </c>
      <c r="X11" s="39" t="str">
        <f t="shared" si="10"/>
        <v/>
      </c>
      <c r="Y11" s="40" t="s">
        <v>8364</v>
      </c>
    </row>
    <row r="12" spans="1:25" ht="45" x14ac:dyDescent="0.25">
      <c r="A12" s="27" t="str">
        <f>INDEX('Выгр Торг'!$A:$A,MATCH($B12,'Выгр Торг'!$B:$B,0))</f>
        <v>Селективный ароматизатор "COBA" подвесной</v>
      </c>
      <c r="B12" s="28">
        <v>242739</v>
      </c>
      <c r="C12" s="28">
        <f>VLOOKUP($B12,'Выгр Торг'!$B:$Q,C$1,0)</f>
        <v>175485</v>
      </c>
      <c r="D12" s="27" t="str">
        <f>VLOOKUP($B12,'Выгр Торг'!$B:$Q,D$1,0)</f>
        <v>Ароматизатор "COBA" подвесной Лофт</v>
      </c>
      <c r="E12" s="28" t="str">
        <f>VLOOKUP($B12,'Выгр Торг'!$B:$Q,E$1,0)</f>
        <v>Y</v>
      </c>
      <c r="F12" s="28" t="str">
        <f>VLOOKUP($B12,'Выгр Торг'!$B:$Q,F$1,0)</f>
        <v>1</v>
      </c>
      <c r="G12" s="28">
        <f>VLOOKUP($B12,'Выгр Торг'!$B:$Q,G$1,0)</f>
        <v>0</v>
      </c>
      <c r="H12" s="7"/>
      <c r="I12" s="1" t="s">
        <v>3</v>
      </c>
      <c r="J12" s="41">
        <f t="shared" si="0"/>
        <v>0</v>
      </c>
      <c r="K12" s="2" t="e">
        <f>VLOOKUP(J12,Наценка!$A$1:$B$8,2,1)</f>
        <v>#N/A</v>
      </c>
      <c r="L12" s="4" t="e">
        <f t="shared" si="3"/>
        <v>#N/A</v>
      </c>
      <c r="M12" s="42" t="e">
        <f t="shared" si="4"/>
        <v>#N/A</v>
      </c>
      <c r="N12" s="28">
        <f>VLOOKUP($B12,'Выгр Торг'!$B:$Q,N$1,0)</f>
        <v>0</v>
      </c>
      <c r="O12" s="28">
        <f>VLOOKUP($B12,'Выгр Торг'!$B:$Q,O$1,0)</f>
        <v>590</v>
      </c>
      <c r="P12" s="30">
        <f t="shared" si="5"/>
        <v>0</v>
      </c>
      <c r="Q12" s="30" t="e">
        <f t="shared" si="6"/>
        <v>#N/A</v>
      </c>
      <c r="R12" s="36" t="str">
        <f t="shared" si="7"/>
        <v/>
      </c>
      <c r="S12" s="37" t="e">
        <f>IFERROR((VLOOKUP($B12,'Из ГУГЛа'!$B:$G,6,0)+U12)*T12,VLOOKUP($B12,'Из ГУГЛа'!$B:$G,6,0))</f>
        <v>#N/A</v>
      </c>
      <c r="T12" s="38">
        <v>1</v>
      </c>
      <c r="U12" s="38"/>
      <c r="V12" s="39" t="str">
        <f t="shared" si="8"/>
        <v/>
      </c>
      <c r="W12" s="39" t="str">
        <f t="shared" si="9"/>
        <v/>
      </c>
      <c r="X12" s="39" t="str">
        <f t="shared" si="10"/>
        <v/>
      </c>
      <c r="Y12" s="40" t="s">
        <v>8364</v>
      </c>
    </row>
    <row r="13" spans="1:25" ht="45" x14ac:dyDescent="0.25">
      <c r="A13" s="27" t="str">
        <f>INDEX('Выгр Торг'!$A:$A,MATCH($B13,'Выгр Торг'!$B:$B,0))</f>
        <v>Селективный ароматизатор "COBA" подвесной</v>
      </c>
      <c r="B13" s="28">
        <v>274112</v>
      </c>
      <c r="C13" s="28">
        <f>VLOOKUP($B13,'Выгр Торг'!$B:$Q,C$1,0)</f>
        <v>175492</v>
      </c>
      <c r="D13" s="27" t="str">
        <f>VLOOKUP($B13,'Выгр Торг'!$B:$Q,D$1,0)</f>
        <v>Селективный ароматизатор "COBA" подвесной Лувр</v>
      </c>
      <c r="E13" s="28" t="str">
        <f>VLOOKUP($B13,'Выгр Торг'!$B:$Q,E$1,0)</f>
        <v>Y</v>
      </c>
      <c r="F13" s="28" t="str">
        <f>VLOOKUP($B13,'Выгр Торг'!$B:$Q,F$1,0)</f>
        <v>1</v>
      </c>
      <c r="G13" s="28">
        <f>VLOOKUP($B13,'Выгр Торг'!$B:$Q,G$1,0)</f>
        <v>0</v>
      </c>
      <c r="H13" s="7"/>
      <c r="I13" s="1" t="s">
        <v>3</v>
      </c>
      <c r="J13" s="41">
        <f t="shared" si="0"/>
        <v>0</v>
      </c>
      <c r="K13" s="2" t="e">
        <f>VLOOKUP(J13,Наценка!$A$1:$B$8,2,1)</f>
        <v>#N/A</v>
      </c>
      <c r="L13" s="4" t="e">
        <f t="shared" si="3"/>
        <v>#N/A</v>
      </c>
      <c r="M13" s="42" t="e">
        <f t="shared" si="4"/>
        <v>#N/A</v>
      </c>
      <c r="N13" s="28">
        <f>VLOOKUP($B13,'Выгр Торг'!$B:$Q,N$1,0)</f>
        <v>0</v>
      </c>
      <c r="O13" s="28">
        <f>VLOOKUP($B13,'Выгр Торг'!$B:$Q,O$1,0)</f>
        <v>590</v>
      </c>
      <c r="P13" s="30">
        <f t="shared" si="5"/>
        <v>0</v>
      </c>
      <c r="Q13" s="30" t="e">
        <f t="shared" si="6"/>
        <v>#N/A</v>
      </c>
      <c r="R13" s="36" t="str">
        <f t="shared" si="7"/>
        <v/>
      </c>
      <c r="S13" s="37" t="e">
        <f>IFERROR((VLOOKUP($B13,'Из ГУГЛа'!$B:$G,6,0)+U13)*T13,VLOOKUP($B13,'Из ГУГЛа'!$B:$G,6,0))</f>
        <v>#N/A</v>
      </c>
      <c r="T13" s="38">
        <v>1</v>
      </c>
      <c r="U13" s="38"/>
      <c r="V13" s="39" t="str">
        <f t="shared" si="8"/>
        <v/>
      </c>
      <c r="W13" s="39" t="str">
        <f t="shared" si="9"/>
        <v/>
      </c>
      <c r="X13" s="39" t="str">
        <f t="shared" si="10"/>
        <v/>
      </c>
      <c r="Y13" s="40" t="s">
        <v>8364</v>
      </c>
    </row>
    <row r="14" spans="1:25" ht="45" x14ac:dyDescent="0.25">
      <c r="A14" s="27" t="str">
        <f>INDEX('Выгр Торг'!$A:$A,MATCH($B14,'Выгр Торг'!$B:$B,0))</f>
        <v>Селективный ароматизатор "COBA" подвесной</v>
      </c>
      <c r="B14" s="28">
        <v>274113</v>
      </c>
      <c r="C14" s="28">
        <f>VLOOKUP($B14,'Выгр Торг'!$B:$Q,C$1,0)</f>
        <v>175489</v>
      </c>
      <c r="D14" s="27" t="str">
        <f>VLOOKUP($B14,'Выгр Торг'!$B:$Q,D$1,0)</f>
        <v>Селективный ароматизатор "COBA" подвесной Муссон</v>
      </c>
      <c r="E14" s="28" t="str">
        <f>VLOOKUP($B14,'Выгр Торг'!$B:$Q,E$1,0)</f>
        <v>Y</v>
      </c>
      <c r="F14" s="28" t="str">
        <f>VLOOKUP($B14,'Выгр Торг'!$B:$Q,F$1,0)</f>
        <v>1</v>
      </c>
      <c r="G14" s="28">
        <f>VLOOKUP($B14,'Выгр Торг'!$B:$Q,G$1,0)</f>
        <v>0</v>
      </c>
      <c r="H14" s="7"/>
      <c r="I14" s="1" t="s">
        <v>3</v>
      </c>
      <c r="J14" s="41">
        <f t="shared" si="0"/>
        <v>0</v>
      </c>
      <c r="K14" s="2" t="e">
        <f>VLOOKUP(J14,Наценка!$A$1:$B$8,2,1)</f>
        <v>#N/A</v>
      </c>
      <c r="L14" s="4" t="e">
        <f t="shared" si="3"/>
        <v>#N/A</v>
      </c>
      <c r="M14" s="42" t="e">
        <f t="shared" si="4"/>
        <v>#N/A</v>
      </c>
      <c r="N14" s="28">
        <f>VLOOKUP($B14,'Выгр Торг'!$B:$Q,N$1,0)</f>
        <v>0</v>
      </c>
      <c r="O14" s="28">
        <f>VLOOKUP($B14,'Выгр Торг'!$B:$Q,O$1,0)</f>
        <v>590</v>
      </c>
      <c r="P14" s="30">
        <f t="shared" si="5"/>
        <v>0</v>
      </c>
      <c r="Q14" s="30" t="e">
        <f t="shared" si="6"/>
        <v>#N/A</v>
      </c>
      <c r="R14" s="36" t="str">
        <f t="shared" si="7"/>
        <v/>
      </c>
      <c r="S14" s="37" t="e">
        <f>IFERROR((VLOOKUP($B14,'Из ГУГЛа'!$B:$G,6,0)+U14)*T14,VLOOKUP($B14,'Из ГУГЛа'!$B:$G,6,0))</f>
        <v>#N/A</v>
      </c>
      <c r="T14" s="38">
        <v>1</v>
      </c>
      <c r="U14" s="38"/>
      <c r="V14" s="39" t="str">
        <f t="shared" si="8"/>
        <v/>
      </c>
      <c r="W14" s="39" t="str">
        <f t="shared" si="9"/>
        <v/>
      </c>
      <c r="X14" s="39" t="str">
        <f t="shared" si="10"/>
        <v/>
      </c>
      <c r="Y14" s="40" t="s">
        <v>8364</v>
      </c>
    </row>
    <row r="15" spans="1:25" ht="45" x14ac:dyDescent="0.25">
      <c r="A15" s="27" t="str">
        <f>INDEX('Выгр Торг'!$A:$A,MATCH($B15,'Выгр Торг'!$B:$B,0))</f>
        <v>Селективный ароматизатор "COBA" подвесной</v>
      </c>
      <c r="B15" s="28">
        <v>274114</v>
      </c>
      <c r="C15" s="28">
        <f>VLOOKUP($B15,'Выгр Торг'!$B:$Q,C$1,0)</f>
        <v>175499</v>
      </c>
      <c r="D15" s="27" t="str">
        <f>VLOOKUP($B15,'Выгр Торг'!$B:$Q,D$1,0)</f>
        <v>Селективный ароматизатор "COBA" подвесной Сен-Тропе</v>
      </c>
      <c r="E15" s="28" t="str">
        <f>VLOOKUP($B15,'Выгр Торг'!$B:$Q,E$1,0)</f>
        <v>Y</v>
      </c>
      <c r="F15" s="28" t="str">
        <f>VLOOKUP($B15,'Выгр Торг'!$B:$Q,F$1,0)</f>
        <v>1</v>
      </c>
      <c r="G15" s="28">
        <f>VLOOKUP($B15,'Выгр Торг'!$B:$Q,G$1,0)</f>
        <v>0</v>
      </c>
      <c r="H15" s="7"/>
      <c r="I15" s="1" t="s">
        <v>3</v>
      </c>
      <c r="J15" s="41">
        <f t="shared" si="0"/>
        <v>0</v>
      </c>
      <c r="K15" s="2" t="e">
        <f>VLOOKUP(J15,Наценка!$A$1:$B$8,2,1)</f>
        <v>#N/A</v>
      </c>
      <c r="L15" s="4" t="e">
        <f t="shared" si="3"/>
        <v>#N/A</v>
      </c>
      <c r="M15" s="42" t="e">
        <f t="shared" si="4"/>
        <v>#N/A</v>
      </c>
      <c r="N15" s="28">
        <f>VLOOKUP($B15,'Выгр Торг'!$B:$Q,N$1,0)</f>
        <v>0</v>
      </c>
      <c r="O15" s="28">
        <f>VLOOKUP($B15,'Выгр Торг'!$B:$Q,O$1,0)</f>
        <v>590</v>
      </c>
      <c r="P15" s="30">
        <f t="shared" si="5"/>
        <v>0</v>
      </c>
      <c r="Q15" s="30" t="e">
        <f t="shared" si="6"/>
        <v>#N/A</v>
      </c>
      <c r="R15" s="36" t="str">
        <f t="shared" si="7"/>
        <v/>
      </c>
      <c r="S15" s="37" t="e">
        <f>IFERROR((VLOOKUP($B15,'Из ГУГЛа'!$B:$G,6,0)+U15)*T15,VLOOKUP($B15,'Из ГУГЛа'!$B:$G,6,0))</f>
        <v>#N/A</v>
      </c>
      <c r="T15" s="38">
        <v>1</v>
      </c>
      <c r="U15" s="38"/>
      <c r="V15" s="39" t="str">
        <f t="shared" si="8"/>
        <v/>
      </c>
      <c r="W15" s="39" t="str">
        <f t="shared" si="9"/>
        <v/>
      </c>
      <c r="X15" s="39" t="str">
        <f t="shared" si="10"/>
        <v/>
      </c>
      <c r="Y15" s="40" t="s">
        <v>8364</v>
      </c>
    </row>
    <row r="16" spans="1:25" ht="45" x14ac:dyDescent="0.25">
      <c r="A16" s="27" t="str">
        <f>INDEX('Выгр Торг'!$A:$A,MATCH($B16,'Выгр Торг'!$B:$B,0))</f>
        <v>Селективный ароматизатор "COBA" подвесной</v>
      </c>
      <c r="B16" s="28">
        <v>274115</v>
      </c>
      <c r="C16" s="28">
        <f>VLOOKUP($B16,'Выгр Торг'!$B:$Q,C$1,0)</f>
        <v>175488</v>
      </c>
      <c r="D16" s="27" t="str">
        <f>VLOOKUP($B16,'Выгр Торг'!$B:$Q,D$1,0)</f>
        <v>Селективный ароматизатор "COBA" подвесной Табак и Ваниль</v>
      </c>
      <c r="E16" s="28" t="str">
        <f>VLOOKUP($B16,'Выгр Торг'!$B:$Q,E$1,0)</f>
        <v>Y</v>
      </c>
      <c r="F16" s="28" t="str">
        <f>VLOOKUP($B16,'Выгр Торг'!$B:$Q,F$1,0)</f>
        <v>1</v>
      </c>
      <c r="G16" s="28">
        <f>VLOOKUP($B16,'Выгр Торг'!$B:$Q,G$1,0)</f>
        <v>0</v>
      </c>
      <c r="H16" s="7"/>
      <c r="I16" s="1" t="s">
        <v>3</v>
      </c>
      <c r="J16" s="41">
        <f t="shared" si="0"/>
        <v>0</v>
      </c>
      <c r="K16" s="2" t="e">
        <f>VLOOKUP(J16,Наценка!$A$1:$B$8,2,1)</f>
        <v>#N/A</v>
      </c>
      <c r="L16" s="4" t="e">
        <f t="shared" si="3"/>
        <v>#N/A</v>
      </c>
      <c r="M16" s="42" t="e">
        <f t="shared" si="4"/>
        <v>#N/A</v>
      </c>
      <c r="N16" s="28">
        <f>VLOOKUP($B16,'Выгр Торг'!$B:$Q,N$1,0)</f>
        <v>0</v>
      </c>
      <c r="O16" s="28">
        <f>VLOOKUP($B16,'Выгр Торг'!$B:$Q,O$1,0)</f>
        <v>590</v>
      </c>
      <c r="P16" s="30">
        <f t="shared" si="5"/>
        <v>0</v>
      </c>
      <c r="Q16" s="30" t="e">
        <f t="shared" si="6"/>
        <v>#N/A</v>
      </c>
      <c r="R16" s="36" t="str">
        <f t="shared" si="7"/>
        <v/>
      </c>
      <c r="S16" s="37" t="e">
        <f>IFERROR((VLOOKUP($B16,'Из ГУГЛа'!$B:$G,6,0)+U16)*T16,VLOOKUP($B16,'Из ГУГЛа'!$B:$G,6,0))</f>
        <v>#N/A</v>
      </c>
      <c r="T16" s="38">
        <v>1</v>
      </c>
      <c r="U16" s="38"/>
      <c r="V16" s="39" t="str">
        <f t="shared" si="8"/>
        <v/>
      </c>
      <c r="W16" s="39" t="str">
        <f t="shared" si="9"/>
        <v/>
      </c>
      <c r="X16" s="39" t="str">
        <f t="shared" si="10"/>
        <v/>
      </c>
      <c r="Y16" s="40" t="s">
        <v>8364</v>
      </c>
    </row>
    <row r="17" spans="1:25" ht="45" x14ac:dyDescent="0.25">
      <c r="A17" s="27" t="str">
        <f>INDEX('Выгр Торг'!$A:$A,MATCH($B17,'Выгр Торг'!$B:$B,0))</f>
        <v>Селективный ароматизатор "COBA" подвесной</v>
      </c>
      <c r="B17" s="28">
        <v>274116</v>
      </c>
      <c r="C17" s="28">
        <f>VLOOKUP($B17,'Выгр Торг'!$B:$Q,C$1,0)</f>
        <v>175490</v>
      </c>
      <c r="D17" s="27" t="str">
        <f>VLOOKUP($B17,'Выгр Торг'!$B:$Q,D$1,0)</f>
        <v>Селективный ароматизатор "COBA" подвесной Хлопок</v>
      </c>
      <c r="E17" s="28" t="str">
        <f>VLOOKUP($B17,'Выгр Торг'!$B:$Q,E$1,0)</f>
        <v>Y</v>
      </c>
      <c r="F17" s="28" t="str">
        <f>VLOOKUP($B17,'Выгр Торг'!$B:$Q,F$1,0)</f>
        <v>1</v>
      </c>
      <c r="G17" s="28">
        <f>VLOOKUP($B17,'Выгр Торг'!$B:$Q,G$1,0)</f>
        <v>0</v>
      </c>
      <c r="H17" s="7"/>
      <c r="I17" s="1" t="s">
        <v>3</v>
      </c>
      <c r="J17" s="41">
        <f t="shared" si="0"/>
        <v>0</v>
      </c>
      <c r="K17" s="2" t="e">
        <f>VLOOKUP(J17,Наценка!$A$1:$B$8,2,1)</f>
        <v>#N/A</v>
      </c>
      <c r="L17" s="4" t="e">
        <f t="shared" si="3"/>
        <v>#N/A</v>
      </c>
      <c r="M17" s="42" t="e">
        <f t="shared" si="4"/>
        <v>#N/A</v>
      </c>
      <c r="N17" s="28">
        <f>VLOOKUP($B17,'Выгр Торг'!$B:$Q,N$1,0)</f>
        <v>0</v>
      </c>
      <c r="O17" s="28">
        <f>VLOOKUP($B17,'Выгр Торг'!$B:$Q,O$1,0)</f>
        <v>590</v>
      </c>
      <c r="P17" s="30">
        <f t="shared" si="5"/>
        <v>0</v>
      </c>
      <c r="Q17" s="30" t="e">
        <f t="shared" si="6"/>
        <v>#N/A</v>
      </c>
      <c r="R17" s="36" t="str">
        <f t="shared" si="7"/>
        <v/>
      </c>
      <c r="S17" s="37" t="e">
        <f>IFERROR((VLOOKUP($B17,'Из ГУГЛа'!$B:$G,6,0)+U17)*T17,VLOOKUP($B17,'Из ГУГЛа'!$B:$G,6,0))</f>
        <v>#N/A</v>
      </c>
      <c r="T17" s="38">
        <v>1</v>
      </c>
      <c r="U17" s="38"/>
      <c r="V17" s="39" t="str">
        <f t="shared" si="8"/>
        <v/>
      </c>
      <c r="W17" s="39" t="str">
        <f t="shared" si="9"/>
        <v/>
      </c>
      <c r="X17" s="39" t="str">
        <f t="shared" si="10"/>
        <v/>
      </c>
      <c r="Y17" s="40" t="s">
        <v>8364</v>
      </c>
    </row>
    <row r="18" spans="1:25" ht="45" x14ac:dyDescent="0.25">
      <c r="A18" s="27" t="str">
        <f>INDEX('Выгр Торг'!$A:$A,MATCH($B18,'Выгр Торг'!$B:$B,0))</f>
        <v>Селективный ароматизатор "COBA" подвесной</v>
      </c>
      <c r="B18" s="28">
        <v>274117</v>
      </c>
      <c r="C18" s="28">
        <f>VLOOKUP($B18,'Выгр Торг'!$B:$Q,C$1,0)</f>
        <v>175496</v>
      </c>
      <c r="D18" s="27" t="str">
        <f>VLOOKUP($B18,'Выгр Торг'!$B:$Q,D$1,0)</f>
        <v>Селективный ароматизатор "COBA" подвесной Цветущий имбирь</v>
      </c>
      <c r="E18" s="28" t="str">
        <f>VLOOKUP($B18,'Выгр Торг'!$B:$Q,E$1,0)</f>
        <v>Y</v>
      </c>
      <c r="F18" s="28" t="str">
        <f>VLOOKUP($B18,'Выгр Торг'!$B:$Q,F$1,0)</f>
        <v>1</v>
      </c>
      <c r="G18" s="28">
        <f>VLOOKUP($B18,'Выгр Торг'!$B:$Q,G$1,0)</f>
        <v>0</v>
      </c>
      <c r="H18" s="7"/>
      <c r="I18" s="1" t="s">
        <v>3</v>
      </c>
      <c r="J18" s="41">
        <f t="shared" si="0"/>
        <v>0</v>
      </c>
      <c r="K18" s="2" t="e">
        <f>VLOOKUP(J18,Наценка!$A$1:$B$8,2,1)</f>
        <v>#N/A</v>
      </c>
      <c r="L18" s="4" t="e">
        <f t="shared" si="3"/>
        <v>#N/A</v>
      </c>
      <c r="M18" s="42" t="e">
        <f t="shared" si="4"/>
        <v>#N/A</v>
      </c>
      <c r="N18" s="28">
        <f>VLOOKUP($B18,'Выгр Торг'!$B:$Q,N$1,0)</f>
        <v>0</v>
      </c>
      <c r="O18" s="28">
        <f>VLOOKUP($B18,'Выгр Торг'!$B:$Q,O$1,0)</f>
        <v>590</v>
      </c>
      <c r="P18" s="30">
        <f t="shared" si="5"/>
        <v>0</v>
      </c>
      <c r="Q18" s="30" t="e">
        <f t="shared" si="6"/>
        <v>#N/A</v>
      </c>
      <c r="R18" s="36" t="str">
        <f t="shared" si="7"/>
        <v/>
      </c>
      <c r="S18" s="37" t="e">
        <f>IFERROR((VLOOKUP($B18,'Из ГУГЛа'!$B:$G,6,0)+U18)*T18,VLOOKUP($B18,'Из ГУГЛа'!$B:$G,6,0))</f>
        <v>#N/A</v>
      </c>
      <c r="T18" s="38">
        <v>1</v>
      </c>
      <c r="U18" s="38"/>
      <c r="V18" s="39" t="str">
        <f t="shared" si="8"/>
        <v/>
      </c>
      <c r="W18" s="39" t="str">
        <f t="shared" si="9"/>
        <v/>
      </c>
      <c r="X18" s="39" t="str">
        <f t="shared" si="10"/>
        <v/>
      </c>
      <c r="Y18" s="40" t="s">
        <v>8364</v>
      </c>
    </row>
    <row r="19" spans="1:25" ht="30" x14ac:dyDescent="0.25">
      <c r="A19" s="27" t="str">
        <f>INDEX('Выгр Торг'!$A:$A,MATCH($B19,'Выгр Торг'!$B:$B,0))</f>
        <v>Полироль панели "PLAK" 10 Gratis (750 мл)</v>
      </c>
      <c r="B19" s="28">
        <v>251281</v>
      </c>
      <c r="C19" s="28">
        <f>VLOOKUP($B19,'Выгр Торг'!$B:$Q,C$1,0)</f>
        <v>186829</v>
      </c>
      <c r="D19" s="27" t="str">
        <f>VLOOKUP($B19,'Выгр Торг'!$B:$Q,D$1,0)</f>
        <v>Полироль панели "PLAK" 10 Gratis (750 мл) (Frutti rossi)</v>
      </c>
      <c r="E19" s="28" t="str">
        <f>VLOOKUP($B19,'Выгр Торг'!$B:$Q,E$1,0)</f>
        <v>Y</v>
      </c>
      <c r="F19" s="28" t="str">
        <f>VLOOKUP($B19,'Выгр Торг'!$B:$Q,F$1,0)</f>
        <v>1</v>
      </c>
      <c r="G19" s="28" t="str">
        <f>VLOOKUP($B19,'Выгр Торг'!$B:$Q,G$1,0)</f>
        <v>40402</v>
      </c>
      <c r="H19" s="10">
        <v>40402</v>
      </c>
      <c r="I19" s="1" t="s">
        <v>3</v>
      </c>
      <c r="J19" s="42">
        <f>VLOOKUP(H19,Прайс!B:E,4,0)</f>
        <v>350</v>
      </c>
      <c r="K19" s="2">
        <f>VLOOKUP(J19,Наценка!$A$1:$B$8,2,1)</f>
        <v>1.68</v>
      </c>
      <c r="L19" s="4">
        <f t="shared" si="3"/>
        <v>588</v>
      </c>
      <c r="M19" s="42">
        <f t="shared" si="4"/>
        <v>589</v>
      </c>
      <c r="N19" s="28">
        <f>VLOOKUP($B19,'Выгр Торг'!$B:$Q,N$1,0)</f>
        <v>350</v>
      </c>
      <c r="O19" s="28">
        <f>VLOOKUP($B19,'Выгр Торг'!$B:$Q,O$1,0)</f>
        <v>589</v>
      </c>
      <c r="P19" s="30">
        <f t="shared" si="5"/>
        <v>0</v>
      </c>
      <c r="Q19" s="30">
        <f t="shared" si="6"/>
        <v>0</v>
      </c>
      <c r="R19" s="36">
        <f t="shared" si="7"/>
        <v>547.77</v>
      </c>
      <c r="S19" s="37" t="e">
        <f>IFERROR((VLOOKUP($B19,'Из ГУГЛа'!$B:$G,6,0)+U19)*T19,VLOOKUP($B19,'Из ГУГЛа'!$B:$G,6,0))</f>
        <v>#N/A</v>
      </c>
      <c r="T19" s="38">
        <v>1</v>
      </c>
      <c r="U19" s="38"/>
      <c r="V19" s="39">
        <f t="shared" si="8"/>
        <v>0.5650571428571427</v>
      </c>
      <c r="W19" s="39" t="str">
        <f t="shared" si="9"/>
        <v/>
      </c>
      <c r="X19" s="39" t="str">
        <f t="shared" si="10"/>
        <v/>
      </c>
      <c r="Y19" s="40" t="s">
        <v>8364</v>
      </c>
    </row>
    <row r="20" spans="1:25" ht="30" x14ac:dyDescent="0.25">
      <c r="A20" s="27" t="str">
        <f>INDEX('Выгр Торг'!$A:$A,MATCH($B20,'Выгр Торг'!$B:$B,0))</f>
        <v>Полироль панели "PLAK" 10 Gratis (750 мл)</v>
      </c>
      <c r="B20" s="28">
        <v>251282</v>
      </c>
      <c r="C20" s="28">
        <f>VLOOKUP($B20,'Выгр Торг'!$B:$Q,C$1,0)</f>
        <v>186825</v>
      </c>
      <c r="D20" s="27" t="str">
        <f>VLOOKUP($B20,'Выгр Торг'!$B:$Q,D$1,0)</f>
        <v>Полироль панели "PLAK" 10 Gratis (750 мл) (Tabacco)</v>
      </c>
      <c r="E20" s="28" t="str">
        <f>VLOOKUP($B20,'Выгр Торг'!$B:$Q,E$1,0)</f>
        <v>Y</v>
      </c>
      <c r="F20" s="28" t="str">
        <f>VLOOKUP($B20,'Выгр Торг'!$B:$Q,F$1,0)</f>
        <v>1</v>
      </c>
      <c r="G20" s="28" t="str">
        <f>VLOOKUP($B20,'Выгр Торг'!$B:$Q,G$1,0)</f>
        <v>40401</v>
      </c>
      <c r="H20" s="10">
        <v>40401</v>
      </c>
      <c r="I20" s="1" t="s">
        <v>3</v>
      </c>
      <c r="J20" s="42">
        <f>VLOOKUP(H20,Прайс!B:E,4,0)</f>
        <v>350</v>
      </c>
      <c r="K20" s="2">
        <f>VLOOKUP(J20,Наценка!$A$1:$B$8,2,1)</f>
        <v>1.68</v>
      </c>
      <c r="L20" s="4">
        <f t="shared" si="3"/>
        <v>588</v>
      </c>
      <c r="M20" s="42">
        <f t="shared" si="4"/>
        <v>589</v>
      </c>
      <c r="N20" s="28">
        <f>VLOOKUP($B20,'Выгр Торг'!$B:$Q,N$1,0)</f>
        <v>350</v>
      </c>
      <c r="O20" s="28">
        <f>VLOOKUP($B20,'Выгр Торг'!$B:$Q,O$1,0)</f>
        <v>589</v>
      </c>
      <c r="P20" s="30">
        <f t="shared" si="5"/>
        <v>0</v>
      </c>
      <c r="Q20" s="30">
        <f t="shared" si="6"/>
        <v>0</v>
      </c>
      <c r="R20" s="36">
        <f t="shared" si="7"/>
        <v>547.77</v>
      </c>
      <c r="S20" s="37" t="e">
        <f>IFERROR((VLOOKUP($B20,'Из ГУГЛа'!$B:$G,6,0)+U20)*T20,VLOOKUP($B20,'Из ГУГЛа'!$B:$G,6,0))</f>
        <v>#N/A</v>
      </c>
      <c r="T20" s="38">
        <v>1</v>
      </c>
      <c r="U20" s="38"/>
      <c r="V20" s="39">
        <f t="shared" si="8"/>
        <v>0.5650571428571427</v>
      </c>
      <c r="W20" s="39" t="str">
        <f t="shared" si="9"/>
        <v/>
      </c>
      <c r="X20" s="39" t="str">
        <f t="shared" si="10"/>
        <v/>
      </c>
      <c r="Y20" s="40" t="s">
        <v>8364</v>
      </c>
    </row>
    <row r="21" spans="1:25" ht="30" x14ac:dyDescent="0.25">
      <c r="A21" s="27" t="str">
        <f>INDEX('Выгр Торг'!$A:$A,MATCH($B21,'Выгр Торг'!$B:$B,0))</f>
        <v>Полироль панели "PLAK" 10 Gratis (750 мл)</v>
      </c>
      <c r="B21" s="28">
        <v>251283</v>
      </c>
      <c r="C21" s="28">
        <f>VLOOKUP($B21,'Выгр Торг'!$B:$Q,C$1,0)</f>
        <v>186827</v>
      </c>
      <c r="D21" s="27" t="str">
        <f>VLOOKUP($B21,'Выгр Торг'!$B:$Q,D$1,0)</f>
        <v>Полироль панели "PLAK" 10 Gratis (750 мл) (Ананас)</v>
      </c>
      <c r="E21" s="28" t="str">
        <f>VLOOKUP($B21,'Выгр Торг'!$B:$Q,E$1,0)</f>
        <v>Y</v>
      </c>
      <c r="F21" s="28" t="str">
        <f>VLOOKUP($B21,'Выгр Торг'!$B:$Q,F$1,0)</f>
        <v>1</v>
      </c>
      <c r="G21" s="28" t="str">
        <f>VLOOKUP($B21,'Выгр Торг'!$B:$Q,G$1,0)</f>
        <v>40399</v>
      </c>
      <c r="H21" s="10">
        <v>40399</v>
      </c>
      <c r="I21" s="1" t="s">
        <v>3</v>
      </c>
      <c r="J21" s="42">
        <f>VLOOKUP(H21,Прайс!B:E,4,0)</f>
        <v>350</v>
      </c>
      <c r="K21" s="2">
        <f>VLOOKUP(J21,Наценка!$A$1:$B$8,2,1)</f>
        <v>1.68</v>
      </c>
      <c r="L21" s="4">
        <f t="shared" si="3"/>
        <v>588</v>
      </c>
      <c r="M21" s="42">
        <f t="shared" si="4"/>
        <v>589</v>
      </c>
      <c r="N21" s="28">
        <f>VLOOKUP($B21,'Выгр Торг'!$B:$Q,N$1,0)</f>
        <v>350</v>
      </c>
      <c r="O21" s="28">
        <f>VLOOKUP($B21,'Выгр Торг'!$B:$Q,O$1,0)</f>
        <v>589</v>
      </c>
      <c r="P21" s="30">
        <f t="shared" si="5"/>
        <v>0</v>
      </c>
      <c r="Q21" s="30">
        <f t="shared" si="6"/>
        <v>0</v>
      </c>
      <c r="R21" s="36">
        <f t="shared" si="7"/>
        <v>547.77</v>
      </c>
      <c r="S21" s="37" t="e">
        <f>IFERROR((VLOOKUP($B21,'Из ГУГЛа'!$B:$G,6,0)+U21)*T21,VLOOKUP($B21,'Из ГУГЛа'!$B:$G,6,0))</f>
        <v>#N/A</v>
      </c>
      <c r="T21" s="38">
        <v>1</v>
      </c>
      <c r="U21" s="38"/>
      <c r="V21" s="39">
        <f t="shared" si="8"/>
        <v>0.5650571428571427</v>
      </c>
      <c r="W21" s="39" t="str">
        <f t="shared" si="9"/>
        <v/>
      </c>
      <c r="X21" s="39" t="str">
        <f t="shared" si="10"/>
        <v/>
      </c>
      <c r="Y21" s="40" t="s">
        <v>8364</v>
      </c>
    </row>
    <row r="22" spans="1:25" ht="30" x14ac:dyDescent="0.25">
      <c r="A22" s="27" t="str">
        <f>INDEX('Выгр Торг'!$A:$A,MATCH($B22,'Выгр Торг'!$B:$B,0))</f>
        <v>Полироль панели "PLAK" 10 Gratis (750 мл)</v>
      </c>
      <c r="B22" s="28">
        <v>251284</v>
      </c>
      <c r="C22" s="28">
        <f>VLOOKUP($B22,'Выгр Торг'!$B:$Q,C$1,0)</f>
        <v>186815</v>
      </c>
      <c r="D22" s="27" t="str">
        <f>VLOOKUP($B22,'Выгр Торг'!$B:$Q,D$1,0)</f>
        <v>Полироль панели "PLAK" 10 Gratis (750 мл) (Ваниль)</v>
      </c>
      <c r="E22" s="28" t="str">
        <f>VLOOKUP($B22,'Выгр Торг'!$B:$Q,E$1,0)</f>
        <v>Y</v>
      </c>
      <c r="F22" s="28" t="str">
        <f>VLOOKUP($B22,'Выгр Торг'!$B:$Q,F$1,0)</f>
        <v>1</v>
      </c>
      <c r="G22" s="28" t="str">
        <f>VLOOKUP($B22,'Выгр Торг'!$B:$Q,G$1,0)</f>
        <v>40204</v>
      </c>
      <c r="H22" s="10">
        <v>40204</v>
      </c>
      <c r="I22" s="1" t="s">
        <v>3</v>
      </c>
      <c r="J22" s="42">
        <f>VLOOKUP(H22,Прайс!B:E,4,0)</f>
        <v>350</v>
      </c>
      <c r="K22" s="2">
        <f>VLOOKUP(J22,Наценка!$A$1:$B$8,2,1)</f>
        <v>1.68</v>
      </c>
      <c r="L22" s="4">
        <f t="shared" si="3"/>
        <v>588</v>
      </c>
      <c r="M22" s="42">
        <f t="shared" si="4"/>
        <v>589</v>
      </c>
      <c r="N22" s="28">
        <f>VLOOKUP($B22,'Выгр Торг'!$B:$Q,N$1,0)</f>
        <v>350</v>
      </c>
      <c r="O22" s="28">
        <f>VLOOKUP($B22,'Выгр Торг'!$B:$Q,O$1,0)</f>
        <v>589</v>
      </c>
      <c r="P22" s="30">
        <f t="shared" si="5"/>
        <v>0</v>
      </c>
      <c r="Q22" s="30">
        <f t="shared" si="6"/>
        <v>0</v>
      </c>
      <c r="R22" s="36">
        <f t="shared" si="7"/>
        <v>547.77</v>
      </c>
      <c r="S22" s="37" t="e">
        <f>IFERROR((VLOOKUP($B22,'Из ГУГЛа'!$B:$G,6,0)+U22)*T22,VLOOKUP($B22,'Из ГУГЛа'!$B:$G,6,0))</f>
        <v>#N/A</v>
      </c>
      <c r="T22" s="38">
        <v>1</v>
      </c>
      <c r="U22" s="38"/>
      <c r="V22" s="39">
        <f t="shared" si="8"/>
        <v>0.5650571428571427</v>
      </c>
      <c r="W22" s="39" t="str">
        <f t="shared" si="9"/>
        <v/>
      </c>
      <c r="X22" s="39" t="str">
        <f t="shared" si="10"/>
        <v/>
      </c>
      <c r="Y22" s="40" t="s">
        <v>8364</v>
      </c>
    </row>
    <row r="23" spans="1:25" ht="30" x14ac:dyDescent="0.25">
      <c r="A23" s="27" t="str">
        <f>INDEX('Выгр Торг'!$A:$A,MATCH($B23,'Выгр Торг'!$B:$B,0))</f>
        <v>Полироль панели "PLAK" 10 Gratis (750 мл)</v>
      </c>
      <c r="B23" s="28">
        <v>251285</v>
      </c>
      <c r="C23" s="28">
        <f>VLOOKUP($B23,'Выгр Торг'!$B:$Q,C$1,0)</f>
        <v>186816</v>
      </c>
      <c r="D23" s="27" t="str">
        <f>VLOOKUP($B23,'Выгр Торг'!$B:$Q,D$1,0)</f>
        <v>Полироль панели "PLAK" 10 Gratis (750 мл) (Виноград)</v>
      </c>
      <c r="E23" s="28" t="str">
        <f>VLOOKUP($B23,'Выгр Торг'!$B:$Q,E$1,0)</f>
        <v>Y</v>
      </c>
      <c r="F23" s="28" t="str">
        <f>VLOOKUP($B23,'Выгр Торг'!$B:$Q,F$1,0)</f>
        <v>1</v>
      </c>
      <c r="G23" s="28" t="str">
        <f>VLOOKUP($B23,'Выгр Торг'!$B:$Q,G$1,0)</f>
        <v>40205</v>
      </c>
      <c r="H23" s="10">
        <v>40205</v>
      </c>
      <c r="I23" s="1" t="s">
        <v>3</v>
      </c>
      <c r="J23" s="42">
        <f>VLOOKUP(H23,Прайс!B:E,4,0)</f>
        <v>350</v>
      </c>
      <c r="K23" s="2">
        <f>VLOOKUP(J23,Наценка!$A$1:$B$8,2,1)</f>
        <v>1.68</v>
      </c>
      <c r="L23" s="4">
        <f t="shared" si="3"/>
        <v>588</v>
      </c>
      <c r="M23" s="42">
        <f t="shared" si="4"/>
        <v>589</v>
      </c>
      <c r="N23" s="28">
        <f>VLOOKUP($B23,'Выгр Торг'!$B:$Q,N$1,0)</f>
        <v>350</v>
      </c>
      <c r="O23" s="28">
        <f>VLOOKUP($B23,'Выгр Торг'!$B:$Q,O$1,0)</f>
        <v>589</v>
      </c>
      <c r="P23" s="30">
        <f t="shared" si="5"/>
        <v>0</v>
      </c>
      <c r="Q23" s="30">
        <f t="shared" si="6"/>
        <v>0</v>
      </c>
      <c r="R23" s="36">
        <f t="shared" si="7"/>
        <v>547.77</v>
      </c>
      <c r="S23" s="37" t="e">
        <f>IFERROR((VLOOKUP($B23,'Из ГУГЛа'!$B:$G,6,0)+U23)*T23,VLOOKUP($B23,'Из ГУГЛа'!$B:$G,6,0))</f>
        <v>#N/A</v>
      </c>
      <c r="T23" s="38">
        <v>1</v>
      </c>
      <c r="U23" s="38"/>
      <c r="V23" s="39">
        <f t="shared" si="8"/>
        <v>0.5650571428571427</v>
      </c>
      <c r="W23" s="39" t="str">
        <f t="shared" si="9"/>
        <v/>
      </c>
      <c r="X23" s="39" t="str">
        <f t="shared" si="10"/>
        <v/>
      </c>
      <c r="Y23" s="40" t="s">
        <v>8364</v>
      </c>
    </row>
    <row r="24" spans="1:25" ht="30" x14ac:dyDescent="0.25">
      <c r="A24" s="27" t="str">
        <f>INDEX('Выгр Торг'!$A:$A,MATCH($B24,'Выгр Торг'!$B:$B,0))</f>
        <v>Полироль панели "PLAK" 10 Gratis (750 мл)</v>
      </c>
      <c r="B24" s="28">
        <v>251286</v>
      </c>
      <c r="C24" s="28">
        <f>VLOOKUP($B24,'Выгр Торг'!$B:$Q,C$1,0)</f>
        <v>186817</v>
      </c>
      <c r="D24" s="27" t="str">
        <f>VLOOKUP($B24,'Выгр Торг'!$B:$Q,D$1,0)</f>
        <v>Полироль панели "PLAK" 10 Gratis (750 мл) (Вишня)</v>
      </c>
      <c r="E24" s="28" t="str">
        <f>VLOOKUP($B24,'Выгр Торг'!$B:$Q,E$1,0)</f>
        <v>Y</v>
      </c>
      <c r="F24" s="28" t="str">
        <f>VLOOKUP($B24,'Выгр Торг'!$B:$Q,F$1,0)</f>
        <v>1</v>
      </c>
      <c r="G24" s="28" t="str">
        <f>VLOOKUP($B24,'Выгр Торг'!$B:$Q,G$1,0)</f>
        <v>40206</v>
      </c>
      <c r="H24" s="10">
        <v>40206</v>
      </c>
      <c r="I24" s="1" t="s">
        <v>3</v>
      </c>
      <c r="J24" s="42">
        <f>VLOOKUP(H24,Прайс!B:E,4,0)</f>
        <v>350</v>
      </c>
      <c r="K24" s="2">
        <f>VLOOKUP(J24,Наценка!$A$1:$B$8,2,1)</f>
        <v>1.68</v>
      </c>
      <c r="L24" s="4">
        <f t="shared" si="3"/>
        <v>588</v>
      </c>
      <c r="M24" s="42">
        <f t="shared" si="4"/>
        <v>589</v>
      </c>
      <c r="N24" s="28">
        <f>VLOOKUP($B24,'Выгр Торг'!$B:$Q,N$1,0)</f>
        <v>350</v>
      </c>
      <c r="O24" s="28">
        <f>VLOOKUP($B24,'Выгр Торг'!$B:$Q,O$1,0)</f>
        <v>589</v>
      </c>
      <c r="P24" s="30">
        <f t="shared" si="5"/>
        <v>0</v>
      </c>
      <c r="Q24" s="30">
        <f t="shared" si="6"/>
        <v>0</v>
      </c>
      <c r="R24" s="36">
        <f t="shared" si="7"/>
        <v>547.77</v>
      </c>
      <c r="S24" s="37" t="e">
        <f>IFERROR((VLOOKUP($B24,'Из ГУГЛа'!$B:$G,6,0)+U24)*T24,VLOOKUP($B24,'Из ГУГЛа'!$B:$G,6,0))</f>
        <v>#N/A</v>
      </c>
      <c r="T24" s="38">
        <v>1</v>
      </c>
      <c r="U24" s="38"/>
      <c r="V24" s="39">
        <f t="shared" si="8"/>
        <v>0.5650571428571427</v>
      </c>
      <c r="W24" s="39" t="str">
        <f t="shared" si="9"/>
        <v/>
      </c>
      <c r="X24" s="39" t="str">
        <f t="shared" si="10"/>
        <v/>
      </c>
      <c r="Y24" s="40" t="s">
        <v>8364</v>
      </c>
    </row>
    <row r="25" spans="1:25" ht="30" x14ac:dyDescent="0.25">
      <c r="A25" s="27" t="str">
        <f>INDEX('Выгр Торг'!$A:$A,MATCH($B25,'Выгр Торг'!$B:$B,0))</f>
        <v>Полироль панели "PLAK" 10 Gratis (750 мл)</v>
      </c>
      <c r="B25" s="28">
        <v>251287</v>
      </c>
      <c r="C25" s="28">
        <f>VLOOKUP($B25,'Выгр Торг'!$B:$Q,C$1,0)</f>
        <v>186818</v>
      </c>
      <c r="D25" s="27" t="str">
        <f>VLOOKUP($B25,'Выгр Торг'!$B:$Q,D$1,0)</f>
        <v>Полироль панели "PLAK" 10 Gratis (750 мл) (Гранат)</v>
      </c>
      <c r="E25" s="28" t="str">
        <f>VLOOKUP($B25,'Выгр Торг'!$B:$Q,E$1,0)</f>
        <v>Y</v>
      </c>
      <c r="F25" s="28" t="str">
        <f>VLOOKUP($B25,'Выгр Торг'!$B:$Q,F$1,0)</f>
        <v>1</v>
      </c>
      <c r="G25" s="28" t="str">
        <f>VLOOKUP($B25,'Выгр Торг'!$B:$Q,G$1,0)</f>
        <v>40207</v>
      </c>
      <c r="H25" s="10">
        <v>40207</v>
      </c>
      <c r="I25" s="1" t="s">
        <v>3</v>
      </c>
      <c r="J25" s="42">
        <f>VLOOKUP(H25,Прайс!B:E,4,0)</f>
        <v>350</v>
      </c>
      <c r="K25" s="2">
        <f>VLOOKUP(J25,Наценка!$A$1:$B$8,2,1)</f>
        <v>1.68</v>
      </c>
      <c r="L25" s="4">
        <f t="shared" si="3"/>
        <v>588</v>
      </c>
      <c r="M25" s="42">
        <f t="shared" si="4"/>
        <v>589</v>
      </c>
      <c r="N25" s="28">
        <f>VLOOKUP($B25,'Выгр Торг'!$B:$Q,N$1,0)</f>
        <v>350</v>
      </c>
      <c r="O25" s="28">
        <f>VLOOKUP($B25,'Выгр Торг'!$B:$Q,O$1,0)</f>
        <v>589</v>
      </c>
      <c r="P25" s="30">
        <f t="shared" si="5"/>
        <v>0</v>
      </c>
      <c r="Q25" s="30">
        <f t="shared" si="6"/>
        <v>0</v>
      </c>
      <c r="R25" s="36">
        <f t="shared" si="7"/>
        <v>547.77</v>
      </c>
      <c r="S25" s="37" t="e">
        <f>IFERROR((VLOOKUP($B25,'Из ГУГЛа'!$B:$G,6,0)+U25)*T25,VLOOKUP($B25,'Из ГУГЛа'!$B:$G,6,0))</f>
        <v>#N/A</v>
      </c>
      <c r="T25" s="38">
        <v>1</v>
      </c>
      <c r="U25" s="38"/>
      <c r="V25" s="39">
        <f t="shared" si="8"/>
        <v>0.5650571428571427</v>
      </c>
      <c r="W25" s="39" t="str">
        <f t="shared" si="9"/>
        <v/>
      </c>
      <c r="X25" s="39" t="str">
        <f t="shared" si="10"/>
        <v/>
      </c>
      <c r="Y25" s="40" t="s">
        <v>8364</v>
      </c>
    </row>
    <row r="26" spans="1:25" ht="30" x14ac:dyDescent="0.25">
      <c r="A26" s="27" t="str">
        <f>INDEX('Выгр Торг'!$A:$A,MATCH($B26,'Выгр Торг'!$B:$B,0))</f>
        <v>Полироль панели "PLAK" 10 Gratis (750 мл)</v>
      </c>
      <c r="B26" s="28">
        <v>251288</v>
      </c>
      <c r="C26" s="28">
        <f>VLOOKUP($B26,'Выгр Торг'!$B:$Q,C$1,0)</f>
        <v>186824</v>
      </c>
      <c r="D26" s="27" t="str">
        <f>VLOOKUP($B26,'Выгр Торг'!$B:$Q,D$1,0)</f>
        <v>Полироль панели "PLAK" 10 Gratis (750 мл) (Грейпфрут)</v>
      </c>
      <c r="E26" s="28" t="str">
        <f>VLOOKUP($B26,'Выгр Торг'!$B:$Q,E$1,0)</f>
        <v>Y</v>
      </c>
      <c r="F26" s="28" t="str">
        <f>VLOOKUP($B26,'Выгр Торг'!$B:$Q,F$1,0)</f>
        <v>1</v>
      </c>
      <c r="G26" s="28" t="str">
        <f>VLOOKUP($B26,'Выгр Торг'!$B:$Q,G$1,0)</f>
        <v>40329</v>
      </c>
      <c r="H26" s="10">
        <v>40329</v>
      </c>
      <c r="I26" s="1" t="s">
        <v>3</v>
      </c>
      <c r="J26" s="42">
        <f>VLOOKUP(H26,Прайс!B:E,4,0)</f>
        <v>350</v>
      </c>
      <c r="K26" s="2">
        <f>VLOOKUP(J26,Наценка!$A$1:$B$8,2,1)</f>
        <v>1.68</v>
      </c>
      <c r="L26" s="4">
        <f t="shared" si="3"/>
        <v>588</v>
      </c>
      <c r="M26" s="42">
        <f t="shared" si="4"/>
        <v>589</v>
      </c>
      <c r="N26" s="28">
        <f>VLOOKUP($B26,'Выгр Торг'!$B:$Q,N$1,0)</f>
        <v>350</v>
      </c>
      <c r="O26" s="28">
        <f>VLOOKUP($B26,'Выгр Торг'!$B:$Q,O$1,0)</f>
        <v>589</v>
      </c>
      <c r="P26" s="30">
        <f t="shared" si="5"/>
        <v>0</v>
      </c>
      <c r="Q26" s="30">
        <f t="shared" si="6"/>
        <v>0</v>
      </c>
      <c r="R26" s="36">
        <f t="shared" si="7"/>
        <v>547.77</v>
      </c>
      <c r="S26" s="37" t="e">
        <f>IFERROR((VLOOKUP($B26,'Из ГУГЛа'!$B:$G,6,0)+U26)*T26,VLOOKUP($B26,'Из ГУГЛа'!$B:$G,6,0))</f>
        <v>#N/A</v>
      </c>
      <c r="T26" s="38">
        <v>1</v>
      </c>
      <c r="U26" s="38"/>
      <c r="V26" s="39">
        <f t="shared" si="8"/>
        <v>0.5650571428571427</v>
      </c>
      <c r="W26" s="39" t="str">
        <f t="shared" si="9"/>
        <v/>
      </c>
      <c r="X26" s="39" t="str">
        <f t="shared" si="10"/>
        <v/>
      </c>
      <c r="Y26" s="40" t="s">
        <v>8364</v>
      </c>
    </row>
    <row r="27" spans="1:25" ht="30" x14ac:dyDescent="0.25">
      <c r="A27" s="27" t="str">
        <f>INDEX('Выгр Торг'!$A:$A,MATCH($B27,'Выгр Торг'!$B:$B,0))</f>
        <v>Полироль панели "PLAK" 10 Gratis (750 мл)</v>
      </c>
      <c r="B27" s="28">
        <v>251289</v>
      </c>
      <c r="C27" s="28">
        <f>VLOOKUP($B27,'Выгр Торг'!$B:$Q,C$1,0)</f>
        <v>186826</v>
      </c>
      <c r="D27" s="27" t="str">
        <f>VLOOKUP($B27,'Выгр Торг'!$B:$Q,D$1,0)</f>
        <v>Полироль панели "PLAK" 10 Gratis (750 мл) (Зеленые холмы)</v>
      </c>
      <c r="E27" s="28" t="str">
        <f>VLOOKUP($B27,'Выгр Торг'!$B:$Q,E$1,0)</f>
        <v>Y</v>
      </c>
      <c r="F27" s="28" t="str">
        <f>VLOOKUP($B27,'Выгр Торг'!$B:$Q,F$1,0)</f>
        <v>1</v>
      </c>
      <c r="G27" s="28" t="str">
        <f>VLOOKUP($B27,'Выгр Торг'!$B:$Q,G$1,0)</f>
        <v>40403</v>
      </c>
      <c r="H27" s="10">
        <v>40403</v>
      </c>
      <c r="I27" s="1" t="s">
        <v>3</v>
      </c>
      <c r="J27" s="42">
        <f>VLOOKUP(H27,Прайс!B:E,4,0)</f>
        <v>350</v>
      </c>
      <c r="K27" s="2">
        <f>VLOOKUP(J27,Наценка!$A$1:$B$8,2,1)</f>
        <v>1.68</v>
      </c>
      <c r="L27" s="4">
        <f t="shared" si="3"/>
        <v>588</v>
      </c>
      <c r="M27" s="42">
        <f t="shared" si="4"/>
        <v>589</v>
      </c>
      <c r="N27" s="28">
        <f>VLOOKUP($B27,'Выгр Торг'!$B:$Q,N$1,0)</f>
        <v>350</v>
      </c>
      <c r="O27" s="28">
        <f>VLOOKUP($B27,'Выгр Торг'!$B:$Q,O$1,0)</f>
        <v>589</v>
      </c>
      <c r="P27" s="30">
        <f t="shared" si="5"/>
        <v>0</v>
      </c>
      <c r="Q27" s="30">
        <f t="shared" si="6"/>
        <v>0</v>
      </c>
      <c r="R27" s="36">
        <f t="shared" si="7"/>
        <v>547.77</v>
      </c>
      <c r="S27" s="37" t="e">
        <f>IFERROR((VLOOKUP($B27,'Из ГУГЛа'!$B:$G,6,0)+U27)*T27,VLOOKUP($B27,'Из ГУГЛа'!$B:$G,6,0))</f>
        <v>#N/A</v>
      </c>
      <c r="T27" s="38">
        <v>1</v>
      </c>
      <c r="U27" s="38"/>
      <c r="V27" s="39">
        <f t="shared" si="8"/>
        <v>0.5650571428571427</v>
      </c>
      <c r="W27" s="39" t="str">
        <f t="shared" si="9"/>
        <v/>
      </c>
      <c r="X27" s="39" t="str">
        <f t="shared" si="10"/>
        <v/>
      </c>
      <c r="Y27" s="40" t="s">
        <v>8364</v>
      </c>
    </row>
    <row r="28" spans="1:25" ht="30" x14ac:dyDescent="0.25">
      <c r="A28" s="27" t="str">
        <f>INDEX('Выгр Торг'!$A:$A,MATCH($B28,'Выгр Торг'!$B:$B,0))</f>
        <v>Полироль панели "PLAK" 10 Gratis (750 мл)</v>
      </c>
      <c r="B28" s="28">
        <v>251290</v>
      </c>
      <c r="C28" s="28">
        <f>VLOOKUP($B28,'Выгр Торг'!$B:$Q,C$1,0)</f>
        <v>186819</v>
      </c>
      <c r="D28" s="27" t="str">
        <f>VLOOKUP($B28,'Выгр Торг'!$B:$Q,D$1,0)</f>
        <v>Полироль панели "PLAK" 10 Gratis (750 мл) (Клубника)</v>
      </c>
      <c r="E28" s="28" t="str">
        <f>VLOOKUP($B28,'Выгр Торг'!$B:$Q,E$1,0)</f>
        <v>Y</v>
      </c>
      <c r="F28" s="28" t="str">
        <f>VLOOKUP($B28,'Выгр Торг'!$B:$Q,F$1,0)</f>
        <v>1</v>
      </c>
      <c r="G28" s="28" t="str">
        <f>VLOOKUP($B28,'Выгр Торг'!$B:$Q,G$1,0)</f>
        <v>40208</v>
      </c>
      <c r="H28" s="10">
        <v>40208</v>
      </c>
      <c r="I28" s="1" t="s">
        <v>3</v>
      </c>
      <c r="J28" s="42">
        <f>VLOOKUP(H28,Прайс!B:E,4,0)</f>
        <v>350</v>
      </c>
      <c r="K28" s="2">
        <f>VLOOKUP(J28,Наценка!$A$1:$B$8,2,1)</f>
        <v>1.68</v>
      </c>
      <c r="L28" s="4">
        <f t="shared" si="3"/>
        <v>588</v>
      </c>
      <c r="M28" s="42">
        <f t="shared" si="4"/>
        <v>589</v>
      </c>
      <c r="N28" s="28">
        <f>VLOOKUP($B28,'Выгр Торг'!$B:$Q,N$1,0)</f>
        <v>350</v>
      </c>
      <c r="O28" s="28">
        <f>VLOOKUP($B28,'Выгр Торг'!$B:$Q,O$1,0)</f>
        <v>589</v>
      </c>
      <c r="P28" s="30">
        <f t="shared" si="5"/>
        <v>0</v>
      </c>
      <c r="Q28" s="30">
        <f t="shared" si="6"/>
        <v>0</v>
      </c>
      <c r="R28" s="36">
        <f t="shared" si="7"/>
        <v>547.77</v>
      </c>
      <c r="S28" s="37" t="e">
        <f>IFERROR((VLOOKUP($B28,'Из ГУГЛа'!$B:$G,6,0)+U28)*T28,VLOOKUP($B28,'Из ГУГЛа'!$B:$G,6,0))</f>
        <v>#N/A</v>
      </c>
      <c r="T28" s="38">
        <v>1</v>
      </c>
      <c r="U28" s="38"/>
      <c r="V28" s="39">
        <f t="shared" si="8"/>
        <v>0.5650571428571427</v>
      </c>
      <c r="W28" s="39" t="str">
        <f t="shared" si="9"/>
        <v/>
      </c>
      <c r="X28" s="39" t="str">
        <f t="shared" si="10"/>
        <v/>
      </c>
      <c r="Y28" s="40" t="s">
        <v>8364</v>
      </c>
    </row>
    <row r="29" spans="1:25" ht="30" x14ac:dyDescent="0.25">
      <c r="A29" s="27" t="str">
        <f>INDEX('Выгр Торг'!$A:$A,MATCH($B29,'Выгр Торг'!$B:$B,0))</f>
        <v>Полироль панели "PLAK" 10 Gratis (750 мл)</v>
      </c>
      <c r="B29" s="28">
        <v>251291</v>
      </c>
      <c r="C29" s="28">
        <f>VLOOKUP($B29,'Выгр Торг'!$B:$Q,C$1,0)</f>
        <v>186820</v>
      </c>
      <c r="D29" s="27" t="str">
        <f>VLOOKUP($B29,'Выгр Торг'!$B:$Q,D$1,0)</f>
        <v>Полироль панели "PLAK" 10 Gratis (750 мл) (Лаванда)</v>
      </c>
      <c r="E29" s="28" t="str">
        <f>VLOOKUP($B29,'Выгр Торг'!$B:$Q,E$1,0)</f>
        <v>Y</v>
      </c>
      <c r="F29" s="28" t="str">
        <f>VLOOKUP($B29,'Выгр Торг'!$B:$Q,F$1,0)</f>
        <v>1</v>
      </c>
      <c r="G29" s="28" t="str">
        <f>VLOOKUP($B29,'Выгр Торг'!$B:$Q,G$1,0)</f>
        <v>40209</v>
      </c>
      <c r="H29" s="10">
        <v>40209</v>
      </c>
      <c r="I29" s="1" t="s">
        <v>3</v>
      </c>
      <c r="J29" s="42">
        <f>VLOOKUP(H29,Прайс!B:E,4,0)</f>
        <v>350</v>
      </c>
      <c r="K29" s="2">
        <f>VLOOKUP(J29,Наценка!$A$1:$B$8,2,1)</f>
        <v>1.68</v>
      </c>
      <c r="L29" s="4">
        <f t="shared" si="3"/>
        <v>588</v>
      </c>
      <c r="M29" s="42">
        <f t="shared" si="4"/>
        <v>589</v>
      </c>
      <c r="N29" s="28">
        <f>VLOOKUP($B29,'Выгр Торг'!$B:$Q,N$1,0)</f>
        <v>350</v>
      </c>
      <c r="O29" s="28">
        <f>VLOOKUP($B29,'Выгр Торг'!$B:$Q,O$1,0)</f>
        <v>589</v>
      </c>
      <c r="P29" s="30">
        <f t="shared" si="5"/>
        <v>0</v>
      </c>
      <c r="Q29" s="30">
        <f t="shared" si="6"/>
        <v>0</v>
      </c>
      <c r="R29" s="36">
        <f t="shared" si="7"/>
        <v>547.77</v>
      </c>
      <c r="S29" s="37" t="e">
        <f>IFERROR((VLOOKUP($B29,'Из ГУГЛа'!$B:$G,6,0)+U29)*T29,VLOOKUP($B29,'Из ГУГЛа'!$B:$G,6,0))</f>
        <v>#N/A</v>
      </c>
      <c r="T29" s="38">
        <v>1</v>
      </c>
      <c r="U29" s="38"/>
      <c r="V29" s="39">
        <f t="shared" si="8"/>
        <v>0.5650571428571427</v>
      </c>
      <c r="W29" s="39" t="str">
        <f t="shared" si="9"/>
        <v/>
      </c>
      <c r="X29" s="39" t="str">
        <f t="shared" si="10"/>
        <v/>
      </c>
      <c r="Y29" s="40" t="s">
        <v>8364</v>
      </c>
    </row>
    <row r="30" spans="1:25" ht="30" x14ac:dyDescent="0.25">
      <c r="A30" s="27" t="str">
        <f>INDEX('Выгр Торг'!$A:$A,MATCH($B30,'Выгр Торг'!$B:$B,0))</f>
        <v>Полироль панели "PLAK" 10 Gratis (750 мл)</v>
      </c>
      <c r="B30" s="28">
        <v>251292</v>
      </c>
      <c r="C30" s="28">
        <f>VLOOKUP($B30,'Выгр Торг'!$B:$Q,C$1,0)</f>
        <v>186821</v>
      </c>
      <c r="D30" s="27" t="str">
        <f>VLOOKUP($B30,'Выгр Торг'!$B:$Q,D$1,0)</f>
        <v>Полироль панели "PLAK" 10 Gratis (750 мл) (Лимон)</v>
      </c>
      <c r="E30" s="28" t="str">
        <f>VLOOKUP($B30,'Выгр Торг'!$B:$Q,E$1,0)</f>
        <v>Y</v>
      </c>
      <c r="F30" s="28" t="str">
        <f>VLOOKUP($B30,'Выгр Торг'!$B:$Q,F$1,0)</f>
        <v>1</v>
      </c>
      <c r="G30" s="28" t="str">
        <f>VLOOKUP($B30,'Выгр Торг'!$B:$Q,G$1,0)</f>
        <v>40210</v>
      </c>
      <c r="H30" s="10">
        <v>40210</v>
      </c>
      <c r="I30" s="1" t="s">
        <v>3</v>
      </c>
      <c r="J30" s="42">
        <f>VLOOKUP(H30,Прайс!B:E,4,0)</f>
        <v>350</v>
      </c>
      <c r="K30" s="2">
        <f>VLOOKUP(J30,Наценка!$A$1:$B$8,2,1)</f>
        <v>1.68</v>
      </c>
      <c r="L30" s="4">
        <f t="shared" si="3"/>
        <v>588</v>
      </c>
      <c r="M30" s="42">
        <f t="shared" si="4"/>
        <v>589</v>
      </c>
      <c r="N30" s="28">
        <f>VLOOKUP($B30,'Выгр Торг'!$B:$Q,N$1,0)</f>
        <v>350</v>
      </c>
      <c r="O30" s="28">
        <f>VLOOKUP($B30,'Выгр Торг'!$B:$Q,O$1,0)</f>
        <v>589</v>
      </c>
      <c r="P30" s="30">
        <f t="shared" si="5"/>
        <v>0</v>
      </c>
      <c r="Q30" s="30">
        <f t="shared" si="6"/>
        <v>0</v>
      </c>
      <c r="R30" s="36">
        <f t="shared" si="7"/>
        <v>547.77</v>
      </c>
      <c r="S30" s="37" t="e">
        <f>IFERROR((VLOOKUP($B30,'Из ГУГЛа'!$B:$G,6,0)+U30)*T30,VLOOKUP($B30,'Из ГУГЛа'!$B:$G,6,0))</f>
        <v>#N/A</v>
      </c>
      <c r="T30" s="38">
        <v>1</v>
      </c>
      <c r="U30" s="38"/>
      <c r="V30" s="39">
        <f t="shared" si="8"/>
        <v>0.5650571428571427</v>
      </c>
      <c r="W30" s="39" t="str">
        <f t="shared" si="9"/>
        <v/>
      </c>
      <c r="X30" s="39" t="str">
        <f t="shared" si="10"/>
        <v/>
      </c>
      <c r="Y30" s="40" t="s">
        <v>8364</v>
      </c>
    </row>
    <row r="31" spans="1:25" ht="30" x14ac:dyDescent="0.25">
      <c r="A31" s="27" t="str">
        <f>INDEX('Выгр Торг'!$A:$A,MATCH($B31,'Выгр Торг'!$B:$B,0))</f>
        <v>Полироль панели "PLAK" 10 Gratis (750 мл)</v>
      </c>
      <c r="B31" s="28">
        <v>251293</v>
      </c>
      <c r="C31" s="28">
        <f>VLOOKUP($B31,'Выгр Торг'!$B:$Q,C$1,0)</f>
        <v>186828</v>
      </c>
      <c r="D31" s="27" t="str">
        <f>VLOOKUP($B31,'Выгр Торг'!$B:$Q,D$1,0)</f>
        <v>Полироль панели "PLAK" 10 Gratis (750 мл) (Морской)</v>
      </c>
      <c r="E31" s="28" t="str">
        <f>VLOOKUP($B31,'Выгр Торг'!$B:$Q,E$1,0)</f>
        <v>Y</v>
      </c>
      <c r="F31" s="28" t="str">
        <f>VLOOKUP($B31,'Выгр Торг'!$B:$Q,F$1,0)</f>
        <v>1</v>
      </c>
      <c r="G31" s="28" t="str">
        <f>VLOOKUP($B31,'Выгр Торг'!$B:$Q,G$1,0)</f>
        <v>40400</v>
      </c>
      <c r="H31" s="10">
        <v>40400</v>
      </c>
      <c r="I31" s="1" t="s">
        <v>3</v>
      </c>
      <c r="J31" s="42">
        <f>VLOOKUP(H31,Прайс!B:E,4,0)</f>
        <v>350</v>
      </c>
      <c r="K31" s="2">
        <f>VLOOKUP(J31,Наценка!$A$1:$B$8,2,1)</f>
        <v>1.68</v>
      </c>
      <c r="L31" s="4">
        <f t="shared" si="3"/>
        <v>588</v>
      </c>
      <c r="M31" s="42">
        <f t="shared" si="4"/>
        <v>589</v>
      </c>
      <c r="N31" s="28">
        <f>VLOOKUP($B31,'Выгр Торг'!$B:$Q,N$1,0)</f>
        <v>350</v>
      </c>
      <c r="O31" s="28">
        <f>VLOOKUP($B31,'Выгр Торг'!$B:$Q,O$1,0)</f>
        <v>589</v>
      </c>
      <c r="P31" s="30">
        <f t="shared" si="5"/>
        <v>0</v>
      </c>
      <c r="Q31" s="30">
        <f t="shared" si="6"/>
        <v>0</v>
      </c>
      <c r="R31" s="36">
        <f t="shared" si="7"/>
        <v>547.77</v>
      </c>
      <c r="S31" s="37" t="e">
        <f>IFERROR((VLOOKUP($B31,'Из ГУГЛа'!$B:$G,6,0)+U31)*T31,VLOOKUP($B31,'Из ГУГЛа'!$B:$G,6,0))</f>
        <v>#N/A</v>
      </c>
      <c r="T31" s="38">
        <v>1</v>
      </c>
      <c r="U31" s="38"/>
      <c r="V31" s="39">
        <f t="shared" si="8"/>
        <v>0.5650571428571427</v>
      </c>
      <c r="W31" s="39" t="str">
        <f t="shared" si="9"/>
        <v/>
      </c>
      <c r="X31" s="39" t="str">
        <f t="shared" si="10"/>
        <v/>
      </c>
      <c r="Y31" s="40" t="s">
        <v>8364</v>
      </c>
    </row>
    <row r="32" spans="1:25" ht="30" x14ac:dyDescent="0.25">
      <c r="A32" s="27" t="str">
        <f>INDEX('Выгр Торг'!$A:$A,MATCH($B32,'Выгр Торг'!$B:$B,0))</f>
        <v>Полироль панели "PLAK" 10 Gratis (750 мл)</v>
      </c>
      <c r="B32" s="28">
        <v>251294</v>
      </c>
      <c r="C32" s="28">
        <f>VLOOKUP($B32,'Выгр Торг'!$B:$Q,C$1,0)</f>
        <v>186822</v>
      </c>
      <c r="D32" s="27" t="str">
        <f>VLOOKUP($B32,'Выгр Торг'!$B:$Q,D$1,0)</f>
        <v>Полироль панели "PLAK" 10 Gratis (750 мл) (Океан)</v>
      </c>
      <c r="E32" s="28" t="str">
        <f>VLOOKUP($B32,'Выгр Торг'!$B:$Q,E$1,0)</f>
        <v>Y</v>
      </c>
      <c r="F32" s="28" t="str">
        <f>VLOOKUP($B32,'Выгр Торг'!$B:$Q,F$1,0)</f>
        <v>1</v>
      </c>
      <c r="G32" s="28" t="str">
        <f>VLOOKUP($B32,'Выгр Торг'!$B:$Q,G$1,0)</f>
        <v>40211</v>
      </c>
      <c r="H32" s="10">
        <v>40211</v>
      </c>
      <c r="I32" s="1" t="s">
        <v>3</v>
      </c>
      <c r="J32" s="42">
        <f>VLOOKUP(H32,Прайс!B:E,4,0)</f>
        <v>350</v>
      </c>
      <c r="K32" s="2">
        <f>VLOOKUP(J32,Наценка!$A$1:$B$8,2,1)</f>
        <v>1.68</v>
      </c>
      <c r="L32" s="4">
        <f t="shared" si="3"/>
        <v>588</v>
      </c>
      <c r="M32" s="42">
        <f t="shared" si="4"/>
        <v>589</v>
      </c>
      <c r="N32" s="28">
        <f>VLOOKUP($B32,'Выгр Торг'!$B:$Q,N$1,0)</f>
        <v>350</v>
      </c>
      <c r="O32" s="28">
        <f>VLOOKUP($B32,'Выгр Торг'!$B:$Q,O$1,0)</f>
        <v>589</v>
      </c>
      <c r="P32" s="30">
        <f t="shared" si="5"/>
        <v>0</v>
      </c>
      <c r="Q32" s="30">
        <f t="shared" si="6"/>
        <v>0</v>
      </c>
      <c r="R32" s="36">
        <f t="shared" si="7"/>
        <v>547.77</v>
      </c>
      <c r="S32" s="37" t="e">
        <f>IFERROR((VLOOKUP($B32,'Из ГУГЛа'!$B:$G,6,0)+U32)*T32,VLOOKUP($B32,'Из ГУГЛа'!$B:$G,6,0))</f>
        <v>#N/A</v>
      </c>
      <c r="T32" s="38">
        <v>1</v>
      </c>
      <c r="U32" s="38"/>
      <c r="V32" s="39">
        <f t="shared" si="8"/>
        <v>0.5650571428571427</v>
      </c>
      <c r="W32" s="39" t="str">
        <f t="shared" si="9"/>
        <v/>
      </c>
      <c r="X32" s="39" t="str">
        <f t="shared" si="10"/>
        <v/>
      </c>
      <c r="Y32" s="40" t="s">
        <v>8364</v>
      </c>
    </row>
    <row r="33" spans="1:25" ht="30" x14ac:dyDescent="0.25">
      <c r="A33" s="27" t="str">
        <f>INDEX('Выгр Торг'!$A:$A,MATCH($B33,'Выгр Торг'!$B:$B,0))</f>
        <v>Полироль панели "PLAK" 10 Gratis (750 мл)</v>
      </c>
      <c r="B33" s="28">
        <v>251295</v>
      </c>
      <c r="C33" s="28">
        <f>VLOOKUP($B33,'Выгр Торг'!$B:$Q,C$1,0)</f>
        <v>186823</v>
      </c>
      <c r="D33" s="27" t="str">
        <f>VLOOKUP($B33,'Выгр Торг'!$B:$Q,D$1,0)</f>
        <v>Полироль панели "PLAK" 10 Gratis (750 мл) (Персик)</v>
      </c>
      <c r="E33" s="28" t="str">
        <f>VLOOKUP($B33,'Выгр Торг'!$B:$Q,E$1,0)</f>
        <v>Y</v>
      </c>
      <c r="F33" s="28" t="str">
        <f>VLOOKUP($B33,'Выгр Торг'!$B:$Q,F$1,0)</f>
        <v>1</v>
      </c>
      <c r="G33" s="28" t="str">
        <f>VLOOKUP($B33,'Выгр Торг'!$B:$Q,G$1,0)</f>
        <v>40212</v>
      </c>
      <c r="H33" s="10">
        <v>40212</v>
      </c>
      <c r="I33" s="1" t="s">
        <v>3</v>
      </c>
      <c r="J33" s="42">
        <f>VLOOKUP(H33,Прайс!B:E,4,0)</f>
        <v>350</v>
      </c>
      <c r="K33" s="2">
        <f>VLOOKUP(J33,Наценка!$A$1:$B$8,2,1)</f>
        <v>1.68</v>
      </c>
      <c r="L33" s="4">
        <f t="shared" si="3"/>
        <v>588</v>
      </c>
      <c r="M33" s="42">
        <f t="shared" si="4"/>
        <v>589</v>
      </c>
      <c r="N33" s="28">
        <f>VLOOKUP($B33,'Выгр Торг'!$B:$Q,N$1,0)</f>
        <v>350</v>
      </c>
      <c r="O33" s="28">
        <f>VLOOKUP($B33,'Выгр Торг'!$B:$Q,O$1,0)</f>
        <v>589</v>
      </c>
      <c r="P33" s="30">
        <f t="shared" si="5"/>
        <v>0</v>
      </c>
      <c r="Q33" s="30">
        <f t="shared" si="6"/>
        <v>0</v>
      </c>
      <c r="R33" s="36">
        <f t="shared" si="7"/>
        <v>547.77</v>
      </c>
      <c r="S33" s="37" t="e">
        <f>IFERROR((VLOOKUP($B33,'Из ГУГЛа'!$B:$G,6,0)+U33)*T33,VLOOKUP($B33,'Из ГУГЛа'!$B:$G,6,0))</f>
        <v>#N/A</v>
      </c>
      <c r="T33" s="38">
        <v>1</v>
      </c>
      <c r="U33" s="38"/>
      <c r="V33" s="39">
        <f t="shared" si="8"/>
        <v>0.5650571428571427</v>
      </c>
      <c r="W33" s="39" t="str">
        <f t="shared" si="9"/>
        <v/>
      </c>
      <c r="X33" s="39" t="str">
        <f t="shared" si="10"/>
        <v/>
      </c>
      <c r="Y33" s="40" t="s">
        <v>8364</v>
      </c>
    </row>
    <row r="34" spans="1:25" ht="45" x14ac:dyDescent="0.25">
      <c r="A34" s="27" t="str">
        <f>INDEX('Выгр Торг'!$A:$A,MATCH($B34,'Выгр Торг'!$B:$B,0))</f>
        <v>Ароматизатор "Tasotti" Престиж (банка на панель)</v>
      </c>
      <c r="B34" s="28">
        <v>242747</v>
      </c>
      <c r="C34" s="28">
        <f>VLOOKUP($B34,'Выгр Торг'!$B:$Q,C$1,0)</f>
        <v>192321</v>
      </c>
      <c r="D34" s="27" t="str">
        <f>VLOOKUP($B34,'Выгр Торг'!$B:$Q,D$1,0)</f>
        <v>Ароматизатор "Tasotti" Престиж (банка на панель) (Арбуз (Watermelon))</v>
      </c>
      <c r="E34" s="28" t="str">
        <f>VLOOKUP($B34,'Выгр Торг'!$B:$Q,E$1,0)</f>
        <v>Y</v>
      </c>
      <c r="F34" s="28" t="str">
        <f>VLOOKUP($B34,'Выгр Торг'!$B:$Q,F$1,0)</f>
        <v>1</v>
      </c>
      <c r="G34" s="28" t="str">
        <f>VLOOKUP($B34,'Выгр Торг'!$B:$Q,G$1,0)</f>
        <v>70901</v>
      </c>
      <c r="H34" s="45">
        <v>70901</v>
      </c>
      <c r="I34" s="1" t="s">
        <v>3</v>
      </c>
      <c r="J34" s="42">
        <f>VLOOKUP(H34,Прайс!B:E,4,0)</f>
        <v>240</v>
      </c>
      <c r="K34" s="2">
        <f>VLOOKUP(J34,Наценка!$A$1:$B$8,2,1)</f>
        <v>1.89</v>
      </c>
      <c r="L34" s="4">
        <f t="shared" si="3"/>
        <v>453.59999999999997</v>
      </c>
      <c r="M34" s="42">
        <f t="shared" si="4"/>
        <v>459</v>
      </c>
      <c r="N34" s="28">
        <f>VLOOKUP($B34,'Выгр Торг'!$B:$Q,N$1,0)</f>
        <v>230</v>
      </c>
      <c r="O34" s="28">
        <f>VLOOKUP($B34,'Выгр Торг'!$B:$Q,O$1,0)</f>
        <v>439</v>
      </c>
      <c r="P34" s="30">
        <f t="shared" ref="P34" si="11">N34-J34</f>
        <v>-10</v>
      </c>
      <c r="Q34" s="30">
        <f t="shared" ref="Q34" si="12">O34-M34</f>
        <v>-20</v>
      </c>
      <c r="R34" s="36">
        <f t="shared" ref="R34" si="13">IFERROR(M34*(1-$R$2),"")</f>
        <v>426.86999999999995</v>
      </c>
      <c r="S34" s="37" t="e">
        <f>IFERROR((VLOOKUP($B34,'Из ГУГЛа'!$B:$G,6,0)+U34)*T34,VLOOKUP($B34,'Из ГУГЛа'!$B:$G,6,0))</f>
        <v>#N/A</v>
      </c>
      <c r="T34" s="38">
        <v>1</v>
      </c>
      <c r="U34" s="38"/>
      <c r="V34" s="39">
        <f t="shared" ref="V34" si="14">IFERROR(R34/J34-1,"")</f>
        <v>0.77862499999999968</v>
      </c>
      <c r="W34" s="39" t="str">
        <f t="shared" ref="W34" si="15">IFERROR((Y34-R34)/Y34,"")</f>
        <v/>
      </c>
      <c r="X34" s="39" t="str">
        <f t="shared" ref="X34" si="16">IFERROR(IF(Y34="","",Y34/J34-1),"")</f>
        <v/>
      </c>
      <c r="Y34" s="40" t="s">
        <v>8364</v>
      </c>
    </row>
    <row r="35" spans="1:25" ht="45" x14ac:dyDescent="0.25">
      <c r="A35" s="27" t="str">
        <f>INDEX('Выгр Торг'!$A:$A,MATCH($B35,'Выгр Торг'!$B:$B,0))</f>
        <v>Ароматизатор "Tasotti" Престиж (банка на панель)</v>
      </c>
      <c r="B35" s="28">
        <v>242748</v>
      </c>
      <c r="C35" s="28">
        <f>VLOOKUP($B35,'Выгр Торг'!$B:$Q,C$1,0)</f>
        <v>192322</v>
      </c>
      <c r="D35" s="27" t="str">
        <f>VLOOKUP($B35,'Выгр Торг'!$B:$Q,D$1,0)</f>
        <v>Ароматизатор "Tasotti" Престиж (банка на панель) (Арома Cпа (Aroma Spa))</v>
      </c>
      <c r="E35" s="28" t="str">
        <f>VLOOKUP($B35,'Выгр Торг'!$B:$Q,E$1,0)</f>
        <v>Y</v>
      </c>
      <c r="F35" s="28" t="str">
        <f>VLOOKUP($B35,'Выгр Торг'!$B:$Q,F$1,0)</f>
        <v>1</v>
      </c>
      <c r="G35" s="28" t="str">
        <f>VLOOKUP($B35,'Выгр Торг'!$B:$Q,G$1,0)</f>
        <v>70902</v>
      </c>
      <c r="H35" s="45">
        <v>70902</v>
      </c>
      <c r="I35" s="1" t="s">
        <v>3</v>
      </c>
      <c r="J35" s="41">
        <f>N35</f>
        <v>230</v>
      </c>
      <c r="K35" s="2">
        <f>VLOOKUP(J35,Наценка!$A$1:$B$8,2,1)</f>
        <v>1.89</v>
      </c>
      <c r="L35" s="4">
        <f t="shared" si="3"/>
        <v>434.7</v>
      </c>
      <c r="M35" s="42">
        <f t="shared" si="4"/>
        <v>439</v>
      </c>
      <c r="N35" s="28">
        <f>VLOOKUP($B35,'Выгр Торг'!$B:$Q,N$1,0)</f>
        <v>230</v>
      </c>
      <c r="O35" s="28">
        <f>VLOOKUP($B35,'Выгр Торг'!$B:$Q,O$1,0)</f>
        <v>439</v>
      </c>
      <c r="P35" s="30">
        <f t="shared" ref="P35:P36" si="17">N35-J35</f>
        <v>0</v>
      </c>
      <c r="Q35" s="30">
        <f t="shared" ref="Q35:Q36" si="18">O35-M35</f>
        <v>0</v>
      </c>
      <c r="R35" s="36">
        <f t="shared" ref="R35:R36" si="19">IFERROR(M35*(1-$R$2),"")</f>
        <v>408.27</v>
      </c>
      <c r="S35" s="37" t="e">
        <f>IFERROR((VLOOKUP($B35,'Из ГУГЛа'!$B:$G,6,0)+U35)*T35,VLOOKUP($B35,'Из ГУГЛа'!$B:$G,6,0))</f>
        <v>#N/A</v>
      </c>
      <c r="T35" s="38">
        <v>1</v>
      </c>
      <c r="U35" s="38"/>
      <c r="V35" s="39">
        <f t="shared" ref="V35:V36" si="20">IFERROR(R35/J35-1,"")</f>
        <v>0.77508695652173909</v>
      </c>
      <c r="W35" s="39" t="str">
        <f t="shared" ref="W35:W36" si="21">IFERROR((Y35-R35)/Y35,"")</f>
        <v/>
      </c>
      <c r="X35" s="39" t="str">
        <f t="shared" ref="X35:X36" si="22">IFERROR(IF(Y35="","",Y35/J35-1),"")</f>
        <v/>
      </c>
      <c r="Y35" s="40" t="s">
        <v>8364</v>
      </c>
    </row>
    <row r="36" spans="1:25" ht="45" x14ac:dyDescent="0.25">
      <c r="A36" s="27" t="str">
        <f>INDEX('Выгр Торг'!$A:$A,MATCH($B36,'Выгр Торг'!$B:$B,0))</f>
        <v>Ароматизатор "Tasotti" Престиж (банка на панель)</v>
      </c>
      <c r="B36" s="28">
        <v>242749</v>
      </c>
      <c r="C36" s="28">
        <f>VLOOKUP($B36,'Выгр Торг'!$B:$Q,C$1,0)</f>
        <v>192336</v>
      </c>
      <c r="D36" s="27" t="str">
        <f>VLOOKUP($B36,'Выгр Торг'!$B:$Q,D$1,0)</f>
        <v>Ароматизатор "Tasotti" Престиж (банка на панель) (Бабл Гам (Bubble Gum))</v>
      </c>
      <c r="E36" s="28" t="str">
        <f>VLOOKUP($B36,'Выгр Торг'!$B:$Q,E$1,0)</f>
        <v>Y</v>
      </c>
      <c r="F36" s="28" t="str">
        <f>VLOOKUP($B36,'Выгр Торг'!$B:$Q,F$1,0)</f>
        <v>1</v>
      </c>
      <c r="G36" s="28" t="str">
        <f>VLOOKUP($B36,'Выгр Торг'!$B:$Q,G$1,0)</f>
        <v>72527</v>
      </c>
      <c r="H36" s="45">
        <v>72527</v>
      </c>
      <c r="I36" s="1" t="s">
        <v>3</v>
      </c>
      <c r="J36" s="42">
        <f>VLOOKUP(H36,Прайс!B:E,4,0)</f>
        <v>240</v>
      </c>
      <c r="K36" s="2">
        <f>VLOOKUP(J36,Наценка!$A$1:$B$8,2,1)</f>
        <v>1.89</v>
      </c>
      <c r="L36" s="4">
        <f t="shared" si="3"/>
        <v>453.59999999999997</v>
      </c>
      <c r="M36" s="42">
        <f t="shared" si="4"/>
        <v>459</v>
      </c>
      <c r="N36" s="28">
        <f>VLOOKUP($B36,'Выгр Торг'!$B:$Q,N$1,0)</f>
        <v>230</v>
      </c>
      <c r="O36" s="28">
        <f>VLOOKUP($B36,'Выгр Торг'!$B:$Q,O$1,0)</f>
        <v>439</v>
      </c>
      <c r="P36" s="30">
        <f t="shared" si="17"/>
        <v>-10</v>
      </c>
      <c r="Q36" s="30">
        <f t="shared" si="18"/>
        <v>-20</v>
      </c>
      <c r="R36" s="36">
        <f t="shared" si="19"/>
        <v>426.86999999999995</v>
      </c>
      <c r="S36" s="37" t="e">
        <f>IFERROR((VLOOKUP($B36,'Из ГУГЛа'!$B:$G,6,0)+U36)*T36,VLOOKUP($B36,'Из ГУГЛа'!$B:$G,6,0))</f>
        <v>#N/A</v>
      </c>
      <c r="T36" s="38">
        <v>1</v>
      </c>
      <c r="U36" s="38"/>
      <c r="V36" s="39">
        <f t="shared" si="20"/>
        <v>0.77862499999999968</v>
      </c>
      <c r="W36" s="39" t="str">
        <f t="shared" si="21"/>
        <v/>
      </c>
      <c r="X36" s="39" t="str">
        <f t="shared" si="22"/>
        <v/>
      </c>
      <c r="Y36" s="40" t="s">
        <v>8364</v>
      </c>
    </row>
    <row r="37" spans="1:25" ht="45" x14ac:dyDescent="0.25">
      <c r="A37" s="27" t="str">
        <f>INDEX('Выгр Торг'!$A:$A,MATCH($B37,'Выгр Торг'!$B:$B,0))</f>
        <v>Ароматизатор "Tasotti" Престиж (банка на панель)</v>
      </c>
      <c r="B37" s="28">
        <v>242750</v>
      </c>
      <c r="C37" s="28">
        <f>VLOOKUP($B37,'Выгр Торг'!$B:$Q,C$1,0)</f>
        <v>192323</v>
      </c>
      <c r="D37" s="27" t="str">
        <f>VLOOKUP($B37,'Выгр Торг'!$B:$Q,D$1,0)</f>
        <v>Ароматизатор "Tasotti" Престиж (банка на панель) (Горная свежесть (Mountain Fresh))</v>
      </c>
      <c r="E37" s="28" t="str">
        <f>VLOOKUP($B37,'Выгр Торг'!$B:$Q,E$1,0)</f>
        <v>Y</v>
      </c>
      <c r="F37" s="28" t="str">
        <f>VLOOKUP($B37,'Выгр Торг'!$B:$Q,F$1,0)</f>
        <v>1</v>
      </c>
      <c r="G37" s="28" t="str">
        <f>VLOOKUP($B37,'Выгр Торг'!$B:$Q,G$1,0)</f>
        <v>70904</v>
      </c>
      <c r="H37" s="45">
        <v>70904</v>
      </c>
      <c r="I37" s="1" t="s">
        <v>3</v>
      </c>
      <c r="J37" s="42">
        <f>VLOOKUP(H37,Прайс!B:E,4,0)</f>
        <v>240</v>
      </c>
      <c r="K37" s="2">
        <f>VLOOKUP(J37,Наценка!$A$1:$B$8,2,1)</f>
        <v>1.89</v>
      </c>
      <c r="L37" s="4">
        <f t="shared" si="3"/>
        <v>453.59999999999997</v>
      </c>
      <c r="M37" s="42">
        <f t="shared" si="4"/>
        <v>459</v>
      </c>
      <c r="N37" s="28">
        <f>VLOOKUP($B37,'Выгр Торг'!$B:$Q,N$1,0)</f>
        <v>230</v>
      </c>
      <c r="O37" s="28">
        <f>VLOOKUP($B37,'Выгр Торг'!$B:$Q,O$1,0)</f>
        <v>439</v>
      </c>
      <c r="P37" s="30">
        <f t="shared" ref="P37:P69" si="23">N37-J37</f>
        <v>-10</v>
      </c>
      <c r="Q37" s="30">
        <f t="shared" ref="Q37:Q69" si="24">O37-M37</f>
        <v>-20</v>
      </c>
      <c r="R37" s="36">
        <f t="shared" ref="R37:R69" si="25">IFERROR(M37*(1-$R$2),"")</f>
        <v>426.86999999999995</v>
      </c>
      <c r="S37" s="37" t="e">
        <f>IFERROR((VLOOKUP($B37,'Из ГУГЛа'!$B:$G,6,0)+U37)*T37,VLOOKUP($B37,'Из ГУГЛа'!$B:$G,6,0))</f>
        <v>#N/A</v>
      </c>
      <c r="T37" s="38">
        <v>1</v>
      </c>
      <c r="U37" s="38"/>
      <c r="V37" s="39">
        <f t="shared" ref="V37:V69" si="26">IFERROR(R37/J37-1,"")</f>
        <v>0.77862499999999968</v>
      </c>
      <c r="W37" s="39" t="str">
        <f t="shared" ref="W37:W69" si="27">IFERROR((Y37-R37)/Y37,"")</f>
        <v/>
      </c>
      <c r="X37" s="39" t="str">
        <f t="shared" ref="X37:X69" si="28">IFERROR(IF(Y37="","",Y37/J37-1),"")</f>
        <v/>
      </c>
      <c r="Y37" s="40" t="s">
        <v>8364</v>
      </c>
    </row>
    <row r="38" spans="1:25" ht="45" x14ac:dyDescent="0.25">
      <c r="A38" s="27" t="str">
        <f>INDEX('Выгр Торг'!$A:$A,MATCH($B38,'Выгр Торг'!$B:$B,0))</f>
        <v>Ароматизатор "Tasotti" Престиж (банка на панель)</v>
      </c>
      <c r="B38" s="28">
        <v>242751</v>
      </c>
      <c r="C38" s="28">
        <f>VLOOKUP($B38,'Выгр Торг'!$B:$Q,C$1,0)</f>
        <v>192324</v>
      </c>
      <c r="D38" s="27" t="str">
        <f>VLOOKUP($B38,'Выгр Торг'!$B:$Q,D$1,0)</f>
        <v>Ароматизатор "Tasotti" Престиж (банка на панель) (Грейпфрут (Grapefruit))</v>
      </c>
      <c r="E38" s="28" t="str">
        <f>VLOOKUP($B38,'Выгр Торг'!$B:$Q,E$1,0)</f>
        <v>Y</v>
      </c>
      <c r="F38" s="28" t="str">
        <f>VLOOKUP($B38,'Выгр Торг'!$B:$Q,F$1,0)</f>
        <v>1</v>
      </c>
      <c r="G38" s="28" t="str">
        <f>VLOOKUP($B38,'Выгр Торг'!$B:$Q,G$1,0)</f>
        <v>70905</v>
      </c>
      <c r="H38" s="45">
        <v>70905</v>
      </c>
      <c r="I38" s="1" t="s">
        <v>3</v>
      </c>
      <c r="J38" s="42">
        <f>VLOOKUP(H38,Прайс!B:E,4,0)</f>
        <v>240</v>
      </c>
      <c r="K38" s="2">
        <f>VLOOKUP(J38,Наценка!$A$1:$B$8,2,1)</f>
        <v>1.89</v>
      </c>
      <c r="L38" s="4">
        <f t="shared" si="3"/>
        <v>453.59999999999997</v>
      </c>
      <c r="M38" s="42">
        <f t="shared" si="4"/>
        <v>459</v>
      </c>
      <c r="N38" s="28">
        <f>VLOOKUP($B38,'Выгр Торг'!$B:$Q,N$1,0)</f>
        <v>230</v>
      </c>
      <c r="O38" s="28">
        <f>VLOOKUP($B38,'Выгр Торг'!$B:$Q,O$1,0)</f>
        <v>439</v>
      </c>
      <c r="P38" s="30">
        <f t="shared" si="23"/>
        <v>-10</v>
      </c>
      <c r="Q38" s="30">
        <f t="shared" si="24"/>
        <v>-20</v>
      </c>
      <c r="R38" s="36">
        <f t="shared" si="25"/>
        <v>426.86999999999995</v>
      </c>
      <c r="S38" s="37" t="e">
        <f>IFERROR((VLOOKUP($B38,'Из ГУГЛа'!$B:$G,6,0)+U38)*T38,VLOOKUP($B38,'Из ГУГЛа'!$B:$G,6,0))</f>
        <v>#N/A</v>
      </c>
      <c r="T38" s="38">
        <v>1</v>
      </c>
      <c r="U38" s="38"/>
      <c r="V38" s="39">
        <f t="shared" si="26"/>
        <v>0.77862499999999968</v>
      </c>
      <c r="W38" s="39" t="str">
        <f t="shared" si="27"/>
        <v/>
      </c>
      <c r="X38" s="39" t="str">
        <f t="shared" si="28"/>
        <v/>
      </c>
      <c r="Y38" s="40" t="s">
        <v>8364</v>
      </c>
    </row>
    <row r="39" spans="1:25" ht="45" x14ac:dyDescent="0.25">
      <c r="A39" s="27" t="str">
        <f>INDEX('Выгр Торг'!$A:$A,MATCH($B39,'Выгр Торг'!$B:$B,0))</f>
        <v>Ароматизатор "Tasotti" Престиж (банка на панель)</v>
      </c>
      <c r="B39" s="28">
        <v>242752</v>
      </c>
      <c r="C39" s="28">
        <f>VLOOKUP($B39,'Выгр Торг'!$B:$Q,C$1,0)</f>
        <v>192325</v>
      </c>
      <c r="D39" s="27" t="str">
        <f>VLOOKUP($B39,'Выгр Торг'!$B:$Q,D$1,0)</f>
        <v>Ароматизатор "Tasotti" Престиж (банка на панель) (Зеленое яблоко (Green Apple))</v>
      </c>
      <c r="E39" s="28" t="str">
        <f>VLOOKUP($B39,'Выгр Торг'!$B:$Q,E$1,0)</f>
        <v>Y</v>
      </c>
      <c r="F39" s="28" t="str">
        <f>VLOOKUP($B39,'Выгр Торг'!$B:$Q,F$1,0)</f>
        <v>1</v>
      </c>
      <c r="G39" s="28" t="str">
        <f>VLOOKUP($B39,'Выгр Торг'!$B:$Q,G$1,0)</f>
        <v>70906</v>
      </c>
      <c r="H39" s="45">
        <v>70906</v>
      </c>
      <c r="I39" s="1" t="s">
        <v>3</v>
      </c>
      <c r="J39" s="42">
        <f>VLOOKUP(H39,Прайс!B:E,4,0)</f>
        <v>240</v>
      </c>
      <c r="K39" s="2">
        <f>VLOOKUP(J39,Наценка!$A$1:$B$8,2,1)</f>
        <v>1.89</v>
      </c>
      <c r="L39" s="4">
        <f t="shared" si="3"/>
        <v>453.59999999999997</v>
      </c>
      <c r="M39" s="42">
        <f t="shared" si="4"/>
        <v>459</v>
      </c>
      <c r="N39" s="28">
        <f>VLOOKUP($B39,'Выгр Торг'!$B:$Q,N$1,0)</f>
        <v>230</v>
      </c>
      <c r="O39" s="28">
        <f>VLOOKUP($B39,'Выгр Торг'!$B:$Q,O$1,0)</f>
        <v>439</v>
      </c>
      <c r="P39" s="30">
        <f t="shared" si="23"/>
        <v>-10</v>
      </c>
      <c r="Q39" s="30">
        <f t="shared" si="24"/>
        <v>-20</v>
      </c>
      <c r="R39" s="36">
        <f t="shared" si="25"/>
        <v>426.86999999999995</v>
      </c>
      <c r="S39" s="37" t="e">
        <f>IFERROR((VLOOKUP($B39,'Из ГУГЛа'!$B:$G,6,0)+U39)*T39,VLOOKUP($B39,'Из ГУГЛа'!$B:$G,6,0))</f>
        <v>#N/A</v>
      </c>
      <c r="T39" s="38">
        <v>1</v>
      </c>
      <c r="U39" s="38"/>
      <c r="V39" s="39">
        <f t="shared" si="26"/>
        <v>0.77862499999999968</v>
      </c>
      <c r="W39" s="39" t="str">
        <f t="shared" si="27"/>
        <v/>
      </c>
      <c r="X39" s="39" t="str">
        <f t="shared" si="28"/>
        <v/>
      </c>
      <c r="Y39" s="40" t="s">
        <v>8364</v>
      </c>
    </row>
    <row r="40" spans="1:25" ht="45" x14ac:dyDescent="0.25">
      <c r="A40" s="27" t="str">
        <f>INDEX('Выгр Торг'!$A:$A,MATCH($B40,'Выгр Торг'!$B:$B,0))</f>
        <v>Ароматизатор "Tasotti" Престиж (банка на панель)</v>
      </c>
      <c r="B40" s="28">
        <v>242753</v>
      </c>
      <c r="C40" s="28">
        <f>VLOOKUP($B40,'Выгр Торг'!$B:$Q,C$1,0)</f>
        <v>192333</v>
      </c>
      <c r="D40" s="27" t="str">
        <f>VLOOKUP($B40,'Выгр Торг'!$B:$Q,D$1,0)</f>
        <v>Ароматизатор "Tasotti" Престиж (банка на панель) (Кофе с молоком (Milk Coffee))</v>
      </c>
      <c r="E40" s="28" t="str">
        <f>VLOOKUP($B40,'Выгр Торг'!$B:$Q,E$1,0)</f>
        <v>Y</v>
      </c>
      <c r="F40" s="28" t="str">
        <f>VLOOKUP($B40,'Выгр Торг'!$B:$Q,F$1,0)</f>
        <v>1</v>
      </c>
      <c r="G40" s="28" t="str">
        <f>VLOOKUP($B40,'Выгр Торг'!$B:$Q,G$1,0)</f>
        <v>72524</v>
      </c>
      <c r="H40" s="45">
        <v>72524</v>
      </c>
      <c r="I40" s="1" t="s">
        <v>3</v>
      </c>
      <c r="J40" s="42">
        <f>VLOOKUP(H40,Прайс!B:E,4,0)</f>
        <v>240</v>
      </c>
      <c r="K40" s="2">
        <f>VLOOKUP(J40,Наценка!$A$1:$B$8,2,1)</f>
        <v>1.89</v>
      </c>
      <c r="L40" s="4">
        <f t="shared" si="3"/>
        <v>453.59999999999997</v>
      </c>
      <c r="M40" s="42">
        <f t="shared" si="4"/>
        <v>459</v>
      </c>
      <c r="N40" s="28">
        <f>VLOOKUP($B40,'Выгр Торг'!$B:$Q,N$1,0)</f>
        <v>230</v>
      </c>
      <c r="O40" s="28">
        <f>VLOOKUP($B40,'Выгр Торг'!$B:$Q,O$1,0)</f>
        <v>439</v>
      </c>
      <c r="P40" s="30">
        <f t="shared" si="23"/>
        <v>-10</v>
      </c>
      <c r="Q40" s="30">
        <f t="shared" si="24"/>
        <v>-20</v>
      </c>
      <c r="R40" s="36">
        <f t="shared" si="25"/>
        <v>426.86999999999995</v>
      </c>
      <c r="S40" s="37" t="e">
        <f>IFERROR((VLOOKUP($B40,'Из ГУГЛа'!$B:$G,6,0)+U40)*T40,VLOOKUP($B40,'Из ГУГЛа'!$B:$G,6,0))</f>
        <v>#N/A</v>
      </c>
      <c r="T40" s="38">
        <v>1</v>
      </c>
      <c r="U40" s="38"/>
      <c r="V40" s="39">
        <f t="shared" si="26"/>
        <v>0.77862499999999968</v>
      </c>
      <c r="W40" s="39" t="str">
        <f t="shared" si="27"/>
        <v/>
      </c>
      <c r="X40" s="39" t="str">
        <f t="shared" si="28"/>
        <v/>
      </c>
      <c r="Y40" s="40" t="s">
        <v>8364</v>
      </c>
    </row>
    <row r="41" spans="1:25" ht="45" x14ac:dyDescent="0.25">
      <c r="A41" s="27" t="str">
        <f>INDEX('Выгр Торг'!$A:$A,MATCH($B41,'Выгр Торг'!$B:$B,0))</f>
        <v>Ароматизатор "Tasotti" Престиж (банка на панель)</v>
      </c>
      <c r="B41" s="28">
        <v>242754</v>
      </c>
      <c r="C41" s="28">
        <f>VLOOKUP($B41,'Выгр Торг'!$B:$Q,C$1,0)</f>
        <v>192334</v>
      </c>
      <c r="D41" s="27" t="str">
        <f>VLOOKUP($B41,'Выгр Торг'!$B:$Q,D$1,0)</f>
        <v>Ароматизатор "Tasotti" Престиж (банка на панель) (Красавчик (Sexy Boy))</v>
      </c>
      <c r="E41" s="28" t="str">
        <f>VLOOKUP($B41,'Выгр Торг'!$B:$Q,E$1,0)</f>
        <v>Y</v>
      </c>
      <c r="F41" s="28" t="str">
        <f>VLOOKUP($B41,'Выгр Торг'!$B:$Q,F$1,0)</f>
        <v>1</v>
      </c>
      <c r="G41" s="28" t="str">
        <f>VLOOKUP($B41,'Выгр Торг'!$B:$Q,G$1,0)</f>
        <v>72525</v>
      </c>
      <c r="H41" s="45">
        <v>72525</v>
      </c>
      <c r="I41" s="1" t="s">
        <v>3</v>
      </c>
      <c r="J41" s="42">
        <f>VLOOKUP(H41,Прайс!B:E,4,0)</f>
        <v>240</v>
      </c>
      <c r="K41" s="2">
        <f>VLOOKUP(J41,Наценка!$A$1:$B$8,2,1)</f>
        <v>1.89</v>
      </c>
      <c r="L41" s="4">
        <f t="shared" si="3"/>
        <v>453.59999999999997</v>
      </c>
      <c r="M41" s="42">
        <f t="shared" si="4"/>
        <v>459</v>
      </c>
      <c r="N41" s="28">
        <f>VLOOKUP($B41,'Выгр Торг'!$B:$Q,N$1,0)</f>
        <v>230</v>
      </c>
      <c r="O41" s="28">
        <f>VLOOKUP($B41,'Выгр Торг'!$B:$Q,O$1,0)</f>
        <v>439</v>
      </c>
      <c r="P41" s="30">
        <f t="shared" si="23"/>
        <v>-10</v>
      </c>
      <c r="Q41" s="30">
        <f t="shared" si="24"/>
        <v>-20</v>
      </c>
      <c r="R41" s="36">
        <f t="shared" si="25"/>
        <v>426.86999999999995</v>
      </c>
      <c r="S41" s="37" t="e">
        <f>IFERROR((VLOOKUP($B41,'Из ГУГЛа'!$B:$G,6,0)+U41)*T41,VLOOKUP($B41,'Из ГУГЛа'!$B:$G,6,0))</f>
        <v>#N/A</v>
      </c>
      <c r="T41" s="38">
        <v>1</v>
      </c>
      <c r="U41" s="38"/>
      <c r="V41" s="39">
        <f t="shared" si="26"/>
        <v>0.77862499999999968</v>
      </c>
      <c r="W41" s="39" t="str">
        <f t="shared" si="27"/>
        <v/>
      </c>
      <c r="X41" s="39" t="str">
        <f t="shared" si="28"/>
        <v/>
      </c>
      <c r="Y41" s="40" t="s">
        <v>8364</v>
      </c>
    </row>
    <row r="42" spans="1:25" ht="45" x14ac:dyDescent="0.25">
      <c r="A42" s="27" t="str">
        <f>INDEX('Выгр Торг'!$A:$A,MATCH($B42,'Выгр Торг'!$B:$B,0))</f>
        <v>Ароматизатор "Tasotti" Престиж (банка на панель)</v>
      </c>
      <c r="B42" s="28">
        <v>242755</v>
      </c>
      <c r="C42" s="28">
        <f>VLOOKUP($B42,'Выгр Торг'!$B:$Q,C$1,0)</f>
        <v>192320</v>
      </c>
      <c r="D42" s="27" t="str">
        <f>VLOOKUP($B42,'Выгр Торг'!$B:$Q,D$1,0)</f>
        <v>Ароматизатор "Tasotti" Престиж (банка на панель) (Лед Аква (Ice Aqua))</v>
      </c>
      <c r="E42" s="28" t="str">
        <f>VLOOKUP($B42,'Выгр Торг'!$B:$Q,E$1,0)</f>
        <v>Y</v>
      </c>
      <c r="F42" s="28" t="str">
        <f>VLOOKUP($B42,'Выгр Торг'!$B:$Q,F$1,0)</f>
        <v>1</v>
      </c>
      <c r="G42" s="28" t="str">
        <f>VLOOKUP($B42,'Выгр Торг'!$B:$Q,G$1,0)</f>
        <v>70899</v>
      </c>
      <c r="H42" s="45">
        <v>70899</v>
      </c>
      <c r="I42" s="1" t="s">
        <v>3</v>
      </c>
      <c r="J42" s="42">
        <f>VLOOKUP(H42,Прайс!B:E,4,0)</f>
        <v>240</v>
      </c>
      <c r="K42" s="2">
        <f>VLOOKUP(J42,Наценка!$A$1:$B$8,2,1)</f>
        <v>1.89</v>
      </c>
      <c r="L42" s="4">
        <f t="shared" si="3"/>
        <v>453.59999999999997</v>
      </c>
      <c r="M42" s="42">
        <f t="shared" si="4"/>
        <v>459</v>
      </c>
      <c r="N42" s="28">
        <f>VLOOKUP($B42,'Выгр Торг'!$B:$Q,N$1,0)</f>
        <v>230</v>
      </c>
      <c r="O42" s="28">
        <f>VLOOKUP($B42,'Выгр Торг'!$B:$Q,O$1,0)</f>
        <v>439</v>
      </c>
      <c r="P42" s="30">
        <f t="shared" si="23"/>
        <v>-10</v>
      </c>
      <c r="Q42" s="30">
        <f t="shared" si="24"/>
        <v>-20</v>
      </c>
      <c r="R42" s="36">
        <f t="shared" si="25"/>
        <v>426.86999999999995</v>
      </c>
      <c r="S42" s="37" t="e">
        <f>IFERROR((VLOOKUP($B42,'Из ГУГЛа'!$B:$G,6,0)+U42)*T42,VLOOKUP($B42,'Из ГУГЛа'!$B:$G,6,0))</f>
        <v>#N/A</v>
      </c>
      <c r="T42" s="38">
        <v>1</v>
      </c>
      <c r="U42" s="38"/>
      <c r="V42" s="39">
        <f t="shared" si="26"/>
        <v>0.77862499999999968</v>
      </c>
      <c r="W42" s="39" t="str">
        <f t="shared" si="27"/>
        <v/>
      </c>
      <c r="X42" s="39" t="str">
        <f t="shared" si="28"/>
        <v/>
      </c>
      <c r="Y42" s="40" t="s">
        <v>8364</v>
      </c>
    </row>
    <row r="43" spans="1:25" ht="45" x14ac:dyDescent="0.25">
      <c r="A43" s="27" t="str">
        <f>INDEX('Выгр Торг'!$A:$A,MATCH($B43,'Выгр Торг'!$B:$B,0))</f>
        <v>Ароматизатор "Tasotti" Престиж (банка на панель)</v>
      </c>
      <c r="B43" s="28">
        <v>242756</v>
      </c>
      <c r="C43" s="28">
        <f>VLOOKUP($B43,'Выгр Торг'!$B:$Q,C$1,0)</f>
        <v>192318</v>
      </c>
      <c r="D43" s="27" t="str">
        <f>VLOOKUP($B43,'Выгр Торг'!$B:$Q,D$1,0)</f>
        <v>Ароматизатор "Tasotti" Престиж (банка на панель) (Ледяная Мята (Ice Mint))</v>
      </c>
      <c r="E43" s="28" t="str">
        <f>VLOOKUP($B43,'Выгр Торг'!$B:$Q,E$1,0)</f>
        <v>Y</v>
      </c>
      <c r="F43" s="28" t="str">
        <f>VLOOKUP($B43,'Выгр Торг'!$B:$Q,F$1,0)</f>
        <v>1</v>
      </c>
      <c r="G43" s="28" t="str">
        <f>VLOOKUP($B43,'Выгр Торг'!$B:$Q,G$1,0)</f>
        <v>70897</v>
      </c>
      <c r="H43" s="45">
        <v>70897</v>
      </c>
      <c r="I43" s="1" t="s">
        <v>3</v>
      </c>
      <c r="J43" s="42">
        <f>VLOOKUP(H43,Прайс!B:E,4,0)</f>
        <v>240</v>
      </c>
      <c r="K43" s="2">
        <f>VLOOKUP(J43,Наценка!$A$1:$B$8,2,1)</f>
        <v>1.89</v>
      </c>
      <c r="L43" s="4">
        <f t="shared" si="3"/>
        <v>453.59999999999997</v>
      </c>
      <c r="M43" s="42">
        <f t="shared" si="4"/>
        <v>459</v>
      </c>
      <c r="N43" s="28">
        <f>VLOOKUP($B43,'Выгр Торг'!$B:$Q,N$1,0)</f>
        <v>230</v>
      </c>
      <c r="O43" s="28">
        <f>VLOOKUP($B43,'Выгр Торг'!$B:$Q,O$1,0)</f>
        <v>439</v>
      </c>
      <c r="P43" s="30">
        <f t="shared" si="23"/>
        <v>-10</v>
      </c>
      <c r="Q43" s="30">
        <f t="shared" si="24"/>
        <v>-20</v>
      </c>
      <c r="R43" s="36">
        <f t="shared" si="25"/>
        <v>426.86999999999995</v>
      </c>
      <c r="S43" s="37" t="e">
        <f>IFERROR((VLOOKUP($B43,'Из ГУГЛа'!$B:$G,6,0)+U43)*T43,VLOOKUP($B43,'Из ГУГЛа'!$B:$G,6,0))</f>
        <v>#N/A</v>
      </c>
      <c r="T43" s="38">
        <v>1</v>
      </c>
      <c r="U43" s="38"/>
      <c r="V43" s="39">
        <f t="shared" si="26"/>
        <v>0.77862499999999968</v>
      </c>
      <c r="W43" s="39" t="str">
        <f t="shared" si="27"/>
        <v/>
      </c>
      <c r="X43" s="39" t="str">
        <f t="shared" si="28"/>
        <v/>
      </c>
      <c r="Y43" s="40" t="s">
        <v>8364</v>
      </c>
    </row>
    <row r="44" spans="1:25" ht="45" x14ac:dyDescent="0.25">
      <c r="A44" s="27" t="str">
        <f>INDEX('Выгр Торг'!$A:$A,MATCH($B44,'Выгр Торг'!$B:$B,0))</f>
        <v>Ароматизатор "Tasotti" Престиж (банка на панель)</v>
      </c>
      <c r="B44" s="28">
        <v>242757</v>
      </c>
      <c r="C44" s="28">
        <f>VLOOKUP($B44,'Выгр Торг'!$B:$Q,C$1,0)</f>
        <v>192330</v>
      </c>
      <c r="D44" s="27" t="str">
        <f>VLOOKUP($B44,'Выгр Торг'!$B:$Q,D$1,0)</f>
        <v>Ароматизатор "Tasotti" Престиж (банка на панель) (Ледяной чай Персик (Ice Tea Peach))</v>
      </c>
      <c r="E44" s="28" t="str">
        <f>VLOOKUP($B44,'Выгр Торг'!$B:$Q,E$1,0)</f>
        <v>Y</v>
      </c>
      <c r="F44" s="28" t="str">
        <f>VLOOKUP($B44,'Выгр Торг'!$B:$Q,F$1,0)</f>
        <v>1</v>
      </c>
      <c r="G44" s="28" t="str">
        <f>VLOOKUP($B44,'Выгр Торг'!$B:$Q,G$1,0)</f>
        <v>70912</v>
      </c>
      <c r="H44" s="45">
        <v>70912</v>
      </c>
      <c r="I44" s="1" t="s">
        <v>3</v>
      </c>
      <c r="J44" s="42">
        <f>VLOOKUP(H44,Прайс!B:E,4,0)</f>
        <v>240</v>
      </c>
      <c r="K44" s="2">
        <f>VLOOKUP(J44,Наценка!$A$1:$B$8,2,1)</f>
        <v>1.89</v>
      </c>
      <c r="L44" s="4">
        <f t="shared" si="3"/>
        <v>453.59999999999997</v>
      </c>
      <c r="M44" s="42">
        <f t="shared" si="4"/>
        <v>459</v>
      </c>
      <c r="N44" s="28">
        <f>VLOOKUP($B44,'Выгр Торг'!$B:$Q,N$1,0)</f>
        <v>230</v>
      </c>
      <c r="O44" s="28">
        <f>VLOOKUP($B44,'Выгр Торг'!$B:$Q,O$1,0)</f>
        <v>439</v>
      </c>
      <c r="P44" s="30">
        <f t="shared" si="23"/>
        <v>-10</v>
      </c>
      <c r="Q44" s="30">
        <f t="shared" si="24"/>
        <v>-20</v>
      </c>
      <c r="R44" s="36">
        <f t="shared" si="25"/>
        <v>426.86999999999995</v>
      </c>
      <c r="S44" s="37" t="e">
        <f>IFERROR((VLOOKUP($B44,'Из ГУГЛа'!$B:$G,6,0)+U44)*T44,VLOOKUP($B44,'Из ГУГЛа'!$B:$G,6,0))</f>
        <v>#N/A</v>
      </c>
      <c r="T44" s="38">
        <v>1</v>
      </c>
      <c r="U44" s="38"/>
      <c r="V44" s="39">
        <f t="shared" si="26"/>
        <v>0.77862499999999968</v>
      </c>
      <c r="W44" s="39" t="str">
        <f t="shared" si="27"/>
        <v/>
      </c>
      <c r="X44" s="39" t="str">
        <f t="shared" si="28"/>
        <v/>
      </c>
      <c r="Y44" s="40" t="s">
        <v>8364</v>
      </c>
    </row>
    <row r="45" spans="1:25" ht="45" x14ac:dyDescent="0.25">
      <c r="A45" s="27" t="str">
        <f>INDEX('Выгр Торг'!$A:$A,MATCH($B45,'Выгр Торг'!$B:$B,0))</f>
        <v>Ароматизатор "Tasotti" Престиж (банка на панель)</v>
      </c>
      <c r="B45" s="28">
        <v>242758</v>
      </c>
      <c r="C45" s="28">
        <f>VLOOKUP($B45,'Выгр Торг'!$B:$Q,C$1,0)</f>
        <v>192327</v>
      </c>
      <c r="D45" s="27" t="str">
        <f>VLOOKUP($B45,'Выгр Торг'!$B:$Q,D$1,0)</f>
        <v>Ароматизатор "Tasotti" Престиж (банка на панель) (Лесная ягода (Wild Berry))</v>
      </c>
      <c r="E45" s="28" t="str">
        <f>VLOOKUP($B45,'Выгр Торг'!$B:$Q,E$1,0)</f>
        <v>Y</v>
      </c>
      <c r="F45" s="28" t="str">
        <f>VLOOKUP($B45,'Выгр Торг'!$B:$Q,F$1,0)</f>
        <v>1</v>
      </c>
      <c r="G45" s="28" t="str">
        <f>VLOOKUP($B45,'Выгр Торг'!$B:$Q,G$1,0)</f>
        <v>70908</v>
      </c>
      <c r="H45" s="45">
        <v>70908</v>
      </c>
      <c r="I45" s="1" t="s">
        <v>3</v>
      </c>
      <c r="J45" s="42">
        <f>VLOOKUP(H45,Прайс!B:E,4,0)</f>
        <v>240</v>
      </c>
      <c r="K45" s="2">
        <f>VLOOKUP(J45,Наценка!$A$1:$B$8,2,1)</f>
        <v>1.89</v>
      </c>
      <c r="L45" s="4">
        <f t="shared" si="3"/>
        <v>453.59999999999997</v>
      </c>
      <c r="M45" s="42">
        <f t="shared" si="4"/>
        <v>459</v>
      </c>
      <c r="N45" s="28">
        <f>VLOOKUP($B45,'Выгр Торг'!$B:$Q,N$1,0)</f>
        <v>230</v>
      </c>
      <c r="O45" s="28">
        <f>VLOOKUP($B45,'Выгр Торг'!$B:$Q,O$1,0)</f>
        <v>439</v>
      </c>
      <c r="P45" s="30">
        <f t="shared" si="23"/>
        <v>-10</v>
      </c>
      <c r="Q45" s="30">
        <f t="shared" si="24"/>
        <v>-20</v>
      </c>
      <c r="R45" s="36">
        <f t="shared" si="25"/>
        <v>426.86999999999995</v>
      </c>
      <c r="S45" s="37" t="e">
        <f>IFERROR((VLOOKUP($B45,'Из ГУГЛа'!$B:$G,6,0)+U45)*T45,VLOOKUP($B45,'Из ГУГЛа'!$B:$G,6,0))</f>
        <v>#N/A</v>
      </c>
      <c r="T45" s="38">
        <v>1</v>
      </c>
      <c r="U45" s="38"/>
      <c r="V45" s="39">
        <f t="shared" si="26"/>
        <v>0.77862499999999968</v>
      </c>
      <c r="W45" s="39" t="str">
        <f t="shared" si="27"/>
        <v/>
      </c>
      <c r="X45" s="39" t="str">
        <f t="shared" si="28"/>
        <v/>
      </c>
      <c r="Y45" s="40" t="s">
        <v>8364</v>
      </c>
    </row>
    <row r="46" spans="1:25" ht="45" x14ac:dyDescent="0.25">
      <c r="A46" s="27" t="str">
        <f>INDEX('Выгр Торг'!$A:$A,MATCH($B46,'Выгр Торг'!$B:$B,0))</f>
        <v>Ароматизатор "Tasotti" Престиж (банка на панель)</v>
      </c>
      <c r="B46" s="28">
        <v>242759</v>
      </c>
      <c r="C46" s="28">
        <f>VLOOKUP($B46,'Выгр Торг'!$B:$Q,C$1,0)</f>
        <v>192329</v>
      </c>
      <c r="D46" s="27" t="str">
        <f>VLOOKUP($B46,'Выгр Торг'!$B:$Q,D$1,0)</f>
        <v>Ароматизатор "Tasotti" Престиж (банка на панель) (Новая машина (New Car))</v>
      </c>
      <c r="E46" s="28" t="str">
        <f>VLOOKUP($B46,'Выгр Торг'!$B:$Q,E$1,0)</f>
        <v>Y</v>
      </c>
      <c r="F46" s="28" t="str">
        <f>VLOOKUP($B46,'Выгр Торг'!$B:$Q,F$1,0)</f>
        <v>1</v>
      </c>
      <c r="G46" s="28" t="str">
        <f>VLOOKUP($B46,'Выгр Торг'!$B:$Q,G$1,0)</f>
        <v>70910</v>
      </c>
      <c r="H46" s="45">
        <v>70910</v>
      </c>
      <c r="I46" s="1" t="s">
        <v>3</v>
      </c>
      <c r="J46" s="41">
        <f>N46</f>
        <v>230</v>
      </c>
      <c r="K46" s="2">
        <f>VLOOKUP(J46,Наценка!$A$1:$B$8,2,1)</f>
        <v>1.89</v>
      </c>
      <c r="L46" s="4">
        <f t="shared" si="3"/>
        <v>434.7</v>
      </c>
      <c r="M46" s="42">
        <f t="shared" si="4"/>
        <v>439</v>
      </c>
      <c r="N46" s="28">
        <f>VLOOKUP($B46,'Выгр Торг'!$B:$Q,N$1,0)</f>
        <v>230</v>
      </c>
      <c r="O46" s="28">
        <f>VLOOKUP($B46,'Выгр Торг'!$B:$Q,O$1,0)</f>
        <v>439</v>
      </c>
      <c r="P46" s="30">
        <f t="shared" si="23"/>
        <v>0</v>
      </c>
      <c r="Q46" s="30">
        <f t="shared" si="24"/>
        <v>0</v>
      </c>
      <c r="R46" s="36">
        <f t="shared" si="25"/>
        <v>408.27</v>
      </c>
      <c r="S46" s="37" t="e">
        <f>IFERROR((VLOOKUP($B46,'Из ГУГЛа'!$B:$G,6,0)+U46)*T46,VLOOKUP($B46,'Из ГУГЛа'!$B:$G,6,0))</f>
        <v>#N/A</v>
      </c>
      <c r="T46" s="38">
        <v>1</v>
      </c>
      <c r="U46" s="38"/>
      <c r="V46" s="39">
        <f t="shared" si="26"/>
        <v>0.77508695652173909</v>
      </c>
      <c r="W46" s="39" t="str">
        <f t="shared" si="27"/>
        <v/>
      </c>
      <c r="X46" s="39" t="str">
        <f t="shared" si="28"/>
        <v/>
      </c>
      <c r="Y46" s="40" t="s">
        <v>8364</v>
      </c>
    </row>
    <row r="47" spans="1:25" ht="45" x14ac:dyDescent="0.25">
      <c r="A47" s="27" t="str">
        <f>INDEX('Выгр Торг'!$A:$A,MATCH($B47,'Выгр Торг'!$B:$B,0))</f>
        <v>Ароматизатор "Tasotti" Престиж (банка на панель)</v>
      </c>
      <c r="B47" s="28">
        <v>242760</v>
      </c>
      <c r="C47" s="28">
        <f>VLOOKUP($B47,'Выгр Торг'!$B:$Q,C$1,0)</f>
        <v>192338</v>
      </c>
      <c r="D47" s="27" t="str">
        <f>VLOOKUP($B47,'Выгр Торг'!$B:$Q,D$1,0)</f>
        <v>Ароматизатор "Tasotti" Престиж (банка на панель) (Парфюм (Faith Perfumes))</v>
      </c>
      <c r="E47" s="28" t="str">
        <f>VLOOKUP($B47,'Выгр Торг'!$B:$Q,E$1,0)</f>
        <v>Y</v>
      </c>
      <c r="F47" s="28" t="str">
        <f>VLOOKUP($B47,'Выгр Торг'!$B:$Q,F$1,0)</f>
        <v>1</v>
      </c>
      <c r="G47" s="28" t="str">
        <f>VLOOKUP($B47,'Выгр Торг'!$B:$Q,G$1,0)</f>
        <v>72529</v>
      </c>
      <c r="H47" s="45">
        <v>72529</v>
      </c>
      <c r="I47" s="1" t="s">
        <v>3</v>
      </c>
      <c r="J47" s="42">
        <f>VLOOKUP(H47,Прайс!B:E,4,0)</f>
        <v>240</v>
      </c>
      <c r="K47" s="2">
        <f>VLOOKUP(J47,Наценка!$A$1:$B$8,2,1)</f>
        <v>1.89</v>
      </c>
      <c r="L47" s="4">
        <f t="shared" si="3"/>
        <v>453.59999999999997</v>
      </c>
      <c r="M47" s="42">
        <f t="shared" si="4"/>
        <v>459</v>
      </c>
      <c r="N47" s="28">
        <f>VLOOKUP($B47,'Выгр Торг'!$B:$Q,N$1,0)</f>
        <v>230</v>
      </c>
      <c r="O47" s="28">
        <f>VLOOKUP($B47,'Выгр Торг'!$B:$Q,O$1,0)</f>
        <v>439</v>
      </c>
      <c r="P47" s="30">
        <f t="shared" si="23"/>
        <v>-10</v>
      </c>
      <c r="Q47" s="30">
        <f t="shared" si="24"/>
        <v>-20</v>
      </c>
      <c r="R47" s="36">
        <f t="shared" si="25"/>
        <v>426.86999999999995</v>
      </c>
      <c r="S47" s="37" t="e">
        <f>IFERROR((VLOOKUP($B47,'Из ГУГЛа'!$B:$G,6,0)+U47)*T47,VLOOKUP($B47,'Из ГУГЛа'!$B:$G,6,0))</f>
        <v>#N/A</v>
      </c>
      <c r="T47" s="38">
        <v>1</v>
      </c>
      <c r="U47" s="38"/>
      <c r="V47" s="39">
        <f t="shared" si="26"/>
        <v>0.77862499999999968</v>
      </c>
      <c r="W47" s="39" t="str">
        <f t="shared" si="27"/>
        <v/>
      </c>
      <c r="X47" s="39" t="str">
        <f t="shared" si="28"/>
        <v/>
      </c>
      <c r="Y47" s="40" t="s">
        <v>8364</v>
      </c>
    </row>
    <row r="48" spans="1:25" ht="45" x14ac:dyDescent="0.25">
      <c r="A48" s="27" t="str">
        <f>INDEX('Выгр Торг'!$A:$A,MATCH($B48,'Выгр Торг'!$B:$B,0))</f>
        <v>Ароматизатор "Tasotti" Престиж (банка на панель)</v>
      </c>
      <c r="B48" s="28">
        <v>242761</v>
      </c>
      <c r="C48" s="28">
        <f>VLOOKUP($B48,'Выгр Торг'!$B:$Q,C$1,0)</f>
        <v>192337</v>
      </c>
      <c r="D48" s="27" t="str">
        <f>VLOOKUP($B48,'Выгр Торг'!$B:$Q,D$1,0)</f>
        <v>Ароматизатор "Tasotti" Престиж (банка на панель) (Престиж Босс (Boss))</v>
      </c>
      <c r="E48" s="28" t="str">
        <f>VLOOKUP($B48,'Выгр Торг'!$B:$Q,E$1,0)</f>
        <v>Y</v>
      </c>
      <c r="F48" s="28" t="str">
        <f>VLOOKUP($B48,'Выгр Торг'!$B:$Q,F$1,0)</f>
        <v>1</v>
      </c>
      <c r="G48" s="28" t="str">
        <f>VLOOKUP($B48,'Выгр Торг'!$B:$Q,G$1,0)</f>
        <v>72528</v>
      </c>
      <c r="H48" s="45">
        <v>72528</v>
      </c>
      <c r="I48" s="1" t="s">
        <v>3</v>
      </c>
      <c r="J48" s="42">
        <f>VLOOKUP(H48,Прайс!B:E,4,0)</f>
        <v>240</v>
      </c>
      <c r="K48" s="2">
        <f>VLOOKUP(J48,Наценка!$A$1:$B$8,2,1)</f>
        <v>1.89</v>
      </c>
      <c r="L48" s="4">
        <f t="shared" si="3"/>
        <v>453.59999999999997</v>
      </c>
      <c r="M48" s="42">
        <f t="shared" si="4"/>
        <v>459</v>
      </c>
      <c r="N48" s="28">
        <f>VLOOKUP($B48,'Выгр Торг'!$B:$Q,N$1,0)</f>
        <v>230</v>
      </c>
      <c r="O48" s="28">
        <f>VLOOKUP($B48,'Выгр Торг'!$B:$Q,O$1,0)</f>
        <v>439</v>
      </c>
      <c r="P48" s="30">
        <f t="shared" si="23"/>
        <v>-10</v>
      </c>
      <c r="Q48" s="30">
        <f t="shared" si="24"/>
        <v>-20</v>
      </c>
      <c r="R48" s="36">
        <f t="shared" si="25"/>
        <v>426.86999999999995</v>
      </c>
      <c r="S48" s="37" t="e">
        <f>IFERROR((VLOOKUP($B48,'Из ГУГЛа'!$B:$G,6,0)+U48)*T48,VLOOKUP($B48,'Из ГУГЛа'!$B:$G,6,0))</f>
        <v>#N/A</v>
      </c>
      <c r="T48" s="38">
        <v>1</v>
      </c>
      <c r="U48" s="38"/>
      <c r="V48" s="39">
        <f t="shared" si="26"/>
        <v>0.77862499999999968</v>
      </c>
      <c r="W48" s="39" t="str">
        <f t="shared" si="27"/>
        <v/>
      </c>
      <c r="X48" s="39" t="str">
        <f t="shared" si="28"/>
        <v/>
      </c>
      <c r="Y48" s="40" t="s">
        <v>8364</v>
      </c>
    </row>
    <row r="49" spans="1:25" ht="45" x14ac:dyDescent="0.25">
      <c r="A49" s="27" t="str">
        <f>INDEX('Выгр Торг'!$A:$A,MATCH($B49,'Выгр Торг'!$B:$B,0))</f>
        <v>Ароматизатор "Tasotti" Престиж (банка на панель)</v>
      </c>
      <c r="B49" s="28">
        <v>242762</v>
      </c>
      <c r="C49" s="28">
        <f>VLOOKUP($B49,'Выгр Торг'!$B:$Q,C$1,0)</f>
        <v>192328</v>
      </c>
      <c r="D49" s="27" t="str">
        <f>VLOOKUP($B49,'Выгр Торг'!$B:$Q,D$1,0)</f>
        <v>Ароматизатор "Tasotti" Престиж (банка на панель) (Секретный сад (Secret Garden))</v>
      </c>
      <c r="E49" s="28" t="str">
        <f>VLOOKUP($B49,'Выгр Торг'!$B:$Q,E$1,0)</f>
        <v>Y</v>
      </c>
      <c r="F49" s="28" t="str">
        <f>VLOOKUP($B49,'Выгр Торг'!$B:$Q,F$1,0)</f>
        <v>1</v>
      </c>
      <c r="G49" s="28" t="str">
        <f>VLOOKUP($B49,'Выгр Торг'!$B:$Q,G$1,0)</f>
        <v>70909</v>
      </c>
      <c r="H49" s="45">
        <v>70909</v>
      </c>
      <c r="I49" s="1" t="s">
        <v>3</v>
      </c>
      <c r="J49" s="42" t="e">
        <f>VLOOKUP(H49,Прайс!B:E,4,0)</f>
        <v>#N/A</v>
      </c>
      <c r="K49" s="2" t="e">
        <f>VLOOKUP(J49,Наценка!$A$1:$B$8,2,1)</f>
        <v>#N/A</v>
      </c>
      <c r="L49" s="4" t="e">
        <f t="shared" si="3"/>
        <v>#N/A</v>
      </c>
      <c r="M49" s="42" t="e">
        <f t="shared" si="4"/>
        <v>#N/A</v>
      </c>
      <c r="N49" s="28">
        <f>VLOOKUP($B49,'Выгр Торг'!$B:$Q,N$1,0)</f>
        <v>230</v>
      </c>
      <c r="O49" s="28">
        <f>VLOOKUP($B49,'Выгр Торг'!$B:$Q,O$1,0)</f>
        <v>439</v>
      </c>
      <c r="P49" s="30" t="e">
        <f t="shared" si="23"/>
        <v>#N/A</v>
      </c>
      <c r="Q49" s="30" t="e">
        <f t="shared" si="24"/>
        <v>#N/A</v>
      </c>
      <c r="R49" s="36" t="str">
        <f t="shared" si="25"/>
        <v/>
      </c>
      <c r="S49" s="37" t="e">
        <f>IFERROR((VLOOKUP($B49,'Из ГУГЛа'!$B:$G,6,0)+U49)*T49,VLOOKUP($B49,'Из ГУГЛа'!$B:$G,6,0))</f>
        <v>#N/A</v>
      </c>
      <c r="T49" s="38">
        <v>1</v>
      </c>
      <c r="U49" s="38"/>
      <c r="V49" s="39" t="str">
        <f t="shared" si="26"/>
        <v/>
      </c>
      <c r="W49" s="39" t="str">
        <f t="shared" si="27"/>
        <v/>
      </c>
      <c r="X49" s="39" t="str">
        <f t="shared" si="28"/>
        <v/>
      </c>
      <c r="Y49" s="40" t="s">
        <v>8364</v>
      </c>
    </row>
    <row r="50" spans="1:25" ht="45" x14ac:dyDescent="0.25">
      <c r="A50" s="27" t="str">
        <f>INDEX('Выгр Торг'!$A:$A,MATCH($B50,'Выгр Торг'!$B:$B,0))</f>
        <v>Ароматизатор "Tasotti" Престиж (банка на панель)</v>
      </c>
      <c r="B50" s="28">
        <v>242763</v>
      </c>
      <c r="C50" s="28">
        <f>VLOOKUP($B50,'Выгр Торг'!$B:$Q,C$1,0)</f>
        <v>192331</v>
      </c>
      <c r="D50" s="27" t="str">
        <f>VLOOKUP($B50,'Выгр Торг'!$B:$Q,D$1,0)</f>
        <v>Ароматизатор "Tasotti" Престиж (банка на панель) (Тутти Фрутти (Tutti Frutti))</v>
      </c>
      <c r="E50" s="28" t="str">
        <f>VLOOKUP($B50,'Выгр Торг'!$B:$Q,E$1,0)</f>
        <v>Y</v>
      </c>
      <c r="F50" s="28" t="str">
        <f>VLOOKUP($B50,'Выгр Торг'!$B:$Q,F$1,0)</f>
        <v>1</v>
      </c>
      <c r="G50" s="28" t="str">
        <f>VLOOKUP($B50,'Выгр Торг'!$B:$Q,G$1,0)</f>
        <v>70913</v>
      </c>
      <c r="H50" s="45">
        <v>70913</v>
      </c>
      <c r="I50" s="1" t="s">
        <v>3</v>
      </c>
      <c r="J50" s="42">
        <f>VLOOKUP(H50,Прайс!B:E,4,0)</f>
        <v>240</v>
      </c>
      <c r="K50" s="2">
        <f>VLOOKUP(J50,Наценка!$A$1:$B$8,2,1)</f>
        <v>1.89</v>
      </c>
      <c r="L50" s="4">
        <f t="shared" si="3"/>
        <v>453.59999999999997</v>
      </c>
      <c r="M50" s="42">
        <f t="shared" si="4"/>
        <v>459</v>
      </c>
      <c r="N50" s="28">
        <f>VLOOKUP($B50,'Выгр Торг'!$B:$Q,N$1,0)</f>
        <v>230</v>
      </c>
      <c r="O50" s="28">
        <f>VLOOKUP($B50,'Выгр Торг'!$B:$Q,O$1,0)</f>
        <v>439</v>
      </c>
      <c r="P50" s="30">
        <f t="shared" si="23"/>
        <v>-10</v>
      </c>
      <c r="Q50" s="30">
        <f t="shared" si="24"/>
        <v>-20</v>
      </c>
      <c r="R50" s="36">
        <f t="shared" si="25"/>
        <v>426.86999999999995</v>
      </c>
      <c r="S50" s="37" t="e">
        <f>IFERROR((VLOOKUP($B50,'Из ГУГЛа'!$B:$G,6,0)+U50)*T50,VLOOKUP($B50,'Из ГУГЛа'!$B:$G,6,0))</f>
        <v>#N/A</v>
      </c>
      <c r="T50" s="38">
        <v>1</v>
      </c>
      <c r="U50" s="38"/>
      <c r="V50" s="39">
        <f t="shared" si="26"/>
        <v>0.77862499999999968</v>
      </c>
      <c r="W50" s="39" t="str">
        <f t="shared" si="27"/>
        <v/>
      </c>
      <c r="X50" s="39" t="str">
        <f t="shared" si="28"/>
        <v/>
      </c>
      <c r="Y50" s="40" t="s">
        <v>8364</v>
      </c>
    </row>
    <row r="51" spans="1:25" ht="45" x14ac:dyDescent="0.25">
      <c r="A51" s="27" t="str">
        <f>INDEX('Выгр Торг'!$A:$A,MATCH($B51,'Выгр Торг'!$B:$B,0))</f>
        <v>Ароматизатор "Tasotti" Престиж (банка на панель)</v>
      </c>
      <c r="B51" s="28">
        <v>242764</v>
      </c>
      <c r="C51" s="28">
        <f>VLOOKUP($B51,'Выгр Торг'!$B:$Q,C$1,0)</f>
        <v>192332</v>
      </c>
      <c r="D51" s="27" t="str">
        <f>VLOOKUP($B51,'Выгр Торг'!$B:$Q,D$1,0)</f>
        <v>Ароматизатор "Tasotti" Престиж (банка на панель) (Цитруслэндт (Citrusland))</v>
      </c>
      <c r="E51" s="28" t="str">
        <f>VLOOKUP($B51,'Выгр Торг'!$B:$Q,E$1,0)</f>
        <v>Y</v>
      </c>
      <c r="F51" s="28" t="str">
        <f>VLOOKUP($B51,'Выгр Торг'!$B:$Q,F$1,0)</f>
        <v>1</v>
      </c>
      <c r="G51" s="28" t="str">
        <f>VLOOKUP($B51,'Выгр Торг'!$B:$Q,G$1,0)</f>
        <v>70914</v>
      </c>
      <c r="H51" s="45">
        <v>70914</v>
      </c>
      <c r="I51" s="1" t="s">
        <v>3</v>
      </c>
      <c r="J51" s="42">
        <f>VLOOKUP(H51,Прайс!B:E,4,0)</f>
        <v>240</v>
      </c>
      <c r="K51" s="2">
        <f>VLOOKUP(J51,Наценка!$A$1:$B$8,2,1)</f>
        <v>1.89</v>
      </c>
      <c r="L51" s="4">
        <f t="shared" si="3"/>
        <v>453.59999999999997</v>
      </c>
      <c r="M51" s="42">
        <f t="shared" si="4"/>
        <v>459</v>
      </c>
      <c r="N51" s="28">
        <f>VLOOKUP($B51,'Выгр Торг'!$B:$Q,N$1,0)</f>
        <v>230</v>
      </c>
      <c r="O51" s="28">
        <f>VLOOKUP($B51,'Выгр Торг'!$B:$Q,O$1,0)</f>
        <v>439</v>
      </c>
      <c r="P51" s="30">
        <f t="shared" si="23"/>
        <v>-10</v>
      </c>
      <c r="Q51" s="30">
        <f t="shared" si="24"/>
        <v>-20</v>
      </c>
      <c r="R51" s="36">
        <f t="shared" si="25"/>
        <v>426.86999999999995</v>
      </c>
      <c r="S51" s="37" t="e">
        <f>IFERROR((VLOOKUP($B51,'Из ГУГЛа'!$B:$G,6,0)+U51)*T51,VLOOKUP($B51,'Из ГУГЛа'!$B:$G,6,0))</f>
        <v>#N/A</v>
      </c>
      <c r="T51" s="38">
        <v>1</v>
      </c>
      <c r="U51" s="38"/>
      <c r="V51" s="39">
        <f t="shared" si="26"/>
        <v>0.77862499999999968</v>
      </c>
      <c r="W51" s="39" t="str">
        <f t="shared" si="27"/>
        <v/>
      </c>
      <c r="X51" s="39" t="str">
        <f t="shared" si="28"/>
        <v/>
      </c>
      <c r="Y51" s="40" t="s">
        <v>8364</v>
      </c>
    </row>
    <row r="52" spans="1:25" ht="45" x14ac:dyDescent="0.25">
      <c r="A52" s="27" t="str">
        <f>INDEX('Выгр Торг'!$A:$A,MATCH($B52,'Выгр Торг'!$B:$B,0))</f>
        <v>Ароматизатор "Tasotti" Престиж (банка на панель)</v>
      </c>
      <c r="B52" s="28">
        <v>242765</v>
      </c>
      <c r="C52" s="28">
        <f>VLOOKUP($B52,'Выгр Торг'!$B:$Q,C$1,0)</f>
        <v>192319</v>
      </c>
      <c r="D52" s="27" t="str">
        <f>VLOOKUP($B52,'Выгр Торг'!$B:$Q,D$1,0)</f>
        <v>Ароматизатор "Tasotti" Престиж (банка на панель) (Черный (Black))</v>
      </c>
      <c r="E52" s="28" t="str">
        <f>VLOOKUP($B52,'Выгр Торг'!$B:$Q,E$1,0)</f>
        <v>Y</v>
      </c>
      <c r="F52" s="28" t="str">
        <f>VLOOKUP($B52,'Выгр Торг'!$B:$Q,F$1,0)</f>
        <v>1</v>
      </c>
      <c r="G52" s="28" t="str">
        <f>VLOOKUP($B52,'Выгр Торг'!$B:$Q,G$1,0)</f>
        <v>70898</v>
      </c>
      <c r="H52" s="45">
        <v>70898</v>
      </c>
      <c r="I52" s="1" t="s">
        <v>3</v>
      </c>
      <c r="J52" s="42">
        <f>VLOOKUP(H52,Прайс!B:E,4,0)</f>
        <v>240</v>
      </c>
      <c r="K52" s="2">
        <f>VLOOKUP(J52,Наценка!$A$1:$B$8,2,1)</f>
        <v>1.89</v>
      </c>
      <c r="L52" s="4">
        <f t="shared" si="3"/>
        <v>453.59999999999997</v>
      </c>
      <c r="M52" s="42">
        <f t="shared" si="4"/>
        <v>459</v>
      </c>
      <c r="N52" s="28">
        <f>VLOOKUP($B52,'Выгр Торг'!$B:$Q,N$1,0)</f>
        <v>230</v>
      </c>
      <c r="O52" s="28">
        <f>VLOOKUP($B52,'Выгр Торг'!$B:$Q,O$1,0)</f>
        <v>439</v>
      </c>
      <c r="P52" s="30">
        <f t="shared" si="23"/>
        <v>-10</v>
      </c>
      <c r="Q52" s="30">
        <f t="shared" si="24"/>
        <v>-20</v>
      </c>
      <c r="R52" s="36">
        <f t="shared" si="25"/>
        <v>426.86999999999995</v>
      </c>
      <c r="S52" s="37" t="e">
        <f>IFERROR((VLOOKUP($B52,'Из ГУГЛа'!$B:$G,6,0)+U52)*T52,VLOOKUP($B52,'Из ГУГЛа'!$B:$G,6,0))</f>
        <v>#N/A</v>
      </c>
      <c r="T52" s="38">
        <v>1</v>
      </c>
      <c r="U52" s="38"/>
      <c r="V52" s="39">
        <f t="shared" si="26"/>
        <v>0.77862499999999968</v>
      </c>
      <c r="W52" s="39" t="str">
        <f t="shared" si="27"/>
        <v/>
      </c>
      <c r="X52" s="39" t="str">
        <f t="shared" si="28"/>
        <v/>
      </c>
      <c r="Y52" s="40" t="s">
        <v>8364</v>
      </c>
    </row>
    <row r="53" spans="1:25" ht="45" x14ac:dyDescent="0.25">
      <c r="A53" s="27" t="str">
        <f>INDEX('Выгр Торг'!$A:$A,MATCH($B53,'Выгр Торг'!$B:$B,0))</f>
        <v>Ароматизатор "Tasotti" Престиж (банка на панель)</v>
      </c>
      <c r="B53" s="28">
        <v>242766</v>
      </c>
      <c r="C53" s="28">
        <f>VLOOKUP($B53,'Выгр Торг'!$B:$Q,C$1,0)</f>
        <v>192326</v>
      </c>
      <c r="D53" s="27" t="str">
        <f>VLOOKUP($B53,'Выгр Торг'!$B:$Q,D$1,0)</f>
        <v>Ароматизатор "Tasotti" Престиж (банка на панель) (Шоколадная карамель (Chocolate Caramel))</v>
      </c>
      <c r="E53" s="28" t="str">
        <f>VLOOKUP($B53,'Выгр Торг'!$B:$Q,E$1,0)</f>
        <v>Y</v>
      </c>
      <c r="F53" s="28" t="str">
        <f>VLOOKUP($B53,'Выгр Торг'!$B:$Q,F$1,0)</f>
        <v>1</v>
      </c>
      <c r="G53" s="28" t="str">
        <f>VLOOKUP($B53,'Выгр Торг'!$B:$Q,G$1,0)</f>
        <v>70907</v>
      </c>
      <c r="H53" s="45">
        <v>70907</v>
      </c>
      <c r="I53" s="1" t="s">
        <v>3</v>
      </c>
      <c r="J53" s="42">
        <f>VLOOKUP(H53,Прайс!B:E,4,0)</f>
        <v>240</v>
      </c>
      <c r="K53" s="2">
        <f>VLOOKUP(J53,Наценка!$A$1:$B$8,2,1)</f>
        <v>1.89</v>
      </c>
      <c r="L53" s="4">
        <f t="shared" si="3"/>
        <v>453.59999999999997</v>
      </c>
      <c r="M53" s="42">
        <f t="shared" si="4"/>
        <v>459</v>
      </c>
      <c r="N53" s="28">
        <f>VLOOKUP($B53,'Выгр Торг'!$B:$Q,N$1,0)</f>
        <v>230</v>
      </c>
      <c r="O53" s="28">
        <f>VLOOKUP($B53,'Выгр Торг'!$B:$Q,O$1,0)</f>
        <v>439</v>
      </c>
      <c r="P53" s="30">
        <f t="shared" si="23"/>
        <v>-10</v>
      </c>
      <c r="Q53" s="30">
        <f t="shared" si="24"/>
        <v>-20</v>
      </c>
      <c r="R53" s="36">
        <f t="shared" si="25"/>
        <v>426.86999999999995</v>
      </c>
      <c r="S53" s="37" t="e">
        <f>IFERROR((VLOOKUP($B53,'Из ГУГЛа'!$B:$G,6,0)+U53)*T53,VLOOKUP($B53,'Из ГУГЛа'!$B:$G,6,0))</f>
        <v>#N/A</v>
      </c>
      <c r="T53" s="38">
        <v>1</v>
      </c>
      <c r="U53" s="38"/>
      <c r="V53" s="39">
        <f t="shared" si="26"/>
        <v>0.77862499999999968</v>
      </c>
      <c r="W53" s="39" t="str">
        <f t="shared" si="27"/>
        <v/>
      </c>
      <c r="X53" s="39" t="str">
        <f t="shared" si="28"/>
        <v/>
      </c>
      <c r="Y53" s="40" t="s">
        <v>8364</v>
      </c>
    </row>
    <row r="54" spans="1:25" ht="45" x14ac:dyDescent="0.25">
      <c r="A54" s="27" t="str">
        <f>INDEX('Выгр Торг'!$A:$A,MATCH($B54,'Выгр Торг'!$B:$B,0))</f>
        <v>Ароматизатор "Tasotti" Престиж (банка на панель)</v>
      </c>
      <c r="B54" s="28">
        <v>242767</v>
      </c>
      <c r="C54" s="28">
        <f>VLOOKUP($B54,'Выгр Торг'!$B:$Q,C$1,0)</f>
        <v>192335</v>
      </c>
      <c r="D54" s="27" t="str">
        <f>VLOOKUP($B54,'Выгр Торг'!$B:$Q,D$1,0)</f>
        <v>Ароматизатор "Tasotti" Престиж (банка на панель) (Японская вишня (Japanese Cherry))</v>
      </c>
      <c r="E54" s="28" t="str">
        <f>VLOOKUP($B54,'Выгр Торг'!$B:$Q,E$1,0)</f>
        <v>Y</v>
      </c>
      <c r="F54" s="28" t="str">
        <f>VLOOKUP($B54,'Выгр Торг'!$B:$Q,F$1,0)</f>
        <v>1</v>
      </c>
      <c r="G54" s="28" t="str">
        <f>VLOOKUP($B54,'Выгр Торг'!$B:$Q,G$1,0)</f>
        <v>72526</v>
      </c>
      <c r="H54" s="45">
        <v>72526</v>
      </c>
      <c r="I54" s="1" t="s">
        <v>3</v>
      </c>
      <c r="J54" s="42">
        <f>VLOOKUP(H54,Прайс!B:E,4,0)</f>
        <v>240</v>
      </c>
      <c r="K54" s="2">
        <f>VLOOKUP(J54,Наценка!$A$1:$B$8,2,1)</f>
        <v>1.89</v>
      </c>
      <c r="L54" s="4">
        <f t="shared" si="3"/>
        <v>453.59999999999997</v>
      </c>
      <c r="M54" s="42">
        <f t="shared" si="4"/>
        <v>459</v>
      </c>
      <c r="N54" s="28">
        <f>VLOOKUP($B54,'Выгр Торг'!$B:$Q,N$1,0)</f>
        <v>230</v>
      </c>
      <c r="O54" s="28">
        <f>VLOOKUP($B54,'Выгр Торг'!$B:$Q,O$1,0)</f>
        <v>439</v>
      </c>
      <c r="P54" s="30">
        <f t="shared" si="23"/>
        <v>-10</v>
      </c>
      <c r="Q54" s="30">
        <f t="shared" si="24"/>
        <v>-20</v>
      </c>
      <c r="R54" s="36">
        <f t="shared" si="25"/>
        <v>426.86999999999995</v>
      </c>
      <c r="S54" s="37" t="e">
        <f>IFERROR((VLOOKUP($B54,'Из ГУГЛа'!$B:$G,6,0)+U54)*T54,VLOOKUP($B54,'Из ГУГЛа'!$B:$G,6,0))</f>
        <v>#N/A</v>
      </c>
      <c r="T54" s="38">
        <v>1</v>
      </c>
      <c r="U54" s="38"/>
      <c r="V54" s="39">
        <f t="shared" si="26"/>
        <v>0.77862499999999968</v>
      </c>
      <c r="W54" s="39" t="str">
        <f t="shared" si="27"/>
        <v/>
      </c>
      <c r="X54" s="39" t="str">
        <f t="shared" si="28"/>
        <v/>
      </c>
      <c r="Y54" s="40" t="s">
        <v>8364</v>
      </c>
    </row>
    <row r="55" spans="1:25" x14ac:dyDescent="0.25">
      <c r="A55" s="27" t="e">
        <f>INDEX('Выгр Торг'!$A:$A,MATCH($B55,'Выгр Торг'!$B:$B,0))</f>
        <v>#N/A</v>
      </c>
      <c r="B55" s="28"/>
      <c r="C55" s="28" t="e">
        <f>VLOOKUP($B55,'Выгр Торг'!$B:$Q,C$1,0)</f>
        <v>#N/A</v>
      </c>
      <c r="D55" s="27" t="e">
        <f>VLOOKUP($B55,'Выгр Торг'!$B:$Q,D$1,0)</f>
        <v>#N/A</v>
      </c>
      <c r="E55" s="28" t="e">
        <f>VLOOKUP($B55,'Выгр Торг'!$B:$Q,E$1,0)</f>
        <v>#N/A</v>
      </c>
      <c r="F55" s="28" t="e">
        <f>VLOOKUP($B55,'Выгр Торг'!$B:$Q,F$1,0)</f>
        <v>#N/A</v>
      </c>
      <c r="G55" s="28" t="e">
        <f>VLOOKUP($B55,'Выгр Торг'!$B:$Q,G$1,0)</f>
        <v>#N/A</v>
      </c>
      <c r="H55" s="10"/>
      <c r="I55" s="1" t="s">
        <v>3</v>
      </c>
      <c r="J55" s="42" t="e">
        <f>VLOOKUP(H55,Прайс!B:E,4,0)</f>
        <v>#N/A</v>
      </c>
      <c r="K55" s="2" t="e">
        <f>VLOOKUP(J55,Наценка!$A$1:$B$8,2,1)</f>
        <v>#N/A</v>
      </c>
      <c r="L55" s="4" t="e">
        <f t="shared" si="3"/>
        <v>#N/A</v>
      </c>
      <c r="M55" s="42" t="e">
        <f t="shared" si="4"/>
        <v>#N/A</v>
      </c>
      <c r="N55" s="28" t="e">
        <f>VLOOKUP($B55,'Выгр Торг'!$B:$Q,N$1,0)</f>
        <v>#N/A</v>
      </c>
      <c r="O55" s="28" t="e">
        <f>VLOOKUP($B55,'Выгр Торг'!$B:$Q,O$1,0)</f>
        <v>#N/A</v>
      </c>
      <c r="P55" s="30" t="e">
        <f t="shared" si="23"/>
        <v>#N/A</v>
      </c>
      <c r="Q55" s="30" t="e">
        <f t="shared" si="24"/>
        <v>#N/A</v>
      </c>
      <c r="R55" s="36" t="str">
        <f t="shared" si="25"/>
        <v/>
      </c>
      <c r="S55" s="37" t="e">
        <f>IFERROR((VLOOKUP($B55,'Из ГУГЛа'!$B:$G,6,0)+U55)*T55,VLOOKUP($B55,'Из ГУГЛа'!$B:$G,6,0))</f>
        <v>#N/A</v>
      </c>
      <c r="T55" s="38">
        <v>1</v>
      </c>
      <c r="U55" s="38"/>
      <c r="V55" s="39" t="str">
        <f t="shared" si="26"/>
        <v/>
      </c>
      <c r="W55" s="39" t="str">
        <f t="shared" si="27"/>
        <v/>
      </c>
      <c r="X55" s="39" t="str">
        <f t="shared" si="28"/>
        <v/>
      </c>
      <c r="Y55" s="40"/>
    </row>
    <row r="56" spans="1:25" x14ac:dyDescent="0.25">
      <c r="A56" s="27" t="e">
        <f>INDEX('Выгр Торг'!$A:$A,MATCH($B56,'Выгр Торг'!$B:$B,0))</f>
        <v>#N/A</v>
      </c>
      <c r="B56" s="28"/>
      <c r="C56" s="28" t="e">
        <f>VLOOKUP($B56,'Выгр Торг'!$B:$Q,C$1,0)</f>
        <v>#N/A</v>
      </c>
      <c r="D56" s="27" t="e">
        <f>VLOOKUP($B56,'Выгр Торг'!$B:$Q,D$1,0)</f>
        <v>#N/A</v>
      </c>
      <c r="E56" s="28" t="e">
        <f>VLOOKUP($B56,'Выгр Торг'!$B:$Q,E$1,0)</f>
        <v>#N/A</v>
      </c>
      <c r="F56" s="28" t="e">
        <f>VLOOKUP($B56,'Выгр Торг'!$B:$Q,F$1,0)</f>
        <v>#N/A</v>
      </c>
      <c r="G56" s="28" t="e">
        <f>VLOOKUP($B56,'Выгр Торг'!$B:$Q,G$1,0)</f>
        <v>#N/A</v>
      </c>
      <c r="H56" s="10"/>
      <c r="I56" s="1" t="s">
        <v>3</v>
      </c>
      <c r="J56" s="42" t="e">
        <f>VLOOKUP(H56,Прайс!B:E,4,0)</f>
        <v>#N/A</v>
      </c>
      <c r="K56" s="2" t="e">
        <f>VLOOKUP(J56,Наценка!$A$1:$B$8,2,1)</f>
        <v>#N/A</v>
      </c>
      <c r="L56" s="4" t="e">
        <f t="shared" si="3"/>
        <v>#N/A</v>
      </c>
      <c r="M56" s="42" t="e">
        <f t="shared" si="4"/>
        <v>#N/A</v>
      </c>
      <c r="N56" s="28" t="e">
        <f>VLOOKUP($B56,'Выгр Торг'!$B:$Q,N$1,0)</f>
        <v>#N/A</v>
      </c>
      <c r="O56" s="28" t="e">
        <f>VLOOKUP($B56,'Выгр Торг'!$B:$Q,O$1,0)</f>
        <v>#N/A</v>
      </c>
      <c r="P56" s="30" t="e">
        <f t="shared" si="23"/>
        <v>#N/A</v>
      </c>
      <c r="Q56" s="30" t="e">
        <f t="shared" si="24"/>
        <v>#N/A</v>
      </c>
      <c r="R56" s="36" t="str">
        <f t="shared" si="25"/>
        <v/>
      </c>
      <c r="S56" s="37" t="e">
        <f>IFERROR((VLOOKUP($B56,'Из ГУГЛа'!$B:$G,6,0)+U56)*T56,VLOOKUP($B56,'Из ГУГЛа'!$B:$G,6,0))</f>
        <v>#N/A</v>
      </c>
      <c r="T56" s="38">
        <v>1</v>
      </c>
      <c r="U56" s="38"/>
      <c r="V56" s="39" t="str">
        <f t="shared" si="26"/>
        <v/>
      </c>
      <c r="W56" s="39" t="str">
        <f t="shared" si="27"/>
        <v/>
      </c>
      <c r="X56" s="39" t="str">
        <f t="shared" si="28"/>
        <v/>
      </c>
      <c r="Y56" s="40"/>
    </row>
    <row r="57" spans="1:25" x14ac:dyDescent="0.25">
      <c r="A57" s="27" t="e">
        <f>INDEX('Выгр Торг'!$A:$A,MATCH($B57,'Выгр Торг'!$B:$B,0))</f>
        <v>#N/A</v>
      </c>
      <c r="B57" s="28"/>
      <c r="C57" s="28" t="e">
        <f>VLOOKUP($B57,'Выгр Торг'!$B:$Q,C$1,0)</f>
        <v>#N/A</v>
      </c>
      <c r="D57" s="27" t="e">
        <f>VLOOKUP($B57,'Выгр Торг'!$B:$Q,D$1,0)</f>
        <v>#N/A</v>
      </c>
      <c r="E57" s="28" t="e">
        <f>VLOOKUP($B57,'Выгр Торг'!$B:$Q,E$1,0)</f>
        <v>#N/A</v>
      </c>
      <c r="F57" s="28" t="e">
        <f>VLOOKUP($B57,'Выгр Торг'!$B:$Q,F$1,0)</f>
        <v>#N/A</v>
      </c>
      <c r="G57" s="28" t="e">
        <f>VLOOKUP($B57,'Выгр Торг'!$B:$Q,G$1,0)</f>
        <v>#N/A</v>
      </c>
      <c r="H57" s="10"/>
      <c r="I57" s="1" t="s">
        <v>3</v>
      </c>
      <c r="J57" s="42" t="e">
        <f>VLOOKUP(H57,Прайс!B:E,4,0)</f>
        <v>#N/A</v>
      </c>
      <c r="K57" s="2" t="e">
        <f>VLOOKUP(J57,Наценка!$A$1:$B$8,2,1)</f>
        <v>#N/A</v>
      </c>
      <c r="L57" s="4" t="e">
        <f t="shared" si="3"/>
        <v>#N/A</v>
      </c>
      <c r="M57" s="42" t="e">
        <f t="shared" si="4"/>
        <v>#N/A</v>
      </c>
      <c r="N57" s="28" t="e">
        <f>VLOOKUP($B57,'Выгр Торг'!$B:$Q,N$1,0)</f>
        <v>#N/A</v>
      </c>
      <c r="O57" s="28" t="e">
        <f>VLOOKUP($B57,'Выгр Торг'!$B:$Q,O$1,0)</f>
        <v>#N/A</v>
      </c>
      <c r="P57" s="30" t="e">
        <f t="shared" si="23"/>
        <v>#N/A</v>
      </c>
      <c r="Q57" s="30" t="e">
        <f t="shared" si="24"/>
        <v>#N/A</v>
      </c>
      <c r="R57" s="36" t="str">
        <f t="shared" si="25"/>
        <v/>
      </c>
      <c r="S57" s="37" t="e">
        <f>IFERROR((VLOOKUP($B57,'Из ГУГЛа'!$B:$G,6,0)+U57)*T57,VLOOKUP($B57,'Из ГУГЛа'!$B:$G,6,0))</f>
        <v>#N/A</v>
      </c>
      <c r="T57" s="38">
        <v>1</v>
      </c>
      <c r="U57" s="38"/>
      <c r="V57" s="39" t="str">
        <f t="shared" si="26"/>
        <v/>
      </c>
      <c r="W57" s="39" t="str">
        <f t="shared" si="27"/>
        <v/>
      </c>
      <c r="X57" s="39" t="str">
        <f t="shared" si="28"/>
        <v/>
      </c>
      <c r="Y57" s="40"/>
    </row>
    <row r="58" spans="1:25" x14ac:dyDescent="0.25">
      <c r="A58" s="27" t="e">
        <f>INDEX('Выгр Торг'!$A:$A,MATCH($B58,'Выгр Торг'!$B:$B,0))</f>
        <v>#N/A</v>
      </c>
      <c r="B58" s="28"/>
      <c r="C58" s="28" t="e">
        <f>VLOOKUP($B58,'Выгр Торг'!$B:$Q,C$1,0)</f>
        <v>#N/A</v>
      </c>
      <c r="D58" s="27" t="e">
        <f>VLOOKUP($B58,'Выгр Торг'!$B:$Q,D$1,0)</f>
        <v>#N/A</v>
      </c>
      <c r="E58" s="28" t="e">
        <f>VLOOKUP($B58,'Выгр Торг'!$B:$Q,E$1,0)</f>
        <v>#N/A</v>
      </c>
      <c r="F58" s="28" t="e">
        <f>VLOOKUP($B58,'Выгр Торг'!$B:$Q,F$1,0)</f>
        <v>#N/A</v>
      </c>
      <c r="G58" s="28" t="e">
        <f>VLOOKUP($B58,'Выгр Торг'!$B:$Q,G$1,0)</f>
        <v>#N/A</v>
      </c>
      <c r="H58" s="10"/>
      <c r="I58" s="1" t="s">
        <v>3</v>
      </c>
      <c r="J58" s="42" t="e">
        <f>VLOOKUP(H58,Прайс!B:E,4,0)</f>
        <v>#N/A</v>
      </c>
      <c r="K58" s="2" t="e">
        <f>VLOOKUP(J58,Наценка!$A$1:$B$8,2,1)</f>
        <v>#N/A</v>
      </c>
      <c r="L58" s="4" t="e">
        <f t="shared" si="3"/>
        <v>#N/A</v>
      </c>
      <c r="M58" s="42" t="e">
        <f t="shared" si="4"/>
        <v>#N/A</v>
      </c>
      <c r="N58" s="28" t="e">
        <f>VLOOKUP($B58,'Выгр Торг'!$B:$Q,N$1,0)</f>
        <v>#N/A</v>
      </c>
      <c r="O58" s="28" t="e">
        <f>VLOOKUP($B58,'Выгр Торг'!$B:$Q,O$1,0)</f>
        <v>#N/A</v>
      </c>
      <c r="P58" s="30" t="e">
        <f t="shared" si="23"/>
        <v>#N/A</v>
      </c>
      <c r="Q58" s="30" t="e">
        <f t="shared" si="24"/>
        <v>#N/A</v>
      </c>
      <c r="R58" s="36" t="str">
        <f t="shared" si="25"/>
        <v/>
      </c>
      <c r="S58" s="37" t="e">
        <f>IFERROR((VLOOKUP($B58,'Из ГУГЛа'!$B:$G,6,0)+U58)*T58,VLOOKUP($B58,'Из ГУГЛа'!$B:$G,6,0))</f>
        <v>#N/A</v>
      </c>
      <c r="T58" s="38">
        <v>1</v>
      </c>
      <c r="U58" s="38"/>
      <c r="V58" s="39" t="str">
        <f t="shared" si="26"/>
        <v/>
      </c>
      <c r="W58" s="39" t="str">
        <f t="shared" si="27"/>
        <v/>
      </c>
      <c r="X58" s="39" t="str">
        <f t="shared" si="28"/>
        <v/>
      </c>
      <c r="Y58" s="40"/>
    </row>
    <row r="59" spans="1:25" x14ac:dyDescent="0.25">
      <c r="A59" s="27" t="e">
        <f>INDEX('Выгр Торг'!$A:$A,MATCH($B59,'Выгр Торг'!$B:$B,0))</f>
        <v>#N/A</v>
      </c>
      <c r="B59" s="28"/>
      <c r="C59" s="28" t="e">
        <f>VLOOKUP($B59,'Выгр Торг'!$B:$Q,C$1,0)</f>
        <v>#N/A</v>
      </c>
      <c r="D59" s="27" t="e">
        <f>VLOOKUP($B59,'Выгр Торг'!$B:$Q,D$1,0)</f>
        <v>#N/A</v>
      </c>
      <c r="E59" s="28" t="e">
        <f>VLOOKUP($B59,'Выгр Торг'!$B:$Q,E$1,0)</f>
        <v>#N/A</v>
      </c>
      <c r="F59" s="28" t="e">
        <f>VLOOKUP($B59,'Выгр Торг'!$B:$Q,F$1,0)</f>
        <v>#N/A</v>
      </c>
      <c r="G59" s="28" t="e">
        <f>VLOOKUP($B59,'Выгр Торг'!$B:$Q,G$1,0)</f>
        <v>#N/A</v>
      </c>
      <c r="H59" s="10"/>
      <c r="I59" s="1" t="s">
        <v>3</v>
      </c>
      <c r="J59" s="42" t="e">
        <f>VLOOKUP(H59,Прайс!B:E,4,0)</f>
        <v>#N/A</v>
      </c>
      <c r="K59" s="2" t="e">
        <f>VLOOKUP(J59,Наценка!$A$1:$B$8,2,1)</f>
        <v>#N/A</v>
      </c>
      <c r="L59" s="4" t="e">
        <f t="shared" si="3"/>
        <v>#N/A</v>
      </c>
      <c r="M59" s="42" t="e">
        <f t="shared" si="4"/>
        <v>#N/A</v>
      </c>
      <c r="N59" s="28" t="e">
        <f>VLOOKUP($B59,'Выгр Торг'!$B:$Q,N$1,0)</f>
        <v>#N/A</v>
      </c>
      <c r="O59" s="28" t="e">
        <f>VLOOKUP($B59,'Выгр Торг'!$B:$Q,O$1,0)</f>
        <v>#N/A</v>
      </c>
      <c r="P59" s="30" t="e">
        <f t="shared" si="23"/>
        <v>#N/A</v>
      </c>
      <c r="Q59" s="30" t="e">
        <f t="shared" si="24"/>
        <v>#N/A</v>
      </c>
      <c r="R59" s="36" t="str">
        <f t="shared" si="25"/>
        <v/>
      </c>
      <c r="S59" s="37" t="e">
        <f>IFERROR((VLOOKUP($B59,'Из ГУГЛа'!$B:$G,6,0)+U59)*T59,VLOOKUP($B59,'Из ГУГЛа'!$B:$G,6,0))</f>
        <v>#N/A</v>
      </c>
      <c r="T59" s="38">
        <v>1</v>
      </c>
      <c r="U59" s="38"/>
      <c r="V59" s="39" t="str">
        <f t="shared" si="26"/>
        <v/>
      </c>
      <c r="W59" s="39" t="str">
        <f t="shared" si="27"/>
        <v/>
      </c>
      <c r="X59" s="39" t="str">
        <f t="shared" si="28"/>
        <v/>
      </c>
      <c r="Y59" s="40"/>
    </row>
    <row r="60" spans="1:25" x14ac:dyDescent="0.25">
      <c r="A60" s="27" t="e">
        <f>INDEX('Выгр Торг'!$A:$A,MATCH($B60,'Выгр Торг'!$B:$B,0))</f>
        <v>#N/A</v>
      </c>
      <c r="B60" s="28"/>
      <c r="C60" s="28" t="e">
        <f>VLOOKUP($B60,'Выгр Торг'!$B:$Q,C$1,0)</f>
        <v>#N/A</v>
      </c>
      <c r="D60" s="27" t="e">
        <f>VLOOKUP($B60,'Выгр Торг'!$B:$Q,D$1,0)</f>
        <v>#N/A</v>
      </c>
      <c r="E60" s="28" t="e">
        <f>VLOOKUP($B60,'Выгр Торг'!$B:$Q,E$1,0)</f>
        <v>#N/A</v>
      </c>
      <c r="F60" s="28" t="e">
        <f>VLOOKUP($B60,'Выгр Торг'!$B:$Q,F$1,0)</f>
        <v>#N/A</v>
      </c>
      <c r="G60" s="28" t="e">
        <f>VLOOKUP($B60,'Выгр Торг'!$B:$Q,G$1,0)</f>
        <v>#N/A</v>
      </c>
      <c r="H60" s="10"/>
      <c r="I60" s="1" t="s">
        <v>3</v>
      </c>
      <c r="J60" s="42" t="e">
        <f>VLOOKUP(H60,Прайс!B:E,4,0)</f>
        <v>#N/A</v>
      </c>
      <c r="K60" s="2" t="e">
        <f>VLOOKUP(J60,Наценка!$A$1:$B$8,2,1)</f>
        <v>#N/A</v>
      </c>
      <c r="L60" s="4" t="e">
        <f t="shared" si="3"/>
        <v>#N/A</v>
      </c>
      <c r="M60" s="42" t="e">
        <f t="shared" si="4"/>
        <v>#N/A</v>
      </c>
      <c r="N60" s="28" t="e">
        <f>VLOOKUP($B60,'Выгр Торг'!$B:$Q,N$1,0)</f>
        <v>#N/A</v>
      </c>
      <c r="O60" s="28" t="e">
        <f>VLOOKUP($B60,'Выгр Торг'!$B:$Q,O$1,0)</f>
        <v>#N/A</v>
      </c>
      <c r="P60" s="30" t="e">
        <f t="shared" si="23"/>
        <v>#N/A</v>
      </c>
      <c r="Q60" s="30" t="e">
        <f t="shared" si="24"/>
        <v>#N/A</v>
      </c>
      <c r="R60" s="36" t="str">
        <f t="shared" si="25"/>
        <v/>
      </c>
      <c r="S60" s="37" t="e">
        <f>IFERROR((VLOOKUP($B60,'Из ГУГЛа'!$B:$G,6,0)+U60)*T60,VLOOKUP($B60,'Из ГУГЛа'!$B:$G,6,0))</f>
        <v>#N/A</v>
      </c>
      <c r="T60" s="38">
        <v>1</v>
      </c>
      <c r="U60" s="38"/>
      <c r="V60" s="39" t="str">
        <f t="shared" si="26"/>
        <v/>
      </c>
      <c r="W60" s="39" t="str">
        <f t="shared" si="27"/>
        <v/>
      </c>
      <c r="X60" s="39" t="str">
        <f t="shared" si="28"/>
        <v/>
      </c>
      <c r="Y60" s="40"/>
    </row>
    <row r="61" spans="1:25" x14ac:dyDescent="0.25">
      <c r="A61" s="27" t="e">
        <f>INDEX('Выгр Торг'!$A:$A,MATCH($B61,'Выгр Торг'!$B:$B,0))</f>
        <v>#N/A</v>
      </c>
      <c r="B61" s="28"/>
      <c r="C61" s="28" t="e">
        <f>VLOOKUP($B61,'Выгр Торг'!$B:$Q,C$1,0)</f>
        <v>#N/A</v>
      </c>
      <c r="D61" s="27" t="e">
        <f>VLOOKUP($B61,'Выгр Торг'!$B:$Q,D$1,0)</f>
        <v>#N/A</v>
      </c>
      <c r="E61" s="28" t="e">
        <f>VLOOKUP($B61,'Выгр Торг'!$B:$Q,E$1,0)</f>
        <v>#N/A</v>
      </c>
      <c r="F61" s="28" t="e">
        <f>VLOOKUP($B61,'Выгр Торг'!$B:$Q,F$1,0)</f>
        <v>#N/A</v>
      </c>
      <c r="G61" s="28" t="e">
        <f>VLOOKUP($B61,'Выгр Торг'!$B:$Q,G$1,0)</f>
        <v>#N/A</v>
      </c>
      <c r="H61" s="10"/>
      <c r="I61" s="1" t="s">
        <v>3</v>
      </c>
      <c r="J61" s="42" t="e">
        <f>VLOOKUP(H61,Прайс!B:E,4,0)</f>
        <v>#N/A</v>
      </c>
      <c r="K61" s="2" t="e">
        <f>VLOOKUP(J61,Наценка!$A$1:$B$8,2,1)</f>
        <v>#N/A</v>
      </c>
      <c r="L61" s="4" t="e">
        <f t="shared" si="3"/>
        <v>#N/A</v>
      </c>
      <c r="M61" s="42" t="e">
        <f t="shared" si="4"/>
        <v>#N/A</v>
      </c>
      <c r="N61" s="28" t="e">
        <f>VLOOKUP($B61,'Выгр Торг'!$B:$Q,N$1,0)</f>
        <v>#N/A</v>
      </c>
      <c r="O61" s="28" t="e">
        <f>VLOOKUP($B61,'Выгр Торг'!$B:$Q,O$1,0)</f>
        <v>#N/A</v>
      </c>
      <c r="P61" s="30" t="e">
        <f t="shared" si="23"/>
        <v>#N/A</v>
      </c>
      <c r="Q61" s="30" t="e">
        <f t="shared" si="24"/>
        <v>#N/A</v>
      </c>
      <c r="R61" s="36" t="str">
        <f t="shared" si="25"/>
        <v/>
      </c>
      <c r="S61" s="37" t="e">
        <f>IFERROR((VLOOKUP($B61,'Из ГУГЛа'!$B:$G,6,0)+U61)*T61,VLOOKUP($B61,'Из ГУГЛа'!$B:$G,6,0))</f>
        <v>#N/A</v>
      </c>
      <c r="T61" s="38">
        <v>1</v>
      </c>
      <c r="U61" s="38"/>
      <c r="V61" s="39" t="str">
        <f t="shared" si="26"/>
        <v/>
      </c>
      <c r="W61" s="39" t="str">
        <f t="shared" si="27"/>
        <v/>
      </c>
      <c r="X61" s="39" t="str">
        <f t="shared" si="28"/>
        <v/>
      </c>
      <c r="Y61" s="40"/>
    </row>
    <row r="62" spans="1:25" x14ac:dyDescent="0.25">
      <c r="A62" s="27" t="e">
        <f>INDEX('Выгр Торг'!$A:$A,MATCH($B62,'Выгр Торг'!$B:$B,0))</f>
        <v>#N/A</v>
      </c>
      <c r="B62" s="28"/>
      <c r="C62" s="28" t="e">
        <f>VLOOKUP($B62,'Выгр Торг'!$B:$Q,C$1,0)</f>
        <v>#N/A</v>
      </c>
      <c r="D62" s="27" t="e">
        <f>VLOOKUP($B62,'Выгр Торг'!$B:$Q,D$1,0)</f>
        <v>#N/A</v>
      </c>
      <c r="E62" s="28" t="e">
        <f>VLOOKUP($B62,'Выгр Торг'!$B:$Q,E$1,0)</f>
        <v>#N/A</v>
      </c>
      <c r="F62" s="28" t="e">
        <f>VLOOKUP($B62,'Выгр Торг'!$B:$Q,F$1,0)</f>
        <v>#N/A</v>
      </c>
      <c r="G62" s="28" t="e">
        <f>VLOOKUP($B62,'Выгр Торг'!$B:$Q,G$1,0)</f>
        <v>#N/A</v>
      </c>
      <c r="H62" s="10"/>
      <c r="I62" s="1" t="s">
        <v>3</v>
      </c>
      <c r="J62" s="42" t="e">
        <f>VLOOKUP(H62,Прайс!B:E,4,0)</f>
        <v>#N/A</v>
      </c>
      <c r="K62" s="2" t="e">
        <f>VLOOKUP(J62,Наценка!$A$1:$B$8,2,1)</f>
        <v>#N/A</v>
      </c>
      <c r="L62" s="4" t="e">
        <f t="shared" si="3"/>
        <v>#N/A</v>
      </c>
      <c r="M62" s="42" t="e">
        <f t="shared" si="4"/>
        <v>#N/A</v>
      </c>
      <c r="N62" s="28" t="e">
        <f>VLOOKUP($B62,'Выгр Торг'!$B:$Q,N$1,0)</f>
        <v>#N/A</v>
      </c>
      <c r="O62" s="28" t="e">
        <f>VLOOKUP($B62,'Выгр Торг'!$B:$Q,O$1,0)</f>
        <v>#N/A</v>
      </c>
      <c r="P62" s="30" t="e">
        <f t="shared" si="23"/>
        <v>#N/A</v>
      </c>
      <c r="Q62" s="30" t="e">
        <f t="shared" si="24"/>
        <v>#N/A</v>
      </c>
      <c r="R62" s="36" t="str">
        <f t="shared" si="25"/>
        <v/>
      </c>
      <c r="S62" s="37" t="e">
        <f>IFERROR((VLOOKUP($B62,'Из ГУГЛа'!$B:$G,6,0)+U62)*T62,VLOOKUP($B62,'Из ГУГЛа'!$B:$G,6,0))</f>
        <v>#N/A</v>
      </c>
      <c r="T62" s="38">
        <v>1</v>
      </c>
      <c r="U62" s="38"/>
      <c r="V62" s="39" t="str">
        <f t="shared" si="26"/>
        <v/>
      </c>
      <c r="W62" s="39" t="str">
        <f t="shared" si="27"/>
        <v/>
      </c>
      <c r="X62" s="39" t="str">
        <f t="shared" si="28"/>
        <v/>
      </c>
      <c r="Y62" s="40"/>
    </row>
    <row r="63" spans="1:25" x14ac:dyDescent="0.25">
      <c r="A63" s="27" t="e">
        <f>INDEX('Выгр Торг'!$A:$A,MATCH($B63,'Выгр Торг'!$B:$B,0))</f>
        <v>#N/A</v>
      </c>
      <c r="B63" s="28"/>
      <c r="C63" s="28" t="e">
        <f>VLOOKUP($B63,'Выгр Торг'!$B:$Q,C$1,0)</f>
        <v>#N/A</v>
      </c>
      <c r="D63" s="27" t="e">
        <f>VLOOKUP($B63,'Выгр Торг'!$B:$Q,D$1,0)</f>
        <v>#N/A</v>
      </c>
      <c r="E63" s="28" t="e">
        <f>VLOOKUP($B63,'Выгр Торг'!$B:$Q,E$1,0)</f>
        <v>#N/A</v>
      </c>
      <c r="F63" s="28" t="e">
        <f>VLOOKUP($B63,'Выгр Торг'!$B:$Q,F$1,0)</f>
        <v>#N/A</v>
      </c>
      <c r="G63" s="28" t="e">
        <f>VLOOKUP($B63,'Выгр Торг'!$B:$Q,G$1,0)</f>
        <v>#N/A</v>
      </c>
      <c r="H63" s="10"/>
      <c r="I63" s="1" t="s">
        <v>3</v>
      </c>
      <c r="J63" s="42" t="e">
        <f>VLOOKUP(H63,Прайс!B:E,4,0)</f>
        <v>#N/A</v>
      </c>
      <c r="K63" s="2" t="e">
        <f>VLOOKUP(J63,Наценка!$A$1:$B$8,2,1)</f>
        <v>#N/A</v>
      </c>
      <c r="L63" s="4" t="e">
        <f t="shared" si="3"/>
        <v>#N/A</v>
      </c>
      <c r="M63" s="42" t="e">
        <f t="shared" si="4"/>
        <v>#N/A</v>
      </c>
      <c r="N63" s="28" t="e">
        <f>VLOOKUP($B63,'Выгр Торг'!$B:$Q,N$1,0)</f>
        <v>#N/A</v>
      </c>
      <c r="O63" s="28" t="e">
        <f>VLOOKUP($B63,'Выгр Торг'!$B:$Q,O$1,0)</f>
        <v>#N/A</v>
      </c>
      <c r="P63" s="30" t="e">
        <f t="shared" si="23"/>
        <v>#N/A</v>
      </c>
      <c r="Q63" s="30" t="e">
        <f t="shared" si="24"/>
        <v>#N/A</v>
      </c>
      <c r="R63" s="36" t="str">
        <f t="shared" si="25"/>
        <v/>
      </c>
      <c r="S63" s="37" t="e">
        <f>IFERROR((VLOOKUP($B63,'Из ГУГЛа'!$B:$G,6,0)+U63)*T63,VLOOKUP($B63,'Из ГУГЛа'!$B:$G,6,0))</f>
        <v>#N/A</v>
      </c>
      <c r="T63" s="38">
        <v>1</v>
      </c>
      <c r="U63" s="38"/>
      <c r="V63" s="39" t="str">
        <f t="shared" si="26"/>
        <v/>
      </c>
      <c r="W63" s="39" t="str">
        <f t="shared" si="27"/>
        <v/>
      </c>
      <c r="X63" s="39" t="str">
        <f t="shared" si="28"/>
        <v/>
      </c>
      <c r="Y63" s="40"/>
    </row>
    <row r="64" spans="1:25" x14ac:dyDescent="0.25">
      <c r="A64" s="27" t="e">
        <f>INDEX('Выгр Торг'!$A:$A,MATCH($B64,'Выгр Торг'!$B:$B,0))</f>
        <v>#N/A</v>
      </c>
      <c r="B64" s="28"/>
      <c r="C64" s="28" t="e">
        <f>VLOOKUP($B64,'Выгр Торг'!$B:$Q,C$1,0)</f>
        <v>#N/A</v>
      </c>
      <c r="D64" s="27" t="e">
        <f>VLOOKUP($B64,'Выгр Торг'!$B:$Q,D$1,0)</f>
        <v>#N/A</v>
      </c>
      <c r="E64" s="28" t="e">
        <f>VLOOKUP($B64,'Выгр Торг'!$B:$Q,E$1,0)</f>
        <v>#N/A</v>
      </c>
      <c r="F64" s="28" t="e">
        <f>VLOOKUP($B64,'Выгр Торг'!$B:$Q,F$1,0)</f>
        <v>#N/A</v>
      </c>
      <c r="G64" s="28" t="e">
        <f>VLOOKUP($B64,'Выгр Торг'!$B:$Q,G$1,0)</f>
        <v>#N/A</v>
      </c>
      <c r="H64" s="10"/>
      <c r="I64" s="1" t="s">
        <v>3</v>
      </c>
      <c r="J64" s="42" t="e">
        <f>VLOOKUP(H64,Прайс!B:E,4,0)</f>
        <v>#N/A</v>
      </c>
      <c r="K64" s="2" t="e">
        <f>VLOOKUP(J64,Наценка!$A$1:$B$8,2,1)</f>
        <v>#N/A</v>
      </c>
      <c r="L64" s="4" t="e">
        <f t="shared" si="3"/>
        <v>#N/A</v>
      </c>
      <c r="M64" s="42" t="e">
        <f t="shared" si="4"/>
        <v>#N/A</v>
      </c>
      <c r="N64" s="28" t="e">
        <f>VLOOKUP($B64,'Выгр Торг'!$B:$Q,N$1,0)</f>
        <v>#N/A</v>
      </c>
      <c r="O64" s="28" t="e">
        <f>VLOOKUP($B64,'Выгр Торг'!$B:$Q,O$1,0)</f>
        <v>#N/A</v>
      </c>
      <c r="P64" s="30" t="e">
        <f t="shared" si="23"/>
        <v>#N/A</v>
      </c>
      <c r="Q64" s="30" t="e">
        <f t="shared" si="24"/>
        <v>#N/A</v>
      </c>
      <c r="R64" s="36" t="str">
        <f t="shared" si="25"/>
        <v/>
      </c>
      <c r="S64" s="37" t="e">
        <f>IFERROR((VLOOKUP($B64,'Из ГУГЛа'!$B:$G,6,0)+U64)*T64,VLOOKUP($B64,'Из ГУГЛа'!$B:$G,6,0))</f>
        <v>#N/A</v>
      </c>
      <c r="T64" s="38">
        <v>1</v>
      </c>
      <c r="U64" s="38"/>
      <c r="V64" s="39" t="str">
        <f t="shared" si="26"/>
        <v/>
      </c>
      <c r="W64" s="39" t="str">
        <f t="shared" si="27"/>
        <v/>
      </c>
      <c r="X64" s="39" t="str">
        <f t="shared" si="28"/>
        <v/>
      </c>
      <c r="Y64" s="40"/>
    </row>
    <row r="65" spans="1:25" x14ac:dyDescent="0.25">
      <c r="A65" s="27" t="e">
        <f>INDEX('Выгр Торг'!$A:$A,MATCH($B65,'Выгр Торг'!$B:$B,0))</f>
        <v>#N/A</v>
      </c>
      <c r="B65" s="28"/>
      <c r="C65" s="28" t="e">
        <f>VLOOKUP($B65,'Выгр Торг'!$B:$Q,C$1,0)</f>
        <v>#N/A</v>
      </c>
      <c r="D65" s="27" t="e">
        <f>VLOOKUP($B65,'Выгр Торг'!$B:$Q,D$1,0)</f>
        <v>#N/A</v>
      </c>
      <c r="E65" s="28" t="e">
        <f>VLOOKUP($B65,'Выгр Торг'!$B:$Q,E$1,0)</f>
        <v>#N/A</v>
      </c>
      <c r="F65" s="28" t="e">
        <f>VLOOKUP($B65,'Выгр Торг'!$B:$Q,F$1,0)</f>
        <v>#N/A</v>
      </c>
      <c r="G65" s="28" t="e">
        <f>VLOOKUP($B65,'Выгр Торг'!$B:$Q,G$1,0)</f>
        <v>#N/A</v>
      </c>
      <c r="H65" s="10"/>
      <c r="I65" s="1" t="s">
        <v>3</v>
      </c>
      <c r="J65" s="42" t="e">
        <f>VLOOKUP(H65,Прайс!B:E,4,0)</f>
        <v>#N/A</v>
      </c>
      <c r="K65" s="2" t="e">
        <f>VLOOKUP(J65,Наценка!$A$1:$B$8,2,1)</f>
        <v>#N/A</v>
      </c>
      <c r="L65" s="4" t="e">
        <f t="shared" si="3"/>
        <v>#N/A</v>
      </c>
      <c r="M65" s="42" t="e">
        <f t="shared" si="4"/>
        <v>#N/A</v>
      </c>
      <c r="N65" s="28" t="e">
        <f>VLOOKUP($B65,'Выгр Торг'!$B:$Q,N$1,0)</f>
        <v>#N/A</v>
      </c>
      <c r="O65" s="28" t="e">
        <f>VLOOKUP($B65,'Выгр Торг'!$B:$Q,O$1,0)</f>
        <v>#N/A</v>
      </c>
      <c r="P65" s="30" t="e">
        <f t="shared" si="23"/>
        <v>#N/A</v>
      </c>
      <c r="Q65" s="30" t="e">
        <f t="shared" si="24"/>
        <v>#N/A</v>
      </c>
      <c r="R65" s="36" t="str">
        <f t="shared" si="25"/>
        <v/>
      </c>
      <c r="S65" s="37" t="e">
        <f>IFERROR((VLOOKUP($B65,'Из ГУГЛа'!$B:$G,6,0)+U65)*T65,VLOOKUP($B65,'Из ГУГЛа'!$B:$G,6,0))</f>
        <v>#N/A</v>
      </c>
      <c r="T65" s="38">
        <v>1</v>
      </c>
      <c r="U65" s="38"/>
      <c r="V65" s="39" t="str">
        <f t="shared" si="26"/>
        <v/>
      </c>
      <c r="W65" s="39" t="str">
        <f t="shared" si="27"/>
        <v/>
      </c>
      <c r="X65" s="39" t="str">
        <f t="shared" si="28"/>
        <v/>
      </c>
      <c r="Y65" s="40"/>
    </row>
    <row r="66" spans="1:25" x14ac:dyDescent="0.25">
      <c r="A66" s="27" t="e">
        <f>INDEX('Выгр Торг'!$A:$A,MATCH($B66,'Выгр Торг'!$B:$B,0))</f>
        <v>#N/A</v>
      </c>
      <c r="B66" s="28"/>
      <c r="C66" s="28" t="e">
        <f>VLOOKUP($B66,'Выгр Торг'!$B:$Q,C$1,0)</f>
        <v>#N/A</v>
      </c>
      <c r="D66" s="27" t="e">
        <f>VLOOKUP($B66,'Выгр Торг'!$B:$Q,D$1,0)</f>
        <v>#N/A</v>
      </c>
      <c r="E66" s="28" t="e">
        <f>VLOOKUP($B66,'Выгр Торг'!$B:$Q,E$1,0)</f>
        <v>#N/A</v>
      </c>
      <c r="F66" s="28" t="e">
        <f>VLOOKUP($B66,'Выгр Торг'!$B:$Q,F$1,0)</f>
        <v>#N/A</v>
      </c>
      <c r="G66" s="28" t="e">
        <f>VLOOKUP($B66,'Выгр Торг'!$B:$Q,G$1,0)</f>
        <v>#N/A</v>
      </c>
      <c r="H66" s="10"/>
      <c r="I66" s="1" t="s">
        <v>3</v>
      </c>
      <c r="J66" s="42" t="e">
        <f>VLOOKUP(H66,Прайс!B:E,4,0)</f>
        <v>#N/A</v>
      </c>
      <c r="K66" s="2" t="e">
        <f>VLOOKUP(J66,Наценка!$A$1:$B$8,2,1)</f>
        <v>#N/A</v>
      </c>
      <c r="L66" s="4" t="e">
        <f t="shared" si="3"/>
        <v>#N/A</v>
      </c>
      <c r="M66" s="42" t="e">
        <f t="shared" si="4"/>
        <v>#N/A</v>
      </c>
      <c r="N66" s="28" t="e">
        <f>VLOOKUP($B66,'Выгр Торг'!$B:$Q,N$1,0)</f>
        <v>#N/A</v>
      </c>
      <c r="O66" s="28" t="e">
        <f>VLOOKUP($B66,'Выгр Торг'!$B:$Q,O$1,0)</f>
        <v>#N/A</v>
      </c>
      <c r="P66" s="30" t="e">
        <f t="shared" si="23"/>
        <v>#N/A</v>
      </c>
      <c r="Q66" s="30" t="e">
        <f t="shared" si="24"/>
        <v>#N/A</v>
      </c>
      <c r="R66" s="36" t="str">
        <f t="shared" si="25"/>
        <v/>
      </c>
      <c r="S66" s="37" t="e">
        <f>IFERROR((VLOOKUP($B66,'Из ГУГЛа'!$B:$G,6,0)+U66)*T66,VLOOKUP($B66,'Из ГУГЛа'!$B:$G,6,0))</f>
        <v>#N/A</v>
      </c>
      <c r="T66" s="38">
        <v>1</v>
      </c>
      <c r="U66" s="38"/>
      <c r="V66" s="39" t="str">
        <f t="shared" si="26"/>
        <v/>
      </c>
      <c r="W66" s="39" t="str">
        <f t="shared" si="27"/>
        <v/>
      </c>
      <c r="X66" s="39" t="str">
        <f t="shared" si="28"/>
        <v/>
      </c>
      <c r="Y66" s="40"/>
    </row>
    <row r="67" spans="1:25" x14ac:dyDescent="0.25">
      <c r="A67" s="27" t="e">
        <f>INDEX('Выгр Торг'!$A:$A,MATCH($B67,'Выгр Торг'!$B:$B,0))</f>
        <v>#N/A</v>
      </c>
      <c r="B67" s="28"/>
      <c r="C67" s="28" t="e">
        <f>VLOOKUP($B67,'Выгр Торг'!$B:$Q,C$1,0)</f>
        <v>#N/A</v>
      </c>
      <c r="D67" s="27" t="e">
        <f>VLOOKUP($B67,'Выгр Торг'!$B:$Q,D$1,0)</f>
        <v>#N/A</v>
      </c>
      <c r="E67" s="28" t="e">
        <f>VLOOKUP($B67,'Выгр Торг'!$B:$Q,E$1,0)</f>
        <v>#N/A</v>
      </c>
      <c r="F67" s="28" t="e">
        <f>VLOOKUP($B67,'Выгр Торг'!$B:$Q,F$1,0)</f>
        <v>#N/A</v>
      </c>
      <c r="G67" s="28" t="e">
        <f>VLOOKUP($B67,'Выгр Торг'!$B:$Q,G$1,0)</f>
        <v>#N/A</v>
      </c>
      <c r="H67" s="10"/>
      <c r="I67" s="1" t="s">
        <v>3</v>
      </c>
      <c r="J67" s="42" t="e">
        <f>VLOOKUP(H67,Прайс!B:E,4,0)</f>
        <v>#N/A</v>
      </c>
      <c r="K67" s="2" t="e">
        <f>VLOOKUP(J67,Наценка!$A$1:$B$8,2,1)</f>
        <v>#N/A</v>
      </c>
      <c r="L67" s="4" t="e">
        <f t="shared" si="3"/>
        <v>#N/A</v>
      </c>
      <c r="M67" s="42" t="e">
        <f t="shared" si="4"/>
        <v>#N/A</v>
      </c>
      <c r="N67" s="28" t="e">
        <f>VLOOKUP($B67,'Выгр Торг'!$B:$Q,N$1,0)</f>
        <v>#N/A</v>
      </c>
      <c r="O67" s="28" t="e">
        <f>VLOOKUP($B67,'Выгр Торг'!$B:$Q,O$1,0)</f>
        <v>#N/A</v>
      </c>
      <c r="P67" s="30" t="e">
        <f t="shared" si="23"/>
        <v>#N/A</v>
      </c>
      <c r="Q67" s="30" t="e">
        <f t="shared" si="24"/>
        <v>#N/A</v>
      </c>
      <c r="R67" s="36" t="str">
        <f t="shared" si="25"/>
        <v/>
      </c>
      <c r="S67" s="37" t="e">
        <f>IFERROR((VLOOKUP($B67,'Из ГУГЛа'!$B:$G,6,0)+U67)*T67,VLOOKUP($B67,'Из ГУГЛа'!$B:$G,6,0))</f>
        <v>#N/A</v>
      </c>
      <c r="T67" s="38">
        <v>1</v>
      </c>
      <c r="U67" s="38"/>
      <c r="V67" s="39" t="str">
        <f t="shared" si="26"/>
        <v/>
      </c>
      <c r="W67" s="39" t="str">
        <f t="shared" si="27"/>
        <v/>
      </c>
      <c r="X67" s="39" t="str">
        <f t="shared" si="28"/>
        <v/>
      </c>
      <c r="Y67" s="40"/>
    </row>
    <row r="68" spans="1:25" x14ac:dyDescent="0.25">
      <c r="A68" s="27" t="e">
        <f>INDEX('Выгр Торг'!$A:$A,MATCH($B68,'Выгр Торг'!$B:$B,0))</f>
        <v>#N/A</v>
      </c>
      <c r="B68" s="28"/>
      <c r="C68" s="28" t="e">
        <f>VLOOKUP($B68,'Выгр Торг'!$B:$Q,C$1,0)</f>
        <v>#N/A</v>
      </c>
      <c r="D68" s="27" t="e">
        <f>VLOOKUP($B68,'Выгр Торг'!$B:$Q,D$1,0)</f>
        <v>#N/A</v>
      </c>
      <c r="E68" s="28" t="e">
        <f>VLOOKUP($B68,'Выгр Торг'!$B:$Q,E$1,0)</f>
        <v>#N/A</v>
      </c>
      <c r="F68" s="28" t="e">
        <f>VLOOKUP($B68,'Выгр Торг'!$B:$Q,F$1,0)</f>
        <v>#N/A</v>
      </c>
      <c r="G68" s="28" t="e">
        <f>VLOOKUP($B68,'Выгр Торг'!$B:$Q,G$1,0)</f>
        <v>#N/A</v>
      </c>
      <c r="H68" s="10"/>
      <c r="I68" s="1" t="s">
        <v>3</v>
      </c>
      <c r="J68" s="42" t="e">
        <f>VLOOKUP(H68,Прайс!B:E,4,0)</f>
        <v>#N/A</v>
      </c>
      <c r="K68" s="2" t="e">
        <f>VLOOKUP(J68,Наценка!$A$1:$B$8,2,1)</f>
        <v>#N/A</v>
      </c>
      <c r="L68" s="4" t="e">
        <f t="shared" ref="L68:L69" si="29">J68*K68</f>
        <v>#N/A</v>
      </c>
      <c r="M68" s="42" t="e">
        <f t="shared" ref="M68:M69" si="30">IF(L68&lt;=1000,(ROUNDUP(L68,-1)-1),(ROUNDUP(L68,-2)-10))</f>
        <v>#N/A</v>
      </c>
      <c r="N68" s="28" t="e">
        <f>VLOOKUP($B68,'Выгр Торг'!$B:$Q,N$1,0)</f>
        <v>#N/A</v>
      </c>
      <c r="O68" s="28" t="e">
        <f>VLOOKUP($B68,'Выгр Торг'!$B:$Q,O$1,0)</f>
        <v>#N/A</v>
      </c>
      <c r="P68" s="30" t="e">
        <f t="shared" si="23"/>
        <v>#N/A</v>
      </c>
      <c r="Q68" s="30" t="e">
        <f t="shared" si="24"/>
        <v>#N/A</v>
      </c>
      <c r="R68" s="36" t="str">
        <f t="shared" si="25"/>
        <v/>
      </c>
      <c r="S68" s="37" t="e">
        <f>IFERROR((VLOOKUP($B68,'Из ГУГЛа'!$B:$G,6,0)+U68)*T68,VLOOKUP($B68,'Из ГУГЛа'!$B:$G,6,0))</f>
        <v>#N/A</v>
      </c>
      <c r="T68" s="38">
        <v>1</v>
      </c>
      <c r="U68" s="38"/>
      <c r="V68" s="39" t="str">
        <f t="shared" si="26"/>
        <v/>
      </c>
      <c r="W68" s="39" t="str">
        <f t="shared" si="27"/>
        <v/>
      </c>
      <c r="X68" s="39" t="str">
        <f t="shared" si="28"/>
        <v/>
      </c>
      <c r="Y68" s="40"/>
    </row>
    <row r="69" spans="1:25" x14ac:dyDescent="0.25">
      <c r="A69" s="27" t="e">
        <f>INDEX('Выгр Торг'!$A:$A,MATCH($B69,'Выгр Торг'!$B:$B,0))</f>
        <v>#N/A</v>
      </c>
      <c r="B69" s="28"/>
      <c r="C69" s="28" t="e">
        <f>VLOOKUP($B69,'Выгр Торг'!$B:$Q,C$1,0)</f>
        <v>#N/A</v>
      </c>
      <c r="D69" s="27" t="e">
        <f>VLOOKUP($B69,'Выгр Торг'!$B:$Q,D$1,0)</f>
        <v>#N/A</v>
      </c>
      <c r="E69" s="28" t="e">
        <f>VLOOKUP($B69,'Выгр Торг'!$B:$Q,E$1,0)</f>
        <v>#N/A</v>
      </c>
      <c r="F69" s="28" t="e">
        <f>VLOOKUP($B69,'Выгр Торг'!$B:$Q,F$1,0)</f>
        <v>#N/A</v>
      </c>
      <c r="G69" s="28" t="e">
        <f>VLOOKUP($B69,'Выгр Торг'!$B:$Q,G$1,0)</f>
        <v>#N/A</v>
      </c>
      <c r="H69" s="10"/>
      <c r="I69" s="1" t="s">
        <v>3</v>
      </c>
      <c r="J69" s="42" t="e">
        <f>VLOOKUP(H69,Прайс!B:E,4,0)</f>
        <v>#N/A</v>
      </c>
      <c r="K69" s="2" t="e">
        <f>VLOOKUP(J69,Наценка!$A$1:$B$8,2,1)</f>
        <v>#N/A</v>
      </c>
      <c r="L69" s="4" t="e">
        <f t="shared" si="29"/>
        <v>#N/A</v>
      </c>
      <c r="M69" s="42" t="e">
        <f t="shared" si="30"/>
        <v>#N/A</v>
      </c>
      <c r="N69" s="28" t="e">
        <f>VLOOKUP($B69,'Выгр Торг'!$B:$Q,N$1,0)</f>
        <v>#N/A</v>
      </c>
      <c r="O69" s="28" t="e">
        <f>VLOOKUP($B69,'Выгр Торг'!$B:$Q,O$1,0)</f>
        <v>#N/A</v>
      </c>
      <c r="P69" s="30" t="e">
        <f t="shared" si="23"/>
        <v>#N/A</v>
      </c>
      <c r="Q69" s="30" t="e">
        <f t="shared" si="24"/>
        <v>#N/A</v>
      </c>
      <c r="R69" s="36" t="str">
        <f t="shared" si="25"/>
        <v/>
      </c>
      <c r="S69" s="37" t="e">
        <f>IFERROR((VLOOKUP($B69,'Из ГУГЛа'!$B:$G,6,0)+U69)*T69,VLOOKUP($B69,'Из ГУГЛа'!$B:$G,6,0))</f>
        <v>#N/A</v>
      </c>
      <c r="T69" s="38">
        <v>1</v>
      </c>
      <c r="U69" s="38"/>
      <c r="V69" s="39" t="str">
        <f t="shared" si="26"/>
        <v/>
      </c>
      <c r="W69" s="39" t="str">
        <f t="shared" si="27"/>
        <v/>
      </c>
      <c r="X69" s="39" t="str">
        <f t="shared" si="28"/>
        <v/>
      </c>
      <c r="Y69" s="40"/>
    </row>
  </sheetData>
  <autoFilter ref="B2:Y3" xr:uid="{26459BB1-A0AB-4FF8-A06C-AE10D39B4358}"/>
  <conditionalFormatting sqref="H2:H18">
    <cfRule type="duplicateValues" dxfId="7" priority="30"/>
  </conditionalFormatting>
  <conditionalFormatting sqref="D3:D69">
    <cfRule type="expression" dxfId="6" priority="5">
      <formula>OR(E3="N",F3="0")</formula>
    </cfRule>
  </conditionalFormatting>
  <conditionalFormatting sqref="W3:W69">
    <cfRule type="cellIs" dxfId="5" priority="4" operator="lessThan">
      <formula>0</formula>
    </cfRule>
  </conditionalFormatting>
  <conditionalFormatting sqref="X3:X69 V3:V69">
    <cfRule type="cellIs" dxfId="4" priority="3" operator="lessThan">
      <formula>0.15</formula>
    </cfRule>
  </conditionalFormatting>
  <conditionalFormatting sqref="S2:S69">
    <cfRule type="expression" dxfId="3" priority="2">
      <formula>VALUE(S2)&lt;&gt;Y2</formula>
    </cfRule>
  </conditionalFormatting>
  <conditionalFormatting sqref="B3:B69">
    <cfRule type="expression" dxfId="2" priority="1">
      <formula>AND(ROUNDDOWN($P3,0)=0,ROUNDDOWN($Q3,0)=0)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3870"/>
  <sheetViews>
    <sheetView topLeftCell="A3839" workbookViewId="0">
      <selection activeCell="C3872" sqref="C3872"/>
    </sheetView>
  </sheetViews>
  <sheetFormatPr defaultRowHeight="15" x14ac:dyDescent="0.25"/>
  <cols>
    <col min="1" max="1" width="10.5703125" style="6" customWidth="1"/>
    <col min="2" max="2" width="10.85546875" style="6" customWidth="1"/>
    <col min="3" max="3" width="60.28515625" style="6" customWidth="1"/>
    <col min="4" max="4" width="10" style="6" customWidth="1"/>
    <col min="5" max="5" width="11" style="6" customWidth="1"/>
    <col min="6" max="6" width="12.5703125" bestFit="1" customWidth="1"/>
    <col min="7" max="7" width="12.5703125" customWidth="1"/>
  </cols>
  <sheetData>
    <row r="1" spans="1:8" ht="23.25" x14ac:dyDescent="0.25">
      <c r="A1" s="78" t="s">
        <v>8380</v>
      </c>
      <c r="B1" s="78"/>
      <c r="C1" s="78"/>
      <c r="D1" s="78"/>
      <c r="E1" s="78"/>
    </row>
    <row r="2" spans="1:8" ht="216.75" x14ac:dyDescent="0.25">
      <c r="A2" s="79" t="s">
        <v>4979</v>
      </c>
      <c r="B2" s="79"/>
      <c r="C2" s="79"/>
      <c r="D2" s="79"/>
      <c r="E2" s="79"/>
    </row>
    <row r="3" spans="1:8" x14ac:dyDescent="0.25">
      <c r="A3" s="80" t="s">
        <v>8525</v>
      </c>
      <c r="B3" s="81"/>
      <c r="C3" s="81"/>
      <c r="D3" s="81"/>
      <c r="E3" s="81"/>
    </row>
    <row r="4" spans="1:8" x14ac:dyDescent="0.25">
      <c r="A4" s="80" t="s">
        <v>8381</v>
      </c>
      <c r="B4" s="80"/>
      <c r="C4" s="80"/>
      <c r="D4" s="80"/>
      <c r="E4" s="80"/>
    </row>
    <row r="5" spans="1:8" x14ac:dyDescent="0.25">
      <c r="A5" s="80" t="s">
        <v>8526</v>
      </c>
      <c r="B5" s="80"/>
      <c r="C5" s="80"/>
      <c r="D5" s="80"/>
      <c r="E5" s="80"/>
    </row>
    <row r="6" spans="1:8" x14ac:dyDescent="0.25">
      <c r="A6" s="77" t="s">
        <v>5383</v>
      </c>
      <c r="B6" s="76"/>
      <c r="C6" s="76"/>
      <c r="D6" s="76"/>
      <c r="E6" s="76"/>
    </row>
    <row r="7" spans="1:8" x14ac:dyDescent="0.25">
      <c r="A7" s="82" t="s">
        <v>5383</v>
      </c>
    </row>
    <row r="8" spans="1:8" x14ac:dyDescent="0.25">
      <c r="A8" s="82" t="s">
        <v>2439</v>
      </c>
    </row>
    <row r="9" spans="1:8" x14ac:dyDescent="0.25">
      <c r="A9" s="83" t="s">
        <v>2440</v>
      </c>
      <c r="B9" s="83" t="s">
        <v>153</v>
      </c>
      <c r="C9" s="83" t="s">
        <v>154</v>
      </c>
      <c r="D9" s="84" t="s">
        <v>155</v>
      </c>
      <c r="E9" s="84" t="s">
        <v>156</v>
      </c>
      <c r="F9" t="s">
        <v>2440</v>
      </c>
    </row>
    <row r="10" spans="1:8" x14ac:dyDescent="0.25">
      <c r="A10" s="85"/>
      <c r="B10" s="85"/>
      <c r="C10" s="85"/>
      <c r="D10" s="86"/>
      <c r="E10" s="86"/>
      <c r="F10" s="67" t="str">
        <f>IFERROR(IFERROR(INDEX(Кат!$A:$A,MATCH(Прайс!$B10,Кат!$G:$G,0)),INDEX(Торг!$B:$B,MATCH(Прайс!$B10,Торг!$H:$H,0))),"")</f>
        <v/>
      </c>
      <c r="G10" s="67" t="str">
        <f>IFERROR(IFERROR(INDEX(Кат!$B:$B,MATCH(Прайс!$B10,Кат!$G:$G,0)),INDEX(Торг!$C:$C,MATCH(Прайс!$B10,Торг!$H:$H,0))),"")</f>
        <v/>
      </c>
      <c r="H10" s="67" t="str">
        <f>IFERROR(IFERROR(INDEX(Кат!$I:$I,MATCH(Прайс!$B10,Кат!$G:$G,0)),INDEX(Торг!$I:$I,MATCH(Прайс!$B10,Торг!$H:$H,0))),"")</f>
        <v/>
      </c>
    </row>
    <row r="11" spans="1:8" ht="15.75" x14ac:dyDescent="0.25">
      <c r="A11" s="87"/>
      <c r="B11" s="88"/>
      <c r="C11" s="88" t="s">
        <v>157</v>
      </c>
      <c r="D11" s="88"/>
      <c r="E11" s="89"/>
      <c r="F11" s="67" t="str">
        <f>IFERROR(IFERROR(INDEX(Кат!$A:$A,MATCH(Прайс!$B11,Кат!$G:$G,0)),INDEX(Торг!$B:$B,MATCH(Прайс!$B11,Торг!$H:$H,0))),"")</f>
        <v/>
      </c>
      <c r="G11" s="67" t="str">
        <f>IFERROR(IFERROR(INDEX(Кат!$B:$B,MATCH(Прайс!$B11,Кат!$G:$G,0)),INDEX(Торг!$C:$C,MATCH(Прайс!$B11,Торг!$H:$H,0))),"")</f>
        <v/>
      </c>
      <c r="H11" s="67" t="str">
        <f>IFERROR(IFERROR(INDEX(Кат!$I:$I,MATCH(Прайс!$B11,Кат!$G:$G,0)),INDEX(Торг!$I:$I,MATCH(Прайс!$B11,Торг!$H:$H,0))),"")</f>
        <v/>
      </c>
    </row>
    <row r="12" spans="1:8" ht="15.75" x14ac:dyDescent="0.25">
      <c r="A12" s="90"/>
      <c r="B12" s="91"/>
      <c r="C12" s="92" t="s">
        <v>158</v>
      </c>
      <c r="D12" s="91"/>
      <c r="E12" s="93"/>
      <c r="F12" s="67" t="str">
        <f>IFERROR(IFERROR(INDEX(Кат!$A:$A,MATCH(Прайс!$B12,Кат!$G:$G,0)),INDEX(Торг!$B:$B,MATCH(Прайс!$B12,Торг!$H:$H,0))),"")</f>
        <v/>
      </c>
      <c r="G12" s="67" t="str">
        <f>IFERROR(IFERROR(INDEX(Кат!$B:$B,MATCH(Прайс!$B12,Кат!$G:$G,0)),INDEX(Торг!$C:$C,MATCH(Прайс!$B12,Торг!$H:$H,0))),"")</f>
        <v/>
      </c>
      <c r="H12" s="67" t="str">
        <f>IFERROR(IFERROR(INDEX(Кат!$I:$I,MATCH(Прайс!$B12,Кат!$G:$G,0)),INDEX(Торг!$I:$I,MATCH(Прайс!$B12,Торг!$H:$H,0))),"")</f>
        <v/>
      </c>
    </row>
    <row r="13" spans="1:8" x14ac:dyDescent="0.25">
      <c r="A13" s="94" t="s">
        <v>2441</v>
      </c>
      <c r="B13" s="95">
        <v>10006</v>
      </c>
      <c r="C13" s="95" t="s">
        <v>4980</v>
      </c>
      <c r="D13" s="96" t="s">
        <v>159</v>
      </c>
      <c r="E13" s="97">
        <v>370</v>
      </c>
      <c r="F13" s="67" t="str">
        <f>IFERROR(IFERROR(INDEX(Кат!$A:$A,MATCH(Прайс!$B13,Кат!$G:$G,0)),INDEX(Торг!$B:$B,MATCH(Прайс!$B13,Торг!$H:$H,0))),"")</f>
        <v/>
      </c>
      <c r="G13" s="67" t="str">
        <f>IFERROR(IFERROR(INDEX(Кат!$B:$B,MATCH(Прайс!$B13,Кат!$G:$G,0)),INDEX(Торг!$C:$C,MATCH(Прайс!$B13,Торг!$H:$H,0))),"")</f>
        <v/>
      </c>
      <c r="H13" s="67" t="str">
        <f>IFERROR(IFERROR(INDEX(Кат!$I:$I,MATCH(Прайс!$B13,Кат!$G:$G,0)),INDEX(Торг!$I:$I,MATCH(Прайс!$B13,Торг!$H:$H,0))),"")</f>
        <v/>
      </c>
    </row>
    <row r="14" spans="1:8" x14ac:dyDescent="0.25">
      <c r="A14" s="94" t="s">
        <v>2442</v>
      </c>
      <c r="B14" s="95">
        <v>10007</v>
      </c>
      <c r="C14" s="95" t="s">
        <v>4981</v>
      </c>
      <c r="D14" s="96" t="s">
        <v>160</v>
      </c>
      <c r="E14" s="97">
        <v>750</v>
      </c>
      <c r="F14" s="67">
        <f>IFERROR(IFERROR(INDEX(Кат!$A:$A,MATCH(Прайс!$B14,Кат!$G:$G,0)),INDEX(Торг!$B:$B,MATCH(Прайс!$B14,Торг!$H:$H,0))),"")</f>
        <v>213870</v>
      </c>
      <c r="G14" s="67">
        <f>IFERROR(IFERROR(INDEX(Кат!$B:$B,MATCH(Прайс!$B14,Кат!$G:$G,0)),INDEX(Торг!$C:$C,MATCH(Прайс!$B14,Торг!$H:$H,0))),"")</f>
        <v>5489</v>
      </c>
      <c r="H14" s="67" t="str">
        <f>IFERROR(IFERROR(INDEX(Кат!$I:$I,MATCH(Прайс!$B14,Кат!$G:$G,0)),INDEX(Торг!$I:$I,MATCH(Прайс!$B14,Торг!$H:$H,0))),"")</f>
        <v>кристал авто</v>
      </c>
    </row>
    <row r="15" spans="1:8" x14ac:dyDescent="0.25">
      <c r="A15" s="94" t="s">
        <v>6524</v>
      </c>
      <c r="B15" s="95">
        <v>10008</v>
      </c>
      <c r="C15" s="95" t="s">
        <v>6525</v>
      </c>
      <c r="D15" s="96" t="s">
        <v>161</v>
      </c>
      <c r="E15" s="97">
        <v>550</v>
      </c>
      <c r="F15" s="67" t="str">
        <f>IFERROR(IFERROR(INDEX(Кат!$A:$A,MATCH(Прайс!$B15,Кат!$G:$G,0)),INDEX(Торг!$B:$B,MATCH(Прайс!$B15,Торг!$H:$H,0))),"")</f>
        <v/>
      </c>
      <c r="G15" s="67" t="str">
        <f>IFERROR(IFERROR(INDEX(Кат!$B:$B,MATCH(Прайс!$B15,Кат!$G:$G,0)),INDEX(Торг!$C:$C,MATCH(Прайс!$B15,Торг!$H:$H,0))),"")</f>
        <v/>
      </c>
      <c r="H15" s="67" t="str">
        <f>IFERROR(IFERROR(INDEX(Кат!$I:$I,MATCH(Прайс!$B15,Кат!$G:$G,0)),INDEX(Торг!$I:$I,MATCH(Прайс!$B15,Торг!$H:$H,0))),"")</f>
        <v/>
      </c>
    </row>
    <row r="16" spans="1:8" x14ac:dyDescent="0.25">
      <c r="A16" s="94" t="s">
        <v>2443</v>
      </c>
      <c r="B16" s="95">
        <v>10009</v>
      </c>
      <c r="C16" s="95" t="s">
        <v>4982</v>
      </c>
      <c r="D16" s="96" t="s">
        <v>162</v>
      </c>
      <c r="E16" s="97">
        <v>750</v>
      </c>
      <c r="F16" s="67">
        <f>IFERROR(IFERROR(INDEX(Кат!$A:$A,MATCH(Прайс!$B16,Кат!$G:$G,0)),INDEX(Торг!$B:$B,MATCH(Прайс!$B16,Торг!$H:$H,0))),"")</f>
        <v>213873</v>
      </c>
      <c r="G16" s="67">
        <f>IFERROR(IFERROR(INDEX(Кат!$B:$B,MATCH(Прайс!$B16,Кат!$G:$G,0)),INDEX(Торг!$C:$C,MATCH(Прайс!$B16,Торг!$H:$H,0))),"")</f>
        <v>5486</v>
      </c>
      <c r="H16" s="67" t="str">
        <f>IFERROR(IFERROR(INDEX(Кат!$I:$I,MATCH(Прайс!$B16,Кат!$G:$G,0)),INDEX(Торг!$I:$I,MATCH(Прайс!$B16,Торг!$H:$H,0))),"")</f>
        <v>кристал авто</v>
      </c>
    </row>
    <row r="17" spans="1:8" x14ac:dyDescent="0.25">
      <c r="A17" s="94" t="s">
        <v>6526</v>
      </c>
      <c r="B17" s="98">
        <v>10011</v>
      </c>
      <c r="C17" s="98" t="s">
        <v>6527</v>
      </c>
      <c r="D17" s="96" t="s">
        <v>161</v>
      </c>
      <c r="E17" s="97">
        <v>450</v>
      </c>
      <c r="F17" s="67" t="str">
        <f>IFERROR(IFERROR(INDEX(Кат!$A:$A,MATCH(Прайс!$B17,Кат!$G:$G,0)),INDEX(Торг!$B:$B,MATCH(Прайс!$B17,Торг!$H:$H,0))),"")</f>
        <v/>
      </c>
      <c r="G17" s="67" t="str">
        <f>IFERROR(IFERROR(INDEX(Кат!$B:$B,MATCH(Прайс!$B17,Кат!$G:$G,0)),INDEX(Торг!$C:$C,MATCH(Прайс!$B17,Торг!$H:$H,0))),"")</f>
        <v/>
      </c>
      <c r="H17" s="67" t="str">
        <f>IFERROR(IFERROR(INDEX(Кат!$I:$I,MATCH(Прайс!$B17,Кат!$G:$G,0)),INDEX(Торг!$I:$I,MATCH(Прайс!$B17,Торг!$H:$H,0))),"")</f>
        <v/>
      </c>
    </row>
    <row r="18" spans="1:8" x14ac:dyDescent="0.25">
      <c r="A18" s="94" t="s">
        <v>2444</v>
      </c>
      <c r="B18" s="98">
        <v>10012</v>
      </c>
      <c r="C18" s="98" t="s">
        <v>163</v>
      </c>
      <c r="D18" s="96" t="s">
        <v>161</v>
      </c>
      <c r="E18" s="97">
        <v>550</v>
      </c>
      <c r="F18" s="67" t="str">
        <f>IFERROR(IFERROR(INDEX(Кат!$A:$A,MATCH(Прайс!$B18,Кат!$G:$G,0)),INDEX(Торг!$B:$B,MATCH(Прайс!$B18,Торг!$H:$H,0))),"")</f>
        <v/>
      </c>
      <c r="G18" s="67" t="str">
        <f>IFERROR(IFERROR(INDEX(Кат!$B:$B,MATCH(Прайс!$B18,Кат!$G:$G,0)),INDEX(Торг!$C:$C,MATCH(Прайс!$B18,Торг!$H:$H,0))),"")</f>
        <v/>
      </c>
      <c r="H18" s="67" t="str">
        <f>IFERROR(IFERROR(INDEX(Кат!$I:$I,MATCH(Прайс!$B18,Кат!$G:$G,0)),INDEX(Торг!$I:$I,MATCH(Прайс!$B18,Торг!$H:$H,0))),"")</f>
        <v/>
      </c>
    </row>
    <row r="19" spans="1:8" x14ac:dyDescent="0.25">
      <c r="A19" s="94" t="s">
        <v>2445</v>
      </c>
      <c r="B19" s="98">
        <v>10013</v>
      </c>
      <c r="C19" s="98" t="s">
        <v>164</v>
      </c>
      <c r="D19" s="96" t="s">
        <v>161</v>
      </c>
      <c r="E19" s="97">
        <v>550</v>
      </c>
      <c r="F19" s="67" t="str">
        <f>IFERROR(IFERROR(INDEX(Кат!$A:$A,MATCH(Прайс!$B19,Кат!$G:$G,0)),INDEX(Торг!$B:$B,MATCH(Прайс!$B19,Торг!$H:$H,0))),"")</f>
        <v/>
      </c>
      <c r="G19" s="67" t="str">
        <f>IFERROR(IFERROR(INDEX(Кат!$B:$B,MATCH(Прайс!$B19,Кат!$G:$G,0)),INDEX(Торг!$C:$C,MATCH(Прайс!$B19,Торг!$H:$H,0))),"")</f>
        <v/>
      </c>
      <c r="H19" s="67" t="str">
        <f>IFERROR(IFERROR(INDEX(Кат!$I:$I,MATCH(Прайс!$B19,Кат!$G:$G,0)),INDEX(Торг!$I:$I,MATCH(Прайс!$B19,Торг!$H:$H,0))),"")</f>
        <v/>
      </c>
    </row>
    <row r="20" spans="1:8" x14ac:dyDescent="0.25">
      <c r="A20" s="94" t="s">
        <v>6528</v>
      </c>
      <c r="B20" s="98">
        <v>10014</v>
      </c>
      <c r="C20" s="98" t="s">
        <v>6529</v>
      </c>
      <c r="D20" s="96" t="s">
        <v>161</v>
      </c>
      <c r="E20" s="97">
        <v>550</v>
      </c>
      <c r="F20" s="67" t="str">
        <f>IFERROR(IFERROR(INDEX(Кат!$A:$A,MATCH(Прайс!$B20,Кат!$G:$G,0)),INDEX(Торг!$B:$B,MATCH(Прайс!$B20,Торг!$H:$H,0))),"")</f>
        <v/>
      </c>
      <c r="G20" s="67" t="str">
        <f>IFERROR(IFERROR(INDEX(Кат!$B:$B,MATCH(Прайс!$B20,Кат!$G:$G,0)),INDEX(Торг!$C:$C,MATCH(Прайс!$B20,Торг!$H:$H,0))),"")</f>
        <v/>
      </c>
      <c r="H20" s="67" t="str">
        <f>IFERROR(IFERROR(INDEX(Кат!$I:$I,MATCH(Прайс!$B20,Кат!$G:$G,0)),INDEX(Торг!$I:$I,MATCH(Прайс!$B20,Торг!$H:$H,0))),"")</f>
        <v/>
      </c>
    </row>
    <row r="21" spans="1:8" x14ac:dyDescent="0.25">
      <c r="A21" s="94" t="s">
        <v>6530</v>
      </c>
      <c r="B21" s="98">
        <v>10010</v>
      </c>
      <c r="C21" s="98" t="s">
        <v>6531</v>
      </c>
      <c r="D21" s="96" t="s">
        <v>161</v>
      </c>
      <c r="E21" s="97">
        <v>550</v>
      </c>
      <c r="F21" s="67" t="str">
        <f>IFERROR(IFERROR(INDEX(Кат!$A:$A,MATCH(Прайс!$B21,Кат!$G:$G,0)),INDEX(Торг!$B:$B,MATCH(Прайс!$B21,Торг!$H:$H,0))),"")</f>
        <v/>
      </c>
      <c r="G21" s="67" t="str">
        <f>IFERROR(IFERROR(INDEX(Кат!$B:$B,MATCH(Прайс!$B21,Кат!$G:$G,0)),INDEX(Торг!$C:$C,MATCH(Прайс!$B21,Торг!$H:$H,0))),"")</f>
        <v/>
      </c>
      <c r="H21" s="67" t="str">
        <f>IFERROR(IFERROR(INDEX(Кат!$I:$I,MATCH(Прайс!$B21,Кат!$G:$G,0)),INDEX(Торг!$I:$I,MATCH(Прайс!$B21,Торг!$H:$H,0))),"")</f>
        <v/>
      </c>
    </row>
    <row r="22" spans="1:8" x14ac:dyDescent="0.25">
      <c r="A22" s="99" t="s">
        <v>6532</v>
      </c>
      <c r="B22" s="100">
        <v>10024</v>
      </c>
      <c r="C22" s="100" t="s">
        <v>7281</v>
      </c>
      <c r="D22" s="101" t="s">
        <v>161</v>
      </c>
      <c r="E22" s="102">
        <v>320</v>
      </c>
      <c r="F22" s="67" t="str">
        <f>IFERROR(IFERROR(INDEX(Кат!$A:$A,MATCH(Прайс!$B22,Кат!$G:$G,0)),INDEX(Торг!$B:$B,MATCH(Прайс!$B22,Торг!$H:$H,0))),"")</f>
        <v/>
      </c>
      <c r="G22" s="67" t="str">
        <f>IFERROR(IFERROR(INDEX(Кат!$B:$B,MATCH(Прайс!$B22,Кат!$G:$G,0)),INDEX(Торг!$C:$C,MATCH(Прайс!$B22,Торг!$H:$H,0))),"")</f>
        <v/>
      </c>
      <c r="H22" s="67" t="str">
        <f>IFERROR(IFERROR(INDEX(Кат!$I:$I,MATCH(Прайс!$B22,Кат!$G:$G,0)),INDEX(Торг!$I:$I,MATCH(Прайс!$B22,Торг!$H:$H,0))),"")</f>
        <v/>
      </c>
    </row>
    <row r="23" spans="1:8" x14ac:dyDescent="0.25">
      <c r="A23" s="99" t="s">
        <v>6533</v>
      </c>
      <c r="B23" s="100">
        <v>10025</v>
      </c>
      <c r="C23" s="100" t="s">
        <v>7282</v>
      </c>
      <c r="D23" s="101" t="s">
        <v>161</v>
      </c>
      <c r="E23" s="102">
        <v>350</v>
      </c>
      <c r="F23" s="67" t="str">
        <f>IFERROR(IFERROR(INDEX(Кат!$A:$A,MATCH(Прайс!$B23,Кат!$G:$G,0)),INDEX(Торг!$B:$B,MATCH(Прайс!$B23,Торг!$H:$H,0))),"")</f>
        <v/>
      </c>
      <c r="G23" s="67" t="str">
        <f>IFERROR(IFERROR(INDEX(Кат!$B:$B,MATCH(Прайс!$B23,Кат!$G:$G,0)),INDEX(Торг!$C:$C,MATCH(Прайс!$B23,Торг!$H:$H,0))),"")</f>
        <v/>
      </c>
      <c r="H23" s="67" t="str">
        <f>IFERROR(IFERROR(INDEX(Кат!$I:$I,MATCH(Прайс!$B23,Кат!$G:$G,0)),INDEX(Торг!$I:$I,MATCH(Прайс!$B23,Торг!$H:$H,0))),"")</f>
        <v/>
      </c>
    </row>
    <row r="24" spans="1:8" x14ac:dyDescent="0.25">
      <c r="A24" s="99" t="s">
        <v>6534</v>
      </c>
      <c r="B24" s="100">
        <v>10026</v>
      </c>
      <c r="C24" s="100" t="s">
        <v>7283</v>
      </c>
      <c r="D24" s="101" t="s">
        <v>161</v>
      </c>
      <c r="E24" s="102">
        <v>380</v>
      </c>
      <c r="F24" s="67" t="str">
        <f>IFERROR(IFERROR(INDEX(Кат!$A:$A,MATCH(Прайс!$B24,Кат!$G:$G,0)),INDEX(Торг!$B:$B,MATCH(Прайс!$B24,Торг!$H:$H,0))),"")</f>
        <v/>
      </c>
      <c r="G24" s="67" t="str">
        <f>IFERROR(IFERROR(INDEX(Кат!$B:$B,MATCH(Прайс!$B24,Кат!$G:$G,0)),INDEX(Торг!$C:$C,MATCH(Прайс!$B24,Торг!$H:$H,0))),"")</f>
        <v/>
      </c>
      <c r="H24" s="67" t="str">
        <f>IFERROR(IFERROR(INDEX(Кат!$I:$I,MATCH(Прайс!$B24,Кат!$G:$G,0)),INDEX(Торг!$I:$I,MATCH(Прайс!$B24,Торг!$H:$H,0))),"")</f>
        <v/>
      </c>
    </row>
    <row r="25" spans="1:8" x14ac:dyDescent="0.25">
      <c r="A25" s="99" t="s">
        <v>6535</v>
      </c>
      <c r="B25" s="100">
        <v>10027</v>
      </c>
      <c r="C25" s="100" t="s">
        <v>7284</v>
      </c>
      <c r="D25" s="101" t="s">
        <v>161</v>
      </c>
      <c r="E25" s="102">
        <v>350</v>
      </c>
      <c r="F25" s="67" t="str">
        <f>IFERROR(IFERROR(INDEX(Кат!$A:$A,MATCH(Прайс!$B25,Кат!$G:$G,0)),INDEX(Торг!$B:$B,MATCH(Прайс!$B25,Торг!$H:$H,0))),"")</f>
        <v/>
      </c>
      <c r="G25" s="67" t="str">
        <f>IFERROR(IFERROR(INDEX(Кат!$B:$B,MATCH(Прайс!$B25,Кат!$G:$G,0)),INDEX(Торг!$C:$C,MATCH(Прайс!$B25,Торг!$H:$H,0))),"")</f>
        <v/>
      </c>
      <c r="H25" s="67" t="str">
        <f>IFERROR(IFERROR(INDEX(Кат!$I:$I,MATCH(Прайс!$B25,Кат!$G:$G,0)),INDEX(Торг!$I:$I,MATCH(Прайс!$B25,Торг!$H:$H,0))),"")</f>
        <v/>
      </c>
    </row>
    <row r="26" spans="1:8" x14ac:dyDescent="0.25">
      <c r="A26" s="99" t="s">
        <v>6536</v>
      </c>
      <c r="B26" s="100">
        <v>10028</v>
      </c>
      <c r="C26" s="100" t="s">
        <v>7285</v>
      </c>
      <c r="D26" s="101" t="s">
        <v>161</v>
      </c>
      <c r="E26" s="102">
        <v>380</v>
      </c>
      <c r="F26" s="67" t="str">
        <f>IFERROR(IFERROR(INDEX(Кат!$A:$A,MATCH(Прайс!$B26,Кат!$G:$G,0)),INDEX(Торг!$B:$B,MATCH(Прайс!$B26,Торг!$H:$H,0))),"")</f>
        <v/>
      </c>
      <c r="G26" s="67" t="str">
        <f>IFERROR(IFERROR(INDEX(Кат!$B:$B,MATCH(Прайс!$B26,Кат!$G:$G,0)),INDEX(Торг!$C:$C,MATCH(Прайс!$B26,Торг!$H:$H,0))),"")</f>
        <v/>
      </c>
      <c r="H26" s="67" t="str">
        <f>IFERROR(IFERROR(INDEX(Кат!$I:$I,MATCH(Прайс!$B26,Кат!$G:$G,0)),INDEX(Торг!$I:$I,MATCH(Прайс!$B26,Торг!$H:$H,0))),"")</f>
        <v/>
      </c>
    </row>
    <row r="27" spans="1:8" x14ac:dyDescent="0.25">
      <c r="A27" s="94" t="s">
        <v>2446</v>
      </c>
      <c r="B27" s="95">
        <v>10020</v>
      </c>
      <c r="C27" s="95" t="s">
        <v>7286</v>
      </c>
      <c r="D27" s="96" t="s">
        <v>165</v>
      </c>
      <c r="E27" s="97">
        <v>175</v>
      </c>
      <c r="F27" s="67" t="str">
        <f>IFERROR(IFERROR(INDEX(Кат!$A:$A,MATCH(Прайс!$B27,Кат!$G:$G,0)),INDEX(Торг!$B:$B,MATCH(Прайс!$B27,Торг!$H:$H,0))),"")</f>
        <v/>
      </c>
      <c r="G27" s="67" t="str">
        <f>IFERROR(IFERROR(INDEX(Кат!$B:$B,MATCH(Прайс!$B27,Кат!$G:$G,0)),INDEX(Торг!$C:$C,MATCH(Прайс!$B27,Торг!$H:$H,0))),"")</f>
        <v/>
      </c>
      <c r="H27" s="67" t="str">
        <f>IFERROR(IFERROR(INDEX(Кат!$I:$I,MATCH(Прайс!$B27,Кат!$G:$G,0)),INDEX(Торг!$I:$I,MATCH(Прайс!$B27,Торг!$H:$H,0))),"")</f>
        <v/>
      </c>
    </row>
    <row r="28" spans="1:8" x14ac:dyDescent="0.25">
      <c r="A28" s="94" t="s">
        <v>2447</v>
      </c>
      <c r="B28" s="95">
        <v>10021</v>
      </c>
      <c r="C28" s="95" t="s">
        <v>4983</v>
      </c>
      <c r="D28" s="96" t="s">
        <v>161</v>
      </c>
      <c r="E28" s="97">
        <v>350</v>
      </c>
      <c r="F28" s="67">
        <f>IFERROR(IFERROR(INDEX(Кат!$A:$A,MATCH(Прайс!$B28,Кат!$G:$G,0)),INDEX(Торг!$B:$B,MATCH(Прайс!$B28,Торг!$H:$H,0))),"")</f>
        <v>152870</v>
      </c>
      <c r="G28" s="67">
        <f>IFERROR(IFERROR(INDEX(Кат!$B:$B,MATCH(Прайс!$B28,Кат!$G:$G,0)),INDEX(Торг!$C:$C,MATCH(Прайс!$B28,Торг!$H:$H,0))),"")</f>
        <v>26554</v>
      </c>
      <c r="H28" s="67" t="str">
        <f>IFERROR(IFERROR(INDEX(Кат!$I:$I,MATCH(Прайс!$B28,Кат!$G:$G,0)),INDEX(Торг!$I:$I,MATCH(Прайс!$B28,Торг!$H:$H,0))),"")</f>
        <v>кристал авто</v>
      </c>
    </row>
    <row r="29" spans="1:8" x14ac:dyDescent="0.25">
      <c r="A29" s="99" t="s">
        <v>2448</v>
      </c>
      <c r="B29" s="100">
        <v>10022</v>
      </c>
      <c r="C29" s="100" t="s">
        <v>2449</v>
      </c>
      <c r="D29" s="101" t="s">
        <v>161</v>
      </c>
      <c r="E29" s="102">
        <v>360</v>
      </c>
      <c r="F29" s="67" t="str">
        <f>IFERROR(IFERROR(INDEX(Кат!$A:$A,MATCH(Прайс!$B29,Кат!$G:$G,0)),INDEX(Торг!$B:$B,MATCH(Прайс!$B29,Торг!$H:$H,0))),"")</f>
        <v/>
      </c>
      <c r="G29" s="67" t="str">
        <f>IFERROR(IFERROR(INDEX(Кат!$B:$B,MATCH(Прайс!$B29,Кат!$G:$G,0)),INDEX(Торг!$C:$C,MATCH(Прайс!$B29,Торг!$H:$H,0))),"")</f>
        <v/>
      </c>
      <c r="H29" s="67" t="str">
        <f>IFERROR(IFERROR(INDEX(Кат!$I:$I,MATCH(Прайс!$B29,Кат!$G:$G,0)),INDEX(Торг!$I:$I,MATCH(Прайс!$B29,Торг!$H:$H,0))),"")</f>
        <v/>
      </c>
    </row>
    <row r="30" spans="1:8" x14ac:dyDescent="0.25">
      <c r="A30" s="94" t="s">
        <v>2450</v>
      </c>
      <c r="B30" s="95">
        <v>10023</v>
      </c>
      <c r="C30" s="95" t="s">
        <v>4984</v>
      </c>
      <c r="D30" s="96" t="s">
        <v>161</v>
      </c>
      <c r="E30" s="97">
        <v>600</v>
      </c>
      <c r="F30" s="67" t="str">
        <f>IFERROR(IFERROR(INDEX(Кат!$A:$A,MATCH(Прайс!$B30,Кат!$G:$G,0)),INDEX(Торг!$B:$B,MATCH(Прайс!$B30,Торг!$H:$H,0))),"")</f>
        <v/>
      </c>
      <c r="G30" s="67" t="str">
        <f>IFERROR(IFERROR(INDEX(Кат!$B:$B,MATCH(Прайс!$B30,Кат!$G:$G,0)),INDEX(Торг!$C:$C,MATCH(Прайс!$B30,Торг!$H:$H,0))),"")</f>
        <v/>
      </c>
      <c r="H30" s="67" t="str">
        <f>IFERROR(IFERROR(INDEX(Кат!$I:$I,MATCH(Прайс!$B30,Кат!$G:$G,0)),INDEX(Торг!$I:$I,MATCH(Прайс!$B30,Торг!$H:$H,0))),"")</f>
        <v/>
      </c>
    </row>
    <row r="31" spans="1:8" x14ac:dyDescent="0.25">
      <c r="A31" s="94" t="s">
        <v>6537</v>
      </c>
      <c r="B31" s="95">
        <v>10004</v>
      </c>
      <c r="C31" s="95" t="s">
        <v>6538</v>
      </c>
      <c r="D31" s="96" t="s">
        <v>161</v>
      </c>
      <c r="E31" s="97">
        <v>600</v>
      </c>
      <c r="F31" s="67" t="str">
        <f>IFERROR(IFERROR(INDEX(Кат!$A:$A,MATCH(Прайс!$B31,Кат!$G:$G,0)),INDEX(Торг!$B:$B,MATCH(Прайс!$B31,Торг!$H:$H,0))),"")</f>
        <v/>
      </c>
      <c r="G31" s="67" t="str">
        <f>IFERROR(IFERROR(INDEX(Кат!$B:$B,MATCH(Прайс!$B31,Кат!$G:$G,0)),INDEX(Торг!$C:$C,MATCH(Прайс!$B31,Торг!$H:$H,0))),"")</f>
        <v/>
      </c>
      <c r="H31" s="67" t="str">
        <f>IFERROR(IFERROR(INDEX(Кат!$I:$I,MATCH(Прайс!$B31,Кат!$G:$G,0)),INDEX(Торг!$I:$I,MATCH(Прайс!$B31,Торг!$H:$H,0))),"")</f>
        <v/>
      </c>
    </row>
    <row r="32" spans="1:8" x14ac:dyDescent="0.25">
      <c r="A32" s="94" t="s">
        <v>2451</v>
      </c>
      <c r="B32" s="95">
        <v>10002</v>
      </c>
      <c r="C32" s="95" t="s">
        <v>8129</v>
      </c>
      <c r="D32" s="96" t="s">
        <v>159</v>
      </c>
      <c r="E32" s="97">
        <v>200</v>
      </c>
      <c r="F32" s="67" t="str">
        <f>IFERROR(IFERROR(INDEX(Кат!$A:$A,MATCH(Прайс!$B32,Кат!$G:$G,0)),INDEX(Торг!$B:$B,MATCH(Прайс!$B32,Торг!$H:$H,0))),"")</f>
        <v/>
      </c>
      <c r="G32" s="67" t="str">
        <f>IFERROR(IFERROR(INDEX(Кат!$B:$B,MATCH(Прайс!$B32,Кат!$G:$G,0)),INDEX(Торг!$C:$C,MATCH(Прайс!$B32,Торг!$H:$H,0))),"")</f>
        <v/>
      </c>
      <c r="H32" s="67" t="str">
        <f>IFERROR(IFERROR(INDEX(Кат!$I:$I,MATCH(Прайс!$B32,Кат!$G:$G,0)),INDEX(Торг!$I:$I,MATCH(Прайс!$B32,Торг!$H:$H,0))),"")</f>
        <v/>
      </c>
    </row>
    <row r="33" spans="1:8" ht="15.75" x14ac:dyDescent="0.25">
      <c r="A33" s="87"/>
      <c r="B33" s="88"/>
      <c r="C33" s="88" t="s">
        <v>167</v>
      </c>
      <c r="D33" s="88"/>
      <c r="E33" s="89"/>
      <c r="F33" s="67" t="str">
        <f>IFERROR(IFERROR(INDEX(Кат!$A:$A,MATCH(Прайс!$B33,Кат!$G:$G,0)),INDEX(Торг!$B:$B,MATCH(Прайс!$B33,Торг!$H:$H,0))),"")</f>
        <v/>
      </c>
      <c r="G33" s="67" t="str">
        <f>IFERROR(IFERROR(INDEX(Кат!$B:$B,MATCH(Прайс!$B33,Кат!$G:$G,0)),INDEX(Торг!$C:$C,MATCH(Прайс!$B33,Торг!$H:$H,0))),"")</f>
        <v/>
      </c>
      <c r="H33" s="67" t="str">
        <f>IFERROR(IFERROR(INDEX(Кат!$I:$I,MATCH(Прайс!$B33,Кат!$G:$G,0)),INDEX(Торг!$I:$I,MATCH(Прайс!$B33,Торг!$H:$H,0))),"")</f>
        <v/>
      </c>
    </row>
    <row r="34" spans="1:8" ht="15.75" x14ac:dyDescent="0.25">
      <c r="A34" s="90"/>
      <c r="B34" s="91"/>
      <c r="C34" s="92" t="s">
        <v>168</v>
      </c>
      <c r="D34" s="91"/>
      <c r="E34" s="93"/>
      <c r="F34" s="67" t="str">
        <f>IFERROR(IFERROR(INDEX(Кат!$A:$A,MATCH(Прайс!$B34,Кат!$G:$G,0)),INDEX(Торг!$B:$B,MATCH(Прайс!$B34,Торг!$H:$H,0))),"")</f>
        <v/>
      </c>
      <c r="G34" s="67" t="str">
        <f>IFERROR(IFERROR(INDEX(Кат!$B:$B,MATCH(Прайс!$B34,Кат!$G:$G,0)),INDEX(Торг!$C:$C,MATCH(Прайс!$B34,Торг!$H:$H,0))),"")</f>
        <v/>
      </c>
      <c r="H34" s="67" t="str">
        <f>IFERROR(IFERROR(INDEX(Кат!$I:$I,MATCH(Прайс!$B34,Кат!$G:$G,0)),INDEX(Торг!$I:$I,MATCH(Прайс!$B34,Торг!$H:$H,0))),"")</f>
        <v/>
      </c>
    </row>
    <row r="35" spans="1:8" x14ac:dyDescent="0.25">
      <c r="A35" s="103" t="s">
        <v>2452</v>
      </c>
      <c r="B35" s="104">
        <v>20007</v>
      </c>
      <c r="C35" s="104" t="s">
        <v>169</v>
      </c>
      <c r="D35" s="105" t="s">
        <v>161</v>
      </c>
      <c r="E35" s="106">
        <v>2200</v>
      </c>
      <c r="F35" s="67" t="str">
        <f>IFERROR(IFERROR(INDEX(Кат!$A:$A,MATCH(Прайс!$B35,Кат!$G:$G,0)),INDEX(Торг!$B:$B,MATCH(Прайс!$B35,Торг!$H:$H,0))),"")</f>
        <v/>
      </c>
      <c r="G35" s="67" t="str">
        <f>IFERROR(IFERROR(INDEX(Кат!$B:$B,MATCH(Прайс!$B35,Кат!$G:$G,0)),INDEX(Торг!$C:$C,MATCH(Прайс!$B35,Торг!$H:$H,0))),"")</f>
        <v/>
      </c>
      <c r="H35" s="67" t="str">
        <f>IFERROR(IFERROR(INDEX(Кат!$I:$I,MATCH(Прайс!$B35,Кат!$G:$G,0)),INDEX(Торг!$I:$I,MATCH(Прайс!$B35,Торг!$H:$H,0))),"")</f>
        <v/>
      </c>
    </row>
    <row r="36" spans="1:8" x14ac:dyDescent="0.25">
      <c r="A36" s="103" t="s">
        <v>8130</v>
      </c>
      <c r="B36" s="104">
        <v>20008</v>
      </c>
      <c r="C36" s="104" t="s">
        <v>8131</v>
      </c>
      <c r="D36" s="105" t="s">
        <v>161</v>
      </c>
      <c r="E36" s="106">
        <v>3000</v>
      </c>
      <c r="F36" s="67" t="str">
        <f>IFERROR(IFERROR(INDEX(Кат!$A:$A,MATCH(Прайс!$B36,Кат!$G:$G,0)),INDEX(Торг!$B:$B,MATCH(Прайс!$B36,Торг!$H:$H,0))),"")</f>
        <v/>
      </c>
      <c r="G36" s="67" t="str">
        <f>IFERROR(IFERROR(INDEX(Кат!$B:$B,MATCH(Прайс!$B36,Кат!$G:$G,0)),INDEX(Торг!$C:$C,MATCH(Прайс!$B36,Торг!$H:$H,0))),"")</f>
        <v/>
      </c>
      <c r="H36" s="67" t="str">
        <f>IFERROR(IFERROR(INDEX(Кат!$I:$I,MATCH(Прайс!$B36,Кат!$G:$G,0)),INDEX(Торг!$I:$I,MATCH(Прайс!$B36,Торг!$H:$H,0))),"")</f>
        <v/>
      </c>
    </row>
    <row r="37" spans="1:8" x14ac:dyDescent="0.25">
      <c r="A37" s="103" t="s">
        <v>2453</v>
      </c>
      <c r="B37" s="104">
        <v>20009</v>
      </c>
      <c r="C37" s="104" t="s">
        <v>170</v>
      </c>
      <c r="D37" s="105" t="s">
        <v>162</v>
      </c>
      <c r="E37" s="106">
        <v>3300</v>
      </c>
      <c r="F37" s="67" t="str">
        <f>IFERROR(IFERROR(INDEX(Кат!$A:$A,MATCH(Прайс!$B37,Кат!$G:$G,0)),INDEX(Торг!$B:$B,MATCH(Прайс!$B37,Торг!$H:$H,0))),"")</f>
        <v/>
      </c>
      <c r="G37" s="67" t="str">
        <f>IFERROR(IFERROR(INDEX(Кат!$B:$B,MATCH(Прайс!$B37,Кат!$G:$G,0)),INDEX(Торг!$C:$C,MATCH(Прайс!$B37,Торг!$H:$H,0))),"")</f>
        <v/>
      </c>
      <c r="H37" s="67" t="str">
        <f>IFERROR(IFERROR(INDEX(Кат!$I:$I,MATCH(Прайс!$B37,Кат!$G:$G,0)),INDEX(Торг!$I:$I,MATCH(Прайс!$B37,Торг!$H:$H,0))),"")</f>
        <v/>
      </c>
    </row>
    <row r="38" spans="1:8" x14ac:dyDescent="0.25">
      <c r="A38" s="103" t="s">
        <v>6539</v>
      </c>
      <c r="B38" s="104">
        <v>20525</v>
      </c>
      <c r="C38" s="104" t="s">
        <v>6540</v>
      </c>
      <c r="D38" s="105" t="s">
        <v>582</v>
      </c>
      <c r="E38" s="106">
        <v>3300</v>
      </c>
      <c r="F38" s="67" t="str">
        <f>IFERROR(IFERROR(INDEX(Кат!$A:$A,MATCH(Прайс!$B38,Кат!$G:$G,0)),INDEX(Торг!$B:$B,MATCH(Прайс!$B38,Торг!$H:$H,0))),"")</f>
        <v/>
      </c>
      <c r="G38" s="67" t="str">
        <f>IFERROR(IFERROR(INDEX(Кат!$B:$B,MATCH(Прайс!$B38,Кат!$G:$G,0)),INDEX(Торг!$C:$C,MATCH(Прайс!$B38,Торг!$H:$H,0))),"")</f>
        <v/>
      </c>
      <c r="H38" s="67" t="str">
        <f>IFERROR(IFERROR(INDEX(Кат!$I:$I,MATCH(Прайс!$B38,Кат!$G:$G,0)),INDEX(Торг!$I:$I,MATCH(Прайс!$B38,Торг!$H:$H,0))),"")</f>
        <v/>
      </c>
    </row>
    <row r="39" spans="1:8" x14ac:dyDescent="0.25">
      <c r="A39" s="103" t="s">
        <v>2454</v>
      </c>
      <c r="B39" s="104">
        <v>20004</v>
      </c>
      <c r="C39" s="104" t="s">
        <v>171</v>
      </c>
      <c r="D39" s="105" t="s">
        <v>162</v>
      </c>
      <c r="E39" s="106">
        <v>4500</v>
      </c>
      <c r="F39" s="67" t="str">
        <f>IFERROR(IFERROR(INDEX(Кат!$A:$A,MATCH(Прайс!$B39,Кат!$G:$G,0)),INDEX(Торг!$B:$B,MATCH(Прайс!$B39,Торг!$H:$H,0))),"")</f>
        <v/>
      </c>
      <c r="G39" s="67" t="str">
        <f>IFERROR(IFERROR(INDEX(Кат!$B:$B,MATCH(Прайс!$B39,Кат!$G:$G,0)),INDEX(Торг!$C:$C,MATCH(Прайс!$B39,Торг!$H:$H,0))),"")</f>
        <v/>
      </c>
      <c r="H39" s="67" t="str">
        <f>IFERROR(IFERROR(INDEX(Кат!$I:$I,MATCH(Прайс!$B39,Кат!$G:$G,0)),INDEX(Торг!$I:$I,MATCH(Прайс!$B39,Торг!$H:$H,0))),"")</f>
        <v/>
      </c>
    </row>
    <row r="40" spans="1:8" x14ac:dyDescent="0.25">
      <c r="A40" s="103" t="s">
        <v>2455</v>
      </c>
      <c r="B40" s="104">
        <v>20005</v>
      </c>
      <c r="C40" s="104" t="s">
        <v>172</v>
      </c>
      <c r="D40" s="105" t="s">
        <v>162</v>
      </c>
      <c r="E40" s="106">
        <v>7000</v>
      </c>
      <c r="F40" s="67" t="str">
        <f>IFERROR(IFERROR(INDEX(Кат!$A:$A,MATCH(Прайс!$B40,Кат!$G:$G,0)),INDEX(Торг!$B:$B,MATCH(Прайс!$B40,Торг!$H:$H,0))),"")</f>
        <v/>
      </c>
      <c r="G40" s="67" t="str">
        <f>IFERROR(IFERROR(INDEX(Кат!$B:$B,MATCH(Прайс!$B40,Кат!$G:$G,0)),INDEX(Торг!$C:$C,MATCH(Прайс!$B40,Торг!$H:$H,0))),"")</f>
        <v/>
      </c>
      <c r="H40" s="67" t="str">
        <f>IFERROR(IFERROR(INDEX(Кат!$I:$I,MATCH(Прайс!$B40,Кат!$G:$G,0)),INDEX(Торг!$I:$I,MATCH(Прайс!$B40,Торг!$H:$H,0))),"")</f>
        <v/>
      </c>
    </row>
    <row r="41" spans="1:8" x14ac:dyDescent="0.25">
      <c r="A41" s="103" t="s">
        <v>2456</v>
      </c>
      <c r="B41" s="104">
        <v>20006</v>
      </c>
      <c r="C41" s="104" t="s">
        <v>173</v>
      </c>
      <c r="D41" s="105" t="s">
        <v>162</v>
      </c>
      <c r="E41" s="106">
        <v>12600</v>
      </c>
      <c r="F41" s="67" t="str">
        <f>IFERROR(IFERROR(INDEX(Кат!$A:$A,MATCH(Прайс!$B41,Кат!$G:$G,0)),INDEX(Торг!$B:$B,MATCH(Прайс!$B41,Торг!$H:$H,0))),"")</f>
        <v/>
      </c>
      <c r="G41" s="67" t="str">
        <f>IFERROR(IFERROR(INDEX(Кат!$B:$B,MATCH(Прайс!$B41,Кат!$G:$G,0)),INDEX(Торг!$C:$C,MATCH(Прайс!$B41,Торг!$H:$H,0))),"")</f>
        <v/>
      </c>
      <c r="H41" s="67" t="str">
        <f>IFERROR(IFERROR(INDEX(Кат!$I:$I,MATCH(Прайс!$B41,Кат!$G:$G,0)),INDEX(Торг!$I:$I,MATCH(Прайс!$B41,Торг!$H:$H,0))),"")</f>
        <v/>
      </c>
    </row>
    <row r="42" spans="1:8" ht="15.75" x14ac:dyDescent="0.25">
      <c r="A42" s="90"/>
      <c r="B42" s="91"/>
      <c r="C42" s="92" t="s">
        <v>7287</v>
      </c>
      <c r="D42" s="91"/>
      <c r="E42" s="93"/>
      <c r="F42" s="67" t="str">
        <f>IFERROR(IFERROR(INDEX(Кат!$A:$A,MATCH(Прайс!$B42,Кат!$G:$G,0)),INDEX(Торг!$B:$B,MATCH(Прайс!$B42,Торг!$H:$H,0))),"")</f>
        <v/>
      </c>
      <c r="G42" s="67" t="str">
        <f>IFERROR(IFERROR(INDEX(Кат!$B:$B,MATCH(Прайс!$B42,Кат!$G:$G,0)),INDEX(Торг!$C:$C,MATCH(Прайс!$B42,Торг!$H:$H,0))),"")</f>
        <v/>
      </c>
      <c r="H42" s="67" t="str">
        <f>IFERROR(IFERROR(INDEX(Кат!$I:$I,MATCH(Прайс!$B42,Кат!$G:$G,0)),INDEX(Торг!$I:$I,MATCH(Прайс!$B42,Торг!$H:$H,0))),"")</f>
        <v/>
      </c>
    </row>
    <row r="43" spans="1:8" x14ac:dyDescent="0.25">
      <c r="A43" s="103" t="s">
        <v>7288</v>
      </c>
      <c r="B43" s="104">
        <v>20195</v>
      </c>
      <c r="C43" s="104" t="s">
        <v>7289</v>
      </c>
      <c r="D43" s="105" t="s">
        <v>175</v>
      </c>
      <c r="E43" s="106">
        <v>4500</v>
      </c>
      <c r="F43" s="67" t="str">
        <f>IFERROR(IFERROR(INDEX(Кат!$A:$A,MATCH(Прайс!$B43,Кат!$G:$G,0)),INDEX(Торг!$B:$B,MATCH(Прайс!$B43,Торг!$H:$H,0))),"")</f>
        <v/>
      </c>
      <c r="G43" s="67" t="str">
        <f>IFERROR(IFERROR(INDEX(Кат!$B:$B,MATCH(Прайс!$B43,Кат!$G:$G,0)),INDEX(Торг!$C:$C,MATCH(Прайс!$B43,Торг!$H:$H,0))),"")</f>
        <v/>
      </c>
      <c r="H43" s="67" t="str">
        <f>IFERROR(IFERROR(INDEX(Кат!$I:$I,MATCH(Прайс!$B43,Кат!$G:$G,0)),INDEX(Торг!$I:$I,MATCH(Прайс!$B43,Торг!$H:$H,0))),"")</f>
        <v/>
      </c>
    </row>
    <row r="44" spans="1:8" x14ac:dyDescent="0.25">
      <c r="A44" s="94" t="s">
        <v>7290</v>
      </c>
      <c r="B44" s="98">
        <v>20207</v>
      </c>
      <c r="C44" s="98" t="s">
        <v>7291</v>
      </c>
      <c r="D44" s="96" t="s">
        <v>161</v>
      </c>
      <c r="E44" s="97">
        <v>980</v>
      </c>
      <c r="F44" s="67" t="str">
        <f>IFERROR(IFERROR(INDEX(Кат!$A:$A,MATCH(Прайс!$B44,Кат!$G:$G,0)),INDEX(Торг!$B:$B,MATCH(Прайс!$B44,Торг!$H:$H,0))),"")</f>
        <v/>
      </c>
      <c r="G44" s="67" t="str">
        <f>IFERROR(IFERROR(INDEX(Кат!$B:$B,MATCH(Прайс!$B44,Кат!$G:$G,0)),INDEX(Торг!$C:$C,MATCH(Прайс!$B44,Торг!$H:$H,0))),"")</f>
        <v/>
      </c>
      <c r="H44" s="67" t="str">
        <f>IFERROR(IFERROR(INDEX(Кат!$I:$I,MATCH(Прайс!$B44,Кат!$G:$G,0)),INDEX(Торг!$I:$I,MATCH(Прайс!$B44,Торг!$H:$H,0))),"")</f>
        <v/>
      </c>
    </row>
    <row r="45" spans="1:8" x14ac:dyDescent="0.25">
      <c r="A45" s="94" t="s">
        <v>7292</v>
      </c>
      <c r="B45" s="98">
        <v>20208</v>
      </c>
      <c r="C45" s="98" t="s">
        <v>7293</v>
      </c>
      <c r="D45" s="96" t="s">
        <v>162</v>
      </c>
      <c r="E45" s="107">
        <v>1600</v>
      </c>
      <c r="F45" s="67" t="str">
        <f>IFERROR(IFERROR(INDEX(Кат!$A:$A,MATCH(Прайс!$B45,Кат!$G:$G,0)),INDEX(Торг!$B:$B,MATCH(Прайс!$B45,Торг!$H:$H,0))),"")</f>
        <v/>
      </c>
      <c r="G45" s="67" t="str">
        <f>IFERROR(IFERROR(INDEX(Кат!$B:$B,MATCH(Прайс!$B45,Кат!$G:$G,0)),INDEX(Торг!$C:$C,MATCH(Прайс!$B45,Торг!$H:$H,0))),"")</f>
        <v/>
      </c>
      <c r="H45" s="67" t="str">
        <f>IFERROR(IFERROR(INDEX(Кат!$I:$I,MATCH(Прайс!$B45,Кат!$G:$G,0)),INDEX(Торг!$I:$I,MATCH(Прайс!$B45,Торг!$H:$H,0))),"")</f>
        <v/>
      </c>
    </row>
    <row r="46" spans="1:8" x14ac:dyDescent="0.25">
      <c r="A46" s="99" t="s">
        <v>7294</v>
      </c>
      <c r="B46" s="108">
        <v>24201</v>
      </c>
      <c r="C46" s="108" t="s">
        <v>7295</v>
      </c>
      <c r="D46" s="101" t="s">
        <v>582</v>
      </c>
      <c r="E46" s="102">
        <v>430</v>
      </c>
      <c r="F46" s="67" t="str">
        <f>IFERROR(IFERROR(INDEX(Кат!$A:$A,MATCH(Прайс!$B46,Кат!$G:$G,0)),INDEX(Торг!$B:$B,MATCH(Прайс!$B46,Торг!$H:$H,0))),"")</f>
        <v/>
      </c>
      <c r="G46" s="67" t="str">
        <f>IFERROR(IFERROR(INDEX(Кат!$B:$B,MATCH(Прайс!$B46,Кат!$G:$G,0)),INDEX(Торг!$C:$C,MATCH(Прайс!$B46,Торг!$H:$H,0))),"")</f>
        <v/>
      </c>
      <c r="H46" s="67" t="str">
        <f>IFERROR(IFERROR(INDEX(Кат!$I:$I,MATCH(Прайс!$B46,Кат!$G:$G,0)),INDEX(Торг!$I:$I,MATCH(Прайс!$B46,Торг!$H:$H,0))),"")</f>
        <v/>
      </c>
    </row>
    <row r="47" spans="1:8" x14ac:dyDescent="0.25">
      <c r="A47" s="99" t="s">
        <v>7296</v>
      </c>
      <c r="B47" s="108">
        <v>24202</v>
      </c>
      <c r="C47" s="108" t="s">
        <v>7297</v>
      </c>
      <c r="D47" s="101" t="s">
        <v>582</v>
      </c>
      <c r="E47" s="102">
        <v>550</v>
      </c>
      <c r="F47" s="67" t="str">
        <f>IFERROR(IFERROR(INDEX(Кат!$A:$A,MATCH(Прайс!$B47,Кат!$G:$G,0)),INDEX(Торг!$B:$B,MATCH(Прайс!$B47,Торг!$H:$H,0))),"")</f>
        <v/>
      </c>
      <c r="G47" s="67" t="str">
        <f>IFERROR(IFERROR(INDEX(Кат!$B:$B,MATCH(Прайс!$B47,Кат!$G:$G,0)),INDEX(Торг!$C:$C,MATCH(Прайс!$B47,Торг!$H:$H,0))),"")</f>
        <v/>
      </c>
      <c r="H47" s="67" t="str">
        <f>IFERROR(IFERROR(INDEX(Кат!$I:$I,MATCH(Прайс!$B47,Кат!$G:$G,0)),INDEX(Торг!$I:$I,MATCH(Прайс!$B47,Торг!$H:$H,0))),"")</f>
        <v/>
      </c>
    </row>
    <row r="48" spans="1:8" x14ac:dyDescent="0.25">
      <c r="A48" s="99" t="s">
        <v>7298</v>
      </c>
      <c r="B48" s="108">
        <v>24203</v>
      </c>
      <c r="C48" s="108" t="s">
        <v>7299</v>
      </c>
      <c r="D48" s="101" t="s">
        <v>582</v>
      </c>
      <c r="E48" s="102">
        <v>570</v>
      </c>
      <c r="F48" s="67" t="str">
        <f>IFERROR(IFERROR(INDEX(Кат!$A:$A,MATCH(Прайс!$B48,Кат!$G:$G,0)),INDEX(Торг!$B:$B,MATCH(Прайс!$B48,Торг!$H:$H,0))),"")</f>
        <v/>
      </c>
      <c r="G48" s="67" t="str">
        <f>IFERROR(IFERROR(INDEX(Кат!$B:$B,MATCH(Прайс!$B48,Кат!$G:$G,0)),INDEX(Торг!$C:$C,MATCH(Прайс!$B48,Торг!$H:$H,0))),"")</f>
        <v/>
      </c>
      <c r="H48" s="67" t="str">
        <f>IFERROR(IFERROR(INDEX(Кат!$I:$I,MATCH(Прайс!$B48,Кат!$G:$G,0)),INDEX(Торг!$I:$I,MATCH(Прайс!$B48,Торг!$H:$H,0))),"")</f>
        <v/>
      </c>
    </row>
    <row r="49" spans="1:8" x14ac:dyDescent="0.25">
      <c r="A49" s="99" t="s">
        <v>7300</v>
      </c>
      <c r="B49" s="108">
        <v>24204</v>
      </c>
      <c r="C49" s="108" t="s">
        <v>7301</v>
      </c>
      <c r="D49" s="101" t="s">
        <v>582</v>
      </c>
      <c r="E49" s="102">
        <v>600</v>
      </c>
      <c r="F49" s="67" t="str">
        <f>IFERROR(IFERROR(INDEX(Кат!$A:$A,MATCH(Прайс!$B49,Кат!$G:$G,0)),INDEX(Торг!$B:$B,MATCH(Прайс!$B49,Торг!$H:$H,0))),"")</f>
        <v/>
      </c>
      <c r="G49" s="67" t="str">
        <f>IFERROR(IFERROR(INDEX(Кат!$B:$B,MATCH(Прайс!$B49,Кат!$G:$G,0)),INDEX(Торг!$C:$C,MATCH(Прайс!$B49,Торг!$H:$H,0))),"")</f>
        <v/>
      </c>
      <c r="H49" s="67" t="str">
        <f>IFERROR(IFERROR(INDEX(Кат!$I:$I,MATCH(Прайс!$B49,Кат!$G:$G,0)),INDEX(Торг!$I:$I,MATCH(Прайс!$B49,Торг!$H:$H,0))),"")</f>
        <v/>
      </c>
    </row>
    <row r="50" spans="1:8" ht="15.75" x14ac:dyDescent="0.25">
      <c r="A50" s="90"/>
      <c r="B50" s="91"/>
      <c r="C50" s="92" t="s">
        <v>7302</v>
      </c>
      <c r="D50" s="91"/>
      <c r="E50" s="93"/>
      <c r="F50" s="67" t="str">
        <f>IFERROR(IFERROR(INDEX(Кат!$A:$A,MATCH(Прайс!$B50,Кат!$G:$G,0)),INDEX(Торг!$B:$B,MATCH(Прайс!$B50,Торг!$H:$H,0))),"")</f>
        <v/>
      </c>
      <c r="G50" s="67" t="str">
        <f>IFERROR(IFERROR(INDEX(Кат!$B:$B,MATCH(Прайс!$B50,Кат!$G:$G,0)),INDEX(Торг!$C:$C,MATCH(Прайс!$B50,Торг!$H:$H,0))),"")</f>
        <v/>
      </c>
      <c r="H50" s="67" t="str">
        <f>IFERROR(IFERROR(INDEX(Кат!$I:$I,MATCH(Прайс!$B50,Кат!$G:$G,0)),INDEX(Торг!$I:$I,MATCH(Прайс!$B50,Торг!$H:$H,0))),"")</f>
        <v/>
      </c>
    </row>
    <row r="51" spans="1:8" x14ac:dyDescent="0.25">
      <c r="A51" s="99" t="s">
        <v>7303</v>
      </c>
      <c r="B51" s="108">
        <v>20012</v>
      </c>
      <c r="C51" s="108" t="s">
        <v>7304</v>
      </c>
      <c r="D51" s="101" t="s">
        <v>165</v>
      </c>
      <c r="E51" s="102">
        <v>320</v>
      </c>
      <c r="F51" s="67" t="str">
        <f>IFERROR(IFERROR(INDEX(Кат!$A:$A,MATCH(Прайс!$B51,Кат!$G:$G,0)),INDEX(Торг!$B:$B,MATCH(Прайс!$B51,Торг!$H:$H,0))),"")</f>
        <v/>
      </c>
      <c r="G51" s="67" t="str">
        <f>IFERROR(IFERROR(INDEX(Кат!$B:$B,MATCH(Прайс!$B51,Кат!$G:$G,0)),INDEX(Торг!$C:$C,MATCH(Прайс!$B51,Торг!$H:$H,0))),"")</f>
        <v/>
      </c>
      <c r="H51" s="67" t="str">
        <f>IFERROR(IFERROR(INDEX(Кат!$I:$I,MATCH(Прайс!$B51,Кат!$G:$G,0)),INDEX(Торг!$I:$I,MATCH(Прайс!$B51,Торг!$H:$H,0))),"")</f>
        <v/>
      </c>
    </row>
    <row r="52" spans="1:8" x14ac:dyDescent="0.25">
      <c r="A52" s="99" t="s">
        <v>7305</v>
      </c>
      <c r="B52" s="108">
        <v>20384</v>
      </c>
      <c r="C52" s="108" t="s">
        <v>7306</v>
      </c>
      <c r="D52" s="101" t="s">
        <v>161</v>
      </c>
      <c r="E52" s="102">
        <v>320</v>
      </c>
      <c r="F52" s="67" t="str">
        <f>IFERROR(IFERROR(INDEX(Кат!$A:$A,MATCH(Прайс!$B52,Кат!$G:$G,0)),INDEX(Торг!$B:$B,MATCH(Прайс!$B52,Торг!$H:$H,0))),"")</f>
        <v/>
      </c>
      <c r="G52" s="67" t="str">
        <f>IFERROR(IFERROR(INDEX(Кат!$B:$B,MATCH(Прайс!$B52,Кат!$G:$G,0)),INDEX(Торг!$C:$C,MATCH(Прайс!$B52,Торг!$H:$H,0))),"")</f>
        <v/>
      </c>
      <c r="H52" s="67" t="str">
        <f>IFERROR(IFERROR(INDEX(Кат!$I:$I,MATCH(Прайс!$B52,Кат!$G:$G,0)),INDEX(Торг!$I:$I,MATCH(Прайс!$B52,Торг!$H:$H,0))),"")</f>
        <v/>
      </c>
    </row>
    <row r="53" spans="1:8" x14ac:dyDescent="0.25">
      <c r="A53" s="109" t="s">
        <v>8132</v>
      </c>
      <c r="B53" s="110">
        <v>20558</v>
      </c>
      <c r="C53" s="110" t="s">
        <v>8133</v>
      </c>
      <c r="D53" s="111" t="s">
        <v>161</v>
      </c>
      <c r="E53" s="112">
        <v>320</v>
      </c>
      <c r="F53" s="67" t="str">
        <f>IFERROR(IFERROR(INDEX(Кат!$A:$A,MATCH(Прайс!$B53,Кат!$G:$G,0)),INDEX(Торг!$B:$B,MATCH(Прайс!$B53,Торг!$H:$H,0))),"")</f>
        <v/>
      </c>
      <c r="G53" s="67" t="str">
        <f>IFERROR(IFERROR(INDEX(Кат!$B:$B,MATCH(Прайс!$B53,Кат!$G:$G,0)),INDEX(Торг!$C:$C,MATCH(Прайс!$B53,Торг!$H:$H,0))),"")</f>
        <v/>
      </c>
      <c r="H53" s="67" t="str">
        <f>IFERROR(IFERROR(INDEX(Кат!$I:$I,MATCH(Прайс!$B53,Кат!$G:$G,0)),INDEX(Торг!$I:$I,MATCH(Прайс!$B53,Торг!$H:$H,0))),"")</f>
        <v/>
      </c>
    </row>
    <row r="54" spans="1:8" x14ac:dyDescent="0.25">
      <c r="A54" s="109" t="s">
        <v>8382</v>
      </c>
      <c r="B54" s="110">
        <v>20567</v>
      </c>
      <c r="C54" s="110" t="s">
        <v>8383</v>
      </c>
      <c r="D54" s="111" t="s">
        <v>257</v>
      </c>
      <c r="E54" s="112">
        <v>300</v>
      </c>
      <c r="F54" s="67" t="str">
        <f>IFERROR(IFERROR(INDEX(Кат!$A:$A,MATCH(Прайс!$B54,Кат!$G:$G,0)),INDEX(Торг!$B:$B,MATCH(Прайс!$B54,Торг!$H:$H,0))),"")</f>
        <v/>
      </c>
      <c r="G54" s="67" t="str">
        <f>IFERROR(IFERROR(INDEX(Кат!$B:$B,MATCH(Прайс!$B54,Кат!$G:$G,0)),INDEX(Торг!$C:$C,MATCH(Прайс!$B54,Торг!$H:$H,0))),"")</f>
        <v/>
      </c>
      <c r="H54" s="67" t="str">
        <f>IFERROR(IFERROR(INDEX(Кат!$I:$I,MATCH(Прайс!$B54,Кат!$G:$G,0)),INDEX(Торг!$I:$I,MATCH(Прайс!$B54,Торг!$H:$H,0))),"")</f>
        <v/>
      </c>
    </row>
    <row r="55" spans="1:8" x14ac:dyDescent="0.25">
      <c r="A55" s="99" t="s">
        <v>7307</v>
      </c>
      <c r="B55" s="108">
        <v>20488</v>
      </c>
      <c r="C55" s="108" t="s">
        <v>7308</v>
      </c>
      <c r="D55" s="101" t="s">
        <v>160</v>
      </c>
      <c r="E55" s="102">
        <v>850</v>
      </c>
      <c r="F55" s="67" t="str">
        <f>IFERROR(IFERROR(INDEX(Кат!$A:$A,MATCH(Прайс!$B55,Кат!$G:$G,0)),INDEX(Торг!$B:$B,MATCH(Прайс!$B55,Торг!$H:$H,0))),"")</f>
        <v/>
      </c>
      <c r="G55" s="67" t="str">
        <f>IFERROR(IFERROR(INDEX(Кат!$B:$B,MATCH(Прайс!$B55,Кат!$G:$G,0)),INDEX(Торг!$C:$C,MATCH(Прайс!$B55,Торг!$H:$H,0))),"")</f>
        <v/>
      </c>
      <c r="H55" s="67" t="str">
        <f>IFERROR(IFERROR(INDEX(Кат!$I:$I,MATCH(Прайс!$B55,Кат!$G:$G,0)),INDEX(Торг!$I:$I,MATCH(Прайс!$B55,Торг!$H:$H,0))),"")</f>
        <v/>
      </c>
    </row>
    <row r="56" spans="1:8" x14ac:dyDescent="0.25">
      <c r="A56" s="99" t="s">
        <v>7309</v>
      </c>
      <c r="B56" s="108">
        <v>20437</v>
      </c>
      <c r="C56" s="108" t="s">
        <v>7310</v>
      </c>
      <c r="D56" s="101" t="s">
        <v>160</v>
      </c>
      <c r="E56" s="102">
        <v>850</v>
      </c>
      <c r="F56" s="67" t="str">
        <f>IFERROR(IFERROR(INDEX(Кат!$A:$A,MATCH(Прайс!$B56,Кат!$G:$G,0)),INDEX(Торг!$B:$B,MATCH(Прайс!$B56,Торг!$H:$H,0))),"")</f>
        <v/>
      </c>
      <c r="G56" s="67" t="str">
        <f>IFERROR(IFERROR(INDEX(Кат!$B:$B,MATCH(Прайс!$B56,Кат!$G:$G,0)),INDEX(Торг!$C:$C,MATCH(Прайс!$B56,Торг!$H:$H,0))),"")</f>
        <v/>
      </c>
      <c r="H56" s="67" t="str">
        <f>IFERROR(IFERROR(INDEX(Кат!$I:$I,MATCH(Прайс!$B56,Кат!$G:$G,0)),INDEX(Торг!$I:$I,MATCH(Прайс!$B56,Торг!$H:$H,0))),"")</f>
        <v/>
      </c>
    </row>
    <row r="57" spans="1:8" x14ac:dyDescent="0.25">
      <c r="A57" s="99" t="s">
        <v>7311</v>
      </c>
      <c r="B57" s="108">
        <v>20013</v>
      </c>
      <c r="C57" s="108" t="s">
        <v>7312</v>
      </c>
      <c r="D57" s="101" t="s">
        <v>161</v>
      </c>
      <c r="E57" s="102">
        <v>650</v>
      </c>
      <c r="F57" s="67" t="str">
        <f>IFERROR(IFERROR(INDEX(Кат!$A:$A,MATCH(Прайс!$B57,Кат!$G:$G,0)),INDEX(Торг!$B:$B,MATCH(Прайс!$B57,Торг!$H:$H,0))),"")</f>
        <v/>
      </c>
      <c r="G57" s="67" t="str">
        <f>IFERROR(IFERROR(INDEX(Кат!$B:$B,MATCH(Прайс!$B57,Кат!$G:$G,0)),INDEX(Торг!$C:$C,MATCH(Прайс!$B57,Торг!$H:$H,0))),"")</f>
        <v/>
      </c>
      <c r="H57" s="67" t="str">
        <f>IFERROR(IFERROR(INDEX(Кат!$I:$I,MATCH(Прайс!$B57,Кат!$G:$G,0)),INDEX(Торг!$I:$I,MATCH(Прайс!$B57,Торг!$H:$H,0))),"")</f>
        <v/>
      </c>
    </row>
    <row r="58" spans="1:8" x14ac:dyDescent="0.25">
      <c r="A58" s="99" t="s">
        <v>7313</v>
      </c>
      <c r="B58" s="108">
        <v>20524</v>
      </c>
      <c r="C58" s="108" t="s">
        <v>7314</v>
      </c>
      <c r="D58" s="101" t="s">
        <v>161</v>
      </c>
      <c r="E58" s="102">
        <v>650</v>
      </c>
      <c r="F58" s="67" t="str">
        <f>IFERROR(IFERROR(INDEX(Кат!$A:$A,MATCH(Прайс!$B58,Кат!$G:$G,0)),INDEX(Торг!$B:$B,MATCH(Прайс!$B58,Торг!$H:$H,0))),"")</f>
        <v/>
      </c>
      <c r="G58" s="67" t="str">
        <f>IFERROR(IFERROR(INDEX(Кат!$B:$B,MATCH(Прайс!$B58,Кат!$G:$G,0)),INDEX(Торг!$C:$C,MATCH(Прайс!$B58,Торг!$H:$H,0))),"")</f>
        <v/>
      </c>
      <c r="H58" s="67" t="str">
        <f>IFERROR(IFERROR(INDEX(Кат!$I:$I,MATCH(Прайс!$B58,Кат!$G:$G,0)),INDEX(Торг!$I:$I,MATCH(Прайс!$B58,Торг!$H:$H,0))),"")</f>
        <v/>
      </c>
    </row>
    <row r="59" spans="1:8" x14ac:dyDescent="0.25">
      <c r="A59" s="99" t="s">
        <v>7315</v>
      </c>
      <c r="B59" s="108">
        <v>20377</v>
      </c>
      <c r="C59" s="108" t="s">
        <v>7316</v>
      </c>
      <c r="D59" s="101" t="s">
        <v>160</v>
      </c>
      <c r="E59" s="102">
        <v>650</v>
      </c>
      <c r="F59" s="67" t="str">
        <f>IFERROR(IFERROR(INDEX(Кат!$A:$A,MATCH(Прайс!$B59,Кат!$G:$G,0)),INDEX(Торг!$B:$B,MATCH(Прайс!$B59,Торг!$H:$H,0))),"")</f>
        <v/>
      </c>
      <c r="G59" s="67" t="str">
        <f>IFERROR(IFERROR(INDEX(Кат!$B:$B,MATCH(Прайс!$B59,Кат!$G:$G,0)),INDEX(Торг!$C:$C,MATCH(Прайс!$B59,Торг!$H:$H,0))),"")</f>
        <v/>
      </c>
      <c r="H59" s="67" t="str">
        <f>IFERROR(IFERROR(INDEX(Кат!$I:$I,MATCH(Прайс!$B59,Кат!$G:$G,0)),INDEX(Торг!$I:$I,MATCH(Прайс!$B59,Торг!$H:$H,0))),"")</f>
        <v/>
      </c>
    </row>
    <row r="60" spans="1:8" x14ac:dyDescent="0.25">
      <c r="A60" s="99" t="s">
        <v>7317</v>
      </c>
      <c r="B60" s="108">
        <v>20378</v>
      </c>
      <c r="C60" s="108" t="s">
        <v>7318</v>
      </c>
      <c r="D60" s="101" t="s">
        <v>176</v>
      </c>
      <c r="E60" s="102">
        <v>650</v>
      </c>
      <c r="F60" s="67" t="str">
        <f>IFERROR(IFERROR(INDEX(Кат!$A:$A,MATCH(Прайс!$B60,Кат!$G:$G,0)),INDEX(Торг!$B:$B,MATCH(Прайс!$B60,Торг!$H:$H,0))),"")</f>
        <v/>
      </c>
      <c r="G60" s="67" t="str">
        <f>IFERROR(IFERROR(INDEX(Кат!$B:$B,MATCH(Прайс!$B60,Кат!$G:$G,0)),INDEX(Торг!$C:$C,MATCH(Прайс!$B60,Торг!$H:$H,0))),"")</f>
        <v/>
      </c>
      <c r="H60" s="67" t="str">
        <f>IFERROR(IFERROR(INDEX(Кат!$I:$I,MATCH(Прайс!$B60,Кат!$G:$G,0)),INDEX(Торг!$I:$I,MATCH(Прайс!$B60,Торг!$H:$H,0))),"")</f>
        <v/>
      </c>
    </row>
    <row r="61" spans="1:8" x14ac:dyDescent="0.25">
      <c r="A61" s="109" t="s">
        <v>8134</v>
      </c>
      <c r="B61" s="110">
        <v>20557</v>
      </c>
      <c r="C61" s="110" t="s">
        <v>8384</v>
      </c>
      <c r="D61" s="111" t="s">
        <v>166</v>
      </c>
      <c r="E61" s="112">
        <v>750</v>
      </c>
      <c r="F61" s="67" t="str">
        <f>IFERROR(IFERROR(INDEX(Кат!$A:$A,MATCH(Прайс!$B61,Кат!$G:$G,0)),INDEX(Торг!$B:$B,MATCH(Прайс!$B61,Торг!$H:$H,0))),"")</f>
        <v/>
      </c>
      <c r="G61" s="67" t="str">
        <f>IFERROR(IFERROR(INDEX(Кат!$B:$B,MATCH(Прайс!$B61,Кат!$G:$G,0)),INDEX(Торг!$C:$C,MATCH(Прайс!$B61,Торг!$H:$H,0))),"")</f>
        <v/>
      </c>
      <c r="H61" s="67" t="str">
        <f>IFERROR(IFERROR(INDEX(Кат!$I:$I,MATCH(Прайс!$B61,Кат!$G:$G,0)),INDEX(Торг!$I:$I,MATCH(Прайс!$B61,Торг!$H:$H,0))),"")</f>
        <v/>
      </c>
    </row>
    <row r="62" spans="1:8" x14ac:dyDescent="0.25">
      <c r="A62" s="99" t="s">
        <v>7319</v>
      </c>
      <c r="B62" s="108">
        <v>20489</v>
      </c>
      <c r="C62" s="108" t="s">
        <v>7320</v>
      </c>
      <c r="D62" s="101" t="s">
        <v>160</v>
      </c>
      <c r="E62" s="102">
        <v>900</v>
      </c>
      <c r="F62" s="67" t="str">
        <f>IFERROR(IFERROR(INDEX(Кат!$A:$A,MATCH(Прайс!$B62,Кат!$G:$G,0)),INDEX(Торг!$B:$B,MATCH(Прайс!$B62,Торг!$H:$H,0))),"")</f>
        <v/>
      </c>
      <c r="G62" s="67" t="str">
        <f>IFERROR(IFERROR(INDEX(Кат!$B:$B,MATCH(Прайс!$B62,Кат!$G:$G,0)),INDEX(Торг!$C:$C,MATCH(Прайс!$B62,Торг!$H:$H,0))),"")</f>
        <v/>
      </c>
      <c r="H62" s="67" t="str">
        <f>IFERROR(IFERROR(INDEX(Кат!$I:$I,MATCH(Прайс!$B62,Кат!$G:$G,0)),INDEX(Торг!$I:$I,MATCH(Прайс!$B62,Торг!$H:$H,0))),"")</f>
        <v/>
      </c>
    </row>
    <row r="63" spans="1:8" x14ac:dyDescent="0.25">
      <c r="A63" s="99" t="s">
        <v>7321</v>
      </c>
      <c r="B63" s="108">
        <v>20380</v>
      </c>
      <c r="C63" s="108" t="s">
        <v>7322</v>
      </c>
      <c r="D63" s="101" t="s">
        <v>176</v>
      </c>
      <c r="E63" s="102">
        <v>750</v>
      </c>
      <c r="F63" s="67" t="str">
        <f>IFERROR(IFERROR(INDEX(Кат!$A:$A,MATCH(Прайс!$B63,Кат!$G:$G,0)),INDEX(Торг!$B:$B,MATCH(Прайс!$B63,Торг!$H:$H,0))),"")</f>
        <v/>
      </c>
      <c r="G63" s="67" t="str">
        <f>IFERROR(IFERROR(INDEX(Кат!$B:$B,MATCH(Прайс!$B63,Кат!$G:$G,0)),INDEX(Торг!$C:$C,MATCH(Прайс!$B63,Торг!$H:$H,0))),"")</f>
        <v/>
      </c>
      <c r="H63" s="67" t="str">
        <f>IFERROR(IFERROR(INDEX(Кат!$I:$I,MATCH(Прайс!$B63,Кат!$G:$G,0)),INDEX(Торг!$I:$I,MATCH(Прайс!$B63,Торг!$H:$H,0))),"")</f>
        <v/>
      </c>
    </row>
    <row r="64" spans="1:8" ht="15.75" x14ac:dyDescent="0.25">
      <c r="A64" s="90"/>
      <c r="B64" s="91"/>
      <c r="C64" s="92" t="s">
        <v>178</v>
      </c>
      <c r="D64" s="91"/>
      <c r="E64" s="93"/>
      <c r="F64" s="67" t="str">
        <f>IFERROR(IFERROR(INDEX(Кат!$A:$A,MATCH(Прайс!$B64,Кат!$G:$G,0)),INDEX(Торг!$B:$B,MATCH(Прайс!$B64,Торг!$H:$H,0))),"")</f>
        <v/>
      </c>
      <c r="G64" s="67" t="str">
        <f>IFERROR(IFERROR(INDEX(Кат!$B:$B,MATCH(Прайс!$B64,Кат!$G:$G,0)),INDEX(Торг!$C:$C,MATCH(Прайс!$B64,Торг!$H:$H,0))),"")</f>
        <v/>
      </c>
      <c r="H64" s="67" t="str">
        <f>IFERROR(IFERROR(INDEX(Кат!$I:$I,MATCH(Прайс!$B64,Кат!$G:$G,0)),INDEX(Торг!$I:$I,MATCH(Прайс!$B64,Торг!$H:$H,0))),"")</f>
        <v/>
      </c>
    </row>
    <row r="65" spans="1:8" x14ac:dyDescent="0.25">
      <c r="A65" s="94" t="s">
        <v>7323</v>
      </c>
      <c r="B65" s="98">
        <v>20263</v>
      </c>
      <c r="C65" s="98" t="s">
        <v>7324</v>
      </c>
      <c r="D65" s="96" t="s">
        <v>159</v>
      </c>
      <c r="E65" s="97">
        <v>160</v>
      </c>
      <c r="F65" s="67" t="str">
        <f>IFERROR(IFERROR(INDEX(Кат!$A:$A,MATCH(Прайс!$B65,Кат!$G:$G,0)),INDEX(Торг!$B:$B,MATCH(Прайс!$B65,Торг!$H:$H,0))),"")</f>
        <v/>
      </c>
      <c r="G65" s="67" t="str">
        <f>IFERROR(IFERROR(INDEX(Кат!$B:$B,MATCH(Прайс!$B65,Кат!$G:$G,0)),INDEX(Торг!$C:$C,MATCH(Прайс!$B65,Торг!$H:$H,0))),"")</f>
        <v/>
      </c>
      <c r="H65" s="67" t="str">
        <f>IFERROR(IFERROR(INDEX(Кат!$I:$I,MATCH(Прайс!$B65,Кат!$G:$G,0)),INDEX(Торг!$I:$I,MATCH(Прайс!$B65,Торг!$H:$H,0))),"")</f>
        <v/>
      </c>
    </row>
    <row r="66" spans="1:8" x14ac:dyDescent="0.25">
      <c r="A66" s="94" t="s">
        <v>2457</v>
      </c>
      <c r="B66" s="98">
        <v>20333</v>
      </c>
      <c r="C66" s="98" t="s">
        <v>179</v>
      </c>
      <c r="D66" s="96" t="s">
        <v>190</v>
      </c>
      <c r="E66" s="97">
        <v>180</v>
      </c>
      <c r="F66" s="67" t="str">
        <f>IFERROR(IFERROR(INDEX(Кат!$A:$A,MATCH(Прайс!$B66,Кат!$G:$G,0)),INDEX(Торг!$B:$B,MATCH(Прайс!$B66,Торг!$H:$H,0))),"")</f>
        <v/>
      </c>
      <c r="G66" s="67" t="str">
        <f>IFERROR(IFERROR(INDEX(Кат!$B:$B,MATCH(Прайс!$B66,Кат!$G:$G,0)),INDEX(Торг!$C:$C,MATCH(Прайс!$B66,Торг!$H:$H,0))),"")</f>
        <v/>
      </c>
      <c r="H66" s="67" t="str">
        <f>IFERROR(IFERROR(INDEX(Кат!$I:$I,MATCH(Прайс!$B66,Кат!$G:$G,0)),INDEX(Торг!$I:$I,MATCH(Прайс!$B66,Торг!$H:$H,0))),"")</f>
        <v/>
      </c>
    </row>
    <row r="67" spans="1:8" ht="15.75" x14ac:dyDescent="0.25">
      <c r="A67" s="90"/>
      <c r="B67" s="91"/>
      <c r="C67" s="92" t="s">
        <v>180</v>
      </c>
      <c r="D67" s="91"/>
      <c r="E67" s="93"/>
      <c r="F67" s="67" t="str">
        <f>IFERROR(IFERROR(INDEX(Кат!$A:$A,MATCH(Прайс!$B67,Кат!$G:$G,0)),INDEX(Торг!$B:$B,MATCH(Прайс!$B67,Торг!$H:$H,0))),"")</f>
        <v/>
      </c>
      <c r="G67" s="67" t="str">
        <f>IFERROR(IFERROR(INDEX(Кат!$B:$B,MATCH(Прайс!$B67,Кат!$G:$G,0)),INDEX(Торг!$C:$C,MATCH(Прайс!$B67,Торг!$H:$H,0))),"")</f>
        <v/>
      </c>
      <c r="H67" s="67" t="str">
        <f>IFERROR(IFERROR(INDEX(Кат!$I:$I,MATCH(Прайс!$B67,Кат!$G:$G,0)),INDEX(Торг!$I:$I,MATCH(Прайс!$B67,Торг!$H:$H,0))),"")</f>
        <v/>
      </c>
    </row>
    <row r="68" spans="1:8" x14ac:dyDescent="0.25">
      <c r="A68" s="103" t="s">
        <v>2458</v>
      </c>
      <c r="B68" s="104">
        <v>20428</v>
      </c>
      <c r="C68" s="104" t="s">
        <v>181</v>
      </c>
      <c r="D68" s="105" t="s">
        <v>190</v>
      </c>
      <c r="E68" s="113">
        <v>500</v>
      </c>
      <c r="F68" s="67" t="str">
        <f>IFERROR(IFERROR(INDEX(Кат!$A:$A,MATCH(Прайс!$B68,Кат!$G:$G,0)),INDEX(Торг!$B:$B,MATCH(Прайс!$B68,Торг!$H:$H,0))),"")</f>
        <v/>
      </c>
      <c r="G68" s="67" t="str">
        <f>IFERROR(IFERROR(INDEX(Кат!$B:$B,MATCH(Прайс!$B68,Кат!$G:$G,0)),INDEX(Торг!$C:$C,MATCH(Прайс!$B68,Торг!$H:$H,0))),"")</f>
        <v/>
      </c>
      <c r="H68" s="67" t="str">
        <f>IFERROR(IFERROR(INDEX(Кат!$I:$I,MATCH(Прайс!$B68,Кат!$G:$G,0)),INDEX(Торг!$I:$I,MATCH(Прайс!$B68,Торг!$H:$H,0))),"")</f>
        <v/>
      </c>
    </row>
    <row r="69" spans="1:8" x14ac:dyDescent="0.25">
      <c r="A69" s="103" t="s">
        <v>2459</v>
      </c>
      <c r="B69" s="104">
        <v>20028</v>
      </c>
      <c r="C69" s="104" t="s">
        <v>182</v>
      </c>
      <c r="D69" s="105" t="s">
        <v>183</v>
      </c>
      <c r="E69" s="113">
        <v>100</v>
      </c>
      <c r="F69" s="67" t="str">
        <f>IFERROR(IFERROR(INDEX(Кат!$A:$A,MATCH(Прайс!$B69,Кат!$G:$G,0)),INDEX(Торг!$B:$B,MATCH(Прайс!$B69,Торг!$H:$H,0))),"")</f>
        <v/>
      </c>
      <c r="G69" s="67" t="str">
        <f>IFERROR(IFERROR(INDEX(Кат!$B:$B,MATCH(Прайс!$B69,Кат!$G:$G,0)),INDEX(Торг!$C:$C,MATCH(Прайс!$B69,Торг!$H:$H,0))),"")</f>
        <v/>
      </c>
      <c r="H69" s="67" t="str">
        <f>IFERROR(IFERROR(INDEX(Кат!$I:$I,MATCH(Прайс!$B69,Кат!$G:$G,0)),INDEX(Торг!$I:$I,MATCH(Прайс!$B69,Торг!$H:$H,0))),"")</f>
        <v/>
      </c>
    </row>
    <row r="70" spans="1:8" x14ac:dyDescent="0.25">
      <c r="A70" s="103" t="s">
        <v>2460</v>
      </c>
      <c r="B70" s="104">
        <v>20030</v>
      </c>
      <c r="C70" s="104" t="s">
        <v>184</v>
      </c>
      <c r="D70" s="105" t="s">
        <v>183</v>
      </c>
      <c r="E70" s="113">
        <v>100</v>
      </c>
      <c r="F70" s="67" t="str">
        <f>IFERROR(IFERROR(INDEX(Кат!$A:$A,MATCH(Прайс!$B70,Кат!$G:$G,0)),INDEX(Торг!$B:$B,MATCH(Прайс!$B70,Торг!$H:$H,0))),"")</f>
        <v/>
      </c>
      <c r="G70" s="67" t="str">
        <f>IFERROR(IFERROR(INDEX(Кат!$B:$B,MATCH(Прайс!$B70,Кат!$G:$G,0)),INDEX(Торг!$C:$C,MATCH(Прайс!$B70,Торг!$H:$H,0))),"")</f>
        <v/>
      </c>
      <c r="H70" s="67" t="str">
        <f>IFERROR(IFERROR(INDEX(Кат!$I:$I,MATCH(Прайс!$B70,Кат!$G:$G,0)),INDEX(Торг!$I:$I,MATCH(Прайс!$B70,Торг!$H:$H,0))),"")</f>
        <v/>
      </c>
    </row>
    <row r="71" spans="1:8" x14ac:dyDescent="0.25">
      <c r="A71" s="103" t="s">
        <v>2461</v>
      </c>
      <c r="B71" s="104">
        <v>20033</v>
      </c>
      <c r="C71" s="104" t="s">
        <v>185</v>
      </c>
      <c r="D71" s="105" t="s">
        <v>183</v>
      </c>
      <c r="E71" s="113">
        <v>100</v>
      </c>
      <c r="F71" s="67" t="str">
        <f>IFERROR(IFERROR(INDEX(Кат!$A:$A,MATCH(Прайс!$B71,Кат!$G:$G,0)),INDEX(Торг!$B:$B,MATCH(Прайс!$B71,Торг!$H:$H,0))),"")</f>
        <v/>
      </c>
      <c r="G71" s="67" t="str">
        <f>IFERROR(IFERROR(INDEX(Кат!$B:$B,MATCH(Прайс!$B71,Кат!$G:$G,0)),INDEX(Торг!$C:$C,MATCH(Прайс!$B71,Торг!$H:$H,0))),"")</f>
        <v/>
      </c>
      <c r="H71" s="67" t="str">
        <f>IFERROR(IFERROR(INDEX(Кат!$I:$I,MATCH(Прайс!$B71,Кат!$G:$G,0)),INDEX(Торг!$I:$I,MATCH(Прайс!$B71,Торг!$H:$H,0))),"")</f>
        <v/>
      </c>
    </row>
    <row r="72" spans="1:8" x14ac:dyDescent="0.25">
      <c r="A72" s="103" t="s">
        <v>2462</v>
      </c>
      <c r="B72" s="104">
        <v>20035</v>
      </c>
      <c r="C72" s="104" t="s">
        <v>186</v>
      </c>
      <c r="D72" s="105" t="s">
        <v>183</v>
      </c>
      <c r="E72" s="113">
        <v>100</v>
      </c>
      <c r="F72" s="67" t="str">
        <f>IFERROR(IFERROR(INDEX(Кат!$A:$A,MATCH(Прайс!$B72,Кат!$G:$G,0)),INDEX(Торг!$B:$B,MATCH(Прайс!$B72,Торг!$H:$H,0))),"")</f>
        <v/>
      </c>
      <c r="G72" s="67" t="str">
        <f>IFERROR(IFERROR(INDEX(Кат!$B:$B,MATCH(Прайс!$B72,Кат!$G:$G,0)),INDEX(Торг!$C:$C,MATCH(Прайс!$B72,Торг!$H:$H,0))),"")</f>
        <v/>
      </c>
      <c r="H72" s="67" t="str">
        <f>IFERROR(IFERROR(INDEX(Кат!$I:$I,MATCH(Прайс!$B72,Кат!$G:$G,0)),INDEX(Торг!$I:$I,MATCH(Прайс!$B72,Торг!$H:$H,0))),"")</f>
        <v/>
      </c>
    </row>
    <row r="73" spans="1:8" x14ac:dyDescent="0.25">
      <c r="A73" s="103" t="s">
        <v>2463</v>
      </c>
      <c r="B73" s="104">
        <v>20037</v>
      </c>
      <c r="C73" s="104" t="s">
        <v>187</v>
      </c>
      <c r="D73" s="105" t="s">
        <v>183</v>
      </c>
      <c r="E73" s="113">
        <v>100</v>
      </c>
      <c r="F73" s="67" t="str">
        <f>IFERROR(IFERROR(INDEX(Кат!$A:$A,MATCH(Прайс!$B73,Кат!$G:$G,0)),INDEX(Торг!$B:$B,MATCH(Прайс!$B73,Торг!$H:$H,0))),"")</f>
        <v/>
      </c>
      <c r="G73" s="67" t="str">
        <f>IFERROR(IFERROR(INDEX(Кат!$B:$B,MATCH(Прайс!$B73,Кат!$G:$G,0)),INDEX(Торг!$C:$C,MATCH(Прайс!$B73,Торг!$H:$H,0))),"")</f>
        <v/>
      </c>
      <c r="H73" s="67" t="str">
        <f>IFERROR(IFERROR(INDEX(Кат!$I:$I,MATCH(Прайс!$B73,Кат!$G:$G,0)),INDEX(Торг!$I:$I,MATCH(Прайс!$B73,Торг!$H:$H,0))),"")</f>
        <v/>
      </c>
    </row>
    <row r="74" spans="1:8" x14ac:dyDescent="0.25">
      <c r="A74" s="103" t="s">
        <v>2464</v>
      </c>
      <c r="B74" s="104">
        <v>20045</v>
      </c>
      <c r="C74" s="104" t="s">
        <v>188</v>
      </c>
      <c r="D74" s="105" t="s">
        <v>183</v>
      </c>
      <c r="E74" s="113">
        <v>100</v>
      </c>
      <c r="F74" s="67" t="str">
        <f>IFERROR(IFERROR(INDEX(Кат!$A:$A,MATCH(Прайс!$B74,Кат!$G:$G,0)),INDEX(Торг!$B:$B,MATCH(Прайс!$B74,Торг!$H:$H,0))),"")</f>
        <v/>
      </c>
      <c r="G74" s="67" t="str">
        <f>IFERROR(IFERROR(INDEX(Кат!$B:$B,MATCH(Прайс!$B74,Кат!$G:$G,0)),INDEX(Торг!$C:$C,MATCH(Прайс!$B74,Торг!$H:$H,0))),"")</f>
        <v/>
      </c>
      <c r="H74" s="67" t="str">
        <f>IFERROR(IFERROR(INDEX(Кат!$I:$I,MATCH(Прайс!$B74,Кат!$G:$G,0)),INDEX(Торг!$I:$I,MATCH(Прайс!$B74,Торг!$H:$H,0))),"")</f>
        <v/>
      </c>
    </row>
    <row r="75" spans="1:8" x14ac:dyDescent="0.25">
      <c r="A75" s="103" t="s">
        <v>5384</v>
      </c>
      <c r="B75" s="104">
        <v>20031</v>
      </c>
      <c r="C75" s="104" t="s">
        <v>5385</v>
      </c>
      <c r="D75" s="105" t="s">
        <v>183</v>
      </c>
      <c r="E75" s="113">
        <v>100</v>
      </c>
      <c r="F75" s="67" t="str">
        <f>IFERROR(IFERROR(INDEX(Кат!$A:$A,MATCH(Прайс!$B75,Кат!$G:$G,0)),INDEX(Торг!$B:$B,MATCH(Прайс!$B75,Торг!$H:$H,0))),"")</f>
        <v/>
      </c>
      <c r="G75" s="67" t="str">
        <f>IFERROR(IFERROR(INDEX(Кат!$B:$B,MATCH(Прайс!$B75,Кат!$G:$G,0)),INDEX(Торг!$C:$C,MATCH(Прайс!$B75,Торг!$H:$H,0))),"")</f>
        <v/>
      </c>
      <c r="H75" s="67" t="str">
        <f>IFERROR(IFERROR(INDEX(Кат!$I:$I,MATCH(Прайс!$B75,Кат!$G:$G,0)),INDEX(Торг!$I:$I,MATCH(Прайс!$B75,Торг!$H:$H,0))),"")</f>
        <v/>
      </c>
    </row>
    <row r="76" spans="1:8" x14ac:dyDescent="0.25">
      <c r="A76" s="94" t="s">
        <v>2465</v>
      </c>
      <c r="B76" s="98">
        <v>20356</v>
      </c>
      <c r="C76" s="98" t="s">
        <v>189</v>
      </c>
      <c r="D76" s="96" t="s">
        <v>190</v>
      </c>
      <c r="E76" s="97">
        <v>61</v>
      </c>
      <c r="F76" s="67" t="str">
        <f>IFERROR(IFERROR(INDEX(Кат!$A:$A,MATCH(Прайс!$B76,Кат!$G:$G,0)),INDEX(Торг!$B:$B,MATCH(Прайс!$B76,Торг!$H:$H,0))),"")</f>
        <v/>
      </c>
      <c r="G76" s="67" t="str">
        <f>IFERROR(IFERROR(INDEX(Кат!$B:$B,MATCH(Прайс!$B76,Кат!$G:$G,0)),INDEX(Торг!$C:$C,MATCH(Прайс!$B76,Торг!$H:$H,0))),"")</f>
        <v/>
      </c>
      <c r="H76" s="67" t="str">
        <f>IFERROR(IFERROR(INDEX(Кат!$I:$I,MATCH(Прайс!$B76,Кат!$G:$G,0)),INDEX(Торг!$I:$I,MATCH(Прайс!$B76,Торг!$H:$H,0))),"")</f>
        <v/>
      </c>
    </row>
    <row r="77" spans="1:8" x14ac:dyDescent="0.25">
      <c r="A77" s="103" t="s">
        <v>2466</v>
      </c>
      <c r="B77" s="104">
        <v>20064</v>
      </c>
      <c r="C77" s="104" t="s">
        <v>191</v>
      </c>
      <c r="D77" s="105" t="s">
        <v>190</v>
      </c>
      <c r="E77" s="113">
        <v>90</v>
      </c>
      <c r="F77" s="67" t="str">
        <f>IFERROR(IFERROR(INDEX(Кат!$A:$A,MATCH(Прайс!$B77,Кат!$G:$G,0)),INDEX(Торг!$B:$B,MATCH(Прайс!$B77,Торг!$H:$H,0))),"")</f>
        <v/>
      </c>
      <c r="G77" s="67" t="str">
        <f>IFERROR(IFERROR(INDEX(Кат!$B:$B,MATCH(Прайс!$B77,Кат!$G:$G,0)),INDEX(Торг!$C:$C,MATCH(Прайс!$B77,Торг!$H:$H,0))),"")</f>
        <v/>
      </c>
      <c r="H77" s="67" t="str">
        <f>IFERROR(IFERROR(INDEX(Кат!$I:$I,MATCH(Прайс!$B77,Кат!$G:$G,0)),INDEX(Торг!$I:$I,MATCH(Прайс!$B77,Торг!$H:$H,0))),"")</f>
        <v/>
      </c>
    </row>
    <row r="78" spans="1:8" x14ac:dyDescent="0.25">
      <c r="A78" s="103" t="s">
        <v>2467</v>
      </c>
      <c r="B78" s="104">
        <v>20058</v>
      </c>
      <c r="C78" s="104" t="s">
        <v>192</v>
      </c>
      <c r="D78" s="105" t="s">
        <v>190</v>
      </c>
      <c r="E78" s="113">
        <v>90</v>
      </c>
      <c r="F78" s="67" t="str">
        <f>IFERROR(IFERROR(INDEX(Кат!$A:$A,MATCH(Прайс!$B78,Кат!$G:$G,0)),INDEX(Торг!$B:$B,MATCH(Прайс!$B78,Торг!$H:$H,0))),"")</f>
        <v/>
      </c>
      <c r="G78" s="67" t="str">
        <f>IFERROR(IFERROR(INDEX(Кат!$B:$B,MATCH(Прайс!$B78,Кат!$G:$G,0)),INDEX(Торг!$C:$C,MATCH(Прайс!$B78,Торг!$H:$H,0))),"")</f>
        <v/>
      </c>
      <c r="H78" s="67" t="str">
        <f>IFERROR(IFERROR(INDEX(Кат!$I:$I,MATCH(Прайс!$B78,Кат!$G:$G,0)),INDEX(Торг!$I:$I,MATCH(Прайс!$B78,Торг!$H:$H,0))),"")</f>
        <v/>
      </c>
    </row>
    <row r="79" spans="1:8" x14ac:dyDescent="0.25">
      <c r="A79" s="103" t="s">
        <v>2468</v>
      </c>
      <c r="B79" s="104">
        <v>20059</v>
      </c>
      <c r="C79" s="104" t="s">
        <v>193</v>
      </c>
      <c r="D79" s="105" t="s">
        <v>190</v>
      </c>
      <c r="E79" s="113">
        <v>70</v>
      </c>
      <c r="F79" s="67" t="str">
        <f>IFERROR(IFERROR(INDEX(Кат!$A:$A,MATCH(Прайс!$B79,Кат!$G:$G,0)),INDEX(Торг!$B:$B,MATCH(Прайс!$B79,Торг!$H:$H,0))),"")</f>
        <v/>
      </c>
      <c r="G79" s="67" t="str">
        <f>IFERROR(IFERROR(INDEX(Кат!$B:$B,MATCH(Прайс!$B79,Кат!$G:$G,0)),INDEX(Торг!$C:$C,MATCH(Прайс!$B79,Торг!$H:$H,0))),"")</f>
        <v/>
      </c>
      <c r="H79" s="67" t="str">
        <f>IFERROR(IFERROR(INDEX(Кат!$I:$I,MATCH(Прайс!$B79,Кат!$G:$G,0)),INDEX(Торг!$I:$I,MATCH(Прайс!$B79,Торг!$H:$H,0))),"")</f>
        <v/>
      </c>
    </row>
    <row r="80" spans="1:8" x14ac:dyDescent="0.25">
      <c r="A80" s="94" t="s">
        <v>2470</v>
      </c>
      <c r="B80" s="98">
        <v>20210</v>
      </c>
      <c r="C80" s="98" t="s">
        <v>195</v>
      </c>
      <c r="D80" s="96" t="s">
        <v>190</v>
      </c>
      <c r="E80" s="97">
        <v>180</v>
      </c>
      <c r="F80" s="67" t="str">
        <f>IFERROR(IFERROR(INDEX(Кат!$A:$A,MATCH(Прайс!$B80,Кат!$G:$G,0)),INDEX(Торг!$B:$B,MATCH(Прайс!$B80,Торг!$H:$H,0))),"")</f>
        <v/>
      </c>
      <c r="G80" s="67" t="str">
        <f>IFERROR(IFERROR(INDEX(Кат!$B:$B,MATCH(Прайс!$B80,Кат!$G:$G,0)),INDEX(Торг!$C:$C,MATCH(Прайс!$B80,Торг!$H:$H,0))),"")</f>
        <v/>
      </c>
      <c r="H80" s="67" t="str">
        <f>IFERROR(IFERROR(INDEX(Кат!$I:$I,MATCH(Прайс!$B80,Кат!$G:$G,0)),INDEX(Торг!$I:$I,MATCH(Прайс!$B80,Торг!$H:$H,0))),"")</f>
        <v/>
      </c>
    </row>
    <row r="81" spans="1:8" x14ac:dyDescent="0.25">
      <c r="A81" s="94" t="s">
        <v>2471</v>
      </c>
      <c r="B81" s="98">
        <v>20211</v>
      </c>
      <c r="C81" s="98" t="s">
        <v>196</v>
      </c>
      <c r="D81" s="96" t="s">
        <v>190</v>
      </c>
      <c r="E81" s="97">
        <v>330</v>
      </c>
      <c r="F81" s="67" t="str">
        <f>IFERROR(IFERROR(INDEX(Кат!$A:$A,MATCH(Прайс!$B81,Кат!$G:$G,0)),INDEX(Торг!$B:$B,MATCH(Прайс!$B81,Торг!$H:$H,0))),"")</f>
        <v/>
      </c>
      <c r="G81" s="67" t="str">
        <f>IFERROR(IFERROR(INDEX(Кат!$B:$B,MATCH(Прайс!$B81,Кат!$G:$G,0)),INDEX(Торг!$C:$C,MATCH(Прайс!$B81,Торг!$H:$H,0))),"")</f>
        <v/>
      </c>
      <c r="H81" s="67" t="str">
        <f>IFERROR(IFERROR(INDEX(Кат!$I:$I,MATCH(Прайс!$B81,Кат!$G:$G,0)),INDEX(Торг!$I:$I,MATCH(Прайс!$B81,Торг!$H:$H,0))),"")</f>
        <v/>
      </c>
    </row>
    <row r="82" spans="1:8" ht="15.75" x14ac:dyDescent="0.25">
      <c r="A82" s="90"/>
      <c r="B82" s="91"/>
      <c r="C82" s="92" t="s">
        <v>197</v>
      </c>
      <c r="D82" s="91"/>
      <c r="E82" s="93"/>
      <c r="F82" s="67" t="str">
        <f>IFERROR(IFERROR(INDEX(Кат!$A:$A,MATCH(Прайс!$B82,Кат!$G:$G,0)),INDEX(Торг!$B:$B,MATCH(Прайс!$B82,Торг!$H:$H,0))),"")</f>
        <v/>
      </c>
      <c r="G82" s="67" t="str">
        <f>IFERROR(IFERROR(INDEX(Кат!$B:$B,MATCH(Прайс!$B82,Кат!$G:$G,0)),INDEX(Торг!$C:$C,MATCH(Прайс!$B82,Торг!$H:$H,0))),"")</f>
        <v/>
      </c>
      <c r="H82" s="67" t="str">
        <f>IFERROR(IFERROR(INDEX(Кат!$I:$I,MATCH(Прайс!$B82,Кат!$G:$G,0)),INDEX(Торг!$I:$I,MATCH(Прайс!$B82,Торг!$H:$H,0))),"")</f>
        <v/>
      </c>
    </row>
    <row r="83" spans="1:8" x14ac:dyDescent="0.25">
      <c r="A83" s="94" t="s">
        <v>8135</v>
      </c>
      <c r="B83" s="98">
        <v>20540</v>
      </c>
      <c r="C83" s="98" t="s">
        <v>8136</v>
      </c>
      <c r="D83" s="96" t="s">
        <v>190</v>
      </c>
      <c r="E83" s="97">
        <v>330</v>
      </c>
      <c r="F83" s="67" t="str">
        <f>IFERROR(IFERROR(INDEX(Кат!$A:$A,MATCH(Прайс!$B83,Кат!$G:$G,0)),INDEX(Торг!$B:$B,MATCH(Прайс!$B83,Торг!$H:$H,0))),"")</f>
        <v/>
      </c>
      <c r="G83" s="67" t="str">
        <f>IFERROR(IFERROR(INDEX(Кат!$B:$B,MATCH(Прайс!$B83,Кат!$G:$G,0)),INDEX(Торг!$C:$C,MATCH(Прайс!$B83,Торг!$H:$H,0))),"")</f>
        <v/>
      </c>
      <c r="H83" s="67" t="str">
        <f>IFERROR(IFERROR(INDEX(Кат!$I:$I,MATCH(Прайс!$B83,Кат!$G:$G,0)),INDEX(Торг!$I:$I,MATCH(Прайс!$B83,Торг!$H:$H,0))),"")</f>
        <v/>
      </c>
    </row>
    <row r="84" spans="1:8" x14ac:dyDescent="0.25">
      <c r="A84" s="94" t="s">
        <v>8137</v>
      </c>
      <c r="B84" s="98">
        <v>20539</v>
      </c>
      <c r="C84" s="98" t="s">
        <v>8138</v>
      </c>
      <c r="D84" s="96" t="s">
        <v>190</v>
      </c>
      <c r="E84" s="97">
        <v>300</v>
      </c>
      <c r="F84" s="67" t="str">
        <f>IFERROR(IFERROR(INDEX(Кат!$A:$A,MATCH(Прайс!$B84,Кат!$G:$G,0)),INDEX(Торг!$B:$B,MATCH(Прайс!$B84,Торг!$H:$H,0))),"")</f>
        <v/>
      </c>
      <c r="G84" s="67" t="str">
        <f>IFERROR(IFERROR(INDEX(Кат!$B:$B,MATCH(Прайс!$B84,Кат!$G:$G,0)),INDEX(Торг!$C:$C,MATCH(Прайс!$B84,Торг!$H:$H,0))),"")</f>
        <v/>
      </c>
      <c r="H84" s="67" t="str">
        <f>IFERROR(IFERROR(INDEX(Кат!$I:$I,MATCH(Прайс!$B84,Кат!$G:$G,0)),INDEX(Торг!$I:$I,MATCH(Прайс!$B84,Торг!$H:$H,0))),"")</f>
        <v/>
      </c>
    </row>
    <row r="85" spans="1:8" x14ac:dyDescent="0.25">
      <c r="A85" s="103" t="s">
        <v>7325</v>
      </c>
      <c r="B85" s="104">
        <v>20338</v>
      </c>
      <c r="C85" s="104" t="s">
        <v>7326</v>
      </c>
      <c r="D85" s="105" t="s">
        <v>190</v>
      </c>
      <c r="E85" s="113">
        <v>300</v>
      </c>
      <c r="F85" s="67" t="str">
        <f>IFERROR(IFERROR(INDEX(Кат!$A:$A,MATCH(Прайс!$B85,Кат!$G:$G,0)),INDEX(Торг!$B:$B,MATCH(Прайс!$B85,Торг!$H:$H,0))),"")</f>
        <v/>
      </c>
      <c r="G85" s="67" t="str">
        <f>IFERROR(IFERROR(INDEX(Кат!$B:$B,MATCH(Прайс!$B85,Кат!$G:$G,0)),INDEX(Торг!$C:$C,MATCH(Прайс!$B85,Торг!$H:$H,0))),"")</f>
        <v/>
      </c>
      <c r="H85" s="67" t="str">
        <f>IFERROR(IFERROR(INDEX(Кат!$I:$I,MATCH(Прайс!$B85,Кат!$G:$G,0)),INDEX(Торг!$I:$I,MATCH(Прайс!$B85,Торг!$H:$H,0))),"")</f>
        <v/>
      </c>
    </row>
    <row r="86" spans="1:8" x14ac:dyDescent="0.25">
      <c r="A86" s="103" t="s">
        <v>8139</v>
      </c>
      <c r="B86" s="104">
        <v>20485</v>
      </c>
      <c r="C86" s="104" t="s">
        <v>8140</v>
      </c>
      <c r="D86" s="105" t="s">
        <v>582</v>
      </c>
      <c r="E86" s="113">
        <v>280</v>
      </c>
      <c r="F86" s="67" t="str">
        <f>IFERROR(IFERROR(INDEX(Кат!$A:$A,MATCH(Прайс!$B86,Кат!$G:$G,0)),INDEX(Торг!$B:$B,MATCH(Прайс!$B86,Торг!$H:$H,0))),"")</f>
        <v/>
      </c>
      <c r="G86" s="67" t="str">
        <f>IFERROR(IFERROR(INDEX(Кат!$B:$B,MATCH(Прайс!$B86,Кат!$G:$G,0)),INDEX(Торг!$C:$C,MATCH(Прайс!$B86,Торг!$H:$H,0))),"")</f>
        <v/>
      </c>
      <c r="H86" s="67" t="str">
        <f>IFERROR(IFERROR(INDEX(Кат!$I:$I,MATCH(Прайс!$B86,Кат!$G:$G,0)),INDEX(Торг!$I:$I,MATCH(Прайс!$B86,Торг!$H:$H,0))),"")</f>
        <v/>
      </c>
    </row>
    <row r="87" spans="1:8" x14ac:dyDescent="0.25">
      <c r="A87" s="103" t="s">
        <v>2472</v>
      </c>
      <c r="B87" s="104">
        <v>20280</v>
      </c>
      <c r="C87" s="104" t="s">
        <v>198</v>
      </c>
      <c r="D87" s="105" t="s">
        <v>190</v>
      </c>
      <c r="E87" s="113">
        <v>100</v>
      </c>
      <c r="F87" s="67" t="str">
        <f>IFERROR(IFERROR(INDEX(Кат!$A:$A,MATCH(Прайс!$B87,Кат!$G:$G,0)),INDEX(Торг!$B:$B,MATCH(Прайс!$B87,Торг!$H:$H,0))),"")</f>
        <v/>
      </c>
      <c r="G87" s="67" t="str">
        <f>IFERROR(IFERROR(INDEX(Кат!$B:$B,MATCH(Прайс!$B87,Кат!$G:$G,0)),INDEX(Торг!$C:$C,MATCH(Прайс!$B87,Торг!$H:$H,0))),"")</f>
        <v/>
      </c>
      <c r="H87" s="67" t="str">
        <f>IFERROR(IFERROR(INDEX(Кат!$I:$I,MATCH(Прайс!$B87,Кат!$G:$G,0)),INDEX(Торг!$I:$I,MATCH(Прайс!$B87,Торг!$H:$H,0))),"")</f>
        <v/>
      </c>
    </row>
    <row r="88" spans="1:8" x14ac:dyDescent="0.25">
      <c r="A88" s="103" t="s">
        <v>5386</v>
      </c>
      <c r="B88" s="104">
        <v>20320</v>
      </c>
      <c r="C88" s="104" t="s">
        <v>5387</v>
      </c>
      <c r="D88" s="105" t="s">
        <v>190</v>
      </c>
      <c r="E88" s="113">
        <v>100</v>
      </c>
      <c r="F88" s="67" t="str">
        <f>IFERROR(IFERROR(INDEX(Кат!$A:$A,MATCH(Прайс!$B88,Кат!$G:$G,0)),INDEX(Торг!$B:$B,MATCH(Прайс!$B88,Торг!$H:$H,0))),"")</f>
        <v/>
      </c>
      <c r="G88" s="67" t="str">
        <f>IFERROR(IFERROR(INDEX(Кат!$B:$B,MATCH(Прайс!$B88,Кат!$G:$G,0)),INDEX(Торг!$C:$C,MATCH(Прайс!$B88,Торг!$H:$H,0))),"")</f>
        <v/>
      </c>
      <c r="H88" s="67" t="str">
        <f>IFERROR(IFERROR(INDEX(Кат!$I:$I,MATCH(Прайс!$B88,Кат!$G:$G,0)),INDEX(Торг!$I:$I,MATCH(Прайс!$B88,Торг!$H:$H,0))),"")</f>
        <v/>
      </c>
    </row>
    <row r="89" spans="1:8" x14ac:dyDescent="0.25">
      <c r="A89" s="103" t="s">
        <v>7327</v>
      </c>
      <c r="B89" s="104">
        <v>20547</v>
      </c>
      <c r="C89" s="104" t="s">
        <v>7328</v>
      </c>
      <c r="D89" s="105" t="s">
        <v>190</v>
      </c>
      <c r="E89" s="113">
        <v>700</v>
      </c>
      <c r="F89" s="67" t="str">
        <f>IFERROR(IFERROR(INDEX(Кат!$A:$A,MATCH(Прайс!$B89,Кат!$G:$G,0)),INDEX(Торг!$B:$B,MATCH(Прайс!$B89,Торг!$H:$H,0))),"")</f>
        <v/>
      </c>
      <c r="G89" s="67" t="str">
        <f>IFERROR(IFERROR(INDEX(Кат!$B:$B,MATCH(Прайс!$B89,Кат!$G:$G,0)),INDEX(Торг!$C:$C,MATCH(Прайс!$B89,Торг!$H:$H,0))),"")</f>
        <v/>
      </c>
      <c r="H89" s="67" t="str">
        <f>IFERROR(IFERROR(INDEX(Кат!$I:$I,MATCH(Прайс!$B89,Кат!$G:$G,0)),INDEX(Торг!$I:$I,MATCH(Прайс!$B89,Торг!$H:$H,0))),"")</f>
        <v/>
      </c>
    </row>
    <row r="90" spans="1:8" x14ac:dyDescent="0.25">
      <c r="A90" s="94" t="s">
        <v>7329</v>
      </c>
      <c r="B90" s="98">
        <v>20513</v>
      </c>
      <c r="C90" s="98" t="s">
        <v>7330</v>
      </c>
      <c r="D90" s="96" t="s">
        <v>190</v>
      </c>
      <c r="E90" s="97">
        <v>440</v>
      </c>
      <c r="F90" s="67" t="str">
        <f>IFERROR(IFERROR(INDEX(Кат!$A:$A,MATCH(Прайс!$B90,Кат!$G:$G,0)),INDEX(Торг!$B:$B,MATCH(Прайс!$B90,Торг!$H:$H,0))),"")</f>
        <v/>
      </c>
      <c r="G90" s="67" t="str">
        <f>IFERROR(IFERROR(INDEX(Кат!$B:$B,MATCH(Прайс!$B90,Кат!$G:$G,0)),INDEX(Торг!$C:$C,MATCH(Прайс!$B90,Торг!$H:$H,0))),"")</f>
        <v/>
      </c>
      <c r="H90" s="67" t="str">
        <f>IFERROR(IFERROR(INDEX(Кат!$I:$I,MATCH(Прайс!$B90,Кат!$G:$G,0)),INDEX(Торг!$I:$I,MATCH(Прайс!$B90,Торг!$H:$H,0))),"")</f>
        <v/>
      </c>
    </row>
    <row r="91" spans="1:8" x14ac:dyDescent="0.25">
      <c r="A91" s="94" t="s">
        <v>7331</v>
      </c>
      <c r="B91" s="98">
        <v>20554</v>
      </c>
      <c r="C91" s="98" t="s">
        <v>7332</v>
      </c>
      <c r="D91" s="96" t="s">
        <v>190</v>
      </c>
      <c r="E91" s="97">
        <v>600</v>
      </c>
      <c r="F91" s="67" t="str">
        <f>IFERROR(IFERROR(INDEX(Кат!$A:$A,MATCH(Прайс!$B91,Кат!$G:$G,0)),INDEX(Торг!$B:$B,MATCH(Прайс!$B91,Торг!$H:$H,0))),"")</f>
        <v/>
      </c>
      <c r="G91" s="67" t="str">
        <f>IFERROR(IFERROR(INDEX(Кат!$B:$B,MATCH(Прайс!$B91,Кат!$G:$G,0)),INDEX(Торг!$C:$C,MATCH(Прайс!$B91,Торг!$H:$H,0))),"")</f>
        <v/>
      </c>
      <c r="H91" s="67" t="str">
        <f>IFERROR(IFERROR(INDEX(Кат!$I:$I,MATCH(Прайс!$B91,Кат!$G:$G,0)),INDEX(Торг!$I:$I,MATCH(Прайс!$B91,Торг!$H:$H,0))),"")</f>
        <v/>
      </c>
    </row>
    <row r="92" spans="1:8" x14ac:dyDescent="0.25">
      <c r="A92" s="94" t="s">
        <v>7333</v>
      </c>
      <c r="B92" s="98">
        <v>20549</v>
      </c>
      <c r="C92" s="98" t="s">
        <v>7334</v>
      </c>
      <c r="D92" s="96" t="s">
        <v>190</v>
      </c>
      <c r="E92" s="97">
        <v>320</v>
      </c>
      <c r="F92" s="67" t="str">
        <f>IFERROR(IFERROR(INDEX(Кат!$A:$A,MATCH(Прайс!$B92,Кат!$G:$G,0)),INDEX(Торг!$B:$B,MATCH(Прайс!$B92,Торг!$H:$H,0))),"")</f>
        <v/>
      </c>
      <c r="G92" s="67" t="str">
        <f>IFERROR(IFERROR(INDEX(Кат!$B:$B,MATCH(Прайс!$B92,Кат!$G:$G,0)),INDEX(Торг!$C:$C,MATCH(Прайс!$B92,Торг!$H:$H,0))),"")</f>
        <v/>
      </c>
      <c r="H92" s="67" t="str">
        <f>IFERROR(IFERROR(INDEX(Кат!$I:$I,MATCH(Прайс!$B92,Кат!$G:$G,0)),INDEX(Торг!$I:$I,MATCH(Прайс!$B92,Торг!$H:$H,0))),"")</f>
        <v/>
      </c>
    </row>
    <row r="93" spans="1:8" x14ac:dyDescent="0.25">
      <c r="A93" s="103" t="s">
        <v>7335</v>
      </c>
      <c r="B93" s="104">
        <v>20548</v>
      </c>
      <c r="C93" s="104" t="s">
        <v>7336</v>
      </c>
      <c r="D93" s="105" t="s">
        <v>190</v>
      </c>
      <c r="E93" s="113">
        <v>250</v>
      </c>
      <c r="F93" s="67" t="str">
        <f>IFERROR(IFERROR(INDEX(Кат!$A:$A,MATCH(Прайс!$B93,Кат!$G:$G,0)),INDEX(Торг!$B:$B,MATCH(Прайс!$B93,Торг!$H:$H,0))),"")</f>
        <v/>
      </c>
      <c r="G93" s="67" t="str">
        <f>IFERROR(IFERROR(INDEX(Кат!$B:$B,MATCH(Прайс!$B93,Кат!$G:$G,0)),INDEX(Торг!$C:$C,MATCH(Прайс!$B93,Торг!$H:$H,0))),"")</f>
        <v/>
      </c>
      <c r="H93" s="67" t="str">
        <f>IFERROR(IFERROR(INDEX(Кат!$I:$I,MATCH(Прайс!$B93,Кат!$G:$G,0)),INDEX(Торг!$I:$I,MATCH(Прайс!$B93,Торг!$H:$H,0))),"")</f>
        <v/>
      </c>
    </row>
    <row r="94" spans="1:8" x14ac:dyDescent="0.25">
      <c r="A94" s="94" t="s">
        <v>7337</v>
      </c>
      <c r="B94" s="98">
        <v>20537</v>
      </c>
      <c r="C94" s="98" t="s">
        <v>7338</v>
      </c>
      <c r="D94" s="96" t="s">
        <v>190</v>
      </c>
      <c r="E94" s="97">
        <v>760</v>
      </c>
      <c r="F94" s="67" t="str">
        <f>IFERROR(IFERROR(INDEX(Кат!$A:$A,MATCH(Прайс!$B94,Кат!$G:$G,0)),INDEX(Торг!$B:$B,MATCH(Прайс!$B94,Торг!$H:$H,0))),"")</f>
        <v/>
      </c>
      <c r="G94" s="67" t="str">
        <f>IFERROR(IFERROR(INDEX(Кат!$B:$B,MATCH(Прайс!$B94,Кат!$G:$G,0)),INDEX(Торг!$C:$C,MATCH(Прайс!$B94,Торг!$H:$H,0))),"")</f>
        <v/>
      </c>
      <c r="H94" s="67" t="str">
        <f>IFERROR(IFERROR(INDEX(Кат!$I:$I,MATCH(Прайс!$B94,Кат!$G:$G,0)),INDEX(Торг!$I:$I,MATCH(Прайс!$B94,Торг!$H:$H,0))),"")</f>
        <v/>
      </c>
    </row>
    <row r="95" spans="1:8" x14ac:dyDescent="0.25">
      <c r="A95" s="94" t="s">
        <v>7339</v>
      </c>
      <c r="B95" s="98">
        <v>20545</v>
      </c>
      <c r="C95" s="98" t="s">
        <v>7340</v>
      </c>
      <c r="D95" s="96" t="s">
        <v>190</v>
      </c>
      <c r="E95" s="97">
        <v>600</v>
      </c>
      <c r="F95" s="67" t="str">
        <f>IFERROR(IFERROR(INDEX(Кат!$A:$A,MATCH(Прайс!$B95,Кат!$G:$G,0)),INDEX(Торг!$B:$B,MATCH(Прайс!$B95,Торг!$H:$H,0))),"")</f>
        <v/>
      </c>
      <c r="G95" s="67" t="str">
        <f>IFERROR(IFERROR(INDEX(Кат!$B:$B,MATCH(Прайс!$B95,Кат!$G:$G,0)),INDEX(Торг!$C:$C,MATCH(Прайс!$B95,Торг!$H:$H,0))),"")</f>
        <v/>
      </c>
      <c r="H95" s="67" t="str">
        <f>IFERROR(IFERROR(INDEX(Кат!$I:$I,MATCH(Прайс!$B95,Кат!$G:$G,0)),INDEX(Торг!$I:$I,MATCH(Прайс!$B95,Торг!$H:$H,0))),"")</f>
        <v/>
      </c>
    </row>
    <row r="96" spans="1:8" x14ac:dyDescent="0.25">
      <c r="A96" s="94" t="s">
        <v>7341</v>
      </c>
      <c r="B96" s="98">
        <v>20518</v>
      </c>
      <c r="C96" s="98" t="s">
        <v>7342</v>
      </c>
      <c r="D96" s="96" t="s">
        <v>190</v>
      </c>
      <c r="E96" s="97">
        <v>700</v>
      </c>
      <c r="F96" s="67" t="str">
        <f>IFERROR(IFERROR(INDEX(Кат!$A:$A,MATCH(Прайс!$B96,Кат!$G:$G,0)),INDEX(Торг!$B:$B,MATCH(Прайс!$B96,Торг!$H:$H,0))),"")</f>
        <v/>
      </c>
      <c r="G96" s="67" t="str">
        <f>IFERROR(IFERROR(INDEX(Кат!$B:$B,MATCH(Прайс!$B96,Кат!$G:$G,0)),INDEX(Торг!$C:$C,MATCH(Прайс!$B96,Торг!$H:$H,0))),"")</f>
        <v/>
      </c>
      <c r="H96" s="67" t="str">
        <f>IFERROR(IFERROR(INDEX(Кат!$I:$I,MATCH(Прайс!$B96,Кат!$G:$G,0)),INDEX(Торг!$I:$I,MATCH(Прайс!$B96,Торг!$H:$H,0))),"")</f>
        <v/>
      </c>
    </row>
    <row r="97" spans="1:8" x14ac:dyDescent="0.25">
      <c r="A97" s="103" t="s">
        <v>2473</v>
      </c>
      <c r="B97" s="104">
        <v>20245</v>
      </c>
      <c r="C97" s="104" t="s">
        <v>199</v>
      </c>
      <c r="D97" s="105" t="s">
        <v>190</v>
      </c>
      <c r="E97" s="113">
        <v>100</v>
      </c>
      <c r="F97" s="67" t="str">
        <f>IFERROR(IFERROR(INDEX(Кат!$A:$A,MATCH(Прайс!$B97,Кат!$G:$G,0)),INDEX(Торг!$B:$B,MATCH(Прайс!$B97,Торг!$H:$H,0))),"")</f>
        <v/>
      </c>
      <c r="G97" s="67" t="str">
        <f>IFERROR(IFERROR(INDEX(Кат!$B:$B,MATCH(Прайс!$B97,Кат!$G:$G,0)),INDEX(Торг!$C:$C,MATCH(Прайс!$B97,Торг!$H:$H,0))),"")</f>
        <v/>
      </c>
      <c r="H97" s="67" t="str">
        <f>IFERROR(IFERROR(INDEX(Кат!$I:$I,MATCH(Прайс!$B97,Кат!$G:$G,0)),INDEX(Торг!$I:$I,MATCH(Прайс!$B97,Торг!$H:$H,0))),"")</f>
        <v/>
      </c>
    </row>
    <row r="98" spans="1:8" x14ac:dyDescent="0.25">
      <c r="A98" s="103" t="s">
        <v>5388</v>
      </c>
      <c r="B98" s="104">
        <v>20096</v>
      </c>
      <c r="C98" s="104" t="s">
        <v>5389</v>
      </c>
      <c r="D98" s="105" t="s">
        <v>190</v>
      </c>
      <c r="E98" s="113">
        <v>100</v>
      </c>
      <c r="F98" s="67" t="str">
        <f>IFERROR(IFERROR(INDEX(Кат!$A:$A,MATCH(Прайс!$B98,Кат!$G:$G,0)),INDEX(Торг!$B:$B,MATCH(Прайс!$B98,Торг!$H:$H,0))),"")</f>
        <v/>
      </c>
      <c r="G98" s="67" t="str">
        <f>IFERROR(IFERROR(INDEX(Кат!$B:$B,MATCH(Прайс!$B98,Кат!$G:$G,0)),INDEX(Торг!$C:$C,MATCH(Прайс!$B98,Торг!$H:$H,0))),"")</f>
        <v/>
      </c>
      <c r="H98" s="67" t="str">
        <f>IFERROR(IFERROR(INDEX(Кат!$I:$I,MATCH(Прайс!$B98,Кат!$G:$G,0)),INDEX(Торг!$I:$I,MATCH(Прайс!$B98,Торг!$H:$H,0))),"")</f>
        <v/>
      </c>
    </row>
    <row r="99" spans="1:8" x14ac:dyDescent="0.25">
      <c r="A99" s="103" t="s">
        <v>2474</v>
      </c>
      <c r="B99" s="104">
        <v>20099</v>
      </c>
      <c r="C99" s="104" t="s">
        <v>200</v>
      </c>
      <c r="D99" s="105" t="s">
        <v>190</v>
      </c>
      <c r="E99" s="113">
        <v>100</v>
      </c>
      <c r="F99" s="67" t="str">
        <f>IFERROR(IFERROR(INDEX(Кат!$A:$A,MATCH(Прайс!$B99,Кат!$G:$G,0)),INDEX(Торг!$B:$B,MATCH(Прайс!$B99,Торг!$H:$H,0))),"")</f>
        <v/>
      </c>
      <c r="G99" s="67" t="str">
        <f>IFERROR(IFERROR(INDEX(Кат!$B:$B,MATCH(Прайс!$B99,Кат!$G:$G,0)),INDEX(Торг!$C:$C,MATCH(Прайс!$B99,Торг!$H:$H,0))),"")</f>
        <v/>
      </c>
      <c r="H99" s="67" t="str">
        <f>IFERROR(IFERROR(INDEX(Кат!$I:$I,MATCH(Прайс!$B99,Кат!$G:$G,0)),INDEX(Торг!$I:$I,MATCH(Прайс!$B99,Торг!$H:$H,0))),"")</f>
        <v/>
      </c>
    </row>
    <row r="100" spans="1:8" x14ac:dyDescent="0.25">
      <c r="A100" s="103" t="s">
        <v>2475</v>
      </c>
      <c r="B100" s="104">
        <v>20101</v>
      </c>
      <c r="C100" s="104" t="s">
        <v>201</v>
      </c>
      <c r="D100" s="105" t="s">
        <v>190</v>
      </c>
      <c r="E100" s="113">
        <v>100</v>
      </c>
      <c r="F100" s="67" t="str">
        <f>IFERROR(IFERROR(INDEX(Кат!$A:$A,MATCH(Прайс!$B100,Кат!$G:$G,0)),INDEX(Торг!$B:$B,MATCH(Прайс!$B100,Торг!$H:$H,0))),"")</f>
        <v/>
      </c>
      <c r="G100" s="67" t="str">
        <f>IFERROR(IFERROR(INDEX(Кат!$B:$B,MATCH(Прайс!$B100,Кат!$G:$G,0)),INDEX(Торг!$C:$C,MATCH(Прайс!$B100,Торг!$H:$H,0))),"")</f>
        <v/>
      </c>
      <c r="H100" s="67" t="str">
        <f>IFERROR(IFERROR(INDEX(Кат!$I:$I,MATCH(Прайс!$B100,Кат!$G:$G,0)),INDEX(Торг!$I:$I,MATCH(Прайс!$B100,Торг!$H:$H,0))),"")</f>
        <v/>
      </c>
    </row>
    <row r="101" spans="1:8" x14ac:dyDescent="0.25">
      <c r="A101" s="94" t="s">
        <v>2476</v>
      </c>
      <c r="B101" s="98">
        <v>20094</v>
      </c>
      <c r="C101" s="98" t="s">
        <v>2073</v>
      </c>
      <c r="D101" s="96" t="s">
        <v>190</v>
      </c>
      <c r="E101" s="97">
        <v>100</v>
      </c>
      <c r="F101" s="67" t="str">
        <f>IFERROR(IFERROR(INDEX(Кат!$A:$A,MATCH(Прайс!$B101,Кат!$G:$G,0)),INDEX(Торг!$B:$B,MATCH(Прайс!$B101,Торг!$H:$H,0))),"")</f>
        <v/>
      </c>
      <c r="G101" s="67" t="str">
        <f>IFERROR(IFERROR(INDEX(Кат!$B:$B,MATCH(Прайс!$B101,Кат!$G:$G,0)),INDEX(Торг!$C:$C,MATCH(Прайс!$B101,Торг!$H:$H,0))),"")</f>
        <v/>
      </c>
      <c r="H101" s="67" t="str">
        <f>IFERROR(IFERROR(INDEX(Кат!$I:$I,MATCH(Прайс!$B101,Кат!$G:$G,0)),INDEX(Торг!$I:$I,MATCH(Прайс!$B101,Торг!$H:$H,0))),"")</f>
        <v/>
      </c>
    </row>
    <row r="102" spans="1:8" ht="15.75" x14ac:dyDescent="0.25">
      <c r="A102" s="90"/>
      <c r="B102" s="91"/>
      <c r="C102" s="92" t="s">
        <v>202</v>
      </c>
      <c r="D102" s="91"/>
      <c r="E102" s="93"/>
      <c r="F102" s="67" t="str">
        <f>IFERROR(IFERROR(INDEX(Кат!$A:$A,MATCH(Прайс!$B102,Кат!$G:$G,0)),INDEX(Торг!$B:$B,MATCH(Прайс!$B102,Торг!$H:$H,0))),"")</f>
        <v/>
      </c>
      <c r="G102" s="67" t="str">
        <f>IFERROR(IFERROR(INDEX(Кат!$B:$B,MATCH(Прайс!$B102,Кат!$G:$G,0)),INDEX(Торг!$C:$C,MATCH(Прайс!$B102,Торг!$H:$H,0))),"")</f>
        <v/>
      </c>
      <c r="H102" s="67" t="str">
        <f>IFERROR(IFERROR(INDEX(Кат!$I:$I,MATCH(Прайс!$B102,Кат!$G:$G,0)),INDEX(Торг!$I:$I,MATCH(Прайс!$B102,Торг!$H:$H,0))),"")</f>
        <v/>
      </c>
    </row>
    <row r="103" spans="1:8" x14ac:dyDescent="0.25">
      <c r="A103" s="94" t="s">
        <v>2477</v>
      </c>
      <c r="B103" s="98">
        <v>20400</v>
      </c>
      <c r="C103" s="98" t="s">
        <v>203</v>
      </c>
      <c r="D103" s="96" t="s">
        <v>1323</v>
      </c>
      <c r="E103" s="97">
        <v>100</v>
      </c>
      <c r="F103" s="67" t="str">
        <f>IFERROR(IFERROR(INDEX(Кат!$A:$A,MATCH(Прайс!$B103,Кат!$G:$G,0)),INDEX(Торг!$B:$B,MATCH(Прайс!$B103,Торг!$H:$H,0))),"")</f>
        <v/>
      </c>
      <c r="G103" s="67" t="str">
        <f>IFERROR(IFERROR(INDEX(Кат!$B:$B,MATCH(Прайс!$B103,Кат!$G:$G,0)),INDEX(Торг!$C:$C,MATCH(Прайс!$B103,Торг!$H:$H,0))),"")</f>
        <v/>
      </c>
      <c r="H103" s="67" t="str">
        <f>IFERROR(IFERROR(INDEX(Кат!$I:$I,MATCH(Прайс!$B103,Кат!$G:$G,0)),INDEX(Торг!$I:$I,MATCH(Прайс!$B103,Торг!$H:$H,0))),"")</f>
        <v/>
      </c>
    </row>
    <row r="104" spans="1:8" x14ac:dyDescent="0.25">
      <c r="A104" s="94" t="s">
        <v>2478</v>
      </c>
      <c r="B104" s="98">
        <v>20102</v>
      </c>
      <c r="C104" s="98" t="s">
        <v>204</v>
      </c>
      <c r="D104" s="96" t="s">
        <v>190</v>
      </c>
      <c r="E104" s="97">
        <v>320</v>
      </c>
      <c r="F104" s="67" t="str">
        <f>IFERROR(IFERROR(INDEX(Кат!$A:$A,MATCH(Прайс!$B104,Кат!$G:$G,0)),INDEX(Торг!$B:$B,MATCH(Прайс!$B104,Торг!$H:$H,0))),"")</f>
        <v/>
      </c>
      <c r="G104" s="67" t="str">
        <f>IFERROR(IFERROR(INDEX(Кат!$B:$B,MATCH(Прайс!$B104,Кат!$G:$G,0)),INDEX(Торг!$C:$C,MATCH(Прайс!$B104,Торг!$H:$H,0))),"")</f>
        <v/>
      </c>
      <c r="H104" s="67" t="str">
        <f>IFERROR(IFERROR(INDEX(Кат!$I:$I,MATCH(Прайс!$B104,Кат!$G:$G,0)),INDEX(Торг!$I:$I,MATCH(Прайс!$B104,Торг!$H:$H,0))),"")</f>
        <v/>
      </c>
    </row>
    <row r="105" spans="1:8" x14ac:dyDescent="0.25">
      <c r="A105" s="94" t="s">
        <v>2479</v>
      </c>
      <c r="B105" s="98">
        <v>20103</v>
      </c>
      <c r="C105" s="98" t="s">
        <v>205</v>
      </c>
      <c r="D105" s="96" t="s">
        <v>190</v>
      </c>
      <c r="E105" s="97">
        <v>350</v>
      </c>
      <c r="F105" s="67" t="str">
        <f>IFERROR(IFERROR(INDEX(Кат!$A:$A,MATCH(Прайс!$B105,Кат!$G:$G,0)),INDEX(Торг!$B:$B,MATCH(Прайс!$B105,Торг!$H:$H,0))),"")</f>
        <v/>
      </c>
      <c r="G105" s="67" t="str">
        <f>IFERROR(IFERROR(INDEX(Кат!$B:$B,MATCH(Прайс!$B105,Кат!$G:$G,0)),INDEX(Торг!$C:$C,MATCH(Прайс!$B105,Торг!$H:$H,0))),"")</f>
        <v/>
      </c>
      <c r="H105" s="67" t="str">
        <f>IFERROR(IFERROR(INDEX(Кат!$I:$I,MATCH(Прайс!$B105,Кат!$G:$G,0)),INDEX(Торг!$I:$I,MATCH(Прайс!$B105,Торг!$H:$H,0))),"")</f>
        <v/>
      </c>
    </row>
    <row r="106" spans="1:8" x14ac:dyDescent="0.25">
      <c r="A106" s="94" t="s">
        <v>2480</v>
      </c>
      <c r="B106" s="98">
        <v>20105</v>
      </c>
      <c r="C106" s="98" t="s">
        <v>206</v>
      </c>
      <c r="D106" s="96" t="s">
        <v>190</v>
      </c>
      <c r="E106" s="97">
        <v>230</v>
      </c>
      <c r="F106" s="67" t="str">
        <f>IFERROR(IFERROR(INDEX(Кат!$A:$A,MATCH(Прайс!$B106,Кат!$G:$G,0)),INDEX(Торг!$B:$B,MATCH(Прайс!$B106,Торг!$H:$H,0))),"")</f>
        <v/>
      </c>
      <c r="G106" s="67" t="str">
        <f>IFERROR(IFERROR(INDEX(Кат!$B:$B,MATCH(Прайс!$B106,Кат!$G:$G,0)),INDEX(Торг!$C:$C,MATCH(Прайс!$B106,Торг!$H:$H,0))),"")</f>
        <v/>
      </c>
      <c r="H106" s="67" t="str">
        <f>IFERROR(IFERROR(INDEX(Кат!$I:$I,MATCH(Прайс!$B106,Кат!$G:$G,0)),INDEX(Торг!$I:$I,MATCH(Прайс!$B106,Торг!$H:$H,0))),"")</f>
        <v/>
      </c>
    </row>
    <row r="107" spans="1:8" x14ac:dyDescent="0.25">
      <c r="A107" s="94" t="s">
        <v>2481</v>
      </c>
      <c r="B107" s="98">
        <v>20106</v>
      </c>
      <c r="C107" s="98" t="s">
        <v>207</v>
      </c>
      <c r="D107" s="96" t="s">
        <v>190</v>
      </c>
      <c r="E107" s="97">
        <v>250</v>
      </c>
      <c r="F107" s="67" t="str">
        <f>IFERROR(IFERROR(INDEX(Кат!$A:$A,MATCH(Прайс!$B107,Кат!$G:$G,0)),INDEX(Торг!$B:$B,MATCH(Прайс!$B107,Торг!$H:$H,0))),"")</f>
        <v/>
      </c>
      <c r="G107" s="67" t="str">
        <f>IFERROR(IFERROR(INDEX(Кат!$B:$B,MATCH(Прайс!$B107,Кат!$G:$G,0)),INDEX(Торг!$C:$C,MATCH(Прайс!$B107,Торг!$H:$H,0))),"")</f>
        <v/>
      </c>
      <c r="H107" s="67" t="str">
        <f>IFERROR(IFERROR(INDEX(Кат!$I:$I,MATCH(Прайс!$B107,Кат!$G:$G,0)),INDEX(Торг!$I:$I,MATCH(Прайс!$B107,Торг!$H:$H,0))),"")</f>
        <v/>
      </c>
    </row>
    <row r="108" spans="1:8" x14ac:dyDescent="0.25">
      <c r="A108" s="94" t="s">
        <v>2482</v>
      </c>
      <c r="B108" s="98">
        <v>20107</v>
      </c>
      <c r="C108" s="98" t="s">
        <v>208</v>
      </c>
      <c r="D108" s="96" t="s">
        <v>190</v>
      </c>
      <c r="E108" s="97">
        <v>290</v>
      </c>
      <c r="F108" s="67" t="str">
        <f>IFERROR(IFERROR(INDEX(Кат!$A:$A,MATCH(Прайс!$B108,Кат!$G:$G,0)),INDEX(Торг!$B:$B,MATCH(Прайс!$B108,Торг!$H:$H,0))),"")</f>
        <v/>
      </c>
      <c r="G108" s="67" t="str">
        <f>IFERROR(IFERROR(INDEX(Кат!$B:$B,MATCH(Прайс!$B108,Кат!$G:$G,0)),INDEX(Торг!$C:$C,MATCH(Прайс!$B108,Торг!$H:$H,0))),"")</f>
        <v/>
      </c>
      <c r="H108" s="67" t="str">
        <f>IFERROR(IFERROR(INDEX(Кат!$I:$I,MATCH(Прайс!$B108,Кат!$G:$G,0)),INDEX(Торг!$I:$I,MATCH(Прайс!$B108,Торг!$H:$H,0))),"")</f>
        <v/>
      </c>
    </row>
    <row r="109" spans="1:8" x14ac:dyDescent="0.25">
      <c r="A109" s="94" t="s">
        <v>6541</v>
      </c>
      <c r="B109" s="98">
        <v>20532</v>
      </c>
      <c r="C109" s="98" t="s">
        <v>6542</v>
      </c>
      <c r="D109" s="96" t="s">
        <v>190</v>
      </c>
      <c r="E109" s="97">
        <v>500</v>
      </c>
      <c r="F109" s="67" t="str">
        <f>IFERROR(IFERROR(INDEX(Кат!$A:$A,MATCH(Прайс!$B109,Кат!$G:$G,0)),INDEX(Торг!$B:$B,MATCH(Прайс!$B109,Торг!$H:$H,0))),"")</f>
        <v/>
      </c>
      <c r="G109" s="67" t="str">
        <f>IFERROR(IFERROR(INDEX(Кат!$B:$B,MATCH(Прайс!$B109,Кат!$G:$G,0)),INDEX(Торг!$C:$C,MATCH(Прайс!$B109,Торг!$H:$H,0))),"")</f>
        <v/>
      </c>
      <c r="H109" s="67" t="str">
        <f>IFERROR(IFERROR(INDEX(Кат!$I:$I,MATCH(Прайс!$B109,Кат!$G:$G,0)),INDEX(Торг!$I:$I,MATCH(Прайс!$B109,Торг!$H:$H,0))),"")</f>
        <v/>
      </c>
    </row>
    <row r="110" spans="1:8" ht="15.75" x14ac:dyDescent="0.25">
      <c r="A110" s="90"/>
      <c r="B110" s="91"/>
      <c r="C110" s="92" t="s">
        <v>209</v>
      </c>
      <c r="D110" s="91"/>
      <c r="E110" s="93"/>
      <c r="F110" s="67" t="str">
        <f>IFERROR(IFERROR(INDEX(Кат!$A:$A,MATCH(Прайс!$B110,Кат!$G:$G,0)),INDEX(Торг!$B:$B,MATCH(Прайс!$B110,Торг!$H:$H,0))),"")</f>
        <v/>
      </c>
      <c r="G110" s="67" t="str">
        <f>IFERROR(IFERROR(INDEX(Кат!$B:$B,MATCH(Прайс!$B110,Кат!$G:$G,0)),INDEX(Торг!$C:$C,MATCH(Прайс!$B110,Торг!$H:$H,0))),"")</f>
        <v/>
      </c>
      <c r="H110" s="67" t="str">
        <f>IFERROR(IFERROR(INDEX(Кат!$I:$I,MATCH(Прайс!$B110,Кат!$G:$G,0)),INDEX(Торг!$I:$I,MATCH(Прайс!$B110,Торг!$H:$H,0))),"")</f>
        <v/>
      </c>
    </row>
    <row r="111" spans="1:8" x14ac:dyDescent="0.25">
      <c r="A111" s="94" t="s">
        <v>2483</v>
      </c>
      <c r="B111" s="98">
        <v>20312</v>
      </c>
      <c r="C111" s="98" t="s">
        <v>210</v>
      </c>
      <c r="D111" s="96" t="s">
        <v>190</v>
      </c>
      <c r="E111" s="97">
        <v>520</v>
      </c>
      <c r="F111" s="67" t="str">
        <f>IFERROR(IFERROR(INDEX(Кат!$A:$A,MATCH(Прайс!$B111,Кат!$G:$G,0)),INDEX(Торг!$B:$B,MATCH(Прайс!$B111,Торг!$H:$H,0))),"")</f>
        <v/>
      </c>
      <c r="G111" s="67" t="str">
        <f>IFERROR(IFERROR(INDEX(Кат!$B:$B,MATCH(Прайс!$B111,Кат!$G:$G,0)),INDEX(Торг!$C:$C,MATCH(Прайс!$B111,Торг!$H:$H,0))),"")</f>
        <v/>
      </c>
      <c r="H111" s="67" t="str">
        <f>IFERROR(IFERROR(INDEX(Кат!$I:$I,MATCH(Прайс!$B111,Кат!$G:$G,0)),INDEX(Торг!$I:$I,MATCH(Прайс!$B111,Торг!$H:$H,0))),"")</f>
        <v/>
      </c>
    </row>
    <row r="112" spans="1:8" x14ac:dyDescent="0.25">
      <c r="A112" s="94" t="s">
        <v>2484</v>
      </c>
      <c r="B112" s="98">
        <v>20314</v>
      </c>
      <c r="C112" s="98" t="s">
        <v>211</v>
      </c>
      <c r="D112" s="96" t="s">
        <v>190</v>
      </c>
      <c r="E112" s="97">
        <v>630</v>
      </c>
      <c r="F112" s="67" t="str">
        <f>IFERROR(IFERROR(INDEX(Кат!$A:$A,MATCH(Прайс!$B112,Кат!$G:$G,0)),INDEX(Торг!$B:$B,MATCH(Прайс!$B112,Торг!$H:$H,0))),"")</f>
        <v/>
      </c>
      <c r="G112" s="67" t="str">
        <f>IFERROR(IFERROR(INDEX(Кат!$B:$B,MATCH(Прайс!$B112,Кат!$G:$G,0)),INDEX(Торг!$C:$C,MATCH(Прайс!$B112,Торг!$H:$H,0))),"")</f>
        <v/>
      </c>
      <c r="H112" s="67" t="str">
        <f>IFERROR(IFERROR(INDEX(Кат!$I:$I,MATCH(Прайс!$B112,Кат!$G:$G,0)),INDEX(Торг!$I:$I,MATCH(Прайс!$B112,Торг!$H:$H,0))),"")</f>
        <v/>
      </c>
    </row>
    <row r="113" spans="1:8" x14ac:dyDescent="0.25">
      <c r="A113" s="94" t="s">
        <v>2485</v>
      </c>
      <c r="B113" s="98">
        <v>20311</v>
      </c>
      <c r="C113" s="98" t="s">
        <v>212</v>
      </c>
      <c r="D113" s="96" t="s">
        <v>190</v>
      </c>
      <c r="E113" s="97">
        <v>520</v>
      </c>
      <c r="F113" s="67" t="str">
        <f>IFERROR(IFERROR(INDEX(Кат!$A:$A,MATCH(Прайс!$B113,Кат!$G:$G,0)),INDEX(Торг!$B:$B,MATCH(Прайс!$B113,Торг!$H:$H,0))),"")</f>
        <v/>
      </c>
      <c r="G113" s="67" t="str">
        <f>IFERROR(IFERROR(INDEX(Кат!$B:$B,MATCH(Прайс!$B113,Кат!$G:$G,0)),INDEX(Торг!$C:$C,MATCH(Прайс!$B113,Торг!$H:$H,0))),"")</f>
        <v/>
      </c>
      <c r="H113" s="67" t="str">
        <f>IFERROR(IFERROR(INDEX(Кат!$I:$I,MATCH(Прайс!$B113,Кат!$G:$G,0)),INDEX(Торг!$I:$I,MATCH(Прайс!$B113,Торг!$H:$H,0))),"")</f>
        <v/>
      </c>
    </row>
    <row r="114" spans="1:8" x14ac:dyDescent="0.25">
      <c r="A114" s="94" t="s">
        <v>2486</v>
      </c>
      <c r="B114" s="98">
        <v>20313</v>
      </c>
      <c r="C114" s="98" t="s">
        <v>213</v>
      </c>
      <c r="D114" s="96" t="s">
        <v>190</v>
      </c>
      <c r="E114" s="97">
        <v>630</v>
      </c>
      <c r="F114" s="67" t="str">
        <f>IFERROR(IFERROR(INDEX(Кат!$A:$A,MATCH(Прайс!$B114,Кат!$G:$G,0)),INDEX(Торг!$B:$B,MATCH(Прайс!$B114,Торг!$H:$H,0))),"")</f>
        <v/>
      </c>
      <c r="G114" s="67" t="str">
        <f>IFERROR(IFERROR(INDEX(Кат!$B:$B,MATCH(Прайс!$B114,Кат!$G:$G,0)),INDEX(Торг!$C:$C,MATCH(Прайс!$B114,Торг!$H:$H,0))),"")</f>
        <v/>
      </c>
      <c r="H114" s="67" t="str">
        <f>IFERROR(IFERROR(INDEX(Кат!$I:$I,MATCH(Прайс!$B114,Кат!$G:$G,0)),INDEX(Торг!$I:$I,MATCH(Прайс!$B114,Торг!$H:$H,0))),"")</f>
        <v/>
      </c>
    </row>
    <row r="115" spans="1:8" ht="15.75" x14ac:dyDescent="0.25">
      <c r="A115" s="90"/>
      <c r="B115" s="91"/>
      <c r="C115" s="92" t="s">
        <v>214</v>
      </c>
      <c r="D115" s="91"/>
      <c r="E115" s="93"/>
      <c r="F115" s="67" t="str">
        <f>IFERROR(IFERROR(INDEX(Кат!$A:$A,MATCH(Прайс!$B115,Кат!$G:$G,0)),INDEX(Торг!$B:$B,MATCH(Прайс!$B115,Торг!$H:$H,0))),"")</f>
        <v/>
      </c>
      <c r="G115" s="67" t="str">
        <f>IFERROR(IFERROR(INDEX(Кат!$B:$B,MATCH(Прайс!$B115,Кат!$G:$G,0)),INDEX(Торг!$C:$C,MATCH(Прайс!$B115,Торг!$H:$H,0))),"")</f>
        <v/>
      </c>
      <c r="H115" s="67" t="str">
        <f>IFERROR(IFERROR(INDEX(Кат!$I:$I,MATCH(Прайс!$B115,Кат!$G:$G,0)),INDEX(Торг!$I:$I,MATCH(Прайс!$B115,Торг!$H:$H,0))),"")</f>
        <v/>
      </c>
    </row>
    <row r="116" spans="1:8" x14ac:dyDescent="0.25">
      <c r="A116" s="94" t="s">
        <v>2487</v>
      </c>
      <c r="B116" s="98">
        <v>20108</v>
      </c>
      <c r="C116" s="98" t="s">
        <v>215</v>
      </c>
      <c r="D116" s="96" t="s">
        <v>216</v>
      </c>
      <c r="E116" s="97">
        <v>80</v>
      </c>
      <c r="F116" s="67" t="str">
        <f>IFERROR(IFERROR(INDEX(Кат!$A:$A,MATCH(Прайс!$B116,Кат!$G:$G,0)),INDEX(Торг!$B:$B,MATCH(Прайс!$B116,Торг!$H:$H,0))),"")</f>
        <v/>
      </c>
      <c r="G116" s="67" t="str">
        <f>IFERROR(IFERROR(INDEX(Кат!$B:$B,MATCH(Прайс!$B116,Кат!$G:$G,0)),INDEX(Торг!$C:$C,MATCH(Прайс!$B116,Торг!$H:$H,0))),"")</f>
        <v/>
      </c>
      <c r="H116" s="67" t="str">
        <f>IFERROR(IFERROR(INDEX(Кат!$I:$I,MATCH(Прайс!$B116,Кат!$G:$G,0)),INDEX(Торг!$I:$I,MATCH(Прайс!$B116,Торг!$H:$H,0))),"")</f>
        <v/>
      </c>
    </row>
    <row r="117" spans="1:8" x14ac:dyDescent="0.25">
      <c r="A117" s="94" t="s">
        <v>8527</v>
      </c>
      <c r="B117" s="95">
        <v>20556</v>
      </c>
      <c r="C117" s="95" t="s">
        <v>8528</v>
      </c>
      <c r="D117" s="96" t="s">
        <v>190</v>
      </c>
      <c r="E117" s="97">
        <v>75</v>
      </c>
      <c r="F117" s="67" t="str">
        <f>IFERROR(IFERROR(INDEX(Кат!$A:$A,MATCH(Прайс!$B117,Кат!$G:$G,0)),INDEX(Торг!$B:$B,MATCH(Прайс!$B117,Торг!$H:$H,0))),"")</f>
        <v/>
      </c>
      <c r="G117" s="67" t="str">
        <f>IFERROR(IFERROR(INDEX(Кат!$B:$B,MATCH(Прайс!$B117,Кат!$G:$G,0)),INDEX(Торг!$C:$C,MATCH(Прайс!$B117,Торг!$H:$H,0))),"")</f>
        <v/>
      </c>
      <c r="H117" s="67" t="str">
        <f>IFERROR(IFERROR(INDEX(Кат!$I:$I,MATCH(Прайс!$B117,Кат!$G:$G,0)),INDEX(Торг!$I:$I,MATCH(Прайс!$B117,Торг!$H:$H,0))),"")</f>
        <v/>
      </c>
    </row>
    <row r="118" spans="1:8" ht="15.75" x14ac:dyDescent="0.25">
      <c r="A118" s="90"/>
      <c r="B118" s="91"/>
      <c r="C118" s="92" t="s">
        <v>6543</v>
      </c>
      <c r="D118" s="91"/>
      <c r="E118" s="93"/>
      <c r="F118" s="67" t="str">
        <f>IFERROR(IFERROR(INDEX(Кат!$A:$A,MATCH(Прайс!$B118,Кат!$G:$G,0)),INDEX(Торг!$B:$B,MATCH(Прайс!$B118,Торг!$H:$H,0))),"")</f>
        <v/>
      </c>
      <c r="G118" s="67" t="str">
        <f>IFERROR(IFERROR(INDEX(Кат!$B:$B,MATCH(Прайс!$B118,Кат!$G:$G,0)),INDEX(Торг!$C:$C,MATCH(Прайс!$B118,Торг!$H:$H,0))),"")</f>
        <v/>
      </c>
      <c r="H118" s="67" t="str">
        <f>IFERROR(IFERROR(INDEX(Кат!$I:$I,MATCH(Прайс!$B118,Кат!$G:$G,0)),INDEX(Торг!$I:$I,MATCH(Прайс!$B118,Торг!$H:$H,0))),"")</f>
        <v/>
      </c>
    </row>
    <row r="119" spans="1:8" x14ac:dyDescent="0.25">
      <c r="A119" s="99" t="s">
        <v>6544</v>
      </c>
      <c r="B119" s="108">
        <v>20509</v>
      </c>
      <c r="C119" s="108" t="s">
        <v>6545</v>
      </c>
      <c r="D119" s="101" t="s">
        <v>162</v>
      </c>
      <c r="E119" s="102">
        <v>990</v>
      </c>
      <c r="F119" s="67" t="str">
        <f>IFERROR(IFERROR(INDEX(Кат!$A:$A,MATCH(Прайс!$B119,Кат!$G:$G,0)),INDEX(Торг!$B:$B,MATCH(Прайс!$B119,Торг!$H:$H,0))),"")</f>
        <v/>
      </c>
      <c r="G119" s="67" t="str">
        <f>IFERROR(IFERROR(INDEX(Кат!$B:$B,MATCH(Прайс!$B119,Кат!$G:$G,0)),INDEX(Торг!$C:$C,MATCH(Прайс!$B119,Торг!$H:$H,0))),"")</f>
        <v/>
      </c>
      <c r="H119" s="67" t="str">
        <f>IFERROR(IFERROR(INDEX(Кат!$I:$I,MATCH(Прайс!$B119,Кат!$G:$G,0)),INDEX(Торг!$I:$I,MATCH(Прайс!$B119,Торг!$H:$H,0))),"")</f>
        <v/>
      </c>
    </row>
    <row r="120" spans="1:8" x14ac:dyDescent="0.25">
      <c r="A120" s="99" t="s">
        <v>6546</v>
      </c>
      <c r="B120" s="108">
        <v>20110</v>
      </c>
      <c r="C120" s="108" t="s">
        <v>6547</v>
      </c>
      <c r="D120" s="101" t="s">
        <v>161</v>
      </c>
      <c r="E120" s="114">
        <v>1100</v>
      </c>
      <c r="F120" s="67" t="str">
        <f>IFERROR(IFERROR(INDEX(Кат!$A:$A,MATCH(Прайс!$B120,Кат!$G:$G,0)),INDEX(Торг!$B:$B,MATCH(Прайс!$B120,Торг!$H:$H,0))),"")</f>
        <v/>
      </c>
      <c r="G120" s="67" t="str">
        <f>IFERROR(IFERROR(INDEX(Кат!$B:$B,MATCH(Прайс!$B120,Кат!$G:$G,0)),INDEX(Торг!$C:$C,MATCH(Прайс!$B120,Торг!$H:$H,0))),"")</f>
        <v/>
      </c>
      <c r="H120" s="67" t="str">
        <f>IFERROR(IFERROR(INDEX(Кат!$I:$I,MATCH(Прайс!$B120,Кат!$G:$G,0)),INDEX(Торг!$I:$I,MATCH(Прайс!$B120,Торг!$H:$H,0))),"")</f>
        <v/>
      </c>
    </row>
    <row r="121" spans="1:8" x14ac:dyDescent="0.25">
      <c r="A121" s="99" t="s">
        <v>6548</v>
      </c>
      <c r="B121" s="108">
        <v>20111</v>
      </c>
      <c r="C121" s="108" t="s">
        <v>6549</v>
      </c>
      <c r="D121" s="101" t="s">
        <v>1125</v>
      </c>
      <c r="E121" s="102">
        <v>770</v>
      </c>
      <c r="F121" s="67" t="str">
        <f>IFERROR(IFERROR(INDEX(Кат!$A:$A,MATCH(Прайс!$B121,Кат!$G:$G,0)),INDEX(Торг!$B:$B,MATCH(Прайс!$B121,Торг!$H:$H,0))),"")</f>
        <v/>
      </c>
      <c r="G121" s="67" t="str">
        <f>IFERROR(IFERROR(INDEX(Кат!$B:$B,MATCH(Прайс!$B121,Кат!$G:$G,0)),INDEX(Торг!$C:$C,MATCH(Прайс!$B121,Торг!$H:$H,0))),"")</f>
        <v/>
      </c>
      <c r="H121" s="67" t="str">
        <f>IFERROR(IFERROR(INDEX(Кат!$I:$I,MATCH(Прайс!$B121,Кат!$G:$G,0)),INDEX(Торг!$I:$I,MATCH(Прайс!$B121,Торг!$H:$H,0))),"")</f>
        <v/>
      </c>
    </row>
    <row r="122" spans="1:8" x14ac:dyDescent="0.25">
      <c r="A122" s="99" t="s">
        <v>6550</v>
      </c>
      <c r="B122" s="108">
        <v>20112</v>
      </c>
      <c r="C122" s="108" t="s">
        <v>6551</v>
      </c>
      <c r="D122" s="101" t="s">
        <v>480</v>
      </c>
      <c r="E122" s="114">
        <v>1350</v>
      </c>
      <c r="F122" s="67" t="str">
        <f>IFERROR(IFERROR(INDEX(Кат!$A:$A,MATCH(Прайс!$B122,Кат!$G:$G,0)),INDEX(Торг!$B:$B,MATCH(Прайс!$B122,Торг!$H:$H,0))),"")</f>
        <v/>
      </c>
      <c r="G122" s="67" t="str">
        <f>IFERROR(IFERROR(INDEX(Кат!$B:$B,MATCH(Прайс!$B122,Кат!$G:$G,0)),INDEX(Торг!$C:$C,MATCH(Прайс!$B122,Торг!$H:$H,0))),"")</f>
        <v/>
      </c>
      <c r="H122" s="67" t="str">
        <f>IFERROR(IFERROR(INDEX(Кат!$I:$I,MATCH(Прайс!$B122,Кат!$G:$G,0)),INDEX(Торг!$I:$I,MATCH(Прайс!$B122,Торг!$H:$H,0))),"")</f>
        <v/>
      </c>
    </row>
    <row r="123" spans="1:8" x14ac:dyDescent="0.25">
      <c r="A123" s="99" t="s">
        <v>6552</v>
      </c>
      <c r="B123" s="108">
        <v>20113</v>
      </c>
      <c r="C123" s="108" t="s">
        <v>6553</v>
      </c>
      <c r="D123" s="101" t="s">
        <v>161</v>
      </c>
      <c r="E123" s="114">
        <v>1900</v>
      </c>
      <c r="F123" s="67" t="str">
        <f>IFERROR(IFERROR(INDEX(Кат!$A:$A,MATCH(Прайс!$B123,Кат!$G:$G,0)),INDEX(Торг!$B:$B,MATCH(Прайс!$B123,Торг!$H:$H,0))),"")</f>
        <v/>
      </c>
      <c r="G123" s="67" t="str">
        <f>IFERROR(IFERROR(INDEX(Кат!$B:$B,MATCH(Прайс!$B123,Кат!$G:$G,0)),INDEX(Торг!$C:$C,MATCH(Прайс!$B123,Торг!$H:$H,0))),"")</f>
        <v/>
      </c>
      <c r="H123" s="67" t="str">
        <f>IFERROR(IFERROR(INDEX(Кат!$I:$I,MATCH(Прайс!$B123,Кат!$G:$G,0)),INDEX(Торг!$I:$I,MATCH(Прайс!$B123,Торг!$H:$H,0))),"")</f>
        <v/>
      </c>
    </row>
    <row r="124" spans="1:8" x14ac:dyDescent="0.25">
      <c r="A124" s="99" t="s">
        <v>7343</v>
      </c>
      <c r="B124" s="108">
        <v>20114</v>
      </c>
      <c r="C124" s="108" t="s">
        <v>7344</v>
      </c>
      <c r="D124" s="101" t="s">
        <v>161</v>
      </c>
      <c r="E124" s="102">
        <v>900</v>
      </c>
      <c r="F124" s="67" t="str">
        <f>IFERROR(IFERROR(INDEX(Кат!$A:$A,MATCH(Прайс!$B124,Кат!$G:$G,0)),INDEX(Торг!$B:$B,MATCH(Прайс!$B124,Торг!$H:$H,0))),"")</f>
        <v/>
      </c>
      <c r="G124" s="67" t="str">
        <f>IFERROR(IFERROR(INDEX(Кат!$B:$B,MATCH(Прайс!$B124,Кат!$G:$G,0)),INDEX(Торг!$C:$C,MATCH(Прайс!$B124,Торг!$H:$H,0))),"")</f>
        <v/>
      </c>
      <c r="H124" s="67" t="str">
        <f>IFERROR(IFERROR(INDEX(Кат!$I:$I,MATCH(Прайс!$B124,Кат!$G:$G,0)),INDEX(Торг!$I:$I,MATCH(Прайс!$B124,Торг!$H:$H,0))),"")</f>
        <v/>
      </c>
    </row>
    <row r="125" spans="1:8" x14ac:dyDescent="0.25">
      <c r="A125" s="99" t="s">
        <v>6554</v>
      </c>
      <c r="B125" s="108">
        <v>20115</v>
      </c>
      <c r="C125" s="108" t="s">
        <v>6555</v>
      </c>
      <c r="D125" s="101" t="s">
        <v>162</v>
      </c>
      <c r="E125" s="102">
        <v>540</v>
      </c>
      <c r="F125" s="67" t="str">
        <f>IFERROR(IFERROR(INDEX(Кат!$A:$A,MATCH(Прайс!$B125,Кат!$G:$G,0)),INDEX(Торг!$B:$B,MATCH(Прайс!$B125,Торг!$H:$H,0))),"")</f>
        <v/>
      </c>
      <c r="G125" s="67" t="str">
        <f>IFERROR(IFERROR(INDEX(Кат!$B:$B,MATCH(Прайс!$B125,Кат!$G:$G,0)),INDEX(Торг!$C:$C,MATCH(Прайс!$B125,Торг!$H:$H,0))),"")</f>
        <v/>
      </c>
      <c r="H125" s="67" t="str">
        <f>IFERROR(IFERROR(INDEX(Кат!$I:$I,MATCH(Прайс!$B125,Кат!$G:$G,0)),INDEX(Торг!$I:$I,MATCH(Прайс!$B125,Торг!$H:$H,0))),"")</f>
        <v/>
      </c>
    </row>
    <row r="126" spans="1:8" ht="15.75" x14ac:dyDescent="0.25">
      <c r="A126" s="90"/>
      <c r="B126" s="91"/>
      <c r="C126" s="92" t="s">
        <v>217</v>
      </c>
      <c r="D126" s="91"/>
      <c r="E126" s="93"/>
      <c r="F126" s="67" t="str">
        <f>IFERROR(IFERROR(INDEX(Кат!$A:$A,MATCH(Прайс!$B126,Кат!$G:$G,0)),INDEX(Торг!$B:$B,MATCH(Прайс!$B126,Торг!$H:$H,0))),"")</f>
        <v/>
      </c>
      <c r="G126" s="67" t="str">
        <f>IFERROR(IFERROR(INDEX(Кат!$B:$B,MATCH(Прайс!$B126,Кат!$G:$G,0)),INDEX(Торг!$C:$C,MATCH(Прайс!$B126,Торг!$H:$H,0))),"")</f>
        <v/>
      </c>
      <c r="H126" s="67" t="str">
        <f>IFERROR(IFERROR(INDEX(Кат!$I:$I,MATCH(Прайс!$B126,Кат!$G:$G,0)),INDEX(Торг!$I:$I,MATCH(Прайс!$B126,Торг!$H:$H,0))),"")</f>
        <v/>
      </c>
    </row>
    <row r="127" spans="1:8" x14ac:dyDescent="0.25">
      <c r="A127" s="94" t="s">
        <v>2488</v>
      </c>
      <c r="B127" s="95">
        <v>20116</v>
      </c>
      <c r="C127" s="95" t="s">
        <v>218</v>
      </c>
      <c r="D127" s="96" t="s">
        <v>219</v>
      </c>
      <c r="E127" s="97">
        <v>19</v>
      </c>
      <c r="F127" s="67" t="str">
        <f>IFERROR(IFERROR(INDEX(Кат!$A:$A,MATCH(Прайс!$B127,Кат!$G:$G,0)),INDEX(Торг!$B:$B,MATCH(Прайс!$B127,Торг!$H:$H,0))),"")</f>
        <v/>
      </c>
      <c r="G127" s="67" t="str">
        <f>IFERROR(IFERROR(INDEX(Кат!$B:$B,MATCH(Прайс!$B127,Кат!$G:$G,0)),INDEX(Торг!$C:$C,MATCH(Прайс!$B127,Торг!$H:$H,0))),"")</f>
        <v/>
      </c>
      <c r="H127" s="67" t="str">
        <f>IFERROR(IFERROR(INDEX(Кат!$I:$I,MATCH(Прайс!$B127,Кат!$G:$G,0)),INDEX(Торг!$I:$I,MATCH(Прайс!$B127,Торг!$H:$H,0))),"")</f>
        <v/>
      </c>
    </row>
    <row r="128" spans="1:8" x14ac:dyDescent="0.25">
      <c r="A128" s="94" t="s">
        <v>2489</v>
      </c>
      <c r="B128" s="95">
        <v>20117</v>
      </c>
      <c r="C128" s="95" t="s">
        <v>220</v>
      </c>
      <c r="D128" s="96" t="s">
        <v>219</v>
      </c>
      <c r="E128" s="97">
        <v>18</v>
      </c>
      <c r="F128" s="67" t="str">
        <f>IFERROR(IFERROR(INDEX(Кат!$A:$A,MATCH(Прайс!$B128,Кат!$G:$G,0)),INDEX(Торг!$B:$B,MATCH(Прайс!$B128,Торг!$H:$H,0))),"")</f>
        <v/>
      </c>
      <c r="G128" s="67" t="str">
        <f>IFERROR(IFERROR(INDEX(Кат!$B:$B,MATCH(Прайс!$B128,Кат!$G:$G,0)),INDEX(Торг!$C:$C,MATCH(Прайс!$B128,Торг!$H:$H,0))),"")</f>
        <v/>
      </c>
      <c r="H128" s="67" t="str">
        <f>IFERROR(IFERROR(INDEX(Кат!$I:$I,MATCH(Прайс!$B128,Кат!$G:$G,0)),INDEX(Торг!$I:$I,MATCH(Прайс!$B128,Торг!$H:$H,0))),"")</f>
        <v/>
      </c>
    </row>
    <row r="129" spans="1:8" x14ac:dyDescent="0.25">
      <c r="A129" s="94" t="s">
        <v>2490</v>
      </c>
      <c r="B129" s="95">
        <v>20119</v>
      </c>
      <c r="C129" s="95" t="s">
        <v>221</v>
      </c>
      <c r="D129" s="96" t="s">
        <v>222</v>
      </c>
      <c r="E129" s="97">
        <v>28</v>
      </c>
      <c r="F129" s="67" t="str">
        <f>IFERROR(IFERROR(INDEX(Кат!$A:$A,MATCH(Прайс!$B129,Кат!$G:$G,0)),INDEX(Торг!$B:$B,MATCH(Прайс!$B129,Торг!$H:$H,0))),"")</f>
        <v/>
      </c>
      <c r="G129" s="67" t="str">
        <f>IFERROR(IFERROR(INDEX(Кат!$B:$B,MATCH(Прайс!$B129,Кат!$G:$G,0)),INDEX(Торг!$C:$C,MATCH(Прайс!$B129,Торг!$H:$H,0))),"")</f>
        <v/>
      </c>
      <c r="H129" s="67" t="str">
        <f>IFERROR(IFERROR(INDEX(Кат!$I:$I,MATCH(Прайс!$B129,Кат!$G:$G,0)),INDEX(Торг!$I:$I,MATCH(Прайс!$B129,Торг!$H:$H,0))),"")</f>
        <v/>
      </c>
    </row>
    <row r="130" spans="1:8" x14ac:dyDescent="0.25">
      <c r="A130" s="94" t="s">
        <v>2491</v>
      </c>
      <c r="B130" s="95">
        <v>20120</v>
      </c>
      <c r="C130" s="95" t="s">
        <v>223</v>
      </c>
      <c r="D130" s="96" t="s">
        <v>219</v>
      </c>
      <c r="E130" s="97">
        <v>22</v>
      </c>
      <c r="F130" s="67" t="str">
        <f>IFERROR(IFERROR(INDEX(Кат!$A:$A,MATCH(Прайс!$B130,Кат!$G:$G,0)),INDEX(Торг!$B:$B,MATCH(Прайс!$B130,Торг!$H:$H,0))),"")</f>
        <v/>
      </c>
      <c r="G130" s="67" t="str">
        <f>IFERROR(IFERROR(INDEX(Кат!$B:$B,MATCH(Прайс!$B130,Кат!$G:$G,0)),INDEX(Торг!$C:$C,MATCH(Прайс!$B130,Торг!$H:$H,0))),"")</f>
        <v/>
      </c>
      <c r="H130" s="67" t="str">
        <f>IFERROR(IFERROR(INDEX(Кат!$I:$I,MATCH(Прайс!$B130,Кат!$G:$G,0)),INDEX(Торг!$I:$I,MATCH(Прайс!$B130,Торг!$H:$H,0))),"")</f>
        <v/>
      </c>
    </row>
    <row r="131" spans="1:8" x14ac:dyDescent="0.25">
      <c r="A131" s="94" t="s">
        <v>2492</v>
      </c>
      <c r="B131" s="98">
        <v>20477</v>
      </c>
      <c r="C131" s="98" t="s">
        <v>2074</v>
      </c>
      <c r="D131" s="96" t="s">
        <v>222</v>
      </c>
      <c r="E131" s="97">
        <v>18</v>
      </c>
      <c r="F131" s="67" t="str">
        <f>IFERROR(IFERROR(INDEX(Кат!$A:$A,MATCH(Прайс!$B131,Кат!$G:$G,0)),INDEX(Торг!$B:$B,MATCH(Прайс!$B131,Торг!$H:$H,0))),"")</f>
        <v/>
      </c>
      <c r="G131" s="67" t="str">
        <f>IFERROR(IFERROR(INDEX(Кат!$B:$B,MATCH(Прайс!$B131,Кат!$G:$G,0)),INDEX(Торг!$C:$C,MATCH(Прайс!$B131,Торг!$H:$H,0))),"")</f>
        <v/>
      </c>
      <c r="H131" s="67" t="str">
        <f>IFERROR(IFERROR(INDEX(Кат!$I:$I,MATCH(Прайс!$B131,Кат!$G:$G,0)),INDEX(Торг!$I:$I,MATCH(Прайс!$B131,Торг!$H:$H,0))),"")</f>
        <v/>
      </c>
    </row>
    <row r="132" spans="1:8" x14ac:dyDescent="0.25">
      <c r="A132" s="94" t="s">
        <v>2493</v>
      </c>
      <c r="B132" s="98">
        <v>20118</v>
      </c>
      <c r="C132" s="98" t="s">
        <v>8141</v>
      </c>
      <c r="D132" s="96" t="s">
        <v>222</v>
      </c>
      <c r="E132" s="97">
        <v>25</v>
      </c>
      <c r="F132" s="67" t="str">
        <f>IFERROR(IFERROR(INDEX(Кат!$A:$A,MATCH(Прайс!$B132,Кат!$G:$G,0)),INDEX(Торг!$B:$B,MATCH(Прайс!$B132,Торг!$H:$H,0))),"")</f>
        <v/>
      </c>
      <c r="G132" s="67" t="str">
        <f>IFERROR(IFERROR(INDEX(Кат!$B:$B,MATCH(Прайс!$B132,Кат!$G:$G,0)),INDEX(Торг!$C:$C,MATCH(Прайс!$B132,Торг!$H:$H,0))),"")</f>
        <v/>
      </c>
      <c r="H132" s="67" t="str">
        <f>IFERROR(IFERROR(INDEX(Кат!$I:$I,MATCH(Прайс!$B132,Кат!$G:$G,0)),INDEX(Торг!$I:$I,MATCH(Прайс!$B132,Торг!$H:$H,0))),"")</f>
        <v/>
      </c>
    </row>
    <row r="133" spans="1:8" x14ac:dyDescent="0.25">
      <c r="A133" s="94" t="s">
        <v>2494</v>
      </c>
      <c r="B133" s="98">
        <v>20121</v>
      </c>
      <c r="C133" s="98" t="s">
        <v>225</v>
      </c>
      <c r="D133" s="96" t="s">
        <v>162</v>
      </c>
      <c r="E133" s="97">
        <v>35</v>
      </c>
      <c r="F133" s="67" t="str">
        <f>IFERROR(IFERROR(INDEX(Кат!$A:$A,MATCH(Прайс!$B133,Кат!$G:$G,0)),INDEX(Торг!$B:$B,MATCH(Прайс!$B133,Торг!$H:$H,0))),"")</f>
        <v/>
      </c>
      <c r="G133" s="67" t="str">
        <f>IFERROR(IFERROR(INDEX(Кат!$B:$B,MATCH(Прайс!$B133,Кат!$G:$G,0)),INDEX(Торг!$C:$C,MATCH(Прайс!$B133,Торг!$H:$H,0))),"")</f>
        <v/>
      </c>
      <c r="H133" s="67" t="str">
        <f>IFERROR(IFERROR(INDEX(Кат!$I:$I,MATCH(Прайс!$B133,Кат!$G:$G,0)),INDEX(Торг!$I:$I,MATCH(Прайс!$B133,Торг!$H:$H,0))),"")</f>
        <v/>
      </c>
    </row>
    <row r="134" spans="1:8" x14ac:dyDescent="0.25">
      <c r="A134" s="94" t="s">
        <v>2495</v>
      </c>
      <c r="B134" s="98">
        <v>20123</v>
      </c>
      <c r="C134" s="98" t="s">
        <v>226</v>
      </c>
      <c r="D134" s="96" t="s">
        <v>162</v>
      </c>
      <c r="E134" s="97">
        <v>18</v>
      </c>
      <c r="F134" s="67" t="str">
        <f>IFERROR(IFERROR(INDEX(Кат!$A:$A,MATCH(Прайс!$B134,Кат!$G:$G,0)),INDEX(Торг!$B:$B,MATCH(Прайс!$B134,Торг!$H:$H,0))),"")</f>
        <v/>
      </c>
      <c r="G134" s="67" t="str">
        <f>IFERROR(IFERROR(INDEX(Кат!$B:$B,MATCH(Прайс!$B134,Кат!$G:$G,0)),INDEX(Торг!$C:$C,MATCH(Прайс!$B134,Торг!$H:$H,0))),"")</f>
        <v/>
      </c>
      <c r="H134" s="67" t="str">
        <f>IFERROR(IFERROR(INDEX(Кат!$I:$I,MATCH(Прайс!$B134,Кат!$G:$G,0)),INDEX(Торг!$I:$I,MATCH(Прайс!$B134,Торг!$H:$H,0))),"")</f>
        <v/>
      </c>
    </row>
    <row r="135" spans="1:8" ht="15.75" x14ac:dyDescent="0.25">
      <c r="A135" s="90"/>
      <c r="B135" s="91"/>
      <c r="C135" s="92" t="s">
        <v>227</v>
      </c>
      <c r="D135" s="91"/>
      <c r="E135" s="93"/>
      <c r="F135" s="67" t="str">
        <f>IFERROR(IFERROR(INDEX(Кат!$A:$A,MATCH(Прайс!$B135,Кат!$G:$G,0)),INDEX(Торг!$B:$B,MATCH(Прайс!$B135,Торг!$H:$H,0))),"")</f>
        <v/>
      </c>
      <c r="G135" s="67" t="str">
        <f>IFERROR(IFERROR(INDEX(Кат!$B:$B,MATCH(Прайс!$B135,Кат!$G:$G,0)),INDEX(Торг!$C:$C,MATCH(Прайс!$B135,Торг!$H:$H,0))),"")</f>
        <v/>
      </c>
      <c r="H135" s="67" t="str">
        <f>IFERROR(IFERROR(INDEX(Кат!$I:$I,MATCH(Прайс!$B135,Кат!$G:$G,0)),INDEX(Торг!$I:$I,MATCH(Прайс!$B135,Торг!$H:$H,0))),"")</f>
        <v/>
      </c>
    </row>
    <row r="136" spans="1:8" x14ac:dyDescent="0.25">
      <c r="A136" s="94" t="s">
        <v>6082</v>
      </c>
      <c r="B136" s="98">
        <v>20332</v>
      </c>
      <c r="C136" s="98" t="s">
        <v>6083</v>
      </c>
      <c r="D136" s="96" t="s">
        <v>582</v>
      </c>
      <c r="E136" s="107">
        <v>1420</v>
      </c>
      <c r="F136" s="67" t="str">
        <f>IFERROR(IFERROR(INDEX(Кат!$A:$A,MATCH(Прайс!$B136,Кат!$G:$G,0)),INDEX(Торг!$B:$B,MATCH(Прайс!$B136,Торг!$H:$H,0))),"")</f>
        <v/>
      </c>
      <c r="G136" s="67" t="str">
        <f>IFERROR(IFERROR(INDEX(Кат!$B:$B,MATCH(Прайс!$B136,Кат!$G:$G,0)),INDEX(Торг!$C:$C,MATCH(Прайс!$B136,Торг!$H:$H,0))),"")</f>
        <v/>
      </c>
      <c r="H136" s="67" t="str">
        <f>IFERROR(IFERROR(INDEX(Кат!$I:$I,MATCH(Прайс!$B136,Кат!$G:$G,0)),INDEX(Торг!$I:$I,MATCH(Прайс!$B136,Торг!$H:$H,0))),"")</f>
        <v/>
      </c>
    </row>
    <row r="137" spans="1:8" x14ac:dyDescent="0.25">
      <c r="A137" s="94" t="s">
        <v>6084</v>
      </c>
      <c r="B137" s="98">
        <v>20262</v>
      </c>
      <c r="C137" s="98" t="s">
        <v>6085</v>
      </c>
      <c r="D137" s="96" t="s">
        <v>162</v>
      </c>
      <c r="E137" s="107">
        <v>1990</v>
      </c>
      <c r="F137" s="67" t="str">
        <f>IFERROR(IFERROR(INDEX(Кат!$A:$A,MATCH(Прайс!$B137,Кат!$G:$G,0)),INDEX(Торг!$B:$B,MATCH(Прайс!$B137,Торг!$H:$H,0))),"")</f>
        <v/>
      </c>
      <c r="G137" s="67" t="str">
        <f>IFERROR(IFERROR(INDEX(Кат!$B:$B,MATCH(Прайс!$B137,Кат!$G:$G,0)),INDEX(Торг!$C:$C,MATCH(Прайс!$B137,Торг!$H:$H,0))),"")</f>
        <v/>
      </c>
      <c r="H137" s="67" t="str">
        <f>IFERROR(IFERROR(INDEX(Кат!$I:$I,MATCH(Прайс!$B137,Кат!$G:$G,0)),INDEX(Торг!$I:$I,MATCH(Прайс!$B137,Торг!$H:$H,0))),"")</f>
        <v/>
      </c>
    </row>
    <row r="138" spans="1:8" x14ac:dyDescent="0.25">
      <c r="A138" s="94" t="s">
        <v>2496</v>
      </c>
      <c r="B138" s="98">
        <v>20130</v>
      </c>
      <c r="C138" s="98" t="s">
        <v>228</v>
      </c>
      <c r="D138" s="96" t="s">
        <v>161</v>
      </c>
      <c r="E138" s="97">
        <v>850</v>
      </c>
      <c r="F138" s="67" t="str">
        <f>IFERROR(IFERROR(INDEX(Кат!$A:$A,MATCH(Прайс!$B138,Кат!$G:$G,0)),INDEX(Торг!$B:$B,MATCH(Прайс!$B138,Торг!$H:$H,0))),"")</f>
        <v/>
      </c>
      <c r="G138" s="67" t="str">
        <f>IFERROR(IFERROR(INDEX(Кат!$B:$B,MATCH(Прайс!$B138,Кат!$G:$G,0)),INDEX(Торг!$C:$C,MATCH(Прайс!$B138,Торг!$H:$H,0))),"")</f>
        <v/>
      </c>
      <c r="H138" s="67" t="str">
        <f>IFERROR(IFERROR(INDEX(Кат!$I:$I,MATCH(Прайс!$B138,Кат!$G:$G,0)),INDEX(Торг!$I:$I,MATCH(Прайс!$B138,Торг!$H:$H,0))),"")</f>
        <v/>
      </c>
    </row>
    <row r="139" spans="1:8" x14ac:dyDescent="0.25">
      <c r="A139" s="94" t="s">
        <v>2497</v>
      </c>
      <c r="B139" s="98">
        <v>20460</v>
      </c>
      <c r="C139" s="98" t="s">
        <v>229</v>
      </c>
      <c r="D139" s="96" t="s">
        <v>162</v>
      </c>
      <c r="E139" s="107">
        <v>1800</v>
      </c>
      <c r="F139" s="67" t="str">
        <f>IFERROR(IFERROR(INDEX(Кат!$A:$A,MATCH(Прайс!$B139,Кат!$G:$G,0)),INDEX(Торг!$B:$B,MATCH(Прайс!$B139,Торг!$H:$H,0))),"")</f>
        <v/>
      </c>
      <c r="G139" s="67" t="str">
        <f>IFERROR(IFERROR(INDEX(Кат!$B:$B,MATCH(Прайс!$B139,Кат!$G:$G,0)),INDEX(Торг!$C:$C,MATCH(Прайс!$B139,Торг!$H:$H,0))),"")</f>
        <v/>
      </c>
      <c r="H139" s="67" t="str">
        <f>IFERROR(IFERROR(INDEX(Кат!$I:$I,MATCH(Прайс!$B139,Кат!$G:$G,0)),INDEX(Торг!$I:$I,MATCH(Прайс!$B139,Торг!$H:$H,0))),"")</f>
        <v/>
      </c>
    </row>
    <row r="140" spans="1:8" x14ac:dyDescent="0.25">
      <c r="A140" s="94" t="s">
        <v>2498</v>
      </c>
      <c r="B140" s="98">
        <v>20126</v>
      </c>
      <c r="C140" s="98" t="s">
        <v>230</v>
      </c>
      <c r="D140" s="96" t="s">
        <v>174</v>
      </c>
      <c r="E140" s="107">
        <v>2950</v>
      </c>
      <c r="F140" s="67" t="str">
        <f>IFERROR(IFERROR(INDEX(Кат!$A:$A,MATCH(Прайс!$B140,Кат!$G:$G,0)),INDEX(Торг!$B:$B,MATCH(Прайс!$B140,Торг!$H:$H,0))),"")</f>
        <v/>
      </c>
      <c r="G140" s="67" t="str">
        <f>IFERROR(IFERROR(INDEX(Кат!$B:$B,MATCH(Прайс!$B140,Кат!$G:$G,0)),INDEX(Торг!$C:$C,MATCH(Прайс!$B140,Торг!$H:$H,0))),"")</f>
        <v/>
      </c>
      <c r="H140" s="67" t="str">
        <f>IFERROR(IFERROR(INDEX(Кат!$I:$I,MATCH(Прайс!$B140,Кат!$G:$G,0)),INDEX(Торг!$I:$I,MATCH(Прайс!$B140,Торг!$H:$H,0))),"")</f>
        <v/>
      </c>
    </row>
    <row r="141" spans="1:8" x14ac:dyDescent="0.25">
      <c r="A141" s="103" t="s">
        <v>2499</v>
      </c>
      <c r="B141" s="104">
        <v>20131</v>
      </c>
      <c r="C141" s="104" t="s">
        <v>231</v>
      </c>
      <c r="D141" s="105" t="s">
        <v>174</v>
      </c>
      <c r="E141" s="106">
        <v>3300</v>
      </c>
      <c r="F141" s="67" t="str">
        <f>IFERROR(IFERROR(INDEX(Кат!$A:$A,MATCH(Прайс!$B141,Кат!$G:$G,0)),INDEX(Торг!$B:$B,MATCH(Прайс!$B141,Торг!$H:$H,0))),"")</f>
        <v/>
      </c>
      <c r="G141" s="67" t="str">
        <f>IFERROR(IFERROR(INDEX(Кат!$B:$B,MATCH(Прайс!$B141,Кат!$G:$G,0)),INDEX(Торг!$C:$C,MATCH(Прайс!$B141,Торг!$H:$H,0))),"")</f>
        <v/>
      </c>
      <c r="H141" s="67" t="str">
        <f>IFERROR(IFERROR(INDEX(Кат!$I:$I,MATCH(Прайс!$B141,Кат!$G:$G,0)),INDEX(Торг!$I:$I,MATCH(Прайс!$B141,Торг!$H:$H,0))),"")</f>
        <v/>
      </c>
    </row>
    <row r="142" spans="1:8" x14ac:dyDescent="0.25">
      <c r="A142" s="94" t="s">
        <v>2500</v>
      </c>
      <c r="B142" s="98">
        <v>20135</v>
      </c>
      <c r="C142" s="98" t="s">
        <v>232</v>
      </c>
      <c r="D142" s="96" t="s">
        <v>174</v>
      </c>
      <c r="E142" s="107">
        <v>3700</v>
      </c>
      <c r="F142" s="67" t="str">
        <f>IFERROR(IFERROR(INDEX(Кат!$A:$A,MATCH(Прайс!$B142,Кат!$G:$G,0)),INDEX(Торг!$B:$B,MATCH(Прайс!$B142,Торг!$H:$H,0))),"")</f>
        <v/>
      </c>
      <c r="G142" s="67" t="str">
        <f>IFERROR(IFERROR(INDEX(Кат!$B:$B,MATCH(Прайс!$B142,Кат!$G:$G,0)),INDEX(Торг!$C:$C,MATCH(Прайс!$B142,Торг!$H:$H,0))),"")</f>
        <v/>
      </c>
      <c r="H142" s="67" t="str">
        <f>IFERROR(IFERROR(INDEX(Кат!$I:$I,MATCH(Прайс!$B142,Кат!$G:$G,0)),INDEX(Торг!$I:$I,MATCH(Прайс!$B142,Торг!$H:$H,0))),"")</f>
        <v/>
      </c>
    </row>
    <row r="143" spans="1:8" x14ac:dyDescent="0.25">
      <c r="A143" s="103" t="s">
        <v>2501</v>
      </c>
      <c r="B143" s="104">
        <v>20480</v>
      </c>
      <c r="C143" s="104" t="s">
        <v>233</v>
      </c>
      <c r="D143" s="105" t="s">
        <v>160</v>
      </c>
      <c r="E143" s="106">
        <v>4200</v>
      </c>
      <c r="F143" s="67" t="str">
        <f>IFERROR(IFERROR(INDEX(Кат!$A:$A,MATCH(Прайс!$B143,Кат!$G:$G,0)),INDEX(Торг!$B:$B,MATCH(Прайс!$B143,Торг!$H:$H,0))),"")</f>
        <v/>
      </c>
      <c r="G143" s="67" t="str">
        <f>IFERROR(IFERROR(INDEX(Кат!$B:$B,MATCH(Прайс!$B143,Кат!$G:$G,0)),INDEX(Торг!$C:$C,MATCH(Прайс!$B143,Торг!$H:$H,0))),"")</f>
        <v/>
      </c>
      <c r="H143" s="67" t="str">
        <f>IFERROR(IFERROR(INDEX(Кат!$I:$I,MATCH(Прайс!$B143,Кат!$G:$G,0)),INDEX(Торг!$I:$I,MATCH(Прайс!$B143,Торг!$H:$H,0))),"")</f>
        <v/>
      </c>
    </row>
    <row r="144" spans="1:8" x14ac:dyDescent="0.25">
      <c r="A144" s="103" t="s">
        <v>2502</v>
      </c>
      <c r="B144" s="104">
        <v>20446</v>
      </c>
      <c r="C144" s="104" t="s">
        <v>234</v>
      </c>
      <c r="D144" s="105" t="s">
        <v>174</v>
      </c>
      <c r="E144" s="106">
        <v>3350</v>
      </c>
      <c r="F144" s="67" t="str">
        <f>IFERROR(IFERROR(INDEX(Кат!$A:$A,MATCH(Прайс!$B144,Кат!$G:$G,0)),INDEX(Торг!$B:$B,MATCH(Прайс!$B144,Торг!$H:$H,0))),"")</f>
        <v/>
      </c>
      <c r="G144" s="67" t="str">
        <f>IFERROR(IFERROR(INDEX(Кат!$B:$B,MATCH(Прайс!$B144,Кат!$G:$G,0)),INDEX(Торг!$C:$C,MATCH(Прайс!$B144,Торг!$H:$H,0))),"")</f>
        <v/>
      </c>
      <c r="H144" s="67" t="str">
        <f>IFERROR(IFERROR(INDEX(Кат!$I:$I,MATCH(Прайс!$B144,Кат!$G:$G,0)),INDEX(Торг!$I:$I,MATCH(Прайс!$B144,Торг!$H:$H,0))),"")</f>
        <v/>
      </c>
    </row>
    <row r="145" spans="1:8" x14ac:dyDescent="0.25">
      <c r="A145" s="94" t="s">
        <v>2503</v>
      </c>
      <c r="B145" s="98">
        <v>20279</v>
      </c>
      <c r="C145" s="98" t="s">
        <v>235</v>
      </c>
      <c r="D145" s="96" t="s">
        <v>161</v>
      </c>
      <c r="E145" s="97">
        <v>500</v>
      </c>
      <c r="F145" s="67" t="str">
        <f>IFERROR(IFERROR(INDEX(Кат!$A:$A,MATCH(Прайс!$B145,Кат!$G:$G,0)),INDEX(Торг!$B:$B,MATCH(Прайс!$B145,Торг!$H:$H,0))),"")</f>
        <v/>
      </c>
      <c r="G145" s="67" t="str">
        <f>IFERROR(IFERROR(INDEX(Кат!$B:$B,MATCH(Прайс!$B145,Кат!$G:$G,0)),INDEX(Торг!$C:$C,MATCH(Прайс!$B145,Торг!$H:$H,0))),"")</f>
        <v/>
      </c>
      <c r="H145" s="67" t="str">
        <f>IFERROR(IFERROR(INDEX(Кат!$I:$I,MATCH(Прайс!$B145,Кат!$G:$G,0)),INDEX(Торг!$I:$I,MATCH(Прайс!$B145,Торг!$H:$H,0))),"")</f>
        <v/>
      </c>
    </row>
    <row r="146" spans="1:8" x14ac:dyDescent="0.25">
      <c r="A146" s="94" t="s">
        <v>2504</v>
      </c>
      <c r="B146" s="98">
        <v>20277</v>
      </c>
      <c r="C146" s="98" t="s">
        <v>2075</v>
      </c>
      <c r="D146" s="96" t="s">
        <v>161</v>
      </c>
      <c r="E146" s="97">
        <v>650</v>
      </c>
      <c r="F146" s="67" t="str">
        <f>IFERROR(IFERROR(INDEX(Кат!$A:$A,MATCH(Прайс!$B146,Кат!$G:$G,0)),INDEX(Торг!$B:$B,MATCH(Прайс!$B146,Торг!$H:$H,0))),"")</f>
        <v/>
      </c>
      <c r="G146" s="67" t="str">
        <f>IFERROR(IFERROR(INDEX(Кат!$B:$B,MATCH(Прайс!$B146,Кат!$G:$G,0)),INDEX(Торг!$C:$C,MATCH(Прайс!$B146,Торг!$H:$H,0))),"")</f>
        <v/>
      </c>
      <c r="H146" s="67" t="str">
        <f>IFERROR(IFERROR(INDEX(Кат!$I:$I,MATCH(Прайс!$B146,Кат!$G:$G,0)),INDEX(Торг!$I:$I,MATCH(Прайс!$B146,Торг!$H:$H,0))),"")</f>
        <v/>
      </c>
    </row>
    <row r="147" spans="1:8" x14ac:dyDescent="0.25">
      <c r="A147" s="94" t="s">
        <v>2505</v>
      </c>
      <c r="B147" s="98">
        <v>20276</v>
      </c>
      <c r="C147" s="98" t="s">
        <v>2076</v>
      </c>
      <c r="D147" s="96" t="s">
        <v>162</v>
      </c>
      <c r="E147" s="107">
        <v>1400</v>
      </c>
      <c r="F147" s="67" t="str">
        <f>IFERROR(IFERROR(INDEX(Кат!$A:$A,MATCH(Прайс!$B147,Кат!$G:$G,0)),INDEX(Торг!$B:$B,MATCH(Прайс!$B147,Торг!$H:$H,0))),"")</f>
        <v/>
      </c>
      <c r="G147" s="67" t="str">
        <f>IFERROR(IFERROR(INDEX(Кат!$B:$B,MATCH(Прайс!$B147,Кат!$G:$G,0)),INDEX(Торг!$C:$C,MATCH(Прайс!$B147,Торг!$H:$H,0))),"")</f>
        <v/>
      </c>
      <c r="H147" s="67" t="str">
        <f>IFERROR(IFERROR(INDEX(Кат!$I:$I,MATCH(Прайс!$B147,Кат!$G:$G,0)),INDEX(Торг!$I:$I,MATCH(Прайс!$B147,Торг!$H:$H,0))),"")</f>
        <v/>
      </c>
    </row>
    <row r="148" spans="1:8" ht="15.75" x14ac:dyDescent="0.25">
      <c r="A148" s="90"/>
      <c r="B148" s="91"/>
      <c r="C148" s="92" t="s">
        <v>236</v>
      </c>
      <c r="D148" s="91"/>
      <c r="E148" s="93"/>
      <c r="F148" s="67" t="str">
        <f>IFERROR(IFERROR(INDEX(Кат!$A:$A,MATCH(Прайс!$B148,Кат!$G:$G,0)),INDEX(Торг!$B:$B,MATCH(Прайс!$B148,Торг!$H:$H,0))),"")</f>
        <v/>
      </c>
      <c r="G148" s="67" t="str">
        <f>IFERROR(IFERROR(INDEX(Кат!$B:$B,MATCH(Прайс!$B148,Кат!$G:$G,0)),INDEX(Торг!$C:$C,MATCH(Прайс!$B148,Торг!$H:$H,0))),"")</f>
        <v/>
      </c>
      <c r="H148" s="67" t="str">
        <f>IFERROR(IFERROR(INDEX(Кат!$I:$I,MATCH(Прайс!$B148,Кат!$G:$G,0)),INDEX(Торг!$I:$I,MATCH(Прайс!$B148,Торг!$H:$H,0))),"")</f>
        <v/>
      </c>
    </row>
    <row r="149" spans="1:8" x14ac:dyDescent="0.25">
      <c r="A149" s="94" t="s">
        <v>2506</v>
      </c>
      <c r="B149" s="98">
        <v>20150</v>
      </c>
      <c r="C149" s="98" t="s">
        <v>237</v>
      </c>
      <c r="D149" s="96" t="s">
        <v>190</v>
      </c>
      <c r="E149" s="97">
        <v>360</v>
      </c>
      <c r="F149" s="67" t="str">
        <f>IFERROR(IFERROR(INDEX(Кат!$A:$A,MATCH(Прайс!$B149,Кат!$G:$G,0)),INDEX(Торг!$B:$B,MATCH(Прайс!$B149,Торг!$H:$H,0))),"")</f>
        <v/>
      </c>
      <c r="G149" s="67" t="str">
        <f>IFERROR(IFERROR(INDEX(Кат!$B:$B,MATCH(Прайс!$B149,Кат!$G:$G,0)),INDEX(Торг!$C:$C,MATCH(Прайс!$B149,Торг!$H:$H,0))),"")</f>
        <v/>
      </c>
      <c r="H149" s="67" t="str">
        <f>IFERROR(IFERROR(INDEX(Кат!$I:$I,MATCH(Прайс!$B149,Кат!$G:$G,0)),INDEX(Торг!$I:$I,MATCH(Прайс!$B149,Торг!$H:$H,0))),"")</f>
        <v/>
      </c>
    </row>
    <row r="150" spans="1:8" x14ac:dyDescent="0.25">
      <c r="A150" s="94" t="s">
        <v>2507</v>
      </c>
      <c r="B150" s="98">
        <v>20151</v>
      </c>
      <c r="C150" s="98" t="s">
        <v>238</v>
      </c>
      <c r="D150" s="96" t="s">
        <v>190</v>
      </c>
      <c r="E150" s="97">
        <v>290</v>
      </c>
      <c r="F150" s="67" t="str">
        <f>IFERROR(IFERROR(INDEX(Кат!$A:$A,MATCH(Прайс!$B150,Кат!$G:$G,0)),INDEX(Торг!$B:$B,MATCH(Прайс!$B150,Торг!$H:$H,0))),"")</f>
        <v/>
      </c>
      <c r="G150" s="67" t="str">
        <f>IFERROR(IFERROR(INDEX(Кат!$B:$B,MATCH(Прайс!$B150,Кат!$G:$G,0)),INDEX(Торг!$C:$C,MATCH(Прайс!$B150,Торг!$H:$H,0))),"")</f>
        <v/>
      </c>
      <c r="H150" s="67" t="str">
        <f>IFERROR(IFERROR(INDEX(Кат!$I:$I,MATCH(Прайс!$B150,Кат!$G:$G,0)),INDEX(Торг!$I:$I,MATCH(Прайс!$B150,Торг!$H:$H,0))),"")</f>
        <v/>
      </c>
    </row>
    <row r="151" spans="1:8" x14ac:dyDescent="0.25">
      <c r="A151" s="94" t="s">
        <v>2508</v>
      </c>
      <c r="B151" s="98">
        <v>20152</v>
      </c>
      <c r="C151" s="98" t="s">
        <v>239</v>
      </c>
      <c r="D151" s="96" t="s">
        <v>190</v>
      </c>
      <c r="E151" s="97">
        <v>290</v>
      </c>
      <c r="F151" s="67" t="str">
        <f>IFERROR(IFERROR(INDEX(Кат!$A:$A,MATCH(Прайс!$B151,Кат!$G:$G,0)),INDEX(Торг!$B:$B,MATCH(Прайс!$B151,Торг!$H:$H,0))),"")</f>
        <v/>
      </c>
      <c r="G151" s="67" t="str">
        <f>IFERROR(IFERROR(INDEX(Кат!$B:$B,MATCH(Прайс!$B151,Кат!$G:$G,0)),INDEX(Торг!$C:$C,MATCH(Прайс!$B151,Торг!$H:$H,0))),"")</f>
        <v/>
      </c>
      <c r="H151" s="67" t="str">
        <f>IFERROR(IFERROR(INDEX(Кат!$I:$I,MATCH(Прайс!$B151,Кат!$G:$G,0)),INDEX(Торг!$I:$I,MATCH(Прайс!$B151,Торг!$H:$H,0))),"")</f>
        <v/>
      </c>
    </row>
    <row r="152" spans="1:8" x14ac:dyDescent="0.25">
      <c r="A152" s="94" t="s">
        <v>2509</v>
      </c>
      <c r="B152" s="98">
        <v>20153</v>
      </c>
      <c r="C152" s="98" t="s">
        <v>240</v>
      </c>
      <c r="D152" s="96" t="s">
        <v>241</v>
      </c>
      <c r="E152" s="97">
        <v>360</v>
      </c>
      <c r="F152" s="67" t="str">
        <f>IFERROR(IFERROR(INDEX(Кат!$A:$A,MATCH(Прайс!$B152,Кат!$G:$G,0)),INDEX(Торг!$B:$B,MATCH(Прайс!$B152,Торг!$H:$H,0))),"")</f>
        <v/>
      </c>
      <c r="G152" s="67" t="str">
        <f>IFERROR(IFERROR(INDEX(Кат!$B:$B,MATCH(Прайс!$B152,Кат!$G:$G,0)),INDEX(Торг!$C:$C,MATCH(Прайс!$B152,Торг!$H:$H,0))),"")</f>
        <v/>
      </c>
      <c r="H152" s="67" t="str">
        <f>IFERROR(IFERROR(INDEX(Кат!$I:$I,MATCH(Прайс!$B152,Кат!$G:$G,0)),INDEX(Торг!$I:$I,MATCH(Прайс!$B152,Торг!$H:$H,0))),"")</f>
        <v/>
      </c>
    </row>
    <row r="153" spans="1:8" x14ac:dyDescent="0.25">
      <c r="A153" s="94" t="s">
        <v>2510</v>
      </c>
      <c r="B153" s="98">
        <v>20154</v>
      </c>
      <c r="C153" s="98" t="s">
        <v>242</v>
      </c>
      <c r="D153" s="96" t="s">
        <v>190</v>
      </c>
      <c r="E153" s="97">
        <v>440</v>
      </c>
      <c r="F153" s="67" t="str">
        <f>IFERROR(IFERROR(INDEX(Кат!$A:$A,MATCH(Прайс!$B153,Кат!$G:$G,0)),INDEX(Торг!$B:$B,MATCH(Прайс!$B153,Торг!$H:$H,0))),"")</f>
        <v/>
      </c>
      <c r="G153" s="67" t="str">
        <f>IFERROR(IFERROR(INDEX(Кат!$B:$B,MATCH(Прайс!$B153,Кат!$G:$G,0)),INDEX(Торг!$C:$C,MATCH(Прайс!$B153,Торг!$H:$H,0))),"")</f>
        <v/>
      </c>
      <c r="H153" s="67" t="str">
        <f>IFERROR(IFERROR(INDEX(Кат!$I:$I,MATCH(Прайс!$B153,Кат!$G:$G,0)),INDEX(Торг!$I:$I,MATCH(Прайс!$B153,Торг!$H:$H,0))),"")</f>
        <v/>
      </c>
    </row>
    <row r="154" spans="1:8" x14ac:dyDescent="0.25">
      <c r="A154" s="94" t="s">
        <v>2511</v>
      </c>
      <c r="B154" s="98">
        <v>20155</v>
      </c>
      <c r="C154" s="98" t="s">
        <v>243</v>
      </c>
      <c r="D154" s="96" t="s">
        <v>190</v>
      </c>
      <c r="E154" s="97">
        <v>460</v>
      </c>
      <c r="F154" s="67" t="str">
        <f>IFERROR(IFERROR(INDEX(Кат!$A:$A,MATCH(Прайс!$B154,Кат!$G:$G,0)),INDEX(Торг!$B:$B,MATCH(Прайс!$B154,Торг!$H:$H,0))),"")</f>
        <v/>
      </c>
      <c r="G154" s="67" t="str">
        <f>IFERROR(IFERROR(INDEX(Кат!$B:$B,MATCH(Прайс!$B154,Кат!$G:$G,0)),INDEX(Торг!$C:$C,MATCH(Прайс!$B154,Торг!$H:$H,0))),"")</f>
        <v/>
      </c>
      <c r="H154" s="67" t="str">
        <f>IFERROR(IFERROR(INDEX(Кат!$I:$I,MATCH(Прайс!$B154,Кат!$G:$G,0)),INDEX(Торг!$I:$I,MATCH(Прайс!$B154,Торг!$H:$H,0))),"")</f>
        <v/>
      </c>
    </row>
    <row r="155" spans="1:8" x14ac:dyDescent="0.25">
      <c r="A155" s="94" t="s">
        <v>2512</v>
      </c>
      <c r="B155" s="98">
        <v>20156</v>
      </c>
      <c r="C155" s="98" t="s">
        <v>244</v>
      </c>
      <c r="D155" s="96" t="s">
        <v>190</v>
      </c>
      <c r="E155" s="97">
        <v>300</v>
      </c>
      <c r="F155" s="67" t="str">
        <f>IFERROR(IFERROR(INDEX(Кат!$A:$A,MATCH(Прайс!$B155,Кат!$G:$G,0)),INDEX(Торг!$B:$B,MATCH(Прайс!$B155,Торг!$H:$H,0))),"")</f>
        <v/>
      </c>
      <c r="G155" s="67" t="str">
        <f>IFERROR(IFERROR(INDEX(Кат!$B:$B,MATCH(Прайс!$B155,Кат!$G:$G,0)),INDEX(Торг!$C:$C,MATCH(Прайс!$B155,Торг!$H:$H,0))),"")</f>
        <v/>
      </c>
      <c r="H155" s="67" t="str">
        <f>IFERROR(IFERROR(INDEX(Кат!$I:$I,MATCH(Прайс!$B155,Кат!$G:$G,0)),INDEX(Торг!$I:$I,MATCH(Прайс!$B155,Торг!$H:$H,0))),"")</f>
        <v/>
      </c>
    </row>
    <row r="156" spans="1:8" x14ac:dyDescent="0.25">
      <c r="A156" s="94" t="s">
        <v>2513</v>
      </c>
      <c r="B156" s="98">
        <v>20157</v>
      </c>
      <c r="C156" s="98" t="s">
        <v>245</v>
      </c>
      <c r="D156" s="96" t="s">
        <v>190</v>
      </c>
      <c r="E156" s="97">
        <v>460</v>
      </c>
      <c r="F156" s="67" t="str">
        <f>IFERROR(IFERROR(INDEX(Кат!$A:$A,MATCH(Прайс!$B156,Кат!$G:$G,0)),INDEX(Торг!$B:$B,MATCH(Прайс!$B156,Торг!$H:$H,0))),"")</f>
        <v/>
      </c>
      <c r="G156" s="67" t="str">
        <f>IFERROR(IFERROR(INDEX(Кат!$B:$B,MATCH(Прайс!$B156,Кат!$G:$G,0)),INDEX(Торг!$C:$C,MATCH(Прайс!$B156,Торг!$H:$H,0))),"")</f>
        <v/>
      </c>
      <c r="H156" s="67" t="str">
        <f>IFERROR(IFERROR(INDEX(Кат!$I:$I,MATCH(Прайс!$B156,Кат!$G:$G,0)),INDEX(Торг!$I:$I,MATCH(Прайс!$B156,Торг!$H:$H,0))),"")</f>
        <v/>
      </c>
    </row>
    <row r="157" spans="1:8" x14ac:dyDescent="0.25">
      <c r="A157" s="94" t="s">
        <v>2514</v>
      </c>
      <c r="B157" s="98">
        <v>20158</v>
      </c>
      <c r="C157" s="98" t="s">
        <v>246</v>
      </c>
      <c r="D157" s="96" t="s">
        <v>241</v>
      </c>
      <c r="E157" s="97">
        <v>470</v>
      </c>
      <c r="F157" s="67" t="str">
        <f>IFERROR(IFERROR(INDEX(Кат!$A:$A,MATCH(Прайс!$B157,Кат!$G:$G,0)),INDEX(Торг!$B:$B,MATCH(Прайс!$B157,Торг!$H:$H,0))),"")</f>
        <v/>
      </c>
      <c r="G157" s="67" t="str">
        <f>IFERROR(IFERROR(INDEX(Кат!$B:$B,MATCH(Прайс!$B157,Кат!$G:$G,0)),INDEX(Торг!$C:$C,MATCH(Прайс!$B157,Торг!$H:$H,0))),"")</f>
        <v/>
      </c>
      <c r="H157" s="67" t="str">
        <f>IFERROR(IFERROR(INDEX(Кат!$I:$I,MATCH(Прайс!$B157,Кат!$G:$G,0)),INDEX(Торг!$I:$I,MATCH(Прайс!$B157,Торг!$H:$H,0))),"")</f>
        <v/>
      </c>
    </row>
    <row r="158" spans="1:8" x14ac:dyDescent="0.25">
      <c r="A158" s="94" t="s">
        <v>2515</v>
      </c>
      <c r="B158" s="98">
        <v>20159</v>
      </c>
      <c r="C158" s="98" t="s">
        <v>247</v>
      </c>
      <c r="D158" s="96" t="s">
        <v>190</v>
      </c>
      <c r="E158" s="97">
        <v>640</v>
      </c>
      <c r="F158" s="67" t="str">
        <f>IFERROR(IFERROR(INDEX(Кат!$A:$A,MATCH(Прайс!$B158,Кат!$G:$G,0)),INDEX(Торг!$B:$B,MATCH(Прайс!$B158,Торг!$H:$H,0))),"")</f>
        <v/>
      </c>
      <c r="G158" s="67" t="str">
        <f>IFERROR(IFERROR(INDEX(Кат!$B:$B,MATCH(Прайс!$B158,Кат!$G:$G,0)),INDEX(Торг!$C:$C,MATCH(Прайс!$B158,Торг!$H:$H,0))),"")</f>
        <v/>
      </c>
      <c r="H158" s="67" t="str">
        <f>IFERROR(IFERROR(INDEX(Кат!$I:$I,MATCH(Прайс!$B158,Кат!$G:$G,0)),INDEX(Торг!$I:$I,MATCH(Прайс!$B158,Торг!$H:$H,0))),"")</f>
        <v/>
      </c>
    </row>
    <row r="159" spans="1:8" x14ac:dyDescent="0.25">
      <c r="A159" s="94" t="s">
        <v>2516</v>
      </c>
      <c r="B159" s="98">
        <v>20160</v>
      </c>
      <c r="C159" s="98" t="s">
        <v>248</v>
      </c>
      <c r="D159" s="96" t="s">
        <v>190</v>
      </c>
      <c r="E159" s="97">
        <v>680</v>
      </c>
      <c r="F159" s="67" t="str">
        <f>IFERROR(IFERROR(INDEX(Кат!$A:$A,MATCH(Прайс!$B159,Кат!$G:$G,0)),INDEX(Торг!$B:$B,MATCH(Прайс!$B159,Торг!$H:$H,0))),"")</f>
        <v/>
      </c>
      <c r="G159" s="67" t="str">
        <f>IFERROR(IFERROR(INDEX(Кат!$B:$B,MATCH(Прайс!$B159,Кат!$G:$G,0)),INDEX(Торг!$C:$C,MATCH(Прайс!$B159,Торг!$H:$H,0))),"")</f>
        <v/>
      </c>
      <c r="H159" s="67" t="str">
        <f>IFERROR(IFERROR(INDEX(Кат!$I:$I,MATCH(Прайс!$B159,Кат!$G:$G,0)),INDEX(Торг!$I:$I,MATCH(Прайс!$B159,Торг!$H:$H,0))),"")</f>
        <v/>
      </c>
    </row>
    <row r="160" spans="1:8" x14ac:dyDescent="0.25">
      <c r="A160" s="94" t="s">
        <v>2517</v>
      </c>
      <c r="B160" s="98">
        <v>20162</v>
      </c>
      <c r="C160" s="98" t="s">
        <v>249</v>
      </c>
      <c r="D160" s="96" t="s">
        <v>190</v>
      </c>
      <c r="E160" s="97">
        <v>370</v>
      </c>
      <c r="F160" s="67" t="str">
        <f>IFERROR(IFERROR(INDEX(Кат!$A:$A,MATCH(Прайс!$B160,Кат!$G:$G,0)),INDEX(Торг!$B:$B,MATCH(Прайс!$B160,Торг!$H:$H,0))),"")</f>
        <v/>
      </c>
      <c r="G160" s="67" t="str">
        <f>IFERROR(IFERROR(INDEX(Кат!$B:$B,MATCH(Прайс!$B160,Кат!$G:$G,0)),INDEX(Торг!$C:$C,MATCH(Прайс!$B160,Торг!$H:$H,0))),"")</f>
        <v/>
      </c>
      <c r="H160" s="67" t="str">
        <f>IFERROR(IFERROR(INDEX(Кат!$I:$I,MATCH(Прайс!$B160,Кат!$G:$G,0)),INDEX(Торг!$I:$I,MATCH(Прайс!$B160,Торг!$H:$H,0))),"")</f>
        <v/>
      </c>
    </row>
    <row r="161" spans="1:8" x14ac:dyDescent="0.25">
      <c r="A161" s="94" t="s">
        <v>2518</v>
      </c>
      <c r="B161" s="98">
        <v>20163</v>
      </c>
      <c r="C161" s="98" t="s">
        <v>250</v>
      </c>
      <c r="D161" s="96" t="s">
        <v>190</v>
      </c>
      <c r="E161" s="97">
        <v>600</v>
      </c>
      <c r="F161" s="67" t="str">
        <f>IFERROR(IFERROR(INDEX(Кат!$A:$A,MATCH(Прайс!$B161,Кат!$G:$G,0)),INDEX(Торг!$B:$B,MATCH(Прайс!$B161,Торг!$H:$H,0))),"")</f>
        <v/>
      </c>
      <c r="G161" s="67" t="str">
        <f>IFERROR(IFERROR(INDEX(Кат!$B:$B,MATCH(Прайс!$B161,Кат!$G:$G,0)),INDEX(Торг!$C:$C,MATCH(Прайс!$B161,Торг!$H:$H,0))),"")</f>
        <v/>
      </c>
      <c r="H161" s="67" t="str">
        <f>IFERROR(IFERROR(INDEX(Кат!$I:$I,MATCH(Прайс!$B161,Кат!$G:$G,0)),INDEX(Торг!$I:$I,MATCH(Прайс!$B161,Торг!$H:$H,0))),"")</f>
        <v/>
      </c>
    </row>
    <row r="162" spans="1:8" x14ac:dyDescent="0.25">
      <c r="A162" s="94" t="s">
        <v>2519</v>
      </c>
      <c r="B162" s="98">
        <v>20164</v>
      </c>
      <c r="C162" s="98" t="s">
        <v>251</v>
      </c>
      <c r="D162" s="96" t="s">
        <v>241</v>
      </c>
      <c r="E162" s="97">
        <v>410</v>
      </c>
      <c r="F162" s="67" t="str">
        <f>IFERROR(IFERROR(INDEX(Кат!$A:$A,MATCH(Прайс!$B162,Кат!$G:$G,0)),INDEX(Торг!$B:$B,MATCH(Прайс!$B162,Торг!$H:$H,0))),"")</f>
        <v/>
      </c>
      <c r="G162" s="67" t="str">
        <f>IFERROR(IFERROR(INDEX(Кат!$B:$B,MATCH(Прайс!$B162,Кат!$G:$G,0)),INDEX(Торг!$C:$C,MATCH(Прайс!$B162,Торг!$H:$H,0))),"")</f>
        <v/>
      </c>
      <c r="H162" s="67" t="str">
        <f>IFERROR(IFERROR(INDEX(Кат!$I:$I,MATCH(Прайс!$B162,Кат!$G:$G,0)),INDEX(Торг!$I:$I,MATCH(Прайс!$B162,Торг!$H:$H,0))),"")</f>
        <v/>
      </c>
    </row>
    <row r="163" spans="1:8" x14ac:dyDescent="0.25">
      <c r="A163" s="94" t="s">
        <v>2520</v>
      </c>
      <c r="B163" s="98">
        <v>20165</v>
      </c>
      <c r="C163" s="98" t="s">
        <v>252</v>
      </c>
      <c r="D163" s="96" t="s">
        <v>241</v>
      </c>
      <c r="E163" s="97">
        <v>370</v>
      </c>
      <c r="F163" s="67" t="str">
        <f>IFERROR(IFERROR(INDEX(Кат!$A:$A,MATCH(Прайс!$B163,Кат!$G:$G,0)),INDEX(Торг!$B:$B,MATCH(Прайс!$B163,Торг!$H:$H,0))),"")</f>
        <v/>
      </c>
      <c r="G163" s="67" t="str">
        <f>IFERROR(IFERROR(INDEX(Кат!$B:$B,MATCH(Прайс!$B163,Кат!$G:$G,0)),INDEX(Торг!$C:$C,MATCH(Прайс!$B163,Торг!$H:$H,0))),"")</f>
        <v/>
      </c>
      <c r="H163" s="67" t="str">
        <f>IFERROR(IFERROR(INDEX(Кат!$I:$I,MATCH(Прайс!$B163,Кат!$G:$G,0)),INDEX(Торг!$I:$I,MATCH(Прайс!$B163,Торг!$H:$H,0))),"")</f>
        <v/>
      </c>
    </row>
    <row r="164" spans="1:8" x14ac:dyDescent="0.25">
      <c r="A164" s="94" t="s">
        <v>2521</v>
      </c>
      <c r="B164" s="98">
        <v>20166</v>
      </c>
      <c r="C164" s="98" t="s">
        <v>253</v>
      </c>
      <c r="D164" s="96" t="s">
        <v>241</v>
      </c>
      <c r="E164" s="97">
        <v>355</v>
      </c>
      <c r="F164" s="67" t="str">
        <f>IFERROR(IFERROR(INDEX(Кат!$A:$A,MATCH(Прайс!$B164,Кат!$G:$G,0)),INDEX(Торг!$B:$B,MATCH(Прайс!$B164,Торг!$H:$H,0))),"")</f>
        <v/>
      </c>
      <c r="G164" s="67" t="str">
        <f>IFERROR(IFERROR(INDEX(Кат!$B:$B,MATCH(Прайс!$B164,Кат!$G:$G,0)),INDEX(Торг!$C:$C,MATCH(Прайс!$B164,Торг!$H:$H,0))),"")</f>
        <v/>
      </c>
      <c r="H164" s="67" t="str">
        <f>IFERROR(IFERROR(INDEX(Кат!$I:$I,MATCH(Прайс!$B164,Кат!$G:$G,0)),INDEX(Торг!$I:$I,MATCH(Прайс!$B164,Торг!$H:$H,0))),"")</f>
        <v/>
      </c>
    </row>
    <row r="165" spans="1:8" x14ac:dyDescent="0.25">
      <c r="A165" s="94" t="s">
        <v>2522</v>
      </c>
      <c r="B165" s="98">
        <v>20168</v>
      </c>
      <c r="C165" s="98" t="s">
        <v>254</v>
      </c>
      <c r="D165" s="96" t="s">
        <v>190</v>
      </c>
      <c r="E165" s="97">
        <v>490</v>
      </c>
      <c r="F165" s="67" t="str">
        <f>IFERROR(IFERROR(INDEX(Кат!$A:$A,MATCH(Прайс!$B165,Кат!$G:$G,0)),INDEX(Торг!$B:$B,MATCH(Прайс!$B165,Торг!$H:$H,0))),"")</f>
        <v/>
      </c>
      <c r="G165" s="67" t="str">
        <f>IFERROR(IFERROR(INDEX(Кат!$B:$B,MATCH(Прайс!$B165,Кат!$G:$G,0)),INDEX(Торг!$C:$C,MATCH(Прайс!$B165,Торг!$H:$H,0))),"")</f>
        <v/>
      </c>
      <c r="H165" s="67" t="str">
        <f>IFERROR(IFERROR(INDEX(Кат!$I:$I,MATCH(Прайс!$B165,Кат!$G:$G,0)),INDEX(Торг!$I:$I,MATCH(Прайс!$B165,Торг!$H:$H,0))),"")</f>
        <v/>
      </c>
    </row>
    <row r="166" spans="1:8" x14ac:dyDescent="0.25">
      <c r="A166" s="94" t="s">
        <v>2523</v>
      </c>
      <c r="B166" s="98">
        <v>20169</v>
      </c>
      <c r="C166" s="98" t="s">
        <v>255</v>
      </c>
      <c r="D166" s="96" t="s">
        <v>190</v>
      </c>
      <c r="E166" s="97">
        <v>450</v>
      </c>
      <c r="F166" s="67" t="str">
        <f>IFERROR(IFERROR(INDEX(Кат!$A:$A,MATCH(Прайс!$B166,Кат!$G:$G,0)),INDEX(Торг!$B:$B,MATCH(Прайс!$B166,Торг!$H:$H,0))),"")</f>
        <v/>
      </c>
      <c r="G166" s="67" t="str">
        <f>IFERROR(IFERROR(INDEX(Кат!$B:$B,MATCH(Прайс!$B166,Кат!$G:$G,0)),INDEX(Торг!$C:$C,MATCH(Прайс!$B166,Торг!$H:$H,0))),"")</f>
        <v/>
      </c>
      <c r="H166" s="67" t="str">
        <f>IFERROR(IFERROR(INDEX(Кат!$I:$I,MATCH(Прайс!$B166,Кат!$G:$G,0)),INDEX(Торг!$I:$I,MATCH(Прайс!$B166,Торг!$H:$H,0))),"")</f>
        <v/>
      </c>
    </row>
    <row r="167" spans="1:8" x14ac:dyDescent="0.25">
      <c r="A167" s="94" t="s">
        <v>2524</v>
      </c>
      <c r="B167" s="98">
        <v>20170</v>
      </c>
      <c r="C167" s="98" t="s">
        <v>256</v>
      </c>
      <c r="D167" s="96" t="s">
        <v>257</v>
      </c>
      <c r="E167" s="97">
        <v>650</v>
      </c>
      <c r="F167" s="67" t="str">
        <f>IFERROR(IFERROR(INDEX(Кат!$A:$A,MATCH(Прайс!$B167,Кат!$G:$G,0)),INDEX(Торг!$B:$B,MATCH(Прайс!$B167,Торг!$H:$H,0))),"")</f>
        <v/>
      </c>
      <c r="G167" s="67" t="str">
        <f>IFERROR(IFERROR(INDEX(Кат!$B:$B,MATCH(Прайс!$B167,Кат!$G:$G,0)),INDEX(Торг!$C:$C,MATCH(Прайс!$B167,Торг!$H:$H,0))),"")</f>
        <v/>
      </c>
      <c r="H167" s="67" t="str">
        <f>IFERROR(IFERROR(INDEX(Кат!$I:$I,MATCH(Прайс!$B167,Кат!$G:$G,0)),INDEX(Торг!$I:$I,MATCH(Прайс!$B167,Торг!$H:$H,0))),"")</f>
        <v/>
      </c>
    </row>
    <row r="168" spans="1:8" x14ac:dyDescent="0.25">
      <c r="A168" s="94" t="s">
        <v>2525</v>
      </c>
      <c r="B168" s="98">
        <v>20171</v>
      </c>
      <c r="C168" s="98" t="s">
        <v>258</v>
      </c>
      <c r="D168" s="96" t="s">
        <v>159</v>
      </c>
      <c r="E168" s="97">
        <v>750</v>
      </c>
      <c r="F168" s="67" t="str">
        <f>IFERROR(IFERROR(INDEX(Кат!$A:$A,MATCH(Прайс!$B168,Кат!$G:$G,0)),INDEX(Торг!$B:$B,MATCH(Прайс!$B168,Торг!$H:$H,0))),"")</f>
        <v/>
      </c>
      <c r="G168" s="67" t="str">
        <f>IFERROR(IFERROR(INDEX(Кат!$B:$B,MATCH(Прайс!$B168,Кат!$G:$G,0)),INDEX(Торг!$C:$C,MATCH(Прайс!$B168,Торг!$H:$H,0))),"")</f>
        <v/>
      </c>
      <c r="H168" s="67" t="str">
        <f>IFERROR(IFERROR(INDEX(Кат!$I:$I,MATCH(Прайс!$B168,Кат!$G:$G,0)),INDEX(Торг!$I:$I,MATCH(Прайс!$B168,Торг!$H:$H,0))),"")</f>
        <v/>
      </c>
    </row>
    <row r="169" spans="1:8" x14ac:dyDescent="0.25">
      <c r="A169" s="94" t="s">
        <v>2526</v>
      </c>
      <c r="B169" s="98">
        <v>20173</v>
      </c>
      <c r="C169" s="98" t="s">
        <v>4985</v>
      </c>
      <c r="D169" s="96" t="s">
        <v>265</v>
      </c>
      <c r="E169" s="97">
        <v>230</v>
      </c>
      <c r="F169" s="67" t="str">
        <f>IFERROR(IFERROR(INDEX(Кат!$A:$A,MATCH(Прайс!$B169,Кат!$G:$G,0)),INDEX(Торг!$B:$B,MATCH(Прайс!$B169,Торг!$H:$H,0))),"")</f>
        <v/>
      </c>
      <c r="G169" s="67" t="str">
        <f>IFERROR(IFERROR(INDEX(Кат!$B:$B,MATCH(Прайс!$B169,Кат!$G:$G,0)),INDEX(Торг!$C:$C,MATCH(Прайс!$B169,Торг!$H:$H,0))),"")</f>
        <v/>
      </c>
      <c r="H169" s="67" t="str">
        <f>IFERROR(IFERROR(INDEX(Кат!$I:$I,MATCH(Прайс!$B169,Кат!$G:$G,0)),INDEX(Торг!$I:$I,MATCH(Прайс!$B169,Торг!$H:$H,0))),"")</f>
        <v/>
      </c>
    </row>
    <row r="170" spans="1:8" x14ac:dyDescent="0.25">
      <c r="A170" s="94" t="s">
        <v>4836</v>
      </c>
      <c r="B170" s="98">
        <v>20174</v>
      </c>
      <c r="C170" s="98" t="s">
        <v>4837</v>
      </c>
      <c r="D170" s="96" t="s">
        <v>265</v>
      </c>
      <c r="E170" s="97">
        <v>230</v>
      </c>
      <c r="F170" s="67" t="str">
        <f>IFERROR(IFERROR(INDEX(Кат!$A:$A,MATCH(Прайс!$B170,Кат!$G:$G,0)),INDEX(Торг!$B:$B,MATCH(Прайс!$B170,Торг!$H:$H,0))),"")</f>
        <v/>
      </c>
      <c r="G170" s="67" t="str">
        <f>IFERROR(IFERROR(INDEX(Кат!$B:$B,MATCH(Прайс!$B170,Кат!$G:$G,0)),INDEX(Торг!$C:$C,MATCH(Прайс!$B170,Торг!$H:$H,0))),"")</f>
        <v/>
      </c>
      <c r="H170" s="67" t="str">
        <f>IFERROR(IFERROR(INDEX(Кат!$I:$I,MATCH(Прайс!$B170,Кат!$G:$G,0)),INDEX(Торг!$I:$I,MATCH(Прайс!$B170,Торг!$H:$H,0))),"")</f>
        <v/>
      </c>
    </row>
    <row r="171" spans="1:8" x14ac:dyDescent="0.25">
      <c r="A171" s="94" t="s">
        <v>6556</v>
      </c>
      <c r="B171" s="98">
        <v>20175</v>
      </c>
      <c r="C171" s="98" t="s">
        <v>6557</v>
      </c>
      <c r="D171" s="96" t="s">
        <v>265</v>
      </c>
      <c r="E171" s="97">
        <v>220</v>
      </c>
      <c r="F171" s="67" t="str">
        <f>IFERROR(IFERROR(INDEX(Кат!$A:$A,MATCH(Прайс!$B171,Кат!$G:$G,0)),INDEX(Торг!$B:$B,MATCH(Прайс!$B171,Торг!$H:$H,0))),"")</f>
        <v/>
      </c>
      <c r="G171" s="67" t="str">
        <f>IFERROR(IFERROR(INDEX(Кат!$B:$B,MATCH(Прайс!$B171,Кат!$G:$G,0)),INDEX(Торг!$C:$C,MATCH(Прайс!$B171,Торг!$H:$H,0))),"")</f>
        <v/>
      </c>
      <c r="H171" s="67" t="str">
        <f>IFERROR(IFERROR(INDEX(Кат!$I:$I,MATCH(Прайс!$B171,Кат!$G:$G,0)),INDEX(Торг!$I:$I,MATCH(Прайс!$B171,Торг!$H:$H,0))),"")</f>
        <v/>
      </c>
    </row>
    <row r="172" spans="1:8" x14ac:dyDescent="0.25">
      <c r="A172" s="94" t="s">
        <v>7345</v>
      </c>
      <c r="B172" s="98">
        <v>20176</v>
      </c>
      <c r="C172" s="98" t="s">
        <v>7346</v>
      </c>
      <c r="D172" s="96" t="s">
        <v>265</v>
      </c>
      <c r="E172" s="97">
        <v>220</v>
      </c>
      <c r="F172" s="67" t="str">
        <f>IFERROR(IFERROR(INDEX(Кат!$A:$A,MATCH(Прайс!$B172,Кат!$G:$G,0)),INDEX(Торг!$B:$B,MATCH(Прайс!$B172,Торг!$H:$H,0))),"")</f>
        <v/>
      </c>
      <c r="G172" s="67" t="str">
        <f>IFERROR(IFERROR(INDEX(Кат!$B:$B,MATCH(Прайс!$B172,Кат!$G:$G,0)),INDEX(Торг!$C:$C,MATCH(Прайс!$B172,Торг!$H:$H,0))),"")</f>
        <v/>
      </c>
      <c r="H172" s="67" t="str">
        <f>IFERROR(IFERROR(INDEX(Кат!$I:$I,MATCH(Прайс!$B172,Кат!$G:$G,0)),INDEX(Торг!$I:$I,MATCH(Прайс!$B172,Торг!$H:$H,0))),"")</f>
        <v/>
      </c>
    </row>
    <row r="173" spans="1:8" x14ac:dyDescent="0.25">
      <c r="A173" s="94" t="s">
        <v>2527</v>
      </c>
      <c r="B173" s="98">
        <v>20178</v>
      </c>
      <c r="C173" s="98" t="s">
        <v>6558</v>
      </c>
      <c r="D173" s="96" t="s">
        <v>7347</v>
      </c>
      <c r="E173" s="97">
        <v>165</v>
      </c>
      <c r="F173" s="67" t="str">
        <f>IFERROR(IFERROR(INDEX(Кат!$A:$A,MATCH(Прайс!$B173,Кат!$G:$G,0)),INDEX(Торг!$B:$B,MATCH(Прайс!$B173,Торг!$H:$H,0))),"")</f>
        <v/>
      </c>
      <c r="G173" s="67" t="str">
        <f>IFERROR(IFERROR(INDEX(Кат!$B:$B,MATCH(Прайс!$B173,Кат!$G:$G,0)),INDEX(Торг!$C:$C,MATCH(Прайс!$B173,Торг!$H:$H,0))),"")</f>
        <v/>
      </c>
      <c r="H173" s="67" t="str">
        <f>IFERROR(IFERROR(INDEX(Кат!$I:$I,MATCH(Прайс!$B173,Кат!$G:$G,0)),INDEX(Торг!$I:$I,MATCH(Прайс!$B173,Торг!$H:$H,0))),"")</f>
        <v/>
      </c>
    </row>
    <row r="174" spans="1:8" x14ac:dyDescent="0.25">
      <c r="A174" s="94" t="s">
        <v>2528</v>
      </c>
      <c r="B174" s="98">
        <v>20249</v>
      </c>
      <c r="C174" s="98" t="s">
        <v>8142</v>
      </c>
      <c r="D174" s="96" t="s">
        <v>7347</v>
      </c>
      <c r="E174" s="97">
        <v>190</v>
      </c>
      <c r="F174" s="67" t="str">
        <f>IFERROR(IFERROR(INDEX(Кат!$A:$A,MATCH(Прайс!$B174,Кат!$G:$G,0)),INDEX(Торг!$B:$B,MATCH(Прайс!$B174,Торг!$H:$H,0))),"")</f>
        <v/>
      </c>
      <c r="G174" s="67" t="str">
        <f>IFERROR(IFERROR(INDEX(Кат!$B:$B,MATCH(Прайс!$B174,Кат!$G:$G,0)),INDEX(Торг!$C:$C,MATCH(Прайс!$B174,Торг!$H:$H,0))),"")</f>
        <v/>
      </c>
      <c r="H174" s="67" t="str">
        <f>IFERROR(IFERROR(INDEX(Кат!$I:$I,MATCH(Прайс!$B174,Кат!$G:$G,0)),INDEX(Торг!$I:$I,MATCH(Прайс!$B174,Торг!$H:$H,0))),"")</f>
        <v/>
      </c>
    </row>
    <row r="175" spans="1:8" x14ac:dyDescent="0.25">
      <c r="A175" s="109" t="s">
        <v>8143</v>
      </c>
      <c r="B175" s="110">
        <v>20564</v>
      </c>
      <c r="C175" s="110" t="s">
        <v>8144</v>
      </c>
      <c r="D175" s="111" t="s">
        <v>265</v>
      </c>
      <c r="E175" s="112">
        <v>290</v>
      </c>
      <c r="F175" s="67" t="str">
        <f>IFERROR(IFERROR(INDEX(Кат!$A:$A,MATCH(Прайс!$B175,Кат!$G:$G,0)),INDEX(Торг!$B:$B,MATCH(Прайс!$B175,Торг!$H:$H,0))),"")</f>
        <v/>
      </c>
      <c r="G175" s="67" t="str">
        <f>IFERROR(IFERROR(INDEX(Кат!$B:$B,MATCH(Прайс!$B175,Кат!$G:$G,0)),INDEX(Торг!$C:$C,MATCH(Прайс!$B175,Торг!$H:$H,0))),"")</f>
        <v/>
      </c>
      <c r="H175" s="67" t="str">
        <f>IFERROR(IFERROR(INDEX(Кат!$I:$I,MATCH(Прайс!$B175,Кат!$G:$G,0)),INDEX(Торг!$I:$I,MATCH(Прайс!$B175,Торг!$H:$H,0))),"")</f>
        <v/>
      </c>
    </row>
    <row r="176" spans="1:8" x14ac:dyDescent="0.25">
      <c r="A176" s="94" t="s">
        <v>6559</v>
      </c>
      <c r="B176" s="98">
        <v>20531</v>
      </c>
      <c r="C176" s="98" t="s">
        <v>6560</v>
      </c>
      <c r="D176" s="96" t="s">
        <v>190</v>
      </c>
      <c r="E176" s="97">
        <v>320</v>
      </c>
      <c r="F176" s="67" t="str">
        <f>IFERROR(IFERROR(INDEX(Кат!$A:$A,MATCH(Прайс!$B176,Кат!$G:$G,0)),INDEX(Торг!$B:$B,MATCH(Прайс!$B176,Торг!$H:$H,0))),"")</f>
        <v/>
      </c>
      <c r="G176" s="67" t="str">
        <f>IFERROR(IFERROR(INDEX(Кат!$B:$B,MATCH(Прайс!$B176,Кат!$G:$G,0)),INDEX(Торг!$C:$C,MATCH(Прайс!$B176,Торг!$H:$H,0))),"")</f>
        <v/>
      </c>
      <c r="H176" s="67" t="str">
        <f>IFERROR(IFERROR(INDEX(Кат!$I:$I,MATCH(Прайс!$B176,Кат!$G:$G,0)),INDEX(Торг!$I:$I,MATCH(Прайс!$B176,Торг!$H:$H,0))),"")</f>
        <v/>
      </c>
    </row>
    <row r="177" spans="1:8" x14ac:dyDescent="0.25">
      <c r="A177" s="103" t="s">
        <v>4838</v>
      </c>
      <c r="B177" s="104">
        <v>20499</v>
      </c>
      <c r="C177" s="104" t="s">
        <v>4839</v>
      </c>
      <c r="D177" s="105" t="s">
        <v>190</v>
      </c>
      <c r="E177" s="113">
        <v>450</v>
      </c>
      <c r="F177" s="67" t="str">
        <f>IFERROR(IFERROR(INDEX(Кат!$A:$A,MATCH(Прайс!$B177,Кат!$G:$G,0)),INDEX(Торг!$B:$B,MATCH(Прайс!$B177,Торг!$H:$H,0))),"")</f>
        <v/>
      </c>
      <c r="G177" s="67" t="str">
        <f>IFERROR(IFERROR(INDEX(Кат!$B:$B,MATCH(Прайс!$B177,Кат!$G:$G,0)),INDEX(Торг!$C:$C,MATCH(Прайс!$B177,Торг!$H:$H,0))),"")</f>
        <v/>
      </c>
      <c r="H177" s="67" t="str">
        <f>IFERROR(IFERROR(INDEX(Кат!$I:$I,MATCH(Прайс!$B177,Кат!$G:$G,0)),INDEX(Торг!$I:$I,MATCH(Прайс!$B177,Торг!$H:$H,0))),"")</f>
        <v/>
      </c>
    </row>
    <row r="178" spans="1:8" x14ac:dyDescent="0.25">
      <c r="A178" s="94" t="s">
        <v>2529</v>
      </c>
      <c r="B178" s="98">
        <v>20250</v>
      </c>
      <c r="C178" s="98" t="s">
        <v>6561</v>
      </c>
      <c r="D178" s="96" t="s">
        <v>265</v>
      </c>
      <c r="E178" s="97">
        <v>170</v>
      </c>
      <c r="F178" s="67" t="str">
        <f>IFERROR(IFERROR(INDEX(Кат!$A:$A,MATCH(Прайс!$B178,Кат!$G:$G,0)),INDEX(Торг!$B:$B,MATCH(Прайс!$B178,Торг!$H:$H,0))),"")</f>
        <v/>
      </c>
      <c r="G178" s="67" t="str">
        <f>IFERROR(IFERROR(INDEX(Кат!$B:$B,MATCH(Прайс!$B178,Кат!$G:$G,0)),INDEX(Торг!$C:$C,MATCH(Прайс!$B178,Торг!$H:$H,0))),"")</f>
        <v/>
      </c>
      <c r="H178" s="67" t="str">
        <f>IFERROR(IFERROR(INDEX(Кат!$I:$I,MATCH(Прайс!$B178,Кат!$G:$G,0)),INDEX(Торг!$I:$I,MATCH(Прайс!$B178,Торг!$H:$H,0))),"")</f>
        <v/>
      </c>
    </row>
    <row r="179" spans="1:8" x14ac:dyDescent="0.25">
      <c r="A179" s="94" t="s">
        <v>2530</v>
      </c>
      <c r="B179" s="98">
        <v>20252</v>
      </c>
      <c r="C179" s="98" t="s">
        <v>6562</v>
      </c>
      <c r="D179" s="96" t="s">
        <v>7347</v>
      </c>
      <c r="E179" s="97">
        <v>220</v>
      </c>
      <c r="F179" s="67" t="str">
        <f>IFERROR(IFERROR(INDEX(Кат!$A:$A,MATCH(Прайс!$B179,Кат!$G:$G,0)),INDEX(Торг!$B:$B,MATCH(Прайс!$B179,Торг!$H:$H,0))),"")</f>
        <v/>
      </c>
      <c r="G179" s="67" t="str">
        <f>IFERROR(IFERROR(INDEX(Кат!$B:$B,MATCH(Прайс!$B179,Кат!$G:$G,0)),INDEX(Торг!$C:$C,MATCH(Прайс!$B179,Торг!$H:$H,0))),"")</f>
        <v/>
      </c>
      <c r="H179" s="67" t="str">
        <f>IFERROR(IFERROR(INDEX(Кат!$I:$I,MATCH(Прайс!$B179,Кат!$G:$G,0)),INDEX(Торг!$I:$I,MATCH(Прайс!$B179,Торг!$H:$H,0))),"")</f>
        <v/>
      </c>
    </row>
    <row r="180" spans="1:8" x14ac:dyDescent="0.25">
      <c r="A180" s="94" t="s">
        <v>4840</v>
      </c>
      <c r="B180" s="98">
        <v>20500</v>
      </c>
      <c r="C180" s="98" t="s">
        <v>4841</v>
      </c>
      <c r="D180" s="96" t="s">
        <v>190</v>
      </c>
      <c r="E180" s="97">
        <v>420</v>
      </c>
      <c r="F180" s="67" t="str">
        <f>IFERROR(IFERROR(INDEX(Кат!$A:$A,MATCH(Прайс!$B180,Кат!$G:$G,0)),INDEX(Торг!$B:$B,MATCH(Прайс!$B180,Торг!$H:$H,0))),"")</f>
        <v/>
      </c>
      <c r="G180" s="67" t="str">
        <f>IFERROR(IFERROR(INDEX(Кат!$B:$B,MATCH(Прайс!$B180,Кат!$G:$G,0)),INDEX(Торг!$C:$C,MATCH(Прайс!$B180,Торг!$H:$H,0))),"")</f>
        <v/>
      </c>
      <c r="H180" s="67" t="str">
        <f>IFERROR(IFERROR(INDEX(Кат!$I:$I,MATCH(Прайс!$B180,Кат!$G:$G,0)),INDEX(Торг!$I:$I,MATCH(Прайс!$B180,Торг!$H:$H,0))),"")</f>
        <v/>
      </c>
    </row>
    <row r="181" spans="1:8" x14ac:dyDescent="0.25">
      <c r="A181" s="94" t="s">
        <v>4986</v>
      </c>
      <c r="B181" s="98">
        <v>20251</v>
      </c>
      <c r="C181" s="98" t="s">
        <v>6086</v>
      </c>
      <c r="D181" s="96" t="s">
        <v>265</v>
      </c>
      <c r="E181" s="97">
        <v>195</v>
      </c>
      <c r="F181" s="67" t="str">
        <f>IFERROR(IFERROR(INDEX(Кат!$A:$A,MATCH(Прайс!$B181,Кат!$G:$G,0)),INDEX(Торг!$B:$B,MATCH(Прайс!$B181,Торг!$H:$H,0))),"")</f>
        <v/>
      </c>
      <c r="G181" s="67" t="str">
        <f>IFERROR(IFERROR(INDEX(Кат!$B:$B,MATCH(Прайс!$B181,Кат!$G:$G,0)),INDEX(Торг!$C:$C,MATCH(Прайс!$B181,Торг!$H:$H,0))),"")</f>
        <v/>
      </c>
      <c r="H181" s="67" t="str">
        <f>IFERROR(IFERROR(INDEX(Кат!$I:$I,MATCH(Прайс!$B181,Кат!$G:$G,0)),INDEX(Торг!$I:$I,MATCH(Прайс!$B181,Торг!$H:$H,0))),"")</f>
        <v/>
      </c>
    </row>
    <row r="182" spans="1:8" x14ac:dyDescent="0.25">
      <c r="A182" s="94" t="s">
        <v>2531</v>
      </c>
      <c r="B182" s="98">
        <v>20248</v>
      </c>
      <c r="C182" s="98" t="s">
        <v>6087</v>
      </c>
      <c r="D182" s="96" t="s">
        <v>190</v>
      </c>
      <c r="E182" s="97">
        <v>280</v>
      </c>
      <c r="F182" s="67" t="str">
        <f>IFERROR(IFERROR(INDEX(Кат!$A:$A,MATCH(Прайс!$B182,Кат!$G:$G,0)),INDEX(Торг!$B:$B,MATCH(Прайс!$B182,Торг!$H:$H,0))),"")</f>
        <v/>
      </c>
      <c r="G182" s="67" t="str">
        <f>IFERROR(IFERROR(INDEX(Кат!$B:$B,MATCH(Прайс!$B182,Кат!$G:$G,0)),INDEX(Торг!$C:$C,MATCH(Прайс!$B182,Торг!$H:$H,0))),"")</f>
        <v/>
      </c>
      <c r="H182" s="67" t="str">
        <f>IFERROR(IFERROR(INDEX(Кат!$I:$I,MATCH(Прайс!$B182,Кат!$G:$G,0)),INDEX(Торг!$I:$I,MATCH(Прайс!$B182,Торг!$H:$H,0))),"")</f>
        <v/>
      </c>
    </row>
    <row r="183" spans="1:8" x14ac:dyDescent="0.25">
      <c r="A183" s="94" t="s">
        <v>2532</v>
      </c>
      <c r="B183" s="98">
        <v>20253</v>
      </c>
      <c r="C183" s="98" t="s">
        <v>4842</v>
      </c>
      <c r="D183" s="96" t="s">
        <v>190</v>
      </c>
      <c r="E183" s="97">
        <v>220</v>
      </c>
      <c r="F183" s="67" t="str">
        <f>IFERROR(IFERROR(INDEX(Кат!$A:$A,MATCH(Прайс!$B183,Кат!$G:$G,0)),INDEX(Торг!$B:$B,MATCH(Прайс!$B183,Торг!$H:$H,0))),"")</f>
        <v/>
      </c>
      <c r="G183" s="67" t="str">
        <f>IFERROR(IFERROR(INDEX(Кат!$B:$B,MATCH(Прайс!$B183,Кат!$G:$G,0)),INDEX(Торг!$C:$C,MATCH(Прайс!$B183,Торг!$H:$H,0))),"")</f>
        <v/>
      </c>
      <c r="H183" s="67" t="str">
        <f>IFERROR(IFERROR(INDEX(Кат!$I:$I,MATCH(Прайс!$B183,Кат!$G:$G,0)),INDEX(Торг!$I:$I,MATCH(Прайс!$B183,Торг!$H:$H,0))),"")</f>
        <v/>
      </c>
    </row>
    <row r="184" spans="1:8" x14ac:dyDescent="0.25">
      <c r="A184" s="94" t="s">
        <v>2533</v>
      </c>
      <c r="B184" s="98">
        <v>20318</v>
      </c>
      <c r="C184" s="98" t="s">
        <v>7348</v>
      </c>
      <c r="D184" s="96" t="s">
        <v>190</v>
      </c>
      <c r="E184" s="97">
        <v>250</v>
      </c>
      <c r="F184" s="67" t="str">
        <f>IFERROR(IFERROR(INDEX(Кат!$A:$A,MATCH(Прайс!$B184,Кат!$G:$G,0)),INDEX(Торг!$B:$B,MATCH(Прайс!$B184,Торг!$H:$H,0))),"")</f>
        <v/>
      </c>
      <c r="G184" s="67" t="str">
        <f>IFERROR(IFERROR(INDEX(Кат!$B:$B,MATCH(Прайс!$B184,Кат!$G:$G,0)),INDEX(Торг!$C:$C,MATCH(Прайс!$B184,Торг!$H:$H,0))),"")</f>
        <v/>
      </c>
      <c r="H184" s="67" t="str">
        <f>IFERROR(IFERROR(INDEX(Кат!$I:$I,MATCH(Прайс!$B184,Кат!$G:$G,0)),INDEX(Торг!$I:$I,MATCH(Прайс!$B184,Торг!$H:$H,0))),"")</f>
        <v/>
      </c>
    </row>
    <row r="185" spans="1:8" x14ac:dyDescent="0.25">
      <c r="A185" s="94" t="s">
        <v>2534</v>
      </c>
      <c r="B185" s="98">
        <v>20350</v>
      </c>
      <c r="C185" s="98" t="s">
        <v>4843</v>
      </c>
      <c r="D185" s="96" t="s">
        <v>190</v>
      </c>
      <c r="E185" s="97">
        <v>450</v>
      </c>
      <c r="F185" s="67" t="str">
        <f>IFERROR(IFERROR(INDEX(Кат!$A:$A,MATCH(Прайс!$B185,Кат!$G:$G,0)),INDEX(Торг!$B:$B,MATCH(Прайс!$B185,Торг!$H:$H,0))),"")</f>
        <v/>
      </c>
      <c r="G185" s="67" t="str">
        <f>IFERROR(IFERROR(INDEX(Кат!$B:$B,MATCH(Прайс!$B185,Кат!$G:$G,0)),INDEX(Торг!$C:$C,MATCH(Прайс!$B185,Торг!$H:$H,0))),"")</f>
        <v/>
      </c>
      <c r="H185" s="67" t="str">
        <f>IFERROR(IFERROR(INDEX(Кат!$I:$I,MATCH(Прайс!$B185,Кат!$G:$G,0)),INDEX(Торг!$I:$I,MATCH(Прайс!$B185,Торг!$H:$H,0))),"")</f>
        <v/>
      </c>
    </row>
    <row r="186" spans="1:8" x14ac:dyDescent="0.25">
      <c r="A186" s="109" t="s">
        <v>8145</v>
      </c>
      <c r="B186" s="110">
        <v>20566</v>
      </c>
      <c r="C186" s="110" t="s">
        <v>8146</v>
      </c>
      <c r="D186" s="111" t="s">
        <v>257</v>
      </c>
      <c r="E186" s="112">
        <v>870</v>
      </c>
      <c r="F186" s="67" t="str">
        <f>IFERROR(IFERROR(INDEX(Кат!$A:$A,MATCH(Прайс!$B186,Кат!$G:$G,0)),INDEX(Торг!$B:$B,MATCH(Прайс!$B186,Торг!$H:$H,0))),"")</f>
        <v/>
      </c>
      <c r="G186" s="67" t="str">
        <f>IFERROR(IFERROR(INDEX(Кат!$B:$B,MATCH(Прайс!$B186,Кат!$G:$G,0)),INDEX(Торг!$C:$C,MATCH(Прайс!$B186,Торг!$H:$H,0))),"")</f>
        <v/>
      </c>
      <c r="H186" s="67" t="str">
        <f>IFERROR(IFERROR(INDEX(Кат!$I:$I,MATCH(Прайс!$B186,Кат!$G:$G,0)),INDEX(Торг!$I:$I,MATCH(Прайс!$B186,Торг!$H:$H,0))),"")</f>
        <v/>
      </c>
    </row>
    <row r="187" spans="1:8" x14ac:dyDescent="0.25">
      <c r="A187" s="109" t="s">
        <v>8147</v>
      </c>
      <c r="B187" s="110">
        <v>20563</v>
      </c>
      <c r="C187" s="110" t="s">
        <v>8148</v>
      </c>
      <c r="D187" s="111" t="s">
        <v>7347</v>
      </c>
      <c r="E187" s="112">
        <v>135</v>
      </c>
      <c r="F187" s="67" t="str">
        <f>IFERROR(IFERROR(INDEX(Кат!$A:$A,MATCH(Прайс!$B187,Кат!$G:$G,0)),INDEX(Торг!$B:$B,MATCH(Прайс!$B187,Торг!$H:$H,0))),"")</f>
        <v/>
      </c>
      <c r="G187" s="67" t="str">
        <f>IFERROR(IFERROR(INDEX(Кат!$B:$B,MATCH(Прайс!$B187,Кат!$G:$G,0)),INDEX(Торг!$C:$C,MATCH(Прайс!$B187,Торг!$H:$H,0))),"")</f>
        <v/>
      </c>
      <c r="H187" s="67" t="str">
        <f>IFERROR(IFERROR(INDEX(Кат!$I:$I,MATCH(Прайс!$B187,Кат!$G:$G,0)),INDEX(Торг!$I:$I,MATCH(Прайс!$B187,Торг!$H:$H,0))),"")</f>
        <v/>
      </c>
    </row>
    <row r="188" spans="1:8" x14ac:dyDescent="0.25">
      <c r="A188" s="94" t="s">
        <v>4844</v>
      </c>
      <c r="B188" s="98">
        <v>20502</v>
      </c>
      <c r="C188" s="98" t="s">
        <v>4845</v>
      </c>
      <c r="D188" s="96" t="s">
        <v>7347</v>
      </c>
      <c r="E188" s="97">
        <v>135</v>
      </c>
      <c r="F188" s="67" t="str">
        <f>IFERROR(IFERROR(INDEX(Кат!$A:$A,MATCH(Прайс!$B188,Кат!$G:$G,0)),INDEX(Торг!$B:$B,MATCH(Прайс!$B188,Торг!$H:$H,0))),"")</f>
        <v/>
      </c>
      <c r="G188" s="67" t="str">
        <f>IFERROR(IFERROR(INDEX(Кат!$B:$B,MATCH(Прайс!$B188,Кат!$G:$G,0)),INDEX(Торг!$C:$C,MATCH(Прайс!$B188,Торг!$H:$H,0))),"")</f>
        <v/>
      </c>
      <c r="H188" s="67" t="str">
        <f>IFERROR(IFERROR(INDEX(Кат!$I:$I,MATCH(Прайс!$B188,Кат!$G:$G,0)),INDEX(Торг!$I:$I,MATCH(Прайс!$B188,Торг!$H:$H,0))),"")</f>
        <v/>
      </c>
    </row>
    <row r="189" spans="1:8" x14ac:dyDescent="0.25">
      <c r="A189" s="109" t="s">
        <v>8149</v>
      </c>
      <c r="B189" s="110">
        <v>20565</v>
      </c>
      <c r="C189" s="110" t="s">
        <v>8150</v>
      </c>
      <c r="D189" s="111" t="s">
        <v>265</v>
      </c>
      <c r="E189" s="112">
        <v>180</v>
      </c>
      <c r="F189" s="67" t="str">
        <f>IFERROR(IFERROR(INDEX(Кат!$A:$A,MATCH(Прайс!$B189,Кат!$G:$G,0)),INDEX(Торг!$B:$B,MATCH(Прайс!$B189,Торг!$H:$H,0))),"")</f>
        <v/>
      </c>
      <c r="G189" s="67" t="str">
        <f>IFERROR(IFERROR(INDEX(Кат!$B:$B,MATCH(Прайс!$B189,Кат!$G:$G,0)),INDEX(Торг!$C:$C,MATCH(Прайс!$B189,Торг!$H:$H,0))),"")</f>
        <v/>
      </c>
      <c r="H189" s="67" t="str">
        <f>IFERROR(IFERROR(INDEX(Кат!$I:$I,MATCH(Прайс!$B189,Кат!$G:$G,0)),INDEX(Торг!$I:$I,MATCH(Прайс!$B189,Торг!$H:$H,0))),"")</f>
        <v/>
      </c>
    </row>
    <row r="190" spans="1:8" x14ac:dyDescent="0.25">
      <c r="A190" s="94" t="s">
        <v>4846</v>
      </c>
      <c r="B190" s="98">
        <v>20503</v>
      </c>
      <c r="C190" s="98" t="s">
        <v>4847</v>
      </c>
      <c r="D190" s="96" t="s">
        <v>265</v>
      </c>
      <c r="E190" s="97">
        <v>245</v>
      </c>
      <c r="F190" s="67" t="str">
        <f>IFERROR(IFERROR(INDEX(Кат!$A:$A,MATCH(Прайс!$B190,Кат!$G:$G,0)),INDEX(Торг!$B:$B,MATCH(Прайс!$B190,Торг!$H:$H,0))),"")</f>
        <v/>
      </c>
      <c r="G190" s="67" t="str">
        <f>IFERROR(IFERROR(INDEX(Кат!$B:$B,MATCH(Прайс!$B190,Кат!$G:$G,0)),INDEX(Торг!$C:$C,MATCH(Прайс!$B190,Торг!$H:$H,0))),"")</f>
        <v/>
      </c>
      <c r="H190" s="67" t="str">
        <f>IFERROR(IFERROR(INDEX(Кат!$I:$I,MATCH(Прайс!$B190,Кат!$G:$G,0)),INDEX(Торг!$I:$I,MATCH(Прайс!$B190,Торг!$H:$H,0))),"")</f>
        <v/>
      </c>
    </row>
    <row r="191" spans="1:8" x14ac:dyDescent="0.25">
      <c r="A191" s="94" t="s">
        <v>4848</v>
      </c>
      <c r="B191" s="98">
        <v>20504</v>
      </c>
      <c r="C191" s="98" t="s">
        <v>4849</v>
      </c>
      <c r="D191" s="96" t="s">
        <v>265</v>
      </c>
      <c r="E191" s="97">
        <v>290</v>
      </c>
      <c r="F191" s="67" t="str">
        <f>IFERROR(IFERROR(INDEX(Кат!$A:$A,MATCH(Прайс!$B191,Кат!$G:$G,0)),INDEX(Торг!$B:$B,MATCH(Прайс!$B191,Торг!$H:$H,0))),"")</f>
        <v/>
      </c>
      <c r="G191" s="67" t="str">
        <f>IFERROR(IFERROR(INDEX(Кат!$B:$B,MATCH(Прайс!$B191,Кат!$G:$G,0)),INDEX(Торг!$C:$C,MATCH(Прайс!$B191,Торг!$H:$H,0))),"")</f>
        <v/>
      </c>
      <c r="H191" s="67" t="str">
        <f>IFERROR(IFERROR(INDEX(Кат!$I:$I,MATCH(Прайс!$B191,Кат!$G:$G,0)),INDEX(Торг!$I:$I,MATCH(Прайс!$B191,Торг!$H:$H,0))),"")</f>
        <v/>
      </c>
    </row>
    <row r="192" spans="1:8" x14ac:dyDescent="0.25">
      <c r="A192" s="109" t="s">
        <v>8151</v>
      </c>
      <c r="B192" s="110">
        <v>20561</v>
      </c>
      <c r="C192" s="110" t="s">
        <v>8152</v>
      </c>
      <c r="D192" s="111" t="s">
        <v>265</v>
      </c>
      <c r="E192" s="112">
        <v>200</v>
      </c>
      <c r="F192" s="67" t="str">
        <f>IFERROR(IFERROR(INDEX(Кат!$A:$A,MATCH(Прайс!$B192,Кат!$G:$G,0)),INDEX(Торг!$B:$B,MATCH(Прайс!$B192,Торг!$H:$H,0))),"")</f>
        <v/>
      </c>
      <c r="G192" s="67" t="str">
        <f>IFERROR(IFERROR(INDEX(Кат!$B:$B,MATCH(Прайс!$B192,Кат!$G:$G,0)),INDEX(Торг!$C:$C,MATCH(Прайс!$B192,Торг!$H:$H,0))),"")</f>
        <v/>
      </c>
      <c r="H192" s="67" t="str">
        <f>IFERROR(IFERROR(INDEX(Кат!$I:$I,MATCH(Прайс!$B192,Кат!$G:$G,0)),INDEX(Торг!$I:$I,MATCH(Прайс!$B192,Торг!$H:$H,0))),"")</f>
        <v/>
      </c>
    </row>
    <row r="193" spans="1:8" x14ac:dyDescent="0.25">
      <c r="A193" s="109" t="s">
        <v>8153</v>
      </c>
      <c r="B193" s="110">
        <v>20562</v>
      </c>
      <c r="C193" s="110" t="s">
        <v>8154</v>
      </c>
      <c r="D193" s="111" t="s">
        <v>265</v>
      </c>
      <c r="E193" s="112">
        <v>340</v>
      </c>
      <c r="F193" s="67" t="str">
        <f>IFERROR(IFERROR(INDEX(Кат!$A:$A,MATCH(Прайс!$B193,Кат!$G:$G,0)),INDEX(Торг!$B:$B,MATCH(Прайс!$B193,Торг!$H:$H,0))),"")</f>
        <v/>
      </c>
      <c r="G193" s="67" t="str">
        <f>IFERROR(IFERROR(INDEX(Кат!$B:$B,MATCH(Прайс!$B193,Кат!$G:$G,0)),INDEX(Торг!$C:$C,MATCH(Прайс!$B193,Торг!$H:$H,0))),"")</f>
        <v/>
      </c>
      <c r="H193" s="67" t="str">
        <f>IFERROR(IFERROR(INDEX(Кат!$I:$I,MATCH(Прайс!$B193,Кат!$G:$G,0)),INDEX(Торг!$I:$I,MATCH(Прайс!$B193,Торг!$H:$H,0))),"")</f>
        <v/>
      </c>
    </row>
    <row r="194" spans="1:8" x14ac:dyDescent="0.25">
      <c r="A194" s="94" t="s">
        <v>8155</v>
      </c>
      <c r="B194" s="98">
        <v>20559</v>
      </c>
      <c r="C194" s="98" t="s">
        <v>8156</v>
      </c>
      <c r="D194" s="96" t="s">
        <v>361</v>
      </c>
      <c r="E194" s="107">
        <v>2150</v>
      </c>
      <c r="F194" s="67" t="str">
        <f>IFERROR(IFERROR(INDEX(Кат!$A:$A,MATCH(Прайс!$B194,Кат!$G:$G,0)),INDEX(Торг!$B:$B,MATCH(Прайс!$B194,Торг!$H:$H,0))),"")</f>
        <v/>
      </c>
      <c r="G194" s="67" t="str">
        <f>IFERROR(IFERROR(INDEX(Кат!$B:$B,MATCH(Прайс!$B194,Кат!$G:$G,0)),INDEX(Торг!$C:$C,MATCH(Прайс!$B194,Торг!$H:$H,0))),"")</f>
        <v/>
      </c>
      <c r="H194" s="67" t="str">
        <f>IFERROR(IFERROR(INDEX(Кат!$I:$I,MATCH(Прайс!$B194,Кат!$G:$G,0)),INDEX(Торг!$I:$I,MATCH(Прайс!$B194,Торг!$H:$H,0))),"")</f>
        <v/>
      </c>
    </row>
    <row r="195" spans="1:8" x14ac:dyDescent="0.25">
      <c r="A195" s="109" t="s">
        <v>8157</v>
      </c>
      <c r="B195" s="110">
        <v>20560</v>
      </c>
      <c r="C195" s="110" t="s">
        <v>8158</v>
      </c>
      <c r="D195" s="111" t="s">
        <v>361</v>
      </c>
      <c r="E195" s="115">
        <v>1050</v>
      </c>
      <c r="F195" s="67" t="str">
        <f>IFERROR(IFERROR(INDEX(Кат!$A:$A,MATCH(Прайс!$B195,Кат!$G:$G,0)),INDEX(Торг!$B:$B,MATCH(Прайс!$B195,Торг!$H:$H,0))),"")</f>
        <v/>
      </c>
      <c r="G195" s="67" t="str">
        <f>IFERROR(IFERROR(INDEX(Кат!$B:$B,MATCH(Прайс!$B195,Кат!$G:$G,0)),INDEX(Торг!$C:$C,MATCH(Прайс!$B195,Торг!$H:$H,0))),"")</f>
        <v/>
      </c>
      <c r="H195" s="67" t="str">
        <f>IFERROR(IFERROR(INDEX(Кат!$I:$I,MATCH(Прайс!$B195,Кат!$G:$G,0)),INDEX(Торг!$I:$I,MATCH(Прайс!$B195,Торг!$H:$H,0))),"")</f>
        <v/>
      </c>
    </row>
    <row r="196" spans="1:8" x14ac:dyDescent="0.25">
      <c r="A196" s="94" t="s">
        <v>2535</v>
      </c>
      <c r="B196" s="98">
        <v>20358</v>
      </c>
      <c r="C196" s="98" t="s">
        <v>4850</v>
      </c>
      <c r="D196" s="96" t="s">
        <v>190</v>
      </c>
      <c r="E196" s="97">
        <v>330</v>
      </c>
      <c r="F196" s="67" t="str">
        <f>IFERROR(IFERROR(INDEX(Кат!$A:$A,MATCH(Прайс!$B196,Кат!$G:$G,0)),INDEX(Торг!$B:$B,MATCH(Прайс!$B196,Торг!$H:$H,0))),"")</f>
        <v/>
      </c>
      <c r="G196" s="67" t="str">
        <f>IFERROR(IFERROR(INDEX(Кат!$B:$B,MATCH(Прайс!$B196,Кат!$G:$G,0)),INDEX(Торг!$C:$C,MATCH(Прайс!$B196,Торг!$H:$H,0))),"")</f>
        <v/>
      </c>
      <c r="H196" s="67" t="str">
        <f>IFERROR(IFERROR(INDEX(Кат!$I:$I,MATCH(Прайс!$B196,Кат!$G:$G,0)),INDEX(Торг!$I:$I,MATCH(Прайс!$B196,Торг!$H:$H,0))),"")</f>
        <v/>
      </c>
    </row>
    <row r="197" spans="1:8" x14ac:dyDescent="0.25">
      <c r="A197" s="94" t="s">
        <v>8159</v>
      </c>
      <c r="B197" s="98">
        <v>20357</v>
      </c>
      <c r="C197" s="98" t="s">
        <v>8160</v>
      </c>
      <c r="D197" s="96" t="s">
        <v>265</v>
      </c>
      <c r="E197" s="97">
        <v>340</v>
      </c>
      <c r="F197" s="67" t="str">
        <f>IFERROR(IFERROR(INDEX(Кат!$A:$A,MATCH(Прайс!$B197,Кат!$G:$G,0)),INDEX(Торг!$B:$B,MATCH(Прайс!$B197,Торг!$H:$H,0))),"")</f>
        <v/>
      </c>
      <c r="G197" s="67" t="str">
        <f>IFERROR(IFERROR(INDEX(Кат!$B:$B,MATCH(Прайс!$B197,Кат!$G:$G,0)),INDEX(Торг!$C:$C,MATCH(Прайс!$B197,Торг!$H:$H,0))),"")</f>
        <v/>
      </c>
      <c r="H197" s="67" t="str">
        <f>IFERROR(IFERROR(INDEX(Кат!$I:$I,MATCH(Прайс!$B197,Кат!$G:$G,0)),INDEX(Торг!$I:$I,MATCH(Прайс!$B197,Торг!$H:$H,0))),"")</f>
        <v/>
      </c>
    </row>
    <row r="198" spans="1:8" x14ac:dyDescent="0.25">
      <c r="A198" s="94" t="s">
        <v>7349</v>
      </c>
      <c r="B198" s="98">
        <v>20542</v>
      </c>
      <c r="C198" s="98" t="s">
        <v>7350</v>
      </c>
      <c r="D198" s="96" t="s">
        <v>265</v>
      </c>
      <c r="E198" s="97">
        <v>265</v>
      </c>
      <c r="F198" s="67" t="str">
        <f>IFERROR(IFERROR(INDEX(Кат!$A:$A,MATCH(Прайс!$B198,Кат!$G:$G,0)),INDEX(Торг!$B:$B,MATCH(Прайс!$B198,Торг!$H:$H,0))),"")</f>
        <v/>
      </c>
      <c r="G198" s="67" t="str">
        <f>IFERROR(IFERROR(INDEX(Кат!$B:$B,MATCH(Прайс!$B198,Кат!$G:$G,0)),INDEX(Торг!$C:$C,MATCH(Прайс!$B198,Торг!$H:$H,0))),"")</f>
        <v/>
      </c>
      <c r="H198" s="67" t="str">
        <f>IFERROR(IFERROR(INDEX(Кат!$I:$I,MATCH(Прайс!$B198,Кат!$G:$G,0)),INDEX(Торг!$I:$I,MATCH(Прайс!$B198,Торг!$H:$H,0))),"")</f>
        <v/>
      </c>
    </row>
    <row r="199" spans="1:8" x14ac:dyDescent="0.25">
      <c r="A199" s="94" t="s">
        <v>7351</v>
      </c>
      <c r="B199" s="98">
        <v>20543</v>
      </c>
      <c r="C199" s="98" t="s">
        <v>7352</v>
      </c>
      <c r="D199" s="96" t="s">
        <v>265</v>
      </c>
      <c r="E199" s="97">
        <v>250</v>
      </c>
      <c r="F199" s="67" t="str">
        <f>IFERROR(IFERROR(INDEX(Кат!$A:$A,MATCH(Прайс!$B199,Кат!$G:$G,0)),INDEX(Торг!$B:$B,MATCH(Прайс!$B199,Торг!$H:$H,0))),"")</f>
        <v/>
      </c>
      <c r="G199" s="67" t="str">
        <f>IFERROR(IFERROR(INDEX(Кат!$B:$B,MATCH(Прайс!$B199,Кат!$G:$G,0)),INDEX(Торг!$C:$C,MATCH(Прайс!$B199,Торг!$H:$H,0))),"")</f>
        <v/>
      </c>
      <c r="H199" s="67" t="str">
        <f>IFERROR(IFERROR(INDEX(Кат!$I:$I,MATCH(Прайс!$B199,Кат!$G:$G,0)),INDEX(Торг!$I:$I,MATCH(Прайс!$B199,Торг!$H:$H,0))),"")</f>
        <v/>
      </c>
    </row>
    <row r="200" spans="1:8" x14ac:dyDescent="0.25">
      <c r="A200" s="94" t="s">
        <v>7353</v>
      </c>
      <c r="B200" s="98">
        <v>20544</v>
      </c>
      <c r="C200" s="98" t="s">
        <v>7354</v>
      </c>
      <c r="D200" s="96" t="s">
        <v>265</v>
      </c>
      <c r="E200" s="97">
        <v>330</v>
      </c>
      <c r="F200" s="67" t="str">
        <f>IFERROR(IFERROR(INDEX(Кат!$A:$A,MATCH(Прайс!$B200,Кат!$G:$G,0)),INDEX(Торг!$B:$B,MATCH(Прайс!$B200,Торг!$H:$H,0))),"")</f>
        <v/>
      </c>
      <c r="G200" s="67" t="str">
        <f>IFERROR(IFERROR(INDEX(Кат!$B:$B,MATCH(Прайс!$B200,Кат!$G:$G,0)),INDEX(Торг!$C:$C,MATCH(Прайс!$B200,Торг!$H:$H,0))),"")</f>
        <v/>
      </c>
      <c r="H200" s="67" t="str">
        <f>IFERROR(IFERROR(INDEX(Кат!$I:$I,MATCH(Прайс!$B200,Кат!$G:$G,0)),INDEX(Торг!$I:$I,MATCH(Прайс!$B200,Торг!$H:$H,0))),"")</f>
        <v/>
      </c>
    </row>
    <row r="201" spans="1:8" x14ac:dyDescent="0.25">
      <c r="A201" s="94" t="s">
        <v>2536</v>
      </c>
      <c r="B201" s="98">
        <v>20181</v>
      </c>
      <c r="C201" s="98" t="s">
        <v>259</v>
      </c>
      <c r="D201" s="96" t="s">
        <v>265</v>
      </c>
      <c r="E201" s="97">
        <v>175</v>
      </c>
      <c r="F201" s="67" t="str">
        <f>IFERROR(IFERROR(INDEX(Кат!$A:$A,MATCH(Прайс!$B201,Кат!$G:$G,0)),INDEX(Торг!$B:$B,MATCH(Прайс!$B201,Торг!$H:$H,0))),"")</f>
        <v/>
      </c>
      <c r="G201" s="67" t="str">
        <f>IFERROR(IFERROR(INDEX(Кат!$B:$B,MATCH(Прайс!$B201,Кат!$G:$G,0)),INDEX(Торг!$C:$C,MATCH(Прайс!$B201,Торг!$H:$H,0))),"")</f>
        <v/>
      </c>
      <c r="H201" s="67" t="str">
        <f>IFERROR(IFERROR(INDEX(Кат!$I:$I,MATCH(Прайс!$B201,Кат!$G:$G,0)),INDEX(Торг!$I:$I,MATCH(Прайс!$B201,Торг!$H:$H,0))),"")</f>
        <v/>
      </c>
    </row>
    <row r="202" spans="1:8" x14ac:dyDescent="0.25">
      <c r="A202" s="103" t="s">
        <v>7355</v>
      </c>
      <c r="B202" s="104">
        <v>20555</v>
      </c>
      <c r="C202" s="104" t="s">
        <v>7356</v>
      </c>
      <c r="D202" s="105" t="s">
        <v>257</v>
      </c>
      <c r="E202" s="113">
        <v>220</v>
      </c>
      <c r="F202" s="67" t="str">
        <f>IFERROR(IFERROR(INDEX(Кат!$A:$A,MATCH(Прайс!$B202,Кат!$G:$G,0)),INDEX(Торг!$B:$B,MATCH(Прайс!$B202,Торг!$H:$H,0))),"")</f>
        <v/>
      </c>
      <c r="G202" s="67" t="str">
        <f>IFERROR(IFERROR(INDEX(Кат!$B:$B,MATCH(Прайс!$B202,Кат!$G:$G,0)),INDEX(Торг!$C:$C,MATCH(Прайс!$B202,Торг!$H:$H,0))),"")</f>
        <v/>
      </c>
      <c r="H202" s="67" t="str">
        <f>IFERROR(IFERROR(INDEX(Кат!$I:$I,MATCH(Прайс!$B202,Кат!$G:$G,0)),INDEX(Торг!$I:$I,MATCH(Прайс!$B202,Торг!$H:$H,0))),"")</f>
        <v/>
      </c>
    </row>
    <row r="203" spans="1:8" ht="15.75" x14ac:dyDescent="0.25">
      <c r="A203" s="90"/>
      <c r="B203" s="91"/>
      <c r="C203" s="92" t="s">
        <v>260</v>
      </c>
      <c r="D203" s="91"/>
      <c r="E203" s="93"/>
      <c r="F203" s="67" t="str">
        <f>IFERROR(IFERROR(INDEX(Кат!$A:$A,MATCH(Прайс!$B203,Кат!$G:$G,0)),INDEX(Торг!$B:$B,MATCH(Прайс!$B203,Торг!$H:$H,0))),"")</f>
        <v/>
      </c>
      <c r="G203" s="67" t="str">
        <f>IFERROR(IFERROR(INDEX(Кат!$B:$B,MATCH(Прайс!$B203,Кат!$G:$G,0)),INDEX(Торг!$C:$C,MATCH(Прайс!$B203,Торг!$H:$H,0))),"")</f>
        <v/>
      </c>
      <c r="H203" s="67" t="str">
        <f>IFERROR(IFERROR(INDEX(Кат!$I:$I,MATCH(Прайс!$B203,Кат!$G:$G,0)),INDEX(Торг!$I:$I,MATCH(Прайс!$B203,Торг!$H:$H,0))),"")</f>
        <v/>
      </c>
    </row>
    <row r="204" spans="1:8" x14ac:dyDescent="0.25">
      <c r="A204" s="103" t="s">
        <v>2537</v>
      </c>
      <c r="B204" s="104">
        <v>20183</v>
      </c>
      <c r="C204" s="104" t="s">
        <v>261</v>
      </c>
      <c r="D204" s="105" t="s">
        <v>582</v>
      </c>
      <c r="E204" s="106">
        <v>5600</v>
      </c>
      <c r="F204" s="67" t="str">
        <f>IFERROR(IFERROR(INDEX(Кат!$A:$A,MATCH(Прайс!$B204,Кат!$G:$G,0)),INDEX(Торг!$B:$B,MATCH(Прайс!$B204,Торг!$H:$H,0))),"")</f>
        <v/>
      </c>
      <c r="G204" s="67" t="str">
        <f>IFERROR(IFERROR(INDEX(Кат!$B:$B,MATCH(Прайс!$B204,Кат!$G:$G,0)),INDEX(Торг!$C:$C,MATCH(Прайс!$B204,Торг!$H:$H,0))),"")</f>
        <v/>
      </c>
      <c r="H204" s="67" t="str">
        <f>IFERROR(IFERROR(INDEX(Кат!$I:$I,MATCH(Прайс!$B204,Кат!$G:$G,0)),INDEX(Торг!$I:$I,MATCH(Прайс!$B204,Торг!$H:$H,0))),"")</f>
        <v/>
      </c>
    </row>
    <row r="205" spans="1:8" x14ac:dyDescent="0.25">
      <c r="A205" s="103" t="s">
        <v>2538</v>
      </c>
      <c r="B205" s="104">
        <v>20184</v>
      </c>
      <c r="C205" s="104" t="s">
        <v>262</v>
      </c>
      <c r="D205" s="105" t="s">
        <v>162</v>
      </c>
      <c r="E205" s="106">
        <v>6200</v>
      </c>
      <c r="F205" s="67" t="str">
        <f>IFERROR(IFERROR(INDEX(Кат!$A:$A,MATCH(Прайс!$B205,Кат!$G:$G,0)),INDEX(Торг!$B:$B,MATCH(Прайс!$B205,Торг!$H:$H,0))),"")</f>
        <v/>
      </c>
      <c r="G205" s="67" t="str">
        <f>IFERROR(IFERROR(INDEX(Кат!$B:$B,MATCH(Прайс!$B205,Кат!$G:$G,0)),INDEX(Торг!$C:$C,MATCH(Прайс!$B205,Торг!$H:$H,0))),"")</f>
        <v/>
      </c>
      <c r="H205" s="67" t="str">
        <f>IFERROR(IFERROR(INDEX(Кат!$I:$I,MATCH(Прайс!$B205,Кат!$G:$G,0)),INDEX(Торг!$I:$I,MATCH(Прайс!$B205,Торг!$H:$H,0))),"")</f>
        <v/>
      </c>
    </row>
    <row r="206" spans="1:8" x14ac:dyDescent="0.25">
      <c r="A206" s="103" t="s">
        <v>2539</v>
      </c>
      <c r="B206" s="104">
        <v>20190</v>
      </c>
      <c r="C206" s="104" t="s">
        <v>263</v>
      </c>
      <c r="D206" s="105" t="s">
        <v>162</v>
      </c>
      <c r="E206" s="106">
        <v>5300</v>
      </c>
      <c r="F206" s="67" t="str">
        <f>IFERROR(IFERROR(INDEX(Кат!$A:$A,MATCH(Прайс!$B206,Кат!$G:$G,0)),INDEX(Торг!$B:$B,MATCH(Прайс!$B206,Торг!$H:$H,0))),"")</f>
        <v/>
      </c>
      <c r="G206" s="67" t="str">
        <f>IFERROR(IFERROR(INDEX(Кат!$B:$B,MATCH(Прайс!$B206,Кат!$G:$G,0)),INDEX(Торг!$C:$C,MATCH(Прайс!$B206,Торг!$H:$H,0))),"")</f>
        <v/>
      </c>
      <c r="H206" s="67" t="str">
        <f>IFERROR(IFERROR(INDEX(Кат!$I:$I,MATCH(Прайс!$B206,Кат!$G:$G,0)),INDEX(Торг!$I:$I,MATCH(Прайс!$B206,Торг!$H:$H,0))),"")</f>
        <v/>
      </c>
    </row>
    <row r="207" spans="1:8" x14ac:dyDescent="0.25">
      <c r="A207" s="103" t="s">
        <v>2540</v>
      </c>
      <c r="B207" s="104">
        <v>20192</v>
      </c>
      <c r="C207" s="104" t="s">
        <v>6088</v>
      </c>
      <c r="D207" s="105" t="s">
        <v>162</v>
      </c>
      <c r="E207" s="106">
        <v>4700</v>
      </c>
      <c r="F207" s="67" t="str">
        <f>IFERROR(IFERROR(INDEX(Кат!$A:$A,MATCH(Прайс!$B207,Кат!$G:$G,0)),INDEX(Торг!$B:$B,MATCH(Прайс!$B207,Торг!$H:$H,0))),"")</f>
        <v/>
      </c>
      <c r="G207" s="67" t="str">
        <f>IFERROR(IFERROR(INDEX(Кат!$B:$B,MATCH(Прайс!$B207,Кат!$G:$G,0)),INDEX(Торг!$C:$C,MATCH(Прайс!$B207,Торг!$H:$H,0))),"")</f>
        <v/>
      </c>
      <c r="H207" s="67" t="str">
        <f>IFERROR(IFERROR(INDEX(Кат!$I:$I,MATCH(Прайс!$B207,Кат!$G:$G,0)),INDEX(Торг!$I:$I,MATCH(Прайс!$B207,Торг!$H:$H,0))),"")</f>
        <v/>
      </c>
    </row>
    <row r="208" spans="1:8" ht="15.75" x14ac:dyDescent="0.25">
      <c r="A208" s="90"/>
      <c r="B208" s="91"/>
      <c r="C208" s="92" t="s">
        <v>264</v>
      </c>
      <c r="D208" s="91"/>
      <c r="E208" s="93"/>
      <c r="F208" s="67" t="str">
        <f>IFERROR(IFERROR(INDEX(Кат!$A:$A,MATCH(Прайс!$B208,Кат!$G:$G,0)),INDEX(Торг!$B:$B,MATCH(Прайс!$B208,Торг!$H:$H,0))),"")</f>
        <v/>
      </c>
      <c r="G208" s="67" t="str">
        <f>IFERROR(IFERROR(INDEX(Кат!$B:$B,MATCH(Прайс!$B208,Кат!$G:$G,0)),INDEX(Торг!$C:$C,MATCH(Прайс!$B208,Торг!$H:$H,0))),"")</f>
        <v/>
      </c>
      <c r="H208" s="67" t="str">
        <f>IFERROR(IFERROR(INDEX(Кат!$I:$I,MATCH(Прайс!$B208,Кат!$G:$G,0)),INDEX(Торг!$I:$I,MATCH(Прайс!$B208,Торг!$H:$H,0))),"")</f>
        <v/>
      </c>
    </row>
    <row r="209" spans="1:8" x14ac:dyDescent="0.25">
      <c r="A209" s="99" t="s">
        <v>4851</v>
      </c>
      <c r="B209" s="108">
        <v>20198</v>
      </c>
      <c r="C209" s="108" t="s">
        <v>4852</v>
      </c>
      <c r="D209" s="101" t="s">
        <v>161</v>
      </c>
      <c r="E209" s="102">
        <v>950</v>
      </c>
      <c r="F209" s="67">
        <f>IFERROR(IFERROR(INDEX(Кат!$A:$A,MATCH(Прайс!$B209,Кат!$G:$G,0)),INDEX(Торг!$B:$B,MATCH(Прайс!$B209,Торг!$H:$H,0))),"")</f>
        <v>186072</v>
      </c>
      <c r="G209" s="67">
        <f>IFERROR(IFERROR(INDEX(Кат!$B:$B,MATCH(Прайс!$B209,Кат!$G:$G,0)),INDEX(Торг!$C:$C,MATCH(Прайс!$B209,Торг!$H:$H,0))),"")</f>
        <v>36904</v>
      </c>
      <c r="H209" s="67" t="str">
        <f>IFERROR(IFERROR(INDEX(Кат!$I:$I,MATCH(Прайс!$B209,Кат!$G:$G,0)),INDEX(Торг!$I:$I,MATCH(Прайс!$B209,Торг!$H:$H,0))),"")</f>
        <v>кристал авто</v>
      </c>
    </row>
    <row r="210" spans="1:8" x14ac:dyDescent="0.25">
      <c r="A210" s="99" t="s">
        <v>6563</v>
      </c>
      <c r="B210" s="108">
        <v>20512</v>
      </c>
      <c r="C210" s="108" t="s">
        <v>6564</v>
      </c>
      <c r="D210" s="101" t="s">
        <v>161</v>
      </c>
      <c r="E210" s="102">
        <v>700</v>
      </c>
      <c r="F210" s="67" t="str">
        <f>IFERROR(IFERROR(INDEX(Кат!$A:$A,MATCH(Прайс!$B210,Кат!$G:$G,0)),INDEX(Торг!$B:$B,MATCH(Прайс!$B210,Торг!$H:$H,0))),"")</f>
        <v/>
      </c>
      <c r="G210" s="67" t="str">
        <f>IFERROR(IFERROR(INDEX(Кат!$B:$B,MATCH(Прайс!$B210,Кат!$G:$G,0)),INDEX(Торг!$C:$C,MATCH(Прайс!$B210,Торг!$H:$H,0))),"")</f>
        <v/>
      </c>
      <c r="H210" s="67" t="str">
        <f>IFERROR(IFERROR(INDEX(Кат!$I:$I,MATCH(Прайс!$B210,Кат!$G:$G,0)),INDEX(Торг!$I:$I,MATCH(Прайс!$B210,Торг!$H:$H,0))),"")</f>
        <v/>
      </c>
    </row>
    <row r="211" spans="1:8" x14ac:dyDescent="0.25">
      <c r="A211" s="99" t="s">
        <v>6565</v>
      </c>
      <c r="B211" s="108">
        <v>20202</v>
      </c>
      <c r="C211" s="108" t="s">
        <v>6566</v>
      </c>
      <c r="D211" s="101" t="s">
        <v>161</v>
      </c>
      <c r="E211" s="102">
        <v>550</v>
      </c>
      <c r="F211" s="67" t="str">
        <f>IFERROR(IFERROR(INDEX(Кат!$A:$A,MATCH(Прайс!$B211,Кат!$G:$G,0)),INDEX(Торг!$B:$B,MATCH(Прайс!$B211,Торг!$H:$H,0))),"")</f>
        <v/>
      </c>
      <c r="G211" s="67" t="str">
        <f>IFERROR(IFERROR(INDEX(Кат!$B:$B,MATCH(Прайс!$B211,Кат!$G:$G,0)),INDEX(Торг!$C:$C,MATCH(Прайс!$B211,Торг!$H:$H,0))),"")</f>
        <v/>
      </c>
      <c r="H211" s="67" t="str">
        <f>IFERROR(IFERROR(INDEX(Кат!$I:$I,MATCH(Прайс!$B211,Кат!$G:$G,0)),INDEX(Торг!$I:$I,MATCH(Прайс!$B211,Торг!$H:$H,0))),"")</f>
        <v/>
      </c>
    </row>
    <row r="212" spans="1:8" ht="15.75" x14ac:dyDescent="0.25">
      <c r="A212" s="90"/>
      <c r="B212" s="91"/>
      <c r="C212" s="92" t="s">
        <v>7357</v>
      </c>
      <c r="D212" s="91"/>
      <c r="E212" s="93"/>
      <c r="F212" s="67" t="str">
        <f>IFERROR(IFERROR(INDEX(Кат!$A:$A,MATCH(Прайс!$B212,Кат!$G:$G,0)),INDEX(Торг!$B:$B,MATCH(Прайс!$B212,Торг!$H:$H,0))),"")</f>
        <v/>
      </c>
      <c r="G212" s="67" t="str">
        <f>IFERROR(IFERROR(INDEX(Кат!$B:$B,MATCH(Прайс!$B212,Кат!$G:$G,0)),INDEX(Торг!$C:$C,MATCH(Прайс!$B212,Торг!$H:$H,0))),"")</f>
        <v/>
      </c>
      <c r="H212" s="67" t="str">
        <f>IFERROR(IFERROR(INDEX(Кат!$I:$I,MATCH(Прайс!$B212,Кат!$G:$G,0)),INDEX(Торг!$I:$I,MATCH(Прайс!$B212,Торг!$H:$H,0))),"")</f>
        <v/>
      </c>
    </row>
    <row r="213" spans="1:8" x14ac:dyDescent="0.25">
      <c r="A213" s="94" t="s">
        <v>7358</v>
      </c>
      <c r="B213" s="98">
        <v>20209</v>
      </c>
      <c r="C213" s="98" t="s">
        <v>7359</v>
      </c>
      <c r="D213" s="96" t="s">
        <v>265</v>
      </c>
      <c r="E213" s="97">
        <v>240</v>
      </c>
      <c r="F213" s="67" t="str">
        <f>IFERROR(IFERROR(INDEX(Кат!$A:$A,MATCH(Прайс!$B213,Кат!$G:$G,0)),INDEX(Торг!$B:$B,MATCH(Прайс!$B213,Торг!$H:$H,0))),"")</f>
        <v/>
      </c>
      <c r="G213" s="67" t="str">
        <f>IFERROR(IFERROR(INDEX(Кат!$B:$B,MATCH(Прайс!$B213,Кат!$G:$G,0)),INDEX(Торг!$C:$C,MATCH(Прайс!$B213,Торг!$H:$H,0))),"")</f>
        <v/>
      </c>
      <c r="H213" s="67" t="str">
        <f>IFERROR(IFERROR(INDEX(Кат!$I:$I,MATCH(Прайс!$B213,Кат!$G:$G,0)),INDEX(Торг!$I:$I,MATCH(Прайс!$B213,Торг!$H:$H,0))),"")</f>
        <v/>
      </c>
    </row>
    <row r="214" spans="1:8" ht="15.75" x14ac:dyDescent="0.25">
      <c r="A214" s="90"/>
      <c r="B214" s="91"/>
      <c r="C214" s="92" t="s">
        <v>266</v>
      </c>
      <c r="D214" s="91"/>
      <c r="E214" s="93"/>
      <c r="F214" s="67" t="str">
        <f>IFERROR(IFERROR(INDEX(Кат!$A:$A,MATCH(Прайс!$B214,Кат!$G:$G,0)),INDEX(Торг!$B:$B,MATCH(Прайс!$B214,Торг!$H:$H,0))),"")</f>
        <v/>
      </c>
      <c r="G214" s="67" t="str">
        <f>IFERROR(IFERROR(INDEX(Кат!$B:$B,MATCH(Прайс!$B214,Кат!$G:$G,0)),INDEX(Торг!$C:$C,MATCH(Прайс!$B214,Торг!$H:$H,0))),"")</f>
        <v/>
      </c>
      <c r="H214" s="67" t="str">
        <f>IFERROR(IFERROR(INDEX(Кат!$I:$I,MATCH(Прайс!$B214,Кат!$G:$G,0)),INDEX(Торг!$I:$I,MATCH(Прайс!$B214,Торг!$H:$H,0))),"")</f>
        <v/>
      </c>
    </row>
    <row r="215" spans="1:8" x14ac:dyDescent="0.25">
      <c r="A215" s="94" t="s">
        <v>8529</v>
      </c>
      <c r="B215" s="98">
        <v>20221</v>
      </c>
      <c r="C215" s="98" t="s">
        <v>8530</v>
      </c>
      <c r="D215" s="96" t="s">
        <v>190</v>
      </c>
      <c r="E215" s="97">
        <v>100</v>
      </c>
      <c r="F215" s="67" t="str">
        <f>IFERROR(IFERROR(INDEX(Кат!$A:$A,MATCH(Прайс!$B215,Кат!$G:$G,0)),INDEX(Торг!$B:$B,MATCH(Прайс!$B215,Торг!$H:$H,0))),"")</f>
        <v/>
      </c>
      <c r="G215" s="67" t="str">
        <f>IFERROR(IFERROR(INDEX(Кат!$B:$B,MATCH(Прайс!$B215,Кат!$G:$G,0)),INDEX(Торг!$C:$C,MATCH(Прайс!$B215,Торг!$H:$H,0))),"")</f>
        <v/>
      </c>
      <c r="H215" s="67" t="str">
        <f>IFERROR(IFERROR(INDEX(Кат!$I:$I,MATCH(Прайс!$B215,Кат!$G:$G,0)),INDEX(Торг!$I:$I,MATCH(Прайс!$B215,Торг!$H:$H,0))),"")</f>
        <v/>
      </c>
    </row>
    <row r="216" spans="1:8" x14ac:dyDescent="0.25">
      <c r="A216" s="94" t="s">
        <v>2541</v>
      </c>
      <c r="B216" s="98">
        <v>20450</v>
      </c>
      <c r="C216" s="98" t="s">
        <v>267</v>
      </c>
      <c r="D216" s="96" t="s">
        <v>190</v>
      </c>
      <c r="E216" s="97">
        <v>100</v>
      </c>
      <c r="F216" s="67" t="str">
        <f>IFERROR(IFERROR(INDEX(Кат!$A:$A,MATCH(Прайс!$B216,Кат!$G:$G,0)),INDEX(Торг!$B:$B,MATCH(Прайс!$B216,Торг!$H:$H,0))),"")</f>
        <v/>
      </c>
      <c r="G216" s="67" t="str">
        <f>IFERROR(IFERROR(INDEX(Кат!$B:$B,MATCH(Прайс!$B216,Кат!$G:$G,0)),INDEX(Торг!$C:$C,MATCH(Прайс!$B216,Торг!$H:$H,0))),"")</f>
        <v/>
      </c>
      <c r="H216" s="67" t="str">
        <f>IFERROR(IFERROR(INDEX(Кат!$I:$I,MATCH(Прайс!$B216,Кат!$G:$G,0)),INDEX(Торг!$I:$I,MATCH(Прайс!$B216,Торг!$H:$H,0))),"")</f>
        <v/>
      </c>
    </row>
    <row r="217" spans="1:8" ht="15.75" x14ac:dyDescent="0.25">
      <c r="A217" s="90"/>
      <c r="B217" s="91"/>
      <c r="C217" s="92" t="s">
        <v>268</v>
      </c>
      <c r="D217" s="91"/>
      <c r="E217" s="93"/>
      <c r="F217" s="67" t="str">
        <f>IFERROR(IFERROR(INDEX(Кат!$A:$A,MATCH(Прайс!$B217,Кат!$G:$G,0)),INDEX(Торг!$B:$B,MATCH(Прайс!$B217,Торг!$H:$H,0))),"")</f>
        <v/>
      </c>
      <c r="G217" s="67" t="str">
        <f>IFERROR(IFERROR(INDEX(Кат!$B:$B,MATCH(Прайс!$B217,Кат!$G:$G,0)),INDEX(Торг!$C:$C,MATCH(Прайс!$B217,Торг!$H:$H,0))),"")</f>
        <v/>
      </c>
      <c r="H217" s="67" t="str">
        <f>IFERROR(IFERROR(INDEX(Кат!$I:$I,MATCH(Прайс!$B217,Кат!$G:$G,0)),INDEX(Торг!$I:$I,MATCH(Прайс!$B217,Торг!$H:$H,0))),"")</f>
        <v/>
      </c>
    </row>
    <row r="218" spans="1:8" x14ac:dyDescent="0.25">
      <c r="A218" s="94" t="s">
        <v>2542</v>
      </c>
      <c r="B218" s="98">
        <v>20224</v>
      </c>
      <c r="C218" s="98" t="s">
        <v>269</v>
      </c>
      <c r="D218" s="96" t="s">
        <v>190</v>
      </c>
      <c r="E218" s="97">
        <v>130</v>
      </c>
      <c r="F218" s="67" t="str">
        <f>IFERROR(IFERROR(INDEX(Кат!$A:$A,MATCH(Прайс!$B218,Кат!$G:$G,0)),INDEX(Торг!$B:$B,MATCH(Прайс!$B218,Торг!$H:$H,0))),"")</f>
        <v/>
      </c>
      <c r="G218" s="67" t="str">
        <f>IFERROR(IFERROR(INDEX(Кат!$B:$B,MATCH(Прайс!$B218,Кат!$G:$G,0)),INDEX(Торг!$C:$C,MATCH(Прайс!$B218,Торг!$H:$H,0))),"")</f>
        <v/>
      </c>
      <c r="H218" s="67" t="str">
        <f>IFERROR(IFERROR(INDEX(Кат!$I:$I,MATCH(Прайс!$B218,Кат!$G:$G,0)),INDEX(Торг!$I:$I,MATCH(Прайс!$B218,Торг!$H:$H,0))),"")</f>
        <v/>
      </c>
    </row>
    <row r="219" spans="1:8" x14ac:dyDescent="0.25">
      <c r="A219" s="94" t="s">
        <v>2543</v>
      </c>
      <c r="B219" s="98">
        <v>20340</v>
      </c>
      <c r="C219" s="98" t="s">
        <v>270</v>
      </c>
      <c r="D219" s="96" t="s">
        <v>190</v>
      </c>
      <c r="E219" s="97">
        <v>210</v>
      </c>
      <c r="F219" s="67" t="str">
        <f>IFERROR(IFERROR(INDEX(Кат!$A:$A,MATCH(Прайс!$B219,Кат!$G:$G,0)),INDEX(Торг!$B:$B,MATCH(Прайс!$B219,Торг!$H:$H,0))),"")</f>
        <v/>
      </c>
      <c r="G219" s="67" t="str">
        <f>IFERROR(IFERROR(INDEX(Кат!$B:$B,MATCH(Прайс!$B219,Кат!$G:$G,0)),INDEX(Торг!$C:$C,MATCH(Прайс!$B219,Торг!$H:$H,0))),"")</f>
        <v/>
      </c>
      <c r="H219" s="67" t="str">
        <f>IFERROR(IFERROR(INDEX(Кат!$I:$I,MATCH(Прайс!$B219,Кат!$G:$G,0)),INDEX(Торг!$I:$I,MATCH(Прайс!$B219,Торг!$H:$H,0))),"")</f>
        <v/>
      </c>
    </row>
    <row r="220" spans="1:8" x14ac:dyDescent="0.25">
      <c r="A220" s="94" t="s">
        <v>2544</v>
      </c>
      <c r="B220" s="98">
        <v>20465</v>
      </c>
      <c r="C220" s="98" t="s">
        <v>272</v>
      </c>
      <c r="D220" s="96" t="s">
        <v>271</v>
      </c>
      <c r="E220" s="97">
        <v>280</v>
      </c>
      <c r="F220" s="67">
        <f>IFERROR(IFERROR(INDEX(Кат!$A:$A,MATCH(Прайс!$B220,Кат!$G:$G,0)),INDEX(Торг!$B:$B,MATCH(Прайс!$B220,Торг!$H:$H,0))),"")</f>
        <v>153002</v>
      </c>
      <c r="G220" s="67">
        <f>IFERROR(IFERROR(INDEX(Кат!$B:$B,MATCH(Прайс!$B220,Кат!$G:$G,0)),INDEX(Торг!$C:$C,MATCH(Прайс!$B220,Торг!$H:$H,0))),"")</f>
        <v>18625</v>
      </c>
      <c r="H220" s="67" t="str">
        <f>IFERROR(IFERROR(INDEX(Кат!$I:$I,MATCH(Прайс!$B220,Кат!$G:$G,0)),INDEX(Торг!$I:$I,MATCH(Прайс!$B220,Торг!$H:$H,0))),"")</f>
        <v>кристал авто</v>
      </c>
    </row>
    <row r="221" spans="1:8" x14ac:dyDescent="0.25">
      <c r="A221" s="94" t="s">
        <v>2545</v>
      </c>
      <c r="B221" s="98">
        <v>20467</v>
      </c>
      <c r="C221" s="98" t="s">
        <v>273</v>
      </c>
      <c r="D221" s="96" t="s">
        <v>271</v>
      </c>
      <c r="E221" s="97">
        <v>280</v>
      </c>
      <c r="F221" s="67">
        <f>IFERROR(IFERROR(INDEX(Кат!$A:$A,MATCH(Прайс!$B221,Кат!$G:$G,0)),INDEX(Торг!$B:$B,MATCH(Прайс!$B221,Торг!$H:$H,0))),"")</f>
        <v>153004</v>
      </c>
      <c r="G221" s="67">
        <f>IFERROR(IFERROR(INDEX(Кат!$B:$B,MATCH(Прайс!$B221,Кат!$G:$G,0)),INDEX(Торг!$C:$C,MATCH(Прайс!$B221,Торг!$H:$H,0))),"")</f>
        <v>18628</v>
      </c>
      <c r="H221" s="67" t="str">
        <f>IFERROR(IFERROR(INDEX(Кат!$I:$I,MATCH(Прайс!$B221,Кат!$G:$G,0)),INDEX(Торг!$I:$I,MATCH(Прайс!$B221,Торг!$H:$H,0))),"")</f>
        <v>кристал авто</v>
      </c>
    </row>
    <row r="222" spans="1:8" x14ac:dyDescent="0.25">
      <c r="A222" s="94" t="s">
        <v>2546</v>
      </c>
      <c r="B222" s="98">
        <v>20472</v>
      </c>
      <c r="C222" s="98" t="s">
        <v>274</v>
      </c>
      <c r="D222" s="96" t="s">
        <v>162</v>
      </c>
      <c r="E222" s="97">
        <v>350</v>
      </c>
      <c r="F222" s="67" t="str">
        <f>IFERROR(IFERROR(INDEX(Кат!$A:$A,MATCH(Прайс!$B222,Кат!$G:$G,0)),INDEX(Торг!$B:$B,MATCH(Прайс!$B222,Торг!$H:$H,0))),"")</f>
        <v/>
      </c>
      <c r="G222" s="67" t="str">
        <f>IFERROR(IFERROR(INDEX(Кат!$B:$B,MATCH(Прайс!$B222,Кат!$G:$G,0)),INDEX(Торг!$C:$C,MATCH(Прайс!$B222,Торг!$H:$H,0))),"")</f>
        <v/>
      </c>
      <c r="H222" s="67" t="str">
        <f>IFERROR(IFERROR(INDEX(Кат!$I:$I,MATCH(Прайс!$B222,Кат!$G:$G,0)),INDEX(Торг!$I:$I,MATCH(Прайс!$B222,Торг!$H:$H,0))),"")</f>
        <v/>
      </c>
    </row>
    <row r="223" spans="1:8" x14ac:dyDescent="0.25">
      <c r="A223" s="103" t="s">
        <v>2547</v>
      </c>
      <c r="B223" s="104">
        <v>20471</v>
      </c>
      <c r="C223" s="104" t="s">
        <v>275</v>
      </c>
      <c r="D223" s="105" t="s">
        <v>162</v>
      </c>
      <c r="E223" s="113">
        <v>350</v>
      </c>
      <c r="F223" s="67" t="str">
        <f>IFERROR(IFERROR(INDEX(Кат!$A:$A,MATCH(Прайс!$B223,Кат!$G:$G,0)),INDEX(Торг!$B:$B,MATCH(Прайс!$B223,Торг!$H:$H,0))),"")</f>
        <v/>
      </c>
      <c r="G223" s="67" t="str">
        <f>IFERROR(IFERROR(INDEX(Кат!$B:$B,MATCH(Прайс!$B223,Кат!$G:$G,0)),INDEX(Торг!$C:$C,MATCH(Прайс!$B223,Торг!$H:$H,0))),"")</f>
        <v/>
      </c>
      <c r="H223" s="67" t="str">
        <f>IFERROR(IFERROR(INDEX(Кат!$I:$I,MATCH(Прайс!$B223,Кат!$G:$G,0)),INDEX(Торг!$I:$I,MATCH(Прайс!$B223,Торг!$H:$H,0))),"")</f>
        <v/>
      </c>
    </row>
    <row r="224" spans="1:8" x14ac:dyDescent="0.25">
      <c r="A224" s="94" t="s">
        <v>2548</v>
      </c>
      <c r="B224" s="98">
        <v>20473</v>
      </c>
      <c r="C224" s="98" t="s">
        <v>276</v>
      </c>
      <c r="D224" s="96" t="s">
        <v>162</v>
      </c>
      <c r="E224" s="97">
        <v>350</v>
      </c>
      <c r="F224" s="67">
        <f>IFERROR(IFERROR(INDEX(Кат!$A:$A,MATCH(Прайс!$B224,Кат!$G:$G,0)),INDEX(Торг!$B:$B,MATCH(Прайс!$B224,Торг!$H:$H,0))),"")</f>
        <v>153003</v>
      </c>
      <c r="G224" s="67">
        <f>IFERROR(IFERROR(INDEX(Кат!$B:$B,MATCH(Прайс!$B224,Кат!$G:$G,0)),INDEX(Торг!$C:$C,MATCH(Прайс!$B224,Торг!$H:$H,0))),"")</f>
        <v>18626</v>
      </c>
      <c r="H224" s="67" t="str">
        <f>IFERROR(IFERROR(INDEX(Кат!$I:$I,MATCH(Прайс!$B224,Кат!$G:$G,0)),INDEX(Торг!$I:$I,MATCH(Прайс!$B224,Торг!$H:$H,0))),"")</f>
        <v>кристал авто</v>
      </c>
    </row>
    <row r="225" spans="1:8" x14ac:dyDescent="0.25">
      <c r="A225" s="94" t="s">
        <v>2549</v>
      </c>
      <c r="B225" s="98">
        <v>20468</v>
      </c>
      <c r="C225" s="98" t="s">
        <v>277</v>
      </c>
      <c r="D225" s="96" t="s">
        <v>161</v>
      </c>
      <c r="E225" s="97">
        <v>200</v>
      </c>
      <c r="F225" s="67" t="str">
        <f>IFERROR(IFERROR(INDEX(Кат!$A:$A,MATCH(Прайс!$B225,Кат!$G:$G,0)),INDEX(Торг!$B:$B,MATCH(Прайс!$B225,Торг!$H:$H,0))),"")</f>
        <v/>
      </c>
      <c r="G225" s="67" t="str">
        <f>IFERROR(IFERROR(INDEX(Кат!$B:$B,MATCH(Прайс!$B225,Кат!$G:$G,0)),INDEX(Торг!$C:$C,MATCH(Прайс!$B225,Торг!$H:$H,0))),"")</f>
        <v/>
      </c>
      <c r="H225" s="67" t="str">
        <f>IFERROR(IFERROR(INDEX(Кат!$I:$I,MATCH(Прайс!$B225,Кат!$G:$G,0)),INDEX(Торг!$I:$I,MATCH(Прайс!$B225,Торг!$H:$H,0))),"")</f>
        <v/>
      </c>
    </row>
    <row r="226" spans="1:8" x14ac:dyDescent="0.25">
      <c r="A226" s="94" t="s">
        <v>2550</v>
      </c>
      <c r="B226" s="98">
        <v>20470</v>
      </c>
      <c r="C226" s="98" t="s">
        <v>278</v>
      </c>
      <c r="D226" s="96" t="s">
        <v>161</v>
      </c>
      <c r="E226" s="97">
        <v>200</v>
      </c>
      <c r="F226" s="67" t="str">
        <f>IFERROR(IFERROR(INDEX(Кат!$A:$A,MATCH(Прайс!$B226,Кат!$G:$G,0)),INDEX(Торг!$B:$B,MATCH(Прайс!$B226,Торг!$H:$H,0))),"")</f>
        <v/>
      </c>
      <c r="G226" s="67" t="str">
        <f>IFERROR(IFERROR(INDEX(Кат!$B:$B,MATCH(Прайс!$B226,Кат!$G:$G,0)),INDEX(Торг!$C:$C,MATCH(Прайс!$B226,Торг!$H:$H,0))),"")</f>
        <v/>
      </c>
      <c r="H226" s="67" t="str">
        <f>IFERROR(IFERROR(INDEX(Кат!$I:$I,MATCH(Прайс!$B226,Кат!$G:$G,0)),INDEX(Торг!$I:$I,MATCH(Прайс!$B226,Торг!$H:$H,0))),"")</f>
        <v/>
      </c>
    </row>
    <row r="227" spans="1:8" x14ac:dyDescent="0.25">
      <c r="A227" s="94" t="s">
        <v>2551</v>
      </c>
      <c r="B227" s="98">
        <v>20469</v>
      </c>
      <c r="C227" s="98" t="s">
        <v>279</v>
      </c>
      <c r="D227" s="96" t="s">
        <v>161</v>
      </c>
      <c r="E227" s="97">
        <v>200</v>
      </c>
      <c r="F227" s="67" t="str">
        <f>IFERROR(IFERROR(INDEX(Кат!$A:$A,MATCH(Прайс!$B227,Кат!$G:$G,0)),INDEX(Торг!$B:$B,MATCH(Прайс!$B227,Торг!$H:$H,0))),"")</f>
        <v/>
      </c>
      <c r="G227" s="67" t="str">
        <f>IFERROR(IFERROR(INDEX(Кат!$B:$B,MATCH(Прайс!$B227,Кат!$G:$G,0)),INDEX(Торг!$C:$C,MATCH(Прайс!$B227,Торг!$H:$H,0))),"")</f>
        <v/>
      </c>
      <c r="H227" s="67" t="str">
        <f>IFERROR(IFERROR(INDEX(Кат!$I:$I,MATCH(Прайс!$B227,Кат!$G:$G,0)),INDEX(Торг!$I:$I,MATCH(Прайс!$B227,Торг!$H:$H,0))),"")</f>
        <v/>
      </c>
    </row>
    <row r="228" spans="1:8" ht="15.75" x14ac:dyDescent="0.25">
      <c r="A228" s="90"/>
      <c r="B228" s="91"/>
      <c r="C228" s="92" t="s">
        <v>280</v>
      </c>
      <c r="D228" s="91"/>
      <c r="E228" s="93"/>
      <c r="F228" s="67" t="str">
        <f>IFERROR(IFERROR(INDEX(Кат!$A:$A,MATCH(Прайс!$B228,Кат!$G:$G,0)),INDEX(Торг!$B:$B,MATCH(Прайс!$B228,Торг!$H:$H,0))),"")</f>
        <v/>
      </c>
      <c r="G228" s="67" t="str">
        <f>IFERROR(IFERROR(INDEX(Кат!$B:$B,MATCH(Прайс!$B228,Кат!$G:$G,0)),INDEX(Торг!$C:$C,MATCH(Прайс!$B228,Торг!$H:$H,0))),"")</f>
        <v/>
      </c>
      <c r="H228" s="67" t="str">
        <f>IFERROR(IFERROR(INDEX(Кат!$I:$I,MATCH(Прайс!$B228,Кат!$G:$G,0)),INDEX(Торг!$I:$I,MATCH(Прайс!$B228,Торг!$H:$H,0))),"")</f>
        <v/>
      </c>
    </row>
    <row r="229" spans="1:8" x14ac:dyDescent="0.25">
      <c r="A229" s="94" t="s">
        <v>2552</v>
      </c>
      <c r="B229" s="98">
        <v>20459</v>
      </c>
      <c r="C229" s="98" t="s">
        <v>281</v>
      </c>
      <c r="D229" s="96" t="s">
        <v>190</v>
      </c>
      <c r="E229" s="97">
        <v>140</v>
      </c>
      <c r="F229" s="67" t="str">
        <f>IFERROR(IFERROR(INDEX(Кат!$A:$A,MATCH(Прайс!$B229,Кат!$G:$G,0)),INDEX(Торг!$B:$B,MATCH(Прайс!$B229,Торг!$H:$H,0))),"")</f>
        <v/>
      </c>
      <c r="G229" s="67" t="str">
        <f>IFERROR(IFERROR(INDEX(Кат!$B:$B,MATCH(Прайс!$B229,Кат!$G:$G,0)),INDEX(Торг!$C:$C,MATCH(Прайс!$B229,Торг!$H:$H,0))),"")</f>
        <v/>
      </c>
      <c r="H229" s="67" t="str">
        <f>IFERROR(IFERROR(INDEX(Кат!$I:$I,MATCH(Прайс!$B229,Кат!$G:$G,0)),INDEX(Торг!$I:$I,MATCH(Прайс!$B229,Торг!$H:$H,0))),"")</f>
        <v/>
      </c>
    </row>
    <row r="230" spans="1:8" x14ac:dyDescent="0.25">
      <c r="A230" s="94" t="s">
        <v>2553</v>
      </c>
      <c r="B230" s="98">
        <v>20310</v>
      </c>
      <c r="C230" s="98" t="s">
        <v>282</v>
      </c>
      <c r="D230" s="96" t="s">
        <v>190</v>
      </c>
      <c r="E230" s="97">
        <v>120</v>
      </c>
      <c r="F230" s="67" t="str">
        <f>IFERROR(IFERROR(INDEX(Кат!$A:$A,MATCH(Прайс!$B230,Кат!$G:$G,0)),INDEX(Торг!$B:$B,MATCH(Прайс!$B230,Торг!$H:$H,0))),"")</f>
        <v/>
      </c>
      <c r="G230" s="67" t="str">
        <f>IFERROR(IFERROR(INDEX(Кат!$B:$B,MATCH(Прайс!$B230,Кат!$G:$G,0)),INDEX(Торг!$C:$C,MATCH(Прайс!$B230,Торг!$H:$H,0))),"")</f>
        <v/>
      </c>
      <c r="H230" s="67" t="str">
        <f>IFERROR(IFERROR(INDEX(Кат!$I:$I,MATCH(Прайс!$B230,Кат!$G:$G,0)),INDEX(Торг!$I:$I,MATCH(Прайс!$B230,Торг!$H:$H,0))),"")</f>
        <v/>
      </c>
    </row>
    <row r="231" spans="1:8" x14ac:dyDescent="0.25">
      <c r="A231" s="94" t="s">
        <v>2554</v>
      </c>
      <c r="B231" s="98">
        <v>20296</v>
      </c>
      <c r="C231" s="98" t="s">
        <v>283</v>
      </c>
      <c r="D231" s="96" t="s">
        <v>284</v>
      </c>
      <c r="E231" s="97">
        <v>120</v>
      </c>
      <c r="F231" s="67" t="str">
        <f>IFERROR(IFERROR(INDEX(Кат!$A:$A,MATCH(Прайс!$B231,Кат!$G:$G,0)),INDEX(Торг!$B:$B,MATCH(Прайс!$B231,Торг!$H:$H,0))),"")</f>
        <v/>
      </c>
      <c r="G231" s="67" t="str">
        <f>IFERROR(IFERROR(INDEX(Кат!$B:$B,MATCH(Прайс!$B231,Кат!$G:$G,0)),INDEX(Торг!$C:$C,MATCH(Прайс!$B231,Торг!$H:$H,0))),"")</f>
        <v/>
      </c>
      <c r="H231" s="67" t="str">
        <f>IFERROR(IFERROR(INDEX(Кат!$I:$I,MATCH(Прайс!$B231,Кат!$G:$G,0)),INDEX(Торг!$I:$I,MATCH(Прайс!$B231,Торг!$H:$H,0))),"")</f>
        <v/>
      </c>
    </row>
    <row r="232" spans="1:8" x14ac:dyDescent="0.25">
      <c r="A232" s="94" t="s">
        <v>2555</v>
      </c>
      <c r="B232" s="98">
        <v>20297</v>
      </c>
      <c r="C232" s="98" t="s">
        <v>285</v>
      </c>
      <c r="D232" s="96" t="s">
        <v>284</v>
      </c>
      <c r="E232" s="97">
        <v>120</v>
      </c>
      <c r="F232" s="67" t="str">
        <f>IFERROR(IFERROR(INDEX(Кат!$A:$A,MATCH(Прайс!$B232,Кат!$G:$G,0)),INDEX(Торг!$B:$B,MATCH(Прайс!$B232,Торг!$H:$H,0))),"")</f>
        <v/>
      </c>
      <c r="G232" s="67" t="str">
        <f>IFERROR(IFERROR(INDEX(Кат!$B:$B,MATCH(Прайс!$B232,Кат!$G:$G,0)),INDEX(Торг!$C:$C,MATCH(Прайс!$B232,Торг!$H:$H,0))),"")</f>
        <v/>
      </c>
      <c r="H232" s="67" t="str">
        <f>IFERROR(IFERROR(INDEX(Кат!$I:$I,MATCH(Прайс!$B232,Кат!$G:$G,0)),INDEX(Торг!$I:$I,MATCH(Прайс!$B232,Торг!$H:$H,0))),"")</f>
        <v/>
      </c>
    </row>
    <row r="233" spans="1:8" x14ac:dyDescent="0.25">
      <c r="A233" s="94" t="s">
        <v>8161</v>
      </c>
      <c r="B233" s="98">
        <v>32526</v>
      </c>
      <c r="C233" s="98" t="s">
        <v>8162</v>
      </c>
      <c r="D233" s="96" t="s">
        <v>190</v>
      </c>
      <c r="E233" s="97">
        <v>160</v>
      </c>
      <c r="F233" s="67" t="str">
        <f>IFERROR(IFERROR(INDEX(Кат!$A:$A,MATCH(Прайс!$B233,Кат!$G:$G,0)),INDEX(Торг!$B:$B,MATCH(Прайс!$B233,Торг!$H:$H,0))),"")</f>
        <v/>
      </c>
      <c r="G233" s="67" t="str">
        <f>IFERROR(IFERROR(INDEX(Кат!$B:$B,MATCH(Прайс!$B233,Кат!$G:$G,0)),INDEX(Торг!$C:$C,MATCH(Прайс!$B233,Торг!$H:$H,0))),"")</f>
        <v/>
      </c>
      <c r="H233" s="67" t="str">
        <f>IFERROR(IFERROR(INDEX(Кат!$I:$I,MATCH(Прайс!$B233,Кат!$G:$G,0)),INDEX(Торг!$I:$I,MATCH(Прайс!$B233,Торг!$H:$H,0))),"")</f>
        <v/>
      </c>
    </row>
    <row r="234" spans="1:8" x14ac:dyDescent="0.25">
      <c r="A234" s="94" t="s">
        <v>2557</v>
      </c>
      <c r="B234" s="98">
        <v>20409</v>
      </c>
      <c r="C234" s="98" t="s">
        <v>6567</v>
      </c>
      <c r="D234" s="96" t="s">
        <v>190</v>
      </c>
      <c r="E234" s="97">
        <v>130</v>
      </c>
      <c r="F234" s="67" t="str">
        <f>IFERROR(IFERROR(INDEX(Кат!$A:$A,MATCH(Прайс!$B234,Кат!$G:$G,0)),INDEX(Торг!$B:$B,MATCH(Прайс!$B234,Торг!$H:$H,0))),"")</f>
        <v/>
      </c>
      <c r="G234" s="67" t="str">
        <f>IFERROR(IFERROR(INDEX(Кат!$B:$B,MATCH(Прайс!$B234,Кат!$G:$G,0)),INDEX(Торг!$C:$C,MATCH(Прайс!$B234,Торг!$H:$H,0))),"")</f>
        <v/>
      </c>
      <c r="H234" s="67" t="str">
        <f>IFERROR(IFERROR(INDEX(Кат!$I:$I,MATCH(Прайс!$B234,Кат!$G:$G,0)),INDEX(Торг!$I:$I,MATCH(Прайс!$B234,Торг!$H:$H,0))),"")</f>
        <v/>
      </c>
    </row>
    <row r="235" spans="1:8" x14ac:dyDescent="0.25">
      <c r="A235" s="94" t="s">
        <v>6568</v>
      </c>
      <c r="B235" s="98">
        <v>32477</v>
      </c>
      <c r="C235" s="98" t="s">
        <v>6569</v>
      </c>
      <c r="D235" s="96" t="s">
        <v>190</v>
      </c>
      <c r="E235" s="97">
        <v>135</v>
      </c>
      <c r="F235" s="67" t="str">
        <f>IFERROR(IFERROR(INDEX(Кат!$A:$A,MATCH(Прайс!$B235,Кат!$G:$G,0)),INDEX(Торг!$B:$B,MATCH(Прайс!$B235,Торг!$H:$H,0))),"")</f>
        <v/>
      </c>
      <c r="G235" s="67" t="str">
        <f>IFERROR(IFERROR(INDEX(Кат!$B:$B,MATCH(Прайс!$B235,Кат!$G:$G,0)),INDEX(Торг!$C:$C,MATCH(Прайс!$B235,Торг!$H:$H,0))),"")</f>
        <v/>
      </c>
      <c r="H235" s="67" t="str">
        <f>IFERROR(IFERROR(INDEX(Кат!$I:$I,MATCH(Прайс!$B235,Кат!$G:$G,0)),INDEX(Торг!$I:$I,MATCH(Прайс!$B235,Торг!$H:$H,0))),"")</f>
        <v/>
      </c>
    </row>
    <row r="236" spans="1:8" x14ac:dyDescent="0.25">
      <c r="A236" s="103" t="s">
        <v>2556</v>
      </c>
      <c r="B236" s="104">
        <v>20451</v>
      </c>
      <c r="C236" s="104" t="s">
        <v>6570</v>
      </c>
      <c r="D236" s="105" t="s">
        <v>190</v>
      </c>
      <c r="E236" s="113">
        <v>310</v>
      </c>
      <c r="F236" s="67" t="str">
        <f>IFERROR(IFERROR(INDEX(Кат!$A:$A,MATCH(Прайс!$B236,Кат!$G:$G,0)),INDEX(Торг!$B:$B,MATCH(Прайс!$B236,Торг!$H:$H,0))),"")</f>
        <v/>
      </c>
      <c r="G236" s="67" t="str">
        <f>IFERROR(IFERROR(INDEX(Кат!$B:$B,MATCH(Прайс!$B236,Кат!$G:$G,0)),INDEX(Торг!$C:$C,MATCH(Прайс!$B236,Торг!$H:$H,0))),"")</f>
        <v/>
      </c>
      <c r="H236" s="67" t="str">
        <f>IFERROR(IFERROR(INDEX(Кат!$I:$I,MATCH(Прайс!$B236,Кат!$G:$G,0)),INDEX(Торг!$I:$I,MATCH(Прайс!$B236,Торг!$H:$H,0))),"")</f>
        <v/>
      </c>
    </row>
    <row r="237" spans="1:8" x14ac:dyDescent="0.25">
      <c r="A237" s="94" t="s">
        <v>6574</v>
      </c>
      <c r="B237" s="98">
        <v>20529</v>
      </c>
      <c r="C237" s="98" t="s">
        <v>7360</v>
      </c>
      <c r="D237" s="96" t="s">
        <v>216</v>
      </c>
      <c r="E237" s="97">
        <v>210</v>
      </c>
      <c r="F237" s="67" t="str">
        <f>IFERROR(IFERROR(INDEX(Кат!$A:$A,MATCH(Прайс!$B237,Кат!$G:$G,0)),INDEX(Торг!$B:$B,MATCH(Прайс!$B237,Торг!$H:$H,0))),"")</f>
        <v/>
      </c>
      <c r="G237" s="67" t="str">
        <f>IFERROR(IFERROR(INDEX(Кат!$B:$B,MATCH(Прайс!$B237,Кат!$G:$G,0)),INDEX(Торг!$C:$C,MATCH(Прайс!$B237,Торг!$H:$H,0))),"")</f>
        <v/>
      </c>
      <c r="H237" s="67" t="str">
        <f>IFERROR(IFERROR(INDEX(Кат!$I:$I,MATCH(Прайс!$B237,Кат!$G:$G,0)),INDEX(Торг!$I:$I,MATCH(Прайс!$B237,Торг!$H:$H,0))),"")</f>
        <v/>
      </c>
    </row>
    <row r="238" spans="1:8" x14ac:dyDescent="0.25">
      <c r="A238" s="103" t="s">
        <v>6572</v>
      </c>
      <c r="B238" s="104">
        <v>20533</v>
      </c>
      <c r="C238" s="104" t="s">
        <v>6573</v>
      </c>
      <c r="D238" s="105" t="s">
        <v>190</v>
      </c>
      <c r="E238" s="113">
        <v>160</v>
      </c>
      <c r="F238" s="67" t="str">
        <f>IFERROR(IFERROR(INDEX(Кат!$A:$A,MATCH(Прайс!$B238,Кат!$G:$G,0)),INDEX(Торг!$B:$B,MATCH(Прайс!$B238,Торг!$H:$H,0))),"")</f>
        <v/>
      </c>
      <c r="G238" s="67" t="str">
        <f>IFERROR(IFERROR(INDEX(Кат!$B:$B,MATCH(Прайс!$B238,Кат!$G:$G,0)),INDEX(Торг!$C:$C,MATCH(Прайс!$B238,Торг!$H:$H,0))),"")</f>
        <v/>
      </c>
      <c r="H238" s="67" t="str">
        <f>IFERROR(IFERROR(INDEX(Кат!$I:$I,MATCH(Прайс!$B238,Кат!$G:$G,0)),INDEX(Торг!$I:$I,MATCH(Прайс!$B238,Торг!$H:$H,0))),"")</f>
        <v/>
      </c>
    </row>
    <row r="239" spans="1:8" x14ac:dyDescent="0.25">
      <c r="A239" s="109" t="s">
        <v>8163</v>
      </c>
      <c r="B239" s="110">
        <v>32537</v>
      </c>
      <c r="C239" s="110" t="s">
        <v>8164</v>
      </c>
      <c r="D239" s="111" t="s">
        <v>162</v>
      </c>
      <c r="E239" s="112">
        <v>150</v>
      </c>
      <c r="F239" s="67" t="str">
        <f>IFERROR(IFERROR(INDEX(Кат!$A:$A,MATCH(Прайс!$B239,Кат!$G:$G,0)),INDEX(Торг!$B:$B,MATCH(Прайс!$B239,Торг!$H:$H,0))),"")</f>
        <v/>
      </c>
      <c r="G239" s="67" t="str">
        <f>IFERROR(IFERROR(INDEX(Кат!$B:$B,MATCH(Прайс!$B239,Кат!$G:$G,0)),INDEX(Торг!$C:$C,MATCH(Прайс!$B239,Торг!$H:$H,0))),"")</f>
        <v/>
      </c>
      <c r="H239" s="67" t="str">
        <f>IFERROR(IFERROR(INDEX(Кат!$I:$I,MATCH(Прайс!$B239,Кат!$G:$G,0)),INDEX(Торг!$I:$I,MATCH(Прайс!$B239,Торг!$H:$H,0))),"")</f>
        <v/>
      </c>
    </row>
    <row r="240" spans="1:8" x14ac:dyDescent="0.25">
      <c r="A240" s="94" t="s">
        <v>7361</v>
      </c>
      <c r="B240" s="98">
        <v>32524</v>
      </c>
      <c r="C240" s="98" t="s">
        <v>7362</v>
      </c>
      <c r="D240" s="96" t="s">
        <v>190</v>
      </c>
      <c r="E240" s="97">
        <v>110</v>
      </c>
      <c r="F240" s="67" t="str">
        <f>IFERROR(IFERROR(INDEX(Кат!$A:$A,MATCH(Прайс!$B240,Кат!$G:$G,0)),INDEX(Торг!$B:$B,MATCH(Прайс!$B240,Торг!$H:$H,0))),"")</f>
        <v/>
      </c>
      <c r="G240" s="67" t="str">
        <f>IFERROR(IFERROR(INDEX(Кат!$B:$B,MATCH(Прайс!$B240,Кат!$G:$G,0)),INDEX(Торг!$C:$C,MATCH(Прайс!$B240,Торг!$H:$H,0))),"")</f>
        <v/>
      </c>
      <c r="H240" s="67" t="str">
        <f>IFERROR(IFERROR(INDEX(Кат!$I:$I,MATCH(Прайс!$B240,Кат!$G:$G,0)),INDEX(Торг!$I:$I,MATCH(Прайс!$B240,Торг!$H:$H,0))),"")</f>
        <v/>
      </c>
    </row>
    <row r="241" spans="1:8" x14ac:dyDescent="0.25">
      <c r="A241" s="94" t="s">
        <v>7363</v>
      </c>
      <c r="B241" s="98">
        <v>20541</v>
      </c>
      <c r="C241" s="98" t="s">
        <v>7364</v>
      </c>
      <c r="D241" s="96" t="s">
        <v>190</v>
      </c>
      <c r="E241" s="97">
        <v>110</v>
      </c>
      <c r="F241" s="67" t="str">
        <f>IFERROR(IFERROR(INDEX(Кат!$A:$A,MATCH(Прайс!$B241,Кат!$G:$G,0)),INDEX(Торг!$B:$B,MATCH(Прайс!$B241,Торг!$H:$H,0))),"")</f>
        <v/>
      </c>
      <c r="G241" s="67" t="str">
        <f>IFERROR(IFERROR(INDEX(Кат!$B:$B,MATCH(Прайс!$B241,Кат!$G:$G,0)),INDEX(Торг!$C:$C,MATCH(Прайс!$B241,Торг!$H:$H,0))),"")</f>
        <v/>
      </c>
      <c r="H241" s="67" t="str">
        <f>IFERROR(IFERROR(INDEX(Кат!$I:$I,MATCH(Прайс!$B241,Кат!$G:$G,0)),INDEX(Торг!$I:$I,MATCH(Прайс!$B241,Торг!$H:$H,0))),"")</f>
        <v/>
      </c>
    </row>
    <row r="242" spans="1:8" x14ac:dyDescent="0.25">
      <c r="A242" s="94" t="s">
        <v>5687</v>
      </c>
      <c r="B242" s="98">
        <v>32446</v>
      </c>
      <c r="C242" s="98" t="s">
        <v>7365</v>
      </c>
      <c r="D242" s="96" t="s">
        <v>582</v>
      </c>
      <c r="E242" s="97">
        <v>180</v>
      </c>
      <c r="F242" s="67" t="str">
        <f>IFERROR(IFERROR(INDEX(Кат!$A:$A,MATCH(Прайс!$B242,Кат!$G:$G,0)),INDEX(Торг!$B:$B,MATCH(Прайс!$B242,Торг!$H:$H,0))),"")</f>
        <v/>
      </c>
      <c r="G242" s="67" t="str">
        <f>IFERROR(IFERROR(INDEX(Кат!$B:$B,MATCH(Прайс!$B242,Кат!$G:$G,0)),INDEX(Торг!$C:$C,MATCH(Прайс!$B242,Торг!$H:$H,0))),"")</f>
        <v/>
      </c>
      <c r="H242" s="67" t="str">
        <f>IFERROR(IFERROR(INDEX(Кат!$I:$I,MATCH(Прайс!$B242,Кат!$G:$G,0)),INDEX(Торг!$I:$I,MATCH(Прайс!$B242,Торг!$H:$H,0))),"")</f>
        <v/>
      </c>
    </row>
    <row r="243" spans="1:8" x14ac:dyDescent="0.25">
      <c r="A243" s="94" t="s">
        <v>6571</v>
      </c>
      <c r="B243" s="98">
        <v>20534</v>
      </c>
      <c r="C243" s="98" t="s">
        <v>7366</v>
      </c>
      <c r="D243" s="96" t="s">
        <v>7367</v>
      </c>
      <c r="E243" s="97">
        <v>250</v>
      </c>
      <c r="F243" s="67" t="str">
        <f>IFERROR(IFERROR(INDEX(Кат!$A:$A,MATCH(Прайс!$B243,Кат!$G:$G,0)),INDEX(Торг!$B:$B,MATCH(Прайс!$B243,Торг!$H:$H,0))),"")</f>
        <v/>
      </c>
      <c r="G243" s="67" t="str">
        <f>IFERROR(IFERROR(INDEX(Кат!$B:$B,MATCH(Прайс!$B243,Кат!$G:$G,0)),INDEX(Торг!$C:$C,MATCH(Прайс!$B243,Торг!$H:$H,0))),"")</f>
        <v/>
      </c>
      <c r="H243" s="67" t="str">
        <f>IFERROR(IFERROR(INDEX(Кат!$I:$I,MATCH(Прайс!$B243,Кат!$G:$G,0)),INDEX(Торг!$I:$I,MATCH(Прайс!$B243,Торг!$H:$H,0))),"")</f>
        <v/>
      </c>
    </row>
    <row r="244" spans="1:8" x14ac:dyDescent="0.25">
      <c r="A244" s="94" t="s">
        <v>7368</v>
      </c>
      <c r="B244" s="98">
        <v>32525</v>
      </c>
      <c r="C244" s="98" t="s">
        <v>7369</v>
      </c>
      <c r="D244" s="96" t="s">
        <v>190</v>
      </c>
      <c r="E244" s="97">
        <v>210</v>
      </c>
      <c r="F244" s="67" t="str">
        <f>IFERROR(IFERROR(INDEX(Кат!$A:$A,MATCH(Прайс!$B244,Кат!$G:$G,0)),INDEX(Торг!$B:$B,MATCH(Прайс!$B244,Торг!$H:$H,0))),"")</f>
        <v/>
      </c>
      <c r="G244" s="67" t="str">
        <f>IFERROR(IFERROR(INDEX(Кат!$B:$B,MATCH(Прайс!$B244,Кат!$G:$G,0)),INDEX(Торг!$C:$C,MATCH(Прайс!$B244,Торг!$H:$H,0))),"")</f>
        <v/>
      </c>
      <c r="H244" s="67" t="str">
        <f>IFERROR(IFERROR(INDEX(Кат!$I:$I,MATCH(Прайс!$B244,Кат!$G:$G,0)),INDEX(Торг!$I:$I,MATCH(Прайс!$B244,Торг!$H:$H,0))),"")</f>
        <v/>
      </c>
    </row>
    <row r="245" spans="1:8" x14ac:dyDescent="0.25">
      <c r="A245" s="94" t="s">
        <v>5704</v>
      </c>
      <c r="B245" s="98">
        <v>32451</v>
      </c>
      <c r="C245" s="98" t="s">
        <v>7370</v>
      </c>
      <c r="D245" s="96" t="s">
        <v>190</v>
      </c>
      <c r="E245" s="97">
        <v>140</v>
      </c>
      <c r="F245" s="67" t="str">
        <f>IFERROR(IFERROR(INDEX(Кат!$A:$A,MATCH(Прайс!$B245,Кат!$G:$G,0)),INDEX(Торг!$B:$B,MATCH(Прайс!$B245,Торг!$H:$H,0))),"")</f>
        <v/>
      </c>
      <c r="G245" s="67" t="str">
        <f>IFERROR(IFERROR(INDEX(Кат!$B:$B,MATCH(Прайс!$B245,Кат!$G:$G,0)),INDEX(Торг!$C:$C,MATCH(Прайс!$B245,Торг!$H:$H,0))),"")</f>
        <v/>
      </c>
      <c r="H245" s="67" t="str">
        <f>IFERROR(IFERROR(INDEX(Кат!$I:$I,MATCH(Прайс!$B245,Кат!$G:$G,0)),INDEX(Торг!$I:$I,MATCH(Прайс!$B245,Торг!$H:$H,0))),"")</f>
        <v/>
      </c>
    </row>
    <row r="246" spans="1:8" x14ac:dyDescent="0.25">
      <c r="A246" s="94" t="s">
        <v>5705</v>
      </c>
      <c r="B246" s="98">
        <v>32452</v>
      </c>
      <c r="C246" s="98" t="s">
        <v>7371</v>
      </c>
      <c r="D246" s="96" t="s">
        <v>190</v>
      </c>
      <c r="E246" s="97">
        <v>140</v>
      </c>
      <c r="F246" s="67" t="str">
        <f>IFERROR(IFERROR(INDEX(Кат!$A:$A,MATCH(Прайс!$B246,Кат!$G:$G,0)),INDEX(Торг!$B:$B,MATCH(Прайс!$B246,Торг!$H:$H,0))),"")</f>
        <v/>
      </c>
      <c r="G246" s="67" t="str">
        <f>IFERROR(IFERROR(INDEX(Кат!$B:$B,MATCH(Прайс!$B246,Кат!$G:$G,0)),INDEX(Торг!$C:$C,MATCH(Прайс!$B246,Торг!$H:$H,0))),"")</f>
        <v/>
      </c>
      <c r="H246" s="67" t="str">
        <f>IFERROR(IFERROR(INDEX(Кат!$I:$I,MATCH(Прайс!$B246,Кат!$G:$G,0)),INDEX(Торг!$I:$I,MATCH(Прайс!$B246,Торг!$H:$H,0))),"")</f>
        <v/>
      </c>
    </row>
    <row r="247" spans="1:8" x14ac:dyDescent="0.25">
      <c r="A247" s="94" t="s">
        <v>6575</v>
      </c>
      <c r="B247" s="98">
        <v>20528</v>
      </c>
      <c r="C247" s="98" t="s">
        <v>6576</v>
      </c>
      <c r="D247" s="96" t="s">
        <v>1717</v>
      </c>
      <c r="E247" s="97">
        <v>180</v>
      </c>
      <c r="F247" s="67" t="str">
        <f>IFERROR(IFERROR(INDEX(Кат!$A:$A,MATCH(Прайс!$B247,Кат!$G:$G,0)),INDEX(Торг!$B:$B,MATCH(Прайс!$B247,Торг!$H:$H,0))),"")</f>
        <v/>
      </c>
      <c r="G247" s="67" t="str">
        <f>IFERROR(IFERROR(INDEX(Кат!$B:$B,MATCH(Прайс!$B247,Кат!$G:$G,0)),INDEX(Торг!$C:$C,MATCH(Прайс!$B247,Торг!$H:$H,0))),"")</f>
        <v/>
      </c>
      <c r="H247" s="67" t="str">
        <f>IFERROR(IFERROR(INDEX(Кат!$I:$I,MATCH(Прайс!$B247,Кат!$G:$G,0)),INDEX(Торг!$I:$I,MATCH(Прайс!$B247,Торг!$H:$H,0))),"")</f>
        <v/>
      </c>
    </row>
    <row r="248" spans="1:8" x14ac:dyDescent="0.25">
      <c r="A248" s="103" t="s">
        <v>5688</v>
      </c>
      <c r="B248" s="104">
        <v>32448</v>
      </c>
      <c r="C248" s="104" t="s">
        <v>5689</v>
      </c>
      <c r="D248" s="105" t="s">
        <v>190</v>
      </c>
      <c r="E248" s="113">
        <v>150</v>
      </c>
      <c r="F248" s="67" t="str">
        <f>IFERROR(IFERROR(INDEX(Кат!$A:$A,MATCH(Прайс!$B248,Кат!$G:$G,0)),INDEX(Торг!$B:$B,MATCH(Прайс!$B248,Торг!$H:$H,0))),"")</f>
        <v/>
      </c>
      <c r="G248" s="67" t="str">
        <f>IFERROR(IFERROR(INDEX(Кат!$B:$B,MATCH(Прайс!$B248,Кат!$G:$G,0)),INDEX(Торг!$C:$C,MATCH(Прайс!$B248,Торг!$H:$H,0))),"")</f>
        <v/>
      </c>
      <c r="H248" s="67" t="str">
        <f>IFERROR(IFERROR(INDEX(Кат!$I:$I,MATCH(Прайс!$B248,Кат!$G:$G,0)),INDEX(Торг!$I:$I,MATCH(Прайс!$B248,Торг!$H:$H,0))),"")</f>
        <v/>
      </c>
    </row>
    <row r="249" spans="1:8" x14ac:dyDescent="0.25">
      <c r="A249" s="94" t="s">
        <v>2567</v>
      </c>
      <c r="B249" s="98">
        <v>20414</v>
      </c>
      <c r="C249" s="98" t="s">
        <v>5690</v>
      </c>
      <c r="D249" s="96" t="s">
        <v>190</v>
      </c>
      <c r="E249" s="97">
        <v>130</v>
      </c>
      <c r="F249" s="67" t="str">
        <f>IFERROR(IFERROR(INDEX(Кат!$A:$A,MATCH(Прайс!$B249,Кат!$G:$G,0)),INDEX(Торг!$B:$B,MATCH(Прайс!$B249,Торг!$H:$H,0))),"")</f>
        <v/>
      </c>
      <c r="G249" s="67" t="str">
        <f>IFERROR(IFERROR(INDEX(Кат!$B:$B,MATCH(Прайс!$B249,Кат!$G:$G,0)),INDEX(Торг!$C:$C,MATCH(Прайс!$B249,Торг!$H:$H,0))),"")</f>
        <v/>
      </c>
      <c r="H249" s="67" t="str">
        <f>IFERROR(IFERROR(INDEX(Кат!$I:$I,MATCH(Прайс!$B249,Кат!$G:$G,0)),INDEX(Торг!$I:$I,MATCH(Прайс!$B249,Торг!$H:$H,0))),"")</f>
        <v/>
      </c>
    </row>
    <row r="250" spans="1:8" x14ac:dyDescent="0.25">
      <c r="A250" s="103" t="s">
        <v>2568</v>
      </c>
      <c r="B250" s="104">
        <v>20238</v>
      </c>
      <c r="C250" s="104" t="s">
        <v>5691</v>
      </c>
      <c r="D250" s="105" t="s">
        <v>190</v>
      </c>
      <c r="E250" s="113">
        <v>80</v>
      </c>
      <c r="F250" s="67" t="str">
        <f>IFERROR(IFERROR(INDEX(Кат!$A:$A,MATCH(Прайс!$B250,Кат!$G:$G,0)),INDEX(Торг!$B:$B,MATCH(Прайс!$B250,Торг!$H:$H,0))),"")</f>
        <v/>
      </c>
      <c r="G250" s="67" t="str">
        <f>IFERROR(IFERROR(INDEX(Кат!$B:$B,MATCH(Прайс!$B250,Кат!$G:$G,0)),INDEX(Торг!$C:$C,MATCH(Прайс!$B250,Торг!$H:$H,0))),"")</f>
        <v/>
      </c>
      <c r="H250" s="67" t="str">
        <f>IFERROR(IFERROR(INDEX(Кат!$I:$I,MATCH(Прайс!$B250,Кат!$G:$G,0)),INDEX(Торг!$I:$I,MATCH(Прайс!$B250,Торг!$H:$H,0))),"")</f>
        <v/>
      </c>
    </row>
    <row r="251" spans="1:8" x14ac:dyDescent="0.25">
      <c r="A251" s="103" t="s">
        <v>2569</v>
      </c>
      <c r="B251" s="104">
        <v>20303</v>
      </c>
      <c r="C251" s="104" t="s">
        <v>5692</v>
      </c>
      <c r="D251" s="105" t="s">
        <v>190</v>
      </c>
      <c r="E251" s="113">
        <v>60</v>
      </c>
      <c r="F251" s="67" t="str">
        <f>IFERROR(IFERROR(INDEX(Кат!$A:$A,MATCH(Прайс!$B251,Кат!$G:$G,0)),INDEX(Торг!$B:$B,MATCH(Прайс!$B251,Торг!$H:$H,0))),"")</f>
        <v/>
      </c>
      <c r="G251" s="67" t="str">
        <f>IFERROR(IFERROR(INDEX(Кат!$B:$B,MATCH(Прайс!$B251,Кат!$G:$G,0)),INDEX(Торг!$C:$C,MATCH(Прайс!$B251,Торг!$H:$H,0))),"")</f>
        <v/>
      </c>
      <c r="H251" s="67" t="str">
        <f>IFERROR(IFERROR(INDEX(Кат!$I:$I,MATCH(Прайс!$B251,Кат!$G:$G,0)),INDEX(Торг!$I:$I,MATCH(Прайс!$B251,Торг!$H:$H,0))),"")</f>
        <v/>
      </c>
    </row>
    <row r="252" spans="1:8" x14ac:dyDescent="0.25">
      <c r="A252" s="94" t="s">
        <v>6577</v>
      </c>
      <c r="B252" s="98">
        <v>20367</v>
      </c>
      <c r="C252" s="98" t="s">
        <v>7372</v>
      </c>
      <c r="D252" s="96" t="s">
        <v>190</v>
      </c>
      <c r="E252" s="97">
        <v>140</v>
      </c>
      <c r="F252" s="67" t="str">
        <f>IFERROR(IFERROR(INDEX(Кат!$A:$A,MATCH(Прайс!$B252,Кат!$G:$G,0)),INDEX(Торг!$B:$B,MATCH(Прайс!$B252,Торг!$H:$H,0))),"")</f>
        <v/>
      </c>
      <c r="G252" s="67" t="str">
        <f>IFERROR(IFERROR(INDEX(Кат!$B:$B,MATCH(Прайс!$B252,Кат!$G:$G,0)),INDEX(Торг!$C:$C,MATCH(Прайс!$B252,Торг!$H:$H,0))),"")</f>
        <v/>
      </c>
      <c r="H252" s="67" t="str">
        <f>IFERROR(IFERROR(INDEX(Кат!$I:$I,MATCH(Прайс!$B252,Кат!$G:$G,0)),INDEX(Торг!$I:$I,MATCH(Прайс!$B252,Торг!$H:$H,0))),"")</f>
        <v/>
      </c>
    </row>
    <row r="253" spans="1:8" x14ac:dyDescent="0.25">
      <c r="A253" s="94" t="s">
        <v>2562</v>
      </c>
      <c r="B253" s="98">
        <v>20423</v>
      </c>
      <c r="C253" s="98" t="s">
        <v>5693</v>
      </c>
      <c r="D253" s="96" t="s">
        <v>190</v>
      </c>
      <c r="E253" s="97">
        <v>120</v>
      </c>
      <c r="F253" s="67" t="str">
        <f>IFERROR(IFERROR(INDEX(Кат!$A:$A,MATCH(Прайс!$B253,Кат!$G:$G,0)),INDEX(Торг!$B:$B,MATCH(Прайс!$B253,Торг!$H:$H,0))),"")</f>
        <v/>
      </c>
      <c r="G253" s="67" t="str">
        <f>IFERROR(IFERROR(INDEX(Кат!$B:$B,MATCH(Прайс!$B253,Кат!$G:$G,0)),INDEX(Торг!$C:$C,MATCH(Прайс!$B253,Торг!$H:$H,0))),"")</f>
        <v/>
      </c>
      <c r="H253" s="67" t="str">
        <f>IFERROR(IFERROR(INDEX(Кат!$I:$I,MATCH(Прайс!$B253,Кат!$G:$G,0)),INDEX(Торг!$I:$I,MATCH(Прайс!$B253,Торг!$H:$H,0))),"")</f>
        <v/>
      </c>
    </row>
    <row r="254" spans="1:8" x14ac:dyDescent="0.25">
      <c r="A254" s="94" t="s">
        <v>7373</v>
      </c>
      <c r="B254" s="98">
        <v>20420</v>
      </c>
      <c r="C254" s="98" t="s">
        <v>7374</v>
      </c>
      <c r="D254" s="96" t="s">
        <v>1285</v>
      </c>
      <c r="E254" s="97">
        <v>100</v>
      </c>
      <c r="F254" s="67" t="str">
        <f>IFERROR(IFERROR(INDEX(Кат!$A:$A,MATCH(Прайс!$B254,Кат!$G:$G,0)),INDEX(Торг!$B:$B,MATCH(Прайс!$B254,Торг!$H:$H,0))),"")</f>
        <v/>
      </c>
      <c r="G254" s="67" t="str">
        <f>IFERROR(IFERROR(INDEX(Кат!$B:$B,MATCH(Прайс!$B254,Кат!$G:$G,0)),INDEX(Торг!$C:$C,MATCH(Прайс!$B254,Торг!$H:$H,0))),"")</f>
        <v/>
      </c>
      <c r="H254" s="67" t="str">
        <f>IFERROR(IFERROR(INDEX(Кат!$I:$I,MATCH(Прайс!$B254,Кат!$G:$G,0)),INDEX(Торг!$I:$I,MATCH(Прайс!$B254,Торг!$H:$H,0))),"")</f>
        <v/>
      </c>
    </row>
    <row r="255" spans="1:8" x14ac:dyDescent="0.25">
      <c r="A255" s="103" t="s">
        <v>6578</v>
      </c>
      <c r="B255" s="104">
        <v>32476</v>
      </c>
      <c r="C255" s="104" t="s">
        <v>6579</v>
      </c>
      <c r="D255" s="105" t="s">
        <v>190</v>
      </c>
      <c r="E255" s="113">
        <v>300</v>
      </c>
      <c r="F255" s="67" t="str">
        <f>IFERROR(IFERROR(INDEX(Кат!$A:$A,MATCH(Прайс!$B255,Кат!$G:$G,0)),INDEX(Торг!$B:$B,MATCH(Прайс!$B255,Торг!$H:$H,0))),"")</f>
        <v/>
      </c>
      <c r="G255" s="67" t="str">
        <f>IFERROR(IFERROR(INDEX(Кат!$B:$B,MATCH(Прайс!$B255,Кат!$G:$G,0)),INDEX(Торг!$C:$C,MATCH(Прайс!$B255,Торг!$H:$H,0))),"")</f>
        <v/>
      </c>
      <c r="H255" s="67" t="str">
        <f>IFERROR(IFERROR(INDEX(Кат!$I:$I,MATCH(Прайс!$B255,Кат!$G:$G,0)),INDEX(Торг!$I:$I,MATCH(Прайс!$B255,Торг!$H:$H,0))),"")</f>
        <v/>
      </c>
    </row>
    <row r="256" spans="1:8" x14ac:dyDescent="0.25">
      <c r="A256" s="103" t="s">
        <v>4991</v>
      </c>
      <c r="B256" s="104">
        <v>32432</v>
      </c>
      <c r="C256" s="104" t="s">
        <v>5694</v>
      </c>
      <c r="D256" s="105" t="s">
        <v>4992</v>
      </c>
      <c r="E256" s="113">
        <v>165</v>
      </c>
      <c r="F256" s="67" t="str">
        <f>IFERROR(IFERROR(INDEX(Кат!$A:$A,MATCH(Прайс!$B256,Кат!$G:$G,0)),INDEX(Торг!$B:$B,MATCH(Прайс!$B256,Торг!$H:$H,0))),"")</f>
        <v/>
      </c>
      <c r="G256" s="67" t="str">
        <f>IFERROR(IFERROR(INDEX(Кат!$B:$B,MATCH(Прайс!$B256,Кат!$G:$G,0)),INDEX(Торг!$C:$C,MATCH(Прайс!$B256,Торг!$H:$H,0))),"")</f>
        <v/>
      </c>
      <c r="H256" s="67" t="str">
        <f>IFERROR(IFERROR(INDEX(Кат!$I:$I,MATCH(Прайс!$B256,Кат!$G:$G,0)),INDEX(Торг!$I:$I,MATCH(Прайс!$B256,Торг!$H:$H,0))),"")</f>
        <v/>
      </c>
    </row>
    <row r="257" spans="1:8" x14ac:dyDescent="0.25">
      <c r="A257" s="94" t="s">
        <v>2566</v>
      </c>
      <c r="B257" s="98">
        <v>20442</v>
      </c>
      <c r="C257" s="98" t="s">
        <v>5695</v>
      </c>
      <c r="D257" s="96" t="s">
        <v>190</v>
      </c>
      <c r="E257" s="97">
        <v>270</v>
      </c>
      <c r="F257" s="67" t="str">
        <f>IFERROR(IFERROR(INDEX(Кат!$A:$A,MATCH(Прайс!$B257,Кат!$G:$G,0)),INDEX(Торг!$B:$B,MATCH(Прайс!$B257,Торг!$H:$H,0))),"")</f>
        <v/>
      </c>
      <c r="G257" s="67" t="str">
        <f>IFERROR(IFERROR(INDEX(Кат!$B:$B,MATCH(Прайс!$B257,Кат!$G:$G,0)),INDEX(Торг!$C:$C,MATCH(Прайс!$B257,Торг!$H:$H,0))),"")</f>
        <v/>
      </c>
      <c r="H257" s="67" t="str">
        <f>IFERROR(IFERROR(INDEX(Кат!$I:$I,MATCH(Прайс!$B257,Кат!$G:$G,0)),INDEX(Торг!$I:$I,MATCH(Прайс!$B257,Торг!$H:$H,0))),"")</f>
        <v/>
      </c>
    </row>
    <row r="258" spans="1:8" x14ac:dyDescent="0.25">
      <c r="A258" s="94" t="s">
        <v>4993</v>
      </c>
      <c r="B258" s="98">
        <v>32434</v>
      </c>
      <c r="C258" s="98" t="s">
        <v>5696</v>
      </c>
      <c r="D258" s="96" t="s">
        <v>190</v>
      </c>
      <c r="E258" s="97">
        <v>230</v>
      </c>
      <c r="F258" s="67" t="str">
        <f>IFERROR(IFERROR(INDEX(Кат!$A:$A,MATCH(Прайс!$B258,Кат!$G:$G,0)),INDEX(Торг!$B:$B,MATCH(Прайс!$B258,Торг!$H:$H,0))),"")</f>
        <v/>
      </c>
      <c r="G258" s="67" t="str">
        <f>IFERROR(IFERROR(INDEX(Кат!$B:$B,MATCH(Прайс!$B258,Кат!$G:$G,0)),INDEX(Торг!$C:$C,MATCH(Прайс!$B258,Торг!$H:$H,0))),"")</f>
        <v/>
      </c>
      <c r="H258" s="67" t="str">
        <f>IFERROR(IFERROR(INDEX(Кат!$I:$I,MATCH(Прайс!$B258,Кат!$G:$G,0)),INDEX(Торг!$I:$I,MATCH(Прайс!$B258,Торг!$H:$H,0))),"")</f>
        <v/>
      </c>
    </row>
    <row r="259" spans="1:8" x14ac:dyDescent="0.25">
      <c r="A259" s="103" t="s">
        <v>6580</v>
      </c>
      <c r="B259" s="104">
        <v>32471</v>
      </c>
      <c r="C259" s="104" t="s">
        <v>6581</v>
      </c>
      <c r="D259" s="105" t="s">
        <v>190</v>
      </c>
      <c r="E259" s="113">
        <v>100</v>
      </c>
      <c r="F259" s="67" t="str">
        <f>IFERROR(IFERROR(INDEX(Кат!$A:$A,MATCH(Прайс!$B259,Кат!$G:$G,0)),INDEX(Торг!$B:$B,MATCH(Прайс!$B259,Торг!$H:$H,0))),"")</f>
        <v/>
      </c>
      <c r="G259" s="67" t="str">
        <f>IFERROR(IFERROR(INDEX(Кат!$B:$B,MATCH(Прайс!$B259,Кат!$G:$G,0)),INDEX(Торг!$C:$C,MATCH(Прайс!$B259,Торг!$H:$H,0))),"")</f>
        <v/>
      </c>
      <c r="H259" s="67" t="str">
        <f>IFERROR(IFERROR(INDEX(Кат!$I:$I,MATCH(Прайс!$B259,Кат!$G:$G,0)),INDEX(Торг!$I:$I,MATCH(Прайс!$B259,Торг!$H:$H,0))),"")</f>
        <v/>
      </c>
    </row>
    <row r="260" spans="1:8" x14ac:dyDescent="0.25">
      <c r="A260" s="103" t="s">
        <v>6582</v>
      </c>
      <c r="B260" s="104">
        <v>32470</v>
      </c>
      <c r="C260" s="104" t="s">
        <v>6583</v>
      </c>
      <c r="D260" s="105" t="s">
        <v>190</v>
      </c>
      <c r="E260" s="113">
        <v>100</v>
      </c>
      <c r="F260" s="67" t="str">
        <f>IFERROR(IFERROR(INDEX(Кат!$A:$A,MATCH(Прайс!$B260,Кат!$G:$G,0)),INDEX(Торг!$B:$B,MATCH(Прайс!$B260,Торг!$H:$H,0))),"")</f>
        <v/>
      </c>
      <c r="G260" s="67" t="str">
        <f>IFERROR(IFERROR(INDEX(Кат!$B:$B,MATCH(Прайс!$B260,Кат!$G:$G,0)),INDEX(Торг!$C:$C,MATCH(Прайс!$B260,Торг!$H:$H,0))),"")</f>
        <v/>
      </c>
      <c r="H260" s="67" t="str">
        <f>IFERROR(IFERROR(INDEX(Кат!$I:$I,MATCH(Прайс!$B260,Кат!$G:$G,0)),INDEX(Торг!$I:$I,MATCH(Прайс!$B260,Торг!$H:$H,0))),"")</f>
        <v/>
      </c>
    </row>
    <row r="261" spans="1:8" x14ac:dyDescent="0.25">
      <c r="A261" s="94" t="s">
        <v>6089</v>
      </c>
      <c r="B261" s="98">
        <v>20510</v>
      </c>
      <c r="C261" s="98" t="s">
        <v>6090</v>
      </c>
      <c r="D261" s="96" t="s">
        <v>190</v>
      </c>
      <c r="E261" s="97">
        <v>140</v>
      </c>
      <c r="F261" s="67" t="str">
        <f>IFERROR(IFERROR(INDEX(Кат!$A:$A,MATCH(Прайс!$B261,Кат!$G:$G,0)),INDEX(Торг!$B:$B,MATCH(Прайс!$B261,Торг!$H:$H,0))),"")</f>
        <v/>
      </c>
      <c r="G261" s="67" t="str">
        <f>IFERROR(IFERROR(INDEX(Кат!$B:$B,MATCH(Прайс!$B261,Кат!$G:$G,0)),INDEX(Торг!$C:$C,MATCH(Прайс!$B261,Торг!$H:$H,0))),"")</f>
        <v/>
      </c>
      <c r="H261" s="67" t="str">
        <f>IFERROR(IFERROR(INDEX(Кат!$I:$I,MATCH(Прайс!$B261,Кат!$G:$G,0)),INDEX(Торг!$I:$I,MATCH(Прайс!$B261,Торг!$H:$H,0))),"")</f>
        <v/>
      </c>
    </row>
    <row r="262" spans="1:8" x14ac:dyDescent="0.25">
      <c r="A262" s="94" t="s">
        <v>4987</v>
      </c>
      <c r="B262" s="98">
        <v>20516</v>
      </c>
      <c r="C262" s="98" t="s">
        <v>4988</v>
      </c>
      <c r="D262" s="96" t="s">
        <v>190</v>
      </c>
      <c r="E262" s="97">
        <v>160</v>
      </c>
      <c r="F262" s="67" t="str">
        <f>IFERROR(IFERROR(INDEX(Кат!$A:$A,MATCH(Прайс!$B262,Кат!$G:$G,0)),INDEX(Торг!$B:$B,MATCH(Прайс!$B262,Торг!$H:$H,0))),"")</f>
        <v/>
      </c>
      <c r="G262" s="67" t="str">
        <f>IFERROR(IFERROR(INDEX(Кат!$B:$B,MATCH(Прайс!$B262,Кат!$G:$G,0)),INDEX(Торг!$C:$C,MATCH(Прайс!$B262,Торг!$H:$H,0))),"")</f>
        <v/>
      </c>
      <c r="H262" s="67" t="str">
        <f>IFERROR(IFERROR(INDEX(Кат!$I:$I,MATCH(Прайс!$B262,Кат!$G:$G,0)),INDEX(Торг!$I:$I,MATCH(Прайс!$B262,Торг!$H:$H,0))),"")</f>
        <v/>
      </c>
    </row>
    <row r="263" spans="1:8" x14ac:dyDescent="0.25">
      <c r="A263" s="94" t="s">
        <v>5697</v>
      </c>
      <c r="B263" s="98">
        <v>32447</v>
      </c>
      <c r="C263" s="98" t="s">
        <v>7375</v>
      </c>
      <c r="D263" s="96" t="s">
        <v>190</v>
      </c>
      <c r="E263" s="97">
        <v>110</v>
      </c>
      <c r="F263" s="67" t="str">
        <f>IFERROR(IFERROR(INDEX(Кат!$A:$A,MATCH(Прайс!$B263,Кат!$G:$G,0)),INDEX(Торг!$B:$B,MATCH(Прайс!$B263,Торг!$H:$H,0))),"")</f>
        <v/>
      </c>
      <c r="G263" s="67" t="str">
        <f>IFERROR(IFERROR(INDEX(Кат!$B:$B,MATCH(Прайс!$B263,Кат!$G:$G,0)),INDEX(Торг!$C:$C,MATCH(Прайс!$B263,Торг!$H:$H,0))),"")</f>
        <v/>
      </c>
      <c r="H263" s="67" t="str">
        <f>IFERROR(IFERROR(INDEX(Кат!$I:$I,MATCH(Прайс!$B263,Кат!$G:$G,0)),INDEX(Торг!$I:$I,MATCH(Прайс!$B263,Торг!$H:$H,0))),"")</f>
        <v/>
      </c>
    </row>
    <row r="264" spans="1:8" x14ac:dyDescent="0.25">
      <c r="A264" s="94" t="s">
        <v>6584</v>
      </c>
      <c r="B264" s="98">
        <v>20527</v>
      </c>
      <c r="C264" s="98" t="s">
        <v>6585</v>
      </c>
      <c r="D264" s="96" t="s">
        <v>190</v>
      </c>
      <c r="E264" s="97">
        <v>190</v>
      </c>
      <c r="F264" s="67" t="str">
        <f>IFERROR(IFERROR(INDEX(Кат!$A:$A,MATCH(Прайс!$B264,Кат!$G:$G,0)),INDEX(Торг!$B:$B,MATCH(Прайс!$B264,Торг!$H:$H,0))),"")</f>
        <v/>
      </c>
      <c r="G264" s="67" t="str">
        <f>IFERROR(IFERROR(INDEX(Кат!$B:$B,MATCH(Прайс!$B264,Кат!$G:$G,0)),INDEX(Торг!$C:$C,MATCH(Прайс!$B264,Торг!$H:$H,0))),"")</f>
        <v/>
      </c>
      <c r="H264" s="67" t="str">
        <f>IFERROR(IFERROR(INDEX(Кат!$I:$I,MATCH(Прайс!$B264,Кат!$G:$G,0)),INDEX(Торг!$I:$I,MATCH(Прайс!$B264,Торг!$H:$H,0))),"")</f>
        <v/>
      </c>
    </row>
    <row r="265" spans="1:8" x14ac:dyDescent="0.25">
      <c r="A265" s="103" t="s">
        <v>5698</v>
      </c>
      <c r="B265" s="104">
        <v>32445</v>
      </c>
      <c r="C265" s="104" t="s">
        <v>5699</v>
      </c>
      <c r="D265" s="105" t="s">
        <v>190</v>
      </c>
      <c r="E265" s="113">
        <v>150</v>
      </c>
      <c r="F265" s="67" t="str">
        <f>IFERROR(IFERROR(INDEX(Кат!$A:$A,MATCH(Прайс!$B265,Кат!$G:$G,0)),INDEX(Торг!$B:$B,MATCH(Прайс!$B265,Торг!$H:$H,0))),"")</f>
        <v/>
      </c>
      <c r="G265" s="67" t="str">
        <f>IFERROR(IFERROR(INDEX(Кат!$B:$B,MATCH(Прайс!$B265,Кат!$G:$G,0)),INDEX(Торг!$C:$C,MATCH(Прайс!$B265,Торг!$H:$H,0))),"")</f>
        <v/>
      </c>
      <c r="H265" s="67" t="str">
        <f>IFERROR(IFERROR(INDEX(Кат!$I:$I,MATCH(Прайс!$B265,Кат!$G:$G,0)),INDEX(Торг!$I:$I,MATCH(Прайс!$B265,Торг!$H:$H,0))),"")</f>
        <v/>
      </c>
    </row>
    <row r="266" spans="1:8" x14ac:dyDescent="0.25">
      <c r="A266" s="94" t="s">
        <v>5700</v>
      </c>
      <c r="B266" s="98">
        <v>32444</v>
      </c>
      <c r="C266" s="98" t="s">
        <v>5701</v>
      </c>
      <c r="D266" s="96" t="s">
        <v>582</v>
      </c>
      <c r="E266" s="97">
        <v>140</v>
      </c>
      <c r="F266" s="67" t="str">
        <f>IFERROR(IFERROR(INDEX(Кат!$A:$A,MATCH(Прайс!$B266,Кат!$G:$G,0)),INDEX(Торг!$B:$B,MATCH(Прайс!$B266,Торг!$H:$H,0))),"")</f>
        <v/>
      </c>
      <c r="G266" s="67" t="str">
        <f>IFERROR(IFERROR(INDEX(Кат!$B:$B,MATCH(Прайс!$B266,Кат!$G:$G,0)),INDEX(Торг!$C:$C,MATCH(Прайс!$B266,Торг!$H:$H,0))),"")</f>
        <v/>
      </c>
      <c r="H266" s="67" t="str">
        <f>IFERROR(IFERROR(INDEX(Кат!$I:$I,MATCH(Прайс!$B266,Кат!$G:$G,0)),INDEX(Торг!$I:$I,MATCH(Прайс!$B266,Торг!$H:$H,0))),"")</f>
        <v/>
      </c>
    </row>
    <row r="267" spans="1:8" x14ac:dyDescent="0.25">
      <c r="A267" s="94" t="s">
        <v>6586</v>
      </c>
      <c r="B267" s="98">
        <v>20535</v>
      </c>
      <c r="C267" s="98" t="s">
        <v>6587</v>
      </c>
      <c r="D267" s="96" t="s">
        <v>7367</v>
      </c>
      <c r="E267" s="97">
        <v>210</v>
      </c>
      <c r="F267" s="67" t="str">
        <f>IFERROR(IFERROR(INDEX(Кат!$A:$A,MATCH(Прайс!$B267,Кат!$G:$G,0)),INDEX(Торг!$B:$B,MATCH(Прайс!$B267,Торг!$H:$H,0))),"")</f>
        <v/>
      </c>
      <c r="G267" s="67" t="str">
        <f>IFERROR(IFERROR(INDEX(Кат!$B:$B,MATCH(Прайс!$B267,Кат!$G:$G,0)),INDEX(Торг!$C:$C,MATCH(Прайс!$B267,Торг!$H:$H,0))),"")</f>
        <v/>
      </c>
      <c r="H267" s="67" t="str">
        <f>IFERROR(IFERROR(INDEX(Кат!$I:$I,MATCH(Прайс!$B267,Кат!$G:$G,0)),INDEX(Торг!$I:$I,MATCH(Прайс!$B267,Торг!$H:$H,0))),"")</f>
        <v/>
      </c>
    </row>
    <row r="268" spans="1:8" x14ac:dyDescent="0.25">
      <c r="A268" s="94" t="s">
        <v>6588</v>
      </c>
      <c r="B268" s="98">
        <v>20536</v>
      </c>
      <c r="C268" s="98" t="s">
        <v>6589</v>
      </c>
      <c r="D268" s="96" t="s">
        <v>7367</v>
      </c>
      <c r="E268" s="97">
        <v>180</v>
      </c>
      <c r="F268" s="67" t="str">
        <f>IFERROR(IFERROR(INDEX(Кат!$A:$A,MATCH(Прайс!$B268,Кат!$G:$G,0)),INDEX(Торг!$B:$B,MATCH(Прайс!$B268,Торг!$H:$H,0))),"")</f>
        <v/>
      </c>
      <c r="G268" s="67" t="str">
        <f>IFERROR(IFERROR(INDEX(Кат!$B:$B,MATCH(Прайс!$B268,Кат!$G:$G,0)),INDEX(Торг!$C:$C,MATCH(Прайс!$B268,Торг!$H:$H,0))),"")</f>
        <v/>
      </c>
      <c r="H268" s="67" t="str">
        <f>IFERROR(IFERROR(INDEX(Кат!$I:$I,MATCH(Прайс!$B268,Кат!$G:$G,0)),INDEX(Торг!$I:$I,MATCH(Прайс!$B268,Торг!$H:$H,0))),"")</f>
        <v/>
      </c>
    </row>
    <row r="269" spans="1:8" x14ac:dyDescent="0.25">
      <c r="A269" s="94" t="s">
        <v>4853</v>
      </c>
      <c r="B269" s="98">
        <v>20508</v>
      </c>
      <c r="C269" s="98" t="s">
        <v>4854</v>
      </c>
      <c r="D269" s="96" t="s">
        <v>190</v>
      </c>
      <c r="E269" s="97">
        <v>110</v>
      </c>
      <c r="F269" s="67" t="str">
        <f>IFERROR(IFERROR(INDEX(Кат!$A:$A,MATCH(Прайс!$B269,Кат!$G:$G,0)),INDEX(Торг!$B:$B,MATCH(Прайс!$B269,Торг!$H:$H,0))),"")</f>
        <v/>
      </c>
      <c r="G269" s="67" t="str">
        <f>IFERROR(IFERROR(INDEX(Кат!$B:$B,MATCH(Прайс!$B269,Кат!$G:$G,0)),INDEX(Торг!$C:$C,MATCH(Прайс!$B269,Торг!$H:$H,0))),"")</f>
        <v/>
      </c>
      <c r="H269" s="67" t="str">
        <f>IFERROR(IFERROR(INDEX(Кат!$I:$I,MATCH(Прайс!$B269,Кат!$G:$G,0)),INDEX(Торг!$I:$I,MATCH(Прайс!$B269,Торг!$H:$H,0))),"")</f>
        <v/>
      </c>
    </row>
    <row r="270" spans="1:8" x14ac:dyDescent="0.25">
      <c r="A270" s="94" t="s">
        <v>4855</v>
      </c>
      <c r="B270" s="98">
        <v>20506</v>
      </c>
      <c r="C270" s="98" t="s">
        <v>4856</v>
      </c>
      <c r="D270" s="96" t="s">
        <v>190</v>
      </c>
      <c r="E270" s="97">
        <v>130</v>
      </c>
      <c r="F270" s="67" t="str">
        <f>IFERROR(IFERROR(INDEX(Кат!$A:$A,MATCH(Прайс!$B270,Кат!$G:$G,0)),INDEX(Торг!$B:$B,MATCH(Прайс!$B270,Торг!$H:$H,0))),"")</f>
        <v/>
      </c>
      <c r="G270" s="67" t="str">
        <f>IFERROR(IFERROR(INDEX(Кат!$B:$B,MATCH(Прайс!$B270,Кат!$G:$G,0)),INDEX(Торг!$C:$C,MATCH(Прайс!$B270,Торг!$H:$H,0))),"")</f>
        <v/>
      </c>
      <c r="H270" s="67" t="str">
        <f>IFERROR(IFERROR(INDEX(Кат!$I:$I,MATCH(Прайс!$B270,Кат!$G:$G,0)),INDEX(Торг!$I:$I,MATCH(Прайс!$B270,Торг!$H:$H,0))),"")</f>
        <v/>
      </c>
    </row>
    <row r="271" spans="1:8" x14ac:dyDescent="0.25">
      <c r="A271" s="94" t="s">
        <v>5702</v>
      </c>
      <c r="B271" s="98">
        <v>32450</v>
      </c>
      <c r="C271" s="98" t="s">
        <v>7376</v>
      </c>
      <c r="D271" s="96" t="s">
        <v>216</v>
      </c>
      <c r="E271" s="97">
        <v>80</v>
      </c>
      <c r="F271" s="67" t="str">
        <f>IFERROR(IFERROR(INDEX(Кат!$A:$A,MATCH(Прайс!$B271,Кат!$G:$G,0)),INDEX(Торг!$B:$B,MATCH(Прайс!$B271,Торг!$H:$H,0))),"")</f>
        <v/>
      </c>
      <c r="G271" s="67" t="str">
        <f>IFERROR(IFERROR(INDEX(Кат!$B:$B,MATCH(Прайс!$B271,Кат!$G:$G,0)),INDEX(Торг!$C:$C,MATCH(Прайс!$B271,Торг!$H:$H,0))),"")</f>
        <v/>
      </c>
      <c r="H271" s="67" t="str">
        <f>IFERROR(IFERROR(INDEX(Кат!$I:$I,MATCH(Прайс!$B271,Кат!$G:$G,0)),INDEX(Торг!$I:$I,MATCH(Прайс!$B271,Торг!$H:$H,0))),"")</f>
        <v/>
      </c>
    </row>
    <row r="272" spans="1:8" x14ac:dyDescent="0.25">
      <c r="A272" s="94" t="s">
        <v>5703</v>
      </c>
      <c r="B272" s="98">
        <v>32449</v>
      </c>
      <c r="C272" s="98" t="s">
        <v>7377</v>
      </c>
      <c r="D272" s="96" t="s">
        <v>216</v>
      </c>
      <c r="E272" s="97">
        <v>85</v>
      </c>
      <c r="F272" s="67" t="str">
        <f>IFERROR(IFERROR(INDEX(Кат!$A:$A,MATCH(Прайс!$B272,Кат!$G:$G,0)),INDEX(Торг!$B:$B,MATCH(Прайс!$B272,Торг!$H:$H,0))),"")</f>
        <v/>
      </c>
      <c r="G272" s="67" t="str">
        <f>IFERROR(IFERROR(INDEX(Кат!$B:$B,MATCH(Прайс!$B272,Кат!$G:$G,0)),INDEX(Торг!$C:$C,MATCH(Прайс!$B272,Торг!$H:$H,0))),"")</f>
        <v/>
      </c>
      <c r="H272" s="67" t="str">
        <f>IFERROR(IFERROR(INDEX(Кат!$I:$I,MATCH(Прайс!$B272,Кат!$G:$G,0)),INDEX(Торг!$I:$I,MATCH(Прайс!$B272,Торг!$H:$H,0))),"")</f>
        <v/>
      </c>
    </row>
    <row r="273" spans="1:8" x14ac:dyDescent="0.25">
      <c r="A273" s="103" t="s">
        <v>4989</v>
      </c>
      <c r="B273" s="104">
        <v>32435</v>
      </c>
      <c r="C273" s="104" t="s">
        <v>4990</v>
      </c>
      <c r="D273" s="105" t="s">
        <v>160</v>
      </c>
      <c r="E273" s="113">
        <v>230</v>
      </c>
      <c r="F273" s="67" t="str">
        <f>IFERROR(IFERROR(INDEX(Кат!$A:$A,MATCH(Прайс!$B273,Кат!$G:$G,0)),INDEX(Торг!$B:$B,MATCH(Прайс!$B273,Торг!$H:$H,0))),"")</f>
        <v/>
      </c>
      <c r="G273" s="67" t="str">
        <f>IFERROR(IFERROR(INDEX(Кат!$B:$B,MATCH(Прайс!$B273,Кат!$G:$G,0)),INDEX(Торг!$C:$C,MATCH(Прайс!$B273,Торг!$H:$H,0))),"")</f>
        <v/>
      </c>
      <c r="H273" s="67" t="str">
        <f>IFERROR(IFERROR(INDEX(Кат!$I:$I,MATCH(Прайс!$B273,Кат!$G:$G,0)),INDEX(Торг!$I:$I,MATCH(Прайс!$B273,Торг!$H:$H,0))),"")</f>
        <v/>
      </c>
    </row>
    <row r="274" spans="1:8" x14ac:dyDescent="0.25">
      <c r="A274" s="94" t="s">
        <v>2558</v>
      </c>
      <c r="B274" s="98">
        <v>20254</v>
      </c>
      <c r="C274" s="98" t="s">
        <v>286</v>
      </c>
      <c r="D274" s="96" t="s">
        <v>161</v>
      </c>
      <c r="E274" s="97">
        <v>100</v>
      </c>
      <c r="F274" s="67" t="str">
        <f>IFERROR(IFERROR(INDEX(Кат!$A:$A,MATCH(Прайс!$B274,Кат!$G:$G,0)),INDEX(Торг!$B:$B,MATCH(Прайс!$B274,Торг!$H:$H,0))),"")</f>
        <v/>
      </c>
      <c r="G274" s="67" t="str">
        <f>IFERROR(IFERROR(INDEX(Кат!$B:$B,MATCH(Прайс!$B274,Кат!$G:$G,0)),INDEX(Торг!$C:$C,MATCH(Прайс!$B274,Торг!$H:$H,0))),"")</f>
        <v/>
      </c>
      <c r="H274" s="67" t="str">
        <f>IFERROR(IFERROR(INDEX(Кат!$I:$I,MATCH(Прайс!$B274,Кат!$G:$G,0)),INDEX(Торг!$I:$I,MATCH(Прайс!$B274,Торг!$H:$H,0))),"")</f>
        <v/>
      </c>
    </row>
    <row r="275" spans="1:8" x14ac:dyDescent="0.25">
      <c r="A275" s="94" t="s">
        <v>2559</v>
      </c>
      <c r="B275" s="98">
        <v>20305</v>
      </c>
      <c r="C275" s="98" t="s">
        <v>7378</v>
      </c>
      <c r="D275" s="96" t="s">
        <v>1285</v>
      </c>
      <c r="E275" s="97">
        <v>130</v>
      </c>
      <c r="F275" s="67" t="str">
        <f>IFERROR(IFERROR(INDEX(Кат!$A:$A,MATCH(Прайс!$B275,Кат!$G:$G,0)),INDEX(Торг!$B:$B,MATCH(Прайс!$B275,Торг!$H:$H,0))),"")</f>
        <v/>
      </c>
      <c r="G275" s="67" t="str">
        <f>IFERROR(IFERROR(INDEX(Кат!$B:$B,MATCH(Прайс!$B275,Кат!$G:$G,0)),INDEX(Торг!$C:$C,MATCH(Прайс!$B275,Торг!$H:$H,0))),"")</f>
        <v/>
      </c>
      <c r="H275" s="67" t="str">
        <f>IFERROR(IFERROR(INDEX(Кат!$I:$I,MATCH(Прайс!$B275,Кат!$G:$G,0)),INDEX(Торг!$I:$I,MATCH(Прайс!$B275,Торг!$H:$H,0))),"")</f>
        <v/>
      </c>
    </row>
    <row r="276" spans="1:8" x14ac:dyDescent="0.25">
      <c r="A276" s="94" t="s">
        <v>2560</v>
      </c>
      <c r="B276" s="98">
        <v>20230</v>
      </c>
      <c r="C276" s="98" t="s">
        <v>287</v>
      </c>
      <c r="D276" s="96" t="s">
        <v>190</v>
      </c>
      <c r="E276" s="97">
        <v>55</v>
      </c>
      <c r="F276" s="67" t="str">
        <f>IFERROR(IFERROR(INDEX(Кат!$A:$A,MATCH(Прайс!$B276,Кат!$G:$G,0)),INDEX(Торг!$B:$B,MATCH(Прайс!$B276,Торг!$H:$H,0))),"")</f>
        <v/>
      </c>
      <c r="G276" s="67" t="str">
        <f>IFERROR(IFERROR(INDEX(Кат!$B:$B,MATCH(Прайс!$B276,Кат!$G:$G,0)),INDEX(Торг!$C:$C,MATCH(Прайс!$B276,Торг!$H:$H,0))),"")</f>
        <v/>
      </c>
      <c r="H276" s="67" t="str">
        <f>IFERROR(IFERROR(INDEX(Кат!$I:$I,MATCH(Прайс!$B276,Кат!$G:$G,0)),INDEX(Торг!$I:$I,MATCH(Прайс!$B276,Торг!$H:$H,0))),"")</f>
        <v/>
      </c>
    </row>
    <row r="277" spans="1:8" x14ac:dyDescent="0.25">
      <c r="A277" s="94" t="s">
        <v>2561</v>
      </c>
      <c r="B277" s="98">
        <v>20231</v>
      </c>
      <c r="C277" s="98" t="s">
        <v>288</v>
      </c>
      <c r="D277" s="96" t="s">
        <v>190</v>
      </c>
      <c r="E277" s="97">
        <v>55</v>
      </c>
      <c r="F277" s="67" t="str">
        <f>IFERROR(IFERROR(INDEX(Кат!$A:$A,MATCH(Прайс!$B277,Кат!$G:$G,0)),INDEX(Торг!$B:$B,MATCH(Прайс!$B277,Торг!$H:$H,0))),"")</f>
        <v/>
      </c>
      <c r="G277" s="67" t="str">
        <f>IFERROR(IFERROR(INDEX(Кат!$B:$B,MATCH(Прайс!$B277,Кат!$G:$G,0)),INDEX(Торг!$C:$C,MATCH(Прайс!$B277,Торг!$H:$H,0))),"")</f>
        <v/>
      </c>
      <c r="H277" s="67" t="str">
        <f>IFERROR(IFERROR(INDEX(Кат!$I:$I,MATCH(Прайс!$B277,Кат!$G:$G,0)),INDEX(Торг!$I:$I,MATCH(Прайс!$B277,Торг!$H:$H,0))),"")</f>
        <v/>
      </c>
    </row>
    <row r="278" spans="1:8" x14ac:dyDescent="0.25">
      <c r="A278" s="94" t="s">
        <v>2564</v>
      </c>
      <c r="B278" s="98">
        <v>20374</v>
      </c>
      <c r="C278" s="98" t="s">
        <v>289</v>
      </c>
      <c r="D278" s="96" t="s">
        <v>190</v>
      </c>
      <c r="E278" s="97">
        <v>250</v>
      </c>
      <c r="F278" s="67" t="str">
        <f>IFERROR(IFERROR(INDEX(Кат!$A:$A,MATCH(Прайс!$B278,Кат!$G:$G,0)),INDEX(Торг!$B:$B,MATCH(Прайс!$B278,Торг!$H:$H,0))),"")</f>
        <v/>
      </c>
      <c r="G278" s="67" t="str">
        <f>IFERROR(IFERROR(INDEX(Кат!$B:$B,MATCH(Прайс!$B278,Кат!$G:$G,0)),INDEX(Торг!$C:$C,MATCH(Прайс!$B278,Торг!$H:$H,0))),"")</f>
        <v/>
      </c>
      <c r="H278" s="67" t="str">
        <f>IFERROR(IFERROR(INDEX(Кат!$I:$I,MATCH(Прайс!$B278,Кат!$G:$G,0)),INDEX(Торг!$I:$I,MATCH(Прайс!$B278,Торг!$H:$H,0))),"")</f>
        <v/>
      </c>
    </row>
    <row r="279" spans="1:8" x14ac:dyDescent="0.25">
      <c r="A279" s="94" t="s">
        <v>8165</v>
      </c>
      <c r="B279" s="98">
        <v>32527</v>
      </c>
      <c r="C279" s="98" t="s">
        <v>8166</v>
      </c>
      <c r="D279" s="96" t="s">
        <v>190</v>
      </c>
      <c r="E279" s="97">
        <v>110</v>
      </c>
      <c r="F279" s="67" t="str">
        <f>IFERROR(IFERROR(INDEX(Кат!$A:$A,MATCH(Прайс!$B279,Кат!$G:$G,0)),INDEX(Торг!$B:$B,MATCH(Прайс!$B279,Торг!$H:$H,0))),"")</f>
        <v/>
      </c>
      <c r="G279" s="67" t="str">
        <f>IFERROR(IFERROR(INDEX(Кат!$B:$B,MATCH(Прайс!$B279,Кат!$G:$G,0)),INDEX(Торг!$C:$C,MATCH(Прайс!$B279,Торг!$H:$H,0))),"")</f>
        <v/>
      </c>
      <c r="H279" s="67" t="str">
        <f>IFERROR(IFERROR(INDEX(Кат!$I:$I,MATCH(Прайс!$B279,Кат!$G:$G,0)),INDEX(Торг!$I:$I,MATCH(Прайс!$B279,Торг!$H:$H,0))),"")</f>
        <v/>
      </c>
    </row>
    <row r="280" spans="1:8" x14ac:dyDescent="0.25">
      <c r="A280" s="94" t="s">
        <v>2563</v>
      </c>
      <c r="B280" s="98">
        <v>20444</v>
      </c>
      <c r="C280" s="98" t="s">
        <v>8167</v>
      </c>
      <c r="D280" s="96" t="s">
        <v>190</v>
      </c>
      <c r="E280" s="97">
        <v>100</v>
      </c>
      <c r="F280" s="67" t="str">
        <f>IFERROR(IFERROR(INDEX(Кат!$A:$A,MATCH(Прайс!$B280,Кат!$G:$G,0)),INDEX(Торг!$B:$B,MATCH(Прайс!$B280,Торг!$H:$H,0))),"")</f>
        <v/>
      </c>
      <c r="G280" s="67" t="str">
        <f>IFERROR(IFERROR(INDEX(Кат!$B:$B,MATCH(Прайс!$B280,Кат!$G:$G,0)),INDEX(Торг!$C:$C,MATCH(Прайс!$B280,Торг!$H:$H,0))),"")</f>
        <v/>
      </c>
      <c r="H280" s="67" t="str">
        <f>IFERROR(IFERROR(INDEX(Кат!$I:$I,MATCH(Прайс!$B280,Кат!$G:$G,0)),INDEX(Торг!$I:$I,MATCH(Прайс!$B280,Торг!$H:$H,0))),"")</f>
        <v/>
      </c>
    </row>
    <row r="281" spans="1:8" x14ac:dyDescent="0.25">
      <c r="A281" s="94" t="s">
        <v>2565</v>
      </c>
      <c r="B281" s="98">
        <v>20319</v>
      </c>
      <c r="C281" s="98" t="s">
        <v>8168</v>
      </c>
      <c r="D281" s="96" t="s">
        <v>190</v>
      </c>
      <c r="E281" s="97">
        <v>60</v>
      </c>
      <c r="F281" s="67" t="str">
        <f>IFERROR(IFERROR(INDEX(Кат!$A:$A,MATCH(Прайс!$B281,Кат!$G:$G,0)),INDEX(Торг!$B:$B,MATCH(Прайс!$B281,Торг!$H:$H,0))),"")</f>
        <v/>
      </c>
      <c r="G281" s="67" t="str">
        <f>IFERROR(IFERROR(INDEX(Кат!$B:$B,MATCH(Прайс!$B281,Кат!$G:$G,0)),INDEX(Торг!$C:$C,MATCH(Прайс!$B281,Торг!$H:$H,0))),"")</f>
        <v/>
      </c>
      <c r="H281" s="67" t="str">
        <f>IFERROR(IFERROR(INDEX(Кат!$I:$I,MATCH(Прайс!$B281,Кат!$G:$G,0)),INDEX(Торг!$I:$I,MATCH(Прайс!$B281,Торг!$H:$H,0))),"")</f>
        <v/>
      </c>
    </row>
    <row r="282" spans="1:8" x14ac:dyDescent="0.25">
      <c r="A282" s="94" t="s">
        <v>4857</v>
      </c>
      <c r="B282" s="98">
        <v>20505</v>
      </c>
      <c r="C282" s="98" t="s">
        <v>4858</v>
      </c>
      <c r="D282" s="96" t="s">
        <v>190</v>
      </c>
      <c r="E282" s="97">
        <v>140</v>
      </c>
      <c r="F282" s="67" t="str">
        <f>IFERROR(IFERROR(INDEX(Кат!$A:$A,MATCH(Прайс!$B282,Кат!$G:$G,0)),INDEX(Торг!$B:$B,MATCH(Прайс!$B282,Торг!$H:$H,0))),"")</f>
        <v/>
      </c>
      <c r="G282" s="67" t="str">
        <f>IFERROR(IFERROR(INDEX(Кат!$B:$B,MATCH(Прайс!$B282,Кат!$G:$G,0)),INDEX(Торг!$C:$C,MATCH(Прайс!$B282,Торг!$H:$H,0))),"")</f>
        <v/>
      </c>
      <c r="H282" s="67" t="str">
        <f>IFERROR(IFERROR(INDEX(Кат!$I:$I,MATCH(Прайс!$B282,Кат!$G:$G,0)),INDEX(Торг!$I:$I,MATCH(Прайс!$B282,Торг!$H:$H,0))),"")</f>
        <v/>
      </c>
    </row>
    <row r="283" spans="1:8" x14ac:dyDescent="0.25">
      <c r="A283" s="94" t="s">
        <v>4859</v>
      </c>
      <c r="B283" s="98">
        <v>20507</v>
      </c>
      <c r="C283" s="98" t="s">
        <v>4860</v>
      </c>
      <c r="D283" s="96" t="s">
        <v>190</v>
      </c>
      <c r="E283" s="97">
        <v>130</v>
      </c>
      <c r="F283" s="67" t="str">
        <f>IFERROR(IFERROR(INDEX(Кат!$A:$A,MATCH(Прайс!$B283,Кат!$G:$G,0)),INDEX(Торг!$B:$B,MATCH(Прайс!$B283,Торг!$H:$H,0))),"")</f>
        <v/>
      </c>
      <c r="G283" s="67" t="str">
        <f>IFERROR(IFERROR(INDEX(Кат!$B:$B,MATCH(Прайс!$B283,Кат!$G:$G,0)),INDEX(Торг!$C:$C,MATCH(Прайс!$B283,Торг!$H:$H,0))),"")</f>
        <v/>
      </c>
      <c r="H283" s="67" t="str">
        <f>IFERROR(IFERROR(INDEX(Кат!$I:$I,MATCH(Прайс!$B283,Кат!$G:$G,0)),INDEX(Торг!$I:$I,MATCH(Прайс!$B283,Торг!$H:$H,0))),"")</f>
        <v/>
      </c>
    </row>
    <row r="284" spans="1:8" x14ac:dyDescent="0.25">
      <c r="A284" s="94" t="s">
        <v>2570</v>
      </c>
      <c r="B284" s="95">
        <v>20242</v>
      </c>
      <c r="C284" s="95" t="s">
        <v>4994</v>
      </c>
      <c r="D284" s="96" t="s">
        <v>1668</v>
      </c>
      <c r="E284" s="97">
        <v>17</v>
      </c>
      <c r="F284" s="67" t="str">
        <f>IFERROR(IFERROR(INDEX(Кат!$A:$A,MATCH(Прайс!$B284,Кат!$G:$G,0)),INDEX(Торг!$B:$B,MATCH(Прайс!$B284,Торг!$H:$H,0))),"")</f>
        <v/>
      </c>
      <c r="G284" s="67" t="str">
        <f>IFERROR(IFERROR(INDEX(Кат!$B:$B,MATCH(Прайс!$B284,Кат!$G:$G,0)),INDEX(Торг!$C:$C,MATCH(Прайс!$B284,Торг!$H:$H,0))),"")</f>
        <v/>
      </c>
      <c r="H284" s="67" t="str">
        <f>IFERROR(IFERROR(INDEX(Кат!$I:$I,MATCH(Прайс!$B284,Кат!$G:$G,0)),INDEX(Торг!$I:$I,MATCH(Прайс!$B284,Торг!$H:$H,0))),"")</f>
        <v/>
      </c>
    </row>
    <row r="285" spans="1:8" x14ac:dyDescent="0.25">
      <c r="A285" s="94" t="s">
        <v>2571</v>
      </c>
      <c r="B285" s="98">
        <v>20243</v>
      </c>
      <c r="C285" s="98" t="s">
        <v>6091</v>
      </c>
      <c r="D285" s="96" t="s">
        <v>190</v>
      </c>
      <c r="E285" s="97">
        <v>210</v>
      </c>
      <c r="F285" s="67" t="str">
        <f>IFERROR(IFERROR(INDEX(Кат!$A:$A,MATCH(Прайс!$B285,Кат!$G:$G,0)),INDEX(Торг!$B:$B,MATCH(Прайс!$B285,Торг!$H:$H,0))),"")</f>
        <v/>
      </c>
      <c r="G285" s="67" t="str">
        <f>IFERROR(IFERROR(INDEX(Кат!$B:$B,MATCH(Прайс!$B285,Кат!$G:$G,0)),INDEX(Торг!$C:$C,MATCH(Прайс!$B285,Торг!$H:$H,0))),"")</f>
        <v/>
      </c>
      <c r="H285" s="67" t="str">
        <f>IFERROR(IFERROR(INDEX(Кат!$I:$I,MATCH(Прайс!$B285,Кат!$G:$G,0)),INDEX(Торг!$I:$I,MATCH(Прайс!$B285,Торг!$H:$H,0))),"")</f>
        <v/>
      </c>
    </row>
    <row r="286" spans="1:8" x14ac:dyDescent="0.25">
      <c r="A286" s="94" t="s">
        <v>2572</v>
      </c>
      <c r="B286" s="95">
        <v>20244</v>
      </c>
      <c r="C286" s="95" t="s">
        <v>4995</v>
      </c>
      <c r="D286" s="96" t="s">
        <v>1668</v>
      </c>
      <c r="E286" s="97">
        <v>30</v>
      </c>
      <c r="F286" s="67" t="str">
        <f>IFERROR(IFERROR(INDEX(Кат!$A:$A,MATCH(Прайс!$B286,Кат!$G:$G,0)),INDEX(Торг!$B:$B,MATCH(Прайс!$B286,Торг!$H:$H,0))),"")</f>
        <v/>
      </c>
      <c r="G286" s="67" t="str">
        <f>IFERROR(IFERROR(INDEX(Кат!$B:$B,MATCH(Прайс!$B286,Кат!$G:$G,0)),INDEX(Торг!$C:$C,MATCH(Прайс!$B286,Торг!$H:$H,0))),"")</f>
        <v/>
      </c>
      <c r="H286" s="67" t="str">
        <f>IFERROR(IFERROR(INDEX(Кат!$I:$I,MATCH(Прайс!$B286,Кат!$G:$G,0)),INDEX(Торг!$I:$I,MATCH(Прайс!$B286,Торг!$H:$H,0))),"")</f>
        <v/>
      </c>
    </row>
    <row r="287" spans="1:8" x14ac:dyDescent="0.25">
      <c r="A287" s="103" t="s">
        <v>7379</v>
      </c>
      <c r="B287" s="104">
        <v>20487</v>
      </c>
      <c r="C287" s="104" t="s">
        <v>7380</v>
      </c>
      <c r="D287" s="105" t="s">
        <v>162</v>
      </c>
      <c r="E287" s="113">
        <v>130</v>
      </c>
      <c r="F287" s="67" t="str">
        <f>IFERROR(IFERROR(INDEX(Кат!$A:$A,MATCH(Прайс!$B287,Кат!$G:$G,0)),INDEX(Торг!$B:$B,MATCH(Прайс!$B287,Торг!$H:$H,0))),"")</f>
        <v/>
      </c>
      <c r="G287" s="67" t="str">
        <f>IFERROR(IFERROR(INDEX(Кат!$B:$B,MATCH(Прайс!$B287,Кат!$G:$G,0)),INDEX(Торг!$C:$C,MATCH(Прайс!$B287,Торг!$H:$H,0))),"")</f>
        <v/>
      </c>
      <c r="H287" s="67" t="str">
        <f>IFERROR(IFERROR(INDEX(Кат!$I:$I,MATCH(Прайс!$B287,Кат!$G:$G,0)),INDEX(Торг!$I:$I,MATCH(Прайс!$B287,Торг!$H:$H,0))),"")</f>
        <v/>
      </c>
    </row>
    <row r="288" spans="1:8" x14ac:dyDescent="0.25">
      <c r="A288" s="94" t="s">
        <v>6590</v>
      </c>
      <c r="B288" s="98">
        <v>20530</v>
      </c>
      <c r="C288" s="98" t="s">
        <v>6591</v>
      </c>
      <c r="D288" s="96" t="s">
        <v>162</v>
      </c>
      <c r="E288" s="97">
        <v>130</v>
      </c>
      <c r="F288" s="67" t="str">
        <f>IFERROR(IFERROR(INDEX(Кат!$A:$A,MATCH(Прайс!$B288,Кат!$G:$G,0)),INDEX(Торг!$B:$B,MATCH(Прайс!$B288,Торг!$H:$H,0))),"")</f>
        <v/>
      </c>
      <c r="G288" s="67" t="str">
        <f>IFERROR(IFERROR(INDEX(Кат!$B:$B,MATCH(Прайс!$B288,Кат!$G:$G,0)),INDEX(Торг!$C:$C,MATCH(Прайс!$B288,Торг!$H:$H,0))),"")</f>
        <v/>
      </c>
      <c r="H288" s="67" t="str">
        <f>IFERROR(IFERROR(INDEX(Кат!$I:$I,MATCH(Прайс!$B288,Кат!$G:$G,0)),INDEX(Торг!$I:$I,MATCH(Прайс!$B288,Торг!$H:$H,0))),"")</f>
        <v/>
      </c>
    </row>
    <row r="289" spans="1:8" ht="15.75" x14ac:dyDescent="0.25">
      <c r="A289" s="87"/>
      <c r="B289" s="88"/>
      <c r="C289" s="88" t="s">
        <v>290</v>
      </c>
      <c r="D289" s="88"/>
      <c r="E289" s="89"/>
      <c r="F289" s="67" t="str">
        <f>IFERROR(IFERROR(INDEX(Кат!$A:$A,MATCH(Прайс!$B289,Кат!$G:$G,0)),INDEX(Торг!$B:$B,MATCH(Прайс!$B289,Торг!$H:$H,0))),"")</f>
        <v/>
      </c>
      <c r="G289" s="67" t="str">
        <f>IFERROR(IFERROR(INDEX(Кат!$B:$B,MATCH(Прайс!$B289,Кат!$G:$G,0)),INDEX(Торг!$C:$C,MATCH(Прайс!$B289,Торг!$H:$H,0))),"")</f>
        <v/>
      </c>
      <c r="H289" s="67" t="str">
        <f>IFERROR(IFERROR(INDEX(Кат!$I:$I,MATCH(Прайс!$B289,Кат!$G:$G,0)),INDEX(Торг!$I:$I,MATCH(Прайс!$B289,Торг!$H:$H,0))),"")</f>
        <v/>
      </c>
    </row>
    <row r="290" spans="1:8" ht="15.75" x14ac:dyDescent="0.25">
      <c r="A290" s="90"/>
      <c r="B290" s="91"/>
      <c r="C290" s="92" t="s">
        <v>291</v>
      </c>
      <c r="D290" s="91"/>
      <c r="E290" s="93"/>
      <c r="F290" s="67" t="str">
        <f>IFERROR(IFERROR(INDEX(Кат!$A:$A,MATCH(Прайс!$B290,Кат!$G:$G,0)),INDEX(Торг!$B:$B,MATCH(Прайс!$B290,Торг!$H:$H,0))),"")</f>
        <v/>
      </c>
      <c r="G290" s="67" t="str">
        <f>IFERROR(IFERROR(INDEX(Кат!$B:$B,MATCH(Прайс!$B290,Кат!$G:$G,0)),INDEX(Торг!$C:$C,MATCH(Прайс!$B290,Торг!$H:$H,0))),"")</f>
        <v/>
      </c>
      <c r="H290" s="67" t="str">
        <f>IFERROR(IFERROR(INDEX(Кат!$I:$I,MATCH(Прайс!$B290,Кат!$G:$G,0)),INDEX(Торг!$I:$I,MATCH(Прайс!$B290,Торг!$H:$H,0))),"")</f>
        <v/>
      </c>
    </row>
    <row r="291" spans="1:8" x14ac:dyDescent="0.25">
      <c r="A291" s="94" t="s">
        <v>2573</v>
      </c>
      <c r="B291" s="98">
        <v>30001</v>
      </c>
      <c r="C291" s="98" t="s">
        <v>292</v>
      </c>
      <c r="D291" s="96" t="s">
        <v>293</v>
      </c>
      <c r="E291" s="97">
        <v>260</v>
      </c>
      <c r="F291" s="67" t="str">
        <f>IFERROR(IFERROR(INDEX(Кат!$A:$A,MATCH(Прайс!$B291,Кат!$G:$G,0)),INDEX(Торг!$B:$B,MATCH(Прайс!$B291,Торг!$H:$H,0))),"")</f>
        <v/>
      </c>
      <c r="G291" s="67" t="str">
        <f>IFERROR(IFERROR(INDEX(Кат!$B:$B,MATCH(Прайс!$B291,Кат!$G:$G,0)),INDEX(Торг!$C:$C,MATCH(Прайс!$B291,Торг!$H:$H,0))),"")</f>
        <v/>
      </c>
      <c r="H291" s="67" t="str">
        <f>IFERROR(IFERROR(INDEX(Кат!$I:$I,MATCH(Прайс!$B291,Кат!$G:$G,0)),INDEX(Торг!$I:$I,MATCH(Прайс!$B291,Торг!$H:$H,0))),"")</f>
        <v/>
      </c>
    </row>
    <row r="292" spans="1:8" x14ac:dyDescent="0.25">
      <c r="A292" s="94" t="s">
        <v>2574</v>
      </c>
      <c r="B292" s="98">
        <v>30003</v>
      </c>
      <c r="C292" s="98" t="s">
        <v>294</v>
      </c>
      <c r="D292" s="96" t="s">
        <v>293</v>
      </c>
      <c r="E292" s="97">
        <v>260</v>
      </c>
      <c r="F292" s="67" t="str">
        <f>IFERROR(IFERROR(INDEX(Кат!$A:$A,MATCH(Прайс!$B292,Кат!$G:$G,0)),INDEX(Торг!$B:$B,MATCH(Прайс!$B292,Торг!$H:$H,0))),"")</f>
        <v/>
      </c>
      <c r="G292" s="67" t="str">
        <f>IFERROR(IFERROR(INDEX(Кат!$B:$B,MATCH(Прайс!$B292,Кат!$G:$G,0)),INDEX(Торг!$C:$C,MATCH(Прайс!$B292,Торг!$H:$H,0))),"")</f>
        <v/>
      </c>
      <c r="H292" s="67" t="str">
        <f>IFERROR(IFERROR(INDEX(Кат!$I:$I,MATCH(Прайс!$B292,Кат!$G:$G,0)),INDEX(Торг!$I:$I,MATCH(Прайс!$B292,Торг!$H:$H,0))),"")</f>
        <v/>
      </c>
    </row>
    <row r="293" spans="1:8" x14ac:dyDescent="0.25">
      <c r="A293" s="94" t="s">
        <v>2575</v>
      </c>
      <c r="B293" s="98">
        <v>30004</v>
      </c>
      <c r="C293" s="98" t="s">
        <v>295</v>
      </c>
      <c r="D293" s="96" t="s">
        <v>293</v>
      </c>
      <c r="E293" s="97">
        <v>260</v>
      </c>
      <c r="F293" s="67" t="str">
        <f>IFERROR(IFERROR(INDEX(Кат!$A:$A,MATCH(Прайс!$B293,Кат!$G:$G,0)),INDEX(Торг!$B:$B,MATCH(Прайс!$B293,Торг!$H:$H,0))),"")</f>
        <v/>
      </c>
      <c r="G293" s="67" t="str">
        <f>IFERROR(IFERROR(INDEX(Кат!$B:$B,MATCH(Прайс!$B293,Кат!$G:$G,0)),INDEX(Торг!$C:$C,MATCH(Прайс!$B293,Торг!$H:$H,0))),"")</f>
        <v/>
      </c>
      <c r="H293" s="67" t="str">
        <f>IFERROR(IFERROR(INDEX(Кат!$I:$I,MATCH(Прайс!$B293,Кат!$G:$G,0)),INDEX(Торг!$I:$I,MATCH(Прайс!$B293,Торг!$H:$H,0))),"")</f>
        <v/>
      </c>
    </row>
    <row r="294" spans="1:8" x14ac:dyDescent="0.25">
      <c r="A294" s="94" t="s">
        <v>4996</v>
      </c>
      <c r="B294" s="98">
        <v>30005</v>
      </c>
      <c r="C294" s="98" t="s">
        <v>4997</v>
      </c>
      <c r="D294" s="96" t="s">
        <v>293</v>
      </c>
      <c r="E294" s="97">
        <v>260</v>
      </c>
      <c r="F294" s="67" t="str">
        <f>IFERROR(IFERROR(INDEX(Кат!$A:$A,MATCH(Прайс!$B294,Кат!$G:$G,0)),INDEX(Торг!$B:$B,MATCH(Прайс!$B294,Торг!$H:$H,0))),"")</f>
        <v/>
      </c>
      <c r="G294" s="67" t="str">
        <f>IFERROR(IFERROR(INDEX(Кат!$B:$B,MATCH(Прайс!$B294,Кат!$G:$G,0)),INDEX(Торг!$C:$C,MATCH(Прайс!$B294,Торг!$H:$H,0))),"")</f>
        <v/>
      </c>
      <c r="H294" s="67" t="str">
        <f>IFERROR(IFERROR(INDEX(Кат!$I:$I,MATCH(Прайс!$B294,Кат!$G:$G,0)),INDEX(Торг!$I:$I,MATCH(Прайс!$B294,Торг!$H:$H,0))),"")</f>
        <v/>
      </c>
    </row>
    <row r="295" spans="1:8" x14ac:dyDescent="0.25">
      <c r="A295" s="94" t="s">
        <v>2576</v>
      </c>
      <c r="B295" s="98">
        <v>30009</v>
      </c>
      <c r="C295" s="98" t="s">
        <v>296</v>
      </c>
      <c r="D295" s="96" t="s">
        <v>293</v>
      </c>
      <c r="E295" s="97">
        <v>260</v>
      </c>
      <c r="F295" s="67" t="str">
        <f>IFERROR(IFERROR(INDEX(Кат!$A:$A,MATCH(Прайс!$B295,Кат!$G:$G,0)),INDEX(Торг!$B:$B,MATCH(Прайс!$B295,Торг!$H:$H,0))),"")</f>
        <v/>
      </c>
      <c r="G295" s="67" t="str">
        <f>IFERROR(IFERROR(INDEX(Кат!$B:$B,MATCH(Прайс!$B295,Кат!$G:$G,0)),INDEX(Торг!$C:$C,MATCH(Прайс!$B295,Торг!$H:$H,0))),"")</f>
        <v/>
      </c>
      <c r="H295" s="67" t="str">
        <f>IFERROR(IFERROR(INDEX(Кат!$I:$I,MATCH(Прайс!$B295,Кат!$G:$G,0)),INDEX(Торг!$I:$I,MATCH(Прайс!$B295,Торг!$H:$H,0))),"")</f>
        <v/>
      </c>
    </row>
    <row r="296" spans="1:8" x14ac:dyDescent="0.25">
      <c r="A296" s="94" t="s">
        <v>4998</v>
      </c>
      <c r="B296" s="98">
        <v>30007</v>
      </c>
      <c r="C296" s="98" t="s">
        <v>5706</v>
      </c>
      <c r="D296" s="96" t="s">
        <v>293</v>
      </c>
      <c r="E296" s="97">
        <v>260</v>
      </c>
      <c r="F296" s="67" t="str">
        <f>IFERROR(IFERROR(INDEX(Кат!$A:$A,MATCH(Прайс!$B296,Кат!$G:$G,0)),INDEX(Торг!$B:$B,MATCH(Прайс!$B296,Торг!$H:$H,0))),"")</f>
        <v/>
      </c>
      <c r="G296" s="67" t="str">
        <f>IFERROR(IFERROR(INDEX(Кат!$B:$B,MATCH(Прайс!$B296,Кат!$G:$G,0)),INDEX(Торг!$C:$C,MATCH(Прайс!$B296,Торг!$H:$H,0))),"")</f>
        <v/>
      </c>
      <c r="H296" s="67" t="str">
        <f>IFERROR(IFERROR(INDEX(Кат!$I:$I,MATCH(Прайс!$B296,Кат!$G:$G,0)),INDEX(Торг!$I:$I,MATCH(Прайс!$B296,Торг!$H:$H,0))),"")</f>
        <v/>
      </c>
    </row>
    <row r="297" spans="1:8" x14ac:dyDescent="0.25">
      <c r="A297" s="94" t="s">
        <v>2577</v>
      </c>
      <c r="B297" s="98">
        <v>30011</v>
      </c>
      <c r="C297" s="98" t="s">
        <v>297</v>
      </c>
      <c r="D297" s="96" t="s">
        <v>293</v>
      </c>
      <c r="E297" s="97">
        <v>260</v>
      </c>
      <c r="F297" s="67" t="str">
        <f>IFERROR(IFERROR(INDEX(Кат!$A:$A,MATCH(Прайс!$B297,Кат!$G:$G,0)),INDEX(Торг!$B:$B,MATCH(Прайс!$B297,Торг!$H:$H,0))),"")</f>
        <v/>
      </c>
      <c r="G297" s="67" t="str">
        <f>IFERROR(IFERROR(INDEX(Кат!$B:$B,MATCH(Прайс!$B297,Кат!$G:$G,0)),INDEX(Торг!$C:$C,MATCH(Прайс!$B297,Торг!$H:$H,0))),"")</f>
        <v/>
      </c>
      <c r="H297" s="67" t="str">
        <f>IFERROR(IFERROR(INDEX(Кат!$I:$I,MATCH(Прайс!$B297,Кат!$G:$G,0)),INDEX(Торг!$I:$I,MATCH(Прайс!$B297,Торг!$H:$H,0))),"")</f>
        <v/>
      </c>
    </row>
    <row r="298" spans="1:8" x14ac:dyDescent="0.25">
      <c r="A298" s="94" t="s">
        <v>2578</v>
      </c>
      <c r="B298" s="98">
        <v>30010</v>
      </c>
      <c r="C298" s="98" t="s">
        <v>298</v>
      </c>
      <c r="D298" s="96" t="s">
        <v>293</v>
      </c>
      <c r="E298" s="97">
        <v>260</v>
      </c>
      <c r="F298" s="67" t="str">
        <f>IFERROR(IFERROR(INDEX(Кат!$A:$A,MATCH(Прайс!$B298,Кат!$G:$G,0)),INDEX(Торг!$B:$B,MATCH(Прайс!$B298,Торг!$H:$H,0))),"")</f>
        <v/>
      </c>
      <c r="G298" s="67" t="str">
        <f>IFERROR(IFERROR(INDEX(Кат!$B:$B,MATCH(Прайс!$B298,Кат!$G:$G,0)),INDEX(Торг!$C:$C,MATCH(Прайс!$B298,Торг!$H:$H,0))),"")</f>
        <v/>
      </c>
      <c r="H298" s="67" t="str">
        <f>IFERROR(IFERROR(INDEX(Кат!$I:$I,MATCH(Прайс!$B298,Кат!$G:$G,0)),INDEX(Торг!$I:$I,MATCH(Прайс!$B298,Торг!$H:$H,0))),"")</f>
        <v/>
      </c>
    </row>
    <row r="299" spans="1:8" x14ac:dyDescent="0.25">
      <c r="A299" s="94" t="s">
        <v>2579</v>
      </c>
      <c r="B299" s="98">
        <v>30013</v>
      </c>
      <c r="C299" s="98" t="s">
        <v>299</v>
      </c>
      <c r="D299" s="96" t="s">
        <v>162</v>
      </c>
      <c r="E299" s="97">
        <v>85</v>
      </c>
      <c r="F299" s="67" t="str">
        <f>IFERROR(IFERROR(INDEX(Кат!$A:$A,MATCH(Прайс!$B299,Кат!$G:$G,0)),INDEX(Торг!$B:$B,MATCH(Прайс!$B299,Торг!$H:$H,0))),"")</f>
        <v/>
      </c>
      <c r="G299" s="67" t="str">
        <f>IFERROR(IFERROR(INDEX(Кат!$B:$B,MATCH(Прайс!$B299,Кат!$G:$G,0)),INDEX(Торг!$C:$C,MATCH(Прайс!$B299,Торг!$H:$H,0))),"")</f>
        <v/>
      </c>
      <c r="H299" s="67" t="str">
        <f>IFERROR(IFERROR(INDEX(Кат!$I:$I,MATCH(Прайс!$B299,Кат!$G:$G,0)),INDEX(Торг!$I:$I,MATCH(Прайс!$B299,Торг!$H:$H,0))),"")</f>
        <v/>
      </c>
    </row>
    <row r="300" spans="1:8" x14ac:dyDescent="0.25">
      <c r="A300" s="94" t="s">
        <v>2580</v>
      </c>
      <c r="B300" s="98">
        <v>30012</v>
      </c>
      <c r="C300" s="98" t="s">
        <v>300</v>
      </c>
      <c r="D300" s="96" t="s">
        <v>162</v>
      </c>
      <c r="E300" s="97">
        <v>65</v>
      </c>
      <c r="F300" s="67" t="str">
        <f>IFERROR(IFERROR(INDEX(Кат!$A:$A,MATCH(Прайс!$B300,Кат!$G:$G,0)),INDEX(Торг!$B:$B,MATCH(Прайс!$B300,Торг!$H:$H,0))),"")</f>
        <v/>
      </c>
      <c r="G300" s="67" t="str">
        <f>IFERROR(IFERROR(INDEX(Кат!$B:$B,MATCH(Прайс!$B300,Кат!$G:$G,0)),INDEX(Торг!$C:$C,MATCH(Прайс!$B300,Торг!$H:$H,0))),"")</f>
        <v/>
      </c>
      <c r="H300" s="67" t="str">
        <f>IFERROR(IFERROR(INDEX(Кат!$I:$I,MATCH(Прайс!$B300,Кат!$G:$G,0)),INDEX(Торг!$I:$I,MATCH(Прайс!$B300,Торг!$H:$H,0))),"")</f>
        <v/>
      </c>
    </row>
    <row r="301" spans="1:8" x14ac:dyDescent="0.25">
      <c r="A301" s="94" t="s">
        <v>2581</v>
      </c>
      <c r="B301" s="98">
        <v>30014</v>
      </c>
      <c r="C301" s="98" t="s">
        <v>301</v>
      </c>
      <c r="D301" s="96" t="s">
        <v>162</v>
      </c>
      <c r="E301" s="97">
        <v>195</v>
      </c>
      <c r="F301" s="67" t="str">
        <f>IFERROR(IFERROR(INDEX(Кат!$A:$A,MATCH(Прайс!$B301,Кат!$G:$G,0)),INDEX(Торг!$B:$B,MATCH(Прайс!$B301,Торг!$H:$H,0))),"")</f>
        <v/>
      </c>
      <c r="G301" s="67" t="str">
        <f>IFERROR(IFERROR(INDEX(Кат!$B:$B,MATCH(Прайс!$B301,Кат!$G:$G,0)),INDEX(Торг!$C:$C,MATCH(Прайс!$B301,Торг!$H:$H,0))),"")</f>
        <v/>
      </c>
      <c r="H301" s="67" t="str">
        <f>IFERROR(IFERROR(INDEX(Кат!$I:$I,MATCH(Прайс!$B301,Кат!$G:$G,0)),INDEX(Торг!$I:$I,MATCH(Прайс!$B301,Торг!$H:$H,0))),"")</f>
        <v/>
      </c>
    </row>
    <row r="302" spans="1:8" x14ac:dyDescent="0.25">
      <c r="A302" s="94" t="s">
        <v>2582</v>
      </c>
      <c r="B302" s="98">
        <v>30016</v>
      </c>
      <c r="C302" s="98" t="s">
        <v>302</v>
      </c>
      <c r="D302" s="96" t="s">
        <v>162</v>
      </c>
      <c r="E302" s="97">
        <v>85</v>
      </c>
      <c r="F302" s="67" t="str">
        <f>IFERROR(IFERROR(INDEX(Кат!$A:$A,MATCH(Прайс!$B302,Кат!$G:$G,0)),INDEX(Торг!$B:$B,MATCH(Прайс!$B302,Торг!$H:$H,0))),"")</f>
        <v/>
      </c>
      <c r="G302" s="67" t="str">
        <f>IFERROR(IFERROR(INDEX(Кат!$B:$B,MATCH(Прайс!$B302,Кат!$G:$G,0)),INDEX(Торг!$C:$C,MATCH(Прайс!$B302,Торг!$H:$H,0))),"")</f>
        <v/>
      </c>
      <c r="H302" s="67" t="str">
        <f>IFERROR(IFERROR(INDEX(Кат!$I:$I,MATCH(Прайс!$B302,Кат!$G:$G,0)),INDEX(Торг!$I:$I,MATCH(Прайс!$B302,Торг!$H:$H,0))),"")</f>
        <v/>
      </c>
    </row>
    <row r="303" spans="1:8" x14ac:dyDescent="0.25">
      <c r="A303" s="94" t="s">
        <v>2583</v>
      </c>
      <c r="B303" s="98">
        <v>30015</v>
      </c>
      <c r="C303" s="98" t="s">
        <v>303</v>
      </c>
      <c r="D303" s="96" t="s">
        <v>162</v>
      </c>
      <c r="E303" s="97">
        <v>65</v>
      </c>
      <c r="F303" s="67" t="str">
        <f>IFERROR(IFERROR(INDEX(Кат!$A:$A,MATCH(Прайс!$B303,Кат!$G:$G,0)),INDEX(Торг!$B:$B,MATCH(Прайс!$B303,Торг!$H:$H,0))),"")</f>
        <v/>
      </c>
      <c r="G303" s="67" t="str">
        <f>IFERROR(IFERROR(INDEX(Кат!$B:$B,MATCH(Прайс!$B303,Кат!$G:$G,0)),INDEX(Торг!$C:$C,MATCH(Прайс!$B303,Торг!$H:$H,0))),"")</f>
        <v/>
      </c>
      <c r="H303" s="67" t="str">
        <f>IFERROR(IFERROR(INDEX(Кат!$I:$I,MATCH(Прайс!$B303,Кат!$G:$G,0)),INDEX(Торг!$I:$I,MATCH(Прайс!$B303,Торг!$H:$H,0))),"")</f>
        <v/>
      </c>
    </row>
    <row r="304" spans="1:8" x14ac:dyDescent="0.25">
      <c r="A304" s="94" t="s">
        <v>2584</v>
      </c>
      <c r="B304" s="98">
        <v>30017</v>
      </c>
      <c r="C304" s="98" t="s">
        <v>304</v>
      </c>
      <c r="D304" s="96" t="s">
        <v>162</v>
      </c>
      <c r="E304" s="97">
        <v>170</v>
      </c>
      <c r="F304" s="67" t="str">
        <f>IFERROR(IFERROR(INDEX(Кат!$A:$A,MATCH(Прайс!$B304,Кат!$G:$G,0)),INDEX(Торг!$B:$B,MATCH(Прайс!$B304,Торг!$H:$H,0))),"")</f>
        <v/>
      </c>
      <c r="G304" s="67" t="str">
        <f>IFERROR(IFERROR(INDEX(Кат!$B:$B,MATCH(Прайс!$B304,Кат!$G:$G,0)),INDEX(Торг!$C:$C,MATCH(Прайс!$B304,Торг!$H:$H,0))),"")</f>
        <v/>
      </c>
      <c r="H304" s="67" t="str">
        <f>IFERROR(IFERROR(INDEX(Кат!$I:$I,MATCH(Прайс!$B304,Кат!$G:$G,0)),INDEX(Торг!$I:$I,MATCH(Прайс!$B304,Торг!$H:$H,0))),"")</f>
        <v/>
      </c>
    </row>
    <row r="305" spans="1:8" x14ac:dyDescent="0.25">
      <c r="A305" s="94" t="s">
        <v>2585</v>
      </c>
      <c r="B305" s="98">
        <v>30018</v>
      </c>
      <c r="C305" s="98" t="s">
        <v>305</v>
      </c>
      <c r="D305" s="96" t="s">
        <v>162</v>
      </c>
      <c r="E305" s="97">
        <v>125</v>
      </c>
      <c r="F305" s="67" t="str">
        <f>IFERROR(IFERROR(INDEX(Кат!$A:$A,MATCH(Прайс!$B305,Кат!$G:$G,0)),INDEX(Торг!$B:$B,MATCH(Прайс!$B305,Торг!$H:$H,0))),"")</f>
        <v/>
      </c>
      <c r="G305" s="67" t="str">
        <f>IFERROR(IFERROR(INDEX(Кат!$B:$B,MATCH(Прайс!$B305,Кат!$G:$G,0)),INDEX(Торг!$C:$C,MATCH(Прайс!$B305,Торг!$H:$H,0))),"")</f>
        <v/>
      </c>
      <c r="H305" s="67" t="str">
        <f>IFERROR(IFERROR(INDEX(Кат!$I:$I,MATCH(Прайс!$B305,Кат!$G:$G,0)),INDEX(Торг!$I:$I,MATCH(Прайс!$B305,Торг!$H:$H,0))),"")</f>
        <v/>
      </c>
    </row>
    <row r="306" spans="1:8" x14ac:dyDescent="0.25">
      <c r="A306" s="94" t="s">
        <v>2586</v>
      </c>
      <c r="B306" s="98">
        <v>30019</v>
      </c>
      <c r="C306" s="98" t="s">
        <v>306</v>
      </c>
      <c r="D306" s="96" t="s">
        <v>162</v>
      </c>
      <c r="E306" s="97">
        <v>195</v>
      </c>
      <c r="F306" s="67" t="str">
        <f>IFERROR(IFERROR(INDEX(Кат!$A:$A,MATCH(Прайс!$B306,Кат!$G:$G,0)),INDEX(Торг!$B:$B,MATCH(Прайс!$B306,Торг!$H:$H,0))),"")</f>
        <v/>
      </c>
      <c r="G306" s="67" t="str">
        <f>IFERROR(IFERROR(INDEX(Кат!$B:$B,MATCH(Прайс!$B306,Кат!$G:$G,0)),INDEX(Торг!$C:$C,MATCH(Прайс!$B306,Торг!$H:$H,0))),"")</f>
        <v/>
      </c>
      <c r="H306" s="67" t="str">
        <f>IFERROR(IFERROR(INDEX(Кат!$I:$I,MATCH(Прайс!$B306,Кат!$G:$G,0)),INDEX(Торг!$I:$I,MATCH(Прайс!$B306,Торг!$H:$H,0))),"")</f>
        <v/>
      </c>
    </row>
    <row r="307" spans="1:8" x14ac:dyDescent="0.25">
      <c r="A307" s="94" t="s">
        <v>2587</v>
      </c>
      <c r="B307" s="98">
        <v>30020</v>
      </c>
      <c r="C307" s="98" t="s">
        <v>307</v>
      </c>
      <c r="D307" s="96" t="s">
        <v>162</v>
      </c>
      <c r="E307" s="97">
        <v>130</v>
      </c>
      <c r="F307" s="67" t="str">
        <f>IFERROR(IFERROR(INDEX(Кат!$A:$A,MATCH(Прайс!$B307,Кат!$G:$G,0)),INDEX(Торг!$B:$B,MATCH(Прайс!$B307,Торг!$H:$H,0))),"")</f>
        <v/>
      </c>
      <c r="G307" s="67" t="str">
        <f>IFERROR(IFERROR(INDEX(Кат!$B:$B,MATCH(Прайс!$B307,Кат!$G:$G,0)),INDEX(Торг!$C:$C,MATCH(Прайс!$B307,Торг!$H:$H,0))),"")</f>
        <v/>
      </c>
      <c r="H307" s="67" t="str">
        <f>IFERROR(IFERROR(INDEX(Кат!$I:$I,MATCH(Прайс!$B307,Кат!$G:$G,0)),INDEX(Торг!$I:$I,MATCH(Прайс!$B307,Торг!$H:$H,0))),"")</f>
        <v/>
      </c>
    </row>
    <row r="308" spans="1:8" ht="15.75" x14ac:dyDescent="0.25">
      <c r="A308" s="90"/>
      <c r="B308" s="91"/>
      <c r="C308" s="92" t="s">
        <v>308</v>
      </c>
      <c r="D308" s="91"/>
      <c r="E308" s="93"/>
      <c r="F308" s="67" t="str">
        <f>IFERROR(IFERROR(INDEX(Кат!$A:$A,MATCH(Прайс!$B308,Кат!$G:$G,0)),INDEX(Торг!$B:$B,MATCH(Прайс!$B308,Торг!$H:$H,0))),"")</f>
        <v/>
      </c>
      <c r="G308" s="67" t="str">
        <f>IFERROR(IFERROR(INDEX(Кат!$B:$B,MATCH(Прайс!$B308,Кат!$G:$G,0)),INDEX(Торг!$C:$C,MATCH(Прайс!$B308,Торг!$H:$H,0))),"")</f>
        <v/>
      </c>
      <c r="H308" s="67" t="str">
        <f>IFERROR(IFERROR(INDEX(Кат!$I:$I,MATCH(Прайс!$B308,Кат!$G:$G,0)),INDEX(Торг!$I:$I,MATCH(Прайс!$B308,Торг!$H:$H,0))),"")</f>
        <v/>
      </c>
    </row>
    <row r="309" spans="1:8" x14ac:dyDescent="0.25">
      <c r="A309" s="103" t="s">
        <v>2588</v>
      </c>
      <c r="B309" s="104">
        <v>30021</v>
      </c>
      <c r="C309" s="104" t="s">
        <v>2077</v>
      </c>
      <c r="D309" s="105" t="s">
        <v>190</v>
      </c>
      <c r="E309" s="113">
        <v>180</v>
      </c>
      <c r="F309" s="67" t="str">
        <f>IFERROR(IFERROR(INDEX(Кат!$A:$A,MATCH(Прайс!$B309,Кат!$G:$G,0)),INDEX(Торг!$B:$B,MATCH(Прайс!$B309,Торг!$H:$H,0))),"")</f>
        <v/>
      </c>
      <c r="G309" s="67" t="str">
        <f>IFERROR(IFERROR(INDEX(Кат!$B:$B,MATCH(Прайс!$B309,Кат!$G:$G,0)),INDEX(Торг!$C:$C,MATCH(Прайс!$B309,Торг!$H:$H,0))),"")</f>
        <v/>
      </c>
      <c r="H309" s="67" t="str">
        <f>IFERROR(IFERROR(INDEX(Кат!$I:$I,MATCH(Прайс!$B309,Кат!$G:$G,0)),INDEX(Торг!$I:$I,MATCH(Прайс!$B309,Торг!$H:$H,0))),"")</f>
        <v/>
      </c>
    </row>
    <row r="310" spans="1:8" x14ac:dyDescent="0.25">
      <c r="A310" s="103" t="s">
        <v>2589</v>
      </c>
      <c r="B310" s="104">
        <v>30055</v>
      </c>
      <c r="C310" s="104" t="s">
        <v>309</v>
      </c>
      <c r="D310" s="105" t="s">
        <v>190</v>
      </c>
      <c r="E310" s="113">
        <v>180</v>
      </c>
      <c r="F310" s="67" t="str">
        <f>IFERROR(IFERROR(INDEX(Кат!$A:$A,MATCH(Прайс!$B310,Кат!$G:$G,0)),INDEX(Торг!$B:$B,MATCH(Прайс!$B310,Торг!$H:$H,0))),"")</f>
        <v/>
      </c>
      <c r="G310" s="67" t="str">
        <f>IFERROR(IFERROR(INDEX(Кат!$B:$B,MATCH(Прайс!$B310,Кат!$G:$G,0)),INDEX(Торг!$C:$C,MATCH(Прайс!$B310,Торг!$H:$H,0))),"")</f>
        <v/>
      </c>
      <c r="H310" s="67" t="str">
        <f>IFERROR(IFERROR(INDEX(Кат!$I:$I,MATCH(Прайс!$B310,Кат!$G:$G,0)),INDEX(Торг!$I:$I,MATCH(Прайс!$B310,Торг!$H:$H,0))),"")</f>
        <v/>
      </c>
    </row>
    <row r="311" spans="1:8" x14ac:dyDescent="0.25">
      <c r="A311" s="103" t="s">
        <v>2590</v>
      </c>
      <c r="B311" s="104">
        <v>30022</v>
      </c>
      <c r="C311" s="104" t="s">
        <v>310</v>
      </c>
      <c r="D311" s="105" t="s">
        <v>190</v>
      </c>
      <c r="E311" s="113">
        <v>220</v>
      </c>
      <c r="F311" s="67" t="str">
        <f>IFERROR(IFERROR(INDEX(Кат!$A:$A,MATCH(Прайс!$B311,Кат!$G:$G,0)),INDEX(Торг!$B:$B,MATCH(Прайс!$B311,Торг!$H:$H,0))),"")</f>
        <v/>
      </c>
      <c r="G311" s="67" t="str">
        <f>IFERROR(IFERROR(INDEX(Кат!$B:$B,MATCH(Прайс!$B311,Кат!$G:$G,0)),INDEX(Торг!$C:$C,MATCH(Прайс!$B311,Торг!$H:$H,0))),"")</f>
        <v/>
      </c>
      <c r="H311" s="67" t="str">
        <f>IFERROR(IFERROR(INDEX(Кат!$I:$I,MATCH(Прайс!$B311,Кат!$G:$G,0)),INDEX(Торг!$I:$I,MATCH(Прайс!$B311,Торг!$H:$H,0))),"")</f>
        <v/>
      </c>
    </row>
    <row r="312" spans="1:8" x14ac:dyDescent="0.25">
      <c r="A312" s="103" t="s">
        <v>5390</v>
      </c>
      <c r="B312" s="104">
        <v>30024</v>
      </c>
      <c r="C312" s="104" t="s">
        <v>5391</v>
      </c>
      <c r="D312" s="105" t="s">
        <v>190</v>
      </c>
      <c r="E312" s="113">
        <v>250</v>
      </c>
      <c r="F312" s="67" t="str">
        <f>IFERROR(IFERROR(INDEX(Кат!$A:$A,MATCH(Прайс!$B312,Кат!$G:$G,0)),INDEX(Торг!$B:$B,MATCH(Прайс!$B312,Торг!$H:$H,0))),"")</f>
        <v/>
      </c>
      <c r="G312" s="67" t="str">
        <f>IFERROR(IFERROR(INDEX(Кат!$B:$B,MATCH(Прайс!$B312,Кат!$G:$G,0)),INDEX(Торг!$C:$C,MATCH(Прайс!$B312,Торг!$H:$H,0))),"")</f>
        <v/>
      </c>
      <c r="H312" s="67" t="str">
        <f>IFERROR(IFERROR(INDEX(Кат!$I:$I,MATCH(Прайс!$B312,Кат!$G:$G,0)),INDEX(Торг!$I:$I,MATCH(Прайс!$B312,Торг!$H:$H,0))),"")</f>
        <v/>
      </c>
    </row>
    <row r="313" spans="1:8" x14ac:dyDescent="0.25">
      <c r="A313" s="103" t="s">
        <v>2591</v>
      </c>
      <c r="B313" s="104">
        <v>30025</v>
      </c>
      <c r="C313" s="104" t="s">
        <v>311</v>
      </c>
      <c r="D313" s="105" t="s">
        <v>190</v>
      </c>
      <c r="E313" s="113">
        <v>260</v>
      </c>
      <c r="F313" s="67" t="str">
        <f>IFERROR(IFERROR(INDEX(Кат!$A:$A,MATCH(Прайс!$B313,Кат!$G:$G,0)),INDEX(Торг!$B:$B,MATCH(Прайс!$B313,Торг!$H:$H,0))),"")</f>
        <v/>
      </c>
      <c r="G313" s="67" t="str">
        <f>IFERROR(IFERROR(INDEX(Кат!$B:$B,MATCH(Прайс!$B313,Кат!$G:$G,0)),INDEX(Торг!$C:$C,MATCH(Прайс!$B313,Торг!$H:$H,0))),"")</f>
        <v/>
      </c>
      <c r="H313" s="67" t="str">
        <f>IFERROR(IFERROR(INDEX(Кат!$I:$I,MATCH(Прайс!$B313,Кат!$G:$G,0)),INDEX(Торг!$I:$I,MATCH(Прайс!$B313,Торг!$H:$H,0))),"")</f>
        <v/>
      </c>
    </row>
    <row r="314" spans="1:8" x14ac:dyDescent="0.25">
      <c r="A314" s="103" t="s">
        <v>2592</v>
      </c>
      <c r="B314" s="104">
        <v>30026</v>
      </c>
      <c r="C314" s="104" t="s">
        <v>312</v>
      </c>
      <c r="D314" s="105" t="s">
        <v>190</v>
      </c>
      <c r="E314" s="113">
        <v>240</v>
      </c>
      <c r="F314" s="67" t="str">
        <f>IFERROR(IFERROR(INDEX(Кат!$A:$A,MATCH(Прайс!$B314,Кат!$G:$G,0)),INDEX(Торг!$B:$B,MATCH(Прайс!$B314,Торг!$H:$H,0))),"")</f>
        <v/>
      </c>
      <c r="G314" s="67" t="str">
        <f>IFERROR(IFERROR(INDEX(Кат!$B:$B,MATCH(Прайс!$B314,Кат!$G:$G,0)),INDEX(Торг!$C:$C,MATCH(Прайс!$B314,Торг!$H:$H,0))),"")</f>
        <v/>
      </c>
      <c r="H314" s="67" t="str">
        <f>IFERROR(IFERROR(INDEX(Кат!$I:$I,MATCH(Прайс!$B314,Кат!$G:$G,0)),INDEX(Торг!$I:$I,MATCH(Прайс!$B314,Торг!$H:$H,0))),"")</f>
        <v/>
      </c>
    </row>
    <row r="315" spans="1:8" x14ac:dyDescent="0.25">
      <c r="A315" s="103" t="s">
        <v>2593</v>
      </c>
      <c r="B315" s="104">
        <v>30056</v>
      </c>
      <c r="C315" s="104" t="s">
        <v>313</v>
      </c>
      <c r="D315" s="105" t="s">
        <v>190</v>
      </c>
      <c r="E315" s="113">
        <v>290</v>
      </c>
      <c r="F315" s="67" t="str">
        <f>IFERROR(IFERROR(INDEX(Кат!$A:$A,MATCH(Прайс!$B315,Кат!$G:$G,0)),INDEX(Торг!$B:$B,MATCH(Прайс!$B315,Торг!$H:$H,0))),"")</f>
        <v/>
      </c>
      <c r="G315" s="67" t="str">
        <f>IFERROR(IFERROR(INDEX(Кат!$B:$B,MATCH(Прайс!$B315,Кат!$G:$G,0)),INDEX(Торг!$C:$C,MATCH(Прайс!$B315,Торг!$H:$H,0))),"")</f>
        <v/>
      </c>
      <c r="H315" s="67" t="str">
        <f>IFERROR(IFERROR(INDEX(Кат!$I:$I,MATCH(Прайс!$B315,Кат!$G:$G,0)),INDEX(Торг!$I:$I,MATCH(Прайс!$B315,Торг!$H:$H,0))),"")</f>
        <v/>
      </c>
    </row>
    <row r="316" spans="1:8" x14ac:dyDescent="0.25">
      <c r="A316" s="103" t="s">
        <v>6092</v>
      </c>
      <c r="B316" s="104">
        <v>30027</v>
      </c>
      <c r="C316" s="104" t="s">
        <v>6093</v>
      </c>
      <c r="D316" s="105" t="s">
        <v>190</v>
      </c>
      <c r="E316" s="113">
        <v>290</v>
      </c>
      <c r="F316" s="67" t="str">
        <f>IFERROR(IFERROR(INDEX(Кат!$A:$A,MATCH(Прайс!$B316,Кат!$G:$G,0)),INDEX(Торг!$B:$B,MATCH(Прайс!$B316,Торг!$H:$H,0))),"")</f>
        <v/>
      </c>
      <c r="G316" s="67" t="str">
        <f>IFERROR(IFERROR(INDEX(Кат!$B:$B,MATCH(Прайс!$B316,Кат!$G:$G,0)),INDEX(Торг!$C:$C,MATCH(Прайс!$B316,Торг!$H:$H,0))),"")</f>
        <v/>
      </c>
      <c r="H316" s="67" t="str">
        <f>IFERROR(IFERROR(INDEX(Кат!$I:$I,MATCH(Прайс!$B316,Кат!$G:$G,0)),INDEX(Торг!$I:$I,MATCH(Прайс!$B316,Торг!$H:$H,0))),"")</f>
        <v/>
      </c>
    </row>
    <row r="317" spans="1:8" ht="15.75" x14ac:dyDescent="0.25">
      <c r="A317" s="90"/>
      <c r="B317" s="91"/>
      <c r="C317" s="92" t="s">
        <v>7381</v>
      </c>
      <c r="D317" s="91"/>
      <c r="E317" s="93"/>
      <c r="F317" s="67" t="str">
        <f>IFERROR(IFERROR(INDEX(Кат!$A:$A,MATCH(Прайс!$B317,Кат!$G:$G,0)),INDEX(Торг!$B:$B,MATCH(Прайс!$B317,Торг!$H:$H,0))),"")</f>
        <v/>
      </c>
      <c r="G317" s="67" t="str">
        <f>IFERROR(IFERROR(INDEX(Кат!$B:$B,MATCH(Прайс!$B317,Кат!$G:$G,0)),INDEX(Торг!$C:$C,MATCH(Прайс!$B317,Торг!$H:$H,0))),"")</f>
        <v/>
      </c>
      <c r="H317" s="67" t="str">
        <f>IFERROR(IFERROR(INDEX(Кат!$I:$I,MATCH(Прайс!$B317,Кат!$G:$G,0)),INDEX(Торг!$I:$I,MATCH(Прайс!$B317,Торг!$H:$H,0))),"")</f>
        <v/>
      </c>
    </row>
    <row r="318" spans="1:8" x14ac:dyDescent="0.25">
      <c r="A318" s="94" t="s">
        <v>7382</v>
      </c>
      <c r="B318" s="98">
        <v>30059</v>
      </c>
      <c r="C318" s="98" t="s">
        <v>7383</v>
      </c>
      <c r="D318" s="96" t="s">
        <v>161</v>
      </c>
      <c r="E318" s="107">
        <v>2300</v>
      </c>
      <c r="F318" s="67" t="str">
        <f>IFERROR(IFERROR(INDEX(Кат!$A:$A,MATCH(Прайс!$B318,Кат!$G:$G,0)),INDEX(Торг!$B:$B,MATCH(Прайс!$B318,Торг!$H:$H,0))),"")</f>
        <v/>
      </c>
      <c r="G318" s="67" t="str">
        <f>IFERROR(IFERROR(INDEX(Кат!$B:$B,MATCH(Прайс!$B318,Кат!$G:$G,0)),INDEX(Торг!$C:$C,MATCH(Прайс!$B318,Торг!$H:$H,0))),"")</f>
        <v/>
      </c>
      <c r="H318" s="67" t="str">
        <f>IFERROR(IFERROR(INDEX(Кат!$I:$I,MATCH(Прайс!$B318,Кат!$G:$G,0)),INDEX(Торг!$I:$I,MATCH(Прайс!$B318,Торг!$H:$H,0))),"")</f>
        <v/>
      </c>
    </row>
    <row r="319" spans="1:8" ht="15.75" x14ac:dyDescent="0.25">
      <c r="A319" s="90"/>
      <c r="B319" s="91"/>
      <c r="C319" s="92" t="s">
        <v>314</v>
      </c>
      <c r="D319" s="91"/>
      <c r="E319" s="93"/>
      <c r="F319" s="67" t="str">
        <f>IFERROR(IFERROR(INDEX(Кат!$A:$A,MATCH(Прайс!$B319,Кат!$G:$G,0)),INDEX(Торг!$B:$B,MATCH(Прайс!$B319,Торг!$H:$H,0))),"")</f>
        <v/>
      </c>
      <c r="G319" s="67" t="str">
        <f>IFERROR(IFERROR(INDEX(Кат!$B:$B,MATCH(Прайс!$B319,Кат!$G:$G,0)),INDEX(Торг!$C:$C,MATCH(Прайс!$B319,Торг!$H:$H,0))),"")</f>
        <v/>
      </c>
      <c r="H319" s="67" t="str">
        <f>IFERROR(IFERROR(INDEX(Кат!$I:$I,MATCH(Прайс!$B319,Кат!$G:$G,0)),INDEX(Торг!$I:$I,MATCH(Прайс!$B319,Торг!$H:$H,0))),"")</f>
        <v/>
      </c>
    </row>
    <row r="320" spans="1:8" x14ac:dyDescent="0.25">
      <c r="A320" s="103" t="s">
        <v>6592</v>
      </c>
      <c r="B320" s="104">
        <v>30058</v>
      </c>
      <c r="C320" s="104" t="s">
        <v>6593</v>
      </c>
      <c r="D320" s="105" t="s">
        <v>190</v>
      </c>
      <c r="E320" s="113">
        <v>740</v>
      </c>
      <c r="F320" s="67" t="str">
        <f>IFERROR(IFERROR(INDEX(Кат!$A:$A,MATCH(Прайс!$B320,Кат!$G:$G,0)),INDEX(Торг!$B:$B,MATCH(Прайс!$B320,Торг!$H:$H,0))),"")</f>
        <v/>
      </c>
      <c r="G320" s="67" t="str">
        <f>IFERROR(IFERROR(INDEX(Кат!$B:$B,MATCH(Прайс!$B320,Кат!$G:$G,0)),INDEX(Торг!$C:$C,MATCH(Прайс!$B320,Торг!$H:$H,0))),"")</f>
        <v/>
      </c>
      <c r="H320" s="67" t="str">
        <f>IFERROR(IFERROR(INDEX(Кат!$I:$I,MATCH(Прайс!$B320,Кат!$G:$G,0)),INDEX(Торг!$I:$I,MATCH(Прайс!$B320,Торг!$H:$H,0))),"")</f>
        <v/>
      </c>
    </row>
    <row r="321" spans="1:8" x14ac:dyDescent="0.25">
      <c r="A321" s="103" t="s">
        <v>2594</v>
      </c>
      <c r="B321" s="104">
        <v>30034</v>
      </c>
      <c r="C321" s="104" t="s">
        <v>315</v>
      </c>
      <c r="D321" s="105" t="s">
        <v>190</v>
      </c>
      <c r="E321" s="113">
        <v>660</v>
      </c>
      <c r="F321" s="67" t="str">
        <f>IFERROR(IFERROR(INDEX(Кат!$A:$A,MATCH(Прайс!$B321,Кат!$G:$G,0)),INDEX(Торг!$B:$B,MATCH(Прайс!$B321,Торг!$H:$H,0))),"")</f>
        <v/>
      </c>
      <c r="G321" s="67" t="str">
        <f>IFERROR(IFERROR(INDEX(Кат!$B:$B,MATCH(Прайс!$B321,Кат!$G:$G,0)),INDEX(Торг!$C:$C,MATCH(Прайс!$B321,Торг!$H:$H,0))),"")</f>
        <v/>
      </c>
      <c r="H321" s="67" t="str">
        <f>IFERROR(IFERROR(INDEX(Кат!$I:$I,MATCH(Прайс!$B321,Кат!$G:$G,0)),INDEX(Торг!$I:$I,MATCH(Прайс!$B321,Торг!$H:$H,0))),"")</f>
        <v/>
      </c>
    </row>
    <row r="322" spans="1:8" x14ac:dyDescent="0.25">
      <c r="A322" s="103" t="s">
        <v>2595</v>
      </c>
      <c r="B322" s="104">
        <v>30028</v>
      </c>
      <c r="C322" s="104" t="s">
        <v>316</v>
      </c>
      <c r="D322" s="105" t="s">
        <v>161</v>
      </c>
      <c r="E322" s="106">
        <v>1600</v>
      </c>
      <c r="F322" s="67" t="str">
        <f>IFERROR(IFERROR(INDEX(Кат!$A:$A,MATCH(Прайс!$B322,Кат!$G:$G,0)),INDEX(Торг!$B:$B,MATCH(Прайс!$B322,Торг!$H:$H,0))),"")</f>
        <v/>
      </c>
      <c r="G322" s="67" t="str">
        <f>IFERROR(IFERROR(INDEX(Кат!$B:$B,MATCH(Прайс!$B322,Кат!$G:$G,0)),INDEX(Торг!$C:$C,MATCH(Прайс!$B322,Торг!$H:$H,0))),"")</f>
        <v/>
      </c>
      <c r="H322" s="67" t="str">
        <f>IFERROR(IFERROR(INDEX(Кат!$I:$I,MATCH(Прайс!$B322,Кат!$G:$G,0)),INDEX(Торг!$I:$I,MATCH(Прайс!$B322,Торг!$H:$H,0))),"")</f>
        <v/>
      </c>
    </row>
    <row r="323" spans="1:8" x14ac:dyDescent="0.25">
      <c r="A323" s="103" t="s">
        <v>7384</v>
      </c>
      <c r="B323" s="104">
        <v>30030</v>
      </c>
      <c r="C323" s="104" t="s">
        <v>7385</v>
      </c>
      <c r="D323" s="105" t="s">
        <v>159</v>
      </c>
      <c r="E323" s="113">
        <v>600</v>
      </c>
      <c r="F323" s="67" t="str">
        <f>IFERROR(IFERROR(INDEX(Кат!$A:$A,MATCH(Прайс!$B323,Кат!$G:$G,0)),INDEX(Торг!$B:$B,MATCH(Прайс!$B323,Торг!$H:$H,0))),"")</f>
        <v/>
      </c>
      <c r="G323" s="67" t="str">
        <f>IFERROR(IFERROR(INDEX(Кат!$B:$B,MATCH(Прайс!$B323,Кат!$G:$G,0)),INDEX(Торг!$C:$C,MATCH(Прайс!$B323,Торг!$H:$H,0))),"")</f>
        <v/>
      </c>
      <c r="H323" s="67" t="str">
        <f>IFERROR(IFERROR(INDEX(Кат!$I:$I,MATCH(Прайс!$B323,Кат!$G:$G,0)),INDEX(Торг!$I:$I,MATCH(Прайс!$B323,Торг!$H:$H,0))),"")</f>
        <v/>
      </c>
    </row>
    <row r="324" spans="1:8" x14ac:dyDescent="0.25">
      <c r="A324" s="103" t="s">
        <v>2596</v>
      </c>
      <c r="B324" s="104">
        <v>30031</v>
      </c>
      <c r="C324" s="104" t="s">
        <v>317</v>
      </c>
      <c r="D324" s="105" t="s">
        <v>159</v>
      </c>
      <c r="E324" s="113">
        <v>940</v>
      </c>
      <c r="F324" s="67" t="str">
        <f>IFERROR(IFERROR(INDEX(Кат!$A:$A,MATCH(Прайс!$B324,Кат!$G:$G,0)),INDEX(Торг!$B:$B,MATCH(Прайс!$B324,Торг!$H:$H,0))),"")</f>
        <v/>
      </c>
      <c r="G324" s="67" t="str">
        <f>IFERROR(IFERROR(INDEX(Кат!$B:$B,MATCH(Прайс!$B324,Кат!$G:$G,0)),INDEX(Торг!$C:$C,MATCH(Прайс!$B324,Торг!$H:$H,0))),"")</f>
        <v/>
      </c>
      <c r="H324" s="67" t="str">
        <f>IFERROR(IFERROR(INDEX(Кат!$I:$I,MATCH(Прайс!$B324,Кат!$G:$G,0)),INDEX(Торг!$I:$I,MATCH(Прайс!$B324,Торг!$H:$H,0))),"")</f>
        <v/>
      </c>
    </row>
    <row r="325" spans="1:8" x14ac:dyDescent="0.25">
      <c r="A325" s="103" t="s">
        <v>6594</v>
      </c>
      <c r="B325" s="104">
        <v>30032</v>
      </c>
      <c r="C325" s="104" t="s">
        <v>6595</v>
      </c>
      <c r="D325" s="105" t="s">
        <v>318</v>
      </c>
      <c r="E325" s="113">
        <v>600</v>
      </c>
      <c r="F325" s="67" t="str">
        <f>IFERROR(IFERROR(INDEX(Кат!$A:$A,MATCH(Прайс!$B325,Кат!$G:$G,0)),INDEX(Торг!$B:$B,MATCH(Прайс!$B325,Торг!$H:$H,0))),"")</f>
        <v/>
      </c>
      <c r="G325" s="67" t="str">
        <f>IFERROR(IFERROR(INDEX(Кат!$B:$B,MATCH(Прайс!$B325,Кат!$G:$G,0)),INDEX(Торг!$C:$C,MATCH(Прайс!$B325,Торг!$H:$H,0))),"")</f>
        <v/>
      </c>
      <c r="H325" s="67" t="str">
        <f>IFERROR(IFERROR(INDEX(Кат!$I:$I,MATCH(Прайс!$B325,Кат!$G:$G,0)),INDEX(Торг!$I:$I,MATCH(Прайс!$B325,Торг!$H:$H,0))),"")</f>
        <v/>
      </c>
    </row>
    <row r="326" spans="1:8" x14ac:dyDescent="0.25">
      <c r="A326" s="103" t="s">
        <v>2597</v>
      </c>
      <c r="B326" s="104">
        <v>30033</v>
      </c>
      <c r="C326" s="104" t="s">
        <v>319</v>
      </c>
      <c r="D326" s="105" t="s">
        <v>161</v>
      </c>
      <c r="E326" s="106">
        <v>1650</v>
      </c>
      <c r="F326" s="67" t="str">
        <f>IFERROR(IFERROR(INDEX(Кат!$A:$A,MATCH(Прайс!$B326,Кат!$G:$G,0)),INDEX(Торг!$B:$B,MATCH(Прайс!$B326,Торг!$H:$H,0))),"")</f>
        <v/>
      </c>
      <c r="G326" s="67" t="str">
        <f>IFERROR(IFERROR(INDEX(Кат!$B:$B,MATCH(Прайс!$B326,Кат!$G:$G,0)),INDEX(Торг!$C:$C,MATCH(Прайс!$B326,Торг!$H:$H,0))),"")</f>
        <v/>
      </c>
      <c r="H326" s="67" t="str">
        <f>IFERROR(IFERROR(INDEX(Кат!$I:$I,MATCH(Прайс!$B326,Кат!$G:$G,0)),INDEX(Торг!$I:$I,MATCH(Прайс!$B326,Торг!$H:$H,0))),"")</f>
        <v/>
      </c>
    </row>
    <row r="327" spans="1:8" x14ac:dyDescent="0.25">
      <c r="A327" s="103" t="s">
        <v>2598</v>
      </c>
      <c r="B327" s="104">
        <v>30039</v>
      </c>
      <c r="C327" s="104" t="s">
        <v>320</v>
      </c>
      <c r="D327" s="105" t="s">
        <v>190</v>
      </c>
      <c r="E327" s="106">
        <v>1600</v>
      </c>
      <c r="F327" s="67" t="str">
        <f>IFERROR(IFERROR(INDEX(Кат!$A:$A,MATCH(Прайс!$B327,Кат!$G:$G,0)),INDEX(Торг!$B:$B,MATCH(Прайс!$B327,Торг!$H:$H,0))),"")</f>
        <v/>
      </c>
      <c r="G327" s="67" t="str">
        <f>IFERROR(IFERROR(INDEX(Кат!$B:$B,MATCH(Прайс!$B327,Кат!$G:$G,0)),INDEX(Торг!$C:$C,MATCH(Прайс!$B327,Торг!$H:$H,0))),"")</f>
        <v/>
      </c>
      <c r="H327" s="67" t="str">
        <f>IFERROR(IFERROR(INDEX(Кат!$I:$I,MATCH(Прайс!$B327,Кат!$G:$G,0)),INDEX(Торг!$I:$I,MATCH(Прайс!$B327,Торг!$H:$H,0))),"")</f>
        <v/>
      </c>
    </row>
    <row r="328" spans="1:8" x14ac:dyDescent="0.25">
      <c r="A328" s="103" t="s">
        <v>2599</v>
      </c>
      <c r="B328" s="104">
        <v>30041</v>
      </c>
      <c r="C328" s="104" t="s">
        <v>321</v>
      </c>
      <c r="D328" s="105" t="s">
        <v>190</v>
      </c>
      <c r="E328" s="106">
        <v>1600</v>
      </c>
      <c r="F328" s="67" t="str">
        <f>IFERROR(IFERROR(INDEX(Кат!$A:$A,MATCH(Прайс!$B328,Кат!$G:$G,0)),INDEX(Торг!$B:$B,MATCH(Прайс!$B328,Торг!$H:$H,0))),"")</f>
        <v/>
      </c>
      <c r="G328" s="67" t="str">
        <f>IFERROR(IFERROR(INDEX(Кат!$B:$B,MATCH(Прайс!$B328,Кат!$G:$G,0)),INDEX(Торг!$C:$C,MATCH(Прайс!$B328,Торг!$H:$H,0))),"")</f>
        <v/>
      </c>
      <c r="H328" s="67" t="str">
        <f>IFERROR(IFERROR(INDEX(Кат!$I:$I,MATCH(Прайс!$B328,Кат!$G:$G,0)),INDEX(Торг!$I:$I,MATCH(Прайс!$B328,Торг!$H:$H,0))),"")</f>
        <v/>
      </c>
    </row>
    <row r="329" spans="1:8" x14ac:dyDescent="0.25">
      <c r="A329" s="103" t="s">
        <v>2600</v>
      </c>
      <c r="B329" s="104">
        <v>30042</v>
      </c>
      <c r="C329" s="104" t="s">
        <v>322</v>
      </c>
      <c r="D329" s="105" t="s">
        <v>190</v>
      </c>
      <c r="E329" s="106">
        <v>1450</v>
      </c>
      <c r="F329" s="67" t="str">
        <f>IFERROR(IFERROR(INDEX(Кат!$A:$A,MATCH(Прайс!$B329,Кат!$G:$G,0)),INDEX(Торг!$B:$B,MATCH(Прайс!$B329,Торг!$H:$H,0))),"")</f>
        <v/>
      </c>
      <c r="G329" s="67" t="str">
        <f>IFERROR(IFERROR(INDEX(Кат!$B:$B,MATCH(Прайс!$B329,Кат!$G:$G,0)),INDEX(Торг!$C:$C,MATCH(Прайс!$B329,Торг!$H:$H,0))),"")</f>
        <v/>
      </c>
      <c r="H329" s="67" t="str">
        <f>IFERROR(IFERROR(INDEX(Кат!$I:$I,MATCH(Прайс!$B329,Кат!$G:$G,0)),INDEX(Торг!$I:$I,MATCH(Прайс!$B329,Торг!$H:$H,0))),"")</f>
        <v/>
      </c>
    </row>
    <row r="330" spans="1:8" x14ac:dyDescent="0.25">
      <c r="A330" s="103" t="s">
        <v>2601</v>
      </c>
      <c r="B330" s="104">
        <v>30043</v>
      </c>
      <c r="C330" s="104" t="s">
        <v>323</v>
      </c>
      <c r="D330" s="105" t="s">
        <v>190</v>
      </c>
      <c r="E330" s="106">
        <v>1450</v>
      </c>
      <c r="F330" s="67" t="str">
        <f>IFERROR(IFERROR(INDEX(Кат!$A:$A,MATCH(Прайс!$B330,Кат!$G:$G,0)),INDEX(Торг!$B:$B,MATCH(Прайс!$B330,Торг!$H:$H,0))),"")</f>
        <v/>
      </c>
      <c r="G330" s="67" t="str">
        <f>IFERROR(IFERROR(INDEX(Кат!$B:$B,MATCH(Прайс!$B330,Кат!$G:$G,0)),INDEX(Торг!$C:$C,MATCH(Прайс!$B330,Торг!$H:$H,0))),"")</f>
        <v/>
      </c>
      <c r="H330" s="67" t="str">
        <f>IFERROR(IFERROR(INDEX(Кат!$I:$I,MATCH(Прайс!$B330,Кат!$G:$G,0)),INDEX(Торг!$I:$I,MATCH(Прайс!$B330,Торг!$H:$H,0))),"")</f>
        <v/>
      </c>
    </row>
    <row r="331" spans="1:8" x14ac:dyDescent="0.25">
      <c r="A331" s="103" t="s">
        <v>2602</v>
      </c>
      <c r="B331" s="104">
        <v>30045</v>
      </c>
      <c r="C331" s="104" t="s">
        <v>324</v>
      </c>
      <c r="D331" s="105" t="s">
        <v>190</v>
      </c>
      <c r="E331" s="106">
        <v>2500</v>
      </c>
      <c r="F331" s="67" t="str">
        <f>IFERROR(IFERROR(INDEX(Кат!$A:$A,MATCH(Прайс!$B331,Кат!$G:$G,0)),INDEX(Торг!$B:$B,MATCH(Прайс!$B331,Торг!$H:$H,0))),"")</f>
        <v/>
      </c>
      <c r="G331" s="67" t="str">
        <f>IFERROR(IFERROR(INDEX(Кат!$B:$B,MATCH(Прайс!$B331,Кат!$G:$G,0)),INDEX(Торг!$C:$C,MATCH(Прайс!$B331,Торг!$H:$H,0))),"")</f>
        <v/>
      </c>
      <c r="H331" s="67" t="str">
        <f>IFERROR(IFERROR(INDEX(Кат!$I:$I,MATCH(Прайс!$B331,Кат!$G:$G,0)),INDEX(Торг!$I:$I,MATCH(Прайс!$B331,Торг!$H:$H,0))),"")</f>
        <v/>
      </c>
    </row>
    <row r="332" spans="1:8" x14ac:dyDescent="0.25">
      <c r="A332" s="103" t="s">
        <v>2603</v>
      </c>
      <c r="B332" s="104">
        <v>30047</v>
      </c>
      <c r="C332" s="104" t="s">
        <v>325</v>
      </c>
      <c r="D332" s="105" t="s">
        <v>190</v>
      </c>
      <c r="E332" s="106">
        <v>2700</v>
      </c>
      <c r="F332" s="67" t="str">
        <f>IFERROR(IFERROR(INDEX(Кат!$A:$A,MATCH(Прайс!$B332,Кат!$G:$G,0)),INDEX(Торг!$B:$B,MATCH(Прайс!$B332,Торг!$H:$H,0))),"")</f>
        <v/>
      </c>
      <c r="G332" s="67" t="str">
        <f>IFERROR(IFERROR(INDEX(Кат!$B:$B,MATCH(Прайс!$B332,Кат!$G:$G,0)),INDEX(Торг!$C:$C,MATCH(Прайс!$B332,Торг!$H:$H,0))),"")</f>
        <v/>
      </c>
      <c r="H332" s="67" t="str">
        <f>IFERROR(IFERROR(INDEX(Кат!$I:$I,MATCH(Прайс!$B332,Кат!$G:$G,0)),INDEX(Торг!$I:$I,MATCH(Прайс!$B332,Торг!$H:$H,0))),"")</f>
        <v/>
      </c>
    </row>
    <row r="333" spans="1:8" ht="15.75" x14ac:dyDescent="0.25">
      <c r="A333" s="87"/>
      <c r="B333" s="88"/>
      <c r="C333" s="88" t="s">
        <v>326</v>
      </c>
      <c r="D333" s="88"/>
      <c r="E333" s="89"/>
      <c r="F333" s="67" t="str">
        <f>IFERROR(IFERROR(INDEX(Кат!$A:$A,MATCH(Прайс!$B333,Кат!$G:$G,0)),INDEX(Торг!$B:$B,MATCH(Прайс!$B333,Торг!$H:$H,0))),"")</f>
        <v/>
      </c>
      <c r="G333" s="67" t="str">
        <f>IFERROR(IFERROR(INDEX(Кат!$B:$B,MATCH(Прайс!$B333,Кат!$G:$G,0)),INDEX(Торг!$C:$C,MATCH(Прайс!$B333,Торг!$H:$H,0))),"")</f>
        <v/>
      </c>
      <c r="H333" s="67" t="str">
        <f>IFERROR(IFERROR(INDEX(Кат!$I:$I,MATCH(Прайс!$B333,Кат!$G:$G,0)),INDEX(Торг!$I:$I,MATCH(Прайс!$B333,Торг!$H:$H,0))),"")</f>
        <v/>
      </c>
    </row>
    <row r="334" spans="1:8" ht="15.75" x14ac:dyDescent="0.25">
      <c r="A334" s="90"/>
      <c r="B334" s="91"/>
      <c r="C334" s="92" t="s">
        <v>327</v>
      </c>
      <c r="D334" s="91"/>
      <c r="E334" s="93"/>
      <c r="F334" s="67" t="str">
        <f>IFERROR(IFERROR(INDEX(Кат!$A:$A,MATCH(Прайс!$B334,Кат!$G:$G,0)),INDEX(Торг!$B:$B,MATCH(Прайс!$B334,Торг!$H:$H,0))),"")</f>
        <v/>
      </c>
      <c r="G334" s="67" t="str">
        <f>IFERROR(IFERROR(INDEX(Кат!$B:$B,MATCH(Прайс!$B334,Кат!$G:$G,0)),INDEX(Торг!$C:$C,MATCH(Прайс!$B334,Торг!$H:$H,0))),"")</f>
        <v/>
      </c>
      <c r="H334" s="67" t="str">
        <f>IFERROR(IFERROR(INDEX(Кат!$I:$I,MATCH(Прайс!$B334,Кат!$G:$G,0)),INDEX(Торг!$I:$I,MATCH(Прайс!$B334,Торг!$H:$H,0))),"")</f>
        <v/>
      </c>
    </row>
    <row r="335" spans="1:8" x14ac:dyDescent="0.25">
      <c r="A335" s="94" t="s">
        <v>2604</v>
      </c>
      <c r="B335" s="98">
        <v>40002</v>
      </c>
      <c r="C335" s="98" t="s">
        <v>328</v>
      </c>
      <c r="D335" s="96" t="s">
        <v>177</v>
      </c>
      <c r="E335" s="97">
        <v>320</v>
      </c>
      <c r="F335" s="67" t="str">
        <f>IFERROR(IFERROR(INDEX(Кат!$A:$A,MATCH(Прайс!$B335,Кат!$G:$G,0)),INDEX(Торг!$B:$B,MATCH(Прайс!$B335,Торг!$H:$H,0))),"")</f>
        <v/>
      </c>
      <c r="G335" s="67" t="str">
        <f>IFERROR(IFERROR(INDEX(Кат!$B:$B,MATCH(Прайс!$B335,Кат!$G:$G,0)),INDEX(Торг!$C:$C,MATCH(Прайс!$B335,Торг!$H:$H,0))),"")</f>
        <v/>
      </c>
      <c r="H335" s="67" t="str">
        <f>IFERROR(IFERROR(INDEX(Кат!$I:$I,MATCH(Прайс!$B335,Кат!$G:$G,0)),INDEX(Торг!$I:$I,MATCH(Прайс!$B335,Торг!$H:$H,0))),"")</f>
        <v/>
      </c>
    </row>
    <row r="336" spans="1:8" x14ac:dyDescent="0.25">
      <c r="A336" s="94" t="s">
        <v>2605</v>
      </c>
      <c r="B336" s="98">
        <v>40003</v>
      </c>
      <c r="C336" s="98" t="s">
        <v>329</v>
      </c>
      <c r="D336" s="96" t="s">
        <v>330</v>
      </c>
      <c r="E336" s="97">
        <v>400</v>
      </c>
      <c r="F336" s="67" t="str">
        <f>IFERROR(IFERROR(INDEX(Кат!$A:$A,MATCH(Прайс!$B336,Кат!$G:$G,0)),INDEX(Торг!$B:$B,MATCH(Прайс!$B336,Торг!$H:$H,0))),"")</f>
        <v/>
      </c>
      <c r="G336" s="67" t="str">
        <f>IFERROR(IFERROR(INDEX(Кат!$B:$B,MATCH(Прайс!$B336,Кат!$G:$G,0)),INDEX(Торг!$C:$C,MATCH(Прайс!$B336,Торг!$H:$H,0))),"")</f>
        <v/>
      </c>
      <c r="H336" s="67" t="str">
        <f>IFERROR(IFERROR(INDEX(Кат!$I:$I,MATCH(Прайс!$B336,Кат!$G:$G,0)),INDEX(Торг!$I:$I,MATCH(Прайс!$B336,Торг!$H:$H,0))),"")</f>
        <v/>
      </c>
    </row>
    <row r="337" spans="1:8" x14ac:dyDescent="0.25">
      <c r="A337" s="94" t="s">
        <v>2606</v>
      </c>
      <c r="B337" s="98">
        <v>40004</v>
      </c>
      <c r="C337" s="98" t="s">
        <v>331</v>
      </c>
      <c r="D337" s="96" t="s">
        <v>160</v>
      </c>
      <c r="E337" s="97">
        <v>520</v>
      </c>
      <c r="F337" s="67" t="str">
        <f>IFERROR(IFERROR(INDEX(Кат!$A:$A,MATCH(Прайс!$B337,Кат!$G:$G,0)),INDEX(Торг!$B:$B,MATCH(Прайс!$B337,Торг!$H:$H,0))),"")</f>
        <v/>
      </c>
      <c r="G337" s="67" t="str">
        <f>IFERROR(IFERROR(INDEX(Кат!$B:$B,MATCH(Прайс!$B337,Кат!$G:$G,0)),INDEX(Торг!$C:$C,MATCH(Прайс!$B337,Торг!$H:$H,0))),"")</f>
        <v/>
      </c>
      <c r="H337" s="67" t="str">
        <f>IFERROR(IFERROR(INDEX(Кат!$I:$I,MATCH(Прайс!$B337,Кат!$G:$G,0)),INDEX(Торг!$I:$I,MATCH(Прайс!$B337,Торг!$H:$H,0))),"")</f>
        <v/>
      </c>
    </row>
    <row r="338" spans="1:8" x14ac:dyDescent="0.25">
      <c r="A338" s="94" t="s">
        <v>5707</v>
      </c>
      <c r="B338" s="98">
        <v>40494</v>
      </c>
      <c r="C338" s="98" t="s">
        <v>7386</v>
      </c>
      <c r="D338" s="96" t="s">
        <v>177</v>
      </c>
      <c r="E338" s="97">
        <v>520</v>
      </c>
      <c r="F338" s="67" t="str">
        <f>IFERROR(IFERROR(INDEX(Кат!$A:$A,MATCH(Прайс!$B338,Кат!$G:$G,0)),INDEX(Торг!$B:$B,MATCH(Прайс!$B338,Торг!$H:$H,0))),"")</f>
        <v/>
      </c>
      <c r="G338" s="67" t="str">
        <f>IFERROR(IFERROR(INDEX(Кат!$B:$B,MATCH(Прайс!$B338,Кат!$G:$G,0)),INDEX(Торг!$C:$C,MATCH(Прайс!$B338,Торг!$H:$H,0))),"")</f>
        <v/>
      </c>
      <c r="H338" s="67" t="str">
        <f>IFERROR(IFERROR(INDEX(Кат!$I:$I,MATCH(Прайс!$B338,Кат!$G:$G,0)),INDEX(Торг!$I:$I,MATCH(Прайс!$B338,Торг!$H:$H,0))),"")</f>
        <v/>
      </c>
    </row>
    <row r="339" spans="1:8" x14ac:dyDescent="0.25">
      <c r="A339" s="94" t="s">
        <v>5708</v>
      </c>
      <c r="B339" s="98">
        <v>40005</v>
      </c>
      <c r="C339" s="98" t="s">
        <v>5709</v>
      </c>
      <c r="D339" s="96" t="s">
        <v>177</v>
      </c>
      <c r="E339" s="97">
        <v>640</v>
      </c>
      <c r="F339" s="67" t="str">
        <f>IFERROR(IFERROR(INDEX(Кат!$A:$A,MATCH(Прайс!$B339,Кат!$G:$G,0)),INDEX(Торг!$B:$B,MATCH(Прайс!$B339,Торг!$H:$H,0))),"")</f>
        <v/>
      </c>
      <c r="G339" s="67" t="str">
        <f>IFERROR(IFERROR(INDEX(Кат!$B:$B,MATCH(Прайс!$B339,Кат!$G:$G,0)),INDEX(Торг!$C:$C,MATCH(Прайс!$B339,Торг!$H:$H,0))),"")</f>
        <v/>
      </c>
      <c r="H339" s="67" t="str">
        <f>IFERROR(IFERROR(INDEX(Кат!$I:$I,MATCH(Прайс!$B339,Кат!$G:$G,0)),INDEX(Торг!$I:$I,MATCH(Прайс!$B339,Торг!$H:$H,0))),"")</f>
        <v/>
      </c>
    </row>
    <row r="340" spans="1:8" x14ac:dyDescent="0.25">
      <c r="A340" s="94" t="s">
        <v>2607</v>
      </c>
      <c r="B340" s="98">
        <v>40006</v>
      </c>
      <c r="C340" s="98" t="s">
        <v>332</v>
      </c>
      <c r="D340" s="96" t="s">
        <v>160</v>
      </c>
      <c r="E340" s="97">
        <v>780</v>
      </c>
      <c r="F340" s="67" t="str">
        <f>IFERROR(IFERROR(INDEX(Кат!$A:$A,MATCH(Прайс!$B340,Кат!$G:$G,0)),INDEX(Торг!$B:$B,MATCH(Прайс!$B340,Торг!$H:$H,0))),"")</f>
        <v/>
      </c>
      <c r="G340" s="67" t="str">
        <f>IFERROR(IFERROR(INDEX(Кат!$B:$B,MATCH(Прайс!$B340,Кат!$G:$G,0)),INDEX(Торг!$C:$C,MATCH(Прайс!$B340,Торг!$H:$H,0))),"")</f>
        <v/>
      </c>
      <c r="H340" s="67" t="str">
        <f>IFERROR(IFERROR(INDEX(Кат!$I:$I,MATCH(Прайс!$B340,Кат!$G:$G,0)),INDEX(Торг!$I:$I,MATCH(Прайс!$B340,Торг!$H:$H,0))),"")</f>
        <v/>
      </c>
    </row>
    <row r="341" spans="1:8" ht="15.75" x14ac:dyDescent="0.25">
      <c r="A341" s="90"/>
      <c r="B341" s="91"/>
      <c r="C341" s="92" t="s">
        <v>333</v>
      </c>
      <c r="D341" s="91"/>
      <c r="E341" s="93"/>
      <c r="F341" s="67" t="str">
        <f>IFERROR(IFERROR(INDEX(Кат!$A:$A,MATCH(Прайс!$B341,Кат!$G:$G,0)),INDEX(Торг!$B:$B,MATCH(Прайс!$B341,Торг!$H:$H,0))),"")</f>
        <v/>
      </c>
      <c r="G341" s="67" t="str">
        <f>IFERROR(IFERROR(INDEX(Кат!$B:$B,MATCH(Прайс!$B341,Кат!$G:$G,0)),INDEX(Торг!$C:$C,MATCH(Прайс!$B341,Торг!$H:$H,0))),"")</f>
        <v/>
      </c>
      <c r="H341" s="67" t="str">
        <f>IFERROR(IFERROR(INDEX(Кат!$I:$I,MATCH(Прайс!$B341,Кат!$G:$G,0)),INDEX(Торг!$I:$I,MATCH(Прайс!$B341,Торг!$H:$H,0))),"")</f>
        <v/>
      </c>
    </row>
    <row r="342" spans="1:8" x14ac:dyDescent="0.25">
      <c r="A342" s="99" t="s">
        <v>6094</v>
      </c>
      <c r="B342" s="108">
        <v>40516</v>
      </c>
      <c r="C342" s="108" t="s">
        <v>6095</v>
      </c>
      <c r="D342" s="101" t="s">
        <v>160</v>
      </c>
      <c r="E342" s="102">
        <v>100</v>
      </c>
      <c r="F342" s="67" t="str">
        <f>IFERROR(IFERROR(INDEX(Кат!$A:$A,MATCH(Прайс!$B342,Кат!$G:$G,0)),INDEX(Торг!$B:$B,MATCH(Прайс!$B342,Торг!$H:$H,0))),"")</f>
        <v/>
      </c>
      <c r="G342" s="67" t="str">
        <f>IFERROR(IFERROR(INDEX(Кат!$B:$B,MATCH(Прайс!$B342,Кат!$G:$G,0)),INDEX(Торг!$C:$C,MATCH(Прайс!$B342,Торг!$H:$H,0))),"")</f>
        <v/>
      </c>
      <c r="H342" s="67" t="str">
        <f>IFERROR(IFERROR(INDEX(Кат!$I:$I,MATCH(Прайс!$B342,Кат!$G:$G,0)),INDEX(Торг!$I:$I,MATCH(Прайс!$B342,Торг!$H:$H,0))),"")</f>
        <v/>
      </c>
    </row>
    <row r="343" spans="1:8" x14ac:dyDescent="0.25">
      <c r="A343" s="99" t="s">
        <v>6096</v>
      </c>
      <c r="B343" s="108">
        <v>40514</v>
      </c>
      <c r="C343" s="108" t="s">
        <v>6097</v>
      </c>
      <c r="D343" s="101" t="s">
        <v>160</v>
      </c>
      <c r="E343" s="102">
        <v>75</v>
      </c>
      <c r="F343" s="67" t="str">
        <f>IFERROR(IFERROR(INDEX(Кат!$A:$A,MATCH(Прайс!$B343,Кат!$G:$G,0)),INDEX(Торг!$B:$B,MATCH(Прайс!$B343,Торг!$H:$H,0))),"")</f>
        <v/>
      </c>
      <c r="G343" s="67" t="str">
        <f>IFERROR(IFERROR(INDEX(Кат!$B:$B,MATCH(Прайс!$B343,Кат!$G:$G,0)),INDEX(Торг!$C:$C,MATCH(Прайс!$B343,Торг!$H:$H,0))),"")</f>
        <v/>
      </c>
      <c r="H343" s="67" t="str">
        <f>IFERROR(IFERROR(INDEX(Кат!$I:$I,MATCH(Прайс!$B343,Кат!$G:$G,0)),INDEX(Торг!$I:$I,MATCH(Прайс!$B343,Торг!$H:$H,0))),"")</f>
        <v/>
      </c>
    </row>
    <row r="344" spans="1:8" x14ac:dyDescent="0.25">
      <c r="A344" s="99" t="s">
        <v>6098</v>
      </c>
      <c r="B344" s="108">
        <v>40515</v>
      </c>
      <c r="C344" s="108" t="s">
        <v>6099</v>
      </c>
      <c r="D344" s="101" t="s">
        <v>160</v>
      </c>
      <c r="E344" s="102">
        <v>75</v>
      </c>
      <c r="F344" s="67" t="str">
        <f>IFERROR(IFERROR(INDEX(Кат!$A:$A,MATCH(Прайс!$B344,Кат!$G:$G,0)),INDEX(Торг!$B:$B,MATCH(Прайс!$B344,Торг!$H:$H,0))),"")</f>
        <v/>
      </c>
      <c r="G344" s="67" t="str">
        <f>IFERROR(IFERROR(INDEX(Кат!$B:$B,MATCH(Прайс!$B344,Кат!$G:$G,0)),INDEX(Торг!$C:$C,MATCH(Прайс!$B344,Торг!$H:$H,0))),"")</f>
        <v/>
      </c>
      <c r="H344" s="67" t="str">
        <f>IFERROR(IFERROR(INDEX(Кат!$I:$I,MATCH(Прайс!$B344,Кат!$G:$G,0)),INDEX(Торг!$I:$I,MATCH(Прайс!$B344,Торг!$H:$H,0))),"")</f>
        <v/>
      </c>
    </row>
    <row r="345" spans="1:8" x14ac:dyDescent="0.25">
      <c r="A345" s="99" t="s">
        <v>6100</v>
      </c>
      <c r="B345" s="108">
        <v>40513</v>
      </c>
      <c r="C345" s="108" t="s">
        <v>6101</v>
      </c>
      <c r="D345" s="101" t="s">
        <v>160</v>
      </c>
      <c r="E345" s="102">
        <v>90</v>
      </c>
      <c r="F345" s="67" t="str">
        <f>IFERROR(IFERROR(INDEX(Кат!$A:$A,MATCH(Прайс!$B345,Кат!$G:$G,0)),INDEX(Торг!$B:$B,MATCH(Прайс!$B345,Торг!$H:$H,0))),"")</f>
        <v/>
      </c>
      <c r="G345" s="67" t="str">
        <f>IFERROR(IFERROR(INDEX(Кат!$B:$B,MATCH(Прайс!$B345,Кат!$G:$G,0)),INDEX(Торг!$C:$C,MATCH(Прайс!$B345,Торг!$H:$H,0))),"")</f>
        <v/>
      </c>
      <c r="H345" s="67" t="str">
        <f>IFERROR(IFERROR(INDEX(Кат!$I:$I,MATCH(Прайс!$B345,Кат!$G:$G,0)),INDEX(Торг!$I:$I,MATCH(Прайс!$B345,Торг!$H:$H,0))),"")</f>
        <v/>
      </c>
    </row>
    <row r="346" spans="1:8" x14ac:dyDescent="0.25">
      <c r="A346" s="94" t="s">
        <v>2608</v>
      </c>
      <c r="B346" s="98">
        <v>40009</v>
      </c>
      <c r="C346" s="98" t="s">
        <v>334</v>
      </c>
      <c r="D346" s="96" t="s">
        <v>271</v>
      </c>
      <c r="E346" s="97">
        <v>145</v>
      </c>
      <c r="F346" s="67" t="str">
        <f>IFERROR(IFERROR(INDEX(Кат!$A:$A,MATCH(Прайс!$B346,Кат!$G:$G,0)),INDEX(Торг!$B:$B,MATCH(Прайс!$B346,Торг!$H:$H,0))),"")</f>
        <v/>
      </c>
      <c r="G346" s="67" t="str">
        <f>IFERROR(IFERROR(INDEX(Кат!$B:$B,MATCH(Прайс!$B346,Кат!$G:$G,0)),INDEX(Торг!$C:$C,MATCH(Прайс!$B346,Торг!$H:$H,0))),"")</f>
        <v/>
      </c>
      <c r="H346" s="67" t="str">
        <f>IFERROR(IFERROR(INDEX(Кат!$I:$I,MATCH(Прайс!$B346,Кат!$G:$G,0)),INDEX(Торг!$I:$I,MATCH(Прайс!$B346,Торг!$H:$H,0))),"")</f>
        <v/>
      </c>
    </row>
    <row r="347" spans="1:8" x14ac:dyDescent="0.25">
      <c r="A347" s="94" t="s">
        <v>2609</v>
      </c>
      <c r="B347" s="98">
        <v>40010</v>
      </c>
      <c r="C347" s="98" t="s">
        <v>335</v>
      </c>
      <c r="D347" s="96" t="s">
        <v>271</v>
      </c>
      <c r="E347" s="97">
        <v>145</v>
      </c>
      <c r="F347" s="67" t="str">
        <f>IFERROR(IFERROR(INDEX(Кат!$A:$A,MATCH(Прайс!$B347,Кат!$G:$G,0)),INDEX(Торг!$B:$B,MATCH(Прайс!$B347,Торг!$H:$H,0))),"")</f>
        <v/>
      </c>
      <c r="G347" s="67" t="str">
        <f>IFERROR(IFERROR(INDEX(Кат!$B:$B,MATCH(Прайс!$B347,Кат!$G:$G,0)),INDEX(Торг!$C:$C,MATCH(Прайс!$B347,Торг!$H:$H,0))),"")</f>
        <v/>
      </c>
      <c r="H347" s="67" t="str">
        <f>IFERROR(IFERROR(INDEX(Кат!$I:$I,MATCH(Прайс!$B347,Кат!$G:$G,0)),INDEX(Торг!$I:$I,MATCH(Прайс!$B347,Торг!$H:$H,0))),"")</f>
        <v/>
      </c>
    </row>
    <row r="348" spans="1:8" x14ac:dyDescent="0.25">
      <c r="A348" s="94" t="s">
        <v>2610</v>
      </c>
      <c r="B348" s="98">
        <v>40011</v>
      </c>
      <c r="C348" s="98" t="s">
        <v>336</v>
      </c>
      <c r="D348" s="96" t="s">
        <v>337</v>
      </c>
      <c r="E348" s="97">
        <v>85</v>
      </c>
      <c r="F348" s="67" t="str">
        <f>IFERROR(IFERROR(INDEX(Кат!$A:$A,MATCH(Прайс!$B348,Кат!$G:$G,0)),INDEX(Торг!$B:$B,MATCH(Прайс!$B348,Торг!$H:$H,0))),"")</f>
        <v/>
      </c>
      <c r="G348" s="67" t="str">
        <f>IFERROR(IFERROR(INDEX(Кат!$B:$B,MATCH(Прайс!$B348,Кат!$G:$G,0)),INDEX(Торг!$C:$C,MATCH(Прайс!$B348,Торг!$H:$H,0))),"")</f>
        <v/>
      </c>
      <c r="H348" s="67" t="str">
        <f>IFERROR(IFERROR(INDEX(Кат!$I:$I,MATCH(Прайс!$B348,Кат!$G:$G,0)),INDEX(Торг!$I:$I,MATCH(Прайс!$B348,Торг!$H:$H,0))),"")</f>
        <v/>
      </c>
    </row>
    <row r="349" spans="1:8" x14ac:dyDescent="0.25">
      <c r="A349" s="94" t="s">
        <v>2611</v>
      </c>
      <c r="B349" s="98">
        <v>40012</v>
      </c>
      <c r="C349" s="98" t="s">
        <v>338</v>
      </c>
      <c r="D349" s="96" t="s">
        <v>337</v>
      </c>
      <c r="E349" s="97">
        <v>85</v>
      </c>
      <c r="F349" s="67" t="str">
        <f>IFERROR(IFERROR(INDEX(Кат!$A:$A,MATCH(Прайс!$B349,Кат!$G:$G,0)),INDEX(Торг!$B:$B,MATCH(Прайс!$B349,Торг!$H:$H,0))),"")</f>
        <v/>
      </c>
      <c r="G349" s="67" t="str">
        <f>IFERROR(IFERROR(INDEX(Кат!$B:$B,MATCH(Прайс!$B349,Кат!$G:$G,0)),INDEX(Торг!$C:$C,MATCH(Прайс!$B349,Торг!$H:$H,0))),"")</f>
        <v/>
      </c>
      <c r="H349" s="67" t="str">
        <f>IFERROR(IFERROR(INDEX(Кат!$I:$I,MATCH(Прайс!$B349,Кат!$G:$G,0)),INDEX(Торг!$I:$I,MATCH(Прайс!$B349,Торг!$H:$H,0))),"")</f>
        <v/>
      </c>
    </row>
    <row r="350" spans="1:8" x14ac:dyDescent="0.25">
      <c r="A350" s="99" t="s">
        <v>2612</v>
      </c>
      <c r="B350" s="108">
        <v>40014</v>
      </c>
      <c r="C350" s="108" t="s">
        <v>5710</v>
      </c>
      <c r="D350" s="101" t="s">
        <v>162</v>
      </c>
      <c r="E350" s="102">
        <v>120</v>
      </c>
      <c r="F350" s="67" t="str">
        <f>IFERROR(IFERROR(INDEX(Кат!$A:$A,MATCH(Прайс!$B350,Кат!$G:$G,0)),INDEX(Торг!$B:$B,MATCH(Прайс!$B350,Торг!$H:$H,0))),"")</f>
        <v/>
      </c>
      <c r="G350" s="67" t="str">
        <f>IFERROR(IFERROR(INDEX(Кат!$B:$B,MATCH(Прайс!$B350,Кат!$G:$G,0)),INDEX(Торг!$C:$C,MATCH(Прайс!$B350,Торг!$H:$H,0))),"")</f>
        <v/>
      </c>
      <c r="H350" s="67" t="str">
        <f>IFERROR(IFERROR(INDEX(Кат!$I:$I,MATCH(Прайс!$B350,Кат!$G:$G,0)),INDEX(Торг!$I:$I,MATCH(Прайс!$B350,Торг!$H:$H,0))),"")</f>
        <v/>
      </c>
    </row>
    <row r="351" spans="1:8" x14ac:dyDescent="0.25">
      <c r="A351" s="99" t="s">
        <v>2613</v>
      </c>
      <c r="B351" s="108">
        <v>40015</v>
      </c>
      <c r="C351" s="108" t="s">
        <v>339</v>
      </c>
      <c r="D351" s="101" t="s">
        <v>160</v>
      </c>
      <c r="E351" s="102">
        <v>100</v>
      </c>
      <c r="F351" s="67" t="str">
        <f>IFERROR(IFERROR(INDEX(Кат!$A:$A,MATCH(Прайс!$B351,Кат!$G:$G,0)),INDEX(Торг!$B:$B,MATCH(Прайс!$B351,Торг!$H:$H,0))),"")</f>
        <v/>
      </c>
      <c r="G351" s="67" t="str">
        <f>IFERROR(IFERROR(INDEX(Кат!$B:$B,MATCH(Прайс!$B351,Кат!$G:$G,0)),INDEX(Торг!$C:$C,MATCH(Прайс!$B351,Торг!$H:$H,0))),"")</f>
        <v/>
      </c>
      <c r="H351" s="67" t="str">
        <f>IFERROR(IFERROR(INDEX(Кат!$I:$I,MATCH(Прайс!$B351,Кат!$G:$G,0)),INDEX(Торг!$I:$I,MATCH(Прайс!$B351,Торг!$H:$H,0))),"")</f>
        <v/>
      </c>
    </row>
    <row r="352" spans="1:8" x14ac:dyDescent="0.25">
      <c r="A352" s="99" t="s">
        <v>2614</v>
      </c>
      <c r="B352" s="108">
        <v>40016</v>
      </c>
      <c r="C352" s="108" t="s">
        <v>340</v>
      </c>
      <c r="D352" s="101" t="s">
        <v>160</v>
      </c>
      <c r="E352" s="102">
        <v>140</v>
      </c>
      <c r="F352" s="67" t="str">
        <f>IFERROR(IFERROR(INDEX(Кат!$A:$A,MATCH(Прайс!$B352,Кат!$G:$G,0)),INDEX(Торг!$B:$B,MATCH(Прайс!$B352,Торг!$H:$H,0))),"")</f>
        <v/>
      </c>
      <c r="G352" s="67" t="str">
        <f>IFERROR(IFERROR(INDEX(Кат!$B:$B,MATCH(Прайс!$B352,Кат!$G:$G,0)),INDEX(Торг!$C:$C,MATCH(Прайс!$B352,Торг!$H:$H,0))),"")</f>
        <v/>
      </c>
      <c r="H352" s="67" t="str">
        <f>IFERROR(IFERROR(INDEX(Кат!$I:$I,MATCH(Прайс!$B352,Кат!$G:$G,0)),INDEX(Торг!$I:$I,MATCH(Прайс!$B352,Торг!$H:$H,0))),"")</f>
        <v/>
      </c>
    </row>
    <row r="353" spans="1:8" x14ac:dyDescent="0.25">
      <c r="A353" s="99" t="s">
        <v>6102</v>
      </c>
      <c r="B353" s="108">
        <v>40017</v>
      </c>
      <c r="C353" s="108" t="s">
        <v>6103</v>
      </c>
      <c r="D353" s="101" t="s">
        <v>162</v>
      </c>
      <c r="E353" s="102">
        <v>260</v>
      </c>
      <c r="F353" s="67" t="str">
        <f>IFERROR(IFERROR(INDEX(Кат!$A:$A,MATCH(Прайс!$B353,Кат!$G:$G,0)),INDEX(Торг!$B:$B,MATCH(Прайс!$B353,Торг!$H:$H,0))),"")</f>
        <v/>
      </c>
      <c r="G353" s="67" t="str">
        <f>IFERROR(IFERROR(INDEX(Кат!$B:$B,MATCH(Прайс!$B353,Кат!$G:$G,0)),INDEX(Торг!$C:$C,MATCH(Прайс!$B353,Торг!$H:$H,0))),"")</f>
        <v/>
      </c>
      <c r="H353" s="67" t="str">
        <f>IFERROR(IFERROR(INDEX(Кат!$I:$I,MATCH(Прайс!$B353,Кат!$G:$G,0)),INDEX(Торг!$I:$I,MATCH(Прайс!$B353,Торг!$H:$H,0))),"")</f>
        <v/>
      </c>
    </row>
    <row r="354" spans="1:8" x14ac:dyDescent="0.25">
      <c r="A354" s="99" t="s">
        <v>2615</v>
      </c>
      <c r="B354" s="108">
        <v>40018</v>
      </c>
      <c r="C354" s="108" t="s">
        <v>341</v>
      </c>
      <c r="D354" s="101" t="s">
        <v>342</v>
      </c>
      <c r="E354" s="114">
        <v>1050</v>
      </c>
      <c r="F354" s="67" t="str">
        <f>IFERROR(IFERROR(INDEX(Кат!$A:$A,MATCH(Прайс!$B354,Кат!$G:$G,0)),INDEX(Торг!$B:$B,MATCH(Прайс!$B354,Торг!$H:$H,0))),"")</f>
        <v/>
      </c>
      <c r="G354" s="67" t="str">
        <f>IFERROR(IFERROR(INDEX(Кат!$B:$B,MATCH(Прайс!$B354,Кат!$G:$G,0)),INDEX(Торг!$C:$C,MATCH(Прайс!$B354,Торг!$H:$H,0))),"")</f>
        <v/>
      </c>
      <c r="H354" s="67" t="str">
        <f>IFERROR(IFERROR(INDEX(Кат!$I:$I,MATCH(Прайс!$B354,Кат!$G:$G,0)),INDEX(Торг!$I:$I,MATCH(Прайс!$B354,Торг!$H:$H,0))),"")</f>
        <v/>
      </c>
    </row>
    <row r="355" spans="1:8" ht="15.75" x14ac:dyDescent="0.25">
      <c r="A355" s="90"/>
      <c r="B355" s="91"/>
      <c r="C355" s="92" t="s">
        <v>343</v>
      </c>
      <c r="D355" s="91"/>
      <c r="E355" s="93"/>
      <c r="F355" s="67" t="str">
        <f>IFERROR(IFERROR(INDEX(Кат!$A:$A,MATCH(Прайс!$B355,Кат!$G:$G,0)),INDEX(Торг!$B:$B,MATCH(Прайс!$B355,Торг!$H:$H,0))),"")</f>
        <v/>
      </c>
      <c r="G355" s="67" t="str">
        <f>IFERROR(IFERROR(INDEX(Кат!$B:$B,MATCH(Прайс!$B355,Кат!$G:$G,0)),INDEX(Торг!$C:$C,MATCH(Прайс!$B355,Торг!$H:$H,0))),"")</f>
        <v/>
      </c>
      <c r="H355" s="67" t="str">
        <f>IFERROR(IFERROR(INDEX(Кат!$I:$I,MATCH(Прайс!$B355,Кат!$G:$G,0)),INDEX(Торг!$I:$I,MATCH(Прайс!$B355,Торг!$H:$H,0))),"")</f>
        <v/>
      </c>
    </row>
    <row r="356" spans="1:8" x14ac:dyDescent="0.25">
      <c r="A356" s="99" t="s">
        <v>2616</v>
      </c>
      <c r="B356" s="108">
        <v>40299</v>
      </c>
      <c r="C356" s="108" t="s">
        <v>344</v>
      </c>
      <c r="D356" s="101" t="s">
        <v>160</v>
      </c>
      <c r="E356" s="102">
        <v>145</v>
      </c>
      <c r="F356" s="67" t="str">
        <f>IFERROR(IFERROR(INDEX(Кат!$A:$A,MATCH(Прайс!$B356,Кат!$G:$G,0)),INDEX(Торг!$B:$B,MATCH(Прайс!$B356,Торг!$H:$H,0))),"")</f>
        <v/>
      </c>
      <c r="G356" s="67" t="str">
        <f>IFERROR(IFERROR(INDEX(Кат!$B:$B,MATCH(Прайс!$B356,Кат!$G:$G,0)),INDEX(Торг!$C:$C,MATCH(Прайс!$B356,Торг!$H:$H,0))),"")</f>
        <v/>
      </c>
      <c r="H356" s="67" t="str">
        <f>IFERROR(IFERROR(INDEX(Кат!$I:$I,MATCH(Прайс!$B356,Кат!$G:$G,0)),INDEX(Торг!$I:$I,MATCH(Прайс!$B356,Торг!$H:$H,0))),"")</f>
        <v/>
      </c>
    </row>
    <row r="357" spans="1:8" ht="15.75" x14ac:dyDescent="0.25">
      <c r="A357" s="90"/>
      <c r="B357" s="91"/>
      <c r="C357" s="92" t="s">
        <v>345</v>
      </c>
      <c r="D357" s="91"/>
      <c r="E357" s="93"/>
      <c r="F357" s="67" t="str">
        <f>IFERROR(IFERROR(INDEX(Кат!$A:$A,MATCH(Прайс!$B357,Кат!$G:$G,0)),INDEX(Торг!$B:$B,MATCH(Прайс!$B357,Торг!$H:$H,0))),"")</f>
        <v/>
      </c>
      <c r="G357" s="67" t="str">
        <f>IFERROR(IFERROR(INDEX(Кат!$B:$B,MATCH(Прайс!$B357,Кат!$G:$G,0)),INDEX(Торг!$C:$C,MATCH(Прайс!$B357,Торг!$H:$H,0))),"")</f>
        <v/>
      </c>
      <c r="H357" s="67" t="str">
        <f>IFERROR(IFERROR(INDEX(Кат!$I:$I,MATCH(Прайс!$B357,Кат!$G:$G,0)),INDEX(Торг!$I:$I,MATCH(Прайс!$B357,Торг!$H:$H,0))),"")</f>
        <v/>
      </c>
    </row>
    <row r="358" spans="1:8" x14ac:dyDescent="0.25">
      <c r="A358" s="94" t="s">
        <v>2617</v>
      </c>
      <c r="B358" s="98">
        <v>40036</v>
      </c>
      <c r="C358" s="98" t="s">
        <v>5711</v>
      </c>
      <c r="D358" s="96" t="s">
        <v>160</v>
      </c>
      <c r="E358" s="97">
        <v>155</v>
      </c>
      <c r="F358" s="67" t="str">
        <f>IFERROR(IFERROR(INDEX(Кат!$A:$A,MATCH(Прайс!$B358,Кат!$G:$G,0)),INDEX(Торг!$B:$B,MATCH(Прайс!$B358,Торг!$H:$H,0))),"")</f>
        <v/>
      </c>
      <c r="G358" s="67" t="str">
        <f>IFERROR(IFERROR(INDEX(Кат!$B:$B,MATCH(Прайс!$B358,Кат!$G:$G,0)),INDEX(Торг!$C:$C,MATCH(Прайс!$B358,Торг!$H:$H,0))),"")</f>
        <v/>
      </c>
      <c r="H358" s="67" t="str">
        <f>IFERROR(IFERROR(INDEX(Кат!$I:$I,MATCH(Прайс!$B358,Кат!$G:$G,0)),INDEX(Торг!$I:$I,MATCH(Прайс!$B358,Торг!$H:$H,0))),"")</f>
        <v/>
      </c>
    </row>
    <row r="359" spans="1:8" x14ac:dyDescent="0.25">
      <c r="A359" s="94" t="s">
        <v>2619</v>
      </c>
      <c r="B359" s="98">
        <v>40037</v>
      </c>
      <c r="C359" s="98" t="s">
        <v>5712</v>
      </c>
      <c r="D359" s="96" t="s">
        <v>160</v>
      </c>
      <c r="E359" s="97">
        <v>155</v>
      </c>
      <c r="F359" s="67" t="str">
        <f>IFERROR(IFERROR(INDEX(Кат!$A:$A,MATCH(Прайс!$B359,Кат!$G:$G,0)),INDEX(Торг!$B:$B,MATCH(Прайс!$B359,Торг!$H:$H,0))),"")</f>
        <v/>
      </c>
      <c r="G359" s="67" t="str">
        <f>IFERROR(IFERROR(INDEX(Кат!$B:$B,MATCH(Прайс!$B359,Кат!$G:$G,0)),INDEX(Торг!$C:$C,MATCH(Прайс!$B359,Торг!$H:$H,0))),"")</f>
        <v/>
      </c>
      <c r="H359" s="67" t="str">
        <f>IFERROR(IFERROR(INDEX(Кат!$I:$I,MATCH(Прайс!$B359,Кат!$G:$G,0)),INDEX(Торг!$I:$I,MATCH(Прайс!$B359,Торг!$H:$H,0))),"")</f>
        <v/>
      </c>
    </row>
    <row r="360" spans="1:8" x14ac:dyDescent="0.25">
      <c r="A360" s="94" t="s">
        <v>2621</v>
      </c>
      <c r="B360" s="98">
        <v>40038</v>
      </c>
      <c r="C360" s="98" t="s">
        <v>5713</v>
      </c>
      <c r="D360" s="96" t="s">
        <v>160</v>
      </c>
      <c r="E360" s="97">
        <v>155</v>
      </c>
      <c r="F360" s="67" t="str">
        <f>IFERROR(IFERROR(INDEX(Кат!$A:$A,MATCH(Прайс!$B360,Кат!$G:$G,0)),INDEX(Торг!$B:$B,MATCH(Прайс!$B360,Торг!$H:$H,0))),"")</f>
        <v/>
      </c>
      <c r="G360" s="67" t="str">
        <f>IFERROR(IFERROR(INDEX(Кат!$B:$B,MATCH(Прайс!$B360,Кат!$G:$G,0)),INDEX(Торг!$C:$C,MATCH(Прайс!$B360,Торг!$H:$H,0))),"")</f>
        <v/>
      </c>
      <c r="H360" s="67" t="str">
        <f>IFERROR(IFERROR(INDEX(Кат!$I:$I,MATCH(Прайс!$B360,Кат!$G:$G,0)),INDEX(Торг!$I:$I,MATCH(Прайс!$B360,Торг!$H:$H,0))),"")</f>
        <v/>
      </c>
    </row>
    <row r="361" spans="1:8" x14ac:dyDescent="0.25">
      <c r="A361" s="94" t="s">
        <v>2623</v>
      </c>
      <c r="B361" s="98">
        <v>40039</v>
      </c>
      <c r="C361" s="98" t="s">
        <v>5714</v>
      </c>
      <c r="D361" s="96" t="s">
        <v>160</v>
      </c>
      <c r="E361" s="97">
        <v>155</v>
      </c>
      <c r="F361" s="67" t="str">
        <f>IFERROR(IFERROR(INDEX(Кат!$A:$A,MATCH(Прайс!$B361,Кат!$G:$G,0)),INDEX(Торг!$B:$B,MATCH(Прайс!$B361,Торг!$H:$H,0))),"")</f>
        <v/>
      </c>
      <c r="G361" s="67" t="str">
        <f>IFERROR(IFERROR(INDEX(Кат!$B:$B,MATCH(Прайс!$B361,Кат!$G:$G,0)),INDEX(Торг!$C:$C,MATCH(Прайс!$B361,Торг!$H:$H,0))),"")</f>
        <v/>
      </c>
      <c r="H361" s="67" t="str">
        <f>IFERROR(IFERROR(INDEX(Кат!$I:$I,MATCH(Прайс!$B361,Кат!$G:$G,0)),INDEX(Торг!$I:$I,MATCH(Прайс!$B361,Торг!$H:$H,0))),"")</f>
        <v/>
      </c>
    </row>
    <row r="362" spans="1:8" x14ac:dyDescent="0.25">
      <c r="A362" s="94" t="s">
        <v>2618</v>
      </c>
      <c r="B362" s="98">
        <v>40032</v>
      </c>
      <c r="C362" s="98" t="s">
        <v>6596</v>
      </c>
      <c r="D362" s="96" t="s">
        <v>160</v>
      </c>
      <c r="E362" s="97">
        <v>260</v>
      </c>
      <c r="F362" s="67" t="str">
        <f>IFERROR(IFERROR(INDEX(Кат!$A:$A,MATCH(Прайс!$B362,Кат!$G:$G,0)),INDEX(Торг!$B:$B,MATCH(Прайс!$B362,Торг!$H:$H,0))),"")</f>
        <v/>
      </c>
      <c r="G362" s="67" t="str">
        <f>IFERROR(IFERROR(INDEX(Кат!$B:$B,MATCH(Прайс!$B362,Кат!$G:$G,0)),INDEX(Торг!$C:$C,MATCH(Прайс!$B362,Торг!$H:$H,0))),"")</f>
        <v/>
      </c>
      <c r="H362" s="67" t="str">
        <f>IFERROR(IFERROR(INDEX(Кат!$I:$I,MATCH(Прайс!$B362,Кат!$G:$G,0)),INDEX(Торг!$I:$I,MATCH(Прайс!$B362,Торг!$H:$H,0))),"")</f>
        <v/>
      </c>
    </row>
    <row r="363" spans="1:8" x14ac:dyDescent="0.25">
      <c r="A363" s="94" t="s">
        <v>2620</v>
      </c>
      <c r="B363" s="98">
        <v>40033</v>
      </c>
      <c r="C363" s="98" t="s">
        <v>6597</v>
      </c>
      <c r="D363" s="96" t="s">
        <v>160</v>
      </c>
      <c r="E363" s="97">
        <v>260</v>
      </c>
      <c r="F363" s="67" t="str">
        <f>IFERROR(IFERROR(INDEX(Кат!$A:$A,MATCH(Прайс!$B363,Кат!$G:$G,0)),INDEX(Торг!$B:$B,MATCH(Прайс!$B363,Торг!$H:$H,0))),"")</f>
        <v/>
      </c>
      <c r="G363" s="67" t="str">
        <f>IFERROR(IFERROR(INDEX(Кат!$B:$B,MATCH(Прайс!$B363,Кат!$G:$G,0)),INDEX(Торг!$C:$C,MATCH(Прайс!$B363,Торг!$H:$H,0))),"")</f>
        <v/>
      </c>
      <c r="H363" s="67" t="str">
        <f>IFERROR(IFERROR(INDEX(Кат!$I:$I,MATCH(Прайс!$B363,Кат!$G:$G,0)),INDEX(Торг!$I:$I,MATCH(Прайс!$B363,Торг!$H:$H,0))),"")</f>
        <v/>
      </c>
    </row>
    <row r="364" spans="1:8" x14ac:dyDescent="0.25">
      <c r="A364" s="94" t="s">
        <v>2622</v>
      </c>
      <c r="B364" s="98">
        <v>40034</v>
      </c>
      <c r="C364" s="98" t="s">
        <v>6598</v>
      </c>
      <c r="D364" s="96" t="s">
        <v>160</v>
      </c>
      <c r="E364" s="97">
        <v>260</v>
      </c>
      <c r="F364" s="67" t="str">
        <f>IFERROR(IFERROR(INDEX(Кат!$A:$A,MATCH(Прайс!$B364,Кат!$G:$G,0)),INDEX(Торг!$B:$B,MATCH(Прайс!$B364,Торг!$H:$H,0))),"")</f>
        <v/>
      </c>
      <c r="G364" s="67" t="str">
        <f>IFERROR(IFERROR(INDEX(Кат!$B:$B,MATCH(Прайс!$B364,Кат!$G:$G,0)),INDEX(Торг!$C:$C,MATCH(Прайс!$B364,Торг!$H:$H,0))),"")</f>
        <v/>
      </c>
      <c r="H364" s="67" t="str">
        <f>IFERROR(IFERROR(INDEX(Кат!$I:$I,MATCH(Прайс!$B364,Кат!$G:$G,0)),INDEX(Торг!$I:$I,MATCH(Прайс!$B364,Торг!$H:$H,0))),"")</f>
        <v/>
      </c>
    </row>
    <row r="365" spans="1:8" x14ac:dyDescent="0.25">
      <c r="A365" s="94" t="s">
        <v>2624</v>
      </c>
      <c r="B365" s="98">
        <v>40035</v>
      </c>
      <c r="C365" s="98" t="s">
        <v>6599</v>
      </c>
      <c r="D365" s="96" t="s">
        <v>160</v>
      </c>
      <c r="E365" s="97">
        <v>260</v>
      </c>
      <c r="F365" s="67" t="str">
        <f>IFERROR(IFERROR(INDEX(Кат!$A:$A,MATCH(Прайс!$B365,Кат!$G:$G,0)),INDEX(Торг!$B:$B,MATCH(Прайс!$B365,Торг!$H:$H,0))),"")</f>
        <v/>
      </c>
      <c r="G365" s="67" t="str">
        <f>IFERROR(IFERROR(INDEX(Кат!$B:$B,MATCH(Прайс!$B365,Кат!$G:$G,0)),INDEX(Торг!$C:$C,MATCH(Прайс!$B365,Торг!$H:$H,0))),"")</f>
        <v/>
      </c>
      <c r="H365" s="67" t="str">
        <f>IFERROR(IFERROR(INDEX(Кат!$I:$I,MATCH(Прайс!$B365,Кат!$G:$G,0)),INDEX(Торг!$I:$I,MATCH(Прайс!$B365,Торг!$H:$H,0))),"")</f>
        <v/>
      </c>
    </row>
    <row r="366" spans="1:8" x14ac:dyDescent="0.25">
      <c r="A366" s="94" t="s">
        <v>6104</v>
      </c>
      <c r="B366" s="98">
        <v>40508</v>
      </c>
      <c r="C366" s="98" t="s">
        <v>6105</v>
      </c>
      <c r="D366" s="96" t="s">
        <v>160</v>
      </c>
      <c r="E366" s="97">
        <v>170</v>
      </c>
      <c r="F366" s="67" t="str">
        <f>IFERROR(IFERROR(INDEX(Кат!$A:$A,MATCH(Прайс!$B366,Кат!$G:$G,0)),INDEX(Торг!$B:$B,MATCH(Прайс!$B366,Торг!$H:$H,0))),"")</f>
        <v/>
      </c>
      <c r="G366" s="67" t="str">
        <f>IFERROR(IFERROR(INDEX(Кат!$B:$B,MATCH(Прайс!$B366,Кат!$G:$G,0)),INDEX(Торг!$C:$C,MATCH(Прайс!$B366,Торг!$H:$H,0))),"")</f>
        <v/>
      </c>
      <c r="H366" s="67" t="str">
        <f>IFERROR(IFERROR(INDEX(Кат!$I:$I,MATCH(Прайс!$B366,Кат!$G:$G,0)),INDEX(Торг!$I:$I,MATCH(Прайс!$B366,Торг!$H:$H,0))),"")</f>
        <v/>
      </c>
    </row>
    <row r="367" spans="1:8" x14ac:dyDescent="0.25">
      <c r="A367" s="94" t="s">
        <v>2625</v>
      </c>
      <c r="B367" s="98">
        <v>40040</v>
      </c>
      <c r="C367" s="98" t="s">
        <v>346</v>
      </c>
      <c r="D367" s="96" t="s">
        <v>177</v>
      </c>
      <c r="E367" s="97">
        <v>235</v>
      </c>
      <c r="F367" s="67">
        <f>IFERROR(IFERROR(INDEX(Кат!$A:$A,MATCH(Прайс!$B367,Кат!$G:$G,0)),INDEX(Торг!$B:$B,MATCH(Прайс!$B367,Торг!$H:$H,0))),"")</f>
        <v>140757</v>
      </c>
      <c r="G367" s="67">
        <f>IFERROR(IFERROR(INDEX(Кат!$B:$B,MATCH(Прайс!$B367,Кат!$G:$G,0)),INDEX(Торг!$C:$C,MATCH(Прайс!$B367,Торг!$H:$H,0))),"")</f>
        <v>31701</v>
      </c>
      <c r="H367" s="67" t="str">
        <f>IFERROR(IFERROR(INDEX(Кат!$I:$I,MATCH(Прайс!$B367,Кат!$G:$G,0)),INDEX(Торг!$I:$I,MATCH(Прайс!$B367,Торг!$H:$H,0))),"")</f>
        <v>кристал авто</v>
      </c>
    </row>
    <row r="368" spans="1:8" x14ac:dyDescent="0.25">
      <c r="A368" s="94" t="s">
        <v>2626</v>
      </c>
      <c r="B368" s="98">
        <v>40041</v>
      </c>
      <c r="C368" s="98" t="s">
        <v>347</v>
      </c>
      <c r="D368" s="96" t="s">
        <v>1126</v>
      </c>
      <c r="E368" s="97">
        <v>45</v>
      </c>
      <c r="F368" s="67" t="str">
        <f>IFERROR(IFERROR(INDEX(Кат!$A:$A,MATCH(Прайс!$B368,Кат!$G:$G,0)),INDEX(Торг!$B:$B,MATCH(Прайс!$B368,Торг!$H:$H,0))),"")</f>
        <v/>
      </c>
      <c r="G368" s="67" t="str">
        <f>IFERROR(IFERROR(INDEX(Кат!$B:$B,MATCH(Прайс!$B368,Кат!$G:$G,0)),INDEX(Торг!$C:$C,MATCH(Прайс!$B368,Торг!$H:$H,0))),"")</f>
        <v/>
      </c>
      <c r="H368" s="67" t="str">
        <f>IFERROR(IFERROR(INDEX(Кат!$I:$I,MATCH(Прайс!$B368,Кат!$G:$G,0)),INDEX(Торг!$I:$I,MATCH(Прайс!$B368,Торг!$H:$H,0))),"")</f>
        <v/>
      </c>
    </row>
    <row r="369" spans="1:8" x14ac:dyDescent="0.25">
      <c r="A369" s="94" t="s">
        <v>2627</v>
      </c>
      <c r="B369" s="98">
        <v>40050</v>
      </c>
      <c r="C369" s="98" t="s">
        <v>348</v>
      </c>
      <c r="D369" s="96" t="s">
        <v>161</v>
      </c>
      <c r="E369" s="97">
        <v>100</v>
      </c>
      <c r="F369" s="67" t="str">
        <f>IFERROR(IFERROR(INDEX(Кат!$A:$A,MATCH(Прайс!$B369,Кат!$G:$G,0)),INDEX(Торг!$B:$B,MATCH(Прайс!$B369,Торг!$H:$H,0))),"")</f>
        <v/>
      </c>
      <c r="G369" s="67" t="str">
        <f>IFERROR(IFERROR(INDEX(Кат!$B:$B,MATCH(Прайс!$B369,Кат!$G:$G,0)),INDEX(Торг!$C:$C,MATCH(Прайс!$B369,Торг!$H:$H,0))),"")</f>
        <v/>
      </c>
      <c r="H369" s="67" t="str">
        <f>IFERROR(IFERROR(INDEX(Кат!$I:$I,MATCH(Прайс!$B369,Кат!$G:$G,0)),INDEX(Торг!$I:$I,MATCH(Прайс!$B369,Торг!$H:$H,0))),"")</f>
        <v/>
      </c>
    </row>
    <row r="370" spans="1:8" x14ac:dyDescent="0.25">
      <c r="A370" s="99" t="s">
        <v>7387</v>
      </c>
      <c r="B370" s="108">
        <v>40541</v>
      </c>
      <c r="C370" s="108" t="s">
        <v>8385</v>
      </c>
      <c r="D370" s="101" t="s">
        <v>480</v>
      </c>
      <c r="E370" s="102">
        <v>180</v>
      </c>
      <c r="F370" s="67" t="str">
        <f>IFERROR(IFERROR(INDEX(Кат!$A:$A,MATCH(Прайс!$B370,Кат!$G:$G,0)),INDEX(Торг!$B:$B,MATCH(Прайс!$B370,Торг!$H:$H,0))),"")</f>
        <v/>
      </c>
      <c r="G370" s="67" t="str">
        <f>IFERROR(IFERROR(INDEX(Кат!$B:$B,MATCH(Прайс!$B370,Кат!$G:$G,0)),INDEX(Торг!$C:$C,MATCH(Прайс!$B370,Торг!$H:$H,0))),"")</f>
        <v/>
      </c>
      <c r="H370" s="67" t="str">
        <f>IFERROR(IFERROR(INDEX(Кат!$I:$I,MATCH(Прайс!$B370,Кат!$G:$G,0)),INDEX(Торг!$I:$I,MATCH(Прайс!$B370,Торг!$H:$H,0))),"")</f>
        <v/>
      </c>
    </row>
    <row r="371" spans="1:8" x14ac:dyDescent="0.25">
      <c r="A371" s="109" t="s">
        <v>8386</v>
      </c>
      <c r="B371" s="110">
        <v>40550</v>
      </c>
      <c r="C371" s="110" t="s">
        <v>8387</v>
      </c>
      <c r="D371" s="111" t="s">
        <v>160</v>
      </c>
      <c r="E371" s="112">
        <v>330</v>
      </c>
      <c r="F371" s="67" t="str">
        <f>IFERROR(IFERROR(INDEX(Кат!$A:$A,MATCH(Прайс!$B371,Кат!$G:$G,0)),INDEX(Торг!$B:$B,MATCH(Прайс!$B371,Торг!$H:$H,0))),"")</f>
        <v/>
      </c>
      <c r="G371" s="67" t="str">
        <f>IFERROR(IFERROR(INDEX(Кат!$B:$B,MATCH(Прайс!$B371,Кат!$G:$G,0)),INDEX(Торг!$C:$C,MATCH(Прайс!$B371,Торг!$H:$H,0))),"")</f>
        <v/>
      </c>
      <c r="H371" s="67" t="str">
        <f>IFERROR(IFERROR(INDEX(Кат!$I:$I,MATCH(Прайс!$B371,Кат!$G:$G,0)),INDEX(Торг!$I:$I,MATCH(Прайс!$B371,Торг!$H:$H,0))),"")</f>
        <v/>
      </c>
    </row>
    <row r="372" spans="1:8" x14ac:dyDescent="0.25">
      <c r="A372" s="94" t="s">
        <v>2628</v>
      </c>
      <c r="B372" s="98">
        <v>40278</v>
      </c>
      <c r="C372" s="98" t="s">
        <v>349</v>
      </c>
      <c r="D372" s="96" t="s">
        <v>160</v>
      </c>
      <c r="E372" s="97">
        <v>155</v>
      </c>
      <c r="F372" s="67">
        <f>IFERROR(IFERROR(INDEX(Кат!$A:$A,MATCH(Прайс!$B372,Кат!$G:$G,0)),INDEX(Торг!$B:$B,MATCH(Прайс!$B372,Торг!$H:$H,0))),"")</f>
        <v>223976</v>
      </c>
      <c r="G372" s="67">
        <f>IFERROR(IFERROR(INDEX(Кат!$B:$B,MATCH(Прайс!$B372,Кат!$G:$G,0)),INDEX(Торг!$C:$C,MATCH(Прайс!$B372,Торг!$H:$H,0))),"")</f>
        <v>9469</v>
      </c>
      <c r="H372" s="67" t="str">
        <f>IFERROR(IFERROR(INDEX(Кат!$I:$I,MATCH(Прайс!$B372,Кат!$G:$G,0)),INDEX(Торг!$I:$I,MATCH(Прайс!$B372,Торг!$H:$H,0))),"")</f>
        <v>кристал авто</v>
      </c>
    </row>
    <row r="373" spans="1:8" x14ac:dyDescent="0.25">
      <c r="A373" s="94" t="s">
        <v>2629</v>
      </c>
      <c r="B373" s="98">
        <v>40279</v>
      </c>
      <c r="C373" s="98" t="s">
        <v>350</v>
      </c>
      <c r="D373" s="96" t="s">
        <v>160</v>
      </c>
      <c r="E373" s="97">
        <v>155</v>
      </c>
      <c r="F373" s="67" t="str">
        <f>IFERROR(IFERROR(INDEX(Кат!$A:$A,MATCH(Прайс!$B373,Кат!$G:$G,0)),INDEX(Торг!$B:$B,MATCH(Прайс!$B373,Торг!$H:$H,0))),"")</f>
        <v/>
      </c>
      <c r="G373" s="67" t="str">
        <f>IFERROR(IFERROR(INDEX(Кат!$B:$B,MATCH(Прайс!$B373,Кат!$G:$G,0)),INDEX(Торг!$C:$C,MATCH(Прайс!$B373,Торг!$H:$H,0))),"")</f>
        <v/>
      </c>
      <c r="H373" s="67" t="str">
        <f>IFERROR(IFERROR(INDEX(Кат!$I:$I,MATCH(Прайс!$B373,Кат!$G:$G,0)),INDEX(Торг!$I:$I,MATCH(Прайс!$B373,Торг!$H:$H,0))),"")</f>
        <v/>
      </c>
    </row>
    <row r="374" spans="1:8" x14ac:dyDescent="0.25">
      <c r="A374" s="94" t="s">
        <v>2630</v>
      </c>
      <c r="B374" s="98">
        <v>40444</v>
      </c>
      <c r="C374" s="98" t="s">
        <v>351</v>
      </c>
      <c r="D374" s="96" t="s">
        <v>160</v>
      </c>
      <c r="E374" s="97">
        <v>120</v>
      </c>
      <c r="F374" s="67" t="str">
        <f>IFERROR(IFERROR(INDEX(Кат!$A:$A,MATCH(Прайс!$B374,Кат!$G:$G,0)),INDEX(Торг!$B:$B,MATCH(Прайс!$B374,Торг!$H:$H,0))),"")</f>
        <v/>
      </c>
      <c r="G374" s="67" t="str">
        <f>IFERROR(IFERROR(INDEX(Кат!$B:$B,MATCH(Прайс!$B374,Кат!$G:$G,0)),INDEX(Торг!$C:$C,MATCH(Прайс!$B374,Торг!$H:$H,0))),"")</f>
        <v/>
      </c>
      <c r="H374" s="67" t="str">
        <f>IFERROR(IFERROR(INDEX(Кат!$I:$I,MATCH(Прайс!$B374,Кат!$G:$G,0)),INDEX(Торг!$I:$I,MATCH(Прайс!$B374,Торг!$H:$H,0))),"")</f>
        <v/>
      </c>
    </row>
    <row r="375" spans="1:8" x14ac:dyDescent="0.25">
      <c r="A375" s="94" t="s">
        <v>2631</v>
      </c>
      <c r="B375" s="98">
        <v>40445</v>
      </c>
      <c r="C375" s="98" t="s">
        <v>352</v>
      </c>
      <c r="D375" s="96" t="s">
        <v>160</v>
      </c>
      <c r="E375" s="97">
        <v>135</v>
      </c>
      <c r="F375" s="67" t="str">
        <f>IFERROR(IFERROR(INDEX(Кат!$A:$A,MATCH(Прайс!$B375,Кат!$G:$G,0)),INDEX(Торг!$B:$B,MATCH(Прайс!$B375,Торг!$H:$H,0))),"")</f>
        <v/>
      </c>
      <c r="G375" s="67" t="str">
        <f>IFERROR(IFERROR(INDEX(Кат!$B:$B,MATCH(Прайс!$B375,Кат!$G:$G,0)),INDEX(Торг!$C:$C,MATCH(Прайс!$B375,Торг!$H:$H,0))),"")</f>
        <v/>
      </c>
      <c r="H375" s="67" t="str">
        <f>IFERROR(IFERROR(INDEX(Кат!$I:$I,MATCH(Прайс!$B375,Кат!$G:$G,0)),INDEX(Торг!$I:$I,MATCH(Прайс!$B375,Торг!$H:$H,0))),"")</f>
        <v/>
      </c>
    </row>
    <row r="376" spans="1:8" x14ac:dyDescent="0.25">
      <c r="A376" s="94" t="s">
        <v>2632</v>
      </c>
      <c r="B376" s="98">
        <v>40291</v>
      </c>
      <c r="C376" s="98" t="s">
        <v>353</v>
      </c>
      <c r="D376" s="96" t="s">
        <v>160</v>
      </c>
      <c r="E376" s="97">
        <v>230</v>
      </c>
      <c r="F376" s="67" t="str">
        <f>IFERROR(IFERROR(INDEX(Кат!$A:$A,MATCH(Прайс!$B376,Кат!$G:$G,0)),INDEX(Торг!$B:$B,MATCH(Прайс!$B376,Торг!$H:$H,0))),"")</f>
        <v/>
      </c>
      <c r="G376" s="67" t="str">
        <f>IFERROR(IFERROR(INDEX(Кат!$B:$B,MATCH(Прайс!$B376,Кат!$G:$G,0)),INDEX(Торг!$C:$C,MATCH(Прайс!$B376,Торг!$H:$H,0))),"")</f>
        <v/>
      </c>
      <c r="H376" s="67" t="str">
        <f>IFERROR(IFERROR(INDEX(Кат!$I:$I,MATCH(Прайс!$B376,Кат!$G:$G,0)),INDEX(Торг!$I:$I,MATCH(Прайс!$B376,Торг!$H:$H,0))),"")</f>
        <v/>
      </c>
    </row>
    <row r="377" spans="1:8" x14ac:dyDescent="0.25">
      <c r="A377" s="94" t="s">
        <v>6600</v>
      </c>
      <c r="B377" s="98">
        <v>40533</v>
      </c>
      <c r="C377" s="98" t="s">
        <v>6601</v>
      </c>
      <c r="D377" s="96" t="s">
        <v>160</v>
      </c>
      <c r="E377" s="97">
        <v>225</v>
      </c>
      <c r="F377" s="67" t="str">
        <f>IFERROR(IFERROR(INDEX(Кат!$A:$A,MATCH(Прайс!$B377,Кат!$G:$G,0)),INDEX(Торг!$B:$B,MATCH(Прайс!$B377,Торг!$H:$H,0))),"")</f>
        <v/>
      </c>
      <c r="G377" s="67" t="str">
        <f>IFERROR(IFERROR(INDEX(Кат!$B:$B,MATCH(Прайс!$B377,Кат!$G:$G,0)),INDEX(Торг!$C:$C,MATCH(Прайс!$B377,Торг!$H:$H,0))),"")</f>
        <v/>
      </c>
      <c r="H377" s="67" t="str">
        <f>IFERROR(IFERROR(INDEX(Кат!$I:$I,MATCH(Прайс!$B377,Кат!$G:$G,0)),INDEX(Торг!$I:$I,MATCH(Прайс!$B377,Торг!$H:$H,0))),"")</f>
        <v/>
      </c>
    </row>
    <row r="378" spans="1:8" x14ac:dyDescent="0.25">
      <c r="A378" s="94" t="s">
        <v>6106</v>
      </c>
      <c r="B378" s="98">
        <v>40491</v>
      </c>
      <c r="C378" s="98" t="s">
        <v>6602</v>
      </c>
      <c r="D378" s="96" t="s">
        <v>160</v>
      </c>
      <c r="E378" s="97">
        <v>300</v>
      </c>
      <c r="F378" s="67" t="str">
        <f>IFERROR(IFERROR(INDEX(Кат!$A:$A,MATCH(Прайс!$B378,Кат!$G:$G,0)),INDEX(Торг!$B:$B,MATCH(Прайс!$B378,Торг!$H:$H,0))),"")</f>
        <v/>
      </c>
      <c r="G378" s="67" t="str">
        <f>IFERROR(IFERROR(INDEX(Кат!$B:$B,MATCH(Прайс!$B378,Кат!$G:$G,0)),INDEX(Торг!$C:$C,MATCH(Прайс!$B378,Торг!$H:$H,0))),"")</f>
        <v/>
      </c>
      <c r="H378" s="67" t="str">
        <f>IFERROR(IFERROR(INDEX(Кат!$I:$I,MATCH(Прайс!$B378,Кат!$G:$G,0)),INDEX(Торг!$I:$I,MATCH(Прайс!$B378,Торг!$H:$H,0))),"")</f>
        <v/>
      </c>
    </row>
    <row r="379" spans="1:8" ht="15.75" x14ac:dyDescent="0.25">
      <c r="A379" s="90"/>
      <c r="B379" s="91"/>
      <c r="C379" s="92" t="s">
        <v>354</v>
      </c>
      <c r="D379" s="91"/>
      <c r="E379" s="93"/>
      <c r="F379" s="67" t="str">
        <f>IFERROR(IFERROR(INDEX(Кат!$A:$A,MATCH(Прайс!$B379,Кат!$G:$G,0)),INDEX(Торг!$B:$B,MATCH(Прайс!$B379,Торг!$H:$H,0))),"")</f>
        <v/>
      </c>
      <c r="G379" s="67" t="str">
        <f>IFERROR(IFERROR(INDEX(Кат!$B:$B,MATCH(Прайс!$B379,Кат!$G:$G,0)),INDEX(Торг!$C:$C,MATCH(Прайс!$B379,Торг!$H:$H,0))),"")</f>
        <v/>
      </c>
      <c r="H379" s="67" t="str">
        <f>IFERROR(IFERROR(INDEX(Кат!$I:$I,MATCH(Прайс!$B379,Кат!$G:$G,0)),INDEX(Торг!$I:$I,MATCH(Прайс!$B379,Торг!$H:$H,0))),"")</f>
        <v/>
      </c>
    </row>
    <row r="380" spans="1:8" x14ac:dyDescent="0.25">
      <c r="A380" s="99" t="s">
        <v>2635</v>
      </c>
      <c r="B380" s="108">
        <v>40058</v>
      </c>
      <c r="C380" s="108" t="s">
        <v>355</v>
      </c>
      <c r="D380" s="101" t="s">
        <v>160</v>
      </c>
      <c r="E380" s="102">
        <v>110</v>
      </c>
      <c r="F380" s="67" t="str">
        <f>IFERROR(IFERROR(INDEX(Кат!$A:$A,MATCH(Прайс!$B380,Кат!$G:$G,0)),INDEX(Торг!$B:$B,MATCH(Прайс!$B380,Торг!$H:$H,0))),"")</f>
        <v/>
      </c>
      <c r="G380" s="67" t="str">
        <f>IFERROR(IFERROR(INDEX(Кат!$B:$B,MATCH(Прайс!$B380,Кат!$G:$G,0)),INDEX(Торг!$C:$C,MATCH(Прайс!$B380,Торг!$H:$H,0))),"")</f>
        <v/>
      </c>
      <c r="H380" s="67" t="str">
        <f>IFERROR(IFERROR(INDEX(Кат!$I:$I,MATCH(Прайс!$B380,Кат!$G:$G,0)),INDEX(Торг!$I:$I,MATCH(Прайс!$B380,Торг!$H:$H,0))),"")</f>
        <v/>
      </c>
    </row>
    <row r="381" spans="1:8" x14ac:dyDescent="0.25">
      <c r="A381" s="99" t="s">
        <v>2636</v>
      </c>
      <c r="B381" s="108">
        <v>40059</v>
      </c>
      <c r="C381" s="108" t="s">
        <v>356</v>
      </c>
      <c r="D381" s="101" t="s">
        <v>160</v>
      </c>
      <c r="E381" s="102">
        <v>400</v>
      </c>
      <c r="F381" s="67" t="str">
        <f>IFERROR(IFERROR(INDEX(Кат!$A:$A,MATCH(Прайс!$B381,Кат!$G:$G,0)),INDEX(Торг!$B:$B,MATCH(Прайс!$B381,Торг!$H:$H,0))),"")</f>
        <v/>
      </c>
      <c r="G381" s="67" t="str">
        <f>IFERROR(IFERROR(INDEX(Кат!$B:$B,MATCH(Прайс!$B381,Кат!$G:$G,0)),INDEX(Торг!$C:$C,MATCH(Прайс!$B381,Торг!$H:$H,0))),"")</f>
        <v/>
      </c>
      <c r="H381" s="67" t="str">
        <f>IFERROR(IFERROR(INDEX(Кат!$I:$I,MATCH(Прайс!$B381,Кат!$G:$G,0)),INDEX(Торг!$I:$I,MATCH(Прайс!$B381,Торг!$H:$H,0))),"")</f>
        <v/>
      </c>
    </row>
    <row r="382" spans="1:8" x14ac:dyDescent="0.25">
      <c r="A382" s="99" t="s">
        <v>2637</v>
      </c>
      <c r="B382" s="108">
        <v>40060</v>
      </c>
      <c r="C382" s="108" t="s">
        <v>357</v>
      </c>
      <c r="D382" s="101" t="s">
        <v>160</v>
      </c>
      <c r="E382" s="102">
        <v>285</v>
      </c>
      <c r="F382" s="67" t="str">
        <f>IFERROR(IFERROR(INDEX(Кат!$A:$A,MATCH(Прайс!$B382,Кат!$G:$G,0)),INDEX(Торг!$B:$B,MATCH(Прайс!$B382,Торг!$H:$H,0))),"")</f>
        <v/>
      </c>
      <c r="G382" s="67" t="str">
        <f>IFERROR(IFERROR(INDEX(Кат!$B:$B,MATCH(Прайс!$B382,Кат!$G:$G,0)),INDEX(Торг!$C:$C,MATCH(Прайс!$B382,Торг!$H:$H,0))),"")</f>
        <v/>
      </c>
      <c r="H382" s="67" t="str">
        <f>IFERROR(IFERROR(INDEX(Кат!$I:$I,MATCH(Прайс!$B382,Кат!$G:$G,0)),INDEX(Торг!$I:$I,MATCH(Прайс!$B382,Торг!$H:$H,0))),"")</f>
        <v/>
      </c>
    </row>
    <row r="383" spans="1:8" x14ac:dyDescent="0.25">
      <c r="A383" s="99" t="s">
        <v>2638</v>
      </c>
      <c r="B383" s="108">
        <v>40061</v>
      </c>
      <c r="C383" s="108" t="s">
        <v>358</v>
      </c>
      <c r="D383" s="101" t="s">
        <v>160</v>
      </c>
      <c r="E383" s="102">
        <v>200</v>
      </c>
      <c r="F383" s="67" t="str">
        <f>IFERROR(IFERROR(INDEX(Кат!$A:$A,MATCH(Прайс!$B383,Кат!$G:$G,0)),INDEX(Торг!$B:$B,MATCH(Прайс!$B383,Торг!$H:$H,0))),"")</f>
        <v/>
      </c>
      <c r="G383" s="67" t="str">
        <f>IFERROR(IFERROR(INDEX(Кат!$B:$B,MATCH(Прайс!$B383,Кат!$G:$G,0)),INDEX(Торг!$C:$C,MATCH(Прайс!$B383,Торг!$H:$H,0))),"")</f>
        <v/>
      </c>
      <c r="H383" s="67" t="str">
        <f>IFERROR(IFERROR(INDEX(Кат!$I:$I,MATCH(Прайс!$B383,Кат!$G:$G,0)),INDEX(Торг!$I:$I,MATCH(Прайс!$B383,Торг!$H:$H,0))),"")</f>
        <v/>
      </c>
    </row>
    <row r="384" spans="1:8" x14ac:dyDescent="0.25">
      <c r="A384" s="99" t="s">
        <v>8169</v>
      </c>
      <c r="B384" s="108">
        <v>40062</v>
      </c>
      <c r="C384" s="108" t="s">
        <v>8170</v>
      </c>
      <c r="D384" s="101" t="s">
        <v>160</v>
      </c>
      <c r="E384" s="102">
        <v>100</v>
      </c>
      <c r="F384" s="67" t="str">
        <f>IFERROR(IFERROR(INDEX(Кат!$A:$A,MATCH(Прайс!$B384,Кат!$G:$G,0)),INDEX(Торг!$B:$B,MATCH(Прайс!$B384,Торг!$H:$H,0))),"")</f>
        <v/>
      </c>
      <c r="G384" s="67" t="str">
        <f>IFERROR(IFERROR(INDEX(Кат!$B:$B,MATCH(Прайс!$B384,Кат!$G:$G,0)),INDEX(Торг!$C:$C,MATCH(Прайс!$B384,Торг!$H:$H,0))),"")</f>
        <v/>
      </c>
      <c r="H384" s="67" t="str">
        <f>IFERROR(IFERROR(INDEX(Кат!$I:$I,MATCH(Прайс!$B384,Кат!$G:$G,0)),INDEX(Торг!$I:$I,MATCH(Прайс!$B384,Торг!$H:$H,0))),"")</f>
        <v/>
      </c>
    </row>
    <row r="385" spans="1:8" x14ac:dyDescent="0.25">
      <c r="A385" s="99" t="s">
        <v>6603</v>
      </c>
      <c r="B385" s="108">
        <v>40532</v>
      </c>
      <c r="C385" s="108" t="s">
        <v>6604</v>
      </c>
      <c r="D385" s="101" t="s">
        <v>160</v>
      </c>
      <c r="E385" s="102">
        <v>85</v>
      </c>
      <c r="F385" s="67" t="str">
        <f>IFERROR(IFERROR(INDEX(Кат!$A:$A,MATCH(Прайс!$B385,Кат!$G:$G,0)),INDEX(Торг!$B:$B,MATCH(Прайс!$B385,Торг!$H:$H,0))),"")</f>
        <v/>
      </c>
      <c r="G385" s="67" t="str">
        <f>IFERROR(IFERROR(INDEX(Кат!$B:$B,MATCH(Прайс!$B385,Кат!$G:$G,0)),INDEX(Торг!$C:$C,MATCH(Прайс!$B385,Торг!$H:$H,0))),"")</f>
        <v/>
      </c>
      <c r="H385" s="67" t="str">
        <f>IFERROR(IFERROR(INDEX(Кат!$I:$I,MATCH(Прайс!$B385,Кат!$G:$G,0)),INDEX(Торг!$I:$I,MATCH(Прайс!$B385,Торг!$H:$H,0))),"")</f>
        <v/>
      </c>
    </row>
    <row r="386" spans="1:8" x14ac:dyDescent="0.25">
      <c r="A386" s="99" t="s">
        <v>2633</v>
      </c>
      <c r="B386" s="108">
        <v>40057</v>
      </c>
      <c r="C386" s="108" t="s">
        <v>5392</v>
      </c>
      <c r="D386" s="101" t="s">
        <v>160</v>
      </c>
      <c r="E386" s="102">
        <v>95</v>
      </c>
      <c r="F386" s="67" t="str">
        <f>IFERROR(IFERROR(INDEX(Кат!$A:$A,MATCH(Прайс!$B386,Кат!$G:$G,0)),INDEX(Торг!$B:$B,MATCH(Прайс!$B386,Торг!$H:$H,0))),"")</f>
        <v/>
      </c>
      <c r="G386" s="67" t="str">
        <f>IFERROR(IFERROR(INDEX(Кат!$B:$B,MATCH(Прайс!$B386,Кат!$G:$G,0)),INDEX(Торг!$C:$C,MATCH(Прайс!$B386,Торг!$H:$H,0))),"")</f>
        <v/>
      </c>
      <c r="H386" s="67" t="str">
        <f>IFERROR(IFERROR(INDEX(Кат!$I:$I,MATCH(Прайс!$B386,Кат!$G:$G,0)),INDEX(Торг!$I:$I,MATCH(Прайс!$B386,Торг!$H:$H,0))),"")</f>
        <v/>
      </c>
    </row>
    <row r="387" spans="1:8" x14ac:dyDescent="0.25">
      <c r="A387" s="99" t="s">
        <v>2634</v>
      </c>
      <c r="B387" s="108">
        <v>40463</v>
      </c>
      <c r="C387" s="108" t="s">
        <v>7388</v>
      </c>
      <c r="D387" s="101" t="s">
        <v>160</v>
      </c>
      <c r="E387" s="102">
        <v>200</v>
      </c>
      <c r="F387" s="67" t="str">
        <f>IFERROR(IFERROR(INDEX(Кат!$A:$A,MATCH(Прайс!$B387,Кат!$G:$G,0)),INDEX(Торг!$B:$B,MATCH(Прайс!$B387,Торг!$H:$H,0))),"")</f>
        <v/>
      </c>
      <c r="G387" s="67" t="str">
        <f>IFERROR(IFERROR(INDEX(Кат!$B:$B,MATCH(Прайс!$B387,Кат!$G:$G,0)),INDEX(Торг!$C:$C,MATCH(Прайс!$B387,Торг!$H:$H,0))),"")</f>
        <v/>
      </c>
      <c r="H387" s="67" t="str">
        <f>IFERROR(IFERROR(INDEX(Кат!$I:$I,MATCH(Прайс!$B387,Кат!$G:$G,0)),INDEX(Торг!$I:$I,MATCH(Прайс!$B387,Торг!$H:$H,0))),"")</f>
        <v/>
      </c>
    </row>
    <row r="388" spans="1:8" x14ac:dyDescent="0.25">
      <c r="A388" s="94" t="s">
        <v>7389</v>
      </c>
      <c r="B388" s="98">
        <v>40540</v>
      </c>
      <c r="C388" s="98" t="s">
        <v>7390</v>
      </c>
      <c r="D388" s="96" t="s">
        <v>160</v>
      </c>
      <c r="E388" s="97">
        <v>140</v>
      </c>
      <c r="F388" s="67" t="str">
        <f>IFERROR(IFERROR(INDEX(Кат!$A:$A,MATCH(Прайс!$B388,Кат!$G:$G,0)),INDEX(Торг!$B:$B,MATCH(Прайс!$B388,Торг!$H:$H,0))),"")</f>
        <v/>
      </c>
      <c r="G388" s="67" t="str">
        <f>IFERROR(IFERROR(INDEX(Кат!$B:$B,MATCH(Прайс!$B388,Кат!$G:$G,0)),INDEX(Торг!$C:$C,MATCH(Прайс!$B388,Торг!$H:$H,0))),"")</f>
        <v/>
      </c>
      <c r="H388" s="67" t="str">
        <f>IFERROR(IFERROR(INDEX(Кат!$I:$I,MATCH(Прайс!$B388,Кат!$G:$G,0)),INDEX(Торг!$I:$I,MATCH(Прайс!$B388,Торг!$H:$H,0))),"")</f>
        <v/>
      </c>
    </row>
    <row r="389" spans="1:8" x14ac:dyDescent="0.25">
      <c r="A389" s="99" t="s">
        <v>2639</v>
      </c>
      <c r="B389" s="108">
        <v>40297</v>
      </c>
      <c r="C389" s="108" t="s">
        <v>359</v>
      </c>
      <c r="D389" s="101" t="s">
        <v>160</v>
      </c>
      <c r="E389" s="102">
        <v>470</v>
      </c>
      <c r="F389" s="67" t="str">
        <f>IFERROR(IFERROR(INDEX(Кат!$A:$A,MATCH(Прайс!$B389,Кат!$G:$G,0)),INDEX(Торг!$B:$B,MATCH(Прайс!$B389,Торг!$H:$H,0))),"")</f>
        <v/>
      </c>
      <c r="G389" s="67" t="str">
        <f>IFERROR(IFERROR(INDEX(Кат!$B:$B,MATCH(Прайс!$B389,Кат!$G:$G,0)),INDEX(Торг!$C:$C,MATCH(Прайс!$B389,Торг!$H:$H,0))),"")</f>
        <v/>
      </c>
      <c r="H389" s="67" t="str">
        <f>IFERROR(IFERROR(INDEX(Кат!$I:$I,MATCH(Прайс!$B389,Кат!$G:$G,0)),INDEX(Торг!$I:$I,MATCH(Прайс!$B389,Торг!$H:$H,0))),"")</f>
        <v/>
      </c>
    </row>
    <row r="390" spans="1:8" x14ac:dyDescent="0.25">
      <c r="A390" s="94" t="s">
        <v>2640</v>
      </c>
      <c r="B390" s="98">
        <v>40064</v>
      </c>
      <c r="C390" s="98" t="s">
        <v>6605</v>
      </c>
      <c r="D390" s="96" t="s">
        <v>360</v>
      </c>
      <c r="E390" s="97">
        <v>25</v>
      </c>
      <c r="F390" s="67" t="str">
        <f>IFERROR(IFERROR(INDEX(Кат!$A:$A,MATCH(Прайс!$B390,Кат!$G:$G,0)),INDEX(Торг!$B:$B,MATCH(Прайс!$B390,Торг!$H:$H,0))),"")</f>
        <v/>
      </c>
      <c r="G390" s="67" t="str">
        <f>IFERROR(IFERROR(INDEX(Кат!$B:$B,MATCH(Прайс!$B390,Кат!$G:$G,0)),INDEX(Торг!$C:$C,MATCH(Прайс!$B390,Торг!$H:$H,0))),"")</f>
        <v/>
      </c>
      <c r="H390" s="67" t="str">
        <f>IFERROR(IFERROR(INDEX(Кат!$I:$I,MATCH(Прайс!$B390,Кат!$G:$G,0)),INDEX(Торг!$I:$I,MATCH(Прайс!$B390,Торг!$H:$H,0))),"")</f>
        <v/>
      </c>
    </row>
    <row r="391" spans="1:8" x14ac:dyDescent="0.25">
      <c r="A391" s="99" t="s">
        <v>2641</v>
      </c>
      <c r="B391" s="108">
        <v>40067</v>
      </c>
      <c r="C391" s="108" t="s">
        <v>6107</v>
      </c>
      <c r="D391" s="101" t="s">
        <v>361</v>
      </c>
      <c r="E391" s="102">
        <v>185</v>
      </c>
      <c r="F391" s="67" t="str">
        <f>IFERROR(IFERROR(INDEX(Кат!$A:$A,MATCH(Прайс!$B391,Кат!$G:$G,0)),INDEX(Торг!$B:$B,MATCH(Прайс!$B391,Торг!$H:$H,0))),"")</f>
        <v/>
      </c>
      <c r="G391" s="67" t="str">
        <f>IFERROR(IFERROR(INDEX(Кат!$B:$B,MATCH(Прайс!$B391,Кат!$G:$G,0)),INDEX(Торг!$C:$C,MATCH(Прайс!$B391,Торг!$H:$H,0))),"")</f>
        <v/>
      </c>
      <c r="H391" s="67" t="str">
        <f>IFERROR(IFERROR(INDEX(Кат!$I:$I,MATCH(Прайс!$B391,Кат!$G:$G,0)),INDEX(Торг!$I:$I,MATCH(Прайс!$B391,Торг!$H:$H,0))),"")</f>
        <v/>
      </c>
    </row>
    <row r="392" spans="1:8" x14ac:dyDescent="0.25">
      <c r="A392" s="99" t="s">
        <v>2642</v>
      </c>
      <c r="B392" s="108">
        <v>40068</v>
      </c>
      <c r="C392" s="108" t="s">
        <v>6108</v>
      </c>
      <c r="D392" s="101" t="s">
        <v>361</v>
      </c>
      <c r="E392" s="102">
        <v>185</v>
      </c>
      <c r="F392" s="67" t="str">
        <f>IFERROR(IFERROR(INDEX(Кат!$A:$A,MATCH(Прайс!$B392,Кат!$G:$G,0)),INDEX(Торг!$B:$B,MATCH(Прайс!$B392,Торг!$H:$H,0))),"")</f>
        <v/>
      </c>
      <c r="G392" s="67" t="str">
        <f>IFERROR(IFERROR(INDEX(Кат!$B:$B,MATCH(Прайс!$B392,Кат!$G:$G,0)),INDEX(Торг!$C:$C,MATCH(Прайс!$B392,Торг!$H:$H,0))),"")</f>
        <v/>
      </c>
      <c r="H392" s="67" t="str">
        <f>IFERROR(IFERROR(INDEX(Кат!$I:$I,MATCH(Прайс!$B392,Кат!$G:$G,0)),INDEX(Торг!$I:$I,MATCH(Прайс!$B392,Торг!$H:$H,0))),"")</f>
        <v/>
      </c>
    </row>
    <row r="393" spans="1:8" x14ac:dyDescent="0.25">
      <c r="A393" s="99" t="s">
        <v>2643</v>
      </c>
      <c r="B393" s="108">
        <v>40069</v>
      </c>
      <c r="C393" s="108" t="s">
        <v>362</v>
      </c>
      <c r="D393" s="101" t="s">
        <v>361</v>
      </c>
      <c r="E393" s="102">
        <v>180</v>
      </c>
      <c r="F393" s="67" t="str">
        <f>IFERROR(IFERROR(INDEX(Кат!$A:$A,MATCH(Прайс!$B393,Кат!$G:$G,0)),INDEX(Торг!$B:$B,MATCH(Прайс!$B393,Торг!$H:$H,0))),"")</f>
        <v/>
      </c>
      <c r="G393" s="67" t="str">
        <f>IFERROR(IFERROR(INDEX(Кат!$B:$B,MATCH(Прайс!$B393,Кат!$G:$G,0)),INDEX(Торг!$C:$C,MATCH(Прайс!$B393,Торг!$H:$H,0))),"")</f>
        <v/>
      </c>
      <c r="H393" s="67" t="str">
        <f>IFERROR(IFERROR(INDEX(Кат!$I:$I,MATCH(Прайс!$B393,Кат!$G:$G,0)),INDEX(Торг!$I:$I,MATCH(Прайс!$B393,Торг!$H:$H,0))),"")</f>
        <v/>
      </c>
    </row>
    <row r="394" spans="1:8" x14ac:dyDescent="0.25">
      <c r="A394" s="99" t="s">
        <v>2644</v>
      </c>
      <c r="B394" s="108">
        <v>40070</v>
      </c>
      <c r="C394" s="108" t="s">
        <v>2645</v>
      </c>
      <c r="D394" s="101" t="s">
        <v>160</v>
      </c>
      <c r="E394" s="102">
        <v>150</v>
      </c>
      <c r="F394" s="67" t="str">
        <f>IFERROR(IFERROR(INDEX(Кат!$A:$A,MATCH(Прайс!$B394,Кат!$G:$G,0)),INDEX(Торг!$B:$B,MATCH(Прайс!$B394,Торг!$H:$H,0))),"")</f>
        <v/>
      </c>
      <c r="G394" s="67" t="str">
        <f>IFERROR(IFERROR(INDEX(Кат!$B:$B,MATCH(Прайс!$B394,Кат!$G:$G,0)),INDEX(Торг!$C:$C,MATCH(Прайс!$B394,Торг!$H:$H,0))),"")</f>
        <v/>
      </c>
      <c r="H394" s="67" t="str">
        <f>IFERROR(IFERROR(INDEX(Кат!$I:$I,MATCH(Прайс!$B394,Кат!$G:$G,0)),INDEX(Торг!$I:$I,MATCH(Прайс!$B394,Торг!$H:$H,0))),"")</f>
        <v/>
      </c>
    </row>
    <row r="395" spans="1:8" x14ac:dyDescent="0.25">
      <c r="A395" s="99" t="s">
        <v>6109</v>
      </c>
      <c r="B395" s="108">
        <v>40523</v>
      </c>
      <c r="C395" s="108" t="s">
        <v>6110</v>
      </c>
      <c r="D395" s="101" t="s">
        <v>5002</v>
      </c>
      <c r="E395" s="102">
        <v>15</v>
      </c>
      <c r="F395" s="67" t="str">
        <f>IFERROR(IFERROR(INDEX(Кат!$A:$A,MATCH(Прайс!$B395,Кат!$G:$G,0)),INDEX(Торг!$B:$B,MATCH(Прайс!$B395,Торг!$H:$H,0))),"")</f>
        <v/>
      </c>
      <c r="G395" s="67" t="str">
        <f>IFERROR(IFERROR(INDEX(Кат!$B:$B,MATCH(Прайс!$B395,Кат!$G:$G,0)),INDEX(Торг!$C:$C,MATCH(Прайс!$B395,Торг!$H:$H,0))),"")</f>
        <v/>
      </c>
      <c r="H395" s="67" t="str">
        <f>IFERROR(IFERROR(INDEX(Кат!$I:$I,MATCH(Прайс!$B395,Кат!$G:$G,0)),INDEX(Торг!$I:$I,MATCH(Прайс!$B395,Торг!$H:$H,0))),"")</f>
        <v/>
      </c>
    </row>
    <row r="396" spans="1:8" x14ac:dyDescent="0.25">
      <c r="A396" s="99" t="s">
        <v>6111</v>
      </c>
      <c r="B396" s="108">
        <v>40524</v>
      </c>
      <c r="C396" s="108" t="s">
        <v>6112</v>
      </c>
      <c r="D396" s="101" t="s">
        <v>5002</v>
      </c>
      <c r="E396" s="102">
        <v>15</v>
      </c>
      <c r="F396" s="67" t="str">
        <f>IFERROR(IFERROR(INDEX(Кат!$A:$A,MATCH(Прайс!$B396,Кат!$G:$G,0)),INDEX(Торг!$B:$B,MATCH(Прайс!$B396,Торг!$H:$H,0))),"")</f>
        <v/>
      </c>
      <c r="G396" s="67" t="str">
        <f>IFERROR(IFERROR(INDEX(Кат!$B:$B,MATCH(Прайс!$B396,Кат!$G:$G,0)),INDEX(Торг!$C:$C,MATCH(Прайс!$B396,Торг!$H:$H,0))),"")</f>
        <v/>
      </c>
      <c r="H396" s="67" t="str">
        <f>IFERROR(IFERROR(INDEX(Кат!$I:$I,MATCH(Прайс!$B396,Кат!$G:$G,0)),INDEX(Торг!$I:$I,MATCH(Прайс!$B396,Торг!$H:$H,0))),"")</f>
        <v/>
      </c>
    </row>
    <row r="397" spans="1:8" x14ac:dyDescent="0.25">
      <c r="A397" s="94" t="s">
        <v>4999</v>
      </c>
      <c r="B397" s="98">
        <v>40073</v>
      </c>
      <c r="C397" s="98" t="s">
        <v>6113</v>
      </c>
      <c r="D397" s="96" t="s">
        <v>5000</v>
      </c>
      <c r="E397" s="97">
        <v>13</v>
      </c>
      <c r="F397" s="67" t="str">
        <f>IFERROR(IFERROR(INDEX(Кат!$A:$A,MATCH(Прайс!$B397,Кат!$G:$G,0)),INDEX(Торг!$B:$B,MATCH(Прайс!$B397,Торг!$H:$H,0))),"")</f>
        <v/>
      </c>
      <c r="G397" s="67" t="str">
        <f>IFERROR(IFERROR(INDEX(Кат!$B:$B,MATCH(Прайс!$B397,Кат!$G:$G,0)),INDEX(Торг!$C:$C,MATCH(Прайс!$B397,Торг!$H:$H,0))),"")</f>
        <v/>
      </c>
      <c r="H397" s="67" t="str">
        <f>IFERROR(IFERROR(INDEX(Кат!$I:$I,MATCH(Прайс!$B397,Кат!$G:$G,0)),INDEX(Торг!$I:$I,MATCH(Прайс!$B397,Торг!$H:$H,0))),"")</f>
        <v/>
      </c>
    </row>
    <row r="398" spans="1:8" x14ac:dyDescent="0.25">
      <c r="A398" s="94" t="s">
        <v>5001</v>
      </c>
      <c r="B398" s="98">
        <v>40074</v>
      </c>
      <c r="C398" s="98" t="s">
        <v>8171</v>
      </c>
      <c r="D398" s="96" t="s">
        <v>5002</v>
      </c>
      <c r="E398" s="97">
        <v>14</v>
      </c>
      <c r="F398" s="67" t="str">
        <f>IFERROR(IFERROR(INDEX(Кат!$A:$A,MATCH(Прайс!$B398,Кат!$G:$G,0)),INDEX(Торг!$B:$B,MATCH(Прайс!$B398,Торг!$H:$H,0))),"")</f>
        <v/>
      </c>
      <c r="G398" s="67" t="str">
        <f>IFERROR(IFERROR(INDEX(Кат!$B:$B,MATCH(Прайс!$B398,Кат!$G:$G,0)),INDEX(Торг!$C:$C,MATCH(Прайс!$B398,Торг!$H:$H,0))),"")</f>
        <v/>
      </c>
      <c r="H398" s="67" t="str">
        <f>IFERROR(IFERROR(INDEX(Кат!$I:$I,MATCH(Прайс!$B398,Кат!$G:$G,0)),INDEX(Торг!$I:$I,MATCH(Прайс!$B398,Торг!$H:$H,0))),"")</f>
        <v/>
      </c>
    </row>
    <row r="399" spans="1:8" x14ac:dyDescent="0.25">
      <c r="A399" s="94" t="s">
        <v>2646</v>
      </c>
      <c r="B399" s="98">
        <v>40077</v>
      </c>
      <c r="C399" s="98" t="s">
        <v>363</v>
      </c>
      <c r="D399" s="96" t="s">
        <v>364</v>
      </c>
      <c r="E399" s="97">
        <v>50</v>
      </c>
      <c r="F399" s="67" t="str">
        <f>IFERROR(IFERROR(INDEX(Кат!$A:$A,MATCH(Прайс!$B399,Кат!$G:$G,0)),INDEX(Торг!$B:$B,MATCH(Прайс!$B399,Торг!$H:$H,0))),"")</f>
        <v/>
      </c>
      <c r="G399" s="67" t="str">
        <f>IFERROR(IFERROR(INDEX(Кат!$B:$B,MATCH(Прайс!$B399,Кат!$G:$G,0)),INDEX(Торг!$C:$C,MATCH(Прайс!$B399,Торг!$H:$H,0))),"")</f>
        <v/>
      </c>
      <c r="H399" s="67" t="str">
        <f>IFERROR(IFERROR(INDEX(Кат!$I:$I,MATCH(Прайс!$B399,Кат!$G:$G,0)),INDEX(Торг!$I:$I,MATCH(Прайс!$B399,Торг!$H:$H,0))),"")</f>
        <v/>
      </c>
    </row>
    <row r="400" spans="1:8" x14ac:dyDescent="0.25">
      <c r="A400" s="94" t="s">
        <v>5003</v>
      </c>
      <c r="B400" s="98">
        <v>40319</v>
      </c>
      <c r="C400" s="98" t="s">
        <v>5004</v>
      </c>
      <c r="D400" s="96" t="s">
        <v>365</v>
      </c>
      <c r="E400" s="97">
        <v>95</v>
      </c>
      <c r="F400" s="67" t="str">
        <f>IFERROR(IFERROR(INDEX(Кат!$A:$A,MATCH(Прайс!$B400,Кат!$G:$G,0)),INDEX(Торг!$B:$B,MATCH(Прайс!$B400,Торг!$H:$H,0))),"")</f>
        <v/>
      </c>
      <c r="G400" s="67" t="str">
        <f>IFERROR(IFERROR(INDEX(Кат!$B:$B,MATCH(Прайс!$B400,Кат!$G:$G,0)),INDEX(Торг!$C:$C,MATCH(Прайс!$B400,Торг!$H:$H,0))),"")</f>
        <v/>
      </c>
      <c r="H400" s="67" t="str">
        <f>IFERROR(IFERROR(INDEX(Кат!$I:$I,MATCH(Прайс!$B400,Кат!$G:$G,0)),INDEX(Торг!$I:$I,MATCH(Прайс!$B400,Торг!$H:$H,0))),"")</f>
        <v/>
      </c>
    </row>
    <row r="401" spans="1:8" x14ac:dyDescent="0.25">
      <c r="A401" s="99" t="s">
        <v>2647</v>
      </c>
      <c r="B401" s="108">
        <v>40066</v>
      </c>
      <c r="C401" s="108" t="s">
        <v>366</v>
      </c>
      <c r="D401" s="101" t="s">
        <v>177</v>
      </c>
      <c r="E401" s="102">
        <v>180</v>
      </c>
      <c r="F401" s="67" t="str">
        <f>IFERROR(IFERROR(INDEX(Кат!$A:$A,MATCH(Прайс!$B401,Кат!$G:$G,0)),INDEX(Торг!$B:$B,MATCH(Прайс!$B401,Торг!$H:$H,0))),"")</f>
        <v/>
      </c>
      <c r="G401" s="67" t="str">
        <f>IFERROR(IFERROR(INDEX(Кат!$B:$B,MATCH(Прайс!$B401,Кат!$G:$G,0)),INDEX(Торг!$C:$C,MATCH(Прайс!$B401,Торг!$H:$H,0))),"")</f>
        <v/>
      </c>
      <c r="H401" s="67" t="str">
        <f>IFERROR(IFERROR(INDEX(Кат!$I:$I,MATCH(Прайс!$B401,Кат!$G:$G,0)),INDEX(Торг!$I:$I,MATCH(Прайс!$B401,Торг!$H:$H,0))),"")</f>
        <v/>
      </c>
    </row>
    <row r="402" spans="1:8" x14ac:dyDescent="0.25">
      <c r="A402" s="94" t="s">
        <v>2648</v>
      </c>
      <c r="B402" s="98">
        <v>40079</v>
      </c>
      <c r="C402" s="98" t="s">
        <v>367</v>
      </c>
      <c r="D402" s="96" t="s">
        <v>174</v>
      </c>
      <c r="E402" s="97">
        <v>180</v>
      </c>
      <c r="F402" s="67" t="str">
        <f>IFERROR(IFERROR(INDEX(Кат!$A:$A,MATCH(Прайс!$B402,Кат!$G:$G,0)),INDEX(Торг!$B:$B,MATCH(Прайс!$B402,Торг!$H:$H,0))),"")</f>
        <v/>
      </c>
      <c r="G402" s="67" t="str">
        <f>IFERROR(IFERROR(INDEX(Кат!$B:$B,MATCH(Прайс!$B402,Кат!$G:$G,0)),INDEX(Торг!$C:$C,MATCH(Прайс!$B402,Торг!$H:$H,0))),"")</f>
        <v/>
      </c>
      <c r="H402" s="67" t="str">
        <f>IFERROR(IFERROR(INDEX(Кат!$I:$I,MATCH(Прайс!$B402,Кат!$G:$G,0)),INDEX(Торг!$I:$I,MATCH(Прайс!$B402,Торг!$H:$H,0))),"")</f>
        <v/>
      </c>
    </row>
    <row r="403" spans="1:8" x14ac:dyDescent="0.25">
      <c r="A403" s="94" t="s">
        <v>2649</v>
      </c>
      <c r="B403" s="98">
        <v>40078</v>
      </c>
      <c r="C403" s="98" t="s">
        <v>368</v>
      </c>
      <c r="D403" s="96" t="s">
        <v>162</v>
      </c>
      <c r="E403" s="97">
        <v>80</v>
      </c>
      <c r="F403" s="67" t="str">
        <f>IFERROR(IFERROR(INDEX(Кат!$A:$A,MATCH(Прайс!$B403,Кат!$G:$G,0)),INDEX(Торг!$B:$B,MATCH(Прайс!$B403,Торг!$H:$H,0))),"")</f>
        <v/>
      </c>
      <c r="G403" s="67" t="str">
        <f>IFERROR(IFERROR(INDEX(Кат!$B:$B,MATCH(Прайс!$B403,Кат!$G:$G,0)),INDEX(Торг!$C:$C,MATCH(Прайс!$B403,Торг!$H:$H,0))),"")</f>
        <v/>
      </c>
      <c r="H403" s="67" t="str">
        <f>IFERROR(IFERROR(INDEX(Кат!$I:$I,MATCH(Прайс!$B403,Кат!$G:$G,0)),INDEX(Торг!$I:$I,MATCH(Прайс!$B403,Торг!$H:$H,0))),"")</f>
        <v/>
      </c>
    </row>
    <row r="404" spans="1:8" x14ac:dyDescent="0.25">
      <c r="A404" s="103" t="s">
        <v>6606</v>
      </c>
      <c r="B404" s="104">
        <v>40375</v>
      </c>
      <c r="C404" s="104" t="s">
        <v>6607</v>
      </c>
      <c r="D404" s="105" t="s">
        <v>160</v>
      </c>
      <c r="E404" s="113">
        <v>14</v>
      </c>
      <c r="F404" s="67" t="str">
        <f>IFERROR(IFERROR(INDEX(Кат!$A:$A,MATCH(Прайс!$B404,Кат!$G:$G,0)),INDEX(Торг!$B:$B,MATCH(Прайс!$B404,Торг!$H:$H,0))),"")</f>
        <v/>
      </c>
      <c r="G404" s="67" t="str">
        <f>IFERROR(IFERROR(INDEX(Кат!$B:$B,MATCH(Прайс!$B404,Кат!$G:$G,0)),INDEX(Торг!$C:$C,MATCH(Прайс!$B404,Торг!$H:$H,0))),"")</f>
        <v/>
      </c>
      <c r="H404" s="67" t="str">
        <f>IFERROR(IFERROR(INDEX(Кат!$I:$I,MATCH(Прайс!$B404,Кат!$G:$G,0)),INDEX(Торг!$I:$I,MATCH(Прайс!$B404,Торг!$H:$H,0))),"")</f>
        <v/>
      </c>
    </row>
    <row r="405" spans="1:8" x14ac:dyDescent="0.25">
      <c r="A405" s="94" t="s">
        <v>2650</v>
      </c>
      <c r="B405" s="98">
        <v>40338</v>
      </c>
      <c r="C405" s="98" t="s">
        <v>2651</v>
      </c>
      <c r="D405" s="96" t="s">
        <v>160</v>
      </c>
      <c r="E405" s="97">
        <v>20</v>
      </c>
      <c r="F405" s="67" t="str">
        <f>IFERROR(IFERROR(INDEX(Кат!$A:$A,MATCH(Прайс!$B405,Кат!$G:$G,0)),INDEX(Торг!$B:$B,MATCH(Прайс!$B405,Торг!$H:$H,0))),"")</f>
        <v/>
      </c>
      <c r="G405" s="67" t="str">
        <f>IFERROR(IFERROR(INDEX(Кат!$B:$B,MATCH(Прайс!$B405,Кат!$G:$G,0)),INDEX(Торг!$C:$C,MATCH(Прайс!$B405,Торг!$H:$H,0))),"")</f>
        <v/>
      </c>
      <c r="H405" s="67" t="str">
        <f>IFERROR(IFERROR(INDEX(Кат!$I:$I,MATCH(Прайс!$B405,Кат!$G:$G,0)),INDEX(Торг!$I:$I,MATCH(Прайс!$B405,Торг!$H:$H,0))),"")</f>
        <v/>
      </c>
    </row>
    <row r="406" spans="1:8" x14ac:dyDescent="0.25">
      <c r="A406" s="94" t="s">
        <v>7391</v>
      </c>
      <c r="B406" s="98">
        <v>40080</v>
      </c>
      <c r="C406" s="98" t="s">
        <v>7392</v>
      </c>
      <c r="D406" s="96" t="s">
        <v>161</v>
      </c>
      <c r="E406" s="97">
        <v>700</v>
      </c>
      <c r="F406" s="67" t="str">
        <f>IFERROR(IFERROR(INDEX(Кат!$A:$A,MATCH(Прайс!$B406,Кат!$G:$G,0)),INDEX(Торг!$B:$B,MATCH(Прайс!$B406,Торг!$H:$H,0))),"")</f>
        <v/>
      </c>
      <c r="G406" s="67" t="str">
        <f>IFERROR(IFERROR(INDEX(Кат!$B:$B,MATCH(Прайс!$B406,Кат!$G:$G,0)),INDEX(Торг!$C:$C,MATCH(Прайс!$B406,Торг!$H:$H,0))),"")</f>
        <v/>
      </c>
      <c r="H406" s="67" t="str">
        <f>IFERROR(IFERROR(INDEX(Кат!$I:$I,MATCH(Прайс!$B406,Кат!$G:$G,0)),INDEX(Торг!$I:$I,MATCH(Прайс!$B406,Торг!$H:$H,0))),"")</f>
        <v/>
      </c>
    </row>
    <row r="407" spans="1:8" x14ac:dyDescent="0.25">
      <c r="A407" s="99" t="s">
        <v>2652</v>
      </c>
      <c r="B407" s="108">
        <v>40423</v>
      </c>
      <c r="C407" s="108" t="s">
        <v>369</v>
      </c>
      <c r="D407" s="101" t="s">
        <v>318</v>
      </c>
      <c r="E407" s="102">
        <v>220</v>
      </c>
      <c r="F407" s="67" t="str">
        <f>IFERROR(IFERROR(INDEX(Кат!$A:$A,MATCH(Прайс!$B407,Кат!$G:$G,0)),INDEX(Торг!$B:$B,MATCH(Прайс!$B407,Торг!$H:$H,0))),"")</f>
        <v/>
      </c>
      <c r="G407" s="67" t="str">
        <f>IFERROR(IFERROR(INDEX(Кат!$B:$B,MATCH(Прайс!$B407,Кат!$G:$G,0)),INDEX(Торг!$C:$C,MATCH(Прайс!$B407,Торг!$H:$H,0))),"")</f>
        <v/>
      </c>
      <c r="H407" s="67" t="str">
        <f>IFERROR(IFERROR(INDEX(Кат!$I:$I,MATCH(Прайс!$B407,Кат!$G:$G,0)),INDEX(Торг!$I:$I,MATCH(Прайс!$B407,Торг!$H:$H,0))),"")</f>
        <v/>
      </c>
    </row>
    <row r="408" spans="1:8" ht="15.75" x14ac:dyDescent="0.25">
      <c r="A408" s="90"/>
      <c r="B408" s="91"/>
      <c r="C408" s="92" t="s">
        <v>370</v>
      </c>
      <c r="D408" s="91"/>
      <c r="E408" s="93"/>
      <c r="F408" s="67" t="str">
        <f>IFERROR(IFERROR(INDEX(Кат!$A:$A,MATCH(Прайс!$B408,Кат!$G:$G,0)),INDEX(Торг!$B:$B,MATCH(Прайс!$B408,Торг!$H:$H,0))),"")</f>
        <v/>
      </c>
      <c r="G408" s="67" t="str">
        <f>IFERROR(IFERROR(INDEX(Кат!$B:$B,MATCH(Прайс!$B408,Кат!$G:$G,0)),INDEX(Торг!$C:$C,MATCH(Прайс!$B408,Торг!$H:$H,0))),"")</f>
        <v/>
      </c>
      <c r="H408" s="67" t="str">
        <f>IFERROR(IFERROR(INDEX(Кат!$I:$I,MATCH(Прайс!$B408,Кат!$G:$G,0)),INDEX(Торг!$I:$I,MATCH(Прайс!$B408,Торг!$H:$H,0))),"")</f>
        <v/>
      </c>
    </row>
    <row r="409" spans="1:8" x14ac:dyDescent="0.25">
      <c r="A409" s="94" t="s">
        <v>6608</v>
      </c>
      <c r="B409" s="98">
        <v>40324</v>
      </c>
      <c r="C409" s="98" t="s">
        <v>6609</v>
      </c>
      <c r="D409" s="96" t="s">
        <v>160</v>
      </c>
      <c r="E409" s="97">
        <v>350</v>
      </c>
      <c r="F409" s="67" t="str">
        <f>IFERROR(IFERROR(INDEX(Кат!$A:$A,MATCH(Прайс!$B409,Кат!$G:$G,0)),INDEX(Торг!$B:$B,MATCH(Прайс!$B409,Торг!$H:$H,0))),"")</f>
        <v/>
      </c>
      <c r="G409" s="67" t="str">
        <f>IFERROR(IFERROR(INDEX(Кат!$B:$B,MATCH(Прайс!$B409,Кат!$G:$G,0)),INDEX(Торг!$C:$C,MATCH(Прайс!$B409,Торг!$H:$H,0))),"")</f>
        <v/>
      </c>
      <c r="H409" s="67" t="str">
        <f>IFERROR(IFERROR(INDEX(Кат!$I:$I,MATCH(Прайс!$B409,Кат!$G:$G,0)),INDEX(Торг!$I:$I,MATCH(Прайс!$B409,Торг!$H:$H,0))),"")</f>
        <v/>
      </c>
    </row>
    <row r="410" spans="1:8" x14ac:dyDescent="0.25">
      <c r="A410" s="94" t="s">
        <v>2653</v>
      </c>
      <c r="B410" s="98">
        <v>40323</v>
      </c>
      <c r="C410" s="98" t="s">
        <v>371</v>
      </c>
      <c r="D410" s="96" t="s">
        <v>160</v>
      </c>
      <c r="E410" s="97">
        <v>350</v>
      </c>
      <c r="F410" s="67" t="str">
        <f>IFERROR(IFERROR(INDEX(Кат!$A:$A,MATCH(Прайс!$B410,Кат!$G:$G,0)),INDEX(Торг!$B:$B,MATCH(Прайс!$B410,Торг!$H:$H,0))),"")</f>
        <v/>
      </c>
      <c r="G410" s="67" t="str">
        <f>IFERROR(IFERROR(INDEX(Кат!$B:$B,MATCH(Прайс!$B410,Кат!$G:$G,0)),INDEX(Торг!$C:$C,MATCH(Прайс!$B410,Торг!$H:$H,0))),"")</f>
        <v/>
      </c>
      <c r="H410" s="67" t="str">
        <f>IFERROR(IFERROR(INDEX(Кат!$I:$I,MATCH(Прайс!$B410,Кат!$G:$G,0)),INDEX(Торг!$I:$I,MATCH(Прайс!$B410,Торг!$H:$H,0))),"")</f>
        <v/>
      </c>
    </row>
    <row r="411" spans="1:8" ht="15.75" x14ac:dyDescent="0.25">
      <c r="A411" s="90"/>
      <c r="B411" s="91"/>
      <c r="C411" s="92" t="s">
        <v>372</v>
      </c>
      <c r="D411" s="91"/>
      <c r="E411" s="93"/>
      <c r="F411" s="67" t="str">
        <f>IFERROR(IFERROR(INDEX(Кат!$A:$A,MATCH(Прайс!$B411,Кат!$G:$G,0)),INDEX(Торг!$B:$B,MATCH(Прайс!$B411,Торг!$H:$H,0))),"")</f>
        <v/>
      </c>
      <c r="G411" s="67" t="str">
        <f>IFERROR(IFERROR(INDEX(Кат!$B:$B,MATCH(Прайс!$B411,Кат!$G:$G,0)),INDEX(Торг!$C:$C,MATCH(Прайс!$B411,Торг!$H:$H,0))),"")</f>
        <v/>
      </c>
      <c r="H411" s="67" t="str">
        <f>IFERROR(IFERROR(INDEX(Кат!$I:$I,MATCH(Прайс!$B411,Кат!$G:$G,0)),INDEX(Торг!$I:$I,MATCH(Прайс!$B411,Торг!$H:$H,0))),"")</f>
        <v/>
      </c>
    </row>
    <row r="412" spans="1:8" x14ac:dyDescent="0.25">
      <c r="A412" s="94" t="s">
        <v>5715</v>
      </c>
      <c r="B412" s="98">
        <v>40499</v>
      </c>
      <c r="C412" s="98" t="s">
        <v>8388</v>
      </c>
      <c r="D412" s="96" t="s">
        <v>160</v>
      </c>
      <c r="E412" s="97">
        <v>185</v>
      </c>
      <c r="F412" s="67" t="str">
        <f>IFERROR(IFERROR(INDEX(Кат!$A:$A,MATCH(Прайс!$B412,Кат!$G:$G,0)),INDEX(Торг!$B:$B,MATCH(Прайс!$B412,Торг!$H:$H,0))),"")</f>
        <v/>
      </c>
      <c r="G412" s="67" t="str">
        <f>IFERROR(IFERROR(INDEX(Кат!$B:$B,MATCH(Прайс!$B412,Кат!$G:$G,0)),INDEX(Торг!$C:$C,MATCH(Прайс!$B412,Торг!$H:$H,0))),"")</f>
        <v/>
      </c>
      <c r="H412" s="67" t="str">
        <f>IFERROR(IFERROR(INDEX(Кат!$I:$I,MATCH(Прайс!$B412,Кат!$G:$G,0)),INDEX(Торг!$I:$I,MATCH(Прайс!$B412,Торг!$H:$H,0))),"")</f>
        <v/>
      </c>
    </row>
    <row r="413" spans="1:8" x14ac:dyDescent="0.25">
      <c r="A413" s="94" t="s">
        <v>2654</v>
      </c>
      <c r="B413" s="98">
        <v>40264</v>
      </c>
      <c r="C413" s="98" t="s">
        <v>373</v>
      </c>
      <c r="D413" s="96" t="s">
        <v>160</v>
      </c>
      <c r="E413" s="97">
        <v>390</v>
      </c>
      <c r="F413" s="67" t="str">
        <f>IFERROR(IFERROR(INDEX(Кат!$A:$A,MATCH(Прайс!$B413,Кат!$G:$G,0)),INDEX(Торг!$B:$B,MATCH(Прайс!$B413,Торг!$H:$H,0))),"")</f>
        <v/>
      </c>
      <c r="G413" s="67" t="str">
        <f>IFERROR(IFERROR(INDEX(Кат!$B:$B,MATCH(Прайс!$B413,Кат!$G:$G,0)),INDEX(Торг!$C:$C,MATCH(Прайс!$B413,Торг!$H:$H,0))),"")</f>
        <v/>
      </c>
      <c r="H413" s="67" t="str">
        <f>IFERROR(IFERROR(INDEX(Кат!$I:$I,MATCH(Прайс!$B413,Кат!$G:$G,0)),INDEX(Торг!$I:$I,MATCH(Прайс!$B413,Торг!$H:$H,0))),"")</f>
        <v/>
      </c>
    </row>
    <row r="414" spans="1:8" x14ac:dyDescent="0.25">
      <c r="A414" s="94" t="s">
        <v>2655</v>
      </c>
      <c r="B414" s="98">
        <v>40265</v>
      </c>
      <c r="C414" s="98" t="s">
        <v>374</v>
      </c>
      <c r="D414" s="96" t="s">
        <v>375</v>
      </c>
      <c r="E414" s="107">
        <v>1600</v>
      </c>
      <c r="F414" s="67" t="str">
        <f>IFERROR(IFERROR(INDEX(Кат!$A:$A,MATCH(Прайс!$B414,Кат!$G:$G,0)),INDEX(Торг!$B:$B,MATCH(Прайс!$B414,Торг!$H:$H,0))),"")</f>
        <v/>
      </c>
      <c r="G414" s="67" t="str">
        <f>IFERROR(IFERROR(INDEX(Кат!$B:$B,MATCH(Прайс!$B414,Кат!$G:$G,0)),INDEX(Торг!$C:$C,MATCH(Прайс!$B414,Торг!$H:$H,0))),"")</f>
        <v/>
      </c>
      <c r="H414" s="67" t="str">
        <f>IFERROR(IFERROR(INDEX(Кат!$I:$I,MATCH(Прайс!$B414,Кат!$G:$G,0)),INDEX(Торг!$I:$I,MATCH(Прайс!$B414,Торг!$H:$H,0))),"")</f>
        <v/>
      </c>
    </row>
    <row r="415" spans="1:8" x14ac:dyDescent="0.25">
      <c r="A415" s="94" t="s">
        <v>2656</v>
      </c>
      <c r="B415" s="98">
        <v>40266</v>
      </c>
      <c r="C415" s="98" t="s">
        <v>376</v>
      </c>
      <c r="D415" s="96" t="s">
        <v>160</v>
      </c>
      <c r="E415" s="97">
        <v>390</v>
      </c>
      <c r="F415" s="67" t="str">
        <f>IFERROR(IFERROR(INDEX(Кат!$A:$A,MATCH(Прайс!$B415,Кат!$G:$G,0)),INDEX(Торг!$B:$B,MATCH(Прайс!$B415,Торг!$H:$H,0))),"")</f>
        <v/>
      </c>
      <c r="G415" s="67" t="str">
        <f>IFERROR(IFERROR(INDEX(Кат!$B:$B,MATCH(Прайс!$B415,Кат!$G:$G,0)),INDEX(Торг!$C:$C,MATCH(Прайс!$B415,Торг!$H:$H,0))),"")</f>
        <v/>
      </c>
      <c r="H415" s="67" t="str">
        <f>IFERROR(IFERROR(INDEX(Кат!$I:$I,MATCH(Прайс!$B415,Кат!$G:$G,0)),INDEX(Торг!$I:$I,MATCH(Прайс!$B415,Торг!$H:$H,0))),"")</f>
        <v/>
      </c>
    </row>
    <row r="416" spans="1:8" x14ac:dyDescent="0.25">
      <c r="A416" s="94" t="s">
        <v>2657</v>
      </c>
      <c r="B416" s="98">
        <v>40267</v>
      </c>
      <c r="C416" s="98" t="s">
        <v>377</v>
      </c>
      <c r="D416" s="96" t="s">
        <v>375</v>
      </c>
      <c r="E416" s="107">
        <v>1700</v>
      </c>
      <c r="F416" s="67" t="str">
        <f>IFERROR(IFERROR(INDEX(Кат!$A:$A,MATCH(Прайс!$B416,Кат!$G:$G,0)),INDEX(Торг!$B:$B,MATCH(Прайс!$B416,Торг!$H:$H,0))),"")</f>
        <v/>
      </c>
      <c r="G416" s="67" t="str">
        <f>IFERROR(IFERROR(INDEX(Кат!$B:$B,MATCH(Прайс!$B416,Кат!$G:$G,0)),INDEX(Торг!$C:$C,MATCH(Прайс!$B416,Торг!$H:$H,0))),"")</f>
        <v/>
      </c>
      <c r="H416" s="67" t="str">
        <f>IFERROR(IFERROR(INDEX(Кат!$I:$I,MATCH(Прайс!$B416,Кат!$G:$G,0)),INDEX(Торг!$I:$I,MATCH(Прайс!$B416,Торг!$H:$H,0))),"")</f>
        <v/>
      </c>
    </row>
    <row r="417" spans="1:8" x14ac:dyDescent="0.25">
      <c r="A417" s="94" t="s">
        <v>6114</v>
      </c>
      <c r="B417" s="98">
        <v>40268</v>
      </c>
      <c r="C417" s="98" t="s">
        <v>6115</v>
      </c>
      <c r="D417" s="96" t="s">
        <v>160</v>
      </c>
      <c r="E417" s="97">
        <v>380</v>
      </c>
      <c r="F417" s="67" t="str">
        <f>IFERROR(IFERROR(INDEX(Кат!$A:$A,MATCH(Прайс!$B417,Кат!$G:$G,0)),INDEX(Торг!$B:$B,MATCH(Прайс!$B417,Торг!$H:$H,0))),"")</f>
        <v/>
      </c>
      <c r="G417" s="67" t="str">
        <f>IFERROR(IFERROR(INDEX(Кат!$B:$B,MATCH(Прайс!$B417,Кат!$G:$G,0)),INDEX(Торг!$C:$C,MATCH(Прайс!$B417,Торг!$H:$H,0))),"")</f>
        <v/>
      </c>
      <c r="H417" s="67" t="str">
        <f>IFERROR(IFERROR(INDEX(Кат!$I:$I,MATCH(Прайс!$B417,Кат!$G:$G,0)),INDEX(Торг!$I:$I,MATCH(Прайс!$B417,Торг!$H:$H,0))),"")</f>
        <v/>
      </c>
    </row>
    <row r="418" spans="1:8" x14ac:dyDescent="0.25">
      <c r="A418" s="94" t="s">
        <v>2658</v>
      </c>
      <c r="B418" s="98">
        <v>40269</v>
      </c>
      <c r="C418" s="98" t="s">
        <v>378</v>
      </c>
      <c r="D418" s="96" t="s">
        <v>375</v>
      </c>
      <c r="E418" s="107">
        <v>1620</v>
      </c>
      <c r="F418" s="67" t="str">
        <f>IFERROR(IFERROR(INDEX(Кат!$A:$A,MATCH(Прайс!$B418,Кат!$G:$G,0)),INDEX(Торг!$B:$B,MATCH(Прайс!$B418,Торг!$H:$H,0))),"")</f>
        <v/>
      </c>
      <c r="G418" s="67" t="str">
        <f>IFERROR(IFERROR(INDEX(Кат!$B:$B,MATCH(Прайс!$B418,Кат!$G:$G,0)),INDEX(Торг!$C:$C,MATCH(Прайс!$B418,Торг!$H:$H,0))),"")</f>
        <v/>
      </c>
      <c r="H418" s="67" t="str">
        <f>IFERROR(IFERROR(INDEX(Кат!$I:$I,MATCH(Прайс!$B418,Кат!$G:$G,0)),INDEX(Торг!$I:$I,MATCH(Прайс!$B418,Торг!$H:$H,0))),"")</f>
        <v/>
      </c>
    </row>
    <row r="419" spans="1:8" x14ac:dyDescent="0.25">
      <c r="A419" s="94" t="s">
        <v>2659</v>
      </c>
      <c r="B419" s="98">
        <v>40270</v>
      </c>
      <c r="C419" s="98" t="s">
        <v>379</v>
      </c>
      <c r="D419" s="96" t="s">
        <v>160</v>
      </c>
      <c r="E419" s="97">
        <v>260</v>
      </c>
      <c r="F419" s="67" t="str">
        <f>IFERROR(IFERROR(INDEX(Кат!$A:$A,MATCH(Прайс!$B419,Кат!$G:$G,0)),INDEX(Торг!$B:$B,MATCH(Прайс!$B419,Торг!$H:$H,0))),"")</f>
        <v/>
      </c>
      <c r="G419" s="67" t="str">
        <f>IFERROR(IFERROR(INDEX(Кат!$B:$B,MATCH(Прайс!$B419,Кат!$G:$G,0)),INDEX(Торг!$C:$C,MATCH(Прайс!$B419,Торг!$H:$H,0))),"")</f>
        <v/>
      </c>
      <c r="H419" s="67" t="str">
        <f>IFERROR(IFERROR(INDEX(Кат!$I:$I,MATCH(Прайс!$B419,Кат!$G:$G,0)),INDEX(Торг!$I:$I,MATCH(Прайс!$B419,Торг!$H:$H,0))),"")</f>
        <v/>
      </c>
    </row>
    <row r="420" spans="1:8" x14ac:dyDescent="0.25">
      <c r="A420" s="94" t="s">
        <v>2660</v>
      </c>
      <c r="B420" s="98">
        <v>40271</v>
      </c>
      <c r="C420" s="98" t="s">
        <v>380</v>
      </c>
      <c r="D420" s="96" t="s">
        <v>375</v>
      </c>
      <c r="E420" s="97">
        <v>880</v>
      </c>
      <c r="F420" s="67" t="str">
        <f>IFERROR(IFERROR(INDEX(Кат!$A:$A,MATCH(Прайс!$B420,Кат!$G:$G,0)),INDEX(Торг!$B:$B,MATCH(Прайс!$B420,Торг!$H:$H,0))),"")</f>
        <v/>
      </c>
      <c r="G420" s="67" t="str">
        <f>IFERROR(IFERROR(INDEX(Кат!$B:$B,MATCH(Прайс!$B420,Кат!$G:$G,0)),INDEX(Торг!$C:$C,MATCH(Прайс!$B420,Торг!$H:$H,0))),"")</f>
        <v/>
      </c>
      <c r="H420" s="67" t="str">
        <f>IFERROR(IFERROR(INDEX(Кат!$I:$I,MATCH(Прайс!$B420,Кат!$G:$G,0)),INDEX(Торг!$I:$I,MATCH(Прайс!$B420,Торг!$H:$H,0))),"")</f>
        <v/>
      </c>
    </row>
    <row r="421" spans="1:8" x14ac:dyDescent="0.25">
      <c r="A421" s="94" t="s">
        <v>2661</v>
      </c>
      <c r="B421" s="98">
        <v>40272</v>
      </c>
      <c r="C421" s="98" t="s">
        <v>381</v>
      </c>
      <c r="D421" s="96" t="s">
        <v>160</v>
      </c>
      <c r="E421" s="97">
        <v>400</v>
      </c>
      <c r="F421" s="67" t="str">
        <f>IFERROR(IFERROR(INDEX(Кат!$A:$A,MATCH(Прайс!$B421,Кат!$G:$G,0)),INDEX(Торг!$B:$B,MATCH(Прайс!$B421,Торг!$H:$H,0))),"")</f>
        <v/>
      </c>
      <c r="G421" s="67" t="str">
        <f>IFERROR(IFERROR(INDEX(Кат!$B:$B,MATCH(Прайс!$B421,Кат!$G:$G,0)),INDEX(Торг!$C:$C,MATCH(Прайс!$B421,Торг!$H:$H,0))),"")</f>
        <v/>
      </c>
      <c r="H421" s="67" t="str">
        <f>IFERROR(IFERROR(INDEX(Кат!$I:$I,MATCH(Прайс!$B421,Кат!$G:$G,0)),INDEX(Торг!$I:$I,MATCH(Прайс!$B421,Торг!$H:$H,0))),"")</f>
        <v/>
      </c>
    </row>
    <row r="422" spans="1:8" x14ac:dyDescent="0.25">
      <c r="A422" s="94" t="s">
        <v>2662</v>
      </c>
      <c r="B422" s="98">
        <v>40343</v>
      </c>
      <c r="C422" s="98" t="s">
        <v>382</v>
      </c>
      <c r="D422" s="96" t="s">
        <v>375</v>
      </c>
      <c r="E422" s="107">
        <v>1500</v>
      </c>
      <c r="F422" s="67" t="str">
        <f>IFERROR(IFERROR(INDEX(Кат!$A:$A,MATCH(Прайс!$B422,Кат!$G:$G,0)),INDEX(Торг!$B:$B,MATCH(Прайс!$B422,Торг!$H:$H,0))),"")</f>
        <v/>
      </c>
      <c r="G422" s="67" t="str">
        <f>IFERROR(IFERROR(INDEX(Кат!$B:$B,MATCH(Прайс!$B422,Кат!$G:$G,0)),INDEX(Торг!$C:$C,MATCH(Прайс!$B422,Торг!$H:$H,0))),"")</f>
        <v/>
      </c>
      <c r="H422" s="67" t="str">
        <f>IFERROR(IFERROR(INDEX(Кат!$I:$I,MATCH(Прайс!$B422,Кат!$G:$G,0)),INDEX(Торг!$I:$I,MATCH(Прайс!$B422,Торг!$H:$H,0))),"")</f>
        <v/>
      </c>
    </row>
    <row r="423" spans="1:8" x14ac:dyDescent="0.25">
      <c r="A423" s="94" t="s">
        <v>2663</v>
      </c>
      <c r="B423" s="98">
        <v>40273</v>
      </c>
      <c r="C423" s="98" t="s">
        <v>383</v>
      </c>
      <c r="D423" s="96" t="s">
        <v>160</v>
      </c>
      <c r="E423" s="97">
        <v>315</v>
      </c>
      <c r="F423" s="67" t="str">
        <f>IFERROR(IFERROR(INDEX(Кат!$A:$A,MATCH(Прайс!$B423,Кат!$G:$G,0)),INDEX(Торг!$B:$B,MATCH(Прайс!$B423,Торг!$H:$H,0))),"")</f>
        <v/>
      </c>
      <c r="G423" s="67" t="str">
        <f>IFERROR(IFERROR(INDEX(Кат!$B:$B,MATCH(Прайс!$B423,Кат!$G:$G,0)),INDEX(Торг!$C:$C,MATCH(Прайс!$B423,Торг!$H:$H,0))),"")</f>
        <v/>
      </c>
      <c r="H423" s="67" t="str">
        <f>IFERROR(IFERROR(INDEX(Кат!$I:$I,MATCH(Прайс!$B423,Кат!$G:$G,0)),INDEX(Торг!$I:$I,MATCH(Прайс!$B423,Торг!$H:$H,0))),"")</f>
        <v/>
      </c>
    </row>
    <row r="424" spans="1:8" x14ac:dyDescent="0.25">
      <c r="A424" s="94" t="s">
        <v>2664</v>
      </c>
      <c r="B424" s="98">
        <v>40274</v>
      </c>
      <c r="C424" s="98" t="s">
        <v>384</v>
      </c>
      <c r="D424" s="96" t="s">
        <v>375</v>
      </c>
      <c r="E424" s="107">
        <v>1240</v>
      </c>
      <c r="F424" s="67" t="str">
        <f>IFERROR(IFERROR(INDEX(Кат!$A:$A,MATCH(Прайс!$B424,Кат!$G:$G,0)),INDEX(Торг!$B:$B,MATCH(Прайс!$B424,Торг!$H:$H,0))),"")</f>
        <v/>
      </c>
      <c r="G424" s="67" t="str">
        <f>IFERROR(IFERROR(INDEX(Кат!$B:$B,MATCH(Прайс!$B424,Кат!$G:$G,0)),INDEX(Торг!$C:$C,MATCH(Прайс!$B424,Торг!$H:$H,0))),"")</f>
        <v/>
      </c>
      <c r="H424" s="67" t="str">
        <f>IFERROR(IFERROR(INDEX(Кат!$I:$I,MATCH(Прайс!$B424,Кат!$G:$G,0)),INDEX(Торг!$I:$I,MATCH(Прайс!$B424,Торг!$H:$H,0))),"")</f>
        <v/>
      </c>
    </row>
    <row r="425" spans="1:8" ht="15.75" x14ac:dyDescent="0.25">
      <c r="A425" s="90"/>
      <c r="B425" s="91"/>
      <c r="C425" s="92" t="s">
        <v>385</v>
      </c>
      <c r="D425" s="91"/>
      <c r="E425" s="93"/>
      <c r="F425" s="67" t="str">
        <f>IFERROR(IFERROR(INDEX(Кат!$A:$A,MATCH(Прайс!$B425,Кат!$G:$G,0)),INDEX(Торг!$B:$B,MATCH(Прайс!$B425,Торг!$H:$H,0))),"")</f>
        <v/>
      </c>
      <c r="G425" s="67" t="str">
        <f>IFERROR(IFERROR(INDEX(Кат!$B:$B,MATCH(Прайс!$B425,Кат!$G:$G,0)),INDEX(Торг!$C:$C,MATCH(Прайс!$B425,Торг!$H:$H,0))),"")</f>
        <v/>
      </c>
      <c r="H425" s="67" t="str">
        <f>IFERROR(IFERROR(INDEX(Кат!$I:$I,MATCH(Прайс!$B425,Кат!$G:$G,0)),INDEX(Торг!$I:$I,MATCH(Прайс!$B425,Торг!$H:$H,0))),"")</f>
        <v/>
      </c>
    </row>
    <row r="426" spans="1:8" x14ac:dyDescent="0.25">
      <c r="A426" s="99" t="s">
        <v>2665</v>
      </c>
      <c r="B426" s="108">
        <v>40085</v>
      </c>
      <c r="C426" s="108" t="s">
        <v>386</v>
      </c>
      <c r="D426" s="101" t="s">
        <v>162</v>
      </c>
      <c r="E426" s="102">
        <v>90</v>
      </c>
      <c r="F426" s="67" t="str">
        <f>IFERROR(IFERROR(INDEX(Кат!$A:$A,MATCH(Прайс!$B426,Кат!$G:$G,0)),INDEX(Торг!$B:$B,MATCH(Прайс!$B426,Торг!$H:$H,0))),"")</f>
        <v/>
      </c>
      <c r="G426" s="67" t="str">
        <f>IFERROR(IFERROR(INDEX(Кат!$B:$B,MATCH(Прайс!$B426,Кат!$G:$G,0)),INDEX(Торг!$C:$C,MATCH(Прайс!$B426,Торг!$H:$H,0))),"")</f>
        <v/>
      </c>
      <c r="H426" s="67" t="str">
        <f>IFERROR(IFERROR(INDEX(Кат!$I:$I,MATCH(Прайс!$B426,Кат!$G:$G,0)),INDEX(Торг!$I:$I,MATCH(Прайс!$B426,Торг!$H:$H,0))),"")</f>
        <v/>
      </c>
    </row>
    <row r="427" spans="1:8" ht="15.75" x14ac:dyDescent="0.25">
      <c r="A427" s="90"/>
      <c r="B427" s="91"/>
      <c r="C427" s="92" t="s">
        <v>387</v>
      </c>
      <c r="D427" s="91"/>
      <c r="E427" s="93"/>
      <c r="F427" s="67" t="str">
        <f>IFERROR(IFERROR(INDEX(Кат!$A:$A,MATCH(Прайс!$B427,Кат!$G:$G,0)),INDEX(Торг!$B:$B,MATCH(Прайс!$B427,Торг!$H:$H,0))),"")</f>
        <v/>
      </c>
      <c r="G427" s="67" t="str">
        <f>IFERROR(IFERROR(INDEX(Кат!$B:$B,MATCH(Прайс!$B427,Кат!$G:$G,0)),INDEX(Торг!$C:$C,MATCH(Прайс!$B427,Торг!$H:$H,0))),"")</f>
        <v/>
      </c>
      <c r="H427" s="67" t="str">
        <f>IFERROR(IFERROR(INDEX(Кат!$I:$I,MATCH(Прайс!$B427,Кат!$G:$G,0)),INDEX(Торг!$I:$I,MATCH(Прайс!$B427,Торг!$H:$H,0))),"")</f>
        <v/>
      </c>
    </row>
    <row r="428" spans="1:8" x14ac:dyDescent="0.25">
      <c r="A428" s="99" t="s">
        <v>2666</v>
      </c>
      <c r="B428" s="108">
        <v>40470</v>
      </c>
      <c r="C428" s="108" t="s">
        <v>2667</v>
      </c>
      <c r="D428" s="101" t="s">
        <v>160</v>
      </c>
      <c r="E428" s="102">
        <v>135</v>
      </c>
      <c r="F428" s="67" t="str">
        <f>IFERROR(IFERROR(INDEX(Кат!$A:$A,MATCH(Прайс!$B428,Кат!$G:$G,0)),INDEX(Торг!$B:$B,MATCH(Прайс!$B428,Торг!$H:$H,0))),"")</f>
        <v/>
      </c>
      <c r="G428" s="67" t="str">
        <f>IFERROR(IFERROR(INDEX(Кат!$B:$B,MATCH(Прайс!$B428,Кат!$G:$G,0)),INDEX(Торг!$C:$C,MATCH(Прайс!$B428,Торг!$H:$H,0))),"")</f>
        <v/>
      </c>
      <c r="H428" s="67" t="str">
        <f>IFERROR(IFERROR(INDEX(Кат!$I:$I,MATCH(Прайс!$B428,Кат!$G:$G,0)),INDEX(Торг!$I:$I,MATCH(Прайс!$B428,Торг!$H:$H,0))),"")</f>
        <v/>
      </c>
    </row>
    <row r="429" spans="1:8" x14ac:dyDescent="0.25">
      <c r="A429" s="94" t="s">
        <v>6116</v>
      </c>
      <c r="B429" s="98">
        <v>40139</v>
      </c>
      <c r="C429" s="98" t="s">
        <v>6117</v>
      </c>
      <c r="D429" s="96" t="s">
        <v>162</v>
      </c>
      <c r="E429" s="97">
        <v>105</v>
      </c>
      <c r="F429" s="67" t="str">
        <f>IFERROR(IFERROR(INDEX(Кат!$A:$A,MATCH(Прайс!$B429,Кат!$G:$G,0)),INDEX(Торг!$B:$B,MATCH(Прайс!$B429,Торг!$H:$H,0))),"")</f>
        <v/>
      </c>
      <c r="G429" s="67" t="str">
        <f>IFERROR(IFERROR(INDEX(Кат!$B:$B,MATCH(Прайс!$B429,Кат!$G:$G,0)),INDEX(Торг!$C:$C,MATCH(Прайс!$B429,Торг!$H:$H,0))),"")</f>
        <v/>
      </c>
      <c r="H429" s="67" t="str">
        <f>IFERROR(IFERROR(INDEX(Кат!$I:$I,MATCH(Прайс!$B429,Кат!$G:$G,0)),INDEX(Торг!$I:$I,MATCH(Прайс!$B429,Торг!$H:$H,0))),"")</f>
        <v/>
      </c>
    </row>
    <row r="430" spans="1:8" x14ac:dyDescent="0.25">
      <c r="A430" s="94" t="s">
        <v>6118</v>
      </c>
      <c r="B430" s="98">
        <v>40512</v>
      </c>
      <c r="C430" s="98" t="s">
        <v>6119</v>
      </c>
      <c r="D430" s="96" t="s">
        <v>337</v>
      </c>
      <c r="E430" s="97">
        <v>150</v>
      </c>
      <c r="F430" s="67" t="str">
        <f>IFERROR(IFERROR(INDEX(Кат!$A:$A,MATCH(Прайс!$B430,Кат!$G:$G,0)),INDEX(Торг!$B:$B,MATCH(Прайс!$B430,Торг!$H:$H,0))),"")</f>
        <v/>
      </c>
      <c r="G430" s="67" t="str">
        <f>IFERROR(IFERROR(INDEX(Кат!$B:$B,MATCH(Прайс!$B430,Кат!$G:$G,0)),INDEX(Торг!$C:$C,MATCH(Прайс!$B430,Торг!$H:$H,0))),"")</f>
        <v/>
      </c>
      <c r="H430" s="67" t="str">
        <f>IFERROR(IFERROR(INDEX(Кат!$I:$I,MATCH(Прайс!$B430,Кат!$G:$G,0)),INDEX(Торг!$I:$I,MATCH(Прайс!$B430,Торг!$H:$H,0))),"")</f>
        <v/>
      </c>
    </row>
    <row r="431" spans="1:8" x14ac:dyDescent="0.25">
      <c r="A431" s="94" t="s">
        <v>6120</v>
      </c>
      <c r="B431" s="98">
        <v>40517</v>
      </c>
      <c r="C431" s="98" t="s">
        <v>6121</v>
      </c>
      <c r="D431" s="96" t="s">
        <v>337</v>
      </c>
      <c r="E431" s="97">
        <v>150</v>
      </c>
      <c r="F431" s="67" t="str">
        <f>IFERROR(IFERROR(INDEX(Кат!$A:$A,MATCH(Прайс!$B431,Кат!$G:$G,0)),INDEX(Торг!$B:$B,MATCH(Прайс!$B431,Торг!$H:$H,0))),"")</f>
        <v/>
      </c>
      <c r="G431" s="67" t="str">
        <f>IFERROR(IFERROR(INDEX(Кат!$B:$B,MATCH(Прайс!$B431,Кат!$G:$G,0)),INDEX(Торг!$C:$C,MATCH(Прайс!$B431,Торг!$H:$H,0))),"")</f>
        <v/>
      </c>
      <c r="H431" s="67" t="str">
        <f>IFERROR(IFERROR(INDEX(Кат!$I:$I,MATCH(Прайс!$B431,Кат!$G:$G,0)),INDEX(Торг!$I:$I,MATCH(Прайс!$B431,Торг!$H:$H,0))),"")</f>
        <v/>
      </c>
    </row>
    <row r="432" spans="1:8" x14ac:dyDescent="0.25">
      <c r="A432" s="94" t="s">
        <v>6122</v>
      </c>
      <c r="B432" s="98">
        <v>40518</v>
      </c>
      <c r="C432" s="98" t="s">
        <v>6123</v>
      </c>
      <c r="D432" s="96" t="s">
        <v>337</v>
      </c>
      <c r="E432" s="97">
        <v>150</v>
      </c>
      <c r="F432" s="67" t="str">
        <f>IFERROR(IFERROR(INDEX(Кат!$A:$A,MATCH(Прайс!$B432,Кат!$G:$G,0)),INDEX(Торг!$B:$B,MATCH(Прайс!$B432,Торг!$H:$H,0))),"")</f>
        <v/>
      </c>
      <c r="G432" s="67" t="str">
        <f>IFERROR(IFERROR(INDEX(Кат!$B:$B,MATCH(Прайс!$B432,Кат!$G:$G,0)),INDEX(Торг!$C:$C,MATCH(Прайс!$B432,Торг!$H:$H,0))),"")</f>
        <v/>
      </c>
      <c r="H432" s="67" t="str">
        <f>IFERROR(IFERROR(INDEX(Кат!$I:$I,MATCH(Прайс!$B432,Кат!$G:$G,0)),INDEX(Торг!$I:$I,MATCH(Прайс!$B432,Торг!$H:$H,0))),"")</f>
        <v/>
      </c>
    </row>
    <row r="433" spans="1:8" x14ac:dyDescent="0.25">
      <c r="A433" s="94" t="s">
        <v>2668</v>
      </c>
      <c r="B433" s="98">
        <v>40348</v>
      </c>
      <c r="C433" s="98" t="s">
        <v>2669</v>
      </c>
      <c r="D433" s="96" t="s">
        <v>160</v>
      </c>
      <c r="E433" s="97">
        <v>300</v>
      </c>
      <c r="F433" s="67" t="str">
        <f>IFERROR(IFERROR(INDEX(Кат!$A:$A,MATCH(Прайс!$B433,Кат!$G:$G,0)),INDEX(Торг!$B:$B,MATCH(Прайс!$B433,Торг!$H:$H,0))),"")</f>
        <v/>
      </c>
      <c r="G433" s="67" t="str">
        <f>IFERROR(IFERROR(INDEX(Кат!$B:$B,MATCH(Прайс!$B433,Кат!$G:$G,0)),INDEX(Торг!$C:$C,MATCH(Прайс!$B433,Торг!$H:$H,0))),"")</f>
        <v/>
      </c>
      <c r="H433" s="67" t="str">
        <f>IFERROR(IFERROR(INDEX(Кат!$I:$I,MATCH(Прайс!$B433,Кат!$G:$G,0)),INDEX(Торг!$I:$I,MATCH(Прайс!$B433,Торг!$H:$H,0))),"")</f>
        <v/>
      </c>
    </row>
    <row r="434" spans="1:8" x14ac:dyDescent="0.25">
      <c r="A434" s="94" t="s">
        <v>6610</v>
      </c>
      <c r="B434" s="98">
        <v>40529</v>
      </c>
      <c r="C434" s="98" t="s">
        <v>6611</v>
      </c>
      <c r="D434" s="96" t="s">
        <v>582</v>
      </c>
      <c r="E434" s="97">
        <v>300</v>
      </c>
      <c r="F434" s="67" t="str">
        <f>IFERROR(IFERROR(INDEX(Кат!$A:$A,MATCH(Прайс!$B434,Кат!$G:$G,0)),INDEX(Торг!$B:$B,MATCH(Прайс!$B434,Торг!$H:$H,0))),"")</f>
        <v/>
      </c>
      <c r="G434" s="67" t="str">
        <f>IFERROR(IFERROR(INDEX(Кат!$B:$B,MATCH(Прайс!$B434,Кат!$G:$G,0)),INDEX(Торг!$C:$C,MATCH(Прайс!$B434,Торг!$H:$H,0))),"")</f>
        <v/>
      </c>
      <c r="H434" s="67" t="str">
        <f>IFERROR(IFERROR(INDEX(Кат!$I:$I,MATCH(Прайс!$B434,Кат!$G:$G,0)),INDEX(Торг!$I:$I,MATCH(Прайс!$B434,Торг!$H:$H,0))),"")</f>
        <v/>
      </c>
    </row>
    <row r="435" spans="1:8" x14ac:dyDescent="0.25">
      <c r="A435" s="94" t="s">
        <v>2670</v>
      </c>
      <c r="B435" s="98">
        <v>40086</v>
      </c>
      <c r="C435" s="98" t="s">
        <v>2671</v>
      </c>
      <c r="D435" s="96" t="s">
        <v>160</v>
      </c>
      <c r="E435" s="97">
        <v>140</v>
      </c>
      <c r="F435" s="67" t="str">
        <f>IFERROR(IFERROR(INDEX(Кат!$A:$A,MATCH(Прайс!$B435,Кат!$G:$G,0)),INDEX(Торг!$B:$B,MATCH(Прайс!$B435,Торг!$H:$H,0))),"")</f>
        <v/>
      </c>
      <c r="G435" s="67" t="str">
        <f>IFERROR(IFERROR(INDEX(Кат!$B:$B,MATCH(Прайс!$B435,Кат!$G:$G,0)),INDEX(Торг!$C:$C,MATCH(Прайс!$B435,Торг!$H:$H,0))),"")</f>
        <v/>
      </c>
      <c r="H435" s="67" t="str">
        <f>IFERROR(IFERROR(INDEX(Кат!$I:$I,MATCH(Прайс!$B435,Кат!$G:$G,0)),INDEX(Торг!$I:$I,MATCH(Прайс!$B435,Торг!$H:$H,0))),"")</f>
        <v/>
      </c>
    </row>
    <row r="436" spans="1:8" x14ac:dyDescent="0.25">
      <c r="A436" s="94" t="s">
        <v>6124</v>
      </c>
      <c r="B436" s="98">
        <v>40088</v>
      </c>
      <c r="C436" s="98" t="s">
        <v>6125</v>
      </c>
      <c r="D436" s="96" t="s">
        <v>160</v>
      </c>
      <c r="E436" s="97">
        <v>175</v>
      </c>
      <c r="F436" s="67" t="str">
        <f>IFERROR(IFERROR(INDEX(Кат!$A:$A,MATCH(Прайс!$B436,Кат!$G:$G,0)),INDEX(Торг!$B:$B,MATCH(Прайс!$B436,Торг!$H:$H,0))),"")</f>
        <v/>
      </c>
      <c r="G436" s="67" t="str">
        <f>IFERROR(IFERROR(INDEX(Кат!$B:$B,MATCH(Прайс!$B436,Кат!$G:$G,0)),INDEX(Торг!$C:$C,MATCH(Прайс!$B436,Торг!$H:$H,0))),"")</f>
        <v/>
      </c>
      <c r="H436" s="67" t="str">
        <f>IFERROR(IFERROR(INDEX(Кат!$I:$I,MATCH(Прайс!$B436,Кат!$G:$G,0)),INDEX(Торг!$I:$I,MATCH(Прайс!$B436,Торг!$H:$H,0))),"")</f>
        <v/>
      </c>
    </row>
    <row r="437" spans="1:8" x14ac:dyDescent="0.25">
      <c r="A437" s="94" t="s">
        <v>2672</v>
      </c>
      <c r="B437" s="98">
        <v>40090</v>
      </c>
      <c r="C437" s="98" t="s">
        <v>388</v>
      </c>
      <c r="D437" s="96" t="s">
        <v>160</v>
      </c>
      <c r="E437" s="97">
        <v>160</v>
      </c>
      <c r="F437" s="67" t="str">
        <f>IFERROR(IFERROR(INDEX(Кат!$A:$A,MATCH(Прайс!$B437,Кат!$G:$G,0)),INDEX(Торг!$B:$B,MATCH(Прайс!$B437,Торг!$H:$H,0))),"")</f>
        <v/>
      </c>
      <c r="G437" s="67" t="str">
        <f>IFERROR(IFERROR(INDEX(Кат!$B:$B,MATCH(Прайс!$B437,Кат!$G:$G,0)),INDEX(Торг!$C:$C,MATCH(Прайс!$B437,Торг!$H:$H,0))),"")</f>
        <v/>
      </c>
      <c r="H437" s="67" t="str">
        <f>IFERROR(IFERROR(INDEX(Кат!$I:$I,MATCH(Прайс!$B437,Кат!$G:$G,0)),INDEX(Торг!$I:$I,MATCH(Прайс!$B437,Торг!$H:$H,0))),"")</f>
        <v/>
      </c>
    </row>
    <row r="438" spans="1:8" x14ac:dyDescent="0.25">
      <c r="A438" s="94" t="s">
        <v>2673</v>
      </c>
      <c r="B438" s="98">
        <v>40091</v>
      </c>
      <c r="C438" s="98" t="s">
        <v>389</v>
      </c>
      <c r="D438" s="96" t="s">
        <v>160</v>
      </c>
      <c r="E438" s="97">
        <v>120</v>
      </c>
      <c r="F438" s="67" t="str">
        <f>IFERROR(IFERROR(INDEX(Кат!$A:$A,MATCH(Прайс!$B438,Кат!$G:$G,0)),INDEX(Торг!$B:$B,MATCH(Прайс!$B438,Торг!$H:$H,0))),"")</f>
        <v/>
      </c>
      <c r="G438" s="67" t="str">
        <f>IFERROR(IFERROR(INDEX(Кат!$B:$B,MATCH(Прайс!$B438,Кат!$G:$G,0)),INDEX(Торг!$C:$C,MATCH(Прайс!$B438,Торг!$H:$H,0))),"")</f>
        <v/>
      </c>
      <c r="H438" s="67" t="str">
        <f>IFERROR(IFERROR(INDEX(Кат!$I:$I,MATCH(Прайс!$B438,Кат!$G:$G,0)),INDEX(Торг!$I:$I,MATCH(Прайс!$B438,Торг!$H:$H,0))),"")</f>
        <v/>
      </c>
    </row>
    <row r="439" spans="1:8" x14ac:dyDescent="0.25">
      <c r="A439" s="94" t="s">
        <v>2674</v>
      </c>
      <c r="B439" s="98">
        <v>40394</v>
      </c>
      <c r="C439" s="98" t="s">
        <v>390</v>
      </c>
      <c r="D439" s="96" t="s">
        <v>160</v>
      </c>
      <c r="E439" s="97">
        <v>160</v>
      </c>
      <c r="F439" s="67" t="str">
        <f>IFERROR(IFERROR(INDEX(Кат!$A:$A,MATCH(Прайс!$B439,Кат!$G:$G,0)),INDEX(Торг!$B:$B,MATCH(Прайс!$B439,Торг!$H:$H,0))),"")</f>
        <v/>
      </c>
      <c r="G439" s="67" t="str">
        <f>IFERROR(IFERROR(INDEX(Кат!$B:$B,MATCH(Прайс!$B439,Кат!$G:$G,0)),INDEX(Торг!$C:$C,MATCH(Прайс!$B439,Торг!$H:$H,0))),"")</f>
        <v/>
      </c>
      <c r="H439" s="67" t="str">
        <f>IFERROR(IFERROR(INDEX(Кат!$I:$I,MATCH(Прайс!$B439,Кат!$G:$G,0)),INDEX(Торг!$I:$I,MATCH(Прайс!$B439,Торг!$H:$H,0))),"")</f>
        <v/>
      </c>
    </row>
    <row r="440" spans="1:8" x14ac:dyDescent="0.25">
      <c r="A440" s="94" t="s">
        <v>2675</v>
      </c>
      <c r="B440" s="98">
        <v>40093</v>
      </c>
      <c r="C440" s="98" t="s">
        <v>391</v>
      </c>
      <c r="D440" s="96" t="s">
        <v>160</v>
      </c>
      <c r="E440" s="97">
        <v>250</v>
      </c>
      <c r="F440" s="67" t="str">
        <f>IFERROR(IFERROR(INDEX(Кат!$A:$A,MATCH(Прайс!$B440,Кат!$G:$G,0)),INDEX(Торг!$B:$B,MATCH(Прайс!$B440,Торг!$H:$H,0))),"")</f>
        <v/>
      </c>
      <c r="G440" s="67" t="str">
        <f>IFERROR(IFERROR(INDEX(Кат!$B:$B,MATCH(Прайс!$B440,Кат!$G:$G,0)),INDEX(Торг!$C:$C,MATCH(Прайс!$B440,Торг!$H:$H,0))),"")</f>
        <v/>
      </c>
      <c r="H440" s="67" t="str">
        <f>IFERROR(IFERROR(INDEX(Кат!$I:$I,MATCH(Прайс!$B440,Кат!$G:$G,0)),INDEX(Торг!$I:$I,MATCH(Прайс!$B440,Торг!$H:$H,0))),"")</f>
        <v/>
      </c>
    </row>
    <row r="441" spans="1:8" x14ac:dyDescent="0.25">
      <c r="A441" s="94" t="s">
        <v>2676</v>
      </c>
      <c r="B441" s="98">
        <v>40094</v>
      </c>
      <c r="C441" s="98" t="s">
        <v>392</v>
      </c>
      <c r="D441" s="96" t="s">
        <v>160</v>
      </c>
      <c r="E441" s="97">
        <v>165</v>
      </c>
      <c r="F441" s="67" t="str">
        <f>IFERROR(IFERROR(INDEX(Кат!$A:$A,MATCH(Прайс!$B441,Кат!$G:$G,0)),INDEX(Торг!$B:$B,MATCH(Прайс!$B441,Торг!$H:$H,0))),"")</f>
        <v/>
      </c>
      <c r="G441" s="67" t="str">
        <f>IFERROR(IFERROR(INDEX(Кат!$B:$B,MATCH(Прайс!$B441,Кат!$G:$G,0)),INDEX(Торг!$C:$C,MATCH(Прайс!$B441,Торг!$H:$H,0))),"")</f>
        <v/>
      </c>
      <c r="H441" s="67" t="str">
        <f>IFERROR(IFERROR(INDEX(Кат!$I:$I,MATCH(Прайс!$B441,Кат!$G:$G,0)),INDEX(Торг!$I:$I,MATCH(Прайс!$B441,Торг!$H:$H,0))),"")</f>
        <v/>
      </c>
    </row>
    <row r="442" spans="1:8" x14ac:dyDescent="0.25">
      <c r="A442" s="94" t="s">
        <v>6126</v>
      </c>
      <c r="B442" s="98">
        <v>40095</v>
      </c>
      <c r="C442" s="98" t="s">
        <v>6127</v>
      </c>
      <c r="D442" s="96" t="s">
        <v>160</v>
      </c>
      <c r="E442" s="97">
        <v>120</v>
      </c>
      <c r="F442" s="67" t="str">
        <f>IFERROR(IFERROR(INDEX(Кат!$A:$A,MATCH(Прайс!$B442,Кат!$G:$G,0)),INDEX(Торг!$B:$B,MATCH(Прайс!$B442,Торг!$H:$H,0))),"")</f>
        <v/>
      </c>
      <c r="G442" s="67" t="str">
        <f>IFERROR(IFERROR(INDEX(Кат!$B:$B,MATCH(Прайс!$B442,Кат!$G:$G,0)),INDEX(Торг!$C:$C,MATCH(Прайс!$B442,Торг!$H:$H,0))),"")</f>
        <v/>
      </c>
      <c r="H442" s="67" t="str">
        <f>IFERROR(IFERROR(INDEX(Кат!$I:$I,MATCH(Прайс!$B442,Кат!$G:$G,0)),INDEX(Торг!$I:$I,MATCH(Прайс!$B442,Торг!$H:$H,0))),"")</f>
        <v/>
      </c>
    </row>
    <row r="443" spans="1:8" x14ac:dyDescent="0.25">
      <c r="A443" s="94" t="s">
        <v>2677</v>
      </c>
      <c r="B443" s="98">
        <v>40309</v>
      </c>
      <c r="C443" s="98" t="s">
        <v>393</v>
      </c>
      <c r="D443" s="96" t="s">
        <v>375</v>
      </c>
      <c r="E443" s="97">
        <v>820</v>
      </c>
      <c r="F443" s="67" t="str">
        <f>IFERROR(IFERROR(INDEX(Кат!$A:$A,MATCH(Прайс!$B443,Кат!$G:$G,0)),INDEX(Торг!$B:$B,MATCH(Прайс!$B443,Торг!$H:$H,0))),"")</f>
        <v/>
      </c>
      <c r="G443" s="67" t="str">
        <f>IFERROR(IFERROR(INDEX(Кат!$B:$B,MATCH(Прайс!$B443,Кат!$G:$G,0)),INDEX(Торг!$C:$C,MATCH(Прайс!$B443,Торг!$H:$H,0))),"")</f>
        <v/>
      </c>
      <c r="H443" s="67" t="str">
        <f>IFERROR(IFERROR(INDEX(Кат!$I:$I,MATCH(Прайс!$B443,Кат!$G:$G,0)),INDEX(Торг!$I:$I,MATCH(Прайс!$B443,Торг!$H:$H,0))),"")</f>
        <v/>
      </c>
    </row>
    <row r="444" spans="1:8" x14ac:dyDescent="0.25">
      <c r="A444" s="94" t="s">
        <v>2678</v>
      </c>
      <c r="B444" s="98">
        <v>40376</v>
      </c>
      <c r="C444" s="98" t="s">
        <v>2679</v>
      </c>
      <c r="D444" s="96" t="s">
        <v>174</v>
      </c>
      <c r="E444" s="97">
        <v>150</v>
      </c>
      <c r="F444" s="67" t="str">
        <f>IFERROR(IFERROR(INDEX(Кат!$A:$A,MATCH(Прайс!$B444,Кат!$G:$G,0)),INDEX(Торг!$B:$B,MATCH(Прайс!$B444,Торг!$H:$H,0))),"")</f>
        <v/>
      </c>
      <c r="G444" s="67" t="str">
        <f>IFERROR(IFERROR(INDEX(Кат!$B:$B,MATCH(Прайс!$B444,Кат!$G:$G,0)),INDEX(Торг!$C:$C,MATCH(Прайс!$B444,Торг!$H:$H,0))),"")</f>
        <v/>
      </c>
      <c r="H444" s="67" t="str">
        <f>IFERROR(IFERROR(INDEX(Кат!$I:$I,MATCH(Прайс!$B444,Кат!$G:$G,0)),INDEX(Торг!$I:$I,MATCH(Прайс!$B444,Торг!$H:$H,0))),"")</f>
        <v/>
      </c>
    </row>
    <row r="445" spans="1:8" x14ac:dyDescent="0.25">
      <c r="A445" s="94" t="s">
        <v>5716</v>
      </c>
      <c r="B445" s="98">
        <v>40501</v>
      </c>
      <c r="C445" s="98" t="s">
        <v>7393</v>
      </c>
      <c r="D445" s="96" t="s">
        <v>174</v>
      </c>
      <c r="E445" s="97">
        <v>150</v>
      </c>
      <c r="F445" s="67" t="str">
        <f>IFERROR(IFERROR(INDEX(Кат!$A:$A,MATCH(Прайс!$B445,Кат!$G:$G,0)),INDEX(Торг!$B:$B,MATCH(Прайс!$B445,Торг!$H:$H,0))),"")</f>
        <v/>
      </c>
      <c r="G445" s="67" t="str">
        <f>IFERROR(IFERROR(INDEX(Кат!$B:$B,MATCH(Прайс!$B445,Кат!$G:$G,0)),INDEX(Торг!$C:$C,MATCH(Прайс!$B445,Торг!$H:$H,0))),"")</f>
        <v/>
      </c>
      <c r="H445" s="67" t="str">
        <f>IFERROR(IFERROR(INDEX(Кат!$I:$I,MATCH(Прайс!$B445,Кат!$G:$G,0)),INDEX(Торг!$I:$I,MATCH(Прайс!$B445,Торг!$H:$H,0))),"")</f>
        <v/>
      </c>
    </row>
    <row r="446" spans="1:8" x14ac:dyDescent="0.25">
      <c r="A446" s="94" t="s">
        <v>2680</v>
      </c>
      <c r="B446" s="98">
        <v>40098</v>
      </c>
      <c r="C446" s="98" t="s">
        <v>394</v>
      </c>
      <c r="D446" s="96" t="s">
        <v>160</v>
      </c>
      <c r="E446" s="97">
        <v>250</v>
      </c>
      <c r="F446" s="67" t="str">
        <f>IFERROR(IFERROR(INDEX(Кат!$A:$A,MATCH(Прайс!$B446,Кат!$G:$G,0)),INDEX(Торг!$B:$B,MATCH(Прайс!$B446,Торг!$H:$H,0))),"")</f>
        <v/>
      </c>
      <c r="G446" s="67" t="str">
        <f>IFERROR(IFERROR(INDEX(Кат!$B:$B,MATCH(Прайс!$B446,Кат!$G:$G,0)),INDEX(Торг!$C:$C,MATCH(Прайс!$B446,Торг!$H:$H,0))),"")</f>
        <v/>
      </c>
      <c r="H446" s="67" t="str">
        <f>IFERROR(IFERROR(INDEX(Кат!$I:$I,MATCH(Прайс!$B446,Кат!$G:$G,0)),INDEX(Торг!$I:$I,MATCH(Прайс!$B446,Торг!$H:$H,0))),"")</f>
        <v/>
      </c>
    </row>
    <row r="447" spans="1:8" x14ac:dyDescent="0.25">
      <c r="A447" s="94" t="s">
        <v>2681</v>
      </c>
      <c r="B447" s="98">
        <v>40101</v>
      </c>
      <c r="C447" s="98" t="s">
        <v>6128</v>
      </c>
      <c r="D447" s="96" t="s">
        <v>160</v>
      </c>
      <c r="E447" s="97">
        <v>150</v>
      </c>
      <c r="F447" s="67" t="str">
        <f>IFERROR(IFERROR(INDEX(Кат!$A:$A,MATCH(Прайс!$B447,Кат!$G:$G,0)),INDEX(Торг!$B:$B,MATCH(Прайс!$B447,Торг!$H:$H,0))),"")</f>
        <v/>
      </c>
      <c r="G447" s="67" t="str">
        <f>IFERROR(IFERROR(INDEX(Кат!$B:$B,MATCH(Прайс!$B447,Кат!$G:$G,0)),INDEX(Торг!$C:$C,MATCH(Прайс!$B447,Торг!$H:$H,0))),"")</f>
        <v/>
      </c>
      <c r="H447" s="67" t="str">
        <f>IFERROR(IFERROR(INDEX(Кат!$I:$I,MATCH(Прайс!$B447,Кат!$G:$G,0)),INDEX(Торг!$I:$I,MATCH(Прайс!$B447,Торг!$H:$H,0))),"")</f>
        <v/>
      </c>
    </row>
    <row r="448" spans="1:8" x14ac:dyDescent="0.25">
      <c r="A448" s="94" t="s">
        <v>2682</v>
      </c>
      <c r="B448" s="98">
        <v>40103</v>
      </c>
      <c r="C448" s="98" t="s">
        <v>395</v>
      </c>
      <c r="D448" s="96" t="s">
        <v>160</v>
      </c>
      <c r="E448" s="97">
        <v>190</v>
      </c>
      <c r="F448" s="67" t="str">
        <f>IFERROR(IFERROR(INDEX(Кат!$A:$A,MATCH(Прайс!$B448,Кат!$G:$G,0)),INDEX(Торг!$B:$B,MATCH(Прайс!$B448,Торг!$H:$H,0))),"")</f>
        <v/>
      </c>
      <c r="G448" s="67" t="str">
        <f>IFERROR(IFERROR(INDEX(Кат!$B:$B,MATCH(Прайс!$B448,Кат!$G:$G,0)),INDEX(Торг!$C:$C,MATCH(Прайс!$B448,Торг!$H:$H,0))),"")</f>
        <v/>
      </c>
      <c r="H448" s="67" t="str">
        <f>IFERROR(IFERROR(INDEX(Кат!$I:$I,MATCH(Прайс!$B448,Кат!$G:$G,0)),INDEX(Торг!$I:$I,MATCH(Прайс!$B448,Торг!$H:$H,0))),"")</f>
        <v/>
      </c>
    </row>
    <row r="449" spans="1:8" x14ac:dyDescent="0.25">
      <c r="A449" s="94" t="s">
        <v>2683</v>
      </c>
      <c r="B449" s="98">
        <v>40384</v>
      </c>
      <c r="C449" s="98" t="s">
        <v>396</v>
      </c>
      <c r="D449" s="96" t="s">
        <v>174</v>
      </c>
      <c r="E449" s="97">
        <v>165</v>
      </c>
      <c r="F449" s="67" t="str">
        <f>IFERROR(IFERROR(INDEX(Кат!$A:$A,MATCH(Прайс!$B449,Кат!$G:$G,0)),INDEX(Торг!$B:$B,MATCH(Прайс!$B449,Торг!$H:$H,0))),"")</f>
        <v/>
      </c>
      <c r="G449" s="67" t="str">
        <f>IFERROR(IFERROR(INDEX(Кат!$B:$B,MATCH(Прайс!$B449,Кат!$G:$G,0)),INDEX(Торг!$C:$C,MATCH(Прайс!$B449,Торг!$H:$H,0))),"")</f>
        <v/>
      </c>
      <c r="H449" s="67" t="str">
        <f>IFERROR(IFERROR(INDEX(Кат!$I:$I,MATCH(Прайс!$B449,Кат!$G:$G,0)),INDEX(Торг!$I:$I,MATCH(Прайс!$B449,Торг!$H:$H,0))),"")</f>
        <v/>
      </c>
    </row>
    <row r="450" spans="1:8" x14ac:dyDescent="0.25">
      <c r="A450" s="94" t="s">
        <v>2684</v>
      </c>
      <c r="B450" s="98">
        <v>40105</v>
      </c>
      <c r="C450" s="98" t="s">
        <v>397</v>
      </c>
      <c r="D450" s="96" t="s">
        <v>398</v>
      </c>
      <c r="E450" s="97">
        <v>75</v>
      </c>
      <c r="F450" s="67" t="str">
        <f>IFERROR(IFERROR(INDEX(Кат!$A:$A,MATCH(Прайс!$B450,Кат!$G:$G,0)),INDEX(Торг!$B:$B,MATCH(Прайс!$B450,Торг!$H:$H,0))),"")</f>
        <v/>
      </c>
      <c r="G450" s="67" t="str">
        <f>IFERROR(IFERROR(INDEX(Кат!$B:$B,MATCH(Прайс!$B450,Кат!$G:$G,0)),INDEX(Торг!$C:$C,MATCH(Прайс!$B450,Торг!$H:$H,0))),"")</f>
        <v/>
      </c>
      <c r="H450" s="67" t="str">
        <f>IFERROR(IFERROR(INDEX(Кат!$I:$I,MATCH(Прайс!$B450,Кат!$G:$G,0)),INDEX(Торг!$I:$I,MATCH(Прайс!$B450,Торг!$H:$H,0))),"")</f>
        <v/>
      </c>
    </row>
    <row r="451" spans="1:8" x14ac:dyDescent="0.25">
      <c r="A451" s="94" t="s">
        <v>2685</v>
      </c>
      <c r="B451" s="98">
        <v>40106</v>
      </c>
      <c r="C451" s="98" t="s">
        <v>399</v>
      </c>
      <c r="D451" s="96" t="s">
        <v>160</v>
      </c>
      <c r="E451" s="97">
        <v>175</v>
      </c>
      <c r="F451" s="67" t="str">
        <f>IFERROR(IFERROR(INDEX(Кат!$A:$A,MATCH(Прайс!$B451,Кат!$G:$G,0)),INDEX(Торг!$B:$B,MATCH(Прайс!$B451,Торг!$H:$H,0))),"")</f>
        <v/>
      </c>
      <c r="G451" s="67" t="str">
        <f>IFERROR(IFERROR(INDEX(Кат!$B:$B,MATCH(Прайс!$B451,Кат!$G:$G,0)),INDEX(Торг!$C:$C,MATCH(Прайс!$B451,Торг!$H:$H,0))),"")</f>
        <v/>
      </c>
      <c r="H451" s="67" t="str">
        <f>IFERROR(IFERROR(INDEX(Кат!$I:$I,MATCH(Прайс!$B451,Кат!$G:$G,0)),INDEX(Торг!$I:$I,MATCH(Прайс!$B451,Торг!$H:$H,0))),"")</f>
        <v/>
      </c>
    </row>
    <row r="452" spans="1:8" x14ac:dyDescent="0.25">
      <c r="A452" s="94" t="s">
        <v>2686</v>
      </c>
      <c r="B452" s="98">
        <v>40332</v>
      </c>
      <c r="C452" s="98" t="s">
        <v>400</v>
      </c>
      <c r="D452" s="96" t="s">
        <v>160</v>
      </c>
      <c r="E452" s="97">
        <v>280</v>
      </c>
      <c r="F452" s="67" t="str">
        <f>IFERROR(IFERROR(INDEX(Кат!$A:$A,MATCH(Прайс!$B452,Кат!$G:$G,0)),INDEX(Торг!$B:$B,MATCH(Прайс!$B452,Торг!$H:$H,0))),"")</f>
        <v/>
      </c>
      <c r="G452" s="67" t="str">
        <f>IFERROR(IFERROR(INDEX(Кат!$B:$B,MATCH(Прайс!$B452,Кат!$G:$G,0)),INDEX(Торг!$C:$C,MATCH(Прайс!$B452,Торг!$H:$H,0))),"")</f>
        <v/>
      </c>
      <c r="H452" s="67" t="str">
        <f>IFERROR(IFERROR(INDEX(Кат!$I:$I,MATCH(Прайс!$B452,Кат!$G:$G,0)),INDEX(Торг!$I:$I,MATCH(Прайс!$B452,Торг!$H:$H,0))),"")</f>
        <v/>
      </c>
    </row>
    <row r="453" spans="1:8" x14ac:dyDescent="0.25">
      <c r="A453" s="94" t="s">
        <v>2687</v>
      </c>
      <c r="B453" s="98">
        <v>40107</v>
      </c>
      <c r="C453" s="98" t="s">
        <v>401</v>
      </c>
      <c r="D453" s="96" t="s">
        <v>160</v>
      </c>
      <c r="E453" s="97">
        <v>200</v>
      </c>
      <c r="F453" s="67" t="str">
        <f>IFERROR(IFERROR(INDEX(Кат!$A:$A,MATCH(Прайс!$B453,Кат!$G:$G,0)),INDEX(Торг!$B:$B,MATCH(Прайс!$B453,Торг!$H:$H,0))),"")</f>
        <v/>
      </c>
      <c r="G453" s="67" t="str">
        <f>IFERROR(IFERROR(INDEX(Кат!$B:$B,MATCH(Прайс!$B453,Кат!$G:$G,0)),INDEX(Торг!$C:$C,MATCH(Прайс!$B453,Торг!$H:$H,0))),"")</f>
        <v/>
      </c>
      <c r="H453" s="67" t="str">
        <f>IFERROR(IFERROR(INDEX(Кат!$I:$I,MATCH(Прайс!$B453,Кат!$G:$G,0)),INDEX(Торг!$I:$I,MATCH(Прайс!$B453,Торг!$H:$H,0))),"")</f>
        <v/>
      </c>
    </row>
    <row r="454" spans="1:8" x14ac:dyDescent="0.25">
      <c r="A454" s="94" t="s">
        <v>2688</v>
      </c>
      <c r="B454" s="98">
        <v>40108</v>
      </c>
      <c r="C454" s="98" t="s">
        <v>402</v>
      </c>
      <c r="D454" s="96" t="s">
        <v>160</v>
      </c>
      <c r="E454" s="97">
        <v>400</v>
      </c>
      <c r="F454" s="67" t="str">
        <f>IFERROR(IFERROR(INDEX(Кат!$A:$A,MATCH(Прайс!$B454,Кат!$G:$G,0)),INDEX(Торг!$B:$B,MATCH(Прайс!$B454,Торг!$H:$H,0))),"")</f>
        <v/>
      </c>
      <c r="G454" s="67" t="str">
        <f>IFERROR(IFERROR(INDEX(Кат!$B:$B,MATCH(Прайс!$B454,Кат!$G:$G,0)),INDEX(Торг!$C:$C,MATCH(Прайс!$B454,Торг!$H:$H,0))),"")</f>
        <v/>
      </c>
      <c r="H454" s="67" t="str">
        <f>IFERROR(IFERROR(INDEX(Кат!$I:$I,MATCH(Прайс!$B454,Кат!$G:$G,0)),INDEX(Торг!$I:$I,MATCH(Прайс!$B454,Торг!$H:$H,0))),"")</f>
        <v/>
      </c>
    </row>
    <row r="455" spans="1:8" x14ac:dyDescent="0.25">
      <c r="A455" s="94" t="s">
        <v>8172</v>
      </c>
      <c r="B455" s="98">
        <v>40462</v>
      </c>
      <c r="C455" s="98" t="s">
        <v>8173</v>
      </c>
      <c r="D455" s="96" t="s">
        <v>160</v>
      </c>
      <c r="E455" s="97">
        <v>145</v>
      </c>
      <c r="F455" s="67" t="str">
        <f>IFERROR(IFERROR(INDEX(Кат!$A:$A,MATCH(Прайс!$B455,Кат!$G:$G,0)),INDEX(Торг!$B:$B,MATCH(Прайс!$B455,Торг!$H:$H,0))),"")</f>
        <v/>
      </c>
      <c r="G455" s="67" t="str">
        <f>IFERROR(IFERROR(INDEX(Кат!$B:$B,MATCH(Прайс!$B455,Кат!$G:$G,0)),INDEX(Торг!$C:$C,MATCH(Прайс!$B455,Торг!$H:$H,0))),"")</f>
        <v/>
      </c>
      <c r="H455" s="67" t="str">
        <f>IFERROR(IFERROR(INDEX(Кат!$I:$I,MATCH(Прайс!$B455,Кат!$G:$G,0)),INDEX(Торг!$I:$I,MATCH(Прайс!$B455,Торг!$H:$H,0))),"")</f>
        <v/>
      </c>
    </row>
    <row r="456" spans="1:8" x14ac:dyDescent="0.25">
      <c r="A456" s="94" t="s">
        <v>2689</v>
      </c>
      <c r="B456" s="98">
        <v>40109</v>
      </c>
      <c r="C456" s="98" t="s">
        <v>403</v>
      </c>
      <c r="D456" s="96" t="s">
        <v>160</v>
      </c>
      <c r="E456" s="97">
        <v>180</v>
      </c>
      <c r="F456" s="67" t="str">
        <f>IFERROR(IFERROR(INDEX(Кат!$A:$A,MATCH(Прайс!$B456,Кат!$G:$G,0)),INDEX(Торг!$B:$B,MATCH(Прайс!$B456,Торг!$H:$H,0))),"")</f>
        <v/>
      </c>
      <c r="G456" s="67" t="str">
        <f>IFERROR(IFERROR(INDEX(Кат!$B:$B,MATCH(Прайс!$B456,Кат!$G:$G,0)),INDEX(Торг!$C:$C,MATCH(Прайс!$B456,Торг!$H:$H,0))),"")</f>
        <v/>
      </c>
      <c r="H456" s="67" t="str">
        <f>IFERROR(IFERROR(INDEX(Кат!$I:$I,MATCH(Прайс!$B456,Кат!$G:$G,0)),INDEX(Торг!$I:$I,MATCH(Прайс!$B456,Торг!$H:$H,0))),"")</f>
        <v/>
      </c>
    </row>
    <row r="457" spans="1:8" x14ac:dyDescent="0.25">
      <c r="A457" s="94" t="s">
        <v>6129</v>
      </c>
      <c r="B457" s="98">
        <v>40519</v>
      </c>
      <c r="C457" s="98" t="s">
        <v>6130</v>
      </c>
      <c r="D457" s="96" t="s">
        <v>160</v>
      </c>
      <c r="E457" s="97">
        <v>155</v>
      </c>
      <c r="F457" s="67" t="str">
        <f>IFERROR(IFERROR(INDEX(Кат!$A:$A,MATCH(Прайс!$B457,Кат!$G:$G,0)),INDEX(Торг!$B:$B,MATCH(Прайс!$B457,Торг!$H:$H,0))),"")</f>
        <v/>
      </c>
      <c r="G457" s="67" t="str">
        <f>IFERROR(IFERROR(INDEX(Кат!$B:$B,MATCH(Прайс!$B457,Кат!$G:$G,0)),INDEX(Торг!$C:$C,MATCH(Прайс!$B457,Торг!$H:$H,0))),"")</f>
        <v/>
      </c>
      <c r="H457" s="67" t="str">
        <f>IFERROR(IFERROR(INDEX(Кат!$I:$I,MATCH(Прайс!$B457,Кат!$G:$G,0)),INDEX(Торг!$I:$I,MATCH(Прайс!$B457,Торг!$H:$H,0))),"")</f>
        <v/>
      </c>
    </row>
    <row r="458" spans="1:8" x14ac:dyDescent="0.25">
      <c r="A458" s="94" t="s">
        <v>2690</v>
      </c>
      <c r="B458" s="98">
        <v>40111</v>
      </c>
      <c r="C458" s="98" t="s">
        <v>8174</v>
      </c>
      <c r="D458" s="96" t="s">
        <v>160</v>
      </c>
      <c r="E458" s="97">
        <v>185</v>
      </c>
      <c r="F458" s="67" t="str">
        <f>IFERROR(IFERROR(INDEX(Кат!$A:$A,MATCH(Прайс!$B458,Кат!$G:$G,0)),INDEX(Торг!$B:$B,MATCH(Прайс!$B458,Торг!$H:$H,0))),"")</f>
        <v/>
      </c>
      <c r="G458" s="67" t="str">
        <f>IFERROR(IFERROR(INDEX(Кат!$B:$B,MATCH(Прайс!$B458,Кат!$G:$G,0)),INDEX(Торг!$C:$C,MATCH(Прайс!$B458,Торг!$H:$H,0))),"")</f>
        <v/>
      </c>
      <c r="H458" s="67" t="str">
        <f>IFERROR(IFERROR(INDEX(Кат!$I:$I,MATCH(Прайс!$B458,Кат!$G:$G,0)),INDEX(Торг!$I:$I,MATCH(Прайс!$B458,Торг!$H:$H,0))),"")</f>
        <v/>
      </c>
    </row>
    <row r="459" spans="1:8" x14ac:dyDescent="0.25">
      <c r="A459" s="99" t="s">
        <v>5005</v>
      </c>
      <c r="B459" s="108">
        <v>40484</v>
      </c>
      <c r="C459" s="108" t="s">
        <v>5006</v>
      </c>
      <c r="D459" s="101" t="s">
        <v>177</v>
      </c>
      <c r="E459" s="102">
        <v>235</v>
      </c>
      <c r="F459" s="67" t="str">
        <f>IFERROR(IFERROR(INDEX(Кат!$A:$A,MATCH(Прайс!$B459,Кат!$G:$G,0)),INDEX(Торг!$B:$B,MATCH(Прайс!$B459,Торг!$H:$H,0))),"")</f>
        <v/>
      </c>
      <c r="G459" s="67" t="str">
        <f>IFERROR(IFERROR(INDEX(Кат!$B:$B,MATCH(Прайс!$B459,Кат!$G:$G,0)),INDEX(Торг!$C:$C,MATCH(Прайс!$B459,Торг!$H:$H,0))),"")</f>
        <v/>
      </c>
      <c r="H459" s="67" t="str">
        <f>IFERROR(IFERROR(INDEX(Кат!$I:$I,MATCH(Прайс!$B459,Кат!$G:$G,0)),INDEX(Торг!$I:$I,MATCH(Прайс!$B459,Торг!$H:$H,0))),"")</f>
        <v/>
      </c>
    </row>
    <row r="460" spans="1:8" x14ac:dyDescent="0.25">
      <c r="A460" s="94" t="s">
        <v>2691</v>
      </c>
      <c r="B460" s="98">
        <v>40113</v>
      </c>
      <c r="C460" s="98" t="s">
        <v>404</v>
      </c>
      <c r="D460" s="96" t="s">
        <v>160</v>
      </c>
      <c r="E460" s="97">
        <v>115</v>
      </c>
      <c r="F460" s="67" t="str">
        <f>IFERROR(IFERROR(INDEX(Кат!$A:$A,MATCH(Прайс!$B460,Кат!$G:$G,0)),INDEX(Торг!$B:$B,MATCH(Прайс!$B460,Торг!$H:$H,0))),"")</f>
        <v/>
      </c>
      <c r="G460" s="67" t="str">
        <f>IFERROR(IFERROR(INDEX(Кат!$B:$B,MATCH(Прайс!$B460,Кат!$G:$G,0)),INDEX(Торг!$C:$C,MATCH(Прайс!$B460,Торг!$H:$H,0))),"")</f>
        <v/>
      </c>
      <c r="H460" s="67" t="str">
        <f>IFERROR(IFERROR(INDEX(Кат!$I:$I,MATCH(Прайс!$B460,Кат!$G:$G,0)),INDEX(Торг!$I:$I,MATCH(Прайс!$B460,Торг!$H:$H,0))),"")</f>
        <v/>
      </c>
    </row>
    <row r="461" spans="1:8" x14ac:dyDescent="0.25">
      <c r="A461" s="94" t="s">
        <v>2693</v>
      </c>
      <c r="B461" s="98">
        <v>40389</v>
      </c>
      <c r="C461" s="98" t="s">
        <v>5717</v>
      </c>
      <c r="D461" s="96" t="s">
        <v>174</v>
      </c>
      <c r="E461" s="97">
        <v>160</v>
      </c>
      <c r="F461" s="67" t="str">
        <f>IFERROR(IFERROR(INDEX(Кат!$A:$A,MATCH(Прайс!$B461,Кат!$G:$G,0)),INDEX(Торг!$B:$B,MATCH(Прайс!$B461,Торг!$H:$H,0))),"")</f>
        <v/>
      </c>
      <c r="G461" s="67" t="str">
        <f>IFERROR(IFERROR(INDEX(Кат!$B:$B,MATCH(Прайс!$B461,Кат!$G:$G,0)),INDEX(Торг!$C:$C,MATCH(Прайс!$B461,Торг!$H:$H,0))),"")</f>
        <v/>
      </c>
      <c r="H461" s="67" t="str">
        <f>IFERROR(IFERROR(INDEX(Кат!$I:$I,MATCH(Прайс!$B461,Кат!$G:$G,0)),INDEX(Торг!$I:$I,MATCH(Прайс!$B461,Торг!$H:$H,0))),"")</f>
        <v/>
      </c>
    </row>
    <row r="462" spans="1:8" x14ac:dyDescent="0.25">
      <c r="A462" s="94" t="s">
        <v>2692</v>
      </c>
      <c r="B462" s="98">
        <v>40114</v>
      </c>
      <c r="C462" s="98" t="s">
        <v>405</v>
      </c>
      <c r="D462" s="96" t="s">
        <v>160</v>
      </c>
      <c r="E462" s="97">
        <v>270</v>
      </c>
      <c r="F462" s="67" t="str">
        <f>IFERROR(IFERROR(INDEX(Кат!$A:$A,MATCH(Прайс!$B462,Кат!$G:$G,0)),INDEX(Торг!$B:$B,MATCH(Прайс!$B462,Торг!$H:$H,0))),"")</f>
        <v/>
      </c>
      <c r="G462" s="67" t="str">
        <f>IFERROR(IFERROR(INDEX(Кат!$B:$B,MATCH(Прайс!$B462,Кат!$G:$G,0)),INDEX(Торг!$C:$C,MATCH(Прайс!$B462,Торг!$H:$H,0))),"")</f>
        <v/>
      </c>
      <c r="H462" s="67" t="str">
        <f>IFERROR(IFERROR(INDEX(Кат!$I:$I,MATCH(Прайс!$B462,Кат!$G:$G,0)),INDEX(Торг!$I:$I,MATCH(Прайс!$B462,Торг!$H:$H,0))),"")</f>
        <v/>
      </c>
    </row>
    <row r="463" spans="1:8" x14ac:dyDescent="0.25">
      <c r="A463" s="99" t="s">
        <v>5393</v>
      </c>
      <c r="B463" s="108">
        <v>40341</v>
      </c>
      <c r="C463" s="108" t="s">
        <v>5394</v>
      </c>
      <c r="D463" s="101" t="s">
        <v>160</v>
      </c>
      <c r="E463" s="102">
        <v>270</v>
      </c>
      <c r="F463" s="67" t="str">
        <f>IFERROR(IFERROR(INDEX(Кат!$A:$A,MATCH(Прайс!$B463,Кат!$G:$G,0)),INDEX(Торг!$B:$B,MATCH(Прайс!$B463,Торг!$H:$H,0))),"")</f>
        <v/>
      </c>
      <c r="G463" s="67" t="str">
        <f>IFERROR(IFERROR(INDEX(Кат!$B:$B,MATCH(Прайс!$B463,Кат!$G:$G,0)),INDEX(Торг!$C:$C,MATCH(Прайс!$B463,Торг!$H:$H,0))),"")</f>
        <v/>
      </c>
      <c r="H463" s="67" t="str">
        <f>IFERROR(IFERROR(INDEX(Кат!$I:$I,MATCH(Прайс!$B463,Кат!$G:$G,0)),INDEX(Торг!$I:$I,MATCH(Прайс!$B463,Торг!$H:$H,0))),"")</f>
        <v/>
      </c>
    </row>
    <row r="464" spans="1:8" x14ac:dyDescent="0.25">
      <c r="A464" s="94" t="s">
        <v>2694</v>
      </c>
      <c r="B464" s="98">
        <v>40116</v>
      </c>
      <c r="C464" s="98" t="s">
        <v>406</v>
      </c>
      <c r="D464" s="96" t="s">
        <v>160</v>
      </c>
      <c r="E464" s="97">
        <v>400</v>
      </c>
      <c r="F464" s="67" t="str">
        <f>IFERROR(IFERROR(INDEX(Кат!$A:$A,MATCH(Прайс!$B464,Кат!$G:$G,0)),INDEX(Торг!$B:$B,MATCH(Прайс!$B464,Торг!$H:$H,0))),"")</f>
        <v/>
      </c>
      <c r="G464" s="67" t="str">
        <f>IFERROR(IFERROR(INDEX(Кат!$B:$B,MATCH(Прайс!$B464,Кат!$G:$G,0)),INDEX(Торг!$C:$C,MATCH(Прайс!$B464,Торг!$H:$H,0))),"")</f>
        <v/>
      </c>
      <c r="H464" s="67" t="str">
        <f>IFERROR(IFERROR(INDEX(Кат!$I:$I,MATCH(Прайс!$B464,Кат!$G:$G,0)),INDEX(Торг!$I:$I,MATCH(Прайс!$B464,Торг!$H:$H,0))),"")</f>
        <v/>
      </c>
    </row>
    <row r="465" spans="1:8" x14ac:dyDescent="0.25">
      <c r="A465" s="94" t="s">
        <v>5718</v>
      </c>
      <c r="B465" s="98">
        <v>40483</v>
      </c>
      <c r="C465" s="98" t="s">
        <v>5719</v>
      </c>
      <c r="D465" s="96" t="s">
        <v>160</v>
      </c>
      <c r="E465" s="97">
        <v>230</v>
      </c>
      <c r="F465" s="67" t="str">
        <f>IFERROR(IFERROR(INDEX(Кат!$A:$A,MATCH(Прайс!$B465,Кат!$G:$G,0)),INDEX(Торг!$B:$B,MATCH(Прайс!$B465,Торг!$H:$H,0))),"")</f>
        <v/>
      </c>
      <c r="G465" s="67" t="str">
        <f>IFERROR(IFERROR(INDEX(Кат!$B:$B,MATCH(Прайс!$B465,Кат!$G:$G,0)),INDEX(Торг!$C:$C,MATCH(Прайс!$B465,Торг!$H:$H,0))),"")</f>
        <v/>
      </c>
      <c r="H465" s="67" t="str">
        <f>IFERROR(IFERROR(INDEX(Кат!$I:$I,MATCH(Прайс!$B465,Кат!$G:$G,0)),INDEX(Торг!$I:$I,MATCH(Прайс!$B465,Торг!$H:$H,0))),"")</f>
        <v/>
      </c>
    </row>
    <row r="466" spans="1:8" x14ac:dyDescent="0.25">
      <c r="A466" s="94" t="s">
        <v>8531</v>
      </c>
      <c r="B466" s="98">
        <v>40117</v>
      </c>
      <c r="C466" s="98" t="s">
        <v>8532</v>
      </c>
      <c r="D466" s="96" t="s">
        <v>160</v>
      </c>
      <c r="E466" s="97">
        <v>350</v>
      </c>
      <c r="F466" s="67" t="str">
        <f>IFERROR(IFERROR(INDEX(Кат!$A:$A,MATCH(Прайс!$B466,Кат!$G:$G,0)),INDEX(Торг!$B:$B,MATCH(Прайс!$B466,Торг!$H:$H,0))),"")</f>
        <v/>
      </c>
      <c r="G466" s="67" t="str">
        <f>IFERROR(IFERROR(INDEX(Кат!$B:$B,MATCH(Прайс!$B466,Кат!$G:$G,0)),INDEX(Торг!$C:$C,MATCH(Прайс!$B466,Торг!$H:$H,0))),"")</f>
        <v/>
      </c>
      <c r="H466" s="67" t="str">
        <f>IFERROR(IFERROR(INDEX(Кат!$I:$I,MATCH(Прайс!$B466,Кат!$G:$G,0)),INDEX(Торг!$I:$I,MATCH(Прайс!$B466,Торг!$H:$H,0))),"")</f>
        <v/>
      </c>
    </row>
    <row r="467" spans="1:8" x14ac:dyDescent="0.25">
      <c r="A467" s="94" t="s">
        <v>6131</v>
      </c>
      <c r="B467" s="98">
        <v>40350</v>
      </c>
      <c r="C467" s="98" t="s">
        <v>6132</v>
      </c>
      <c r="D467" s="96" t="s">
        <v>160</v>
      </c>
      <c r="E467" s="97">
        <v>220</v>
      </c>
      <c r="F467" s="67" t="str">
        <f>IFERROR(IFERROR(INDEX(Кат!$A:$A,MATCH(Прайс!$B467,Кат!$G:$G,0)),INDEX(Торг!$B:$B,MATCH(Прайс!$B467,Торг!$H:$H,0))),"")</f>
        <v/>
      </c>
      <c r="G467" s="67" t="str">
        <f>IFERROR(IFERROR(INDEX(Кат!$B:$B,MATCH(Прайс!$B467,Кат!$G:$G,0)),INDEX(Торг!$C:$C,MATCH(Прайс!$B467,Торг!$H:$H,0))),"")</f>
        <v/>
      </c>
      <c r="H467" s="67" t="str">
        <f>IFERROR(IFERROR(INDEX(Кат!$I:$I,MATCH(Прайс!$B467,Кат!$G:$G,0)),INDEX(Торг!$I:$I,MATCH(Прайс!$B467,Торг!$H:$H,0))),"")</f>
        <v/>
      </c>
    </row>
    <row r="468" spans="1:8" x14ac:dyDescent="0.25">
      <c r="A468" s="99" t="s">
        <v>2695</v>
      </c>
      <c r="B468" s="108">
        <v>40460</v>
      </c>
      <c r="C468" s="108" t="s">
        <v>407</v>
      </c>
      <c r="D468" s="101" t="s">
        <v>160</v>
      </c>
      <c r="E468" s="102">
        <v>160</v>
      </c>
      <c r="F468" s="67" t="str">
        <f>IFERROR(IFERROR(INDEX(Кат!$A:$A,MATCH(Прайс!$B468,Кат!$G:$G,0)),INDEX(Торг!$B:$B,MATCH(Прайс!$B468,Торг!$H:$H,0))),"")</f>
        <v/>
      </c>
      <c r="G468" s="67" t="str">
        <f>IFERROR(IFERROR(INDEX(Кат!$B:$B,MATCH(Прайс!$B468,Кат!$G:$G,0)),INDEX(Торг!$C:$C,MATCH(Прайс!$B468,Торг!$H:$H,0))),"")</f>
        <v/>
      </c>
      <c r="H468" s="67" t="str">
        <f>IFERROR(IFERROR(INDEX(Кат!$I:$I,MATCH(Прайс!$B468,Кат!$G:$G,0)),INDEX(Торг!$I:$I,MATCH(Прайс!$B468,Торг!$H:$H,0))),"")</f>
        <v/>
      </c>
    </row>
    <row r="469" spans="1:8" x14ac:dyDescent="0.25">
      <c r="A469" s="94" t="s">
        <v>6133</v>
      </c>
      <c r="B469" s="98">
        <v>40520</v>
      </c>
      <c r="C469" s="98" t="s">
        <v>6134</v>
      </c>
      <c r="D469" s="96" t="s">
        <v>160</v>
      </c>
      <c r="E469" s="97">
        <v>175</v>
      </c>
      <c r="F469" s="67" t="str">
        <f>IFERROR(IFERROR(INDEX(Кат!$A:$A,MATCH(Прайс!$B469,Кат!$G:$G,0)),INDEX(Торг!$B:$B,MATCH(Прайс!$B469,Торг!$H:$H,0))),"")</f>
        <v/>
      </c>
      <c r="G469" s="67" t="str">
        <f>IFERROR(IFERROR(INDEX(Кат!$B:$B,MATCH(Прайс!$B469,Кат!$G:$G,0)),INDEX(Торг!$C:$C,MATCH(Прайс!$B469,Торг!$H:$H,0))),"")</f>
        <v/>
      </c>
      <c r="H469" s="67" t="str">
        <f>IFERROR(IFERROR(INDEX(Кат!$I:$I,MATCH(Прайс!$B469,Кат!$G:$G,0)),INDEX(Торг!$I:$I,MATCH(Прайс!$B469,Торг!$H:$H,0))),"")</f>
        <v/>
      </c>
    </row>
    <row r="470" spans="1:8" x14ac:dyDescent="0.25">
      <c r="A470" s="94" t="s">
        <v>2696</v>
      </c>
      <c r="B470" s="98">
        <v>40121</v>
      </c>
      <c r="C470" s="98" t="s">
        <v>408</v>
      </c>
      <c r="D470" s="96" t="s">
        <v>160</v>
      </c>
      <c r="E470" s="97">
        <v>400</v>
      </c>
      <c r="F470" s="67" t="str">
        <f>IFERROR(IFERROR(INDEX(Кат!$A:$A,MATCH(Прайс!$B470,Кат!$G:$G,0)),INDEX(Торг!$B:$B,MATCH(Прайс!$B470,Торг!$H:$H,0))),"")</f>
        <v/>
      </c>
      <c r="G470" s="67" t="str">
        <f>IFERROR(IFERROR(INDEX(Кат!$B:$B,MATCH(Прайс!$B470,Кат!$G:$G,0)),INDEX(Торг!$C:$C,MATCH(Прайс!$B470,Торг!$H:$H,0))),"")</f>
        <v/>
      </c>
      <c r="H470" s="67" t="str">
        <f>IFERROR(IFERROR(INDEX(Кат!$I:$I,MATCH(Прайс!$B470,Кат!$G:$G,0)),INDEX(Торг!$I:$I,MATCH(Прайс!$B470,Торг!$H:$H,0))),"")</f>
        <v/>
      </c>
    </row>
    <row r="471" spans="1:8" x14ac:dyDescent="0.25">
      <c r="A471" s="94" t="s">
        <v>2697</v>
      </c>
      <c r="B471" s="98">
        <v>40122</v>
      </c>
      <c r="C471" s="98" t="s">
        <v>409</v>
      </c>
      <c r="D471" s="96" t="s">
        <v>160</v>
      </c>
      <c r="E471" s="97">
        <v>400</v>
      </c>
      <c r="F471" s="67" t="str">
        <f>IFERROR(IFERROR(INDEX(Кат!$A:$A,MATCH(Прайс!$B471,Кат!$G:$G,0)),INDEX(Торг!$B:$B,MATCH(Прайс!$B471,Торг!$H:$H,0))),"")</f>
        <v/>
      </c>
      <c r="G471" s="67" t="str">
        <f>IFERROR(IFERROR(INDEX(Кат!$B:$B,MATCH(Прайс!$B471,Кат!$G:$G,0)),INDEX(Торг!$C:$C,MATCH(Прайс!$B471,Торг!$H:$H,0))),"")</f>
        <v/>
      </c>
      <c r="H471" s="67" t="str">
        <f>IFERROR(IFERROR(INDEX(Кат!$I:$I,MATCH(Прайс!$B471,Кат!$G:$G,0)),INDEX(Торг!$I:$I,MATCH(Прайс!$B471,Торг!$H:$H,0))),"")</f>
        <v/>
      </c>
    </row>
    <row r="472" spans="1:8" x14ac:dyDescent="0.25">
      <c r="A472" s="94" t="s">
        <v>2698</v>
      </c>
      <c r="B472" s="98">
        <v>40124</v>
      </c>
      <c r="C472" s="98" t="s">
        <v>410</v>
      </c>
      <c r="D472" s="96" t="s">
        <v>160</v>
      </c>
      <c r="E472" s="97">
        <v>400</v>
      </c>
      <c r="F472" s="67" t="str">
        <f>IFERROR(IFERROR(INDEX(Кат!$A:$A,MATCH(Прайс!$B472,Кат!$G:$G,0)),INDEX(Торг!$B:$B,MATCH(Прайс!$B472,Торг!$H:$H,0))),"")</f>
        <v/>
      </c>
      <c r="G472" s="67" t="str">
        <f>IFERROR(IFERROR(INDEX(Кат!$B:$B,MATCH(Прайс!$B472,Кат!$G:$G,0)),INDEX(Торг!$C:$C,MATCH(Прайс!$B472,Торг!$H:$H,0))),"")</f>
        <v/>
      </c>
      <c r="H472" s="67" t="str">
        <f>IFERROR(IFERROR(INDEX(Кат!$I:$I,MATCH(Прайс!$B472,Кат!$G:$G,0)),INDEX(Торг!$I:$I,MATCH(Прайс!$B472,Торг!$H:$H,0))),"")</f>
        <v/>
      </c>
    </row>
    <row r="473" spans="1:8" x14ac:dyDescent="0.25">
      <c r="A473" s="94" t="s">
        <v>2699</v>
      </c>
      <c r="B473" s="98">
        <v>40125</v>
      </c>
      <c r="C473" s="98" t="s">
        <v>8175</v>
      </c>
      <c r="D473" s="96" t="s">
        <v>160</v>
      </c>
      <c r="E473" s="97">
        <v>120</v>
      </c>
      <c r="F473" s="67" t="str">
        <f>IFERROR(IFERROR(INDEX(Кат!$A:$A,MATCH(Прайс!$B473,Кат!$G:$G,0)),INDEX(Торг!$B:$B,MATCH(Прайс!$B473,Торг!$H:$H,0))),"")</f>
        <v/>
      </c>
      <c r="G473" s="67" t="str">
        <f>IFERROR(IFERROR(INDEX(Кат!$B:$B,MATCH(Прайс!$B473,Кат!$G:$G,0)),INDEX(Торг!$C:$C,MATCH(Прайс!$B473,Торг!$H:$H,0))),"")</f>
        <v/>
      </c>
      <c r="H473" s="67" t="str">
        <f>IFERROR(IFERROR(INDEX(Кат!$I:$I,MATCH(Прайс!$B473,Кат!$G:$G,0)),INDEX(Торг!$I:$I,MATCH(Прайс!$B473,Торг!$H:$H,0))),"")</f>
        <v/>
      </c>
    </row>
    <row r="474" spans="1:8" x14ac:dyDescent="0.25">
      <c r="A474" s="94" t="s">
        <v>2700</v>
      </c>
      <c r="B474" s="98">
        <v>40092</v>
      </c>
      <c r="C474" s="98" t="s">
        <v>6135</v>
      </c>
      <c r="D474" s="96" t="s">
        <v>160</v>
      </c>
      <c r="E474" s="97">
        <v>95</v>
      </c>
      <c r="F474" s="67" t="str">
        <f>IFERROR(IFERROR(INDEX(Кат!$A:$A,MATCH(Прайс!$B474,Кат!$G:$G,0)),INDEX(Торг!$B:$B,MATCH(Прайс!$B474,Торг!$H:$H,0))),"")</f>
        <v/>
      </c>
      <c r="G474" s="67" t="str">
        <f>IFERROR(IFERROR(INDEX(Кат!$B:$B,MATCH(Прайс!$B474,Кат!$G:$G,0)),INDEX(Торг!$C:$C,MATCH(Прайс!$B474,Торг!$H:$H,0))),"")</f>
        <v/>
      </c>
      <c r="H474" s="67" t="str">
        <f>IFERROR(IFERROR(INDEX(Кат!$I:$I,MATCH(Прайс!$B474,Кат!$G:$G,0)),INDEX(Торг!$I:$I,MATCH(Прайс!$B474,Торг!$H:$H,0))),"")</f>
        <v/>
      </c>
    </row>
    <row r="475" spans="1:8" x14ac:dyDescent="0.25">
      <c r="A475" s="94" t="s">
        <v>2701</v>
      </c>
      <c r="B475" s="98">
        <v>40441</v>
      </c>
      <c r="C475" s="98" t="s">
        <v>5007</v>
      </c>
      <c r="D475" s="96" t="s">
        <v>160</v>
      </c>
      <c r="E475" s="97">
        <v>170</v>
      </c>
      <c r="F475" s="67" t="str">
        <f>IFERROR(IFERROR(INDEX(Кат!$A:$A,MATCH(Прайс!$B475,Кат!$G:$G,0)),INDEX(Торг!$B:$B,MATCH(Прайс!$B475,Торг!$H:$H,0))),"")</f>
        <v/>
      </c>
      <c r="G475" s="67" t="str">
        <f>IFERROR(IFERROR(INDEX(Кат!$B:$B,MATCH(Прайс!$B475,Кат!$G:$G,0)),INDEX(Торг!$C:$C,MATCH(Прайс!$B475,Торг!$H:$H,0))),"")</f>
        <v/>
      </c>
      <c r="H475" s="67" t="str">
        <f>IFERROR(IFERROR(INDEX(Кат!$I:$I,MATCH(Прайс!$B475,Кат!$G:$G,0)),INDEX(Торг!$I:$I,MATCH(Прайс!$B475,Торг!$H:$H,0))),"")</f>
        <v/>
      </c>
    </row>
    <row r="476" spans="1:8" x14ac:dyDescent="0.25">
      <c r="A476" s="94" t="s">
        <v>2702</v>
      </c>
      <c r="B476" s="98">
        <v>40129</v>
      </c>
      <c r="C476" s="98" t="s">
        <v>411</v>
      </c>
      <c r="D476" s="96" t="s">
        <v>160</v>
      </c>
      <c r="E476" s="97">
        <v>400</v>
      </c>
      <c r="F476" s="67" t="str">
        <f>IFERROR(IFERROR(INDEX(Кат!$A:$A,MATCH(Прайс!$B476,Кат!$G:$G,0)),INDEX(Торг!$B:$B,MATCH(Прайс!$B476,Торг!$H:$H,0))),"")</f>
        <v/>
      </c>
      <c r="G476" s="67" t="str">
        <f>IFERROR(IFERROR(INDEX(Кат!$B:$B,MATCH(Прайс!$B476,Кат!$G:$G,0)),INDEX(Торг!$C:$C,MATCH(Прайс!$B476,Торг!$H:$H,0))),"")</f>
        <v/>
      </c>
      <c r="H476" s="67" t="str">
        <f>IFERROR(IFERROR(INDEX(Кат!$I:$I,MATCH(Прайс!$B476,Кат!$G:$G,0)),INDEX(Торг!$I:$I,MATCH(Прайс!$B476,Торг!$H:$H,0))),"")</f>
        <v/>
      </c>
    </row>
    <row r="477" spans="1:8" x14ac:dyDescent="0.25">
      <c r="A477" s="94" t="s">
        <v>2703</v>
      </c>
      <c r="B477" s="98">
        <v>40130</v>
      </c>
      <c r="C477" s="98" t="s">
        <v>412</v>
      </c>
      <c r="D477" s="96" t="s">
        <v>160</v>
      </c>
      <c r="E477" s="97">
        <v>210</v>
      </c>
      <c r="F477" s="67" t="str">
        <f>IFERROR(IFERROR(INDEX(Кат!$A:$A,MATCH(Прайс!$B477,Кат!$G:$G,0)),INDEX(Торг!$B:$B,MATCH(Прайс!$B477,Торг!$H:$H,0))),"")</f>
        <v/>
      </c>
      <c r="G477" s="67" t="str">
        <f>IFERROR(IFERROR(INDEX(Кат!$B:$B,MATCH(Прайс!$B477,Кат!$G:$G,0)),INDEX(Торг!$C:$C,MATCH(Прайс!$B477,Торг!$H:$H,0))),"")</f>
        <v/>
      </c>
      <c r="H477" s="67" t="str">
        <f>IFERROR(IFERROR(INDEX(Кат!$I:$I,MATCH(Прайс!$B477,Кат!$G:$G,0)),INDEX(Торг!$I:$I,MATCH(Прайс!$B477,Торг!$H:$H,0))),"")</f>
        <v/>
      </c>
    </row>
    <row r="478" spans="1:8" x14ac:dyDescent="0.25">
      <c r="A478" s="94" t="s">
        <v>2704</v>
      </c>
      <c r="B478" s="98">
        <v>40465</v>
      </c>
      <c r="C478" s="98" t="s">
        <v>2705</v>
      </c>
      <c r="D478" s="96" t="s">
        <v>160</v>
      </c>
      <c r="E478" s="97">
        <v>280</v>
      </c>
      <c r="F478" s="67" t="str">
        <f>IFERROR(IFERROR(INDEX(Кат!$A:$A,MATCH(Прайс!$B478,Кат!$G:$G,0)),INDEX(Торг!$B:$B,MATCH(Прайс!$B478,Торг!$H:$H,0))),"")</f>
        <v/>
      </c>
      <c r="G478" s="67" t="str">
        <f>IFERROR(IFERROR(INDEX(Кат!$B:$B,MATCH(Прайс!$B478,Кат!$G:$G,0)),INDEX(Торг!$C:$C,MATCH(Прайс!$B478,Торг!$H:$H,0))),"")</f>
        <v/>
      </c>
      <c r="H478" s="67" t="str">
        <f>IFERROR(IFERROR(INDEX(Кат!$I:$I,MATCH(Прайс!$B478,Кат!$G:$G,0)),INDEX(Торг!$I:$I,MATCH(Прайс!$B478,Торг!$H:$H,0))),"")</f>
        <v/>
      </c>
    </row>
    <row r="479" spans="1:8" x14ac:dyDescent="0.25">
      <c r="A479" s="94" t="s">
        <v>5720</v>
      </c>
      <c r="B479" s="98">
        <v>40498</v>
      </c>
      <c r="C479" s="98" t="s">
        <v>5721</v>
      </c>
      <c r="D479" s="96" t="s">
        <v>375</v>
      </c>
      <c r="E479" s="97">
        <v>800</v>
      </c>
      <c r="F479" s="67" t="str">
        <f>IFERROR(IFERROR(INDEX(Кат!$A:$A,MATCH(Прайс!$B479,Кат!$G:$G,0)),INDEX(Торг!$B:$B,MATCH(Прайс!$B479,Торг!$H:$H,0))),"")</f>
        <v/>
      </c>
      <c r="G479" s="67" t="str">
        <f>IFERROR(IFERROR(INDEX(Кат!$B:$B,MATCH(Прайс!$B479,Кат!$G:$G,0)),INDEX(Торг!$C:$C,MATCH(Прайс!$B479,Торг!$H:$H,0))),"")</f>
        <v/>
      </c>
      <c r="H479" s="67" t="str">
        <f>IFERROR(IFERROR(INDEX(Кат!$I:$I,MATCH(Прайс!$B479,Кат!$G:$G,0)),INDEX(Торг!$I:$I,MATCH(Прайс!$B479,Торг!$H:$H,0))),"")</f>
        <v/>
      </c>
    </row>
    <row r="480" spans="1:8" x14ac:dyDescent="0.25">
      <c r="A480" s="94" t="s">
        <v>2706</v>
      </c>
      <c r="B480" s="98">
        <v>40134</v>
      </c>
      <c r="C480" s="98" t="s">
        <v>413</v>
      </c>
      <c r="D480" s="96" t="s">
        <v>160</v>
      </c>
      <c r="E480" s="97">
        <v>240</v>
      </c>
      <c r="F480" s="67" t="str">
        <f>IFERROR(IFERROR(INDEX(Кат!$A:$A,MATCH(Прайс!$B480,Кат!$G:$G,0)),INDEX(Торг!$B:$B,MATCH(Прайс!$B480,Торг!$H:$H,0))),"")</f>
        <v/>
      </c>
      <c r="G480" s="67" t="str">
        <f>IFERROR(IFERROR(INDEX(Кат!$B:$B,MATCH(Прайс!$B480,Кат!$G:$G,0)),INDEX(Торг!$C:$C,MATCH(Прайс!$B480,Торг!$H:$H,0))),"")</f>
        <v/>
      </c>
      <c r="H480" s="67" t="str">
        <f>IFERROR(IFERROR(INDEX(Кат!$I:$I,MATCH(Прайс!$B480,Кат!$G:$G,0)),INDEX(Торг!$I:$I,MATCH(Прайс!$B480,Торг!$H:$H,0))),"")</f>
        <v/>
      </c>
    </row>
    <row r="481" spans="1:8" x14ac:dyDescent="0.25">
      <c r="A481" s="94" t="s">
        <v>2707</v>
      </c>
      <c r="B481" s="98">
        <v>40385</v>
      </c>
      <c r="C481" s="98" t="s">
        <v>5722</v>
      </c>
      <c r="D481" s="96" t="s">
        <v>174</v>
      </c>
      <c r="E481" s="97">
        <v>140</v>
      </c>
      <c r="F481" s="67" t="str">
        <f>IFERROR(IFERROR(INDEX(Кат!$A:$A,MATCH(Прайс!$B481,Кат!$G:$G,0)),INDEX(Торг!$B:$B,MATCH(Прайс!$B481,Торг!$H:$H,0))),"")</f>
        <v/>
      </c>
      <c r="G481" s="67" t="str">
        <f>IFERROR(IFERROR(INDEX(Кат!$B:$B,MATCH(Прайс!$B481,Кат!$G:$G,0)),INDEX(Торг!$C:$C,MATCH(Прайс!$B481,Торг!$H:$H,0))),"")</f>
        <v/>
      </c>
      <c r="H481" s="67" t="str">
        <f>IFERROR(IFERROR(INDEX(Кат!$I:$I,MATCH(Прайс!$B481,Кат!$G:$G,0)),INDEX(Торг!$I:$I,MATCH(Прайс!$B481,Торг!$H:$H,0))),"")</f>
        <v/>
      </c>
    </row>
    <row r="482" spans="1:8" x14ac:dyDescent="0.25">
      <c r="A482" s="94" t="s">
        <v>2708</v>
      </c>
      <c r="B482" s="98">
        <v>40132</v>
      </c>
      <c r="C482" s="98" t="s">
        <v>414</v>
      </c>
      <c r="D482" s="96" t="s">
        <v>160</v>
      </c>
      <c r="E482" s="97">
        <v>240</v>
      </c>
      <c r="F482" s="67" t="str">
        <f>IFERROR(IFERROR(INDEX(Кат!$A:$A,MATCH(Прайс!$B482,Кат!$G:$G,0)),INDEX(Торг!$B:$B,MATCH(Прайс!$B482,Торг!$H:$H,0))),"")</f>
        <v/>
      </c>
      <c r="G482" s="67" t="str">
        <f>IFERROR(IFERROR(INDEX(Кат!$B:$B,MATCH(Прайс!$B482,Кат!$G:$G,0)),INDEX(Торг!$C:$C,MATCH(Прайс!$B482,Торг!$H:$H,0))),"")</f>
        <v/>
      </c>
      <c r="H482" s="67" t="str">
        <f>IFERROR(IFERROR(INDEX(Кат!$I:$I,MATCH(Прайс!$B482,Кат!$G:$G,0)),INDEX(Торг!$I:$I,MATCH(Прайс!$B482,Торг!$H:$H,0))),"")</f>
        <v/>
      </c>
    </row>
    <row r="483" spans="1:8" x14ac:dyDescent="0.25">
      <c r="A483" s="94" t="s">
        <v>2709</v>
      </c>
      <c r="B483" s="98">
        <v>40302</v>
      </c>
      <c r="C483" s="98" t="s">
        <v>415</v>
      </c>
      <c r="D483" s="96" t="s">
        <v>375</v>
      </c>
      <c r="E483" s="97">
        <v>850</v>
      </c>
      <c r="F483" s="67" t="str">
        <f>IFERROR(IFERROR(INDEX(Кат!$A:$A,MATCH(Прайс!$B483,Кат!$G:$G,0)),INDEX(Торг!$B:$B,MATCH(Прайс!$B483,Торг!$H:$H,0))),"")</f>
        <v/>
      </c>
      <c r="G483" s="67" t="str">
        <f>IFERROR(IFERROR(INDEX(Кат!$B:$B,MATCH(Прайс!$B483,Кат!$G:$G,0)),INDEX(Торг!$C:$C,MATCH(Прайс!$B483,Торг!$H:$H,0))),"")</f>
        <v/>
      </c>
      <c r="H483" s="67" t="str">
        <f>IFERROR(IFERROR(INDEX(Кат!$I:$I,MATCH(Прайс!$B483,Кат!$G:$G,0)),INDEX(Торг!$I:$I,MATCH(Прайс!$B483,Торг!$H:$H,0))),"")</f>
        <v/>
      </c>
    </row>
    <row r="484" spans="1:8" x14ac:dyDescent="0.25">
      <c r="A484" s="94" t="s">
        <v>2710</v>
      </c>
      <c r="B484" s="98">
        <v>40357</v>
      </c>
      <c r="C484" s="98" t="s">
        <v>416</v>
      </c>
      <c r="D484" s="96" t="s">
        <v>582</v>
      </c>
      <c r="E484" s="107">
        <v>2650</v>
      </c>
      <c r="F484" s="67" t="str">
        <f>IFERROR(IFERROR(INDEX(Кат!$A:$A,MATCH(Прайс!$B484,Кат!$G:$G,0)),INDEX(Торг!$B:$B,MATCH(Прайс!$B484,Торг!$H:$H,0))),"")</f>
        <v/>
      </c>
      <c r="G484" s="67" t="str">
        <f>IFERROR(IFERROR(INDEX(Кат!$B:$B,MATCH(Прайс!$B484,Кат!$G:$G,0)),INDEX(Торг!$C:$C,MATCH(Прайс!$B484,Торг!$H:$H,0))),"")</f>
        <v/>
      </c>
      <c r="H484" s="67" t="str">
        <f>IFERROR(IFERROR(INDEX(Кат!$I:$I,MATCH(Прайс!$B484,Кат!$G:$G,0)),INDEX(Торг!$I:$I,MATCH(Прайс!$B484,Торг!$H:$H,0))),"")</f>
        <v/>
      </c>
    </row>
    <row r="485" spans="1:8" x14ac:dyDescent="0.25">
      <c r="A485" s="94" t="s">
        <v>5723</v>
      </c>
      <c r="B485" s="98">
        <v>40358</v>
      </c>
      <c r="C485" s="98" t="s">
        <v>5724</v>
      </c>
      <c r="D485" s="96" t="s">
        <v>162</v>
      </c>
      <c r="E485" s="97">
        <v>600</v>
      </c>
      <c r="F485" s="67" t="str">
        <f>IFERROR(IFERROR(INDEX(Кат!$A:$A,MATCH(Прайс!$B485,Кат!$G:$G,0)),INDEX(Торг!$B:$B,MATCH(Прайс!$B485,Торг!$H:$H,0))),"")</f>
        <v/>
      </c>
      <c r="G485" s="67" t="str">
        <f>IFERROR(IFERROR(INDEX(Кат!$B:$B,MATCH(Прайс!$B485,Кат!$G:$G,0)),INDEX(Торг!$C:$C,MATCH(Прайс!$B485,Торг!$H:$H,0))),"")</f>
        <v/>
      </c>
      <c r="H485" s="67" t="str">
        <f>IFERROR(IFERROR(INDEX(Кат!$I:$I,MATCH(Прайс!$B485,Кат!$G:$G,0)),INDEX(Торг!$I:$I,MATCH(Прайс!$B485,Торг!$H:$H,0))),"")</f>
        <v/>
      </c>
    </row>
    <row r="486" spans="1:8" x14ac:dyDescent="0.25">
      <c r="A486" s="94" t="s">
        <v>2711</v>
      </c>
      <c r="B486" s="98">
        <v>40356</v>
      </c>
      <c r="C486" s="98" t="s">
        <v>417</v>
      </c>
      <c r="D486" s="96" t="s">
        <v>375</v>
      </c>
      <c r="E486" s="107">
        <v>1500</v>
      </c>
      <c r="F486" s="67" t="str">
        <f>IFERROR(IFERROR(INDEX(Кат!$A:$A,MATCH(Прайс!$B486,Кат!$G:$G,0)),INDEX(Торг!$B:$B,MATCH(Прайс!$B486,Торг!$H:$H,0))),"")</f>
        <v/>
      </c>
      <c r="G486" s="67" t="str">
        <f>IFERROR(IFERROR(INDEX(Кат!$B:$B,MATCH(Прайс!$B486,Кат!$G:$G,0)),INDEX(Торг!$C:$C,MATCH(Прайс!$B486,Торг!$H:$H,0))),"")</f>
        <v/>
      </c>
      <c r="H486" s="67" t="str">
        <f>IFERROR(IFERROR(INDEX(Кат!$I:$I,MATCH(Прайс!$B486,Кат!$G:$G,0)),INDEX(Торг!$I:$I,MATCH(Прайс!$B486,Торг!$H:$H,0))),"")</f>
        <v/>
      </c>
    </row>
    <row r="487" spans="1:8" x14ac:dyDescent="0.25">
      <c r="A487" s="99" t="s">
        <v>6136</v>
      </c>
      <c r="B487" s="108">
        <v>40500</v>
      </c>
      <c r="C487" s="108" t="s">
        <v>6137</v>
      </c>
      <c r="D487" s="101" t="s">
        <v>160</v>
      </c>
      <c r="E487" s="102">
        <v>320</v>
      </c>
      <c r="F487" s="67" t="str">
        <f>IFERROR(IFERROR(INDEX(Кат!$A:$A,MATCH(Прайс!$B487,Кат!$G:$G,0)),INDEX(Торг!$B:$B,MATCH(Прайс!$B487,Торг!$H:$H,0))),"")</f>
        <v/>
      </c>
      <c r="G487" s="67" t="str">
        <f>IFERROR(IFERROR(INDEX(Кат!$B:$B,MATCH(Прайс!$B487,Кат!$G:$G,0)),INDEX(Торг!$C:$C,MATCH(Прайс!$B487,Торг!$H:$H,0))),"")</f>
        <v/>
      </c>
      <c r="H487" s="67" t="str">
        <f>IFERROR(IFERROR(INDEX(Кат!$I:$I,MATCH(Прайс!$B487,Кат!$G:$G,0)),INDEX(Торг!$I:$I,MATCH(Прайс!$B487,Торг!$H:$H,0))),"")</f>
        <v/>
      </c>
    </row>
    <row r="488" spans="1:8" x14ac:dyDescent="0.25">
      <c r="A488" s="94" t="s">
        <v>8533</v>
      </c>
      <c r="B488" s="98">
        <v>40388</v>
      </c>
      <c r="C488" s="98" t="s">
        <v>8534</v>
      </c>
      <c r="D488" s="96" t="s">
        <v>174</v>
      </c>
      <c r="E488" s="97">
        <v>130</v>
      </c>
      <c r="F488" s="67" t="str">
        <f>IFERROR(IFERROR(INDEX(Кат!$A:$A,MATCH(Прайс!$B488,Кат!$G:$G,0)),INDEX(Торг!$B:$B,MATCH(Прайс!$B488,Торг!$H:$H,0))),"")</f>
        <v/>
      </c>
      <c r="G488" s="67" t="str">
        <f>IFERROR(IFERROR(INDEX(Кат!$B:$B,MATCH(Прайс!$B488,Кат!$G:$G,0)),INDEX(Торг!$C:$C,MATCH(Прайс!$B488,Торг!$H:$H,0))),"")</f>
        <v/>
      </c>
      <c r="H488" s="67" t="str">
        <f>IFERROR(IFERROR(INDEX(Кат!$I:$I,MATCH(Прайс!$B488,Кат!$G:$G,0)),INDEX(Торг!$I:$I,MATCH(Прайс!$B488,Торг!$H:$H,0))),"")</f>
        <v/>
      </c>
    </row>
    <row r="489" spans="1:8" x14ac:dyDescent="0.25">
      <c r="A489" s="94" t="s">
        <v>2712</v>
      </c>
      <c r="B489" s="98">
        <v>40137</v>
      </c>
      <c r="C489" s="98" t="s">
        <v>418</v>
      </c>
      <c r="D489" s="96" t="s">
        <v>160</v>
      </c>
      <c r="E489" s="97">
        <v>90</v>
      </c>
      <c r="F489" s="67" t="str">
        <f>IFERROR(IFERROR(INDEX(Кат!$A:$A,MATCH(Прайс!$B489,Кат!$G:$G,0)),INDEX(Торг!$B:$B,MATCH(Прайс!$B489,Торг!$H:$H,0))),"")</f>
        <v/>
      </c>
      <c r="G489" s="67" t="str">
        <f>IFERROR(IFERROR(INDEX(Кат!$B:$B,MATCH(Прайс!$B489,Кат!$G:$G,0)),INDEX(Торг!$C:$C,MATCH(Прайс!$B489,Торг!$H:$H,0))),"")</f>
        <v/>
      </c>
      <c r="H489" s="67" t="str">
        <f>IFERROR(IFERROR(INDEX(Кат!$I:$I,MATCH(Прайс!$B489,Кат!$G:$G,0)),INDEX(Торг!$I:$I,MATCH(Прайс!$B489,Торг!$H:$H,0))),"")</f>
        <v/>
      </c>
    </row>
    <row r="490" spans="1:8" x14ac:dyDescent="0.25">
      <c r="A490" s="94" t="s">
        <v>2713</v>
      </c>
      <c r="B490" s="98">
        <v>40138</v>
      </c>
      <c r="C490" s="98" t="s">
        <v>419</v>
      </c>
      <c r="D490" s="96" t="s">
        <v>160</v>
      </c>
      <c r="E490" s="97">
        <v>110</v>
      </c>
      <c r="F490" s="67" t="str">
        <f>IFERROR(IFERROR(INDEX(Кат!$A:$A,MATCH(Прайс!$B490,Кат!$G:$G,0)),INDEX(Торг!$B:$B,MATCH(Прайс!$B490,Торг!$H:$H,0))),"")</f>
        <v/>
      </c>
      <c r="G490" s="67" t="str">
        <f>IFERROR(IFERROR(INDEX(Кат!$B:$B,MATCH(Прайс!$B490,Кат!$G:$G,0)),INDEX(Торг!$C:$C,MATCH(Прайс!$B490,Торг!$H:$H,0))),"")</f>
        <v/>
      </c>
      <c r="H490" s="67" t="str">
        <f>IFERROR(IFERROR(INDEX(Кат!$I:$I,MATCH(Прайс!$B490,Кат!$G:$G,0)),INDEX(Торг!$I:$I,MATCH(Прайс!$B490,Торг!$H:$H,0))),"")</f>
        <v/>
      </c>
    </row>
    <row r="491" spans="1:8" x14ac:dyDescent="0.25">
      <c r="A491" s="99" t="s">
        <v>2714</v>
      </c>
      <c r="B491" s="108">
        <v>40140</v>
      </c>
      <c r="C491" s="108" t="s">
        <v>420</v>
      </c>
      <c r="D491" s="101" t="s">
        <v>160</v>
      </c>
      <c r="E491" s="102">
        <v>120</v>
      </c>
      <c r="F491" s="67" t="str">
        <f>IFERROR(IFERROR(INDEX(Кат!$A:$A,MATCH(Прайс!$B491,Кат!$G:$G,0)),INDEX(Торг!$B:$B,MATCH(Прайс!$B491,Торг!$H:$H,0))),"")</f>
        <v/>
      </c>
      <c r="G491" s="67" t="str">
        <f>IFERROR(IFERROR(INDEX(Кат!$B:$B,MATCH(Прайс!$B491,Кат!$G:$G,0)),INDEX(Торг!$C:$C,MATCH(Прайс!$B491,Торг!$H:$H,0))),"")</f>
        <v/>
      </c>
      <c r="H491" s="67" t="str">
        <f>IFERROR(IFERROR(INDEX(Кат!$I:$I,MATCH(Прайс!$B491,Кат!$G:$G,0)),INDEX(Торг!$I:$I,MATCH(Прайс!$B491,Торг!$H:$H,0))),"")</f>
        <v/>
      </c>
    </row>
    <row r="492" spans="1:8" x14ac:dyDescent="0.25">
      <c r="A492" s="94" t="s">
        <v>2715</v>
      </c>
      <c r="B492" s="98">
        <v>40378</v>
      </c>
      <c r="C492" s="98" t="s">
        <v>421</v>
      </c>
      <c r="D492" s="96" t="s">
        <v>174</v>
      </c>
      <c r="E492" s="97">
        <v>125</v>
      </c>
      <c r="F492" s="67" t="str">
        <f>IFERROR(IFERROR(INDEX(Кат!$A:$A,MATCH(Прайс!$B492,Кат!$G:$G,0)),INDEX(Торг!$B:$B,MATCH(Прайс!$B492,Торг!$H:$H,0))),"")</f>
        <v/>
      </c>
      <c r="G492" s="67" t="str">
        <f>IFERROR(IFERROR(INDEX(Кат!$B:$B,MATCH(Прайс!$B492,Кат!$G:$G,0)),INDEX(Торг!$C:$C,MATCH(Прайс!$B492,Торг!$H:$H,0))),"")</f>
        <v/>
      </c>
      <c r="H492" s="67" t="str">
        <f>IFERROR(IFERROR(INDEX(Кат!$I:$I,MATCH(Прайс!$B492,Кат!$G:$G,0)),INDEX(Торг!$I:$I,MATCH(Прайс!$B492,Торг!$H:$H,0))),"")</f>
        <v/>
      </c>
    </row>
    <row r="493" spans="1:8" x14ac:dyDescent="0.25">
      <c r="A493" s="99" t="s">
        <v>2716</v>
      </c>
      <c r="B493" s="108">
        <v>40143</v>
      </c>
      <c r="C493" s="108" t="s">
        <v>422</v>
      </c>
      <c r="D493" s="101" t="s">
        <v>160</v>
      </c>
      <c r="E493" s="102">
        <v>185</v>
      </c>
      <c r="F493" s="67" t="str">
        <f>IFERROR(IFERROR(INDEX(Кат!$A:$A,MATCH(Прайс!$B493,Кат!$G:$G,0)),INDEX(Торг!$B:$B,MATCH(Прайс!$B493,Торг!$H:$H,0))),"")</f>
        <v/>
      </c>
      <c r="G493" s="67" t="str">
        <f>IFERROR(IFERROR(INDEX(Кат!$B:$B,MATCH(Прайс!$B493,Кат!$G:$G,0)),INDEX(Торг!$C:$C,MATCH(Прайс!$B493,Торг!$H:$H,0))),"")</f>
        <v/>
      </c>
      <c r="H493" s="67" t="str">
        <f>IFERROR(IFERROR(INDEX(Кат!$I:$I,MATCH(Прайс!$B493,Кат!$G:$G,0)),INDEX(Торг!$I:$I,MATCH(Прайс!$B493,Торг!$H:$H,0))),"")</f>
        <v/>
      </c>
    </row>
    <row r="494" spans="1:8" x14ac:dyDescent="0.25">
      <c r="A494" s="94" t="s">
        <v>2717</v>
      </c>
      <c r="B494" s="98">
        <v>40144</v>
      </c>
      <c r="C494" s="98" t="s">
        <v>423</v>
      </c>
      <c r="D494" s="96" t="s">
        <v>160</v>
      </c>
      <c r="E494" s="97">
        <v>105</v>
      </c>
      <c r="F494" s="67" t="str">
        <f>IFERROR(IFERROR(INDEX(Кат!$A:$A,MATCH(Прайс!$B494,Кат!$G:$G,0)),INDEX(Торг!$B:$B,MATCH(Прайс!$B494,Торг!$H:$H,0))),"")</f>
        <v/>
      </c>
      <c r="G494" s="67" t="str">
        <f>IFERROR(IFERROR(INDEX(Кат!$B:$B,MATCH(Прайс!$B494,Кат!$G:$G,0)),INDEX(Торг!$C:$C,MATCH(Прайс!$B494,Торг!$H:$H,0))),"")</f>
        <v/>
      </c>
      <c r="H494" s="67" t="str">
        <f>IFERROR(IFERROR(INDEX(Кат!$I:$I,MATCH(Прайс!$B494,Кат!$G:$G,0)),INDEX(Торг!$I:$I,MATCH(Прайс!$B494,Торг!$H:$H,0))),"")</f>
        <v/>
      </c>
    </row>
    <row r="495" spans="1:8" x14ac:dyDescent="0.25">
      <c r="A495" s="94" t="s">
        <v>5725</v>
      </c>
      <c r="B495" s="98">
        <v>40493</v>
      </c>
      <c r="C495" s="98" t="s">
        <v>5726</v>
      </c>
      <c r="D495" s="96" t="s">
        <v>174</v>
      </c>
      <c r="E495" s="97">
        <v>900</v>
      </c>
      <c r="F495" s="67" t="str">
        <f>IFERROR(IFERROR(INDEX(Кат!$A:$A,MATCH(Прайс!$B495,Кат!$G:$G,0)),INDEX(Торг!$B:$B,MATCH(Прайс!$B495,Торг!$H:$H,0))),"")</f>
        <v/>
      </c>
      <c r="G495" s="67" t="str">
        <f>IFERROR(IFERROR(INDEX(Кат!$B:$B,MATCH(Прайс!$B495,Кат!$G:$G,0)),INDEX(Торг!$C:$C,MATCH(Прайс!$B495,Торг!$H:$H,0))),"")</f>
        <v/>
      </c>
      <c r="H495" s="67" t="str">
        <f>IFERROR(IFERROR(INDEX(Кат!$I:$I,MATCH(Прайс!$B495,Кат!$G:$G,0)),INDEX(Торг!$I:$I,MATCH(Прайс!$B495,Торг!$H:$H,0))),"")</f>
        <v/>
      </c>
    </row>
    <row r="496" spans="1:8" x14ac:dyDescent="0.25">
      <c r="A496" s="103" t="s">
        <v>2718</v>
      </c>
      <c r="B496" s="104">
        <v>40146</v>
      </c>
      <c r="C496" s="104" t="s">
        <v>424</v>
      </c>
      <c r="D496" s="105" t="s">
        <v>160</v>
      </c>
      <c r="E496" s="113">
        <v>290</v>
      </c>
      <c r="F496" s="67" t="str">
        <f>IFERROR(IFERROR(INDEX(Кат!$A:$A,MATCH(Прайс!$B496,Кат!$G:$G,0)),INDEX(Торг!$B:$B,MATCH(Прайс!$B496,Торг!$H:$H,0))),"")</f>
        <v/>
      </c>
      <c r="G496" s="67" t="str">
        <f>IFERROR(IFERROR(INDEX(Кат!$B:$B,MATCH(Прайс!$B496,Кат!$G:$G,0)),INDEX(Торг!$C:$C,MATCH(Прайс!$B496,Торг!$H:$H,0))),"")</f>
        <v/>
      </c>
      <c r="H496" s="67" t="str">
        <f>IFERROR(IFERROR(INDEX(Кат!$I:$I,MATCH(Прайс!$B496,Кат!$G:$G,0)),INDEX(Торг!$I:$I,MATCH(Прайс!$B496,Торг!$H:$H,0))),"")</f>
        <v/>
      </c>
    </row>
    <row r="497" spans="1:8" x14ac:dyDescent="0.25">
      <c r="A497" s="103" t="s">
        <v>2719</v>
      </c>
      <c r="B497" s="104">
        <v>40147</v>
      </c>
      <c r="C497" s="104" t="s">
        <v>425</v>
      </c>
      <c r="D497" s="105" t="s">
        <v>375</v>
      </c>
      <c r="E497" s="113">
        <v>370</v>
      </c>
      <c r="F497" s="67" t="str">
        <f>IFERROR(IFERROR(INDEX(Кат!$A:$A,MATCH(Прайс!$B497,Кат!$G:$G,0)),INDEX(Торг!$B:$B,MATCH(Прайс!$B497,Торг!$H:$H,0))),"")</f>
        <v/>
      </c>
      <c r="G497" s="67" t="str">
        <f>IFERROR(IFERROR(INDEX(Кат!$B:$B,MATCH(Прайс!$B497,Кат!$G:$G,0)),INDEX(Торг!$C:$C,MATCH(Прайс!$B497,Торг!$H:$H,0))),"")</f>
        <v/>
      </c>
      <c r="H497" s="67" t="str">
        <f>IFERROR(IFERROR(INDEX(Кат!$I:$I,MATCH(Прайс!$B497,Кат!$G:$G,0)),INDEX(Торг!$I:$I,MATCH(Прайс!$B497,Торг!$H:$H,0))),"")</f>
        <v/>
      </c>
    </row>
    <row r="498" spans="1:8" x14ac:dyDescent="0.25">
      <c r="A498" s="94" t="s">
        <v>2720</v>
      </c>
      <c r="B498" s="98">
        <v>40148</v>
      </c>
      <c r="C498" s="98" t="s">
        <v>426</v>
      </c>
      <c r="D498" s="96" t="s">
        <v>271</v>
      </c>
      <c r="E498" s="97">
        <v>130</v>
      </c>
      <c r="F498" s="67" t="str">
        <f>IFERROR(IFERROR(INDEX(Кат!$A:$A,MATCH(Прайс!$B498,Кат!$G:$G,0)),INDEX(Торг!$B:$B,MATCH(Прайс!$B498,Торг!$H:$H,0))),"")</f>
        <v/>
      </c>
      <c r="G498" s="67" t="str">
        <f>IFERROR(IFERROR(INDEX(Кат!$B:$B,MATCH(Прайс!$B498,Кат!$G:$G,0)),INDEX(Торг!$C:$C,MATCH(Прайс!$B498,Торг!$H:$H,0))),"")</f>
        <v/>
      </c>
      <c r="H498" s="67" t="str">
        <f>IFERROR(IFERROR(INDEX(Кат!$I:$I,MATCH(Прайс!$B498,Кат!$G:$G,0)),INDEX(Торг!$I:$I,MATCH(Прайс!$B498,Торг!$H:$H,0))),"")</f>
        <v/>
      </c>
    </row>
    <row r="499" spans="1:8" x14ac:dyDescent="0.25">
      <c r="A499" s="94" t="s">
        <v>2721</v>
      </c>
      <c r="B499" s="98">
        <v>40149</v>
      </c>
      <c r="C499" s="98" t="s">
        <v>427</v>
      </c>
      <c r="D499" s="96" t="s">
        <v>160</v>
      </c>
      <c r="E499" s="97">
        <v>270</v>
      </c>
      <c r="F499" s="67" t="str">
        <f>IFERROR(IFERROR(INDEX(Кат!$A:$A,MATCH(Прайс!$B499,Кат!$G:$G,0)),INDEX(Торг!$B:$B,MATCH(Прайс!$B499,Торг!$H:$H,0))),"")</f>
        <v/>
      </c>
      <c r="G499" s="67" t="str">
        <f>IFERROR(IFERROR(INDEX(Кат!$B:$B,MATCH(Прайс!$B499,Кат!$G:$G,0)),INDEX(Торг!$C:$C,MATCH(Прайс!$B499,Торг!$H:$H,0))),"")</f>
        <v/>
      </c>
      <c r="H499" s="67" t="str">
        <f>IFERROR(IFERROR(INDEX(Кат!$I:$I,MATCH(Прайс!$B499,Кат!$G:$G,0)),INDEX(Торг!$I:$I,MATCH(Прайс!$B499,Торг!$H:$H,0))),"")</f>
        <v/>
      </c>
    </row>
    <row r="500" spans="1:8" x14ac:dyDescent="0.25">
      <c r="A500" s="94" t="s">
        <v>2722</v>
      </c>
      <c r="B500" s="98">
        <v>40151</v>
      </c>
      <c r="C500" s="98" t="s">
        <v>428</v>
      </c>
      <c r="D500" s="96" t="s">
        <v>160</v>
      </c>
      <c r="E500" s="97">
        <v>120</v>
      </c>
      <c r="F500" s="67" t="str">
        <f>IFERROR(IFERROR(INDEX(Кат!$A:$A,MATCH(Прайс!$B500,Кат!$G:$G,0)),INDEX(Торг!$B:$B,MATCH(Прайс!$B500,Торг!$H:$H,0))),"")</f>
        <v/>
      </c>
      <c r="G500" s="67" t="str">
        <f>IFERROR(IFERROR(INDEX(Кат!$B:$B,MATCH(Прайс!$B500,Кат!$G:$G,0)),INDEX(Торг!$C:$C,MATCH(Прайс!$B500,Торг!$H:$H,0))),"")</f>
        <v/>
      </c>
      <c r="H500" s="67" t="str">
        <f>IFERROR(IFERROR(INDEX(Кат!$I:$I,MATCH(Прайс!$B500,Кат!$G:$G,0)),INDEX(Торг!$I:$I,MATCH(Прайс!$B500,Торг!$H:$H,0))),"")</f>
        <v/>
      </c>
    </row>
    <row r="501" spans="1:8" x14ac:dyDescent="0.25">
      <c r="A501" s="94" t="s">
        <v>6138</v>
      </c>
      <c r="B501" s="98">
        <v>40153</v>
      </c>
      <c r="C501" s="98" t="s">
        <v>6139</v>
      </c>
      <c r="D501" s="96" t="s">
        <v>160</v>
      </c>
      <c r="E501" s="97">
        <v>270</v>
      </c>
      <c r="F501" s="67" t="str">
        <f>IFERROR(IFERROR(INDEX(Кат!$A:$A,MATCH(Прайс!$B501,Кат!$G:$G,0)),INDEX(Торг!$B:$B,MATCH(Прайс!$B501,Торг!$H:$H,0))),"")</f>
        <v/>
      </c>
      <c r="G501" s="67" t="str">
        <f>IFERROR(IFERROR(INDEX(Кат!$B:$B,MATCH(Прайс!$B501,Кат!$G:$G,0)),INDEX(Торг!$C:$C,MATCH(Прайс!$B501,Торг!$H:$H,0))),"")</f>
        <v/>
      </c>
      <c r="H501" s="67" t="str">
        <f>IFERROR(IFERROR(INDEX(Кат!$I:$I,MATCH(Прайс!$B501,Кат!$G:$G,0)),INDEX(Торг!$I:$I,MATCH(Прайс!$B501,Торг!$H:$H,0))),"")</f>
        <v/>
      </c>
    </row>
    <row r="502" spans="1:8" x14ac:dyDescent="0.25">
      <c r="A502" s="94" t="s">
        <v>2723</v>
      </c>
      <c r="B502" s="98">
        <v>40395</v>
      </c>
      <c r="C502" s="98" t="s">
        <v>5727</v>
      </c>
      <c r="D502" s="96" t="s">
        <v>160</v>
      </c>
      <c r="E502" s="97">
        <v>175</v>
      </c>
      <c r="F502" s="67" t="str">
        <f>IFERROR(IFERROR(INDEX(Кат!$A:$A,MATCH(Прайс!$B502,Кат!$G:$G,0)),INDEX(Торг!$B:$B,MATCH(Прайс!$B502,Торг!$H:$H,0))),"")</f>
        <v/>
      </c>
      <c r="G502" s="67" t="str">
        <f>IFERROR(IFERROR(INDEX(Кат!$B:$B,MATCH(Прайс!$B502,Кат!$G:$G,0)),INDEX(Торг!$C:$C,MATCH(Прайс!$B502,Торг!$H:$H,0))),"")</f>
        <v/>
      </c>
      <c r="H502" s="67" t="str">
        <f>IFERROR(IFERROR(INDEX(Кат!$I:$I,MATCH(Прайс!$B502,Кат!$G:$G,0)),INDEX(Торг!$I:$I,MATCH(Прайс!$B502,Торг!$H:$H,0))),"")</f>
        <v/>
      </c>
    </row>
    <row r="503" spans="1:8" x14ac:dyDescent="0.25">
      <c r="A503" s="99" t="s">
        <v>6140</v>
      </c>
      <c r="B503" s="108">
        <v>40451</v>
      </c>
      <c r="C503" s="108" t="s">
        <v>6141</v>
      </c>
      <c r="D503" s="101" t="s">
        <v>160</v>
      </c>
      <c r="E503" s="102">
        <v>165</v>
      </c>
      <c r="F503" s="67" t="str">
        <f>IFERROR(IFERROR(INDEX(Кат!$A:$A,MATCH(Прайс!$B503,Кат!$G:$G,0)),INDEX(Торг!$B:$B,MATCH(Прайс!$B503,Торг!$H:$H,0))),"")</f>
        <v/>
      </c>
      <c r="G503" s="67" t="str">
        <f>IFERROR(IFERROR(INDEX(Кат!$B:$B,MATCH(Прайс!$B503,Кат!$G:$G,0)),INDEX(Торг!$C:$C,MATCH(Прайс!$B503,Торг!$H:$H,0))),"")</f>
        <v/>
      </c>
      <c r="H503" s="67" t="str">
        <f>IFERROR(IFERROR(INDEX(Кат!$I:$I,MATCH(Прайс!$B503,Кат!$G:$G,0)),INDEX(Торг!$I:$I,MATCH(Прайс!$B503,Торг!$H:$H,0))),"")</f>
        <v/>
      </c>
    </row>
    <row r="504" spans="1:8" x14ac:dyDescent="0.25">
      <c r="A504" s="94" t="s">
        <v>5008</v>
      </c>
      <c r="B504" s="98">
        <v>40477</v>
      </c>
      <c r="C504" s="98" t="s">
        <v>5009</v>
      </c>
      <c r="D504" s="96" t="s">
        <v>160</v>
      </c>
      <c r="E504" s="97">
        <v>210</v>
      </c>
      <c r="F504" s="67" t="str">
        <f>IFERROR(IFERROR(INDEX(Кат!$A:$A,MATCH(Прайс!$B504,Кат!$G:$G,0)),INDEX(Торг!$B:$B,MATCH(Прайс!$B504,Торг!$H:$H,0))),"")</f>
        <v/>
      </c>
      <c r="G504" s="67" t="str">
        <f>IFERROR(IFERROR(INDEX(Кат!$B:$B,MATCH(Прайс!$B504,Кат!$G:$G,0)),INDEX(Торг!$C:$C,MATCH(Прайс!$B504,Торг!$H:$H,0))),"")</f>
        <v/>
      </c>
      <c r="H504" s="67" t="str">
        <f>IFERROR(IFERROR(INDEX(Кат!$I:$I,MATCH(Прайс!$B504,Кат!$G:$G,0)),INDEX(Торг!$I:$I,MATCH(Прайс!$B504,Торг!$H:$H,0))),"")</f>
        <v/>
      </c>
    </row>
    <row r="505" spans="1:8" x14ac:dyDescent="0.25">
      <c r="A505" s="94" t="s">
        <v>2724</v>
      </c>
      <c r="B505" s="98">
        <v>40392</v>
      </c>
      <c r="C505" s="98" t="s">
        <v>6142</v>
      </c>
      <c r="D505" s="96" t="s">
        <v>177</v>
      </c>
      <c r="E505" s="97">
        <v>185</v>
      </c>
      <c r="F505" s="67" t="str">
        <f>IFERROR(IFERROR(INDEX(Кат!$A:$A,MATCH(Прайс!$B505,Кат!$G:$G,0)),INDEX(Торг!$B:$B,MATCH(Прайс!$B505,Торг!$H:$H,0))),"")</f>
        <v/>
      </c>
      <c r="G505" s="67" t="str">
        <f>IFERROR(IFERROR(INDEX(Кат!$B:$B,MATCH(Прайс!$B505,Кат!$G:$G,0)),INDEX(Торг!$C:$C,MATCH(Прайс!$B505,Торг!$H:$H,0))),"")</f>
        <v/>
      </c>
      <c r="H505" s="67" t="str">
        <f>IFERROR(IFERROR(INDEX(Кат!$I:$I,MATCH(Прайс!$B505,Кат!$G:$G,0)),INDEX(Торг!$I:$I,MATCH(Прайс!$B505,Торг!$H:$H,0))),"")</f>
        <v/>
      </c>
    </row>
    <row r="506" spans="1:8" x14ac:dyDescent="0.25">
      <c r="A506" s="94" t="s">
        <v>2725</v>
      </c>
      <c r="B506" s="98">
        <v>40118</v>
      </c>
      <c r="C506" s="98" t="s">
        <v>429</v>
      </c>
      <c r="D506" s="96" t="s">
        <v>160</v>
      </c>
      <c r="E506" s="97">
        <v>160</v>
      </c>
      <c r="F506" s="67" t="str">
        <f>IFERROR(IFERROR(INDEX(Кат!$A:$A,MATCH(Прайс!$B506,Кат!$G:$G,0)),INDEX(Торг!$B:$B,MATCH(Прайс!$B506,Торг!$H:$H,0))),"")</f>
        <v/>
      </c>
      <c r="G506" s="67" t="str">
        <f>IFERROR(IFERROR(INDEX(Кат!$B:$B,MATCH(Прайс!$B506,Кат!$G:$G,0)),INDEX(Торг!$C:$C,MATCH(Прайс!$B506,Торг!$H:$H,0))),"")</f>
        <v/>
      </c>
      <c r="H506" s="67" t="str">
        <f>IFERROR(IFERROR(INDEX(Кат!$I:$I,MATCH(Прайс!$B506,Кат!$G:$G,0)),INDEX(Торг!$I:$I,MATCH(Прайс!$B506,Торг!$H:$H,0))),"")</f>
        <v/>
      </c>
    </row>
    <row r="507" spans="1:8" x14ac:dyDescent="0.25">
      <c r="A507" s="94" t="s">
        <v>2726</v>
      </c>
      <c r="B507" s="98">
        <v>40158</v>
      </c>
      <c r="C507" s="98" t="s">
        <v>430</v>
      </c>
      <c r="D507" s="96" t="s">
        <v>160</v>
      </c>
      <c r="E507" s="97">
        <v>215</v>
      </c>
      <c r="F507" s="67" t="str">
        <f>IFERROR(IFERROR(INDEX(Кат!$A:$A,MATCH(Прайс!$B507,Кат!$G:$G,0)),INDEX(Торг!$B:$B,MATCH(Прайс!$B507,Торг!$H:$H,0))),"")</f>
        <v/>
      </c>
      <c r="G507" s="67" t="str">
        <f>IFERROR(IFERROR(INDEX(Кат!$B:$B,MATCH(Прайс!$B507,Кат!$G:$G,0)),INDEX(Торг!$C:$C,MATCH(Прайс!$B507,Торг!$H:$H,0))),"")</f>
        <v/>
      </c>
      <c r="H507" s="67" t="str">
        <f>IFERROR(IFERROR(INDEX(Кат!$I:$I,MATCH(Прайс!$B507,Кат!$G:$G,0)),INDEX(Торг!$I:$I,MATCH(Прайс!$B507,Торг!$H:$H,0))),"")</f>
        <v/>
      </c>
    </row>
    <row r="508" spans="1:8" x14ac:dyDescent="0.25">
      <c r="A508" s="94" t="s">
        <v>2727</v>
      </c>
      <c r="B508" s="98">
        <v>40159</v>
      </c>
      <c r="C508" s="98" t="s">
        <v>431</v>
      </c>
      <c r="D508" s="96" t="s">
        <v>160</v>
      </c>
      <c r="E508" s="97">
        <v>180</v>
      </c>
      <c r="F508" s="67" t="str">
        <f>IFERROR(IFERROR(INDEX(Кат!$A:$A,MATCH(Прайс!$B508,Кат!$G:$G,0)),INDEX(Торг!$B:$B,MATCH(Прайс!$B508,Торг!$H:$H,0))),"")</f>
        <v/>
      </c>
      <c r="G508" s="67" t="str">
        <f>IFERROR(IFERROR(INDEX(Кат!$B:$B,MATCH(Прайс!$B508,Кат!$G:$G,0)),INDEX(Торг!$C:$C,MATCH(Прайс!$B508,Торг!$H:$H,0))),"")</f>
        <v/>
      </c>
      <c r="H508" s="67" t="str">
        <f>IFERROR(IFERROR(INDEX(Кат!$I:$I,MATCH(Прайс!$B508,Кат!$G:$G,0)),INDEX(Торг!$I:$I,MATCH(Прайс!$B508,Торг!$H:$H,0))),"")</f>
        <v/>
      </c>
    </row>
    <row r="509" spans="1:8" x14ac:dyDescent="0.25">
      <c r="A509" s="94" t="s">
        <v>6143</v>
      </c>
      <c r="B509" s="98">
        <v>40525</v>
      </c>
      <c r="C509" s="98" t="s">
        <v>6144</v>
      </c>
      <c r="D509" s="96" t="s">
        <v>337</v>
      </c>
      <c r="E509" s="97">
        <v>105</v>
      </c>
      <c r="F509" s="67" t="str">
        <f>IFERROR(IFERROR(INDEX(Кат!$A:$A,MATCH(Прайс!$B509,Кат!$G:$G,0)),INDEX(Торг!$B:$B,MATCH(Прайс!$B509,Торг!$H:$H,0))),"")</f>
        <v/>
      </c>
      <c r="G509" s="67" t="str">
        <f>IFERROR(IFERROR(INDEX(Кат!$B:$B,MATCH(Прайс!$B509,Кат!$G:$G,0)),INDEX(Торг!$C:$C,MATCH(Прайс!$B509,Торг!$H:$H,0))),"")</f>
        <v/>
      </c>
      <c r="H509" s="67" t="str">
        <f>IFERROR(IFERROR(INDEX(Кат!$I:$I,MATCH(Прайс!$B509,Кат!$G:$G,0)),INDEX(Торг!$I:$I,MATCH(Прайс!$B509,Торг!$H:$H,0))),"")</f>
        <v/>
      </c>
    </row>
    <row r="510" spans="1:8" x14ac:dyDescent="0.25">
      <c r="A510" s="94" t="s">
        <v>2728</v>
      </c>
      <c r="B510" s="98">
        <v>40393</v>
      </c>
      <c r="C510" s="98" t="s">
        <v>5395</v>
      </c>
      <c r="D510" s="96" t="s">
        <v>174</v>
      </c>
      <c r="E510" s="97">
        <v>370</v>
      </c>
      <c r="F510" s="67" t="str">
        <f>IFERROR(IFERROR(INDEX(Кат!$A:$A,MATCH(Прайс!$B510,Кат!$G:$G,0)),INDEX(Торг!$B:$B,MATCH(Прайс!$B510,Торг!$H:$H,0))),"")</f>
        <v/>
      </c>
      <c r="G510" s="67" t="str">
        <f>IFERROR(IFERROR(INDEX(Кат!$B:$B,MATCH(Прайс!$B510,Кат!$G:$G,0)),INDEX(Торг!$C:$C,MATCH(Прайс!$B510,Торг!$H:$H,0))),"")</f>
        <v/>
      </c>
      <c r="H510" s="67" t="str">
        <f>IFERROR(IFERROR(INDEX(Кат!$I:$I,MATCH(Прайс!$B510,Кат!$G:$G,0)),INDEX(Торг!$I:$I,MATCH(Прайс!$B510,Торг!$H:$H,0))),"")</f>
        <v/>
      </c>
    </row>
    <row r="511" spans="1:8" x14ac:dyDescent="0.25">
      <c r="A511" s="94" t="s">
        <v>2729</v>
      </c>
      <c r="B511" s="98">
        <v>40161</v>
      </c>
      <c r="C511" s="98" t="s">
        <v>432</v>
      </c>
      <c r="D511" s="96" t="s">
        <v>160</v>
      </c>
      <c r="E511" s="97">
        <v>160</v>
      </c>
      <c r="F511" s="67" t="str">
        <f>IFERROR(IFERROR(INDEX(Кат!$A:$A,MATCH(Прайс!$B511,Кат!$G:$G,0)),INDEX(Торг!$B:$B,MATCH(Прайс!$B511,Торг!$H:$H,0))),"")</f>
        <v/>
      </c>
      <c r="G511" s="67" t="str">
        <f>IFERROR(IFERROR(INDEX(Кат!$B:$B,MATCH(Прайс!$B511,Кат!$G:$G,0)),INDEX(Торг!$C:$C,MATCH(Прайс!$B511,Торг!$H:$H,0))),"")</f>
        <v/>
      </c>
      <c r="H511" s="67" t="str">
        <f>IFERROR(IFERROR(INDEX(Кат!$I:$I,MATCH(Прайс!$B511,Кат!$G:$G,0)),INDEX(Торг!$I:$I,MATCH(Прайс!$B511,Торг!$H:$H,0))),"")</f>
        <v/>
      </c>
    </row>
    <row r="512" spans="1:8" x14ac:dyDescent="0.25">
      <c r="A512" s="103" t="s">
        <v>2730</v>
      </c>
      <c r="B512" s="104">
        <v>40353</v>
      </c>
      <c r="C512" s="104" t="s">
        <v>434</v>
      </c>
      <c r="D512" s="105" t="s">
        <v>160</v>
      </c>
      <c r="E512" s="113">
        <v>430</v>
      </c>
      <c r="F512" s="67" t="str">
        <f>IFERROR(IFERROR(INDEX(Кат!$A:$A,MATCH(Прайс!$B512,Кат!$G:$G,0)),INDEX(Торг!$B:$B,MATCH(Прайс!$B512,Торг!$H:$H,0))),"")</f>
        <v/>
      </c>
      <c r="G512" s="67" t="str">
        <f>IFERROR(IFERROR(INDEX(Кат!$B:$B,MATCH(Прайс!$B512,Кат!$G:$G,0)),INDEX(Торг!$C:$C,MATCH(Прайс!$B512,Торг!$H:$H,0))),"")</f>
        <v/>
      </c>
      <c r="H512" s="67" t="str">
        <f>IFERROR(IFERROR(INDEX(Кат!$I:$I,MATCH(Прайс!$B512,Кат!$G:$G,0)),INDEX(Торг!$I:$I,MATCH(Прайс!$B512,Торг!$H:$H,0))),"")</f>
        <v/>
      </c>
    </row>
    <row r="513" spans="1:8" x14ac:dyDescent="0.25">
      <c r="A513" s="94" t="s">
        <v>2731</v>
      </c>
      <c r="B513" s="98">
        <v>40305</v>
      </c>
      <c r="C513" s="98" t="s">
        <v>435</v>
      </c>
      <c r="D513" s="96" t="s">
        <v>160</v>
      </c>
      <c r="E513" s="97">
        <v>450</v>
      </c>
      <c r="F513" s="67" t="str">
        <f>IFERROR(IFERROR(INDEX(Кат!$A:$A,MATCH(Прайс!$B513,Кат!$G:$G,0)),INDEX(Торг!$B:$B,MATCH(Прайс!$B513,Торг!$H:$H,0))),"")</f>
        <v/>
      </c>
      <c r="G513" s="67" t="str">
        <f>IFERROR(IFERROR(INDEX(Кат!$B:$B,MATCH(Прайс!$B513,Кат!$G:$G,0)),INDEX(Торг!$C:$C,MATCH(Прайс!$B513,Торг!$H:$H,0))),"")</f>
        <v/>
      </c>
      <c r="H513" s="67" t="str">
        <f>IFERROR(IFERROR(INDEX(Кат!$I:$I,MATCH(Прайс!$B513,Кат!$G:$G,0)),INDEX(Торг!$I:$I,MATCH(Прайс!$B513,Торг!$H:$H,0))),"")</f>
        <v/>
      </c>
    </row>
    <row r="514" spans="1:8" x14ac:dyDescent="0.25">
      <c r="A514" s="94" t="s">
        <v>6145</v>
      </c>
      <c r="B514" s="98">
        <v>40391</v>
      </c>
      <c r="C514" s="98" t="s">
        <v>8176</v>
      </c>
      <c r="D514" s="96" t="s">
        <v>177</v>
      </c>
      <c r="E514" s="97">
        <v>140</v>
      </c>
      <c r="F514" s="67" t="str">
        <f>IFERROR(IFERROR(INDEX(Кат!$A:$A,MATCH(Прайс!$B514,Кат!$G:$G,0)),INDEX(Торг!$B:$B,MATCH(Прайс!$B514,Торг!$H:$H,0))),"")</f>
        <v/>
      </c>
      <c r="G514" s="67" t="str">
        <f>IFERROR(IFERROR(INDEX(Кат!$B:$B,MATCH(Прайс!$B514,Кат!$G:$G,0)),INDEX(Торг!$C:$C,MATCH(Прайс!$B514,Торг!$H:$H,0))),"")</f>
        <v/>
      </c>
      <c r="H514" s="67" t="str">
        <f>IFERROR(IFERROR(INDEX(Кат!$I:$I,MATCH(Прайс!$B514,Кат!$G:$G,0)),INDEX(Торг!$I:$I,MATCH(Прайс!$B514,Торг!$H:$H,0))),"")</f>
        <v/>
      </c>
    </row>
    <row r="515" spans="1:8" x14ac:dyDescent="0.25">
      <c r="A515" s="94" t="s">
        <v>6146</v>
      </c>
      <c r="B515" s="98">
        <v>40509</v>
      </c>
      <c r="C515" s="98" t="s">
        <v>6147</v>
      </c>
      <c r="D515" s="96" t="s">
        <v>160</v>
      </c>
      <c r="E515" s="97">
        <v>200</v>
      </c>
      <c r="F515" s="67" t="str">
        <f>IFERROR(IFERROR(INDEX(Кат!$A:$A,MATCH(Прайс!$B515,Кат!$G:$G,0)),INDEX(Торг!$B:$B,MATCH(Прайс!$B515,Торг!$H:$H,0))),"")</f>
        <v/>
      </c>
      <c r="G515" s="67" t="str">
        <f>IFERROR(IFERROR(INDEX(Кат!$B:$B,MATCH(Прайс!$B515,Кат!$G:$G,0)),INDEX(Торг!$C:$C,MATCH(Прайс!$B515,Торг!$H:$H,0))),"")</f>
        <v/>
      </c>
      <c r="H515" s="67" t="str">
        <f>IFERROR(IFERROR(INDEX(Кат!$I:$I,MATCH(Прайс!$B515,Кат!$G:$G,0)),INDEX(Торг!$I:$I,MATCH(Прайс!$B515,Торг!$H:$H,0))),"")</f>
        <v/>
      </c>
    </row>
    <row r="516" spans="1:8" x14ac:dyDescent="0.25">
      <c r="A516" s="94" t="s">
        <v>2732</v>
      </c>
      <c r="B516" s="98">
        <v>40306</v>
      </c>
      <c r="C516" s="98" t="s">
        <v>436</v>
      </c>
      <c r="D516" s="96" t="s">
        <v>160</v>
      </c>
      <c r="E516" s="97">
        <v>375</v>
      </c>
      <c r="F516" s="67" t="str">
        <f>IFERROR(IFERROR(INDEX(Кат!$A:$A,MATCH(Прайс!$B516,Кат!$G:$G,0)),INDEX(Торг!$B:$B,MATCH(Прайс!$B516,Торг!$H:$H,0))),"")</f>
        <v/>
      </c>
      <c r="G516" s="67" t="str">
        <f>IFERROR(IFERROR(INDEX(Кат!$B:$B,MATCH(Прайс!$B516,Кат!$G:$G,0)),INDEX(Торг!$C:$C,MATCH(Прайс!$B516,Торг!$H:$H,0))),"")</f>
        <v/>
      </c>
      <c r="H516" s="67" t="str">
        <f>IFERROR(IFERROR(INDEX(Кат!$I:$I,MATCH(Прайс!$B516,Кат!$G:$G,0)),INDEX(Торг!$I:$I,MATCH(Прайс!$B516,Торг!$H:$H,0))),"")</f>
        <v/>
      </c>
    </row>
    <row r="517" spans="1:8" x14ac:dyDescent="0.25">
      <c r="A517" s="94" t="s">
        <v>2733</v>
      </c>
      <c r="B517" s="98">
        <v>40339</v>
      </c>
      <c r="C517" s="98" t="s">
        <v>6612</v>
      </c>
      <c r="D517" s="96" t="s">
        <v>160</v>
      </c>
      <c r="E517" s="97">
        <v>300</v>
      </c>
      <c r="F517" s="67" t="str">
        <f>IFERROR(IFERROR(INDEX(Кат!$A:$A,MATCH(Прайс!$B517,Кат!$G:$G,0)),INDEX(Торг!$B:$B,MATCH(Прайс!$B517,Торг!$H:$H,0))),"")</f>
        <v/>
      </c>
      <c r="G517" s="67" t="str">
        <f>IFERROR(IFERROR(INDEX(Кат!$B:$B,MATCH(Прайс!$B517,Кат!$G:$G,0)),INDEX(Торг!$C:$C,MATCH(Прайс!$B517,Торг!$H:$H,0))),"")</f>
        <v/>
      </c>
      <c r="H517" s="67" t="str">
        <f>IFERROR(IFERROR(INDEX(Кат!$I:$I,MATCH(Прайс!$B517,Кат!$G:$G,0)),INDEX(Торг!$I:$I,MATCH(Прайс!$B517,Торг!$H:$H,0))),"")</f>
        <v/>
      </c>
    </row>
    <row r="518" spans="1:8" x14ac:dyDescent="0.25">
      <c r="A518" s="94" t="s">
        <v>2734</v>
      </c>
      <c r="B518" s="98">
        <v>40280</v>
      </c>
      <c r="C518" s="98" t="s">
        <v>437</v>
      </c>
      <c r="D518" s="96" t="s">
        <v>160</v>
      </c>
      <c r="E518" s="97">
        <v>130</v>
      </c>
      <c r="F518" s="67" t="str">
        <f>IFERROR(IFERROR(INDEX(Кат!$A:$A,MATCH(Прайс!$B518,Кат!$G:$G,0)),INDEX(Торг!$B:$B,MATCH(Прайс!$B518,Торг!$H:$H,0))),"")</f>
        <v/>
      </c>
      <c r="G518" s="67" t="str">
        <f>IFERROR(IFERROR(INDEX(Кат!$B:$B,MATCH(Прайс!$B518,Кат!$G:$G,0)),INDEX(Торг!$C:$C,MATCH(Прайс!$B518,Торг!$H:$H,0))),"")</f>
        <v/>
      </c>
      <c r="H518" s="67" t="str">
        <f>IFERROR(IFERROR(INDEX(Кат!$I:$I,MATCH(Прайс!$B518,Кат!$G:$G,0)),INDEX(Торг!$I:$I,MATCH(Прайс!$B518,Торг!$H:$H,0))),"")</f>
        <v/>
      </c>
    </row>
    <row r="519" spans="1:8" x14ac:dyDescent="0.25">
      <c r="A519" s="109" t="s">
        <v>8177</v>
      </c>
      <c r="B519" s="110">
        <v>40546</v>
      </c>
      <c r="C519" s="110" t="s">
        <v>8178</v>
      </c>
      <c r="D519" s="111" t="s">
        <v>433</v>
      </c>
      <c r="E519" s="112">
        <v>150</v>
      </c>
      <c r="F519" s="67" t="str">
        <f>IFERROR(IFERROR(INDEX(Кат!$A:$A,MATCH(Прайс!$B519,Кат!$G:$G,0)),INDEX(Торг!$B:$B,MATCH(Прайс!$B519,Торг!$H:$H,0))),"")</f>
        <v/>
      </c>
      <c r="G519" s="67" t="str">
        <f>IFERROR(IFERROR(INDEX(Кат!$B:$B,MATCH(Прайс!$B519,Кат!$G:$G,0)),INDEX(Торг!$C:$C,MATCH(Прайс!$B519,Торг!$H:$H,0))),"")</f>
        <v/>
      </c>
      <c r="H519" s="67" t="str">
        <f>IFERROR(IFERROR(INDEX(Кат!$I:$I,MATCH(Прайс!$B519,Кат!$G:$G,0)),INDEX(Торг!$I:$I,MATCH(Прайс!$B519,Торг!$H:$H,0))),"")</f>
        <v/>
      </c>
    </row>
    <row r="520" spans="1:8" ht="15.75" x14ac:dyDescent="0.25">
      <c r="A520" s="90"/>
      <c r="B520" s="91"/>
      <c r="C520" s="92" t="s">
        <v>438</v>
      </c>
      <c r="D520" s="91"/>
      <c r="E520" s="93"/>
      <c r="F520" s="67" t="str">
        <f>IFERROR(IFERROR(INDEX(Кат!$A:$A,MATCH(Прайс!$B520,Кат!$G:$G,0)),INDEX(Торг!$B:$B,MATCH(Прайс!$B520,Торг!$H:$H,0))),"")</f>
        <v/>
      </c>
      <c r="G520" s="67" t="str">
        <f>IFERROR(IFERROR(INDEX(Кат!$B:$B,MATCH(Прайс!$B520,Кат!$G:$G,0)),INDEX(Торг!$C:$C,MATCH(Прайс!$B520,Торг!$H:$H,0))),"")</f>
        <v/>
      </c>
      <c r="H520" s="67" t="str">
        <f>IFERROR(IFERROR(INDEX(Кат!$I:$I,MATCH(Прайс!$B520,Кат!$G:$G,0)),INDEX(Торг!$I:$I,MATCH(Прайс!$B520,Торг!$H:$H,0))),"")</f>
        <v/>
      </c>
    </row>
    <row r="521" spans="1:8" x14ac:dyDescent="0.25">
      <c r="A521" s="94" t="s">
        <v>2735</v>
      </c>
      <c r="B521" s="98">
        <v>40311</v>
      </c>
      <c r="C521" s="98" t="s">
        <v>6148</v>
      </c>
      <c r="D521" s="96" t="s">
        <v>257</v>
      </c>
      <c r="E521" s="97">
        <v>105</v>
      </c>
      <c r="F521" s="67" t="str">
        <f>IFERROR(IFERROR(INDEX(Кат!$A:$A,MATCH(Прайс!$B521,Кат!$G:$G,0)),INDEX(Торг!$B:$B,MATCH(Прайс!$B521,Торг!$H:$H,0))),"")</f>
        <v/>
      </c>
      <c r="G521" s="67" t="str">
        <f>IFERROR(IFERROR(INDEX(Кат!$B:$B,MATCH(Прайс!$B521,Кат!$G:$G,0)),INDEX(Торг!$C:$C,MATCH(Прайс!$B521,Торг!$H:$H,0))),"")</f>
        <v/>
      </c>
      <c r="H521" s="67" t="str">
        <f>IFERROR(IFERROR(INDEX(Кат!$I:$I,MATCH(Прайс!$B521,Кат!$G:$G,0)),INDEX(Торг!$I:$I,MATCH(Прайс!$B521,Торг!$H:$H,0))),"")</f>
        <v/>
      </c>
    </row>
    <row r="522" spans="1:8" x14ac:dyDescent="0.25">
      <c r="A522" s="94" t="s">
        <v>2736</v>
      </c>
      <c r="B522" s="98">
        <v>40162</v>
      </c>
      <c r="C522" s="98" t="s">
        <v>6149</v>
      </c>
      <c r="D522" s="96" t="s">
        <v>159</v>
      </c>
      <c r="E522" s="97">
        <v>300</v>
      </c>
      <c r="F522" s="67">
        <f>IFERROR(IFERROR(INDEX(Кат!$A:$A,MATCH(Прайс!$B522,Кат!$G:$G,0)),INDEX(Торг!$B:$B,MATCH(Прайс!$B522,Торг!$H:$H,0))),"")</f>
        <v>186356</v>
      </c>
      <c r="G522" s="67">
        <f>IFERROR(IFERROR(INDEX(Кат!$B:$B,MATCH(Прайс!$B522,Кат!$G:$G,0)),INDEX(Торг!$C:$C,MATCH(Прайс!$B522,Торг!$H:$H,0))),"")</f>
        <v>10419</v>
      </c>
      <c r="H522" s="67" t="str">
        <f>IFERROR(IFERROR(INDEX(Кат!$I:$I,MATCH(Прайс!$B522,Кат!$G:$G,0)),INDEX(Торг!$I:$I,MATCH(Прайс!$B522,Торг!$H:$H,0))),"")</f>
        <v>кристал авто</v>
      </c>
    </row>
    <row r="523" spans="1:8" x14ac:dyDescent="0.25">
      <c r="A523" s="94" t="s">
        <v>2737</v>
      </c>
      <c r="B523" s="98">
        <v>40163</v>
      </c>
      <c r="C523" s="98" t="s">
        <v>4861</v>
      </c>
      <c r="D523" s="96" t="s">
        <v>159</v>
      </c>
      <c r="E523" s="97">
        <v>175</v>
      </c>
      <c r="F523" s="67" t="str">
        <f>IFERROR(IFERROR(INDEX(Кат!$A:$A,MATCH(Прайс!$B523,Кат!$G:$G,0)),INDEX(Торг!$B:$B,MATCH(Прайс!$B523,Торг!$H:$H,0))),"")</f>
        <v/>
      </c>
      <c r="G523" s="67" t="str">
        <f>IFERROR(IFERROR(INDEX(Кат!$B:$B,MATCH(Прайс!$B523,Кат!$G:$G,0)),INDEX(Торг!$C:$C,MATCH(Прайс!$B523,Торг!$H:$H,0))),"")</f>
        <v/>
      </c>
      <c r="H523" s="67" t="str">
        <f>IFERROR(IFERROR(INDEX(Кат!$I:$I,MATCH(Прайс!$B523,Кат!$G:$G,0)),INDEX(Торг!$I:$I,MATCH(Прайс!$B523,Торг!$H:$H,0))),"")</f>
        <v/>
      </c>
    </row>
    <row r="524" spans="1:8" x14ac:dyDescent="0.25">
      <c r="A524" s="94" t="s">
        <v>2738</v>
      </c>
      <c r="B524" s="98">
        <v>40164</v>
      </c>
      <c r="C524" s="98" t="s">
        <v>439</v>
      </c>
      <c r="D524" s="96" t="s">
        <v>159</v>
      </c>
      <c r="E524" s="97">
        <v>190</v>
      </c>
      <c r="F524" s="67" t="str">
        <f>IFERROR(IFERROR(INDEX(Кат!$A:$A,MATCH(Прайс!$B524,Кат!$G:$G,0)),INDEX(Торг!$B:$B,MATCH(Прайс!$B524,Торг!$H:$H,0))),"")</f>
        <v/>
      </c>
      <c r="G524" s="67" t="str">
        <f>IFERROR(IFERROR(INDEX(Кат!$B:$B,MATCH(Прайс!$B524,Кат!$G:$G,0)),INDEX(Торг!$C:$C,MATCH(Прайс!$B524,Торг!$H:$H,0))),"")</f>
        <v/>
      </c>
      <c r="H524" s="67" t="str">
        <f>IFERROR(IFERROR(INDEX(Кат!$I:$I,MATCH(Прайс!$B524,Кат!$G:$G,0)),INDEX(Торг!$I:$I,MATCH(Прайс!$B524,Торг!$H:$H,0))),"")</f>
        <v/>
      </c>
    </row>
    <row r="525" spans="1:8" x14ac:dyDescent="0.25">
      <c r="A525" s="94" t="s">
        <v>2739</v>
      </c>
      <c r="B525" s="98">
        <v>40165</v>
      </c>
      <c r="C525" s="98" t="s">
        <v>440</v>
      </c>
      <c r="D525" s="96" t="s">
        <v>166</v>
      </c>
      <c r="E525" s="97">
        <v>95</v>
      </c>
      <c r="F525" s="67" t="str">
        <f>IFERROR(IFERROR(INDEX(Кат!$A:$A,MATCH(Прайс!$B525,Кат!$G:$G,0)),INDEX(Торг!$B:$B,MATCH(Прайс!$B525,Торг!$H:$H,0))),"")</f>
        <v/>
      </c>
      <c r="G525" s="67" t="str">
        <f>IFERROR(IFERROR(INDEX(Кат!$B:$B,MATCH(Прайс!$B525,Кат!$G:$G,0)),INDEX(Торг!$C:$C,MATCH(Прайс!$B525,Торг!$H:$H,0))),"")</f>
        <v/>
      </c>
      <c r="H525" s="67" t="str">
        <f>IFERROR(IFERROR(INDEX(Кат!$I:$I,MATCH(Прайс!$B525,Кат!$G:$G,0)),INDEX(Торг!$I:$I,MATCH(Прайс!$B525,Торг!$H:$H,0))),"")</f>
        <v/>
      </c>
    </row>
    <row r="526" spans="1:8" ht="15.75" x14ac:dyDescent="0.25">
      <c r="A526" s="90"/>
      <c r="B526" s="91"/>
      <c r="C526" s="92" t="s">
        <v>441</v>
      </c>
      <c r="D526" s="91"/>
      <c r="E526" s="93"/>
      <c r="F526" s="67" t="str">
        <f>IFERROR(IFERROR(INDEX(Кат!$A:$A,MATCH(Прайс!$B526,Кат!$G:$G,0)),INDEX(Торг!$B:$B,MATCH(Прайс!$B526,Торг!$H:$H,0))),"")</f>
        <v/>
      </c>
      <c r="G526" s="67" t="str">
        <f>IFERROR(IFERROR(INDEX(Кат!$B:$B,MATCH(Прайс!$B526,Кат!$G:$G,0)),INDEX(Торг!$C:$C,MATCH(Прайс!$B526,Торг!$H:$H,0))),"")</f>
        <v/>
      </c>
      <c r="H526" s="67" t="str">
        <f>IFERROR(IFERROR(INDEX(Кат!$I:$I,MATCH(Прайс!$B526,Кат!$G:$G,0)),INDEX(Торг!$I:$I,MATCH(Прайс!$B526,Торг!$H:$H,0))),"")</f>
        <v/>
      </c>
    </row>
    <row r="527" spans="1:8" x14ac:dyDescent="0.25">
      <c r="A527" s="94" t="s">
        <v>2740</v>
      </c>
      <c r="B527" s="98">
        <v>40007</v>
      </c>
      <c r="C527" s="98" t="s">
        <v>6150</v>
      </c>
      <c r="D527" s="96" t="s">
        <v>165</v>
      </c>
      <c r="E527" s="97">
        <v>95</v>
      </c>
      <c r="F527" s="67">
        <f>IFERROR(IFERROR(INDEX(Кат!$A:$A,MATCH(Прайс!$B527,Кат!$G:$G,0)),INDEX(Торг!$B:$B,MATCH(Прайс!$B527,Торг!$H:$H,0))),"")</f>
        <v>131521</v>
      </c>
      <c r="G527" s="67">
        <f>IFERROR(IFERROR(INDEX(Кат!$B:$B,MATCH(Прайс!$B527,Кат!$G:$G,0)),INDEX(Торг!$C:$C,MATCH(Прайс!$B527,Торг!$H:$H,0))),"")</f>
        <v>9430</v>
      </c>
      <c r="H527" s="67" t="str">
        <f>IFERROR(IFERROR(INDEX(Кат!$I:$I,MATCH(Прайс!$B527,Кат!$G:$G,0)),INDEX(Торг!$I:$I,MATCH(Прайс!$B527,Торг!$H:$H,0))),"")</f>
        <v>кристал авто</v>
      </c>
    </row>
    <row r="528" spans="1:8" x14ac:dyDescent="0.25">
      <c r="A528" s="94" t="s">
        <v>2741</v>
      </c>
      <c r="B528" s="98">
        <v>40008</v>
      </c>
      <c r="C528" s="98" t="s">
        <v>6151</v>
      </c>
      <c r="D528" s="96" t="s">
        <v>165</v>
      </c>
      <c r="E528" s="97">
        <v>130</v>
      </c>
      <c r="F528" s="67" t="str">
        <f>IFERROR(IFERROR(INDEX(Кат!$A:$A,MATCH(Прайс!$B528,Кат!$G:$G,0)),INDEX(Торг!$B:$B,MATCH(Прайс!$B528,Торг!$H:$H,0))),"")</f>
        <v/>
      </c>
      <c r="G528" s="67" t="str">
        <f>IFERROR(IFERROR(INDEX(Кат!$B:$B,MATCH(Прайс!$B528,Кат!$G:$G,0)),INDEX(Торг!$C:$C,MATCH(Прайс!$B528,Торг!$H:$H,0))),"")</f>
        <v/>
      </c>
      <c r="H528" s="67" t="str">
        <f>IFERROR(IFERROR(INDEX(Кат!$I:$I,MATCH(Прайс!$B528,Кат!$G:$G,0)),INDEX(Торг!$I:$I,MATCH(Прайс!$B528,Торг!$H:$H,0))),"")</f>
        <v/>
      </c>
    </row>
    <row r="529" spans="1:8" ht="15.75" x14ac:dyDescent="0.25">
      <c r="A529" s="90"/>
      <c r="B529" s="91"/>
      <c r="C529" s="92" t="s">
        <v>442</v>
      </c>
      <c r="D529" s="91"/>
      <c r="E529" s="93"/>
      <c r="F529" s="67" t="str">
        <f>IFERROR(IFERROR(INDEX(Кат!$A:$A,MATCH(Прайс!$B529,Кат!$G:$G,0)),INDEX(Торг!$B:$B,MATCH(Прайс!$B529,Торг!$H:$H,0))),"")</f>
        <v/>
      </c>
      <c r="G529" s="67" t="str">
        <f>IFERROR(IFERROR(INDEX(Кат!$B:$B,MATCH(Прайс!$B529,Кат!$G:$G,0)),INDEX(Торг!$C:$C,MATCH(Прайс!$B529,Торг!$H:$H,0))),"")</f>
        <v/>
      </c>
      <c r="H529" s="67" t="str">
        <f>IFERROR(IFERROR(INDEX(Кат!$I:$I,MATCH(Прайс!$B529,Кат!$G:$G,0)),INDEX(Торг!$I:$I,MATCH(Прайс!$B529,Торг!$H:$H,0))),"")</f>
        <v/>
      </c>
    </row>
    <row r="530" spans="1:8" x14ac:dyDescent="0.25">
      <c r="A530" s="94" t="s">
        <v>2742</v>
      </c>
      <c r="B530" s="98">
        <v>40298</v>
      </c>
      <c r="C530" s="98" t="s">
        <v>443</v>
      </c>
      <c r="D530" s="96" t="s">
        <v>160</v>
      </c>
      <c r="E530" s="97">
        <v>800</v>
      </c>
      <c r="F530" s="67" t="str">
        <f>IFERROR(IFERROR(INDEX(Кат!$A:$A,MATCH(Прайс!$B530,Кат!$G:$G,0)),INDEX(Торг!$B:$B,MATCH(Прайс!$B530,Торг!$H:$H,0))),"")</f>
        <v/>
      </c>
      <c r="G530" s="67" t="str">
        <f>IFERROR(IFERROR(INDEX(Кат!$B:$B,MATCH(Прайс!$B530,Кат!$G:$G,0)),INDEX(Торг!$C:$C,MATCH(Прайс!$B530,Торг!$H:$H,0))),"")</f>
        <v/>
      </c>
      <c r="H530" s="67" t="str">
        <f>IFERROR(IFERROR(INDEX(Кат!$I:$I,MATCH(Прайс!$B530,Кат!$G:$G,0)),INDEX(Торг!$I:$I,MATCH(Прайс!$B530,Торг!$H:$H,0))),"")</f>
        <v/>
      </c>
    </row>
    <row r="531" spans="1:8" x14ac:dyDescent="0.25">
      <c r="A531" s="94" t="s">
        <v>2743</v>
      </c>
      <c r="B531" s="98">
        <v>40289</v>
      </c>
      <c r="C531" s="98" t="s">
        <v>444</v>
      </c>
      <c r="D531" s="96" t="s">
        <v>160</v>
      </c>
      <c r="E531" s="97">
        <v>510</v>
      </c>
      <c r="F531" s="67" t="str">
        <f>IFERROR(IFERROR(INDEX(Кат!$A:$A,MATCH(Прайс!$B531,Кат!$G:$G,0)),INDEX(Торг!$B:$B,MATCH(Прайс!$B531,Торг!$H:$H,0))),"")</f>
        <v/>
      </c>
      <c r="G531" s="67" t="str">
        <f>IFERROR(IFERROR(INDEX(Кат!$B:$B,MATCH(Прайс!$B531,Кат!$G:$G,0)),INDEX(Торг!$C:$C,MATCH(Прайс!$B531,Торг!$H:$H,0))),"")</f>
        <v/>
      </c>
      <c r="H531" s="67" t="str">
        <f>IFERROR(IFERROR(INDEX(Кат!$I:$I,MATCH(Прайс!$B531,Кат!$G:$G,0)),INDEX(Торг!$I:$I,MATCH(Прайс!$B531,Торг!$H:$H,0))),"")</f>
        <v/>
      </c>
    </row>
    <row r="532" spans="1:8" x14ac:dyDescent="0.25">
      <c r="A532" s="94" t="s">
        <v>2744</v>
      </c>
      <c r="B532" s="98">
        <v>40290</v>
      </c>
      <c r="C532" s="98" t="s">
        <v>445</v>
      </c>
      <c r="D532" s="96" t="s">
        <v>160</v>
      </c>
      <c r="E532" s="97">
        <v>360</v>
      </c>
      <c r="F532" s="67" t="str">
        <f>IFERROR(IFERROR(INDEX(Кат!$A:$A,MATCH(Прайс!$B532,Кат!$G:$G,0)),INDEX(Торг!$B:$B,MATCH(Прайс!$B532,Торг!$H:$H,0))),"")</f>
        <v/>
      </c>
      <c r="G532" s="67" t="str">
        <f>IFERROR(IFERROR(INDEX(Кат!$B:$B,MATCH(Прайс!$B532,Кат!$G:$G,0)),INDEX(Торг!$C:$C,MATCH(Прайс!$B532,Торг!$H:$H,0))),"")</f>
        <v/>
      </c>
      <c r="H532" s="67" t="str">
        <f>IFERROR(IFERROR(INDEX(Кат!$I:$I,MATCH(Прайс!$B532,Кат!$G:$G,0)),INDEX(Торг!$I:$I,MATCH(Прайс!$B532,Торг!$H:$H,0))),"")</f>
        <v/>
      </c>
    </row>
    <row r="533" spans="1:8" x14ac:dyDescent="0.25">
      <c r="A533" s="94" t="s">
        <v>5729</v>
      </c>
      <c r="B533" s="98">
        <v>40507</v>
      </c>
      <c r="C533" s="98" t="s">
        <v>5730</v>
      </c>
      <c r="D533" s="96" t="s">
        <v>582</v>
      </c>
      <c r="E533" s="97">
        <v>690</v>
      </c>
      <c r="F533" s="67" t="str">
        <f>IFERROR(IFERROR(INDEX(Кат!$A:$A,MATCH(Прайс!$B533,Кат!$G:$G,0)),INDEX(Торг!$B:$B,MATCH(Прайс!$B533,Торг!$H:$H,0))),"")</f>
        <v/>
      </c>
      <c r="G533" s="67" t="str">
        <f>IFERROR(IFERROR(INDEX(Кат!$B:$B,MATCH(Прайс!$B533,Кат!$G:$G,0)),INDEX(Торг!$C:$C,MATCH(Прайс!$B533,Торг!$H:$H,0))),"")</f>
        <v/>
      </c>
      <c r="H533" s="67" t="str">
        <f>IFERROR(IFERROR(INDEX(Кат!$I:$I,MATCH(Прайс!$B533,Кат!$G:$G,0)),INDEX(Торг!$I:$I,MATCH(Прайс!$B533,Торг!$H:$H,0))),"")</f>
        <v/>
      </c>
    </row>
    <row r="534" spans="1:8" x14ac:dyDescent="0.25">
      <c r="A534" s="94" t="s">
        <v>2745</v>
      </c>
      <c r="B534" s="98">
        <v>40386</v>
      </c>
      <c r="C534" s="98" t="s">
        <v>5396</v>
      </c>
      <c r="D534" s="96" t="s">
        <v>174</v>
      </c>
      <c r="E534" s="97">
        <v>290</v>
      </c>
      <c r="F534" s="67" t="str">
        <f>IFERROR(IFERROR(INDEX(Кат!$A:$A,MATCH(Прайс!$B534,Кат!$G:$G,0)),INDEX(Торг!$B:$B,MATCH(Прайс!$B534,Торг!$H:$H,0))),"")</f>
        <v/>
      </c>
      <c r="G534" s="67" t="str">
        <f>IFERROR(IFERROR(INDEX(Кат!$B:$B,MATCH(Прайс!$B534,Кат!$G:$G,0)),INDEX(Торг!$C:$C,MATCH(Прайс!$B534,Торг!$H:$H,0))),"")</f>
        <v/>
      </c>
      <c r="H534" s="67" t="str">
        <f>IFERROR(IFERROR(INDEX(Кат!$I:$I,MATCH(Прайс!$B534,Кат!$G:$G,0)),INDEX(Торг!$I:$I,MATCH(Прайс!$B534,Торг!$H:$H,0))),"")</f>
        <v/>
      </c>
    </row>
    <row r="535" spans="1:8" x14ac:dyDescent="0.25">
      <c r="A535" s="99" t="s">
        <v>2746</v>
      </c>
      <c r="B535" s="108">
        <v>40169</v>
      </c>
      <c r="C535" s="108" t="s">
        <v>8179</v>
      </c>
      <c r="D535" s="101" t="s">
        <v>160</v>
      </c>
      <c r="E535" s="102">
        <v>335</v>
      </c>
      <c r="F535" s="67" t="str">
        <f>IFERROR(IFERROR(INDEX(Кат!$A:$A,MATCH(Прайс!$B535,Кат!$G:$G,0)),INDEX(Торг!$B:$B,MATCH(Прайс!$B535,Торг!$H:$H,0))),"")</f>
        <v/>
      </c>
      <c r="G535" s="67" t="str">
        <f>IFERROR(IFERROR(INDEX(Кат!$B:$B,MATCH(Прайс!$B535,Кат!$G:$G,0)),INDEX(Торг!$C:$C,MATCH(Прайс!$B535,Торг!$H:$H,0))),"")</f>
        <v/>
      </c>
      <c r="H535" s="67" t="str">
        <f>IFERROR(IFERROR(INDEX(Кат!$I:$I,MATCH(Прайс!$B535,Кат!$G:$G,0)),INDEX(Торг!$I:$I,MATCH(Прайс!$B535,Торг!$H:$H,0))),"")</f>
        <v/>
      </c>
    </row>
    <row r="536" spans="1:8" x14ac:dyDescent="0.25">
      <c r="A536" s="94" t="s">
        <v>2747</v>
      </c>
      <c r="B536" s="98">
        <v>40390</v>
      </c>
      <c r="C536" s="98" t="s">
        <v>446</v>
      </c>
      <c r="D536" s="96" t="s">
        <v>174</v>
      </c>
      <c r="E536" s="97">
        <v>200</v>
      </c>
      <c r="F536" s="67" t="str">
        <f>IFERROR(IFERROR(INDEX(Кат!$A:$A,MATCH(Прайс!$B536,Кат!$G:$G,0)),INDEX(Торг!$B:$B,MATCH(Прайс!$B536,Торг!$H:$H,0))),"")</f>
        <v/>
      </c>
      <c r="G536" s="67" t="str">
        <f>IFERROR(IFERROR(INDEX(Кат!$B:$B,MATCH(Прайс!$B536,Кат!$G:$G,0)),INDEX(Торг!$C:$C,MATCH(Прайс!$B536,Торг!$H:$H,0))),"")</f>
        <v/>
      </c>
      <c r="H536" s="67" t="str">
        <f>IFERROR(IFERROR(INDEX(Кат!$I:$I,MATCH(Прайс!$B536,Кат!$G:$G,0)),INDEX(Торг!$I:$I,MATCH(Прайс!$B536,Торг!$H:$H,0))),"")</f>
        <v/>
      </c>
    </row>
    <row r="537" spans="1:8" x14ac:dyDescent="0.25">
      <c r="A537" s="99" t="s">
        <v>2748</v>
      </c>
      <c r="B537" s="108">
        <v>40171</v>
      </c>
      <c r="C537" s="108" t="s">
        <v>447</v>
      </c>
      <c r="D537" s="101" t="s">
        <v>160</v>
      </c>
      <c r="E537" s="102">
        <v>165</v>
      </c>
      <c r="F537" s="67" t="str">
        <f>IFERROR(IFERROR(INDEX(Кат!$A:$A,MATCH(Прайс!$B537,Кат!$G:$G,0)),INDEX(Торг!$B:$B,MATCH(Прайс!$B537,Торг!$H:$H,0))),"")</f>
        <v/>
      </c>
      <c r="G537" s="67" t="str">
        <f>IFERROR(IFERROR(INDEX(Кат!$B:$B,MATCH(Прайс!$B537,Кат!$G:$G,0)),INDEX(Торг!$C:$C,MATCH(Прайс!$B537,Торг!$H:$H,0))),"")</f>
        <v/>
      </c>
      <c r="H537" s="67" t="str">
        <f>IFERROR(IFERROR(INDEX(Кат!$I:$I,MATCH(Прайс!$B537,Кат!$G:$G,0)),INDEX(Торг!$I:$I,MATCH(Прайс!$B537,Торг!$H:$H,0))),"")</f>
        <v/>
      </c>
    </row>
    <row r="538" spans="1:8" x14ac:dyDescent="0.25">
      <c r="A538" s="99" t="s">
        <v>2749</v>
      </c>
      <c r="B538" s="108">
        <v>40172</v>
      </c>
      <c r="C538" s="108" t="s">
        <v>448</v>
      </c>
      <c r="D538" s="101" t="s">
        <v>160</v>
      </c>
      <c r="E538" s="102">
        <v>300</v>
      </c>
      <c r="F538" s="67" t="str">
        <f>IFERROR(IFERROR(INDEX(Кат!$A:$A,MATCH(Прайс!$B538,Кат!$G:$G,0)),INDEX(Торг!$B:$B,MATCH(Прайс!$B538,Торг!$H:$H,0))),"")</f>
        <v/>
      </c>
      <c r="G538" s="67" t="str">
        <f>IFERROR(IFERROR(INDEX(Кат!$B:$B,MATCH(Прайс!$B538,Кат!$G:$G,0)),INDEX(Торг!$C:$C,MATCH(Прайс!$B538,Торг!$H:$H,0))),"")</f>
        <v/>
      </c>
      <c r="H538" s="67" t="str">
        <f>IFERROR(IFERROR(INDEX(Кат!$I:$I,MATCH(Прайс!$B538,Кат!$G:$G,0)),INDEX(Торг!$I:$I,MATCH(Прайс!$B538,Торг!$H:$H,0))),"")</f>
        <v/>
      </c>
    </row>
    <row r="539" spans="1:8" x14ac:dyDescent="0.25">
      <c r="A539" s="99" t="s">
        <v>6152</v>
      </c>
      <c r="B539" s="108">
        <v>40173</v>
      </c>
      <c r="C539" s="108" t="s">
        <v>6153</v>
      </c>
      <c r="D539" s="101" t="s">
        <v>177</v>
      </c>
      <c r="E539" s="102">
        <v>145</v>
      </c>
      <c r="F539" s="67" t="str">
        <f>IFERROR(IFERROR(INDEX(Кат!$A:$A,MATCH(Прайс!$B539,Кат!$G:$G,0)),INDEX(Торг!$B:$B,MATCH(Прайс!$B539,Торг!$H:$H,0))),"")</f>
        <v/>
      </c>
      <c r="G539" s="67" t="str">
        <f>IFERROR(IFERROR(INDEX(Кат!$B:$B,MATCH(Прайс!$B539,Кат!$G:$G,0)),INDEX(Торг!$C:$C,MATCH(Прайс!$B539,Торг!$H:$H,0))),"")</f>
        <v/>
      </c>
      <c r="H539" s="67" t="str">
        <f>IFERROR(IFERROR(INDEX(Кат!$I:$I,MATCH(Прайс!$B539,Кат!$G:$G,0)),INDEX(Торг!$I:$I,MATCH(Прайс!$B539,Торг!$H:$H,0))),"")</f>
        <v/>
      </c>
    </row>
    <row r="540" spans="1:8" x14ac:dyDescent="0.25">
      <c r="A540" s="99" t="s">
        <v>6154</v>
      </c>
      <c r="B540" s="108">
        <v>40521</v>
      </c>
      <c r="C540" s="108" t="s">
        <v>6155</v>
      </c>
      <c r="D540" s="101" t="s">
        <v>398</v>
      </c>
      <c r="E540" s="102">
        <v>115</v>
      </c>
      <c r="F540" s="67" t="str">
        <f>IFERROR(IFERROR(INDEX(Кат!$A:$A,MATCH(Прайс!$B540,Кат!$G:$G,0)),INDEX(Торг!$B:$B,MATCH(Прайс!$B540,Торг!$H:$H,0))),"")</f>
        <v/>
      </c>
      <c r="G540" s="67" t="str">
        <f>IFERROR(IFERROR(INDEX(Кат!$B:$B,MATCH(Прайс!$B540,Кат!$G:$G,0)),INDEX(Торг!$C:$C,MATCH(Прайс!$B540,Торг!$H:$H,0))),"")</f>
        <v/>
      </c>
      <c r="H540" s="67" t="str">
        <f>IFERROR(IFERROR(INDEX(Кат!$I:$I,MATCH(Прайс!$B540,Кат!$G:$G,0)),INDEX(Торг!$I:$I,MATCH(Прайс!$B540,Торг!$H:$H,0))),"")</f>
        <v/>
      </c>
    </row>
    <row r="541" spans="1:8" x14ac:dyDescent="0.25">
      <c r="A541" s="99" t="s">
        <v>6177</v>
      </c>
      <c r="B541" s="108">
        <v>40429</v>
      </c>
      <c r="C541" s="108" t="s">
        <v>7394</v>
      </c>
      <c r="D541" s="101" t="s">
        <v>177</v>
      </c>
      <c r="E541" s="102">
        <v>330</v>
      </c>
      <c r="F541" s="67" t="str">
        <f>IFERROR(IFERROR(INDEX(Кат!$A:$A,MATCH(Прайс!$B541,Кат!$G:$G,0)),INDEX(Торг!$B:$B,MATCH(Прайс!$B541,Торг!$H:$H,0))),"")</f>
        <v/>
      </c>
      <c r="G541" s="67" t="str">
        <f>IFERROR(IFERROR(INDEX(Кат!$B:$B,MATCH(Прайс!$B541,Кат!$G:$G,0)),INDEX(Торг!$C:$C,MATCH(Прайс!$B541,Торг!$H:$H,0))),"")</f>
        <v/>
      </c>
      <c r="H541" s="67" t="str">
        <f>IFERROR(IFERROR(INDEX(Кат!$I:$I,MATCH(Прайс!$B541,Кат!$G:$G,0)),INDEX(Торг!$I:$I,MATCH(Прайс!$B541,Торг!$H:$H,0))),"")</f>
        <v/>
      </c>
    </row>
    <row r="542" spans="1:8" x14ac:dyDescent="0.25">
      <c r="A542" s="99" t="s">
        <v>6156</v>
      </c>
      <c r="B542" s="108">
        <v>40440</v>
      </c>
      <c r="C542" s="108" t="s">
        <v>7395</v>
      </c>
      <c r="D542" s="101" t="s">
        <v>177</v>
      </c>
      <c r="E542" s="102">
        <v>330</v>
      </c>
      <c r="F542" s="67" t="str">
        <f>IFERROR(IFERROR(INDEX(Кат!$A:$A,MATCH(Прайс!$B542,Кат!$G:$G,0)),INDEX(Торг!$B:$B,MATCH(Прайс!$B542,Торг!$H:$H,0))),"")</f>
        <v/>
      </c>
      <c r="G542" s="67" t="str">
        <f>IFERROR(IFERROR(INDEX(Кат!$B:$B,MATCH(Прайс!$B542,Кат!$G:$G,0)),INDEX(Торг!$C:$C,MATCH(Прайс!$B542,Торг!$H:$H,0))),"")</f>
        <v/>
      </c>
      <c r="H542" s="67" t="str">
        <f>IFERROR(IFERROR(INDEX(Кат!$I:$I,MATCH(Прайс!$B542,Кат!$G:$G,0)),INDEX(Торг!$I:$I,MATCH(Прайс!$B542,Торг!$H:$H,0))),"")</f>
        <v/>
      </c>
    </row>
    <row r="543" spans="1:8" x14ac:dyDescent="0.25">
      <c r="A543" s="99" t="s">
        <v>6157</v>
      </c>
      <c r="B543" s="108">
        <v>40431</v>
      </c>
      <c r="C543" s="108" t="s">
        <v>6158</v>
      </c>
      <c r="D543" s="101" t="s">
        <v>177</v>
      </c>
      <c r="E543" s="102">
        <v>330</v>
      </c>
      <c r="F543" s="67" t="str">
        <f>IFERROR(IFERROR(INDEX(Кат!$A:$A,MATCH(Прайс!$B543,Кат!$G:$G,0)),INDEX(Торг!$B:$B,MATCH(Прайс!$B543,Торг!$H:$H,0))),"")</f>
        <v/>
      </c>
      <c r="G543" s="67" t="str">
        <f>IFERROR(IFERROR(INDEX(Кат!$B:$B,MATCH(Прайс!$B543,Кат!$G:$G,0)),INDEX(Торг!$C:$C,MATCH(Прайс!$B543,Торг!$H:$H,0))),"")</f>
        <v/>
      </c>
      <c r="H543" s="67" t="str">
        <f>IFERROR(IFERROR(INDEX(Кат!$I:$I,MATCH(Прайс!$B543,Кат!$G:$G,0)),INDEX(Торг!$I:$I,MATCH(Прайс!$B543,Торг!$H:$H,0))),"")</f>
        <v/>
      </c>
    </row>
    <row r="544" spans="1:8" x14ac:dyDescent="0.25">
      <c r="A544" s="99" t="s">
        <v>6159</v>
      </c>
      <c r="B544" s="108">
        <v>40434</v>
      </c>
      <c r="C544" s="108" t="s">
        <v>6160</v>
      </c>
      <c r="D544" s="101" t="s">
        <v>177</v>
      </c>
      <c r="E544" s="102">
        <v>330</v>
      </c>
      <c r="F544" s="67" t="str">
        <f>IFERROR(IFERROR(INDEX(Кат!$A:$A,MATCH(Прайс!$B544,Кат!$G:$G,0)),INDEX(Торг!$B:$B,MATCH(Прайс!$B544,Торг!$H:$H,0))),"")</f>
        <v/>
      </c>
      <c r="G544" s="67" t="str">
        <f>IFERROR(IFERROR(INDEX(Кат!$B:$B,MATCH(Прайс!$B544,Кат!$G:$G,0)),INDEX(Торг!$C:$C,MATCH(Прайс!$B544,Торг!$H:$H,0))),"")</f>
        <v/>
      </c>
      <c r="H544" s="67" t="str">
        <f>IFERROR(IFERROR(INDEX(Кат!$I:$I,MATCH(Прайс!$B544,Кат!$G:$G,0)),INDEX(Торг!$I:$I,MATCH(Прайс!$B544,Торг!$H:$H,0))),"")</f>
        <v/>
      </c>
    </row>
    <row r="545" spans="1:8" x14ac:dyDescent="0.25">
      <c r="A545" s="99" t="s">
        <v>6161</v>
      </c>
      <c r="B545" s="108">
        <v>40432</v>
      </c>
      <c r="C545" s="108" t="s">
        <v>6162</v>
      </c>
      <c r="D545" s="101" t="s">
        <v>177</v>
      </c>
      <c r="E545" s="102">
        <v>330</v>
      </c>
      <c r="F545" s="67" t="str">
        <f>IFERROR(IFERROR(INDEX(Кат!$A:$A,MATCH(Прайс!$B545,Кат!$G:$G,0)),INDEX(Торг!$B:$B,MATCH(Прайс!$B545,Торг!$H:$H,0))),"")</f>
        <v/>
      </c>
      <c r="G545" s="67" t="str">
        <f>IFERROR(IFERROR(INDEX(Кат!$B:$B,MATCH(Прайс!$B545,Кат!$G:$G,0)),INDEX(Торг!$C:$C,MATCH(Прайс!$B545,Торг!$H:$H,0))),"")</f>
        <v/>
      </c>
      <c r="H545" s="67" t="str">
        <f>IFERROR(IFERROR(INDEX(Кат!$I:$I,MATCH(Прайс!$B545,Кат!$G:$G,0)),INDEX(Торг!$I:$I,MATCH(Прайс!$B545,Торг!$H:$H,0))),"")</f>
        <v/>
      </c>
    </row>
    <row r="546" spans="1:8" x14ac:dyDescent="0.25">
      <c r="A546" s="99" t="s">
        <v>6163</v>
      </c>
      <c r="B546" s="108">
        <v>40437</v>
      </c>
      <c r="C546" s="108" t="s">
        <v>6164</v>
      </c>
      <c r="D546" s="101" t="s">
        <v>177</v>
      </c>
      <c r="E546" s="102">
        <v>330</v>
      </c>
      <c r="F546" s="67" t="str">
        <f>IFERROR(IFERROR(INDEX(Кат!$A:$A,MATCH(Прайс!$B546,Кат!$G:$G,0)),INDEX(Торг!$B:$B,MATCH(Прайс!$B546,Торг!$H:$H,0))),"")</f>
        <v/>
      </c>
      <c r="G546" s="67" t="str">
        <f>IFERROR(IFERROR(INDEX(Кат!$B:$B,MATCH(Прайс!$B546,Кат!$G:$G,0)),INDEX(Торг!$C:$C,MATCH(Прайс!$B546,Торг!$H:$H,0))),"")</f>
        <v/>
      </c>
      <c r="H546" s="67" t="str">
        <f>IFERROR(IFERROR(INDEX(Кат!$I:$I,MATCH(Прайс!$B546,Кат!$G:$G,0)),INDEX(Торг!$I:$I,MATCH(Прайс!$B546,Торг!$H:$H,0))),"")</f>
        <v/>
      </c>
    </row>
    <row r="547" spans="1:8" x14ac:dyDescent="0.25">
      <c r="A547" s="99" t="s">
        <v>6165</v>
      </c>
      <c r="B547" s="108">
        <v>40510</v>
      </c>
      <c r="C547" s="108" t="s">
        <v>6166</v>
      </c>
      <c r="D547" s="101" t="s">
        <v>177</v>
      </c>
      <c r="E547" s="102">
        <v>330</v>
      </c>
      <c r="F547" s="67" t="str">
        <f>IFERROR(IFERROR(INDEX(Кат!$A:$A,MATCH(Прайс!$B547,Кат!$G:$G,0)),INDEX(Торг!$B:$B,MATCH(Прайс!$B547,Торг!$H:$H,0))),"")</f>
        <v/>
      </c>
      <c r="G547" s="67" t="str">
        <f>IFERROR(IFERROR(INDEX(Кат!$B:$B,MATCH(Прайс!$B547,Кат!$G:$G,0)),INDEX(Торг!$C:$C,MATCH(Прайс!$B547,Торг!$H:$H,0))),"")</f>
        <v/>
      </c>
      <c r="H547" s="67" t="str">
        <f>IFERROR(IFERROR(INDEX(Кат!$I:$I,MATCH(Прайс!$B547,Кат!$G:$G,0)),INDEX(Торг!$I:$I,MATCH(Прайс!$B547,Торг!$H:$H,0))),"")</f>
        <v/>
      </c>
    </row>
    <row r="548" spans="1:8" x14ac:dyDescent="0.25">
      <c r="A548" s="99" t="s">
        <v>6167</v>
      </c>
      <c r="B548" s="108">
        <v>40433</v>
      </c>
      <c r="C548" s="108" t="s">
        <v>6168</v>
      </c>
      <c r="D548" s="101" t="s">
        <v>177</v>
      </c>
      <c r="E548" s="102">
        <v>330</v>
      </c>
      <c r="F548" s="67" t="str">
        <f>IFERROR(IFERROR(INDEX(Кат!$A:$A,MATCH(Прайс!$B548,Кат!$G:$G,0)),INDEX(Торг!$B:$B,MATCH(Прайс!$B548,Торг!$H:$H,0))),"")</f>
        <v/>
      </c>
      <c r="G548" s="67" t="str">
        <f>IFERROR(IFERROR(INDEX(Кат!$B:$B,MATCH(Прайс!$B548,Кат!$G:$G,0)),INDEX(Торг!$C:$C,MATCH(Прайс!$B548,Торг!$H:$H,0))),"")</f>
        <v/>
      </c>
      <c r="H548" s="67" t="str">
        <f>IFERROR(IFERROR(INDEX(Кат!$I:$I,MATCH(Прайс!$B548,Кат!$G:$G,0)),INDEX(Торг!$I:$I,MATCH(Прайс!$B548,Торг!$H:$H,0))),"")</f>
        <v/>
      </c>
    </row>
    <row r="549" spans="1:8" x14ac:dyDescent="0.25">
      <c r="A549" s="99" t="s">
        <v>6169</v>
      </c>
      <c r="B549" s="108">
        <v>40435</v>
      </c>
      <c r="C549" s="108" t="s">
        <v>6170</v>
      </c>
      <c r="D549" s="101" t="s">
        <v>177</v>
      </c>
      <c r="E549" s="102">
        <v>330</v>
      </c>
      <c r="F549" s="67" t="str">
        <f>IFERROR(IFERROR(INDEX(Кат!$A:$A,MATCH(Прайс!$B549,Кат!$G:$G,0)),INDEX(Торг!$B:$B,MATCH(Прайс!$B549,Торг!$H:$H,0))),"")</f>
        <v/>
      </c>
      <c r="G549" s="67" t="str">
        <f>IFERROR(IFERROR(INDEX(Кат!$B:$B,MATCH(Прайс!$B549,Кат!$G:$G,0)),INDEX(Торг!$C:$C,MATCH(Прайс!$B549,Торг!$H:$H,0))),"")</f>
        <v/>
      </c>
      <c r="H549" s="67" t="str">
        <f>IFERROR(IFERROR(INDEX(Кат!$I:$I,MATCH(Прайс!$B549,Кат!$G:$G,0)),INDEX(Торг!$I:$I,MATCH(Прайс!$B549,Торг!$H:$H,0))),"")</f>
        <v/>
      </c>
    </row>
    <row r="550" spans="1:8" x14ac:dyDescent="0.25">
      <c r="A550" s="99" t="s">
        <v>6171</v>
      </c>
      <c r="B550" s="108">
        <v>40430</v>
      </c>
      <c r="C550" s="108" t="s">
        <v>6172</v>
      </c>
      <c r="D550" s="101" t="s">
        <v>177</v>
      </c>
      <c r="E550" s="102">
        <v>330</v>
      </c>
      <c r="F550" s="67" t="str">
        <f>IFERROR(IFERROR(INDEX(Кат!$A:$A,MATCH(Прайс!$B550,Кат!$G:$G,0)),INDEX(Торг!$B:$B,MATCH(Прайс!$B550,Торг!$H:$H,0))),"")</f>
        <v/>
      </c>
      <c r="G550" s="67" t="str">
        <f>IFERROR(IFERROR(INDEX(Кат!$B:$B,MATCH(Прайс!$B550,Кат!$G:$G,0)),INDEX(Торг!$C:$C,MATCH(Прайс!$B550,Торг!$H:$H,0))),"")</f>
        <v/>
      </c>
      <c r="H550" s="67" t="str">
        <f>IFERROR(IFERROR(INDEX(Кат!$I:$I,MATCH(Прайс!$B550,Кат!$G:$G,0)),INDEX(Торг!$I:$I,MATCH(Прайс!$B550,Торг!$H:$H,0))),"")</f>
        <v/>
      </c>
    </row>
    <row r="551" spans="1:8" x14ac:dyDescent="0.25">
      <c r="A551" s="99" t="s">
        <v>6173</v>
      </c>
      <c r="B551" s="108">
        <v>40439</v>
      </c>
      <c r="C551" s="108" t="s">
        <v>6174</v>
      </c>
      <c r="D551" s="101" t="s">
        <v>177</v>
      </c>
      <c r="E551" s="102">
        <v>330</v>
      </c>
      <c r="F551" s="67" t="str">
        <f>IFERROR(IFERROR(INDEX(Кат!$A:$A,MATCH(Прайс!$B551,Кат!$G:$G,0)),INDEX(Торг!$B:$B,MATCH(Прайс!$B551,Торг!$H:$H,0))),"")</f>
        <v/>
      </c>
      <c r="G551" s="67" t="str">
        <f>IFERROR(IFERROR(INDEX(Кат!$B:$B,MATCH(Прайс!$B551,Кат!$G:$G,0)),INDEX(Торг!$C:$C,MATCH(Прайс!$B551,Торг!$H:$H,0))),"")</f>
        <v/>
      </c>
      <c r="H551" s="67" t="str">
        <f>IFERROR(IFERROR(INDEX(Кат!$I:$I,MATCH(Прайс!$B551,Кат!$G:$G,0)),INDEX(Торг!$I:$I,MATCH(Прайс!$B551,Торг!$H:$H,0))),"")</f>
        <v/>
      </c>
    </row>
    <row r="552" spans="1:8" x14ac:dyDescent="0.25">
      <c r="A552" s="99" t="s">
        <v>6175</v>
      </c>
      <c r="B552" s="108">
        <v>40436</v>
      </c>
      <c r="C552" s="108" t="s">
        <v>6176</v>
      </c>
      <c r="D552" s="101" t="s">
        <v>177</v>
      </c>
      <c r="E552" s="102">
        <v>330</v>
      </c>
      <c r="F552" s="67" t="str">
        <f>IFERROR(IFERROR(INDEX(Кат!$A:$A,MATCH(Прайс!$B552,Кат!$G:$G,0)),INDEX(Торг!$B:$B,MATCH(Прайс!$B552,Торг!$H:$H,0))),"")</f>
        <v/>
      </c>
      <c r="G552" s="67" t="str">
        <f>IFERROR(IFERROR(INDEX(Кат!$B:$B,MATCH(Прайс!$B552,Кат!$G:$G,0)),INDEX(Торг!$C:$C,MATCH(Прайс!$B552,Торг!$H:$H,0))),"")</f>
        <v/>
      </c>
      <c r="H552" s="67" t="str">
        <f>IFERROR(IFERROR(INDEX(Кат!$I:$I,MATCH(Прайс!$B552,Кат!$G:$G,0)),INDEX(Торг!$I:$I,MATCH(Прайс!$B552,Торг!$H:$H,0))),"")</f>
        <v/>
      </c>
    </row>
    <row r="553" spans="1:8" x14ac:dyDescent="0.25">
      <c r="A553" s="99" t="s">
        <v>6613</v>
      </c>
      <c r="B553" s="108">
        <v>40438</v>
      </c>
      <c r="C553" s="108" t="s">
        <v>6614</v>
      </c>
      <c r="D553" s="101" t="s">
        <v>177</v>
      </c>
      <c r="E553" s="102">
        <v>330</v>
      </c>
      <c r="F553" s="67" t="str">
        <f>IFERROR(IFERROR(INDEX(Кат!$A:$A,MATCH(Прайс!$B553,Кат!$G:$G,0)),INDEX(Торг!$B:$B,MATCH(Прайс!$B553,Торг!$H:$H,0))),"")</f>
        <v/>
      </c>
      <c r="G553" s="67" t="str">
        <f>IFERROR(IFERROR(INDEX(Кат!$B:$B,MATCH(Прайс!$B553,Кат!$G:$G,0)),INDEX(Торг!$C:$C,MATCH(Прайс!$B553,Торг!$H:$H,0))),"")</f>
        <v/>
      </c>
      <c r="H553" s="67" t="str">
        <f>IFERROR(IFERROR(INDEX(Кат!$I:$I,MATCH(Прайс!$B553,Кат!$G:$G,0)),INDEX(Торг!$I:$I,MATCH(Прайс!$B553,Торг!$H:$H,0))),"")</f>
        <v/>
      </c>
    </row>
    <row r="554" spans="1:8" x14ac:dyDescent="0.25">
      <c r="A554" s="99" t="s">
        <v>6615</v>
      </c>
      <c r="B554" s="108">
        <v>40536</v>
      </c>
      <c r="C554" s="108" t="s">
        <v>6616</v>
      </c>
      <c r="D554" s="101" t="s">
        <v>177</v>
      </c>
      <c r="E554" s="102">
        <v>330</v>
      </c>
      <c r="F554" s="67" t="str">
        <f>IFERROR(IFERROR(INDEX(Кат!$A:$A,MATCH(Прайс!$B554,Кат!$G:$G,0)),INDEX(Торг!$B:$B,MATCH(Прайс!$B554,Торг!$H:$H,0))),"")</f>
        <v/>
      </c>
      <c r="G554" s="67" t="str">
        <f>IFERROR(IFERROR(INDEX(Кат!$B:$B,MATCH(Прайс!$B554,Кат!$G:$G,0)),INDEX(Торг!$C:$C,MATCH(Прайс!$B554,Торг!$H:$H,0))),"")</f>
        <v/>
      </c>
      <c r="H554" s="67" t="str">
        <f>IFERROR(IFERROR(INDEX(Кат!$I:$I,MATCH(Прайс!$B554,Кат!$G:$G,0)),INDEX(Торг!$I:$I,MATCH(Прайс!$B554,Торг!$H:$H,0))),"")</f>
        <v/>
      </c>
    </row>
    <row r="555" spans="1:8" x14ac:dyDescent="0.25">
      <c r="A555" s="99" t="s">
        <v>6617</v>
      </c>
      <c r="B555" s="108">
        <v>40334</v>
      </c>
      <c r="C555" s="108" t="s">
        <v>6618</v>
      </c>
      <c r="D555" s="101" t="s">
        <v>177</v>
      </c>
      <c r="E555" s="102">
        <v>330</v>
      </c>
      <c r="F555" s="67" t="str">
        <f>IFERROR(IFERROR(INDEX(Кат!$A:$A,MATCH(Прайс!$B555,Кат!$G:$G,0)),INDEX(Торг!$B:$B,MATCH(Прайс!$B555,Торг!$H:$H,0))),"")</f>
        <v/>
      </c>
      <c r="G555" s="67" t="str">
        <f>IFERROR(IFERROR(INDEX(Кат!$B:$B,MATCH(Прайс!$B555,Кат!$G:$G,0)),INDEX(Торг!$C:$C,MATCH(Прайс!$B555,Торг!$H:$H,0))),"")</f>
        <v/>
      </c>
      <c r="H555" s="67" t="str">
        <f>IFERROR(IFERROR(INDEX(Кат!$I:$I,MATCH(Прайс!$B555,Кат!$G:$G,0)),INDEX(Торг!$I:$I,MATCH(Прайс!$B555,Торг!$H:$H,0))),"")</f>
        <v/>
      </c>
    </row>
    <row r="556" spans="1:8" x14ac:dyDescent="0.25">
      <c r="A556" s="99" t="s">
        <v>6178</v>
      </c>
      <c r="B556" s="108">
        <v>40448</v>
      </c>
      <c r="C556" s="108" t="s">
        <v>6179</v>
      </c>
      <c r="D556" s="101" t="s">
        <v>177</v>
      </c>
      <c r="E556" s="102">
        <v>130</v>
      </c>
      <c r="F556" s="67" t="str">
        <f>IFERROR(IFERROR(INDEX(Кат!$A:$A,MATCH(Прайс!$B556,Кат!$G:$G,0)),INDEX(Торг!$B:$B,MATCH(Прайс!$B556,Торг!$H:$H,0))),"")</f>
        <v/>
      </c>
      <c r="G556" s="67" t="str">
        <f>IFERROR(IFERROR(INDEX(Кат!$B:$B,MATCH(Прайс!$B556,Кат!$G:$G,0)),INDEX(Торг!$C:$C,MATCH(Прайс!$B556,Торг!$H:$H,0))),"")</f>
        <v/>
      </c>
      <c r="H556" s="67" t="str">
        <f>IFERROR(IFERROR(INDEX(Кат!$I:$I,MATCH(Прайс!$B556,Кат!$G:$G,0)),INDEX(Торг!$I:$I,MATCH(Прайс!$B556,Торг!$H:$H,0))),"")</f>
        <v/>
      </c>
    </row>
    <row r="557" spans="1:8" x14ac:dyDescent="0.25">
      <c r="A557" s="99" t="s">
        <v>2750</v>
      </c>
      <c r="B557" s="108">
        <v>40427</v>
      </c>
      <c r="C557" s="108" t="s">
        <v>2078</v>
      </c>
      <c r="D557" s="101" t="s">
        <v>337</v>
      </c>
      <c r="E557" s="102">
        <v>105</v>
      </c>
      <c r="F557" s="67" t="str">
        <f>IFERROR(IFERROR(INDEX(Кат!$A:$A,MATCH(Прайс!$B557,Кат!$G:$G,0)),INDEX(Торг!$B:$B,MATCH(Прайс!$B557,Торг!$H:$H,0))),"")</f>
        <v/>
      </c>
      <c r="G557" s="67" t="str">
        <f>IFERROR(IFERROR(INDEX(Кат!$B:$B,MATCH(Прайс!$B557,Кат!$G:$G,0)),INDEX(Торг!$C:$C,MATCH(Прайс!$B557,Торг!$H:$H,0))),"")</f>
        <v/>
      </c>
      <c r="H557" s="67" t="str">
        <f>IFERROR(IFERROR(INDEX(Кат!$I:$I,MATCH(Прайс!$B557,Кат!$G:$G,0)),INDEX(Торг!$I:$I,MATCH(Прайс!$B557,Торг!$H:$H,0))),"")</f>
        <v/>
      </c>
    </row>
    <row r="558" spans="1:8" x14ac:dyDescent="0.25">
      <c r="A558" s="99" t="s">
        <v>4862</v>
      </c>
      <c r="B558" s="108">
        <v>40426</v>
      </c>
      <c r="C558" s="108" t="s">
        <v>4863</v>
      </c>
      <c r="D558" s="101" t="s">
        <v>337</v>
      </c>
      <c r="E558" s="102">
        <v>105</v>
      </c>
      <c r="F558" s="67" t="str">
        <f>IFERROR(IFERROR(INDEX(Кат!$A:$A,MATCH(Прайс!$B558,Кат!$G:$G,0)),INDEX(Торг!$B:$B,MATCH(Прайс!$B558,Торг!$H:$H,0))),"")</f>
        <v/>
      </c>
      <c r="G558" s="67" t="str">
        <f>IFERROR(IFERROR(INDEX(Кат!$B:$B,MATCH(Прайс!$B558,Кат!$G:$G,0)),INDEX(Торг!$C:$C,MATCH(Прайс!$B558,Торг!$H:$H,0))),"")</f>
        <v/>
      </c>
      <c r="H558" s="67" t="str">
        <f>IFERROR(IFERROR(INDEX(Кат!$I:$I,MATCH(Прайс!$B558,Кат!$G:$G,0)),INDEX(Торг!$I:$I,MATCH(Прайс!$B558,Торг!$H:$H,0))),"")</f>
        <v/>
      </c>
    </row>
    <row r="559" spans="1:8" x14ac:dyDescent="0.25">
      <c r="A559" s="99" t="s">
        <v>6180</v>
      </c>
      <c r="B559" s="108">
        <v>40405</v>
      </c>
      <c r="C559" s="108" t="s">
        <v>6181</v>
      </c>
      <c r="D559" s="101" t="s">
        <v>337</v>
      </c>
      <c r="E559" s="102">
        <v>105</v>
      </c>
      <c r="F559" s="67" t="str">
        <f>IFERROR(IFERROR(INDEX(Кат!$A:$A,MATCH(Прайс!$B559,Кат!$G:$G,0)),INDEX(Торг!$B:$B,MATCH(Прайс!$B559,Торг!$H:$H,0))),"")</f>
        <v/>
      </c>
      <c r="G559" s="67" t="str">
        <f>IFERROR(IFERROR(INDEX(Кат!$B:$B,MATCH(Прайс!$B559,Кат!$G:$G,0)),INDEX(Торг!$C:$C,MATCH(Прайс!$B559,Торг!$H:$H,0))),"")</f>
        <v/>
      </c>
      <c r="H559" s="67" t="str">
        <f>IFERROR(IFERROR(INDEX(Кат!$I:$I,MATCH(Прайс!$B559,Кат!$G:$G,0)),INDEX(Торг!$I:$I,MATCH(Прайс!$B559,Торг!$H:$H,0))),"")</f>
        <v/>
      </c>
    </row>
    <row r="560" spans="1:8" x14ac:dyDescent="0.25">
      <c r="A560" s="99" t="s">
        <v>6182</v>
      </c>
      <c r="B560" s="108">
        <v>40406</v>
      </c>
      <c r="C560" s="108" t="s">
        <v>6183</v>
      </c>
      <c r="D560" s="101" t="s">
        <v>337</v>
      </c>
      <c r="E560" s="102">
        <v>105</v>
      </c>
      <c r="F560" s="67" t="str">
        <f>IFERROR(IFERROR(INDEX(Кат!$A:$A,MATCH(Прайс!$B560,Кат!$G:$G,0)),INDEX(Торг!$B:$B,MATCH(Прайс!$B560,Торг!$H:$H,0))),"")</f>
        <v/>
      </c>
      <c r="G560" s="67" t="str">
        <f>IFERROR(IFERROR(INDEX(Кат!$B:$B,MATCH(Прайс!$B560,Кат!$G:$G,0)),INDEX(Торг!$C:$C,MATCH(Прайс!$B560,Торг!$H:$H,0))),"")</f>
        <v/>
      </c>
      <c r="H560" s="67" t="str">
        <f>IFERROR(IFERROR(INDEX(Кат!$I:$I,MATCH(Прайс!$B560,Кат!$G:$G,0)),INDEX(Торг!$I:$I,MATCH(Прайс!$B560,Торг!$H:$H,0))),"")</f>
        <v/>
      </c>
    </row>
    <row r="561" spans="1:8" x14ac:dyDescent="0.25">
      <c r="A561" s="99" t="s">
        <v>5010</v>
      </c>
      <c r="B561" s="108">
        <v>40407</v>
      </c>
      <c r="C561" s="108" t="s">
        <v>5011</v>
      </c>
      <c r="D561" s="101" t="s">
        <v>337</v>
      </c>
      <c r="E561" s="102">
        <v>105</v>
      </c>
      <c r="F561" s="67" t="str">
        <f>IFERROR(IFERROR(INDEX(Кат!$A:$A,MATCH(Прайс!$B561,Кат!$G:$G,0)),INDEX(Торг!$B:$B,MATCH(Прайс!$B561,Торг!$H:$H,0))),"")</f>
        <v/>
      </c>
      <c r="G561" s="67" t="str">
        <f>IFERROR(IFERROR(INDEX(Кат!$B:$B,MATCH(Прайс!$B561,Кат!$G:$G,0)),INDEX(Торг!$C:$C,MATCH(Прайс!$B561,Торг!$H:$H,0))),"")</f>
        <v/>
      </c>
      <c r="H561" s="67" t="str">
        <f>IFERROR(IFERROR(INDEX(Кат!$I:$I,MATCH(Прайс!$B561,Кат!$G:$G,0)),INDEX(Торг!$I:$I,MATCH(Прайс!$B561,Торг!$H:$H,0))),"")</f>
        <v/>
      </c>
    </row>
    <row r="562" spans="1:8" x14ac:dyDescent="0.25">
      <c r="A562" s="99" t="s">
        <v>2751</v>
      </c>
      <c r="B562" s="108">
        <v>40408</v>
      </c>
      <c r="C562" s="108" t="s">
        <v>2752</v>
      </c>
      <c r="D562" s="101" t="s">
        <v>337</v>
      </c>
      <c r="E562" s="102">
        <v>105</v>
      </c>
      <c r="F562" s="67" t="str">
        <f>IFERROR(IFERROR(INDEX(Кат!$A:$A,MATCH(Прайс!$B562,Кат!$G:$G,0)),INDEX(Торг!$B:$B,MATCH(Прайс!$B562,Торг!$H:$H,0))),"")</f>
        <v/>
      </c>
      <c r="G562" s="67" t="str">
        <f>IFERROR(IFERROR(INDEX(Кат!$B:$B,MATCH(Прайс!$B562,Кат!$G:$G,0)),INDEX(Торг!$C:$C,MATCH(Прайс!$B562,Торг!$H:$H,0))),"")</f>
        <v/>
      </c>
      <c r="H562" s="67" t="str">
        <f>IFERROR(IFERROR(INDEX(Кат!$I:$I,MATCH(Прайс!$B562,Кат!$G:$G,0)),INDEX(Торг!$I:$I,MATCH(Прайс!$B562,Торг!$H:$H,0))),"")</f>
        <v/>
      </c>
    </row>
    <row r="563" spans="1:8" x14ac:dyDescent="0.25">
      <c r="A563" s="99" t="s">
        <v>6184</v>
      </c>
      <c r="B563" s="108">
        <v>40409</v>
      </c>
      <c r="C563" s="108" t="s">
        <v>6185</v>
      </c>
      <c r="D563" s="101" t="s">
        <v>337</v>
      </c>
      <c r="E563" s="102">
        <v>105</v>
      </c>
      <c r="F563" s="67" t="str">
        <f>IFERROR(IFERROR(INDEX(Кат!$A:$A,MATCH(Прайс!$B563,Кат!$G:$G,0)),INDEX(Торг!$B:$B,MATCH(Прайс!$B563,Торг!$H:$H,0))),"")</f>
        <v/>
      </c>
      <c r="G563" s="67" t="str">
        <f>IFERROR(IFERROR(INDEX(Кат!$B:$B,MATCH(Прайс!$B563,Кат!$G:$G,0)),INDEX(Торг!$C:$C,MATCH(Прайс!$B563,Торг!$H:$H,0))),"")</f>
        <v/>
      </c>
      <c r="H563" s="67" t="str">
        <f>IFERROR(IFERROR(INDEX(Кат!$I:$I,MATCH(Прайс!$B563,Кат!$G:$G,0)),INDEX(Торг!$I:$I,MATCH(Прайс!$B563,Торг!$H:$H,0))),"")</f>
        <v/>
      </c>
    </row>
    <row r="564" spans="1:8" x14ac:dyDescent="0.25">
      <c r="A564" s="99" t="s">
        <v>6186</v>
      </c>
      <c r="B564" s="108">
        <v>40410</v>
      </c>
      <c r="C564" s="108" t="s">
        <v>6187</v>
      </c>
      <c r="D564" s="101" t="s">
        <v>337</v>
      </c>
      <c r="E564" s="102">
        <v>105</v>
      </c>
      <c r="F564" s="67" t="str">
        <f>IFERROR(IFERROR(INDEX(Кат!$A:$A,MATCH(Прайс!$B564,Кат!$G:$G,0)),INDEX(Торг!$B:$B,MATCH(Прайс!$B564,Торг!$H:$H,0))),"")</f>
        <v/>
      </c>
      <c r="G564" s="67" t="str">
        <f>IFERROR(IFERROR(INDEX(Кат!$B:$B,MATCH(Прайс!$B564,Кат!$G:$G,0)),INDEX(Торг!$C:$C,MATCH(Прайс!$B564,Торг!$H:$H,0))),"")</f>
        <v/>
      </c>
      <c r="H564" s="67" t="str">
        <f>IFERROR(IFERROR(INDEX(Кат!$I:$I,MATCH(Прайс!$B564,Кат!$G:$G,0)),INDEX(Торг!$I:$I,MATCH(Прайс!$B564,Торг!$H:$H,0))),"")</f>
        <v/>
      </c>
    </row>
    <row r="565" spans="1:8" x14ac:dyDescent="0.25">
      <c r="A565" s="99" t="s">
        <v>4864</v>
      </c>
      <c r="B565" s="108">
        <v>40464</v>
      </c>
      <c r="C565" s="108" t="s">
        <v>4865</v>
      </c>
      <c r="D565" s="101" t="s">
        <v>337</v>
      </c>
      <c r="E565" s="102">
        <v>105</v>
      </c>
      <c r="F565" s="67" t="str">
        <f>IFERROR(IFERROR(INDEX(Кат!$A:$A,MATCH(Прайс!$B565,Кат!$G:$G,0)),INDEX(Торг!$B:$B,MATCH(Прайс!$B565,Торг!$H:$H,0))),"")</f>
        <v/>
      </c>
      <c r="G565" s="67" t="str">
        <f>IFERROR(IFERROR(INDEX(Кат!$B:$B,MATCH(Прайс!$B565,Кат!$G:$G,0)),INDEX(Торг!$C:$C,MATCH(Прайс!$B565,Торг!$H:$H,0))),"")</f>
        <v/>
      </c>
      <c r="H565" s="67" t="str">
        <f>IFERROR(IFERROR(INDEX(Кат!$I:$I,MATCH(Прайс!$B565,Кат!$G:$G,0)),INDEX(Торг!$I:$I,MATCH(Прайс!$B565,Торг!$H:$H,0))),"")</f>
        <v/>
      </c>
    </row>
    <row r="566" spans="1:8" x14ac:dyDescent="0.25">
      <c r="A566" s="99" t="s">
        <v>2753</v>
      </c>
      <c r="B566" s="108">
        <v>40411</v>
      </c>
      <c r="C566" s="108" t="s">
        <v>449</v>
      </c>
      <c r="D566" s="101" t="s">
        <v>337</v>
      </c>
      <c r="E566" s="102">
        <v>105</v>
      </c>
      <c r="F566" s="67" t="str">
        <f>IFERROR(IFERROR(INDEX(Кат!$A:$A,MATCH(Прайс!$B566,Кат!$G:$G,0)),INDEX(Торг!$B:$B,MATCH(Прайс!$B566,Торг!$H:$H,0))),"")</f>
        <v/>
      </c>
      <c r="G566" s="67" t="str">
        <f>IFERROR(IFERROR(INDEX(Кат!$B:$B,MATCH(Прайс!$B566,Кат!$G:$G,0)),INDEX(Торг!$C:$C,MATCH(Прайс!$B566,Торг!$H:$H,0))),"")</f>
        <v/>
      </c>
      <c r="H566" s="67" t="str">
        <f>IFERROR(IFERROR(INDEX(Кат!$I:$I,MATCH(Прайс!$B566,Кат!$G:$G,0)),INDEX(Торг!$I:$I,MATCH(Прайс!$B566,Торг!$H:$H,0))),"")</f>
        <v/>
      </c>
    </row>
    <row r="567" spans="1:8" x14ac:dyDescent="0.25">
      <c r="A567" s="99" t="s">
        <v>2754</v>
      </c>
      <c r="B567" s="108">
        <v>40412</v>
      </c>
      <c r="C567" s="108" t="s">
        <v>450</v>
      </c>
      <c r="D567" s="101" t="s">
        <v>337</v>
      </c>
      <c r="E567" s="102">
        <v>105</v>
      </c>
      <c r="F567" s="67" t="str">
        <f>IFERROR(IFERROR(INDEX(Кат!$A:$A,MATCH(Прайс!$B567,Кат!$G:$G,0)),INDEX(Торг!$B:$B,MATCH(Прайс!$B567,Торг!$H:$H,0))),"")</f>
        <v/>
      </c>
      <c r="G567" s="67" t="str">
        <f>IFERROR(IFERROR(INDEX(Кат!$B:$B,MATCH(Прайс!$B567,Кат!$G:$G,0)),INDEX(Торг!$C:$C,MATCH(Прайс!$B567,Торг!$H:$H,0))),"")</f>
        <v/>
      </c>
      <c r="H567" s="67" t="str">
        <f>IFERROR(IFERROR(INDEX(Кат!$I:$I,MATCH(Прайс!$B567,Кат!$G:$G,0)),INDEX(Торг!$I:$I,MATCH(Прайс!$B567,Торг!$H:$H,0))),"")</f>
        <v/>
      </c>
    </row>
    <row r="568" spans="1:8" x14ac:dyDescent="0.25">
      <c r="A568" s="99" t="s">
        <v>2755</v>
      </c>
      <c r="B568" s="108">
        <v>40413</v>
      </c>
      <c r="C568" s="108" t="s">
        <v>451</v>
      </c>
      <c r="D568" s="101" t="s">
        <v>337</v>
      </c>
      <c r="E568" s="102">
        <v>105</v>
      </c>
      <c r="F568" s="67" t="str">
        <f>IFERROR(IFERROR(INDEX(Кат!$A:$A,MATCH(Прайс!$B568,Кат!$G:$G,0)),INDEX(Торг!$B:$B,MATCH(Прайс!$B568,Торг!$H:$H,0))),"")</f>
        <v/>
      </c>
      <c r="G568" s="67" t="str">
        <f>IFERROR(IFERROR(INDEX(Кат!$B:$B,MATCH(Прайс!$B568,Кат!$G:$G,0)),INDEX(Торг!$C:$C,MATCH(Прайс!$B568,Торг!$H:$H,0))),"")</f>
        <v/>
      </c>
      <c r="H568" s="67" t="str">
        <f>IFERROR(IFERROR(INDEX(Кат!$I:$I,MATCH(Прайс!$B568,Кат!$G:$G,0)),INDEX(Торг!$I:$I,MATCH(Прайс!$B568,Торг!$H:$H,0))),"")</f>
        <v/>
      </c>
    </row>
    <row r="569" spans="1:8" x14ac:dyDescent="0.25">
      <c r="A569" s="99" t="s">
        <v>2756</v>
      </c>
      <c r="B569" s="108">
        <v>40414</v>
      </c>
      <c r="C569" s="108" t="s">
        <v>2757</v>
      </c>
      <c r="D569" s="101" t="s">
        <v>337</v>
      </c>
      <c r="E569" s="102">
        <v>105</v>
      </c>
      <c r="F569" s="67" t="str">
        <f>IFERROR(IFERROR(INDEX(Кат!$A:$A,MATCH(Прайс!$B569,Кат!$G:$G,0)),INDEX(Торг!$B:$B,MATCH(Прайс!$B569,Торг!$H:$H,0))),"")</f>
        <v/>
      </c>
      <c r="G569" s="67" t="str">
        <f>IFERROR(IFERROR(INDEX(Кат!$B:$B,MATCH(Прайс!$B569,Кат!$G:$G,0)),INDEX(Торг!$C:$C,MATCH(Прайс!$B569,Торг!$H:$H,0))),"")</f>
        <v/>
      </c>
      <c r="H569" s="67" t="str">
        <f>IFERROR(IFERROR(INDEX(Кат!$I:$I,MATCH(Прайс!$B569,Кат!$G:$G,0)),INDEX(Торг!$I:$I,MATCH(Прайс!$B569,Торг!$H:$H,0))),"")</f>
        <v/>
      </c>
    </row>
    <row r="570" spans="1:8" x14ac:dyDescent="0.25">
      <c r="A570" s="99" t="s">
        <v>2758</v>
      </c>
      <c r="B570" s="108">
        <v>40415</v>
      </c>
      <c r="C570" s="108" t="s">
        <v>452</v>
      </c>
      <c r="D570" s="101" t="s">
        <v>337</v>
      </c>
      <c r="E570" s="102">
        <v>105</v>
      </c>
      <c r="F570" s="67" t="str">
        <f>IFERROR(IFERROR(INDEX(Кат!$A:$A,MATCH(Прайс!$B570,Кат!$G:$G,0)),INDEX(Торг!$B:$B,MATCH(Прайс!$B570,Торг!$H:$H,0))),"")</f>
        <v/>
      </c>
      <c r="G570" s="67" t="str">
        <f>IFERROR(IFERROR(INDEX(Кат!$B:$B,MATCH(Прайс!$B570,Кат!$G:$G,0)),INDEX(Торг!$C:$C,MATCH(Прайс!$B570,Торг!$H:$H,0))),"")</f>
        <v/>
      </c>
      <c r="H570" s="67" t="str">
        <f>IFERROR(IFERROR(INDEX(Кат!$I:$I,MATCH(Прайс!$B570,Кат!$G:$G,0)),INDEX(Торг!$I:$I,MATCH(Прайс!$B570,Торг!$H:$H,0))),"")</f>
        <v/>
      </c>
    </row>
    <row r="571" spans="1:8" x14ac:dyDescent="0.25">
      <c r="A571" s="99" t="s">
        <v>2759</v>
      </c>
      <c r="B571" s="108">
        <v>40416</v>
      </c>
      <c r="C571" s="108" t="s">
        <v>2760</v>
      </c>
      <c r="D571" s="101" t="s">
        <v>337</v>
      </c>
      <c r="E571" s="102">
        <v>105</v>
      </c>
      <c r="F571" s="67" t="str">
        <f>IFERROR(IFERROR(INDEX(Кат!$A:$A,MATCH(Прайс!$B571,Кат!$G:$G,0)),INDEX(Торг!$B:$B,MATCH(Прайс!$B571,Торг!$H:$H,0))),"")</f>
        <v/>
      </c>
      <c r="G571" s="67" t="str">
        <f>IFERROR(IFERROR(INDEX(Кат!$B:$B,MATCH(Прайс!$B571,Кат!$G:$G,0)),INDEX(Торг!$C:$C,MATCH(Прайс!$B571,Торг!$H:$H,0))),"")</f>
        <v/>
      </c>
      <c r="H571" s="67" t="str">
        <f>IFERROR(IFERROR(INDEX(Кат!$I:$I,MATCH(Прайс!$B571,Кат!$G:$G,0)),INDEX(Торг!$I:$I,MATCH(Прайс!$B571,Торг!$H:$H,0))),"")</f>
        <v/>
      </c>
    </row>
    <row r="572" spans="1:8" x14ac:dyDescent="0.25">
      <c r="A572" s="99" t="s">
        <v>2761</v>
      </c>
      <c r="B572" s="108">
        <v>40417</v>
      </c>
      <c r="C572" s="108" t="s">
        <v>2762</v>
      </c>
      <c r="D572" s="101" t="s">
        <v>337</v>
      </c>
      <c r="E572" s="102">
        <v>105</v>
      </c>
      <c r="F572" s="67" t="str">
        <f>IFERROR(IFERROR(INDEX(Кат!$A:$A,MATCH(Прайс!$B572,Кат!$G:$G,0)),INDEX(Торг!$B:$B,MATCH(Прайс!$B572,Торг!$H:$H,0))),"")</f>
        <v/>
      </c>
      <c r="G572" s="67" t="str">
        <f>IFERROR(IFERROR(INDEX(Кат!$B:$B,MATCH(Прайс!$B572,Кат!$G:$G,0)),INDEX(Торг!$C:$C,MATCH(Прайс!$B572,Торг!$H:$H,0))),"")</f>
        <v/>
      </c>
      <c r="H572" s="67" t="str">
        <f>IFERROR(IFERROR(INDEX(Кат!$I:$I,MATCH(Прайс!$B572,Кат!$G:$G,0)),INDEX(Торг!$I:$I,MATCH(Прайс!$B572,Торг!$H:$H,0))),"")</f>
        <v/>
      </c>
    </row>
    <row r="573" spans="1:8" x14ac:dyDescent="0.25">
      <c r="A573" s="99" t="s">
        <v>2763</v>
      </c>
      <c r="B573" s="108">
        <v>40456</v>
      </c>
      <c r="C573" s="108" t="s">
        <v>453</v>
      </c>
      <c r="D573" s="101" t="s">
        <v>433</v>
      </c>
      <c r="E573" s="102">
        <v>255</v>
      </c>
      <c r="F573" s="67" t="str">
        <f>IFERROR(IFERROR(INDEX(Кат!$A:$A,MATCH(Прайс!$B573,Кат!$G:$G,0)),INDEX(Торг!$B:$B,MATCH(Прайс!$B573,Торг!$H:$H,0))),"")</f>
        <v/>
      </c>
      <c r="G573" s="67" t="str">
        <f>IFERROR(IFERROR(INDEX(Кат!$B:$B,MATCH(Прайс!$B573,Кат!$G:$G,0)),INDEX(Торг!$C:$C,MATCH(Прайс!$B573,Торг!$H:$H,0))),"")</f>
        <v/>
      </c>
      <c r="H573" s="67" t="str">
        <f>IFERROR(IFERROR(INDEX(Кат!$I:$I,MATCH(Прайс!$B573,Кат!$G:$G,0)),INDEX(Торг!$I:$I,MATCH(Прайс!$B573,Торг!$H:$H,0))),"")</f>
        <v/>
      </c>
    </row>
    <row r="574" spans="1:8" x14ac:dyDescent="0.25">
      <c r="A574" s="99" t="s">
        <v>2764</v>
      </c>
      <c r="B574" s="108">
        <v>40459</v>
      </c>
      <c r="C574" s="108" t="s">
        <v>454</v>
      </c>
      <c r="D574" s="101" t="s">
        <v>433</v>
      </c>
      <c r="E574" s="102">
        <v>255</v>
      </c>
      <c r="F574" s="67" t="str">
        <f>IFERROR(IFERROR(INDEX(Кат!$A:$A,MATCH(Прайс!$B574,Кат!$G:$G,0)),INDEX(Торг!$B:$B,MATCH(Прайс!$B574,Торг!$H:$H,0))),"")</f>
        <v/>
      </c>
      <c r="G574" s="67" t="str">
        <f>IFERROR(IFERROR(INDEX(Кат!$B:$B,MATCH(Прайс!$B574,Кат!$G:$G,0)),INDEX(Торг!$C:$C,MATCH(Прайс!$B574,Торг!$H:$H,0))),"")</f>
        <v/>
      </c>
      <c r="H574" s="67" t="str">
        <f>IFERROR(IFERROR(INDEX(Кат!$I:$I,MATCH(Прайс!$B574,Кат!$G:$G,0)),INDEX(Торг!$I:$I,MATCH(Прайс!$B574,Торг!$H:$H,0))),"")</f>
        <v/>
      </c>
    </row>
    <row r="575" spans="1:8" x14ac:dyDescent="0.25">
      <c r="A575" s="99" t="s">
        <v>2765</v>
      </c>
      <c r="B575" s="108">
        <v>40458</v>
      </c>
      <c r="C575" s="108" t="s">
        <v>455</v>
      </c>
      <c r="D575" s="101" t="s">
        <v>433</v>
      </c>
      <c r="E575" s="102">
        <v>255</v>
      </c>
      <c r="F575" s="67" t="str">
        <f>IFERROR(IFERROR(INDEX(Кат!$A:$A,MATCH(Прайс!$B575,Кат!$G:$G,0)),INDEX(Торг!$B:$B,MATCH(Прайс!$B575,Торг!$H:$H,0))),"")</f>
        <v/>
      </c>
      <c r="G575" s="67" t="str">
        <f>IFERROR(IFERROR(INDEX(Кат!$B:$B,MATCH(Прайс!$B575,Кат!$G:$G,0)),INDEX(Торг!$C:$C,MATCH(Прайс!$B575,Торг!$H:$H,0))),"")</f>
        <v/>
      </c>
      <c r="H575" s="67" t="str">
        <f>IFERROR(IFERROR(INDEX(Кат!$I:$I,MATCH(Прайс!$B575,Кат!$G:$G,0)),INDEX(Торг!$I:$I,MATCH(Прайс!$B575,Торг!$H:$H,0))),"")</f>
        <v/>
      </c>
    </row>
    <row r="576" spans="1:8" x14ac:dyDescent="0.25">
      <c r="A576" s="99" t="s">
        <v>2766</v>
      </c>
      <c r="B576" s="108">
        <v>40457</v>
      </c>
      <c r="C576" s="108" t="s">
        <v>456</v>
      </c>
      <c r="D576" s="101" t="s">
        <v>433</v>
      </c>
      <c r="E576" s="102">
        <v>255</v>
      </c>
      <c r="F576" s="67" t="str">
        <f>IFERROR(IFERROR(INDEX(Кат!$A:$A,MATCH(Прайс!$B576,Кат!$G:$G,0)),INDEX(Торг!$B:$B,MATCH(Прайс!$B576,Торг!$H:$H,0))),"")</f>
        <v/>
      </c>
      <c r="G576" s="67" t="str">
        <f>IFERROR(IFERROR(INDEX(Кат!$B:$B,MATCH(Прайс!$B576,Кат!$G:$G,0)),INDEX(Торг!$C:$C,MATCH(Прайс!$B576,Торг!$H:$H,0))),"")</f>
        <v/>
      </c>
      <c r="H576" s="67" t="str">
        <f>IFERROR(IFERROR(INDEX(Кат!$I:$I,MATCH(Прайс!$B576,Кат!$G:$G,0)),INDEX(Торг!$I:$I,MATCH(Прайс!$B576,Торг!$H:$H,0))),"")</f>
        <v/>
      </c>
    </row>
    <row r="577" spans="1:8" x14ac:dyDescent="0.25">
      <c r="A577" s="99" t="s">
        <v>8180</v>
      </c>
      <c r="B577" s="108">
        <v>40545</v>
      </c>
      <c r="C577" s="108" t="s">
        <v>8181</v>
      </c>
      <c r="D577" s="101" t="s">
        <v>177</v>
      </c>
      <c r="E577" s="102">
        <v>100</v>
      </c>
      <c r="F577" s="67" t="str">
        <f>IFERROR(IFERROR(INDEX(Кат!$A:$A,MATCH(Прайс!$B577,Кат!$G:$G,0)),INDEX(Торг!$B:$B,MATCH(Прайс!$B577,Торг!$H:$H,0))),"")</f>
        <v/>
      </c>
      <c r="G577" s="67" t="str">
        <f>IFERROR(IFERROR(INDEX(Кат!$B:$B,MATCH(Прайс!$B577,Кат!$G:$G,0)),INDEX(Торг!$C:$C,MATCH(Прайс!$B577,Торг!$H:$H,0))),"")</f>
        <v/>
      </c>
      <c r="H577" s="67" t="str">
        <f>IFERROR(IFERROR(INDEX(Кат!$I:$I,MATCH(Прайс!$B577,Кат!$G:$G,0)),INDEX(Торг!$I:$I,MATCH(Прайс!$B577,Торг!$H:$H,0))),"")</f>
        <v/>
      </c>
    </row>
    <row r="578" spans="1:8" x14ac:dyDescent="0.25">
      <c r="A578" s="94" t="s">
        <v>7396</v>
      </c>
      <c r="B578" s="98">
        <v>40175</v>
      </c>
      <c r="C578" s="98" t="s">
        <v>7397</v>
      </c>
      <c r="D578" s="96" t="s">
        <v>160</v>
      </c>
      <c r="E578" s="97">
        <v>260</v>
      </c>
      <c r="F578" s="67" t="str">
        <f>IFERROR(IFERROR(INDEX(Кат!$A:$A,MATCH(Прайс!$B578,Кат!$G:$G,0)),INDEX(Торг!$B:$B,MATCH(Прайс!$B578,Торг!$H:$H,0))),"")</f>
        <v/>
      </c>
      <c r="G578" s="67" t="str">
        <f>IFERROR(IFERROR(INDEX(Кат!$B:$B,MATCH(Прайс!$B578,Кат!$G:$G,0)),INDEX(Торг!$C:$C,MATCH(Прайс!$B578,Торг!$H:$H,0))),"")</f>
        <v/>
      </c>
      <c r="H578" s="67" t="str">
        <f>IFERROR(IFERROR(INDEX(Кат!$I:$I,MATCH(Прайс!$B578,Кат!$G:$G,0)),INDEX(Торг!$I:$I,MATCH(Прайс!$B578,Торг!$H:$H,0))),"")</f>
        <v/>
      </c>
    </row>
    <row r="579" spans="1:8" x14ac:dyDescent="0.25">
      <c r="A579" s="94" t="s">
        <v>2767</v>
      </c>
      <c r="B579" s="98">
        <v>40176</v>
      </c>
      <c r="C579" s="98" t="s">
        <v>457</v>
      </c>
      <c r="D579" s="96" t="s">
        <v>160</v>
      </c>
      <c r="E579" s="97">
        <v>260</v>
      </c>
      <c r="F579" s="67" t="str">
        <f>IFERROR(IFERROR(INDEX(Кат!$A:$A,MATCH(Прайс!$B579,Кат!$G:$G,0)),INDEX(Торг!$B:$B,MATCH(Прайс!$B579,Торг!$H:$H,0))),"")</f>
        <v/>
      </c>
      <c r="G579" s="67" t="str">
        <f>IFERROR(IFERROR(INDEX(Кат!$B:$B,MATCH(Прайс!$B579,Кат!$G:$G,0)),INDEX(Торг!$C:$C,MATCH(Прайс!$B579,Торг!$H:$H,0))),"")</f>
        <v/>
      </c>
      <c r="H579" s="67" t="str">
        <f>IFERROR(IFERROR(INDEX(Кат!$I:$I,MATCH(Прайс!$B579,Кат!$G:$G,0)),INDEX(Торг!$I:$I,MATCH(Прайс!$B579,Торг!$H:$H,0))),"")</f>
        <v/>
      </c>
    </row>
    <row r="580" spans="1:8" x14ac:dyDescent="0.25">
      <c r="A580" s="94" t="s">
        <v>7398</v>
      </c>
      <c r="B580" s="98">
        <v>40177</v>
      </c>
      <c r="C580" s="98" t="s">
        <v>7399</v>
      </c>
      <c r="D580" s="96" t="s">
        <v>160</v>
      </c>
      <c r="E580" s="97">
        <v>260</v>
      </c>
      <c r="F580" s="67" t="str">
        <f>IFERROR(IFERROR(INDEX(Кат!$A:$A,MATCH(Прайс!$B580,Кат!$G:$G,0)),INDEX(Торг!$B:$B,MATCH(Прайс!$B580,Торг!$H:$H,0))),"")</f>
        <v/>
      </c>
      <c r="G580" s="67" t="str">
        <f>IFERROR(IFERROR(INDEX(Кат!$B:$B,MATCH(Прайс!$B580,Кат!$G:$G,0)),INDEX(Торг!$C:$C,MATCH(Прайс!$B580,Торг!$H:$H,0))),"")</f>
        <v/>
      </c>
      <c r="H580" s="67" t="str">
        <f>IFERROR(IFERROR(INDEX(Кат!$I:$I,MATCH(Прайс!$B580,Кат!$G:$G,0)),INDEX(Торг!$I:$I,MATCH(Прайс!$B580,Торг!$H:$H,0))),"")</f>
        <v/>
      </c>
    </row>
    <row r="581" spans="1:8" x14ac:dyDescent="0.25">
      <c r="A581" s="94" t="s">
        <v>7400</v>
      </c>
      <c r="B581" s="98">
        <v>40443</v>
      </c>
      <c r="C581" s="98" t="s">
        <v>7401</v>
      </c>
      <c r="D581" s="96" t="s">
        <v>160</v>
      </c>
      <c r="E581" s="97">
        <v>260</v>
      </c>
      <c r="F581" s="67" t="str">
        <f>IFERROR(IFERROR(INDEX(Кат!$A:$A,MATCH(Прайс!$B581,Кат!$G:$G,0)),INDEX(Торг!$B:$B,MATCH(Прайс!$B581,Торг!$H:$H,0))),"")</f>
        <v/>
      </c>
      <c r="G581" s="67" t="str">
        <f>IFERROR(IFERROR(INDEX(Кат!$B:$B,MATCH(Прайс!$B581,Кат!$G:$G,0)),INDEX(Торг!$C:$C,MATCH(Прайс!$B581,Торг!$H:$H,0))),"")</f>
        <v/>
      </c>
      <c r="H581" s="67" t="str">
        <f>IFERROR(IFERROR(INDEX(Кат!$I:$I,MATCH(Прайс!$B581,Кат!$G:$G,0)),INDEX(Торг!$I:$I,MATCH(Прайс!$B581,Торг!$H:$H,0))),"")</f>
        <v/>
      </c>
    </row>
    <row r="582" spans="1:8" x14ac:dyDescent="0.25">
      <c r="A582" s="94" t="s">
        <v>7402</v>
      </c>
      <c r="B582" s="98">
        <v>40178</v>
      </c>
      <c r="C582" s="98" t="s">
        <v>7403</v>
      </c>
      <c r="D582" s="96" t="s">
        <v>160</v>
      </c>
      <c r="E582" s="97">
        <v>260</v>
      </c>
      <c r="F582" s="67" t="str">
        <f>IFERROR(IFERROR(INDEX(Кат!$A:$A,MATCH(Прайс!$B582,Кат!$G:$G,0)),INDEX(Торг!$B:$B,MATCH(Прайс!$B582,Торг!$H:$H,0))),"")</f>
        <v/>
      </c>
      <c r="G582" s="67" t="str">
        <f>IFERROR(IFERROR(INDEX(Кат!$B:$B,MATCH(Прайс!$B582,Кат!$G:$G,0)),INDEX(Торг!$C:$C,MATCH(Прайс!$B582,Торг!$H:$H,0))),"")</f>
        <v/>
      </c>
      <c r="H582" s="67" t="str">
        <f>IFERROR(IFERROR(INDEX(Кат!$I:$I,MATCH(Прайс!$B582,Кат!$G:$G,0)),INDEX(Торг!$I:$I,MATCH(Прайс!$B582,Торг!$H:$H,0))),"")</f>
        <v/>
      </c>
    </row>
    <row r="583" spans="1:8" x14ac:dyDescent="0.25">
      <c r="A583" s="94" t="s">
        <v>7404</v>
      </c>
      <c r="B583" s="98">
        <v>40542</v>
      </c>
      <c r="C583" s="98" t="s">
        <v>7405</v>
      </c>
      <c r="D583" s="96" t="s">
        <v>160</v>
      </c>
      <c r="E583" s="97">
        <v>260</v>
      </c>
      <c r="F583" s="67" t="str">
        <f>IFERROR(IFERROR(INDEX(Кат!$A:$A,MATCH(Прайс!$B583,Кат!$G:$G,0)),INDEX(Торг!$B:$B,MATCH(Прайс!$B583,Торг!$H:$H,0))),"")</f>
        <v/>
      </c>
      <c r="G583" s="67" t="str">
        <f>IFERROR(IFERROR(INDEX(Кат!$B:$B,MATCH(Прайс!$B583,Кат!$G:$G,0)),INDEX(Торг!$C:$C,MATCH(Прайс!$B583,Торг!$H:$H,0))),"")</f>
        <v/>
      </c>
      <c r="H583" s="67" t="str">
        <f>IFERROR(IFERROR(INDEX(Кат!$I:$I,MATCH(Прайс!$B583,Кат!$G:$G,0)),INDEX(Торг!$I:$I,MATCH(Прайс!$B583,Торг!$H:$H,0))),"")</f>
        <v/>
      </c>
    </row>
    <row r="584" spans="1:8" x14ac:dyDescent="0.25">
      <c r="A584" s="94" t="s">
        <v>7406</v>
      </c>
      <c r="B584" s="98">
        <v>40180</v>
      </c>
      <c r="C584" s="98" t="s">
        <v>7407</v>
      </c>
      <c r="D584" s="96" t="s">
        <v>160</v>
      </c>
      <c r="E584" s="97">
        <v>260</v>
      </c>
      <c r="F584" s="67" t="str">
        <f>IFERROR(IFERROR(INDEX(Кат!$A:$A,MATCH(Прайс!$B584,Кат!$G:$G,0)),INDEX(Торг!$B:$B,MATCH(Прайс!$B584,Торг!$H:$H,0))),"")</f>
        <v/>
      </c>
      <c r="G584" s="67" t="str">
        <f>IFERROR(IFERROR(INDEX(Кат!$B:$B,MATCH(Прайс!$B584,Кат!$G:$G,0)),INDEX(Торг!$C:$C,MATCH(Прайс!$B584,Торг!$H:$H,0))),"")</f>
        <v/>
      </c>
      <c r="H584" s="67" t="str">
        <f>IFERROR(IFERROR(INDEX(Кат!$I:$I,MATCH(Прайс!$B584,Кат!$G:$G,0)),INDEX(Торг!$I:$I,MATCH(Прайс!$B584,Торг!$H:$H,0))),"")</f>
        <v/>
      </c>
    </row>
    <row r="585" spans="1:8" x14ac:dyDescent="0.25">
      <c r="A585" s="94" t="s">
        <v>7408</v>
      </c>
      <c r="B585" s="98">
        <v>40543</v>
      </c>
      <c r="C585" s="98" t="s">
        <v>7409</v>
      </c>
      <c r="D585" s="96" t="s">
        <v>160</v>
      </c>
      <c r="E585" s="97">
        <v>260</v>
      </c>
      <c r="F585" s="67" t="str">
        <f>IFERROR(IFERROR(INDEX(Кат!$A:$A,MATCH(Прайс!$B585,Кат!$G:$G,0)),INDEX(Торг!$B:$B,MATCH(Прайс!$B585,Торг!$H:$H,0))),"")</f>
        <v/>
      </c>
      <c r="G585" s="67" t="str">
        <f>IFERROR(IFERROR(INDEX(Кат!$B:$B,MATCH(Прайс!$B585,Кат!$G:$G,0)),INDEX(Торг!$C:$C,MATCH(Прайс!$B585,Торг!$H:$H,0))),"")</f>
        <v/>
      </c>
      <c r="H585" s="67" t="str">
        <f>IFERROR(IFERROR(INDEX(Кат!$I:$I,MATCH(Прайс!$B585,Кат!$G:$G,0)),INDEX(Торг!$I:$I,MATCH(Прайс!$B585,Торг!$H:$H,0))),"")</f>
        <v/>
      </c>
    </row>
    <row r="586" spans="1:8" x14ac:dyDescent="0.25">
      <c r="A586" s="94" t="s">
        <v>7410</v>
      </c>
      <c r="B586" s="98">
        <v>40544</v>
      </c>
      <c r="C586" s="98" t="s">
        <v>7411</v>
      </c>
      <c r="D586" s="96" t="s">
        <v>160</v>
      </c>
      <c r="E586" s="97">
        <v>260</v>
      </c>
      <c r="F586" s="67" t="str">
        <f>IFERROR(IFERROR(INDEX(Кат!$A:$A,MATCH(Прайс!$B586,Кат!$G:$G,0)),INDEX(Торг!$B:$B,MATCH(Прайс!$B586,Торг!$H:$H,0))),"")</f>
        <v/>
      </c>
      <c r="G586" s="67" t="str">
        <f>IFERROR(IFERROR(INDEX(Кат!$B:$B,MATCH(Прайс!$B586,Кат!$G:$G,0)),INDEX(Торг!$C:$C,MATCH(Прайс!$B586,Торг!$H:$H,0))),"")</f>
        <v/>
      </c>
      <c r="H586" s="67" t="str">
        <f>IFERROR(IFERROR(INDEX(Кат!$I:$I,MATCH(Прайс!$B586,Кат!$G:$G,0)),INDEX(Торг!$I:$I,MATCH(Прайс!$B586,Торг!$H:$H,0))),"")</f>
        <v/>
      </c>
    </row>
    <row r="587" spans="1:8" x14ac:dyDescent="0.25">
      <c r="A587" s="94" t="s">
        <v>8182</v>
      </c>
      <c r="B587" s="98">
        <v>40549</v>
      </c>
      <c r="C587" s="98" t="s">
        <v>8183</v>
      </c>
      <c r="D587" s="96" t="s">
        <v>160</v>
      </c>
      <c r="E587" s="97">
        <v>480</v>
      </c>
      <c r="F587" s="67" t="str">
        <f>IFERROR(IFERROR(INDEX(Кат!$A:$A,MATCH(Прайс!$B587,Кат!$G:$G,0)),INDEX(Торг!$B:$B,MATCH(Прайс!$B587,Торг!$H:$H,0))),"")</f>
        <v/>
      </c>
      <c r="G587" s="67" t="str">
        <f>IFERROR(IFERROR(INDEX(Кат!$B:$B,MATCH(Прайс!$B587,Кат!$G:$G,0)),INDEX(Торг!$C:$C,MATCH(Прайс!$B587,Торг!$H:$H,0))),"")</f>
        <v/>
      </c>
      <c r="H587" s="67" t="str">
        <f>IFERROR(IFERROR(INDEX(Кат!$I:$I,MATCH(Прайс!$B587,Кат!$G:$G,0)),INDEX(Торг!$I:$I,MATCH(Прайс!$B587,Торг!$H:$H,0))),"")</f>
        <v/>
      </c>
    </row>
    <row r="588" spans="1:8" x14ac:dyDescent="0.25">
      <c r="A588" s="94" t="s">
        <v>8184</v>
      </c>
      <c r="B588" s="98">
        <v>40420</v>
      </c>
      <c r="C588" s="98" t="s">
        <v>8185</v>
      </c>
      <c r="D588" s="96" t="s">
        <v>160</v>
      </c>
      <c r="E588" s="97">
        <v>480</v>
      </c>
      <c r="F588" s="67">
        <f>IFERROR(IFERROR(INDEX(Кат!$A:$A,MATCH(Прайс!$B588,Кат!$G:$G,0)),INDEX(Торг!$B:$B,MATCH(Прайс!$B588,Торг!$H:$H,0))),"")</f>
        <v>195168</v>
      </c>
      <c r="G588" s="67">
        <f>IFERROR(IFERROR(INDEX(Кат!$B:$B,MATCH(Прайс!$B588,Кат!$G:$G,0)),INDEX(Торг!$C:$C,MATCH(Прайс!$B588,Торг!$H:$H,0))),"")</f>
        <v>31128</v>
      </c>
      <c r="H588" s="67" t="str">
        <f>IFERROR(IFERROR(INDEX(Кат!$I:$I,MATCH(Прайс!$B588,Кат!$G:$G,0)),INDEX(Торг!$I:$I,MATCH(Прайс!$B588,Торг!$H:$H,0))),"")</f>
        <v>кристал авто</v>
      </c>
    </row>
    <row r="589" spans="1:8" x14ac:dyDescent="0.25">
      <c r="A589" s="94" t="s">
        <v>8186</v>
      </c>
      <c r="B589" s="98">
        <v>40548</v>
      </c>
      <c r="C589" s="98" t="s">
        <v>8187</v>
      </c>
      <c r="D589" s="96" t="s">
        <v>160</v>
      </c>
      <c r="E589" s="97">
        <v>480</v>
      </c>
      <c r="F589" s="67" t="str">
        <f>IFERROR(IFERROR(INDEX(Кат!$A:$A,MATCH(Прайс!$B589,Кат!$G:$G,0)),INDEX(Торг!$B:$B,MATCH(Прайс!$B589,Торг!$H:$H,0))),"")</f>
        <v/>
      </c>
      <c r="G589" s="67" t="str">
        <f>IFERROR(IFERROR(INDEX(Кат!$B:$B,MATCH(Прайс!$B589,Кат!$G:$G,0)),INDEX(Торг!$C:$C,MATCH(Прайс!$B589,Торг!$H:$H,0))),"")</f>
        <v/>
      </c>
      <c r="H589" s="67" t="str">
        <f>IFERROR(IFERROR(INDEX(Кат!$I:$I,MATCH(Прайс!$B589,Кат!$G:$G,0)),INDEX(Торг!$I:$I,MATCH(Прайс!$B589,Торг!$H:$H,0))),"")</f>
        <v/>
      </c>
    </row>
    <row r="590" spans="1:8" x14ac:dyDescent="0.25">
      <c r="A590" s="94" t="s">
        <v>8188</v>
      </c>
      <c r="B590" s="98">
        <v>40421</v>
      </c>
      <c r="C590" s="98" t="s">
        <v>8189</v>
      </c>
      <c r="D590" s="96" t="s">
        <v>160</v>
      </c>
      <c r="E590" s="97">
        <v>480</v>
      </c>
      <c r="F590" s="67">
        <f>IFERROR(IFERROR(INDEX(Кат!$A:$A,MATCH(Прайс!$B590,Кат!$G:$G,0)),INDEX(Торг!$B:$B,MATCH(Прайс!$B590,Торг!$H:$H,0))),"")</f>
        <v>195169</v>
      </c>
      <c r="G590" s="67">
        <f>IFERROR(IFERROR(INDEX(Кат!$B:$B,MATCH(Прайс!$B590,Кат!$G:$G,0)),INDEX(Торг!$C:$C,MATCH(Прайс!$B590,Торг!$H:$H,0))),"")</f>
        <v>31127</v>
      </c>
      <c r="H590" s="67" t="str">
        <f>IFERROR(IFERROR(INDEX(Кат!$I:$I,MATCH(Прайс!$B590,Кат!$G:$G,0)),INDEX(Торг!$I:$I,MATCH(Прайс!$B590,Торг!$H:$H,0))),"")</f>
        <v>кристал авто</v>
      </c>
    </row>
    <row r="591" spans="1:8" x14ac:dyDescent="0.25">
      <c r="A591" s="94" t="s">
        <v>2768</v>
      </c>
      <c r="B591" s="98">
        <v>40197</v>
      </c>
      <c r="C591" s="98" t="s">
        <v>458</v>
      </c>
      <c r="D591" s="96" t="s">
        <v>160</v>
      </c>
      <c r="E591" s="97">
        <v>230</v>
      </c>
      <c r="F591" s="67" t="str">
        <f>IFERROR(IFERROR(INDEX(Кат!$A:$A,MATCH(Прайс!$B591,Кат!$G:$G,0)),INDEX(Торг!$B:$B,MATCH(Прайс!$B591,Торг!$H:$H,0))),"")</f>
        <v/>
      </c>
      <c r="G591" s="67" t="str">
        <f>IFERROR(IFERROR(INDEX(Кат!$B:$B,MATCH(Прайс!$B591,Кат!$G:$G,0)),INDEX(Торг!$C:$C,MATCH(Прайс!$B591,Торг!$H:$H,0))),"")</f>
        <v/>
      </c>
      <c r="H591" s="67" t="str">
        <f>IFERROR(IFERROR(INDEX(Кат!$I:$I,MATCH(Прайс!$B591,Кат!$G:$G,0)),INDEX(Торг!$I:$I,MATCH(Прайс!$B591,Торг!$H:$H,0))),"")</f>
        <v/>
      </c>
    </row>
    <row r="592" spans="1:8" x14ac:dyDescent="0.25">
      <c r="A592" s="94" t="s">
        <v>2769</v>
      </c>
      <c r="B592" s="98">
        <v>40198</v>
      </c>
      <c r="C592" s="98" t="s">
        <v>2770</v>
      </c>
      <c r="D592" s="96" t="s">
        <v>160</v>
      </c>
      <c r="E592" s="97">
        <v>130</v>
      </c>
      <c r="F592" s="67" t="str">
        <f>IFERROR(IFERROR(INDEX(Кат!$A:$A,MATCH(Прайс!$B592,Кат!$G:$G,0)),INDEX(Торг!$B:$B,MATCH(Прайс!$B592,Торг!$H:$H,0))),"")</f>
        <v/>
      </c>
      <c r="G592" s="67" t="str">
        <f>IFERROR(IFERROR(INDEX(Кат!$B:$B,MATCH(Прайс!$B592,Кат!$G:$G,0)),INDEX(Торг!$C:$C,MATCH(Прайс!$B592,Торг!$H:$H,0))),"")</f>
        <v/>
      </c>
      <c r="H592" s="67" t="str">
        <f>IFERROR(IFERROR(INDEX(Кат!$I:$I,MATCH(Прайс!$B592,Кат!$G:$G,0)),INDEX(Торг!$I:$I,MATCH(Прайс!$B592,Торг!$H:$H,0))),"")</f>
        <v/>
      </c>
    </row>
    <row r="593" spans="1:8" x14ac:dyDescent="0.25">
      <c r="A593" s="94" t="s">
        <v>2771</v>
      </c>
      <c r="B593" s="98">
        <v>40330</v>
      </c>
      <c r="C593" s="98" t="s">
        <v>7412</v>
      </c>
      <c r="D593" s="96" t="s">
        <v>177</v>
      </c>
      <c r="E593" s="97">
        <v>190</v>
      </c>
      <c r="F593" s="67" t="str">
        <f>IFERROR(IFERROR(INDEX(Кат!$A:$A,MATCH(Прайс!$B593,Кат!$G:$G,0)),INDEX(Торг!$B:$B,MATCH(Прайс!$B593,Торг!$H:$H,0))),"")</f>
        <v/>
      </c>
      <c r="G593" s="67" t="str">
        <f>IFERROR(IFERROR(INDEX(Кат!$B:$B,MATCH(Прайс!$B593,Кат!$G:$G,0)),INDEX(Торг!$C:$C,MATCH(Прайс!$B593,Торг!$H:$H,0))),"")</f>
        <v/>
      </c>
      <c r="H593" s="67" t="str">
        <f>IFERROR(IFERROR(INDEX(Кат!$I:$I,MATCH(Прайс!$B593,Кат!$G:$G,0)),INDEX(Торг!$I:$I,MATCH(Прайс!$B593,Торг!$H:$H,0))),"")</f>
        <v/>
      </c>
    </row>
    <row r="594" spans="1:8" x14ac:dyDescent="0.25">
      <c r="A594" s="94" t="s">
        <v>2772</v>
      </c>
      <c r="B594" s="98">
        <v>40402</v>
      </c>
      <c r="C594" s="98" t="s">
        <v>459</v>
      </c>
      <c r="D594" s="96" t="s">
        <v>177</v>
      </c>
      <c r="E594" s="97">
        <v>350</v>
      </c>
      <c r="F594" s="67">
        <f>IFERROR(IFERROR(INDEX(Кат!$A:$A,MATCH(Прайс!$B594,Кат!$G:$G,0)),INDEX(Торг!$B:$B,MATCH(Прайс!$B594,Торг!$H:$H,0))),"")</f>
        <v>251281</v>
      </c>
      <c r="G594" s="67">
        <f>IFERROR(IFERROR(INDEX(Кат!$B:$B,MATCH(Прайс!$B594,Кат!$G:$G,0)),INDEX(Торг!$C:$C,MATCH(Прайс!$B594,Торг!$H:$H,0))),"")</f>
        <v>186829</v>
      </c>
      <c r="H594" s="67" t="str">
        <f>IFERROR(IFERROR(INDEX(Кат!$I:$I,MATCH(Прайс!$B594,Кат!$G:$G,0)),INDEX(Торг!$I:$I,MATCH(Прайс!$B594,Торг!$H:$H,0))),"")</f>
        <v>кристал авто</v>
      </c>
    </row>
    <row r="595" spans="1:8" x14ac:dyDescent="0.25">
      <c r="A595" s="94" t="s">
        <v>5012</v>
      </c>
      <c r="B595" s="98">
        <v>40401</v>
      </c>
      <c r="C595" s="98" t="s">
        <v>5013</v>
      </c>
      <c r="D595" s="96" t="s">
        <v>177</v>
      </c>
      <c r="E595" s="97">
        <v>350</v>
      </c>
      <c r="F595" s="67">
        <f>IFERROR(IFERROR(INDEX(Кат!$A:$A,MATCH(Прайс!$B595,Кат!$G:$G,0)),INDEX(Торг!$B:$B,MATCH(Прайс!$B595,Торг!$H:$H,0))),"")</f>
        <v>251282</v>
      </c>
      <c r="G595" s="67">
        <f>IFERROR(IFERROR(INDEX(Кат!$B:$B,MATCH(Прайс!$B595,Кат!$G:$G,0)),INDEX(Торг!$C:$C,MATCH(Прайс!$B595,Торг!$H:$H,0))),"")</f>
        <v>186825</v>
      </c>
      <c r="H595" s="67" t="str">
        <f>IFERROR(IFERROR(INDEX(Кат!$I:$I,MATCH(Прайс!$B595,Кат!$G:$G,0)),INDEX(Торг!$I:$I,MATCH(Прайс!$B595,Торг!$H:$H,0))),"")</f>
        <v>кристал авто</v>
      </c>
    </row>
    <row r="596" spans="1:8" x14ac:dyDescent="0.25">
      <c r="A596" s="94" t="s">
        <v>2773</v>
      </c>
      <c r="B596" s="98">
        <v>40399</v>
      </c>
      <c r="C596" s="98" t="s">
        <v>460</v>
      </c>
      <c r="D596" s="96" t="s">
        <v>177</v>
      </c>
      <c r="E596" s="97">
        <v>350</v>
      </c>
      <c r="F596" s="67">
        <f>IFERROR(IFERROR(INDEX(Кат!$A:$A,MATCH(Прайс!$B596,Кат!$G:$G,0)),INDEX(Торг!$B:$B,MATCH(Прайс!$B596,Торг!$H:$H,0))),"")</f>
        <v>251283</v>
      </c>
      <c r="G596" s="67">
        <f>IFERROR(IFERROR(INDEX(Кат!$B:$B,MATCH(Прайс!$B596,Кат!$G:$G,0)),INDEX(Торг!$C:$C,MATCH(Прайс!$B596,Торг!$H:$H,0))),"")</f>
        <v>186827</v>
      </c>
      <c r="H596" s="67" t="str">
        <f>IFERROR(IFERROR(INDEX(Кат!$I:$I,MATCH(Прайс!$B596,Кат!$G:$G,0)),INDEX(Торг!$I:$I,MATCH(Прайс!$B596,Торг!$H:$H,0))),"")</f>
        <v>кристал авто</v>
      </c>
    </row>
    <row r="597" spans="1:8" x14ac:dyDescent="0.25">
      <c r="A597" s="94" t="s">
        <v>2774</v>
      </c>
      <c r="B597" s="98">
        <v>40204</v>
      </c>
      <c r="C597" s="98" t="s">
        <v>461</v>
      </c>
      <c r="D597" s="96" t="s">
        <v>177</v>
      </c>
      <c r="E597" s="97">
        <v>350</v>
      </c>
      <c r="F597" s="67">
        <f>IFERROR(IFERROR(INDEX(Кат!$A:$A,MATCH(Прайс!$B597,Кат!$G:$G,0)),INDEX(Торг!$B:$B,MATCH(Прайс!$B597,Торг!$H:$H,0))),"")</f>
        <v>251284</v>
      </c>
      <c r="G597" s="67">
        <f>IFERROR(IFERROR(INDEX(Кат!$B:$B,MATCH(Прайс!$B597,Кат!$G:$G,0)),INDEX(Торг!$C:$C,MATCH(Прайс!$B597,Торг!$H:$H,0))),"")</f>
        <v>186815</v>
      </c>
      <c r="H597" s="67" t="str">
        <f>IFERROR(IFERROR(INDEX(Кат!$I:$I,MATCH(Прайс!$B597,Кат!$G:$G,0)),INDEX(Торг!$I:$I,MATCH(Прайс!$B597,Торг!$H:$H,0))),"")</f>
        <v>кристал авто</v>
      </c>
    </row>
    <row r="598" spans="1:8" x14ac:dyDescent="0.25">
      <c r="A598" s="94" t="s">
        <v>7413</v>
      </c>
      <c r="B598" s="98">
        <v>40205</v>
      </c>
      <c r="C598" s="98" t="s">
        <v>7414</v>
      </c>
      <c r="D598" s="96" t="s">
        <v>177</v>
      </c>
      <c r="E598" s="97">
        <v>350</v>
      </c>
      <c r="F598" s="67">
        <f>IFERROR(IFERROR(INDEX(Кат!$A:$A,MATCH(Прайс!$B598,Кат!$G:$G,0)),INDEX(Торг!$B:$B,MATCH(Прайс!$B598,Торг!$H:$H,0))),"")</f>
        <v>251285</v>
      </c>
      <c r="G598" s="67">
        <f>IFERROR(IFERROR(INDEX(Кат!$B:$B,MATCH(Прайс!$B598,Кат!$G:$G,0)),INDEX(Торг!$C:$C,MATCH(Прайс!$B598,Торг!$H:$H,0))),"")</f>
        <v>186816</v>
      </c>
      <c r="H598" s="67" t="str">
        <f>IFERROR(IFERROR(INDEX(Кат!$I:$I,MATCH(Прайс!$B598,Кат!$G:$G,0)),INDEX(Торг!$I:$I,MATCH(Прайс!$B598,Торг!$H:$H,0))),"")</f>
        <v>кристал авто</v>
      </c>
    </row>
    <row r="599" spans="1:8" x14ac:dyDescent="0.25">
      <c r="A599" s="94" t="s">
        <v>2775</v>
      </c>
      <c r="B599" s="98">
        <v>40206</v>
      </c>
      <c r="C599" s="98" t="s">
        <v>462</v>
      </c>
      <c r="D599" s="96" t="s">
        <v>177</v>
      </c>
      <c r="E599" s="97">
        <v>350</v>
      </c>
      <c r="F599" s="67">
        <f>IFERROR(IFERROR(INDEX(Кат!$A:$A,MATCH(Прайс!$B599,Кат!$G:$G,0)),INDEX(Торг!$B:$B,MATCH(Прайс!$B599,Торг!$H:$H,0))),"")</f>
        <v>251286</v>
      </c>
      <c r="G599" s="67">
        <f>IFERROR(IFERROR(INDEX(Кат!$B:$B,MATCH(Прайс!$B599,Кат!$G:$G,0)),INDEX(Торг!$C:$C,MATCH(Прайс!$B599,Торг!$H:$H,0))),"")</f>
        <v>186817</v>
      </c>
      <c r="H599" s="67" t="str">
        <f>IFERROR(IFERROR(INDEX(Кат!$I:$I,MATCH(Прайс!$B599,Кат!$G:$G,0)),INDEX(Торг!$I:$I,MATCH(Прайс!$B599,Торг!$H:$H,0))),"")</f>
        <v>кристал авто</v>
      </c>
    </row>
    <row r="600" spans="1:8" x14ac:dyDescent="0.25">
      <c r="A600" s="94" t="s">
        <v>5014</v>
      </c>
      <c r="B600" s="98">
        <v>40207</v>
      </c>
      <c r="C600" s="98" t="s">
        <v>5015</v>
      </c>
      <c r="D600" s="96" t="s">
        <v>177</v>
      </c>
      <c r="E600" s="97">
        <v>350</v>
      </c>
      <c r="F600" s="67">
        <f>IFERROR(IFERROR(INDEX(Кат!$A:$A,MATCH(Прайс!$B600,Кат!$G:$G,0)),INDEX(Торг!$B:$B,MATCH(Прайс!$B600,Торг!$H:$H,0))),"")</f>
        <v>251287</v>
      </c>
      <c r="G600" s="67">
        <f>IFERROR(IFERROR(INDEX(Кат!$B:$B,MATCH(Прайс!$B600,Кат!$G:$G,0)),INDEX(Торг!$C:$C,MATCH(Прайс!$B600,Торг!$H:$H,0))),"")</f>
        <v>186818</v>
      </c>
      <c r="H600" s="67" t="str">
        <f>IFERROR(IFERROR(INDEX(Кат!$I:$I,MATCH(Прайс!$B600,Кат!$G:$G,0)),INDEX(Торг!$I:$I,MATCH(Прайс!$B600,Торг!$H:$H,0))),"")</f>
        <v>кристал авто</v>
      </c>
    </row>
    <row r="601" spans="1:8" x14ac:dyDescent="0.25">
      <c r="A601" s="94" t="s">
        <v>2776</v>
      </c>
      <c r="B601" s="98">
        <v>40329</v>
      </c>
      <c r="C601" s="98" t="s">
        <v>463</v>
      </c>
      <c r="D601" s="96" t="s">
        <v>177</v>
      </c>
      <c r="E601" s="97">
        <v>350</v>
      </c>
      <c r="F601" s="67">
        <f>IFERROR(IFERROR(INDEX(Кат!$A:$A,MATCH(Прайс!$B601,Кат!$G:$G,0)),INDEX(Торг!$B:$B,MATCH(Прайс!$B601,Торг!$H:$H,0))),"")</f>
        <v>251288</v>
      </c>
      <c r="G601" s="67">
        <f>IFERROR(IFERROR(INDEX(Кат!$B:$B,MATCH(Прайс!$B601,Кат!$G:$G,0)),INDEX(Торг!$C:$C,MATCH(Прайс!$B601,Торг!$H:$H,0))),"")</f>
        <v>186824</v>
      </c>
      <c r="H601" s="67" t="str">
        <f>IFERROR(IFERROR(INDEX(Кат!$I:$I,MATCH(Прайс!$B601,Кат!$G:$G,0)),INDEX(Торг!$I:$I,MATCH(Прайс!$B601,Торг!$H:$H,0))),"")</f>
        <v>кристал авто</v>
      </c>
    </row>
    <row r="602" spans="1:8" x14ac:dyDescent="0.25">
      <c r="A602" s="94" t="s">
        <v>2777</v>
      </c>
      <c r="B602" s="98">
        <v>40403</v>
      </c>
      <c r="C602" s="98" t="s">
        <v>464</v>
      </c>
      <c r="D602" s="96" t="s">
        <v>177</v>
      </c>
      <c r="E602" s="97">
        <v>350</v>
      </c>
      <c r="F602" s="67">
        <f>IFERROR(IFERROR(INDEX(Кат!$A:$A,MATCH(Прайс!$B602,Кат!$G:$G,0)),INDEX(Торг!$B:$B,MATCH(Прайс!$B602,Торг!$H:$H,0))),"")</f>
        <v>251289</v>
      </c>
      <c r="G602" s="67">
        <f>IFERROR(IFERROR(INDEX(Кат!$B:$B,MATCH(Прайс!$B602,Кат!$G:$G,0)),INDEX(Торг!$C:$C,MATCH(Прайс!$B602,Торг!$H:$H,0))),"")</f>
        <v>186826</v>
      </c>
      <c r="H602" s="67" t="str">
        <f>IFERROR(IFERROR(INDEX(Кат!$I:$I,MATCH(Прайс!$B602,Кат!$G:$G,0)),INDEX(Торг!$I:$I,MATCH(Прайс!$B602,Торг!$H:$H,0))),"")</f>
        <v>кристал авто</v>
      </c>
    </row>
    <row r="603" spans="1:8" x14ac:dyDescent="0.25">
      <c r="A603" s="94" t="s">
        <v>2778</v>
      </c>
      <c r="B603" s="98">
        <v>40208</v>
      </c>
      <c r="C603" s="98" t="s">
        <v>465</v>
      </c>
      <c r="D603" s="96" t="s">
        <v>177</v>
      </c>
      <c r="E603" s="97">
        <v>350</v>
      </c>
      <c r="F603" s="67">
        <f>IFERROR(IFERROR(INDEX(Кат!$A:$A,MATCH(Прайс!$B603,Кат!$G:$G,0)),INDEX(Торг!$B:$B,MATCH(Прайс!$B603,Торг!$H:$H,0))),"")</f>
        <v>251290</v>
      </c>
      <c r="G603" s="67">
        <f>IFERROR(IFERROR(INDEX(Кат!$B:$B,MATCH(Прайс!$B603,Кат!$G:$G,0)),INDEX(Торг!$C:$C,MATCH(Прайс!$B603,Торг!$H:$H,0))),"")</f>
        <v>186819</v>
      </c>
      <c r="H603" s="67" t="str">
        <f>IFERROR(IFERROR(INDEX(Кат!$I:$I,MATCH(Прайс!$B603,Кат!$G:$G,0)),INDEX(Торг!$I:$I,MATCH(Прайс!$B603,Торг!$H:$H,0))),"")</f>
        <v>кристал авто</v>
      </c>
    </row>
    <row r="604" spans="1:8" x14ac:dyDescent="0.25">
      <c r="A604" s="94" t="s">
        <v>2779</v>
      </c>
      <c r="B604" s="98">
        <v>40209</v>
      </c>
      <c r="C604" s="98" t="s">
        <v>466</v>
      </c>
      <c r="D604" s="96" t="s">
        <v>177</v>
      </c>
      <c r="E604" s="97">
        <v>350</v>
      </c>
      <c r="F604" s="67">
        <f>IFERROR(IFERROR(INDEX(Кат!$A:$A,MATCH(Прайс!$B604,Кат!$G:$G,0)),INDEX(Торг!$B:$B,MATCH(Прайс!$B604,Торг!$H:$H,0))),"")</f>
        <v>251291</v>
      </c>
      <c r="G604" s="67">
        <f>IFERROR(IFERROR(INDEX(Кат!$B:$B,MATCH(Прайс!$B604,Кат!$G:$G,0)),INDEX(Торг!$C:$C,MATCH(Прайс!$B604,Торг!$H:$H,0))),"")</f>
        <v>186820</v>
      </c>
      <c r="H604" s="67" t="str">
        <f>IFERROR(IFERROR(INDEX(Кат!$I:$I,MATCH(Прайс!$B604,Кат!$G:$G,0)),INDEX(Торг!$I:$I,MATCH(Прайс!$B604,Торг!$H:$H,0))),"")</f>
        <v>кристал авто</v>
      </c>
    </row>
    <row r="605" spans="1:8" x14ac:dyDescent="0.25">
      <c r="A605" s="94" t="s">
        <v>2780</v>
      </c>
      <c r="B605" s="98">
        <v>40210</v>
      </c>
      <c r="C605" s="98" t="s">
        <v>467</v>
      </c>
      <c r="D605" s="96" t="s">
        <v>177</v>
      </c>
      <c r="E605" s="97">
        <v>350</v>
      </c>
      <c r="F605" s="67">
        <f>IFERROR(IFERROR(INDEX(Кат!$A:$A,MATCH(Прайс!$B605,Кат!$G:$G,0)),INDEX(Торг!$B:$B,MATCH(Прайс!$B605,Торг!$H:$H,0))),"")</f>
        <v>251292</v>
      </c>
      <c r="G605" s="67">
        <f>IFERROR(IFERROR(INDEX(Кат!$B:$B,MATCH(Прайс!$B605,Кат!$G:$G,0)),INDEX(Торг!$C:$C,MATCH(Прайс!$B605,Торг!$H:$H,0))),"")</f>
        <v>186821</v>
      </c>
      <c r="H605" s="67" t="str">
        <f>IFERROR(IFERROR(INDEX(Кат!$I:$I,MATCH(Прайс!$B605,Кат!$G:$G,0)),INDEX(Торг!$I:$I,MATCH(Прайс!$B605,Торг!$H:$H,0))),"")</f>
        <v>кристал авто</v>
      </c>
    </row>
    <row r="606" spans="1:8" x14ac:dyDescent="0.25">
      <c r="A606" s="94" t="s">
        <v>2781</v>
      </c>
      <c r="B606" s="98">
        <v>40400</v>
      </c>
      <c r="C606" s="98" t="s">
        <v>468</v>
      </c>
      <c r="D606" s="96" t="s">
        <v>177</v>
      </c>
      <c r="E606" s="97">
        <v>350</v>
      </c>
      <c r="F606" s="67">
        <f>IFERROR(IFERROR(INDEX(Кат!$A:$A,MATCH(Прайс!$B606,Кат!$G:$G,0)),INDEX(Торг!$B:$B,MATCH(Прайс!$B606,Торг!$H:$H,0))),"")</f>
        <v>251293</v>
      </c>
      <c r="G606" s="67">
        <f>IFERROR(IFERROR(INDEX(Кат!$B:$B,MATCH(Прайс!$B606,Кат!$G:$G,0)),INDEX(Торг!$C:$C,MATCH(Прайс!$B606,Торг!$H:$H,0))),"")</f>
        <v>186828</v>
      </c>
      <c r="H606" s="67" t="str">
        <f>IFERROR(IFERROR(INDEX(Кат!$I:$I,MATCH(Прайс!$B606,Кат!$G:$G,0)),INDEX(Торг!$I:$I,MATCH(Прайс!$B606,Торг!$H:$H,0))),"")</f>
        <v>кристал авто</v>
      </c>
    </row>
    <row r="607" spans="1:8" x14ac:dyDescent="0.25">
      <c r="A607" s="94" t="s">
        <v>5016</v>
      </c>
      <c r="B607" s="98">
        <v>40211</v>
      </c>
      <c r="C607" s="98" t="s">
        <v>5017</v>
      </c>
      <c r="D607" s="96" t="s">
        <v>177</v>
      </c>
      <c r="E607" s="97">
        <v>350</v>
      </c>
      <c r="F607" s="67">
        <f>IFERROR(IFERROR(INDEX(Кат!$A:$A,MATCH(Прайс!$B607,Кат!$G:$G,0)),INDEX(Торг!$B:$B,MATCH(Прайс!$B607,Торг!$H:$H,0))),"")</f>
        <v>251294</v>
      </c>
      <c r="G607" s="67">
        <f>IFERROR(IFERROR(INDEX(Кат!$B:$B,MATCH(Прайс!$B607,Кат!$G:$G,0)),INDEX(Торг!$C:$C,MATCH(Прайс!$B607,Торг!$H:$H,0))),"")</f>
        <v>186822</v>
      </c>
      <c r="H607" s="67" t="str">
        <f>IFERROR(IFERROR(INDEX(Кат!$I:$I,MATCH(Прайс!$B607,Кат!$G:$G,0)),INDEX(Торг!$I:$I,MATCH(Прайс!$B607,Торг!$H:$H,0))),"")</f>
        <v>кристал авто</v>
      </c>
    </row>
    <row r="608" spans="1:8" x14ac:dyDescent="0.25">
      <c r="A608" s="94" t="s">
        <v>2782</v>
      </c>
      <c r="B608" s="98">
        <v>40212</v>
      </c>
      <c r="C608" s="98" t="s">
        <v>469</v>
      </c>
      <c r="D608" s="96" t="s">
        <v>177</v>
      </c>
      <c r="E608" s="97">
        <v>350</v>
      </c>
      <c r="F608" s="67">
        <f>IFERROR(IFERROR(INDEX(Кат!$A:$A,MATCH(Прайс!$B608,Кат!$G:$G,0)),INDEX(Торг!$B:$B,MATCH(Прайс!$B608,Торг!$H:$H,0))),"")</f>
        <v>251295</v>
      </c>
      <c r="G608" s="67">
        <f>IFERROR(IFERROR(INDEX(Кат!$B:$B,MATCH(Прайс!$B608,Кат!$G:$G,0)),INDEX(Торг!$C:$C,MATCH(Прайс!$B608,Торг!$H:$H,0))),"")</f>
        <v>186823</v>
      </c>
      <c r="H608" s="67" t="str">
        <f>IFERROR(IFERROR(INDEX(Кат!$I:$I,MATCH(Прайс!$B608,Кат!$G:$G,0)),INDEX(Торг!$I:$I,MATCH(Прайс!$B608,Торг!$H:$H,0))),"")</f>
        <v>кристал авто</v>
      </c>
    </row>
    <row r="609" spans="1:8" x14ac:dyDescent="0.25">
      <c r="A609" s="94" t="s">
        <v>8190</v>
      </c>
      <c r="B609" s="98">
        <v>40218</v>
      </c>
      <c r="C609" s="98" t="s">
        <v>8191</v>
      </c>
      <c r="D609" s="96" t="s">
        <v>177</v>
      </c>
      <c r="E609" s="97">
        <v>370</v>
      </c>
      <c r="F609" s="67" t="str">
        <f>IFERROR(IFERROR(INDEX(Кат!$A:$A,MATCH(Прайс!$B609,Кат!$G:$G,0)),INDEX(Торг!$B:$B,MATCH(Прайс!$B609,Торг!$H:$H,0))),"")</f>
        <v/>
      </c>
      <c r="G609" s="67" t="str">
        <f>IFERROR(IFERROR(INDEX(Кат!$B:$B,MATCH(Прайс!$B609,Кат!$G:$G,0)),INDEX(Торг!$C:$C,MATCH(Прайс!$B609,Торг!$H:$H,0))),"")</f>
        <v/>
      </c>
      <c r="H609" s="67" t="str">
        <f>IFERROR(IFERROR(INDEX(Кат!$I:$I,MATCH(Прайс!$B609,Кат!$G:$G,0)),INDEX(Торг!$I:$I,MATCH(Прайс!$B609,Торг!$H:$H,0))),"")</f>
        <v/>
      </c>
    </row>
    <row r="610" spans="1:8" x14ac:dyDescent="0.25">
      <c r="A610" s="94" t="s">
        <v>5731</v>
      </c>
      <c r="B610" s="98">
        <v>40219</v>
      </c>
      <c r="C610" s="98" t="s">
        <v>5732</v>
      </c>
      <c r="D610" s="96" t="s">
        <v>177</v>
      </c>
      <c r="E610" s="97">
        <v>370</v>
      </c>
      <c r="F610" s="67" t="str">
        <f>IFERROR(IFERROR(INDEX(Кат!$A:$A,MATCH(Прайс!$B610,Кат!$G:$G,0)),INDEX(Торг!$B:$B,MATCH(Прайс!$B610,Торг!$H:$H,0))),"")</f>
        <v/>
      </c>
      <c r="G610" s="67" t="str">
        <f>IFERROR(IFERROR(INDEX(Кат!$B:$B,MATCH(Прайс!$B610,Кат!$G:$G,0)),INDEX(Торг!$C:$C,MATCH(Прайс!$B610,Торг!$H:$H,0))),"")</f>
        <v/>
      </c>
      <c r="H610" s="67" t="str">
        <f>IFERROR(IFERROR(INDEX(Кат!$I:$I,MATCH(Прайс!$B610,Кат!$G:$G,0)),INDEX(Торг!$I:$I,MATCH(Прайс!$B610,Торг!$H:$H,0))),"")</f>
        <v/>
      </c>
    </row>
    <row r="611" spans="1:8" x14ac:dyDescent="0.25">
      <c r="A611" s="94" t="s">
        <v>6619</v>
      </c>
      <c r="B611" s="98">
        <v>40220</v>
      </c>
      <c r="C611" s="98" t="s">
        <v>6620</v>
      </c>
      <c r="D611" s="96" t="s">
        <v>177</v>
      </c>
      <c r="E611" s="97">
        <v>370</v>
      </c>
      <c r="F611" s="67" t="str">
        <f>IFERROR(IFERROR(INDEX(Кат!$A:$A,MATCH(Прайс!$B611,Кат!$G:$G,0)),INDEX(Торг!$B:$B,MATCH(Прайс!$B611,Торг!$H:$H,0))),"")</f>
        <v/>
      </c>
      <c r="G611" s="67" t="str">
        <f>IFERROR(IFERROR(INDEX(Кат!$B:$B,MATCH(Прайс!$B611,Кат!$G:$G,0)),INDEX(Торг!$C:$C,MATCH(Прайс!$B611,Торг!$H:$H,0))),"")</f>
        <v/>
      </c>
      <c r="H611" s="67" t="str">
        <f>IFERROR(IFERROR(INDEX(Кат!$I:$I,MATCH(Прайс!$B611,Кат!$G:$G,0)),INDEX(Торг!$I:$I,MATCH(Прайс!$B611,Торг!$H:$H,0))),"")</f>
        <v/>
      </c>
    </row>
    <row r="612" spans="1:8" x14ac:dyDescent="0.25">
      <c r="A612" s="94" t="s">
        <v>6621</v>
      </c>
      <c r="B612" s="98">
        <v>40221</v>
      </c>
      <c r="C612" s="98" t="s">
        <v>6622</v>
      </c>
      <c r="D612" s="96" t="s">
        <v>177</v>
      </c>
      <c r="E612" s="97">
        <v>370</v>
      </c>
      <c r="F612" s="67" t="str">
        <f>IFERROR(IFERROR(INDEX(Кат!$A:$A,MATCH(Прайс!$B612,Кат!$G:$G,0)),INDEX(Торг!$B:$B,MATCH(Прайс!$B612,Торг!$H:$H,0))),"")</f>
        <v/>
      </c>
      <c r="G612" s="67" t="str">
        <f>IFERROR(IFERROR(INDEX(Кат!$B:$B,MATCH(Прайс!$B612,Кат!$G:$G,0)),INDEX(Торг!$C:$C,MATCH(Прайс!$B612,Торг!$H:$H,0))),"")</f>
        <v/>
      </c>
      <c r="H612" s="67" t="str">
        <f>IFERROR(IFERROR(INDEX(Кат!$I:$I,MATCH(Прайс!$B612,Кат!$G:$G,0)),INDEX(Торг!$I:$I,MATCH(Прайс!$B612,Торг!$H:$H,0))),"")</f>
        <v/>
      </c>
    </row>
    <row r="613" spans="1:8" x14ac:dyDescent="0.25">
      <c r="A613" s="94" t="s">
        <v>2783</v>
      </c>
      <c r="B613" s="98">
        <v>40312</v>
      </c>
      <c r="C613" s="98" t="s">
        <v>470</v>
      </c>
      <c r="D613" s="96" t="s">
        <v>177</v>
      </c>
      <c r="E613" s="97">
        <v>145</v>
      </c>
      <c r="F613" s="67" t="str">
        <f>IFERROR(IFERROR(INDEX(Кат!$A:$A,MATCH(Прайс!$B613,Кат!$G:$G,0)),INDEX(Торг!$B:$B,MATCH(Прайс!$B613,Торг!$H:$H,0))),"")</f>
        <v/>
      </c>
      <c r="G613" s="67" t="str">
        <f>IFERROR(IFERROR(INDEX(Кат!$B:$B,MATCH(Прайс!$B613,Кат!$G:$G,0)),INDEX(Торг!$C:$C,MATCH(Прайс!$B613,Торг!$H:$H,0))),"")</f>
        <v/>
      </c>
      <c r="H613" s="67" t="str">
        <f>IFERROR(IFERROR(INDEX(Кат!$I:$I,MATCH(Прайс!$B613,Кат!$G:$G,0)),INDEX(Торг!$I:$I,MATCH(Прайс!$B613,Торг!$H:$H,0))),"")</f>
        <v/>
      </c>
    </row>
    <row r="614" spans="1:8" x14ac:dyDescent="0.25">
      <c r="A614" s="94" t="s">
        <v>2784</v>
      </c>
      <c r="B614" s="98">
        <v>40313</v>
      </c>
      <c r="C614" s="98" t="s">
        <v>471</v>
      </c>
      <c r="D614" s="96" t="s">
        <v>177</v>
      </c>
      <c r="E614" s="97">
        <v>220</v>
      </c>
      <c r="F614" s="67">
        <f>IFERROR(IFERROR(INDEX(Кат!$A:$A,MATCH(Прайс!$B614,Кат!$G:$G,0)),INDEX(Торг!$B:$B,MATCH(Прайс!$B614,Торг!$H:$H,0))),"")</f>
        <v>195172</v>
      </c>
      <c r="G614" s="67">
        <f>IFERROR(IFERROR(INDEX(Кат!$B:$B,MATCH(Прайс!$B614,Кат!$G:$G,0)),INDEX(Торг!$C:$C,MATCH(Прайс!$B614,Торг!$H:$H,0))),"")</f>
        <v>9307</v>
      </c>
      <c r="H614" s="67" t="str">
        <f>IFERROR(IFERROR(INDEX(Кат!$I:$I,MATCH(Прайс!$B614,Кат!$G:$G,0)),INDEX(Торг!$I:$I,MATCH(Прайс!$B614,Торг!$H:$H,0))),"")</f>
        <v>кристал авто</v>
      </c>
    </row>
    <row r="615" spans="1:8" x14ac:dyDescent="0.25">
      <c r="A615" s="94" t="s">
        <v>2785</v>
      </c>
      <c r="B615" s="98">
        <v>40314</v>
      </c>
      <c r="C615" s="98" t="s">
        <v>472</v>
      </c>
      <c r="D615" s="96" t="s">
        <v>177</v>
      </c>
      <c r="E615" s="97">
        <v>350</v>
      </c>
      <c r="F615" s="67" t="str">
        <f>IFERROR(IFERROR(INDEX(Кат!$A:$A,MATCH(Прайс!$B615,Кат!$G:$G,0)),INDEX(Торг!$B:$B,MATCH(Прайс!$B615,Торг!$H:$H,0))),"")</f>
        <v/>
      </c>
      <c r="G615" s="67" t="str">
        <f>IFERROR(IFERROR(INDEX(Кат!$B:$B,MATCH(Прайс!$B615,Кат!$G:$G,0)),INDEX(Торг!$C:$C,MATCH(Прайс!$B615,Торг!$H:$H,0))),"")</f>
        <v/>
      </c>
      <c r="H615" s="67" t="str">
        <f>IFERROR(IFERROR(INDEX(Кат!$I:$I,MATCH(Прайс!$B615,Кат!$G:$G,0)),INDEX(Торг!$I:$I,MATCH(Прайс!$B615,Торг!$H:$H,0))),"")</f>
        <v/>
      </c>
    </row>
    <row r="616" spans="1:8" x14ac:dyDescent="0.25">
      <c r="A616" s="99" t="s">
        <v>6188</v>
      </c>
      <c r="B616" s="108">
        <v>40522</v>
      </c>
      <c r="C616" s="108" t="s">
        <v>6189</v>
      </c>
      <c r="D616" s="101" t="s">
        <v>398</v>
      </c>
      <c r="E616" s="102">
        <v>115</v>
      </c>
      <c r="F616" s="67" t="str">
        <f>IFERROR(IFERROR(INDEX(Кат!$A:$A,MATCH(Прайс!$B616,Кат!$G:$G,0)),INDEX(Торг!$B:$B,MATCH(Прайс!$B616,Торг!$H:$H,0))),"")</f>
        <v/>
      </c>
      <c r="G616" s="67" t="str">
        <f>IFERROR(IFERROR(INDEX(Кат!$B:$B,MATCH(Прайс!$B616,Кат!$G:$G,0)),INDEX(Торг!$C:$C,MATCH(Прайс!$B616,Торг!$H:$H,0))),"")</f>
        <v/>
      </c>
      <c r="H616" s="67" t="str">
        <f>IFERROR(IFERROR(INDEX(Кат!$I:$I,MATCH(Прайс!$B616,Кат!$G:$G,0)),INDEX(Торг!$I:$I,MATCH(Прайс!$B616,Торг!$H:$H,0))),"")</f>
        <v/>
      </c>
    </row>
    <row r="617" spans="1:8" x14ac:dyDescent="0.25">
      <c r="A617" s="99" t="s">
        <v>2786</v>
      </c>
      <c r="B617" s="108">
        <v>40310</v>
      </c>
      <c r="C617" s="108" t="s">
        <v>473</v>
      </c>
      <c r="D617" s="101" t="s">
        <v>177</v>
      </c>
      <c r="E617" s="102">
        <v>135</v>
      </c>
      <c r="F617" s="67" t="str">
        <f>IFERROR(IFERROR(INDEX(Кат!$A:$A,MATCH(Прайс!$B617,Кат!$G:$G,0)),INDEX(Торг!$B:$B,MATCH(Прайс!$B617,Торг!$H:$H,0))),"")</f>
        <v/>
      </c>
      <c r="G617" s="67" t="str">
        <f>IFERROR(IFERROR(INDEX(Кат!$B:$B,MATCH(Прайс!$B617,Кат!$G:$G,0)),INDEX(Торг!$C:$C,MATCH(Прайс!$B617,Торг!$H:$H,0))),"")</f>
        <v/>
      </c>
      <c r="H617" s="67" t="str">
        <f>IFERROR(IFERROR(INDEX(Кат!$I:$I,MATCH(Прайс!$B617,Кат!$G:$G,0)),INDEX(Торг!$I:$I,MATCH(Прайс!$B617,Торг!$H:$H,0))),"")</f>
        <v/>
      </c>
    </row>
    <row r="618" spans="1:8" x14ac:dyDescent="0.25">
      <c r="A618" s="99" t="s">
        <v>2787</v>
      </c>
      <c r="B618" s="108">
        <v>40231</v>
      </c>
      <c r="C618" s="108" t="s">
        <v>7415</v>
      </c>
      <c r="D618" s="101" t="s">
        <v>398</v>
      </c>
      <c r="E618" s="102">
        <v>105</v>
      </c>
      <c r="F618" s="67" t="str">
        <f>IFERROR(IFERROR(INDEX(Кат!$A:$A,MATCH(Прайс!$B618,Кат!$G:$G,0)),INDEX(Торг!$B:$B,MATCH(Прайс!$B618,Торг!$H:$H,0))),"")</f>
        <v/>
      </c>
      <c r="G618" s="67" t="str">
        <f>IFERROR(IFERROR(INDEX(Кат!$B:$B,MATCH(Прайс!$B618,Кат!$G:$G,0)),INDEX(Торг!$C:$C,MATCH(Прайс!$B618,Торг!$H:$H,0))),"")</f>
        <v/>
      </c>
      <c r="H618" s="67" t="str">
        <f>IFERROR(IFERROR(INDEX(Кат!$I:$I,MATCH(Прайс!$B618,Кат!$G:$G,0)),INDEX(Торг!$I:$I,MATCH(Прайс!$B618,Торг!$H:$H,0))),"")</f>
        <v/>
      </c>
    </row>
    <row r="619" spans="1:8" x14ac:dyDescent="0.25">
      <c r="A619" s="99" t="s">
        <v>2788</v>
      </c>
      <c r="B619" s="108">
        <v>40234</v>
      </c>
      <c r="C619" s="108" t="s">
        <v>474</v>
      </c>
      <c r="D619" s="101" t="s">
        <v>160</v>
      </c>
      <c r="E619" s="102">
        <v>290</v>
      </c>
      <c r="F619" s="67" t="str">
        <f>IFERROR(IFERROR(INDEX(Кат!$A:$A,MATCH(Прайс!$B619,Кат!$G:$G,0)),INDEX(Торг!$B:$B,MATCH(Прайс!$B619,Торг!$H:$H,0))),"")</f>
        <v/>
      </c>
      <c r="G619" s="67" t="str">
        <f>IFERROR(IFERROR(INDEX(Кат!$B:$B,MATCH(Прайс!$B619,Кат!$G:$G,0)),INDEX(Торг!$C:$C,MATCH(Прайс!$B619,Торг!$H:$H,0))),"")</f>
        <v/>
      </c>
      <c r="H619" s="67" t="str">
        <f>IFERROR(IFERROR(INDEX(Кат!$I:$I,MATCH(Прайс!$B619,Кат!$G:$G,0)),INDEX(Торг!$I:$I,MATCH(Прайс!$B619,Торг!$H:$H,0))),"")</f>
        <v/>
      </c>
    </row>
    <row r="620" spans="1:8" x14ac:dyDescent="0.25">
      <c r="A620" s="94" t="s">
        <v>2789</v>
      </c>
      <c r="B620" s="98">
        <v>40377</v>
      </c>
      <c r="C620" s="98" t="s">
        <v>475</v>
      </c>
      <c r="D620" s="96" t="s">
        <v>174</v>
      </c>
      <c r="E620" s="97">
        <v>210</v>
      </c>
      <c r="F620" s="67" t="str">
        <f>IFERROR(IFERROR(INDEX(Кат!$A:$A,MATCH(Прайс!$B620,Кат!$G:$G,0)),INDEX(Торг!$B:$B,MATCH(Прайс!$B620,Торг!$H:$H,0))),"")</f>
        <v/>
      </c>
      <c r="G620" s="67" t="str">
        <f>IFERROR(IFERROR(INDEX(Кат!$B:$B,MATCH(Прайс!$B620,Кат!$G:$G,0)),INDEX(Торг!$C:$C,MATCH(Прайс!$B620,Торг!$H:$H,0))),"")</f>
        <v/>
      </c>
      <c r="H620" s="67" t="str">
        <f>IFERROR(IFERROR(INDEX(Кат!$I:$I,MATCH(Прайс!$B620,Кат!$G:$G,0)),INDEX(Торг!$I:$I,MATCH(Прайс!$B620,Торг!$H:$H,0))),"")</f>
        <v/>
      </c>
    </row>
    <row r="621" spans="1:8" x14ac:dyDescent="0.25">
      <c r="A621" s="94" t="s">
        <v>5733</v>
      </c>
      <c r="B621" s="98">
        <v>40502</v>
      </c>
      <c r="C621" s="98" t="s">
        <v>5734</v>
      </c>
      <c r="D621" s="96" t="s">
        <v>582</v>
      </c>
      <c r="E621" s="97">
        <v>370</v>
      </c>
      <c r="F621" s="67" t="str">
        <f>IFERROR(IFERROR(INDEX(Кат!$A:$A,MATCH(Прайс!$B621,Кат!$G:$G,0)),INDEX(Торг!$B:$B,MATCH(Прайс!$B621,Торг!$H:$H,0))),"")</f>
        <v/>
      </c>
      <c r="G621" s="67" t="str">
        <f>IFERROR(IFERROR(INDEX(Кат!$B:$B,MATCH(Прайс!$B621,Кат!$G:$G,0)),INDEX(Торг!$C:$C,MATCH(Прайс!$B621,Торг!$H:$H,0))),"")</f>
        <v/>
      </c>
      <c r="H621" s="67" t="str">
        <f>IFERROR(IFERROR(INDEX(Кат!$I:$I,MATCH(Прайс!$B621,Кат!$G:$G,0)),INDEX(Торг!$I:$I,MATCH(Прайс!$B621,Торг!$H:$H,0))),"")</f>
        <v/>
      </c>
    </row>
    <row r="622" spans="1:8" x14ac:dyDescent="0.25">
      <c r="A622" s="94" t="s">
        <v>2790</v>
      </c>
      <c r="B622" s="98">
        <v>40368</v>
      </c>
      <c r="C622" s="98" t="s">
        <v>476</v>
      </c>
      <c r="D622" s="96" t="s">
        <v>174</v>
      </c>
      <c r="E622" s="97">
        <v>170</v>
      </c>
      <c r="F622" s="67" t="str">
        <f>IFERROR(IFERROR(INDEX(Кат!$A:$A,MATCH(Прайс!$B622,Кат!$G:$G,0)),INDEX(Торг!$B:$B,MATCH(Прайс!$B622,Торг!$H:$H,0))),"")</f>
        <v/>
      </c>
      <c r="G622" s="67" t="str">
        <f>IFERROR(IFERROR(INDEX(Кат!$B:$B,MATCH(Прайс!$B622,Кат!$G:$G,0)),INDEX(Торг!$C:$C,MATCH(Прайс!$B622,Торг!$H:$H,0))),"")</f>
        <v/>
      </c>
      <c r="H622" s="67" t="str">
        <f>IFERROR(IFERROR(INDEX(Кат!$I:$I,MATCH(Прайс!$B622,Кат!$G:$G,0)),INDEX(Торг!$I:$I,MATCH(Прайс!$B622,Торг!$H:$H,0))),"")</f>
        <v/>
      </c>
    </row>
    <row r="623" spans="1:8" ht="15.75" x14ac:dyDescent="0.25">
      <c r="A623" s="90"/>
      <c r="B623" s="91"/>
      <c r="C623" s="92" t="s">
        <v>477</v>
      </c>
      <c r="D623" s="91"/>
      <c r="E623" s="93"/>
      <c r="F623" s="67" t="str">
        <f>IFERROR(IFERROR(INDEX(Кат!$A:$A,MATCH(Прайс!$B623,Кат!$G:$G,0)),INDEX(Торг!$B:$B,MATCH(Прайс!$B623,Торг!$H:$H,0))),"")</f>
        <v/>
      </c>
      <c r="G623" s="67" t="str">
        <f>IFERROR(IFERROR(INDEX(Кат!$B:$B,MATCH(Прайс!$B623,Кат!$G:$G,0)),INDEX(Торг!$C:$C,MATCH(Прайс!$B623,Торг!$H:$H,0))),"")</f>
        <v/>
      </c>
      <c r="H623" s="67" t="str">
        <f>IFERROR(IFERROR(INDEX(Кат!$I:$I,MATCH(Прайс!$B623,Кат!$G:$G,0)),INDEX(Торг!$I:$I,MATCH(Прайс!$B623,Торг!$H:$H,0))),"")</f>
        <v/>
      </c>
    </row>
    <row r="624" spans="1:8" x14ac:dyDescent="0.25">
      <c r="A624" s="99" t="s">
        <v>2791</v>
      </c>
      <c r="B624" s="108">
        <v>40026</v>
      </c>
      <c r="C624" s="108" t="s">
        <v>478</v>
      </c>
      <c r="D624" s="101" t="s">
        <v>160</v>
      </c>
      <c r="E624" s="102">
        <v>210</v>
      </c>
      <c r="F624" s="67" t="str">
        <f>IFERROR(IFERROR(INDEX(Кат!$A:$A,MATCH(Прайс!$B624,Кат!$G:$G,0)),INDEX(Торг!$B:$B,MATCH(Прайс!$B624,Торг!$H:$H,0))),"")</f>
        <v/>
      </c>
      <c r="G624" s="67" t="str">
        <f>IFERROR(IFERROR(INDEX(Кат!$B:$B,MATCH(Прайс!$B624,Кат!$G:$G,0)),INDEX(Торг!$C:$C,MATCH(Прайс!$B624,Торг!$H:$H,0))),"")</f>
        <v/>
      </c>
      <c r="H624" s="67" t="str">
        <f>IFERROR(IFERROR(INDEX(Кат!$I:$I,MATCH(Прайс!$B624,Кат!$G:$G,0)),INDEX(Торг!$I:$I,MATCH(Прайс!$B624,Торг!$H:$H,0))),"")</f>
        <v/>
      </c>
    </row>
    <row r="625" spans="1:8" x14ac:dyDescent="0.25">
      <c r="A625" s="99" t="s">
        <v>2792</v>
      </c>
      <c r="B625" s="108">
        <v>40027</v>
      </c>
      <c r="C625" s="108" t="s">
        <v>479</v>
      </c>
      <c r="D625" s="101" t="s">
        <v>161</v>
      </c>
      <c r="E625" s="102">
        <v>135</v>
      </c>
      <c r="F625" s="67" t="str">
        <f>IFERROR(IFERROR(INDEX(Кат!$A:$A,MATCH(Прайс!$B625,Кат!$G:$G,0)),INDEX(Торг!$B:$B,MATCH(Прайс!$B625,Торг!$H:$H,0))),"")</f>
        <v/>
      </c>
      <c r="G625" s="67" t="str">
        <f>IFERROR(IFERROR(INDEX(Кат!$B:$B,MATCH(Прайс!$B625,Кат!$G:$G,0)),INDEX(Торг!$C:$C,MATCH(Прайс!$B625,Торг!$H:$H,0))),"")</f>
        <v/>
      </c>
      <c r="H625" s="67" t="str">
        <f>IFERROR(IFERROR(INDEX(Кат!$I:$I,MATCH(Прайс!$B625,Кат!$G:$G,0)),INDEX(Торг!$I:$I,MATCH(Прайс!$B625,Торг!$H:$H,0))),"")</f>
        <v/>
      </c>
    </row>
    <row r="626" spans="1:8" x14ac:dyDescent="0.25">
      <c r="A626" s="99" t="s">
        <v>2793</v>
      </c>
      <c r="B626" s="108">
        <v>40236</v>
      </c>
      <c r="C626" s="108" t="s">
        <v>5018</v>
      </c>
      <c r="D626" s="101" t="s">
        <v>480</v>
      </c>
      <c r="E626" s="102">
        <v>52</v>
      </c>
      <c r="F626" s="67" t="str">
        <f>IFERROR(IFERROR(INDEX(Кат!$A:$A,MATCH(Прайс!$B626,Кат!$G:$G,0)),INDEX(Торг!$B:$B,MATCH(Прайс!$B626,Торг!$H:$H,0))),"")</f>
        <v/>
      </c>
      <c r="G626" s="67" t="str">
        <f>IFERROR(IFERROR(INDEX(Кат!$B:$B,MATCH(Прайс!$B626,Кат!$G:$G,0)),INDEX(Торг!$C:$C,MATCH(Прайс!$B626,Торг!$H:$H,0))),"")</f>
        <v/>
      </c>
      <c r="H626" s="67" t="str">
        <f>IFERROR(IFERROR(INDEX(Кат!$I:$I,MATCH(Прайс!$B626,Кат!$G:$G,0)),INDEX(Торг!$I:$I,MATCH(Прайс!$B626,Торг!$H:$H,0))),"")</f>
        <v/>
      </c>
    </row>
    <row r="627" spans="1:8" x14ac:dyDescent="0.25">
      <c r="A627" s="99" t="s">
        <v>2794</v>
      </c>
      <c r="B627" s="108">
        <v>40237</v>
      </c>
      <c r="C627" s="108" t="s">
        <v>2795</v>
      </c>
      <c r="D627" s="101" t="s">
        <v>177</v>
      </c>
      <c r="E627" s="102">
        <v>100</v>
      </c>
      <c r="F627" s="67" t="str">
        <f>IFERROR(IFERROR(INDEX(Кат!$A:$A,MATCH(Прайс!$B627,Кат!$G:$G,0)),INDEX(Торг!$B:$B,MATCH(Прайс!$B627,Торг!$H:$H,0))),"")</f>
        <v/>
      </c>
      <c r="G627" s="67" t="str">
        <f>IFERROR(IFERROR(INDEX(Кат!$B:$B,MATCH(Прайс!$B627,Кат!$G:$G,0)),INDEX(Торг!$C:$C,MATCH(Прайс!$B627,Торг!$H:$H,0))),"")</f>
        <v/>
      </c>
      <c r="H627" s="67" t="str">
        <f>IFERROR(IFERROR(INDEX(Кат!$I:$I,MATCH(Прайс!$B627,Кат!$G:$G,0)),INDEX(Торг!$I:$I,MATCH(Прайс!$B627,Торг!$H:$H,0))),"")</f>
        <v/>
      </c>
    </row>
    <row r="628" spans="1:8" x14ac:dyDescent="0.25">
      <c r="A628" s="99" t="s">
        <v>2796</v>
      </c>
      <c r="B628" s="108">
        <v>40347</v>
      </c>
      <c r="C628" s="108" t="s">
        <v>481</v>
      </c>
      <c r="D628" s="101" t="s">
        <v>177</v>
      </c>
      <c r="E628" s="102">
        <v>100</v>
      </c>
      <c r="F628" s="67" t="str">
        <f>IFERROR(IFERROR(INDEX(Кат!$A:$A,MATCH(Прайс!$B628,Кат!$G:$G,0)),INDEX(Торг!$B:$B,MATCH(Прайс!$B628,Торг!$H:$H,0))),"")</f>
        <v/>
      </c>
      <c r="G628" s="67" t="str">
        <f>IFERROR(IFERROR(INDEX(Кат!$B:$B,MATCH(Прайс!$B628,Кат!$G:$G,0)),INDEX(Торг!$C:$C,MATCH(Прайс!$B628,Торг!$H:$H,0))),"")</f>
        <v/>
      </c>
      <c r="H628" s="67" t="str">
        <f>IFERROR(IFERROR(INDEX(Кат!$I:$I,MATCH(Прайс!$B628,Кат!$G:$G,0)),INDEX(Торг!$I:$I,MATCH(Прайс!$B628,Торг!$H:$H,0))),"")</f>
        <v/>
      </c>
    </row>
    <row r="629" spans="1:8" x14ac:dyDescent="0.25">
      <c r="A629" s="94" t="s">
        <v>7416</v>
      </c>
      <c r="B629" s="98">
        <v>40238</v>
      </c>
      <c r="C629" s="98" t="s">
        <v>7417</v>
      </c>
      <c r="D629" s="96" t="s">
        <v>480</v>
      </c>
      <c r="E629" s="97">
        <v>55</v>
      </c>
      <c r="F629" s="67" t="str">
        <f>IFERROR(IFERROR(INDEX(Кат!$A:$A,MATCH(Прайс!$B629,Кат!$G:$G,0)),INDEX(Торг!$B:$B,MATCH(Прайс!$B629,Торг!$H:$H,0))),"")</f>
        <v/>
      </c>
      <c r="G629" s="67" t="str">
        <f>IFERROR(IFERROR(INDEX(Кат!$B:$B,MATCH(Прайс!$B629,Кат!$G:$G,0)),INDEX(Торг!$C:$C,MATCH(Прайс!$B629,Торг!$H:$H,0))),"")</f>
        <v/>
      </c>
      <c r="H629" s="67" t="str">
        <f>IFERROR(IFERROR(INDEX(Кат!$I:$I,MATCH(Прайс!$B629,Кат!$G:$G,0)),INDEX(Торг!$I:$I,MATCH(Прайс!$B629,Торг!$H:$H,0))),"")</f>
        <v/>
      </c>
    </row>
    <row r="630" spans="1:8" x14ac:dyDescent="0.25">
      <c r="A630" s="99" t="s">
        <v>2797</v>
      </c>
      <c r="B630" s="108">
        <v>40326</v>
      </c>
      <c r="C630" s="108" t="s">
        <v>482</v>
      </c>
      <c r="D630" s="101" t="s">
        <v>160</v>
      </c>
      <c r="E630" s="102">
        <v>165</v>
      </c>
      <c r="F630" s="67" t="str">
        <f>IFERROR(IFERROR(INDEX(Кат!$A:$A,MATCH(Прайс!$B630,Кат!$G:$G,0)),INDEX(Торг!$B:$B,MATCH(Прайс!$B630,Торг!$H:$H,0))),"")</f>
        <v/>
      </c>
      <c r="G630" s="67" t="str">
        <f>IFERROR(IFERROR(INDEX(Кат!$B:$B,MATCH(Прайс!$B630,Кат!$G:$G,0)),INDEX(Торг!$C:$C,MATCH(Прайс!$B630,Торг!$H:$H,0))),"")</f>
        <v/>
      </c>
      <c r="H630" s="67" t="str">
        <f>IFERROR(IFERROR(INDEX(Кат!$I:$I,MATCH(Прайс!$B630,Кат!$G:$G,0)),INDEX(Торг!$I:$I,MATCH(Прайс!$B630,Торг!$H:$H,0))),"")</f>
        <v/>
      </c>
    </row>
    <row r="631" spans="1:8" x14ac:dyDescent="0.25">
      <c r="A631" s="99" t="s">
        <v>2798</v>
      </c>
      <c r="B631" s="108">
        <v>40240</v>
      </c>
      <c r="C631" s="108" t="s">
        <v>483</v>
      </c>
      <c r="D631" s="101" t="s">
        <v>160</v>
      </c>
      <c r="E631" s="102">
        <v>190</v>
      </c>
      <c r="F631" s="67" t="str">
        <f>IFERROR(IFERROR(INDEX(Кат!$A:$A,MATCH(Прайс!$B631,Кат!$G:$G,0)),INDEX(Торг!$B:$B,MATCH(Прайс!$B631,Торг!$H:$H,0))),"")</f>
        <v/>
      </c>
      <c r="G631" s="67" t="str">
        <f>IFERROR(IFERROR(INDEX(Кат!$B:$B,MATCH(Прайс!$B631,Кат!$G:$G,0)),INDEX(Торг!$C:$C,MATCH(Прайс!$B631,Торг!$H:$H,0))),"")</f>
        <v/>
      </c>
      <c r="H631" s="67" t="str">
        <f>IFERROR(IFERROR(INDEX(Кат!$I:$I,MATCH(Прайс!$B631,Кат!$G:$G,0)),INDEX(Торг!$I:$I,MATCH(Прайс!$B631,Торг!$H:$H,0))),"")</f>
        <v/>
      </c>
    </row>
    <row r="632" spans="1:8" x14ac:dyDescent="0.25">
      <c r="A632" s="99" t="s">
        <v>2799</v>
      </c>
      <c r="B632" s="108">
        <v>40239</v>
      </c>
      <c r="C632" s="108" t="s">
        <v>484</v>
      </c>
      <c r="D632" s="101" t="s">
        <v>160</v>
      </c>
      <c r="E632" s="102">
        <v>180</v>
      </c>
      <c r="F632" s="67" t="str">
        <f>IFERROR(IFERROR(INDEX(Кат!$A:$A,MATCH(Прайс!$B632,Кат!$G:$G,0)),INDEX(Торг!$B:$B,MATCH(Прайс!$B632,Торг!$H:$H,0))),"")</f>
        <v/>
      </c>
      <c r="G632" s="67" t="str">
        <f>IFERROR(IFERROR(INDEX(Кат!$B:$B,MATCH(Прайс!$B632,Кат!$G:$G,0)),INDEX(Торг!$C:$C,MATCH(Прайс!$B632,Торг!$H:$H,0))),"")</f>
        <v/>
      </c>
      <c r="H632" s="67" t="str">
        <f>IFERROR(IFERROR(INDEX(Кат!$I:$I,MATCH(Прайс!$B632,Кат!$G:$G,0)),INDEX(Торг!$I:$I,MATCH(Прайс!$B632,Торг!$H:$H,0))),"")</f>
        <v/>
      </c>
    </row>
    <row r="633" spans="1:8" ht="15.75" x14ac:dyDescent="0.25">
      <c r="A633" s="90"/>
      <c r="B633" s="91"/>
      <c r="C633" s="92" t="s">
        <v>485</v>
      </c>
      <c r="D633" s="91"/>
      <c r="E633" s="93"/>
      <c r="F633" s="67" t="str">
        <f>IFERROR(IFERROR(INDEX(Кат!$A:$A,MATCH(Прайс!$B633,Кат!$G:$G,0)),INDEX(Торг!$B:$B,MATCH(Прайс!$B633,Торг!$H:$H,0))),"")</f>
        <v/>
      </c>
      <c r="G633" s="67" t="str">
        <f>IFERROR(IFERROR(INDEX(Кат!$B:$B,MATCH(Прайс!$B633,Кат!$G:$G,0)),INDEX(Торг!$C:$C,MATCH(Прайс!$B633,Торг!$H:$H,0))),"")</f>
        <v/>
      </c>
      <c r="H633" s="67" t="str">
        <f>IFERROR(IFERROR(INDEX(Кат!$I:$I,MATCH(Прайс!$B633,Кат!$G:$G,0)),INDEX(Торг!$I:$I,MATCH(Прайс!$B633,Торг!$H:$H,0))),"")</f>
        <v/>
      </c>
    </row>
    <row r="634" spans="1:8" x14ac:dyDescent="0.25">
      <c r="A634" s="99" t="s">
        <v>4866</v>
      </c>
      <c r="B634" s="108">
        <v>40474</v>
      </c>
      <c r="C634" s="108" t="s">
        <v>4867</v>
      </c>
      <c r="D634" s="101" t="s">
        <v>160</v>
      </c>
      <c r="E634" s="102">
        <v>175</v>
      </c>
      <c r="F634" s="67" t="str">
        <f>IFERROR(IFERROR(INDEX(Кат!$A:$A,MATCH(Прайс!$B634,Кат!$G:$G,0)),INDEX(Торг!$B:$B,MATCH(Прайс!$B634,Торг!$H:$H,0))),"")</f>
        <v/>
      </c>
      <c r="G634" s="67" t="str">
        <f>IFERROR(IFERROR(INDEX(Кат!$B:$B,MATCH(Прайс!$B634,Кат!$G:$G,0)),INDEX(Торг!$C:$C,MATCH(Прайс!$B634,Торг!$H:$H,0))),"")</f>
        <v/>
      </c>
      <c r="H634" s="67" t="str">
        <f>IFERROR(IFERROR(INDEX(Кат!$I:$I,MATCH(Прайс!$B634,Кат!$G:$G,0)),INDEX(Торг!$I:$I,MATCH(Прайс!$B634,Торг!$H:$H,0))),"")</f>
        <v/>
      </c>
    </row>
    <row r="635" spans="1:8" x14ac:dyDescent="0.25">
      <c r="A635" s="99" t="s">
        <v>4868</v>
      </c>
      <c r="B635" s="108">
        <v>40475</v>
      </c>
      <c r="C635" s="108" t="s">
        <v>4869</v>
      </c>
      <c r="D635" s="101" t="s">
        <v>160</v>
      </c>
      <c r="E635" s="102">
        <v>210</v>
      </c>
      <c r="F635" s="67" t="str">
        <f>IFERROR(IFERROR(INDEX(Кат!$A:$A,MATCH(Прайс!$B635,Кат!$G:$G,0)),INDEX(Торг!$B:$B,MATCH(Прайс!$B635,Торг!$H:$H,0))),"")</f>
        <v/>
      </c>
      <c r="G635" s="67" t="str">
        <f>IFERROR(IFERROR(INDEX(Кат!$B:$B,MATCH(Прайс!$B635,Кат!$G:$G,0)),INDEX(Торг!$C:$C,MATCH(Прайс!$B635,Торг!$H:$H,0))),"")</f>
        <v/>
      </c>
      <c r="H635" s="67" t="str">
        <f>IFERROR(IFERROR(INDEX(Кат!$I:$I,MATCH(Прайс!$B635,Кат!$G:$G,0)),INDEX(Торг!$I:$I,MATCH(Прайс!$B635,Торг!$H:$H,0))),"")</f>
        <v/>
      </c>
    </row>
    <row r="636" spans="1:8" x14ac:dyDescent="0.25">
      <c r="A636" s="99" t="s">
        <v>4870</v>
      </c>
      <c r="B636" s="108">
        <v>40476</v>
      </c>
      <c r="C636" s="108" t="s">
        <v>4871</v>
      </c>
      <c r="D636" s="101" t="s">
        <v>160</v>
      </c>
      <c r="E636" s="102">
        <v>350</v>
      </c>
      <c r="F636" s="67" t="str">
        <f>IFERROR(IFERROR(INDEX(Кат!$A:$A,MATCH(Прайс!$B636,Кат!$G:$G,0)),INDEX(Торг!$B:$B,MATCH(Прайс!$B636,Торг!$H:$H,0))),"")</f>
        <v/>
      </c>
      <c r="G636" s="67" t="str">
        <f>IFERROR(IFERROR(INDEX(Кат!$B:$B,MATCH(Прайс!$B636,Кат!$G:$G,0)),INDEX(Торг!$C:$C,MATCH(Прайс!$B636,Торг!$H:$H,0))),"")</f>
        <v/>
      </c>
      <c r="H636" s="67" t="str">
        <f>IFERROR(IFERROR(INDEX(Кат!$I:$I,MATCH(Прайс!$B636,Кат!$G:$G,0)),INDEX(Торг!$I:$I,MATCH(Прайс!$B636,Торг!$H:$H,0))),"")</f>
        <v/>
      </c>
    </row>
    <row r="637" spans="1:8" x14ac:dyDescent="0.25">
      <c r="A637" s="99" t="s">
        <v>5019</v>
      </c>
      <c r="B637" s="108">
        <v>40489</v>
      </c>
      <c r="C637" s="108" t="s">
        <v>5397</v>
      </c>
      <c r="D637" s="101" t="s">
        <v>177</v>
      </c>
      <c r="E637" s="102">
        <v>140</v>
      </c>
      <c r="F637" s="67" t="str">
        <f>IFERROR(IFERROR(INDEX(Кат!$A:$A,MATCH(Прайс!$B637,Кат!$G:$G,0)),INDEX(Торг!$B:$B,MATCH(Прайс!$B637,Торг!$H:$H,0))),"")</f>
        <v/>
      </c>
      <c r="G637" s="67" t="str">
        <f>IFERROR(IFERROR(INDEX(Кат!$B:$B,MATCH(Прайс!$B637,Кат!$G:$G,0)),INDEX(Торг!$C:$C,MATCH(Прайс!$B637,Торг!$H:$H,0))),"")</f>
        <v/>
      </c>
      <c r="H637" s="67" t="str">
        <f>IFERROR(IFERROR(INDEX(Кат!$I:$I,MATCH(Прайс!$B637,Кат!$G:$G,0)),INDEX(Торг!$I:$I,MATCH(Прайс!$B637,Торг!$H:$H,0))),"")</f>
        <v/>
      </c>
    </row>
    <row r="638" spans="1:8" x14ac:dyDescent="0.25">
      <c r="A638" s="99" t="s">
        <v>5020</v>
      </c>
      <c r="B638" s="108">
        <v>40490</v>
      </c>
      <c r="C638" s="108" t="s">
        <v>5398</v>
      </c>
      <c r="D638" s="101" t="s">
        <v>177</v>
      </c>
      <c r="E638" s="102">
        <v>175</v>
      </c>
      <c r="F638" s="67" t="str">
        <f>IFERROR(IFERROR(INDEX(Кат!$A:$A,MATCH(Прайс!$B638,Кат!$G:$G,0)),INDEX(Торг!$B:$B,MATCH(Прайс!$B638,Торг!$H:$H,0))),"")</f>
        <v/>
      </c>
      <c r="G638" s="67" t="str">
        <f>IFERROR(IFERROR(INDEX(Кат!$B:$B,MATCH(Прайс!$B638,Кат!$G:$G,0)),INDEX(Торг!$C:$C,MATCH(Прайс!$B638,Торг!$H:$H,0))),"")</f>
        <v/>
      </c>
      <c r="H638" s="67" t="str">
        <f>IFERROR(IFERROR(INDEX(Кат!$I:$I,MATCH(Прайс!$B638,Кат!$G:$G,0)),INDEX(Торг!$I:$I,MATCH(Прайс!$B638,Торг!$H:$H,0))),"")</f>
        <v/>
      </c>
    </row>
    <row r="639" spans="1:8" x14ac:dyDescent="0.25">
      <c r="A639" s="99" t="s">
        <v>6190</v>
      </c>
      <c r="B639" s="108">
        <v>40526</v>
      </c>
      <c r="C639" s="108" t="s">
        <v>6191</v>
      </c>
      <c r="D639" s="101" t="s">
        <v>177</v>
      </c>
      <c r="E639" s="102">
        <v>240</v>
      </c>
      <c r="F639" s="67" t="str">
        <f>IFERROR(IFERROR(INDEX(Кат!$A:$A,MATCH(Прайс!$B639,Кат!$G:$G,0)),INDEX(Торг!$B:$B,MATCH(Прайс!$B639,Торг!$H:$H,0))),"")</f>
        <v/>
      </c>
      <c r="G639" s="67" t="str">
        <f>IFERROR(IFERROR(INDEX(Кат!$B:$B,MATCH(Прайс!$B639,Кат!$G:$G,0)),INDEX(Торг!$C:$C,MATCH(Прайс!$B639,Торг!$H:$H,0))),"")</f>
        <v/>
      </c>
      <c r="H639" s="67" t="str">
        <f>IFERROR(IFERROR(INDEX(Кат!$I:$I,MATCH(Прайс!$B639,Кат!$G:$G,0)),INDEX(Торг!$I:$I,MATCH(Прайс!$B639,Торг!$H:$H,0))),"")</f>
        <v/>
      </c>
    </row>
    <row r="640" spans="1:8" x14ac:dyDescent="0.25">
      <c r="A640" s="99" t="s">
        <v>5021</v>
      </c>
      <c r="B640" s="108">
        <v>40488</v>
      </c>
      <c r="C640" s="108" t="s">
        <v>5399</v>
      </c>
      <c r="D640" s="101" t="s">
        <v>177</v>
      </c>
      <c r="E640" s="102">
        <v>280</v>
      </c>
      <c r="F640" s="67" t="str">
        <f>IFERROR(IFERROR(INDEX(Кат!$A:$A,MATCH(Прайс!$B640,Кат!$G:$G,0)),INDEX(Торг!$B:$B,MATCH(Прайс!$B640,Торг!$H:$H,0))),"")</f>
        <v/>
      </c>
      <c r="G640" s="67" t="str">
        <f>IFERROR(IFERROR(INDEX(Кат!$B:$B,MATCH(Прайс!$B640,Кат!$G:$G,0)),INDEX(Торг!$C:$C,MATCH(Прайс!$B640,Торг!$H:$H,0))),"")</f>
        <v/>
      </c>
      <c r="H640" s="67" t="str">
        <f>IFERROR(IFERROR(INDEX(Кат!$I:$I,MATCH(Прайс!$B640,Кат!$G:$G,0)),INDEX(Торг!$I:$I,MATCH(Прайс!$B640,Торг!$H:$H,0))),"")</f>
        <v/>
      </c>
    </row>
    <row r="641" spans="1:8" x14ac:dyDescent="0.25">
      <c r="A641" s="99" t="s">
        <v>6192</v>
      </c>
      <c r="B641" s="108">
        <v>40527</v>
      </c>
      <c r="C641" s="108" t="s">
        <v>6193</v>
      </c>
      <c r="D641" s="101" t="s">
        <v>177</v>
      </c>
      <c r="E641" s="102">
        <v>330</v>
      </c>
      <c r="F641" s="67" t="str">
        <f>IFERROR(IFERROR(INDEX(Кат!$A:$A,MATCH(Прайс!$B641,Кат!$G:$G,0)),INDEX(Торг!$B:$B,MATCH(Прайс!$B641,Торг!$H:$H,0))),"")</f>
        <v/>
      </c>
      <c r="G641" s="67" t="str">
        <f>IFERROR(IFERROR(INDEX(Кат!$B:$B,MATCH(Прайс!$B641,Кат!$G:$G,0)),INDEX(Торг!$C:$C,MATCH(Прайс!$B641,Торг!$H:$H,0))),"")</f>
        <v/>
      </c>
      <c r="H641" s="67" t="str">
        <f>IFERROR(IFERROR(INDEX(Кат!$I:$I,MATCH(Прайс!$B641,Кат!$G:$G,0)),INDEX(Торг!$I:$I,MATCH(Прайс!$B641,Торг!$H:$H,0))),"")</f>
        <v/>
      </c>
    </row>
    <row r="642" spans="1:8" x14ac:dyDescent="0.25">
      <c r="A642" s="99" t="s">
        <v>5735</v>
      </c>
      <c r="B642" s="108">
        <v>40480</v>
      </c>
      <c r="C642" s="108" t="s">
        <v>5736</v>
      </c>
      <c r="D642" s="101" t="s">
        <v>160</v>
      </c>
      <c r="E642" s="102">
        <v>195</v>
      </c>
      <c r="F642" s="67" t="str">
        <f>IFERROR(IFERROR(INDEX(Кат!$A:$A,MATCH(Прайс!$B642,Кат!$G:$G,0)),INDEX(Торг!$B:$B,MATCH(Прайс!$B642,Торг!$H:$H,0))),"")</f>
        <v/>
      </c>
      <c r="G642" s="67" t="str">
        <f>IFERROR(IFERROR(INDEX(Кат!$B:$B,MATCH(Прайс!$B642,Кат!$G:$G,0)),INDEX(Торг!$C:$C,MATCH(Прайс!$B642,Торг!$H:$H,0))),"")</f>
        <v/>
      </c>
      <c r="H642" s="67" t="str">
        <f>IFERROR(IFERROR(INDEX(Кат!$I:$I,MATCH(Прайс!$B642,Кат!$G:$G,0)),INDEX(Торг!$I:$I,MATCH(Прайс!$B642,Торг!$H:$H,0))),"")</f>
        <v/>
      </c>
    </row>
    <row r="643" spans="1:8" x14ac:dyDescent="0.25">
      <c r="A643" s="99" t="s">
        <v>6194</v>
      </c>
      <c r="B643" s="108">
        <v>40387</v>
      </c>
      <c r="C643" s="108" t="s">
        <v>6195</v>
      </c>
      <c r="D643" s="101" t="s">
        <v>160</v>
      </c>
      <c r="E643" s="102">
        <v>220</v>
      </c>
      <c r="F643" s="67" t="str">
        <f>IFERROR(IFERROR(INDEX(Кат!$A:$A,MATCH(Прайс!$B643,Кат!$G:$G,0)),INDEX(Торг!$B:$B,MATCH(Прайс!$B643,Торг!$H:$H,0))),"")</f>
        <v/>
      </c>
      <c r="G643" s="67" t="str">
        <f>IFERROR(IFERROR(INDEX(Кат!$B:$B,MATCH(Прайс!$B643,Кат!$G:$G,0)),INDEX(Торг!$C:$C,MATCH(Прайс!$B643,Торг!$H:$H,0))),"")</f>
        <v/>
      </c>
      <c r="H643" s="67" t="str">
        <f>IFERROR(IFERROR(INDEX(Кат!$I:$I,MATCH(Прайс!$B643,Кат!$G:$G,0)),INDEX(Торг!$I:$I,MATCH(Прайс!$B643,Торг!$H:$H,0))),"")</f>
        <v/>
      </c>
    </row>
    <row r="644" spans="1:8" x14ac:dyDescent="0.25">
      <c r="A644" s="99" t="s">
        <v>5022</v>
      </c>
      <c r="B644" s="108">
        <v>40481</v>
      </c>
      <c r="C644" s="108" t="s">
        <v>6196</v>
      </c>
      <c r="D644" s="101" t="s">
        <v>161</v>
      </c>
      <c r="E644" s="102">
        <v>180</v>
      </c>
      <c r="F644" s="67" t="str">
        <f>IFERROR(IFERROR(INDEX(Кат!$A:$A,MATCH(Прайс!$B644,Кат!$G:$G,0)),INDEX(Торг!$B:$B,MATCH(Прайс!$B644,Торг!$H:$H,0))),"")</f>
        <v/>
      </c>
      <c r="G644" s="67" t="str">
        <f>IFERROR(IFERROR(INDEX(Кат!$B:$B,MATCH(Прайс!$B644,Кат!$G:$G,0)),INDEX(Торг!$C:$C,MATCH(Прайс!$B644,Торг!$H:$H,0))),"")</f>
        <v/>
      </c>
      <c r="H644" s="67" t="str">
        <f>IFERROR(IFERROR(INDEX(Кат!$I:$I,MATCH(Прайс!$B644,Кат!$G:$G,0)),INDEX(Торг!$I:$I,MATCH(Прайс!$B644,Торг!$H:$H,0))),"")</f>
        <v/>
      </c>
    </row>
    <row r="645" spans="1:8" x14ac:dyDescent="0.25">
      <c r="A645" s="99" t="s">
        <v>2800</v>
      </c>
      <c r="B645" s="108">
        <v>40241</v>
      </c>
      <c r="C645" s="108" t="s">
        <v>486</v>
      </c>
      <c r="D645" s="101" t="s">
        <v>160</v>
      </c>
      <c r="E645" s="102">
        <v>185</v>
      </c>
      <c r="F645" s="67" t="str">
        <f>IFERROR(IFERROR(INDEX(Кат!$A:$A,MATCH(Прайс!$B645,Кат!$G:$G,0)),INDEX(Торг!$B:$B,MATCH(Прайс!$B645,Торг!$H:$H,0))),"")</f>
        <v/>
      </c>
      <c r="G645" s="67" t="str">
        <f>IFERROR(IFERROR(INDEX(Кат!$B:$B,MATCH(Прайс!$B645,Кат!$G:$G,0)),INDEX(Торг!$C:$C,MATCH(Прайс!$B645,Торг!$H:$H,0))),"")</f>
        <v/>
      </c>
      <c r="H645" s="67" t="str">
        <f>IFERROR(IFERROR(INDEX(Кат!$I:$I,MATCH(Прайс!$B645,Кат!$G:$G,0)),INDEX(Торг!$I:$I,MATCH(Прайс!$B645,Торг!$H:$H,0))),"")</f>
        <v/>
      </c>
    </row>
    <row r="646" spans="1:8" x14ac:dyDescent="0.25">
      <c r="A646" s="94" t="s">
        <v>5023</v>
      </c>
      <c r="B646" s="98">
        <v>40397</v>
      </c>
      <c r="C646" s="98" t="s">
        <v>5024</v>
      </c>
      <c r="D646" s="96" t="s">
        <v>177</v>
      </c>
      <c r="E646" s="97">
        <v>165</v>
      </c>
      <c r="F646" s="67" t="str">
        <f>IFERROR(IFERROR(INDEX(Кат!$A:$A,MATCH(Прайс!$B646,Кат!$G:$G,0)),INDEX(Торг!$B:$B,MATCH(Прайс!$B646,Торг!$H:$H,0))),"")</f>
        <v/>
      </c>
      <c r="G646" s="67" t="str">
        <f>IFERROR(IFERROR(INDEX(Кат!$B:$B,MATCH(Прайс!$B646,Кат!$G:$G,0)),INDEX(Торг!$C:$C,MATCH(Прайс!$B646,Торг!$H:$H,0))),"")</f>
        <v/>
      </c>
      <c r="H646" s="67" t="str">
        <f>IFERROR(IFERROR(INDEX(Кат!$I:$I,MATCH(Прайс!$B646,Кат!$G:$G,0)),INDEX(Торг!$I:$I,MATCH(Прайс!$B646,Торг!$H:$H,0))),"")</f>
        <v/>
      </c>
    </row>
    <row r="647" spans="1:8" x14ac:dyDescent="0.25">
      <c r="A647" s="94" t="s">
        <v>2801</v>
      </c>
      <c r="B647" s="98">
        <v>40466</v>
      </c>
      <c r="C647" s="98" t="s">
        <v>7418</v>
      </c>
      <c r="D647" s="96" t="s">
        <v>160</v>
      </c>
      <c r="E647" s="97">
        <v>265</v>
      </c>
      <c r="F647" s="67" t="str">
        <f>IFERROR(IFERROR(INDEX(Кат!$A:$A,MATCH(Прайс!$B647,Кат!$G:$G,0)),INDEX(Торг!$B:$B,MATCH(Прайс!$B647,Торг!$H:$H,0))),"")</f>
        <v/>
      </c>
      <c r="G647" s="67" t="str">
        <f>IFERROR(IFERROR(INDEX(Кат!$B:$B,MATCH(Прайс!$B647,Кат!$G:$G,0)),INDEX(Торг!$C:$C,MATCH(Прайс!$B647,Торг!$H:$H,0))),"")</f>
        <v/>
      </c>
      <c r="H647" s="67" t="str">
        <f>IFERROR(IFERROR(INDEX(Кат!$I:$I,MATCH(Прайс!$B647,Кат!$G:$G,0)),INDEX(Торг!$I:$I,MATCH(Прайс!$B647,Торг!$H:$H,0))),"")</f>
        <v/>
      </c>
    </row>
    <row r="648" spans="1:8" x14ac:dyDescent="0.25">
      <c r="A648" s="99" t="s">
        <v>5025</v>
      </c>
      <c r="B648" s="108">
        <v>40486</v>
      </c>
      <c r="C648" s="108" t="s">
        <v>5400</v>
      </c>
      <c r="D648" s="101" t="s">
        <v>177</v>
      </c>
      <c r="E648" s="102">
        <v>250</v>
      </c>
      <c r="F648" s="67" t="str">
        <f>IFERROR(IFERROR(INDEX(Кат!$A:$A,MATCH(Прайс!$B648,Кат!$G:$G,0)),INDEX(Торг!$B:$B,MATCH(Прайс!$B648,Торг!$H:$H,0))),"")</f>
        <v/>
      </c>
      <c r="G648" s="67" t="str">
        <f>IFERROR(IFERROR(INDEX(Кат!$B:$B,MATCH(Прайс!$B648,Кат!$G:$G,0)),INDEX(Торг!$C:$C,MATCH(Прайс!$B648,Торг!$H:$H,0))),"")</f>
        <v/>
      </c>
      <c r="H648" s="67" t="str">
        <f>IFERROR(IFERROR(INDEX(Кат!$I:$I,MATCH(Прайс!$B648,Кат!$G:$G,0)),INDEX(Торг!$I:$I,MATCH(Прайс!$B648,Торг!$H:$H,0))),"")</f>
        <v/>
      </c>
    </row>
    <row r="649" spans="1:8" x14ac:dyDescent="0.25">
      <c r="A649" s="99" t="s">
        <v>2802</v>
      </c>
      <c r="B649" s="108">
        <v>40367</v>
      </c>
      <c r="C649" s="108" t="s">
        <v>487</v>
      </c>
      <c r="D649" s="101" t="s">
        <v>160</v>
      </c>
      <c r="E649" s="102">
        <v>185</v>
      </c>
      <c r="F649" s="67" t="str">
        <f>IFERROR(IFERROR(INDEX(Кат!$A:$A,MATCH(Прайс!$B649,Кат!$G:$G,0)),INDEX(Торг!$B:$B,MATCH(Прайс!$B649,Торг!$H:$H,0))),"")</f>
        <v/>
      </c>
      <c r="G649" s="67" t="str">
        <f>IFERROR(IFERROR(INDEX(Кат!$B:$B,MATCH(Прайс!$B649,Кат!$G:$G,0)),INDEX(Торг!$C:$C,MATCH(Прайс!$B649,Торг!$H:$H,0))),"")</f>
        <v/>
      </c>
      <c r="H649" s="67" t="str">
        <f>IFERROR(IFERROR(INDEX(Кат!$I:$I,MATCH(Прайс!$B649,Кат!$G:$G,0)),INDEX(Торг!$I:$I,MATCH(Прайс!$B649,Торг!$H:$H,0))),"")</f>
        <v/>
      </c>
    </row>
    <row r="650" spans="1:8" x14ac:dyDescent="0.25">
      <c r="A650" s="99" t="s">
        <v>2803</v>
      </c>
      <c r="B650" s="108">
        <v>40364</v>
      </c>
      <c r="C650" s="108" t="s">
        <v>488</v>
      </c>
      <c r="D650" s="101" t="s">
        <v>161</v>
      </c>
      <c r="E650" s="102">
        <v>135</v>
      </c>
      <c r="F650" s="67" t="str">
        <f>IFERROR(IFERROR(INDEX(Кат!$A:$A,MATCH(Прайс!$B650,Кат!$G:$G,0)),INDEX(Торг!$B:$B,MATCH(Прайс!$B650,Торг!$H:$H,0))),"")</f>
        <v/>
      </c>
      <c r="G650" s="67" t="str">
        <f>IFERROR(IFERROR(INDEX(Кат!$B:$B,MATCH(Прайс!$B650,Кат!$G:$G,0)),INDEX(Торг!$C:$C,MATCH(Прайс!$B650,Торг!$H:$H,0))),"")</f>
        <v/>
      </c>
      <c r="H650" s="67" t="str">
        <f>IFERROR(IFERROR(INDEX(Кат!$I:$I,MATCH(Прайс!$B650,Кат!$G:$G,0)),INDEX(Торг!$I:$I,MATCH(Прайс!$B650,Торг!$H:$H,0))),"")</f>
        <v/>
      </c>
    </row>
    <row r="651" spans="1:8" x14ac:dyDescent="0.25">
      <c r="A651" s="94" t="s">
        <v>5401</v>
      </c>
      <c r="B651" s="98">
        <v>40325</v>
      </c>
      <c r="C651" s="98" t="s">
        <v>5402</v>
      </c>
      <c r="D651" s="96" t="s">
        <v>491</v>
      </c>
      <c r="E651" s="97">
        <v>80</v>
      </c>
      <c r="F651" s="67">
        <f>IFERROR(IFERROR(INDEX(Кат!$A:$A,MATCH(Прайс!$B651,Кат!$G:$G,0)),INDEX(Торг!$B:$B,MATCH(Прайс!$B651,Торг!$H:$H,0))),"")</f>
        <v>214048</v>
      </c>
      <c r="G651" s="67">
        <f>IFERROR(IFERROR(INDEX(Кат!$B:$B,MATCH(Прайс!$B651,Кат!$G:$G,0)),INDEX(Торг!$C:$C,MATCH(Прайс!$B651,Торг!$H:$H,0))),"")</f>
        <v>31021</v>
      </c>
      <c r="H651" s="67" t="str">
        <f>IFERROR(IFERROR(INDEX(Кат!$I:$I,MATCH(Прайс!$B651,Кат!$G:$G,0)),INDEX(Торг!$I:$I,MATCH(Прайс!$B651,Торг!$H:$H,0))),"")</f>
        <v>кристал авто</v>
      </c>
    </row>
    <row r="652" spans="1:8" x14ac:dyDescent="0.25">
      <c r="A652" s="94" t="s">
        <v>5026</v>
      </c>
      <c r="B652" s="98">
        <v>40243</v>
      </c>
      <c r="C652" s="98" t="s">
        <v>5027</v>
      </c>
      <c r="D652" s="96" t="s">
        <v>491</v>
      </c>
      <c r="E652" s="97">
        <v>85</v>
      </c>
      <c r="F652" s="67" t="str">
        <f>IFERROR(IFERROR(INDEX(Кат!$A:$A,MATCH(Прайс!$B652,Кат!$G:$G,0)),INDEX(Торг!$B:$B,MATCH(Прайс!$B652,Торг!$H:$H,0))),"")</f>
        <v/>
      </c>
      <c r="G652" s="67" t="str">
        <f>IFERROR(IFERROR(INDEX(Кат!$B:$B,MATCH(Прайс!$B652,Кат!$G:$G,0)),INDEX(Торг!$C:$C,MATCH(Прайс!$B652,Торг!$H:$H,0))),"")</f>
        <v/>
      </c>
      <c r="H652" s="67" t="str">
        <f>IFERROR(IFERROR(INDEX(Кат!$I:$I,MATCH(Прайс!$B652,Кат!$G:$G,0)),INDEX(Торг!$I:$I,MATCH(Прайс!$B652,Торг!$H:$H,0))),"")</f>
        <v/>
      </c>
    </row>
    <row r="653" spans="1:8" x14ac:dyDescent="0.25">
      <c r="A653" s="94" t="s">
        <v>5403</v>
      </c>
      <c r="B653" s="98">
        <v>40244</v>
      </c>
      <c r="C653" s="98" t="s">
        <v>5404</v>
      </c>
      <c r="D653" s="96" t="s">
        <v>491</v>
      </c>
      <c r="E653" s="97">
        <v>115</v>
      </c>
      <c r="F653" s="67" t="str">
        <f>IFERROR(IFERROR(INDEX(Кат!$A:$A,MATCH(Прайс!$B653,Кат!$G:$G,0)),INDEX(Торг!$B:$B,MATCH(Прайс!$B653,Торг!$H:$H,0))),"")</f>
        <v/>
      </c>
      <c r="G653" s="67" t="str">
        <f>IFERROR(IFERROR(INDEX(Кат!$B:$B,MATCH(Прайс!$B653,Кат!$G:$G,0)),INDEX(Торг!$C:$C,MATCH(Прайс!$B653,Торг!$H:$H,0))),"")</f>
        <v/>
      </c>
      <c r="H653" s="67" t="str">
        <f>IFERROR(IFERROR(INDEX(Кат!$I:$I,MATCH(Прайс!$B653,Кат!$G:$G,0)),INDEX(Торг!$I:$I,MATCH(Прайс!$B653,Торг!$H:$H,0))),"")</f>
        <v/>
      </c>
    </row>
    <row r="654" spans="1:8" x14ac:dyDescent="0.25">
      <c r="A654" s="94" t="s">
        <v>5028</v>
      </c>
      <c r="B654" s="98">
        <v>40246</v>
      </c>
      <c r="C654" s="98" t="s">
        <v>5029</v>
      </c>
      <c r="D654" s="96" t="s">
        <v>160</v>
      </c>
      <c r="E654" s="97">
        <v>200</v>
      </c>
      <c r="F654" s="67" t="str">
        <f>IFERROR(IFERROR(INDEX(Кат!$A:$A,MATCH(Прайс!$B654,Кат!$G:$G,0)),INDEX(Торг!$B:$B,MATCH(Прайс!$B654,Торг!$H:$H,0))),"")</f>
        <v/>
      </c>
      <c r="G654" s="67" t="str">
        <f>IFERROR(IFERROR(INDEX(Кат!$B:$B,MATCH(Прайс!$B654,Кат!$G:$G,0)),INDEX(Торг!$C:$C,MATCH(Прайс!$B654,Торг!$H:$H,0))),"")</f>
        <v/>
      </c>
      <c r="H654" s="67" t="str">
        <f>IFERROR(IFERROR(INDEX(Кат!$I:$I,MATCH(Прайс!$B654,Кат!$G:$G,0)),INDEX(Торг!$I:$I,MATCH(Прайс!$B654,Торг!$H:$H,0))),"")</f>
        <v/>
      </c>
    </row>
    <row r="655" spans="1:8" x14ac:dyDescent="0.25">
      <c r="A655" s="94" t="s">
        <v>2804</v>
      </c>
      <c r="B655" s="98">
        <v>40247</v>
      </c>
      <c r="C655" s="98" t="s">
        <v>489</v>
      </c>
      <c r="D655" s="96" t="s">
        <v>160</v>
      </c>
      <c r="E655" s="97">
        <v>275</v>
      </c>
      <c r="F655" s="67" t="str">
        <f>IFERROR(IFERROR(INDEX(Кат!$A:$A,MATCH(Прайс!$B655,Кат!$G:$G,0)),INDEX(Торг!$B:$B,MATCH(Прайс!$B655,Торг!$H:$H,0))),"")</f>
        <v/>
      </c>
      <c r="G655" s="67" t="str">
        <f>IFERROR(IFERROR(INDEX(Кат!$B:$B,MATCH(Прайс!$B655,Кат!$G:$G,0)),INDEX(Торг!$C:$C,MATCH(Прайс!$B655,Торг!$H:$H,0))),"")</f>
        <v/>
      </c>
      <c r="H655" s="67" t="str">
        <f>IFERROR(IFERROR(INDEX(Кат!$I:$I,MATCH(Прайс!$B655,Кат!$G:$G,0)),INDEX(Торг!$I:$I,MATCH(Прайс!$B655,Торг!$H:$H,0))),"")</f>
        <v/>
      </c>
    </row>
    <row r="656" spans="1:8" x14ac:dyDescent="0.25">
      <c r="A656" s="94" t="s">
        <v>2805</v>
      </c>
      <c r="B656" s="98">
        <v>40248</v>
      </c>
      <c r="C656" s="98" t="s">
        <v>490</v>
      </c>
      <c r="D656" s="96" t="s">
        <v>160</v>
      </c>
      <c r="E656" s="97">
        <v>350</v>
      </c>
      <c r="F656" s="67" t="str">
        <f>IFERROR(IFERROR(INDEX(Кат!$A:$A,MATCH(Прайс!$B656,Кат!$G:$G,0)),INDEX(Торг!$B:$B,MATCH(Прайс!$B656,Торг!$H:$H,0))),"")</f>
        <v/>
      </c>
      <c r="G656" s="67" t="str">
        <f>IFERROR(IFERROR(INDEX(Кат!$B:$B,MATCH(Прайс!$B656,Кат!$G:$G,0)),INDEX(Торг!$C:$C,MATCH(Прайс!$B656,Торг!$H:$H,0))),"")</f>
        <v/>
      </c>
      <c r="H656" s="67" t="str">
        <f>IFERROR(IFERROR(INDEX(Кат!$I:$I,MATCH(Прайс!$B656,Кат!$G:$G,0)),INDEX(Торг!$I:$I,MATCH(Прайс!$B656,Торг!$H:$H,0))),"")</f>
        <v/>
      </c>
    </row>
    <row r="657" spans="1:8" x14ac:dyDescent="0.25">
      <c r="A657" s="94" t="s">
        <v>8192</v>
      </c>
      <c r="B657" s="98">
        <v>40553</v>
      </c>
      <c r="C657" s="98" t="s">
        <v>8193</v>
      </c>
      <c r="D657" s="96" t="s">
        <v>177</v>
      </c>
      <c r="E657" s="97">
        <v>140</v>
      </c>
      <c r="F657" s="67" t="str">
        <f>IFERROR(IFERROR(INDEX(Кат!$A:$A,MATCH(Прайс!$B657,Кат!$G:$G,0)),INDEX(Торг!$B:$B,MATCH(Прайс!$B657,Торг!$H:$H,0))),"")</f>
        <v/>
      </c>
      <c r="G657" s="67" t="str">
        <f>IFERROR(IFERROR(INDEX(Кат!$B:$B,MATCH(Прайс!$B657,Кат!$G:$G,0)),INDEX(Торг!$C:$C,MATCH(Прайс!$B657,Торг!$H:$H,0))),"")</f>
        <v/>
      </c>
      <c r="H657" s="67" t="str">
        <f>IFERROR(IFERROR(INDEX(Кат!$I:$I,MATCH(Прайс!$B657,Кат!$G:$G,0)),INDEX(Торг!$I:$I,MATCH(Прайс!$B657,Торг!$H:$H,0))),"")</f>
        <v/>
      </c>
    </row>
    <row r="658" spans="1:8" x14ac:dyDescent="0.25">
      <c r="A658" s="99" t="s">
        <v>2806</v>
      </c>
      <c r="B658" s="108">
        <v>40253</v>
      </c>
      <c r="C658" s="108" t="s">
        <v>492</v>
      </c>
      <c r="D658" s="101" t="s">
        <v>160</v>
      </c>
      <c r="E658" s="102">
        <v>160</v>
      </c>
      <c r="F658" s="67" t="str">
        <f>IFERROR(IFERROR(INDEX(Кат!$A:$A,MATCH(Прайс!$B658,Кат!$G:$G,0)),INDEX(Торг!$B:$B,MATCH(Прайс!$B658,Торг!$H:$H,0))),"")</f>
        <v/>
      </c>
      <c r="G658" s="67" t="str">
        <f>IFERROR(IFERROR(INDEX(Кат!$B:$B,MATCH(Прайс!$B658,Кат!$G:$G,0)),INDEX(Торг!$C:$C,MATCH(Прайс!$B658,Торг!$H:$H,0))),"")</f>
        <v/>
      </c>
      <c r="H658" s="67" t="str">
        <f>IFERROR(IFERROR(INDEX(Кат!$I:$I,MATCH(Прайс!$B658,Кат!$G:$G,0)),INDEX(Торг!$I:$I,MATCH(Прайс!$B658,Торг!$H:$H,0))),"")</f>
        <v/>
      </c>
    </row>
    <row r="659" spans="1:8" x14ac:dyDescent="0.25">
      <c r="A659" s="99" t="s">
        <v>7419</v>
      </c>
      <c r="B659" s="108">
        <v>40539</v>
      </c>
      <c r="C659" s="108" t="s">
        <v>7420</v>
      </c>
      <c r="D659" s="101" t="s">
        <v>177</v>
      </c>
      <c r="E659" s="102">
        <v>130</v>
      </c>
      <c r="F659" s="67" t="str">
        <f>IFERROR(IFERROR(INDEX(Кат!$A:$A,MATCH(Прайс!$B659,Кат!$G:$G,0)),INDEX(Торг!$B:$B,MATCH(Прайс!$B659,Торг!$H:$H,0))),"")</f>
        <v/>
      </c>
      <c r="G659" s="67" t="str">
        <f>IFERROR(IFERROR(INDEX(Кат!$B:$B,MATCH(Прайс!$B659,Кат!$G:$G,0)),INDEX(Торг!$C:$C,MATCH(Прайс!$B659,Торг!$H:$H,0))),"")</f>
        <v/>
      </c>
      <c r="H659" s="67" t="str">
        <f>IFERROR(IFERROR(INDEX(Кат!$I:$I,MATCH(Прайс!$B659,Кат!$G:$G,0)),INDEX(Торг!$I:$I,MATCH(Прайс!$B659,Торг!$H:$H,0))),"")</f>
        <v/>
      </c>
    </row>
    <row r="660" spans="1:8" x14ac:dyDescent="0.25">
      <c r="A660" s="99" t="s">
        <v>2807</v>
      </c>
      <c r="B660" s="108">
        <v>40296</v>
      </c>
      <c r="C660" s="108" t="s">
        <v>493</v>
      </c>
      <c r="D660" s="101" t="s">
        <v>160</v>
      </c>
      <c r="E660" s="102">
        <v>175</v>
      </c>
      <c r="F660" s="67" t="str">
        <f>IFERROR(IFERROR(INDEX(Кат!$A:$A,MATCH(Прайс!$B660,Кат!$G:$G,0)),INDEX(Торг!$B:$B,MATCH(Прайс!$B660,Торг!$H:$H,0))),"")</f>
        <v/>
      </c>
      <c r="G660" s="67" t="str">
        <f>IFERROR(IFERROR(INDEX(Кат!$B:$B,MATCH(Прайс!$B660,Кат!$G:$G,0)),INDEX(Торг!$C:$C,MATCH(Прайс!$B660,Торг!$H:$H,0))),"")</f>
        <v/>
      </c>
      <c r="H660" s="67" t="str">
        <f>IFERROR(IFERROR(INDEX(Кат!$I:$I,MATCH(Прайс!$B660,Кат!$G:$G,0)),INDEX(Торг!$I:$I,MATCH(Прайс!$B660,Торг!$H:$H,0))),"")</f>
        <v/>
      </c>
    </row>
    <row r="661" spans="1:8" x14ac:dyDescent="0.25">
      <c r="A661" s="99" t="s">
        <v>2808</v>
      </c>
      <c r="B661" s="108">
        <v>40361</v>
      </c>
      <c r="C661" s="108" t="s">
        <v>494</v>
      </c>
      <c r="D661" s="101" t="s">
        <v>160</v>
      </c>
      <c r="E661" s="102">
        <v>250</v>
      </c>
      <c r="F661" s="67" t="str">
        <f>IFERROR(IFERROR(INDEX(Кат!$A:$A,MATCH(Прайс!$B661,Кат!$G:$G,0)),INDEX(Торг!$B:$B,MATCH(Прайс!$B661,Торг!$H:$H,0))),"")</f>
        <v/>
      </c>
      <c r="G661" s="67" t="str">
        <f>IFERROR(IFERROR(INDEX(Кат!$B:$B,MATCH(Прайс!$B661,Кат!$G:$G,0)),INDEX(Торг!$C:$C,MATCH(Прайс!$B661,Торг!$H:$H,0))),"")</f>
        <v/>
      </c>
      <c r="H661" s="67" t="str">
        <f>IFERROR(IFERROR(INDEX(Кат!$I:$I,MATCH(Прайс!$B661,Кат!$G:$G,0)),INDEX(Торг!$I:$I,MATCH(Прайс!$B661,Торг!$H:$H,0))),"")</f>
        <v/>
      </c>
    </row>
    <row r="662" spans="1:8" x14ac:dyDescent="0.25">
      <c r="A662" s="99" t="s">
        <v>2809</v>
      </c>
      <c r="B662" s="108">
        <v>40254</v>
      </c>
      <c r="C662" s="108" t="s">
        <v>2079</v>
      </c>
      <c r="D662" s="101" t="s">
        <v>160</v>
      </c>
      <c r="E662" s="102">
        <v>350</v>
      </c>
      <c r="F662" s="67" t="str">
        <f>IFERROR(IFERROR(INDEX(Кат!$A:$A,MATCH(Прайс!$B662,Кат!$G:$G,0)),INDEX(Торг!$B:$B,MATCH(Прайс!$B662,Торг!$H:$H,0))),"")</f>
        <v/>
      </c>
      <c r="G662" s="67" t="str">
        <f>IFERROR(IFERROR(INDEX(Кат!$B:$B,MATCH(Прайс!$B662,Кат!$G:$G,0)),INDEX(Торг!$C:$C,MATCH(Прайс!$B662,Торг!$H:$H,0))),"")</f>
        <v/>
      </c>
      <c r="H662" s="67" t="str">
        <f>IFERROR(IFERROR(INDEX(Кат!$I:$I,MATCH(Прайс!$B662,Кат!$G:$G,0)),INDEX(Торг!$I:$I,MATCH(Прайс!$B662,Торг!$H:$H,0))),"")</f>
        <v/>
      </c>
    </row>
    <row r="663" spans="1:8" x14ac:dyDescent="0.25">
      <c r="A663" s="99" t="s">
        <v>2810</v>
      </c>
      <c r="B663" s="108">
        <v>40255</v>
      </c>
      <c r="C663" s="108" t="s">
        <v>495</v>
      </c>
      <c r="D663" s="101" t="s">
        <v>177</v>
      </c>
      <c r="E663" s="102">
        <v>155</v>
      </c>
      <c r="F663" s="67" t="str">
        <f>IFERROR(IFERROR(INDEX(Кат!$A:$A,MATCH(Прайс!$B663,Кат!$G:$G,0)),INDEX(Торг!$B:$B,MATCH(Прайс!$B663,Торг!$H:$H,0))),"")</f>
        <v/>
      </c>
      <c r="G663" s="67" t="str">
        <f>IFERROR(IFERROR(INDEX(Кат!$B:$B,MATCH(Прайс!$B663,Кат!$G:$G,0)),INDEX(Торг!$C:$C,MATCH(Прайс!$B663,Торг!$H:$H,0))),"")</f>
        <v/>
      </c>
      <c r="H663" s="67" t="str">
        <f>IFERROR(IFERROR(INDEX(Кат!$I:$I,MATCH(Прайс!$B663,Кат!$G:$G,0)),INDEX(Торг!$I:$I,MATCH(Прайс!$B663,Торг!$H:$H,0))),"")</f>
        <v/>
      </c>
    </row>
    <row r="664" spans="1:8" x14ac:dyDescent="0.25">
      <c r="A664" s="99" t="s">
        <v>2811</v>
      </c>
      <c r="B664" s="108">
        <v>40256</v>
      </c>
      <c r="C664" s="108" t="s">
        <v>496</v>
      </c>
      <c r="D664" s="101" t="s">
        <v>160</v>
      </c>
      <c r="E664" s="102">
        <v>190</v>
      </c>
      <c r="F664" s="67" t="str">
        <f>IFERROR(IFERROR(INDEX(Кат!$A:$A,MATCH(Прайс!$B664,Кат!$G:$G,0)),INDEX(Торг!$B:$B,MATCH(Прайс!$B664,Торг!$H:$H,0))),"")</f>
        <v/>
      </c>
      <c r="G664" s="67" t="str">
        <f>IFERROR(IFERROR(INDEX(Кат!$B:$B,MATCH(Прайс!$B664,Кат!$G:$G,0)),INDEX(Торг!$C:$C,MATCH(Прайс!$B664,Торг!$H:$H,0))),"")</f>
        <v/>
      </c>
      <c r="H664" s="67" t="str">
        <f>IFERROR(IFERROR(INDEX(Кат!$I:$I,MATCH(Прайс!$B664,Кат!$G:$G,0)),INDEX(Торг!$I:$I,MATCH(Прайс!$B664,Торг!$H:$H,0))),"")</f>
        <v/>
      </c>
    </row>
    <row r="665" spans="1:8" x14ac:dyDescent="0.25">
      <c r="A665" s="99" t="s">
        <v>2812</v>
      </c>
      <c r="B665" s="108">
        <v>40349</v>
      </c>
      <c r="C665" s="108" t="s">
        <v>497</v>
      </c>
      <c r="D665" s="101" t="s">
        <v>161</v>
      </c>
      <c r="E665" s="102">
        <v>165</v>
      </c>
      <c r="F665" s="67" t="str">
        <f>IFERROR(IFERROR(INDEX(Кат!$A:$A,MATCH(Прайс!$B665,Кат!$G:$G,0)),INDEX(Торг!$B:$B,MATCH(Прайс!$B665,Торг!$H:$H,0))),"")</f>
        <v/>
      </c>
      <c r="G665" s="67" t="str">
        <f>IFERROR(IFERROR(INDEX(Кат!$B:$B,MATCH(Прайс!$B665,Кат!$G:$G,0)),INDEX(Торг!$C:$C,MATCH(Прайс!$B665,Торг!$H:$H,0))),"")</f>
        <v/>
      </c>
      <c r="H665" s="67" t="str">
        <f>IFERROR(IFERROR(INDEX(Кат!$I:$I,MATCH(Прайс!$B665,Кат!$G:$G,0)),INDEX(Торг!$I:$I,MATCH(Прайс!$B665,Торг!$H:$H,0))),"")</f>
        <v/>
      </c>
    </row>
    <row r="666" spans="1:8" x14ac:dyDescent="0.25">
      <c r="A666" s="99" t="s">
        <v>2813</v>
      </c>
      <c r="B666" s="108">
        <v>40449</v>
      </c>
      <c r="C666" s="108" t="s">
        <v>498</v>
      </c>
      <c r="D666" s="101" t="s">
        <v>160</v>
      </c>
      <c r="E666" s="102">
        <v>130</v>
      </c>
      <c r="F666" s="67" t="str">
        <f>IFERROR(IFERROR(INDEX(Кат!$A:$A,MATCH(Прайс!$B666,Кат!$G:$G,0)),INDEX(Торг!$B:$B,MATCH(Прайс!$B666,Торг!$H:$H,0))),"")</f>
        <v/>
      </c>
      <c r="G666" s="67" t="str">
        <f>IFERROR(IFERROR(INDEX(Кат!$B:$B,MATCH(Прайс!$B666,Кат!$G:$G,0)),INDEX(Торг!$C:$C,MATCH(Прайс!$B666,Торг!$H:$H,0))),"")</f>
        <v/>
      </c>
      <c r="H666" s="67" t="str">
        <f>IFERROR(IFERROR(INDEX(Кат!$I:$I,MATCH(Прайс!$B666,Кат!$G:$G,0)),INDEX(Торг!$I:$I,MATCH(Прайс!$B666,Торг!$H:$H,0))),"")</f>
        <v/>
      </c>
    </row>
    <row r="667" spans="1:8" x14ac:dyDescent="0.25">
      <c r="A667" s="99" t="s">
        <v>5737</v>
      </c>
      <c r="B667" s="108">
        <v>40450</v>
      </c>
      <c r="C667" s="108" t="s">
        <v>5738</v>
      </c>
      <c r="D667" s="101" t="s">
        <v>160</v>
      </c>
      <c r="E667" s="102">
        <v>260</v>
      </c>
      <c r="F667" s="67" t="str">
        <f>IFERROR(IFERROR(INDEX(Кат!$A:$A,MATCH(Прайс!$B667,Кат!$G:$G,0)),INDEX(Торг!$B:$B,MATCH(Прайс!$B667,Торг!$H:$H,0))),"")</f>
        <v/>
      </c>
      <c r="G667" s="67" t="str">
        <f>IFERROR(IFERROR(INDEX(Кат!$B:$B,MATCH(Прайс!$B667,Кат!$G:$G,0)),INDEX(Торг!$C:$C,MATCH(Прайс!$B667,Торг!$H:$H,0))),"")</f>
        <v/>
      </c>
      <c r="H667" s="67" t="str">
        <f>IFERROR(IFERROR(INDEX(Кат!$I:$I,MATCH(Прайс!$B667,Кат!$G:$G,0)),INDEX(Торг!$I:$I,MATCH(Прайс!$B667,Торг!$H:$H,0))),"")</f>
        <v/>
      </c>
    </row>
    <row r="668" spans="1:8" x14ac:dyDescent="0.25">
      <c r="A668" s="94" t="s">
        <v>5030</v>
      </c>
      <c r="B668" s="98">
        <v>40259</v>
      </c>
      <c r="C668" s="98" t="s">
        <v>5031</v>
      </c>
      <c r="D668" s="96" t="s">
        <v>160</v>
      </c>
      <c r="E668" s="97">
        <v>180</v>
      </c>
      <c r="F668" s="67" t="str">
        <f>IFERROR(IFERROR(INDEX(Кат!$A:$A,MATCH(Прайс!$B668,Кат!$G:$G,0)),INDEX(Торг!$B:$B,MATCH(Прайс!$B668,Торг!$H:$H,0))),"")</f>
        <v/>
      </c>
      <c r="G668" s="67" t="str">
        <f>IFERROR(IFERROR(INDEX(Кат!$B:$B,MATCH(Прайс!$B668,Кат!$G:$G,0)),INDEX(Торг!$C:$C,MATCH(Прайс!$B668,Торг!$H:$H,0))),"")</f>
        <v/>
      </c>
      <c r="H668" s="67" t="str">
        <f>IFERROR(IFERROR(INDEX(Кат!$I:$I,MATCH(Прайс!$B668,Кат!$G:$G,0)),INDEX(Торг!$I:$I,MATCH(Прайс!$B668,Торг!$H:$H,0))),"")</f>
        <v/>
      </c>
    </row>
    <row r="669" spans="1:8" x14ac:dyDescent="0.25">
      <c r="A669" s="99" t="s">
        <v>5739</v>
      </c>
      <c r="B669" s="108">
        <v>40359</v>
      </c>
      <c r="C669" s="108" t="s">
        <v>7421</v>
      </c>
      <c r="D669" s="101" t="s">
        <v>433</v>
      </c>
      <c r="E669" s="102">
        <v>310</v>
      </c>
      <c r="F669" s="67" t="str">
        <f>IFERROR(IFERROR(INDEX(Кат!$A:$A,MATCH(Прайс!$B669,Кат!$G:$G,0)),INDEX(Торг!$B:$B,MATCH(Прайс!$B669,Торг!$H:$H,0))),"")</f>
        <v/>
      </c>
      <c r="G669" s="67" t="str">
        <f>IFERROR(IFERROR(INDEX(Кат!$B:$B,MATCH(Прайс!$B669,Кат!$G:$G,0)),INDEX(Торг!$C:$C,MATCH(Прайс!$B669,Торг!$H:$H,0))),"")</f>
        <v/>
      </c>
      <c r="H669" s="67" t="str">
        <f>IFERROR(IFERROR(INDEX(Кат!$I:$I,MATCH(Прайс!$B669,Кат!$G:$G,0)),INDEX(Торг!$I:$I,MATCH(Прайс!$B669,Торг!$H:$H,0))),"")</f>
        <v/>
      </c>
    </row>
    <row r="670" spans="1:8" x14ac:dyDescent="0.25">
      <c r="A670" s="99" t="s">
        <v>5032</v>
      </c>
      <c r="B670" s="108">
        <v>40485</v>
      </c>
      <c r="C670" s="108" t="s">
        <v>5405</v>
      </c>
      <c r="D670" s="101" t="s">
        <v>177</v>
      </c>
      <c r="E670" s="102">
        <v>165</v>
      </c>
      <c r="F670" s="67" t="str">
        <f>IFERROR(IFERROR(INDEX(Кат!$A:$A,MATCH(Прайс!$B670,Кат!$G:$G,0)),INDEX(Торг!$B:$B,MATCH(Прайс!$B670,Торг!$H:$H,0))),"")</f>
        <v/>
      </c>
      <c r="G670" s="67" t="str">
        <f>IFERROR(IFERROR(INDEX(Кат!$B:$B,MATCH(Прайс!$B670,Кат!$G:$G,0)),INDEX(Торг!$C:$C,MATCH(Прайс!$B670,Торг!$H:$H,0))),"")</f>
        <v/>
      </c>
      <c r="H670" s="67" t="str">
        <f>IFERROR(IFERROR(INDEX(Кат!$I:$I,MATCH(Прайс!$B670,Кат!$G:$G,0)),INDEX(Торг!$I:$I,MATCH(Прайс!$B670,Торг!$H:$H,0))),"")</f>
        <v/>
      </c>
    </row>
    <row r="671" spans="1:8" x14ac:dyDescent="0.25">
      <c r="A671" s="99" t="s">
        <v>2814</v>
      </c>
      <c r="B671" s="108">
        <v>40424</v>
      </c>
      <c r="C671" s="108" t="s">
        <v>5406</v>
      </c>
      <c r="D671" s="101" t="s">
        <v>177</v>
      </c>
      <c r="E671" s="102">
        <v>185</v>
      </c>
      <c r="F671" s="67" t="str">
        <f>IFERROR(IFERROR(INDEX(Кат!$A:$A,MATCH(Прайс!$B671,Кат!$G:$G,0)),INDEX(Торг!$B:$B,MATCH(Прайс!$B671,Торг!$H:$H,0))),"")</f>
        <v/>
      </c>
      <c r="G671" s="67" t="str">
        <f>IFERROR(IFERROR(INDEX(Кат!$B:$B,MATCH(Прайс!$B671,Кат!$G:$G,0)),INDEX(Торг!$C:$C,MATCH(Прайс!$B671,Торг!$H:$H,0))),"")</f>
        <v/>
      </c>
      <c r="H671" s="67" t="str">
        <f>IFERROR(IFERROR(INDEX(Кат!$I:$I,MATCH(Прайс!$B671,Кат!$G:$G,0)),INDEX(Торг!$I:$I,MATCH(Прайс!$B671,Торг!$H:$H,0))),"")</f>
        <v/>
      </c>
    </row>
    <row r="672" spans="1:8" x14ac:dyDescent="0.25">
      <c r="A672" s="99" t="s">
        <v>5740</v>
      </c>
      <c r="B672" s="108">
        <v>40487</v>
      </c>
      <c r="C672" s="108" t="s">
        <v>5741</v>
      </c>
      <c r="D672" s="101" t="s">
        <v>177</v>
      </c>
      <c r="E672" s="102">
        <v>275</v>
      </c>
      <c r="F672" s="67" t="str">
        <f>IFERROR(IFERROR(INDEX(Кат!$A:$A,MATCH(Прайс!$B672,Кат!$G:$G,0)),INDEX(Торг!$B:$B,MATCH(Прайс!$B672,Торг!$H:$H,0))),"")</f>
        <v/>
      </c>
      <c r="G672" s="67" t="str">
        <f>IFERROR(IFERROR(INDEX(Кат!$B:$B,MATCH(Прайс!$B672,Кат!$G:$G,0)),INDEX(Торг!$C:$C,MATCH(Прайс!$B672,Торг!$H:$H,0))),"")</f>
        <v/>
      </c>
      <c r="H672" s="67" t="str">
        <f>IFERROR(IFERROR(INDEX(Кат!$I:$I,MATCH(Прайс!$B672,Кат!$G:$G,0)),INDEX(Торг!$I:$I,MATCH(Прайс!$B672,Торг!$H:$H,0))),"")</f>
        <v/>
      </c>
    </row>
    <row r="673" spans="1:8" x14ac:dyDescent="0.25">
      <c r="A673" s="99" t="s">
        <v>2815</v>
      </c>
      <c r="B673" s="108">
        <v>40260</v>
      </c>
      <c r="C673" s="108" t="s">
        <v>499</v>
      </c>
      <c r="D673" s="101" t="s">
        <v>177</v>
      </c>
      <c r="E673" s="102">
        <v>175</v>
      </c>
      <c r="F673" s="67">
        <f>IFERROR(IFERROR(INDEX(Кат!$A:$A,MATCH(Прайс!$B673,Кат!$G:$G,0)),INDEX(Торг!$B:$B,MATCH(Прайс!$B673,Торг!$H:$H,0))),"")</f>
        <v>213987</v>
      </c>
      <c r="G673" s="67">
        <f>IFERROR(IFERROR(INDEX(Кат!$B:$B,MATCH(Прайс!$B673,Кат!$G:$G,0)),INDEX(Торг!$C:$C,MATCH(Прайс!$B673,Торг!$H:$H,0))),"")</f>
        <v>17702</v>
      </c>
      <c r="H673" s="67" t="str">
        <f>IFERROR(IFERROR(INDEX(Кат!$I:$I,MATCH(Прайс!$B673,Кат!$G:$G,0)),INDEX(Торг!$I:$I,MATCH(Прайс!$B673,Торг!$H:$H,0))),"")</f>
        <v>кристал авто</v>
      </c>
    </row>
    <row r="674" spans="1:8" x14ac:dyDescent="0.25">
      <c r="A674" s="99" t="s">
        <v>2816</v>
      </c>
      <c r="B674" s="108">
        <v>40261</v>
      </c>
      <c r="C674" s="108" t="s">
        <v>500</v>
      </c>
      <c r="D674" s="101" t="s">
        <v>160</v>
      </c>
      <c r="E674" s="102">
        <v>200</v>
      </c>
      <c r="F674" s="67" t="str">
        <f>IFERROR(IFERROR(INDEX(Кат!$A:$A,MATCH(Прайс!$B674,Кат!$G:$G,0)),INDEX(Торг!$B:$B,MATCH(Прайс!$B674,Торг!$H:$H,0))),"")</f>
        <v/>
      </c>
      <c r="G674" s="67" t="str">
        <f>IFERROR(IFERROR(INDEX(Кат!$B:$B,MATCH(Прайс!$B674,Кат!$G:$G,0)),INDEX(Торг!$C:$C,MATCH(Прайс!$B674,Торг!$H:$H,0))),"")</f>
        <v/>
      </c>
      <c r="H674" s="67" t="str">
        <f>IFERROR(IFERROR(INDEX(Кат!$I:$I,MATCH(Прайс!$B674,Кат!$G:$G,0)),INDEX(Торг!$I:$I,MATCH(Прайс!$B674,Торг!$H:$H,0))),"")</f>
        <v/>
      </c>
    </row>
    <row r="675" spans="1:8" x14ac:dyDescent="0.25">
      <c r="A675" s="99" t="s">
        <v>5742</v>
      </c>
      <c r="B675" s="108">
        <v>40497</v>
      </c>
      <c r="C675" s="108" t="s">
        <v>5743</v>
      </c>
      <c r="D675" s="101" t="s">
        <v>160</v>
      </c>
      <c r="E675" s="102">
        <v>275</v>
      </c>
      <c r="F675" s="67" t="str">
        <f>IFERROR(IFERROR(INDEX(Кат!$A:$A,MATCH(Прайс!$B675,Кат!$G:$G,0)),INDEX(Торг!$B:$B,MATCH(Прайс!$B675,Торг!$H:$H,0))),"")</f>
        <v/>
      </c>
      <c r="G675" s="67" t="str">
        <f>IFERROR(IFERROR(INDEX(Кат!$B:$B,MATCH(Прайс!$B675,Кат!$G:$G,0)),INDEX(Торг!$C:$C,MATCH(Прайс!$B675,Торг!$H:$H,0))),"")</f>
        <v/>
      </c>
      <c r="H675" s="67" t="str">
        <f>IFERROR(IFERROR(INDEX(Кат!$I:$I,MATCH(Прайс!$B675,Кат!$G:$G,0)),INDEX(Торг!$I:$I,MATCH(Прайс!$B675,Торг!$H:$H,0))),"")</f>
        <v/>
      </c>
    </row>
    <row r="676" spans="1:8" ht="15.75" x14ac:dyDescent="0.25">
      <c r="A676" s="90"/>
      <c r="B676" s="91"/>
      <c r="C676" s="92" t="s">
        <v>501</v>
      </c>
      <c r="D676" s="91"/>
      <c r="E676" s="93"/>
      <c r="F676" s="67" t="str">
        <f>IFERROR(IFERROR(INDEX(Кат!$A:$A,MATCH(Прайс!$B676,Кат!$G:$G,0)),INDEX(Торг!$B:$B,MATCH(Прайс!$B676,Торг!$H:$H,0))),"")</f>
        <v/>
      </c>
      <c r="G676" s="67" t="str">
        <f>IFERROR(IFERROR(INDEX(Кат!$B:$B,MATCH(Прайс!$B676,Кат!$G:$G,0)),INDEX(Торг!$C:$C,MATCH(Прайс!$B676,Торг!$H:$H,0))),"")</f>
        <v/>
      </c>
      <c r="H676" s="67" t="str">
        <f>IFERROR(IFERROR(INDEX(Кат!$I:$I,MATCH(Прайс!$B676,Кат!$G:$G,0)),INDEX(Торг!$I:$I,MATCH(Прайс!$B676,Торг!$H:$H,0))),"")</f>
        <v/>
      </c>
    </row>
    <row r="677" spans="1:8" x14ac:dyDescent="0.25">
      <c r="A677" s="99" t="s">
        <v>2817</v>
      </c>
      <c r="B677" s="108">
        <v>40021</v>
      </c>
      <c r="C677" s="108" t="s">
        <v>502</v>
      </c>
      <c r="D677" s="101" t="s">
        <v>160</v>
      </c>
      <c r="E677" s="102">
        <v>350</v>
      </c>
      <c r="F677" s="67" t="str">
        <f>IFERROR(IFERROR(INDEX(Кат!$A:$A,MATCH(Прайс!$B677,Кат!$G:$G,0)),INDEX(Торг!$B:$B,MATCH(Прайс!$B677,Торг!$H:$H,0))),"")</f>
        <v/>
      </c>
      <c r="G677" s="67" t="str">
        <f>IFERROR(IFERROR(INDEX(Кат!$B:$B,MATCH(Прайс!$B677,Кат!$G:$G,0)),INDEX(Торг!$C:$C,MATCH(Прайс!$B677,Торг!$H:$H,0))),"")</f>
        <v/>
      </c>
      <c r="H677" s="67" t="str">
        <f>IFERROR(IFERROR(INDEX(Кат!$I:$I,MATCH(Прайс!$B677,Кат!$G:$G,0)),INDEX(Торг!$I:$I,MATCH(Прайс!$B677,Торг!$H:$H,0))),"")</f>
        <v/>
      </c>
    </row>
    <row r="678" spans="1:8" x14ac:dyDescent="0.25">
      <c r="A678" s="99" t="s">
        <v>2818</v>
      </c>
      <c r="B678" s="108">
        <v>40022</v>
      </c>
      <c r="C678" s="108" t="s">
        <v>5744</v>
      </c>
      <c r="D678" s="101" t="s">
        <v>160</v>
      </c>
      <c r="E678" s="102">
        <v>285</v>
      </c>
      <c r="F678" s="67" t="str">
        <f>IFERROR(IFERROR(INDEX(Кат!$A:$A,MATCH(Прайс!$B678,Кат!$G:$G,0)),INDEX(Торг!$B:$B,MATCH(Прайс!$B678,Торг!$H:$H,0))),"")</f>
        <v/>
      </c>
      <c r="G678" s="67" t="str">
        <f>IFERROR(IFERROR(INDEX(Кат!$B:$B,MATCH(Прайс!$B678,Кат!$G:$G,0)),INDEX(Торг!$C:$C,MATCH(Прайс!$B678,Торг!$H:$H,0))),"")</f>
        <v/>
      </c>
      <c r="H678" s="67" t="str">
        <f>IFERROR(IFERROR(INDEX(Кат!$I:$I,MATCH(Прайс!$B678,Кат!$G:$G,0)),INDEX(Торг!$I:$I,MATCH(Прайс!$B678,Торг!$H:$H,0))),"")</f>
        <v/>
      </c>
    </row>
    <row r="679" spans="1:8" x14ac:dyDescent="0.25">
      <c r="A679" s="109" t="s">
        <v>8194</v>
      </c>
      <c r="B679" s="110">
        <v>40547</v>
      </c>
      <c r="C679" s="110" t="s">
        <v>8195</v>
      </c>
      <c r="D679" s="111" t="s">
        <v>433</v>
      </c>
      <c r="E679" s="112">
        <v>115</v>
      </c>
      <c r="F679" s="67" t="str">
        <f>IFERROR(IFERROR(INDEX(Кат!$A:$A,MATCH(Прайс!$B679,Кат!$G:$G,0)),INDEX(Торг!$B:$B,MATCH(Прайс!$B679,Торг!$H:$H,0))),"")</f>
        <v/>
      </c>
      <c r="G679" s="67" t="str">
        <f>IFERROR(IFERROR(INDEX(Кат!$B:$B,MATCH(Прайс!$B679,Кат!$G:$G,0)),INDEX(Торг!$C:$C,MATCH(Прайс!$B679,Торг!$H:$H,0))),"")</f>
        <v/>
      </c>
      <c r="H679" s="67" t="str">
        <f>IFERROR(IFERROR(INDEX(Кат!$I:$I,MATCH(Прайс!$B679,Кат!$G:$G,0)),INDEX(Торг!$I:$I,MATCH(Прайс!$B679,Торг!$H:$H,0))),"")</f>
        <v/>
      </c>
    </row>
    <row r="680" spans="1:8" x14ac:dyDescent="0.25">
      <c r="A680" s="99" t="s">
        <v>2819</v>
      </c>
      <c r="B680" s="108">
        <v>40023</v>
      </c>
      <c r="C680" s="108" t="s">
        <v>7422</v>
      </c>
      <c r="D680" s="101" t="s">
        <v>160</v>
      </c>
      <c r="E680" s="102">
        <v>160</v>
      </c>
      <c r="F680" s="67" t="str">
        <f>IFERROR(IFERROR(INDEX(Кат!$A:$A,MATCH(Прайс!$B680,Кат!$G:$G,0)),INDEX(Торг!$B:$B,MATCH(Прайс!$B680,Торг!$H:$H,0))),"")</f>
        <v/>
      </c>
      <c r="G680" s="67" t="str">
        <f>IFERROR(IFERROR(INDEX(Кат!$B:$B,MATCH(Прайс!$B680,Кат!$G:$G,0)),INDEX(Торг!$C:$C,MATCH(Прайс!$B680,Торг!$H:$H,0))),"")</f>
        <v/>
      </c>
      <c r="H680" s="67" t="str">
        <f>IFERROR(IFERROR(INDEX(Кат!$I:$I,MATCH(Прайс!$B680,Кат!$G:$G,0)),INDEX(Торг!$I:$I,MATCH(Прайс!$B680,Торг!$H:$H,0))),"")</f>
        <v/>
      </c>
    </row>
    <row r="681" spans="1:8" x14ac:dyDescent="0.25">
      <c r="A681" s="99" t="s">
        <v>5033</v>
      </c>
      <c r="B681" s="108">
        <v>40482</v>
      </c>
      <c r="C681" s="108" t="s">
        <v>5034</v>
      </c>
      <c r="D681" s="101" t="s">
        <v>337</v>
      </c>
      <c r="E681" s="102">
        <v>100</v>
      </c>
      <c r="F681" s="67" t="str">
        <f>IFERROR(IFERROR(INDEX(Кат!$A:$A,MATCH(Прайс!$B681,Кат!$G:$G,0)),INDEX(Торг!$B:$B,MATCH(Прайс!$B681,Торг!$H:$H,0))),"")</f>
        <v/>
      </c>
      <c r="G681" s="67" t="str">
        <f>IFERROR(IFERROR(INDEX(Кат!$B:$B,MATCH(Прайс!$B681,Кат!$G:$G,0)),INDEX(Торг!$C:$C,MATCH(Прайс!$B681,Торг!$H:$H,0))),"")</f>
        <v/>
      </c>
      <c r="H681" s="67" t="str">
        <f>IFERROR(IFERROR(INDEX(Кат!$I:$I,MATCH(Прайс!$B681,Кат!$G:$G,0)),INDEX(Торг!$I:$I,MATCH(Прайс!$B681,Торг!$H:$H,0))),"")</f>
        <v/>
      </c>
    </row>
    <row r="682" spans="1:8" x14ac:dyDescent="0.25">
      <c r="A682" s="99" t="s">
        <v>2820</v>
      </c>
      <c r="B682" s="108">
        <v>40025</v>
      </c>
      <c r="C682" s="108" t="s">
        <v>503</v>
      </c>
      <c r="D682" s="101" t="s">
        <v>161</v>
      </c>
      <c r="E682" s="102">
        <v>110</v>
      </c>
      <c r="F682" s="67" t="str">
        <f>IFERROR(IFERROR(INDEX(Кат!$A:$A,MATCH(Прайс!$B682,Кат!$G:$G,0)),INDEX(Торг!$B:$B,MATCH(Прайс!$B682,Торг!$H:$H,0))),"")</f>
        <v/>
      </c>
      <c r="G682" s="67" t="str">
        <f>IFERROR(IFERROR(INDEX(Кат!$B:$B,MATCH(Прайс!$B682,Кат!$G:$G,0)),INDEX(Торг!$C:$C,MATCH(Прайс!$B682,Торг!$H:$H,0))),"")</f>
        <v/>
      </c>
      <c r="H682" s="67" t="str">
        <f>IFERROR(IFERROR(INDEX(Кат!$I:$I,MATCH(Прайс!$B682,Кат!$G:$G,0)),INDEX(Торг!$I:$I,MATCH(Прайс!$B682,Торг!$H:$H,0))),"")</f>
        <v/>
      </c>
    </row>
    <row r="683" spans="1:8" x14ac:dyDescent="0.25">
      <c r="A683" s="99" t="s">
        <v>7423</v>
      </c>
      <c r="B683" s="108">
        <v>40537</v>
      </c>
      <c r="C683" s="108" t="s">
        <v>7424</v>
      </c>
      <c r="D683" s="101" t="s">
        <v>160</v>
      </c>
      <c r="E683" s="102">
        <v>330</v>
      </c>
      <c r="F683" s="67" t="str">
        <f>IFERROR(IFERROR(INDEX(Кат!$A:$A,MATCH(Прайс!$B683,Кат!$G:$G,0)),INDEX(Торг!$B:$B,MATCH(Прайс!$B683,Торг!$H:$H,0))),"")</f>
        <v/>
      </c>
      <c r="G683" s="67" t="str">
        <f>IFERROR(IFERROR(INDEX(Кат!$B:$B,MATCH(Прайс!$B683,Кат!$G:$G,0)),INDEX(Торг!$C:$C,MATCH(Прайс!$B683,Торг!$H:$H,0))),"")</f>
        <v/>
      </c>
      <c r="H683" s="67" t="str">
        <f>IFERROR(IFERROR(INDEX(Кат!$I:$I,MATCH(Прайс!$B683,Кат!$G:$G,0)),INDEX(Торг!$I:$I,MATCH(Прайс!$B683,Торг!$H:$H,0))),"")</f>
        <v/>
      </c>
    </row>
    <row r="684" spans="1:8" x14ac:dyDescent="0.25">
      <c r="A684" s="99" t="s">
        <v>6197</v>
      </c>
      <c r="B684" s="108">
        <v>40469</v>
      </c>
      <c r="C684" s="108" t="s">
        <v>6198</v>
      </c>
      <c r="D684" s="101" t="s">
        <v>177</v>
      </c>
      <c r="E684" s="102">
        <v>185</v>
      </c>
      <c r="F684" s="67" t="str">
        <f>IFERROR(IFERROR(INDEX(Кат!$A:$A,MATCH(Прайс!$B684,Кат!$G:$G,0)),INDEX(Торг!$B:$B,MATCH(Прайс!$B684,Торг!$H:$H,0))),"")</f>
        <v/>
      </c>
      <c r="G684" s="67" t="str">
        <f>IFERROR(IFERROR(INDEX(Кат!$B:$B,MATCH(Прайс!$B684,Кат!$G:$G,0)),INDEX(Торг!$C:$C,MATCH(Прайс!$B684,Торг!$H:$H,0))),"")</f>
        <v/>
      </c>
      <c r="H684" s="67" t="str">
        <f>IFERROR(IFERROR(INDEX(Кат!$I:$I,MATCH(Прайс!$B684,Кат!$G:$G,0)),INDEX(Торг!$I:$I,MATCH(Прайс!$B684,Торг!$H:$H,0))),"")</f>
        <v/>
      </c>
    </row>
    <row r="685" spans="1:8" x14ac:dyDescent="0.25">
      <c r="A685" s="99" t="s">
        <v>2821</v>
      </c>
      <c r="B685" s="108">
        <v>40428</v>
      </c>
      <c r="C685" s="108" t="s">
        <v>504</v>
      </c>
      <c r="D685" s="101" t="s">
        <v>160</v>
      </c>
      <c r="E685" s="102">
        <v>260</v>
      </c>
      <c r="F685" s="67" t="str">
        <f>IFERROR(IFERROR(INDEX(Кат!$A:$A,MATCH(Прайс!$B685,Кат!$G:$G,0)),INDEX(Торг!$B:$B,MATCH(Прайс!$B685,Торг!$H:$H,0))),"")</f>
        <v/>
      </c>
      <c r="G685" s="67" t="str">
        <f>IFERROR(IFERROR(INDEX(Кат!$B:$B,MATCH(Прайс!$B685,Кат!$G:$G,0)),INDEX(Торг!$C:$C,MATCH(Прайс!$B685,Торг!$H:$H,0))),"")</f>
        <v/>
      </c>
      <c r="H685" s="67" t="str">
        <f>IFERROR(IFERROR(INDEX(Кат!$I:$I,MATCH(Прайс!$B685,Кат!$G:$G,0)),INDEX(Торг!$I:$I,MATCH(Прайс!$B685,Торг!$H:$H,0))),"")</f>
        <v/>
      </c>
    </row>
    <row r="686" spans="1:8" x14ac:dyDescent="0.25">
      <c r="A686" s="99" t="s">
        <v>5407</v>
      </c>
      <c r="B686" s="108">
        <v>40030</v>
      </c>
      <c r="C686" s="108" t="s">
        <v>5408</v>
      </c>
      <c r="D686" s="101" t="s">
        <v>160</v>
      </c>
      <c r="E686" s="102">
        <v>310</v>
      </c>
      <c r="F686" s="67" t="str">
        <f>IFERROR(IFERROR(INDEX(Кат!$A:$A,MATCH(Прайс!$B686,Кат!$G:$G,0)),INDEX(Торг!$B:$B,MATCH(Прайс!$B686,Торг!$H:$H,0))),"")</f>
        <v/>
      </c>
      <c r="G686" s="67" t="str">
        <f>IFERROR(IFERROR(INDEX(Кат!$B:$B,MATCH(Прайс!$B686,Кат!$G:$G,0)),INDEX(Торг!$C:$C,MATCH(Прайс!$B686,Торг!$H:$H,0))),"")</f>
        <v/>
      </c>
      <c r="H686" s="67" t="str">
        <f>IFERROR(IFERROR(INDEX(Кат!$I:$I,MATCH(Прайс!$B686,Кат!$G:$G,0)),INDEX(Торг!$I:$I,MATCH(Прайс!$B686,Торг!$H:$H,0))),"")</f>
        <v/>
      </c>
    </row>
    <row r="687" spans="1:8" x14ac:dyDescent="0.25">
      <c r="A687" s="99" t="s">
        <v>6623</v>
      </c>
      <c r="B687" s="108">
        <v>40374</v>
      </c>
      <c r="C687" s="108" t="s">
        <v>6624</v>
      </c>
      <c r="D687" s="101" t="s">
        <v>160</v>
      </c>
      <c r="E687" s="102">
        <v>260</v>
      </c>
      <c r="F687" s="67" t="str">
        <f>IFERROR(IFERROR(INDEX(Кат!$A:$A,MATCH(Прайс!$B687,Кат!$G:$G,0)),INDEX(Торг!$B:$B,MATCH(Прайс!$B687,Торг!$H:$H,0))),"")</f>
        <v/>
      </c>
      <c r="G687" s="67" t="str">
        <f>IFERROR(IFERROR(INDEX(Кат!$B:$B,MATCH(Прайс!$B687,Кат!$G:$G,0)),INDEX(Торг!$C:$C,MATCH(Прайс!$B687,Торг!$H:$H,0))),"")</f>
        <v/>
      </c>
      <c r="H687" s="67" t="str">
        <f>IFERROR(IFERROR(INDEX(Кат!$I:$I,MATCH(Прайс!$B687,Кат!$G:$G,0)),INDEX(Торг!$I:$I,MATCH(Прайс!$B687,Торг!$H:$H,0))),"")</f>
        <v/>
      </c>
    </row>
    <row r="688" spans="1:8" x14ac:dyDescent="0.25">
      <c r="A688" s="99" t="s">
        <v>5745</v>
      </c>
      <c r="B688" s="108">
        <v>40504</v>
      </c>
      <c r="C688" s="108" t="s">
        <v>6625</v>
      </c>
      <c r="D688" s="101" t="s">
        <v>160</v>
      </c>
      <c r="E688" s="102">
        <v>400</v>
      </c>
      <c r="F688" s="67" t="str">
        <f>IFERROR(IFERROR(INDEX(Кат!$A:$A,MATCH(Прайс!$B688,Кат!$G:$G,0)),INDEX(Торг!$B:$B,MATCH(Прайс!$B688,Торг!$H:$H,0))),"")</f>
        <v/>
      </c>
      <c r="G688" s="67" t="str">
        <f>IFERROR(IFERROR(INDEX(Кат!$B:$B,MATCH(Прайс!$B688,Кат!$G:$G,0)),INDEX(Торг!$C:$C,MATCH(Прайс!$B688,Торг!$H:$H,0))),"")</f>
        <v/>
      </c>
      <c r="H688" s="67" t="str">
        <f>IFERROR(IFERROR(INDEX(Кат!$I:$I,MATCH(Прайс!$B688,Кат!$G:$G,0)),INDEX(Торг!$I:$I,MATCH(Прайс!$B688,Торг!$H:$H,0))),"")</f>
        <v/>
      </c>
    </row>
    <row r="689" spans="1:8" x14ac:dyDescent="0.25">
      <c r="A689" s="99" t="s">
        <v>5746</v>
      </c>
      <c r="B689" s="108">
        <v>40505</v>
      </c>
      <c r="C689" s="108" t="s">
        <v>5747</v>
      </c>
      <c r="D689" s="101" t="s">
        <v>160</v>
      </c>
      <c r="E689" s="102">
        <v>410</v>
      </c>
      <c r="F689" s="67" t="str">
        <f>IFERROR(IFERROR(INDEX(Кат!$A:$A,MATCH(Прайс!$B689,Кат!$G:$G,0)),INDEX(Торг!$B:$B,MATCH(Прайс!$B689,Торг!$H:$H,0))),"")</f>
        <v/>
      </c>
      <c r="G689" s="67" t="str">
        <f>IFERROR(IFERROR(INDEX(Кат!$B:$B,MATCH(Прайс!$B689,Кат!$G:$G,0)),INDEX(Торг!$C:$C,MATCH(Прайс!$B689,Торг!$H:$H,0))),"")</f>
        <v/>
      </c>
      <c r="H689" s="67" t="str">
        <f>IFERROR(IFERROR(INDEX(Кат!$I:$I,MATCH(Прайс!$B689,Кат!$G:$G,0)),INDEX(Торг!$I:$I,MATCH(Прайс!$B689,Торг!$H:$H,0))),"")</f>
        <v/>
      </c>
    </row>
    <row r="690" spans="1:8" x14ac:dyDescent="0.25">
      <c r="A690" s="99" t="s">
        <v>2822</v>
      </c>
      <c r="B690" s="108">
        <v>40054</v>
      </c>
      <c r="C690" s="108" t="s">
        <v>7425</v>
      </c>
      <c r="D690" s="101" t="s">
        <v>160</v>
      </c>
      <c r="E690" s="102">
        <v>350</v>
      </c>
      <c r="F690" s="67" t="str">
        <f>IFERROR(IFERROR(INDEX(Кат!$A:$A,MATCH(Прайс!$B690,Кат!$G:$G,0)),INDEX(Торг!$B:$B,MATCH(Прайс!$B690,Торг!$H:$H,0))),"")</f>
        <v/>
      </c>
      <c r="G690" s="67" t="str">
        <f>IFERROR(IFERROR(INDEX(Кат!$B:$B,MATCH(Прайс!$B690,Кат!$G:$G,0)),INDEX(Торг!$C:$C,MATCH(Прайс!$B690,Торг!$H:$H,0))),"")</f>
        <v/>
      </c>
      <c r="H690" s="67" t="str">
        <f>IFERROR(IFERROR(INDEX(Кат!$I:$I,MATCH(Прайс!$B690,Кат!$G:$G,0)),INDEX(Торг!$I:$I,MATCH(Прайс!$B690,Торг!$H:$H,0))),"")</f>
        <v/>
      </c>
    </row>
    <row r="691" spans="1:8" x14ac:dyDescent="0.25">
      <c r="A691" s="99" t="s">
        <v>2823</v>
      </c>
      <c r="B691" s="108">
        <v>40055</v>
      </c>
      <c r="C691" s="108" t="s">
        <v>505</v>
      </c>
      <c r="D691" s="101" t="s">
        <v>160</v>
      </c>
      <c r="E691" s="102">
        <v>160</v>
      </c>
      <c r="F691" s="67" t="str">
        <f>IFERROR(IFERROR(INDEX(Кат!$A:$A,MATCH(Прайс!$B691,Кат!$G:$G,0)),INDEX(Торг!$B:$B,MATCH(Прайс!$B691,Торг!$H:$H,0))),"")</f>
        <v/>
      </c>
      <c r="G691" s="67" t="str">
        <f>IFERROR(IFERROR(INDEX(Кат!$B:$B,MATCH(Прайс!$B691,Кат!$G:$G,0)),INDEX(Торг!$C:$C,MATCH(Прайс!$B691,Торг!$H:$H,0))),"")</f>
        <v/>
      </c>
      <c r="H691" s="67" t="str">
        <f>IFERROR(IFERROR(INDEX(Кат!$I:$I,MATCH(Прайс!$B691,Кат!$G:$G,0)),INDEX(Торг!$I:$I,MATCH(Прайс!$B691,Торг!$H:$H,0))),"")</f>
        <v/>
      </c>
    </row>
    <row r="692" spans="1:8" x14ac:dyDescent="0.25">
      <c r="A692" s="99" t="s">
        <v>2824</v>
      </c>
      <c r="B692" s="108">
        <v>40056</v>
      </c>
      <c r="C692" s="108" t="s">
        <v>506</v>
      </c>
      <c r="D692" s="101" t="s">
        <v>160</v>
      </c>
      <c r="E692" s="102">
        <v>170</v>
      </c>
      <c r="F692" s="67" t="str">
        <f>IFERROR(IFERROR(INDEX(Кат!$A:$A,MATCH(Прайс!$B692,Кат!$G:$G,0)),INDEX(Торг!$B:$B,MATCH(Прайс!$B692,Торг!$H:$H,0))),"")</f>
        <v/>
      </c>
      <c r="G692" s="67" t="str">
        <f>IFERROR(IFERROR(INDEX(Кат!$B:$B,MATCH(Прайс!$B692,Кат!$G:$G,0)),INDEX(Торг!$C:$C,MATCH(Прайс!$B692,Торг!$H:$H,0))),"")</f>
        <v/>
      </c>
      <c r="H692" s="67" t="str">
        <f>IFERROR(IFERROR(INDEX(Кат!$I:$I,MATCH(Прайс!$B692,Кат!$G:$G,0)),INDEX(Торг!$I:$I,MATCH(Прайс!$B692,Торг!$H:$H,0))),"")</f>
        <v/>
      </c>
    </row>
    <row r="693" spans="1:8" x14ac:dyDescent="0.25">
      <c r="A693" s="99" t="s">
        <v>2825</v>
      </c>
      <c r="B693" s="108">
        <v>40082</v>
      </c>
      <c r="C693" s="108" t="s">
        <v>507</v>
      </c>
      <c r="D693" s="101" t="s">
        <v>160</v>
      </c>
      <c r="E693" s="102">
        <v>235</v>
      </c>
      <c r="F693" s="67" t="str">
        <f>IFERROR(IFERROR(INDEX(Кат!$A:$A,MATCH(Прайс!$B693,Кат!$G:$G,0)),INDEX(Торг!$B:$B,MATCH(Прайс!$B693,Торг!$H:$H,0))),"")</f>
        <v/>
      </c>
      <c r="G693" s="67" t="str">
        <f>IFERROR(IFERROR(INDEX(Кат!$B:$B,MATCH(Прайс!$B693,Кат!$G:$G,0)),INDEX(Торг!$C:$C,MATCH(Прайс!$B693,Торг!$H:$H,0))),"")</f>
        <v/>
      </c>
      <c r="H693" s="67" t="str">
        <f>IFERROR(IFERROR(INDEX(Кат!$I:$I,MATCH(Прайс!$B693,Кат!$G:$G,0)),INDEX(Торг!$I:$I,MATCH(Прайс!$B693,Торг!$H:$H,0))),"")</f>
        <v/>
      </c>
    </row>
    <row r="694" spans="1:8" x14ac:dyDescent="0.25">
      <c r="A694" s="99" t="s">
        <v>2826</v>
      </c>
      <c r="B694" s="108">
        <v>40083</v>
      </c>
      <c r="C694" s="108" t="s">
        <v>508</v>
      </c>
      <c r="D694" s="101" t="s">
        <v>160</v>
      </c>
      <c r="E694" s="102">
        <v>225</v>
      </c>
      <c r="F694" s="67" t="str">
        <f>IFERROR(IFERROR(INDEX(Кат!$A:$A,MATCH(Прайс!$B694,Кат!$G:$G,0)),INDEX(Торг!$B:$B,MATCH(Прайс!$B694,Торг!$H:$H,0))),"")</f>
        <v/>
      </c>
      <c r="G694" s="67" t="str">
        <f>IFERROR(IFERROR(INDEX(Кат!$B:$B,MATCH(Прайс!$B694,Кат!$G:$G,0)),INDEX(Торг!$C:$C,MATCH(Прайс!$B694,Торг!$H:$H,0))),"")</f>
        <v/>
      </c>
      <c r="H694" s="67" t="str">
        <f>IFERROR(IFERROR(INDEX(Кат!$I:$I,MATCH(Прайс!$B694,Кат!$G:$G,0)),INDEX(Торг!$I:$I,MATCH(Прайс!$B694,Торг!$H:$H,0))),"")</f>
        <v/>
      </c>
    </row>
    <row r="695" spans="1:8" x14ac:dyDescent="0.25">
      <c r="A695" s="99" t="s">
        <v>2827</v>
      </c>
      <c r="B695" s="108">
        <v>40235</v>
      </c>
      <c r="C695" s="108" t="s">
        <v>509</v>
      </c>
      <c r="D695" s="101" t="s">
        <v>160</v>
      </c>
      <c r="E695" s="102">
        <v>120</v>
      </c>
      <c r="F695" s="67" t="str">
        <f>IFERROR(IFERROR(INDEX(Кат!$A:$A,MATCH(Прайс!$B695,Кат!$G:$G,0)),INDEX(Торг!$B:$B,MATCH(Прайс!$B695,Торг!$H:$H,0))),"")</f>
        <v/>
      </c>
      <c r="G695" s="67" t="str">
        <f>IFERROR(IFERROR(INDEX(Кат!$B:$B,MATCH(Прайс!$B695,Кат!$G:$G,0)),INDEX(Торг!$C:$C,MATCH(Прайс!$B695,Торг!$H:$H,0))),"")</f>
        <v/>
      </c>
      <c r="H695" s="67" t="str">
        <f>IFERROR(IFERROR(INDEX(Кат!$I:$I,MATCH(Прайс!$B695,Кат!$G:$G,0)),INDEX(Торг!$I:$I,MATCH(Прайс!$B695,Торг!$H:$H,0))),"")</f>
        <v/>
      </c>
    </row>
    <row r="696" spans="1:8" x14ac:dyDescent="0.25">
      <c r="A696" s="99" t="s">
        <v>2828</v>
      </c>
      <c r="B696" s="108">
        <v>40327</v>
      </c>
      <c r="C696" s="108" t="s">
        <v>510</v>
      </c>
      <c r="D696" s="101" t="s">
        <v>160</v>
      </c>
      <c r="E696" s="102">
        <v>110</v>
      </c>
      <c r="F696" s="67" t="str">
        <f>IFERROR(IFERROR(INDEX(Кат!$A:$A,MATCH(Прайс!$B696,Кат!$G:$G,0)),INDEX(Торг!$B:$B,MATCH(Прайс!$B696,Торг!$H:$H,0))),"")</f>
        <v/>
      </c>
      <c r="G696" s="67" t="str">
        <f>IFERROR(IFERROR(INDEX(Кат!$B:$B,MATCH(Прайс!$B696,Кат!$G:$G,0)),INDEX(Торг!$C:$C,MATCH(Прайс!$B696,Торг!$H:$H,0))),"")</f>
        <v/>
      </c>
      <c r="H696" s="67" t="str">
        <f>IFERROR(IFERROR(INDEX(Кат!$I:$I,MATCH(Прайс!$B696,Кат!$G:$G,0)),INDEX(Торг!$I:$I,MATCH(Прайс!$B696,Торг!$H:$H,0))),"")</f>
        <v/>
      </c>
    </row>
    <row r="697" spans="1:8" x14ac:dyDescent="0.25">
      <c r="A697" s="94" t="s">
        <v>6199</v>
      </c>
      <c r="B697" s="98">
        <v>40503</v>
      </c>
      <c r="C697" s="98" t="s">
        <v>6200</v>
      </c>
      <c r="D697" s="96" t="s">
        <v>160</v>
      </c>
      <c r="E697" s="97">
        <v>230</v>
      </c>
      <c r="F697" s="67" t="str">
        <f>IFERROR(IFERROR(INDEX(Кат!$A:$A,MATCH(Прайс!$B697,Кат!$G:$G,0)),INDEX(Торг!$B:$B,MATCH(Прайс!$B697,Торг!$H:$H,0))),"")</f>
        <v/>
      </c>
      <c r="G697" s="67" t="str">
        <f>IFERROR(IFERROR(INDEX(Кат!$B:$B,MATCH(Прайс!$B697,Кат!$G:$G,0)),INDEX(Торг!$C:$C,MATCH(Прайс!$B697,Торг!$H:$H,0))),"")</f>
        <v/>
      </c>
      <c r="H697" s="67" t="str">
        <f>IFERROR(IFERROR(INDEX(Кат!$I:$I,MATCH(Прайс!$B697,Кат!$G:$G,0)),INDEX(Торг!$I:$I,MATCH(Прайс!$B697,Торг!$H:$H,0))),"")</f>
        <v/>
      </c>
    </row>
    <row r="698" spans="1:8" x14ac:dyDescent="0.25">
      <c r="A698" s="99" t="s">
        <v>2829</v>
      </c>
      <c r="B698" s="108">
        <v>40328</v>
      </c>
      <c r="C698" s="108" t="s">
        <v>511</v>
      </c>
      <c r="D698" s="101" t="s">
        <v>160</v>
      </c>
      <c r="E698" s="102">
        <v>120</v>
      </c>
      <c r="F698" s="67" t="str">
        <f>IFERROR(IFERROR(INDEX(Кат!$A:$A,MATCH(Прайс!$B698,Кат!$G:$G,0)),INDEX(Торг!$B:$B,MATCH(Прайс!$B698,Торг!$H:$H,0))),"")</f>
        <v/>
      </c>
      <c r="G698" s="67" t="str">
        <f>IFERROR(IFERROR(INDEX(Кат!$B:$B,MATCH(Прайс!$B698,Кат!$G:$G,0)),INDEX(Торг!$C:$C,MATCH(Прайс!$B698,Торг!$H:$H,0))),"")</f>
        <v/>
      </c>
      <c r="H698" s="67" t="str">
        <f>IFERROR(IFERROR(INDEX(Кат!$I:$I,MATCH(Прайс!$B698,Кат!$G:$G,0)),INDEX(Торг!$I:$I,MATCH(Прайс!$B698,Торг!$H:$H,0))),"")</f>
        <v/>
      </c>
    </row>
    <row r="699" spans="1:8" x14ac:dyDescent="0.25">
      <c r="A699" s="94" t="s">
        <v>2830</v>
      </c>
      <c r="B699" s="98">
        <v>40275</v>
      </c>
      <c r="C699" s="98" t="s">
        <v>512</v>
      </c>
      <c r="D699" s="96" t="s">
        <v>337</v>
      </c>
      <c r="E699" s="97">
        <v>170</v>
      </c>
      <c r="F699" s="67" t="str">
        <f>IFERROR(IFERROR(INDEX(Кат!$A:$A,MATCH(Прайс!$B699,Кат!$G:$G,0)),INDEX(Торг!$B:$B,MATCH(Прайс!$B699,Торг!$H:$H,0))),"")</f>
        <v/>
      </c>
      <c r="G699" s="67" t="str">
        <f>IFERROR(IFERROR(INDEX(Кат!$B:$B,MATCH(Прайс!$B699,Кат!$G:$G,0)),INDEX(Торг!$C:$C,MATCH(Прайс!$B699,Торг!$H:$H,0))),"")</f>
        <v/>
      </c>
      <c r="H699" s="67" t="str">
        <f>IFERROR(IFERROR(INDEX(Кат!$I:$I,MATCH(Прайс!$B699,Кат!$G:$G,0)),INDEX(Торг!$I:$I,MATCH(Прайс!$B699,Торг!$H:$H,0))),"")</f>
        <v/>
      </c>
    </row>
    <row r="700" spans="1:8" x14ac:dyDescent="0.25">
      <c r="A700" s="94" t="s">
        <v>2831</v>
      </c>
      <c r="B700" s="98">
        <v>40276</v>
      </c>
      <c r="C700" s="98" t="s">
        <v>513</v>
      </c>
      <c r="D700" s="96" t="s">
        <v>160</v>
      </c>
      <c r="E700" s="97">
        <v>230</v>
      </c>
      <c r="F700" s="67" t="str">
        <f>IFERROR(IFERROR(INDEX(Кат!$A:$A,MATCH(Прайс!$B700,Кат!$G:$G,0)),INDEX(Торг!$B:$B,MATCH(Прайс!$B700,Торг!$H:$H,0))),"")</f>
        <v/>
      </c>
      <c r="G700" s="67" t="str">
        <f>IFERROR(IFERROR(INDEX(Кат!$B:$B,MATCH(Прайс!$B700,Кат!$G:$G,0)),INDEX(Торг!$C:$C,MATCH(Прайс!$B700,Торг!$H:$H,0))),"")</f>
        <v/>
      </c>
      <c r="H700" s="67" t="str">
        <f>IFERROR(IFERROR(INDEX(Кат!$I:$I,MATCH(Прайс!$B700,Кат!$G:$G,0)),INDEX(Торг!$I:$I,MATCH(Прайс!$B700,Торг!$H:$H,0))),"")</f>
        <v/>
      </c>
    </row>
    <row r="701" spans="1:8" x14ac:dyDescent="0.25">
      <c r="A701" s="99" t="s">
        <v>7426</v>
      </c>
      <c r="B701" s="108">
        <v>40538</v>
      </c>
      <c r="C701" s="108" t="s">
        <v>7427</v>
      </c>
      <c r="D701" s="101" t="s">
        <v>160</v>
      </c>
      <c r="E701" s="102">
        <v>190</v>
      </c>
      <c r="F701" s="67" t="str">
        <f>IFERROR(IFERROR(INDEX(Кат!$A:$A,MATCH(Прайс!$B701,Кат!$G:$G,0)),INDEX(Торг!$B:$B,MATCH(Прайс!$B701,Торг!$H:$H,0))),"")</f>
        <v/>
      </c>
      <c r="G701" s="67" t="str">
        <f>IFERROR(IFERROR(INDEX(Кат!$B:$B,MATCH(Прайс!$B701,Кат!$G:$G,0)),INDEX(Торг!$C:$C,MATCH(Прайс!$B701,Торг!$H:$H,0))),"")</f>
        <v/>
      </c>
      <c r="H701" s="67" t="str">
        <f>IFERROR(IFERROR(INDEX(Кат!$I:$I,MATCH(Прайс!$B701,Кат!$G:$G,0)),INDEX(Торг!$I:$I,MATCH(Прайс!$B701,Торг!$H:$H,0))),"")</f>
        <v/>
      </c>
    </row>
    <row r="702" spans="1:8" x14ac:dyDescent="0.25">
      <c r="A702" s="94" t="s">
        <v>6626</v>
      </c>
      <c r="B702" s="98">
        <v>40531</v>
      </c>
      <c r="C702" s="98" t="s">
        <v>6627</v>
      </c>
      <c r="D702" s="96" t="s">
        <v>160</v>
      </c>
      <c r="E702" s="97">
        <v>155</v>
      </c>
      <c r="F702" s="67" t="str">
        <f>IFERROR(IFERROR(INDEX(Кат!$A:$A,MATCH(Прайс!$B702,Кат!$G:$G,0)),INDEX(Торг!$B:$B,MATCH(Прайс!$B702,Торг!$H:$H,0))),"")</f>
        <v/>
      </c>
      <c r="G702" s="67" t="str">
        <f>IFERROR(IFERROR(INDEX(Кат!$B:$B,MATCH(Прайс!$B702,Кат!$G:$G,0)),INDEX(Торг!$C:$C,MATCH(Прайс!$B702,Торг!$H:$H,0))),"")</f>
        <v/>
      </c>
      <c r="H702" s="67" t="str">
        <f>IFERROR(IFERROR(INDEX(Кат!$I:$I,MATCH(Прайс!$B702,Кат!$G:$G,0)),INDEX(Торг!$I:$I,MATCH(Прайс!$B702,Торг!$H:$H,0))),"")</f>
        <v/>
      </c>
    </row>
    <row r="703" spans="1:8" x14ac:dyDescent="0.25">
      <c r="A703" s="94" t="s">
        <v>6628</v>
      </c>
      <c r="B703" s="98">
        <v>40530</v>
      </c>
      <c r="C703" s="98" t="s">
        <v>6629</v>
      </c>
      <c r="D703" s="96" t="s">
        <v>480</v>
      </c>
      <c r="E703" s="97">
        <v>70</v>
      </c>
      <c r="F703" s="67" t="str">
        <f>IFERROR(IFERROR(INDEX(Кат!$A:$A,MATCH(Прайс!$B703,Кат!$G:$G,0)),INDEX(Торг!$B:$B,MATCH(Прайс!$B703,Торг!$H:$H,0))),"")</f>
        <v/>
      </c>
      <c r="G703" s="67" t="str">
        <f>IFERROR(IFERROR(INDEX(Кат!$B:$B,MATCH(Прайс!$B703,Кат!$G:$G,0)),INDEX(Торг!$C:$C,MATCH(Прайс!$B703,Торг!$H:$H,0))),"")</f>
        <v/>
      </c>
      <c r="H703" s="67" t="str">
        <f>IFERROR(IFERROR(INDEX(Кат!$I:$I,MATCH(Прайс!$B703,Кат!$G:$G,0)),INDEX(Торг!$I:$I,MATCH(Прайс!$B703,Торг!$H:$H,0))),"")</f>
        <v/>
      </c>
    </row>
    <row r="704" spans="1:8" ht="15.75" x14ac:dyDescent="0.25">
      <c r="A704" s="90"/>
      <c r="B704" s="91"/>
      <c r="C704" s="92" t="s">
        <v>514</v>
      </c>
      <c r="D704" s="91"/>
      <c r="E704" s="93"/>
      <c r="F704" s="67" t="str">
        <f>IFERROR(IFERROR(INDEX(Кат!$A:$A,MATCH(Прайс!$B704,Кат!$G:$G,0)),INDEX(Торг!$B:$B,MATCH(Прайс!$B704,Торг!$H:$H,0))),"")</f>
        <v/>
      </c>
      <c r="G704" s="67" t="str">
        <f>IFERROR(IFERROR(INDEX(Кат!$B:$B,MATCH(Прайс!$B704,Кат!$G:$G,0)),INDEX(Торг!$C:$C,MATCH(Прайс!$B704,Торг!$H:$H,0))),"")</f>
        <v/>
      </c>
      <c r="H704" s="67" t="str">
        <f>IFERROR(IFERROR(INDEX(Кат!$I:$I,MATCH(Прайс!$B704,Кат!$G:$G,0)),INDEX(Торг!$I:$I,MATCH(Прайс!$B704,Торг!$H:$H,0))),"")</f>
        <v/>
      </c>
    </row>
    <row r="705" spans="1:8" x14ac:dyDescent="0.25">
      <c r="A705" s="99" t="s">
        <v>6201</v>
      </c>
      <c r="B705" s="108">
        <v>40496</v>
      </c>
      <c r="C705" s="108" t="s">
        <v>6202</v>
      </c>
      <c r="D705" s="101" t="s">
        <v>174</v>
      </c>
      <c r="E705" s="102">
        <v>200</v>
      </c>
      <c r="F705" s="67" t="str">
        <f>IFERROR(IFERROR(INDEX(Кат!$A:$A,MATCH(Прайс!$B705,Кат!$G:$G,0)),INDEX(Торг!$B:$B,MATCH(Прайс!$B705,Торг!$H:$H,0))),"")</f>
        <v/>
      </c>
      <c r="G705" s="67" t="str">
        <f>IFERROR(IFERROR(INDEX(Кат!$B:$B,MATCH(Прайс!$B705,Кат!$G:$G,0)),INDEX(Торг!$C:$C,MATCH(Прайс!$B705,Торг!$H:$H,0))),"")</f>
        <v/>
      </c>
      <c r="H705" s="67" t="str">
        <f>IFERROR(IFERROR(INDEX(Кат!$I:$I,MATCH(Прайс!$B705,Кат!$G:$G,0)),INDEX(Торг!$I:$I,MATCH(Прайс!$B705,Торг!$H:$H,0))),"")</f>
        <v/>
      </c>
    </row>
    <row r="706" spans="1:8" x14ac:dyDescent="0.25">
      <c r="A706" s="94" t="s">
        <v>2832</v>
      </c>
      <c r="B706" s="98">
        <v>40281</v>
      </c>
      <c r="C706" s="98" t="s">
        <v>515</v>
      </c>
      <c r="D706" s="96" t="s">
        <v>516</v>
      </c>
      <c r="E706" s="97">
        <v>230</v>
      </c>
      <c r="F706" s="67" t="str">
        <f>IFERROR(IFERROR(INDEX(Кат!$A:$A,MATCH(Прайс!$B706,Кат!$G:$G,0)),INDEX(Торг!$B:$B,MATCH(Прайс!$B706,Торг!$H:$H,0))),"")</f>
        <v/>
      </c>
      <c r="G706" s="67" t="str">
        <f>IFERROR(IFERROR(INDEX(Кат!$B:$B,MATCH(Прайс!$B706,Кат!$G:$G,0)),INDEX(Торг!$C:$C,MATCH(Прайс!$B706,Торг!$H:$H,0))),"")</f>
        <v/>
      </c>
      <c r="H706" s="67" t="str">
        <f>IFERROR(IFERROR(INDEX(Кат!$I:$I,MATCH(Прайс!$B706,Кат!$G:$G,0)),INDEX(Торг!$I:$I,MATCH(Прайс!$B706,Торг!$H:$H,0))),"")</f>
        <v/>
      </c>
    </row>
    <row r="707" spans="1:8" x14ac:dyDescent="0.25">
      <c r="A707" s="99" t="s">
        <v>6630</v>
      </c>
      <c r="B707" s="108">
        <v>40535</v>
      </c>
      <c r="C707" s="108" t="s">
        <v>6631</v>
      </c>
      <c r="D707" s="101" t="s">
        <v>160</v>
      </c>
      <c r="E707" s="102">
        <v>145</v>
      </c>
      <c r="F707" s="67" t="str">
        <f>IFERROR(IFERROR(INDEX(Кат!$A:$A,MATCH(Прайс!$B707,Кат!$G:$G,0)),INDEX(Торг!$B:$B,MATCH(Прайс!$B707,Торг!$H:$H,0))),"")</f>
        <v/>
      </c>
      <c r="G707" s="67" t="str">
        <f>IFERROR(IFERROR(INDEX(Кат!$B:$B,MATCH(Прайс!$B707,Кат!$G:$G,0)),INDEX(Торг!$C:$C,MATCH(Прайс!$B707,Торг!$H:$H,0))),"")</f>
        <v/>
      </c>
      <c r="H707" s="67" t="str">
        <f>IFERROR(IFERROR(INDEX(Кат!$I:$I,MATCH(Прайс!$B707,Кат!$G:$G,0)),INDEX(Торг!$I:$I,MATCH(Прайс!$B707,Торг!$H:$H,0))),"")</f>
        <v/>
      </c>
    </row>
    <row r="708" spans="1:8" x14ac:dyDescent="0.25">
      <c r="A708" s="99" t="s">
        <v>2833</v>
      </c>
      <c r="B708" s="108">
        <v>40282</v>
      </c>
      <c r="C708" s="108" t="s">
        <v>517</v>
      </c>
      <c r="D708" s="101" t="s">
        <v>257</v>
      </c>
      <c r="E708" s="102">
        <v>90</v>
      </c>
      <c r="F708" s="67" t="str">
        <f>IFERROR(IFERROR(INDEX(Кат!$A:$A,MATCH(Прайс!$B708,Кат!$G:$G,0)),INDEX(Торг!$B:$B,MATCH(Прайс!$B708,Торг!$H:$H,0))),"")</f>
        <v/>
      </c>
      <c r="G708" s="67" t="str">
        <f>IFERROR(IFERROR(INDEX(Кат!$B:$B,MATCH(Прайс!$B708,Кат!$G:$G,0)),INDEX(Торг!$C:$C,MATCH(Прайс!$B708,Торг!$H:$H,0))),"")</f>
        <v/>
      </c>
      <c r="H708" s="67" t="str">
        <f>IFERROR(IFERROR(INDEX(Кат!$I:$I,MATCH(Прайс!$B708,Кат!$G:$G,0)),INDEX(Торг!$I:$I,MATCH(Прайс!$B708,Торг!$H:$H,0))),"")</f>
        <v/>
      </c>
    </row>
    <row r="709" spans="1:8" x14ac:dyDescent="0.25">
      <c r="A709" s="99" t="s">
        <v>2834</v>
      </c>
      <c r="B709" s="108">
        <v>40283</v>
      </c>
      <c r="C709" s="108" t="s">
        <v>518</v>
      </c>
      <c r="D709" s="101" t="s">
        <v>257</v>
      </c>
      <c r="E709" s="102">
        <v>90</v>
      </c>
      <c r="F709" s="67" t="str">
        <f>IFERROR(IFERROR(INDEX(Кат!$A:$A,MATCH(Прайс!$B709,Кат!$G:$G,0)),INDEX(Торг!$B:$B,MATCH(Прайс!$B709,Торг!$H:$H,0))),"")</f>
        <v/>
      </c>
      <c r="G709" s="67" t="str">
        <f>IFERROR(IFERROR(INDEX(Кат!$B:$B,MATCH(Прайс!$B709,Кат!$G:$G,0)),INDEX(Торг!$C:$C,MATCH(Прайс!$B709,Торг!$H:$H,0))),"")</f>
        <v/>
      </c>
      <c r="H709" s="67" t="str">
        <f>IFERROR(IFERROR(INDEX(Кат!$I:$I,MATCH(Прайс!$B709,Кат!$G:$G,0)),INDEX(Торг!$I:$I,MATCH(Прайс!$B709,Торг!$H:$H,0))),"")</f>
        <v/>
      </c>
    </row>
    <row r="710" spans="1:8" x14ac:dyDescent="0.25">
      <c r="A710" s="99" t="s">
        <v>2835</v>
      </c>
      <c r="B710" s="108">
        <v>40284</v>
      </c>
      <c r="C710" s="108" t="s">
        <v>519</v>
      </c>
      <c r="D710" s="101" t="s">
        <v>257</v>
      </c>
      <c r="E710" s="102">
        <v>100</v>
      </c>
      <c r="F710" s="67" t="str">
        <f>IFERROR(IFERROR(INDEX(Кат!$A:$A,MATCH(Прайс!$B710,Кат!$G:$G,0)),INDEX(Торг!$B:$B,MATCH(Прайс!$B710,Торг!$H:$H,0))),"")</f>
        <v/>
      </c>
      <c r="G710" s="67" t="str">
        <f>IFERROR(IFERROR(INDEX(Кат!$B:$B,MATCH(Прайс!$B710,Кат!$G:$G,0)),INDEX(Торг!$C:$C,MATCH(Прайс!$B710,Торг!$H:$H,0))),"")</f>
        <v/>
      </c>
      <c r="H710" s="67" t="str">
        <f>IFERROR(IFERROR(INDEX(Кат!$I:$I,MATCH(Прайс!$B710,Кат!$G:$G,0)),INDEX(Торг!$I:$I,MATCH(Прайс!$B710,Торг!$H:$H,0))),"")</f>
        <v/>
      </c>
    </row>
    <row r="711" spans="1:8" x14ac:dyDescent="0.25">
      <c r="A711" s="99" t="s">
        <v>2836</v>
      </c>
      <c r="B711" s="108">
        <v>40285</v>
      </c>
      <c r="C711" s="108" t="s">
        <v>520</v>
      </c>
      <c r="D711" s="101" t="s">
        <v>257</v>
      </c>
      <c r="E711" s="102">
        <v>90</v>
      </c>
      <c r="F711" s="67" t="str">
        <f>IFERROR(IFERROR(INDEX(Кат!$A:$A,MATCH(Прайс!$B711,Кат!$G:$G,0)),INDEX(Торг!$B:$B,MATCH(Прайс!$B711,Торг!$H:$H,0))),"")</f>
        <v/>
      </c>
      <c r="G711" s="67" t="str">
        <f>IFERROR(IFERROR(INDEX(Кат!$B:$B,MATCH(Прайс!$B711,Кат!$G:$G,0)),INDEX(Торг!$C:$C,MATCH(Прайс!$B711,Торг!$H:$H,0))),"")</f>
        <v/>
      </c>
      <c r="H711" s="67" t="str">
        <f>IFERROR(IFERROR(INDEX(Кат!$I:$I,MATCH(Прайс!$B711,Кат!$G:$G,0)),INDEX(Торг!$I:$I,MATCH(Прайс!$B711,Торг!$H:$H,0))),"")</f>
        <v/>
      </c>
    </row>
    <row r="712" spans="1:8" x14ac:dyDescent="0.25">
      <c r="A712" s="94" t="s">
        <v>5748</v>
      </c>
      <c r="B712" s="98">
        <v>40286</v>
      </c>
      <c r="C712" s="98" t="s">
        <v>5749</v>
      </c>
      <c r="D712" s="96" t="s">
        <v>521</v>
      </c>
      <c r="E712" s="97">
        <v>220</v>
      </c>
      <c r="F712" s="67" t="str">
        <f>IFERROR(IFERROR(INDEX(Кат!$A:$A,MATCH(Прайс!$B712,Кат!$G:$G,0)),INDEX(Торг!$B:$B,MATCH(Прайс!$B712,Торг!$H:$H,0))),"")</f>
        <v/>
      </c>
      <c r="G712" s="67" t="str">
        <f>IFERROR(IFERROR(INDEX(Кат!$B:$B,MATCH(Прайс!$B712,Кат!$G:$G,0)),INDEX(Торг!$C:$C,MATCH(Прайс!$B712,Торг!$H:$H,0))),"")</f>
        <v/>
      </c>
      <c r="H712" s="67" t="str">
        <f>IFERROR(IFERROR(INDEX(Кат!$I:$I,MATCH(Прайс!$B712,Кат!$G:$G,0)),INDEX(Торг!$I:$I,MATCH(Прайс!$B712,Торг!$H:$H,0))),"")</f>
        <v/>
      </c>
    </row>
    <row r="713" spans="1:8" x14ac:dyDescent="0.25">
      <c r="A713" s="94" t="s">
        <v>2837</v>
      </c>
      <c r="B713" s="98">
        <v>40287</v>
      </c>
      <c r="C713" s="98" t="s">
        <v>522</v>
      </c>
      <c r="D713" s="96" t="s">
        <v>521</v>
      </c>
      <c r="E713" s="97">
        <v>220</v>
      </c>
      <c r="F713" s="67" t="str">
        <f>IFERROR(IFERROR(INDEX(Кат!$A:$A,MATCH(Прайс!$B713,Кат!$G:$G,0)),INDEX(Торг!$B:$B,MATCH(Прайс!$B713,Торг!$H:$H,0))),"")</f>
        <v/>
      </c>
      <c r="G713" s="67" t="str">
        <f>IFERROR(IFERROR(INDEX(Кат!$B:$B,MATCH(Прайс!$B713,Кат!$G:$G,0)),INDEX(Торг!$C:$C,MATCH(Прайс!$B713,Торг!$H:$H,0))),"")</f>
        <v/>
      </c>
      <c r="H713" s="67" t="str">
        <f>IFERROR(IFERROR(INDEX(Кат!$I:$I,MATCH(Прайс!$B713,Кат!$G:$G,0)),INDEX(Торг!$I:$I,MATCH(Прайс!$B713,Торг!$H:$H,0))),"")</f>
        <v/>
      </c>
    </row>
    <row r="714" spans="1:8" x14ac:dyDescent="0.25">
      <c r="A714" s="94" t="s">
        <v>2838</v>
      </c>
      <c r="B714" s="98">
        <v>40288</v>
      </c>
      <c r="C714" s="98" t="s">
        <v>4872</v>
      </c>
      <c r="D714" s="96" t="s">
        <v>523</v>
      </c>
      <c r="E714" s="97">
        <v>55</v>
      </c>
      <c r="F714" s="67" t="str">
        <f>IFERROR(IFERROR(INDEX(Кат!$A:$A,MATCH(Прайс!$B714,Кат!$G:$G,0)),INDEX(Торг!$B:$B,MATCH(Прайс!$B714,Торг!$H:$H,0))),"")</f>
        <v/>
      </c>
      <c r="G714" s="67" t="str">
        <f>IFERROR(IFERROR(INDEX(Кат!$B:$B,MATCH(Прайс!$B714,Кат!$G:$G,0)),INDEX(Торг!$C:$C,MATCH(Прайс!$B714,Торг!$H:$H,0))),"")</f>
        <v/>
      </c>
      <c r="H714" s="67" t="str">
        <f>IFERROR(IFERROR(INDEX(Кат!$I:$I,MATCH(Прайс!$B714,Кат!$G:$G,0)),INDEX(Торг!$I:$I,MATCH(Прайс!$B714,Торг!$H:$H,0))),"")</f>
        <v/>
      </c>
    </row>
    <row r="715" spans="1:8" ht="15.75" x14ac:dyDescent="0.25">
      <c r="A715" s="90"/>
      <c r="B715" s="91"/>
      <c r="C715" s="92" t="s">
        <v>524</v>
      </c>
      <c r="D715" s="91"/>
      <c r="E715" s="93"/>
      <c r="F715" s="67" t="str">
        <f>IFERROR(IFERROR(INDEX(Кат!$A:$A,MATCH(Прайс!$B715,Кат!$G:$G,0)),INDEX(Торг!$B:$B,MATCH(Прайс!$B715,Торг!$H:$H,0))),"")</f>
        <v/>
      </c>
      <c r="G715" s="67" t="str">
        <f>IFERROR(IFERROR(INDEX(Кат!$B:$B,MATCH(Прайс!$B715,Кат!$G:$G,0)),INDEX(Торг!$C:$C,MATCH(Прайс!$B715,Торг!$H:$H,0))),"")</f>
        <v/>
      </c>
      <c r="H715" s="67" t="str">
        <f>IFERROR(IFERROR(INDEX(Кат!$I:$I,MATCH(Прайс!$B715,Кат!$G:$G,0)),INDEX(Торг!$I:$I,MATCH(Прайс!$B715,Торг!$H:$H,0))),"")</f>
        <v/>
      </c>
    </row>
    <row r="716" spans="1:8" x14ac:dyDescent="0.25">
      <c r="A716" s="99" t="s">
        <v>5409</v>
      </c>
      <c r="B716" s="108">
        <v>40447</v>
      </c>
      <c r="C716" s="108" t="s">
        <v>5410</v>
      </c>
      <c r="D716" s="101" t="s">
        <v>160</v>
      </c>
      <c r="E716" s="102">
        <v>220</v>
      </c>
      <c r="F716" s="67" t="str">
        <f>IFERROR(IFERROR(INDEX(Кат!$A:$A,MATCH(Прайс!$B716,Кат!$G:$G,0)),INDEX(Торг!$B:$B,MATCH(Прайс!$B716,Торг!$H:$H,0))),"")</f>
        <v/>
      </c>
      <c r="G716" s="67" t="str">
        <f>IFERROR(IFERROR(INDEX(Кат!$B:$B,MATCH(Прайс!$B716,Кат!$G:$G,0)),INDEX(Торг!$C:$C,MATCH(Прайс!$B716,Торг!$H:$H,0))),"")</f>
        <v/>
      </c>
      <c r="H716" s="67" t="str">
        <f>IFERROR(IFERROR(INDEX(Кат!$I:$I,MATCH(Прайс!$B716,Кат!$G:$G,0)),INDEX(Торг!$I:$I,MATCH(Прайс!$B716,Торг!$H:$H,0))),"")</f>
        <v/>
      </c>
    </row>
    <row r="717" spans="1:8" x14ac:dyDescent="0.25">
      <c r="A717" s="94" t="s">
        <v>2839</v>
      </c>
      <c r="B717" s="98">
        <v>40396</v>
      </c>
      <c r="C717" s="98" t="s">
        <v>525</v>
      </c>
      <c r="D717" s="96" t="s">
        <v>160</v>
      </c>
      <c r="E717" s="97">
        <v>210</v>
      </c>
      <c r="F717" s="67" t="str">
        <f>IFERROR(IFERROR(INDEX(Кат!$A:$A,MATCH(Прайс!$B717,Кат!$G:$G,0)),INDEX(Торг!$B:$B,MATCH(Прайс!$B717,Торг!$H:$H,0))),"")</f>
        <v/>
      </c>
      <c r="G717" s="67" t="str">
        <f>IFERROR(IFERROR(INDEX(Кат!$B:$B,MATCH(Прайс!$B717,Кат!$G:$G,0)),INDEX(Торг!$C:$C,MATCH(Прайс!$B717,Торг!$H:$H,0))),"")</f>
        <v/>
      </c>
      <c r="H717" s="67" t="str">
        <f>IFERROR(IFERROR(INDEX(Кат!$I:$I,MATCH(Прайс!$B717,Кат!$G:$G,0)),INDEX(Торг!$I:$I,MATCH(Прайс!$B717,Торг!$H:$H,0))),"")</f>
        <v/>
      </c>
    </row>
    <row r="718" spans="1:8" x14ac:dyDescent="0.25">
      <c r="A718" s="94" t="s">
        <v>2840</v>
      </c>
      <c r="B718" s="98">
        <v>40156</v>
      </c>
      <c r="C718" s="98" t="s">
        <v>6203</v>
      </c>
      <c r="D718" s="96" t="s">
        <v>160</v>
      </c>
      <c r="E718" s="97">
        <v>460</v>
      </c>
      <c r="F718" s="67" t="str">
        <f>IFERROR(IFERROR(INDEX(Кат!$A:$A,MATCH(Прайс!$B718,Кат!$G:$G,0)),INDEX(Торг!$B:$B,MATCH(Прайс!$B718,Торг!$H:$H,0))),"")</f>
        <v/>
      </c>
      <c r="G718" s="67" t="str">
        <f>IFERROR(IFERROR(INDEX(Кат!$B:$B,MATCH(Прайс!$B718,Кат!$G:$G,0)),INDEX(Торг!$C:$C,MATCH(Прайс!$B718,Торг!$H:$H,0))),"")</f>
        <v/>
      </c>
      <c r="H718" s="67" t="str">
        <f>IFERROR(IFERROR(INDEX(Кат!$I:$I,MATCH(Прайс!$B718,Кат!$G:$G,0)),INDEX(Торг!$I:$I,MATCH(Прайс!$B718,Торг!$H:$H,0))),"")</f>
        <v/>
      </c>
    </row>
    <row r="719" spans="1:8" x14ac:dyDescent="0.25">
      <c r="A719" s="94" t="s">
        <v>2841</v>
      </c>
      <c r="B719" s="98">
        <v>40157</v>
      </c>
      <c r="C719" s="98" t="s">
        <v>526</v>
      </c>
      <c r="D719" s="96" t="s">
        <v>160</v>
      </c>
      <c r="E719" s="97">
        <v>150</v>
      </c>
      <c r="F719" s="67" t="str">
        <f>IFERROR(IFERROR(INDEX(Кат!$A:$A,MATCH(Прайс!$B719,Кат!$G:$G,0)),INDEX(Торг!$B:$B,MATCH(Прайс!$B719,Торг!$H:$H,0))),"")</f>
        <v/>
      </c>
      <c r="G719" s="67" t="str">
        <f>IFERROR(IFERROR(INDEX(Кат!$B:$B,MATCH(Прайс!$B719,Кат!$G:$G,0)),INDEX(Торг!$C:$C,MATCH(Прайс!$B719,Торг!$H:$H,0))),"")</f>
        <v/>
      </c>
      <c r="H719" s="67" t="str">
        <f>IFERROR(IFERROR(INDEX(Кат!$I:$I,MATCH(Прайс!$B719,Кат!$G:$G,0)),INDEX(Торг!$I:$I,MATCH(Прайс!$B719,Торг!$H:$H,0))),"")</f>
        <v/>
      </c>
    </row>
    <row r="720" spans="1:8" x14ac:dyDescent="0.25">
      <c r="A720" s="94" t="s">
        <v>2842</v>
      </c>
      <c r="B720" s="98">
        <v>40446</v>
      </c>
      <c r="C720" s="98" t="s">
        <v>527</v>
      </c>
      <c r="D720" s="96" t="s">
        <v>160</v>
      </c>
      <c r="E720" s="97">
        <v>260</v>
      </c>
      <c r="F720" s="67" t="str">
        <f>IFERROR(IFERROR(INDEX(Кат!$A:$A,MATCH(Прайс!$B720,Кат!$G:$G,0)),INDEX(Торг!$B:$B,MATCH(Прайс!$B720,Торг!$H:$H,0))),"")</f>
        <v/>
      </c>
      <c r="G720" s="67" t="str">
        <f>IFERROR(IFERROR(INDEX(Кат!$B:$B,MATCH(Прайс!$B720,Кат!$G:$G,0)),INDEX(Торг!$C:$C,MATCH(Прайс!$B720,Торг!$H:$H,0))),"")</f>
        <v/>
      </c>
      <c r="H720" s="67" t="str">
        <f>IFERROR(IFERROR(INDEX(Кат!$I:$I,MATCH(Прайс!$B720,Кат!$G:$G,0)),INDEX(Торг!$I:$I,MATCH(Прайс!$B720,Торг!$H:$H,0))),"")</f>
        <v/>
      </c>
    </row>
    <row r="721" spans="1:8" x14ac:dyDescent="0.25">
      <c r="A721" s="94" t="s">
        <v>2843</v>
      </c>
      <c r="B721" s="98">
        <v>40365</v>
      </c>
      <c r="C721" s="98" t="s">
        <v>528</v>
      </c>
      <c r="D721" s="96" t="s">
        <v>160</v>
      </c>
      <c r="E721" s="97">
        <v>190</v>
      </c>
      <c r="F721" s="67" t="str">
        <f>IFERROR(IFERROR(INDEX(Кат!$A:$A,MATCH(Прайс!$B721,Кат!$G:$G,0)),INDEX(Торг!$B:$B,MATCH(Прайс!$B721,Торг!$H:$H,0))),"")</f>
        <v/>
      </c>
      <c r="G721" s="67" t="str">
        <f>IFERROR(IFERROR(INDEX(Кат!$B:$B,MATCH(Прайс!$B721,Кат!$G:$G,0)),INDEX(Торг!$C:$C,MATCH(Прайс!$B721,Торг!$H:$H,0))),"")</f>
        <v/>
      </c>
      <c r="H721" s="67" t="str">
        <f>IFERROR(IFERROR(INDEX(Кат!$I:$I,MATCH(Прайс!$B721,Кат!$G:$G,0)),INDEX(Торг!$I:$I,MATCH(Прайс!$B721,Торг!$H:$H,0))),"")</f>
        <v/>
      </c>
    </row>
    <row r="722" spans="1:8" x14ac:dyDescent="0.25">
      <c r="A722" s="94" t="s">
        <v>2844</v>
      </c>
      <c r="B722" s="98">
        <v>40292</v>
      </c>
      <c r="C722" s="98" t="s">
        <v>529</v>
      </c>
      <c r="D722" s="96" t="s">
        <v>160</v>
      </c>
      <c r="E722" s="97">
        <v>320</v>
      </c>
      <c r="F722" s="67" t="str">
        <f>IFERROR(IFERROR(INDEX(Кат!$A:$A,MATCH(Прайс!$B722,Кат!$G:$G,0)),INDEX(Торг!$B:$B,MATCH(Прайс!$B722,Торг!$H:$H,0))),"")</f>
        <v/>
      </c>
      <c r="G722" s="67" t="str">
        <f>IFERROR(IFERROR(INDEX(Кат!$B:$B,MATCH(Прайс!$B722,Кат!$G:$G,0)),INDEX(Торг!$C:$C,MATCH(Прайс!$B722,Торг!$H:$H,0))),"")</f>
        <v/>
      </c>
      <c r="H722" s="67" t="str">
        <f>IFERROR(IFERROR(INDEX(Кат!$I:$I,MATCH(Прайс!$B722,Кат!$G:$G,0)),INDEX(Торг!$I:$I,MATCH(Прайс!$B722,Торг!$H:$H,0))),"")</f>
        <v/>
      </c>
    </row>
    <row r="723" spans="1:8" x14ac:dyDescent="0.25">
      <c r="A723" s="94" t="s">
        <v>5750</v>
      </c>
      <c r="B723" s="98">
        <v>40293</v>
      </c>
      <c r="C723" s="98" t="s">
        <v>5751</v>
      </c>
      <c r="D723" s="96" t="s">
        <v>160</v>
      </c>
      <c r="E723" s="97">
        <v>270</v>
      </c>
      <c r="F723" s="67" t="str">
        <f>IFERROR(IFERROR(INDEX(Кат!$A:$A,MATCH(Прайс!$B723,Кат!$G:$G,0)),INDEX(Торг!$B:$B,MATCH(Прайс!$B723,Торг!$H:$H,0))),"")</f>
        <v/>
      </c>
      <c r="G723" s="67" t="str">
        <f>IFERROR(IFERROR(INDEX(Кат!$B:$B,MATCH(Прайс!$B723,Кат!$G:$G,0)),INDEX(Торг!$C:$C,MATCH(Прайс!$B723,Торг!$H:$H,0))),"")</f>
        <v/>
      </c>
      <c r="H723" s="67" t="str">
        <f>IFERROR(IFERROR(INDEX(Кат!$I:$I,MATCH(Прайс!$B723,Кат!$G:$G,0)),INDEX(Торг!$I:$I,MATCH(Прайс!$B723,Торг!$H:$H,0))),"")</f>
        <v/>
      </c>
    </row>
    <row r="724" spans="1:8" x14ac:dyDescent="0.25">
      <c r="A724" s="94" t="s">
        <v>5752</v>
      </c>
      <c r="B724" s="98">
        <v>40506</v>
      </c>
      <c r="C724" s="98" t="s">
        <v>5753</v>
      </c>
      <c r="D724" s="96" t="s">
        <v>160</v>
      </c>
      <c r="E724" s="97">
        <v>490</v>
      </c>
      <c r="F724" s="67" t="str">
        <f>IFERROR(IFERROR(INDEX(Кат!$A:$A,MATCH(Прайс!$B724,Кат!$G:$G,0)),INDEX(Торг!$B:$B,MATCH(Прайс!$B724,Торг!$H:$H,0))),"")</f>
        <v/>
      </c>
      <c r="G724" s="67" t="str">
        <f>IFERROR(IFERROR(INDEX(Кат!$B:$B,MATCH(Прайс!$B724,Кат!$G:$G,0)),INDEX(Торг!$C:$C,MATCH(Прайс!$B724,Торг!$H:$H,0))),"")</f>
        <v/>
      </c>
      <c r="H724" s="67" t="str">
        <f>IFERROR(IFERROR(INDEX(Кат!$I:$I,MATCH(Прайс!$B724,Кат!$G:$G,0)),INDEX(Торг!$I:$I,MATCH(Прайс!$B724,Торг!$H:$H,0))),"")</f>
        <v/>
      </c>
    </row>
    <row r="725" spans="1:8" x14ac:dyDescent="0.25">
      <c r="A725" s="94" t="s">
        <v>6632</v>
      </c>
      <c r="B725" s="98">
        <v>40534</v>
      </c>
      <c r="C725" s="98" t="s">
        <v>6633</v>
      </c>
      <c r="D725" s="96" t="s">
        <v>160</v>
      </c>
      <c r="E725" s="97">
        <v>135</v>
      </c>
      <c r="F725" s="67" t="str">
        <f>IFERROR(IFERROR(INDEX(Кат!$A:$A,MATCH(Прайс!$B725,Кат!$G:$G,0)),INDEX(Торг!$B:$B,MATCH(Прайс!$B725,Торг!$H:$H,0))),"")</f>
        <v/>
      </c>
      <c r="G725" s="67" t="str">
        <f>IFERROR(IFERROR(INDEX(Кат!$B:$B,MATCH(Прайс!$B725,Кат!$G:$G,0)),INDEX(Торг!$C:$C,MATCH(Прайс!$B725,Торг!$H:$H,0))),"")</f>
        <v/>
      </c>
      <c r="H725" s="67" t="str">
        <f>IFERROR(IFERROR(INDEX(Кат!$I:$I,MATCH(Прайс!$B725,Кат!$G:$G,0)),INDEX(Торг!$I:$I,MATCH(Прайс!$B725,Торг!$H:$H,0))),"")</f>
        <v/>
      </c>
    </row>
    <row r="726" spans="1:8" x14ac:dyDescent="0.25">
      <c r="A726" s="94" t="s">
        <v>2845</v>
      </c>
      <c r="B726" s="98">
        <v>40294</v>
      </c>
      <c r="C726" s="98" t="s">
        <v>530</v>
      </c>
      <c r="D726" s="96" t="s">
        <v>160</v>
      </c>
      <c r="E726" s="97">
        <v>210</v>
      </c>
      <c r="F726" s="67" t="str">
        <f>IFERROR(IFERROR(INDEX(Кат!$A:$A,MATCH(Прайс!$B726,Кат!$G:$G,0)),INDEX(Торг!$B:$B,MATCH(Прайс!$B726,Торг!$H:$H,0))),"")</f>
        <v/>
      </c>
      <c r="G726" s="67" t="str">
        <f>IFERROR(IFERROR(INDEX(Кат!$B:$B,MATCH(Прайс!$B726,Кат!$G:$G,0)),INDEX(Торг!$C:$C,MATCH(Прайс!$B726,Торг!$H:$H,0))),"")</f>
        <v/>
      </c>
      <c r="H726" s="67" t="str">
        <f>IFERROR(IFERROR(INDEX(Кат!$I:$I,MATCH(Прайс!$B726,Кат!$G:$G,0)),INDEX(Торг!$I:$I,MATCH(Прайс!$B726,Торг!$H:$H,0))),"")</f>
        <v/>
      </c>
    </row>
    <row r="727" spans="1:8" x14ac:dyDescent="0.25">
      <c r="A727" s="94" t="s">
        <v>6204</v>
      </c>
      <c r="B727" s="98">
        <v>40511</v>
      </c>
      <c r="C727" s="98" t="s">
        <v>6205</v>
      </c>
      <c r="D727" s="96" t="s">
        <v>160</v>
      </c>
      <c r="E727" s="97">
        <v>305</v>
      </c>
      <c r="F727" s="67" t="str">
        <f>IFERROR(IFERROR(INDEX(Кат!$A:$A,MATCH(Прайс!$B727,Кат!$G:$G,0)),INDEX(Торг!$B:$B,MATCH(Прайс!$B727,Торг!$H:$H,0))),"")</f>
        <v/>
      </c>
      <c r="G727" s="67" t="str">
        <f>IFERROR(IFERROR(INDEX(Кат!$B:$B,MATCH(Прайс!$B727,Кат!$G:$G,0)),INDEX(Торг!$C:$C,MATCH(Прайс!$B727,Торг!$H:$H,0))),"")</f>
        <v/>
      </c>
      <c r="H727" s="67" t="str">
        <f>IFERROR(IFERROR(INDEX(Кат!$I:$I,MATCH(Прайс!$B727,Кат!$G:$G,0)),INDEX(Торг!$I:$I,MATCH(Прайс!$B727,Торг!$H:$H,0))),"")</f>
        <v/>
      </c>
    </row>
    <row r="728" spans="1:8" x14ac:dyDescent="0.25">
      <c r="A728" s="94" t="s">
        <v>2846</v>
      </c>
      <c r="B728" s="98">
        <v>40346</v>
      </c>
      <c r="C728" s="98" t="s">
        <v>531</v>
      </c>
      <c r="D728" s="96" t="s">
        <v>337</v>
      </c>
      <c r="E728" s="97">
        <v>100</v>
      </c>
      <c r="F728" s="67" t="str">
        <f>IFERROR(IFERROR(INDEX(Кат!$A:$A,MATCH(Прайс!$B728,Кат!$G:$G,0)),INDEX(Торг!$B:$B,MATCH(Прайс!$B728,Торг!$H:$H,0))),"")</f>
        <v/>
      </c>
      <c r="G728" s="67" t="str">
        <f>IFERROR(IFERROR(INDEX(Кат!$B:$B,MATCH(Прайс!$B728,Кат!$G:$G,0)),INDEX(Торг!$C:$C,MATCH(Прайс!$B728,Торг!$H:$H,0))),"")</f>
        <v/>
      </c>
      <c r="H728" s="67" t="str">
        <f>IFERROR(IFERROR(INDEX(Кат!$I:$I,MATCH(Прайс!$B728,Кат!$G:$G,0)),INDEX(Торг!$I:$I,MATCH(Прайс!$B728,Торг!$H:$H,0))),"")</f>
        <v/>
      </c>
    </row>
    <row r="729" spans="1:8" x14ac:dyDescent="0.25">
      <c r="A729" s="99" t="s">
        <v>6634</v>
      </c>
      <c r="B729" s="108">
        <v>40461</v>
      </c>
      <c r="C729" s="108" t="s">
        <v>6635</v>
      </c>
      <c r="D729" s="101" t="s">
        <v>160</v>
      </c>
      <c r="E729" s="102">
        <v>170</v>
      </c>
      <c r="F729" s="67" t="str">
        <f>IFERROR(IFERROR(INDEX(Кат!$A:$A,MATCH(Прайс!$B729,Кат!$G:$G,0)),INDEX(Торг!$B:$B,MATCH(Прайс!$B729,Торг!$H:$H,0))),"")</f>
        <v/>
      </c>
      <c r="G729" s="67" t="str">
        <f>IFERROR(IFERROR(INDEX(Кат!$B:$B,MATCH(Прайс!$B729,Кат!$G:$G,0)),INDEX(Торг!$C:$C,MATCH(Прайс!$B729,Торг!$H:$H,0))),"")</f>
        <v/>
      </c>
      <c r="H729" s="67" t="str">
        <f>IFERROR(IFERROR(INDEX(Кат!$I:$I,MATCH(Прайс!$B729,Кат!$G:$G,0)),INDEX(Торг!$I:$I,MATCH(Прайс!$B729,Торг!$H:$H,0))),"")</f>
        <v/>
      </c>
    </row>
    <row r="730" spans="1:8" x14ac:dyDescent="0.25">
      <c r="A730" s="94" t="s">
        <v>2847</v>
      </c>
      <c r="B730" s="98">
        <v>40295</v>
      </c>
      <c r="C730" s="98" t="s">
        <v>8196</v>
      </c>
      <c r="D730" s="96" t="s">
        <v>160</v>
      </c>
      <c r="E730" s="97">
        <v>255</v>
      </c>
      <c r="F730" s="67" t="str">
        <f>IFERROR(IFERROR(INDEX(Кат!$A:$A,MATCH(Прайс!$B730,Кат!$G:$G,0)),INDEX(Торг!$B:$B,MATCH(Прайс!$B730,Торг!$H:$H,0))),"")</f>
        <v/>
      </c>
      <c r="G730" s="67" t="str">
        <f>IFERROR(IFERROR(INDEX(Кат!$B:$B,MATCH(Прайс!$B730,Кат!$G:$G,0)),INDEX(Торг!$C:$C,MATCH(Прайс!$B730,Торг!$H:$H,0))),"")</f>
        <v/>
      </c>
      <c r="H730" s="67" t="str">
        <f>IFERROR(IFERROR(INDEX(Кат!$I:$I,MATCH(Прайс!$B730,Кат!$G:$G,0)),INDEX(Торг!$I:$I,MATCH(Прайс!$B730,Торг!$H:$H,0))),"")</f>
        <v/>
      </c>
    </row>
    <row r="731" spans="1:8" ht="15.75" x14ac:dyDescent="0.25">
      <c r="A731" s="87"/>
      <c r="B731" s="88"/>
      <c r="C731" s="88" t="s">
        <v>532</v>
      </c>
      <c r="D731" s="88"/>
      <c r="E731" s="89"/>
      <c r="F731" s="67" t="str">
        <f>IFERROR(IFERROR(INDEX(Кат!$A:$A,MATCH(Прайс!$B731,Кат!$G:$G,0)),INDEX(Торг!$B:$B,MATCH(Прайс!$B731,Торг!$H:$H,0))),"")</f>
        <v/>
      </c>
      <c r="G731" s="67" t="str">
        <f>IFERROR(IFERROR(INDEX(Кат!$B:$B,MATCH(Прайс!$B731,Кат!$G:$G,0)),INDEX(Торг!$C:$C,MATCH(Прайс!$B731,Торг!$H:$H,0))),"")</f>
        <v/>
      </c>
      <c r="H731" s="67" t="str">
        <f>IFERROR(IFERROR(INDEX(Кат!$I:$I,MATCH(Прайс!$B731,Кат!$G:$G,0)),INDEX(Торг!$I:$I,MATCH(Прайс!$B731,Торг!$H:$H,0))),"")</f>
        <v/>
      </c>
    </row>
    <row r="732" spans="1:8" ht="15.75" x14ac:dyDescent="0.25">
      <c r="A732" s="90"/>
      <c r="B732" s="91"/>
      <c r="C732" s="92" t="s">
        <v>2080</v>
      </c>
      <c r="D732" s="91"/>
      <c r="E732" s="93"/>
      <c r="F732" s="67" t="str">
        <f>IFERROR(IFERROR(INDEX(Кат!$A:$A,MATCH(Прайс!$B732,Кат!$G:$G,0)),INDEX(Торг!$B:$B,MATCH(Прайс!$B732,Торг!$H:$H,0))),"")</f>
        <v/>
      </c>
      <c r="G732" s="67" t="str">
        <f>IFERROR(IFERROR(INDEX(Кат!$B:$B,MATCH(Прайс!$B732,Кат!$G:$G,0)),INDEX(Торг!$C:$C,MATCH(Прайс!$B732,Торг!$H:$H,0))),"")</f>
        <v/>
      </c>
      <c r="H732" s="67" t="str">
        <f>IFERROR(IFERROR(INDEX(Кат!$I:$I,MATCH(Прайс!$B732,Кат!$G:$G,0)),INDEX(Торг!$I:$I,MATCH(Прайс!$B732,Торг!$H:$H,0))),"")</f>
        <v/>
      </c>
    </row>
    <row r="733" spans="1:8" x14ac:dyDescent="0.25">
      <c r="A733" s="103" t="s">
        <v>2848</v>
      </c>
      <c r="B733" s="104">
        <v>50505</v>
      </c>
      <c r="C733" s="104" t="s">
        <v>2081</v>
      </c>
      <c r="D733" s="105" t="s">
        <v>159</v>
      </c>
      <c r="E733" s="113">
        <v>800</v>
      </c>
      <c r="F733" s="67" t="str">
        <f>IFERROR(IFERROR(INDEX(Кат!$A:$A,MATCH(Прайс!$B733,Кат!$G:$G,0)),INDEX(Торг!$B:$B,MATCH(Прайс!$B733,Торг!$H:$H,0))),"")</f>
        <v/>
      </c>
      <c r="G733" s="67" t="str">
        <f>IFERROR(IFERROR(INDEX(Кат!$B:$B,MATCH(Прайс!$B733,Кат!$G:$G,0)),INDEX(Торг!$C:$C,MATCH(Прайс!$B733,Торг!$H:$H,0))),"")</f>
        <v/>
      </c>
      <c r="H733" s="67" t="str">
        <f>IFERROR(IFERROR(INDEX(Кат!$I:$I,MATCH(Прайс!$B733,Кат!$G:$G,0)),INDEX(Торг!$I:$I,MATCH(Прайс!$B733,Торг!$H:$H,0))),"")</f>
        <v/>
      </c>
    </row>
    <row r="734" spans="1:8" ht="15.75" x14ac:dyDescent="0.25">
      <c r="A734" s="90"/>
      <c r="B734" s="91"/>
      <c r="C734" s="92" t="s">
        <v>2849</v>
      </c>
      <c r="D734" s="91"/>
      <c r="E734" s="93"/>
      <c r="F734" s="67" t="str">
        <f>IFERROR(IFERROR(INDEX(Кат!$A:$A,MATCH(Прайс!$B734,Кат!$G:$G,0)),INDEX(Торг!$B:$B,MATCH(Прайс!$B734,Торг!$H:$H,0))),"")</f>
        <v/>
      </c>
      <c r="G734" s="67" t="str">
        <f>IFERROR(IFERROR(INDEX(Кат!$B:$B,MATCH(Прайс!$B734,Кат!$G:$G,0)),INDEX(Торг!$C:$C,MATCH(Прайс!$B734,Торг!$H:$H,0))),"")</f>
        <v/>
      </c>
      <c r="H734" s="67" t="str">
        <f>IFERROR(IFERROR(INDEX(Кат!$I:$I,MATCH(Прайс!$B734,Кат!$G:$G,0)),INDEX(Торг!$I:$I,MATCH(Прайс!$B734,Торг!$H:$H,0))),"")</f>
        <v/>
      </c>
    </row>
    <row r="735" spans="1:8" x14ac:dyDescent="0.25">
      <c r="A735" s="94" t="s">
        <v>2850</v>
      </c>
      <c r="B735" s="98">
        <v>50368</v>
      </c>
      <c r="C735" s="98" t="s">
        <v>2851</v>
      </c>
      <c r="D735" s="96" t="s">
        <v>582</v>
      </c>
      <c r="E735" s="97">
        <v>900</v>
      </c>
      <c r="F735" s="67" t="str">
        <f>IFERROR(IFERROR(INDEX(Кат!$A:$A,MATCH(Прайс!$B735,Кат!$G:$G,0)),INDEX(Торг!$B:$B,MATCH(Прайс!$B735,Торг!$H:$H,0))),"")</f>
        <v/>
      </c>
      <c r="G735" s="67" t="str">
        <f>IFERROR(IFERROR(INDEX(Кат!$B:$B,MATCH(Прайс!$B735,Кат!$G:$G,0)),INDEX(Торг!$C:$C,MATCH(Прайс!$B735,Торг!$H:$H,0))),"")</f>
        <v/>
      </c>
      <c r="H735" s="67" t="str">
        <f>IFERROR(IFERROR(INDEX(Кат!$I:$I,MATCH(Прайс!$B735,Кат!$G:$G,0)),INDEX(Торг!$I:$I,MATCH(Прайс!$B735,Торг!$H:$H,0))),"")</f>
        <v/>
      </c>
    </row>
    <row r="736" spans="1:8" ht="15.75" x14ac:dyDescent="0.25">
      <c r="A736" s="90"/>
      <c r="B736" s="91"/>
      <c r="C736" s="92" t="s">
        <v>533</v>
      </c>
      <c r="D736" s="91"/>
      <c r="E736" s="93"/>
      <c r="F736" s="67" t="str">
        <f>IFERROR(IFERROR(INDEX(Кат!$A:$A,MATCH(Прайс!$B736,Кат!$G:$G,0)),INDEX(Торг!$B:$B,MATCH(Прайс!$B736,Торг!$H:$H,0))),"")</f>
        <v/>
      </c>
      <c r="G736" s="67" t="str">
        <f>IFERROR(IFERROR(INDEX(Кат!$B:$B,MATCH(Прайс!$B736,Кат!$G:$G,0)),INDEX(Торг!$C:$C,MATCH(Прайс!$B736,Торг!$H:$H,0))),"")</f>
        <v/>
      </c>
      <c r="H736" s="67" t="str">
        <f>IFERROR(IFERROR(INDEX(Кат!$I:$I,MATCH(Прайс!$B736,Кат!$G:$G,0)),INDEX(Торг!$I:$I,MATCH(Прайс!$B736,Торг!$H:$H,0))),"")</f>
        <v/>
      </c>
    </row>
    <row r="737" spans="1:8" x14ac:dyDescent="0.25">
      <c r="A737" s="94" t="s">
        <v>7428</v>
      </c>
      <c r="B737" s="98">
        <v>50462</v>
      </c>
      <c r="C737" s="98" t="s">
        <v>7429</v>
      </c>
      <c r="D737" s="96" t="s">
        <v>176</v>
      </c>
      <c r="E737" s="97">
        <v>50</v>
      </c>
      <c r="F737" s="67" t="str">
        <f>IFERROR(IFERROR(INDEX(Кат!$A:$A,MATCH(Прайс!$B737,Кат!$G:$G,0)),INDEX(Торг!$B:$B,MATCH(Прайс!$B737,Торг!$H:$H,0))),"")</f>
        <v/>
      </c>
      <c r="G737" s="67" t="str">
        <f>IFERROR(IFERROR(INDEX(Кат!$B:$B,MATCH(Прайс!$B737,Кат!$G:$G,0)),INDEX(Торг!$C:$C,MATCH(Прайс!$B737,Торг!$H:$H,0))),"")</f>
        <v/>
      </c>
      <c r="H737" s="67" t="str">
        <f>IFERROR(IFERROR(INDEX(Кат!$I:$I,MATCH(Прайс!$B737,Кат!$G:$G,0)),INDEX(Торг!$I:$I,MATCH(Прайс!$B737,Торг!$H:$H,0))),"")</f>
        <v/>
      </c>
    </row>
    <row r="738" spans="1:8" x14ac:dyDescent="0.25">
      <c r="A738" s="94" t="s">
        <v>8535</v>
      </c>
      <c r="B738" s="98">
        <v>50002</v>
      </c>
      <c r="C738" s="98" t="s">
        <v>8536</v>
      </c>
      <c r="D738" s="96" t="s">
        <v>190</v>
      </c>
      <c r="E738" s="97">
        <v>60</v>
      </c>
      <c r="F738" s="67" t="str">
        <f>IFERROR(IFERROR(INDEX(Кат!$A:$A,MATCH(Прайс!$B738,Кат!$G:$G,0)),INDEX(Торг!$B:$B,MATCH(Прайс!$B738,Торг!$H:$H,0))),"")</f>
        <v/>
      </c>
      <c r="G738" s="67" t="str">
        <f>IFERROR(IFERROR(INDEX(Кат!$B:$B,MATCH(Прайс!$B738,Кат!$G:$G,0)),INDEX(Торг!$C:$C,MATCH(Прайс!$B738,Торг!$H:$H,0))),"")</f>
        <v/>
      </c>
      <c r="H738" s="67" t="str">
        <f>IFERROR(IFERROR(INDEX(Кат!$I:$I,MATCH(Прайс!$B738,Кат!$G:$G,0)),INDEX(Торг!$I:$I,MATCH(Прайс!$B738,Торг!$H:$H,0))),"")</f>
        <v/>
      </c>
    </row>
    <row r="739" spans="1:8" ht="15.75" x14ac:dyDescent="0.25">
      <c r="A739" s="90"/>
      <c r="B739" s="91"/>
      <c r="C739" s="92" t="s">
        <v>534</v>
      </c>
      <c r="D739" s="91"/>
      <c r="E739" s="93"/>
      <c r="F739" s="67" t="str">
        <f>IFERROR(IFERROR(INDEX(Кат!$A:$A,MATCH(Прайс!$B739,Кат!$G:$G,0)),INDEX(Торг!$B:$B,MATCH(Прайс!$B739,Торг!$H:$H,0))),"")</f>
        <v/>
      </c>
      <c r="G739" s="67" t="str">
        <f>IFERROR(IFERROR(INDEX(Кат!$B:$B,MATCH(Прайс!$B739,Кат!$G:$G,0)),INDEX(Торг!$C:$C,MATCH(Прайс!$B739,Торг!$H:$H,0))),"")</f>
        <v/>
      </c>
      <c r="H739" s="67" t="str">
        <f>IFERROR(IFERROR(INDEX(Кат!$I:$I,MATCH(Прайс!$B739,Кат!$G:$G,0)),INDEX(Торг!$I:$I,MATCH(Прайс!$B739,Торг!$H:$H,0))),"")</f>
        <v/>
      </c>
    </row>
    <row r="740" spans="1:8" x14ac:dyDescent="0.25">
      <c r="A740" s="103" t="s">
        <v>6636</v>
      </c>
      <c r="B740" s="104">
        <v>50643</v>
      </c>
      <c r="C740" s="104" t="s">
        <v>6637</v>
      </c>
      <c r="D740" s="105" t="s">
        <v>190</v>
      </c>
      <c r="E740" s="113">
        <v>190</v>
      </c>
      <c r="F740" s="67" t="str">
        <f>IFERROR(IFERROR(INDEX(Кат!$A:$A,MATCH(Прайс!$B740,Кат!$G:$G,0)),INDEX(Торг!$B:$B,MATCH(Прайс!$B740,Торг!$H:$H,0))),"")</f>
        <v/>
      </c>
      <c r="G740" s="67" t="str">
        <f>IFERROR(IFERROR(INDEX(Кат!$B:$B,MATCH(Прайс!$B740,Кат!$G:$G,0)),INDEX(Торг!$C:$C,MATCH(Прайс!$B740,Торг!$H:$H,0))),"")</f>
        <v/>
      </c>
      <c r="H740" s="67" t="str">
        <f>IFERROR(IFERROR(INDEX(Кат!$I:$I,MATCH(Прайс!$B740,Кат!$G:$G,0)),INDEX(Торг!$I:$I,MATCH(Прайс!$B740,Торг!$H:$H,0))),"")</f>
        <v/>
      </c>
    </row>
    <row r="741" spans="1:8" x14ac:dyDescent="0.25">
      <c r="A741" s="109" t="s">
        <v>8537</v>
      </c>
      <c r="B741" s="110">
        <v>50720</v>
      </c>
      <c r="C741" s="110" t="s">
        <v>8538</v>
      </c>
      <c r="D741" s="111" t="s">
        <v>176</v>
      </c>
      <c r="E741" s="112">
        <v>70</v>
      </c>
      <c r="F741" s="67" t="str">
        <f>IFERROR(IFERROR(INDEX(Кат!$A:$A,MATCH(Прайс!$B741,Кат!$G:$G,0)),INDEX(Торг!$B:$B,MATCH(Прайс!$B741,Торг!$H:$H,0))),"")</f>
        <v/>
      </c>
      <c r="G741" s="67" t="str">
        <f>IFERROR(IFERROR(INDEX(Кат!$B:$B,MATCH(Прайс!$B741,Кат!$G:$G,0)),INDEX(Торг!$C:$C,MATCH(Прайс!$B741,Торг!$H:$H,0))),"")</f>
        <v/>
      </c>
      <c r="H741" s="67" t="str">
        <f>IFERROR(IFERROR(INDEX(Кат!$I:$I,MATCH(Прайс!$B741,Кат!$G:$G,0)),INDEX(Торг!$I:$I,MATCH(Прайс!$B741,Торг!$H:$H,0))),"")</f>
        <v/>
      </c>
    </row>
    <row r="742" spans="1:8" x14ac:dyDescent="0.25">
      <c r="A742" s="99" t="s">
        <v>2852</v>
      </c>
      <c r="B742" s="108">
        <v>50021</v>
      </c>
      <c r="C742" s="108" t="s">
        <v>535</v>
      </c>
      <c r="D742" s="101" t="s">
        <v>162</v>
      </c>
      <c r="E742" s="102">
        <v>110</v>
      </c>
      <c r="F742" s="67" t="str">
        <f>IFERROR(IFERROR(INDEX(Кат!$A:$A,MATCH(Прайс!$B742,Кат!$G:$G,0)),INDEX(Торг!$B:$B,MATCH(Прайс!$B742,Торг!$H:$H,0))),"")</f>
        <v/>
      </c>
      <c r="G742" s="67" t="str">
        <f>IFERROR(IFERROR(INDEX(Кат!$B:$B,MATCH(Прайс!$B742,Кат!$G:$G,0)),INDEX(Торг!$C:$C,MATCH(Прайс!$B742,Торг!$H:$H,0))),"")</f>
        <v/>
      </c>
      <c r="H742" s="67" t="str">
        <f>IFERROR(IFERROR(INDEX(Кат!$I:$I,MATCH(Прайс!$B742,Кат!$G:$G,0)),INDEX(Торг!$I:$I,MATCH(Прайс!$B742,Торг!$H:$H,0))),"")</f>
        <v/>
      </c>
    </row>
    <row r="743" spans="1:8" x14ac:dyDescent="0.25">
      <c r="A743" s="94" t="s">
        <v>2853</v>
      </c>
      <c r="B743" s="98">
        <v>50022</v>
      </c>
      <c r="C743" s="98" t="s">
        <v>536</v>
      </c>
      <c r="D743" s="96" t="s">
        <v>162</v>
      </c>
      <c r="E743" s="97">
        <v>110</v>
      </c>
      <c r="F743" s="67" t="str">
        <f>IFERROR(IFERROR(INDEX(Кат!$A:$A,MATCH(Прайс!$B743,Кат!$G:$G,0)),INDEX(Торг!$B:$B,MATCH(Прайс!$B743,Торг!$H:$H,0))),"")</f>
        <v/>
      </c>
      <c r="G743" s="67" t="str">
        <f>IFERROR(IFERROR(INDEX(Кат!$B:$B,MATCH(Прайс!$B743,Кат!$G:$G,0)),INDEX(Торг!$C:$C,MATCH(Прайс!$B743,Торг!$H:$H,0))),"")</f>
        <v/>
      </c>
      <c r="H743" s="67" t="str">
        <f>IFERROR(IFERROR(INDEX(Кат!$I:$I,MATCH(Прайс!$B743,Кат!$G:$G,0)),INDEX(Торг!$I:$I,MATCH(Прайс!$B743,Торг!$H:$H,0))),"")</f>
        <v/>
      </c>
    </row>
    <row r="744" spans="1:8" x14ac:dyDescent="0.25">
      <c r="A744" s="94" t="s">
        <v>5754</v>
      </c>
      <c r="B744" s="98">
        <v>50586</v>
      </c>
      <c r="C744" s="98" t="s">
        <v>5755</v>
      </c>
      <c r="D744" s="96" t="s">
        <v>176</v>
      </c>
      <c r="E744" s="97">
        <v>110</v>
      </c>
      <c r="F744" s="67" t="str">
        <f>IFERROR(IFERROR(INDEX(Кат!$A:$A,MATCH(Прайс!$B744,Кат!$G:$G,0)),INDEX(Торг!$B:$B,MATCH(Прайс!$B744,Торг!$H:$H,0))),"")</f>
        <v/>
      </c>
      <c r="G744" s="67" t="str">
        <f>IFERROR(IFERROR(INDEX(Кат!$B:$B,MATCH(Прайс!$B744,Кат!$G:$G,0)),INDEX(Торг!$C:$C,MATCH(Прайс!$B744,Торг!$H:$H,0))),"")</f>
        <v/>
      </c>
      <c r="H744" s="67" t="str">
        <f>IFERROR(IFERROR(INDEX(Кат!$I:$I,MATCH(Прайс!$B744,Кат!$G:$G,0)),INDEX(Торг!$I:$I,MATCH(Прайс!$B744,Торг!$H:$H,0))),"")</f>
        <v/>
      </c>
    </row>
    <row r="745" spans="1:8" x14ac:dyDescent="0.25">
      <c r="A745" s="94" t="s">
        <v>2854</v>
      </c>
      <c r="B745" s="98">
        <v>50023</v>
      </c>
      <c r="C745" s="98" t="s">
        <v>537</v>
      </c>
      <c r="D745" s="96" t="s">
        <v>162</v>
      </c>
      <c r="E745" s="97">
        <v>110</v>
      </c>
      <c r="F745" s="67" t="str">
        <f>IFERROR(IFERROR(INDEX(Кат!$A:$A,MATCH(Прайс!$B745,Кат!$G:$G,0)),INDEX(Торг!$B:$B,MATCH(Прайс!$B745,Торг!$H:$H,0))),"")</f>
        <v/>
      </c>
      <c r="G745" s="67" t="str">
        <f>IFERROR(IFERROR(INDEX(Кат!$B:$B,MATCH(Прайс!$B745,Кат!$G:$G,0)),INDEX(Торг!$C:$C,MATCH(Прайс!$B745,Торг!$H:$H,0))),"")</f>
        <v/>
      </c>
      <c r="H745" s="67" t="str">
        <f>IFERROR(IFERROR(INDEX(Кат!$I:$I,MATCH(Прайс!$B745,Кат!$G:$G,0)),INDEX(Торг!$I:$I,MATCH(Прайс!$B745,Торг!$H:$H,0))),"")</f>
        <v/>
      </c>
    </row>
    <row r="746" spans="1:8" x14ac:dyDescent="0.25">
      <c r="A746" s="94" t="s">
        <v>2855</v>
      </c>
      <c r="B746" s="98">
        <v>50587</v>
      </c>
      <c r="C746" s="98" t="s">
        <v>538</v>
      </c>
      <c r="D746" s="96" t="s">
        <v>176</v>
      </c>
      <c r="E746" s="97">
        <v>110</v>
      </c>
      <c r="F746" s="67" t="str">
        <f>IFERROR(IFERROR(INDEX(Кат!$A:$A,MATCH(Прайс!$B746,Кат!$G:$G,0)),INDEX(Торг!$B:$B,MATCH(Прайс!$B746,Торг!$H:$H,0))),"")</f>
        <v/>
      </c>
      <c r="G746" s="67" t="str">
        <f>IFERROR(IFERROR(INDEX(Кат!$B:$B,MATCH(Прайс!$B746,Кат!$G:$G,0)),INDEX(Торг!$C:$C,MATCH(Прайс!$B746,Торг!$H:$H,0))),"")</f>
        <v/>
      </c>
      <c r="H746" s="67" t="str">
        <f>IFERROR(IFERROR(INDEX(Кат!$I:$I,MATCH(Прайс!$B746,Кат!$G:$G,0)),INDEX(Торг!$I:$I,MATCH(Прайс!$B746,Торг!$H:$H,0))),"")</f>
        <v/>
      </c>
    </row>
    <row r="747" spans="1:8" x14ac:dyDescent="0.25">
      <c r="A747" s="99" t="s">
        <v>2856</v>
      </c>
      <c r="B747" s="108">
        <v>50024</v>
      </c>
      <c r="C747" s="108" t="s">
        <v>539</v>
      </c>
      <c r="D747" s="101" t="s">
        <v>162</v>
      </c>
      <c r="E747" s="102">
        <v>110</v>
      </c>
      <c r="F747" s="67" t="str">
        <f>IFERROR(IFERROR(INDEX(Кат!$A:$A,MATCH(Прайс!$B747,Кат!$G:$G,0)),INDEX(Торг!$B:$B,MATCH(Прайс!$B747,Торг!$H:$H,0))),"")</f>
        <v/>
      </c>
      <c r="G747" s="67" t="str">
        <f>IFERROR(IFERROR(INDEX(Кат!$B:$B,MATCH(Прайс!$B747,Кат!$G:$G,0)),INDEX(Торг!$C:$C,MATCH(Прайс!$B747,Торг!$H:$H,0))),"")</f>
        <v/>
      </c>
      <c r="H747" s="67" t="str">
        <f>IFERROR(IFERROR(INDEX(Кат!$I:$I,MATCH(Прайс!$B747,Кат!$G:$G,0)),INDEX(Торг!$I:$I,MATCH(Прайс!$B747,Торг!$H:$H,0))),"")</f>
        <v/>
      </c>
    </row>
    <row r="748" spans="1:8" x14ac:dyDescent="0.25">
      <c r="A748" s="99" t="s">
        <v>2857</v>
      </c>
      <c r="B748" s="108">
        <v>50025</v>
      </c>
      <c r="C748" s="108" t="s">
        <v>540</v>
      </c>
      <c r="D748" s="101" t="s">
        <v>162</v>
      </c>
      <c r="E748" s="102">
        <v>110</v>
      </c>
      <c r="F748" s="67" t="str">
        <f>IFERROR(IFERROR(INDEX(Кат!$A:$A,MATCH(Прайс!$B748,Кат!$G:$G,0)),INDEX(Торг!$B:$B,MATCH(Прайс!$B748,Торг!$H:$H,0))),"")</f>
        <v/>
      </c>
      <c r="G748" s="67" t="str">
        <f>IFERROR(IFERROR(INDEX(Кат!$B:$B,MATCH(Прайс!$B748,Кат!$G:$G,0)),INDEX(Торг!$C:$C,MATCH(Прайс!$B748,Торг!$H:$H,0))),"")</f>
        <v/>
      </c>
      <c r="H748" s="67" t="str">
        <f>IFERROR(IFERROR(INDEX(Кат!$I:$I,MATCH(Прайс!$B748,Кат!$G:$G,0)),INDEX(Торг!$I:$I,MATCH(Прайс!$B748,Торг!$H:$H,0))),"")</f>
        <v/>
      </c>
    </row>
    <row r="749" spans="1:8" x14ac:dyDescent="0.25">
      <c r="A749" s="103" t="s">
        <v>2858</v>
      </c>
      <c r="B749" s="104">
        <v>50027</v>
      </c>
      <c r="C749" s="104" t="s">
        <v>541</v>
      </c>
      <c r="D749" s="105" t="s">
        <v>162</v>
      </c>
      <c r="E749" s="113">
        <v>110</v>
      </c>
      <c r="F749" s="67" t="str">
        <f>IFERROR(IFERROR(INDEX(Кат!$A:$A,MATCH(Прайс!$B749,Кат!$G:$G,0)),INDEX(Торг!$B:$B,MATCH(Прайс!$B749,Торг!$H:$H,0))),"")</f>
        <v/>
      </c>
      <c r="G749" s="67" t="str">
        <f>IFERROR(IFERROR(INDEX(Кат!$B:$B,MATCH(Прайс!$B749,Кат!$G:$G,0)),INDEX(Торг!$C:$C,MATCH(Прайс!$B749,Торг!$H:$H,0))),"")</f>
        <v/>
      </c>
      <c r="H749" s="67" t="str">
        <f>IFERROR(IFERROR(INDEX(Кат!$I:$I,MATCH(Прайс!$B749,Кат!$G:$G,0)),INDEX(Торг!$I:$I,MATCH(Прайс!$B749,Торг!$H:$H,0))),"")</f>
        <v/>
      </c>
    </row>
    <row r="750" spans="1:8" x14ac:dyDescent="0.25">
      <c r="A750" s="99" t="s">
        <v>2859</v>
      </c>
      <c r="B750" s="108">
        <v>50028</v>
      </c>
      <c r="C750" s="108" t="s">
        <v>542</v>
      </c>
      <c r="D750" s="101" t="s">
        <v>162</v>
      </c>
      <c r="E750" s="102">
        <v>110</v>
      </c>
      <c r="F750" s="67" t="str">
        <f>IFERROR(IFERROR(INDEX(Кат!$A:$A,MATCH(Прайс!$B750,Кат!$G:$G,0)),INDEX(Торг!$B:$B,MATCH(Прайс!$B750,Торг!$H:$H,0))),"")</f>
        <v/>
      </c>
      <c r="G750" s="67" t="str">
        <f>IFERROR(IFERROR(INDEX(Кат!$B:$B,MATCH(Прайс!$B750,Кат!$G:$G,0)),INDEX(Торг!$C:$C,MATCH(Прайс!$B750,Торг!$H:$H,0))),"")</f>
        <v/>
      </c>
      <c r="H750" s="67" t="str">
        <f>IFERROR(IFERROR(INDEX(Кат!$I:$I,MATCH(Прайс!$B750,Кат!$G:$G,0)),INDEX(Торг!$I:$I,MATCH(Прайс!$B750,Торг!$H:$H,0))),"")</f>
        <v/>
      </c>
    </row>
    <row r="751" spans="1:8" x14ac:dyDescent="0.25">
      <c r="A751" s="94" t="s">
        <v>2860</v>
      </c>
      <c r="B751" s="98">
        <v>50029</v>
      </c>
      <c r="C751" s="98" t="s">
        <v>543</v>
      </c>
      <c r="D751" s="96" t="s">
        <v>162</v>
      </c>
      <c r="E751" s="97">
        <v>110</v>
      </c>
      <c r="F751" s="67" t="str">
        <f>IFERROR(IFERROR(INDEX(Кат!$A:$A,MATCH(Прайс!$B751,Кат!$G:$G,0)),INDEX(Торг!$B:$B,MATCH(Прайс!$B751,Торг!$H:$H,0))),"")</f>
        <v/>
      </c>
      <c r="G751" s="67" t="str">
        <f>IFERROR(IFERROR(INDEX(Кат!$B:$B,MATCH(Прайс!$B751,Кат!$G:$G,0)),INDEX(Торг!$C:$C,MATCH(Прайс!$B751,Торг!$H:$H,0))),"")</f>
        <v/>
      </c>
      <c r="H751" s="67" t="str">
        <f>IFERROR(IFERROR(INDEX(Кат!$I:$I,MATCH(Прайс!$B751,Кат!$G:$G,0)),INDEX(Торг!$I:$I,MATCH(Прайс!$B751,Торг!$H:$H,0))),"")</f>
        <v/>
      </c>
    </row>
    <row r="752" spans="1:8" x14ac:dyDescent="0.25">
      <c r="A752" s="94" t="s">
        <v>8197</v>
      </c>
      <c r="B752" s="98">
        <v>50030</v>
      </c>
      <c r="C752" s="98" t="s">
        <v>8198</v>
      </c>
      <c r="D752" s="96" t="s">
        <v>162</v>
      </c>
      <c r="E752" s="97">
        <v>110</v>
      </c>
      <c r="F752" s="67" t="str">
        <f>IFERROR(IFERROR(INDEX(Кат!$A:$A,MATCH(Прайс!$B752,Кат!$G:$G,0)),INDEX(Торг!$B:$B,MATCH(Прайс!$B752,Торг!$H:$H,0))),"")</f>
        <v/>
      </c>
      <c r="G752" s="67" t="str">
        <f>IFERROR(IFERROR(INDEX(Кат!$B:$B,MATCH(Прайс!$B752,Кат!$G:$G,0)),INDEX(Торг!$C:$C,MATCH(Прайс!$B752,Торг!$H:$H,0))),"")</f>
        <v/>
      </c>
      <c r="H752" s="67" t="str">
        <f>IFERROR(IFERROR(INDEX(Кат!$I:$I,MATCH(Прайс!$B752,Кат!$G:$G,0)),INDEX(Торг!$I:$I,MATCH(Прайс!$B752,Торг!$H:$H,0))),"")</f>
        <v/>
      </c>
    </row>
    <row r="753" spans="1:8" x14ac:dyDescent="0.25">
      <c r="A753" s="94" t="s">
        <v>2861</v>
      </c>
      <c r="B753" s="98">
        <v>50556</v>
      </c>
      <c r="C753" s="98" t="s">
        <v>544</v>
      </c>
      <c r="D753" s="96" t="s">
        <v>176</v>
      </c>
      <c r="E753" s="97">
        <v>110</v>
      </c>
      <c r="F753" s="67" t="str">
        <f>IFERROR(IFERROR(INDEX(Кат!$A:$A,MATCH(Прайс!$B753,Кат!$G:$G,0)),INDEX(Торг!$B:$B,MATCH(Прайс!$B753,Торг!$H:$H,0))),"")</f>
        <v/>
      </c>
      <c r="G753" s="67" t="str">
        <f>IFERROR(IFERROR(INDEX(Кат!$B:$B,MATCH(Прайс!$B753,Кат!$G:$G,0)),INDEX(Торг!$C:$C,MATCH(Прайс!$B753,Торг!$H:$H,0))),"")</f>
        <v/>
      </c>
      <c r="H753" s="67" t="str">
        <f>IFERROR(IFERROR(INDEX(Кат!$I:$I,MATCH(Прайс!$B753,Кат!$G:$G,0)),INDEX(Торг!$I:$I,MATCH(Прайс!$B753,Торг!$H:$H,0))),"")</f>
        <v/>
      </c>
    </row>
    <row r="754" spans="1:8" x14ac:dyDescent="0.25">
      <c r="A754" s="94" t="s">
        <v>7430</v>
      </c>
      <c r="B754" s="98">
        <v>50678</v>
      </c>
      <c r="C754" s="98" t="s">
        <v>7431</v>
      </c>
      <c r="D754" s="96" t="s">
        <v>162</v>
      </c>
      <c r="E754" s="97">
        <v>110</v>
      </c>
      <c r="F754" s="67" t="str">
        <f>IFERROR(IFERROR(INDEX(Кат!$A:$A,MATCH(Прайс!$B754,Кат!$G:$G,0)),INDEX(Торг!$B:$B,MATCH(Прайс!$B754,Торг!$H:$H,0))),"")</f>
        <v/>
      </c>
      <c r="G754" s="67" t="str">
        <f>IFERROR(IFERROR(INDEX(Кат!$B:$B,MATCH(Прайс!$B754,Кат!$G:$G,0)),INDEX(Торг!$C:$C,MATCH(Прайс!$B754,Торг!$H:$H,0))),"")</f>
        <v/>
      </c>
      <c r="H754" s="67" t="str">
        <f>IFERROR(IFERROR(INDEX(Кат!$I:$I,MATCH(Прайс!$B754,Кат!$G:$G,0)),INDEX(Торг!$I:$I,MATCH(Прайс!$B754,Торг!$H:$H,0))),"")</f>
        <v/>
      </c>
    </row>
    <row r="755" spans="1:8" x14ac:dyDescent="0.25">
      <c r="A755" s="99" t="s">
        <v>2862</v>
      </c>
      <c r="B755" s="108">
        <v>50031</v>
      </c>
      <c r="C755" s="108" t="s">
        <v>545</v>
      </c>
      <c r="D755" s="101" t="s">
        <v>162</v>
      </c>
      <c r="E755" s="102">
        <v>110</v>
      </c>
      <c r="F755" s="67" t="str">
        <f>IFERROR(IFERROR(INDEX(Кат!$A:$A,MATCH(Прайс!$B755,Кат!$G:$G,0)),INDEX(Торг!$B:$B,MATCH(Прайс!$B755,Торг!$H:$H,0))),"")</f>
        <v/>
      </c>
      <c r="G755" s="67" t="str">
        <f>IFERROR(IFERROR(INDEX(Кат!$B:$B,MATCH(Прайс!$B755,Кат!$G:$G,0)),INDEX(Торг!$C:$C,MATCH(Прайс!$B755,Торг!$H:$H,0))),"")</f>
        <v/>
      </c>
      <c r="H755" s="67" t="str">
        <f>IFERROR(IFERROR(INDEX(Кат!$I:$I,MATCH(Прайс!$B755,Кат!$G:$G,0)),INDEX(Торг!$I:$I,MATCH(Прайс!$B755,Торг!$H:$H,0))),"")</f>
        <v/>
      </c>
    </row>
    <row r="756" spans="1:8" x14ac:dyDescent="0.25">
      <c r="A756" s="94" t="s">
        <v>2863</v>
      </c>
      <c r="B756" s="98">
        <v>50032</v>
      </c>
      <c r="C756" s="98" t="s">
        <v>546</v>
      </c>
      <c r="D756" s="96" t="s">
        <v>162</v>
      </c>
      <c r="E756" s="97">
        <v>110</v>
      </c>
      <c r="F756" s="67" t="str">
        <f>IFERROR(IFERROR(INDEX(Кат!$A:$A,MATCH(Прайс!$B756,Кат!$G:$G,0)),INDEX(Торг!$B:$B,MATCH(Прайс!$B756,Торг!$H:$H,0))),"")</f>
        <v/>
      </c>
      <c r="G756" s="67" t="str">
        <f>IFERROR(IFERROR(INDEX(Кат!$B:$B,MATCH(Прайс!$B756,Кат!$G:$G,0)),INDEX(Торг!$C:$C,MATCH(Прайс!$B756,Торг!$H:$H,0))),"")</f>
        <v/>
      </c>
      <c r="H756" s="67" t="str">
        <f>IFERROR(IFERROR(INDEX(Кат!$I:$I,MATCH(Прайс!$B756,Кат!$G:$G,0)),INDEX(Торг!$I:$I,MATCH(Прайс!$B756,Торг!$H:$H,0))),"")</f>
        <v/>
      </c>
    </row>
    <row r="757" spans="1:8" x14ac:dyDescent="0.25">
      <c r="A757" s="94" t="s">
        <v>2864</v>
      </c>
      <c r="B757" s="98">
        <v>50033</v>
      </c>
      <c r="C757" s="98" t="s">
        <v>547</v>
      </c>
      <c r="D757" s="96" t="s">
        <v>162</v>
      </c>
      <c r="E757" s="97">
        <v>110</v>
      </c>
      <c r="F757" s="67" t="str">
        <f>IFERROR(IFERROR(INDEX(Кат!$A:$A,MATCH(Прайс!$B757,Кат!$G:$G,0)),INDEX(Торг!$B:$B,MATCH(Прайс!$B757,Торг!$H:$H,0))),"")</f>
        <v/>
      </c>
      <c r="G757" s="67" t="str">
        <f>IFERROR(IFERROR(INDEX(Кат!$B:$B,MATCH(Прайс!$B757,Кат!$G:$G,0)),INDEX(Торг!$C:$C,MATCH(Прайс!$B757,Торг!$H:$H,0))),"")</f>
        <v/>
      </c>
      <c r="H757" s="67" t="str">
        <f>IFERROR(IFERROR(INDEX(Кат!$I:$I,MATCH(Прайс!$B757,Кат!$G:$G,0)),INDEX(Торг!$I:$I,MATCH(Прайс!$B757,Торг!$H:$H,0))),"")</f>
        <v/>
      </c>
    </row>
    <row r="758" spans="1:8" x14ac:dyDescent="0.25">
      <c r="A758" s="103" t="s">
        <v>2865</v>
      </c>
      <c r="B758" s="104">
        <v>50034</v>
      </c>
      <c r="C758" s="104" t="s">
        <v>548</v>
      </c>
      <c r="D758" s="105" t="s">
        <v>162</v>
      </c>
      <c r="E758" s="113">
        <v>110</v>
      </c>
      <c r="F758" s="67" t="str">
        <f>IFERROR(IFERROR(INDEX(Кат!$A:$A,MATCH(Прайс!$B758,Кат!$G:$G,0)),INDEX(Торг!$B:$B,MATCH(Прайс!$B758,Торг!$H:$H,0))),"")</f>
        <v/>
      </c>
      <c r="G758" s="67" t="str">
        <f>IFERROR(IFERROR(INDEX(Кат!$B:$B,MATCH(Прайс!$B758,Кат!$G:$G,0)),INDEX(Торг!$C:$C,MATCH(Прайс!$B758,Торг!$H:$H,0))),"")</f>
        <v/>
      </c>
      <c r="H758" s="67" t="str">
        <f>IFERROR(IFERROR(INDEX(Кат!$I:$I,MATCH(Прайс!$B758,Кат!$G:$G,0)),INDEX(Торг!$I:$I,MATCH(Прайс!$B758,Торг!$H:$H,0))),"")</f>
        <v/>
      </c>
    </row>
    <row r="759" spans="1:8" x14ac:dyDescent="0.25">
      <c r="A759" s="94" t="s">
        <v>6206</v>
      </c>
      <c r="B759" s="98">
        <v>50035</v>
      </c>
      <c r="C759" s="98" t="s">
        <v>6207</v>
      </c>
      <c r="D759" s="96" t="s">
        <v>162</v>
      </c>
      <c r="E759" s="97">
        <v>110</v>
      </c>
      <c r="F759" s="67" t="str">
        <f>IFERROR(IFERROR(INDEX(Кат!$A:$A,MATCH(Прайс!$B759,Кат!$G:$G,0)),INDEX(Торг!$B:$B,MATCH(Прайс!$B759,Торг!$H:$H,0))),"")</f>
        <v/>
      </c>
      <c r="G759" s="67" t="str">
        <f>IFERROR(IFERROR(INDEX(Кат!$B:$B,MATCH(Прайс!$B759,Кат!$G:$G,0)),INDEX(Торг!$C:$C,MATCH(Прайс!$B759,Торг!$H:$H,0))),"")</f>
        <v/>
      </c>
      <c r="H759" s="67" t="str">
        <f>IFERROR(IFERROR(INDEX(Кат!$I:$I,MATCH(Прайс!$B759,Кат!$G:$G,0)),INDEX(Торг!$I:$I,MATCH(Прайс!$B759,Торг!$H:$H,0))),"")</f>
        <v/>
      </c>
    </row>
    <row r="760" spans="1:8" x14ac:dyDescent="0.25">
      <c r="A760" s="94" t="s">
        <v>8389</v>
      </c>
      <c r="B760" s="98">
        <v>50036</v>
      </c>
      <c r="C760" s="98" t="s">
        <v>8390</v>
      </c>
      <c r="D760" s="96" t="s">
        <v>162</v>
      </c>
      <c r="E760" s="97">
        <v>110</v>
      </c>
      <c r="F760" s="67" t="str">
        <f>IFERROR(IFERROR(INDEX(Кат!$A:$A,MATCH(Прайс!$B760,Кат!$G:$G,0)),INDEX(Торг!$B:$B,MATCH(Прайс!$B760,Торг!$H:$H,0))),"")</f>
        <v/>
      </c>
      <c r="G760" s="67" t="str">
        <f>IFERROR(IFERROR(INDEX(Кат!$B:$B,MATCH(Прайс!$B760,Кат!$G:$G,0)),INDEX(Торг!$C:$C,MATCH(Прайс!$B760,Торг!$H:$H,0))),"")</f>
        <v/>
      </c>
      <c r="H760" s="67" t="str">
        <f>IFERROR(IFERROR(INDEX(Кат!$I:$I,MATCH(Прайс!$B760,Кат!$G:$G,0)),INDEX(Торг!$I:$I,MATCH(Прайс!$B760,Торг!$H:$H,0))),"")</f>
        <v/>
      </c>
    </row>
    <row r="761" spans="1:8" x14ac:dyDescent="0.25">
      <c r="A761" s="103" t="s">
        <v>2866</v>
      </c>
      <c r="B761" s="104">
        <v>50037</v>
      </c>
      <c r="C761" s="104" t="s">
        <v>549</v>
      </c>
      <c r="D761" s="105" t="s">
        <v>162</v>
      </c>
      <c r="E761" s="113">
        <v>110</v>
      </c>
      <c r="F761" s="67" t="str">
        <f>IFERROR(IFERROR(INDEX(Кат!$A:$A,MATCH(Прайс!$B761,Кат!$G:$G,0)),INDEX(Торг!$B:$B,MATCH(Прайс!$B761,Торг!$H:$H,0))),"")</f>
        <v/>
      </c>
      <c r="G761" s="67" t="str">
        <f>IFERROR(IFERROR(INDEX(Кат!$B:$B,MATCH(Прайс!$B761,Кат!$G:$G,0)),INDEX(Торг!$C:$C,MATCH(Прайс!$B761,Торг!$H:$H,0))),"")</f>
        <v/>
      </c>
      <c r="H761" s="67" t="str">
        <f>IFERROR(IFERROR(INDEX(Кат!$I:$I,MATCH(Прайс!$B761,Кат!$G:$G,0)),INDEX(Торг!$I:$I,MATCH(Прайс!$B761,Торг!$H:$H,0))),"")</f>
        <v/>
      </c>
    </row>
    <row r="762" spans="1:8" x14ac:dyDescent="0.25">
      <c r="A762" s="94" t="s">
        <v>2867</v>
      </c>
      <c r="B762" s="98">
        <v>50038</v>
      </c>
      <c r="C762" s="98" t="s">
        <v>550</v>
      </c>
      <c r="D762" s="96" t="s">
        <v>162</v>
      </c>
      <c r="E762" s="97">
        <v>110</v>
      </c>
      <c r="F762" s="67" t="str">
        <f>IFERROR(IFERROR(INDEX(Кат!$A:$A,MATCH(Прайс!$B762,Кат!$G:$G,0)),INDEX(Торг!$B:$B,MATCH(Прайс!$B762,Торг!$H:$H,0))),"")</f>
        <v/>
      </c>
      <c r="G762" s="67" t="str">
        <f>IFERROR(IFERROR(INDEX(Кат!$B:$B,MATCH(Прайс!$B762,Кат!$G:$G,0)),INDEX(Торг!$C:$C,MATCH(Прайс!$B762,Торг!$H:$H,0))),"")</f>
        <v/>
      </c>
      <c r="H762" s="67" t="str">
        <f>IFERROR(IFERROR(INDEX(Кат!$I:$I,MATCH(Прайс!$B762,Кат!$G:$G,0)),INDEX(Торг!$I:$I,MATCH(Прайс!$B762,Торг!$H:$H,0))),"")</f>
        <v/>
      </c>
    </row>
    <row r="763" spans="1:8" x14ac:dyDescent="0.25">
      <c r="A763" s="99" t="s">
        <v>2868</v>
      </c>
      <c r="B763" s="108">
        <v>50040</v>
      </c>
      <c r="C763" s="108" t="s">
        <v>551</v>
      </c>
      <c r="D763" s="101" t="s">
        <v>162</v>
      </c>
      <c r="E763" s="102">
        <v>110</v>
      </c>
      <c r="F763" s="67" t="str">
        <f>IFERROR(IFERROR(INDEX(Кат!$A:$A,MATCH(Прайс!$B763,Кат!$G:$G,0)),INDEX(Торг!$B:$B,MATCH(Прайс!$B763,Торг!$H:$H,0))),"")</f>
        <v/>
      </c>
      <c r="G763" s="67" t="str">
        <f>IFERROR(IFERROR(INDEX(Кат!$B:$B,MATCH(Прайс!$B763,Кат!$G:$G,0)),INDEX(Торг!$C:$C,MATCH(Прайс!$B763,Торг!$H:$H,0))),"")</f>
        <v/>
      </c>
      <c r="H763" s="67" t="str">
        <f>IFERROR(IFERROR(INDEX(Кат!$I:$I,MATCH(Прайс!$B763,Кат!$G:$G,0)),INDEX(Торг!$I:$I,MATCH(Прайс!$B763,Торг!$H:$H,0))),"")</f>
        <v/>
      </c>
    </row>
    <row r="764" spans="1:8" x14ac:dyDescent="0.25">
      <c r="A764" s="99" t="s">
        <v>2869</v>
      </c>
      <c r="B764" s="108">
        <v>50041</v>
      </c>
      <c r="C764" s="108" t="s">
        <v>552</v>
      </c>
      <c r="D764" s="101" t="s">
        <v>162</v>
      </c>
      <c r="E764" s="102">
        <v>110</v>
      </c>
      <c r="F764" s="67" t="str">
        <f>IFERROR(IFERROR(INDEX(Кат!$A:$A,MATCH(Прайс!$B764,Кат!$G:$G,0)),INDEX(Торг!$B:$B,MATCH(Прайс!$B764,Торг!$H:$H,0))),"")</f>
        <v/>
      </c>
      <c r="G764" s="67" t="str">
        <f>IFERROR(IFERROR(INDEX(Кат!$B:$B,MATCH(Прайс!$B764,Кат!$G:$G,0)),INDEX(Торг!$C:$C,MATCH(Прайс!$B764,Торг!$H:$H,0))),"")</f>
        <v/>
      </c>
      <c r="H764" s="67" t="str">
        <f>IFERROR(IFERROR(INDEX(Кат!$I:$I,MATCH(Прайс!$B764,Кат!$G:$G,0)),INDEX(Торг!$I:$I,MATCH(Прайс!$B764,Торг!$H:$H,0))),"")</f>
        <v/>
      </c>
    </row>
    <row r="765" spans="1:8" x14ac:dyDescent="0.25">
      <c r="A765" s="94" t="s">
        <v>2870</v>
      </c>
      <c r="B765" s="98">
        <v>50042</v>
      </c>
      <c r="C765" s="98" t="s">
        <v>553</v>
      </c>
      <c r="D765" s="96" t="s">
        <v>162</v>
      </c>
      <c r="E765" s="97">
        <v>110</v>
      </c>
      <c r="F765" s="67" t="str">
        <f>IFERROR(IFERROR(INDEX(Кат!$A:$A,MATCH(Прайс!$B765,Кат!$G:$G,0)),INDEX(Торг!$B:$B,MATCH(Прайс!$B765,Торг!$H:$H,0))),"")</f>
        <v/>
      </c>
      <c r="G765" s="67" t="str">
        <f>IFERROR(IFERROR(INDEX(Кат!$B:$B,MATCH(Прайс!$B765,Кат!$G:$G,0)),INDEX(Торг!$C:$C,MATCH(Прайс!$B765,Торг!$H:$H,0))),"")</f>
        <v/>
      </c>
      <c r="H765" s="67" t="str">
        <f>IFERROR(IFERROR(INDEX(Кат!$I:$I,MATCH(Прайс!$B765,Кат!$G:$G,0)),INDEX(Торг!$I:$I,MATCH(Прайс!$B765,Торг!$H:$H,0))),"")</f>
        <v/>
      </c>
    </row>
    <row r="766" spans="1:8" x14ac:dyDescent="0.25">
      <c r="A766" s="94" t="s">
        <v>2871</v>
      </c>
      <c r="B766" s="98">
        <v>50043</v>
      </c>
      <c r="C766" s="98" t="s">
        <v>554</v>
      </c>
      <c r="D766" s="96" t="s">
        <v>162</v>
      </c>
      <c r="E766" s="97">
        <v>110</v>
      </c>
      <c r="F766" s="67" t="str">
        <f>IFERROR(IFERROR(INDEX(Кат!$A:$A,MATCH(Прайс!$B766,Кат!$G:$G,0)),INDEX(Торг!$B:$B,MATCH(Прайс!$B766,Торг!$H:$H,0))),"")</f>
        <v/>
      </c>
      <c r="G766" s="67" t="str">
        <f>IFERROR(IFERROR(INDEX(Кат!$B:$B,MATCH(Прайс!$B766,Кат!$G:$G,0)),INDEX(Торг!$C:$C,MATCH(Прайс!$B766,Торг!$H:$H,0))),"")</f>
        <v/>
      </c>
      <c r="H766" s="67" t="str">
        <f>IFERROR(IFERROR(INDEX(Кат!$I:$I,MATCH(Прайс!$B766,Кат!$G:$G,0)),INDEX(Торг!$I:$I,MATCH(Прайс!$B766,Торг!$H:$H,0))),"")</f>
        <v/>
      </c>
    </row>
    <row r="767" spans="1:8" x14ac:dyDescent="0.25">
      <c r="A767" s="99" t="s">
        <v>2872</v>
      </c>
      <c r="B767" s="108">
        <v>50044</v>
      </c>
      <c r="C767" s="108" t="s">
        <v>555</v>
      </c>
      <c r="D767" s="101" t="s">
        <v>162</v>
      </c>
      <c r="E767" s="102">
        <v>110</v>
      </c>
      <c r="F767" s="67" t="str">
        <f>IFERROR(IFERROR(INDEX(Кат!$A:$A,MATCH(Прайс!$B767,Кат!$G:$G,0)),INDEX(Торг!$B:$B,MATCH(Прайс!$B767,Торг!$H:$H,0))),"")</f>
        <v/>
      </c>
      <c r="G767" s="67" t="str">
        <f>IFERROR(IFERROR(INDEX(Кат!$B:$B,MATCH(Прайс!$B767,Кат!$G:$G,0)),INDEX(Торг!$C:$C,MATCH(Прайс!$B767,Торг!$H:$H,0))),"")</f>
        <v/>
      </c>
      <c r="H767" s="67" t="str">
        <f>IFERROR(IFERROR(INDEX(Кат!$I:$I,MATCH(Прайс!$B767,Кат!$G:$G,0)),INDEX(Торг!$I:$I,MATCH(Прайс!$B767,Торг!$H:$H,0))),"")</f>
        <v/>
      </c>
    </row>
    <row r="768" spans="1:8" x14ac:dyDescent="0.25">
      <c r="A768" s="99" t="s">
        <v>2873</v>
      </c>
      <c r="B768" s="108">
        <v>50045</v>
      </c>
      <c r="C768" s="108" t="s">
        <v>556</v>
      </c>
      <c r="D768" s="101" t="s">
        <v>162</v>
      </c>
      <c r="E768" s="102">
        <v>110</v>
      </c>
      <c r="F768" s="67" t="str">
        <f>IFERROR(IFERROR(INDEX(Кат!$A:$A,MATCH(Прайс!$B768,Кат!$G:$G,0)),INDEX(Торг!$B:$B,MATCH(Прайс!$B768,Торг!$H:$H,0))),"")</f>
        <v/>
      </c>
      <c r="G768" s="67" t="str">
        <f>IFERROR(IFERROR(INDEX(Кат!$B:$B,MATCH(Прайс!$B768,Кат!$G:$G,0)),INDEX(Торг!$C:$C,MATCH(Прайс!$B768,Торг!$H:$H,0))),"")</f>
        <v/>
      </c>
      <c r="H768" s="67" t="str">
        <f>IFERROR(IFERROR(INDEX(Кат!$I:$I,MATCH(Прайс!$B768,Кат!$G:$G,0)),INDEX(Торг!$I:$I,MATCH(Прайс!$B768,Торг!$H:$H,0))),"")</f>
        <v/>
      </c>
    </row>
    <row r="769" spans="1:8" x14ac:dyDescent="0.25">
      <c r="A769" s="94" t="s">
        <v>2874</v>
      </c>
      <c r="B769" s="98">
        <v>50046</v>
      </c>
      <c r="C769" s="98" t="s">
        <v>557</v>
      </c>
      <c r="D769" s="96" t="s">
        <v>162</v>
      </c>
      <c r="E769" s="97">
        <v>110</v>
      </c>
      <c r="F769" s="67" t="str">
        <f>IFERROR(IFERROR(INDEX(Кат!$A:$A,MATCH(Прайс!$B769,Кат!$G:$G,0)),INDEX(Торг!$B:$B,MATCH(Прайс!$B769,Торг!$H:$H,0))),"")</f>
        <v/>
      </c>
      <c r="G769" s="67" t="str">
        <f>IFERROR(IFERROR(INDEX(Кат!$B:$B,MATCH(Прайс!$B769,Кат!$G:$G,0)),INDEX(Торг!$C:$C,MATCH(Прайс!$B769,Торг!$H:$H,0))),"")</f>
        <v/>
      </c>
      <c r="H769" s="67" t="str">
        <f>IFERROR(IFERROR(INDEX(Кат!$I:$I,MATCH(Прайс!$B769,Кат!$G:$G,0)),INDEX(Торг!$I:$I,MATCH(Прайс!$B769,Торг!$H:$H,0))),"")</f>
        <v/>
      </c>
    </row>
    <row r="770" spans="1:8" x14ac:dyDescent="0.25">
      <c r="A770" s="94" t="s">
        <v>2875</v>
      </c>
      <c r="B770" s="98">
        <v>50047</v>
      </c>
      <c r="C770" s="98" t="s">
        <v>558</v>
      </c>
      <c r="D770" s="96" t="s">
        <v>162</v>
      </c>
      <c r="E770" s="97">
        <v>110</v>
      </c>
      <c r="F770" s="67" t="str">
        <f>IFERROR(IFERROR(INDEX(Кат!$A:$A,MATCH(Прайс!$B770,Кат!$G:$G,0)),INDEX(Торг!$B:$B,MATCH(Прайс!$B770,Торг!$H:$H,0))),"")</f>
        <v/>
      </c>
      <c r="G770" s="67" t="str">
        <f>IFERROR(IFERROR(INDEX(Кат!$B:$B,MATCH(Прайс!$B770,Кат!$G:$G,0)),INDEX(Торг!$C:$C,MATCH(Прайс!$B770,Торг!$H:$H,0))),"")</f>
        <v/>
      </c>
      <c r="H770" s="67" t="str">
        <f>IFERROR(IFERROR(INDEX(Кат!$I:$I,MATCH(Прайс!$B770,Кат!$G:$G,0)),INDEX(Торг!$I:$I,MATCH(Прайс!$B770,Торг!$H:$H,0))),"")</f>
        <v/>
      </c>
    </row>
    <row r="771" spans="1:8" x14ac:dyDescent="0.25">
      <c r="A771" s="103" t="s">
        <v>2876</v>
      </c>
      <c r="B771" s="104">
        <v>50555</v>
      </c>
      <c r="C771" s="104" t="s">
        <v>559</v>
      </c>
      <c r="D771" s="105" t="s">
        <v>176</v>
      </c>
      <c r="E771" s="113">
        <v>110</v>
      </c>
      <c r="F771" s="67" t="str">
        <f>IFERROR(IFERROR(INDEX(Кат!$A:$A,MATCH(Прайс!$B771,Кат!$G:$G,0)),INDEX(Торг!$B:$B,MATCH(Прайс!$B771,Торг!$H:$H,0))),"")</f>
        <v/>
      </c>
      <c r="G771" s="67" t="str">
        <f>IFERROR(IFERROR(INDEX(Кат!$B:$B,MATCH(Прайс!$B771,Кат!$G:$G,0)),INDEX(Торг!$C:$C,MATCH(Прайс!$B771,Торг!$H:$H,0))),"")</f>
        <v/>
      </c>
      <c r="H771" s="67" t="str">
        <f>IFERROR(IFERROR(INDEX(Кат!$I:$I,MATCH(Прайс!$B771,Кат!$G:$G,0)),INDEX(Торг!$I:$I,MATCH(Прайс!$B771,Торг!$H:$H,0))),"")</f>
        <v/>
      </c>
    </row>
    <row r="772" spans="1:8" x14ac:dyDescent="0.25">
      <c r="A772" s="94" t="s">
        <v>2877</v>
      </c>
      <c r="B772" s="98">
        <v>50048</v>
      </c>
      <c r="C772" s="98" t="s">
        <v>560</v>
      </c>
      <c r="D772" s="96" t="s">
        <v>162</v>
      </c>
      <c r="E772" s="97">
        <v>110</v>
      </c>
      <c r="F772" s="67" t="str">
        <f>IFERROR(IFERROR(INDEX(Кат!$A:$A,MATCH(Прайс!$B772,Кат!$G:$G,0)),INDEX(Торг!$B:$B,MATCH(Прайс!$B772,Торг!$H:$H,0))),"")</f>
        <v/>
      </c>
      <c r="G772" s="67" t="str">
        <f>IFERROR(IFERROR(INDEX(Кат!$B:$B,MATCH(Прайс!$B772,Кат!$G:$G,0)),INDEX(Торг!$C:$C,MATCH(Прайс!$B772,Торг!$H:$H,0))),"")</f>
        <v/>
      </c>
      <c r="H772" s="67" t="str">
        <f>IFERROR(IFERROR(INDEX(Кат!$I:$I,MATCH(Прайс!$B772,Кат!$G:$G,0)),INDEX(Торг!$I:$I,MATCH(Прайс!$B772,Торг!$H:$H,0))),"")</f>
        <v/>
      </c>
    </row>
    <row r="773" spans="1:8" x14ac:dyDescent="0.25">
      <c r="A773" s="94" t="s">
        <v>5756</v>
      </c>
      <c r="B773" s="98">
        <v>50346</v>
      </c>
      <c r="C773" s="98" t="s">
        <v>5757</v>
      </c>
      <c r="D773" s="96" t="s">
        <v>176</v>
      </c>
      <c r="E773" s="97">
        <v>110</v>
      </c>
      <c r="F773" s="67" t="str">
        <f>IFERROR(IFERROR(INDEX(Кат!$A:$A,MATCH(Прайс!$B773,Кат!$G:$G,0)),INDEX(Торг!$B:$B,MATCH(Прайс!$B773,Торг!$H:$H,0))),"")</f>
        <v/>
      </c>
      <c r="G773" s="67" t="str">
        <f>IFERROR(IFERROR(INDEX(Кат!$B:$B,MATCH(Прайс!$B773,Кат!$G:$G,0)),INDEX(Торг!$C:$C,MATCH(Прайс!$B773,Торг!$H:$H,0))),"")</f>
        <v/>
      </c>
      <c r="H773" s="67" t="str">
        <f>IFERROR(IFERROR(INDEX(Кат!$I:$I,MATCH(Прайс!$B773,Кат!$G:$G,0)),INDEX(Торг!$I:$I,MATCH(Прайс!$B773,Торг!$H:$H,0))),"")</f>
        <v/>
      </c>
    </row>
    <row r="774" spans="1:8" x14ac:dyDescent="0.25">
      <c r="A774" s="99" t="s">
        <v>2878</v>
      </c>
      <c r="B774" s="108">
        <v>50049</v>
      </c>
      <c r="C774" s="108" t="s">
        <v>561</v>
      </c>
      <c r="D774" s="101" t="s">
        <v>162</v>
      </c>
      <c r="E774" s="102">
        <v>110</v>
      </c>
      <c r="F774" s="67" t="str">
        <f>IFERROR(IFERROR(INDEX(Кат!$A:$A,MATCH(Прайс!$B774,Кат!$G:$G,0)),INDEX(Торг!$B:$B,MATCH(Прайс!$B774,Торг!$H:$H,0))),"")</f>
        <v/>
      </c>
      <c r="G774" s="67" t="str">
        <f>IFERROR(IFERROR(INDEX(Кат!$B:$B,MATCH(Прайс!$B774,Кат!$G:$G,0)),INDEX(Торг!$C:$C,MATCH(Прайс!$B774,Торг!$H:$H,0))),"")</f>
        <v/>
      </c>
      <c r="H774" s="67" t="str">
        <f>IFERROR(IFERROR(INDEX(Кат!$I:$I,MATCH(Прайс!$B774,Кат!$G:$G,0)),INDEX(Торг!$I:$I,MATCH(Прайс!$B774,Торг!$H:$H,0))),"")</f>
        <v/>
      </c>
    </row>
    <row r="775" spans="1:8" x14ac:dyDescent="0.25">
      <c r="A775" s="94" t="s">
        <v>2879</v>
      </c>
      <c r="B775" s="98">
        <v>50050</v>
      </c>
      <c r="C775" s="98" t="s">
        <v>562</v>
      </c>
      <c r="D775" s="96" t="s">
        <v>162</v>
      </c>
      <c r="E775" s="97">
        <v>110</v>
      </c>
      <c r="F775" s="67" t="str">
        <f>IFERROR(IFERROR(INDEX(Кат!$A:$A,MATCH(Прайс!$B775,Кат!$G:$G,0)),INDEX(Торг!$B:$B,MATCH(Прайс!$B775,Торг!$H:$H,0))),"")</f>
        <v/>
      </c>
      <c r="G775" s="67" t="str">
        <f>IFERROR(IFERROR(INDEX(Кат!$B:$B,MATCH(Прайс!$B775,Кат!$G:$G,0)),INDEX(Торг!$C:$C,MATCH(Прайс!$B775,Торг!$H:$H,0))),"")</f>
        <v/>
      </c>
      <c r="H775" s="67" t="str">
        <f>IFERROR(IFERROR(INDEX(Кат!$I:$I,MATCH(Прайс!$B775,Кат!$G:$G,0)),INDEX(Торг!$I:$I,MATCH(Прайс!$B775,Торг!$H:$H,0))),"")</f>
        <v/>
      </c>
    </row>
    <row r="776" spans="1:8" x14ac:dyDescent="0.25">
      <c r="A776" s="94" t="s">
        <v>2880</v>
      </c>
      <c r="B776" s="98">
        <v>50051</v>
      </c>
      <c r="C776" s="98" t="s">
        <v>563</v>
      </c>
      <c r="D776" s="96" t="s">
        <v>162</v>
      </c>
      <c r="E776" s="97">
        <v>110</v>
      </c>
      <c r="F776" s="67" t="str">
        <f>IFERROR(IFERROR(INDEX(Кат!$A:$A,MATCH(Прайс!$B776,Кат!$G:$G,0)),INDEX(Торг!$B:$B,MATCH(Прайс!$B776,Торг!$H:$H,0))),"")</f>
        <v/>
      </c>
      <c r="G776" s="67" t="str">
        <f>IFERROR(IFERROR(INDEX(Кат!$B:$B,MATCH(Прайс!$B776,Кат!$G:$G,0)),INDEX(Торг!$C:$C,MATCH(Прайс!$B776,Торг!$H:$H,0))),"")</f>
        <v/>
      </c>
      <c r="H776" s="67" t="str">
        <f>IFERROR(IFERROR(INDEX(Кат!$I:$I,MATCH(Прайс!$B776,Кат!$G:$G,0)),INDEX(Торг!$I:$I,MATCH(Прайс!$B776,Торг!$H:$H,0))),"")</f>
        <v/>
      </c>
    </row>
    <row r="777" spans="1:8" x14ac:dyDescent="0.25">
      <c r="A777" s="94" t="s">
        <v>2881</v>
      </c>
      <c r="B777" s="98">
        <v>50052</v>
      </c>
      <c r="C777" s="98" t="s">
        <v>564</v>
      </c>
      <c r="D777" s="96" t="s">
        <v>162</v>
      </c>
      <c r="E777" s="97">
        <v>110</v>
      </c>
      <c r="F777" s="67" t="str">
        <f>IFERROR(IFERROR(INDEX(Кат!$A:$A,MATCH(Прайс!$B777,Кат!$G:$G,0)),INDEX(Торг!$B:$B,MATCH(Прайс!$B777,Торг!$H:$H,0))),"")</f>
        <v/>
      </c>
      <c r="G777" s="67" t="str">
        <f>IFERROR(IFERROR(INDEX(Кат!$B:$B,MATCH(Прайс!$B777,Кат!$G:$G,0)),INDEX(Торг!$C:$C,MATCH(Прайс!$B777,Торг!$H:$H,0))),"")</f>
        <v/>
      </c>
      <c r="H777" s="67" t="str">
        <f>IFERROR(IFERROR(INDEX(Кат!$I:$I,MATCH(Прайс!$B777,Кат!$G:$G,0)),INDEX(Торг!$I:$I,MATCH(Прайс!$B777,Торг!$H:$H,0))),"")</f>
        <v/>
      </c>
    </row>
    <row r="778" spans="1:8" x14ac:dyDescent="0.25">
      <c r="A778" s="94" t="s">
        <v>2882</v>
      </c>
      <c r="B778" s="98">
        <v>50053</v>
      </c>
      <c r="C778" s="98" t="s">
        <v>565</v>
      </c>
      <c r="D778" s="96" t="s">
        <v>162</v>
      </c>
      <c r="E778" s="97">
        <v>110</v>
      </c>
      <c r="F778" s="67" t="str">
        <f>IFERROR(IFERROR(INDEX(Кат!$A:$A,MATCH(Прайс!$B778,Кат!$G:$G,0)),INDEX(Торг!$B:$B,MATCH(Прайс!$B778,Торг!$H:$H,0))),"")</f>
        <v/>
      </c>
      <c r="G778" s="67" t="str">
        <f>IFERROR(IFERROR(INDEX(Кат!$B:$B,MATCH(Прайс!$B778,Кат!$G:$G,0)),INDEX(Торг!$C:$C,MATCH(Прайс!$B778,Торг!$H:$H,0))),"")</f>
        <v/>
      </c>
      <c r="H778" s="67" t="str">
        <f>IFERROR(IFERROR(INDEX(Кат!$I:$I,MATCH(Прайс!$B778,Кат!$G:$G,0)),INDEX(Торг!$I:$I,MATCH(Прайс!$B778,Торг!$H:$H,0))),"")</f>
        <v/>
      </c>
    </row>
    <row r="779" spans="1:8" x14ac:dyDescent="0.25">
      <c r="A779" s="99" t="s">
        <v>2883</v>
      </c>
      <c r="B779" s="108">
        <v>50054</v>
      </c>
      <c r="C779" s="108" t="s">
        <v>566</v>
      </c>
      <c r="D779" s="101" t="s">
        <v>162</v>
      </c>
      <c r="E779" s="102">
        <v>110</v>
      </c>
      <c r="F779" s="67" t="str">
        <f>IFERROR(IFERROR(INDEX(Кат!$A:$A,MATCH(Прайс!$B779,Кат!$G:$G,0)),INDEX(Торг!$B:$B,MATCH(Прайс!$B779,Торг!$H:$H,0))),"")</f>
        <v/>
      </c>
      <c r="G779" s="67" t="str">
        <f>IFERROR(IFERROR(INDEX(Кат!$B:$B,MATCH(Прайс!$B779,Кат!$G:$G,0)),INDEX(Торг!$C:$C,MATCH(Прайс!$B779,Торг!$H:$H,0))),"")</f>
        <v/>
      </c>
      <c r="H779" s="67" t="str">
        <f>IFERROR(IFERROR(INDEX(Кат!$I:$I,MATCH(Прайс!$B779,Кат!$G:$G,0)),INDEX(Торг!$I:$I,MATCH(Прайс!$B779,Торг!$H:$H,0))),"")</f>
        <v/>
      </c>
    </row>
    <row r="780" spans="1:8" x14ac:dyDescent="0.25">
      <c r="A780" s="103" t="s">
        <v>6638</v>
      </c>
      <c r="B780" s="104">
        <v>50055</v>
      </c>
      <c r="C780" s="104" t="s">
        <v>6639</v>
      </c>
      <c r="D780" s="105" t="s">
        <v>176</v>
      </c>
      <c r="E780" s="113">
        <v>100</v>
      </c>
      <c r="F780" s="67" t="str">
        <f>IFERROR(IFERROR(INDEX(Кат!$A:$A,MATCH(Прайс!$B780,Кат!$G:$G,0)),INDEX(Торг!$B:$B,MATCH(Прайс!$B780,Торг!$H:$H,0))),"")</f>
        <v/>
      </c>
      <c r="G780" s="67" t="str">
        <f>IFERROR(IFERROR(INDEX(Кат!$B:$B,MATCH(Прайс!$B780,Кат!$G:$G,0)),INDEX(Торг!$C:$C,MATCH(Прайс!$B780,Торг!$H:$H,0))),"")</f>
        <v/>
      </c>
      <c r="H780" s="67" t="str">
        <f>IFERROR(IFERROR(INDEX(Кат!$I:$I,MATCH(Прайс!$B780,Кат!$G:$G,0)),INDEX(Торг!$I:$I,MATCH(Прайс!$B780,Торг!$H:$H,0))),"")</f>
        <v/>
      </c>
    </row>
    <row r="781" spans="1:8" ht="15.75" x14ac:dyDescent="0.25">
      <c r="A781" s="90"/>
      <c r="B781" s="91"/>
      <c r="C781" s="92" t="s">
        <v>567</v>
      </c>
      <c r="D781" s="91"/>
      <c r="E781" s="93"/>
      <c r="F781" s="67" t="str">
        <f>IFERROR(IFERROR(INDEX(Кат!$A:$A,MATCH(Прайс!$B781,Кат!$G:$G,0)),INDEX(Торг!$B:$B,MATCH(Прайс!$B781,Торг!$H:$H,0))),"")</f>
        <v/>
      </c>
      <c r="G781" s="67" t="str">
        <f>IFERROR(IFERROR(INDEX(Кат!$B:$B,MATCH(Прайс!$B781,Кат!$G:$G,0)),INDEX(Торг!$C:$C,MATCH(Прайс!$B781,Торг!$H:$H,0))),"")</f>
        <v/>
      </c>
      <c r="H781" s="67" t="str">
        <f>IFERROR(IFERROR(INDEX(Кат!$I:$I,MATCH(Прайс!$B781,Кат!$G:$G,0)),INDEX(Торг!$I:$I,MATCH(Прайс!$B781,Торг!$H:$H,0))),"")</f>
        <v/>
      </c>
    </row>
    <row r="782" spans="1:8" x14ac:dyDescent="0.25">
      <c r="A782" s="94" t="s">
        <v>8199</v>
      </c>
      <c r="B782" s="98">
        <v>50470</v>
      </c>
      <c r="C782" s="98" t="s">
        <v>8200</v>
      </c>
      <c r="D782" s="96" t="s">
        <v>582</v>
      </c>
      <c r="E782" s="97">
        <v>65</v>
      </c>
      <c r="F782" s="67" t="str">
        <f>IFERROR(IFERROR(INDEX(Кат!$A:$A,MATCH(Прайс!$B782,Кат!$G:$G,0)),INDEX(Торг!$B:$B,MATCH(Прайс!$B782,Торг!$H:$H,0))),"")</f>
        <v/>
      </c>
      <c r="G782" s="67" t="str">
        <f>IFERROR(IFERROR(INDEX(Кат!$B:$B,MATCH(Прайс!$B782,Кат!$G:$G,0)),INDEX(Торг!$C:$C,MATCH(Прайс!$B782,Торг!$H:$H,0))),"")</f>
        <v/>
      </c>
      <c r="H782" s="67" t="str">
        <f>IFERROR(IFERROR(INDEX(Кат!$I:$I,MATCH(Прайс!$B782,Кат!$G:$G,0)),INDEX(Торг!$I:$I,MATCH(Прайс!$B782,Торг!$H:$H,0))),"")</f>
        <v/>
      </c>
    </row>
    <row r="783" spans="1:8" x14ac:dyDescent="0.25">
      <c r="A783" s="94" t="s">
        <v>2884</v>
      </c>
      <c r="B783" s="98">
        <v>50064</v>
      </c>
      <c r="C783" s="98" t="s">
        <v>568</v>
      </c>
      <c r="D783" s="96" t="s">
        <v>165</v>
      </c>
      <c r="E783" s="97">
        <v>80</v>
      </c>
      <c r="F783" s="67" t="str">
        <f>IFERROR(IFERROR(INDEX(Кат!$A:$A,MATCH(Прайс!$B783,Кат!$G:$G,0)),INDEX(Торг!$B:$B,MATCH(Прайс!$B783,Торг!$H:$H,0))),"")</f>
        <v/>
      </c>
      <c r="G783" s="67" t="str">
        <f>IFERROR(IFERROR(INDEX(Кат!$B:$B,MATCH(Прайс!$B783,Кат!$G:$G,0)),INDEX(Торг!$C:$C,MATCH(Прайс!$B783,Торг!$H:$H,0))),"")</f>
        <v/>
      </c>
      <c r="H783" s="67" t="str">
        <f>IFERROR(IFERROR(INDEX(Кат!$I:$I,MATCH(Прайс!$B783,Кат!$G:$G,0)),INDEX(Торг!$I:$I,MATCH(Прайс!$B783,Торг!$H:$H,0))),"")</f>
        <v/>
      </c>
    </row>
    <row r="784" spans="1:8" x14ac:dyDescent="0.25">
      <c r="A784" s="94" t="s">
        <v>5035</v>
      </c>
      <c r="B784" s="98">
        <v>50065</v>
      </c>
      <c r="C784" s="98" t="s">
        <v>5036</v>
      </c>
      <c r="D784" s="96" t="s">
        <v>159</v>
      </c>
      <c r="E784" s="97">
        <v>45</v>
      </c>
      <c r="F784" s="67" t="str">
        <f>IFERROR(IFERROR(INDEX(Кат!$A:$A,MATCH(Прайс!$B784,Кат!$G:$G,0)),INDEX(Торг!$B:$B,MATCH(Прайс!$B784,Торг!$H:$H,0))),"")</f>
        <v/>
      </c>
      <c r="G784" s="67" t="str">
        <f>IFERROR(IFERROR(INDEX(Кат!$B:$B,MATCH(Прайс!$B784,Кат!$G:$G,0)),INDEX(Торг!$C:$C,MATCH(Прайс!$B784,Торг!$H:$H,0))),"")</f>
        <v/>
      </c>
      <c r="H784" s="67" t="str">
        <f>IFERROR(IFERROR(INDEX(Кат!$I:$I,MATCH(Прайс!$B784,Кат!$G:$G,0)),INDEX(Торг!$I:$I,MATCH(Прайс!$B784,Торг!$H:$H,0))),"")</f>
        <v/>
      </c>
    </row>
    <row r="785" spans="1:8" x14ac:dyDescent="0.25">
      <c r="A785" s="94" t="s">
        <v>2885</v>
      </c>
      <c r="B785" s="98">
        <v>50066</v>
      </c>
      <c r="C785" s="98" t="s">
        <v>569</v>
      </c>
      <c r="D785" s="96" t="s">
        <v>159</v>
      </c>
      <c r="E785" s="97">
        <v>75</v>
      </c>
      <c r="F785" s="67" t="str">
        <f>IFERROR(IFERROR(INDEX(Кат!$A:$A,MATCH(Прайс!$B785,Кат!$G:$G,0)),INDEX(Торг!$B:$B,MATCH(Прайс!$B785,Торг!$H:$H,0))),"")</f>
        <v/>
      </c>
      <c r="G785" s="67" t="str">
        <f>IFERROR(IFERROR(INDEX(Кат!$B:$B,MATCH(Прайс!$B785,Кат!$G:$G,0)),INDEX(Торг!$C:$C,MATCH(Прайс!$B785,Торг!$H:$H,0))),"")</f>
        <v/>
      </c>
      <c r="H785" s="67" t="str">
        <f>IFERROR(IFERROR(INDEX(Кат!$I:$I,MATCH(Прайс!$B785,Кат!$G:$G,0)),INDEX(Торг!$I:$I,MATCH(Прайс!$B785,Торг!$H:$H,0))),"")</f>
        <v/>
      </c>
    </row>
    <row r="786" spans="1:8" x14ac:dyDescent="0.25">
      <c r="A786" s="94" t="s">
        <v>2886</v>
      </c>
      <c r="B786" s="98">
        <v>50067</v>
      </c>
      <c r="C786" s="98" t="s">
        <v>570</v>
      </c>
      <c r="D786" s="96" t="s">
        <v>330</v>
      </c>
      <c r="E786" s="97">
        <v>45</v>
      </c>
      <c r="F786" s="67" t="str">
        <f>IFERROR(IFERROR(INDEX(Кат!$A:$A,MATCH(Прайс!$B786,Кат!$G:$G,0)),INDEX(Торг!$B:$B,MATCH(Прайс!$B786,Торг!$H:$H,0))),"")</f>
        <v/>
      </c>
      <c r="G786" s="67" t="str">
        <f>IFERROR(IFERROR(INDEX(Кат!$B:$B,MATCH(Прайс!$B786,Кат!$G:$G,0)),INDEX(Торг!$C:$C,MATCH(Прайс!$B786,Торг!$H:$H,0))),"")</f>
        <v/>
      </c>
      <c r="H786" s="67" t="str">
        <f>IFERROR(IFERROR(INDEX(Кат!$I:$I,MATCH(Прайс!$B786,Кат!$G:$G,0)),INDEX(Торг!$I:$I,MATCH(Прайс!$B786,Торг!$H:$H,0))),"")</f>
        <v/>
      </c>
    </row>
    <row r="787" spans="1:8" ht="15.75" x14ac:dyDescent="0.25">
      <c r="A787" s="90"/>
      <c r="B787" s="91"/>
      <c r="C787" s="92" t="s">
        <v>571</v>
      </c>
      <c r="D787" s="91"/>
      <c r="E787" s="93"/>
      <c r="F787" s="67" t="str">
        <f>IFERROR(IFERROR(INDEX(Кат!$A:$A,MATCH(Прайс!$B787,Кат!$G:$G,0)),INDEX(Торг!$B:$B,MATCH(Прайс!$B787,Торг!$H:$H,0))),"")</f>
        <v/>
      </c>
      <c r="G787" s="67" t="str">
        <f>IFERROR(IFERROR(INDEX(Кат!$B:$B,MATCH(Прайс!$B787,Кат!$G:$G,0)),INDEX(Торг!$C:$C,MATCH(Прайс!$B787,Торг!$H:$H,0))),"")</f>
        <v/>
      </c>
      <c r="H787" s="67" t="str">
        <f>IFERROR(IFERROR(INDEX(Кат!$I:$I,MATCH(Прайс!$B787,Кат!$G:$G,0)),INDEX(Торг!$I:$I,MATCH(Прайс!$B787,Торг!$H:$H,0))),"")</f>
        <v/>
      </c>
    </row>
    <row r="788" spans="1:8" x14ac:dyDescent="0.25">
      <c r="A788" s="103" t="s">
        <v>2890</v>
      </c>
      <c r="B788" s="104">
        <v>50390</v>
      </c>
      <c r="C788" s="104" t="s">
        <v>573</v>
      </c>
      <c r="D788" s="105" t="s">
        <v>574</v>
      </c>
      <c r="E788" s="113">
        <v>320</v>
      </c>
      <c r="F788" s="67" t="str">
        <f>IFERROR(IFERROR(INDEX(Кат!$A:$A,MATCH(Прайс!$B788,Кат!$G:$G,0)),INDEX(Торг!$B:$B,MATCH(Прайс!$B788,Торг!$H:$H,0))),"")</f>
        <v/>
      </c>
      <c r="G788" s="67" t="str">
        <f>IFERROR(IFERROR(INDEX(Кат!$B:$B,MATCH(Прайс!$B788,Кат!$G:$G,0)),INDEX(Торг!$C:$C,MATCH(Прайс!$B788,Торг!$H:$H,0))),"")</f>
        <v/>
      </c>
      <c r="H788" s="67" t="str">
        <f>IFERROR(IFERROR(INDEX(Кат!$I:$I,MATCH(Прайс!$B788,Кат!$G:$G,0)),INDEX(Торг!$I:$I,MATCH(Прайс!$B788,Торг!$H:$H,0))),"")</f>
        <v/>
      </c>
    </row>
    <row r="789" spans="1:8" x14ac:dyDescent="0.25">
      <c r="A789" s="103" t="s">
        <v>2891</v>
      </c>
      <c r="B789" s="104">
        <v>50391</v>
      </c>
      <c r="C789" s="104" t="s">
        <v>575</v>
      </c>
      <c r="D789" s="105" t="s">
        <v>574</v>
      </c>
      <c r="E789" s="113">
        <v>230</v>
      </c>
      <c r="F789" s="67" t="str">
        <f>IFERROR(IFERROR(INDEX(Кат!$A:$A,MATCH(Прайс!$B789,Кат!$G:$G,0)),INDEX(Торг!$B:$B,MATCH(Прайс!$B789,Торг!$H:$H,0))),"")</f>
        <v/>
      </c>
      <c r="G789" s="67" t="str">
        <f>IFERROR(IFERROR(INDEX(Кат!$B:$B,MATCH(Прайс!$B789,Кат!$G:$G,0)),INDEX(Торг!$C:$C,MATCH(Прайс!$B789,Торг!$H:$H,0))),"")</f>
        <v/>
      </c>
      <c r="H789" s="67" t="str">
        <f>IFERROR(IFERROR(INDEX(Кат!$I:$I,MATCH(Прайс!$B789,Кат!$G:$G,0)),INDEX(Торг!$I:$I,MATCH(Прайс!$B789,Торг!$H:$H,0))),"")</f>
        <v/>
      </c>
    </row>
    <row r="790" spans="1:8" x14ac:dyDescent="0.25">
      <c r="A790" s="103" t="s">
        <v>5758</v>
      </c>
      <c r="B790" s="104">
        <v>50392</v>
      </c>
      <c r="C790" s="104" t="s">
        <v>5759</v>
      </c>
      <c r="D790" s="105" t="s">
        <v>480</v>
      </c>
      <c r="E790" s="113">
        <v>390</v>
      </c>
      <c r="F790" s="67" t="str">
        <f>IFERROR(IFERROR(INDEX(Кат!$A:$A,MATCH(Прайс!$B790,Кат!$G:$G,0)),INDEX(Торг!$B:$B,MATCH(Прайс!$B790,Торг!$H:$H,0))),"")</f>
        <v/>
      </c>
      <c r="G790" s="67" t="str">
        <f>IFERROR(IFERROR(INDEX(Кат!$B:$B,MATCH(Прайс!$B790,Кат!$G:$G,0)),INDEX(Торг!$C:$C,MATCH(Прайс!$B790,Торг!$H:$H,0))),"")</f>
        <v/>
      </c>
      <c r="H790" s="67" t="str">
        <f>IFERROR(IFERROR(INDEX(Кат!$I:$I,MATCH(Прайс!$B790,Кат!$G:$G,0)),INDEX(Торг!$I:$I,MATCH(Прайс!$B790,Торг!$H:$H,0))),"")</f>
        <v/>
      </c>
    </row>
    <row r="791" spans="1:8" x14ac:dyDescent="0.25">
      <c r="A791" s="94" t="s">
        <v>2887</v>
      </c>
      <c r="B791" s="98">
        <v>50071</v>
      </c>
      <c r="C791" s="98" t="s">
        <v>5760</v>
      </c>
      <c r="D791" s="96" t="s">
        <v>190</v>
      </c>
      <c r="E791" s="97">
        <v>280</v>
      </c>
      <c r="F791" s="67" t="str">
        <f>IFERROR(IFERROR(INDEX(Кат!$A:$A,MATCH(Прайс!$B791,Кат!$G:$G,0)),INDEX(Торг!$B:$B,MATCH(Прайс!$B791,Торг!$H:$H,0))),"")</f>
        <v/>
      </c>
      <c r="G791" s="67" t="str">
        <f>IFERROR(IFERROR(INDEX(Кат!$B:$B,MATCH(Прайс!$B791,Кат!$G:$G,0)),INDEX(Торг!$C:$C,MATCH(Прайс!$B791,Торг!$H:$H,0))),"")</f>
        <v/>
      </c>
      <c r="H791" s="67" t="str">
        <f>IFERROR(IFERROR(INDEX(Кат!$I:$I,MATCH(Прайс!$B791,Кат!$G:$G,0)),INDEX(Торг!$I:$I,MATCH(Прайс!$B791,Торг!$H:$H,0))),"")</f>
        <v/>
      </c>
    </row>
    <row r="792" spans="1:8" x14ac:dyDescent="0.25">
      <c r="A792" s="94" t="s">
        <v>2888</v>
      </c>
      <c r="B792" s="98">
        <v>50073</v>
      </c>
      <c r="C792" s="98" t="s">
        <v>5761</v>
      </c>
      <c r="D792" s="96" t="s">
        <v>257</v>
      </c>
      <c r="E792" s="97">
        <v>340</v>
      </c>
      <c r="F792" s="67" t="str">
        <f>IFERROR(IFERROR(INDEX(Кат!$A:$A,MATCH(Прайс!$B792,Кат!$G:$G,0)),INDEX(Торг!$B:$B,MATCH(Прайс!$B792,Торг!$H:$H,0))),"")</f>
        <v/>
      </c>
      <c r="G792" s="67" t="str">
        <f>IFERROR(IFERROR(INDEX(Кат!$B:$B,MATCH(Прайс!$B792,Кат!$G:$G,0)),INDEX(Торг!$C:$C,MATCH(Прайс!$B792,Торг!$H:$H,0))),"")</f>
        <v/>
      </c>
      <c r="H792" s="67" t="str">
        <f>IFERROR(IFERROR(INDEX(Кат!$I:$I,MATCH(Прайс!$B792,Кат!$G:$G,0)),INDEX(Торг!$I:$I,MATCH(Прайс!$B792,Торг!$H:$H,0))),"")</f>
        <v/>
      </c>
    </row>
    <row r="793" spans="1:8" x14ac:dyDescent="0.25">
      <c r="A793" s="94" t="s">
        <v>8539</v>
      </c>
      <c r="B793" s="98">
        <v>50074</v>
      </c>
      <c r="C793" s="98" t="s">
        <v>8540</v>
      </c>
      <c r="D793" s="96" t="s">
        <v>257</v>
      </c>
      <c r="E793" s="97">
        <v>350</v>
      </c>
      <c r="F793" s="67" t="str">
        <f>IFERROR(IFERROR(INDEX(Кат!$A:$A,MATCH(Прайс!$B793,Кат!$G:$G,0)),INDEX(Торг!$B:$B,MATCH(Прайс!$B793,Торг!$H:$H,0))),"")</f>
        <v/>
      </c>
      <c r="G793" s="67" t="str">
        <f>IFERROR(IFERROR(INDEX(Кат!$B:$B,MATCH(Прайс!$B793,Кат!$G:$G,0)),INDEX(Торг!$C:$C,MATCH(Прайс!$B793,Торг!$H:$H,0))),"")</f>
        <v/>
      </c>
      <c r="H793" s="67" t="str">
        <f>IFERROR(IFERROR(INDEX(Кат!$I:$I,MATCH(Прайс!$B793,Кат!$G:$G,0)),INDEX(Торг!$I:$I,MATCH(Прайс!$B793,Торг!$H:$H,0))),"")</f>
        <v/>
      </c>
    </row>
    <row r="794" spans="1:8" x14ac:dyDescent="0.25">
      <c r="A794" s="94" t="s">
        <v>8541</v>
      </c>
      <c r="B794" s="98">
        <v>50076</v>
      </c>
      <c r="C794" s="98" t="s">
        <v>8542</v>
      </c>
      <c r="D794" s="96" t="s">
        <v>190</v>
      </c>
      <c r="E794" s="97">
        <v>350</v>
      </c>
      <c r="F794" s="67" t="str">
        <f>IFERROR(IFERROR(INDEX(Кат!$A:$A,MATCH(Прайс!$B794,Кат!$G:$G,0)),INDEX(Торг!$B:$B,MATCH(Прайс!$B794,Торг!$H:$H,0))),"")</f>
        <v/>
      </c>
      <c r="G794" s="67" t="str">
        <f>IFERROR(IFERROR(INDEX(Кат!$B:$B,MATCH(Прайс!$B794,Кат!$G:$G,0)),INDEX(Торг!$C:$C,MATCH(Прайс!$B794,Торг!$H:$H,0))),"")</f>
        <v/>
      </c>
      <c r="H794" s="67" t="str">
        <f>IFERROR(IFERROR(INDEX(Кат!$I:$I,MATCH(Прайс!$B794,Кат!$G:$G,0)),INDEX(Торг!$I:$I,MATCH(Прайс!$B794,Торг!$H:$H,0))),"")</f>
        <v/>
      </c>
    </row>
    <row r="795" spans="1:8" x14ac:dyDescent="0.25">
      <c r="A795" s="94" t="s">
        <v>5037</v>
      </c>
      <c r="B795" s="98">
        <v>50077</v>
      </c>
      <c r="C795" s="98" t="s">
        <v>5762</v>
      </c>
      <c r="D795" s="96" t="s">
        <v>572</v>
      </c>
      <c r="E795" s="97">
        <v>330</v>
      </c>
      <c r="F795" s="67" t="str">
        <f>IFERROR(IFERROR(INDEX(Кат!$A:$A,MATCH(Прайс!$B795,Кат!$G:$G,0)),INDEX(Торг!$B:$B,MATCH(Прайс!$B795,Торг!$H:$H,0))),"")</f>
        <v/>
      </c>
      <c r="G795" s="67" t="str">
        <f>IFERROR(IFERROR(INDEX(Кат!$B:$B,MATCH(Прайс!$B795,Кат!$G:$G,0)),INDEX(Торг!$C:$C,MATCH(Прайс!$B795,Торг!$H:$H,0))),"")</f>
        <v/>
      </c>
      <c r="H795" s="67" t="str">
        <f>IFERROR(IFERROR(INDEX(Кат!$I:$I,MATCH(Прайс!$B795,Кат!$G:$G,0)),INDEX(Торг!$I:$I,MATCH(Прайс!$B795,Торг!$H:$H,0))),"")</f>
        <v/>
      </c>
    </row>
    <row r="796" spans="1:8" x14ac:dyDescent="0.25">
      <c r="A796" s="94" t="s">
        <v>2889</v>
      </c>
      <c r="B796" s="98">
        <v>50079</v>
      </c>
      <c r="C796" s="98" t="s">
        <v>5763</v>
      </c>
      <c r="D796" s="96" t="s">
        <v>190</v>
      </c>
      <c r="E796" s="97">
        <v>310</v>
      </c>
      <c r="F796" s="67" t="str">
        <f>IFERROR(IFERROR(INDEX(Кат!$A:$A,MATCH(Прайс!$B796,Кат!$G:$G,0)),INDEX(Торг!$B:$B,MATCH(Прайс!$B796,Торг!$H:$H,0))),"")</f>
        <v/>
      </c>
      <c r="G796" s="67" t="str">
        <f>IFERROR(IFERROR(INDEX(Кат!$B:$B,MATCH(Прайс!$B796,Кат!$G:$G,0)),INDEX(Торг!$C:$C,MATCH(Прайс!$B796,Торг!$H:$H,0))),"")</f>
        <v/>
      </c>
      <c r="H796" s="67" t="str">
        <f>IFERROR(IFERROR(INDEX(Кат!$I:$I,MATCH(Прайс!$B796,Кат!$G:$G,0)),INDEX(Торг!$I:$I,MATCH(Прайс!$B796,Торг!$H:$H,0))),"")</f>
        <v/>
      </c>
    </row>
    <row r="797" spans="1:8" x14ac:dyDescent="0.25">
      <c r="A797" s="103" t="s">
        <v>2892</v>
      </c>
      <c r="B797" s="104">
        <v>50083</v>
      </c>
      <c r="C797" s="104" t="s">
        <v>576</v>
      </c>
      <c r="D797" s="105" t="s">
        <v>190</v>
      </c>
      <c r="E797" s="113">
        <v>270</v>
      </c>
      <c r="F797" s="67" t="str">
        <f>IFERROR(IFERROR(INDEX(Кат!$A:$A,MATCH(Прайс!$B797,Кат!$G:$G,0)),INDEX(Торг!$B:$B,MATCH(Прайс!$B797,Торг!$H:$H,0))),"")</f>
        <v/>
      </c>
      <c r="G797" s="67" t="str">
        <f>IFERROR(IFERROR(INDEX(Кат!$B:$B,MATCH(Прайс!$B797,Кат!$G:$G,0)),INDEX(Торг!$C:$C,MATCH(Прайс!$B797,Торг!$H:$H,0))),"")</f>
        <v/>
      </c>
      <c r="H797" s="67" t="str">
        <f>IFERROR(IFERROR(INDEX(Кат!$I:$I,MATCH(Прайс!$B797,Кат!$G:$G,0)),INDEX(Торг!$I:$I,MATCH(Прайс!$B797,Торг!$H:$H,0))),"")</f>
        <v/>
      </c>
    </row>
    <row r="798" spans="1:8" x14ac:dyDescent="0.25">
      <c r="A798" s="103" t="s">
        <v>7432</v>
      </c>
      <c r="B798" s="104">
        <v>50085</v>
      </c>
      <c r="C798" s="104" t="s">
        <v>7433</v>
      </c>
      <c r="D798" s="105" t="s">
        <v>165</v>
      </c>
      <c r="E798" s="113">
        <v>190</v>
      </c>
      <c r="F798" s="67" t="str">
        <f>IFERROR(IFERROR(INDEX(Кат!$A:$A,MATCH(Прайс!$B798,Кат!$G:$G,0)),INDEX(Торг!$B:$B,MATCH(Прайс!$B798,Торг!$H:$H,0))),"")</f>
        <v/>
      </c>
      <c r="G798" s="67" t="str">
        <f>IFERROR(IFERROR(INDEX(Кат!$B:$B,MATCH(Прайс!$B798,Кат!$G:$G,0)),INDEX(Торг!$C:$C,MATCH(Прайс!$B798,Торг!$H:$H,0))),"")</f>
        <v/>
      </c>
      <c r="H798" s="67" t="str">
        <f>IFERROR(IFERROR(INDEX(Кат!$I:$I,MATCH(Прайс!$B798,Кат!$G:$G,0)),INDEX(Торг!$I:$I,MATCH(Прайс!$B798,Торг!$H:$H,0))),"")</f>
        <v/>
      </c>
    </row>
    <row r="799" spans="1:8" x14ac:dyDescent="0.25">
      <c r="A799" s="103" t="s">
        <v>2893</v>
      </c>
      <c r="B799" s="104">
        <v>50094</v>
      </c>
      <c r="C799" s="104" t="s">
        <v>577</v>
      </c>
      <c r="D799" s="105" t="s">
        <v>190</v>
      </c>
      <c r="E799" s="113">
        <v>145</v>
      </c>
      <c r="F799" s="67" t="str">
        <f>IFERROR(IFERROR(INDEX(Кат!$A:$A,MATCH(Прайс!$B799,Кат!$G:$G,0)),INDEX(Торг!$B:$B,MATCH(Прайс!$B799,Торг!$H:$H,0))),"")</f>
        <v/>
      </c>
      <c r="G799" s="67" t="str">
        <f>IFERROR(IFERROR(INDEX(Кат!$B:$B,MATCH(Прайс!$B799,Кат!$G:$G,0)),INDEX(Торг!$C:$C,MATCH(Прайс!$B799,Торг!$H:$H,0))),"")</f>
        <v/>
      </c>
      <c r="H799" s="67" t="str">
        <f>IFERROR(IFERROR(INDEX(Кат!$I:$I,MATCH(Прайс!$B799,Кат!$G:$G,0)),INDEX(Торг!$I:$I,MATCH(Прайс!$B799,Торг!$H:$H,0))),"")</f>
        <v/>
      </c>
    </row>
    <row r="800" spans="1:8" x14ac:dyDescent="0.25">
      <c r="A800" s="103" t="s">
        <v>2894</v>
      </c>
      <c r="B800" s="104">
        <v>50095</v>
      </c>
      <c r="C800" s="104" t="s">
        <v>578</v>
      </c>
      <c r="D800" s="105" t="s">
        <v>190</v>
      </c>
      <c r="E800" s="113">
        <v>145</v>
      </c>
      <c r="F800" s="67" t="str">
        <f>IFERROR(IFERROR(INDEX(Кат!$A:$A,MATCH(Прайс!$B800,Кат!$G:$G,0)),INDEX(Торг!$B:$B,MATCH(Прайс!$B800,Торг!$H:$H,0))),"")</f>
        <v/>
      </c>
      <c r="G800" s="67" t="str">
        <f>IFERROR(IFERROR(INDEX(Кат!$B:$B,MATCH(Прайс!$B800,Кат!$G:$G,0)),INDEX(Торг!$C:$C,MATCH(Прайс!$B800,Торг!$H:$H,0))),"")</f>
        <v/>
      </c>
      <c r="H800" s="67" t="str">
        <f>IFERROR(IFERROR(INDEX(Кат!$I:$I,MATCH(Прайс!$B800,Кат!$G:$G,0)),INDEX(Торг!$I:$I,MATCH(Прайс!$B800,Торг!$H:$H,0))),"")</f>
        <v/>
      </c>
    </row>
    <row r="801" spans="1:8" x14ac:dyDescent="0.25">
      <c r="A801" s="103" t="s">
        <v>2895</v>
      </c>
      <c r="B801" s="104">
        <v>50096</v>
      </c>
      <c r="C801" s="104" t="s">
        <v>579</v>
      </c>
      <c r="D801" s="105" t="s">
        <v>190</v>
      </c>
      <c r="E801" s="113">
        <v>145</v>
      </c>
      <c r="F801" s="67" t="str">
        <f>IFERROR(IFERROR(INDEX(Кат!$A:$A,MATCH(Прайс!$B801,Кат!$G:$G,0)),INDEX(Торг!$B:$B,MATCH(Прайс!$B801,Торг!$H:$H,0))),"")</f>
        <v/>
      </c>
      <c r="G801" s="67" t="str">
        <f>IFERROR(IFERROR(INDEX(Кат!$B:$B,MATCH(Прайс!$B801,Кат!$G:$G,0)),INDEX(Торг!$C:$C,MATCH(Прайс!$B801,Торг!$H:$H,0))),"")</f>
        <v/>
      </c>
      <c r="H801" s="67" t="str">
        <f>IFERROR(IFERROR(INDEX(Кат!$I:$I,MATCH(Прайс!$B801,Кат!$G:$G,0)),INDEX(Торг!$I:$I,MATCH(Прайс!$B801,Торг!$H:$H,0))),"")</f>
        <v/>
      </c>
    </row>
    <row r="802" spans="1:8" x14ac:dyDescent="0.25">
      <c r="A802" s="103" t="s">
        <v>2896</v>
      </c>
      <c r="B802" s="104">
        <v>50098</v>
      </c>
      <c r="C802" s="104" t="s">
        <v>580</v>
      </c>
      <c r="D802" s="105" t="s">
        <v>190</v>
      </c>
      <c r="E802" s="113">
        <v>145</v>
      </c>
      <c r="F802" s="67" t="str">
        <f>IFERROR(IFERROR(INDEX(Кат!$A:$A,MATCH(Прайс!$B802,Кат!$G:$G,0)),INDEX(Торг!$B:$B,MATCH(Прайс!$B802,Торг!$H:$H,0))),"")</f>
        <v/>
      </c>
      <c r="G802" s="67" t="str">
        <f>IFERROR(IFERROR(INDEX(Кат!$B:$B,MATCH(Прайс!$B802,Кат!$G:$G,0)),INDEX(Торг!$C:$C,MATCH(Прайс!$B802,Торг!$H:$H,0))),"")</f>
        <v/>
      </c>
      <c r="H802" s="67" t="str">
        <f>IFERROR(IFERROR(INDEX(Кат!$I:$I,MATCH(Прайс!$B802,Кат!$G:$G,0)),INDEX(Торг!$I:$I,MATCH(Прайс!$B802,Торг!$H:$H,0))),"")</f>
        <v/>
      </c>
    </row>
    <row r="803" spans="1:8" x14ac:dyDescent="0.25">
      <c r="A803" s="103" t="s">
        <v>2897</v>
      </c>
      <c r="B803" s="104">
        <v>50099</v>
      </c>
      <c r="C803" s="104" t="s">
        <v>581</v>
      </c>
      <c r="D803" s="105" t="s">
        <v>190</v>
      </c>
      <c r="E803" s="113">
        <v>145</v>
      </c>
      <c r="F803" s="67" t="str">
        <f>IFERROR(IFERROR(INDEX(Кат!$A:$A,MATCH(Прайс!$B803,Кат!$G:$G,0)),INDEX(Торг!$B:$B,MATCH(Прайс!$B803,Торг!$H:$H,0))),"")</f>
        <v/>
      </c>
      <c r="G803" s="67" t="str">
        <f>IFERROR(IFERROR(INDEX(Кат!$B:$B,MATCH(Прайс!$B803,Кат!$G:$G,0)),INDEX(Торг!$C:$C,MATCH(Прайс!$B803,Торг!$H:$H,0))),"")</f>
        <v/>
      </c>
      <c r="H803" s="67" t="str">
        <f>IFERROR(IFERROR(INDEX(Кат!$I:$I,MATCH(Прайс!$B803,Кат!$G:$G,0)),INDEX(Торг!$I:$I,MATCH(Прайс!$B803,Торг!$H:$H,0))),"")</f>
        <v/>
      </c>
    </row>
    <row r="804" spans="1:8" x14ac:dyDescent="0.25">
      <c r="A804" s="103" t="s">
        <v>6640</v>
      </c>
      <c r="B804" s="104">
        <v>50105</v>
      </c>
      <c r="C804" s="104" t="s">
        <v>6641</v>
      </c>
      <c r="D804" s="105" t="s">
        <v>190</v>
      </c>
      <c r="E804" s="113">
        <v>160</v>
      </c>
      <c r="F804" s="67" t="str">
        <f>IFERROR(IFERROR(INDEX(Кат!$A:$A,MATCH(Прайс!$B804,Кат!$G:$G,0)),INDEX(Торг!$B:$B,MATCH(Прайс!$B804,Торг!$H:$H,0))),"")</f>
        <v/>
      </c>
      <c r="G804" s="67" t="str">
        <f>IFERROR(IFERROR(INDEX(Кат!$B:$B,MATCH(Прайс!$B804,Кат!$G:$G,0)),INDEX(Торг!$C:$C,MATCH(Прайс!$B804,Торг!$H:$H,0))),"")</f>
        <v/>
      </c>
      <c r="H804" s="67" t="str">
        <f>IFERROR(IFERROR(INDEX(Кат!$I:$I,MATCH(Прайс!$B804,Кат!$G:$G,0)),INDEX(Торг!$I:$I,MATCH(Прайс!$B804,Торг!$H:$H,0))),"")</f>
        <v/>
      </c>
    </row>
    <row r="805" spans="1:8" x14ac:dyDescent="0.25">
      <c r="A805" s="103" t="s">
        <v>7434</v>
      </c>
      <c r="B805" s="104">
        <v>50689</v>
      </c>
      <c r="C805" s="104" t="s">
        <v>7435</v>
      </c>
      <c r="D805" s="105" t="s">
        <v>190</v>
      </c>
      <c r="E805" s="113">
        <v>330</v>
      </c>
      <c r="F805" s="67" t="str">
        <f>IFERROR(IFERROR(INDEX(Кат!$A:$A,MATCH(Прайс!$B805,Кат!$G:$G,0)),INDEX(Торг!$B:$B,MATCH(Прайс!$B805,Торг!$H:$H,0))),"")</f>
        <v/>
      </c>
      <c r="G805" s="67" t="str">
        <f>IFERROR(IFERROR(INDEX(Кат!$B:$B,MATCH(Прайс!$B805,Кат!$G:$G,0)),INDEX(Торг!$C:$C,MATCH(Прайс!$B805,Торг!$H:$H,0))),"")</f>
        <v/>
      </c>
      <c r="H805" s="67" t="str">
        <f>IFERROR(IFERROR(INDEX(Кат!$I:$I,MATCH(Прайс!$B805,Кат!$G:$G,0)),INDEX(Торг!$I:$I,MATCH(Прайс!$B805,Торг!$H:$H,0))),"")</f>
        <v/>
      </c>
    </row>
    <row r="806" spans="1:8" x14ac:dyDescent="0.25">
      <c r="A806" s="94" t="s">
        <v>8391</v>
      </c>
      <c r="B806" s="98">
        <v>50511</v>
      </c>
      <c r="C806" s="98" t="s">
        <v>8392</v>
      </c>
      <c r="D806" s="96" t="s">
        <v>190</v>
      </c>
      <c r="E806" s="107">
        <v>1000</v>
      </c>
      <c r="F806" s="67" t="str">
        <f>IFERROR(IFERROR(INDEX(Кат!$A:$A,MATCH(Прайс!$B806,Кат!$G:$G,0)),INDEX(Торг!$B:$B,MATCH(Прайс!$B806,Торг!$H:$H,0))),"")</f>
        <v/>
      </c>
      <c r="G806" s="67" t="str">
        <f>IFERROR(IFERROR(INDEX(Кат!$B:$B,MATCH(Прайс!$B806,Кат!$G:$G,0)),INDEX(Торг!$C:$C,MATCH(Прайс!$B806,Торг!$H:$H,0))),"")</f>
        <v/>
      </c>
      <c r="H806" s="67" t="str">
        <f>IFERROR(IFERROR(INDEX(Кат!$I:$I,MATCH(Прайс!$B806,Кат!$G:$G,0)),INDEX(Торг!$I:$I,MATCH(Прайс!$B806,Торг!$H:$H,0))),"")</f>
        <v/>
      </c>
    </row>
    <row r="807" spans="1:8" x14ac:dyDescent="0.25">
      <c r="A807" s="103" t="s">
        <v>7436</v>
      </c>
      <c r="B807" s="104">
        <v>50690</v>
      </c>
      <c r="C807" s="104" t="s">
        <v>7437</v>
      </c>
      <c r="D807" s="105" t="s">
        <v>190</v>
      </c>
      <c r="E807" s="113">
        <v>450</v>
      </c>
      <c r="F807" s="67" t="str">
        <f>IFERROR(IFERROR(INDEX(Кат!$A:$A,MATCH(Прайс!$B807,Кат!$G:$G,0)),INDEX(Торг!$B:$B,MATCH(Прайс!$B807,Торг!$H:$H,0))),"")</f>
        <v/>
      </c>
      <c r="G807" s="67" t="str">
        <f>IFERROR(IFERROR(INDEX(Кат!$B:$B,MATCH(Прайс!$B807,Кат!$G:$G,0)),INDEX(Торг!$C:$C,MATCH(Прайс!$B807,Торг!$H:$H,0))),"")</f>
        <v/>
      </c>
      <c r="H807" s="67" t="str">
        <f>IFERROR(IFERROR(INDEX(Кат!$I:$I,MATCH(Прайс!$B807,Кат!$G:$G,0)),INDEX(Торг!$I:$I,MATCH(Прайс!$B807,Торг!$H:$H,0))),"")</f>
        <v/>
      </c>
    </row>
    <row r="808" spans="1:8" x14ac:dyDescent="0.25">
      <c r="A808" s="103" t="s">
        <v>7438</v>
      </c>
      <c r="B808" s="104">
        <v>50686</v>
      </c>
      <c r="C808" s="104" t="s">
        <v>7439</v>
      </c>
      <c r="D808" s="105" t="s">
        <v>190</v>
      </c>
      <c r="E808" s="113">
        <v>420</v>
      </c>
      <c r="F808" s="67" t="str">
        <f>IFERROR(IFERROR(INDEX(Кат!$A:$A,MATCH(Прайс!$B808,Кат!$G:$G,0)),INDEX(Торг!$B:$B,MATCH(Прайс!$B808,Торг!$H:$H,0))),"")</f>
        <v/>
      </c>
      <c r="G808" s="67" t="str">
        <f>IFERROR(IFERROR(INDEX(Кат!$B:$B,MATCH(Прайс!$B808,Кат!$G:$G,0)),INDEX(Торг!$C:$C,MATCH(Прайс!$B808,Торг!$H:$H,0))),"")</f>
        <v/>
      </c>
      <c r="H808" s="67" t="str">
        <f>IFERROR(IFERROR(INDEX(Кат!$I:$I,MATCH(Прайс!$B808,Кат!$G:$G,0)),INDEX(Торг!$I:$I,MATCH(Прайс!$B808,Торг!$H:$H,0))),"")</f>
        <v/>
      </c>
    </row>
    <row r="809" spans="1:8" x14ac:dyDescent="0.25">
      <c r="A809" s="103" t="s">
        <v>7440</v>
      </c>
      <c r="B809" s="104">
        <v>50687</v>
      </c>
      <c r="C809" s="104" t="s">
        <v>7441</v>
      </c>
      <c r="D809" s="105" t="s">
        <v>190</v>
      </c>
      <c r="E809" s="113">
        <v>400</v>
      </c>
      <c r="F809" s="67" t="str">
        <f>IFERROR(IFERROR(INDEX(Кат!$A:$A,MATCH(Прайс!$B809,Кат!$G:$G,0)),INDEX(Торг!$B:$B,MATCH(Прайс!$B809,Торг!$H:$H,0))),"")</f>
        <v/>
      </c>
      <c r="G809" s="67" t="str">
        <f>IFERROR(IFERROR(INDEX(Кат!$B:$B,MATCH(Прайс!$B809,Кат!$G:$G,0)),INDEX(Торг!$C:$C,MATCH(Прайс!$B809,Торг!$H:$H,0))),"")</f>
        <v/>
      </c>
      <c r="H809" s="67" t="str">
        <f>IFERROR(IFERROR(INDEX(Кат!$I:$I,MATCH(Прайс!$B809,Кат!$G:$G,0)),INDEX(Торг!$I:$I,MATCH(Прайс!$B809,Торг!$H:$H,0))),"")</f>
        <v/>
      </c>
    </row>
    <row r="810" spans="1:8" x14ac:dyDescent="0.25">
      <c r="A810" s="103" t="s">
        <v>5764</v>
      </c>
      <c r="B810" s="104">
        <v>50620</v>
      </c>
      <c r="C810" s="104" t="s">
        <v>5411</v>
      </c>
      <c r="D810" s="105" t="s">
        <v>190</v>
      </c>
      <c r="E810" s="113">
        <v>600</v>
      </c>
      <c r="F810" s="67" t="str">
        <f>IFERROR(IFERROR(INDEX(Кат!$A:$A,MATCH(Прайс!$B810,Кат!$G:$G,0)),INDEX(Торг!$B:$B,MATCH(Прайс!$B810,Торг!$H:$H,0))),"")</f>
        <v/>
      </c>
      <c r="G810" s="67" t="str">
        <f>IFERROR(IFERROR(INDEX(Кат!$B:$B,MATCH(Прайс!$B810,Кат!$G:$G,0)),INDEX(Торг!$C:$C,MATCH(Прайс!$B810,Торг!$H:$H,0))),"")</f>
        <v/>
      </c>
      <c r="H810" s="67" t="str">
        <f>IFERROR(IFERROR(INDEX(Кат!$I:$I,MATCH(Прайс!$B810,Кат!$G:$G,0)),INDEX(Торг!$I:$I,MATCH(Прайс!$B810,Торг!$H:$H,0))),"")</f>
        <v/>
      </c>
    </row>
    <row r="811" spans="1:8" x14ac:dyDescent="0.25">
      <c r="A811" s="94" t="s">
        <v>2898</v>
      </c>
      <c r="B811" s="98">
        <v>50429</v>
      </c>
      <c r="C811" s="98" t="s">
        <v>583</v>
      </c>
      <c r="D811" s="96" t="s">
        <v>1281</v>
      </c>
      <c r="E811" s="97">
        <v>440</v>
      </c>
      <c r="F811" s="67" t="str">
        <f>IFERROR(IFERROR(INDEX(Кат!$A:$A,MATCH(Прайс!$B811,Кат!$G:$G,0)),INDEX(Торг!$B:$B,MATCH(Прайс!$B811,Торг!$H:$H,0))),"")</f>
        <v/>
      </c>
      <c r="G811" s="67" t="str">
        <f>IFERROR(IFERROR(INDEX(Кат!$B:$B,MATCH(Прайс!$B811,Кат!$G:$G,0)),INDEX(Торг!$C:$C,MATCH(Прайс!$B811,Торг!$H:$H,0))),"")</f>
        <v/>
      </c>
      <c r="H811" s="67" t="str">
        <f>IFERROR(IFERROR(INDEX(Кат!$I:$I,MATCH(Прайс!$B811,Кат!$G:$G,0)),INDEX(Торг!$I:$I,MATCH(Прайс!$B811,Торг!$H:$H,0))),"")</f>
        <v/>
      </c>
    </row>
    <row r="812" spans="1:8" x14ac:dyDescent="0.25">
      <c r="A812" s="94" t="s">
        <v>7442</v>
      </c>
      <c r="B812" s="98">
        <v>50362</v>
      </c>
      <c r="C812" s="98" t="s">
        <v>7443</v>
      </c>
      <c r="D812" s="96" t="s">
        <v>190</v>
      </c>
      <c r="E812" s="97">
        <v>420</v>
      </c>
      <c r="F812" s="67" t="str">
        <f>IFERROR(IFERROR(INDEX(Кат!$A:$A,MATCH(Прайс!$B812,Кат!$G:$G,0)),INDEX(Торг!$B:$B,MATCH(Прайс!$B812,Торг!$H:$H,0))),"")</f>
        <v/>
      </c>
      <c r="G812" s="67" t="str">
        <f>IFERROR(IFERROR(INDEX(Кат!$B:$B,MATCH(Прайс!$B812,Кат!$G:$G,0)),INDEX(Торг!$C:$C,MATCH(Прайс!$B812,Торг!$H:$H,0))),"")</f>
        <v/>
      </c>
      <c r="H812" s="67" t="str">
        <f>IFERROR(IFERROR(INDEX(Кат!$I:$I,MATCH(Прайс!$B812,Кат!$G:$G,0)),INDEX(Торг!$I:$I,MATCH(Прайс!$B812,Торг!$H:$H,0))),"")</f>
        <v/>
      </c>
    </row>
    <row r="813" spans="1:8" x14ac:dyDescent="0.25">
      <c r="A813" s="109" t="s">
        <v>8201</v>
      </c>
      <c r="B813" s="110">
        <v>50714</v>
      </c>
      <c r="C813" s="110" t="s">
        <v>8202</v>
      </c>
      <c r="D813" s="111" t="s">
        <v>190</v>
      </c>
      <c r="E813" s="112">
        <v>540</v>
      </c>
      <c r="F813" s="67" t="str">
        <f>IFERROR(IFERROR(INDEX(Кат!$A:$A,MATCH(Прайс!$B813,Кат!$G:$G,0)),INDEX(Торг!$B:$B,MATCH(Прайс!$B813,Торг!$H:$H,0))),"")</f>
        <v/>
      </c>
      <c r="G813" s="67" t="str">
        <f>IFERROR(IFERROR(INDEX(Кат!$B:$B,MATCH(Прайс!$B813,Кат!$G:$G,0)),INDEX(Торг!$C:$C,MATCH(Прайс!$B813,Торг!$H:$H,0))),"")</f>
        <v/>
      </c>
      <c r="H813" s="67" t="str">
        <f>IFERROR(IFERROR(INDEX(Кат!$I:$I,MATCH(Прайс!$B813,Кат!$G:$G,0)),INDEX(Торг!$I:$I,MATCH(Прайс!$B813,Торг!$H:$H,0))),"")</f>
        <v/>
      </c>
    </row>
    <row r="814" spans="1:8" x14ac:dyDescent="0.25">
      <c r="A814" s="103" t="s">
        <v>7444</v>
      </c>
      <c r="B814" s="104">
        <v>50684</v>
      </c>
      <c r="C814" s="104" t="s">
        <v>7445</v>
      </c>
      <c r="D814" s="105" t="s">
        <v>190</v>
      </c>
      <c r="E814" s="113">
        <v>600</v>
      </c>
      <c r="F814" s="67" t="str">
        <f>IFERROR(IFERROR(INDEX(Кат!$A:$A,MATCH(Прайс!$B814,Кат!$G:$G,0)),INDEX(Торг!$B:$B,MATCH(Прайс!$B814,Торг!$H:$H,0))),"")</f>
        <v/>
      </c>
      <c r="G814" s="67" t="str">
        <f>IFERROR(IFERROR(INDEX(Кат!$B:$B,MATCH(Прайс!$B814,Кат!$G:$G,0)),INDEX(Торг!$C:$C,MATCH(Прайс!$B814,Торг!$H:$H,0))),"")</f>
        <v/>
      </c>
      <c r="H814" s="67" t="str">
        <f>IFERROR(IFERROR(INDEX(Кат!$I:$I,MATCH(Прайс!$B814,Кат!$G:$G,0)),INDEX(Торг!$I:$I,MATCH(Прайс!$B814,Торг!$H:$H,0))),"")</f>
        <v/>
      </c>
    </row>
    <row r="815" spans="1:8" x14ac:dyDescent="0.25">
      <c r="A815" s="103" t="s">
        <v>7446</v>
      </c>
      <c r="B815" s="104">
        <v>50674</v>
      </c>
      <c r="C815" s="104" t="s">
        <v>7447</v>
      </c>
      <c r="D815" s="105" t="s">
        <v>7448</v>
      </c>
      <c r="E815" s="113">
        <v>190</v>
      </c>
      <c r="F815" s="67" t="str">
        <f>IFERROR(IFERROR(INDEX(Кат!$A:$A,MATCH(Прайс!$B815,Кат!$G:$G,0)),INDEX(Торг!$B:$B,MATCH(Прайс!$B815,Торг!$H:$H,0))),"")</f>
        <v/>
      </c>
      <c r="G815" s="67" t="str">
        <f>IFERROR(IFERROR(INDEX(Кат!$B:$B,MATCH(Прайс!$B815,Кат!$G:$G,0)),INDEX(Торг!$C:$C,MATCH(Прайс!$B815,Торг!$H:$H,0))),"")</f>
        <v/>
      </c>
      <c r="H815" s="67" t="str">
        <f>IFERROR(IFERROR(INDEX(Кат!$I:$I,MATCH(Прайс!$B815,Кат!$G:$G,0)),INDEX(Торг!$I:$I,MATCH(Прайс!$B815,Торг!$H:$H,0))),"")</f>
        <v/>
      </c>
    </row>
    <row r="816" spans="1:8" x14ac:dyDescent="0.25">
      <c r="A816" s="94" t="s">
        <v>5038</v>
      </c>
      <c r="B816" s="98">
        <v>50498</v>
      </c>
      <c r="C816" s="98" t="s">
        <v>5039</v>
      </c>
      <c r="D816" s="96" t="s">
        <v>190</v>
      </c>
      <c r="E816" s="97">
        <v>270</v>
      </c>
      <c r="F816" s="67" t="str">
        <f>IFERROR(IFERROR(INDEX(Кат!$A:$A,MATCH(Прайс!$B816,Кат!$G:$G,0)),INDEX(Торг!$B:$B,MATCH(Прайс!$B816,Торг!$H:$H,0))),"")</f>
        <v/>
      </c>
      <c r="G816" s="67" t="str">
        <f>IFERROR(IFERROR(INDEX(Кат!$B:$B,MATCH(Прайс!$B816,Кат!$G:$G,0)),INDEX(Торг!$C:$C,MATCH(Прайс!$B816,Торг!$H:$H,0))),"")</f>
        <v/>
      </c>
      <c r="H816" s="67" t="str">
        <f>IFERROR(IFERROR(INDEX(Кат!$I:$I,MATCH(Прайс!$B816,Кат!$G:$G,0)),INDEX(Торг!$I:$I,MATCH(Прайс!$B816,Торг!$H:$H,0))),"")</f>
        <v/>
      </c>
    </row>
    <row r="817" spans="1:8" x14ac:dyDescent="0.25">
      <c r="A817" s="94" t="s">
        <v>6642</v>
      </c>
      <c r="B817" s="98">
        <v>50652</v>
      </c>
      <c r="C817" s="98" t="s">
        <v>6643</v>
      </c>
      <c r="D817" s="96" t="s">
        <v>190</v>
      </c>
      <c r="E817" s="97">
        <v>300</v>
      </c>
      <c r="F817" s="67" t="str">
        <f>IFERROR(IFERROR(INDEX(Кат!$A:$A,MATCH(Прайс!$B817,Кат!$G:$G,0)),INDEX(Торг!$B:$B,MATCH(Прайс!$B817,Торг!$H:$H,0))),"")</f>
        <v/>
      </c>
      <c r="G817" s="67" t="str">
        <f>IFERROR(IFERROR(INDEX(Кат!$B:$B,MATCH(Прайс!$B817,Кат!$G:$G,0)),INDEX(Торг!$C:$C,MATCH(Прайс!$B817,Торг!$H:$H,0))),"")</f>
        <v/>
      </c>
      <c r="H817" s="67" t="str">
        <f>IFERROR(IFERROR(INDEX(Кат!$I:$I,MATCH(Прайс!$B817,Кат!$G:$G,0)),INDEX(Торг!$I:$I,MATCH(Прайс!$B817,Торг!$H:$H,0))),"")</f>
        <v/>
      </c>
    </row>
    <row r="818" spans="1:8" x14ac:dyDescent="0.25">
      <c r="A818" s="94" t="s">
        <v>7449</v>
      </c>
      <c r="B818" s="98">
        <v>50494</v>
      </c>
      <c r="C818" s="98" t="s">
        <v>7450</v>
      </c>
      <c r="D818" s="96" t="s">
        <v>190</v>
      </c>
      <c r="E818" s="97">
        <v>420</v>
      </c>
      <c r="F818" s="67" t="str">
        <f>IFERROR(IFERROR(INDEX(Кат!$A:$A,MATCH(Прайс!$B818,Кат!$G:$G,0)),INDEX(Торг!$B:$B,MATCH(Прайс!$B818,Торг!$H:$H,0))),"")</f>
        <v/>
      </c>
      <c r="G818" s="67" t="str">
        <f>IFERROR(IFERROR(INDEX(Кат!$B:$B,MATCH(Прайс!$B818,Кат!$G:$G,0)),INDEX(Торг!$C:$C,MATCH(Прайс!$B818,Торг!$H:$H,0))),"")</f>
        <v/>
      </c>
      <c r="H818" s="67" t="str">
        <f>IFERROR(IFERROR(INDEX(Кат!$I:$I,MATCH(Прайс!$B818,Кат!$G:$G,0)),INDEX(Торг!$I:$I,MATCH(Прайс!$B818,Торг!$H:$H,0))),"")</f>
        <v/>
      </c>
    </row>
    <row r="819" spans="1:8" x14ac:dyDescent="0.25">
      <c r="A819" s="94" t="s">
        <v>6208</v>
      </c>
      <c r="B819" s="98">
        <v>50507</v>
      </c>
      <c r="C819" s="98" t="s">
        <v>6209</v>
      </c>
      <c r="D819" s="96" t="s">
        <v>190</v>
      </c>
      <c r="E819" s="97">
        <v>220</v>
      </c>
      <c r="F819" s="67" t="str">
        <f>IFERROR(IFERROR(INDEX(Кат!$A:$A,MATCH(Прайс!$B819,Кат!$G:$G,0)),INDEX(Торг!$B:$B,MATCH(Прайс!$B819,Торг!$H:$H,0))),"")</f>
        <v/>
      </c>
      <c r="G819" s="67" t="str">
        <f>IFERROR(IFERROR(INDEX(Кат!$B:$B,MATCH(Прайс!$B819,Кат!$G:$G,0)),INDEX(Торг!$C:$C,MATCH(Прайс!$B819,Торг!$H:$H,0))),"")</f>
        <v/>
      </c>
      <c r="H819" s="67" t="str">
        <f>IFERROR(IFERROR(INDEX(Кат!$I:$I,MATCH(Прайс!$B819,Кат!$G:$G,0)),INDEX(Торг!$I:$I,MATCH(Прайс!$B819,Торг!$H:$H,0))),"")</f>
        <v/>
      </c>
    </row>
    <row r="820" spans="1:8" x14ac:dyDescent="0.25">
      <c r="A820" s="94" t="s">
        <v>4873</v>
      </c>
      <c r="B820" s="98">
        <v>50525</v>
      </c>
      <c r="C820" s="98" t="s">
        <v>4874</v>
      </c>
      <c r="D820" s="96" t="s">
        <v>190</v>
      </c>
      <c r="E820" s="97">
        <v>300</v>
      </c>
      <c r="F820" s="67" t="str">
        <f>IFERROR(IFERROR(INDEX(Кат!$A:$A,MATCH(Прайс!$B820,Кат!$G:$G,0)),INDEX(Торг!$B:$B,MATCH(Прайс!$B820,Торг!$H:$H,0))),"")</f>
        <v/>
      </c>
      <c r="G820" s="67" t="str">
        <f>IFERROR(IFERROR(INDEX(Кат!$B:$B,MATCH(Прайс!$B820,Кат!$G:$G,0)),INDEX(Торг!$C:$C,MATCH(Прайс!$B820,Торг!$H:$H,0))),"")</f>
        <v/>
      </c>
      <c r="H820" s="67" t="str">
        <f>IFERROR(IFERROR(INDEX(Кат!$I:$I,MATCH(Прайс!$B820,Кат!$G:$G,0)),INDEX(Торг!$I:$I,MATCH(Прайс!$B820,Торг!$H:$H,0))),"")</f>
        <v/>
      </c>
    </row>
    <row r="821" spans="1:8" x14ac:dyDescent="0.25">
      <c r="A821" s="109" t="s">
        <v>8203</v>
      </c>
      <c r="B821" s="110">
        <v>50713</v>
      </c>
      <c r="C821" s="110" t="s">
        <v>8204</v>
      </c>
      <c r="D821" s="111" t="s">
        <v>190</v>
      </c>
      <c r="E821" s="112">
        <v>130</v>
      </c>
      <c r="F821" s="67" t="str">
        <f>IFERROR(IFERROR(INDEX(Кат!$A:$A,MATCH(Прайс!$B821,Кат!$G:$G,0)),INDEX(Торг!$B:$B,MATCH(Прайс!$B821,Торг!$H:$H,0))),"")</f>
        <v/>
      </c>
      <c r="G821" s="67" t="str">
        <f>IFERROR(IFERROR(INDEX(Кат!$B:$B,MATCH(Прайс!$B821,Кат!$G:$G,0)),INDEX(Торг!$C:$C,MATCH(Прайс!$B821,Торг!$H:$H,0))),"")</f>
        <v/>
      </c>
      <c r="H821" s="67" t="str">
        <f>IFERROR(IFERROR(INDEX(Кат!$I:$I,MATCH(Прайс!$B821,Кат!$G:$G,0)),INDEX(Торг!$I:$I,MATCH(Прайс!$B821,Торг!$H:$H,0))),"")</f>
        <v/>
      </c>
    </row>
    <row r="822" spans="1:8" x14ac:dyDescent="0.25">
      <c r="A822" s="109" t="s">
        <v>8205</v>
      </c>
      <c r="B822" s="110">
        <v>50711</v>
      </c>
      <c r="C822" s="110" t="s">
        <v>8206</v>
      </c>
      <c r="D822" s="111" t="s">
        <v>190</v>
      </c>
      <c r="E822" s="112">
        <v>280</v>
      </c>
      <c r="F822" s="67" t="str">
        <f>IFERROR(IFERROR(INDEX(Кат!$A:$A,MATCH(Прайс!$B822,Кат!$G:$G,0)),INDEX(Торг!$B:$B,MATCH(Прайс!$B822,Торг!$H:$H,0))),"")</f>
        <v/>
      </c>
      <c r="G822" s="67" t="str">
        <f>IFERROR(IFERROR(INDEX(Кат!$B:$B,MATCH(Прайс!$B822,Кат!$G:$G,0)),INDEX(Торг!$C:$C,MATCH(Прайс!$B822,Торг!$H:$H,0))),"")</f>
        <v/>
      </c>
      <c r="H822" s="67" t="str">
        <f>IFERROR(IFERROR(INDEX(Кат!$I:$I,MATCH(Прайс!$B822,Кат!$G:$G,0)),INDEX(Торг!$I:$I,MATCH(Прайс!$B822,Торг!$H:$H,0))),"")</f>
        <v/>
      </c>
    </row>
    <row r="823" spans="1:8" x14ac:dyDescent="0.25">
      <c r="A823" s="94" t="s">
        <v>7451</v>
      </c>
      <c r="B823" s="98">
        <v>50675</v>
      </c>
      <c r="C823" s="98" t="s">
        <v>7452</v>
      </c>
      <c r="D823" s="96" t="s">
        <v>190</v>
      </c>
      <c r="E823" s="107">
        <v>1300</v>
      </c>
      <c r="F823" s="67" t="str">
        <f>IFERROR(IFERROR(INDEX(Кат!$A:$A,MATCH(Прайс!$B823,Кат!$G:$G,0)),INDEX(Торг!$B:$B,MATCH(Прайс!$B823,Торг!$H:$H,0))),"")</f>
        <v/>
      </c>
      <c r="G823" s="67" t="str">
        <f>IFERROR(IFERROR(INDEX(Кат!$B:$B,MATCH(Прайс!$B823,Кат!$G:$G,0)),INDEX(Торг!$C:$C,MATCH(Прайс!$B823,Торг!$H:$H,0))),"")</f>
        <v/>
      </c>
      <c r="H823" s="67" t="str">
        <f>IFERROR(IFERROR(INDEX(Кат!$I:$I,MATCH(Прайс!$B823,Кат!$G:$G,0)),INDEX(Торг!$I:$I,MATCH(Прайс!$B823,Торг!$H:$H,0))),"")</f>
        <v/>
      </c>
    </row>
    <row r="824" spans="1:8" x14ac:dyDescent="0.25">
      <c r="A824" s="103" t="s">
        <v>2899</v>
      </c>
      <c r="B824" s="104">
        <v>50514</v>
      </c>
      <c r="C824" s="104" t="s">
        <v>585</v>
      </c>
      <c r="D824" s="105" t="s">
        <v>190</v>
      </c>
      <c r="E824" s="113">
        <v>370</v>
      </c>
      <c r="F824" s="67" t="str">
        <f>IFERROR(IFERROR(INDEX(Кат!$A:$A,MATCH(Прайс!$B824,Кат!$G:$G,0)),INDEX(Торг!$B:$B,MATCH(Прайс!$B824,Торг!$H:$H,0))),"")</f>
        <v/>
      </c>
      <c r="G824" s="67" t="str">
        <f>IFERROR(IFERROR(INDEX(Кат!$B:$B,MATCH(Прайс!$B824,Кат!$G:$G,0)),INDEX(Торг!$C:$C,MATCH(Прайс!$B824,Торг!$H:$H,0))),"")</f>
        <v/>
      </c>
      <c r="H824" s="67" t="str">
        <f>IFERROR(IFERROR(INDEX(Кат!$I:$I,MATCH(Прайс!$B824,Кат!$G:$G,0)),INDEX(Торг!$I:$I,MATCH(Прайс!$B824,Торг!$H:$H,0))),"")</f>
        <v/>
      </c>
    </row>
    <row r="825" spans="1:8" x14ac:dyDescent="0.25">
      <c r="A825" s="94" t="s">
        <v>5040</v>
      </c>
      <c r="B825" s="98">
        <v>50612</v>
      </c>
      <c r="C825" s="98" t="s">
        <v>5041</v>
      </c>
      <c r="D825" s="96" t="s">
        <v>190</v>
      </c>
      <c r="E825" s="97">
        <v>270</v>
      </c>
      <c r="F825" s="67" t="str">
        <f>IFERROR(IFERROR(INDEX(Кат!$A:$A,MATCH(Прайс!$B825,Кат!$G:$G,0)),INDEX(Торг!$B:$B,MATCH(Прайс!$B825,Торг!$H:$H,0))),"")</f>
        <v/>
      </c>
      <c r="G825" s="67" t="str">
        <f>IFERROR(IFERROR(INDEX(Кат!$B:$B,MATCH(Прайс!$B825,Кат!$G:$G,0)),INDEX(Торг!$C:$C,MATCH(Прайс!$B825,Торг!$H:$H,0))),"")</f>
        <v/>
      </c>
      <c r="H825" s="67" t="str">
        <f>IFERROR(IFERROR(INDEX(Кат!$I:$I,MATCH(Прайс!$B825,Кат!$G:$G,0)),INDEX(Торг!$I:$I,MATCH(Прайс!$B825,Торг!$H:$H,0))),"")</f>
        <v/>
      </c>
    </row>
    <row r="826" spans="1:8" x14ac:dyDescent="0.25">
      <c r="A826" s="94" t="s">
        <v>5042</v>
      </c>
      <c r="B826" s="98">
        <v>50613</v>
      </c>
      <c r="C826" s="98" t="s">
        <v>5043</v>
      </c>
      <c r="D826" s="96" t="s">
        <v>190</v>
      </c>
      <c r="E826" s="97">
        <v>270</v>
      </c>
      <c r="F826" s="67" t="str">
        <f>IFERROR(IFERROR(INDEX(Кат!$A:$A,MATCH(Прайс!$B826,Кат!$G:$G,0)),INDEX(Торг!$B:$B,MATCH(Прайс!$B826,Торг!$H:$H,0))),"")</f>
        <v/>
      </c>
      <c r="G826" s="67" t="str">
        <f>IFERROR(IFERROR(INDEX(Кат!$B:$B,MATCH(Прайс!$B826,Кат!$G:$G,0)),INDEX(Торг!$C:$C,MATCH(Прайс!$B826,Торг!$H:$H,0))),"")</f>
        <v/>
      </c>
      <c r="H826" s="67" t="str">
        <f>IFERROR(IFERROR(INDEX(Кат!$I:$I,MATCH(Прайс!$B826,Кат!$G:$G,0)),INDEX(Торг!$I:$I,MATCH(Прайс!$B826,Торг!$H:$H,0))),"")</f>
        <v/>
      </c>
    </row>
    <row r="827" spans="1:8" x14ac:dyDescent="0.25">
      <c r="A827" s="94" t="s">
        <v>5044</v>
      </c>
      <c r="B827" s="98">
        <v>50617</v>
      </c>
      <c r="C827" s="98" t="s">
        <v>5045</v>
      </c>
      <c r="D827" s="96" t="s">
        <v>190</v>
      </c>
      <c r="E827" s="97">
        <v>400</v>
      </c>
      <c r="F827" s="67" t="str">
        <f>IFERROR(IFERROR(INDEX(Кат!$A:$A,MATCH(Прайс!$B827,Кат!$G:$G,0)),INDEX(Торг!$B:$B,MATCH(Прайс!$B827,Торг!$H:$H,0))),"")</f>
        <v/>
      </c>
      <c r="G827" s="67" t="str">
        <f>IFERROR(IFERROR(INDEX(Кат!$B:$B,MATCH(Прайс!$B827,Кат!$G:$G,0)),INDEX(Торг!$C:$C,MATCH(Прайс!$B827,Торг!$H:$H,0))),"")</f>
        <v/>
      </c>
      <c r="H827" s="67" t="str">
        <f>IFERROR(IFERROR(INDEX(Кат!$I:$I,MATCH(Прайс!$B827,Кат!$G:$G,0)),INDEX(Торг!$I:$I,MATCH(Прайс!$B827,Торг!$H:$H,0))),"")</f>
        <v/>
      </c>
    </row>
    <row r="828" spans="1:8" x14ac:dyDescent="0.25">
      <c r="A828" s="94" t="s">
        <v>5046</v>
      </c>
      <c r="B828" s="98">
        <v>50614</v>
      </c>
      <c r="C828" s="98" t="s">
        <v>5047</v>
      </c>
      <c r="D828" s="96" t="s">
        <v>190</v>
      </c>
      <c r="E828" s="97">
        <v>270</v>
      </c>
      <c r="F828" s="67" t="str">
        <f>IFERROR(IFERROR(INDEX(Кат!$A:$A,MATCH(Прайс!$B828,Кат!$G:$G,0)),INDEX(Торг!$B:$B,MATCH(Прайс!$B828,Торг!$H:$H,0))),"")</f>
        <v/>
      </c>
      <c r="G828" s="67" t="str">
        <f>IFERROR(IFERROR(INDEX(Кат!$B:$B,MATCH(Прайс!$B828,Кат!$G:$G,0)),INDEX(Торг!$C:$C,MATCH(Прайс!$B828,Торг!$H:$H,0))),"")</f>
        <v/>
      </c>
      <c r="H828" s="67" t="str">
        <f>IFERROR(IFERROR(INDEX(Кат!$I:$I,MATCH(Прайс!$B828,Кат!$G:$G,0)),INDEX(Торг!$I:$I,MATCH(Прайс!$B828,Торг!$H:$H,0))),"")</f>
        <v/>
      </c>
    </row>
    <row r="829" spans="1:8" x14ac:dyDescent="0.25">
      <c r="A829" s="94" t="s">
        <v>6645</v>
      </c>
      <c r="B829" s="98">
        <v>50656</v>
      </c>
      <c r="C829" s="98" t="s">
        <v>6646</v>
      </c>
      <c r="D829" s="96" t="s">
        <v>190</v>
      </c>
      <c r="E829" s="97">
        <v>330</v>
      </c>
      <c r="F829" s="67" t="str">
        <f>IFERROR(IFERROR(INDEX(Кат!$A:$A,MATCH(Прайс!$B829,Кат!$G:$G,0)),INDEX(Торг!$B:$B,MATCH(Прайс!$B829,Торг!$H:$H,0))),"")</f>
        <v/>
      </c>
      <c r="G829" s="67" t="str">
        <f>IFERROR(IFERROR(INDEX(Кат!$B:$B,MATCH(Прайс!$B829,Кат!$G:$G,0)),INDEX(Торг!$C:$C,MATCH(Прайс!$B829,Торг!$H:$H,0))),"")</f>
        <v/>
      </c>
      <c r="H829" s="67" t="str">
        <f>IFERROR(IFERROR(INDEX(Кат!$I:$I,MATCH(Прайс!$B829,Кат!$G:$G,0)),INDEX(Торг!$I:$I,MATCH(Прайс!$B829,Торг!$H:$H,0))),"")</f>
        <v/>
      </c>
    </row>
    <row r="830" spans="1:8" x14ac:dyDescent="0.25">
      <c r="A830" s="94" t="s">
        <v>7453</v>
      </c>
      <c r="B830" s="98">
        <v>50679</v>
      </c>
      <c r="C830" s="98" t="s">
        <v>7454</v>
      </c>
      <c r="D830" s="96" t="s">
        <v>190</v>
      </c>
      <c r="E830" s="97">
        <v>340</v>
      </c>
      <c r="F830" s="67" t="str">
        <f>IFERROR(IFERROR(INDEX(Кат!$A:$A,MATCH(Прайс!$B830,Кат!$G:$G,0)),INDEX(Торг!$B:$B,MATCH(Прайс!$B830,Торг!$H:$H,0))),"")</f>
        <v/>
      </c>
      <c r="G830" s="67" t="str">
        <f>IFERROR(IFERROR(INDEX(Кат!$B:$B,MATCH(Прайс!$B830,Кат!$G:$G,0)),INDEX(Торг!$C:$C,MATCH(Прайс!$B830,Торг!$H:$H,0))),"")</f>
        <v/>
      </c>
      <c r="H830" s="67" t="str">
        <f>IFERROR(IFERROR(INDEX(Кат!$I:$I,MATCH(Прайс!$B830,Кат!$G:$G,0)),INDEX(Торг!$I:$I,MATCH(Прайс!$B830,Торг!$H:$H,0))),"")</f>
        <v/>
      </c>
    </row>
    <row r="831" spans="1:8" x14ac:dyDescent="0.25">
      <c r="A831" s="94" t="s">
        <v>6644</v>
      </c>
      <c r="B831" s="98">
        <v>50669</v>
      </c>
      <c r="C831" s="98" t="s">
        <v>7455</v>
      </c>
      <c r="D831" s="96" t="s">
        <v>190</v>
      </c>
      <c r="E831" s="97">
        <v>290</v>
      </c>
      <c r="F831" s="67" t="str">
        <f>IFERROR(IFERROR(INDEX(Кат!$A:$A,MATCH(Прайс!$B831,Кат!$G:$G,0)),INDEX(Торг!$B:$B,MATCH(Прайс!$B831,Торг!$H:$H,0))),"")</f>
        <v/>
      </c>
      <c r="G831" s="67" t="str">
        <f>IFERROR(IFERROR(INDEX(Кат!$B:$B,MATCH(Прайс!$B831,Кат!$G:$G,0)),INDEX(Торг!$C:$C,MATCH(Прайс!$B831,Торг!$H:$H,0))),"")</f>
        <v/>
      </c>
      <c r="H831" s="67" t="str">
        <f>IFERROR(IFERROR(INDEX(Кат!$I:$I,MATCH(Прайс!$B831,Кат!$G:$G,0)),INDEX(Торг!$I:$I,MATCH(Прайс!$B831,Торг!$H:$H,0))),"")</f>
        <v/>
      </c>
    </row>
    <row r="832" spans="1:8" x14ac:dyDescent="0.25">
      <c r="A832" s="94" t="s">
        <v>7456</v>
      </c>
      <c r="B832" s="98">
        <v>50680</v>
      </c>
      <c r="C832" s="98" t="s">
        <v>7457</v>
      </c>
      <c r="D832" s="96" t="s">
        <v>190</v>
      </c>
      <c r="E832" s="97">
        <v>130</v>
      </c>
      <c r="F832" s="67" t="str">
        <f>IFERROR(IFERROR(INDEX(Кат!$A:$A,MATCH(Прайс!$B832,Кат!$G:$G,0)),INDEX(Торг!$B:$B,MATCH(Прайс!$B832,Торг!$H:$H,0))),"")</f>
        <v/>
      </c>
      <c r="G832" s="67" t="str">
        <f>IFERROR(IFERROR(INDEX(Кат!$B:$B,MATCH(Прайс!$B832,Кат!$G:$G,0)),INDEX(Торг!$C:$C,MATCH(Прайс!$B832,Торг!$H:$H,0))),"")</f>
        <v/>
      </c>
      <c r="H832" s="67" t="str">
        <f>IFERROR(IFERROR(INDEX(Кат!$I:$I,MATCH(Прайс!$B832,Кат!$G:$G,0)),INDEX(Торг!$I:$I,MATCH(Прайс!$B832,Торг!$H:$H,0))),"")</f>
        <v/>
      </c>
    </row>
    <row r="833" spans="1:8" x14ac:dyDescent="0.25">
      <c r="A833" s="94" t="s">
        <v>7458</v>
      </c>
      <c r="B833" s="98">
        <v>50681</v>
      </c>
      <c r="C833" s="98" t="s">
        <v>7459</v>
      </c>
      <c r="D833" s="96" t="s">
        <v>190</v>
      </c>
      <c r="E833" s="97">
        <v>120</v>
      </c>
      <c r="F833" s="67" t="str">
        <f>IFERROR(IFERROR(INDEX(Кат!$A:$A,MATCH(Прайс!$B833,Кат!$G:$G,0)),INDEX(Торг!$B:$B,MATCH(Прайс!$B833,Торг!$H:$H,0))),"")</f>
        <v/>
      </c>
      <c r="G833" s="67" t="str">
        <f>IFERROR(IFERROR(INDEX(Кат!$B:$B,MATCH(Прайс!$B833,Кат!$G:$G,0)),INDEX(Торг!$C:$C,MATCH(Прайс!$B833,Торг!$H:$H,0))),"")</f>
        <v/>
      </c>
      <c r="H833" s="67" t="str">
        <f>IFERROR(IFERROR(INDEX(Кат!$I:$I,MATCH(Прайс!$B833,Кат!$G:$G,0)),INDEX(Торг!$I:$I,MATCH(Прайс!$B833,Торг!$H:$H,0))),"")</f>
        <v/>
      </c>
    </row>
    <row r="834" spans="1:8" x14ac:dyDescent="0.25">
      <c r="A834" s="94" t="s">
        <v>6210</v>
      </c>
      <c r="B834" s="98">
        <v>50632</v>
      </c>
      <c r="C834" s="98" t="s">
        <v>6211</v>
      </c>
      <c r="D834" s="96" t="s">
        <v>190</v>
      </c>
      <c r="E834" s="97">
        <v>900</v>
      </c>
      <c r="F834" s="67" t="str">
        <f>IFERROR(IFERROR(INDEX(Кат!$A:$A,MATCH(Прайс!$B834,Кат!$G:$G,0)),INDEX(Торг!$B:$B,MATCH(Прайс!$B834,Торг!$H:$H,0))),"")</f>
        <v/>
      </c>
      <c r="G834" s="67" t="str">
        <f>IFERROR(IFERROR(INDEX(Кат!$B:$B,MATCH(Прайс!$B834,Кат!$G:$G,0)),INDEX(Торг!$C:$C,MATCH(Прайс!$B834,Торг!$H:$H,0))),"")</f>
        <v/>
      </c>
      <c r="H834" s="67" t="str">
        <f>IFERROR(IFERROR(INDEX(Кат!$I:$I,MATCH(Прайс!$B834,Кат!$G:$G,0)),INDEX(Торг!$I:$I,MATCH(Прайс!$B834,Торг!$H:$H,0))),"")</f>
        <v/>
      </c>
    </row>
    <row r="835" spans="1:8" x14ac:dyDescent="0.25">
      <c r="A835" s="94" t="s">
        <v>2900</v>
      </c>
      <c r="B835" s="98">
        <v>50136</v>
      </c>
      <c r="C835" s="98" t="s">
        <v>586</v>
      </c>
      <c r="D835" s="96" t="s">
        <v>190</v>
      </c>
      <c r="E835" s="97">
        <v>80</v>
      </c>
      <c r="F835" s="67" t="str">
        <f>IFERROR(IFERROR(INDEX(Кат!$A:$A,MATCH(Прайс!$B835,Кат!$G:$G,0)),INDEX(Торг!$B:$B,MATCH(Прайс!$B835,Торг!$H:$H,0))),"")</f>
        <v/>
      </c>
      <c r="G835" s="67" t="str">
        <f>IFERROR(IFERROR(INDEX(Кат!$B:$B,MATCH(Прайс!$B835,Кат!$G:$G,0)),INDEX(Торг!$C:$C,MATCH(Прайс!$B835,Торг!$H:$H,0))),"")</f>
        <v/>
      </c>
      <c r="H835" s="67" t="str">
        <f>IFERROR(IFERROR(INDEX(Кат!$I:$I,MATCH(Прайс!$B835,Кат!$G:$G,0)),INDEX(Торг!$I:$I,MATCH(Прайс!$B835,Торг!$H:$H,0))),"")</f>
        <v/>
      </c>
    </row>
    <row r="836" spans="1:8" x14ac:dyDescent="0.25">
      <c r="A836" s="94" t="s">
        <v>2901</v>
      </c>
      <c r="B836" s="98">
        <v>50126</v>
      </c>
      <c r="C836" s="98" t="s">
        <v>587</v>
      </c>
      <c r="D836" s="96" t="s">
        <v>190</v>
      </c>
      <c r="E836" s="97">
        <v>260</v>
      </c>
      <c r="F836" s="67" t="str">
        <f>IFERROR(IFERROR(INDEX(Кат!$A:$A,MATCH(Прайс!$B836,Кат!$G:$G,0)),INDEX(Торг!$B:$B,MATCH(Прайс!$B836,Торг!$H:$H,0))),"")</f>
        <v/>
      </c>
      <c r="G836" s="67" t="str">
        <f>IFERROR(IFERROR(INDEX(Кат!$B:$B,MATCH(Прайс!$B836,Кат!$G:$G,0)),INDEX(Торг!$C:$C,MATCH(Прайс!$B836,Торг!$H:$H,0))),"")</f>
        <v/>
      </c>
      <c r="H836" s="67" t="str">
        <f>IFERROR(IFERROR(INDEX(Кат!$I:$I,MATCH(Прайс!$B836,Кат!$G:$G,0)),INDEX(Торг!$I:$I,MATCH(Прайс!$B836,Торг!$H:$H,0))),"")</f>
        <v/>
      </c>
    </row>
    <row r="837" spans="1:8" x14ac:dyDescent="0.25">
      <c r="A837" s="94" t="s">
        <v>2902</v>
      </c>
      <c r="B837" s="98">
        <v>50142</v>
      </c>
      <c r="C837" s="98" t="s">
        <v>588</v>
      </c>
      <c r="D837" s="96" t="s">
        <v>190</v>
      </c>
      <c r="E837" s="97">
        <v>50</v>
      </c>
      <c r="F837" s="67" t="str">
        <f>IFERROR(IFERROR(INDEX(Кат!$A:$A,MATCH(Прайс!$B837,Кат!$G:$G,0)),INDEX(Торг!$B:$B,MATCH(Прайс!$B837,Торг!$H:$H,0))),"")</f>
        <v/>
      </c>
      <c r="G837" s="67" t="str">
        <f>IFERROR(IFERROR(INDEX(Кат!$B:$B,MATCH(Прайс!$B837,Кат!$G:$G,0)),INDEX(Торг!$C:$C,MATCH(Прайс!$B837,Торг!$H:$H,0))),"")</f>
        <v/>
      </c>
      <c r="H837" s="67" t="str">
        <f>IFERROR(IFERROR(INDEX(Кат!$I:$I,MATCH(Прайс!$B837,Кат!$G:$G,0)),INDEX(Торг!$I:$I,MATCH(Прайс!$B837,Торг!$H:$H,0))),"")</f>
        <v/>
      </c>
    </row>
    <row r="838" spans="1:8" x14ac:dyDescent="0.25">
      <c r="A838" s="103" t="s">
        <v>7460</v>
      </c>
      <c r="B838" s="104">
        <v>50691</v>
      </c>
      <c r="C838" s="104" t="s">
        <v>7461</v>
      </c>
      <c r="D838" s="105" t="s">
        <v>265</v>
      </c>
      <c r="E838" s="113">
        <v>280</v>
      </c>
      <c r="F838" s="67" t="str">
        <f>IFERROR(IFERROR(INDEX(Кат!$A:$A,MATCH(Прайс!$B838,Кат!$G:$G,0)),INDEX(Торг!$B:$B,MATCH(Прайс!$B838,Торг!$H:$H,0))),"")</f>
        <v/>
      </c>
      <c r="G838" s="67" t="str">
        <f>IFERROR(IFERROR(INDEX(Кат!$B:$B,MATCH(Прайс!$B838,Кат!$G:$G,0)),INDEX(Торг!$C:$C,MATCH(Прайс!$B838,Торг!$H:$H,0))),"")</f>
        <v/>
      </c>
      <c r="H838" s="67" t="str">
        <f>IFERROR(IFERROR(INDEX(Кат!$I:$I,MATCH(Прайс!$B838,Кат!$G:$G,0)),INDEX(Торг!$I:$I,MATCH(Прайс!$B838,Торг!$H:$H,0))),"")</f>
        <v/>
      </c>
    </row>
    <row r="839" spans="1:8" x14ac:dyDescent="0.25">
      <c r="A839" s="94" t="s">
        <v>5412</v>
      </c>
      <c r="B839" s="98">
        <v>50619</v>
      </c>
      <c r="C839" s="98" t="s">
        <v>5413</v>
      </c>
      <c r="D839" s="96" t="s">
        <v>190</v>
      </c>
      <c r="E839" s="97">
        <v>220</v>
      </c>
      <c r="F839" s="67" t="str">
        <f>IFERROR(IFERROR(INDEX(Кат!$A:$A,MATCH(Прайс!$B839,Кат!$G:$G,0)),INDEX(Торг!$B:$B,MATCH(Прайс!$B839,Торг!$H:$H,0))),"")</f>
        <v/>
      </c>
      <c r="G839" s="67" t="str">
        <f>IFERROR(IFERROR(INDEX(Кат!$B:$B,MATCH(Прайс!$B839,Кат!$G:$G,0)),INDEX(Торг!$C:$C,MATCH(Прайс!$B839,Торг!$H:$H,0))),"")</f>
        <v/>
      </c>
      <c r="H839" s="67" t="str">
        <f>IFERROR(IFERROR(INDEX(Кат!$I:$I,MATCH(Прайс!$B839,Кат!$G:$G,0)),INDEX(Торг!$I:$I,MATCH(Прайс!$B839,Торг!$H:$H,0))),"")</f>
        <v/>
      </c>
    </row>
    <row r="840" spans="1:8" x14ac:dyDescent="0.25">
      <c r="A840" s="94" t="s">
        <v>5765</v>
      </c>
      <c r="B840" s="98">
        <v>50622</v>
      </c>
      <c r="C840" s="98" t="s">
        <v>5766</v>
      </c>
      <c r="D840" s="96" t="s">
        <v>190</v>
      </c>
      <c r="E840" s="97">
        <v>290</v>
      </c>
      <c r="F840" s="67" t="str">
        <f>IFERROR(IFERROR(INDEX(Кат!$A:$A,MATCH(Прайс!$B840,Кат!$G:$G,0)),INDEX(Торг!$B:$B,MATCH(Прайс!$B840,Торг!$H:$H,0))),"")</f>
        <v/>
      </c>
      <c r="G840" s="67" t="str">
        <f>IFERROR(IFERROR(INDEX(Кат!$B:$B,MATCH(Прайс!$B840,Кат!$G:$G,0)),INDEX(Торг!$C:$C,MATCH(Прайс!$B840,Торг!$H:$H,0))),"")</f>
        <v/>
      </c>
      <c r="H840" s="67" t="str">
        <f>IFERROR(IFERROR(INDEX(Кат!$I:$I,MATCH(Прайс!$B840,Кат!$G:$G,0)),INDEX(Торг!$I:$I,MATCH(Прайс!$B840,Торг!$H:$H,0))),"")</f>
        <v/>
      </c>
    </row>
    <row r="841" spans="1:8" x14ac:dyDescent="0.25">
      <c r="A841" s="94" t="s">
        <v>6212</v>
      </c>
      <c r="B841" s="98">
        <v>50631</v>
      </c>
      <c r="C841" s="98" t="s">
        <v>6213</v>
      </c>
      <c r="D841" s="96" t="s">
        <v>190</v>
      </c>
      <c r="E841" s="97">
        <v>230</v>
      </c>
      <c r="F841" s="67" t="str">
        <f>IFERROR(IFERROR(INDEX(Кат!$A:$A,MATCH(Прайс!$B841,Кат!$G:$G,0)),INDEX(Торг!$B:$B,MATCH(Прайс!$B841,Торг!$H:$H,0))),"")</f>
        <v/>
      </c>
      <c r="G841" s="67" t="str">
        <f>IFERROR(IFERROR(INDEX(Кат!$B:$B,MATCH(Прайс!$B841,Кат!$G:$G,0)),INDEX(Торг!$C:$C,MATCH(Прайс!$B841,Торг!$H:$H,0))),"")</f>
        <v/>
      </c>
      <c r="H841" s="67" t="str">
        <f>IFERROR(IFERROR(INDEX(Кат!$I:$I,MATCH(Прайс!$B841,Кат!$G:$G,0)),INDEX(Торг!$I:$I,MATCH(Прайс!$B841,Торг!$H:$H,0))),"")</f>
        <v/>
      </c>
    </row>
    <row r="842" spans="1:8" x14ac:dyDescent="0.25">
      <c r="A842" s="94" t="s">
        <v>6214</v>
      </c>
      <c r="B842" s="98">
        <v>50629</v>
      </c>
      <c r="C842" s="98" t="s">
        <v>6215</v>
      </c>
      <c r="D842" s="96" t="s">
        <v>190</v>
      </c>
      <c r="E842" s="97">
        <v>200</v>
      </c>
      <c r="F842" s="67" t="str">
        <f>IFERROR(IFERROR(INDEX(Кат!$A:$A,MATCH(Прайс!$B842,Кат!$G:$G,0)),INDEX(Торг!$B:$B,MATCH(Прайс!$B842,Торг!$H:$H,0))),"")</f>
        <v/>
      </c>
      <c r="G842" s="67" t="str">
        <f>IFERROR(IFERROR(INDEX(Кат!$B:$B,MATCH(Прайс!$B842,Кат!$G:$G,0)),INDEX(Торг!$C:$C,MATCH(Прайс!$B842,Торг!$H:$H,0))),"")</f>
        <v/>
      </c>
      <c r="H842" s="67" t="str">
        <f>IFERROR(IFERROR(INDEX(Кат!$I:$I,MATCH(Прайс!$B842,Кат!$G:$G,0)),INDEX(Торг!$I:$I,MATCH(Прайс!$B842,Торг!$H:$H,0))),"")</f>
        <v/>
      </c>
    </row>
    <row r="843" spans="1:8" x14ac:dyDescent="0.25">
      <c r="A843" s="94" t="s">
        <v>6647</v>
      </c>
      <c r="B843" s="98">
        <v>50658</v>
      </c>
      <c r="C843" s="98" t="s">
        <v>6648</v>
      </c>
      <c r="D843" s="96" t="s">
        <v>190</v>
      </c>
      <c r="E843" s="97">
        <v>230</v>
      </c>
      <c r="F843" s="67" t="str">
        <f>IFERROR(IFERROR(INDEX(Кат!$A:$A,MATCH(Прайс!$B843,Кат!$G:$G,0)),INDEX(Торг!$B:$B,MATCH(Прайс!$B843,Торг!$H:$H,0))),"")</f>
        <v/>
      </c>
      <c r="G843" s="67" t="str">
        <f>IFERROR(IFERROR(INDEX(Кат!$B:$B,MATCH(Прайс!$B843,Кат!$G:$G,0)),INDEX(Торг!$C:$C,MATCH(Прайс!$B843,Торг!$H:$H,0))),"")</f>
        <v/>
      </c>
      <c r="H843" s="67" t="str">
        <f>IFERROR(IFERROR(INDEX(Кат!$I:$I,MATCH(Прайс!$B843,Кат!$G:$G,0)),INDEX(Торг!$I:$I,MATCH(Прайс!$B843,Торг!$H:$H,0))),"")</f>
        <v/>
      </c>
    </row>
    <row r="844" spans="1:8" x14ac:dyDescent="0.25">
      <c r="A844" s="103" t="s">
        <v>6649</v>
      </c>
      <c r="B844" s="104">
        <v>50660</v>
      </c>
      <c r="C844" s="104" t="s">
        <v>6650</v>
      </c>
      <c r="D844" s="105" t="s">
        <v>190</v>
      </c>
      <c r="E844" s="113">
        <v>220</v>
      </c>
      <c r="F844" s="67" t="str">
        <f>IFERROR(IFERROR(INDEX(Кат!$A:$A,MATCH(Прайс!$B844,Кат!$G:$G,0)),INDEX(Торг!$B:$B,MATCH(Прайс!$B844,Торг!$H:$H,0))),"")</f>
        <v/>
      </c>
      <c r="G844" s="67" t="str">
        <f>IFERROR(IFERROR(INDEX(Кат!$B:$B,MATCH(Прайс!$B844,Кат!$G:$G,0)),INDEX(Торг!$C:$C,MATCH(Прайс!$B844,Торг!$H:$H,0))),"")</f>
        <v/>
      </c>
      <c r="H844" s="67" t="str">
        <f>IFERROR(IFERROR(INDEX(Кат!$I:$I,MATCH(Прайс!$B844,Кат!$G:$G,0)),INDEX(Торг!$I:$I,MATCH(Прайс!$B844,Торг!$H:$H,0))),"")</f>
        <v/>
      </c>
    </row>
    <row r="845" spans="1:8" x14ac:dyDescent="0.25">
      <c r="A845" s="94" t="s">
        <v>6651</v>
      </c>
      <c r="B845" s="98">
        <v>50661</v>
      </c>
      <c r="C845" s="98" t="s">
        <v>6652</v>
      </c>
      <c r="D845" s="96" t="s">
        <v>190</v>
      </c>
      <c r="E845" s="97">
        <v>280</v>
      </c>
      <c r="F845" s="67" t="str">
        <f>IFERROR(IFERROR(INDEX(Кат!$A:$A,MATCH(Прайс!$B845,Кат!$G:$G,0)),INDEX(Торг!$B:$B,MATCH(Прайс!$B845,Торг!$H:$H,0))),"")</f>
        <v/>
      </c>
      <c r="G845" s="67" t="str">
        <f>IFERROR(IFERROR(INDEX(Кат!$B:$B,MATCH(Прайс!$B845,Кат!$G:$G,0)),INDEX(Торг!$C:$C,MATCH(Прайс!$B845,Торг!$H:$H,0))),"")</f>
        <v/>
      </c>
      <c r="H845" s="67" t="str">
        <f>IFERROR(IFERROR(INDEX(Кат!$I:$I,MATCH(Прайс!$B845,Кат!$G:$G,0)),INDEX(Торг!$I:$I,MATCH(Прайс!$B845,Торг!$H:$H,0))),"")</f>
        <v/>
      </c>
    </row>
    <row r="846" spans="1:8" x14ac:dyDescent="0.25">
      <c r="A846" s="103" t="s">
        <v>6653</v>
      </c>
      <c r="B846" s="104">
        <v>50662</v>
      </c>
      <c r="C846" s="104" t="s">
        <v>6654</v>
      </c>
      <c r="D846" s="105" t="s">
        <v>190</v>
      </c>
      <c r="E846" s="113">
        <v>320</v>
      </c>
      <c r="F846" s="67" t="str">
        <f>IFERROR(IFERROR(INDEX(Кат!$A:$A,MATCH(Прайс!$B846,Кат!$G:$G,0)),INDEX(Торг!$B:$B,MATCH(Прайс!$B846,Торг!$H:$H,0))),"")</f>
        <v/>
      </c>
      <c r="G846" s="67" t="str">
        <f>IFERROR(IFERROR(INDEX(Кат!$B:$B,MATCH(Прайс!$B846,Кат!$G:$G,0)),INDEX(Торг!$C:$C,MATCH(Прайс!$B846,Торг!$H:$H,0))),"")</f>
        <v/>
      </c>
      <c r="H846" s="67" t="str">
        <f>IFERROR(IFERROR(INDEX(Кат!$I:$I,MATCH(Прайс!$B846,Кат!$G:$G,0)),INDEX(Торг!$I:$I,MATCH(Прайс!$B846,Торг!$H:$H,0))),"")</f>
        <v/>
      </c>
    </row>
    <row r="847" spans="1:8" x14ac:dyDescent="0.25">
      <c r="A847" s="103" t="s">
        <v>6655</v>
      </c>
      <c r="B847" s="104">
        <v>50663</v>
      </c>
      <c r="C847" s="104" t="s">
        <v>6656</v>
      </c>
      <c r="D847" s="105" t="s">
        <v>190</v>
      </c>
      <c r="E847" s="113">
        <v>260</v>
      </c>
      <c r="F847" s="67" t="str">
        <f>IFERROR(IFERROR(INDEX(Кат!$A:$A,MATCH(Прайс!$B847,Кат!$G:$G,0)),INDEX(Торг!$B:$B,MATCH(Прайс!$B847,Торг!$H:$H,0))),"")</f>
        <v/>
      </c>
      <c r="G847" s="67" t="str">
        <f>IFERROR(IFERROR(INDEX(Кат!$B:$B,MATCH(Прайс!$B847,Кат!$G:$G,0)),INDEX(Торг!$C:$C,MATCH(Прайс!$B847,Торг!$H:$H,0))),"")</f>
        <v/>
      </c>
      <c r="H847" s="67" t="str">
        <f>IFERROR(IFERROR(INDEX(Кат!$I:$I,MATCH(Прайс!$B847,Кат!$G:$G,0)),INDEX(Торг!$I:$I,MATCH(Прайс!$B847,Торг!$H:$H,0))),"")</f>
        <v/>
      </c>
    </row>
    <row r="848" spans="1:8" x14ac:dyDescent="0.25">
      <c r="A848" s="103" t="s">
        <v>6657</v>
      </c>
      <c r="B848" s="104">
        <v>50664</v>
      </c>
      <c r="C848" s="104" t="s">
        <v>6658</v>
      </c>
      <c r="D848" s="105" t="s">
        <v>190</v>
      </c>
      <c r="E848" s="113">
        <v>260</v>
      </c>
      <c r="F848" s="67" t="str">
        <f>IFERROR(IFERROR(INDEX(Кат!$A:$A,MATCH(Прайс!$B848,Кат!$G:$G,0)),INDEX(Торг!$B:$B,MATCH(Прайс!$B848,Торг!$H:$H,0))),"")</f>
        <v/>
      </c>
      <c r="G848" s="67" t="str">
        <f>IFERROR(IFERROR(INDEX(Кат!$B:$B,MATCH(Прайс!$B848,Кат!$G:$G,0)),INDEX(Торг!$C:$C,MATCH(Прайс!$B848,Торг!$H:$H,0))),"")</f>
        <v/>
      </c>
      <c r="H848" s="67" t="str">
        <f>IFERROR(IFERROR(INDEX(Кат!$I:$I,MATCH(Прайс!$B848,Кат!$G:$G,0)),INDEX(Торг!$I:$I,MATCH(Прайс!$B848,Торг!$H:$H,0))),"")</f>
        <v/>
      </c>
    </row>
    <row r="849" spans="1:8" x14ac:dyDescent="0.25">
      <c r="A849" s="94" t="s">
        <v>6659</v>
      </c>
      <c r="B849" s="98">
        <v>50665</v>
      </c>
      <c r="C849" s="98" t="s">
        <v>6660</v>
      </c>
      <c r="D849" s="96" t="s">
        <v>190</v>
      </c>
      <c r="E849" s="97">
        <v>350</v>
      </c>
      <c r="F849" s="67" t="str">
        <f>IFERROR(IFERROR(INDEX(Кат!$A:$A,MATCH(Прайс!$B849,Кат!$G:$G,0)),INDEX(Торг!$B:$B,MATCH(Прайс!$B849,Торг!$H:$H,0))),"")</f>
        <v/>
      </c>
      <c r="G849" s="67" t="str">
        <f>IFERROR(IFERROR(INDEX(Кат!$B:$B,MATCH(Прайс!$B849,Кат!$G:$G,0)),INDEX(Торг!$C:$C,MATCH(Прайс!$B849,Торг!$H:$H,0))),"")</f>
        <v/>
      </c>
      <c r="H849" s="67" t="str">
        <f>IFERROR(IFERROR(INDEX(Кат!$I:$I,MATCH(Прайс!$B849,Кат!$G:$G,0)),INDEX(Торг!$I:$I,MATCH(Прайс!$B849,Торг!$H:$H,0))),"")</f>
        <v/>
      </c>
    </row>
    <row r="850" spans="1:8" x14ac:dyDescent="0.25">
      <c r="A850" s="103" t="s">
        <v>6661</v>
      </c>
      <c r="B850" s="104">
        <v>50666</v>
      </c>
      <c r="C850" s="104" t="s">
        <v>6662</v>
      </c>
      <c r="D850" s="105" t="s">
        <v>190</v>
      </c>
      <c r="E850" s="113">
        <v>350</v>
      </c>
      <c r="F850" s="67" t="str">
        <f>IFERROR(IFERROR(INDEX(Кат!$A:$A,MATCH(Прайс!$B850,Кат!$G:$G,0)),INDEX(Торг!$B:$B,MATCH(Прайс!$B850,Торг!$H:$H,0))),"")</f>
        <v/>
      </c>
      <c r="G850" s="67" t="str">
        <f>IFERROR(IFERROR(INDEX(Кат!$B:$B,MATCH(Прайс!$B850,Кат!$G:$G,0)),INDEX(Торг!$C:$C,MATCH(Прайс!$B850,Торг!$H:$H,0))),"")</f>
        <v/>
      </c>
      <c r="H850" s="67" t="str">
        <f>IFERROR(IFERROR(INDEX(Кат!$I:$I,MATCH(Прайс!$B850,Кат!$G:$G,0)),INDEX(Торг!$I:$I,MATCH(Прайс!$B850,Торг!$H:$H,0))),"")</f>
        <v/>
      </c>
    </row>
    <row r="851" spans="1:8" x14ac:dyDescent="0.25">
      <c r="A851" s="94" t="s">
        <v>7462</v>
      </c>
      <c r="B851" s="98">
        <v>50695</v>
      </c>
      <c r="C851" s="98" t="s">
        <v>7463</v>
      </c>
      <c r="D851" s="96" t="s">
        <v>190</v>
      </c>
      <c r="E851" s="97">
        <v>70</v>
      </c>
      <c r="F851" s="67" t="str">
        <f>IFERROR(IFERROR(INDEX(Кат!$A:$A,MATCH(Прайс!$B851,Кат!$G:$G,0)),INDEX(Торг!$B:$B,MATCH(Прайс!$B851,Торг!$H:$H,0))),"")</f>
        <v/>
      </c>
      <c r="G851" s="67" t="str">
        <f>IFERROR(IFERROR(INDEX(Кат!$B:$B,MATCH(Прайс!$B851,Кат!$G:$G,0)),INDEX(Торг!$C:$C,MATCH(Прайс!$B851,Торг!$H:$H,0))),"")</f>
        <v/>
      </c>
      <c r="H851" s="67" t="str">
        <f>IFERROR(IFERROR(INDEX(Кат!$I:$I,MATCH(Прайс!$B851,Кат!$G:$G,0)),INDEX(Торг!$I:$I,MATCH(Прайс!$B851,Торг!$H:$H,0))),"")</f>
        <v/>
      </c>
    </row>
    <row r="852" spans="1:8" x14ac:dyDescent="0.25">
      <c r="A852" s="94" t="s">
        <v>7464</v>
      </c>
      <c r="B852" s="98">
        <v>50692</v>
      </c>
      <c r="C852" s="98" t="s">
        <v>7465</v>
      </c>
      <c r="D852" s="96" t="s">
        <v>1285</v>
      </c>
      <c r="E852" s="97">
        <v>90</v>
      </c>
      <c r="F852" s="67" t="str">
        <f>IFERROR(IFERROR(INDEX(Кат!$A:$A,MATCH(Прайс!$B852,Кат!$G:$G,0)),INDEX(Торг!$B:$B,MATCH(Прайс!$B852,Торг!$H:$H,0))),"")</f>
        <v/>
      </c>
      <c r="G852" s="67" t="str">
        <f>IFERROR(IFERROR(INDEX(Кат!$B:$B,MATCH(Прайс!$B852,Кат!$G:$G,0)),INDEX(Торг!$C:$C,MATCH(Прайс!$B852,Торг!$H:$H,0))),"")</f>
        <v/>
      </c>
      <c r="H852" s="67" t="str">
        <f>IFERROR(IFERROR(INDEX(Кат!$I:$I,MATCH(Прайс!$B852,Кат!$G:$G,0)),INDEX(Торг!$I:$I,MATCH(Прайс!$B852,Торг!$H:$H,0))),"")</f>
        <v/>
      </c>
    </row>
    <row r="853" spans="1:8" x14ac:dyDescent="0.25">
      <c r="A853" s="94" t="s">
        <v>6663</v>
      </c>
      <c r="B853" s="98">
        <v>50640</v>
      </c>
      <c r="C853" s="98" t="s">
        <v>6664</v>
      </c>
      <c r="D853" s="96" t="s">
        <v>190</v>
      </c>
      <c r="E853" s="97">
        <v>150</v>
      </c>
      <c r="F853" s="67" t="str">
        <f>IFERROR(IFERROR(INDEX(Кат!$A:$A,MATCH(Прайс!$B853,Кат!$G:$G,0)),INDEX(Торг!$B:$B,MATCH(Прайс!$B853,Торг!$H:$H,0))),"")</f>
        <v/>
      </c>
      <c r="G853" s="67" t="str">
        <f>IFERROR(IFERROR(INDEX(Кат!$B:$B,MATCH(Прайс!$B853,Кат!$G:$G,0)),INDEX(Торг!$C:$C,MATCH(Прайс!$B853,Торг!$H:$H,0))),"")</f>
        <v/>
      </c>
      <c r="H853" s="67" t="str">
        <f>IFERROR(IFERROR(INDEX(Кат!$I:$I,MATCH(Прайс!$B853,Кат!$G:$G,0)),INDEX(Торг!$I:$I,MATCH(Прайс!$B853,Торг!$H:$H,0))),"")</f>
        <v/>
      </c>
    </row>
    <row r="854" spans="1:8" x14ac:dyDescent="0.25">
      <c r="A854" s="103" t="s">
        <v>6665</v>
      </c>
      <c r="B854" s="104">
        <v>50641</v>
      </c>
      <c r="C854" s="104" t="s">
        <v>6666</v>
      </c>
      <c r="D854" s="105" t="s">
        <v>190</v>
      </c>
      <c r="E854" s="113">
        <v>160</v>
      </c>
      <c r="F854" s="67" t="str">
        <f>IFERROR(IFERROR(INDEX(Кат!$A:$A,MATCH(Прайс!$B854,Кат!$G:$G,0)),INDEX(Торг!$B:$B,MATCH(Прайс!$B854,Торг!$H:$H,0))),"")</f>
        <v/>
      </c>
      <c r="G854" s="67" t="str">
        <f>IFERROR(IFERROR(INDEX(Кат!$B:$B,MATCH(Прайс!$B854,Кат!$G:$G,0)),INDEX(Торг!$C:$C,MATCH(Прайс!$B854,Торг!$H:$H,0))),"")</f>
        <v/>
      </c>
      <c r="H854" s="67" t="str">
        <f>IFERROR(IFERROR(INDEX(Кат!$I:$I,MATCH(Прайс!$B854,Кат!$G:$G,0)),INDEX(Торг!$I:$I,MATCH(Прайс!$B854,Торг!$H:$H,0))),"")</f>
        <v/>
      </c>
    </row>
    <row r="855" spans="1:8" x14ac:dyDescent="0.25">
      <c r="A855" s="94" t="s">
        <v>2904</v>
      </c>
      <c r="B855" s="98">
        <v>50438</v>
      </c>
      <c r="C855" s="98" t="s">
        <v>6216</v>
      </c>
      <c r="D855" s="96" t="s">
        <v>190</v>
      </c>
      <c r="E855" s="97">
        <v>250</v>
      </c>
      <c r="F855" s="67" t="str">
        <f>IFERROR(IFERROR(INDEX(Кат!$A:$A,MATCH(Прайс!$B855,Кат!$G:$G,0)),INDEX(Торг!$B:$B,MATCH(Прайс!$B855,Торг!$H:$H,0))),"")</f>
        <v/>
      </c>
      <c r="G855" s="67" t="str">
        <f>IFERROR(IFERROR(INDEX(Кат!$B:$B,MATCH(Прайс!$B855,Кат!$G:$G,0)),INDEX(Торг!$C:$C,MATCH(Прайс!$B855,Торг!$H:$H,0))),"")</f>
        <v/>
      </c>
      <c r="H855" s="67" t="str">
        <f>IFERROR(IFERROR(INDEX(Кат!$I:$I,MATCH(Прайс!$B855,Кат!$G:$G,0)),INDEX(Торг!$I:$I,MATCH(Прайс!$B855,Торг!$H:$H,0))),"")</f>
        <v/>
      </c>
    </row>
    <row r="856" spans="1:8" x14ac:dyDescent="0.25">
      <c r="A856" s="94" t="s">
        <v>7466</v>
      </c>
      <c r="B856" s="98">
        <v>50448</v>
      </c>
      <c r="C856" s="98" t="s">
        <v>7467</v>
      </c>
      <c r="D856" s="96" t="s">
        <v>190</v>
      </c>
      <c r="E856" s="97">
        <v>110</v>
      </c>
      <c r="F856" s="67" t="str">
        <f>IFERROR(IFERROR(INDEX(Кат!$A:$A,MATCH(Прайс!$B856,Кат!$G:$G,0)),INDEX(Торг!$B:$B,MATCH(Прайс!$B856,Торг!$H:$H,0))),"")</f>
        <v/>
      </c>
      <c r="G856" s="67" t="str">
        <f>IFERROR(IFERROR(INDEX(Кат!$B:$B,MATCH(Прайс!$B856,Кат!$G:$G,0)),INDEX(Торг!$C:$C,MATCH(Прайс!$B856,Торг!$H:$H,0))),"")</f>
        <v/>
      </c>
      <c r="H856" s="67" t="str">
        <f>IFERROR(IFERROR(INDEX(Кат!$I:$I,MATCH(Прайс!$B856,Кат!$G:$G,0)),INDEX(Торг!$I:$I,MATCH(Прайс!$B856,Торг!$H:$H,0))),"")</f>
        <v/>
      </c>
    </row>
    <row r="857" spans="1:8" x14ac:dyDescent="0.25">
      <c r="A857" s="94" t="s">
        <v>7468</v>
      </c>
      <c r="B857" s="98">
        <v>50465</v>
      </c>
      <c r="C857" s="98" t="s">
        <v>7469</v>
      </c>
      <c r="D857" s="96" t="s">
        <v>190</v>
      </c>
      <c r="E857" s="97">
        <v>170</v>
      </c>
      <c r="F857" s="67" t="str">
        <f>IFERROR(IFERROR(INDEX(Кат!$A:$A,MATCH(Прайс!$B857,Кат!$G:$G,0)),INDEX(Торг!$B:$B,MATCH(Прайс!$B857,Торг!$H:$H,0))),"")</f>
        <v/>
      </c>
      <c r="G857" s="67" t="str">
        <f>IFERROR(IFERROR(INDEX(Кат!$B:$B,MATCH(Прайс!$B857,Кат!$G:$G,0)),INDEX(Торг!$C:$C,MATCH(Прайс!$B857,Торг!$H:$H,0))),"")</f>
        <v/>
      </c>
      <c r="H857" s="67" t="str">
        <f>IFERROR(IFERROR(INDEX(Кат!$I:$I,MATCH(Прайс!$B857,Кат!$G:$G,0)),INDEX(Торг!$I:$I,MATCH(Прайс!$B857,Торг!$H:$H,0))),"")</f>
        <v/>
      </c>
    </row>
    <row r="858" spans="1:8" x14ac:dyDescent="0.25">
      <c r="A858" s="94" t="s">
        <v>5767</v>
      </c>
      <c r="B858" s="98">
        <v>50466</v>
      </c>
      <c r="C858" s="98" t="s">
        <v>7470</v>
      </c>
      <c r="D858" s="96" t="s">
        <v>190</v>
      </c>
      <c r="E858" s="97">
        <v>180</v>
      </c>
      <c r="F858" s="67" t="str">
        <f>IFERROR(IFERROR(INDEX(Кат!$A:$A,MATCH(Прайс!$B858,Кат!$G:$G,0)),INDEX(Торг!$B:$B,MATCH(Прайс!$B858,Торг!$H:$H,0))),"")</f>
        <v/>
      </c>
      <c r="G858" s="67" t="str">
        <f>IFERROR(IFERROR(INDEX(Кат!$B:$B,MATCH(Прайс!$B858,Кат!$G:$G,0)),INDEX(Торг!$C:$C,MATCH(Прайс!$B858,Торг!$H:$H,0))),"")</f>
        <v/>
      </c>
      <c r="H858" s="67" t="str">
        <f>IFERROR(IFERROR(INDEX(Кат!$I:$I,MATCH(Прайс!$B858,Кат!$G:$G,0)),INDEX(Торг!$I:$I,MATCH(Прайс!$B858,Торг!$H:$H,0))),"")</f>
        <v/>
      </c>
    </row>
    <row r="859" spans="1:8" x14ac:dyDescent="0.25">
      <c r="A859" s="94" t="s">
        <v>6667</v>
      </c>
      <c r="B859" s="98">
        <v>50444</v>
      </c>
      <c r="C859" s="98" t="s">
        <v>7471</v>
      </c>
      <c r="D859" s="96" t="s">
        <v>190</v>
      </c>
      <c r="E859" s="97">
        <v>120</v>
      </c>
      <c r="F859" s="67" t="str">
        <f>IFERROR(IFERROR(INDEX(Кат!$A:$A,MATCH(Прайс!$B859,Кат!$G:$G,0)),INDEX(Торг!$B:$B,MATCH(Прайс!$B859,Торг!$H:$H,0))),"")</f>
        <v/>
      </c>
      <c r="G859" s="67" t="str">
        <f>IFERROR(IFERROR(INDEX(Кат!$B:$B,MATCH(Прайс!$B859,Кат!$G:$G,0)),INDEX(Торг!$C:$C,MATCH(Прайс!$B859,Торг!$H:$H,0))),"")</f>
        <v/>
      </c>
      <c r="H859" s="67" t="str">
        <f>IFERROR(IFERROR(INDEX(Кат!$I:$I,MATCH(Прайс!$B859,Кат!$G:$G,0)),INDEX(Торг!$I:$I,MATCH(Прайс!$B859,Торг!$H:$H,0))),"")</f>
        <v/>
      </c>
    </row>
    <row r="860" spans="1:8" x14ac:dyDescent="0.25">
      <c r="A860" s="94" t="s">
        <v>6668</v>
      </c>
      <c r="B860" s="98">
        <v>50464</v>
      </c>
      <c r="C860" s="98" t="s">
        <v>7472</v>
      </c>
      <c r="D860" s="96" t="s">
        <v>190</v>
      </c>
      <c r="E860" s="97">
        <v>130</v>
      </c>
      <c r="F860" s="67" t="str">
        <f>IFERROR(IFERROR(INDEX(Кат!$A:$A,MATCH(Прайс!$B860,Кат!$G:$G,0)),INDEX(Торг!$B:$B,MATCH(Прайс!$B860,Торг!$H:$H,0))),"")</f>
        <v/>
      </c>
      <c r="G860" s="67" t="str">
        <f>IFERROR(IFERROR(INDEX(Кат!$B:$B,MATCH(Прайс!$B860,Кат!$G:$G,0)),INDEX(Торг!$C:$C,MATCH(Прайс!$B860,Торг!$H:$H,0))),"")</f>
        <v/>
      </c>
      <c r="H860" s="67" t="str">
        <f>IFERROR(IFERROR(INDEX(Кат!$I:$I,MATCH(Прайс!$B860,Кат!$G:$G,0)),INDEX(Торг!$I:$I,MATCH(Прайс!$B860,Торг!$H:$H,0))),"")</f>
        <v/>
      </c>
    </row>
    <row r="861" spans="1:8" x14ac:dyDescent="0.25">
      <c r="A861" s="94" t="s">
        <v>6217</v>
      </c>
      <c r="B861" s="98">
        <v>50451</v>
      </c>
      <c r="C861" s="98" t="s">
        <v>6218</v>
      </c>
      <c r="D861" s="96" t="s">
        <v>190</v>
      </c>
      <c r="E861" s="97">
        <v>210</v>
      </c>
      <c r="F861" s="67" t="str">
        <f>IFERROR(IFERROR(INDEX(Кат!$A:$A,MATCH(Прайс!$B861,Кат!$G:$G,0)),INDEX(Торг!$B:$B,MATCH(Прайс!$B861,Торг!$H:$H,0))),"")</f>
        <v/>
      </c>
      <c r="G861" s="67" t="str">
        <f>IFERROR(IFERROR(INDEX(Кат!$B:$B,MATCH(Прайс!$B861,Кат!$G:$G,0)),INDEX(Торг!$C:$C,MATCH(Прайс!$B861,Торг!$H:$H,0))),"")</f>
        <v/>
      </c>
      <c r="H861" s="67" t="str">
        <f>IFERROR(IFERROR(INDEX(Кат!$I:$I,MATCH(Прайс!$B861,Кат!$G:$G,0)),INDEX(Торг!$I:$I,MATCH(Прайс!$B861,Торг!$H:$H,0))),"")</f>
        <v/>
      </c>
    </row>
    <row r="862" spans="1:8" x14ac:dyDescent="0.25">
      <c r="A862" s="94" t="s">
        <v>7473</v>
      </c>
      <c r="B862" s="98">
        <v>50682</v>
      </c>
      <c r="C862" s="98" t="s">
        <v>7474</v>
      </c>
      <c r="D862" s="96" t="s">
        <v>190</v>
      </c>
      <c r="E862" s="97">
        <v>310</v>
      </c>
      <c r="F862" s="67" t="str">
        <f>IFERROR(IFERROR(INDEX(Кат!$A:$A,MATCH(Прайс!$B862,Кат!$G:$G,0)),INDEX(Торг!$B:$B,MATCH(Прайс!$B862,Торг!$H:$H,0))),"")</f>
        <v/>
      </c>
      <c r="G862" s="67" t="str">
        <f>IFERROR(IFERROR(INDEX(Кат!$B:$B,MATCH(Прайс!$B862,Кат!$G:$G,0)),INDEX(Торг!$C:$C,MATCH(Прайс!$B862,Торг!$H:$H,0))),"")</f>
        <v/>
      </c>
      <c r="H862" s="67" t="str">
        <f>IFERROR(IFERROR(INDEX(Кат!$I:$I,MATCH(Прайс!$B862,Кат!$G:$G,0)),INDEX(Торг!$I:$I,MATCH(Прайс!$B862,Торг!$H:$H,0))),"")</f>
        <v/>
      </c>
    </row>
    <row r="863" spans="1:8" x14ac:dyDescent="0.25">
      <c r="A863" s="94" t="s">
        <v>2903</v>
      </c>
      <c r="B863" s="98">
        <v>50400</v>
      </c>
      <c r="C863" s="98" t="s">
        <v>589</v>
      </c>
      <c r="D863" s="96" t="s">
        <v>190</v>
      </c>
      <c r="E863" s="97">
        <v>100</v>
      </c>
      <c r="F863" s="67">
        <f>IFERROR(IFERROR(INDEX(Кат!$A:$A,MATCH(Прайс!$B863,Кат!$G:$G,0)),INDEX(Торг!$B:$B,MATCH(Прайс!$B863,Торг!$H:$H,0))),"")</f>
        <v>143582</v>
      </c>
      <c r="G863" s="67">
        <f>IFERROR(IFERROR(INDEX(Кат!$B:$B,MATCH(Прайс!$B863,Кат!$G:$G,0)),INDEX(Торг!$C:$C,MATCH(Прайс!$B863,Торг!$H:$H,0))),"")</f>
        <v>31022</v>
      </c>
      <c r="H863" s="67" t="str">
        <f>IFERROR(IFERROR(INDEX(Кат!$I:$I,MATCH(Прайс!$B863,Кат!$G:$G,0)),INDEX(Торг!$I:$I,MATCH(Прайс!$B863,Торг!$H:$H,0))),"")</f>
        <v>кристал авто</v>
      </c>
    </row>
    <row r="864" spans="1:8" x14ac:dyDescent="0.25">
      <c r="A864" s="94" t="s">
        <v>6219</v>
      </c>
      <c r="B864" s="98">
        <v>50399</v>
      </c>
      <c r="C864" s="98" t="s">
        <v>6669</v>
      </c>
      <c r="D864" s="96" t="s">
        <v>190</v>
      </c>
      <c r="E864" s="97">
        <v>110</v>
      </c>
      <c r="F864" s="67" t="str">
        <f>IFERROR(IFERROR(INDEX(Кат!$A:$A,MATCH(Прайс!$B864,Кат!$G:$G,0)),INDEX(Торг!$B:$B,MATCH(Прайс!$B864,Торг!$H:$H,0))),"")</f>
        <v/>
      </c>
      <c r="G864" s="67" t="str">
        <f>IFERROR(IFERROR(INDEX(Кат!$B:$B,MATCH(Прайс!$B864,Кат!$G:$G,0)),INDEX(Торг!$C:$C,MATCH(Прайс!$B864,Торг!$H:$H,0))),"")</f>
        <v/>
      </c>
      <c r="H864" s="67" t="str">
        <f>IFERROR(IFERROR(INDEX(Кат!$I:$I,MATCH(Прайс!$B864,Кат!$G:$G,0)),INDEX(Торг!$I:$I,MATCH(Прайс!$B864,Торг!$H:$H,0))),"")</f>
        <v/>
      </c>
    </row>
    <row r="865" spans="1:8" x14ac:dyDescent="0.25">
      <c r="A865" s="94" t="s">
        <v>6670</v>
      </c>
      <c r="B865" s="98">
        <v>50499</v>
      </c>
      <c r="C865" s="98" t="s">
        <v>6671</v>
      </c>
      <c r="D865" s="96" t="s">
        <v>190</v>
      </c>
      <c r="E865" s="97">
        <v>360</v>
      </c>
      <c r="F865" s="67" t="str">
        <f>IFERROR(IFERROR(INDEX(Кат!$A:$A,MATCH(Прайс!$B865,Кат!$G:$G,0)),INDEX(Торг!$B:$B,MATCH(Прайс!$B865,Торг!$H:$H,0))),"")</f>
        <v/>
      </c>
      <c r="G865" s="67" t="str">
        <f>IFERROR(IFERROR(INDEX(Кат!$B:$B,MATCH(Прайс!$B865,Кат!$G:$G,0)),INDEX(Торг!$C:$C,MATCH(Прайс!$B865,Торг!$H:$H,0))),"")</f>
        <v/>
      </c>
      <c r="H865" s="67" t="str">
        <f>IFERROR(IFERROR(INDEX(Кат!$I:$I,MATCH(Прайс!$B865,Кат!$G:$G,0)),INDEX(Торг!$I:$I,MATCH(Прайс!$B865,Торг!$H:$H,0))),"")</f>
        <v/>
      </c>
    </row>
    <row r="866" spans="1:8" x14ac:dyDescent="0.25">
      <c r="A866" s="94" t="s">
        <v>2905</v>
      </c>
      <c r="B866" s="98">
        <v>50558</v>
      </c>
      <c r="C866" s="98" t="s">
        <v>590</v>
      </c>
      <c r="D866" s="96" t="s">
        <v>190</v>
      </c>
      <c r="E866" s="97">
        <v>90</v>
      </c>
      <c r="F866" s="67" t="str">
        <f>IFERROR(IFERROR(INDEX(Кат!$A:$A,MATCH(Прайс!$B866,Кат!$G:$G,0)),INDEX(Торг!$B:$B,MATCH(Прайс!$B866,Торг!$H:$H,0))),"")</f>
        <v/>
      </c>
      <c r="G866" s="67" t="str">
        <f>IFERROR(IFERROR(INDEX(Кат!$B:$B,MATCH(Прайс!$B866,Кат!$G:$G,0)),INDEX(Торг!$C:$C,MATCH(Прайс!$B866,Торг!$H:$H,0))),"")</f>
        <v/>
      </c>
      <c r="H866" s="67" t="str">
        <f>IFERROR(IFERROR(INDEX(Кат!$I:$I,MATCH(Прайс!$B866,Кат!$G:$G,0)),INDEX(Торг!$I:$I,MATCH(Прайс!$B866,Торг!$H:$H,0))),"")</f>
        <v/>
      </c>
    </row>
    <row r="867" spans="1:8" x14ac:dyDescent="0.25">
      <c r="A867" s="94" t="s">
        <v>2906</v>
      </c>
      <c r="B867" s="98">
        <v>50504</v>
      </c>
      <c r="C867" s="98" t="s">
        <v>6672</v>
      </c>
      <c r="D867" s="96" t="s">
        <v>190</v>
      </c>
      <c r="E867" s="97">
        <v>120</v>
      </c>
      <c r="F867" s="67" t="str">
        <f>IFERROR(IFERROR(INDEX(Кат!$A:$A,MATCH(Прайс!$B867,Кат!$G:$G,0)),INDEX(Торг!$B:$B,MATCH(Прайс!$B867,Торг!$H:$H,0))),"")</f>
        <v/>
      </c>
      <c r="G867" s="67" t="str">
        <f>IFERROR(IFERROR(INDEX(Кат!$B:$B,MATCH(Прайс!$B867,Кат!$G:$G,0)),INDEX(Торг!$C:$C,MATCH(Прайс!$B867,Торг!$H:$H,0))),"")</f>
        <v/>
      </c>
      <c r="H867" s="67" t="str">
        <f>IFERROR(IFERROR(INDEX(Кат!$I:$I,MATCH(Прайс!$B867,Кат!$G:$G,0)),INDEX(Торг!$I:$I,MATCH(Прайс!$B867,Торг!$H:$H,0))),"")</f>
        <v/>
      </c>
    </row>
    <row r="868" spans="1:8" x14ac:dyDescent="0.25">
      <c r="A868" s="94" t="s">
        <v>7475</v>
      </c>
      <c r="B868" s="98">
        <v>50365</v>
      </c>
      <c r="C868" s="98" t="s">
        <v>7476</v>
      </c>
      <c r="D868" s="96" t="s">
        <v>176</v>
      </c>
      <c r="E868" s="97">
        <v>180</v>
      </c>
      <c r="F868" s="67" t="str">
        <f>IFERROR(IFERROR(INDEX(Кат!$A:$A,MATCH(Прайс!$B868,Кат!$G:$G,0)),INDEX(Торг!$B:$B,MATCH(Прайс!$B868,Торг!$H:$H,0))),"")</f>
        <v/>
      </c>
      <c r="G868" s="67" t="str">
        <f>IFERROR(IFERROR(INDEX(Кат!$B:$B,MATCH(Прайс!$B868,Кат!$G:$G,0)),INDEX(Торг!$C:$C,MATCH(Прайс!$B868,Торг!$H:$H,0))),"")</f>
        <v/>
      </c>
      <c r="H868" s="67" t="str">
        <f>IFERROR(IFERROR(INDEX(Кат!$I:$I,MATCH(Прайс!$B868,Кат!$G:$G,0)),INDEX(Торг!$I:$I,MATCH(Прайс!$B868,Торг!$H:$H,0))),"")</f>
        <v/>
      </c>
    </row>
    <row r="869" spans="1:8" x14ac:dyDescent="0.25">
      <c r="A869" s="94" t="s">
        <v>8207</v>
      </c>
      <c r="B869" s="98">
        <v>50634</v>
      </c>
      <c r="C869" s="98" t="s">
        <v>8208</v>
      </c>
      <c r="D869" s="96" t="s">
        <v>161</v>
      </c>
      <c r="E869" s="97">
        <v>25</v>
      </c>
      <c r="F869" s="67" t="str">
        <f>IFERROR(IFERROR(INDEX(Кат!$A:$A,MATCH(Прайс!$B869,Кат!$G:$G,0)),INDEX(Торг!$B:$B,MATCH(Прайс!$B869,Торг!$H:$H,0))),"")</f>
        <v/>
      </c>
      <c r="G869" s="67" t="str">
        <f>IFERROR(IFERROR(INDEX(Кат!$B:$B,MATCH(Прайс!$B869,Кат!$G:$G,0)),INDEX(Торг!$C:$C,MATCH(Прайс!$B869,Торг!$H:$H,0))),"")</f>
        <v/>
      </c>
      <c r="H869" s="67" t="str">
        <f>IFERROR(IFERROR(INDEX(Кат!$I:$I,MATCH(Прайс!$B869,Кат!$G:$G,0)),INDEX(Торг!$I:$I,MATCH(Прайс!$B869,Торг!$H:$H,0))),"")</f>
        <v/>
      </c>
    </row>
    <row r="870" spans="1:8" x14ac:dyDescent="0.25">
      <c r="A870" s="94" t="s">
        <v>2907</v>
      </c>
      <c r="B870" s="98">
        <v>50512</v>
      </c>
      <c r="C870" s="98" t="s">
        <v>591</v>
      </c>
      <c r="D870" s="96" t="s">
        <v>190</v>
      </c>
      <c r="E870" s="97">
        <v>40</v>
      </c>
      <c r="F870" s="67">
        <f>IFERROR(IFERROR(INDEX(Кат!$A:$A,MATCH(Прайс!$B870,Кат!$G:$G,0)),INDEX(Торг!$B:$B,MATCH(Прайс!$B870,Торг!$H:$H,0))),"")</f>
        <v>186316</v>
      </c>
      <c r="G870" s="67">
        <f>IFERROR(IFERROR(INDEX(Кат!$B:$B,MATCH(Прайс!$B870,Кат!$G:$G,0)),INDEX(Торг!$C:$C,MATCH(Прайс!$B870,Торг!$H:$H,0))),"")</f>
        <v>30956</v>
      </c>
      <c r="H870" s="67" t="str">
        <f>IFERROR(IFERROR(INDEX(Кат!$I:$I,MATCH(Прайс!$B870,Кат!$G:$G,0)),INDEX(Торг!$I:$I,MATCH(Прайс!$B870,Торг!$H:$H,0))),"")</f>
        <v>кристал авто</v>
      </c>
    </row>
    <row r="871" spans="1:8" ht="15.75" x14ac:dyDescent="0.25">
      <c r="A871" s="90"/>
      <c r="B871" s="91"/>
      <c r="C871" s="92" t="s">
        <v>592</v>
      </c>
      <c r="D871" s="91"/>
      <c r="E871" s="93"/>
      <c r="F871" s="67" t="str">
        <f>IFERROR(IFERROR(INDEX(Кат!$A:$A,MATCH(Прайс!$B871,Кат!$G:$G,0)),INDEX(Торг!$B:$B,MATCH(Прайс!$B871,Торг!$H:$H,0))),"")</f>
        <v/>
      </c>
      <c r="G871" s="67" t="str">
        <f>IFERROR(IFERROR(INDEX(Кат!$B:$B,MATCH(Прайс!$B871,Кат!$G:$G,0)),INDEX(Торг!$C:$C,MATCH(Прайс!$B871,Торг!$H:$H,0))),"")</f>
        <v/>
      </c>
      <c r="H871" s="67" t="str">
        <f>IFERROR(IFERROR(INDEX(Кат!$I:$I,MATCH(Прайс!$B871,Кат!$G:$G,0)),INDEX(Торг!$I:$I,MATCH(Прайс!$B871,Торг!$H:$H,0))),"")</f>
        <v/>
      </c>
    </row>
    <row r="872" spans="1:8" x14ac:dyDescent="0.25">
      <c r="A872" s="94" t="s">
        <v>2908</v>
      </c>
      <c r="B872" s="98">
        <v>50361</v>
      </c>
      <c r="C872" s="98" t="s">
        <v>2082</v>
      </c>
      <c r="D872" s="96" t="s">
        <v>480</v>
      </c>
      <c r="E872" s="97">
        <v>65</v>
      </c>
      <c r="F872" s="67" t="str">
        <f>IFERROR(IFERROR(INDEX(Кат!$A:$A,MATCH(Прайс!$B872,Кат!$G:$G,0)),INDEX(Торг!$B:$B,MATCH(Прайс!$B872,Торг!$H:$H,0))),"")</f>
        <v/>
      </c>
      <c r="G872" s="67" t="str">
        <f>IFERROR(IFERROR(INDEX(Кат!$B:$B,MATCH(Прайс!$B872,Кат!$G:$G,0)),INDEX(Торг!$C:$C,MATCH(Прайс!$B872,Торг!$H:$H,0))),"")</f>
        <v/>
      </c>
      <c r="H872" s="67" t="str">
        <f>IFERROR(IFERROR(INDEX(Кат!$I:$I,MATCH(Прайс!$B872,Кат!$G:$G,0)),INDEX(Торг!$I:$I,MATCH(Прайс!$B872,Торг!$H:$H,0))),"")</f>
        <v/>
      </c>
    </row>
    <row r="873" spans="1:8" x14ac:dyDescent="0.25">
      <c r="A873" s="94" t="s">
        <v>2909</v>
      </c>
      <c r="B873" s="98">
        <v>50570</v>
      </c>
      <c r="C873" s="98" t="s">
        <v>593</v>
      </c>
      <c r="D873" s="96" t="s">
        <v>159</v>
      </c>
      <c r="E873" s="97">
        <v>80</v>
      </c>
      <c r="F873" s="67" t="str">
        <f>IFERROR(IFERROR(INDEX(Кат!$A:$A,MATCH(Прайс!$B873,Кат!$G:$G,0)),INDEX(Торг!$B:$B,MATCH(Прайс!$B873,Торг!$H:$H,0))),"")</f>
        <v/>
      </c>
      <c r="G873" s="67" t="str">
        <f>IFERROR(IFERROR(INDEX(Кат!$B:$B,MATCH(Прайс!$B873,Кат!$G:$G,0)),INDEX(Торг!$C:$C,MATCH(Прайс!$B873,Торг!$H:$H,0))),"")</f>
        <v/>
      </c>
      <c r="H873" s="67" t="str">
        <f>IFERROR(IFERROR(INDEX(Кат!$I:$I,MATCH(Прайс!$B873,Кат!$G:$G,0)),INDEX(Торг!$I:$I,MATCH(Прайс!$B873,Торг!$H:$H,0))),"")</f>
        <v/>
      </c>
    </row>
    <row r="874" spans="1:8" x14ac:dyDescent="0.25">
      <c r="A874" s="109" t="s">
        <v>8543</v>
      </c>
      <c r="B874" s="110">
        <v>50718</v>
      </c>
      <c r="C874" s="110" t="s">
        <v>8544</v>
      </c>
      <c r="D874" s="111" t="s">
        <v>176</v>
      </c>
      <c r="E874" s="112">
        <v>60</v>
      </c>
      <c r="F874" s="67" t="str">
        <f>IFERROR(IFERROR(INDEX(Кат!$A:$A,MATCH(Прайс!$B874,Кат!$G:$G,0)),INDEX(Торг!$B:$B,MATCH(Прайс!$B874,Торг!$H:$H,0))),"")</f>
        <v/>
      </c>
      <c r="G874" s="67" t="str">
        <f>IFERROR(IFERROR(INDEX(Кат!$B:$B,MATCH(Прайс!$B874,Кат!$G:$G,0)),INDEX(Торг!$C:$C,MATCH(Прайс!$B874,Торг!$H:$H,0))),"")</f>
        <v/>
      </c>
      <c r="H874" s="67" t="str">
        <f>IFERROR(IFERROR(INDEX(Кат!$I:$I,MATCH(Прайс!$B874,Кат!$G:$G,0)),INDEX(Торг!$I:$I,MATCH(Прайс!$B874,Торг!$H:$H,0))),"")</f>
        <v/>
      </c>
    </row>
    <row r="875" spans="1:8" x14ac:dyDescent="0.25">
      <c r="A875" s="94" t="s">
        <v>8393</v>
      </c>
      <c r="B875" s="98">
        <v>50148</v>
      </c>
      <c r="C875" s="98" t="s">
        <v>8394</v>
      </c>
      <c r="D875" s="96" t="s">
        <v>190</v>
      </c>
      <c r="E875" s="97">
        <v>75</v>
      </c>
      <c r="F875" s="67" t="str">
        <f>IFERROR(IFERROR(INDEX(Кат!$A:$A,MATCH(Прайс!$B875,Кат!$G:$G,0)),INDEX(Торг!$B:$B,MATCH(Прайс!$B875,Торг!$H:$H,0))),"")</f>
        <v/>
      </c>
      <c r="G875" s="67" t="str">
        <f>IFERROR(IFERROR(INDEX(Кат!$B:$B,MATCH(Прайс!$B875,Кат!$G:$G,0)),INDEX(Торг!$C:$C,MATCH(Прайс!$B875,Торг!$H:$H,0))),"")</f>
        <v/>
      </c>
      <c r="H875" s="67" t="str">
        <f>IFERROR(IFERROR(INDEX(Кат!$I:$I,MATCH(Прайс!$B875,Кат!$G:$G,0)),INDEX(Торг!$I:$I,MATCH(Прайс!$B875,Торг!$H:$H,0))),"")</f>
        <v/>
      </c>
    </row>
    <row r="876" spans="1:8" x14ac:dyDescent="0.25">
      <c r="A876" s="94" t="s">
        <v>2910</v>
      </c>
      <c r="B876" s="98">
        <v>50424</v>
      </c>
      <c r="C876" s="98" t="s">
        <v>594</v>
      </c>
      <c r="D876" s="96" t="s">
        <v>190</v>
      </c>
      <c r="E876" s="97">
        <v>65</v>
      </c>
      <c r="F876" s="67" t="str">
        <f>IFERROR(IFERROR(INDEX(Кат!$A:$A,MATCH(Прайс!$B876,Кат!$G:$G,0)),INDEX(Торг!$B:$B,MATCH(Прайс!$B876,Торг!$H:$H,0))),"")</f>
        <v/>
      </c>
      <c r="G876" s="67" t="str">
        <f>IFERROR(IFERROR(INDEX(Кат!$B:$B,MATCH(Прайс!$B876,Кат!$G:$G,0)),INDEX(Торг!$C:$C,MATCH(Прайс!$B876,Торг!$H:$H,0))),"")</f>
        <v/>
      </c>
      <c r="H876" s="67" t="str">
        <f>IFERROR(IFERROR(INDEX(Кат!$I:$I,MATCH(Прайс!$B876,Кат!$G:$G,0)),INDEX(Торг!$I:$I,MATCH(Прайс!$B876,Торг!$H:$H,0))),"")</f>
        <v/>
      </c>
    </row>
    <row r="877" spans="1:8" x14ac:dyDescent="0.25">
      <c r="A877" s="94" t="s">
        <v>6220</v>
      </c>
      <c r="B877" s="98">
        <v>50628</v>
      </c>
      <c r="C877" s="98" t="s">
        <v>6221</v>
      </c>
      <c r="D877" s="96" t="s">
        <v>190</v>
      </c>
      <c r="E877" s="97">
        <v>220</v>
      </c>
      <c r="F877" s="67" t="str">
        <f>IFERROR(IFERROR(INDEX(Кат!$A:$A,MATCH(Прайс!$B877,Кат!$G:$G,0)),INDEX(Торг!$B:$B,MATCH(Прайс!$B877,Торг!$H:$H,0))),"")</f>
        <v/>
      </c>
      <c r="G877" s="67" t="str">
        <f>IFERROR(IFERROR(INDEX(Кат!$B:$B,MATCH(Прайс!$B877,Кат!$G:$G,0)),INDEX(Торг!$C:$C,MATCH(Прайс!$B877,Торг!$H:$H,0))),"")</f>
        <v/>
      </c>
      <c r="H877" s="67" t="str">
        <f>IFERROR(IFERROR(INDEX(Кат!$I:$I,MATCH(Прайс!$B877,Кат!$G:$G,0)),INDEX(Торг!$I:$I,MATCH(Прайс!$B877,Торг!$H:$H,0))),"")</f>
        <v/>
      </c>
    </row>
    <row r="878" spans="1:8" x14ac:dyDescent="0.25">
      <c r="A878" s="94" t="s">
        <v>2911</v>
      </c>
      <c r="B878" s="98">
        <v>50150</v>
      </c>
      <c r="C878" s="98" t="s">
        <v>595</v>
      </c>
      <c r="D878" s="96" t="s">
        <v>284</v>
      </c>
      <c r="E878" s="97">
        <v>15</v>
      </c>
      <c r="F878" s="67" t="str">
        <f>IFERROR(IFERROR(INDEX(Кат!$A:$A,MATCH(Прайс!$B878,Кат!$G:$G,0)),INDEX(Торг!$B:$B,MATCH(Прайс!$B878,Торг!$H:$H,0))),"")</f>
        <v/>
      </c>
      <c r="G878" s="67" t="str">
        <f>IFERROR(IFERROR(INDEX(Кат!$B:$B,MATCH(Прайс!$B878,Кат!$G:$G,0)),INDEX(Торг!$C:$C,MATCH(Прайс!$B878,Торг!$H:$H,0))),"")</f>
        <v/>
      </c>
      <c r="H878" s="67" t="str">
        <f>IFERROR(IFERROR(INDEX(Кат!$I:$I,MATCH(Прайс!$B878,Кат!$G:$G,0)),INDEX(Торг!$I:$I,MATCH(Прайс!$B878,Торг!$H:$H,0))),"")</f>
        <v/>
      </c>
    </row>
    <row r="879" spans="1:8" x14ac:dyDescent="0.25">
      <c r="A879" s="94" t="s">
        <v>6673</v>
      </c>
      <c r="B879" s="98">
        <v>50672</v>
      </c>
      <c r="C879" s="98" t="s">
        <v>6674</v>
      </c>
      <c r="D879" s="96" t="s">
        <v>190</v>
      </c>
      <c r="E879" s="97">
        <v>70</v>
      </c>
      <c r="F879" s="67" t="str">
        <f>IFERROR(IFERROR(INDEX(Кат!$A:$A,MATCH(Прайс!$B879,Кат!$G:$G,0)),INDEX(Торг!$B:$B,MATCH(Прайс!$B879,Торг!$H:$H,0))),"")</f>
        <v/>
      </c>
      <c r="G879" s="67" t="str">
        <f>IFERROR(IFERROR(INDEX(Кат!$B:$B,MATCH(Прайс!$B879,Кат!$G:$G,0)),INDEX(Торг!$C:$C,MATCH(Прайс!$B879,Торг!$H:$H,0))),"")</f>
        <v/>
      </c>
      <c r="H879" s="67" t="str">
        <f>IFERROR(IFERROR(INDEX(Кат!$I:$I,MATCH(Прайс!$B879,Кат!$G:$G,0)),INDEX(Торг!$I:$I,MATCH(Прайс!$B879,Торг!$H:$H,0))),"")</f>
        <v/>
      </c>
    </row>
    <row r="880" spans="1:8" ht="15.75" x14ac:dyDescent="0.25">
      <c r="A880" s="90"/>
      <c r="B880" s="91"/>
      <c r="C880" s="92" t="s">
        <v>596</v>
      </c>
      <c r="D880" s="91"/>
      <c r="E880" s="93"/>
      <c r="F880" s="67" t="str">
        <f>IFERROR(IFERROR(INDEX(Кат!$A:$A,MATCH(Прайс!$B880,Кат!$G:$G,0)),INDEX(Торг!$B:$B,MATCH(Прайс!$B880,Торг!$H:$H,0))),"")</f>
        <v/>
      </c>
      <c r="G880" s="67" t="str">
        <f>IFERROR(IFERROR(INDEX(Кат!$B:$B,MATCH(Прайс!$B880,Кат!$G:$G,0)),INDEX(Торг!$C:$C,MATCH(Прайс!$B880,Торг!$H:$H,0))),"")</f>
        <v/>
      </c>
      <c r="H880" s="67" t="str">
        <f>IFERROR(IFERROR(INDEX(Кат!$I:$I,MATCH(Прайс!$B880,Кат!$G:$G,0)),INDEX(Торг!$I:$I,MATCH(Прайс!$B880,Торг!$H:$H,0))),"")</f>
        <v/>
      </c>
    </row>
    <row r="881" spans="1:8" x14ac:dyDescent="0.25">
      <c r="A881" s="94" t="s">
        <v>2912</v>
      </c>
      <c r="B881" s="98">
        <v>50350</v>
      </c>
      <c r="C881" s="98" t="s">
        <v>597</v>
      </c>
      <c r="D881" s="96" t="s">
        <v>190</v>
      </c>
      <c r="E881" s="97">
        <v>140</v>
      </c>
      <c r="F881" s="67" t="str">
        <f>IFERROR(IFERROR(INDEX(Кат!$A:$A,MATCH(Прайс!$B881,Кат!$G:$G,0)),INDEX(Торг!$B:$B,MATCH(Прайс!$B881,Торг!$H:$H,0))),"")</f>
        <v/>
      </c>
      <c r="G881" s="67" t="str">
        <f>IFERROR(IFERROR(INDEX(Кат!$B:$B,MATCH(Прайс!$B881,Кат!$G:$G,0)),INDEX(Торг!$C:$C,MATCH(Прайс!$B881,Торг!$H:$H,0))),"")</f>
        <v/>
      </c>
      <c r="H881" s="67" t="str">
        <f>IFERROR(IFERROR(INDEX(Кат!$I:$I,MATCH(Прайс!$B881,Кат!$G:$G,0)),INDEX(Торг!$I:$I,MATCH(Прайс!$B881,Торг!$H:$H,0))),"")</f>
        <v/>
      </c>
    </row>
    <row r="882" spans="1:8" x14ac:dyDescent="0.25">
      <c r="A882" s="94" t="s">
        <v>2913</v>
      </c>
      <c r="B882" s="98">
        <v>50153</v>
      </c>
      <c r="C882" s="98" t="s">
        <v>598</v>
      </c>
      <c r="D882" s="96" t="s">
        <v>190</v>
      </c>
      <c r="E882" s="97">
        <v>150</v>
      </c>
      <c r="F882" s="67" t="str">
        <f>IFERROR(IFERROR(INDEX(Кат!$A:$A,MATCH(Прайс!$B882,Кат!$G:$G,0)),INDEX(Торг!$B:$B,MATCH(Прайс!$B882,Торг!$H:$H,0))),"")</f>
        <v/>
      </c>
      <c r="G882" s="67" t="str">
        <f>IFERROR(IFERROR(INDEX(Кат!$B:$B,MATCH(Прайс!$B882,Кат!$G:$G,0)),INDEX(Торг!$C:$C,MATCH(Прайс!$B882,Торг!$H:$H,0))),"")</f>
        <v/>
      </c>
      <c r="H882" s="67" t="str">
        <f>IFERROR(IFERROR(INDEX(Кат!$I:$I,MATCH(Прайс!$B882,Кат!$G:$G,0)),INDEX(Торг!$I:$I,MATCH(Прайс!$B882,Торг!$H:$H,0))),"")</f>
        <v/>
      </c>
    </row>
    <row r="883" spans="1:8" x14ac:dyDescent="0.25">
      <c r="A883" s="94" t="s">
        <v>6675</v>
      </c>
      <c r="B883" s="98">
        <v>50152</v>
      </c>
      <c r="C883" s="98" t="s">
        <v>6676</v>
      </c>
      <c r="D883" s="96" t="s">
        <v>190</v>
      </c>
      <c r="E883" s="97">
        <v>250</v>
      </c>
      <c r="F883" s="67" t="str">
        <f>IFERROR(IFERROR(INDEX(Кат!$A:$A,MATCH(Прайс!$B883,Кат!$G:$G,0)),INDEX(Торг!$B:$B,MATCH(Прайс!$B883,Торг!$H:$H,0))),"")</f>
        <v/>
      </c>
      <c r="G883" s="67" t="str">
        <f>IFERROR(IFERROR(INDEX(Кат!$B:$B,MATCH(Прайс!$B883,Кат!$G:$G,0)),INDEX(Торг!$C:$C,MATCH(Прайс!$B883,Торг!$H:$H,0))),"")</f>
        <v/>
      </c>
      <c r="H883" s="67" t="str">
        <f>IFERROR(IFERROR(INDEX(Кат!$I:$I,MATCH(Прайс!$B883,Кат!$G:$G,0)),INDEX(Торг!$I:$I,MATCH(Прайс!$B883,Торг!$H:$H,0))),"")</f>
        <v/>
      </c>
    </row>
    <row r="884" spans="1:8" x14ac:dyDescent="0.25">
      <c r="A884" s="94" t="s">
        <v>2914</v>
      </c>
      <c r="B884" s="98">
        <v>50154</v>
      </c>
      <c r="C884" s="98" t="s">
        <v>599</v>
      </c>
      <c r="D884" s="96" t="s">
        <v>190</v>
      </c>
      <c r="E884" s="97">
        <v>95</v>
      </c>
      <c r="F884" s="67" t="str">
        <f>IFERROR(IFERROR(INDEX(Кат!$A:$A,MATCH(Прайс!$B884,Кат!$G:$G,0)),INDEX(Торг!$B:$B,MATCH(Прайс!$B884,Торг!$H:$H,0))),"")</f>
        <v/>
      </c>
      <c r="G884" s="67" t="str">
        <f>IFERROR(IFERROR(INDEX(Кат!$B:$B,MATCH(Прайс!$B884,Кат!$G:$G,0)),INDEX(Торг!$C:$C,MATCH(Прайс!$B884,Торг!$H:$H,0))),"")</f>
        <v/>
      </c>
      <c r="H884" s="67" t="str">
        <f>IFERROR(IFERROR(INDEX(Кат!$I:$I,MATCH(Прайс!$B884,Кат!$G:$G,0)),INDEX(Торг!$I:$I,MATCH(Прайс!$B884,Торг!$H:$H,0))),"")</f>
        <v/>
      </c>
    </row>
    <row r="885" spans="1:8" x14ac:dyDescent="0.25">
      <c r="A885" s="94" t="s">
        <v>2915</v>
      </c>
      <c r="B885" s="98">
        <v>50155</v>
      </c>
      <c r="C885" s="98" t="s">
        <v>600</v>
      </c>
      <c r="D885" s="96" t="s">
        <v>190</v>
      </c>
      <c r="E885" s="97">
        <v>100</v>
      </c>
      <c r="F885" s="67" t="str">
        <f>IFERROR(IFERROR(INDEX(Кат!$A:$A,MATCH(Прайс!$B885,Кат!$G:$G,0)),INDEX(Торг!$B:$B,MATCH(Прайс!$B885,Торг!$H:$H,0))),"")</f>
        <v/>
      </c>
      <c r="G885" s="67" t="str">
        <f>IFERROR(IFERROR(INDEX(Кат!$B:$B,MATCH(Прайс!$B885,Кат!$G:$G,0)),INDEX(Торг!$C:$C,MATCH(Прайс!$B885,Торг!$H:$H,0))),"")</f>
        <v/>
      </c>
      <c r="H885" s="67" t="str">
        <f>IFERROR(IFERROR(INDEX(Кат!$I:$I,MATCH(Прайс!$B885,Кат!$G:$G,0)),INDEX(Торг!$I:$I,MATCH(Прайс!$B885,Торг!$H:$H,0))),"")</f>
        <v/>
      </c>
    </row>
    <row r="886" spans="1:8" ht="15.75" x14ac:dyDescent="0.25">
      <c r="A886" s="90"/>
      <c r="B886" s="91"/>
      <c r="C886" s="92" t="s">
        <v>601</v>
      </c>
      <c r="D886" s="91"/>
      <c r="E886" s="93"/>
      <c r="F886" s="67" t="str">
        <f>IFERROR(IFERROR(INDEX(Кат!$A:$A,MATCH(Прайс!$B886,Кат!$G:$G,0)),INDEX(Торг!$B:$B,MATCH(Прайс!$B886,Торг!$H:$H,0))),"")</f>
        <v/>
      </c>
      <c r="G886" s="67" t="str">
        <f>IFERROR(IFERROR(INDEX(Кат!$B:$B,MATCH(Прайс!$B886,Кат!$G:$G,0)),INDEX(Торг!$C:$C,MATCH(Прайс!$B886,Торг!$H:$H,0))),"")</f>
        <v/>
      </c>
      <c r="H886" s="67" t="str">
        <f>IFERROR(IFERROR(INDEX(Кат!$I:$I,MATCH(Прайс!$B886,Кат!$G:$G,0)),INDEX(Торг!$I:$I,MATCH(Прайс!$B886,Торг!$H:$H,0))),"")</f>
        <v/>
      </c>
    </row>
    <row r="887" spans="1:8" x14ac:dyDescent="0.25">
      <c r="A887" s="94" t="s">
        <v>2916</v>
      </c>
      <c r="B887" s="98">
        <v>50156</v>
      </c>
      <c r="C887" s="98" t="s">
        <v>602</v>
      </c>
      <c r="D887" s="96" t="s">
        <v>190</v>
      </c>
      <c r="E887" s="97">
        <v>120</v>
      </c>
      <c r="F887" s="67" t="str">
        <f>IFERROR(IFERROR(INDEX(Кат!$A:$A,MATCH(Прайс!$B887,Кат!$G:$G,0)),INDEX(Торг!$B:$B,MATCH(Прайс!$B887,Торг!$H:$H,0))),"")</f>
        <v/>
      </c>
      <c r="G887" s="67" t="str">
        <f>IFERROR(IFERROR(INDEX(Кат!$B:$B,MATCH(Прайс!$B887,Кат!$G:$G,0)),INDEX(Торг!$C:$C,MATCH(Прайс!$B887,Торг!$H:$H,0))),"")</f>
        <v/>
      </c>
      <c r="H887" s="67" t="str">
        <f>IFERROR(IFERROR(INDEX(Кат!$I:$I,MATCH(Прайс!$B887,Кат!$G:$G,0)),INDEX(Торг!$I:$I,MATCH(Прайс!$B887,Торг!$H:$H,0))),"")</f>
        <v/>
      </c>
    </row>
    <row r="888" spans="1:8" x14ac:dyDescent="0.25">
      <c r="A888" s="94" t="s">
        <v>2917</v>
      </c>
      <c r="B888" s="98">
        <v>50327</v>
      </c>
      <c r="C888" s="98" t="s">
        <v>603</v>
      </c>
      <c r="D888" s="96" t="s">
        <v>159</v>
      </c>
      <c r="E888" s="97">
        <v>200</v>
      </c>
      <c r="F888" s="67" t="str">
        <f>IFERROR(IFERROR(INDEX(Кат!$A:$A,MATCH(Прайс!$B888,Кат!$G:$G,0)),INDEX(Торг!$B:$B,MATCH(Прайс!$B888,Торг!$H:$H,0))),"")</f>
        <v/>
      </c>
      <c r="G888" s="67" t="str">
        <f>IFERROR(IFERROR(INDEX(Кат!$B:$B,MATCH(Прайс!$B888,Кат!$G:$G,0)),INDEX(Торг!$C:$C,MATCH(Прайс!$B888,Торг!$H:$H,0))),"")</f>
        <v/>
      </c>
      <c r="H888" s="67" t="str">
        <f>IFERROR(IFERROR(INDEX(Кат!$I:$I,MATCH(Прайс!$B888,Кат!$G:$G,0)),INDEX(Торг!$I:$I,MATCH(Прайс!$B888,Торг!$H:$H,0))),"")</f>
        <v/>
      </c>
    </row>
    <row r="889" spans="1:8" x14ac:dyDescent="0.25">
      <c r="A889" s="94" t="s">
        <v>2918</v>
      </c>
      <c r="B889" s="98">
        <v>50157</v>
      </c>
      <c r="C889" s="98" t="s">
        <v>7477</v>
      </c>
      <c r="D889" s="96" t="s">
        <v>159</v>
      </c>
      <c r="E889" s="97">
        <v>40</v>
      </c>
      <c r="F889" s="67" t="str">
        <f>IFERROR(IFERROR(INDEX(Кат!$A:$A,MATCH(Прайс!$B889,Кат!$G:$G,0)),INDEX(Торг!$B:$B,MATCH(Прайс!$B889,Торг!$H:$H,0))),"")</f>
        <v/>
      </c>
      <c r="G889" s="67" t="str">
        <f>IFERROR(IFERROR(INDEX(Кат!$B:$B,MATCH(Прайс!$B889,Кат!$G:$G,0)),INDEX(Торг!$C:$C,MATCH(Прайс!$B889,Торг!$H:$H,0))),"")</f>
        <v/>
      </c>
      <c r="H889" s="67" t="str">
        <f>IFERROR(IFERROR(INDEX(Кат!$I:$I,MATCH(Прайс!$B889,Кат!$G:$G,0)),INDEX(Торг!$I:$I,MATCH(Прайс!$B889,Торг!$H:$H,0))),"")</f>
        <v/>
      </c>
    </row>
    <row r="890" spans="1:8" x14ac:dyDescent="0.25">
      <c r="A890" s="94" t="s">
        <v>2919</v>
      </c>
      <c r="B890" s="98">
        <v>50158</v>
      </c>
      <c r="C890" s="98" t="s">
        <v>7478</v>
      </c>
      <c r="D890" s="96" t="s">
        <v>159</v>
      </c>
      <c r="E890" s="97">
        <v>65</v>
      </c>
      <c r="F890" s="67" t="str">
        <f>IFERROR(IFERROR(INDEX(Кат!$A:$A,MATCH(Прайс!$B890,Кат!$G:$G,0)),INDEX(Торг!$B:$B,MATCH(Прайс!$B890,Торг!$H:$H,0))),"")</f>
        <v/>
      </c>
      <c r="G890" s="67" t="str">
        <f>IFERROR(IFERROR(INDEX(Кат!$B:$B,MATCH(Прайс!$B890,Кат!$G:$G,0)),INDEX(Торг!$C:$C,MATCH(Прайс!$B890,Торг!$H:$H,0))),"")</f>
        <v/>
      </c>
      <c r="H890" s="67" t="str">
        <f>IFERROR(IFERROR(INDEX(Кат!$I:$I,MATCH(Прайс!$B890,Кат!$G:$G,0)),INDEX(Торг!$I:$I,MATCH(Прайс!$B890,Торг!$H:$H,0))),"")</f>
        <v/>
      </c>
    </row>
    <row r="891" spans="1:8" x14ac:dyDescent="0.25">
      <c r="A891" s="94" t="s">
        <v>7479</v>
      </c>
      <c r="B891" s="98">
        <v>50388</v>
      </c>
      <c r="C891" s="98" t="s">
        <v>7480</v>
      </c>
      <c r="D891" s="96" t="s">
        <v>480</v>
      </c>
      <c r="E891" s="97">
        <v>80</v>
      </c>
      <c r="F891" s="67" t="str">
        <f>IFERROR(IFERROR(INDEX(Кат!$A:$A,MATCH(Прайс!$B891,Кат!$G:$G,0)),INDEX(Торг!$B:$B,MATCH(Прайс!$B891,Торг!$H:$H,0))),"")</f>
        <v/>
      </c>
      <c r="G891" s="67" t="str">
        <f>IFERROR(IFERROR(INDEX(Кат!$B:$B,MATCH(Прайс!$B891,Кат!$G:$G,0)),INDEX(Торг!$C:$C,MATCH(Прайс!$B891,Торг!$H:$H,0))),"")</f>
        <v/>
      </c>
      <c r="H891" s="67" t="str">
        <f>IFERROR(IFERROR(INDEX(Кат!$I:$I,MATCH(Прайс!$B891,Кат!$G:$G,0)),INDEX(Торг!$I:$I,MATCH(Прайс!$B891,Торг!$H:$H,0))),"")</f>
        <v/>
      </c>
    </row>
    <row r="892" spans="1:8" x14ac:dyDescent="0.25">
      <c r="A892" s="94" t="s">
        <v>7481</v>
      </c>
      <c r="B892" s="98">
        <v>50673</v>
      </c>
      <c r="C892" s="98" t="s">
        <v>7482</v>
      </c>
      <c r="D892" s="96" t="s">
        <v>582</v>
      </c>
      <c r="E892" s="97">
        <v>280</v>
      </c>
      <c r="F892" s="67" t="str">
        <f>IFERROR(IFERROR(INDEX(Кат!$A:$A,MATCH(Прайс!$B892,Кат!$G:$G,0)),INDEX(Торг!$B:$B,MATCH(Прайс!$B892,Торг!$H:$H,0))),"")</f>
        <v/>
      </c>
      <c r="G892" s="67" t="str">
        <f>IFERROR(IFERROR(INDEX(Кат!$B:$B,MATCH(Прайс!$B892,Кат!$G:$G,0)),INDEX(Торг!$C:$C,MATCH(Прайс!$B892,Торг!$H:$H,0))),"")</f>
        <v/>
      </c>
      <c r="H892" s="67" t="str">
        <f>IFERROR(IFERROR(INDEX(Кат!$I:$I,MATCH(Прайс!$B892,Кат!$G:$G,0)),INDEX(Торг!$I:$I,MATCH(Прайс!$B892,Торг!$H:$H,0))),"")</f>
        <v/>
      </c>
    </row>
    <row r="893" spans="1:8" x14ac:dyDescent="0.25">
      <c r="A893" s="94" t="s">
        <v>6222</v>
      </c>
      <c r="B893" s="98">
        <v>50600</v>
      </c>
      <c r="C893" s="98" t="s">
        <v>6223</v>
      </c>
      <c r="D893" s="96" t="s">
        <v>190</v>
      </c>
      <c r="E893" s="97">
        <v>315</v>
      </c>
      <c r="F893" s="67">
        <f>IFERROR(IFERROR(INDEX(Кат!$A:$A,MATCH(Прайс!$B893,Кат!$G:$G,0)),INDEX(Торг!$B:$B,MATCH(Прайс!$B893,Торг!$H:$H,0))),"")</f>
        <v>152928</v>
      </c>
      <c r="G893" s="67">
        <f>IFERROR(IFERROR(INDEX(Кат!$B:$B,MATCH(Прайс!$B893,Кат!$G:$G,0)),INDEX(Торг!$C:$C,MATCH(Прайс!$B893,Торг!$H:$H,0))),"")</f>
        <v>39062</v>
      </c>
      <c r="H893" s="67" t="str">
        <f>IFERROR(IFERROR(INDEX(Кат!$I:$I,MATCH(Прайс!$B893,Кат!$G:$G,0)),INDEX(Торг!$I:$I,MATCH(Прайс!$B893,Торг!$H:$H,0))),"")</f>
        <v>кристал авто</v>
      </c>
    </row>
    <row r="894" spans="1:8" x14ac:dyDescent="0.25">
      <c r="A894" s="94" t="s">
        <v>2920</v>
      </c>
      <c r="B894" s="98">
        <v>50168</v>
      </c>
      <c r="C894" s="98" t="s">
        <v>7483</v>
      </c>
      <c r="D894" s="96" t="s">
        <v>159</v>
      </c>
      <c r="E894" s="97">
        <v>220</v>
      </c>
      <c r="F894" s="67" t="str">
        <f>IFERROR(IFERROR(INDEX(Кат!$A:$A,MATCH(Прайс!$B894,Кат!$G:$G,0)),INDEX(Торг!$B:$B,MATCH(Прайс!$B894,Торг!$H:$H,0))),"")</f>
        <v/>
      </c>
      <c r="G894" s="67" t="str">
        <f>IFERROR(IFERROR(INDEX(Кат!$B:$B,MATCH(Прайс!$B894,Кат!$G:$G,0)),INDEX(Торг!$C:$C,MATCH(Прайс!$B894,Торг!$H:$H,0))),"")</f>
        <v/>
      </c>
      <c r="H894" s="67" t="str">
        <f>IFERROR(IFERROR(INDEX(Кат!$I:$I,MATCH(Прайс!$B894,Кат!$G:$G,0)),INDEX(Торг!$I:$I,MATCH(Прайс!$B894,Торг!$H:$H,0))),"")</f>
        <v/>
      </c>
    </row>
    <row r="895" spans="1:8" ht="15.75" x14ac:dyDescent="0.25">
      <c r="A895" s="90"/>
      <c r="B895" s="91"/>
      <c r="C895" s="92" t="s">
        <v>4875</v>
      </c>
      <c r="D895" s="91"/>
      <c r="E895" s="93"/>
      <c r="F895" s="67" t="str">
        <f>IFERROR(IFERROR(INDEX(Кат!$A:$A,MATCH(Прайс!$B895,Кат!$G:$G,0)),INDEX(Торг!$B:$B,MATCH(Прайс!$B895,Торг!$H:$H,0))),"")</f>
        <v/>
      </c>
      <c r="G895" s="67" t="str">
        <f>IFERROR(IFERROR(INDEX(Кат!$B:$B,MATCH(Прайс!$B895,Кат!$G:$G,0)),INDEX(Торг!$C:$C,MATCH(Прайс!$B895,Торг!$H:$H,0))),"")</f>
        <v/>
      </c>
      <c r="H895" s="67" t="str">
        <f>IFERROR(IFERROR(INDEX(Кат!$I:$I,MATCH(Прайс!$B895,Кат!$G:$G,0)),INDEX(Торг!$I:$I,MATCH(Прайс!$B895,Торг!$H:$H,0))),"")</f>
        <v/>
      </c>
    </row>
    <row r="896" spans="1:8" x14ac:dyDescent="0.25">
      <c r="A896" s="99" t="s">
        <v>6224</v>
      </c>
      <c r="B896" s="108">
        <v>50633</v>
      </c>
      <c r="C896" s="108" t="s">
        <v>6225</v>
      </c>
      <c r="D896" s="101" t="s">
        <v>190</v>
      </c>
      <c r="E896" s="102">
        <v>130</v>
      </c>
      <c r="F896" s="67" t="str">
        <f>IFERROR(IFERROR(INDEX(Кат!$A:$A,MATCH(Прайс!$B896,Кат!$G:$G,0)),INDEX(Торг!$B:$B,MATCH(Прайс!$B896,Торг!$H:$H,0))),"")</f>
        <v/>
      </c>
      <c r="G896" s="67" t="str">
        <f>IFERROR(IFERROR(INDEX(Кат!$B:$B,MATCH(Прайс!$B896,Кат!$G:$G,0)),INDEX(Торг!$C:$C,MATCH(Прайс!$B896,Торг!$H:$H,0))),"")</f>
        <v/>
      </c>
      <c r="H896" s="67" t="str">
        <f>IFERROR(IFERROR(INDEX(Кат!$I:$I,MATCH(Прайс!$B896,Кат!$G:$G,0)),INDEX(Торг!$I:$I,MATCH(Прайс!$B896,Торг!$H:$H,0))),"")</f>
        <v/>
      </c>
    </row>
    <row r="897" spans="1:8" x14ac:dyDescent="0.25">
      <c r="A897" s="109" t="s">
        <v>8209</v>
      </c>
      <c r="B897" s="110">
        <v>50710</v>
      </c>
      <c r="C897" s="110" t="s">
        <v>8210</v>
      </c>
      <c r="D897" s="111" t="s">
        <v>1285</v>
      </c>
      <c r="E897" s="112">
        <v>150</v>
      </c>
      <c r="F897" s="67" t="str">
        <f>IFERROR(IFERROR(INDEX(Кат!$A:$A,MATCH(Прайс!$B897,Кат!$G:$G,0)),INDEX(Торг!$B:$B,MATCH(Прайс!$B897,Торг!$H:$H,0))),"")</f>
        <v/>
      </c>
      <c r="G897" s="67" t="str">
        <f>IFERROR(IFERROR(INDEX(Кат!$B:$B,MATCH(Прайс!$B897,Кат!$G:$G,0)),INDEX(Торг!$C:$C,MATCH(Прайс!$B897,Торг!$H:$H,0))),"")</f>
        <v/>
      </c>
      <c r="H897" s="67" t="str">
        <f>IFERROR(IFERROR(INDEX(Кат!$I:$I,MATCH(Прайс!$B897,Кат!$G:$G,0)),INDEX(Торг!$I:$I,MATCH(Прайс!$B897,Торг!$H:$H,0))),"")</f>
        <v/>
      </c>
    </row>
    <row r="898" spans="1:8" x14ac:dyDescent="0.25">
      <c r="A898" s="103" t="s">
        <v>4876</v>
      </c>
      <c r="B898" s="104">
        <v>50317</v>
      </c>
      <c r="C898" s="104" t="s">
        <v>4877</v>
      </c>
      <c r="D898" s="105" t="s">
        <v>160</v>
      </c>
      <c r="E898" s="113">
        <v>195</v>
      </c>
      <c r="F898" s="67" t="str">
        <f>IFERROR(IFERROR(INDEX(Кат!$A:$A,MATCH(Прайс!$B898,Кат!$G:$G,0)),INDEX(Торг!$B:$B,MATCH(Прайс!$B898,Торг!$H:$H,0))),"")</f>
        <v/>
      </c>
      <c r="G898" s="67" t="str">
        <f>IFERROR(IFERROR(INDEX(Кат!$B:$B,MATCH(Прайс!$B898,Кат!$G:$G,0)),INDEX(Торг!$C:$C,MATCH(Прайс!$B898,Торг!$H:$H,0))),"")</f>
        <v/>
      </c>
      <c r="H898" s="67" t="str">
        <f>IFERROR(IFERROR(INDEX(Кат!$I:$I,MATCH(Прайс!$B898,Кат!$G:$G,0)),INDEX(Торг!$I:$I,MATCH(Прайс!$B898,Торг!$H:$H,0))),"")</f>
        <v/>
      </c>
    </row>
    <row r="899" spans="1:8" ht="15.75" x14ac:dyDescent="0.25">
      <c r="A899" s="90"/>
      <c r="B899" s="91"/>
      <c r="C899" s="92" t="s">
        <v>604</v>
      </c>
      <c r="D899" s="91"/>
      <c r="E899" s="93"/>
      <c r="F899" s="67" t="str">
        <f>IFERROR(IFERROR(INDEX(Кат!$A:$A,MATCH(Прайс!$B899,Кат!$G:$G,0)),INDEX(Торг!$B:$B,MATCH(Прайс!$B899,Торг!$H:$H,0))),"")</f>
        <v/>
      </c>
      <c r="G899" s="67" t="str">
        <f>IFERROR(IFERROR(INDEX(Кат!$B:$B,MATCH(Прайс!$B899,Кат!$G:$G,0)),INDEX(Торг!$C:$C,MATCH(Прайс!$B899,Торг!$H:$H,0))),"")</f>
        <v/>
      </c>
      <c r="H899" s="67" t="str">
        <f>IFERROR(IFERROR(INDEX(Кат!$I:$I,MATCH(Прайс!$B899,Кат!$G:$G,0)),INDEX(Торг!$I:$I,MATCH(Прайс!$B899,Торг!$H:$H,0))),"")</f>
        <v/>
      </c>
    </row>
    <row r="900" spans="1:8" x14ac:dyDescent="0.25">
      <c r="A900" s="103" t="s">
        <v>2921</v>
      </c>
      <c r="B900" s="104">
        <v>24023</v>
      </c>
      <c r="C900" s="104" t="s">
        <v>605</v>
      </c>
      <c r="D900" s="105" t="s">
        <v>582</v>
      </c>
      <c r="E900" s="113">
        <v>250</v>
      </c>
      <c r="F900" s="67" t="str">
        <f>IFERROR(IFERROR(INDEX(Кат!$A:$A,MATCH(Прайс!$B900,Кат!$G:$G,0)),INDEX(Торг!$B:$B,MATCH(Прайс!$B900,Торг!$H:$H,0))),"")</f>
        <v/>
      </c>
      <c r="G900" s="67" t="str">
        <f>IFERROR(IFERROR(INDEX(Кат!$B:$B,MATCH(Прайс!$B900,Кат!$G:$G,0)),INDEX(Торг!$C:$C,MATCH(Прайс!$B900,Торг!$H:$H,0))),"")</f>
        <v/>
      </c>
      <c r="H900" s="67" t="str">
        <f>IFERROR(IFERROR(INDEX(Кат!$I:$I,MATCH(Прайс!$B900,Кат!$G:$G,0)),INDEX(Торг!$I:$I,MATCH(Прайс!$B900,Торг!$H:$H,0))),"")</f>
        <v/>
      </c>
    </row>
    <row r="901" spans="1:8" ht="15.75" x14ac:dyDescent="0.25">
      <c r="A901" s="90"/>
      <c r="B901" s="91"/>
      <c r="C901" s="92" t="s">
        <v>606</v>
      </c>
      <c r="D901" s="91"/>
      <c r="E901" s="93"/>
      <c r="F901" s="67" t="str">
        <f>IFERROR(IFERROR(INDEX(Кат!$A:$A,MATCH(Прайс!$B901,Кат!$G:$G,0)),INDEX(Торг!$B:$B,MATCH(Прайс!$B901,Торг!$H:$H,0))),"")</f>
        <v/>
      </c>
      <c r="G901" s="67" t="str">
        <f>IFERROR(IFERROR(INDEX(Кат!$B:$B,MATCH(Прайс!$B901,Кат!$G:$G,0)),INDEX(Торг!$C:$C,MATCH(Прайс!$B901,Торг!$H:$H,0))),"")</f>
        <v/>
      </c>
      <c r="H901" s="67" t="str">
        <f>IFERROR(IFERROR(INDEX(Кат!$I:$I,MATCH(Прайс!$B901,Кат!$G:$G,0)),INDEX(Торг!$I:$I,MATCH(Прайс!$B901,Торг!$H:$H,0))),"")</f>
        <v/>
      </c>
    </row>
    <row r="902" spans="1:8" x14ac:dyDescent="0.25">
      <c r="A902" s="94" t="s">
        <v>7484</v>
      </c>
      <c r="B902" s="98">
        <v>50174</v>
      </c>
      <c r="C902" s="98" t="s">
        <v>7485</v>
      </c>
      <c r="D902" s="96" t="s">
        <v>607</v>
      </c>
      <c r="E902" s="97">
        <v>80</v>
      </c>
      <c r="F902" s="67" t="str">
        <f>IFERROR(IFERROR(INDEX(Кат!$A:$A,MATCH(Прайс!$B902,Кат!$G:$G,0)),INDEX(Торг!$B:$B,MATCH(Прайс!$B902,Торг!$H:$H,0))),"")</f>
        <v/>
      </c>
      <c r="G902" s="67" t="str">
        <f>IFERROR(IFERROR(INDEX(Кат!$B:$B,MATCH(Прайс!$B902,Кат!$G:$G,0)),INDEX(Торг!$C:$C,MATCH(Прайс!$B902,Торг!$H:$H,0))),"")</f>
        <v/>
      </c>
      <c r="H902" s="67" t="str">
        <f>IFERROR(IFERROR(INDEX(Кат!$I:$I,MATCH(Прайс!$B902,Кат!$G:$G,0)),INDEX(Торг!$I:$I,MATCH(Прайс!$B902,Торг!$H:$H,0))),"")</f>
        <v/>
      </c>
    </row>
    <row r="903" spans="1:8" x14ac:dyDescent="0.25">
      <c r="A903" s="103" t="s">
        <v>2922</v>
      </c>
      <c r="B903" s="104">
        <v>50177</v>
      </c>
      <c r="C903" s="104" t="s">
        <v>608</v>
      </c>
      <c r="D903" s="105" t="s">
        <v>607</v>
      </c>
      <c r="E903" s="113">
        <v>60</v>
      </c>
      <c r="F903" s="67" t="str">
        <f>IFERROR(IFERROR(INDEX(Кат!$A:$A,MATCH(Прайс!$B903,Кат!$G:$G,0)),INDEX(Торг!$B:$B,MATCH(Прайс!$B903,Торг!$H:$H,0))),"")</f>
        <v/>
      </c>
      <c r="G903" s="67" t="str">
        <f>IFERROR(IFERROR(INDEX(Кат!$B:$B,MATCH(Прайс!$B903,Кат!$G:$G,0)),INDEX(Торг!$C:$C,MATCH(Прайс!$B903,Торг!$H:$H,0))),"")</f>
        <v/>
      </c>
      <c r="H903" s="67" t="str">
        <f>IFERROR(IFERROR(INDEX(Кат!$I:$I,MATCH(Прайс!$B903,Кат!$G:$G,0)),INDEX(Торг!$I:$I,MATCH(Прайс!$B903,Торг!$H:$H,0))),"")</f>
        <v/>
      </c>
    </row>
    <row r="904" spans="1:8" x14ac:dyDescent="0.25">
      <c r="A904" s="103" t="s">
        <v>2923</v>
      </c>
      <c r="B904" s="104">
        <v>50179</v>
      </c>
      <c r="C904" s="104" t="s">
        <v>609</v>
      </c>
      <c r="D904" s="105" t="s">
        <v>607</v>
      </c>
      <c r="E904" s="113">
        <v>70</v>
      </c>
      <c r="F904" s="67" t="str">
        <f>IFERROR(IFERROR(INDEX(Кат!$A:$A,MATCH(Прайс!$B904,Кат!$G:$G,0)),INDEX(Торг!$B:$B,MATCH(Прайс!$B904,Торг!$H:$H,0))),"")</f>
        <v/>
      </c>
      <c r="G904" s="67" t="str">
        <f>IFERROR(IFERROR(INDEX(Кат!$B:$B,MATCH(Прайс!$B904,Кат!$G:$G,0)),INDEX(Торг!$C:$C,MATCH(Прайс!$B904,Торг!$H:$H,0))),"")</f>
        <v/>
      </c>
      <c r="H904" s="67" t="str">
        <f>IFERROR(IFERROR(INDEX(Кат!$I:$I,MATCH(Прайс!$B904,Кат!$G:$G,0)),INDEX(Торг!$I:$I,MATCH(Прайс!$B904,Торг!$H:$H,0))),"")</f>
        <v/>
      </c>
    </row>
    <row r="905" spans="1:8" x14ac:dyDescent="0.25">
      <c r="A905" s="94" t="s">
        <v>2924</v>
      </c>
      <c r="B905" s="98">
        <v>50180</v>
      </c>
      <c r="C905" s="98" t="s">
        <v>610</v>
      </c>
      <c r="D905" s="96" t="s">
        <v>607</v>
      </c>
      <c r="E905" s="97">
        <v>80</v>
      </c>
      <c r="F905" s="67" t="str">
        <f>IFERROR(IFERROR(INDEX(Кат!$A:$A,MATCH(Прайс!$B905,Кат!$G:$G,0)),INDEX(Торг!$B:$B,MATCH(Прайс!$B905,Торг!$H:$H,0))),"")</f>
        <v/>
      </c>
      <c r="G905" s="67" t="str">
        <f>IFERROR(IFERROR(INDEX(Кат!$B:$B,MATCH(Прайс!$B905,Кат!$G:$G,0)),INDEX(Торг!$C:$C,MATCH(Прайс!$B905,Торг!$H:$H,0))),"")</f>
        <v/>
      </c>
      <c r="H905" s="67" t="str">
        <f>IFERROR(IFERROR(INDEX(Кат!$I:$I,MATCH(Прайс!$B905,Кат!$G:$G,0)),INDEX(Торг!$I:$I,MATCH(Прайс!$B905,Торг!$H:$H,0))),"")</f>
        <v/>
      </c>
    </row>
    <row r="906" spans="1:8" x14ac:dyDescent="0.25">
      <c r="A906" s="94" t="s">
        <v>2925</v>
      </c>
      <c r="B906" s="98">
        <v>50184</v>
      </c>
      <c r="C906" s="98" t="s">
        <v>611</v>
      </c>
      <c r="D906" s="96" t="s">
        <v>607</v>
      </c>
      <c r="E906" s="97">
        <v>135</v>
      </c>
      <c r="F906" s="67" t="str">
        <f>IFERROR(IFERROR(INDEX(Кат!$A:$A,MATCH(Прайс!$B906,Кат!$G:$G,0)),INDEX(Торг!$B:$B,MATCH(Прайс!$B906,Торг!$H:$H,0))),"")</f>
        <v/>
      </c>
      <c r="G906" s="67" t="str">
        <f>IFERROR(IFERROR(INDEX(Кат!$B:$B,MATCH(Прайс!$B906,Кат!$G:$G,0)),INDEX(Торг!$C:$C,MATCH(Прайс!$B906,Торг!$H:$H,0))),"")</f>
        <v/>
      </c>
      <c r="H906" s="67" t="str">
        <f>IFERROR(IFERROR(INDEX(Кат!$I:$I,MATCH(Прайс!$B906,Кат!$G:$G,0)),INDEX(Торг!$I:$I,MATCH(Прайс!$B906,Торг!$H:$H,0))),"")</f>
        <v/>
      </c>
    </row>
    <row r="907" spans="1:8" x14ac:dyDescent="0.25">
      <c r="A907" s="103" t="s">
        <v>2926</v>
      </c>
      <c r="B907" s="104">
        <v>50433</v>
      </c>
      <c r="C907" s="104" t="s">
        <v>612</v>
      </c>
      <c r="D907" s="105" t="s">
        <v>190</v>
      </c>
      <c r="E907" s="113">
        <v>100</v>
      </c>
      <c r="F907" s="67" t="str">
        <f>IFERROR(IFERROR(INDEX(Кат!$A:$A,MATCH(Прайс!$B907,Кат!$G:$G,0)),INDEX(Торг!$B:$B,MATCH(Прайс!$B907,Торг!$H:$H,0))),"")</f>
        <v/>
      </c>
      <c r="G907" s="67" t="str">
        <f>IFERROR(IFERROR(INDEX(Кат!$B:$B,MATCH(Прайс!$B907,Кат!$G:$G,0)),INDEX(Торг!$C:$C,MATCH(Прайс!$B907,Торг!$H:$H,0))),"")</f>
        <v/>
      </c>
      <c r="H907" s="67" t="str">
        <f>IFERROR(IFERROR(INDEX(Кат!$I:$I,MATCH(Прайс!$B907,Кат!$G:$G,0)),INDEX(Торг!$I:$I,MATCH(Прайс!$B907,Торг!$H:$H,0))),"")</f>
        <v/>
      </c>
    </row>
    <row r="908" spans="1:8" x14ac:dyDescent="0.25">
      <c r="A908" s="103" t="s">
        <v>2927</v>
      </c>
      <c r="B908" s="104">
        <v>50187</v>
      </c>
      <c r="C908" s="104" t="s">
        <v>2928</v>
      </c>
      <c r="D908" s="105" t="s">
        <v>284</v>
      </c>
      <c r="E908" s="113">
        <v>60</v>
      </c>
      <c r="F908" s="67">
        <f>IFERROR(IFERROR(INDEX(Кат!$A:$A,MATCH(Прайс!$B908,Кат!$G:$G,0)),INDEX(Торг!$B:$B,MATCH(Прайс!$B908,Торг!$H:$H,0))),"")</f>
        <v>156787</v>
      </c>
      <c r="G908" s="67">
        <f>IFERROR(IFERROR(INDEX(Кат!$B:$B,MATCH(Прайс!$B908,Кат!$G:$G,0)),INDEX(Торг!$C:$C,MATCH(Прайс!$B908,Торг!$H:$H,0))),"")</f>
        <v>32893</v>
      </c>
      <c r="H908" s="67" t="str">
        <f>IFERROR(IFERROR(INDEX(Кат!$I:$I,MATCH(Прайс!$B908,Кат!$G:$G,0)),INDEX(Торг!$I:$I,MATCH(Прайс!$B908,Торг!$H:$H,0))),"")</f>
        <v>кристал авто</v>
      </c>
    </row>
    <row r="909" spans="1:8" x14ac:dyDescent="0.25">
      <c r="A909" s="94" t="s">
        <v>7486</v>
      </c>
      <c r="B909" s="98">
        <v>50676</v>
      </c>
      <c r="C909" s="98" t="s">
        <v>7487</v>
      </c>
      <c r="D909" s="96" t="s">
        <v>159</v>
      </c>
      <c r="E909" s="97">
        <v>30</v>
      </c>
      <c r="F909" s="67" t="str">
        <f>IFERROR(IFERROR(INDEX(Кат!$A:$A,MATCH(Прайс!$B909,Кат!$G:$G,0)),INDEX(Торг!$B:$B,MATCH(Прайс!$B909,Торг!$H:$H,0))),"")</f>
        <v/>
      </c>
      <c r="G909" s="67" t="str">
        <f>IFERROR(IFERROR(INDEX(Кат!$B:$B,MATCH(Прайс!$B909,Кат!$G:$G,0)),INDEX(Торг!$C:$C,MATCH(Прайс!$B909,Торг!$H:$H,0))),"")</f>
        <v/>
      </c>
      <c r="H909" s="67" t="str">
        <f>IFERROR(IFERROR(INDEX(Кат!$I:$I,MATCH(Прайс!$B909,Кат!$G:$G,0)),INDEX(Торг!$I:$I,MATCH(Прайс!$B909,Торг!$H:$H,0))),"")</f>
        <v/>
      </c>
    </row>
    <row r="910" spans="1:8" ht="15.75" x14ac:dyDescent="0.25">
      <c r="A910" s="90"/>
      <c r="B910" s="91"/>
      <c r="C910" s="92" t="s">
        <v>613</v>
      </c>
      <c r="D910" s="91"/>
      <c r="E910" s="93"/>
      <c r="F910" s="67" t="str">
        <f>IFERROR(IFERROR(INDEX(Кат!$A:$A,MATCH(Прайс!$B910,Кат!$G:$G,0)),INDEX(Торг!$B:$B,MATCH(Прайс!$B910,Торг!$H:$H,0))),"")</f>
        <v/>
      </c>
      <c r="G910" s="67" t="str">
        <f>IFERROR(IFERROR(INDEX(Кат!$B:$B,MATCH(Прайс!$B910,Кат!$G:$G,0)),INDEX(Торг!$C:$C,MATCH(Прайс!$B910,Торг!$H:$H,0))),"")</f>
        <v/>
      </c>
      <c r="H910" s="67" t="str">
        <f>IFERROR(IFERROR(INDEX(Кат!$I:$I,MATCH(Прайс!$B910,Кат!$G:$G,0)),INDEX(Торг!$I:$I,MATCH(Прайс!$B910,Торг!$H:$H,0))),"")</f>
        <v/>
      </c>
    </row>
    <row r="911" spans="1:8" x14ac:dyDescent="0.25">
      <c r="A911" s="99" t="s">
        <v>2929</v>
      </c>
      <c r="B911" s="108">
        <v>50367</v>
      </c>
      <c r="C911" s="108" t="s">
        <v>614</v>
      </c>
      <c r="D911" s="101" t="s">
        <v>582</v>
      </c>
      <c r="E911" s="102">
        <v>350</v>
      </c>
      <c r="F911" s="67" t="str">
        <f>IFERROR(IFERROR(INDEX(Кат!$A:$A,MATCH(Прайс!$B911,Кат!$G:$G,0)),INDEX(Торг!$B:$B,MATCH(Прайс!$B911,Торг!$H:$H,0))),"")</f>
        <v/>
      </c>
      <c r="G911" s="67" t="str">
        <f>IFERROR(IFERROR(INDEX(Кат!$B:$B,MATCH(Прайс!$B911,Кат!$G:$G,0)),INDEX(Торг!$C:$C,MATCH(Прайс!$B911,Торг!$H:$H,0))),"")</f>
        <v/>
      </c>
      <c r="H911" s="67" t="str">
        <f>IFERROR(IFERROR(INDEX(Кат!$I:$I,MATCH(Прайс!$B911,Кат!$G:$G,0)),INDEX(Торг!$I:$I,MATCH(Прайс!$B911,Торг!$H:$H,0))),"")</f>
        <v/>
      </c>
    </row>
    <row r="912" spans="1:8" x14ac:dyDescent="0.25">
      <c r="A912" s="99" t="s">
        <v>5768</v>
      </c>
      <c r="B912" s="108">
        <v>50557</v>
      </c>
      <c r="C912" s="108" t="s">
        <v>5769</v>
      </c>
      <c r="D912" s="101" t="s">
        <v>190</v>
      </c>
      <c r="E912" s="102">
        <v>100</v>
      </c>
      <c r="F912" s="67" t="str">
        <f>IFERROR(IFERROR(INDEX(Кат!$A:$A,MATCH(Прайс!$B912,Кат!$G:$G,0)),INDEX(Торг!$B:$B,MATCH(Прайс!$B912,Торг!$H:$H,0))),"")</f>
        <v/>
      </c>
      <c r="G912" s="67" t="str">
        <f>IFERROR(IFERROR(INDEX(Кат!$B:$B,MATCH(Прайс!$B912,Кат!$G:$G,0)),INDEX(Торг!$C:$C,MATCH(Прайс!$B912,Торг!$H:$H,0))),"")</f>
        <v/>
      </c>
      <c r="H912" s="67" t="str">
        <f>IFERROR(IFERROR(INDEX(Кат!$I:$I,MATCH(Прайс!$B912,Кат!$G:$G,0)),INDEX(Торг!$I:$I,MATCH(Прайс!$B912,Торг!$H:$H,0))),"")</f>
        <v/>
      </c>
    </row>
    <row r="913" spans="1:8" x14ac:dyDescent="0.25">
      <c r="A913" s="99" t="s">
        <v>2930</v>
      </c>
      <c r="B913" s="108">
        <v>50170</v>
      </c>
      <c r="C913" s="108" t="s">
        <v>615</v>
      </c>
      <c r="D913" s="101" t="s">
        <v>190</v>
      </c>
      <c r="E913" s="102">
        <v>100</v>
      </c>
      <c r="F913" s="67" t="str">
        <f>IFERROR(IFERROR(INDEX(Кат!$A:$A,MATCH(Прайс!$B913,Кат!$G:$G,0)),INDEX(Торг!$B:$B,MATCH(Прайс!$B913,Торг!$H:$H,0))),"")</f>
        <v/>
      </c>
      <c r="G913" s="67" t="str">
        <f>IFERROR(IFERROR(INDEX(Кат!$B:$B,MATCH(Прайс!$B913,Кат!$G:$G,0)),INDEX(Торг!$C:$C,MATCH(Прайс!$B913,Торг!$H:$H,0))),"")</f>
        <v/>
      </c>
      <c r="H913" s="67" t="str">
        <f>IFERROR(IFERROR(INDEX(Кат!$I:$I,MATCH(Прайс!$B913,Кат!$G:$G,0)),INDEX(Торг!$I:$I,MATCH(Прайс!$B913,Торг!$H:$H,0))),"")</f>
        <v/>
      </c>
    </row>
    <row r="914" spans="1:8" x14ac:dyDescent="0.25">
      <c r="A914" s="99" t="s">
        <v>2931</v>
      </c>
      <c r="B914" s="108">
        <v>50382</v>
      </c>
      <c r="C914" s="108" t="s">
        <v>616</v>
      </c>
      <c r="D914" s="101" t="s">
        <v>159</v>
      </c>
      <c r="E914" s="102">
        <v>100</v>
      </c>
      <c r="F914" s="67" t="str">
        <f>IFERROR(IFERROR(INDEX(Кат!$A:$A,MATCH(Прайс!$B914,Кат!$G:$G,0)),INDEX(Торг!$B:$B,MATCH(Прайс!$B914,Торг!$H:$H,0))),"")</f>
        <v/>
      </c>
      <c r="G914" s="67" t="str">
        <f>IFERROR(IFERROR(INDEX(Кат!$B:$B,MATCH(Прайс!$B914,Кат!$G:$G,0)),INDEX(Торг!$C:$C,MATCH(Прайс!$B914,Торг!$H:$H,0))),"")</f>
        <v/>
      </c>
      <c r="H914" s="67" t="str">
        <f>IFERROR(IFERROR(INDEX(Кат!$I:$I,MATCH(Прайс!$B914,Кат!$G:$G,0)),INDEX(Торг!$I:$I,MATCH(Прайс!$B914,Торг!$H:$H,0))),"")</f>
        <v/>
      </c>
    </row>
    <row r="915" spans="1:8" x14ac:dyDescent="0.25">
      <c r="A915" s="99" t="s">
        <v>2932</v>
      </c>
      <c r="B915" s="108">
        <v>50171</v>
      </c>
      <c r="C915" s="108" t="s">
        <v>617</v>
      </c>
      <c r="D915" s="101" t="s">
        <v>582</v>
      </c>
      <c r="E915" s="102">
        <v>95</v>
      </c>
      <c r="F915" s="67" t="str">
        <f>IFERROR(IFERROR(INDEX(Кат!$A:$A,MATCH(Прайс!$B915,Кат!$G:$G,0)),INDEX(Торг!$B:$B,MATCH(Прайс!$B915,Торг!$H:$H,0))),"")</f>
        <v/>
      </c>
      <c r="G915" s="67" t="str">
        <f>IFERROR(IFERROR(INDEX(Кат!$B:$B,MATCH(Прайс!$B915,Кат!$G:$G,0)),INDEX(Торг!$C:$C,MATCH(Прайс!$B915,Торг!$H:$H,0))),"")</f>
        <v/>
      </c>
      <c r="H915" s="67" t="str">
        <f>IFERROR(IFERROR(INDEX(Кат!$I:$I,MATCH(Прайс!$B915,Кат!$G:$G,0)),INDEX(Торг!$I:$I,MATCH(Прайс!$B915,Торг!$H:$H,0))),"")</f>
        <v/>
      </c>
    </row>
    <row r="916" spans="1:8" x14ac:dyDescent="0.25">
      <c r="A916" s="99" t="s">
        <v>2933</v>
      </c>
      <c r="B916" s="108">
        <v>50172</v>
      </c>
      <c r="C916" s="108" t="s">
        <v>618</v>
      </c>
      <c r="D916" s="101" t="s">
        <v>582</v>
      </c>
      <c r="E916" s="102">
        <v>350</v>
      </c>
      <c r="F916" s="67" t="str">
        <f>IFERROR(IFERROR(INDEX(Кат!$A:$A,MATCH(Прайс!$B916,Кат!$G:$G,0)),INDEX(Торг!$B:$B,MATCH(Прайс!$B916,Торг!$H:$H,0))),"")</f>
        <v/>
      </c>
      <c r="G916" s="67" t="str">
        <f>IFERROR(IFERROR(INDEX(Кат!$B:$B,MATCH(Прайс!$B916,Кат!$G:$G,0)),INDEX(Торг!$C:$C,MATCH(Прайс!$B916,Торг!$H:$H,0))),"")</f>
        <v/>
      </c>
      <c r="H916" s="67" t="str">
        <f>IFERROR(IFERROR(INDEX(Кат!$I:$I,MATCH(Прайс!$B916,Кат!$G:$G,0)),INDEX(Торг!$I:$I,MATCH(Прайс!$B916,Торг!$H:$H,0))),"")</f>
        <v/>
      </c>
    </row>
    <row r="917" spans="1:8" ht="15.75" x14ac:dyDescent="0.25">
      <c r="A917" s="90"/>
      <c r="B917" s="91"/>
      <c r="C917" s="92" t="s">
        <v>619</v>
      </c>
      <c r="D917" s="91"/>
      <c r="E917" s="93"/>
      <c r="F917" s="67" t="str">
        <f>IFERROR(IFERROR(INDEX(Кат!$A:$A,MATCH(Прайс!$B917,Кат!$G:$G,0)),INDEX(Торг!$B:$B,MATCH(Прайс!$B917,Торг!$H:$H,0))),"")</f>
        <v/>
      </c>
      <c r="G917" s="67" t="str">
        <f>IFERROR(IFERROR(INDEX(Кат!$B:$B,MATCH(Прайс!$B917,Кат!$G:$G,0)),INDEX(Торг!$C:$C,MATCH(Прайс!$B917,Торг!$H:$H,0))),"")</f>
        <v/>
      </c>
      <c r="H917" s="67" t="str">
        <f>IFERROR(IFERROR(INDEX(Кат!$I:$I,MATCH(Прайс!$B917,Кат!$G:$G,0)),INDEX(Торг!$I:$I,MATCH(Прайс!$B917,Торг!$H:$H,0))),"")</f>
        <v/>
      </c>
    </row>
    <row r="918" spans="1:8" x14ac:dyDescent="0.25">
      <c r="A918" s="94" t="s">
        <v>5048</v>
      </c>
      <c r="B918" s="98">
        <v>50192</v>
      </c>
      <c r="C918" s="98" t="s">
        <v>5049</v>
      </c>
      <c r="D918" s="96" t="s">
        <v>159</v>
      </c>
      <c r="E918" s="97">
        <v>120</v>
      </c>
      <c r="F918" s="67" t="str">
        <f>IFERROR(IFERROR(INDEX(Кат!$A:$A,MATCH(Прайс!$B918,Кат!$G:$G,0)),INDEX(Торг!$B:$B,MATCH(Прайс!$B918,Торг!$H:$H,0))),"")</f>
        <v/>
      </c>
      <c r="G918" s="67" t="str">
        <f>IFERROR(IFERROR(INDEX(Кат!$B:$B,MATCH(Прайс!$B918,Кат!$G:$G,0)),INDEX(Торг!$C:$C,MATCH(Прайс!$B918,Торг!$H:$H,0))),"")</f>
        <v/>
      </c>
      <c r="H918" s="67" t="str">
        <f>IFERROR(IFERROR(INDEX(Кат!$I:$I,MATCH(Прайс!$B918,Кат!$G:$G,0)),INDEX(Торг!$I:$I,MATCH(Прайс!$B918,Торг!$H:$H,0))),"")</f>
        <v/>
      </c>
    </row>
    <row r="919" spans="1:8" x14ac:dyDescent="0.25">
      <c r="A919" s="94" t="s">
        <v>2934</v>
      </c>
      <c r="B919" s="98">
        <v>50194</v>
      </c>
      <c r="C919" s="98" t="s">
        <v>620</v>
      </c>
      <c r="D919" s="96" t="s">
        <v>159</v>
      </c>
      <c r="E919" s="97">
        <v>145</v>
      </c>
      <c r="F919" s="67">
        <f>IFERROR(IFERROR(INDEX(Кат!$A:$A,MATCH(Прайс!$B919,Кат!$G:$G,0)),INDEX(Торг!$B:$B,MATCH(Прайс!$B919,Торг!$H:$H,0))),"")</f>
        <v>162675</v>
      </c>
      <c r="G919" s="67">
        <f>IFERROR(IFERROR(INDEX(Кат!$B:$B,MATCH(Прайс!$B919,Кат!$G:$G,0)),INDEX(Торг!$C:$C,MATCH(Прайс!$B919,Торг!$H:$H,0))),"")</f>
        <v>16914</v>
      </c>
      <c r="H919" s="67" t="str">
        <f>IFERROR(IFERROR(INDEX(Кат!$I:$I,MATCH(Прайс!$B919,Кат!$G:$G,0)),INDEX(Торг!$I:$I,MATCH(Прайс!$B919,Торг!$H:$H,0))),"")</f>
        <v>кристал авто</v>
      </c>
    </row>
    <row r="920" spans="1:8" x14ac:dyDescent="0.25">
      <c r="A920" s="94" t="s">
        <v>4878</v>
      </c>
      <c r="B920" s="98">
        <v>50193</v>
      </c>
      <c r="C920" s="98" t="s">
        <v>4879</v>
      </c>
      <c r="D920" s="96" t="s">
        <v>190</v>
      </c>
      <c r="E920" s="97">
        <v>105</v>
      </c>
      <c r="F920" s="67">
        <f>IFERROR(IFERROR(INDEX(Кат!$A:$A,MATCH(Прайс!$B920,Кат!$G:$G,0)),INDEX(Торг!$B:$B,MATCH(Прайс!$B920,Торг!$H:$H,0))),"")</f>
        <v>162682</v>
      </c>
      <c r="G920" s="67">
        <f>IFERROR(IFERROR(INDEX(Кат!$B:$B,MATCH(Прайс!$B920,Кат!$G:$G,0)),INDEX(Торг!$C:$C,MATCH(Прайс!$B920,Торг!$H:$H,0))),"")</f>
        <v>10034</v>
      </c>
      <c r="H920" s="67" t="str">
        <f>IFERROR(IFERROR(INDEX(Кат!$I:$I,MATCH(Прайс!$B920,Кат!$G:$G,0)),INDEX(Торг!$I:$I,MATCH(Прайс!$B920,Торг!$H:$H,0))),"")</f>
        <v>кристал авто</v>
      </c>
    </row>
    <row r="921" spans="1:8" x14ac:dyDescent="0.25">
      <c r="A921" s="94" t="s">
        <v>2935</v>
      </c>
      <c r="B921" s="98">
        <v>50195</v>
      </c>
      <c r="C921" s="98" t="s">
        <v>621</v>
      </c>
      <c r="D921" s="96" t="s">
        <v>622</v>
      </c>
      <c r="E921" s="97">
        <v>145</v>
      </c>
      <c r="F921" s="67">
        <f>IFERROR(IFERROR(INDEX(Кат!$A:$A,MATCH(Прайс!$B921,Кат!$G:$G,0)),INDEX(Торг!$B:$B,MATCH(Прайс!$B921,Торг!$H:$H,0))),"")</f>
        <v>162679</v>
      </c>
      <c r="G921" s="67">
        <f>IFERROR(IFERROR(INDEX(Кат!$B:$B,MATCH(Прайс!$B921,Кат!$G:$G,0)),INDEX(Торг!$C:$C,MATCH(Прайс!$B921,Торг!$H:$H,0))),"")</f>
        <v>16913</v>
      </c>
      <c r="H921" s="67" t="str">
        <f>IFERROR(IFERROR(INDEX(Кат!$I:$I,MATCH(Прайс!$B921,Кат!$G:$G,0)),INDEX(Торг!$I:$I,MATCH(Прайс!$B921,Торг!$H:$H,0))),"")</f>
        <v>кристал авто</v>
      </c>
    </row>
    <row r="922" spans="1:8" ht="15.75" x14ac:dyDescent="0.25">
      <c r="A922" s="90"/>
      <c r="B922" s="91"/>
      <c r="C922" s="92" t="s">
        <v>623</v>
      </c>
      <c r="D922" s="91"/>
      <c r="E922" s="93"/>
      <c r="F922" s="67" t="str">
        <f>IFERROR(IFERROR(INDEX(Кат!$A:$A,MATCH(Прайс!$B922,Кат!$G:$G,0)),INDEX(Торг!$B:$B,MATCH(Прайс!$B922,Торг!$H:$H,0))),"")</f>
        <v/>
      </c>
      <c r="G922" s="67" t="str">
        <f>IFERROR(IFERROR(INDEX(Кат!$B:$B,MATCH(Прайс!$B922,Кат!$G:$G,0)),INDEX(Торг!$C:$C,MATCH(Прайс!$B922,Торг!$H:$H,0))),"")</f>
        <v/>
      </c>
      <c r="H922" s="67" t="str">
        <f>IFERROR(IFERROR(INDEX(Кат!$I:$I,MATCH(Прайс!$B922,Кат!$G:$G,0)),INDEX(Торг!$I:$I,MATCH(Прайс!$B922,Торг!$H:$H,0))),"")</f>
        <v/>
      </c>
    </row>
    <row r="923" spans="1:8" x14ac:dyDescent="0.25">
      <c r="A923" s="94" t="s">
        <v>2936</v>
      </c>
      <c r="B923" s="98">
        <v>50198</v>
      </c>
      <c r="C923" s="98" t="s">
        <v>624</v>
      </c>
      <c r="D923" s="96" t="s">
        <v>257</v>
      </c>
      <c r="E923" s="97">
        <v>65</v>
      </c>
      <c r="F923" s="67" t="str">
        <f>IFERROR(IFERROR(INDEX(Кат!$A:$A,MATCH(Прайс!$B923,Кат!$G:$G,0)),INDEX(Торг!$B:$B,MATCH(Прайс!$B923,Торг!$H:$H,0))),"")</f>
        <v/>
      </c>
      <c r="G923" s="67" t="str">
        <f>IFERROR(IFERROR(INDEX(Кат!$B:$B,MATCH(Прайс!$B923,Кат!$G:$G,0)),INDEX(Торг!$C:$C,MATCH(Прайс!$B923,Торг!$H:$H,0))),"")</f>
        <v/>
      </c>
      <c r="H923" s="67" t="str">
        <f>IFERROR(IFERROR(INDEX(Кат!$I:$I,MATCH(Прайс!$B923,Кат!$G:$G,0)),INDEX(Торг!$I:$I,MATCH(Прайс!$B923,Торг!$H:$H,0))),"")</f>
        <v/>
      </c>
    </row>
    <row r="924" spans="1:8" x14ac:dyDescent="0.25">
      <c r="A924" s="94" t="s">
        <v>8211</v>
      </c>
      <c r="B924" s="98">
        <v>50431</v>
      </c>
      <c r="C924" s="98" t="s">
        <v>8212</v>
      </c>
      <c r="D924" s="96" t="s">
        <v>176</v>
      </c>
      <c r="E924" s="97">
        <v>175</v>
      </c>
      <c r="F924" s="67" t="str">
        <f>IFERROR(IFERROR(INDEX(Кат!$A:$A,MATCH(Прайс!$B924,Кат!$G:$G,0)),INDEX(Торг!$B:$B,MATCH(Прайс!$B924,Торг!$H:$H,0))),"")</f>
        <v/>
      </c>
      <c r="G924" s="67" t="str">
        <f>IFERROR(IFERROR(INDEX(Кат!$B:$B,MATCH(Прайс!$B924,Кат!$G:$G,0)),INDEX(Торг!$C:$C,MATCH(Прайс!$B924,Торг!$H:$H,0))),"")</f>
        <v/>
      </c>
      <c r="H924" s="67" t="str">
        <f>IFERROR(IFERROR(INDEX(Кат!$I:$I,MATCH(Прайс!$B924,Кат!$G:$G,0)),INDEX(Торг!$I:$I,MATCH(Прайс!$B924,Торг!$H:$H,0))),"")</f>
        <v/>
      </c>
    </row>
    <row r="925" spans="1:8" ht="15.75" x14ac:dyDescent="0.25">
      <c r="A925" s="90"/>
      <c r="B925" s="91"/>
      <c r="C925" s="92" t="s">
        <v>625</v>
      </c>
      <c r="D925" s="91"/>
      <c r="E925" s="93"/>
      <c r="F925" s="67" t="str">
        <f>IFERROR(IFERROR(INDEX(Кат!$A:$A,MATCH(Прайс!$B925,Кат!$G:$G,0)),INDEX(Торг!$B:$B,MATCH(Прайс!$B925,Торг!$H:$H,0))),"")</f>
        <v/>
      </c>
      <c r="G925" s="67" t="str">
        <f>IFERROR(IFERROR(INDEX(Кат!$B:$B,MATCH(Прайс!$B925,Кат!$G:$G,0)),INDEX(Торг!$C:$C,MATCH(Прайс!$B925,Торг!$H:$H,0))),"")</f>
        <v/>
      </c>
      <c r="H925" s="67" t="str">
        <f>IFERROR(IFERROR(INDEX(Кат!$I:$I,MATCH(Прайс!$B925,Кат!$G:$G,0)),INDEX(Торг!$I:$I,MATCH(Прайс!$B925,Торг!$H:$H,0))),"")</f>
        <v/>
      </c>
    </row>
    <row r="926" spans="1:8" x14ac:dyDescent="0.25">
      <c r="A926" s="99" t="s">
        <v>2937</v>
      </c>
      <c r="B926" s="108">
        <v>50200</v>
      </c>
      <c r="C926" s="108" t="s">
        <v>626</v>
      </c>
      <c r="D926" s="101" t="s">
        <v>161</v>
      </c>
      <c r="E926" s="102">
        <v>750</v>
      </c>
      <c r="F926" s="67" t="str">
        <f>IFERROR(IFERROR(INDEX(Кат!$A:$A,MATCH(Прайс!$B926,Кат!$G:$G,0)),INDEX(Торг!$B:$B,MATCH(Прайс!$B926,Торг!$H:$H,0))),"")</f>
        <v/>
      </c>
      <c r="G926" s="67" t="str">
        <f>IFERROR(IFERROR(INDEX(Кат!$B:$B,MATCH(Прайс!$B926,Кат!$G:$G,0)),INDEX(Торг!$C:$C,MATCH(Прайс!$B926,Торг!$H:$H,0))),"")</f>
        <v/>
      </c>
      <c r="H926" s="67" t="str">
        <f>IFERROR(IFERROR(INDEX(Кат!$I:$I,MATCH(Прайс!$B926,Кат!$G:$G,0)),INDEX(Торг!$I:$I,MATCH(Прайс!$B926,Торг!$H:$H,0))),"")</f>
        <v/>
      </c>
    </row>
    <row r="927" spans="1:8" x14ac:dyDescent="0.25">
      <c r="A927" s="99" t="s">
        <v>5770</v>
      </c>
      <c r="B927" s="108">
        <v>50201</v>
      </c>
      <c r="C927" s="108" t="s">
        <v>8213</v>
      </c>
      <c r="D927" s="101" t="s">
        <v>160</v>
      </c>
      <c r="E927" s="102">
        <v>600</v>
      </c>
      <c r="F927" s="67" t="str">
        <f>IFERROR(IFERROR(INDEX(Кат!$A:$A,MATCH(Прайс!$B927,Кат!$G:$G,0)),INDEX(Торг!$B:$B,MATCH(Прайс!$B927,Торг!$H:$H,0))),"")</f>
        <v/>
      </c>
      <c r="G927" s="67" t="str">
        <f>IFERROR(IFERROR(INDEX(Кат!$B:$B,MATCH(Прайс!$B927,Кат!$G:$G,0)),INDEX(Торг!$C:$C,MATCH(Прайс!$B927,Торг!$H:$H,0))),"")</f>
        <v/>
      </c>
      <c r="H927" s="67" t="str">
        <f>IFERROR(IFERROR(INDEX(Кат!$I:$I,MATCH(Прайс!$B927,Кат!$G:$G,0)),INDEX(Торг!$I:$I,MATCH(Прайс!$B927,Торг!$H:$H,0))),"")</f>
        <v/>
      </c>
    </row>
    <row r="928" spans="1:8" x14ac:dyDescent="0.25">
      <c r="A928" s="99" t="s">
        <v>2938</v>
      </c>
      <c r="B928" s="108">
        <v>50454</v>
      </c>
      <c r="C928" s="108" t="s">
        <v>8214</v>
      </c>
      <c r="D928" s="101" t="s">
        <v>480</v>
      </c>
      <c r="E928" s="102">
        <v>550</v>
      </c>
      <c r="F928" s="67" t="str">
        <f>IFERROR(IFERROR(INDEX(Кат!$A:$A,MATCH(Прайс!$B928,Кат!$G:$G,0)),INDEX(Торг!$B:$B,MATCH(Прайс!$B928,Торг!$H:$H,0))),"")</f>
        <v/>
      </c>
      <c r="G928" s="67" t="str">
        <f>IFERROR(IFERROR(INDEX(Кат!$B:$B,MATCH(Прайс!$B928,Кат!$G:$G,0)),INDEX(Торг!$C:$C,MATCH(Прайс!$B928,Торг!$H:$H,0))),"")</f>
        <v/>
      </c>
      <c r="H928" s="67" t="str">
        <f>IFERROR(IFERROR(INDEX(Кат!$I:$I,MATCH(Прайс!$B928,Кат!$G:$G,0)),INDEX(Торг!$I:$I,MATCH(Прайс!$B928,Торг!$H:$H,0))),"")</f>
        <v/>
      </c>
    </row>
    <row r="929" spans="1:8" x14ac:dyDescent="0.25">
      <c r="A929" s="99" t="s">
        <v>2939</v>
      </c>
      <c r="B929" s="108">
        <v>50349</v>
      </c>
      <c r="C929" s="108" t="s">
        <v>8215</v>
      </c>
      <c r="D929" s="101" t="s">
        <v>480</v>
      </c>
      <c r="E929" s="102">
        <v>140</v>
      </c>
      <c r="F929" s="67" t="str">
        <f>IFERROR(IFERROR(INDEX(Кат!$A:$A,MATCH(Прайс!$B929,Кат!$G:$G,0)),INDEX(Торг!$B:$B,MATCH(Прайс!$B929,Торг!$H:$H,0))),"")</f>
        <v/>
      </c>
      <c r="G929" s="67" t="str">
        <f>IFERROR(IFERROR(INDEX(Кат!$B:$B,MATCH(Прайс!$B929,Кат!$G:$G,0)),INDEX(Торг!$C:$C,MATCH(Прайс!$B929,Торг!$H:$H,0))),"")</f>
        <v/>
      </c>
      <c r="H929" s="67" t="str">
        <f>IFERROR(IFERROR(INDEX(Кат!$I:$I,MATCH(Прайс!$B929,Кат!$G:$G,0)),INDEX(Торг!$I:$I,MATCH(Прайс!$B929,Торг!$H:$H,0))),"")</f>
        <v/>
      </c>
    </row>
    <row r="930" spans="1:8" x14ac:dyDescent="0.25">
      <c r="A930" s="94" t="s">
        <v>8216</v>
      </c>
      <c r="B930" s="98">
        <v>50712</v>
      </c>
      <c r="C930" s="98" t="s">
        <v>8217</v>
      </c>
      <c r="D930" s="96" t="s">
        <v>160</v>
      </c>
      <c r="E930" s="107">
        <v>1200</v>
      </c>
      <c r="F930" s="67" t="str">
        <f>IFERROR(IFERROR(INDEX(Кат!$A:$A,MATCH(Прайс!$B930,Кат!$G:$G,0)),INDEX(Торг!$B:$B,MATCH(Прайс!$B930,Торг!$H:$H,0))),"")</f>
        <v/>
      </c>
      <c r="G930" s="67" t="str">
        <f>IFERROR(IFERROR(INDEX(Кат!$B:$B,MATCH(Прайс!$B930,Кат!$G:$G,0)),INDEX(Торг!$C:$C,MATCH(Прайс!$B930,Торг!$H:$H,0))),"")</f>
        <v/>
      </c>
      <c r="H930" s="67" t="str">
        <f>IFERROR(IFERROR(INDEX(Кат!$I:$I,MATCH(Прайс!$B930,Кат!$G:$G,0)),INDEX(Торг!$I:$I,MATCH(Прайс!$B930,Торг!$H:$H,0))),"")</f>
        <v/>
      </c>
    </row>
    <row r="931" spans="1:8" x14ac:dyDescent="0.25">
      <c r="A931" s="99" t="s">
        <v>5773</v>
      </c>
      <c r="B931" s="108">
        <v>50623</v>
      </c>
      <c r="C931" s="108" t="s">
        <v>8218</v>
      </c>
      <c r="D931" s="101" t="s">
        <v>190</v>
      </c>
      <c r="E931" s="102">
        <v>480</v>
      </c>
      <c r="F931" s="67" t="str">
        <f>IFERROR(IFERROR(INDEX(Кат!$A:$A,MATCH(Прайс!$B931,Кат!$G:$G,0)),INDEX(Торг!$B:$B,MATCH(Прайс!$B931,Торг!$H:$H,0))),"")</f>
        <v/>
      </c>
      <c r="G931" s="67" t="str">
        <f>IFERROR(IFERROR(INDEX(Кат!$B:$B,MATCH(Прайс!$B931,Кат!$G:$G,0)),INDEX(Торг!$C:$C,MATCH(Прайс!$B931,Торг!$H:$H,0))),"")</f>
        <v/>
      </c>
      <c r="H931" s="67" t="str">
        <f>IFERROR(IFERROR(INDEX(Кат!$I:$I,MATCH(Прайс!$B931,Кат!$G:$G,0)),INDEX(Торг!$I:$I,MATCH(Прайс!$B931,Торг!$H:$H,0))),"")</f>
        <v/>
      </c>
    </row>
    <row r="932" spans="1:8" x14ac:dyDescent="0.25">
      <c r="A932" s="99" t="s">
        <v>5050</v>
      </c>
      <c r="B932" s="108">
        <v>50202</v>
      </c>
      <c r="C932" s="108" t="s">
        <v>6226</v>
      </c>
      <c r="D932" s="101" t="s">
        <v>480</v>
      </c>
      <c r="E932" s="102">
        <v>330</v>
      </c>
      <c r="F932" s="67" t="str">
        <f>IFERROR(IFERROR(INDEX(Кат!$A:$A,MATCH(Прайс!$B932,Кат!$G:$G,0)),INDEX(Торг!$B:$B,MATCH(Прайс!$B932,Торг!$H:$H,0))),"")</f>
        <v/>
      </c>
      <c r="G932" s="67" t="str">
        <f>IFERROR(IFERROR(INDEX(Кат!$B:$B,MATCH(Прайс!$B932,Кат!$G:$G,0)),INDEX(Торг!$C:$C,MATCH(Прайс!$B932,Торг!$H:$H,0))),"")</f>
        <v/>
      </c>
      <c r="H932" s="67" t="str">
        <f>IFERROR(IFERROR(INDEX(Кат!$I:$I,MATCH(Прайс!$B932,Кат!$G:$G,0)),INDEX(Торг!$I:$I,MATCH(Прайс!$B932,Торг!$H:$H,0))),"")</f>
        <v/>
      </c>
    </row>
    <row r="933" spans="1:8" x14ac:dyDescent="0.25">
      <c r="A933" s="99" t="s">
        <v>2940</v>
      </c>
      <c r="B933" s="108">
        <v>50203</v>
      </c>
      <c r="C933" s="108" t="s">
        <v>627</v>
      </c>
      <c r="D933" s="101" t="s">
        <v>162</v>
      </c>
      <c r="E933" s="114">
        <v>1000</v>
      </c>
      <c r="F933" s="67" t="str">
        <f>IFERROR(IFERROR(INDEX(Кат!$A:$A,MATCH(Прайс!$B933,Кат!$G:$G,0)),INDEX(Торг!$B:$B,MATCH(Прайс!$B933,Торг!$H:$H,0))),"")</f>
        <v/>
      </c>
      <c r="G933" s="67" t="str">
        <f>IFERROR(IFERROR(INDEX(Кат!$B:$B,MATCH(Прайс!$B933,Кат!$G:$G,0)),INDEX(Торг!$C:$C,MATCH(Прайс!$B933,Торг!$H:$H,0))),"")</f>
        <v/>
      </c>
      <c r="H933" s="67" t="str">
        <f>IFERROR(IFERROR(INDEX(Кат!$I:$I,MATCH(Прайс!$B933,Кат!$G:$G,0)),INDEX(Торг!$I:$I,MATCH(Прайс!$B933,Торг!$H:$H,0))),"")</f>
        <v/>
      </c>
    </row>
    <row r="934" spans="1:8" x14ac:dyDescent="0.25">
      <c r="A934" s="99" t="s">
        <v>5771</v>
      </c>
      <c r="B934" s="108">
        <v>50204</v>
      </c>
      <c r="C934" s="108" t="s">
        <v>5772</v>
      </c>
      <c r="D934" s="101" t="s">
        <v>628</v>
      </c>
      <c r="E934" s="114">
        <v>2300</v>
      </c>
      <c r="F934" s="67" t="str">
        <f>IFERROR(IFERROR(INDEX(Кат!$A:$A,MATCH(Прайс!$B934,Кат!$G:$G,0)),INDEX(Торг!$B:$B,MATCH(Прайс!$B934,Торг!$H:$H,0))),"")</f>
        <v/>
      </c>
      <c r="G934" s="67" t="str">
        <f>IFERROR(IFERROR(INDEX(Кат!$B:$B,MATCH(Прайс!$B934,Кат!$G:$G,0)),INDEX(Торг!$C:$C,MATCH(Прайс!$B934,Торг!$H:$H,0))),"")</f>
        <v/>
      </c>
      <c r="H934" s="67" t="str">
        <f>IFERROR(IFERROR(INDEX(Кат!$I:$I,MATCH(Прайс!$B934,Кат!$G:$G,0)),INDEX(Торг!$I:$I,MATCH(Прайс!$B934,Торг!$H:$H,0))),"")</f>
        <v/>
      </c>
    </row>
    <row r="935" spans="1:8" x14ac:dyDescent="0.25">
      <c r="A935" s="99" t="s">
        <v>2941</v>
      </c>
      <c r="B935" s="108">
        <v>50205</v>
      </c>
      <c r="C935" s="108" t="s">
        <v>629</v>
      </c>
      <c r="D935" s="101" t="s">
        <v>628</v>
      </c>
      <c r="E935" s="114">
        <v>3300</v>
      </c>
      <c r="F935" s="67" t="str">
        <f>IFERROR(IFERROR(INDEX(Кат!$A:$A,MATCH(Прайс!$B935,Кат!$G:$G,0)),INDEX(Торг!$B:$B,MATCH(Прайс!$B935,Торг!$H:$H,0))),"")</f>
        <v/>
      </c>
      <c r="G935" s="67" t="str">
        <f>IFERROR(IFERROR(INDEX(Кат!$B:$B,MATCH(Прайс!$B935,Кат!$G:$G,0)),INDEX(Торг!$C:$C,MATCH(Прайс!$B935,Торг!$H:$H,0))),"")</f>
        <v/>
      </c>
      <c r="H935" s="67" t="str">
        <f>IFERROR(IFERROR(INDEX(Кат!$I:$I,MATCH(Прайс!$B935,Кат!$G:$G,0)),INDEX(Торг!$I:$I,MATCH(Прайс!$B935,Торг!$H:$H,0))),"")</f>
        <v/>
      </c>
    </row>
    <row r="936" spans="1:8" x14ac:dyDescent="0.25">
      <c r="A936" s="99" t="s">
        <v>2942</v>
      </c>
      <c r="B936" s="108">
        <v>50421</v>
      </c>
      <c r="C936" s="108" t="s">
        <v>630</v>
      </c>
      <c r="D936" s="101" t="s">
        <v>480</v>
      </c>
      <c r="E936" s="114">
        <v>1000</v>
      </c>
      <c r="F936" s="67" t="str">
        <f>IFERROR(IFERROR(INDEX(Кат!$A:$A,MATCH(Прайс!$B936,Кат!$G:$G,0)),INDEX(Торг!$B:$B,MATCH(Прайс!$B936,Торг!$H:$H,0))),"")</f>
        <v/>
      </c>
      <c r="G936" s="67" t="str">
        <f>IFERROR(IFERROR(INDEX(Кат!$B:$B,MATCH(Прайс!$B936,Кат!$G:$G,0)),INDEX(Торг!$C:$C,MATCH(Прайс!$B936,Торг!$H:$H,0))),"")</f>
        <v/>
      </c>
      <c r="H936" s="67" t="str">
        <f>IFERROR(IFERROR(INDEX(Кат!$I:$I,MATCH(Прайс!$B936,Кат!$G:$G,0)),INDEX(Торг!$I:$I,MATCH(Прайс!$B936,Торг!$H:$H,0))),"")</f>
        <v/>
      </c>
    </row>
    <row r="937" spans="1:8" ht="15.75" x14ac:dyDescent="0.25">
      <c r="A937" s="90"/>
      <c r="B937" s="91"/>
      <c r="C937" s="92" t="s">
        <v>631</v>
      </c>
      <c r="D937" s="91"/>
      <c r="E937" s="93"/>
      <c r="F937" s="67" t="str">
        <f>IFERROR(IFERROR(INDEX(Кат!$A:$A,MATCH(Прайс!$B937,Кат!$G:$G,0)),INDEX(Торг!$B:$B,MATCH(Прайс!$B937,Торг!$H:$H,0))),"")</f>
        <v/>
      </c>
      <c r="G937" s="67" t="str">
        <f>IFERROR(IFERROR(INDEX(Кат!$B:$B,MATCH(Прайс!$B937,Кат!$G:$G,0)),INDEX(Торг!$C:$C,MATCH(Прайс!$B937,Торг!$H:$H,0))),"")</f>
        <v/>
      </c>
      <c r="H937" s="67" t="str">
        <f>IFERROR(IFERROR(INDEX(Кат!$I:$I,MATCH(Прайс!$B937,Кат!$G:$G,0)),INDEX(Торг!$I:$I,MATCH(Прайс!$B937,Торг!$H:$H,0))),"")</f>
        <v/>
      </c>
    </row>
    <row r="938" spans="1:8" x14ac:dyDescent="0.25">
      <c r="A938" s="103" t="s">
        <v>2943</v>
      </c>
      <c r="B938" s="104">
        <v>50484</v>
      </c>
      <c r="C938" s="104" t="s">
        <v>632</v>
      </c>
      <c r="D938" s="105" t="s">
        <v>190</v>
      </c>
      <c r="E938" s="113">
        <v>450</v>
      </c>
      <c r="F938" s="67" t="str">
        <f>IFERROR(IFERROR(INDEX(Кат!$A:$A,MATCH(Прайс!$B938,Кат!$G:$G,0)),INDEX(Торг!$B:$B,MATCH(Прайс!$B938,Торг!$H:$H,0))),"")</f>
        <v/>
      </c>
      <c r="G938" s="67" t="str">
        <f>IFERROR(IFERROR(INDEX(Кат!$B:$B,MATCH(Прайс!$B938,Кат!$G:$G,0)),INDEX(Торг!$C:$C,MATCH(Прайс!$B938,Торг!$H:$H,0))),"")</f>
        <v/>
      </c>
      <c r="H938" s="67" t="str">
        <f>IFERROR(IFERROR(INDEX(Кат!$I:$I,MATCH(Прайс!$B938,Кат!$G:$G,0)),INDEX(Торг!$I:$I,MATCH(Прайс!$B938,Торг!$H:$H,0))),"")</f>
        <v/>
      </c>
    </row>
    <row r="939" spans="1:8" x14ac:dyDescent="0.25">
      <c r="A939" s="94" t="s">
        <v>2944</v>
      </c>
      <c r="B939" s="98">
        <v>50352</v>
      </c>
      <c r="C939" s="98" t="s">
        <v>2083</v>
      </c>
      <c r="D939" s="96" t="s">
        <v>162</v>
      </c>
      <c r="E939" s="97">
        <v>450</v>
      </c>
      <c r="F939" s="67" t="str">
        <f>IFERROR(IFERROR(INDEX(Кат!$A:$A,MATCH(Прайс!$B939,Кат!$G:$G,0)),INDEX(Торг!$B:$B,MATCH(Прайс!$B939,Торг!$H:$H,0))),"")</f>
        <v/>
      </c>
      <c r="G939" s="67" t="str">
        <f>IFERROR(IFERROR(INDEX(Кат!$B:$B,MATCH(Прайс!$B939,Кат!$G:$G,0)),INDEX(Торг!$C:$C,MATCH(Прайс!$B939,Торг!$H:$H,0))),"")</f>
        <v/>
      </c>
      <c r="H939" s="67" t="str">
        <f>IFERROR(IFERROR(INDEX(Кат!$I:$I,MATCH(Прайс!$B939,Кат!$G:$G,0)),INDEX(Торг!$I:$I,MATCH(Прайс!$B939,Торг!$H:$H,0))),"")</f>
        <v/>
      </c>
    </row>
    <row r="940" spans="1:8" x14ac:dyDescent="0.25">
      <c r="A940" s="94" t="s">
        <v>6677</v>
      </c>
      <c r="B940" s="98">
        <v>50351</v>
      </c>
      <c r="C940" s="98" t="s">
        <v>6678</v>
      </c>
      <c r="D940" s="96" t="s">
        <v>162</v>
      </c>
      <c r="E940" s="97">
        <v>450</v>
      </c>
      <c r="F940" s="67" t="str">
        <f>IFERROR(IFERROR(INDEX(Кат!$A:$A,MATCH(Прайс!$B940,Кат!$G:$G,0)),INDEX(Торг!$B:$B,MATCH(Прайс!$B940,Торг!$H:$H,0))),"")</f>
        <v/>
      </c>
      <c r="G940" s="67" t="str">
        <f>IFERROR(IFERROR(INDEX(Кат!$B:$B,MATCH(Прайс!$B940,Кат!$G:$G,0)),INDEX(Торг!$C:$C,MATCH(Прайс!$B940,Торг!$H:$H,0))),"")</f>
        <v/>
      </c>
      <c r="H940" s="67" t="str">
        <f>IFERROR(IFERROR(INDEX(Кат!$I:$I,MATCH(Прайс!$B940,Кат!$G:$G,0)),INDEX(Торг!$I:$I,MATCH(Прайс!$B940,Торг!$H:$H,0))),"")</f>
        <v/>
      </c>
    </row>
    <row r="941" spans="1:8" x14ac:dyDescent="0.25">
      <c r="A941" s="94" t="s">
        <v>2945</v>
      </c>
      <c r="B941" s="98">
        <v>50206</v>
      </c>
      <c r="C941" s="98" t="s">
        <v>7488</v>
      </c>
      <c r="D941" s="96" t="s">
        <v>633</v>
      </c>
      <c r="E941" s="97">
        <v>450</v>
      </c>
      <c r="F941" s="67" t="str">
        <f>IFERROR(IFERROR(INDEX(Кат!$A:$A,MATCH(Прайс!$B941,Кат!$G:$G,0)),INDEX(Торг!$B:$B,MATCH(Прайс!$B941,Торг!$H:$H,0))),"")</f>
        <v/>
      </c>
      <c r="G941" s="67" t="str">
        <f>IFERROR(IFERROR(INDEX(Кат!$B:$B,MATCH(Прайс!$B941,Кат!$G:$G,0)),INDEX(Торг!$C:$C,MATCH(Прайс!$B941,Торг!$H:$H,0))),"")</f>
        <v/>
      </c>
      <c r="H941" s="67" t="str">
        <f>IFERROR(IFERROR(INDEX(Кат!$I:$I,MATCH(Прайс!$B941,Кат!$G:$G,0)),INDEX(Торг!$I:$I,MATCH(Прайс!$B941,Торг!$H:$H,0))),"")</f>
        <v/>
      </c>
    </row>
    <row r="942" spans="1:8" x14ac:dyDescent="0.25">
      <c r="A942" s="94" t="s">
        <v>2946</v>
      </c>
      <c r="B942" s="98">
        <v>50207</v>
      </c>
      <c r="C942" s="98" t="s">
        <v>634</v>
      </c>
      <c r="D942" s="96" t="s">
        <v>633</v>
      </c>
      <c r="E942" s="97">
        <v>450</v>
      </c>
      <c r="F942" s="67" t="str">
        <f>IFERROR(IFERROR(INDEX(Кат!$A:$A,MATCH(Прайс!$B942,Кат!$G:$G,0)),INDEX(Торг!$B:$B,MATCH(Прайс!$B942,Торг!$H:$H,0))),"")</f>
        <v/>
      </c>
      <c r="G942" s="67" t="str">
        <f>IFERROR(IFERROR(INDEX(Кат!$B:$B,MATCH(Прайс!$B942,Кат!$G:$G,0)),INDEX(Торг!$C:$C,MATCH(Прайс!$B942,Торг!$H:$H,0))),"")</f>
        <v/>
      </c>
      <c r="H942" s="67" t="str">
        <f>IFERROR(IFERROR(INDEX(Кат!$I:$I,MATCH(Прайс!$B942,Кат!$G:$G,0)),INDEX(Торг!$I:$I,MATCH(Прайс!$B942,Торг!$H:$H,0))),"")</f>
        <v/>
      </c>
    </row>
    <row r="943" spans="1:8" x14ac:dyDescent="0.25">
      <c r="A943" s="94" t="s">
        <v>6227</v>
      </c>
      <c r="B943" s="98">
        <v>50342</v>
      </c>
      <c r="C943" s="98" t="s">
        <v>6228</v>
      </c>
      <c r="D943" s="96" t="s">
        <v>161</v>
      </c>
      <c r="E943" s="97">
        <v>450</v>
      </c>
      <c r="F943" s="67" t="str">
        <f>IFERROR(IFERROR(INDEX(Кат!$A:$A,MATCH(Прайс!$B943,Кат!$G:$G,0)),INDEX(Торг!$B:$B,MATCH(Прайс!$B943,Торг!$H:$H,0))),"")</f>
        <v/>
      </c>
      <c r="G943" s="67" t="str">
        <f>IFERROR(IFERROR(INDEX(Кат!$B:$B,MATCH(Прайс!$B943,Кат!$G:$G,0)),INDEX(Торг!$C:$C,MATCH(Прайс!$B943,Торг!$H:$H,0))),"")</f>
        <v/>
      </c>
      <c r="H943" s="67" t="str">
        <f>IFERROR(IFERROR(INDEX(Кат!$I:$I,MATCH(Прайс!$B943,Кат!$G:$G,0)),INDEX(Торг!$I:$I,MATCH(Прайс!$B943,Торг!$H:$H,0))),"")</f>
        <v/>
      </c>
    </row>
    <row r="944" spans="1:8" x14ac:dyDescent="0.25">
      <c r="A944" s="94" t="s">
        <v>2947</v>
      </c>
      <c r="B944" s="98">
        <v>50345</v>
      </c>
      <c r="C944" s="98" t="s">
        <v>635</v>
      </c>
      <c r="D944" s="96" t="s">
        <v>162</v>
      </c>
      <c r="E944" s="97">
        <v>450</v>
      </c>
      <c r="F944" s="67" t="str">
        <f>IFERROR(IFERROR(INDEX(Кат!$A:$A,MATCH(Прайс!$B944,Кат!$G:$G,0)),INDEX(Торг!$B:$B,MATCH(Прайс!$B944,Торг!$H:$H,0))),"")</f>
        <v/>
      </c>
      <c r="G944" s="67" t="str">
        <f>IFERROR(IFERROR(INDEX(Кат!$B:$B,MATCH(Прайс!$B944,Кат!$G:$G,0)),INDEX(Торг!$C:$C,MATCH(Прайс!$B944,Торг!$H:$H,0))),"")</f>
        <v/>
      </c>
      <c r="H944" s="67" t="str">
        <f>IFERROR(IFERROR(INDEX(Кат!$I:$I,MATCH(Прайс!$B944,Кат!$G:$G,0)),INDEX(Торг!$I:$I,MATCH(Прайс!$B944,Торг!$H:$H,0))),"")</f>
        <v/>
      </c>
    </row>
    <row r="945" spans="1:8" x14ac:dyDescent="0.25">
      <c r="A945" s="94" t="s">
        <v>6229</v>
      </c>
      <c r="B945" s="98">
        <v>50344</v>
      </c>
      <c r="C945" s="98" t="s">
        <v>6230</v>
      </c>
      <c r="D945" s="96" t="s">
        <v>162</v>
      </c>
      <c r="E945" s="97">
        <v>450</v>
      </c>
      <c r="F945" s="67" t="str">
        <f>IFERROR(IFERROR(INDEX(Кат!$A:$A,MATCH(Прайс!$B945,Кат!$G:$G,0)),INDEX(Торг!$B:$B,MATCH(Прайс!$B945,Торг!$H:$H,0))),"")</f>
        <v/>
      </c>
      <c r="G945" s="67" t="str">
        <f>IFERROR(IFERROR(INDEX(Кат!$B:$B,MATCH(Прайс!$B945,Кат!$G:$G,0)),INDEX(Торг!$C:$C,MATCH(Прайс!$B945,Торг!$H:$H,0))),"")</f>
        <v/>
      </c>
      <c r="H945" s="67" t="str">
        <f>IFERROR(IFERROR(INDEX(Кат!$I:$I,MATCH(Прайс!$B945,Кат!$G:$G,0)),INDEX(Торг!$I:$I,MATCH(Прайс!$B945,Торг!$H:$H,0))),"")</f>
        <v/>
      </c>
    </row>
    <row r="946" spans="1:8" x14ac:dyDescent="0.25">
      <c r="A946" s="94" t="s">
        <v>2948</v>
      </c>
      <c r="B946" s="98">
        <v>50394</v>
      </c>
      <c r="C946" s="98" t="s">
        <v>636</v>
      </c>
      <c r="D946" s="96" t="s">
        <v>162</v>
      </c>
      <c r="E946" s="97">
        <v>450</v>
      </c>
      <c r="F946" s="67" t="str">
        <f>IFERROR(IFERROR(INDEX(Кат!$A:$A,MATCH(Прайс!$B946,Кат!$G:$G,0)),INDEX(Торг!$B:$B,MATCH(Прайс!$B946,Торг!$H:$H,0))),"")</f>
        <v/>
      </c>
      <c r="G946" s="67" t="str">
        <f>IFERROR(IFERROR(INDEX(Кат!$B:$B,MATCH(Прайс!$B946,Кат!$G:$G,0)),INDEX(Торг!$C:$C,MATCH(Прайс!$B946,Торг!$H:$H,0))),"")</f>
        <v/>
      </c>
      <c r="H946" s="67" t="str">
        <f>IFERROR(IFERROR(INDEX(Кат!$I:$I,MATCH(Прайс!$B946,Кат!$G:$G,0)),INDEX(Торг!$I:$I,MATCH(Прайс!$B946,Торг!$H:$H,0))),"")</f>
        <v/>
      </c>
    </row>
    <row r="947" spans="1:8" x14ac:dyDescent="0.25">
      <c r="A947" s="94" t="s">
        <v>2949</v>
      </c>
      <c r="B947" s="98">
        <v>50506</v>
      </c>
      <c r="C947" s="98" t="s">
        <v>637</v>
      </c>
      <c r="D947" s="96" t="s">
        <v>162</v>
      </c>
      <c r="E947" s="97">
        <v>450</v>
      </c>
      <c r="F947" s="67" t="str">
        <f>IFERROR(IFERROR(INDEX(Кат!$A:$A,MATCH(Прайс!$B947,Кат!$G:$G,0)),INDEX(Торг!$B:$B,MATCH(Прайс!$B947,Торг!$H:$H,0))),"")</f>
        <v/>
      </c>
      <c r="G947" s="67" t="str">
        <f>IFERROR(IFERROR(INDEX(Кат!$B:$B,MATCH(Прайс!$B947,Кат!$G:$G,0)),INDEX(Торг!$C:$C,MATCH(Прайс!$B947,Торг!$H:$H,0))),"")</f>
        <v/>
      </c>
      <c r="H947" s="67" t="str">
        <f>IFERROR(IFERROR(INDEX(Кат!$I:$I,MATCH(Прайс!$B947,Кат!$G:$G,0)),INDEX(Торг!$I:$I,MATCH(Прайс!$B947,Торг!$H:$H,0))),"")</f>
        <v/>
      </c>
    </row>
    <row r="948" spans="1:8" x14ac:dyDescent="0.25">
      <c r="A948" s="94" t="s">
        <v>2950</v>
      </c>
      <c r="B948" s="98">
        <v>50208</v>
      </c>
      <c r="C948" s="98" t="s">
        <v>638</v>
      </c>
      <c r="D948" s="96" t="s">
        <v>633</v>
      </c>
      <c r="E948" s="97">
        <v>450</v>
      </c>
      <c r="F948" s="67" t="str">
        <f>IFERROR(IFERROR(INDEX(Кат!$A:$A,MATCH(Прайс!$B948,Кат!$G:$G,0)),INDEX(Торг!$B:$B,MATCH(Прайс!$B948,Торг!$H:$H,0))),"")</f>
        <v/>
      </c>
      <c r="G948" s="67" t="str">
        <f>IFERROR(IFERROR(INDEX(Кат!$B:$B,MATCH(Прайс!$B948,Кат!$G:$G,0)),INDEX(Торг!$C:$C,MATCH(Прайс!$B948,Торг!$H:$H,0))),"")</f>
        <v/>
      </c>
      <c r="H948" s="67" t="str">
        <f>IFERROR(IFERROR(INDEX(Кат!$I:$I,MATCH(Прайс!$B948,Кат!$G:$G,0)),INDEX(Торг!$I:$I,MATCH(Прайс!$B948,Торг!$H:$H,0))),"")</f>
        <v/>
      </c>
    </row>
    <row r="949" spans="1:8" x14ac:dyDescent="0.25">
      <c r="A949" s="94" t="s">
        <v>2951</v>
      </c>
      <c r="B949" s="98">
        <v>50343</v>
      </c>
      <c r="C949" s="98" t="s">
        <v>6679</v>
      </c>
      <c r="D949" s="96" t="s">
        <v>162</v>
      </c>
      <c r="E949" s="97">
        <v>450</v>
      </c>
      <c r="F949" s="67" t="str">
        <f>IFERROR(IFERROR(INDEX(Кат!$A:$A,MATCH(Прайс!$B949,Кат!$G:$G,0)),INDEX(Торг!$B:$B,MATCH(Прайс!$B949,Торг!$H:$H,0))),"")</f>
        <v/>
      </c>
      <c r="G949" s="67" t="str">
        <f>IFERROR(IFERROR(INDEX(Кат!$B:$B,MATCH(Прайс!$B949,Кат!$G:$G,0)),INDEX(Торг!$C:$C,MATCH(Прайс!$B949,Торг!$H:$H,0))),"")</f>
        <v/>
      </c>
      <c r="H949" s="67" t="str">
        <f>IFERROR(IFERROR(INDEX(Кат!$I:$I,MATCH(Прайс!$B949,Кат!$G:$G,0)),INDEX(Торг!$I:$I,MATCH(Прайс!$B949,Торг!$H:$H,0))),"")</f>
        <v/>
      </c>
    </row>
    <row r="950" spans="1:8" x14ac:dyDescent="0.25">
      <c r="A950" s="94" t="s">
        <v>6231</v>
      </c>
      <c r="B950" s="98">
        <v>50209</v>
      </c>
      <c r="C950" s="98" t="s">
        <v>6680</v>
      </c>
      <c r="D950" s="96" t="s">
        <v>633</v>
      </c>
      <c r="E950" s="97">
        <v>450</v>
      </c>
      <c r="F950" s="67" t="str">
        <f>IFERROR(IFERROR(INDEX(Кат!$A:$A,MATCH(Прайс!$B950,Кат!$G:$G,0)),INDEX(Торг!$B:$B,MATCH(Прайс!$B950,Торг!$H:$H,0))),"")</f>
        <v/>
      </c>
      <c r="G950" s="67" t="str">
        <f>IFERROR(IFERROR(INDEX(Кат!$B:$B,MATCH(Прайс!$B950,Кат!$G:$G,0)),INDEX(Торг!$C:$C,MATCH(Прайс!$B950,Торг!$H:$H,0))),"")</f>
        <v/>
      </c>
      <c r="H950" s="67" t="str">
        <f>IFERROR(IFERROR(INDEX(Кат!$I:$I,MATCH(Прайс!$B950,Кат!$G:$G,0)),INDEX(Торг!$I:$I,MATCH(Прайс!$B950,Торг!$H:$H,0))),"")</f>
        <v/>
      </c>
    </row>
    <row r="951" spans="1:8" x14ac:dyDescent="0.25">
      <c r="A951" s="94" t="s">
        <v>5414</v>
      </c>
      <c r="B951" s="98">
        <v>50618</v>
      </c>
      <c r="C951" s="98" t="s">
        <v>5415</v>
      </c>
      <c r="D951" s="96" t="s">
        <v>162</v>
      </c>
      <c r="E951" s="97">
        <v>450</v>
      </c>
      <c r="F951" s="67" t="str">
        <f>IFERROR(IFERROR(INDEX(Кат!$A:$A,MATCH(Прайс!$B951,Кат!$G:$G,0)),INDEX(Торг!$B:$B,MATCH(Прайс!$B951,Торг!$H:$H,0))),"")</f>
        <v/>
      </c>
      <c r="G951" s="67" t="str">
        <f>IFERROR(IFERROR(INDEX(Кат!$B:$B,MATCH(Прайс!$B951,Кат!$G:$G,0)),INDEX(Торг!$C:$C,MATCH(Прайс!$B951,Торг!$H:$H,0))),"")</f>
        <v/>
      </c>
      <c r="H951" s="67" t="str">
        <f>IFERROR(IFERROR(INDEX(Кат!$I:$I,MATCH(Прайс!$B951,Кат!$G:$G,0)),INDEX(Торг!$I:$I,MATCH(Прайс!$B951,Торг!$H:$H,0))),"")</f>
        <v/>
      </c>
    </row>
    <row r="952" spans="1:8" x14ac:dyDescent="0.25">
      <c r="A952" s="94" t="s">
        <v>2952</v>
      </c>
      <c r="B952" s="98">
        <v>50393</v>
      </c>
      <c r="C952" s="98" t="s">
        <v>639</v>
      </c>
      <c r="D952" s="96" t="s">
        <v>162</v>
      </c>
      <c r="E952" s="97">
        <v>450</v>
      </c>
      <c r="F952" s="67" t="str">
        <f>IFERROR(IFERROR(INDEX(Кат!$A:$A,MATCH(Прайс!$B952,Кат!$G:$G,0)),INDEX(Торг!$B:$B,MATCH(Прайс!$B952,Торг!$H:$H,0))),"")</f>
        <v/>
      </c>
      <c r="G952" s="67" t="str">
        <f>IFERROR(IFERROR(INDEX(Кат!$B:$B,MATCH(Прайс!$B952,Кат!$G:$G,0)),INDEX(Торг!$C:$C,MATCH(Прайс!$B952,Торг!$H:$H,0))),"")</f>
        <v/>
      </c>
      <c r="H952" s="67" t="str">
        <f>IFERROR(IFERROR(INDEX(Кат!$I:$I,MATCH(Прайс!$B952,Кат!$G:$G,0)),INDEX(Торг!$I:$I,MATCH(Прайс!$B952,Торг!$H:$H,0))),"")</f>
        <v/>
      </c>
    </row>
    <row r="953" spans="1:8" x14ac:dyDescent="0.25">
      <c r="A953" s="94" t="s">
        <v>6681</v>
      </c>
      <c r="B953" s="98">
        <v>50624</v>
      </c>
      <c r="C953" s="98" t="s">
        <v>6682</v>
      </c>
      <c r="D953" s="96" t="s">
        <v>162</v>
      </c>
      <c r="E953" s="97">
        <v>450</v>
      </c>
      <c r="F953" s="67" t="str">
        <f>IFERROR(IFERROR(INDEX(Кат!$A:$A,MATCH(Прайс!$B953,Кат!$G:$G,0)),INDEX(Торг!$B:$B,MATCH(Прайс!$B953,Торг!$H:$H,0))),"")</f>
        <v/>
      </c>
      <c r="G953" s="67" t="str">
        <f>IFERROR(IFERROR(INDEX(Кат!$B:$B,MATCH(Прайс!$B953,Кат!$G:$G,0)),INDEX(Торг!$C:$C,MATCH(Прайс!$B953,Торг!$H:$H,0))),"")</f>
        <v/>
      </c>
      <c r="H953" s="67" t="str">
        <f>IFERROR(IFERROR(INDEX(Кат!$I:$I,MATCH(Прайс!$B953,Кат!$G:$G,0)),INDEX(Торг!$I:$I,MATCH(Прайс!$B953,Торг!$H:$H,0))),"")</f>
        <v/>
      </c>
    </row>
    <row r="954" spans="1:8" x14ac:dyDescent="0.25">
      <c r="A954" s="94" t="s">
        <v>2953</v>
      </c>
      <c r="B954" s="98">
        <v>50210</v>
      </c>
      <c r="C954" s="98" t="s">
        <v>6683</v>
      </c>
      <c r="D954" s="96" t="s">
        <v>633</v>
      </c>
      <c r="E954" s="97">
        <v>450</v>
      </c>
      <c r="F954" s="67" t="str">
        <f>IFERROR(IFERROR(INDEX(Кат!$A:$A,MATCH(Прайс!$B954,Кат!$G:$G,0)),INDEX(Торг!$B:$B,MATCH(Прайс!$B954,Торг!$H:$H,0))),"")</f>
        <v/>
      </c>
      <c r="G954" s="67" t="str">
        <f>IFERROR(IFERROR(INDEX(Кат!$B:$B,MATCH(Прайс!$B954,Кат!$G:$G,0)),INDEX(Торг!$C:$C,MATCH(Прайс!$B954,Торг!$H:$H,0))),"")</f>
        <v/>
      </c>
      <c r="H954" s="67" t="str">
        <f>IFERROR(IFERROR(INDEX(Кат!$I:$I,MATCH(Прайс!$B954,Кат!$G:$G,0)),INDEX(Торг!$I:$I,MATCH(Прайс!$B954,Торг!$H:$H,0))),"")</f>
        <v/>
      </c>
    </row>
    <row r="955" spans="1:8" x14ac:dyDescent="0.25">
      <c r="A955" s="94" t="s">
        <v>2954</v>
      </c>
      <c r="B955" s="98">
        <v>50211</v>
      </c>
      <c r="C955" s="98" t="s">
        <v>640</v>
      </c>
      <c r="D955" s="96" t="s">
        <v>633</v>
      </c>
      <c r="E955" s="97">
        <v>450</v>
      </c>
      <c r="F955" s="67" t="str">
        <f>IFERROR(IFERROR(INDEX(Кат!$A:$A,MATCH(Прайс!$B955,Кат!$G:$G,0)),INDEX(Торг!$B:$B,MATCH(Прайс!$B955,Торг!$H:$H,0))),"")</f>
        <v/>
      </c>
      <c r="G955" s="67" t="str">
        <f>IFERROR(IFERROR(INDEX(Кат!$B:$B,MATCH(Прайс!$B955,Кат!$G:$G,0)),INDEX(Торг!$C:$C,MATCH(Прайс!$B955,Торг!$H:$H,0))),"")</f>
        <v/>
      </c>
      <c r="H955" s="67" t="str">
        <f>IFERROR(IFERROR(INDEX(Кат!$I:$I,MATCH(Прайс!$B955,Кат!$G:$G,0)),INDEX(Торг!$I:$I,MATCH(Прайс!$B955,Торг!$H:$H,0))),"")</f>
        <v/>
      </c>
    </row>
    <row r="956" spans="1:8" x14ac:dyDescent="0.25">
      <c r="A956" s="94" t="s">
        <v>2955</v>
      </c>
      <c r="B956" s="98">
        <v>50548</v>
      </c>
      <c r="C956" s="98" t="s">
        <v>641</v>
      </c>
      <c r="D956" s="96" t="s">
        <v>162</v>
      </c>
      <c r="E956" s="97">
        <v>450</v>
      </c>
      <c r="F956" s="67" t="str">
        <f>IFERROR(IFERROR(INDEX(Кат!$A:$A,MATCH(Прайс!$B956,Кат!$G:$G,0)),INDEX(Торг!$B:$B,MATCH(Прайс!$B956,Торг!$H:$H,0))),"")</f>
        <v/>
      </c>
      <c r="G956" s="67" t="str">
        <f>IFERROR(IFERROR(INDEX(Кат!$B:$B,MATCH(Прайс!$B956,Кат!$G:$G,0)),INDEX(Торг!$C:$C,MATCH(Прайс!$B956,Торг!$H:$H,0))),"")</f>
        <v/>
      </c>
      <c r="H956" s="67" t="str">
        <f>IFERROR(IFERROR(INDEX(Кат!$I:$I,MATCH(Прайс!$B956,Кат!$G:$G,0)),INDEX(Торг!$I:$I,MATCH(Прайс!$B956,Торг!$H:$H,0))),"")</f>
        <v/>
      </c>
    </row>
    <row r="957" spans="1:8" x14ac:dyDescent="0.25">
      <c r="A957" s="94" t="s">
        <v>7489</v>
      </c>
      <c r="B957" s="98">
        <v>50705</v>
      </c>
      <c r="C957" s="98" t="s">
        <v>7490</v>
      </c>
      <c r="D957" s="96" t="s">
        <v>162</v>
      </c>
      <c r="E957" s="97">
        <v>450</v>
      </c>
      <c r="F957" s="67" t="str">
        <f>IFERROR(IFERROR(INDEX(Кат!$A:$A,MATCH(Прайс!$B957,Кат!$G:$G,0)),INDEX(Торг!$B:$B,MATCH(Прайс!$B957,Торг!$H:$H,0))),"")</f>
        <v/>
      </c>
      <c r="G957" s="67" t="str">
        <f>IFERROR(IFERROR(INDEX(Кат!$B:$B,MATCH(Прайс!$B957,Кат!$G:$G,0)),INDEX(Торг!$C:$C,MATCH(Прайс!$B957,Торг!$H:$H,0))),"")</f>
        <v/>
      </c>
      <c r="H957" s="67" t="str">
        <f>IFERROR(IFERROR(INDEX(Кат!$I:$I,MATCH(Прайс!$B957,Кат!$G:$G,0)),INDEX(Торг!$I:$I,MATCH(Прайс!$B957,Торг!$H:$H,0))),"")</f>
        <v/>
      </c>
    </row>
    <row r="958" spans="1:8" x14ac:dyDescent="0.25">
      <c r="A958" s="94" t="s">
        <v>2956</v>
      </c>
      <c r="B958" s="98">
        <v>50549</v>
      </c>
      <c r="C958" s="98" t="s">
        <v>7491</v>
      </c>
      <c r="D958" s="96" t="s">
        <v>162</v>
      </c>
      <c r="E958" s="97">
        <v>450</v>
      </c>
      <c r="F958" s="67" t="str">
        <f>IFERROR(IFERROR(INDEX(Кат!$A:$A,MATCH(Прайс!$B958,Кат!$G:$G,0)),INDEX(Торг!$B:$B,MATCH(Прайс!$B958,Торг!$H:$H,0))),"")</f>
        <v/>
      </c>
      <c r="G958" s="67" t="str">
        <f>IFERROR(IFERROR(INDEX(Кат!$B:$B,MATCH(Прайс!$B958,Кат!$G:$G,0)),INDEX(Торг!$C:$C,MATCH(Прайс!$B958,Торг!$H:$H,0))),"")</f>
        <v/>
      </c>
      <c r="H958" s="67" t="str">
        <f>IFERROR(IFERROR(INDEX(Кат!$I:$I,MATCH(Прайс!$B958,Кат!$G:$G,0)),INDEX(Торг!$I:$I,MATCH(Прайс!$B958,Торг!$H:$H,0))),"")</f>
        <v/>
      </c>
    </row>
    <row r="959" spans="1:8" x14ac:dyDescent="0.25">
      <c r="A959" s="94" t="s">
        <v>6684</v>
      </c>
      <c r="B959" s="98">
        <v>50636</v>
      </c>
      <c r="C959" s="98" t="s">
        <v>6685</v>
      </c>
      <c r="D959" s="96" t="s">
        <v>162</v>
      </c>
      <c r="E959" s="97">
        <v>450</v>
      </c>
      <c r="F959" s="67" t="str">
        <f>IFERROR(IFERROR(INDEX(Кат!$A:$A,MATCH(Прайс!$B959,Кат!$G:$G,0)),INDEX(Торг!$B:$B,MATCH(Прайс!$B959,Торг!$H:$H,0))),"")</f>
        <v/>
      </c>
      <c r="G959" s="67" t="str">
        <f>IFERROR(IFERROR(INDEX(Кат!$B:$B,MATCH(Прайс!$B959,Кат!$G:$G,0)),INDEX(Торг!$C:$C,MATCH(Прайс!$B959,Торг!$H:$H,0))),"")</f>
        <v/>
      </c>
      <c r="H959" s="67" t="str">
        <f>IFERROR(IFERROR(INDEX(Кат!$I:$I,MATCH(Прайс!$B959,Кат!$G:$G,0)),INDEX(Торг!$I:$I,MATCH(Прайс!$B959,Торг!$H:$H,0))),"")</f>
        <v/>
      </c>
    </row>
    <row r="960" spans="1:8" x14ac:dyDescent="0.25">
      <c r="A960" s="94" t="s">
        <v>2957</v>
      </c>
      <c r="B960" s="98">
        <v>50212</v>
      </c>
      <c r="C960" s="98" t="s">
        <v>642</v>
      </c>
      <c r="D960" s="96" t="s">
        <v>190</v>
      </c>
      <c r="E960" s="97">
        <v>240</v>
      </c>
      <c r="F960" s="67" t="str">
        <f>IFERROR(IFERROR(INDEX(Кат!$A:$A,MATCH(Прайс!$B960,Кат!$G:$G,0)),INDEX(Торг!$B:$B,MATCH(Прайс!$B960,Торг!$H:$H,0))),"")</f>
        <v/>
      </c>
      <c r="G960" s="67" t="str">
        <f>IFERROR(IFERROR(INDEX(Кат!$B:$B,MATCH(Прайс!$B960,Кат!$G:$G,0)),INDEX(Торг!$C:$C,MATCH(Прайс!$B960,Торг!$H:$H,0))),"")</f>
        <v/>
      </c>
      <c r="H960" s="67" t="str">
        <f>IFERROR(IFERROR(INDEX(Кат!$I:$I,MATCH(Прайс!$B960,Кат!$G:$G,0)),INDEX(Торг!$I:$I,MATCH(Прайс!$B960,Торг!$H:$H,0))),"")</f>
        <v/>
      </c>
    </row>
    <row r="961" spans="1:8" ht="15.75" x14ac:dyDescent="0.25">
      <c r="A961" s="90"/>
      <c r="B961" s="91"/>
      <c r="C961" s="92" t="s">
        <v>643</v>
      </c>
      <c r="D961" s="91"/>
      <c r="E961" s="93"/>
      <c r="F961" s="67" t="str">
        <f>IFERROR(IFERROR(INDEX(Кат!$A:$A,MATCH(Прайс!$B961,Кат!$G:$G,0)),INDEX(Торг!$B:$B,MATCH(Прайс!$B961,Торг!$H:$H,0))),"")</f>
        <v/>
      </c>
      <c r="G961" s="67" t="str">
        <f>IFERROR(IFERROR(INDEX(Кат!$B:$B,MATCH(Прайс!$B961,Кат!$G:$G,0)),INDEX(Торг!$C:$C,MATCH(Прайс!$B961,Торг!$H:$H,0))),"")</f>
        <v/>
      </c>
      <c r="H961" s="67" t="str">
        <f>IFERROR(IFERROR(INDEX(Кат!$I:$I,MATCH(Прайс!$B961,Кат!$G:$G,0)),INDEX(Торг!$I:$I,MATCH(Прайс!$B961,Торг!$H:$H,0))),"")</f>
        <v/>
      </c>
    </row>
    <row r="962" spans="1:8" x14ac:dyDescent="0.25">
      <c r="A962" s="103" t="s">
        <v>5774</v>
      </c>
      <c r="B962" s="104">
        <v>50585</v>
      </c>
      <c r="C962" s="104" t="s">
        <v>5775</v>
      </c>
      <c r="D962" s="105" t="s">
        <v>190</v>
      </c>
      <c r="E962" s="113">
        <v>200</v>
      </c>
      <c r="F962" s="67" t="str">
        <f>IFERROR(IFERROR(INDEX(Кат!$A:$A,MATCH(Прайс!$B962,Кат!$G:$G,0)),INDEX(Торг!$B:$B,MATCH(Прайс!$B962,Торг!$H:$H,0))),"")</f>
        <v/>
      </c>
      <c r="G962" s="67" t="str">
        <f>IFERROR(IFERROR(INDEX(Кат!$B:$B,MATCH(Прайс!$B962,Кат!$G:$G,0)),INDEX(Торг!$C:$C,MATCH(Прайс!$B962,Торг!$H:$H,0))),"")</f>
        <v/>
      </c>
      <c r="H962" s="67" t="str">
        <f>IFERROR(IFERROR(INDEX(Кат!$I:$I,MATCH(Прайс!$B962,Кат!$G:$G,0)),INDEX(Торг!$I:$I,MATCH(Прайс!$B962,Торг!$H:$H,0))),"")</f>
        <v/>
      </c>
    </row>
    <row r="963" spans="1:8" x14ac:dyDescent="0.25">
      <c r="A963" s="103" t="s">
        <v>6686</v>
      </c>
      <c r="B963" s="104">
        <v>50366</v>
      </c>
      <c r="C963" s="104" t="s">
        <v>6687</v>
      </c>
      <c r="D963" s="105" t="s">
        <v>190</v>
      </c>
      <c r="E963" s="113">
        <v>200</v>
      </c>
      <c r="F963" s="67" t="str">
        <f>IFERROR(IFERROR(INDEX(Кат!$A:$A,MATCH(Прайс!$B963,Кат!$G:$G,0)),INDEX(Торг!$B:$B,MATCH(Прайс!$B963,Торг!$H:$H,0))),"")</f>
        <v/>
      </c>
      <c r="G963" s="67" t="str">
        <f>IFERROR(IFERROR(INDEX(Кат!$B:$B,MATCH(Прайс!$B963,Кат!$G:$G,0)),INDEX(Торг!$C:$C,MATCH(Прайс!$B963,Торг!$H:$H,0))),"")</f>
        <v/>
      </c>
      <c r="H963" s="67" t="str">
        <f>IFERROR(IFERROR(INDEX(Кат!$I:$I,MATCH(Прайс!$B963,Кат!$G:$G,0)),INDEX(Торг!$I:$I,MATCH(Прайс!$B963,Торг!$H:$H,0))),"")</f>
        <v/>
      </c>
    </row>
    <row r="964" spans="1:8" x14ac:dyDescent="0.25">
      <c r="A964" s="99" t="s">
        <v>7492</v>
      </c>
      <c r="B964" s="108">
        <v>50329</v>
      </c>
      <c r="C964" s="108" t="s">
        <v>7493</v>
      </c>
      <c r="D964" s="101" t="s">
        <v>480</v>
      </c>
      <c r="E964" s="102">
        <v>290</v>
      </c>
      <c r="F964" s="67" t="str">
        <f>IFERROR(IFERROR(INDEX(Кат!$A:$A,MATCH(Прайс!$B964,Кат!$G:$G,0)),INDEX(Торг!$B:$B,MATCH(Прайс!$B964,Торг!$H:$H,0))),"")</f>
        <v/>
      </c>
      <c r="G964" s="67" t="str">
        <f>IFERROR(IFERROR(INDEX(Кат!$B:$B,MATCH(Прайс!$B964,Кат!$G:$G,0)),INDEX(Торг!$C:$C,MATCH(Прайс!$B964,Торг!$H:$H,0))),"")</f>
        <v/>
      </c>
      <c r="H964" s="67" t="str">
        <f>IFERROR(IFERROR(INDEX(Кат!$I:$I,MATCH(Прайс!$B964,Кат!$G:$G,0)),INDEX(Торг!$I:$I,MATCH(Прайс!$B964,Торг!$H:$H,0))),"")</f>
        <v/>
      </c>
    </row>
    <row r="965" spans="1:8" x14ac:dyDescent="0.25">
      <c r="A965" s="99" t="s">
        <v>7494</v>
      </c>
      <c r="B965" s="108">
        <v>50354</v>
      </c>
      <c r="C965" s="108" t="s">
        <v>7495</v>
      </c>
      <c r="D965" s="101" t="s">
        <v>480</v>
      </c>
      <c r="E965" s="102">
        <v>290</v>
      </c>
      <c r="F965" s="67" t="str">
        <f>IFERROR(IFERROR(INDEX(Кат!$A:$A,MATCH(Прайс!$B965,Кат!$G:$G,0)),INDEX(Торг!$B:$B,MATCH(Прайс!$B965,Торг!$H:$H,0))),"")</f>
        <v/>
      </c>
      <c r="G965" s="67" t="str">
        <f>IFERROR(IFERROR(INDEX(Кат!$B:$B,MATCH(Прайс!$B965,Кат!$G:$G,0)),INDEX(Торг!$C:$C,MATCH(Прайс!$B965,Торг!$H:$H,0))),"")</f>
        <v/>
      </c>
      <c r="H965" s="67" t="str">
        <f>IFERROR(IFERROR(INDEX(Кат!$I:$I,MATCH(Прайс!$B965,Кат!$G:$G,0)),INDEX(Торг!$I:$I,MATCH(Прайс!$B965,Торг!$H:$H,0))),"")</f>
        <v/>
      </c>
    </row>
    <row r="966" spans="1:8" x14ac:dyDescent="0.25">
      <c r="A966" s="99" t="s">
        <v>6232</v>
      </c>
      <c r="B966" s="108">
        <v>50333</v>
      </c>
      <c r="C966" s="108" t="s">
        <v>6233</v>
      </c>
      <c r="D966" s="101" t="s">
        <v>480</v>
      </c>
      <c r="E966" s="102">
        <v>290</v>
      </c>
      <c r="F966" s="67" t="str">
        <f>IFERROR(IFERROR(INDEX(Кат!$A:$A,MATCH(Прайс!$B966,Кат!$G:$G,0)),INDEX(Торг!$B:$B,MATCH(Прайс!$B966,Торг!$H:$H,0))),"")</f>
        <v/>
      </c>
      <c r="G966" s="67" t="str">
        <f>IFERROR(IFERROR(INDEX(Кат!$B:$B,MATCH(Прайс!$B966,Кат!$G:$G,0)),INDEX(Торг!$C:$C,MATCH(Прайс!$B966,Торг!$H:$H,0))),"")</f>
        <v/>
      </c>
      <c r="H966" s="67" t="str">
        <f>IFERROR(IFERROR(INDEX(Кат!$I:$I,MATCH(Прайс!$B966,Кат!$G:$G,0)),INDEX(Торг!$I:$I,MATCH(Прайс!$B966,Торг!$H:$H,0))),"")</f>
        <v/>
      </c>
    </row>
    <row r="967" spans="1:8" x14ac:dyDescent="0.25">
      <c r="A967" s="99" t="s">
        <v>2958</v>
      </c>
      <c r="B967" s="108">
        <v>50284</v>
      </c>
      <c r="C967" s="108" t="s">
        <v>644</v>
      </c>
      <c r="D967" s="101" t="s">
        <v>584</v>
      </c>
      <c r="E967" s="102">
        <v>290</v>
      </c>
      <c r="F967" s="67" t="str">
        <f>IFERROR(IFERROR(INDEX(Кат!$A:$A,MATCH(Прайс!$B967,Кат!$G:$G,0)),INDEX(Торг!$B:$B,MATCH(Прайс!$B967,Торг!$H:$H,0))),"")</f>
        <v/>
      </c>
      <c r="G967" s="67" t="str">
        <f>IFERROR(IFERROR(INDEX(Кат!$B:$B,MATCH(Прайс!$B967,Кат!$G:$G,0)),INDEX(Торг!$C:$C,MATCH(Прайс!$B967,Торг!$H:$H,0))),"")</f>
        <v/>
      </c>
      <c r="H967" s="67" t="str">
        <f>IFERROR(IFERROR(INDEX(Кат!$I:$I,MATCH(Прайс!$B967,Кат!$G:$G,0)),INDEX(Торг!$I:$I,MATCH(Прайс!$B967,Торг!$H:$H,0))),"")</f>
        <v/>
      </c>
    </row>
    <row r="968" spans="1:8" x14ac:dyDescent="0.25">
      <c r="A968" s="99" t="s">
        <v>2959</v>
      </c>
      <c r="B968" s="108">
        <v>50285</v>
      </c>
      <c r="C968" s="108" t="s">
        <v>645</v>
      </c>
      <c r="D968" s="101" t="s">
        <v>166</v>
      </c>
      <c r="E968" s="102">
        <v>290</v>
      </c>
      <c r="F968" s="67" t="str">
        <f>IFERROR(IFERROR(INDEX(Кат!$A:$A,MATCH(Прайс!$B968,Кат!$G:$G,0)),INDEX(Торг!$B:$B,MATCH(Прайс!$B968,Торг!$H:$H,0))),"")</f>
        <v/>
      </c>
      <c r="G968" s="67" t="str">
        <f>IFERROR(IFERROR(INDEX(Кат!$B:$B,MATCH(Прайс!$B968,Кат!$G:$G,0)),INDEX(Торг!$C:$C,MATCH(Прайс!$B968,Торг!$H:$H,0))),"")</f>
        <v/>
      </c>
      <c r="H968" s="67" t="str">
        <f>IFERROR(IFERROR(INDEX(Кат!$I:$I,MATCH(Прайс!$B968,Кат!$G:$G,0)),INDEX(Торг!$I:$I,MATCH(Прайс!$B968,Торг!$H:$H,0))),"")</f>
        <v/>
      </c>
    </row>
    <row r="969" spans="1:8" x14ac:dyDescent="0.25">
      <c r="A969" s="99" t="s">
        <v>2960</v>
      </c>
      <c r="B969" s="108">
        <v>50334</v>
      </c>
      <c r="C969" s="108" t="s">
        <v>646</v>
      </c>
      <c r="D969" s="101" t="s">
        <v>480</v>
      </c>
      <c r="E969" s="102">
        <v>290</v>
      </c>
      <c r="F969" s="67" t="str">
        <f>IFERROR(IFERROR(INDEX(Кат!$A:$A,MATCH(Прайс!$B969,Кат!$G:$G,0)),INDEX(Торг!$B:$B,MATCH(Прайс!$B969,Торг!$H:$H,0))),"")</f>
        <v/>
      </c>
      <c r="G969" s="67" t="str">
        <f>IFERROR(IFERROR(INDEX(Кат!$B:$B,MATCH(Прайс!$B969,Кат!$G:$G,0)),INDEX(Торг!$C:$C,MATCH(Прайс!$B969,Торг!$H:$H,0))),"")</f>
        <v/>
      </c>
      <c r="H969" s="67" t="str">
        <f>IFERROR(IFERROR(INDEX(Кат!$I:$I,MATCH(Прайс!$B969,Кат!$G:$G,0)),INDEX(Торг!$I:$I,MATCH(Прайс!$B969,Торг!$H:$H,0))),"")</f>
        <v/>
      </c>
    </row>
    <row r="970" spans="1:8" x14ac:dyDescent="0.25">
      <c r="A970" s="99" t="s">
        <v>2961</v>
      </c>
      <c r="B970" s="108">
        <v>50286</v>
      </c>
      <c r="C970" s="108" t="s">
        <v>647</v>
      </c>
      <c r="D970" s="101" t="s">
        <v>648</v>
      </c>
      <c r="E970" s="102">
        <v>290</v>
      </c>
      <c r="F970" s="67" t="str">
        <f>IFERROR(IFERROR(INDEX(Кат!$A:$A,MATCH(Прайс!$B970,Кат!$G:$G,0)),INDEX(Торг!$B:$B,MATCH(Прайс!$B970,Торг!$H:$H,0))),"")</f>
        <v/>
      </c>
      <c r="G970" s="67" t="str">
        <f>IFERROR(IFERROR(INDEX(Кат!$B:$B,MATCH(Прайс!$B970,Кат!$G:$G,0)),INDEX(Торг!$C:$C,MATCH(Прайс!$B970,Торг!$H:$H,0))),"")</f>
        <v/>
      </c>
      <c r="H970" s="67" t="str">
        <f>IFERROR(IFERROR(INDEX(Кат!$I:$I,MATCH(Прайс!$B970,Кат!$G:$G,0)),INDEX(Торг!$I:$I,MATCH(Прайс!$B970,Торг!$H:$H,0))),"")</f>
        <v/>
      </c>
    </row>
    <row r="971" spans="1:8" x14ac:dyDescent="0.25">
      <c r="A971" s="99" t="s">
        <v>2962</v>
      </c>
      <c r="B971" s="108">
        <v>50287</v>
      </c>
      <c r="C971" s="108" t="s">
        <v>649</v>
      </c>
      <c r="D971" s="101" t="s">
        <v>650</v>
      </c>
      <c r="E971" s="102">
        <v>290</v>
      </c>
      <c r="F971" s="67" t="str">
        <f>IFERROR(IFERROR(INDEX(Кат!$A:$A,MATCH(Прайс!$B971,Кат!$G:$G,0)),INDEX(Торг!$B:$B,MATCH(Прайс!$B971,Торг!$H:$H,0))),"")</f>
        <v/>
      </c>
      <c r="G971" s="67" t="str">
        <f>IFERROR(IFERROR(INDEX(Кат!$B:$B,MATCH(Прайс!$B971,Кат!$G:$G,0)),INDEX(Торг!$C:$C,MATCH(Прайс!$B971,Торг!$H:$H,0))),"")</f>
        <v/>
      </c>
      <c r="H971" s="67" t="str">
        <f>IFERROR(IFERROR(INDEX(Кат!$I:$I,MATCH(Прайс!$B971,Кат!$G:$G,0)),INDEX(Торг!$I:$I,MATCH(Прайс!$B971,Торг!$H:$H,0))),"")</f>
        <v/>
      </c>
    </row>
    <row r="972" spans="1:8" x14ac:dyDescent="0.25">
      <c r="A972" s="99" t="s">
        <v>2963</v>
      </c>
      <c r="B972" s="108">
        <v>50335</v>
      </c>
      <c r="C972" s="108" t="s">
        <v>651</v>
      </c>
      <c r="D972" s="101" t="s">
        <v>480</v>
      </c>
      <c r="E972" s="102">
        <v>290</v>
      </c>
      <c r="F972" s="67" t="str">
        <f>IFERROR(IFERROR(INDEX(Кат!$A:$A,MATCH(Прайс!$B972,Кат!$G:$G,0)),INDEX(Торг!$B:$B,MATCH(Прайс!$B972,Торг!$H:$H,0))),"")</f>
        <v/>
      </c>
      <c r="G972" s="67" t="str">
        <f>IFERROR(IFERROR(INDEX(Кат!$B:$B,MATCH(Прайс!$B972,Кат!$G:$G,0)),INDEX(Торг!$C:$C,MATCH(Прайс!$B972,Торг!$H:$H,0))),"")</f>
        <v/>
      </c>
      <c r="H972" s="67" t="str">
        <f>IFERROR(IFERROR(INDEX(Кат!$I:$I,MATCH(Прайс!$B972,Кат!$G:$G,0)),INDEX(Торг!$I:$I,MATCH(Прайс!$B972,Торг!$H:$H,0))),"")</f>
        <v/>
      </c>
    </row>
    <row r="973" spans="1:8" x14ac:dyDescent="0.25">
      <c r="A973" s="99" t="s">
        <v>2964</v>
      </c>
      <c r="B973" s="108">
        <v>50288</v>
      </c>
      <c r="C973" s="108" t="s">
        <v>652</v>
      </c>
      <c r="D973" s="101" t="s">
        <v>653</v>
      </c>
      <c r="E973" s="102">
        <v>290</v>
      </c>
      <c r="F973" s="67" t="str">
        <f>IFERROR(IFERROR(INDEX(Кат!$A:$A,MATCH(Прайс!$B973,Кат!$G:$G,0)),INDEX(Торг!$B:$B,MATCH(Прайс!$B973,Торг!$H:$H,0))),"")</f>
        <v/>
      </c>
      <c r="G973" s="67" t="str">
        <f>IFERROR(IFERROR(INDEX(Кат!$B:$B,MATCH(Прайс!$B973,Кат!$G:$G,0)),INDEX(Торг!$C:$C,MATCH(Прайс!$B973,Торг!$H:$H,0))),"")</f>
        <v/>
      </c>
      <c r="H973" s="67" t="str">
        <f>IFERROR(IFERROR(INDEX(Кат!$I:$I,MATCH(Прайс!$B973,Кат!$G:$G,0)),INDEX(Торг!$I:$I,MATCH(Прайс!$B973,Торг!$H:$H,0))),"")</f>
        <v/>
      </c>
    </row>
    <row r="974" spans="1:8" x14ac:dyDescent="0.25">
      <c r="A974" s="99" t="s">
        <v>2965</v>
      </c>
      <c r="B974" s="108">
        <v>50289</v>
      </c>
      <c r="C974" s="108" t="s">
        <v>654</v>
      </c>
      <c r="D974" s="101" t="s">
        <v>655</v>
      </c>
      <c r="E974" s="102">
        <v>290</v>
      </c>
      <c r="F974" s="67" t="str">
        <f>IFERROR(IFERROR(INDEX(Кат!$A:$A,MATCH(Прайс!$B974,Кат!$G:$G,0)),INDEX(Торг!$B:$B,MATCH(Прайс!$B974,Торг!$H:$H,0))),"")</f>
        <v/>
      </c>
      <c r="G974" s="67" t="str">
        <f>IFERROR(IFERROR(INDEX(Кат!$B:$B,MATCH(Прайс!$B974,Кат!$G:$G,0)),INDEX(Торг!$C:$C,MATCH(Прайс!$B974,Торг!$H:$H,0))),"")</f>
        <v/>
      </c>
      <c r="H974" s="67" t="str">
        <f>IFERROR(IFERROR(INDEX(Кат!$I:$I,MATCH(Прайс!$B974,Кат!$G:$G,0)),INDEX(Торг!$I:$I,MATCH(Прайс!$B974,Торг!$H:$H,0))),"")</f>
        <v/>
      </c>
    </row>
    <row r="975" spans="1:8" x14ac:dyDescent="0.25">
      <c r="A975" s="99" t="s">
        <v>2966</v>
      </c>
      <c r="B975" s="108">
        <v>50566</v>
      </c>
      <c r="C975" s="108" t="s">
        <v>656</v>
      </c>
      <c r="D975" s="101" t="s">
        <v>480</v>
      </c>
      <c r="E975" s="102">
        <v>400</v>
      </c>
      <c r="F975" s="67" t="str">
        <f>IFERROR(IFERROR(INDEX(Кат!$A:$A,MATCH(Прайс!$B975,Кат!$G:$G,0)),INDEX(Торг!$B:$B,MATCH(Прайс!$B975,Торг!$H:$H,0))),"")</f>
        <v/>
      </c>
      <c r="G975" s="67" t="str">
        <f>IFERROR(IFERROR(INDEX(Кат!$B:$B,MATCH(Прайс!$B975,Кат!$G:$G,0)),INDEX(Торг!$C:$C,MATCH(Прайс!$B975,Торг!$H:$H,0))),"")</f>
        <v/>
      </c>
      <c r="H975" s="67" t="str">
        <f>IFERROR(IFERROR(INDEX(Кат!$I:$I,MATCH(Прайс!$B975,Кат!$G:$G,0)),INDEX(Торг!$I:$I,MATCH(Прайс!$B975,Торг!$H:$H,0))),"")</f>
        <v/>
      </c>
    </row>
    <row r="976" spans="1:8" x14ac:dyDescent="0.25">
      <c r="A976" s="99" t="s">
        <v>2967</v>
      </c>
      <c r="B976" s="108">
        <v>50545</v>
      </c>
      <c r="C976" s="108" t="s">
        <v>657</v>
      </c>
      <c r="D976" s="101" t="s">
        <v>480</v>
      </c>
      <c r="E976" s="102">
        <v>390</v>
      </c>
      <c r="F976" s="67" t="str">
        <f>IFERROR(IFERROR(INDEX(Кат!$A:$A,MATCH(Прайс!$B976,Кат!$G:$G,0)),INDEX(Торг!$B:$B,MATCH(Прайс!$B976,Торг!$H:$H,0))),"")</f>
        <v/>
      </c>
      <c r="G976" s="67" t="str">
        <f>IFERROR(IFERROR(INDEX(Кат!$B:$B,MATCH(Прайс!$B976,Кат!$G:$G,0)),INDEX(Торг!$C:$C,MATCH(Прайс!$B976,Торг!$H:$H,0))),"")</f>
        <v/>
      </c>
      <c r="H976" s="67" t="str">
        <f>IFERROR(IFERROR(INDEX(Кат!$I:$I,MATCH(Прайс!$B976,Кат!$G:$G,0)),INDEX(Торг!$I:$I,MATCH(Прайс!$B976,Торг!$H:$H,0))),"")</f>
        <v/>
      </c>
    </row>
    <row r="977" spans="1:8" x14ac:dyDescent="0.25">
      <c r="A977" s="99" t="s">
        <v>2968</v>
      </c>
      <c r="B977" s="108">
        <v>50588</v>
      </c>
      <c r="C977" s="108" t="s">
        <v>658</v>
      </c>
      <c r="D977" s="101" t="s">
        <v>480</v>
      </c>
      <c r="E977" s="102">
        <v>390</v>
      </c>
      <c r="F977" s="67" t="str">
        <f>IFERROR(IFERROR(INDEX(Кат!$A:$A,MATCH(Прайс!$B977,Кат!$G:$G,0)),INDEX(Торг!$B:$B,MATCH(Прайс!$B977,Торг!$H:$H,0))),"")</f>
        <v/>
      </c>
      <c r="G977" s="67" t="str">
        <f>IFERROR(IFERROR(INDEX(Кат!$B:$B,MATCH(Прайс!$B977,Кат!$G:$G,0)),INDEX(Торг!$C:$C,MATCH(Прайс!$B977,Торг!$H:$H,0))),"")</f>
        <v/>
      </c>
      <c r="H977" s="67" t="str">
        <f>IFERROR(IFERROR(INDEX(Кат!$I:$I,MATCH(Прайс!$B977,Кат!$G:$G,0)),INDEX(Торг!$I:$I,MATCH(Прайс!$B977,Торг!$H:$H,0))),"")</f>
        <v/>
      </c>
    </row>
    <row r="978" spans="1:8" x14ac:dyDescent="0.25">
      <c r="A978" s="99" t="s">
        <v>2969</v>
      </c>
      <c r="B978" s="108">
        <v>50544</v>
      </c>
      <c r="C978" s="108" t="s">
        <v>659</v>
      </c>
      <c r="D978" s="101" t="s">
        <v>480</v>
      </c>
      <c r="E978" s="102">
        <v>390</v>
      </c>
      <c r="F978" s="67" t="str">
        <f>IFERROR(IFERROR(INDEX(Кат!$A:$A,MATCH(Прайс!$B978,Кат!$G:$G,0)),INDEX(Торг!$B:$B,MATCH(Прайс!$B978,Торг!$H:$H,0))),"")</f>
        <v/>
      </c>
      <c r="G978" s="67" t="str">
        <f>IFERROR(IFERROR(INDEX(Кат!$B:$B,MATCH(Прайс!$B978,Кат!$G:$G,0)),INDEX(Торг!$C:$C,MATCH(Прайс!$B978,Торг!$H:$H,0))),"")</f>
        <v/>
      </c>
      <c r="H978" s="67" t="str">
        <f>IFERROR(IFERROR(INDEX(Кат!$I:$I,MATCH(Прайс!$B978,Кат!$G:$G,0)),INDEX(Торг!$I:$I,MATCH(Прайс!$B978,Торг!$H:$H,0))),"")</f>
        <v/>
      </c>
    </row>
    <row r="979" spans="1:8" x14ac:dyDescent="0.25">
      <c r="A979" s="99" t="s">
        <v>2970</v>
      </c>
      <c r="B979" s="108">
        <v>50546</v>
      </c>
      <c r="C979" s="108" t="s">
        <v>660</v>
      </c>
      <c r="D979" s="101" t="s">
        <v>480</v>
      </c>
      <c r="E979" s="102">
        <v>390</v>
      </c>
      <c r="F979" s="67" t="str">
        <f>IFERROR(IFERROR(INDEX(Кат!$A:$A,MATCH(Прайс!$B979,Кат!$G:$G,0)),INDEX(Торг!$B:$B,MATCH(Прайс!$B979,Торг!$H:$H,0))),"")</f>
        <v/>
      </c>
      <c r="G979" s="67" t="str">
        <f>IFERROR(IFERROR(INDEX(Кат!$B:$B,MATCH(Прайс!$B979,Кат!$G:$G,0)),INDEX(Торг!$C:$C,MATCH(Прайс!$B979,Торг!$H:$H,0))),"")</f>
        <v/>
      </c>
      <c r="H979" s="67" t="str">
        <f>IFERROR(IFERROR(INDEX(Кат!$I:$I,MATCH(Прайс!$B979,Кат!$G:$G,0)),INDEX(Торг!$I:$I,MATCH(Прайс!$B979,Торг!$H:$H,0))),"")</f>
        <v/>
      </c>
    </row>
    <row r="980" spans="1:8" x14ac:dyDescent="0.25">
      <c r="A980" s="99" t="s">
        <v>7496</v>
      </c>
      <c r="B980" s="108">
        <v>50569</v>
      </c>
      <c r="C980" s="108" t="s">
        <v>7497</v>
      </c>
      <c r="D980" s="101" t="s">
        <v>480</v>
      </c>
      <c r="E980" s="102">
        <v>370</v>
      </c>
      <c r="F980" s="67" t="str">
        <f>IFERROR(IFERROR(INDEX(Кат!$A:$A,MATCH(Прайс!$B980,Кат!$G:$G,0)),INDEX(Торг!$B:$B,MATCH(Прайс!$B980,Торг!$H:$H,0))),"")</f>
        <v/>
      </c>
      <c r="G980" s="67" t="str">
        <f>IFERROR(IFERROR(INDEX(Кат!$B:$B,MATCH(Прайс!$B980,Кат!$G:$G,0)),INDEX(Торг!$C:$C,MATCH(Прайс!$B980,Торг!$H:$H,0))),"")</f>
        <v/>
      </c>
      <c r="H980" s="67" t="str">
        <f>IFERROR(IFERROR(INDEX(Кат!$I:$I,MATCH(Прайс!$B980,Кат!$G:$G,0)),INDEX(Торг!$I:$I,MATCH(Прайс!$B980,Торг!$H:$H,0))),"")</f>
        <v/>
      </c>
    </row>
    <row r="981" spans="1:8" x14ac:dyDescent="0.25">
      <c r="A981" s="99" t="s">
        <v>5051</v>
      </c>
      <c r="B981" s="108">
        <v>50605</v>
      </c>
      <c r="C981" s="108" t="s">
        <v>5052</v>
      </c>
      <c r="D981" s="101" t="s">
        <v>480</v>
      </c>
      <c r="E981" s="102">
        <v>330</v>
      </c>
      <c r="F981" s="67" t="str">
        <f>IFERROR(IFERROR(INDEX(Кат!$A:$A,MATCH(Прайс!$B981,Кат!$G:$G,0)),INDEX(Торг!$B:$B,MATCH(Прайс!$B981,Торг!$H:$H,0))),"")</f>
        <v/>
      </c>
      <c r="G981" s="67" t="str">
        <f>IFERROR(IFERROR(INDEX(Кат!$B:$B,MATCH(Прайс!$B981,Кат!$G:$G,0)),INDEX(Торг!$C:$C,MATCH(Прайс!$B981,Торг!$H:$H,0))),"")</f>
        <v/>
      </c>
      <c r="H981" s="67" t="str">
        <f>IFERROR(IFERROR(INDEX(Кат!$I:$I,MATCH(Прайс!$B981,Кат!$G:$G,0)),INDEX(Торг!$I:$I,MATCH(Прайс!$B981,Торг!$H:$H,0))),"")</f>
        <v/>
      </c>
    </row>
    <row r="982" spans="1:8" x14ac:dyDescent="0.25">
      <c r="A982" s="99" t="s">
        <v>2971</v>
      </c>
      <c r="B982" s="108">
        <v>50529</v>
      </c>
      <c r="C982" s="108" t="s">
        <v>661</v>
      </c>
      <c r="D982" s="101" t="s">
        <v>480</v>
      </c>
      <c r="E982" s="102">
        <v>330</v>
      </c>
      <c r="F982" s="67" t="str">
        <f>IFERROR(IFERROR(INDEX(Кат!$A:$A,MATCH(Прайс!$B982,Кат!$G:$G,0)),INDEX(Торг!$B:$B,MATCH(Прайс!$B982,Торг!$H:$H,0))),"")</f>
        <v/>
      </c>
      <c r="G982" s="67" t="str">
        <f>IFERROR(IFERROR(INDEX(Кат!$B:$B,MATCH(Прайс!$B982,Кат!$G:$G,0)),INDEX(Торг!$C:$C,MATCH(Прайс!$B982,Торг!$H:$H,0))),"")</f>
        <v/>
      </c>
      <c r="H982" s="67" t="str">
        <f>IFERROR(IFERROR(INDEX(Кат!$I:$I,MATCH(Прайс!$B982,Кат!$G:$G,0)),INDEX(Торг!$I:$I,MATCH(Прайс!$B982,Торг!$H:$H,0))),"")</f>
        <v/>
      </c>
    </row>
    <row r="983" spans="1:8" x14ac:dyDescent="0.25">
      <c r="A983" s="99" t="s">
        <v>2972</v>
      </c>
      <c r="B983" s="108">
        <v>50530</v>
      </c>
      <c r="C983" s="108" t="s">
        <v>662</v>
      </c>
      <c r="D983" s="101" t="s">
        <v>480</v>
      </c>
      <c r="E983" s="102">
        <v>330</v>
      </c>
      <c r="F983" s="67" t="str">
        <f>IFERROR(IFERROR(INDEX(Кат!$A:$A,MATCH(Прайс!$B983,Кат!$G:$G,0)),INDEX(Торг!$B:$B,MATCH(Прайс!$B983,Торг!$H:$H,0))),"")</f>
        <v/>
      </c>
      <c r="G983" s="67" t="str">
        <f>IFERROR(IFERROR(INDEX(Кат!$B:$B,MATCH(Прайс!$B983,Кат!$G:$G,0)),INDEX(Торг!$C:$C,MATCH(Прайс!$B983,Торг!$H:$H,0))),"")</f>
        <v/>
      </c>
      <c r="H983" s="67" t="str">
        <f>IFERROR(IFERROR(INDEX(Кат!$I:$I,MATCH(Прайс!$B983,Кат!$G:$G,0)),INDEX(Торг!$I:$I,MATCH(Прайс!$B983,Торг!$H:$H,0))),"")</f>
        <v/>
      </c>
    </row>
    <row r="984" spans="1:8" x14ac:dyDescent="0.25">
      <c r="A984" s="99" t="s">
        <v>2973</v>
      </c>
      <c r="B984" s="108">
        <v>50531</v>
      </c>
      <c r="C984" s="108" t="s">
        <v>663</v>
      </c>
      <c r="D984" s="101" t="s">
        <v>480</v>
      </c>
      <c r="E984" s="102">
        <v>330</v>
      </c>
      <c r="F984" s="67" t="str">
        <f>IFERROR(IFERROR(INDEX(Кат!$A:$A,MATCH(Прайс!$B984,Кат!$G:$G,0)),INDEX(Торг!$B:$B,MATCH(Прайс!$B984,Торг!$H:$H,0))),"")</f>
        <v/>
      </c>
      <c r="G984" s="67" t="str">
        <f>IFERROR(IFERROR(INDEX(Кат!$B:$B,MATCH(Прайс!$B984,Кат!$G:$G,0)),INDEX(Торг!$C:$C,MATCH(Прайс!$B984,Торг!$H:$H,0))),"")</f>
        <v/>
      </c>
      <c r="H984" s="67" t="str">
        <f>IFERROR(IFERROR(INDEX(Кат!$I:$I,MATCH(Прайс!$B984,Кат!$G:$G,0)),INDEX(Торг!$I:$I,MATCH(Прайс!$B984,Торг!$H:$H,0))),"")</f>
        <v/>
      </c>
    </row>
    <row r="985" spans="1:8" x14ac:dyDescent="0.25">
      <c r="A985" s="99" t="s">
        <v>5053</v>
      </c>
      <c r="B985" s="108">
        <v>50603</v>
      </c>
      <c r="C985" s="108" t="s">
        <v>5054</v>
      </c>
      <c r="D985" s="101" t="s">
        <v>480</v>
      </c>
      <c r="E985" s="102">
        <v>330</v>
      </c>
      <c r="F985" s="67" t="str">
        <f>IFERROR(IFERROR(INDEX(Кат!$A:$A,MATCH(Прайс!$B985,Кат!$G:$G,0)),INDEX(Торг!$B:$B,MATCH(Прайс!$B985,Торг!$H:$H,0))),"")</f>
        <v/>
      </c>
      <c r="G985" s="67" t="str">
        <f>IFERROR(IFERROR(INDEX(Кат!$B:$B,MATCH(Прайс!$B985,Кат!$G:$G,0)),INDEX(Торг!$C:$C,MATCH(Прайс!$B985,Торг!$H:$H,0))),"")</f>
        <v/>
      </c>
      <c r="H985" s="67" t="str">
        <f>IFERROR(IFERROR(INDEX(Кат!$I:$I,MATCH(Прайс!$B985,Кат!$G:$G,0)),INDEX(Торг!$I:$I,MATCH(Прайс!$B985,Торг!$H:$H,0))),"")</f>
        <v/>
      </c>
    </row>
    <row r="986" spans="1:8" x14ac:dyDescent="0.25">
      <c r="A986" s="99" t="s">
        <v>2974</v>
      </c>
      <c r="B986" s="108">
        <v>50532</v>
      </c>
      <c r="C986" s="108" t="s">
        <v>664</v>
      </c>
      <c r="D986" s="101" t="s">
        <v>480</v>
      </c>
      <c r="E986" s="102">
        <v>330</v>
      </c>
      <c r="F986" s="67" t="str">
        <f>IFERROR(IFERROR(INDEX(Кат!$A:$A,MATCH(Прайс!$B986,Кат!$G:$G,0)),INDEX(Торг!$B:$B,MATCH(Прайс!$B986,Торг!$H:$H,0))),"")</f>
        <v/>
      </c>
      <c r="G986" s="67" t="str">
        <f>IFERROR(IFERROR(INDEX(Кат!$B:$B,MATCH(Прайс!$B986,Кат!$G:$G,0)),INDEX(Торг!$C:$C,MATCH(Прайс!$B986,Торг!$H:$H,0))),"")</f>
        <v/>
      </c>
      <c r="H986" s="67" t="str">
        <f>IFERROR(IFERROR(INDEX(Кат!$I:$I,MATCH(Прайс!$B986,Кат!$G:$G,0)),INDEX(Торг!$I:$I,MATCH(Прайс!$B986,Торг!$H:$H,0))),"")</f>
        <v/>
      </c>
    </row>
    <row r="987" spans="1:8" x14ac:dyDescent="0.25">
      <c r="A987" s="99" t="s">
        <v>5055</v>
      </c>
      <c r="B987" s="108">
        <v>50609</v>
      </c>
      <c r="C987" s="108" t="s">
        <v>5056</v>
      </c>
      <c r="D987" s="101" t="s">
        <v>480</v>
      </c>
      <c r="E987" s="102">
        <v>330</v>
      </c>
      <c r="F987" s="67" t="str">
        <f>IFERROR(IFERROR(INDEX(Кат!$A:$A,MATCH(Прайс!$B987,Кат!$G:$G,0)),INDEX(Торг!$B:$B,MATCH(Прайс!$B987,Торг!$H:$H,0))),"")</f>
        <v/>
      </c>
      <c r="G987" s="67" t="str">
        <f>IFERROR(IFERROR(INDEX(Кат!$B:$B,MATCH(Прайс!$B987,Кат!$G:$G,0)),INDEX(Торг!$C:$C,MATCH(Прайс!$B987,Торг!$H:$H,0))),"")</f>
        <v/>
      </c>
      <c r="H987" s="67" t="str">
        <f>IFERROR(IFERROR(INDEX(Кат!$I:$I,MATCH(Прайс!$B987,Кат!$G:$G,0)),INDEX(Торг!$I:$I,MATCH(Прайс!$B987,Торг!$H:$H,0))),"")</f>
        <v/>
      </c>
    </row>
    <row r="988" spans="1:8" x14ac:dyDescent="0.25">
      <c r="A988" s="99" t="s">
        <v>5057</v>
      </c>
      <c r="B988" s="108">
        <v>50610</v>
      </c>
      <c r="C988" s="108" t="s">
        <v>5058</v>
      </c>
      <c r="D988" s="101" t="s">
        <v>480</v>
      </c>
      <c r="E988" s="102">
        <v>330</v>
      </c>
      <c r="F988" s="67" t="str">
        <f>IFERROR(IFERROR(INDEX(Кат!$A:$A,MATCH(Прайс!$B988,Кат!$G:$G,0)),INDEX(Торг!$B:$B,MATCH(Прайс!$B988,Торг!$H:$H,0))),"")</f>
        <v/>
      </c>
      <c r="G988" s="67" t="str">
        <f>IFERROR(IFERROR(INDEX(Кат!$B:$B,MATCH(Прайс!$B988,Кат!$G:$G,0)),INDEX(Торг!$C:$C,MATCH(Прайс!$B988,Торг!$H:$H,0))),"")</f>
        <v/>
      </c>
      <c r="H988" s="67" t="str">
        <f>IFERROR(IFERROR(INDEX(Кат!$I:$I,MATCH(Прайс!$B988,Кат!$G:$G,0)),INDEX(Торг!$I:$I,MATCH(Прайс!$B988,Торг!$H:$H,0))),"")</f>
        <v/>
      </c>
    </row>
    <row r="989" spans="1:8" x14ac:dyDescent="0.25">
      <c r="A989" s="99" t="s">
        <v>2975</v>
      </c>
      <c r="B989" s="108">
        <v>50541</v>
      </c>
      <c r="C989" s="108" t="s">
        <v>665</v>
      </c>
      <c r="D989" s="101" t="s">
        <v>480</v>
      </c>
      <c r="E989" s="102">
        <v>330</v>
      </c>
      <c r="F989" s="67" t="str">
        <f>IFERROR(IFERROR(INDEX(Кат!$A:$A,MATCH(Прайс!$B989,Кат!$G:$G,0)),INDEX(Торг!$B:$B,MATCH(Прайс!$B989,Торг!$H:$H,0))),"")</f>
        <v/>
      </c>
      <c r="G989" s="67" t="str">
        <f>IFERROR(IFERROR(INDEX(Кат!$B:$B,MATCH(Прайс!$B989,Кат!$G:$G,0)),INDEX(Торг!$C:$C,MATCH(Прайс!$B989,Торг!$H:$H,0))),"")</f>
        <v/>
      </c>
      <c r="H989" s="67" t="str">
        <f>IFERROR(IFERROR(INDEX(Кат!$I:$I,MATCH(Прайс!$B989,Кат!$G:$G,0)),INDEX(Торг!$I:$I,MATCH(Прайс!$B989,Торг!$H:$H,0))),"")</f>
        <v/>
      </c>
    </row>
    <row r="990" spans="1:8" x14ac:dyDescent="0.25">
      <c r="A990" s="99" t="s">
        <v>2976</v>
      </c>
      <c r="B990" s="108">
        <v>50533</v>
      </c>
      <c r="C990" s="108" t="s">
        <v>666</v>
      </c>
      <c r="D990" s="101" t="s">
        <v>480</v>
      </c>
      <c r="E990" s="102">
        <v>330</v>
      </c>
      <c r="F990" s="67" t="str">
        <f>IFERROR(IFERROR(INDEX(Кат!$A:$A,MATCH(Прайс!$B990,Кат!$G:$G,0)),INDEX(Торг!$B:$B,MATCH(Прайс!$B990,Торг!$H:$H,0))),"")</f>
        <v/>
      </c>
      <c r="G990" s="67" t="str">
        <f>IFERROR(IFERROR(INDEX(Кат!$B:$B,MATCH(Прайс!$B990,Кат!$G:$G,0)),INDEX(Торг!$C:$C,MATCH(Прайс!$B990,Торг!$H:$H,0))),"")</f>
        <v/>
      </c>
      <c r="H990" s="67" t="str">
        <f>IFERROR(IFERROR(INDEX(Кат!$I:$I,MATCH(Прайс!$B990,Кат!$G:$G,0)),INDEX(Торг!$I:$I,MATCH(Прайс!$B990,Торг!$H:$H,0))),"")</f>
        <v/>
      </c>
    </row>
    <row r="991" spans="1:8" x14ac:dyDescent="0.25">
      <c r="A991" s="99" t="s">
        <v>2977</v>
      </c>
      <c r="B991" s="108">
        <v>50540</v>
      </c>
      <c r="C991" s="108" t="s">
        <v>667</v>
      </c>
      <c r="D991" s="101" t="s">
        <v>480</v>
      </c>
      <c r="E991" s="102">
        <v>370</v>
      </c>
      <c r="F991" s="67" t="str">
        <f>IFERROR(IFERROR(INDEX(Кат!$A:$A,MATCH(Прайс!$B991,Кат!$G:$G,0)),INDEX(Торг!$B:$B,MATCH(Прайс!$B991,Торг!$H:$H,0))),"")</f>
        <v/>
      </c>
      <c r="G991" s="67" t="str">
        <f>IFERROR(IFERROR(INDEX(Кат!$B:$B,MATCH(Прайс!$B991,Кат!$G:$G,0)),INDEX(Торг!$C:$C,MATCH(Прайс!$B991,Торг!$H:$H,0))),"")</f>
        <v/>
      </c>
      <c r="H991" s="67" t="str">
        <f>IFERROR(IFERROR(INDEX(Кат!$I:$I,MATCH(Прайс!$B991,Кат!$G:$G,0)),INDEX(Торг!$I:$I,MATCH(Прайс!$B991,Торг!$H:$H,0))),"")</f>
        <v/>
      </c>
    </row>
    <row r="992" spans="1:8" x14ac:dyDescent="0.25">
      <c r="A992" s="99" t="s">
        <v>2978</v>
      </c>
      <c r="B992" s="108">
        <v>50578</v>
      </c>
      <c r="C992" s="108" t="s">
        <v>668</v>
      </c>
      <c r="D992" s="101" t="s">
        <v>480</v>
      </c>
      <c r="E992" s="102">
        <v>380</v>
      </c>
      <c r="F992" s="67" t="str">
        <f>IFERROR(IFERROR(INDEX(Кат!$A:$A,MATCH(Прайс!$B992,Кат!$G:$G,0)),INDEX(Торг!$B:$B,MATCH(Прайс!$B992,Торг!$H:$H,0))),"")</f>
        <v/>
      </c>
      <c r="G992" s="67" t="str">
        <f>IFERROR(IFERROR(INDEX(Кат!$B:$B,MATCH(Прайс!$B992,Кат!$G:$G,0)),INDEX(Торг!$C:$C,MATCH(Прайс!$B992,Торг!$H:$H,0))),"")</f>
        <v/>
      </c>
      <c r="H992" s="67" t="str">
        <f>IFERROR(IFERROR(INDEX(Кат!$I:$I,MATCH(Прайс!$B992,Кат!$G:$G,0)),INDEX(Торг!$I:$I,MATCH(Прайс!$B992,Торг!$H:$H,0))),"")</f>
        <v/>
      </c>
    </row>
    <row r="993" spans="1:8" x14ac:dyDescent="0.25">
      <c r="A993" s="99" t="s">
        <v>7498</v>
      </c>
      <c r="B993" s="108">
        <v>50577</v>
      </c>
      <c r="C993" s="108" t="s">
        <v>7499</v>
      </c>
      <c r="D993" s="101" t="s">
        <v>480</v>
      </c>
      <c r="E993" s="102">
        <v>380</v>
      </c>
      <c r="F993" s="67" t="str">
        <f>IFERROR(IFERROR(INDEX(Кат!$A:$A,MATCH(Прайс!$B993,Кат!$G:$G,0)),INDEX(Торг!$B:$B,MATCH(Прайс!$B993,Торг!$H:$H,0))),"")</f>
        <v/>
      </c>
      <c r="G993" s="67" t="str">
        <f>IFERROR(IFERROR(INDEX(Кат!$B:$B,MATCH(Прайс!$B993,Кат!$G:$G,0)),INDEX(Торг!$C:$C,MATCH(Прайс!$B993,Торг!$H:$H,0))),"")</f>
        <v/>
      </c>
      <c r="H993" s="67" t="str">
        <f>IFERROR(IFERROR(INDEX(Кат!$I:$I,MATCH(Прайс!$B993,Кат!$G:$G,0)),INDEX(Торг!$I:$I,MATCH(Прайс!$B993,Торг!$H:$H,0))),"")</f>
        <v/>
      </c>
    </row>
    <row r="994" spans="1:8" x14ac:dyDescent="0.25">
      <c r="A994" s="99" t="s">
        <v>2979</v>
      </c>
      <c r="B994" s="108">
        <v>50534</v>
      </c>
      <c r="C994" s="108" t="s">
        <v>669</v>
      </c>
      <c r="D994" s="101" t="s">
        <v>480</v>
      </c>
      <c r="E994" s="102">
        <v>330</v>
      </c>
      <c r="F994" s="67" t="str">
        <f>IFERROR(IFERROR(INDEX(Кат!$A:$A,MATCH(Прайс!$B994,Кат!$G:$G,0)),INDEX(Торг!$B:$B,MATCH(Прайс!$B994,Торг!$H:$H,0))),"")</f>
        <v/>
      </c>
      <c r="G994" s="67" t="str">
        <f>IFERROR(IFERROR(INDEX(Кат!$B:$B,MATCH(Прайс!$B994,Кат!$G:$G,0)),INDEX(Торг!$C:$C,MATCH(Прайс!$B994,Торг!$H:$H,0))),"")</f>
        <v/>
      </c>
      <c r="H994" s="67" t="str">
        <f>IFERROR(IFERROR(INDEX(Кат!$I:$I,MATCH(Прайс!$B994,Кат!$G:$G,0)),INDEX(Торг!$I:$I,MATCH(Прайс!$B994,Торг!$H:$H,0))),"")</f>
        <v/>
      </c>
    </row>
    <row r="995" spans="1:8" x14ac:dyDescent="0.25">
      <c r="A995" s="99" t="s">
        <v>4880</v>
      </c>
      <c r="B995" s="108">
        <v>50543</v>
      </c>
      <c r="C995" s="108" t="s">
        <v>4881</v>
      </c>
      <c r="D995" s="101" t="s">
        <v>480</v>
      </c>
      <c r="E995" s="102">
        <v>330</v>
      </c>
      <c r="F995" s="67" t="str">
        <f>IFERROR(IFERROR(INDEX(Кат!$A:$A,MATCH(Прайс!$B995,Кат!$G:$G,0)),INDEX(Торг!$B:$B,MATCH(Прайс!$B995,Торг!$H:$H,0))),"")</f>
        <v/>
      </c>
      <c r="G995" s="67" t="str">
        <f>IFERROR(IFERROR(INDEX(Кат!$B:$B,MATCH(Прайс!$B995,Кат!$G:$G,0)),INDEX(Торг!$C:$C,MATCH(Прайс!$B995,Торг!$H:$H,0))),"")</f>
        <v/>
      </c>
      <c r="H995" s="67" t="str">
        <f>IFERROR(IFERROR(INDEX(Кат!$I:$I,MATCH(Прайс!$B995,Кат!$G:$G,0)),INDEX(Торг!$I:$I,MATCH(Прайс!$B995,Торг!$H:$H,0))),"")</f>
        <v/>
      </c>
    </row>
    <row r="996" spans="1:8" x14ac:dyDescent="0.25">
      <c r="A996" s="99" t="s">
        <v>2980</v>
      </c>
      <c r="B996" s="108">
        <v>50564</v>
      </c>
      <c r="C996" s="108" t="s">
        <v>670</v>
      </c>
      <c r="D996" s="101" t="s">
        <v>480</v>
      </c>
      <c r="E996" s="102">
        <v>330</v>
      </c>
      <c r="F996" s="67" t="str">
        <f>IFERROR(IFERROR(INDEX(Кат!$A:$A,MATCH(Прайс!$B996,Кат!$G:$G,0)),INDEX(Торг!$B:$B,MATCH(Прайс!$B996,Торг!$H:$H,0))),"")</f>
        <v/>
      </c>
      <c r="G996" s="67" t="str">
        <f>IFERROR(IFERROR(INDEX(Кат!$B:$B,MATCH(Прайс!$B996,Кат!$G:$G,0)),INDEX(Торг!$C:$C,MATCH(Прайс!$B996,Торг!$H:$H,0))),"")</f>
        <v/>
      </c>
      <c r="H996" s="67" t="str">
        <f>IFERROR(IFERROR(INDEX(Кат!$I:$I,MATCH(Прайс!$B996,Кат!$G:$G,0)),INDEX(Торг!$I:$I,MATCH(Прайс!$B996,Торг!$H:$H,0))),"")</f>
        <v/>
      </c>
    </row>
    <row r="997" spans="1:8" x14ac:dyDescent="0.25">
      <c r="A997" s="99" t="s">
        <v>2981</v>
      </c>
      <c r="B997" s="108">
        <v>50580</v>
      </c>
      <c r="C997" s="108" t="s">
        <v>671</v>
      </c>
      <c r="D997" s="101" t="s">
        <v>480</v>
      </c>
      <c r="E997" s="102">
        <v>380</v>
      </c>
      <c r="F997" s="67" t="str">
        <f>IFERROR(IFERROR(INDEX(Кат!$A:$A,MATCH(Прайс!$B997,Кат!$G:$G,0)),INDEX(Торг!$B:$B,MATCH(Прайс!$B997,Торг!$H:$H,0))),"")</f>
        <v/>
      </c>
      <c r="G997" s="67" t="str">
        <f>IFERROR(IFERROR(INDEX(Кат!$B:$B,MATCH(Прайс!$B997,Кат!$G:$G,0)),INDEX(Торг!$C:$C,MATCH(Прайс!$B997,Торг!$H:$H,0))),"")</f>
        <v/>
      </c>
      <c r="H997" s="67" t="str">
        <f>IFERROR(IFERROR(INDEX(Кат!$I:$I,MATCH(Прайс!$B997,Кат!$G:$G,0)),INDEX(Торг!$I:$I,MATCH(Прайс!$B997,Торг!$H:$H,0))),"")</f>
        <v/>
      </c>
    </row>
    <row r="998" spans="1:8" x14ac:dyDescent="0.25">
      <c r="A998" s="99" t="s">
        <v>2982</v>
      </c>
      <c r="B998" s="108">
        <v>50535</v>
      </c>
      <c r="C998" s="108" t="s">
        <v>672</v>
      </c>
      <c r="D998" s="101" t="s">
        <v>480</v>
      </c>
      <c r="E998" s="102">
        <v>330</v>
      </c>
      <c r="F998" s="67" t="str">
        <f>IFERROR(IFERROR(INDEX(Кат!$A:$A,MATCH(Прайс!$B998,Кат!$G:$G,0)),INDEX(Торг!$B:$B,MATCH(Прайс!$B998,Торг!$H:$H,0))),"")</f>
        <v/>
      </c>
      <c r="G998" s="67" t="str">
        <f>IFERROR(IFERROR(INDEX(Кат!$B:$B,MATCH(Прайс!$B998,Кат!$G:$G,0)),INDEX(Торг!$C:$C,MATCH(Прайс!$B998,Торг!$H:$H,0))),"")</f>
        <v/>
      </c>
      <c r="H998" s="67" t="str">
        <f>IFERROR(IFERROR(INDEX(Кат!$I:$I,MATCH(Прайс!$B998,Кат!$G:$G,0)),INDEX(Торг!$I:$I,MATCH(Прайс!$B998,Торг!$H:$H,0))),"")</f>
        <v/>
      </c>
    </row>
    <row r="999" spans="1:8" x14ac:dyDescent="0.25">
      <c r="A999" s="99" t="s">
        <v>2983</v>
      </c>
      <c r="B999" s="108">
        <v>50536</v>
      </c>
      <c r="C999" s="108" t="s">
        <v>673</v>
      </c>
      <c r="D999" s="101" t="s">
        <v>480</v>
      </c>
      <c r="E999" s="102">
        <v>330</v>
      </c>
      <c r="F999" s="67" t="str">
        <f>IFERROR(IFERROR(INDEX(Кат!$A:$A,MATCH(Прайс!$B999,Кат!$G:$G,0)),INDEX(Торг!$B:$B,MATCH(Прайс!$B999,Торг!$H:$H,0))),"")</f>
        <v/>
      </c>
      <c r="G999" s="67" t="str">
        <f>IFERROR(IFERROR(INDEX(Кат!$B:$B,MATCH(Прайс!$B999,Кат!$G:$G,0)),INDEX(Торг!$C:$C,MATCH(Прайс!$B999,Торг!$H:$H,0))),"")</f>
        <v/>
      </c>
      <c r="H999" s="67" t="str">
        <f>IFERROR(IFERROR(INDEX(Кат!$I:$I,MATCH(Прайс!$B999,Кат!$G:$G,0)),INDEX(Торг!$I:$I,MATCH(Прайс!$B999,Торг!$H:$H,0))),"")</f>
        <v/>
      </c>
    </row>
    <row r="1000" spans="1:8" x14ac:dyDescent="0.25">
      <c r="A1000" s="99" t="s">
        <v>2984</v>
      </c>
      <c r="B1000" s="108">
        <v>50537</v>
      </c>
      <c r="C1000" s="108" t="s">
        <v>674</v>
      </c>
      <c r="D1000" s="101" t="s">
        <v>480</v>
      </c>
      <c r="E1000" s="102">
        <v>330</v>
      </c>
      <c r="F1000" s="67" t="str">
        <f>IFERROR(IFERROR(INDEX(Кат!$A:$A,MATCH(Прайс!$B1000,Кат!$G:$G,0)),INDEX(Торг!$B:$B,MATCH(Прайс!$B1000,Торг!$H:$H,0))),"")</f>
        <v/>
      </c>
      <c r="G1000" s="67" t="str">
        <f>IFERROR(IFERROR(INDEX(Кат!$B:$B,MATCH(Прайс!$B1000,Кат!$G:$G,0)),INDEX(Торг!$C:$C,MATCH(Прайс!$B1000,Торг!$H:$H,0))),"")</f>
        <v/>
      </c>
      <c r="H1000" s="67" t="str">
        <f>IFERROR(IFERROR(INDEX(Кат!$I:$I,MATCH(Прайс!$B1000,Кат!$G:$G,0)),INDEX(Торг!$I:$I,MATCH(Прайс!$B1000,Торг!$H:$H,0))),"")</f>
        <v/>
      </c>
    </row>
    <row r="1001" spans="1:8" x14ac:dyDescent="0.25">
      <c r="A1001" s="99" t="s">
        <v>5059</v>
      </c>
      <c r="B1001" s="108">
        <v>50604</v>
      </c>
      <c r="C1001" s="108" t="s">
        <v>5060</v>
      </c>
      <c r="D1001" s="101" t="s">
        <v>480</v>
      </c>
      <c r="E1001" s="102">
        <v>330</v>
      </c>
      <c r="F1001" s="67" t="str">
        <f>IFERROR(IFERROR(INDEX(Кат!$A:$A,MATCH(Прайс!$B1001,Кат!$G:$G,0)),INDEX(Торг!$B:$B,MATCH(Прайс!$B1001,Торг!$H:$H,0))),"")</f>
        <v/>
      </c>
      <c r="G1001" s="67" t="str">
        <f>IFERROR(IFERROR(INDEX(Кат!$B:$B,MATCH(Прайс!$B1001,Кат!$G:$G,0)),INDEX(Торг!$C:$C,MATCH(Прайс!$B1001,Торг!$H:$H,0))),"")</f>
        <v/>
      </c>
      <c r="H1001" s="67" t="str">
        <f>IFERROR(IFERROR(INDEX(Кат!$I:$I,MATCH(Прайс!$B1001,Кат!$G:$G,0)),INDEX(Торг!$I:$I,MATCH(Прайс!$B1001,Торг!$H:$H,0))),"")</f>
        <v/>
      </c>
    </row>
    <row r="1002" spans="1:8" x14ac:dyDescent="0.25">
      <c r="A1002" s="99" t="s">
        <v>2985</v>
      </c>
      <c r="B1002" s="108">
        <v>50538</v>
      </c>
      <c r="C1002" s="108" t="s">
        <v>675</v>
      </c>
      <c r="D1002" s="101" t="s">
        <v>480</v>
      </c>
      <c r="E1002" s="102">
        <v>330</v>
      </c>
      <c r="F1002" s="67" t="str">
        <f>IFERROR(IFERROR(INDEX(Кат!$A:$A,MATCH(Прайс!$B1002,Кат!$G:$G,0)),INDEX(Торг!$B:$B,MATCH(Прайс!$B1002,Торг!$H:$H,0))),"")</f>
        <v/>
      </c>
      <c r="G1002" s="67" t="str">
        <f>IFERROR(IFERROR(INDEX(Кат!$B:$B,MATCH(Прайс!$B1002,Кат!$G:$G,0)),INDEX(Торг!$C:$C,MATCH(Прайс!$B1002,Торг!$H:$H,0))),"")</f>
        <v/>
      </c>
      <c r="H1002" s="67" t="str">
        <f>IFERROR(IFERROR(INDEX(Кат!$I:$I,MATCH(Прайс!$B1002,Кат!$G:$G,0)),INDEX(Торг!$I:$I,MATCH(Прайс!$B1002,Торг!$H:$H,0))),"")</f>
        <v/>
      </c>
    </row>
    <row r="1003" spans="1:8" x14ac:dyDescent="0.25">
      <c r="A1003" s="99" t="s">
        <v>2986</v>
      </c>
      <c r="B1003" s="108">
        <v>50539</v>
      </c>
      <c r="C1003" s="108" t="s">
        <v>676</v>
      </c>
      <c r="D1003" s="101" t="s">
        <v>480</v>
      </c>
      <c r="E1003" s="102">
        <v>330</v>
      </c>
      <c r="F1003" s="67" t="str">
        <f>IFERROR(IFERROR(INDEX(Кат!$A:$A,MATCH(Прайс!$B1003,Кат!$G:$G,0)),INDEX(Торг!$B:$B,MATCH(Прайс!$B1003,Торг!$H:$H,0))),"")</f>
        <v/>
      </c>
      <c r="G1003" s="67" t="str">
        <f>IFERROR(IFERROR(INDEX(Кат!$B:$B,MATCH(Прайс!$B1003,Кат!$G:$G,0)),INDEX(Торг!$C:$C,MATCH(Прайс!$B1003,Торг!$H:$H,0))),"")</f>
        <v/>
      </c>
      <c r="H1003" s="67" t="str">
        <f>IFERROR(IFERROR(INDEX(Кат!$I:$I,MATCH(Прайс!$B1003,Кат!$G:$G,0)),INDEX(Торг!$I:$I,MATCH(Прайс!$B1003,Торг!$H:$H,0))),"")</f>
        <v/>
      </c>
    </row>
    <row r="1004" spans="1:8" x14ac:dyDescent="0.25">
      <c r="A1004" s="99" t="s">
        <v>6688</v>
      </c>
      <c r="B1004" s="108">
        <v>50579</v>
      </c>
      <c r="C1004" s="108" t="s">
        <v>6689</v>
      </c>
      <c r="D1004" s="101" t="s">
        <v>480</v>
      </c>
      <c r="E1004" s="102">
        <v>380</v>
      </c>
      <c r="F1004" s="67" t="str">
        <f>IFERROR(IFERROR(INDEX(Кат!$A:$A,MATCH(Прайс!$B1004,Кат!$G:$G,0)),INDEX(Торг!$B:$B,MATCH(Прайс!$B1004,Торг!$H:$H,0))),"")</f>
        <v/>
      </c>
      <c r="G1004" s="67" t="str">
        <f>IFERROR(IFERROR(INDEX(Кат!$B:$B,MATCH(Прайс!$B1004,Кат!$G:$G,0)),INDEX(Торг!$C:$C,MATCH(Прайс!$B1004,Торг!$H:$H,0))),"")</f>
        <v/>
      </c>
      <c r="H1004" s="67" t="str">
        <f>IFERROR(IFERROR(INDEX(Кат!$I:$I,MATCH(Прайс!$B1004,Кат!$G:$G,0)),INDEX(Торг!$I:$I,MATCH(Прайс!$B1004,Торг!$H:$H,0))),"")</f>
        <v/>
      </c>
    </row>
    <row r="1005" spans="1:8" x14ac:dyDescent="0.25">
      <c r="A1005" s="99" t="s">
        <v>5061</v>
      </c>
      <c r="B1005" s="108">
        <v>50608</v>
      </c>
      <c r="C1005" s="108" t="s">
        <v>5062</v>
      </c>
      <c r="D1005" s="101" t="s">
        <v>480</v>
      </c>
      <c r="E1005" s="102">
        <v>380</v>
      </c>
      <c r="F1005" s="67" t="str">
        <f>IFERROR(IFERROR(INDEX(Кат!$A:$A,MATCH(Прайс!$B1005,Кат!$G:$G,0)),INDEX(Торг!$B:$B,MATCH(Прайс!$B1005,Торг!$H:$H,0))),"")</f>
        <v/>
      </c>
      <c r="G1005" s="67" t="str">
        <f>IFERROR(IFERROR(INDEX(Кат!$B:$B,MATCH(Прайс!$B1005,Кат!$G:$G,0)),INDEX(Торг!$C:$C,MATCH(Прайс!$B1005,Торг!$H:$H,0))),"")</f>
        <v/>
      </c>
      <c r="H1005" s="67" t="str">
        <f>IFERROR(IFERROR(INDEX(Кат!$I:$I,MATCH(Прайс!$B1005,Кат!$G:$G,0)),INDEX(Торг!$I:$I,MATCH(Прайс!$B1005,Торг!$H:$H,0))),"")</f>
        <v/>
      </c>
    </row>
    <row r="1006" spans="1:8" x14ac:dyDescent="0.25">
      <c r="A1006" s="99" t="s">
        <v>2987</v>
      </c>
      <c r="B1006" s="108">
        <v>50542</v>
      </c>
      <c r="C1006" s="108" t="s">
        <v>5776</v>
      </c>
      <c r="D1006" s="101" t="s">
        <v>480</v>
      </c>
      <c r="E1006" s="102">
        <v>330</v>
      </c>
      <c r="F1006" s="67" t="str">
        <f>IFERROR(IFERROR(INDEX(Кат!$A:$A,MATCH(Прайс!$B1006,Кат!$G:$G,0)),INDEX(Торг!$B:$B,MATCH(Прайс!$B1006,Торг!$H:$H,0))),"")</f>
        <v/>
      </c>
      <c r="G1006" s="67" t="str">
        <f>IFERROR(IFERROR(INDEX(Кат!$B:$B,MATCH(Прайс!$B1006,Кат!$G:$G,0)),INDEX(Торг!$C:$C,MATCH(Прайс!$B1006,Торг!$H:$H,0))),"")</f>
        <v/>
      </c>
      <c r="H1006" s="67" t="str">
        <f>IFERROR(IFERROR(INDEX(Кат!$I:$I,MATCH(Прайс!$B1006,Кат!$G:$G,0)),INDEX(Торг!$I:$I,MATCH(Прайс!$B1006,Торг!$H:$H,0))),"")</f>
        <v/>
      </c>
    </row>
    <row r="1007" spans="1:8" x14ac:dyDescent="0.25">
      <c r="A1007" s="99" t="s">
        <v>7500</v>
      </c>
      <c r="B1007" s="108">
        <v>50635</v>
      </c>
      <c r="C1007" s="108" t="s">
        <v>7501</v>
      </c>
      <c r="D1007" s="101" t="s">
        <v>480</v>
      </c>
      <c r="E1007" s="102">
        <v>330</v>
      </c>
      <c r="F1007" s="67" t="str">
        <f>IFERROR(IFERROR(INDEX(Кат!$A:$A,MATCH(Прайс!$B1007,Кат!$G:$G,0)),INDEX(Торг!$B:$B,MATCH(Прайс!$B1007,Торг!$H:$H,0))),"")</f>
        <v/>
      </c>
      <c r="G1007" s="67" t="str">
        <f>IFERROR(IFERROR(INDEX(Кат!$B:$B,MATCH(Прайс!$B1007,Кат!$G:$G,0)),INDEX(Торг!$C:$C,MATCH(Прайс!$B1007,Торг!$H:$H,0))),"")</f>
        <v/>
      </c>
      <c r="H1007" s="67" t="str">
        <f>IFERROR(IFERROR(INDEX(Кат!$I:$I,MATCH(Прайс!$B1007,Кат!$G:$G,0)),INDEX(Торг!$I:$I,MATCH(Прайс!$B1007,Торг!$H:$H,0))),"")</f>
        <v/>
      </c>
    </row>
    <row r="1008" spans="1:8" x14ac:dyDescent="0.25">
      <c r="A1008" s="99" t="s">
        <v>2988</v>
      </c>
      <c r="B1008" s="108">
        <v>50565</v>
      </c>
      <c r="C1008" s="108" t="s">
        <v>677</v>
      </c>
      <c r="D1008" s="101" t="s">
        <v>480</v>
      </c>
      <c r="E1008" s="102">
        <v>330</v>
      </c>
      <c r="F1008" s="67" t="str">
        <f>IFERROR(IFERROR(INDEX(Кат!$A:$A,MATCH(Прайс!$B1008,Кат!$G:$G,0)),INDEX(Торг!$B:$B,MATCH(Прайс!$B1008,Торг!$H:$H,0))),"")</f>
        <v/>
      </c>
      <c r="G1008" s="67" t="str">
        <f>IFERROR(IFERROR(INDEX(Кат!$B:$B,MATCH(Прайс!$B1008,Кат!$G:$G,0)),INDEX(Торг!$C:$C,MATCH(Прайс!$B1008,Торг!$H:$H,0))),"")</f>
        <v/>
      </c>
      <c r="H1008" s="67" t="str">
        <f>IFERROR(IFERROR(INDEX(Кат!$I:$I,MATCH(Прайс!$B1008,Кат!$G:$G,0)),INDEX(Торг!$I:$I,MATCH(Прайс!$B1008,Торг!$H:$H,0))),"")</f>
        <v/>
      </c>
    </row>
    <row r="1009" spans="1:8" x14ac:dyDescent="0.25">
      <c r="A1009" s="99" t="s">
        <v>6690</v>
      </c>
      <c r="B1009" s="108">
        <v>50667</v>
      </c>
      <c r="C1009" s="108" t="s">
        <v>6691</v>
      </c>
      <c r="D1009" s="101" t="s">
        <v>480</v>
      </c>
      <c r="E1009" s="102">
        <v>330</v>
      </c>
      <c r="F1009" s="67" t="str">
        <f>IFERROR(IFERROR(INDEX(Кат!$A:$A,MATCH(Прайс!$B1009,Кат!$G:$G,0)),INDEX(Торг!$B:$B,MATCH(Прайс!$B1009,Торг!$H:$H,0))),"")</f>
        <v/>
      </c>
      <c r="G1009" s="67" t="str">
        <f>IFERROR(IFERROR(INDEX(Кат!$B:$B,MATCH(Прайс!$B1009,Кат!$G:$G,0)),INDEX(Торг!$C:$C,MATCH(Прайс!$B1009,Торг!$H:$H,0))),"")</f>
        <v/>
      </c>
      <c r="H1009" s="67" t="str">
        <f>IFERROR(IFERROR(INDEX(Кат!$I:$I,MATCH(Прайс!$B1009,Кат!$G:$G,0)),INDEX(Торг!$I:$I,MATCH(Прайс!$B1009,Торг!$H:$H,0))),"")</f>
        <v/>
      </c>
    </row>
    <row r="1010" spans="1:8" x14ac:dyDescent="0.25">
      <c r="A1010" s="99" t="s">
        <v>7502</v>
      </c>
      <c r="B1010" s="108">
        <v>50700</v>
      </c>
      <c r="C1010" s="108" t="s">
        <v>7503</v>
      </c>
      <c r="D1010" s="101" t="s">
        <v>480</v>
      </c>
      <c r="E1010" s="102">
        <v>330</v>
      </c>
      <c r="F1010" s="67" t="str">
        <f>IFERROR(IFERROR(INDEX(Кат!$A:$A,MATCH(Прайс!$B1010,Кат!$G:$G,0)),INDEX(Торг!$B:$B,MATCH(Прайс!$B1010,Торг!$H:$H,0))),"")</f>
        <v/>
      </c>
      <c r="G1010" s="67" t="str">
        <f>IFERROR(IFERROR(INDEX(Кат!$B:$B,MATCH(Прайс!$B1010,Кат!$G:$G,0)),INDEX(Торг!$C:$C,MATCH(Прайс!$B1010,Торг!$H:$H,0))),"")</f>
        <v/>
      </c>
      <c r="H1010" s="67" t="str">
        <f>IFERROR(IFERROR(INDEX(Кат!$I:$I,MATCH(Прайс!$B1010,Кат!$G:$G,0)),INDEX(Торг!$I:$I,MATCH(Прайс!$B1010,Торг!$H:$H,0))),"")</f>
        <v/>
      </c>
    </row>
    <row r="1011" spans="1:8" x14ac:dyDescent="0.25">
      <c r="A1011" s="99" t="s">
        <v>7504</v>
      </c>
      <c r="B1011" s="108">
        <v>50699</v>
      </c>
      <c r="C1011" s="108" t="s">
        <v>7505</v>
      </c>
      <c r="D1011" s="101" t="s">
        <v>480</v>
      </c>
      <c r="E1011" s="102">
        <v>330</v>
      </c>
      <c r="F1011" s="67" t="str">
        <f>IFERROR(IFERROR(INDEX(Кат!$A:$A,MATCH(Прайс!$B1011,Кат!$G:$G,0)),INDEX(Торг!$B:$B,MATCH(Прайс!$B1011,Торг!$H:$H,0))),"")</f>
        <v/>
      </c>
      <c r="G1011" s="67" t="str">
        <f>IFERROR(IFERROR(INDEX(Кат!$B:$B,MATCH(Прайс!$B1011,Кат!$G:$G,0)),INDEX(Торг!$C:$C,MATCH(Прайс!$B1011,Торг!$H:$H,0))),"")</f>
        <v/>
      </c>
      <c r="H1011" s="67" t="str">
        <f>IFERROR(IFERROR(INDEX(Кат!$I:$I,MATCH(Прайс!$B1011,Кат!$G:$G,0)),INDEX(Торг!$I:$I,MATCH(Прайс!$B1011,Торг!$H:$H,0))),"")</f>
        <v/>
      </c>
    </row>
    <row r="1012" spans="1:8" x14ac:dyDescent="0.25">
      <c r="A1012" s="99" t="s">
        <v>7506</v>
      </c>
      <c r="B1012" s="108">
        <v>50701</v>
      </c>
      <c r="C1012" s="108" t="s">
        <v>7507</v>
      </c>
      <c r="D1012" s="101" t="s">
        <v>480</v>
      </c>
      <c r="E1012" s="102">
        <v>330</v>
      </c>
      <c r="F1012" s="67" t="str">
        <f>IFERROR(IFERROR(INDEX(Кат!$A:$A,MATCH(Прайс!$B1012,Кат!$G:$G,0)),INDEX(Торг!$B:$B,MATCH(Прайс!$B1012,Торг!$H:$H,0))),"")</f>
        <v/>
      </c>
      <c r="G1012" s="67" t="str">
        <f>IFERROR(IFERROR(INDEX(Кат!$B:$B,MATCH(Прайс!$B1012,Кат!$G:$G,0)),INDEX(Торг!$C:$C,MATCH(Прайс!$B1012,Торг!$H:$H,0))),"")</f>
        <v/>
      </c>
      <c r="H1012" s="67" t="str">
        <f>IFERROR(IFERROR(INDEX(Кат!$I:$I,MATCH(Прайс!$B1012,Кат!$G:$G,0)),INDEX(Торг!$I:$I,MATCH(Прайс!$B1012,Торг!$H:$H,0))),"")</f>
        <v/>
      </c>
    </row>
    <row r="1013" spans="1:8" x14ac:dyDescent="0.25">
      <c r="A1013" s="109" t="s">
        <v>8219</v>
      </c>
      <c r="B1013" s="110">
        <v>50708</v>
      </c>
      <c r="C1013" s="110" t="s">
        <v>8220</v>
      </c>
      <c r="D1013" s="111" t="s">
        <v>480</v>
      </c>
      <c r="E1013" s="112">
        <v>330</v>
      </c>
      <c r="F1013" s="67" t="str">
        <f>IFERROR(IFERROR(INDEX(Кат!$A:$A,MATCH(Прайс!$B1013,Кат!$G:$G,0)),INDEX(Торг!$B:$B,MATCH(Прайс!$B1013,Торг!$H:$H,0))),"")</f>
        <v/>
      </c>
      <c r="G1013" s="67" t="str">
        <f>IFERROR(IFERROR(INDEX(Кат!$B:$B,MATCH(Прайс!$B1013,Кат!$G:$G,0)),INDEX(Торг!$C:$C,MATCH(Прайс!$B1013,Торг!$H:$H,0))),"")</f>
        <v/>
      </c>
      <c r="H1013" s="67" t="str">
        <f>IFERROR(IFERROR(INDEX(Кат!$I:$I,MATCH(Прайс!$B1013,Кат!$G:$G,0)),INDEX(Торг!$I:$I,MATCH(Прайс!$B1013,Торг!$H:$H,0))),"")</f>
        <v/>
      </c>
    </row>
    <row r="1014" spans="1:8" x14ac:dyDescent="0.25">
      <c r="A1014" s="94" t="s">
        <v>8221</v>
      </c>
      <c r="B1014" s="98">
        <v>50707</v>
      </c>
      <c r="C1014" s="98" t="s">
        <v>8222</v>
      </c>
      <c r="D1014" s="96" t="s">
        <v>480</v>
      </c>
      <c r="E1014" s="97">
        <v>330</v>
      </c>
      <c r="F1014" s="67" t="str">
        <f>IFERROR(IFERROR(INDEX(Кат!$A:$A,MATCH(Прайс!$B1014,Кат!$G:$G,0)),INDEX(Торг!$B:$B,MATCH(Прайс!$B1014,Торг!$H:$H,0))),"")</f>
        <v/>
      </c>
      <c r="G1014" s="67" t="str">
        <f>IFERROR(IFERROR(INDEX(Кат!$B:$B,MATCH(Прайс!$B1014,Кат!$G:$G,0)),INDEX(Торг!$C:$C,MATCH(Прайс!$B1014,Торг!$H:$H,0))),"")</f>
        <v/>
      </c>
      <c r="H1014" s="67" t="str">
        <f>IFERROR(IFERROR(INDEX(Кат!$I:$I,MATCH(Прайс!$B1014,Кат!$G:$G,0)),INDEX(Торг!$I:$I,MATCH(Прайс!$B1014,Торг!$H:$H,0))),"")</f>
        <v/>
      </c>
    </row>
    <row r="1015" spans="1:8" x14ac:dyDescent="0.25">
      <c r="A1015" s="94" t="s">
        <v>8545</v>
      </c>
      <c r="B1015" s="98">
        <v>50717</v>
      </c>
      <c r="C1015" s="98" t="s">
        <v>8546</v>
      </c>
      <c r="D1015" s="96" t="s">
        <v>176</v>
      </c>
      <c r="E1015" s="97">
        <v>330</v>
      </c>
      <c r="F1015" s="67" t="str">
        <f>IFERROR(IFERROR(INDEX(Кат!$A:$A,MATCH(Прайс!$B1015,Кат!$G:$G,0)),INDEX(Торг!$B:$B,MATCH(Прайс!$B1015,Торг!$H:$H,0))),"")</f>
        <v/>
      </c>
      <c r="G1015" s="67" t="str">
        <f>IFERROR(IFERROR(INDEX(Кат!$B:$B,MATCH(Прайс!$B1015,Кат!$G:$G,0)),INDEX(Торг!$C:$C,MATCH(Прайс!$B1015,Торг!$H:$H,0))),"")</f>
        <v/>
      </c>
      <c r="H1015" s="67" t="str">
        <f>IFERROR(IFERROR(INDEX(Кат!$I:$I,MATCH(Прайс!$B1015,Кат!$G:$G,0)),INDEX(Торг!$I:$I,MATCH(Прайс!$B1015,Торг!$H:$H,0))),"")</f>
        <v/>
      </c>
    </row>
    <row r="1016" spans="1:8" x14ac:dyDescent="0.25">
      <c r="A1016" s="99" t="s">
        <v>7508</v>
      </c>
      <c r="B1016" s="108">
        <v>50702</v>
      </c>
      <c r="C1016" s="108" t="s">
        <v>7509</v>
      </c>
      <c r="D1016" s="101" t="s">
        <v>480</v>
      </c>
      <c r="E1016" s="102">
        <v>330</v>
      </c>
      <c r="F1016" s="67" t="str">
        <f>IFERROR(IFERROR(INDEX(Кат!$A:$A,MATCH(Прайс!$B1016,Кат!$G:$G,0)),INDEX(Торг!$B:$B,MATCH(Прайс!$B1016,Торг!$H:$H,0))),"")</f>
        <v/>
      </c>
      <c r="G1016" s="67" t="str">
        <f>IFERROR(IFERROR(INDEX(Кат!$B:$B,MATCH(Прайс!$B1016,Кат!$G:$G,0)),INDEX(Торг!$C:$C,MATCH(Прайс!$B1016,Торг!$H:$H,0))),"")</f>
        <v/>
      </c>
      <c r="H1016" s="67" t="str">
        <f>IFERROR(IFERROR(INDEX(Кат!$I:$I,MATCH(Прайс!$B1016,Кат!$G:$G,0)),INDEX(Торг!$I:$I,MATCH(Прайс!$B1016,Торг!$H:$H,0))),"")</f>
        <v/>
      </c>
    </row>
    <row r="1017" spans="1:8" x14ac:dyDescent="0.25">
      <c r="A1017" s="99" t="s">
        <v>7510</v>
      </c>
      <c r="B1017" s="108">
        <v>50704</v>
      </c>
      <c r="C1017" s="108" t="s">
        <v>7511</v>
      </c>
      <c r="D1017" s="101" t="s">
        <v>480</v>
      </c>
      <c r="E1017" s="102">
        <v>330</v>
      </c>
      <c r="F1017" s="67" t="str">
        <f>IFERROR(IFERROR(INDEX(Кат!$A:$A,MATCH(Прайс!$B1017,Кат!$G:$G,0)),INDEX(Торг!$B:$B,MATCH(Прайс!$B1017,Торг!$H:$H,0))),"")</f>
        <v/>
      </c>
      <c r="G1017" s="67" t="str">
        <f>IFERROR(IFERROR(INDEX(Кат!$B:$B,MATCH(Прайс!$B1017,Кат!$G:$G,0)),INDEX(Торг!$C:$C,MATCH(Прайс!$B1017,Торг!$H:$H,0))),"")</f>
        <v/>
      </c>
      <c r="H1017" s="67" t="str">
        <f>IFERROR(IFERROR(INDEX(Кат!$I:$I,MATCH(Прайс!$B1017,Кат!$G:$G,0)),INDEX(Торг!$I:$I,MATCH(Прайс!$B1017,Торг!$H:$H,0))),"")</f>
        <v/>
      </c>
    </row>
    <row r="1018" spans="1:8" x14ac:dyDescent="0.25">
      <c r="A1018" s="99" t="s">
        <v>7512</v>
      </c>
      <c r="B1018" s="108">
        <v>50703</v>
      </c>
      <c r="C1018" s="108" t="s">
        <v>7513</v>
      </c>
      <c r="D1018" s="101" t="s">
        <v>480</v>
      </c>
      <c r="E1018" s="102">
        <v>330</v>
      </c>
      <c r="F1018" s="67" t="str">
        <f>IFERROR(IFERROR(INDEX(Кат!$A:$A,MATCH(Прайс!$B1018,Кат!$G:$G,0)),INDEX(Торг!$B:$B,MATCH(Прайс!$B1018,Торг!$H:$H,0))),"")</f>
        <v/>
      </c>
      <c r="G1018" s="67" t="str">
        <f>IFERROR(IFERROR(INDEX(Кат!$B:$B,MATCH(Прайс!$B1018,Кат!$G:$G,0)),INDEX(Торг!$C:$C,MATCH(Прайс!$B1018,Торг!$H:$H,0))),"")</f>
        <v/>
      </c>
      <c r="H1018" s="67" t="str">
        <f>IFERROR(IFERROR(INDEX(Кат!$I:$I,MATCH(Прайс!$B1018,Кат!$G:$G,0)),INDEX(Торг!$I:$I,MATCH(Прайс!$B1018,Торг!$H:$H,0))),"")</f>
        <v/>
      </c>
    </row>
    <row r="1019" spans="1:8" x14ac:dyDescent="0.25">
      <c r="A1019" s="109" t="s">
        <v>8223</v>
      </c>
      <c r="B1019" s="110">
        <v>50709</v>
      </c>
      <c r="C1019" s="110" t="s">
        <v>8224</v>
      </c>
      <c r="D1019" s="111" t="s">
        <v>480</v>
      </c>
      <c r="E1019" s="112">
        <v>330</v>
      </c>
      <c r="F1019" s="67" t="str">
        <f>IFERROR(IFERROR(INDEX(Кат!$A:$A,MATCH(Прайс!$B1019,Кат!$G:$G,0)),INDEX(Торг!$B:$B,MATCH(Прайс!$B1019,Торг!$H:$H,0))),"")</f>
        <v/>
      </c>
      <c r="G1019" s="67" t="str">
        <f>IFERROR(IFERROR(INDEX(Кат!$B:$B,MATCH(Прайс!$B1019,Кат!$G:$G,0)),INDEX(Торг!$C:$C,MATCH(Прайс!$B1019,Торг!$H:$H,0))),"")</f>
        <v/>
      </c>
      <c r="H1019" s="67" t="str">
        <f>IFERROR(IFERROR(INDEX(Кат!$I:$I,MATCH(Прайс!$B1019,Кат!$G:$G,0)),INDEX(Торг!$I:$I,MATCH(Прайс!$B1019,Торг!$H:$H,0))),"")</f>
        <v/>
      </c>
    </row>
    <row r="1020" spans="1:8" x14ac:dyDescent="0.25">
      <c r="A1020" s="99" t="s">
        <v>7514</v>
      </c>
      <c r="B1020" s="108">
        <v>50697</v>
      </c>
      <c r="C1020" s="108" t="s">
        <v>7515</v>
      </c>
      <c r="D1020" s="101" t="s">
        <v>159</v>
      </c>
      <c r="E1020" s="102">
        <v>220</v>
      </c>
      <c r="F1020" s="67" t="str">
        <f>IFERROR(IFERROR(INDEX(Кат!$A:$A,MATCH(Прайс!$B1020,Кат!$G:$G,0)),INDEX(Торг!$B:$B,MATCH(Прайс!$B1020,Торг!$H:$H,0))),"")</f>
        <v/>
      </c>
      <c r="G1020" s="67" t="str">
        <f>IFERROR(IFERROR(INDEX(Кат!$B:$B,MATCH(Прайс!$B1020,Кат!$G:$G,0)),INDEX(Торг!$C:$C,MATCH(Прайс!$B1020,Торг!$H:$H,0))),"")</f>
        <v/>
      </c>
      <c r="H1020" s="67" t="str">
        <f>IFERROR(IFERROR(INDEX(Кат!$I:$I,MATCH(Прайс!$B1020,Кат!$G:$G,0)),INDEX(Торг!$I:$I,MATCH(Прайс!$B1020,Торг!$H:$H,0))),"")</f>
        <v/>
      </c>
    </row>
    <row r="1021" spans="1:8" ht="15.75" x14ac:dyDescent="0.25">
      <c r="A1021" s="90"/>
      <c r="B1021" s="91"/>
      <c r="C1021" s="92" t="s">
        <v>678</v>
      </c>
      <c r="D1021" s="91"/>
      <c r="E1021" s="93"/>
      <c r="F1021" s="67" t="str">
        <f>IFERROR(IFERROR(INDEX(Кат!$A:$A,MATCH(Прайс!$B1021,Кат!$G:$G,0)),INDEX(Торг!$B:$B,MATCH(Прайс!$B1021,Торг!$H:$H,0))),"")</f>
        <v/>
      </c>
      <c r="G1021" s="67" t="str">
        <f>IFERROR(IFERROR(INDEX(Кат!$B:$B,MATCH(Прайс!$B1021,Кат!$G:$G,0)),INDEX(Торг!$C:$C,MATCH(Прайс!$B1021,Торг!$H:$H,0))),"")</f>
        <v/>
      </c>
      <c r="H1021" s="67" t="str">
        <f>IFERROR(IFERROR(INDEX(Кат!$I:$I,MATCH(Прайс!$B1021,Кат!$G:$G,0)),INDEX(Торг!$I:$I,MATCH(Прайс!$B1021,Торг!$H:$H,0))),"")</f>
        <v/>
      </c>
    </row>
    <row r="1022" spans="1:8" x14ac:dyDescent="0.25">
      <c r="A1022" s="103" t="s">
        <v>5777</v>
      </c>
      <c r="B1022" s="104">
        <v>50292</v>
      </c>
      <c r="C1022" s="104" t="s">
        <v>5778</v>
      </c>
      <c r="D1022" s="105" t="s">
        <v>159</v>
      </c>
      <c r="E1022" s="113">
        <v>80</v>
      </c>
      <c r="F1022" s="67" t="str">
        <f>IFERROR(IFERROR(INDEX(Кат!$A:$A,MATCH(Прайс!$B1022,Кат!$G:$G,0)),INDEX(Торг!$B:$B,MATCH(Прайс!$B1022,Торг!$H:$H,0))),"")</f>
        <v/>
      </c>
      <c r="G1022" s="67" t="str">
        <f>IFERROR(IFERROR(INDEX(Кат!$B:$B,MATCH(Прайс!$B1022,Кат!$G:$G,0)),INDEX(Торг!$C:$C,MATCH(Прайс!$B1022,Торг!$H:$H,0))),"")</f>
        <v/>
      </c>
      <c r="H1022" s="67" t="str">
        <f>IFERROR(IFERROR(INDEX(Кат!$I:$I,MATCH(Прайс!$B1022,Кат!$G:$G,0)),INDEX(Торг!$I:$I,MATCH(Прайс!$B1022,Торг!$H:$H,0))),"")</f>
        <v/>
      </c>
    </row>
    <row r="1023" spans="1:8" ht="15.75" x14ac:dyDescent="0.25">
      <c r="A1023" s="90"/>
      <c r="B1023" s="91"/>
      <c r="C1023" s="92" t="s">
        <v>679</v>
      </c>
      <c r="D1023" s="91"/>
      <c r="E1023" s="93"/>
      <c r="F1023" s="67" t="str">
        <f>IFERROR(IFERROR(INDEX(Кат!$A:$A,MATCH(Прайс!$B1023,Кат!$G:$G,0)),INDEX(Торг!$B:$B,MATCH(Прайс!$B1023,Торг!$H:$H,0))),"")</f>
        <v/>
      </c>
      <c r="G1023" s="67" t="str">
        <f>IFERROR(IFERROR(INDEX(Кат!$B:$B,MATCH(Прайс!$B1023,Кат!$G:$G,0)),INDEX(Торг!$C:$C,MATCH(Прайс!$B1023,Торг!$H:$H,0))),"")</f>
        <v/>
      </c>
      <c r="H1023" s="67" t="str">
        <f>IFERROR(IFERROR(INDEX(Кат!$I:$I,MATCH(Прайс!$B1023,Кат!$G:$G,0)),INDEX(Торг!$I:$I,MATCH(Прайс!$B1023,Торг!$H:$H,0))),"")</f>
        <v/>
      </c>
    </row>
    <row r="1024" spans="1:8" x14ac:dyDescent="0.25">
      <c r="A1024" s="94" t="s">
        <v>2989</v>
      </c>
      <c r="B1024" s="98">
        <v>50293</v>
      </c>
      <c r="C1024" s="98" t="s">
        <v>680</v>
      </c>
      <c r="D1024" s="96" t="s">
        <v>257</v>
      </c>
      <c r="E1024" s="97">
        <v>85</v>
      </c>
      <c r="F1024" s="67" t="str">
        <f>IFERROR(IFERROR(INDEX(Кат!$A:$A,MATCH(Прайс!$B1024,Кат!$G:$G,0)),INDEX(Торг!$B:$B,MATCH(Прайс!$B1024,Торг!$H:$H,0))),"")</f>
        <v/>
      </c>
      <c r="G1024" s="67" t="str">
        <f>IFERROR(IFERROR(INDEX(Кат!$B:$B,MATCH(Прайс!$B1024,Кат!$G:$G,0)),INDEX(Торг!$C:$C,MATCH(Прайс!$B1024,Торг!$H:$H,0))),"")</f>
        <v/>
      </c>
      <c r="H1024" s="67" t="str">
        <f>IFERROR(IFERROR(INDEX(Кат!$I:$I,MATCH(Прайс!$B1024,Кат!$G:$G,0)),INDEX(Торг!$I:$I,MATCH(Прайс!$B1024,Торг!$H:$H,0))),"")</f>
        <v/>
      </c>
    </row>
    <row r="1025" spans="1:8" x14ac:dyDescent="0.25">
      <c r="A1025" s="94" t="s">
        <v>2990</v>
      </c>
      <c r="B1025" s="98">
        <v>50474</v>
      </c>
      <c r="C1025" s="98" t="s">
        <v>681</v>
      </c>
      <c r="D1025" s="96" t="s">
        <v>190</v>
      </c>
      <c r="E1025" s="97">
        <v>250</v>
      </c>
      <c r="F1025" s="67" t="str">
        <f>IFERROR(IFERROR(INDEX(Кат!$A:$A,MATCH(Прайс!$B1025,Кат!$G:$G,0)),INDEX(Торг!$B:$B,MATCH(Прайс!$B1025,Торг!$H:$H,0))),"")</f>
        <v/>
      </c>
      <c r="G1025" s="67" t="str">
        <f>IFERROR(IFERROR(INDEX(Кат!$B:$B,MATCH(Прайс!$B1025,Кат!$G:$G,0)),INDEX(Торг!$C:$C,MATCH(Прайс!$B1025,Торг!$H:$H,0))),"")</f>
        <v/>
      </c>
      <c r="H1025" s="67" t="str">
        <f>IFERROR(IFERROR(INDEX(Кат!$I:$I,MATCH(Прайс!$B1025,Кат!$G:$G,0)),INDEX(Торг!$I:$I,MATCH(Прайс!$B1025,Торг!$H:$H,0))),"")</f>
        <v/>
      </c>
    </row>
    <row r="1026" spans="1:8" ht="15.75" x14ac:dyDescent="0.25">
      <c r="A1026" s="90"/>
      <c r="B1026" s="91"/>
      <c r="C1026" s="92" t="s">
        <v>682</v>
      </c>
      <c r="D1026" s="91"/>
      <c r="E1026" s="93"/>
      <c r="F1026" s="67" t="str">
        <f>IFERROR(IFERROR(INDEX(Кат!$A:$A,MATCH(Прайс!$B1026,Кат!$G:$G,0)),INDEX(Торг!$B:$B,MATCH(Прайс!$B1026,Торг!$H:$H,0))),"")</f>
        <v/>
      </c>
      <c r="G1026" s="67" t="str">
        <f>IFERROR(IFERROR(INDEX(Кат!$B:$B,MATCH(Прайс!$B1026,Кат!$G:$G,0)),INDEX(Торг!$C:$C,MATCH(Прайс!$B1026,Торг!$H:$H,0))),"")</f>
        <v/>
      </c>
      <c r="H1026" s="67" t="str">
        <f>IFERROR(IFERROR(INDEX(Кат!$I:$I,MATCH(Прайс!$B1026,Кат!$G:$G,0)),INDEX(Торг!$I:$I,MATCH(Прайс!$B1026,Торг!$H:$H,0))),"")</f>
        <v/>
      </c>
    </row>
    <row r="1027" spans="1:8" x14ac:dyDescent="0.25">
      <c r="A1027" s="94" t="s">
        <v>5779</v>
      </c>
      <c r="B1027" s="98">
        <v>50594</v>
      </c>
      <c r="C1027" s="98" t="s">
        <v>5780</v>
      </c>
      <c r="D1027" s="96" t="s">
        <v>582</v>
      </c>
      <c r="E1027" s="97">
        <v>350</v>
      </c>
      <c r="F1027" s="67" t="str">
        <f>IFERROR(IFERROR(INDEX(Кат!$A:$A,MATCH(Прайс!$B1027,Кат!$G:$G,0)),INDEX(Торг!$B:$B,MATCH(Прайс!$B1027,Торг!$H:$H,0))),"")</f>
        <v/>
      </c>
      <c r="G1027" s="67" t="str">
        <f>IFERROR(IFERROR(INDEX(Кат!$B:$B,MATCH(Прайс!$B1027,Кат!$G:$G,0)),INDEX(Торг!$C:$C,MATCH(Прайс!$B1027,Торг!$H:$H,0))),"")</f>
        <v/>
      </c>
      <c r="H1027" s="67" t="str">
        <f>IFERROR(IFERROR(INDEX(Кат!$I:$I,MATCH(Прайс!$B1027,Кат!$G:$G,0)),INDEX(Торг!$I:$I,MATCH(Прайс!$B1027,Торг!$H:$H,0))),"")</f>
        <v/>
      </c>
    </row>
    <row r="1028" spans="1:8" x14ac:dyDescent="0.25">
      <c r="A1028" s="94" t="s">
        <v>2991</v>
      </c>
      <c r="B1028" s="98">
        <v>50550</v>
      </c>
      <c r="C1028" s="98" t="s">
        <v>683</v>
      </c>
      <c r="D1028" s="96" t="s">
        <v>166</v>
      </c>
      <c r="E1028" s="97">
        <v>200</v>
      </c>
      <c r="F1028" s="67" t="str">
        <f>IFERROR(IFERROR(INDEX(Кат!$A:$A,MATCH(Прайс!$B1028,Кат!$G:$G,0)),INDEX(Торг!$B:$B,MATCH(Прайс!$B1028,Торг!$H:$H,0))),"")</f>
        <v/>
      </c>
      <c r="G1028" s="67" t="str">
        <f>IFERROR(IFERROR(INDEX(Кат!$B:$B,MATCH(Прайс!$B1028,Кат!$G:$G,0)),INDEX(Торг!$C:$C,MATCH(Прайс!$B1028,Торг!$H:$H,0))),"")</f>
        <v/>
      </c>
      <c r="H1028" s="67" t="str">
        <f>IFERROR(IFERROR(INDEX(Кат!$I:$I,MATCH(Прайс!$B1028,Кат!$G:$G,0)),INDEX(Торг!$I:$I,MATCH(Прайс!$B1028,Торг!$H:$H,0))),"")</f>
        <v/>
      </c>
    </row>
    <row r="1029" spans="1:8" x14ac:dyDescent="0.25">
      <c r="A1029" s="94" t="s">
        <v>2992</v>
      </c>
      <c r="B1029" s="98">
        <v>50552</v>
      </c>
      <c r="C1029" s="98" t="s">
        <v>684</v>
      </c>
      <c r="D1029" s="96" t="s">
        <v>166</v>
      </c>
      <c r="E1029" s="97">
        <v>200</v>
      </c>
      <c r="F1029" s="67" t="str">
        <f>IFERROR(IFERROR(INDEX(Кат!$A:$A,MATCH(Прайс!$B1029,Кат!$G:$G,0)),INDEX(Торг!$B:$B,MATCH(Прайс!$B1029,Торг!$H:$H,0))),"")</f>
        <v/>
      </c>
      <c r="G1029" s="67" t="str">
        <f>IFERROR(IFERROR(INDEX(Кат!$B:$B,MATCH(Прайс!$B1029,Кат!$G:$G,0)),INDEX(Торг!$C:$C,MATCH(Прайс!$B1029,Торг!$H:$H,0))),"")</f>
        <v/>
      </c>
      <c r="H1029" s="67" t="str">
        <f>IFERROR(IFERROR(INDEX(Кат!$I:$I,MATCH(Прайс!$B1029,Кат!$G:$G,0)),INDEX(Торг!$I:$I,MATCH(Прайс!$B1029,Торг!$H:$H,0))),"")</f>
        <v/>
      </c>
    </row>
    <row r="1030" spans="1:8" x14ac:dyDescent="0.25">
      <c r="A1030" s="94" t="s">
        <v>2993</v>
      </c>
      <c r="B1030" s="98">
        <v>50554</v>
      </c>
      <c r="C1030" s="98" t="s">
        <v>685</v>
      </c>
      <c r="D1030" s="96" t="s">
        <v>166</v>
      </c>
      <c r="E1030" s="97">
        <v>200</v>
      </c>
      <c r="F1030" s="67" t="str">
        <f>IFERROR(IFERROR(INDEX(Кат!$A:$A,MATCH(Прайс!$B1030,Кат!$G:$G,0)),INDEX(Торг!$B:$B,MATCH(Прайс!$B1030,Торг!$H:$H,0))),"")</f>
        <v/>
      </c>
      <c r="G1030" s="67" t="str">
        <f>IFERROR(IFERROR(INDEX(Кат!$B:$B,MATCH(Прайс!$B1030,Кат!$G:$G,0)),INDEX(Торг!$C:$C,MATCH(Прайс!$B1030,Торг!$H:$H,0))),"")</f>
        <v/>
      </c>
      <c r="H1030" s="67" t="str">
        <f>IFERROR(IFERROR(INDEX(Кат!$I:$I,MATCH(Прайс!$B1030,Кат!$G:$G,0)),INDEX(Торг!$I:$I,MATCH(Прайс!$B1030,Торг!$H:$H,0))),"")</f>
        <v/>
      </c>
    </row>
    <row r="1031" spans="1:8" x14ac:dyDescent="0.25">
      <c r="A1031" s="94" t="s">
        <v>2994</v>
      </c>
      <c r="B1031" s="98">
        <v>50551</v>
      </c>
      <c r="C1031" s="98" t="s">
        <v>686</v>
      </c>
      <c r="D1031" s="96" t="s">
        <v>166</v>
      </c>
      <c r="E1031" s="97">
        <v>200</v>
      </c>
      <c r="F1031" s="67" t="str">
        <f>IFERROR(IFERROR(INDEX(Кат!$A:$A,MATCH(Прайс!$B1031,Кат!$G:$G,0)),INDEX(Торг!$B:$B,MATCH(Прайс!$B1031,Торг!$H:$H,0))),"")</f>
        <v/>
      </c>
      <c r="G1031" s="67" t="str">
        <f>IFERROR(IFERROR(INDEX(Кат!$B:$B,MATCH(Прайс!$B1031,Кат!$G:$G,0)),INDEX(Торг!$C:$C,MATCH(Прайс!$B1031,Торг!$H:$H,0))),"")</f>
        <v/>
      </c>
      <c r="H1031" s="67" t="str">
        <f>IFERROR(IFERROR(INDEX(Кат!$I:$I,MATCH(Прайс!$B1031,Кат!$G:$G,0)),INDEX(Торг!$I:$I,MATCH(Прайс!$B1031,Торг!$H:$H,0))),"")</f>
        <v/>
      </c>
    </row>
    <row r="1032" spans="1:8" x14ac:dyDescent="0.25">
      <c r="A1032" s="94" t="s">
        <v>2995</v>
      </c>
      <c r="B1032" s="98">
        <v>50553</v>
      </c>
      <c r="C1032" s="98" t="s">
        <v>687</v>
      </c>
      <c r="D1032" s="96" t="s">
        <v>166</v>
      </c>
      <c r="E1032" s="97">
        <v>200</v>
      </c>
      <c r="F1032" s="67" t="str">
        <f>IFERROR(IFERROR(INDEX(Кат!$A:$A,MATCH(Прайс!$B1032,Кат!$G:$G,0)),INDEX(Торг!$B:$B,MATCH(Прайс!$B1032,Торг!$H:$H,0))),"")</f>
        <v/>
      </c>
      <c r="G1032" s="67" t="str">
        <f>IFERROR(IFERROR(INDEX(Кат!$B:$B,MATCH(Прайс!$B1032,Кат!$G:$G,0)),INDEX(Торг!$C:$C,MATCH(Прайс!$B1032,Торг!$H:$H,0))),"")</f>
        <v/>
      </c>
      <c r="H1032" s="67" t="str">
        <f>IFERROR(IFERROR(INDEX(Кат!$I:$I,MATCH(Прайс!$B1032,Кат!$G:$G,0)),INDEX(Торг!$I:$I,MATCH(Прайс!$B1032,Торг!$H:$H,0))),"")</f>
        <v/>
      </c>
    </row>
    <row r="1033" spans="1:8" ht="15.75" x14ac:dyDescent="0.25">
      <c r="A1033" s="90"/>
      <c r="B1033" s="91"/>
      <c r="C1033" s="92" t="s">
        <v>688</v>
      </c>
      <c r="D1033" s="91"/>
      <c r="E1033" s="93"/>
      <c r="F1033" s="67" t="str">
        <f>IFERROR(IFERROR(INDEX(Кат!$A:$A,MATCH(Прайс!$B1033,Кат!$G:$G,0)),INDEX(Торг!$B:$B,MATCH(Прайс!$B1033,Торг!$H:$H,0))),"")</f>
        <v/>
      </c>
      <c r="G1033" s="67" t="str">
        <f>IFERROR(IFERROR(INDEX(Кат!$B:$B,MATCH(Прайс!$B1033,Кат!$G:$G,0)),INDEX(Торг!$C:$C,MATCH(Прайс!$B1033,Торг!$H:$H,0))),"")</f>
        <v/>
      </c>
      <c r="H1033" s="67" t="str">
        <f>IFERROR(IFERROR(INDEX(Кат!$I:$I,MATCH(Прайс!$B1033,Кат!$G:$G,0)),INDEX(Торг!$I:$I,MATCH(Прайс!$B1033,Торг!$H:$H,0))),"")</f>
        <v/>
      </c>
    </row>
    <row r="1034" spans="1:8" x14ac:dyDescent="0.25">
      <c r="A1034" s="94" t="s">
        <v>2996</v>
      </c>
      <c r="B1034" s="98">
        <v>12090</v>
      </c>
      <c r="C1034" s="98" t="s">
        <v>689</v>
      </c>
      <c r="D1034" s="96" t="s">
        <v>190</v>
      </c>
      <c r="E1034" s="97">
        <v>480</v>
      </c>
      <c r="F1034" s="67">
        <f>IFERROR(IFERROR(INDEX(Кат!$A:$A,MATCH(Прайс!$B1034,Кат!$G:$G,0)),INDEX(Торг!$B:$B,MATCH(Прайс!$B1034,Торг!$H:$H,0))),"")</f>
        <v>274400</v>
      </c>
      <c r="G1034" s="67">
        <f>IFERROR(IFERROR(INDEX(Кат!$B:$B,MATCH(Прайс!$B1034,Кат!$G:$G,0)),INDEX(Торг!$C:$C,MATCH(Прайс!$B1034,Торг!$H:$H,0))),"")</f>
        <v>225741</v>
      </c>
      <c r="H1034" s="67" t="str">
        <f>IFERROR(IFERROR(INDEX(Кат!$I:$I,MATCH(Прайс!$B1034,Кат!$G:$G,0)),INDEX(Торг!$I:$I,MATCH(Прайс!$B1034,Торг!$H:$H,0))),"")</f>
        <v>кристал авто</v>
      </c>
    </row>
    <row r="1035" spans="1:8" x14ac:dyDescent="0.25">
      <c r="A1035" s="94" t="s">
        <v>2997</v>
      </c>
      <c r="B1035" s="98">
        <v>12105</v>
      </c>
      <c r="C1035" s="98" t="s">
        <v>690</v>
      </c>
      <c r="D1035" s="96" t="s">
        <v>190</v>
      </c>
      <c r="E1035" s="97">
        <v>250</v>
      </c>
      <c r="F1035" s="67" t="str">
        <f>IFERROR(IFERROR(INDEX(Кат!$A:$A,MATCH(Прайс!$B1035,Кат!$G:$G,0)),INDEX(Торг!$B:$B,MATCH(Прайс!$B1035,Торг!$H:$H,0))),"")</f>
        <v/>
      </c>
      <c r="G1035" s="67" t="str">
        <f>IFERROR(IFERROR(INDEX(Кат!$B:$B,MATCH(Прайс!$B1035,Кат!$G:$G,0)),INDEX(Торг!$C:$C,MATCH(Прайс!$B1035,Торг!$H:$H,0))),"")</f>
        <v/>
      </c>
      <c r="H1035" s="67" t="str">
        <f>IFERROR(IFERROR(INDEX(Кат!$I:$I,MATCH(Прайс!$B1035,Кат!$G:$G,0)),INDEX(Торг!$I:$I,MATCH(Прайс!$B1035,Торг!$H:$H,0))),"")</f>
        <v/>
      </c>
    </row>
    <row r="1036" spans="1:8" x14ac:dyDescent="0.25">
      <c r="A1036" s="94" t="s">
        <v>2998</v>
      </c>
      <c r="B1036" s="98">
        <v>12104</v>
      </c>
      <c r="C1036" s="98" t="s">
        <v>691</v>
      </c>
      <c r="D1036" s="96" t="s">
        <v>190</v>
      </c>
      <c r="E1036" s="97">
        <v>250</v>
      </c>
      <c r="F1036" s="67" t="str">
        <f>IFERROR(IFERROR(INDEX(Кат!$A:$A,MATCH(Прайс!$B1036,Кат!$G:$G,0)),INDEX(Торг!$B:$B,MATCH(Прайс!$B1036,Торг!$H:$H,0))),"")</f>
        <v/>
      </c>
      <c r="G1036" s="67" t="str">
        <f>IFERROR(IFERROR(INDEX(Кат!$B:$B,MATCH(Прайс!$B1036,Кат!$G:$G,0)),INDEX(Торг!$C:$C,MATCH(Прайс!$B1036,Торг!$H:$H,0))),"")</f>
        <v/>
      </c>
      <c r="H1036" s="67" t="str">
        <f>IFERROR(IFERROR(INDEX(Кат!$I:$I,MATCH(Прайс!$B1036,Кат!$G:$G,0)),INDEX(Торг!$I:$I,MATCH(Прайс!$B1036,Торг!$H:$H,0))),"")</f>
        <v/>
      </c>
    </row>
    <row r="1037" spans="1:8" x14ac:dyDescent="0.25">
      <c r="A1037" s="94" t="s">
        <v>2999</v>
      </c>
      <c r="B1037" s="95">
        <v>12091</v>
      </c>
      <c r="C1037" s="95" t="s">
        <v>5063</v>
      </c>
      <c r="D1037" s="96" t="s">
        <v>159</v>
      </c>
      <c r="E1037" s="97">
        <v>170</v>
      </c>
      <c r="F1037" s="67">
        <f>IFERROR(IFERROR(INDEX(Кат!$A:$A,MATCH(Прайс!$B1037,Кат!$G:$G,0)),INDEX(Торг!$B:$B,MATCH(Прайс!$B1037,Торг!$H:$H,0))),"")</f>
        <v>274401</v>
      </c>
      <c r="G1037" s="67">
        <f>IFERROR(IFERROR(INDEX(Кат!$B:$B,MATCH(Прайс!$B1037,Кат!$G:$G,0)),INDEX(Торг!$C:$C,MATCH(Прайс!$B1037,Торг!$H:$H,0))),"")</f>
        <v>225744</v>
      </c>
      <c r="H1037" s="67" t="str">
        <f>IFERROR(IFERROR(INDEX(Кат!$I:$I,MATCH(Прайс!$B1037,Кат!$G:$G,0)),INDEX(Торг!$I:$I,MATCH(Прайс!$B1037,Торг!$H:$H,0))),"")</f>
        <v>кристал авто</v>
      </c>
    </row>
    <row r="1038" spans="1:8" x14ac:dyDescent="0.25">
      <c r="A1038" s="94" t="s">
        <v>3000</v>
      </c>
      <c r="B1038" s="95">
        <v>12092</v>
      </c>
      <c r="C1038" s="95" t="s">
        <v>5064</v>
      </c>
      <c r="D1038" s="96" t="s">
        <v>159</v>
      </c>
      <c r="E1038" s="97">
        <v>240</v>
      </c>
      <c r="F1038" s="67">
        <f>IFERROR(IFERROR(INDEX(Кат!$A:$A,MATCH(Прайс!$B1038,Кат!$G:$G,0)),INDEX(Торг!$B:$B,MATCH(Прайс!$B1038,Торг!$H:$H,0))),"")</f>
        <v>274402</v>
      </c>
      <c r="G1038" s="67">
        <f>IFERROR(IFERROR(INDEX(Кат!$B:$B,MATCH(Прайс!$B1038,Кат!$G:$G,0)),INDEX(Торг!$C:$C,MATCH(Прайс!$B1038,Торг!$H:$H,0))),"")</f>
        <v>225745</v>
      </c>
      <c r="H1038" s="67" t="str">
        <f>IFERROR(IFERROR(INDEX(Кат!$I:$I,MATCH(Прайс!$B1038,Кат!$G:$G,0)),INDEX(Торг!$I:$I,MATCH(Прайс!$B1038,Торг!$H:$H,0))),"")</f>
        <v>кристал авто</v>
      </c>
    </row>
    <row r="1039" spans="1:8" ht="15.75" x14ac:dyDescent="0.25">
      <c r="A1039" s="90"/>
      <c r="B1039" s="91"/>
      <c r="C1039" s="92" t="s">
        <v>692</v>
      </c>
      <c r="D1039" s="91"/>
      <c r="E1039" s="93"/>
      <c r="F1039" s="67" t="str">
        <f>IFERROR(IFERROR(INDEX(Кат!$A:$A,MATCH(Прайс!$B1039,Кат!$G:$G,0)),INDEX(Торг!$B:$B,MATCH(Прайс!$B1039,Торг!$H:$H,0))),"")</f>
        <v/>
      </c>
      <c r="G1039" s="67" t="str">
        <f>IFERROR(IFERROR(INDEX(Кат!$B:$B,MATCH(Прайс!$B1039,Кат!$G:$G,0)),INDEX(Торг!$C:$C,MATCH(Прайс!$B1039,Торг!$H:$H,0))),"")</f>
        <v/>
      </c>
      <c r="H1039" s="67" t="str">
        <f>IFERROR(IFERROR(INDEX(Кат!$I:$I,MATCH(Прайс!$B1039,Кат!$G:$G,0)),INDEX(Торг!$I:$I,MATCH(Прайс!$B1039,Торг!$H:$H,0))),"")</f>
        <v/>
      </c>
    </row>
    <row r="1040" spans="1:8" x14ac:dyDescent="0.25">
      <c r="A1040" s="94" t="s">
        <v>3001</v>
      </c>
      <c r="B1040" s="98">
        <v>50516</v>
      </c>
      <c r="C1040" s="98" t="s">
        <v>693</v>
      </c>
      <c r="D1040" s="96" t="s">
        <v>582</v>
      </c>
      <c r="E1040" s="97">
        <v>95</v>
      </c>
      <c r="F1040" s="67" t="str">
        <f>IFERROR(IFERROR(INDEX(Кат!$A:$A,MATCH(Прайс!$B1040,Кат!$G:$G,0)),INDEX(Торг!$B:$B,MATCH(Прайс!$B1040,Торг!$H:$H,0))),"")</f>
        <v/>
      </c>
      <c r="G1040" s="67" t="str">
        <f>IFERROR(IFERROR(INDEX(Кат!$B:$B,MATCH(Прайс!$B1040,Кат!$G:$G,0)),INDEX(Торг!$C:$C,MATCH(Прайс!$B1040,Торг!$H:$H,0))),"")</f>
        <v/>
      </c>
      <c r="H1040" s="67" t="str">
        <f>IFERROR(IFERROR(INDEX(Кат!$I:$I,MATCH(Прайс!$B1040,Кат!$G:$G,0)),INDEX(Торг!$I:$I,MATCH(Прайс!$B1040,Торг!$H:$H,0))),"")</f>
        <v/>
      </c>
    </row>
    <row r="1041" spans="1:8" x14ac:dyDescent="0.25">
      <c r="A1041" s="94" t="s">
        <v>5416</v>
      </c>
      <c r="B1041" s="98">
        <v>50510</v>
      </c>
      <c r="C1041" s="98" t="s">
        <v>8225</v>
      </c>
      <c r="D1041" s="96" t="s">
        <v>166</v>
      </c>
      <c r="E1041" s="97">
        <v>100</v>
      </c>
      <c r="F1041" s="67" t="str">
        <f>IFERROR(IFERROR(INDEX(Кат!$A:$A,MATCH(Прайс!$B1041,Кат!$G:$G,0)),INDEX(Торг!$B:$B,MATCH(Прайс!$B1041,Торг!$H:$H,0))),"")</f>
        <v/>
      </c>
      <c r="G1041" s="67" t="str">
        <f>IFERROR(IFERROR(INDEX(Кат!$B:$B,MATCH(Прайс!$B1041,Кат!$G:$G,0)),INDEX(Торг!$C:$C,MATCH(Прайс!$B1041,Торг!$H:$H,0))),"")</f>
        <v/>
      </c>
      <c r="H1041" s="67" t="str">
        <f>IFERROR(IFERROR(INDEX(Кат!$I:$I,MATCH(Прайс!$B1041,Кат!$G:$G,0)),INDEX(Торг!$I:$I,MATCH(Прайс!$B1041,Торг!$H:$H,0))),"")</f>
        <v/>
      </c>
    </row>
    <row r="1042" spans="1:8" x14ac:dyDescent="0.25">
      <c r="A1042" s="94" t="s">
        <v>3002</v>
      </c>
      <c r="B1042" s="98">
        <v>50509</v>
      </c>
      <c r="C1042" s="98" t="s">
        <v>8226</v>
      </c>
      <c r="D1042" s="96" t="s">
        <v>166</v>
      </c>
      <c r="E1042" s="97">
        <v>100</v>
      </c>
      <c r="F1042" s="67" t="str">
        <f>IFERROR(IFERROR(INDEX(Кат!$A:$A,MATCH(Прайс!$B1042,Кат!$G:$G,0)),INDEX(Торг!$B:$B,MATCH(Прайс!$B1042,Торг!$H:$H,0))),"")</f>
        <v/>
      </c>
      <c r="G1042" s="67" t="str">
        <f>IFERROR(IFERROR(INDEX(Кат!$B:$B,MATCH(Прайс!$B1042,Кат!$G:$G,0)),INDEX(Торг!$C:$C,MATCH(Прайс!$B1042,Торг!$H:$H,0))),"")</f>
        <v/>
      </c>
      <c r="H1042" s="67" t="str">
        <f>IFERROR(IFERROR(INDEX(Кат!$I:$I,MATCH(Прайс!$B1042,Кат!$G:$G,0)),INDEX(Торг!$I:$I,MATCH(Прайс!$B1042,Торг!$H:$H,0))),"")</f>
        <v/>
      </c>
    </row>
    <row r="1043" spans="1:8" x14ac:dyDescent="0.25">
      <c r="A1043" s="94" t="s">
        <v>6237</v>
      </c>
      <c r="B1043" s="95">
        <v>50303</v>
      </c>
      <c r="C1043" s="95" t="s">
        <v>6692</v>
      </c>
      <c r="D1043" s="96" t="s">
        <v>166</v>
      </c>
      <c r="E1043" s="97">
        <v>185</v>
      </c>
      <c r="F1043" s="67" t="str">
        <f>IFERROR(IFERROR(INDEX(Кат!$A:$A,MATCH(Прайс!$B1043,Кат!$G:$G,0)),INDEX(Торг!$B:$B,MATCH(Прайс!$B1043,Торг!$H:$H,0))),"")</f>
        <v/>
      </c>
      <c r="G1043" s="67" t="str">
        <f>IFERROR(IFERROR(INDEX(Кат!$B:$B,MATCH(Прайс!$B1043,Кат!$G:$G,0)),INDEX(Торг!$C:$C,MATCH(Прайс!$B1043,Торг!$H:$H,0))),"")</f>
        <v/>
      </c>
      <c r="H1043" s="67" t="str">
        <f>IFERROR(IFERROR(INDEX(Кат!$I:$I,MATCH(Прайс!$B1043,Кат!$G:$G,0)),INDEX(Торг!$I:$I,MATCH(Прайс!$B1043,Торг!$H:$H,0))),"")</f>
        <v/>
      </c>
    </row>
    <row r="1044" spans="1:8" x14ac:dyDescent="0.25">
      <c r="A1044" s="94" t="s">
        <v>6693</v>
      </c>
      <c r="B1044" s="95">
        <v>50304</v>
      </c>
      <c r="C1044" s="95" t="s">
        <v>6694</v>
      </c>
      <c r="D1044" s="96" t="s">
        <v>166</v>
      </c>
      <c r="E1044" s="97">
        <v>200</v>
      </c>
      <c r="F1044" s="67" t="str">
        <f>IFERROR(IFERROR(INDEX(Кат!$A:$A,MATCH(Прайс!$B1044,Кат!$G:$G,0)),INDEX(Торг!$B:$B,MATCH(Прайс!$B1044,Торг!$H:$H,0))),"")</f>
        <v/>
      </c>
      <c r="G1044" s="67" t="str">
        <f>IFERROR(IFERROR(INDEX(Кат!$B:$B,MATCH(Прайс!$B1044,Кат!$G:$G,0)),INDEX(Торг!$C:$C,MATCH(Прайс!$B1044,Торг!$H:$H,0))),"")</f>
        <v/>
      </c>
      <c r="H1044" s="67" t="str">
        <f>IFERROR(IFERROR(INDEX(Кат!$I:$I,MATCH(Прайс!$B1044,Кат!$G:$G,0)),INDEX(Торг!$I:$I,MATCH(Прайс!$B1044,Торг!$H:$H,0))),"")</f>
        <v/>
      </c>
    </row>
    <row r="1045" spans="1:8" x14ac:dyDescent="0.25">
      <c r="A1045" s="94" t="s">
        <v>5782</v>
      </c>
      <c r="B1045" s="95">
        <v>50305</v>
      </c>
      <c r="C1045" s="95" t="s">
        <v>6695</v>
      </c>
      <c r="D1045" s="96" t="s">
        <v>166</v>
      </c>
      <c r="E1045" s="97">
        <v>185</v>
      </c>
      <c r="F1045" s="67" t="str">
        <f>IFERROR(IFERROR(INDEX(Кат!$A:$A,MATCH(Прайс!$B1045,Кат!$G:$G,0)),INDEX(Торг!$B:$B,MATCH(Прайс!$B1045,Торг!$H:$H,0))),"")</f>
        <v/>
      </c>
      <c r="G1045" s="67" t="str">
        <f>IFERROR(IFERROR(INDEX(Кат!$B:$B,MATCH(Прайс!$B1045,Кат!$G:$G,0)),INDEX(Торг!$C:$C,MATCH(Прайс!$B1045,Торг!$H:$H,0))),"")</f>
        <v/>
      </c>
      <c r="H1045" s="67" t="str">
        <f>IFERROR(IFERROR(INDEX(Кат!$I:$I,MATCH(Прайс!$B1045,Кат!$G:$G,0)),INDEX(Торг!$I:$I,MATCH(Прайс!$B1045,Торг!$H:$H,0))),"")</f>
        <v/>
      </c>
    </row>
    <row r="1046" spans="1:8" x14ac:dyDescent="0.25">
      <c r="A1046" s="94" t="s">
        <v>3003</v>
      </c>
      <c r="B1046" s="98">
        <v>50459</v>
      </c>
      <c r="C1046" s="98" t="s">
        <v>694</v>
      </c>
      <c r="D1046" s="96" t="s">
        <v>166</v>
      </c>
      <c r="E1046" s="97">
        <v>280</v>
      </c>
      <c r="F1046" s="67" t="str">
        <f>IFERROR(IFERROR(INDEX(Кат!$A:$A,MATCH(Прайс!$B1046,Кат!$G:$G,0)),INDEX(Торг!$B:$B,MATCH(Прайс!$B1046,Торг!$H:$H,0))),"")</f>
        <v/>
      </c>
      <c r="G1046" s="67" t="str">
        <f>IFERROR(IFERROR(INDEX(Кат!$B:$B,MATCH(Прайс!$B1046,Кат!$G:$G,0)),INDEX(Торг!$C:$C,MATCH(Прайс!$B1046,Торг!$H:$H,0))),"")</f>
        <v/>
      </c>
      <c r="H1046" s="67" t="str">
        <f>IFERROR(IFERROR(INDEX(Кат!$I:$I,MATCH(Прайс!$B1046,Кат!$G:$G,0)),INDEX(Торг!$I:$I,MATCH(Прайс!$B1046,Торг!$H:$H,0))),"")</f>
        <v/>
      </c>
    </row>
    <row r="1047" spans="1:8" x14ac:dyDescent="0.25">
      <c r="A1047" s="94" t="s">
        <v>3004</v>
      </c>
      <c r="B1047" s="98">
        <v>50457</v>
      </c>
      <c r="C1047" s="98" t="s">
        <v>695</v>
      </c>
      <c r="D1047" s="96" t="s">
        <v>161</v>
      </c>
      <c r="E1047" s="97">
        <v>430</v>
      </c>
      <c r="F1047" s="67" t="str">
        <f>IFERROR(IFERROR(INDEX(Кат!$A:$A,MATCH(Прайс!$B1047,Кат!$G:$G,0)),INDEX(Торг!$B:$B,MATCH(Прайс!$B1047,Торг!$H:$H,0))),"")</f>
        <v/>
      </c>
      <c r="G1047" s="67" t="str">
        <f>IFERROR(IFERROR(INDEX(Кат!$B:$B,MATCH(Прайс!$B1047,Кат!$G:$G,0)),INDEX(Торг!$C:$C,MATCH(Прайс!$B1047,Торг!$H:$H,0))),"")</f>
        <v/>
      </c>
      <c r="H1047" s="67" t="str">
        <f>IFERROR(IFERROR(INDEX(Кат!$I:$I,MATCH(Прайс!$B1047,Кат!$G:$G,0)),INDEX(Торг!$I:$I,MATCH(Прайс!$B1047,Торг!$H:$H,0))),"")</f>
        <v/>
      </c>
    </row>
    <row r="1048" spans="1:8" x14ac:dyDescent="0.25">
      <c r="A1048" s="94" t="s">
        <v>7516</v>
      </c>
      <c r="B1048" s="98">
        <v>50458</v>
      </c>
      <c r="C1048" s="98" t="s">
        <v>7517</v>
      </c>
      <c r="D1048" s="96" t="s">
        <v>166</v>
      </c>
      <c r="E1048" s="97">
        <v>280</v>
      </c>
      <c r="F1048" s="67">
        <f>IFERROR(IFERROR(INDEX(Кат!$A:$A,MATCH(Прайс!$B1048,Кат!$G:$G,0)),INDEX(Торг!$B:$B,MATCH(Прайс!$B1048,Торг!$H:$H,0))),"")</f>
        <v>202605</v>
      </c>
      <c r="G1048" s="67">
        <f>IFERROR(IFERROR(INDEX(Кат!$B:$B,MATCH(Прайс!$B1048,Кат!$G:$G,0)),INDEX(Торг!$C:$C,MATCH(Прайс!$B1048,Торг!$H:$H,0))),"")</f>
        <v>32091</v>
      </c>
      <c r="H1048" s="67" t="str">
        <f>IFERROR(IFERROR(INDEX(Кат!$I:$I,MATCH(Прайс!$B1048,Кат!$G:$G,0)),INDEX(Торг!$I:$I,MATCH(Прайс!$B1048,Торг!$H:$H,0))),"")</f>
        <v>кристал авто</v>
      </c>
    </row>
    <row r="1049" spans="1:8" x14ac:dyDescent="0.25">
      <c r="A1049" s="94" t="s">
        <v>3005</v>
      </c>
      <c r="B1049" s="98">
        <v>50294</v>
      </c>
      <c r="C1049" s="98" t="s">
        <v>696</v>
      </c>
      <c r="D1049" s="96" t="s">
        <v>162</v>
      </c>
      <c r="E1049" s="97">
        <v>700</v>
      </c>
      <c r="F1049" s="67" t="str">
        <f>IFERROR(IFERROR(INDEX(Кат!$A:$A,MATCH(Прайс!$B1049,Кат!$G:$G,0)),INDEX(Торг!$B:$B,MATCH(Прайс!$B1049,Торг!$H:$H,0))),"")</f>
        <v/>
      </c>
      <c r="G1049" s="67" t="str">
        <f>IFERROR(IFERROR(INDEX(Кат!$B:$B,MATCH(Прайс!$B1049,Кат!$G:$G,0)),INDEX(Торг!$C:$C,MATCH(Прайс!$B1049,Торг!$H:$H,0))),"")</f>
        <v/>
      </c>
      <c r="H1049" s="67" t="str">
        <f>IFERROR(IFERROR(INDEX(Кат!$I:$I,MATCH(Прайс!$B1049,Кат!$G:$G,0)),INDEX(Торг!$I:$I,MATCH(Прайс!$B1049,Торг!$H:$H,0))),"")</f>
        <v/>
      </c>
    </row>
    <row r="1050" spans="1:8" x14ac:dyDescent="0.25">
      <c r="A1050" s="94" t="s">
        <v>3006</v>
      </c>
      <c r="B1050" s="98">
        <v>50296</v>
      </c>
      <c r="C1050" s="98" t="s">
        <v>697</v>
      </c>
      <c r="D1050" s="96" t="s">
        <v>162</v>
      </c>
      <c r="E1050" s="97">
        <v>850</v>
      </c>
      <c r="F1050" s="67" t="str">
        <f>IFERROR(IFERROR(INDEX(Кат!$A:$A,MATCH(Прайс!$B1050,Кат!$G:$G,0)),INDEX(Торг!$B:$B,MATCH(Прайс!$B1050,Торг!$H:$H,0))),"")</f>
        <v/>
      </c>
      <c r="G1050" s="67" t="str">
        <f>IFERROR(IFERROR(INDEX(Кат!$B:$B,MATCH(Прайс!$B1050,Кат!$G:$G,0)),INDEX(Торг!$C:$C,MATCH(Прайс!$B1050,Торг!$H:$H,0))),"")</f>
        <v/>
      </c>
      <c r="H1050" s="67" t="str">
        <f>IFERROR(IFERROR(INDEX(Кат!$I:$I,MATCH(Прайс!$B1050,Кат!$G:$G,0)),INDEX(Торг!$I:$I,MATCH(Прайс!$B1050,Торг!$H:$H,0))),"")</f>
        <v/>
      </c>
    </row>
    <row r="1051" spans="1:8" x14ac:dyDescent="0.25">
      <c r="A1051" s="94" t="s">
        <v>6234</v>
      </c>
      <c r="B1051" s="98">
        <v>50297</v>
      </c>
      <c r="C1051" s="98" t="s">
        <v>6235</v>
      </c>
      <c r="D1051" s="96" t="s">
        <v>162</v>
      </c>
      <c r="E1051" s="97">
        <v>700</v>
      </c>
      <c r="F1051" s="67" t="str">
        <f>IFERROR(IFERROR(INDEX(Кат!$A:$A,MATCH(Прайс!$B1051,Кат!$G:$G,0)),INDEX(Торг!$B:$B,MATCH(Прайс!$B1051,Торг!$H:$H,0))),"")</f>
        <v/>
      </c>
      <c r="G1051" s="67" t="str">
        <f>IFERROR(IFERROR(INDEX(Кат!$B:$B,MATCH(Прайс!$B1051,Кат!$G:$G,0)),INDEX(Торг!$C:$C,MATCH(Прайс!$B1051,Торг!$H:$H,0))),"")</f>
        <v/>
      </c>
      <c r="H1051" s="67" t="str">
        <f>IFERROR(IFERROR(INDEX(Кат!$I:$I,MATCH(Прайс!$B1051,Кат!$G:$G,0)),INDEX(Торг!$I:$I,MATCH(Прайс!$B1051,Торг!$H:$H,0))),"")</f>
        <v/>
      </c>
    </row>
    <row r="1052" spans="1:8" x14ac:dyDescent="0.25">
      <c r="A1052" s="94" t="s">
        <v>3007</v>
      </c>
      <c r="B1052" s="98">
        <v>50298</v>
      </c>
      <c r="C1052" s="98" t="s">
        <v>8395</v>
      </c>
      <c r="D1052" s="96" t="s">
        <v>161</v>
      </c>
      <c r="E1052" s="97">
        <v>55</v>
      </c>
      <c r="F1052" s="67" t="str">
        <f>IFERROR(IFERROR(INDEX(Кат!$A:$A,MATCH(Прайс!$B1052,Кат!$G:$G,0)),INDEX(Торг!$B:$B,MATCH(Прайс!$B1052,Торг!$H:$H,0))),"")</f>
        <v/>
      </c>
      <c r="G1052" s="67" t="str">
        <f>IFERROR(IFERROR(INDEX(Кат!$B:$B,MATCH(Прайс!$B1052,Кат!$G:$G,0)),INDEX(Торг!$C:$C,MATCH(Прайс!$B1052,Торг!$H:$H,0))),"")</f>
        <v/>
      </c>
      <c r="H1052" s="67" t="str">
        <f>IFERROR(IFERROR(INDEX(Кат!$I:$I,MATCH(Прайс!$B1052,Кат!$G:$G,0)),INDEX(Торг!$I:$I,MATCH(Прайс!$B1052,Торг!$H:$H,0))),"")</f>
        <v/>
      </c>
    </row>
    <row r="1053" spans="1:8" x14ac:dyDescent="0.25">
      <c r="A1053" s="94" t="s">
        <v>3008</v>
      </c>
      <c r="B1053" s="98">
        <v>50410</v>
      </c>
      <c r="C1053" s="98" t="s">
        <v>698</v>
      </c>
      <c r="D1053" s="96" t="s">
        <v>159</v>
      </c>
      <c r="E1053" s="97">
        <v>190</v>
      </c>
      <c r="F1053" s="67" t="str">
        <f>IFERROR(IFERROR(INDEX(Кат!$A:$A,MATCH(Прайс!$B1053,Кат!$G:$G,0)),INDEX(Торг!$B:$B,MATCH(Прайс!$B1053,Торг!$H:$H,0))),"")</f>
        <v/>
      </c>
      <c r="G1053" s="67" t="str">
        <f>IFERROR(IFERROR(INDEX(Кат!$B:$B,MATCH(Прайс!$B1053,Кат!$G:$G,0)),INDEX(Торг!$C:$C,MATCH(Прайс!$B1053,Торг!$H:$H,0))),"")</f>
        <v/>
      </c>
      <c r="H1053" s="67" t="str">
        <f>IFERROR(IFERROR(INDEX(Кат!$I:$I,MATCH(Прайс!$B1053,Кат!$G:$G,0)),INDEX(Торг!$I:$I,MATCH(Прайс!$B1053,Торг!$H:$H,0))),"")</f>
        <v/>
      </c>
    </row>
    <row r="1054" spans="1:8" x14ac:dyDescent="0.25">
      <c r="A1054" s="94" t="s">
        <v>3009</v>
      </c>
      <c r="B1054" s="98">
        <v>50589</v>
      </c>
      <c r="C1054" s="98" t="s">
        <v>6236</v>
      </c>
      <c r="D1054" s="96" t="s">
        <v>159</v>
      </c>
      <c r="E1054" s="97">
        <v>95</v>
      </c>
      <c r="F1054" s="67" t="str">
        <f>IFERROR(IFERROR(INDEX(Кат!$A:$A,MATCH(Прайс!$B1054,Кат!$G:$G,0)),INDEX(Торг!$B:$B,MATCH(Прайс!$B1054,Торг!$H:$H,0))),"")</f>
        <v/>
      </c>
      <c r="G1054" s="67" t="str">
        <f>IFERROR(IFERROR(INDEX(Кат!$B:$B,MATCH(Прайс!$B1054,Кат!$G:$G,0)),INDEX(Торг!$C:$C,MATCH(Прайс!$B1054,Торг!$H:$H,0))),"")</f>
        <v/>
      </c>
      <c r="H1054" s="67" t="str">
        <f>IFERROR(IFERROR(INDEX(Кат!$I:$I,MATCH(Прайс!$B1054,Кат!$G:$G,0)),INDEX(Торг!$I:$I,MATCH(Прайс!$B1054,Торг!$H:$H,0))),"")</f>
        <v/>
      </c>
    </row>
    <row r="1055" spans="1:8" x14ac:dyDescent="0.25">
      <c r="A1055" s="94" t="s">
        <v>7518</v>
      </c>
      <c r="B1055" s="98">
        <v>50698</v>
      </c>
      <c r="C1055" s="98" t="s">
        <v>7519</v>
      </c>
      <c r="D1055" s="96" t="s">
        <v>166</v>
      </c>
      <c r="E1055" s="97">
        <v>120</v>
      </c>
      <c r="F1055" s="67" t="str">
        <f>IFERROR(IFERROR(INDEX(Кат!$A:$A,MATCH(Прайс!$B1055,Кат!$G:$G,0)),INDEX(Торг!$B:$B,MATCH(Прайс!$B1055,Торг!$H:$H,0))),"")</f>
        <v/>
      </c>
      <c r="G1055" s="67" t="str">
        <f>IFERROR(IFERROR(INDEX(Кат!$B:$B,MATCH(Прайс!$B1055,Кат!$G:$G,0)),INDEX(Торг!$C:$C,MATCH(Прайс!$B1055,Торг!$H:$H,0))),"")</f>
        <v/>
      </c>
      <c r="H1055" s="67" t="str">
        <f>IFERROR(IFERROR(INDEX(Кат!$I:$I,MATCH(Прайс!$B1055,Кат!$G:$G,0)),INDEX(Торг!$I:$I,MATCH(Прайс!$B1055,Торг!$H:$H,0))),"")</f>
        <v/>
      </c>
    </row>
    <row r="1056" spans="1:8" x14ac:dyDescent="0.25">
      <c r="A1056" s="94" t="s">
        <v>7520</v>
      </c>
      <c r="B1056" s="98">
        <v>50694</v>
      </c>
      <c r="C1056" s="98" t="s">
        <v>7521</v>
      </c>
      <c r="D1056" s="96" t="s">
        <v>166</v>
      </c>
      <c r="E1056" s="97">
        <v>120</v>
      </c>
      <c r="F1056" s="67" t="str">
        <f>IFERROR(IFERROR(INDEX(Кат!$A:$A,MATCH(Прайс!$B1056,Кат!$G:$G,0)),INDEX(Торг!$B:$B,MATCH(Прайс!$B1056,Торг!$H:$H,0))),"")</f>
        <v/>
      </c>
      <c r="G1056" s="67" t="str">
        <f>IFERROR(IFERROR(INDEX(Кат!$B:$B,MATCH(Прайс!$B1056,Кат!$G:$G,0)),INDEX(Торг!$C:$C,MATCH(Прайс!$B1056,Торг!$H:$H,0))),"")</f>
        <v/>
      </c>
      <c r="H1056" s="67" t="str">
        <f>IFERROR(IFERROR(INDEX(Кат!$I:$I,MATCH(Прайс!$B1056,Кат!$G:$G,0)),INDEX(Торг!$I:$I,MATCH(Прайс!$B1056,Торг!$H:$H,0))),"")</f>
        <v/>
      </c>
    </row>
    <row r="1057" spans="1:8" x14ac:dyDescent="0.25">
      <c r="A1057" s="94" t="s">
        <v>7522</v>
      </c>
      <c r="B1057" s="98">
        <v>50693</v>
      </c>
      <c r="C1057" s="98" t="s">
        <v>7523</v>
      </c>
      <c r="D1057" s="96" t="s">
        <v>166</v>
      </c>
      <c r="E1057" s="97">
        <v>120</v>
      </c>
      <c r="F1057" s="67" t="str">
        <f>IFERROR(IFERROR(INDEX(Кат!$A:$A,MATCH(Прайс!$B1057,Кат!$G:$G,0)),INDEX(Торг!$B:$B,MATCH(Прайс!$B1057,Торг!$H:$H,0))),"")</f>
        <v/>
      </c>
      <c r="G1057" s="67" t="str">
        <f>IFERROR(IFERROR(INDEX(Кат!$B:$B,MATCH(Прайс!$B1057,Кат!$G:$G,0)),INDEX(Торг!$C:$C,MATCH(Прайс!$B1057,Торг!$H:$H,0))),"")</f>
        <v/>
      </c>
      <c r="H1057" s="67" t="str">
        <f>IFERROR(IFERROR(INDEX(Кат!$I:$I,MATCH(Прайс!$B1057,Кат!$G:$G,0)),INDEX(Торг!$I:$I,MATCH(Прайс!$B1057,Торг!$H:$H,0))),"")</f>
        <v/>
      </c>
    </row>
    <row r="1058" spans="1:8" x14ac:dyDescent="0.25">
      <c r="A1058" s="94" t="s">
        <v>7524</v>
      </c>
      <c r="B1058" s="98">
        <v>50456</v>
      </c>
      <c r="C1058" s="98" t="s">
        <v>7525</v>
      </c>
      <c r="D1058" s="96" t="s">
        <v>166</v>
      </c>
      <c r="E1058" s="97">
        <v>90</v>
      </c>
      <c r="F1058" s="67" t="str">
        <f>IFERROR(IFERROR(INDEX(Кат!$A:$A,MATCH(Прайс!$B1058,Кат!$G:$G,0)),INDEX(Торг!$B:$B,MATCH(Прайс!$B1058,Торг!$H:$H,0))),"")</f>
        <v/>
      </c>
      <c r="G1058" s="67" t="str">
        <f>IFERROR(IFERROR(INDEX(Кат!$B:$B,MATCH(Прайс!$B1058,Кат!$G:$G,0)),INDEX(Торг!$C:$C,MATCH(Прайс!$B1058,Торг!$H:$H,0))),"")</f>
        <v/>
      </c>
      <c r="H1058" s="67" t="str">
        <f>IFERROR(IFERROR(INDEX(Кат!$I:$I,MATCH(Прайс!$B1058,Кат!$G:$G,0)),INDEX(Торг!$I:$I,MATCH(Прайс!$B1058,Торг!$H:$H,0))),"")</f>
        <v/>
      </c>
    </row>
    <row r="1059" spans="1:8" x14ac:dyDescent="0.25">
      <c r="A1059" s="94" t="s">
        <v>5781</v>
      </c>
      <c r="B1059" s="98">
        <v>50455</v>
      </c>
      <c r="C1059" s="98" t="s">
        <v>7526</v>
      </c>
      <c r="D1059" s="96" t="s">
        <v>166</v>
      </c>
      <c r="E1059" s="97">
        <v>80</v>
      </c>
      <c r="F1059" s="67" t="str">
        <f>IFERROR(IFERROR(INDEX(Кат!$A:$A,MATCH(Прайс!$B1059,Кат!$G:$G,0)),INDEX(Торг!$B:$B,MATCH(Прайс!$B1059,Торг!$H:$H,0))),"")</f>
        <v/>
      </c>
      <c r="G1059" s="67" t="str">
        <f>IFERROR(IFERROR(INDEX(Кат!$B:$B,MATCH(Прайс!$B1059,Кат!$G:$G,0)),INDEX(Торг!$C:$C,MATCH(Прайс!$B1059,Торг!$H:$H,0))),"")</f>
        <v/>
      </c>
      <c r="H1059" s="67" t="str">
        <f>IFERROR(IFERROR(INDEX(Кат!$I:$I,MATCH(Прайс!$B1059,Кат!$G:$G,0)),INDEX(Торг!$I:$I,MATCH(Прайс!$B1059,Торг!$H:$H,0))),"")</f>
        <v/>
      </c>
    </row>
    <row r="1060" spans="1:8" x14ac:dyDescent="0.25">
      <c r="A1060" s="109" t="s">
        <v>8547</v>
      </c>
      <c r="B1060" s="110">
        <v>50716</v>
      </c>
      <c r="C1060" s="110" t="s">
        <v>8548</v>
      </c>
      <c r="D1060" s="111" t="s">
        <v>161</v>
      </c>
      <c r="E1060" s="112">
        <v>270</v>
      </c>
      <c r="F1060" s="67" t="str">
        <f>IFERROR(IFERROR(INDEX(Кат!$A:$A,MATCH(Прайс!$B1060,Кат!$G:$G,0)),INDEX(Торг!$B:$B,MATCH(Прайс!$B1060,Торг!$H:$H,0))),"")</f>
        <v/>
      </c>
      <c r="G1060" s="67" t="str">
        <f>IFERROR(IFERROR(INDEX(Кат!$B:$B,MATCH(Прайс!$B1060,Кат!$G:$G,0)),INDEX(Торг!$C:$C,MATCH(Прайс!$B1060,Торг!$H:$H,0))),"")</f>
        <v/>
      </c>
      <c r="H1060" s="67" t="str">
        <f>IFERROR(IFERROR(INDEX(Кат!$I:$I,MATCH(Прайс!$B1060,Кат!$G:$G,0)),INDEX(Торг!$I:$I,MATCH(Прайс!$B1060,Торг!$H:$H,0))),"")</f>
        <v/>
      </c>
    </row>
    <row r="1061" spans="1:8" x14ac:dyDescent="0.25">
      <c r="A1061" s="109" t="s">
        <v>8396</v>
      </c>
      <c r="B1061" s="110">
        <v>50715</v>
      </c>
      <c r="C1061" s="110" t="s">
        <v>8397</v>
      </c>
      <c r="D1061" s="111" t="s">
        <v>161</v>
      </c>
      <c r="E1061" s="112">
        <v>500</v>
      </c>
      <c r="F1061" s="67" t="str">
        <f>IFERROR(IFERROR(INDEX(Кат!$A:$A,MATCH(Прайс!$B1061,Кат!$G:$G,0)),INDEX(Торг!$B:$B,MATCH(Прайс!$B1061,Торг!$H:$H,0))),"")</f>
        <v/>
      </c>
      <c r="G1061" s="67" t="str">
        <f>IFERROR(IFERROR(INDEX(Кат!$B:$B,MATCH(Прайс!$B1061,Кат!$G:$G,0)),INDEX(Торг!$C:$C,MATCH(Прайс!$B1061,Торг!$H:$H,0))),"")</f>
        <v/>
      </c>
      <c r="H1061" s="67" t="str">
        <f>IFERROR(IFERROR(INDEX(Кат!$I:$I,MATCH(Прайс!$B1061,Кат!$G:$G,0)),INDEX(Торг!$I:$I,MATCH(Прайс!$B1061,Торг!$H:$H,0))),"")</f>
        <v/>
      </c>
    </row>
    <row r="1062" spans="1:8" x14ac:dyDescent="0.25">
      <c r="A1062" s="94" t="s">
        <v>6696</v>
      </c>
      <c r="B1062" s="98">
        <v>50653</v>
      </c>
      <c r="C1062" s="98" t="s">
        <v>6238</v>
      </c>
      <c r="D1062" s="96" t="s">
        <v>166</v>
      </c>
      <c r="E1062" s="97">
        <v>190</v>
      </c>
      <c r="F1062" s="67" t="str">
        <f>IFERROR(IFERROR(INDEX(Кат!$A:$A,MATCH(Прайс!$B1062,Кат!$G:$G,0)),INDEX(Торг!$B:$B,MATCH(Прайс!$B1062,Торг!$H:$H,0))),"")</f>
        <v/>
      </c>
      <c r="G1062" s="67" t="str">
        <f>IFERROR(IFERROR(INDEX(Кат!$B:$B,MATCH(Прайс!$B1062,Кат!$G:$G,0)),INDEX(Торг!$C:$C,MATCH(Прайс!$B1062,Торг!$H:$H,0))),"")</f>
        <v/>
      </c>
      <c r="H1062" s="67" t="str">
        <f>IFERROR(IFERROR(INDEX(Кат!$I:$I,MATCH(Прайс!$B1062,Кат!$G:$G,0)),INDEX(Торг!$I:$I,MATCH(Прайс!$B1062,Торг!$H:$H,0))),"")</f>
        <v/>
      </c>
    </row>
    <row r="1063" spans="1:8" x14ac:dyDescent="0.25">
      <c r="A1063" s="94" t="s">
        <v>3010</v>
      </c>
      <c r="B1063" s="98">
        <v>50397</v>
      </c>
      <c r="C1063" s="98" t="s">
        <v>7527</v>
      </c>
      <c r="D1063" s="96" t="s">
        <v>162</v>
      </c>
      <c r="E1063" s="97">
        <v>950</v>
      </c>
      <c r="F1063" s="67" t="str">
        <f>IFERROR(IFERROR(INDEX(Кат!$A:$A,MATCH(Прайс!$B1063,Кат!$G:$G,0)),INDEX(Торг!$B:$B,MATCH(Прайс!$B1063,Торг!$H:$H,0))),"")</f>
        <v/>
      </c>
      <c r="G1063" s="67" t="str">
        <f>IFERROR(IFERROR(INDEX(Кат!$B:$B,MATCH(Прайс!$B1063,Кат!$G:$G,0)),INDEX(Торг!$C:$C,MATCH(Прайс!$B1063,Торг!$H:$H,0))),"")</f>
        <v/>
      </c>
      <c r="H1063" s="67" t="str">
        <f>IFERROR(IFERROR(INDEX(Кат!$I:$I,MATCH(Прайс!$B1063,Кат!$G:$G,0)),INDEX(Торг!$I:$I,MATCH(Прайс!$B1063,Торг!$H:$H,0))),"")</f>
        <v/>
      </c>
    </row>
    <row r="1064" spans="1:8" x14ac:dyDescent="0.25">
      <c r="A1064" s="94" t="s">
        <v>5417</v>
      </c>
      <c r="B1064" s="98">
        <v>50396</v>
      </c>
      <c r="C1064" s="98" t="s">
        <v>5418</v>
      </c>
      <c r="D1064" s="96" t="s">
        <v>162</v>
      </c>
      <c r="E1064" s="97">
        <v>950</v>
      </c>
      <c r="F1064" s="67" t="str">
        <f>IFERROR(IFERROR(INDEX(Кат!$A:$A,MATCH(Прайс!$B1064,Кат!$G:$G,0)),INDEX(Торг!$B:$B,MATCH(Прайс!$B1064,Торг!$H:$H,0))),"")</f>
        <v/>
      </c>
      <c r="G1064" s="67" t="str">
        <f>IFERROR(IFERROR(INDEX(Кат!$B:$B,MATCH(Прайс!$B1064,Кат!$G:$G,0)),INDEX(Торг!$C:$C,MATCH(Прайс!$B1064,Торг!$H:$H,0))),"")</f>
        <v/>
      </c>
      <c r="H1064" s="67" t="str">
        <f>IFERROR(IFERROR(INDEX(Кат!$I:$I,MATCH(Прайс!$B1064,Кат!$G:$G,0)),INDEX(Торг!$I:$I,MATCH(Прайс!$B1064,Торг!$H:$H,0))),"")</f>
        <v/>
      </c>
    </row>
    <row r="1065" spans="1:8" ht="15.75" x14ac:dyDescent="0.25">
      <c r="A1065" s="90"/>
      <c r="B1065" s="91"/>
      <c r="C1065" s="92" t="s">
        <v>699</v>
      </c>
      <c r="D1065" s="91"/>
      <c r="E1065" s="93"/>
      <c r="F1065" s="67" t="str">
        <f>IFERROR(IFERROR(INDEX(Кат!$A:$A,MATCH(Прайс!$B1065,Кат!$G:$G,0)),INDEX(Торг!$B:$B,MATCH(Прайс!$B1065,Торг!$H:$H,0))),"")</f>
        <v/>
      </c>
      <c r="G1065" s="67" t="str">
        <f>IFERROR(IFERROR(INDEX(Кат!$B:$B,MATCH(Прайс!$B1065,Кат!$G:$G,0)),INDEX(Торг!$C:$C,MATCH(Прайс!$B1065,Торг!$H:$H,0))),"")</f>
        <v/>
      </c>
      <c r="H1065" s="67" t="str">
        <f>IFERROR(IFERROR(INDEX(Кат!$I:$I,MATCH(Прайс!$B1065,Кат!$G:$G,0)),INDEX(Торг!$I:$I,MATCH(Прайс!$B1065,Торг!$H:$H,0))),"")</f>
        <v/>
      </c>
    </row>
    <row r="1066" spans="1:8" x14ac:dyDescent="0.25">
      <c r="A1066" s="94" t="s">
        <v>3011</v>
      </c>
      <c r="B1066" s="98">
        <v>50307</v>
      </c>
      <c r="C1066" s="98" t="s">
        <v>7528</v>
      </c>
      <c r="D1066" s="96" t="s">
        <v>159</v>
      </c>
      <c r="E1066" s="97">
        <v>240</v>
      </c>
      <c r="F1066" s="67" t="str">
        <f>IFERROR(IFERROR(INDEX(Кат!$A:$A,MATCH(Прайс!$B1066,Кат!$G:$G,0)),INDEX(Торг!$B:$B,MATCH(Прайс!$B1066,Торг!$H:$H,0))),"")</f>
        <v/>
      </c>
      <c r="G1066" s="67" t="str">
        <f>IFERROR(IFERROR(INDEX(Кат!$B:$B,MATCH(Прайс!$B1066,Кат!$G:$G,0)),INDEX(Торг!$C:$C,MATCH(Прайс!$B1066,Торг!$H:$H,0))),"")</f>
        <v/>
      </c>
      <c r="H1066" s="67" t="str">
        <f>IFERROR(IFERROR(INDEX(Кат!$I:$I,MATCH(Прайс!$B1066,Кат!$G:$G,0)),INDEX(Торг!$I:$I,MATCH(Прайс!$B1066,Торг!$H:$H,0))),"")</f>
        <v/>
      </c>
    </row>
    <row r="1067" spans="1:8" x14ac:dyDescent="0.25">
      <c r="A1067" s="94" t="s">
        <v>3012</v>
      </c>
      <c r="B1067" s="98">
        <v>50306</v>
      </c>
      <c r="C1067" s="98" t="s">
        <v>7529</v>
      </c>
      <c r="D1067" s="96" t="s">
        <v>159</v>
      </c>
      <c r="E1067" s="97">
        <v>280</v>
      </c>
      <c r="F1067" s="67" t="str">
        <f>IFERROR(IFERROR(INDEX(Кат!$A:$A,MATCH(Прайс!$B1067,Кат!$G:$G,0)),INDEX(Торг!$B:$B,MATCH(Прайс!$B1067,Торг!$H:$H,0))),"")</f>
        <v/>
      </c>
      <c r="G1067" s="67" t="str">
        <f>IFERROR(IFERROR(INDEX(Кат!$B:$B,MATCH(Прайс!$B1067,Кат!$G:$G,0)),INDEX(Торг!$C:$C,MATCH(Прайс!$B1067,Торг!$H:$H,0))),"")</f>
        <v/>
      </c>
      <c r="H1067" s="67" t="str">
        <f>IFERROR(IFERROR(INDEX(Кат!$I:$I,MATCH(Прайс!$B1067,Кат!$G:$G,0)),INDEX(Торг!$I:$I,MATCH(Прайс!$B1067,Торг!$H:$H,0))),"")</f>
        <v/>
      </c>
    </row>
    <row r="1068" spans="1:8" ht="15.75" x14ac:dyDescent="0.25">
      <c r="A1068" s="90"/>
      <c r="B1068" s="91"/>
      <c r="C1068" s="92" t="s">
        <v>700</v>
      </c>
      <c r="D1068" s="91"/>
      <c r="E1068" s="93"/>
      <c r="F1068" s="67" t="str">
        <f>IFERROR(IFERROR(INDEX(Кат!$A:$A,MATCH(Прайс!$B1068,Кат!$G:$G,0)),INDEX(Торг!$B:$B,MATCH(Прайс!$B1068,Торг!$H:$H,0))),"")</f>
        <v/>
      </c>
      <c r="G1068" s="67" t="str">
        <f>IFERROR(IFERROR(INDEX(Кат!$B:$B,MATCH(Прайс!$B1068,Кат!$G:$G,0)),INDEX(Торг!$C:$C,MATCH(Прайс!$B1068,Торг!$H:$H,0))),"")</f>
        <v/>
      </c>
      <c r="H1068" s="67" t="str">
        <f>IFERROR(IFERROR(INDEX(Кат!$I:$I,MATCH(Прайс!$B1068,Кат!$G:$G,0)),INDEX(Торг!$I:$I,MATCH(Прайс!$B1068,Торг!$H:$H,0))),"")</f>
        <v/>
      </c>
    </row>
    <row r="1069" spans="1:8" x14ac:dyDescent="0.25">
      <c r="A1069" s="103" t="s">
        <v>3013</v>
      </c>
      <c r="B1069" s="104">
        <v>50310</v>
      </c>
      <c r="C1069" s="104" t="s">
        <v>8227</v>
      </c>
      <c r="D1069" s="105" t="s">
        <v>582</v>
      </c>
      <c r="E1069" s="113">
        <v>180</v>
      </c>
      <c r="F1069" s="67" t="str">
        <f>IFERROR(IFERROR(INDEX(Кат!$A:$A,MATCH(Прайс!$B1069,Кат!$G:$G,0)),INDEX(Торг!$B:$B,MATCH(Прайс!$B1069,Торг!$H:$H,0))),"")</f>
        <v/>
      </c>
      <c r="G1069" s="67" t="str">
        <f>IFERROR(IFERROR(INDEX(Кат!$B:$B,MATCH(Прайс!$B1069,Кат!$G:$G,0)),INDEX(Торг!$C:$C,MATCH(Прайс!$B1069,Торг!$H:$H,0))),"")</f>
        <v/>
      </c>
      <c r="H1069" s="67" t="str">
        <f>IFERROR(IFERROR(INDEX(Кат!$I:$I,MATCH(Прайс!$B1069,Кат!$G:$G,0)),INDEX(Торг!$I:$I,MATCH(Прайс!$B1069,Торг!$H:$H,0))),"")</f>
        <v/>
      </c>
    </row>
    <row r="1070" spans="1:8" x14ac:dyDescent="0.25">
      <c r="A1070" s="103" t="s">
        <v>3014</v>
      </c>
      <c r="B1070" s="104">
        <v>50311</v>
      </c>
      <c r="C1070" s="104" t="s">
        <v>8228</v>
      </c>
      <c r="D1070" s="105" t="s">
        <v>582</v>
      </c>
      <c r="E1070" s="113">
        <v>370</v>
      </c>
      <c r="F1070" s="67" t="str">
        <f>IFERROR(IFERROR(INDEX(Кат!$A:$A,MATCH(Прайс!$B1070,Кат!$G:$G,0)),INDEX(Торг!$B:$B,MATCH(Прайс!$B1070,Торг!$H:$H,0))),"")</f>
        <v/>
      </c>
      <c r="G1070" s="67" t="str">
        <f>IFERROR(IFERROR(INDEX(Кат!$B:$B,MATCH(Прайс!$B1070,Кат!$G:$G,0)),INDEX(Торг!$C:$C,MATCH(Прайс!$B1070,Торг!$H:$H,0))),"")</f>
        <v/>
      </c>
      <c r="H1070" s="67" t="str">
        <f>IFERROR(IFERROR(INDEX(Кат!$I:$I,MATCH(Прайс!$B1070,Кат!$G:$G,0)),INDEX(Торг!$I:$I,MATCH(Прайс!$B1070,Торг!$H:$H,0))),"")</f>
        <v/>
      </c>
    </row>
    <row r="1071" spans="1:8" x14ac:dyDescent="0.25">
      <c r="A1071" s="103" t="s">
        <v>3015</v>
      </c>
      <c r="B1071" s="104">
        <v>50312</v>
      </c>
      <c r="C1071" s="104" t="s">
        <v>701</v>
      </c>
      <c r="D1071" s="105" t="s">
        <v>582</v>
      </c>
      <c r="E1071" s="113">
        <v>550</v>
      </c>
      <c r="F1071" s="67" t="str">
        <f>IFERROR(IFERROR(INDEX(Кат!$A:$A,MATCH(Прайс!$B1071,Кат!$G:$G,0)),INDEX(Торг!$B:$B,MATCH(Прайс!$B1071,Торг!$H:$H,0))),"")</f>
        <v/>
      </c>
      <c r="G1071" s="67" t="str">
        <f>IFERROR(IFERROR(INDEX(Кат!$B:$B,MATCH(Прайс!$B1071,Кат!$G:$G,0)),INDEX(Торг!$C:$C,MATCH(Прайс!$B1071,Торг!$H:$H,0))),"")</f>
        <v/>
      </c>
      <c r="H1071" s="67" t="str">
        <f>IFERROR(IFERROR(INDEX(Кат!$I:$I,MATCH(Прайс!$B1071,Кат!$G:$G,0)),INDEX(Торг!$I:$I,MATCH(Прайс!$B1071,Торг!$H:$H,0))),"")</f>
        <v/>
      </c>
    </row>
    <row r="1072" spans="1:8" ht="15.75" x14ac:dyDescent="0.25">
      <c r="A1072" s="90"/>
      <c r="B1072" s="91"/>
      <c r="C1072" s="92" t="s">
        <v>702</v>
      </c>
      <c r="D1072" s="91"/>
      <c r="E1072" s="93"/>
      <c r="F1072" s="67" t="str">
        <f>IFERROR(IFERROR(INDEX(Кат!$A:$A,MATCH(Прайс!$B1072,Кат!$G:$G,0)),INDEX(Торг!$B:$B,MATCH(Прайс!$B1072,Торг!$H:$H,0))),"")</f>
        <v/>
      </c>
      <c r="G1072" s="67" t="str">
        <f>IFERROR(IFERROR(INDEX(Кат!$B:$B,MATCH(Прайс!$B1072,Кат!$G:$G,0)),INDEX(Торг!$C:$C,MATCH(Прайс!$B1072,Торг!$H:$H,0))),"")</f>
        <v/>
      </c>
      <c r="H1072" s="67" t="str">
        <f>IFERROR(IFERROR(INDEX(Кат!$I:$I,MATCH(Прайс!$B1072,Кат!$G:$G,0)),INDEX(Торг!$I:$I,MATCH(Прайс!$B1072,Торг!$H:$H,0))),"")</f>
        <v/>
      </c>
    </row>
    <row r="1073" spans="1:8" x14ac:dyDescent="0.25">
      <c r="A1073" s="94" t="s">
        <v>3016</v>
      </c>
      <c r="B1073" s="98">
        <v>50313</v>
      </c>
      <c r="C1073" s="98" t="s">
        <v>703</v>
      </c>
      <c r="D1073" s="96" t="s">
        <v>190</v>
      </c>
      <c r="E1073" s="97">
        <v>12</v>
      </c>
      <c r="F1073" s="67" t="str">
        <f>IFERROR(IFERROR(INDEX(Кат!$A:$A,MATCH(Прайс!$B1073,Кат!$G:$G,0)),INDEX(Торг!$B:$B,MATCH(Прайс!$B1073,Торг!$H:$H,0))),"")</f>
        <v/>
      </c>
      <c r="G1073" s="67" t="str">
        <f>IFERROR(IFERROR(INDEX(Кат!$B:$B,MATCH(Прайс!$B1073,Кат!$G:$G,0)),INDEX(Торг!$C:$C,MATCH(Прайс!$B1073,Торг!$H:$H,0))),"")</f>
        <v/>
      </c>
      <c r="H1073" s="67" t="str">
        <f>IFERROR(IFERROR(INDEX(Кат!$I:$I,MATCH(Прайс!$B1073,Кат!$G:$G,0)),INDEX(Торг!$I:$I,MATCH(Прайс!$B1073,Торг!$H:$H,0))),"")</f>
        <v/>
      </c>
    </row>
    <row r="1074" spans="1:8" ht="15.75" x14ac:dyDescent="0.25">
      <c r="A1074" s="90"/>
      <c r="B1074" s="91"/>
      <c r="C1074" s="92" t="s">
        <v>704</v>
      </c>
      <c r="D1074" s="91"/>
      <c r="E1074" s="93"/>
      <c r="F1074" s="67" t="str">
        <f>IFERROR(IFERROR(INDEX(Кат!$A:$A,MATCH(Прайс!$B1074,Кат!$G:$G,0)),INDEX(Торг!$B:$B,MATCH(Прайс!$B1074,Торг!$H:$H,0))),"")</f>
        <v/>
      </c>
      <c r="G1074" s="67" t="str">
        <f>IFERROR(IFERROR(INDEX(Кат!$B:$B,MATCH(Прайс!$B1074,Кат!$G:$G,0)),INDEX(Торг!$C:$C,MATCH(Прайс!$B1074,Торг!$H:$H,0))),"")</f>
        <v/>
      </c>
      <c r="H1074" s="67" t="str">
        <f>IFERROR(IFERROR(INDEX(Кат!$I:$I,MATCH(Прайс!$B1074,Кат!$G:$G,0)),INDEX(Торг!$I:$I,MATCH(Прайс!$B1074,Торг!$H:$H,0))),"")</f>
        <v/>
      </c>
    </row>
    <row r="1075" spans="1:8" x14ac:dyDescent="0.25">
      <c r="A1075" s="94" t="s">
        <v>3017</v>
      </c>
      <c r="B1075" s="98">
        <v>50461</v>
      </c>
      <c r="C1075" s="98" t="s">
        <v>705</v>
      </c>
      <c r="D1075" s="96" t="s">
        <v>257</v>
      </c>
      <c r="E1075" s="97">
        <v>270</v>
      </c>
      <c r="F1075" s="67" t="str">
        <f>IFERROR(IFERROR(INDEX(Кат!$A:$A,MATCH(Прайс!$B1075,Кат!$G:$G,0)),INDEX(Торг!$B:$B,MATCH(Прайс!$B1075,Торг!$H:$H,0))),"")</f>
        <v/>
      </c>
      <c r="G1075" s="67" t="str">
        <f>IFERROR(IFERROR(INDEX(Кат!$B:$B,MATCH(Прайс!$B1075,Кат!$G:$G,0)),INDEX(Торг!$C:$C,MATCH(Прайс!$B1075,Торг!$H:$H,0))),"")</f>
        <v/>
      </c>
      <c r="H1075" s="67" t="str">
        <f>IFERROR(IFERROR(INDEX(Кат!$I:$I,MATCH(Прайс!$B1075,Кат!$G:$G,0)),INDEX(Торг!$I:$I,MATCH(Прайс!$B1075,Торг!$H:$H,0))),"")</f>
        <v/>
      </c>
    </row>
    <row r="1076" spans="1:8" x14ac:dyDescent="0.25">
      <c r="A1076" s="94" t="s">
        <v>6697</v>
      </c>
      <c r="B1076" s="98">
        <v>50650</v>
      </c>
      <c r="C1076" s="98" t="s">
        <v>6698</v>
      </c>
      <c r="D1076" s="96" t="s">
        <v>190</v>
      </c>
      <c r="E1076" s="97">
        <v>350</v>
      </c>
      <c r="F1076" s="67" t="str">
        <f>IFERROR(IFERROR(INDEX(Кат!$A:$A,MATCH(Прайс!$B1076,Кат!$G:$G,0)),INDEX(Торг!$B:$B,MATCH(Прайс!$B1076,Торг!$H:$H,0))),"")</f>
        <v/>
      </c>
      <c r="G1076" s="67" t="str">
        <f>IFERROR(IFERROR(INDEX(Кат!$B:$B,MATCH(Прайс!$B1076,Кат!$G:$G,0)),INDEX(Торг!$C:$C,MATCH(Прайс!$B1076,Торг!$H:$H,0))),"")</f>
        <v/>
      </c>
      <c r="H1076" s="67" t="str">
        <f>IFERROR(IFERROR(INDEX(Кат!$I:$I,MATCH(Прайс!$B1076,Кат!$G:$G,0)),INDEX(Торг!$I:$I,MATCH(Прайс!$B1076,Торг!$H:$H,0))),"")</f>
        <v/>
      </c>
    </row>
    <row r="1077" spans="1:8" x14ac:dyDescent="0.25">
      <c r="A1077" s="94" t="s">
        <v>3018</v>
      </c>
      <c r="B1077" s="98">
        <v>50416</v>
      </c>
      <c r="C1077" s="98" t="s">
        <v>706</v>
      </c>
      <c r="D1077" s="96" t="s">
        <v>190</v>
      </c>
      <c r="E1077" s="97">
        <v>180</v>
      </c>
      <c r="F1077" s="67" t="str">
        <f>IFERROR(IFERROR(INDEX(Кат!$A:$A,MATCH(Прайс!$B1077,Кат!$G:$G,0)),INDEX(Торг!$B:$B,MATCH(Прайс!$B1077,Торг!$H:$H,0))),"")</f>
        <v/>
      </c>
      <c r="G1077" s="67" t="str">
        <f>IFERROR(IFERROR(INDEX(Кат!$B:$B,MATCH(Прайс!$B1077,Кат!$G:$G,0)),INDEX(Торг!$C:$C,MATCH(Прайс!$B1077,Торг!$H:$H,0))),"")</f>
        <v/>
      </c>
      <c r="H1077" s="67" t="str">
        <f>IFERROR(IFERROR(INDEX(Кат!$I:$I,MATCH(Прайс!$B1077,Кат!$G:$G,0)),INDEX(Торг!$I:$I,MATCH(Прайс!$B1077,Торг!$H:$H,0))),"")</f>
        <v/>
      </c>
    </row>
    <row r="1078" spans="1:8" x14ac:dyDescent="0.25">
      <c r="A1078" s="94" t="s">
        <v>3019</v>
      </c>
      <c r="B1078" s="98">
        <v>50574</v>
      </c>
      <c r="C1078" s="98" t="s">
        <v>707</v>
      </c>
      <c r="D1078" s="96" t="s">
        <v>176</v>
      </c>
      <c r="E1078" s="97">
        <v>280</v>
      </c>
      <c r="F1078" s="67" t="str">
        <f>IFERROR(IFERROR(INDEX(Кат!$A:$A,MATCH(Прайс!$B1078,Кат!$G:$G,0)),INDEX(Торг!$B:$B,MATCH(Прайс!$B1078,Торг!$H:$H,0))),"")</f>
        <v/>
      </c>
      <c r="G1078" s="67" t="str">
        <f>IFERROR(IFERROR(INDEX(Кат!$B:$B,MATCH(Прайс!$B1078,Кат!$G:$G,0)),INDEX(Торг!$C:$C,MATCH(Прайс!$B1078,Торг!$H:$H,0))),"")</f>
        <v/>
      </c>
      <c r="H1078" s="67" t="str">
        <f>IFERROR(IFERROR(INDEX(Кат!$I:$I,MATCH(Прайс!$B1078,Кат!$G:$G,0)),INDEX(Торг!$I:$I,MATCH(Прайс!$B1078,Торг!$H:$H,0))),"")</f>
        <v/>
      </c>
    </row>
    <row r="1079" spans="1:8" x14ac:dyDescent="0.25">
      <c r="A1079" s="94" t="s">
        <v>6239</v>
      </c>
      <c r="B1079" s="98">
        <v>50567</v>
      </c>
      <c r="C1079" s="98" t="s">
        <v>6240</v>
      </c>
      <c r="D1079" s="96" t="s">
        <v>176</v>
      </c>
      <c r="E1079" s="97">
        <v>280</v>
      </c>
      <c r="F1079" s="67" t="str">
        <f>IFERROR(IFERROR(INDEX(Кат!$A:$A,MATCH(Прайс!$B1079,Кат!$G:$G,0)),INDEX(Торг!$B:$B,MATCH(Прайс!$B1079,Торг!$H:$H,0))),"")</f>
        <v/>
      </c>
      <c r="G1079" s="67" t="str">
        <f>IFERROR(IFERROR(INDEX(Кат!$B:$B,MATCH(Прайс!$B1079,Кат!$G:$G,0)),INDEX(Торг!$C:$C,MATCH(Прайс!$B1079,Торг!$H:$H,0))),"")</f>
        <v/>
      </c>
      <c r="H1079" s="67" t="str">
        <f>IFERROR(IFERROR(INDEX(Кат!$I:$I,MATCH(Прайс!$B1079,Кат!$G:$G,0)),INDEX(Торг!$I:$I,MATCH(Прайс!$B1079,Торг!$H:$H,0))),"")</f>
        <v/>
      </c>
    </row>
    <row r="1080" spans="1:8" x14ac:dyDescent="0.25">
      <c r="A1080" s="94" t="s">
        <v>3020</v>
      </c>
      <c r="B1080" s="98">
        <v>50432</v>
      </c>
      <c r="C1080" s="98" t="s">
        <v>708</v>
      </c>
      <c r="D1080" s="96" t="s">
        <v>176</v>
      </c>
      <c r="E1080" s="97">
        <v>280</v>
      </c>
      <c r="F1080" s="67" t="str">
        <f>IFERROR(IFERROR(INDEX(Кат!$A:$A,MATCH(Прайс!$B1080,Кат!$G:$G,0)),INDEX(Торг!$B:$B,MATCH(Прайс!$B1080,Торг!$H:$H,0))),"")</f>
        <v/>
      </c>
      <c r="G1080" s="67" t="str">
        <f>IFERROR(IFERROR(INDEX(Кат!$B:$B,MATCH(Прайс!$B1080,Кат!$G:$G,0)),INDEX(Торг!$C:$C,MATCH(Прайс!$B1080,Торг!$H:$H,0))),"")</f>
        <v/>
      </c>
      <c r="H1080" s="67" t="str">
        <f>IFERROR(IFERROR(INDEX(Кат!$I:$I,MATCH(Прайс!$B1080,Кат!$G:$G,0)),INDEX(Торг!$I:$I,MATCH(Прайс!$B1080,Торг!$H:$H,0))),"")</f>
        <v/>
      </c>
    </row>
    <row r="1081" spans="1:8" x14ac:dyDescent="0.25">
      <c r="A1081" s="94" t="s">
        <v>6699</v>
      </c>
      <c r="B1081" s="98">
        <v>50668</v>
      </c>
      <c r="C1081" s="98" t="s">
        <v>7530</v>
      </c>
      <c r="D1081" s="96" t="s">
        <v>176</v>
      </c>
      <c r="E1081" s="97">
        <v>200</v>
      </c>
      <c r="F1081" s="67" t="str">
        <f>IFERROR(IFERROR(INDEX(Кат!$A:$A,MATCH(Прайс!$B1081,Кат!$G:$G,0)),INDEX(Торг!$B:$B,MATCH(Прайс!$B1081,Торг!$H:$H,0))),"")</f>
        <v/>
      </c>
      <c r="G1081" s="67" t="str">
        <f>IFERROR(IFERROR(INDEX(Кат!$B:$B,MATCH(Прайс!$B1081,Кат!$G:$G,0)),INDEX(Торг!$C:$C,MATCH(Прайс!$B1081,Торг!$H:$H,0))),"")</f>
        <v/>
      </c>
      <c r="H1081" s="67" t="str">
        <f>IFERROR(IFERROR(INDEX(Кат!$I:$I,MATCH(Прайс!$B1081,Кат!$G:$G,0)),INDEX(Торг!$I:$I,MATCH(Прайс!$B1081,Торг!$H:$H,0))),"")</f>
        <v/>
      </c>
    </row>
    <row r="1082" spans="1:8" x14ac:dyDescent="0.25">
      <c r="A1082" s="94" t="s">
        <v>6700</v>
      </c>
      <c r="B1082" s="98">
        <v>50647</v>
      </c>
      <c r="C1082" s="98" t="s">
        <v>6701</v>
      </c>
      <c r="D1082" s="96" t="s">
        <v>176</v>
      </c>
      <c r="E1082" s="97">
        <v>300</v>
      </c>
      <c r="F1082" s="67" t="str">
        <f>IFERROR(IFERROR(INDEX(Кат!$A:$A,MATCH(Прайс!$B1082,Кат!$G:$G,0)),INDEX(Торг!$B:$B,MATCH(Прайс!$B1082,Торг!$H:$H,0))),"")</f>
        <v/>
      </c>
      <c r="G1082" s="67" t="str">
        <f>IFERROR(IFERROR(INDEX(Кат!$B:$B,MATCH(Прайс!$B1082,Кат!$G:$G,0)),INDEX(Торг!$C:$C,MATCH(Прайс!$B1082,Торг!$H:$H,0))),"")</f>
        <v/>
      </c>
      <c r="H1082" s="67" t="str">
        <f>IFERROR(IFERROR(INDEX(Кат!$I:$I,MATCH(Прайс!$B1082,Кат!$G:$G,0)),INDEX(Торг!$I:$I,MATCH(Прайс!$B1082,Торг!$H:$H,0))),"")</f>
        <v/>
      </c>
    </row>
    <row r="1083" spans="1:8" x14ac:dyDescent="0.25">
      <c r="A1083" s="94" t="s">
        <v>6702</v>
      </c>
      <c r="B1083" s="98">
        <v>50648</v>
      </c>
      <c r="C1083" s="98" t="s">
        <v>6703</v>
      </c>
      <c r="D1083" s="96" t="s">
        <v>176</v>
      </c>
      <c r="E1083" s="97">
        <v>320</v>
      </c>
      <c r="F1083" s="67" t="str">
        <f>IFERROR(IFERROR(INDEX(Кат!$A:$A,MATCH(Прайс!$B1083,Кат!$G:$G,0)),INDEX(Торг!$B:$B,MATCH(Прайс!$B1083,Торг!$H:$H,0))),"")</f>
        <v/>
      </c>
      <c r="G1083" s="67" t="str">
        <f>IFERROR(IFERROR(INDEX(Кат!$B:$B,MATCH(Прайс!$B1083,Кат!$G:$G,0)),INDEX(Торг!$C:$C,MATCH(Прайс!$B1083,Торг!$H:$H,0))),"")</f>
        <v/>
      </c>
      <c r="H1083" s="67" t="str">
        <f>IFERROR(IFERROR(INDEX(Кат!$I:$I,MATCH(Прайс!$B1083,Кат!$G:$G,0)),INDEX(Торг!$I:$I,MATCH(Прайс!$B1083,Торг!$H:$H,0))),"")</f>
        <v/>
      </c>
    </row>
    <row r="1084" spans="1:8" x14ac:dyDescent="0.25">
      <c r="A1084" s="94" t="s">
        <v>6704</v>
      </c>
      <c r="B1084" s="98">
        <v>50646</v>
      </c>
      <c r="C1084" s="98" t="s">
        <v>6705</v>
      </c>
      <c r="D1084" s="96" t="s">
        <v>176</v>
      </c>
      <c r="E1084" s="97">
        <v>180</v>
      </c>
      <c r="F1084" s="67" t="str">
        <f>IFERROR(IFERROR(INDEX(Кат!$A:$A,MATCH(Прайс!$B1084,Кат!$G:$G,0)),INDEX(Торг!$B:$B,MATCH(Прайс!$B1084,Торг!$H:$H,0))),"")</f>
        <v/>
      </c>
      <c r="G1084" s="67" t="str">
        <f>IFERROR(IFERROR(INDEX(Кат!$B:$B,MATCH(Прайс!$B1084,Кат!$G:$G,0)),INDEX(Торг!$C:$C,MATCH(Прайс!$B1084,Торг!$H:$H,0))),"")</f>
        <v/>
      </c>
      <c r="H1084" s="67" t="str">
        <f>IFERROR(IFERROR(INDEX(Кат!$I:$I,MATCH(Прайс!$B1084,Кат!$G:$G,0)),INDEX(Торг!$I:$I,MATCH(Прайс!$B1084,Торг!$H:$H,0))),"")</f>
        <v/>
      </c>
    </row>
    <row r="1085" spans="1:8" x14ac:dyDescent="0.25">
      <c r="A1085" s="94" t="s">
        <v>7531</v>
      </c>
      <c r="B1085" s="98">
        <v>50706</v>
      </c>
      <c r="C1085" s="98" t="s">
        <v>7532</v>
      </c>
      <c r="D1085" s="96" t="s">
        <v>176</v>
      </c>
      <c r="E1085" s="97">
        <v>180</v>
      </c>
      <c r="F1085" s="67" t="str">
        <f>IFERROR(IFERROR(INDEX(Кат!$A:$A,MATCH(Прайс!$B1085,Кат!$G:$G,0)),INDEX(Торг!$B:$B,MATCH(Прайс!$B1085,Торг!$H:$H,0))),"")</f>
        <v/>
      </c>
      <c r="G1085" s="67" t="str">
        <f>IFERROR(IFERROR(INDEX(Кат!$B:$B,MATCH(Прайс!$B1085,Кат!$G:$G,0)),INDEX(Торг!$C:$C,MATCH(Прайс!$B1085,Торг!$H:$H,0))),"")</f>
        <v/>
      </c>
      <c r="H1085" s="67" t="str">
        <f>IFERROR(IFERROR(INDEX(Кат!$I:$I,MATCH(Прайс!$B1085,Кат!$G:$G,0)),INDEX(Торг!$I:$I,MATCH(Прайс!$B1085,Торг!$H:$H,0))),"")</f>
        <v/>
      </c>
    </row>
    <row r="1086" spans="1:8" x14ac:dyDescent="0.25">
      <c r="A1086" s="94" t="s">
        <v>8229</v>
      </c>
      <c r="B1086" s="98">
        <v>50670</v>
      </c>
      <c r="C1086" s="98" t="s">
        <v>8230</v>
      </c>
      <c r="D1086" s="96" t="s">
        <v>176</v>
      </c>
      <c r="E1086" s="97">
        <v>320</v>
      </c>
      <c r="F1086" s="67" t="str">
        <f>IFERROR(IFERROR(INDEX(Кат!$A:$A,MATCH(Прайс!$B1086,Кат!$G:$G,0)),INDEX(Торг!$B:$B,MATCH(Прайс!$B1086,Торг!$H:$H,0))),"")</f>
        <v/>
      </c>
      <c r="G1086" s="67" t="str">
        <f>IFERROR(IFERROR(INDEX(Кат!$B:$B,MATCH(Прайс!$B1086,Кат!$G:$G,0)),INDEX(Торг!$C:$C,MATCH(Прайс!$B1086,Торг!$H:$H,0))),"")</f>
        <v/>
      </c>
      <c r="H1086" s="67" t="str">
        <f>IFERROR(IFERROR(INDEX(Кат!$I:$I,MATCH(Прайс!$B1086,Кат!$G:$G,0)),INDEX(Торг!$I:$I,MATCH(Прайс!$B1086,Торг!$H:$H,0))),"")</f>
        <v/>
      </c>
    </row>
    <row r="1087" spans="1:8" x14ac:dyDescent="0.25">
      <c r="A1087" s="94" t="s">
        <v>6706</v>
      </c>
      <c r="B1087" s="98">
        <v>50649</v>
      </c>
      <c r="C1087" s="98" t="s">
        <v>6707</v>
      </c>
      <c r="D1087" s="96" t="s">
        <v>176</v>
      </c>
      <c r="E1087" s="97">
        <v>350</v>
      </c>
      <c r="F1087" s="67" t="str">
        <f>IFERROR(IFERROR(INDEX(Кат!$A:$A,MATCH(Прайс!$B1087,Кат!$G:$G,0)),INDEX(Торг!$B:$B,MATCH(Прайс!$B1087,Торг!$H:$H,0))),"")</f>
        <v/>
      </c>
      <c r="G1087" s="67" t="str">
        <f>IFERROR(IFERROR(INDEX(Кат!$B:$B,MATCH(Прайс!$B1087,Кат!$G:$G,0)),INDEX(Торг!$C:$C,MATCH(Прайс!$B1087,Торг!$H:$H,0))),"")</f>
        <v/>
      </c>
      <c r="H1087" s="67" t="str">
        <f>IFERROR(IFERROR(INDEX(Кат!$I:$I,MATCH(Прайс!$B1087,Кат!$G:$G,0)),INDEX(Торг!$I:$I,MATCH(Прайс!$B1087,Торг!$H:$H,0))),"")</f>
        <v/>
      </c>
    </row>
    <row r="1088" spans="1:8" x14ac:dyDescent="0.25">
      <c r="A1088" s="94" t="s">
        <v>6708</v>
      </c>
      <c r="B1088" s="98">
        <v>50651</v>
      </c>
      <c r="C1088" s="98" t="s">
        <v>6709</v>
      </c>
      <c r="D1088" s="96" t="s">
        <v>176</v>
      </c>
      <c r="E1088" s="97">
        <v>350</v>
      </c>
      <c r="F1088" s="67" t="str">
        <f>IFERROR(IFERROR(INDEX(Кат!$A:$A,MATCH(Прайс!$B1088,Кат!$G:$G,0)),INDEX(Торг!$B:$B,MATCH(Прайс!$B1088,Торг!$H:$H,0))),"")</f>
        <v/>
      </c>
      <c r="G1088" s="67" t="str">
        <f>IFERROR(IFERROR(INDEX(Кат!$B:$B,MATCH(Прайс!$B1088,Кат!$G:$G,0)),INDEX(Торг!$C:$C,MATCH(Прайс!$B1088,Торг!$H:$H,0))),"")</f>
        <v/>
      </c>
      <c r="H1088" s="67" t="str">
        <f>IFERROR(IFERROR(INDEX(Кат!$I:$I,MATCH(Прайс!$B1088,Кат!$G:$G,0)),INDEX(Торг!$I:$I,MATCH(Прайс!$B1088,Торг!$H:$H,0))),"")</f>
        <v/>
      </c>
    </row>
    <row r="1089" spans="1:8" ht="15.75" x14ac:dyDescent="0.25">
      <c r="A1089" s="90"/>
      <c r="B1089" s="91"/>
      <c r="C1089" s="92" t="s">
        <v>709</v>
      </c>
      <c r="D1089" s="91"/>
      <c r="E1089" s="93"/>
      <c r="F1089" s="67" t="str">
        <f>IFERROR(IFERROR(INDEX(Кат!$A:$A,MATCH(Прайс!$B1089,Кат!$G:$G,0)),INDEX(Торг!$B:$B,MATCH(Прайс!$B1089,Торг!$H:$H,0))),"")</f>
        <v/>
      </c>
      <c r="G1089" s="67" t="str">
        <f>IFERROR(IFERROR(INDEX(Кат!$B:$B,MATCH(Прайс!$B1089,Кат!$G:$G,0)),INDEX(Торг!$C:$C,MATCH(Прайс!$B1089,Торг!$H:$H,0))),"")</f>
        <v/>
      </c>
      <c r="H1089" s="67" t="str">
        <f>IFERROR(IFERROR(INDEX(Кат!$I:$I,MATCH(Прайс!$B1089,Кат!$G:$G,0)),INDEX(Торг!$I:$I,MATCH(Прайс!$B1089,Торг!$H:$H,0))),"")</f>
        <v/>
      </c>
    </row>
    <row r="1090" spans="1:8" x14ac:dyDescent="0.25">
      <c r="A1090" s="94" t="s">
        <v>3021</v>
      </c>
      <c r="B1090" s="98">
        <v>50339</v>
      </c>
      <c r="C1090" s="98" t="s">
        <v>710</v>
      </c>
      <c r="D1090" s="96" t="s">
        <v>190</v>
      </c>
      <c r="E1090" s="97">
        <v>130</v>
      </c>
      <c r="F1090" s="67" t="str">
        <f>IFERROR(IFERROR(INDEX(Кат!$A:$A,MATCH(Прайс!$B1090,Кат!$G:$G,0)),INDEX(Торг!$B:$B,MATCH(Прайс!$B1090,Торг!$H:$H,0))),"")</f>
        <v/>
      </c>
      <c r="G1090" s="67" t="str">
        <f>IFERROR(IFERROR(INDEX(Кат!$B:$B,MATCH(Прайс!$B1090,Кат!$G:$G,0)),INDEX(Торг!$C:$C,MATCH(Прайс!$B1090,Торг!$H:$H,0))),"")</f>
        <v/>
      </c>
      <c r="H1090" s="67" t="str">
        <f>IFERROR(IFERROR(INDEX(Кат!$I:$I,MATCH(Прайс!$B1090,Кат!$G:$G,0)),INDEX(Торг!$I:$I,MATCH(Прайс!$B1090,Торг!$H:$H,0))),"")</f>
        <v/>
      </c>
    </row>
    <row r="1091" spans="1:8" x14ac:dyDescent="0.25">
      <c r="A1091" s="94" t="s">
        <v>3022</v>
      </c>
      <c r="B1091" s="98">
        <v>50590</v>
      </c>
      <c r="C1091" s="98" t="s">
        <v>3023</v>
      </c>
      <c r="D1091" s="96" t="s">
        <v>190</v>
      </c>
      <c r="E1091" s="97">
        <v>130</v>
      </c>
      <c r="F1091" s="67" t="str">
        <f>IFERROR(IFERROR(INDEX(Кат!$A:$A,MATCH(Прайс!$B1091,Кат!$G:$G,0)),INDEX(Торг!$B:$B,MATCH(Прайс!$B1091,Торг!$H:$H,0))),"")</f>
        <v/>
      </c>
      <c r="G1091" s="67" t="str">
        <f>IFERROR(IFERROR(INDEX(Кат!$B:$B,MATCH(Прайс!$B1091,Кат!$G:$G,0)),INDEX(Торг!$C:$C,MATCH(Прайс!$B1091,Торг!$H:$H,0))),"")</f>
        <v/>
      </c>
      <c r="H1091" s="67" t="str">
        <f>IFERROR(IFERROR(INDEX(Кат!$I:$I,MATCH(Прайс!$B1091,Кат!$G:$G,0)),INDEX(Торг!$I:$I,MATCH(Прайс!$B1091,Торг!$H:$H,0))),"")</f>
        <v/>
      </c>
    </row>
    <row r="1092" spans="1:8" x14ac:dyDescent="0.25">
      <c r="A1092" s="94" t="s">
        <v>3024</v>
      </c>
      <c r="B1092" s="98">
        <v>50323</v>
      </c>
      <c r="C1092" s="98" t="s">
        <v>711</v>
      </c>
      <c r="D1092" s="96" t="s">
        <v>190</v>
      </c>
      <c r="E1092" s="97">
        <v>130</v>
      </c>
      <c r="F1092" s="67" t="str">
        <f>IFERROR(IFERROR(INDEX(Кат!$A:$A,MATCH(Прайс!$B1092,Кат!$G:$G,0)),INDEX(Торг!$B:$B,MATCH(Прайс!$B1092,Торг!$H:$H,0))),"")</f>
        <v/>
      </c>
      <c r="G1092" s="67" t="str">
        <f>IFERROR(IFERROR(INDEX(Кат!$B:$B,MATCH(Прайс!$B1092,Кат!$G:$G,0)),INDEX(Торг!$C:$C,MATCH(Прайс!$B1092,Торг!$H:$H,0))),"")</f>
        <v/>
      </c>
      <c r="H1092" s="67" t="str">
        <f>IFERROR(IFERROR(INDEX(Кат!$I:$I,MATCH(Прайс!$B1092,Кат!$G:$G,0)),INDEX(Торг!$I:$I,MATCH(Прайс!$B1092,Торг!$H:$H,0))),"")</f>
        <v/>
      </c>
    </row>
    <row r="1093" spans="1:8" x14ac:dyDescent="0.25">
      <c r="A1093" s="94" t="s">
        <v>3025</v>
      </c>
      <c r="B1093" s="98">
        <v>50406</v>
      </c>
      <c r="C1093" s="98" t="s">
        <v>7533</v>
      </c>
      <c r="D1093" s="96" t="s">
        <v>190</v>
      </c>
      <c r="E1093" s="97">
        <v>65</v>
      </c>
      <c r="F1093" s="67" t="str">
        <f>IFERROR(IFERROR(INDEX(Кат!$A:$A,MATCH(Прайс!$B1093,Кат!$G:$G,0)),INDEX(Торг!$B:$B,MATCH(Прайс!$B1093,Торг!$H:$H,0))),"")</f>
        <v/>
      </c>
      <c r="G1093" s="67" t="str">
        <f>IFERROR(IFERROR(INDEX(Кат!$B:$B,MATCH(Прайс!$B1093,Кат!$G:$G,0)),INDEX(Торг!$C:$C,MATCH(Прайс!$B1093,Торг!$H:$H,0))),"")</f>
        <v/>
      </c>
      <c r="H1093" s="67" t="str">
        <f>IFERROR(IFERROR(INDEX(Кат!$I:$I,MATCH(Прайс!$B1093,Кат!$G:$G,0)),INDEX(Торг!$I:$I,MATCH(Прайс!$B1093,Торг!$H:$H,0))),"")</f>
        <v/>
      </c>
    </row>
    <row r="1094" spans="1:8" ht="15.75" x14ac:dyDescent="0.25">
      <c r="A1094" s="90"/>
      <c r="B1094" s="91"/>
      <c r="C1094" s="92" t="s">
        <v>712</v>
      </c>
      <c r="D1094" s="91"/>
      <c r="E1094" s="93"/>
      <c r="F1094" s="67" t="str">
        <f>IFERROR(IFERROR(INDEX(Кат!$A:$A,MATCH(Прайс!$B1094,Кат!$G:$G,0)),INDEX(Торг!$B:$B,MATCH(Прайс!$B1094,Торг!$H:$H,0))),"")</f>
        <v/>
      </c>
      <c r="G1094" s="67" t="str">
        <f>IFERROR(IFERROR(INDEX(Кат!$B:$B,MATCH(Прайс!$B1094,Кат!$G:$G,0)),INDEX(Торг!$C:$C,MATCH(Прайс!$B1094,Торг!$H:$H,0))),"")</f>
        <v/>
      </c>
      <c r="H1094" s="67" t="str">
        <f>IFERROR(IFERROR(INDEX(Кат!$I:$I,MATCH(Прайс!$B1094,Кат!$G:$G,0)),INDEX(Торг!$I:$I,MATCH(Прайс!$B1094,Торг!$H:$H,0))),"")</f>
        <v/>
      </c>
    </row>
    <row r="1095" spans="1:8" x14ac:dyDescent="0.25">
      <c r="A1095" s="94" t="s">
        <v>3026</v>
      </c>
      <c r="B1095" s="98">
        <v>50395</v>
      </c>
      <c r="C1095" s="98" t="s">
        <v>713</v>
      </c>
      <c r="D1095" s="96" t="s">
        <v>190</v>
      </c>
      <c r="E1095" s="97">
        <v>22</v>
      </c>
      <c r="F1095" s="67" t="str">
        <f>IFERROR(IFERROR(INDEX(Кат!$A:$A,MATCH(Прайс!$B1095,Кат!$G:$G,0)),INDEX(Торг!$B:$B,MATCH(Прайс!$B1095,Торг!$H:$H,0))),"")</f>
        <v/>
      </c>
      <c r="G1095" s="67" t="str">
        <f>IFERROR(IFERROR(INDEX(Кат!$B:$B,MATCH(Прайс!$B1095,Кат!$G:$G,0)),INDEX(Торг!$C:$C,MATCH(Прайс!$B1095,Торг!$H:$H,0))),"")</f>
        <v/>
      </c>
      <c r="H1095" s="67" t="str">
        <f>IFERROR(IFERROR(INDEX(Кат!$I:$I,MATCH(Прайс!$B1095,Кат!$G:$G,0)),INDEX(Торг!$I:$I,MATCH(Прайс!$B1095,Торг!$H:$H,0))),"")</f>
        <v/>
      </c>
    </row>
    <row r="1096" spans="1:8" ht="15.75" x14ac:dyDescent="0.25">
      <c r="A1096" s="87"/>
      <c r="B1096" s="88"/>
      <c r="C1096" s="88" t="s">
        <v>714</v>
      </c>
      <c r="D1096" s="88"/>
      <c r="E1096" s="89"/>
      <c r="F1096" s="67" t="str">
        <f>IFERROR(IFERROR(INDEX(Кат!$A:$A,MATCH(Прайс!$B1096,Кат!$G:$G,0)),INDEX(Торг!$B:$B,MATCH(Прайс!$B1096,Торг!$H:$H,0))),"")</f>
        <v/>
      </c>
      <c r="G1096" s="67" t="str">
        <f>IFERROR(IFERROR(INDEX(Кат!$B:$B,MATCH(Прайс!$B1096,Кат!$G:$G,0)),INDEX(Торг!$C:$C,MATCH(Прайс!$B1096,Торг!$H:$H,0))),"")</f>
        <v/>
      </c>
      <c r="H1096" s="67" t="str">
        <f>IFERROR(IFERROR(INDEX(Кат!$I:$I,MATCH(Прайс!$B1096,Кат!$G:$G,0)),INDEX(Торг!$I:$I,MATCH(Прайс!$B1096,Торг!$H:$H,0))),"")</f>
        <v/>
      </c>
    </row>
    <row r="1097" spans="1:8" ht="15.75" x14ac:dyDescent="0.25">
      <c r="A1097" s="90"/>
      <c r="B1097" s="91"/>
      <c r="C1097" s="92" t="s">
        <v>715</v>
      </c>
      <c r="D1097" s="91"/>
      <c r="E1097" s="93"/>
      <c r="F1097" s="67" t="str">
        <f>IFERROR(IFERROR(INDEX(Кат!$A:$A,MATCH(Прайс!$B1097,Кат!$G:$G,0)),INDEX(Торг!$B:$B,MATCH(Прайс!$B1097,Торг!$H:$H,0))),"")</f>
        <v/>
      </c>
      <c r="G1097" s="67" t="str">
        <f>IFERROR(IFERROR(INDEX(Кат!$B:$B,MATCH(Прайс!$B1097,Кат!$G:$G,0)),INDEX(Торг!$C:$C,MATCH(Прайс!$B1097,Торг!$H:$H,0))),"")</f>
        <v/>
      </c>
      <c r="H1097" s="67" t="str">
        <f>IFERROR(IFERROR(INDEX(Кат!$I:$I,MATCH(Прайс!$B1097,Кат!$G:$G,0)),INDEX(Торг!$I:$I,MATCH(Прайс!$B1097,Торг!$H:$H,0))),"")</f>
        <v/>
      </c>
    </row>
    <row r="1098" spans="1:8" x14ac:dyDescent="0.25">
      <c r="A1098" s="94" t="s">
        <v>3027</v>
      </c>
      <c r="B1098" s="98">
        <v>60001</v>
      </c>
      <c r="C1098" s="98" t="s">
        <v>716</v>
      </c>
      <c r="D1098" s="96" t="s">
        <v>582</v>
      </c>
      <c r="E1098" s="97">
        <v>200</v>
      </c>
      <c r="F1098" s="67" t="str">
        <f>IFERROR(IFERROR(INDEX(Кат!$A:$A,MATCH(Прайс!$B1098,Кат!$G:$G,0)),INDEX(Торг!$B:$B,MATCH(Прайс!$B1098,Торг!$H:$H,0))),"")</f>
        <v/>
      </c>
      <c r="G1098" s="67" t="str">
        <f>IFERROR(IFERROR(INDEX(Кат!$B:$B,MATCH(Прайс!$B1098,Кат!$G:$G,0)),INDEX(Торг!$C:$C,MATCH(Прайс!$B1098,Торг!$H:$H,0))),"")</f>
        <v/>
      </c>
      <c r="H1098" s="67" t="str">
        <f>IFERROR(IFERROR(INDEX(Кат!$I:$I,MATCH(Прайс!$B1098,Кат!$G:$G,0)),INDEX(Торг!$I:$I,MATCH(Прайс!$B1098,Торг!$H:$H,0))),"")</f>
        <v/>
      </c>
    </row>
    <row r="1099" spans="1:8" x14ac:dyDescent="0.25">
      <c r="A1099" s="94" t="s">
        <v>7534</v>
      </c>
      <c r="B1099" s="98">
        <v>60002</v>
      </c>
      <c r="C1099" s="98" t="s">
        <v>7535</v>
      </c>
      <c r="D1099" s="96" t="s">
        <v>582</v>
      </c>
      <c r="E1099" s="97">
        <v>170</v>
      </c>
      <c r="F1099" s="67" t="str">
        <f>IFERROR(IFERROR(INDEX(Кат!$A:$A,MATCH(Прайс!$B1099,Кат!$G:$G,0)),INDEX(Торг!$B:$B,MATCH(Прайс!$B1099,Торг!$H:$H,0))),"")</f>
        <v/>
      </c>
      <c r="G1099" s="67" t="str">
        <f>IFERROR(IFERROR(INDEX(Кат!$B:$B,MATCH(Прайс!$B1099,Кат!$G:$G,0)),INDEX(Торг!$C:$C,MATCH(Прайс!$B1099,Торг!$H:$H,0))),"")</f>
        <v/>
      </c>
      <c r="H1099" s="67" t="str">
        <f>IFERROR(IFERROR(INDEX(Кат!$I:$I,MATCH(Прайс!$B1099,Кат!$G:$G,0)),INDEX(Торг!$I:$I,MATCH(Прайс!$B1099,Торг!$H:$H,0))),"")</f>
        <v/>
      </c>
    </row>
    <row r="1100" spans="1:8" x14ac:dyDescent="0.25">
      <c r="A1100" s="94" t="s">
        <v>3028</v>
      </c>
      <c r="B1100" s="98">
        <v>60004</v>
      </c>
      <c r="C1100" s="98" t="s">
        <v>717</v>
      </c>
      <c r="D1100" s="96" t="s">
        <v>190</v>
      </c>
      <c r="E1100" s="97">
        <v>470</v>
      </c>
      <c r="F1100" s="67" t="str">
        <f>IFERROR(IFERROR(INDEX(Кат!$A:$A,MATCH(Прайс!$B1100,Кат!$G:$G,0)),INDEX(Торг!$B:$B,MATCH(Прайс!$B1100,Торг!$H:$H,0))),"")</f>
        <v/>
      </c>
      <c r="G1100" s="67" t="str">
        <f>IFERROR(IFERROR(INDEX(Кат!$B:$B,MATCH(Прайс!$B1100,Кат!$G:$G,0)),INDEX(Торг!$C:$C,MATCH(Прайс!$B1100,Торг!$H:$H,0))),"")</f>
        <v/>
      </c>
      <c r="H1100" s="67" t="str">
        <f>IFERROR(IFERROR(INDEX(Кат!$I:$I,MATCH(Прайс!$B1100,Кат!$G:$G,0)),INDEX(Торг!$I:$I,MATCH(Прайс!$B1100,Торг!$H:$H,0))),"")</f>
        <v/>
      </c>
    </row>
    <row r="1101" spans="1:8" x14ac:dyDescent="0.25">
      <c r="A1101" s="94" t="s">
        <v>3029</v>
      </c>
      <c r="B1101" s="98">
        <v>60005</v>
      </c>
      <c r="C1101" s="98" t="s">
        <v>718</v>
      </c>
      <c r="D1101" s="96" t="s">
        <v>190</v>
      </c>
      <c r="E1101" s="97">
        <v>550</v>
      </c>
      <c r="F1101" s="67" t="str">
        <f>IFERROR(IFERROR(INDEX(Кат!$A:$A,MATCH(Прайс!$B1101,Кат!$G:$G,0)),INDEX(Торг!$B:$B,MATCH(Прайс!$B1101,Торг!$H:$H,0))),"")</f>
        <v/>
      </c>
      <c r="G1101" s="67" t="str">
        <f>IFERROR(IFERROR(INDEX(Кат!$B:$B,MATCH(Прайс!$B1101,Кат!$G:$G,0)),INDEX(Торг!$C:$C,MATCH(Прайс!$B1101,Торг!$H:$H,0))),"")</f>
        <v/>
      </c>
      <c r="H1101" s="67" t="str">
        <f>IFERROR(IFERROR(INDEX(Кат!$I:$I,MATCH(Прайс!$B1101,Кат!$G:$G,0)),INDEX(Торг!$I:$I,MATCH(Прайс!$B1101,Торг!$H:$H,0))),"")</f>
        <v/>
      </c>
    </row>
    <row r="1102" spans="1:8" x14ac:dyDescent="0.25">
      <c r="A1102" s="94" t="s">
        <v>3030</v>
      </c>
      <c r="B1102" s="98">
        <v>60006</v>
      </c>
      <c r="C1102" s="98" t="s">
        <v>719</v>
      </c>
      <c r="D1102" s="96" t="s">
        <v>190</v>
      </c>
      <c r="E1102" s="97">
        <v>270</v>
      </c>
      <c r="F1102" s="67" t="str">
        <f>IFERROR(IFERROR(INDEX(Кат!$A:$A,MATCH(Прайс!$B1102,Кат!$G:$G,0)),INDEX(Торг!$B:$B,MATCH(Прайс!$B1102,Торг!$H:$H,0))),"")</f>
        <v/>
      </c>
      <c r="G1102" s="67" t="str">
        <f>IFERROR(IFERROR(INDEX(Кат!$B:$B,MATCH(Прайс!$B1102,Кат!$G:$G,0)),INDEX(Торг!$C:$C,MATCH(Прайс!$B1102,Торг!$H:$H,0))),"")</f>
        <v/>
      </c>
      <c r="H1102" s="67" t="str">
        <f>IFERROR(IFERROR(INDEX(Кат!$I:$I,MATCH(Прайс!$B1102,Кат!$G:$G,0)),INDEX(Торг!$I:$I,MATCH(Прайс!$B1102,Торг!$H:$H,0))),"")</f>
        <v/>
      </c>
    </row>
    <row r="1103" spans="1:8" x14ac:dyDescent="0.25">
      <c r="A1103" s="94" t="s">
        <v>3031</v>
      </c>
      <c r="B1103" s="98">
        <v>60007</v>
      </c>
      <c r="C1103" s="98" t="s">
        <v>720</v>
      </c>
      <c r="D1103" s="96" t="s">
        <v>159</v>
      </c>
      <c r="E1103" s="97">
        <v>275</v>
      </c>
      <c r="F1103" s="67" t="str">
        <f>IFERROR(IFERROR(INDEX(Кат!$A:$A,MATCH(Прайс!$B1103,Кат!$G:$G,0)),INDEX(Торг!$B:$B,MATCH(Прайс!$B1103,Торг!$H:$H,0))),"")</f>
        <v/>
      </c>
      <c r="G1103" s="67" t="str">
        <f>IFERROR(IFERROR(INDEX(Кат!$B:$B,MATCH(Прайс!$B1103,Кат!$G:$G,0)),INDEX(Торг!$C:$C,MATCH(Прайс!$B1103,Торг!$H:$H,0))),"")</f>
        <v/>
      </c>
      <c r="H1103" s="67" t="str">
        <f>IFERROR(IFERROR(INDEX(Кат!$I:$I,MATCH(Прайс!$B1103,Кат!$G:$G,0)),INDEX(Торг!$I:$I,MATCH(Прайс!$B1103,Торг!$H:$H,0))),"")</f>
        <v/>
      </c>
    </row>
    <row r="1104" spans="1:8" x14ac:dyDescent="0.25">
      <c r="A1104" s="94" t="s">
        <v>8549</v>
      </c>
      <c r="B1104" s="98">
        <v>60008</v>
      </c>
      <c r="C1104" s="98" t="s">
        <v>8550</v>
      </c>
      <c r="D1104" s="96" t="s">
        <v>176</v>
      </c>
      <c r="E1104" s="97">
        <v>300</v>
      </c>
      <c r="F1104" s="67" t="str">
        <f>IFERROR(IFERROR(INDEX(Кат!$A:$A,MATCH(Прайс!$B1104,Кат!$G:$G,0)),INDEX(Торг!$B:$B,MATCH(Прайс!$B1104,Торг!$H:$H,0))),"")</f>
        <v/>
      </c>
      <c r="G1104" s="67" t="str">
        <f>IFERROR(IFERROR(INDEX(Кат!$B:$B,MATCH(Прайс!$B1104,Кат!$G:$G,0)),INDEX(Торг!$C:$C,MATCH(Прайс!$B1104,Торг!$H:$H,0))),"")</f>
        <v/>
      </c>
      <c r="H1104" s="67" t="str">
        <f>IFERROR(IFERROR(INDEX(Кат!$I:$I,MATCH(Прайс!$B1104,Кат!$G:$G,0)),INDEX(Торг!$I:$I,MATCH(Прайс!$B1104,Торг!$H:$H,0))),"")</f>
        <v/>
      </c>
    </row>
    <row r="1105" spans="1:8" x14ac:dyDescent="0.25">
      <c r="A1105" s="94" t="s">
        <v>7536</v>
      </c>
      <c r="B1105" s="98">
        <v>60009</v>
      </c>
      <c r="C1105" s="98" t="s">
        <v>7537</v>
      </c>
      <c r="D1105" s="96" t="s">
        <v>176</v>
      </c>
      <c r="E1105" s="97">
        <v>275</v>
      </c>
      <c r="F1105" s="67" t="str">
        <f>IFERROR(IFERROR(INDEX(Кат!$A:$A,MATCH(Прайс!$B1105,Кат!$G:$G,0)),INDEX(Торг!$B:$B,MATCH(Прайс!$B1105,Торг!$H:$H,0))),"")</f>
        <v/>
      </c>
      <c r="G1105" s="67" t="str">
        <f>IFERROR(IFERROR(INDEX(Кат!$B:$B,MATCH(Прайс!$B1105,Кат!$G:$G,0)),INDEX(Торг!$C:$C,MATCH(Прайс!$B1105,Торг!$H:$H,0))),"")</f>
        <v/>
      </c>
      <c r="H1105" s="67" t="str">
        <f>IFERROR(IFERROR(INDEX(Кат!$I:$I,MATCH(Прайс!$B1105,Кат!$G:$G,0)),INDEX(Торг!$I:$I,MATCH(Прайс!$B1105,Торг!$H:$H,0))),"")</f>
        <v/>
      </c>
    </row>
    <row r="1106" spans="1:8" x14ac:dyDescent="0.25">
      <c r="A1106" s="94" t="s">
        <v>7538</v>
      </c>
      <c r="B1106" s="98">
        <v>60011</v>
      </c>
      <c r="C1106" s="98" t="s">
        <v>7539</v>
      </c>
      <c r="D1106" s="96" t="s">
        <v>176</v>
      </c>
      <c r="E1106" s="97">
        <v>260</v>
      </c>
      <c r="F1106" s="67" t="str">
        <f>IFERROR(IFERROR(INDEX(Кат!$A:$A,MATCH(Прайс!$B1106,Кат!$G:$G,0)),INDEX(Торг!$B:$B,MATCH(Прайс!$B1106,Торг!$H:$H,0))),"")</f>
        <v/>
      </c>
      <c r="G1106" s="67" t="str">
        <f>IFERROR(IFERROR(INDEX(Кат!$B:$B,MATCH(Прайс!$B1106,Кат!$G:$G,0)),INDEX(Торг!$C:$C,MATCH(Прайс!$B1106,Торг!$H:$H,0))),"")</f>
        <v/>
      </c>
      <c r="H1106" s="67" t="str">
        <f>IFERROR(IFERROR(INDEX(Кат!$I:$I,MATCH(Прайс!$B1106,Кат!$G:$G,0)),INDEX(Торг!$I:$I,MATCH(Прайс!$B1106,Торг!$H:$H,0))),"")</f>
        <v/>
      </c>
    </row>
    <row r="1107" spans="1:8" x14ac:dyDescent="0.25">
      <c r="A1107" s="94" t="s">
        <v>3036</v>
      </c>
      <c r="B1107" s="98">
        <v>60016</v>
      </c>
      <c r="C1107" s="98" t="s">
        <v>7540</v>
      </c>
      <c r="D1107" s="96" t="s">
        <v>582</v>
      </c>
      <c r="E1107" s="97">
        <v>380</v>
      </c>
      <c r="F1107" s="67" t="str">
        <f>IFERROR(IFERROR(INDEX(Кат!$A:$A,MATCH(Прайс!$B1107,Кат!$G:$G,0)),INDEX(Торг!$B:$B,MATCH(Прайс!$B1107,Торг!$H:$H,0))),"")</f>
        <v/>
      </c>
      <c r="G1107" s="67" t="str">
        <f>IFERROR(IFERROR(INDEX(Кат!$B:$B,MATCH(Прайс!$B1107,Кат!$G:$G,0)),INDEX(Торг!$C:$C,MATCH(Прайс!$B1107,Торг!$H:$H,0))),"")</f>
        <v/>
      </c>
      <c r="H1107" s="67" t="str">
        <f>IFERROR(IFERROR(INDEX(Кат!$I:$I,MATCH(Прайс!$B1107,Кат!$G:$G,0)),INDEX(Торг!$I:$I,MATCH(Прайс!$B1107,Торг!$H:$H,0))),"")</f>
        <v/>
      </c>
    </row>
    <row r="1108" spans="1:8" x14ac:dyDescent="0.25">
      <c r="A1108" s="94" t="s">
        <v>3037</v>
      </c>
      <c r="B1108" s="98">
        <v>60017</v>
      </c>
      <c r="C1108" s="98" t="s">
        <v>7541</v>
      </c>
      <c r="D1108" s="96" t="s">
        <v>582</v>
      </c>
      <c r="E1108" s="97">
        <v>480</v>
      </c>
      <c r="F1108" s="67" t="str">
        <f>IFERROR(IFERROR(INDEX(Кат!$A:$A,MATCH(Прайс!$B1108,Кат!$G:$G,0)),INDEX(Торг!$B:$B,MATCH(Прайс!$B1108,Торг!$H:$H,0))),"")</f>
        <v/>
      </c>
      <c r="G1108" s="67" t="str">
        <f>IFERROR(IFERROR(INDEX(Кат!$B:$B,MATCH(Прайс!$B1108,Кат!$G:$G,0)),INDEX(Торг!$C:$C,MATCH(Прайс!$B1108,Торг!$H:$H,0))),"")</f>
        <v/>
      </c>
      <c r="H1108" s="67" t="str">
        <f>IFERROR(IFERROR(INDEX(Кат!$I:$I,MATCH(Прайс!$B1108,Кат!$G:$G,0)),INDEX(Торг!$I:$I,MATCH(Прайс!$B1108,Торг!$H:$H,0))),"")</f>
        <v/>
      </c>
    </row>
    <row r="1109" spans="1:8" x14ac:dyDescent="0.25">
      <c r="A1109" s="94" t="s">
        <v>3038</v>
      </c>
      <c r="B1109" s="98">
        <v>60018</v>
      </c>
      <c r="C1109" s="98" t="s">
        <v>7542</v>
      </c>
      <c r="D1109" s="96" t="s">
        <v>582</v>
      </c>
      <c r="E1109" s="97">
        <v>380</v>
      </c>
      <c r="F1109" s="67" t="str">
        <f>IFERROR(IFERROR(INDEX(Кат!$A:$A,MATCH(Прайс!$B1109,Кат!$G:$G,0)),INDEX(Торг!$B:$B,MATCH(Прайс!$B1109,Торг!$H:$H,0))),"")</f>
        <v/>
      </c>
      <c r="G1109" s="67" t="str">
        <f>IFERROR(IFERROR(INDEX(Кат!$B:$B,MATCH(Прайс!$B1109,Кат!$G:$G,0)),INDEX(Торг!$C:$C,MATCH(Прайс!$B1109,Торг!$H:$H,0))),"")</f>
        <v/>
      </c>
      <c r="H1109" s="67" t="str">
        <f>IFERROR(IFERROR(INDEX(Кат!$I:$I,MATCH(Прайс!$B1109,Кат!$G:$G,0)),INDEX(Торг!$I:$I,MATCH(Прайс!$B1109,Торг!$H:$H,0))),"")</f>
        <v/>
      </c>
    </row>
    <row r="1110" spans="1:8" x14ac:dyDescent="0.25">
      <c r="A1110" s="94" t="s">
        <v>3039</v>
      </c>
      <c r="B1110" s="98">
        <v>60019</v>
      </c>
      <c r="C1110" s="98" t="s">
        <v>7543</v>
      </c>
      <c r="D1110" s="96" t="s">
        <v>582</v>
      </c>
      <c r="E1110" s="97">
        <v>480</v>
      </c>
      <c r="F1110" s="67" t="str">
        <f>IFERROR(IFERROR(INDEX(Кат!$A:$A,MATCH(Прайс!$B1110,Кат!$G:$G,0)),INDEX(Торг!$B:$B,MATCH(Прайс!$B1110,Торг!$H:$H,0))),"")</f>
        <v/>
      </c>
      <c r="G1110" s="67" t="str">
        <f>IFERROR(IFERROR(INDEX(Кат!$B:$B,MATCH(Прайс!$B1110,Кат!$G:$G,0)),INDEX(Торг!$C:$C,MATCH(Прайс!$B1110,Торг!$H:$H,0))),"")</f>
        <v/>
      </c>
      <c r="H1110" s="67" t="str">
        <f>IFERROR(IFERROR(INDEX(Кат!$I:$I,MATCH(Прайс!$B1110,Кат!$G:$G,0)),INDEX(Торг!$I:$I,MATCH(Прайс!$B1110,Торг!$H:$H,0))),"")</f>
        <v/>
      </c>
    </row>
    <row r="1111" spans="1:8" x14ac:dyDescent="0.25">
      <c r="A1111" s="94" t="s">
        <v>3040</v>
      </c>
      <c r="B1111" s="98">
        <v>60020</v>
      </c>
      <c r="C1111" s="98" t="s">
        <v>7544</v>
      </c>
      <c r="D1111" s="96" t="s">
        <v>582</v>
      </c>
      <c r="E1111" s="97">
        <v>380</v>
      </c>
      <c r="F1111" s="67" t="str">
        <f>IFERROR(IFERROR(INDEX(Кат!$A:$A,MATCH(Прайс!$B1111,Кат!$G:$G,0)),INDEX(Торг!$B:$B,MATCH(Прайс!$B1111,Торг!$H:$H,0))),"")</f>
        <v/>
      </c>
      <c r="G1111" s="67" t="str">
        <f>IFERROR(IFERROR(INDEX(Кат!$B:$B,MATCH(Прайс!$B1111,Кат!$G:$G,0)),INDEX(Торг!$C:$C,MATCH(Прайс!$B1111,Торг!$H:$H,0))),"")</f>
        <v/>
      </c>
      <c r="H1111" s="67" t="str">
        <f>IFERROR(IFERROR(INDEX(Кат!$I:$I,MATCH(Прайс!$B1111,Кат!$G:$G,0)),INDEX(Торг!$I:$I,MATCH(Прайс!$B1111,Торг!$H:$H,0))),"")</f>
        <v/>
      </c>
    </row>
    <row r="1112" spans="1:8" x14ac:dyDescent="0.25">
      <c r="A1112" s="94" t="s">
        <v>3032</v>
      </c>
      <c r="B1112" s="98">
        <v>60012</v>
      </c>
      <c r="C1112" s="98" t="s">
        <v>721</v>
      </c>
      <c r="D1112" s="96" t="s">
        <v>582</v>
      </c>
      <c r="E1112" s="97">
        <v>480</v>
      </c>
      <c r="F1112" s="67" t="str">
        <f>IFERROR(IFERROR(INDEX(Кат!$A:$A,MATCH(Прайс!$B1112,Кат!$G:$G,0)),INDEX(Торг!$B:$B,MATCH(Прайс!$B1112,Торг!$H:$H,0))),"")</f>
        <v/>
      </c>
      <c r="G1112" s="67" t="str">
        <f>IFERROR(IFERROR(INDEX(Кат!$B:$B,MATCH(Прайс!$B1112,Кат!$G:$G,0)),INDEX(Торг!$C:$C,MATCH(Прайс!$B1112,Торг!$H:$H,0))),"")</f>
        <v/>
      </c>
      <c r="H1112" s="67" t="str">
        <f>IFERROR(IFERROR(INDEX(Кат!$I:$I,MATCH(Прайс!$B1112,Кат!$G:$G,0)),INDEX(Торг!$I:$I,MATCH(Прайс!$B1112,Торг!$H:$H,0))),"")</f>
        <v/>
      </c>
    </row>
    <row r="1113" spans="1:8" x14ac:dyDescent="0.25">
      <c r="A1113" s="94" t="s">
        <v>3033</v>
      </c>
      <c r="B1113" s="98">
        <v>60132</v>
      </c>
      <c r="C1113" s="98" t="s">
        <v>722</v>
      </c>
      <c r="D1113" s="96" t="s">
        <v>582</v>
      </c>
      <c r="E1113" s="97">
        <v>430</v>
      </c>
      <c r="F1113" s="67" t="str">
        <f>IFERROR(IFERROR(INDEX(Кат!$A:$A,MATCH(Прайс!$B1113,Кат!$G:$G,0)),INDEX(Торг!$B:$B,MATCH(Прайс!$B1113,Торг!$H:$H,0))),"")</f>
        <v/>
      </c>
      <c r="G1113" s="67" t="str">
        <f>IFERROR(IFERROR(INDEX(Кат!$B:$B,MATCH(Прайс!$B1113,Кат!$G:$G,0)),INDEX(Торг!$C:$C,MATCH(Прайс!$B1113,Торг!$H:$H,0))),"")</f>
        <v/>
      </c>
      <c r="H1113" s="67" t="str">
        <f>IFERROR(IFERROR(INDEX(Кат!$I:$I,MATCH(Прайс!$B1113,Кат!$G:$G,0)),INDEX(Торг!$I:$I,MATCH(Прайс!$B1113,Торг!$H:$H,0))),"")</f>
        <v/>
      </c>
    </row>
    <row r="1114" spans="1:8" x14ac:dyDescent="0.25">
      <c r="A1114" s="94" t="s">
        <v>3034</v>
      </c>
      <c r="B1114" s="98">
        <v>60013</v>
      </c>
      <c r="C1114" s="98" t="s">
        <v>723</v>
      </c>
      <c r="D1114" s="96" t="s">
        <v>582</v>
      </c>
      <c r="E1114" s="97">
        <v>490</v>
      </c>
      <c r="F1114" s="67" t="str">
        <f>IFERROR(IFERROR(INDEX(Кат!$A:$A,MATCH(Прайс!$B1114,Кат!$G:$G,0)),INDEX(Торг!$B:$B,MATCH(Прайс!$B1114,Торг!$H:$H,0))),"")</f>
        <v/>
      </c>
      <c r="G1114" s="67" t="str">
        <f>IFERROR(IFERROR(INDEX(Кат!$B:$B,MATCH(Прайс!$B1114,Кат!$G:$G,0)),INDEX(Торг!$C:$C,MATCH(Прайс!$B1114,Торг!$H:$H,0))),"")</f>
        <v/>
      </c>
      <c r="H1114" s="67" t="str">
        <f>IFERROR(IFERROR(INDEX(Кат!$I:$I,MATCH(Прайс!$B1114,Кат!$G:$G,0)),INDEX(Торг!$I:$I,MATCH(Прайс!$B1114,Торг!$H:$H,0))),"")</f>
        <v/>
      </c>
    </row>
    <row r="1115" spans="1:8" x14ac:dyDescent="0.25">
      <c r="A1115" s="94" t="s">
        <v>3035</v>
      </c>
      <c r="B1115" s="98">
        <v>60014</v>
      </c>
      <c r="C1115" s="98" t="s">
        <v>724</v>
      </c>
      <c r="D1115" s="96" t="s">
        <v>582</v>
      </c>
      <c r="E1115" s="97">
        <v>400</v>
      </c>
      <c r="F1115" s="67" t="str">
        <f>IFERROR(IFERROR(INDEX(Кат!$A:$A,MATCH(Прайс!$B1115,Кат!$G:$G,0)),INDEX(Торг!$B:$B,MATCH(Прайс!$B1115,Торг!$H:$H,0))),"")</f>
        <v/>
      </c>
      <c r="G1115" s="67" t="str">
        <f>IFERROR(IFERROR(INDEX(Кат!$B:$B,MATCH(Прайс!$B1115,Кат!$G:$G,0)),INDEX(Торг!$C:$C,MATCH(Прайс!$B1115,Торг!$H:$H,0))),"")</f>
        <v/>
      </c>
      <c r="H1115" s="67" t="str">
        <f>IFERROR(IFERROR(INDEX(Кат!$I:$I,MATCH(Прайс!$B1115,Кат!$G:$G,0)),INDEX(Торг!$I:$I,MATCH(Прайс!$B1115,Торг!$H:$H,0))),"")</f>
        <v/>
      </c>
    </row>
    <row r="1116" spans="1:8" x14ac:dyDescent="0.25">
      <c r="A1116" s="94" t="s">
        <v>3041</v>
      </c>
      <c r="B1116" s="98">
        <v>60021</v>
      </c>
      <c r="C1116" s="98" t="s">
        <v>725</v>
      </c>
      <c r="D1116" s="96" t="s">
        <v>582</v>
      </c>
      <c r="E1116" s="97">
        <v>400</v>
      </c>
      <c r="F1116" s="67" t="str">
        <f>IFERROR(IFERROR(INDEX(Кат!$A:$A,MATCH(Прайс!$B1116,Кат!$G:$G,0)),INDEX(Торг!$B:$B,MATCH(Прайс!$B1116,Торг!$H:$H,0))),"")</f>
        <v/>
      </c>
      <c r="G1116" s="67" t="str">
        <f>IFERROR(IFERROR(INDEX(Кат!$B:$B,MATCH(Прайс!$B1116,Кат!$G:$G,0)),INDEX(Торг!$C:$C,MATCH(Прайс!$B1116,Торг!$H:$H,0))),"")</f>
        <v/>
      </c>
      <c r="H1116" s="67" t="str">
        <f>IFERROR(IFERROR(INDEX(Кат!$I:$I,MATCH(Прайс!$B1116,Кат!$G:$G,0)),INDEX(Торг!$I:$I,MATCH(Прайс!$B1116,Торг!$H:$H,0))),"")</f>
        <v/>
      </c>
    </row>
    <row r="1117" spans="1:8" x14ac:dyDescent="0.25">
      <c r="A1117" s="103" t="s">
        <v>3042</v>
      </c>
      <c r="B1117" s="104">
        <v>60022</v>
      </c>
      <c r="C1117" s="104" t="s">
        <v>726</v>
      </c>
      <c r="D1117" s="105" t="s">
        <v>582</v>
      </c>
      <c r="E1117" s="106">
        <v>1000</v>
      </c>
      <c r="F1117" s="67" t="str">
        <f>IFERROR(IFERROR(INDEX(Кат!$A:$A,MATCH(Прайс!$B1117,Кат!$G:$G,0)),INDEX(Торг!$B:$B,MATCH(Прайс!$B1117,Торг!$H:$H,0))),"")</f>
        <v/>
      </c>
      <c r="G1117" s="67" t="str">
        <f>IFERROR(IFERROR(INDEX(Кат!$B:$B,MATCH(Прайс!$B1117,Кат!$G:$G,0)),INDEX(Торг!$C:$C,MATCH(Прайс!$B1117,Торг!$H:$H,0))),"")</f>
        <v/>
      </c>
      <c r="H1117" s="67" t="str">
        <f>IFERROR(IFERROR(INDEX(Кат!$I:$I,MATCH(Прайс!$B1117,Кат!$G:$G,0)),INDEX(Торг!$I:$I,MATCH(Прайс!$B1117,Торг!$H:$H,0))),"")</f>
        <v/>
      </c>
    </row>
    <row r="1118" spans="1:8" x14ac:dyDescent="0.25">
      <c r="A1118" s="94" t="s">
        <v>3043</v>
      </c>
      <c r="B1118" s="98">
        <v>60023</v>
      </c>
      <c r="C1118" s="98" t="s">
        <v>727</v>
      </c>
      <c r="D1118" s="96" t="s">
        <v>582</v>
      </c>
      <c r="E1118" s="97">
        <v>510</v>
      </c>
      <c r="F1118" s="67" t="str">
        <f>IFERROR(IFERROR(INDEX(Кат!$A:$A,MATCH(Прайс!$B1118,Кат!$G:$G,0)),INDEX(Торг!$B:$B,MATCH(Прайс!$B1118,Торг!$H:$H,0))),"")</f>
        <v/>
      </c>
      <c r="G1118" s="67" t="str">
        <f>IFERROR(IFERROR(INDEX(Кат!$B:$B,MATCH(Прайс!$B1118,Кат!$G:$G,0)),INDEX(Торг!$C:$C,MATCH(Прайс!$B1118,Торг!$H:$H,0))),"")</f>
        <v/>
      </c>
      <c r="H1118" s="67" t="str">
        <f>IFERROR(IFERROR(INDEX(Кат!$I:$I,MATCH(Прайс!$B1118,Кат!$G:$G,0)),INDEX(Торг!$I:$I,MATCH(Прайс!$B1118,Торг!$H:$H,0))),"")</f>
        <v/>
      </c>
    </row>
    <row r="1119" spans="1:8" x14ac:dyDescent="0.25">
      <c r="A1119" s="94" t="s">
        <v>3044</v>
      </c>
      <c r="B1119" s="98">
        <v>60024</v>
      </c>
      <c r="C1119" s="98" t="s">
        <v>728</v>
      </c>
      <c r="D1119" s="96" t="s">
        <v>582</v>
      </c>
      <c r="E1119" s="97">
        <v>570</v>
      </c>
      <c r="F1119" s="67" t="str">
        <f>IFERROR(IFERROR(INDEX(Кат!$A:$A,MATCH(Прайс!$B1119,Кат!$G:$G,0)),INDEX(Торг!$B:$B,MATCH(Прайс!$B1119,Торг!$H:$H,0))),"")</f>
        <v/>
      </c>
      <c r="G1119" s="67" t="str">
        <f>IFERROR(IFERROR(INDEX(Кат!$B:$B,MATCH(Прайс!$B1119,Кат!$G:$G,0)),INDEX(Торг!$C:$C,MATCH(Прайс!$B1119,Торг!$H:$H,0))),"")</f>
        <v/>
      </c>
      <c r="H1119" s="67" t="str">
        <f>IFERROR(IFERROR(INDEX(Кат!$I:$I,MATCH(Прайс!$B1119,Кат!$G:$G,0)),INDEX(Торг!$I:$I,MATCH(Прайс!$B1119,Торг!$H:$H,0))),"")</f>
        <v/>
      </c>
    </row>
    <row r="1120" spans="1:8" x14ac:dyDescent="0.25">
      <c r="A1120" s="94" t="s">
        <v>3045</v>
      </c>
      <c r="B1120" s="98">
        <v>60026</v>
      </c>
      <c r="C1120" s="98" t="s">
        <v>729</v>
      </c>
      <c r="D1120" s="96" t="s">
        <v>582</v>
      </c>
      <c r="E1120" s="97">
        <v>570</v>
      </c>
      <c r="F1120" s="67" t="str">
        <f>IFERROR(IFERROR(INDEX(Кат!$A:$A,MATCH(Прайс!$B1120,Кат!$G:$G,0)),INDEX(Торг!$B:$B,MATCH(Прайс!$B1120,Торг!$H:$H,0))),"")</f>
        <v/>
      </c>
      <c r="G1120" s="67" t="str">
        <f>IFERROR(IFERROR(INDEX(Кат!$B:$B,MATCH(Прайс!$B1120,Кат!$G:$G,0)),INDEX(Торг!$C:$C,MATCH(Прайс!$B1120,Торг!$H:$H,0))),"")</f>
        <v/>
      </c>
      <c r="H1120" s="67" t="str">
        <f>IFERROR(IFERROR(INDEX(Кат!$I:$I,MATCH(Прайс!$B1120,Кат!$G:$G,0)),INDEX(Торг!$I:$I,MATCH(Прайс!$B1120,Торг!$H:$H,0))),"")</f>
        <v/>
      </c>
    </row>
    <row r="1121" spans="1:8" x14ac:dyDescent="0.25">
      <c r="A1121" s="94" t="s">
        <v>3046</v>
      </c>
      <c r="B1121" s="98">
        <v>60027</v>
      </c>
      <c r="C1121" s="98" t="s">
        <v>730</v>
      </c>
      <c r="D1121" s="96" t="s">
        <v>582</v>
      </c>
      <c r="E1121" s="97">
        <v>670</v>
      </c>
      <c r="F1121" s="67" t="str">
        <f>IFERROR(IFERROR(INDEX(Кат!$A:$A,MATCH(Прайс!$B1121,Кат!$G:$G,0)),INDEX(Торг!$B:$B,MATCH(Прайс!$B1121,Торг!$H:$H,0))),"")</f>
        <v/>
      </c>
      <c r="G1121" s="67" t="str">
        <f>IFERROR(IFERROR(INDEX(Кат!$B:$B,MATCH(Прайс!$B1121,Кат!$G:$G,0)),INDEX(Торг!$C:$C,MATCH(Прайс!$B1121,Торг!$H:$H,0))),"")</f>
        <v/>
      </c>
      <c r="H1121" s="67" t="str">
        <f>IFERROR(IFERROR(INDEX(Кат!$I:$I,MATCH(Прайс!$B1121,Кат!$G:$G,0)),INDEX(Торг!$I:$I,MATCH(Прайс!$B1121,Торг!$H:$H,0))),"")</f>
        <v/>
      </c>
    </row>
    <row r="1122" spans="1:8" x14ac:dyDescent="0.25">
      <c r="A1122" s="103" t="s">
        <v>3047</v>
      </c>
      <c r="B1122" s="104">
        <v>60029</v>
      </c>
      <c r="C1122" s="104" t="s">
        <v>731</v>
      </c>
      <c r="D1122" s="105" t="s">
        <v>582</v>
      </c>
      <c r="E1122" s="113">
        <v>770</v>
      </c>
      <c r="F1122" s="67" t="str">
        <f>IFERROR(IFERROR(INDEX(Кат!$A:$A,MATCH(Прайс!$B1122,Кат!$G:$G,0)),INDEX(Торг!$B:$B,MATCH(Прайс!$B1122,Торг!$H:$H,0))),"")</f>
        <v/>
      </c>
      <c r="G1122" s="67" t="str">
        <f>IFERROR(IFERROR(INDEX(Кат!$B:$B,MATCH(Прайс!$B1122,Кат!$G:$G,0)),INDEX(Торг!$C:$C,MATCH(Прайс!$B1122,Торг!$H:$H,0))),"")</f>
        <v/>
      </c>
      <c r="H1122" s="67" t="str">
        <f>IFERROR(IFERROR(INDEX(Кат!$I:$I,MATCH(Прайс!$B1122,Кат!$G:$G,0)),INDEX(Торг!$I:$I,MATCH(Прайс!$B1122,Торг!$H:$H,0))),"")</f>
        <v/>
      </c>
    </row>
    <row r="1123" spans="1:8" x14ac:dyDescent="0.25">
      <c r="A1123" s="103" t="s">
        <v>3048</v>
      </c>
      <c r="B1123" s="104">
        <v>60122</v>
      </c>
      <c r="C1123" s="104" t="s">
        <v>732</v>
      </c>
      <c r="D1123" s="105" t="s">
        <v>582</v>
      </c>
      <c r="E1123" s="113">
        <v>890</v>
      </c>
      <c r="F1123" s="67" t="str">
        <f>IFERROR(IFERROR(INDEX(Кат!$A:$A,MATCH(Прайс!$B1123,Кат!$G:$G,0)),INDEX(Торг!$B:$B,MATCH(Прайс!$B1123,Торг!$H:$H,0))),"")</f>
        <v/>
      </c>
      <c r="G1123" s="67" t="str">
        <f>IFERROR(IFERROR(INDEX(Кат!$B:$B,MATCH(Прайс!$B1123,Кат!$G:$G,0)),INDEX(Торг!$C:$C,MATCH(Прайс!$B1123,Торг!$H:$H,0))),"")</f>
        <v/>
      </c>
      <c r="H1123" s="67" t="str">
        <f>IFERROR(IFERROR(INDEX(Кат!$I:$I,MATCH(Прайс!$B1123,Кат!$G:$G,0)),INDEX(Торг!$I:$I,MATCH(Прайс!$B1123,Торг!$H:$H,0))),"")</f>
        <v/>
      </c>
    </row>
    <row r="1124" spans="1:8" x14ac:dyDescent="0.25">
      <c r="A1124" s="94" t="s">
        <v>3049</v>
      </c>
      <c r="B1124" s="98">
        <v>60031</v>
      </c>
      <c r="C1124" s="98" t="s">
        <v>733</v>
      </c>
      <c r="D1124" s="96" t="s">
        <v>582</v>
      </c>
      <c r="E1124" s="97">
        <v>410</v>
      </c>
      <c r="F1124" s="67" t="str">
        <f>IFERROR(IFERROR(INDEX(Кат!$A:$A,MATCH(Прайс!$B1124,Кат!$G:$G,0)),INDEX(Торг!$B:$B,MATCH(Прайс!$B1124,Торг!$H:$H,0))),"")</f>
        <v/>
      </c>
      <c r="G1124" s="67" t="str">
        <f>IFERROR(IFERROR(INDEX(Кат!$B:$B,MATCH(Прайс!$B1124,Кат!$G:$G,0)),INDEX(Торг!$C:$C,MATCH(Прайс!$B1124,Торг!$H:$H,0))),"")</f>
        <v/>
      </c>
      <c r="H1124" s="67" t="str">
        <f>IFERROR(IFERROR(INDEX(Кат!$I:$I,MATCH(Прайс!$B1124,Кат!$G:$G,0)),INDEX(Торг!$I:$I,MATCH(Прайс!$B1124,Торг!$H:$H,0))),"")</f>
        <v/>
      </c>
    </row>
    <row r="1125" spans="1:8" x14ac:dyDescent="0.25">
      <c r="A1125" s="94" t="s">
        <v>3050</v>
      </c>
      <c r="B1125" s="98">
        <v>60032</v>
      </c>
      <c r="C1125" s="98" t="s">
        <v>734</v>
      </c>
      <c r="D1125" s="96" t="s">
        <v>582</v>
      </c>
      <c r="E1125" s="97">
        <v>460</v>
      </c>
      <c r="F1125" s="67" t="str">
        <f>IFERROR(IFERROR(INDEX(Кат!$A:$A,MATCH(Прайс!$B1125,Кат!$G:$G,0)),INDEX(Торг!$B:$B,MATCH(Прайс!$B1125,Торг!$H:$H,0))),"")</f>
        <v/>
      </c>
      <c r="G1125" s="67" t="str">
        <f>IFERROR(IFERROR(INDEX(Кат!$B:$B,MATCH(Прайс!$B1125,Кат!$G:$G,0)),INDEX(Торг!$C:$C,MATCH(Прайс!$B1125,Торг!$H:$H,0))),"")</f>
        <v/>
      </c>
      <c r="H1125" s="67" t="str">
        <f>IFERROR(IFERROR(INDEX(Кат!$I:$I,MATCH(Прайс!$B1125,Кат!$G:$G,0)),INDEX(Торг!$I:$I,MATCH(Прайс!$B1125,Торг!$H:$H,0))),"")</f>
        <v/>
      </c>
    </row>
    <row r="1126" spans="1:8" ht="15.75" x14ac:dyDescent="0.25">
      <c r="A1126" s="90"/>
      <c r="B1126" s="91"/>
      <c r="C1126" s="92" t="s">
        <v>736</v>
      </c>
      <c r="D1126" s="91"/>
      <c r="E1126" s="93"/>
      <c r="F1126" s="67" t="str">
        <f>IFERROR(IFERROR(INDEX(Кат!$A:$A,MATCH(Прайс!$B1126,Кат!$G:$G,0)),INDEX(Торг!$B:$B,MATCH(Прайс!$B1126,Торг!$H:$H,0))),"")</f>
        <v/>
      </c>
      <c r="G1126" s="67" t="str">
        <f>IFERROR(IFERROR(INDEX(Кат!$B:$B,MATCH(Прайс!$B1126,Кат!$G:$G,0)),INDEX(Торг!$C:$C,MATCH(Прайс!$B1126,Торг!$H:$H,0))),"")</f>
        <v/>
      </c>
      <c r="H1126" s="67" t="str">
        <f>IFERROR(IFERROR(INDEX(Кат!$I:$I,MATCH(Прайс!$B1126,Кат!$G:$G,0)),INDEX(Торг!$I:$I,MATCH(Прайс!$B1126,Торг!$H:$H,0))),"")</f>
        <v/>
      </c>
    </row>
    <row r="1127" spans="1:8" x14ac:dyDescent="0.25">
      <c r="A1127" s="94" t="s">
        <v>3057</v>
      </c>
      <c r="B1127" s="98">
        <v>60033</v>
      </c>
      <c r="C1127" s="98" t="s">
        <v>5065</v>
      </c>
      <c r="D1127" s="96" t="s">
        <v>159</v>
      </c>
      <c r="E1127" s="97">
        <v>230</v>
      </c>
      <c r="F1127" s="67" t="str">
        <f>IFERROR(IFERROR(INDEX(Кат!$A:$A,MATCH(Прайс!$B1127,Кат!$G:$G,0)),INDEX(Торг!$B:$B,MATCH(Прайс!$B1127,Торг!$H:$H,0))),"")</f>
        <v/>
      </c>
      <c r="G1127" s="67" t="str">
        <f>IFERROR(IFERROR(INDEX(Кат!$B:$B,MATCH(Прайс!$B1127,Кат!$G:$G,0)),INDEX(Торг!$C:$C,MATCH(Прайс!$B1127,Торг!$H:$H,0))),"")</f>
        <v/>
      </c>
      <c r="H1127" s="67" t="str">
        <f>IFERROR(IFERROR(INDEX(Кат!$I:$I,MATCH(Прайс!$B1127,Кат!$G:$G,0)),INDEX(Торг!$I:$I,MATCH(Прайс!$B1127,Торг!$H:$H,0))),"")</f>
        <v/>
      </c>
    </row>
    <row r="1128" spans="1:8" x14ac:dyDescent="0.25">
      <c r="A1128" s="94" t="s">
        <v>3058</v>
      </c>
      <c r="B1128" s="98">
        <v>60034</v>
      </c>
      <c r="C1128" s="98" t="s">
        <v>5066</v>
      </c>
      <c r="D1128" s="96" t="s">
        <v>582</v>
      </c>
      <c r="E1128" s="97">
        <v>230</v>
      </c>
      <c r="F1128" s="67" t="str">
        <f>IFERROR(IFERROR(INDEX(Кат!$A:$A,MATCH(Прайс!$B1128,Кат!$G:$G,0)),INDEX(Торг!$B:$B,MATCH(Прайс!$B1128,Торг!$H:$H,0))),"")</f>
        <v/>
      </c>
      <c r="G1128" s="67" t="str">
        <f>IFERROR(IFERROR(INDEX(Кат!$B:$B,MATCH(Прайс!$B1128,Кат!$G:$G,0)),INDEX(Торг!$C:$C,MATCH(Прайс!$B1128,Торг!$H:$H,0))),"")</f>
        <v/>
      </c>
      <c r="H1128" s="67" t="str">
        <f>IFERROR(IFERROR(INDEX(Кат!$I:$I,MATCH(Прайс!$B1128,Кат!$G:$G,0)),INDEX(Торг!$I:$I,MATCH(Прайс!$B1128,Торг!$H:$H,0))),"")</f>
        <v/>
      </c>
    </row>
    <row r="1129" spans="1:8" x14ac:dyDescent="0.25">
      <c r="A1129" s="94" t="s">
        <v>3052</v>
      </c>
      <c r="B1129" s="98">
        <v>60035</v>
      </c>
      <c r="C1129" s="98" t="s">
        <v>3053</v>
      </c>
      <c r="D1129" s="96" t="s">
        <v>159</v>
      </c>
      <c r="E1129" s="97">
        <v>230</v>
      </c>
      <c r="F1129" s="67" t="str">
        <f>IFERROR(IFERROR(INDEX(Кат!$A:$A,MATCH(Прайс!$B1129,Кат!$G:$G,0)),INDEX(Торг!$B:$B,MATCH(Прайс!$B1129,Торг!$H:$H,0))),"")</f>
        <v/>
      </c>
      <c r="G1129" s="67" t="str">
        <f>IFERROR(IFERROR(INDEX(Кат!$B:$B,MATCH(Прайс!$B1129,Кат!$G:$G,0)),INDEX(Торг!$C:$C,MATCH(Прайс!$B1129,Торг!$H:$H,0))),"")</f>
        <v/>
      </c>
      <c r="H1129" s="67" t="str">
        <f>IFERROR(IFERROR(INDEX(Кат!$I:$I,MATCH(Прайс!$B1129,Кат!$G:$G,0)),INDEX(Торг!$I:$I,MATCH(Прайс!$B1129,Торг!$H:$H,0))),"")</f>
        <v/>
      </c>
    </row>
    <row r="1130" spans="1:8" x14ac:dyDescent="0.25">
      <c r="A1130" s="94" t="s">
        <v>3054</v>
      </c>
      <c r="B1130" s="98">
        <v>60036</v>
      </c>
      <c r="C1130" s="98" t="s">
        <v>3055</v>
      </c>
      <c r="D1130" s="96" t="s">
        <v>160</v>
      </c>
      <c r="E1130" s="97">
        <v>230</v>
      </c>
      <c r="F1130" s="67" t="str">
        <f>IFERROR(IFERROR(INDEX(Кат!$A:$A,MATCH(Прайс!$B1130,Кат!$G:$G,0)),INDEX(Торг!$B:$B,MATCH(Прайс!$B1130,Торг!$H:$H,0))),"")</f>
        <v/>
      </c>
      <c r="G1130" s="67" t="str">
        <f>IFERROR(IFERROR(INDEX(Кат!$B:$B,MATCH(Прайс!$B1130,Кат!$G:$G,0)),INDEX(Торг!$C:$C,MATCH(Прайс!$B1130,Торг!$H:$H,0))),"")</f>
        <v/>
      </c>
      <c r="H1130" s="67" t="str">
        <f>IFERROR(IFERROR(INDEX(Кат!$I:$I,MATCH(Прайс!$B1130,Кат!$G:$G,0)),INDEX(Торг!$I:$I,MATCH(Прайс!$B1130,Торг!$H:$H,0))),"")</f>
        <v/>
      </c>
    </row>
    <row r="1131" spans="1:8" x14ac:dyDescent="0.25">
      <c r="A1131" s="94" t="s">
        <v>3056</v>
      </c>
      <c r="B1131" s="98">
        <v>60037</v>
      </c>
      <c r="C1131" s="98" t="s">
        <v>737</v>
      </c>
      <c r="D1131" s="96" t="s">
        <v>159</v>
      </c>
      <c r="E1131" s="97">
        <v>245</v>
      </c>
      <c r="F1131" s="67" t="str">
        <f>IFERROR(IFERROR(INDEX(Кат!$A:$A,MATCH(Прайс!$B1131,Кат!$G:$G,0)),INDEX(Торг!$B:$B,MATCH(Прайс!$B1131,Торг!$H:$H,0))),"")</f>
        <v/>
      </c>
      <c r="G1131" s="67" t="str">
        <f>IFERROR(IFERROR(INDEX(Кат!$B:$B,MATCH(Прайс!$B1131,Кат!$G:$G,0)),INDEX(Торг!$C:$C,MATCH(Прайс!$B1131,Торг!$H:$H,0))),"")</f>
        <v/>
      </c>
      <c r="H1131" s="67" t="str">
        <f>IFERROR(IFERROR(INDEX(Кат!$I:$I,MATCH(Прайс!$B1131,Кат!$G:$G,0)),INDEX(Торг!$I:$I,MATCH(Прайс!$B1131,Торг!$H:$H,0))),"")</f>
        <v/>
      </c>
    </row>
    <row r="1132" spans="1:8" ht="15.75" x14ac:dyDescent="0.25">
      <c r="A1132" s="90"/>
      <c r="B1132" s="91"/>
      <c r="C1132" s="92" t="s">
        <v>738</v>
      </c>
      <c r="D1132" s="91"/>
      <c r="E1132" s="93"/>
      <c r="F1132" s="67" t="str">
        <f>IFERROR(IFERROR(INDEX(Кат!$A:$A,MATCH(Прайс!$B1132,Кат!$G:$G,0)),INDEX(Торг!$B:$B,MATCH(Прайс!$B1132,Торг!$H:$H,0))),"")</f>
        <v/>
      </c>
      <c r="G1132" s="67" t="str">
        <f>IFERROR(IFERROR(INDEX(Кат!$B:$B,MATCH(Прайс!$B1132,Кат!$G:$G,0)),INDEX(Торг!$C:$C,MATCH(Прайс!$B1132,Торг!$H:$H,0))),"")</f>
        <v/>
      </c>
      <c r="H1132" s="67" t="str">
        <f>IFERROR(IFERROR(INDEX(Кат!$I:$I,MATCH(Прайс!$B1132,Кат!$G:$G,0)),INDEX(Торг!$I:$I,MATCH(Прайс!$B1132,Торг!$H:$H,0))),"")</f>
        <v/>
      </c>
    </row>
    <row r="1133" spans="1:8" x14ac:dyDescent="0.25">
      <c r="A1133" s="103" t="s">
        <v>3059</v>
      </c>
      <c r="B1133" s="104">
        <v>60135</v>
      </c>
      <c r="C1133" s="104" t="s">
        <v>739</v>
      </c>
      <c r="D1133" s="105" t="s">
        <v>161</v>
      </c>
      <c r="E1133" s="106">
        <v>2050</v>
      </c>
      <c r="F1133" s="67" t="str">
        <f>IFERROR(IFERROR(INDEX(Кат!$A:$A,MATCH(Прайс!$B1133,Кат!$G:$G,0)),INDEX(Торг!$B:$B,MATCH(Прайс!$B1133,Торг!$H:$H,0))),"")</f>
        <v/>
      </c>
      <c r="G1133" s="67" t="str">
        <f>IFERROR(IFERROR(INDEX(Кат!$B:$B,MATCH(Прайс!$B1133,Кат!$G:$G,0)),INDEX(Торг!$C:$C,MATCH(Прайс!$B1133,Торг!$H:$H,0))),"")</f>
        <v/>
      </c>
      <c r="H1133" s="67" t="str">
        <f>IFERROR(IFERROR(INDEX(Кат!$I:$I,MATCH(Прайс!$B1133,Кат!$G:$G,0)),INDEX(Торг!$I:$I,MATCH(Прайс!$B1133,Торг!$H:$H,0))),"")</f>
        <v/>
      </c>
    </row>
    <row r="1134" spans="1:8" x14ac:dyDescent="0.25">
      <c r="A1134" s="103" t="s">
        <v>3060</v>
      </c>
      <c r="B1134" s="104">
        <v>60134</v>
      </c>
      <c r="C1134" s="104" t="s">
        <v>740</v>
      </c>
      <c r="D1134" s="105" t="s">
        <v>161</v>
      </c>
      <c r="E1134" s="106">
        <v>1950</v>
      </c>
      <c r="F1134" s="67" t="str">
        <f>IFERROR(IFERROR(INDEX(Кат!$A:$A,MATCH(Прайс!$B1134,Кат!$G:$G,0)),INDEX(Торг!$B:$B,MATCH(Прайс!$B1134,Торг!$H:$H,0))),"")</f>
        <v/>
      </c>
      <c r="G1134" s="67" t="str">
        <f>IFERROR(IFERROR(INDEX(Кат!$B:$B,MATCH(Прайс!$B1134,Кат!$G:$G,0)),INDEX(Торг!$C:$C,MATCH(Прайс!$B1134,Торг!$H:$H,0))),"")</f>
        <v/>
      </c>
      <c r="H1134" s="67" t="str">
        <f>IFERROR(IFERROR(INDEX(Кат!$I:$I,MATCH(Прайс!$B1134,Кат!$G:$G,0)),INDEX(Торг!$I:$I,MATCH(Прайс!$B1134,Торг!$H:$H,0))),"")</f>
        <v/>
      </c>
    </row>
    <row r="1135" spans="1:8" x14ac:dyDescent="0.25">
      <c r="A1135" s="103" t="s">
        <v>8398</v>
      </c>
      <c r="B1135" s="104">
        <v>60050</v>
      </c>
      <c r="C1135" s="104" t="s">
        <v>8399</v>
      </c>
      <c r="D1135" s="105" t="s">
        <v>161</v>
      </c>
      <c r="E1135" s="106">
        <v>2450</v>
      </c>
      <c r="F1135" s="67" t="str">
        <f>IFERROR(IFERROR(INDEX(Кат!$A:$A,MATCH(Прайс!$B1135,Кат!$G:$G,0)),INDEX(Торг!$B:$B,MATCH(Прайс!$B1135,Торг!$H:$H,0))),"")</f>
        <v/>
      </c>
      <c r="G1135" s="67" t="str">
        <f>IFERROR(IFERROR(INDEX(Кат!$B:$B,MATCH(Прайс!$B1135,Кат!$G:$G,0)),INDEX(Торг!$C:$C,MATCH(Прайс!$B1135,Торг!$H:$H,0))),"")</f>
        <v/>
      </c>
      <c r="H1135" s="67" t="str">
        <f>IFERROR(IFERROR(INDEX(Кат!$I:$I,MATCH(Прайс!$B1135,Кат!$G:$G,0)),INDEX(Торг!$I:$I,MATCH(Прайс!$B1135,Торг!$H:$H,0))),"")</f>
        <v/>
      </c>
    </row>
    <row r="1136" spans="1:8" x14ac:dyDescent="0.25">
      <c r="A1136" s="103" t="s">
        <v>8400</v>
      </c>
      <c r="B1136" s="104">
        <v>60044</v>
      </c>
      <c r="C1136" s="104" t="s">
        <v>8401</v>
      </c>
      <c r="D1136" s="105" t="s">
        <v>161</v>
      </c>
      <c r="E1136" s="106">
        <v>1100</v>
      </c>
      <c r="F1136" s="67" t="str">
        <f>IFERROR(IFERROR(INDEX(Кат!$A:$A,MATCH(Прайс!$B1136,Кат!$G:$G,0)),INDEX(Торг!$B:$B,MATCH(Прайс!$B1136,Торг!$H:$H,0))),"")</f>
        <v/>
      </c>
      <c r="G1136" s="67" t="str">
        <f>IFERROR(IFERROR(INDEX(Кат!$B:$B,MATCH(Прайс!$B1136,Кат!$G:$G,0)),INDEX(Торг!$C:$C,MATCH(Прайс!$B1136,Торг!$H:$H,0))),"")</f>
        <v/>
      </c>
      <c r="H1136" s="67" t="str">
        <f>IFERROR(IFERROR(INDEX(Кат!$I:$I,MATCH(Прайс!$B1136,Кат!$G:$G,0)),INDEX(Торг!$I:$I,MATCH(Прайс!$B1136,Торг!$H:$H,0))),"")</f>
        <v/>
      </c>
    </row>
    <row r="1137" spans="1:8" x14ac:dyDescent="0.25">
      <c r="A1137" s="103" t="s">
        <v>8231</v>
      </c>
      <c r="B1137" s="104">
        <v>60055</v>
      </c>
      <c r="C1137" s="104" t="s">
        <v>8232</v>
      </c>
      <c r="D1137" s="105" t="s">
        <v>7545</v>
      </c>
      <c r="E1137" s="106">
        <v>2150</v>
      </c>
      <c r="F1137" s="67" t="str">
        <f>IFERROR(IFERROR(INDEX(Кат!$A:$A,MATCH(Прайс!$B1137,Кат!$G:$G,0)),INDEX(Торг!$B:$B,MATCH(Прайс!$B1137,Торг!$H:$H,0))),"")</f>
        <v/>
      </c>
      <c r="G1137" s="67" t="str">
        <f>IFERROR(IFERROR(INDEX(Кат!$B:$B,MATCH(Прайс!$B1137,Кат!$G:$G,0)),INDEX(Торг!$C:$C,MATCH(Прайс!$B1137,Торг!$H:$H,0))),"")</f>
        <v/>
      </c>
      <c r="H1137" s="67" t="str">
        <f>IFERROR(IFERROR(INDEX(Кат!$I:$I,MATCH(Прайс!$B1137,Кат!$G:$G,0)),INDEX(Торг!$I:$I,MATCH(Прайс!$B1137,Торг!$H:$H,0))),"")</f>
        <v/>
      </c>
    </row>
    <row r="1138" spans="1:8" x14ac:dyDescent="0.25">
      <c r="A1138" s="103" t="s">
        <v>3061</v>
      </c>
      <c r="B1138" s="104">
        <v>60056</v>
      </c>
      <c r="C1138" s="104" t="s">
        <v>741</v>
      </c>
      <c r="D1138" s="105" t="s">
        <v>160</v>
      </c>
      <c r="E1138" s="106">
        <v>1350</v>
      </c>
      <c r="F1138" s="67" t="str">
        <f>IFERROR(IFERROR(INDEX(Кат!$A:$A,MATCH(Прайс!$B1138,Кат!$G:$G,0)),INDEX(Торг!$B:$B,MATCH(Прайс!$B1138,Торг!$H:$H,0))),"")</f>
        <v/>
      </c>
      <c r="G1138" s="67" t="str">
        <f>IFERROR(IFERROR(INDEX(Кат!$B:$B,MATCH(Прайс!$B1138,Кат!$G:$G,0)),INDEX(Торг!$C:$C,MATCH(Прайс!$B1138,Торг!$H:$H,0))),"")</f>
        <v/>
      </c>
      <c r="H1138" s="67" t="str">
        <f>IFERROR(IFERROR(INDEX(Кат!$I:$I,MATCH(Прайс!$B1138,Кат!$G:$G,0)),INDEX(Торг!$I:$I,MATCH(Прайс!$B1138,Торг!$H:$H,0))),"")</f>
        <v/>
      </c>
    </row>
    <row r="1139" spans="1:8" ht="15.75" x14ac:dyDescent="0.25">
      <c r="A1139" s="90"/>
      <c r="B1139" s="91"/>
      <c r="C1139" s="92" t="s">
        <v>742</v>
      </c>
      <c r="D1139" s="91"/>
      <c r="E1139" s="93"/>
      <c r="F1139" s="67" t="str">
        <f>IFERROR(IFERROR(INDEX(Кат!$A:$A,MATCH(Прайс!$B1139,Кат!$G:$G,0)),INDEX(Торг!$B:$B,MATCH(Прайс!$B1139,Торг!$H:$H,0))),"")</f>
        <v/>
      </c>
      <c r="G1139" s="67" t="str">
        <f>IFERROR(IFERROR(INDEX(Кат!$B:$B,MATCH(Прайс!$B1139,Кат!$G:$G,0)),INDEX(Торг!$C:$C,MATCH(Прайс!$B1139,Торг!$H:$H,0))),"")</f>
        <v/>
      </c>
      <c r="H1139" s="67" t="str">
        <f>IFERROR(IFERROR(INDEX(Кат!$I:$I,MATCH(Прайс!$B1139,Кат!$G:$G,0)),INDEX(Торг!$I:$I,MATCH(Прайс!$B1139,Торг!$H:$H,0))),"")</f>
        <v/>
      </c>
    </row>
    <row r="1140" spans="1:8" x14ac:dyDescent="0.25">
      <c r="A1140" s="94" t="s">
        <v>8233</v>
      </c>
      <c r="B1140" s="98">
        <v>60062</v>
      </c>
      <c r="C1140" s="98" t="s">
        <v>8234</v>
      </c>
      <c r="D1140" s="96" t="s">
        <v>176</v>
      </c>
      <c r="E1140" s="97">
        <v>280</v>
      </c>
      <c r="F1140" s="67" t="str">
        <f>IFERROR(IFERROR(INDEX(Кат!$A:$A,MATCH(Прайс!$B1140,Кат!$G:$G,0)),INDEX(Торг!$B:$B,MATCH(Прайс!$B1140,Торг!$H:$H,0))),"")</f>
        <v/>
      </c>
      <c r="G1140" s="67" t="str">
        <f>IFERROR(IFERROR(INDEX(Кат!$B:$B,MATCH(Прайс!$B1140,Кат!$G:$G,0)),INDEX(Торг!$C:$C,MATCH(Прайс!$B1140,Торг!$H:$H,0))),"")</f>
        <v/>
      </c>
      <c r="H1140" s="67" t="str">
        <f>IFERROR(IFERROR(INDEX(Кат!$I:$I,MATCH(Прайс!$B1140,Кат!$G:$G,0)),INDEX(Торг!$I:$I,MATCH(Прайс!$B1140,Торг!$H:$H,0))),"")</f>
        <v/>
      </c>
    </row>
    <row r="1141" spans="1:8" x14ac:dyDescent="0.25">
      <c r="A1141" s="94" t="s">
        <v>6241</v>
      </c>
      <c r="B1141" s="98">
        <v>60061</v>
      </c>
      <c r="C1141" s="98" t="s">
        <v>6242</v>
      </c>
      <c r="D1141" s="96" t="s">
        <v>160</v>
      </c>
      <c r="E1141" s="97">
        <v>350</v>
      </c>
      <c r="F1141" s="67" t="str">
        <f>IFERROR(IFERROR(INDEX(Кат!$A:$A,MATCH(Прайс!$B1141,Кат!$G:$G,0)),INDEX(Торг!$B:$B,MATCH(Прайс!$B1141,Торг!$H:$H,0))),"")</f>
        <v/>
      </c>
      <c r="G1141" s="67" t="str">
        <f>IFERROR(IFERROR(INDEX(Кат!$B:$B,MATCH(Прайс!$B1141,Кат!$G:$G,0)),INDEX(Торг!$C:$C,MATCH(Прайс!$B1141,Торг!$H:$H,0))),"")</f>
        <v/>
      </c>
      <c r="H1141" s="67" t="str">
        <f>IFERROR(IFERROR(INDEX(Кат!$I:$I,MATCH(Прайс!$B1141,Кат!$G:$G,0)),INDEX(Торг!$I:$I,MATCH(Прайс!$B1141,Торг!$H:$H,0))),"")</f>
        <v/>
      </c>
    </row>
    <row r="1142" spans="1:8" x14ac:dyDescent="0.25">
      <c r="A1142" s="94" t="s">
        <v>8235</v>
      </c>
      <c r="B1142" s="98">
        <v>60063</v>
      </c>
      <c r="C1142" s="98" t="s">
        <v>8236</v>
      </c>
      <c r="D1142" s="96" t="s">
        <v>582</v>
      </c>
      <c r="E1142" s="97">
        <v>290</v>
      </c>
      <c r="F1142" s="67" t="str">
        <f>IFERROR(IFERROR(INDEX(Кат!$A:$A,MATCH(Прайс!$B1142,Кат!$G:$G,0)),INDEX(Торг!$B:$B,MATCH(Прайс!$B1142,Торг!$H:$H,0))),"")</f>
        <v/>
      </c>
      <c r="G1142" s="67" t="str">
        <f>IFERROR(IFERROR(INDEX(Кат!$B:$B,MATCH(Прайс!$B1142,Кат!$G:$G,0)),INDEX(Торг!$C:$C,MATCH(Прайс!$B1142,Торг!$H:$H,0))),"")</f>
        <v/>
      </c>
      <c r="H1142" s="67" t="str">
        <f>IFERROR(IFERROR(INDEX(Кат!$I:$I,MATCH(Прайс!$B1142,Кат!$G:$G,0)),INDEX(Торг!$I:$I,MATCH(Прайс!$B1142,Торг!$H:$H,0))),"")</f>
        <v/>
      </c>
    </row>
    <row r="1143" spans="1:8" x14ac:dyDescent="0.25">
      <c r="A1143" s="94" t="s">
        <v>7546</v>
      </c>
      <c r="B1143" s="98">
        <v>60077</v>
      </c>
      <c r="C1143" s="98" t="s">
        <v>7547</v>
      </c>
      <c r="D1143" s="96" t="s">
        <v>177</v>
      </c>
      <c r="E1143" s="97">
        <v>400</v>
      </c>
      <c r="F1143" s="67" t="str">
        <f>IFERROR(IFERROR(INDEX(Кат!$A:$A,MATCH(Прайс!$B1143,Кат!$G:$G,0)),INDEX(Торг!$B:$B,MATCH(Прайс!$B1143,Торг!$H:$H,0))),"")</f>
        <v/>
      </c>
      <c r="G1143" s="67" t="str">
        <f>IFERROR(IFERROR(INDEX(Кат!$B:$B,MATCH(Прайс!$B1143,Кат!$G:$G,0)),INDEX(Торг!$C:$C,MATCH(Прайс!$B1143,Торг!$H:$H,0))),"")</f>
        <v/>
      </c>
      <c r="H1143" s="67" t="str">
        <f>IFERROR(IFERROR(INDEX(Кат!$I:$I,MATCH(Прайс!$B1143,Кат!$G:$G,0)),INDEX(Торг!$I:$I,MATCH(Прайс!$B1143,Торг!$H:$H,0))),"")</f>
        <v/>
      </c>
    </row>
    <row r="1144" spans="1:8" x14ac:dyDescent="0.25">
      <c r="A1144" s="94" t="s">
        <v>3062</v>
      </c>
      <c r="B1144" s="98">
        <v>60078</v>
      </c>
      <c r="C1144" s="98" t="s">
        <v>3063</v>
      </c>
      <c r="D1144" s="96" t="s">
        <v>7548</v>
      </c>
      <c r="E1144" s="97">
        <v>340</v>
      </c>
      <c r="F1144" s="67" t="str">
        <f>IFERROR(IFERROR(INDEX(Кат!$A:$A,MATCH(Прайс!$B1144,Кат!$G:$G,0)),INDEX(Торг!$B:$B,MATCH(Прайс!$B1144,Торг!$H:$H,0))),"")</f>
        <v/>
      </c>
      <c r="G1144" s="67" t="str">
        <f>IFERROR(IFERROR(INDEX(Кат!$B:$B,MATCH(Прайс!$B1144,Кат!$G:$G,0)),INDEX(Торг!$C:$C,MATCH(Прайс!$B1144,Торг!$H:$H,0))),"")</f>
        <v/>
      </c>
      <c r="H1144" s="67" t="str">
        <f>IFERROR(IFERROR(INDEX(Кат!$I:$I,MATCH(Прайс!$B1144,Кат!$G:$G,0)),INDEX(Торг!$I:$I,MATCH(Прайс!$B1144,Торг!$H:$H,0))),"")</f>
        <v/>
      </c>
    </row>
    <row r="1145" spans="1:8" x14ac:dyDescent="0.25">
      <c r="A1145" s="94" t="s">
        <v>3064</v>
      </c>
      <c r="B1145" s="95">
        <v>60145</v>
      </c>
      <c r="C1145" s="95" t="s">
        <v>743</v>
      </c>
      <c r="D1145" s="96" t="s">
        <v>582</v>
      </c>
      <c r="E1145" s="97">
        <v>350</v>
      </c>
      <c r="F1145" s="67" t="str">
        <f>IFERROR(IFERROR(INDEX(Кат!$A:$A,MATCH(Прайс!$B1145,Кат!$G:$G,0)),INDEX(Торг!$B:$B,MATCH(Прайс!$B1145,Торг!$H:$H,0))),"")</f>
        <v/>
      </c>
      <c r="G1145" s="67" t="str">
        <f>IFERROR(IFERROR(INDEX(Кат!$B:$B,MATCH(Прайс!$B1145,Кат!$G:$G,0)),INDEX(Торг!$C:$C,MATCH(Прайс!$B1145,Торг!$H:$H,0))),"")</f>
        <v/>
      </c>
      <c r="H1145" s="67" t="str">
        <f>IFERROR(IFERROR(INDEX(Кат!$I:$I,MATCH(Прайс!$B1145,Кат!$G:$G,0)),INDEX(Торг!$I:$I,MATCH(Прайс!$B1145,Торг!$H:$H,0))),"")</f>
        <v/>
      </c>
    </row>
    <row r="1146" spans="1:8" x14ac:dyDescent="0.25">
      <c r="A1146" s="109" t="s">
        <v>8237</v>
      </c>
      <c r="B1146" s="116">
        <v>60144</v>
      </c>
      <c r="C1146" s="116" t="s">
        <v>8238</v>
      </c>
      <c r="D1146" s="111" t="s">
        <v>176</v>
      </c>
      <c r="E1146" s="112">
        <v>320</v>
      </c>
      <c r="F1146" s="67" t="str">
        <f>IFERROR(IFERROR(INDEX(Кат!$A:$A,MATCH(Прайс!$B1146,Кат!$G:$G,0)),INDEX(Торг!$B:$B,MATCH(Прайс!$B1146,Торг!$H:$H,0))),"")</f>
        <v/>
      </c>
      <c r="G1146" s="67" t="str">
        <f>IFERROR(IFERROR(INDEX(Кат!$B:$B,MATCH(Прайс!$B1146,Кат!$G:$G,0)),INDEX(Торг!$C:$C,MATCH(Прайс!$B1146,Торг!$H:$H,0))),"")</f>
        <v/>
      </c>
      <c r="H1146" s="67" t="str">
        <f>IFERROR(IFERROR(INDEX(Кат!$I:$I,MATCH(Прайс!$B1146,Кат!$G:$G,0)),INDEX(Торг!$I:$I,MATCH(Прайс!$B1146,Торг!$H:$H,0))),"")</f>
        <v/>
      </c>
    </row>
    <row r="1147" spans="1:8" x14ac:dyDescent="0.25">
      <c r="A1147" s="109" t="s">
        <v>3065</v>
      </c>
      <c r="B1147" s="116">
        <v>60138</v>
      </c>
      <c r="C1147" s="116" t="s">
        <v>744</v>
      </c>
      <c r="D1147" s="111" t="s">
        <v>160</v>
      </c>
      <c r="E1147" s="112">
        <v>330</v>
      </c>
      <c r="F1147" s="67" t="str">
        <f>IFERROR(IFERROR(INDEX(Кат!$A:$A,MATCH(Прайс!$B1147,Кат!$G:$G,0)),INDEX(Торг!$B:$B,MATCH(Прайс!$B1147,Торг!$H:$H,0))),"")</f>
        <v/>
      </c>
      <c r="G1147" s="67" t="str">
        <f>IFERROR(IFERROR(INDEX(Кат!$B:$B,MATCH(Прайс!$B1147,Кат!$G:$G,0)),INDEX(Торг!$C:$C,MATCH(Прайс!$B1147,Торг!$H:$H,0))),"")</f>
        <v/>
      </c>
      <c r="H1147" s="67" t="str">
        <f>IFERROR(IFERROR(INDEX(Кат!$I:$I,MATCH(Прайс!$B1147,Кат!$G:$G,0)),INDEX(Торг!$I:$I,MATCH(Прайс!$B1147,Торг!$H:$H,0))),"")</f>
        <v/>
      </c>
    </row>
    <row r="1148" spans="1:8" x14ac:dyDescent="0.25">
      <c r="A1148" s="109" t="s">
        <v>8239</v>
      </c>
      <c r="B1148" s="116">
        <v>60147</v>
      </c>
      <c r="C1148" s="116" t="s">
        <v>8240</v>
      </c>
      <c r="D1148" s="111" t="s">
        <v>159</v>
      </c>
      <c r="E1148" s="112">
        <v>300</v>
      </c>
      <c r="F1148" s="67" t="str">
        <f>IFERROR(IFERROR(INDEX(Кат!$A:$A,MATCH(Прайс!$B1148,Кат!$G:$G,0)),INDEX(Торг!$B:$B,MATCH(Прайс!$B1148,Торг!$H:$H,0))),"")</f>
        <v/>
      </c>
      <c r="G1148" s="67" t="str">
        <f>IFERROR(IFERROR(INDEX(Кат!$B:$B,MATCH(Прайс!$B1148,Кат!$G:$G,0)),INDEX(Торг!$C:$C,MATCH(Прайс!$B1148,Торг!$H:$H,0))),"")</f>
        <v/>
      </c>
      <c r="H1148" s="67" t="str">
        <f>IFERROR(IFERROR(INDEX(Кат!$I:$I,MATCH(Прайс!$B1148,Кат!$G:$G,0)),INDEX(Торг!$I:$I,MATCH(Прайс!$B1148,Торг!$H:$H,0))),"")</f>
        <v/>
      </c>
    </row>
    <row r="1149" spans="1:8" x14ac:dyDescent="0.25">
      <c r="A1149" s="109" t="s">
        <v>8241</v>
      </c>
      <c r="B1149" s="116">
        <v>60148</v>
      </c>
      <c r="C1149" s="116" t="s">
        <v>8242</v>
      </c>
      <c r="D1149" s="111" t="s">
        <v>177</v>
      </c>
      <c r="E1149" s="112">
        <v>340</v>
      </c>
      <c r="F1149" s="67" t="str">
        <f>IFERROR(IFERROR(INDEX(Кат!$A:$A,MATCH(Прайс!$B1149,Кат!$G:$G,0)),INDEX(Торг!$B:$B,MATCH(Прайс!$B1149,Торг!$H:$H,0))),"")</f>
        <v/>
      </c>
      <c r="G1149" s="67" t="str">
        <f>IFERROR(IFERROR(INDEX(Кат!$B:$B,MATCH(Прайс!$B1149,Кат!$G:$G,0)),INDEX(Торг!$C:$C,MATCH(Прайс!$B1149,Торг!$H:$H,0))),"")</f>
        <v/>
      </c>
      <c r="H1149" s="67" t="str">
        <f>IFERROR(IFERROR(INDEX(Кат!$I:$I,MATCH(Прайс!$B1149,Кат!$G:$G,0)),INDEX(Торг!$I:$I,MATCH(Прайс!$B1149,Торг!$H:$H,0))),"")</f>
        <v/>
      </c>
    </row>
    <row r="1150" spans="1:8" x14ac:dyDescent="0.25">
      <c r="A1150" s="109" t="s">
        <v>8243</v>
      </c>
      <c r="B1150" s="116">
        <v>60140</v>
      </c>
      <c r="C1150" s="116" t="s">
        <v>8244</v>
      </c>
      <c r="D1150" s="111" t="s">
        <v>176</v>
      </c>
      <c r="E1150" s="112">
        <v>340</v>
      </c>
      <c r="F1150" s="67" t="str">
        <f>IFERROR(IFERROR(INDEX(Кат!$A:$A,MATCH(Прайс!$B1150,Кат!$G:$G,0)),INDEX(Торг!$B:$B,MATCH(Прайс!$B1150,Торг!$H:$H,0))),"")</f>
        <v/>
      </c>
      <c r="G1150" s="67" t="str">
        <f>IFERROR(IFERROR(INDEX(Кат!$B:$B,MATCH(Прайс!$B1150,Кат!$G:$G,0)),INDEX(Торг!$C:$C,MATCH(Прайс!$B1150,Торг!$H:$H,0))),"")</f>
        <v/>
      </c>
      <c r="H1150" s="67" t="str">
        <f>IFERROR(IFERROR(INDEX(Кат!$I:$I,MATCH(Прайс!$B1150,Кат!$G:$G,0)),INDEX(Торг!$I:$I,MATCH(Прайс!$B1150,Торг!$H:$H,0))),"")</f>
        <v/>
      </c>
    </row>
    <row r="1151" spans="1:8" x14ac:dyDescent="0.25">
      <c r="A1151" s="109" t="s">
        <v>3066</v>
      </c>
      <c r="B1151" s="116">
        <v>60136</v>
      </c>
      <c r="C1151" s="116" t="s">
        <v>745</v>
      </c>
      <c r="D1151" s="111" t="s">
        <v>160</v>
      </c>
      <c r="E1151" s="112">
        <v>370</v>
      </c>
      <c r="F1151" s="67" t="str">
        <f>IFERROR(IFERROR(INDEX(Кат!$A:$A,MATCH(Прайс!$B1151,Кат!$G:$G,0)),INDEX(Торг!$B:$B,MATCH(Прайс!$B1151,Торг!$H:$H,0))),"")</f>
        <v/>
      </c>
      <c r="G1151" s="67" t="str">
        <f>IFERROR(IFERROR(INDEX(Кат!$B:$B,MATCH(Прайс!$B1151,Кат!$G:$G,0)),INDEX(Торг!$C:$C,MATCH(Прайс!$B1151,Торг!$H:$H,0))),"")</f>
        <v/>
      </c>
      <c r="H1151" s="67" t="str">
        <f>IFERROR(IFERROR(INDEX(Кат!$I:$I,MATCH(Прайс!$B1151,Кат!$G:$G,0)),INDEX(Торг!$I:$I,MATCH(Прайс!$B1151,Торг!$H:$H,0))),"")</f>
        <v/>
      </c>
    </row>
    <row r="1152" spans="1:8" x14ac:dyDescent="0.25">
      <c r="A1152" s="109" t="s">
        <v>3067</v>
      </c>
      <c r="B1152" s="116">
        <v>60142</v>
      </c>
      <c r="C1152" s="116" t="s">
        <v>746</v>
      </c>
      <c r="D1152" s="111" t="s">
        <v>7860</v>
      </c>
      <c r="E1152" s="112">
        <v>320</v>
      </c>
      <c r="F1152" s="67" t="str">
        <f>IFERROR(IFERROR(INDEX(Кат!$A:$A,MATCH(Прайс!$B1152,Кат!$G:$G,0)),INDEX(Торг!$B:$B,MATCH(Прайс!$B1152,Торг!$H:$H,0))),"")</f>
        <v/>
      </c>
      <c r="G1152" s="67" t="str">
        <f>IFERROR(IFERROR(INDEX(Кат!$B:$B,MATCH(Прайс!$B1152,Кат!$G:$G,0)),INDEX(Торг!$C:$C,MATCH(Прайс!$B1152,Торг!$H:$H,0))),"")</f>
        <v/>
      </c>
      <c r="H1152" s="67" t="str">
        <f>IFERROR(IFERROR(INDEX(Кат!$I:$I,MATCH(Прайс!$B1152,Кат!$G:$G,0)),INDEX(Торг!$I:$I,MATCH(Прайс!$B1152,Торг!$H:$H,0))),"")</f>
        <v/>
      </c>
    </row>
    <row r="1153" spans="1:8" x14ac:dyDescent="0.25">
      <c r="A1153" s="109" t="s">
        <v>8245</v>
      </c>
      <c r="B1153" s="116">
        <v>60137</v>
      </c>
      <c r="C1153" s="116" t="s">
        <v>8246</v>
      </c>
      <c r="D1153" s="111" t="s">
        <v>160</v>
      </c>
      <c r="E1153" s="112">
        <v>310</v>
      </c>
      <c r="F1153" s="67" t="str">
        <f>IFERROR(IFERROR(INDEX(Кат!$A:$A,MATCH(Прайс!$B1153,Кат!$G:$G,0)),INDEX(Торг!$B:$B,MATCH(Прайс!$B1153,Торг!$H:$H,0))),"")</f>
        <v/>
      </c>
      <c r="G1153" s="67" t="str">
        <f>IFERROR(IFERROR(INDEX(Кат!$B:$B,MATCH(Прайс!$B1153,Кат!$G:$G,0)),INDEX(Торг!$C:$C,MATCH(Прайс!$B1153,Торг!$H:$H,0))),"")</f>
        <v/>
      </c>
      <c r="H1153" s="67" t="str">
        <f>IFERROR(IFERROR(INDEX(Кат!$I:$I,MATCH(Прайс!$B1153,Кат!$G:$G,0)),INDEX(Торг!$I:$I,MATCH(Прайс!$B1153,Торг!$H:$H,0))),"")</f>
        <v/>
      </c>
    </row>
    <row r="1154" spans="1:8" x14ac:dyDescent="0.25">
      <c r="A1154" s="109" t="s">
        <v>3068</v>
      </c>
      <c r="B1154" s="116">
        <v>60143</v>
      </c>
      <c r="C1154" s="116" t="s">
        <v>3069</v>
      </c>
      <c r="D1154" s="111" t="s">
        <v>159</v>
      </c>
      <c r="E1154" s="112">
        <v>350</v>
      </c>
      <c r="F1154" s="67" t="str">
        <f>IFERROR(IFERROR(INDEX(Кат!$A:$A,MATCH(Прайс!$B1154,Кат!$G:$G,0)),INDEX(Торг!$B:$B,MATCH(Прайс!$B1154,Торг!$H:$H,0))),"")</f>
        <v/>
      </c>
      <c r="G1154" s="67" t="str">
        <f>IFERROR(IFERROR(INDEX(Кат!$B:$B,MATCH(Прайс!$B1154,Кат!$G:$G,0)),INDEX(Торг!$C:$C,MATCH(Прайс!$B1154,Торг!$H:$H,0))),"")</f>
        <v/>
      </c>
      <c r="H1154" s="67" t="str">
        <f>IFERROR(IFERROR(INDEX(Кат!$I:$I,MATCH(Прайс!$B1154,Кат!$G:$G,0)),INDEX(Торг!$I:$I,MATCH(Прайс!$B1154,Торг!$H:$H,0))),"")</f>
        <v/>
      </c>
    </row>
    <row r="1155" spans="1:8" x14ac:dyDescent="0.25">
      <c r="A1155" s="109" t="s">
        <v>8247</v>
      </c>
      <c r="B1155" s="116">
        <v>29328</v>
      </c>
      <c r="C1155" s="116" t="s">
        <v>8248</v>
      </c>
      <c r="D1155" s="111" t="s">
        <v>177</v>
      </c>
      <c r="E1155" s="112">
        <v>400</v>
      </c>
      <c r="F1155" s="67" t="str">
        <f>IFERROR(IFERROR(INDEX(Кат!$A:$A,MATCH(Прайс!$B1155,Кат!$G:$G,0)),INDEX(Торг!$B:$B,MATCH(Прайс!$B1155,Торг!$H:$H,0))),"")</f>
        <v/>
      </c>
      <c r="G1155" s="67" t="str">
        <f>IFERROR(IFERROR(INDEX(Кат!$B:$B,MATCH(Прайс!$B1155,Кат!$G:$G,0)),INDEX(Торг!$C:$C,MATCH(Прайс!$B1155,Торг!$H:$H,0))),"")</f>
        <v/>
      </c>
      <c r="H1155" s="67" t="str">
        <f>IFERROR(IFERROR(INDEX(Кат!$I:$I,MATCH(Прайс!$B1155,Кат!$G:$G,0)),INDEX(Торг!$I:$I,MATCH(Прайс!$B1155,Торг!$H:$H,0))),"")</f>
        <v/>
      </c>
    </row>
    <row r="1156" spans="1:8" x14ac:dyDescent="0.25">
      <c r="A1156" s="109" t="s">
        <v>3070</v>
      </c>
      <c r="B1156" s="116">
        <v>60141</v>
      </c>
      <c r="C1156" s="116" t="s">
        <v>3071</v>
      </c>
      <c r="D1156" s="111" t="s">
        <v>177</v>
      </c>
      <c r="E1156" s="112">
        <v>370</v>
      </c>
      <c r="F1156" s="67" t="str">
        <f>IFERROR(IFERROR(INDEX(Кат!$A:$A,MATCH(Прайс!$B1156,Кат!$G:$G,0)),INDEX(Торг!$B:$B,MATCH(Прайс!$B1156,Торг!$H:$H,0))),"")</f>
        <v/>
      </c>
      <c r="G1156" s="67" t="str">
        <f>IFERROR(IFERROR(INDEX(Кат!$B:$B,MATCH(Прайс!$B1156,Кат!$G:$G,0)),INDEX(Торг!$C:$C,MATCH(Прайс!$B1156,Торг!$H:$H,0))),"")</f>
        <v/>
      </c>
      <c r="H1156" s="67" t="str">
        <f>IFERROR(IFERROR(INDEX(Кат!$I:$I,MATCH(Прайс!$B1156,Кат!$G:$G,0)),INDEX(Торг!$I:$I,MATCH(Прайс!$B1156,Торг!$H:$H,0))),"")</f>
        <v/>
      </c>
    </row>
    <row r="1157" spans="1:8" x14ac:dyDescent="0.25">
      <c r="A1157" s="109" t="s">
        <v>3072</v>
      </c>
      <c r="B1157" s="116">
        <v>60139</v>
      </c>
      <c r="C1157" s="116" t="s">
        <v>3073</v>
      </c>
      <c r="D1157" s="111" t="s">
        <v>177</v>
      </c>
      <c r="E1157" s="112">
        <v>400</v>
      </c>
      <c r="F1157" s="67" t="str">
        <f>IFERROR(IFERROR(INDEX(Кат!$A:$A,MATCH(Прайс!$B1157,Кат!$G:$G,0)),INDEX(Торг!$B:$B,MATCH(Прайс!$B1157,Торг!$H:$H,0))),"")</f>
        <v/>
      </c>
      <c r="G1157" s="67" t="str">
        <f>IFERROR(IFERROR(INDEX(Кат!$B:$B,MATCH(Прайс!$B1157,Кат!$G:$G,0)),INDEX(Торг!$C:$C,MATCH(Прайс!$B1157,Торг!$H:$H,0))),"")</f>
        <v/>
      </c>
      <c r="H1157" s="67" t="str">
        <f>IFERROR(IFERROR(INDEX(Кат!$I:$I,MATCH(Прайс!$B1157,Кат!$G:$G,0)),INDEX(Торг!$I:$I,MATCH(Прайс!$B1157,Торг!$H:$H,0))),"")</f>
        <v/>
      </c>
    </row>
    <row r="1158" spans="1:8" x14ac:dyDescent="0.25">
      <c r="A1158" s="103" t="s">
        <v>3074</v>
      </c>
      <c r="B1158" s="104">
        <v>60057</v>
      </c>
      <c r="C1158" s="104" t="s">
        <v>747</v>
      </c>
      <c r="D1158" s="105" t="s">
        <v>582</v>
      </c>
      <c r="E1158" s="113">
        <v>800</v>
      </c>
      <c r="F1158" s="67" t="str">
        <f>IFERROR(IFERROR(INDEX(Кат!$A:$A,MATCH(Прайс!$B1158,Кат!$G:$G,0)),INDEX(Торг!$B:$B,MATCH(Прайс!$B1158,Торг!$H:$H,0))),"")</f>
        <v/>
      </c>
      <c r="G1158" s="67" t="str">
        <f>IFERROR(IFERROR(INDEX(Кат!$B:$B,MATCH(Прайс!$B1158,Кат!$G:$G,0)),INDEX(Торг!$C:$C,MATCH(Прайс!$B1158,Торг!$H:$H,0))),"")</f>
        <v/>
      </c>
      <c r="H1158" s="67" t="str">
        <f>IFERROR(IFERROR(INDEX(Кат!$I:$I,MATCH(Прайс!$B1158,Кат!$G:$G,0)),INDEX(Торг!$I:$I,MATCH(Прайс!$B1158,Торг!$H:$H,0))),"")</f>
        <v/>
      </c>
    </row>
    <row r="1159" spans="1:8" x14ac:dyDescent="0.25">
      <c r="A1159" s="94" t="s">
        <v>3075</v>
      </c>
      <c r="B1159" s="98">
        <v>60082</v>
      </c>
      <c r="C1159" s="98" t="s">
        <v>748</v>
      </c>
      <c r="D1159" s="96" t="s">
        <v>582</v>
      </c>
      <c r="E1159" s="97">
        <v>650</v>
      </c>
      <c r="F1159" s="67" t="str">
        <f>IFERROR(IFERROR(INDEX(Кат!$A:$A,MATCH(Прайс!$B1159,Кат!$G:$G,0)),INDEX(Торг!$B:$B,MATCH(Прайс!$B1159,Торг!$H:$H,0))),"")</f>
        <v/>
      </c>
      <c r="G1159" s="67" t="str">
        <f>IFERROR(IFERROR(INDEX(Кат!$B:$B,MATCH(Прайс!$B1159,Кат!$G:$G,0)),INDEX(Торг!$C:$C,MATCH(Прайс!$B1159,Торг!$H:$H,0))),"")</f>
        <v/>
      </c>
      <c r="H1159" s="67" t="str">
        <f>IFERROR(IFERROR(INDEX(Кат!$I:$I,MATCH(Прайс!$B1159,Кат!$G:$G,0)),INDEX(Торг!$I:$I,MATCH(Прайс!$B1159,Торг!$H:$H,0))),"")</f>
        <v/>
      </c>
    </row>
    <row r="1160" spans="1:8" x14ac:dyDescent="0.25">
      <c r="A1160" s="94" t="s">
        <v>3076</v>
      </c>
      <c r="B1160" s="98">
        <v>60083</v>
      </c>
      <c r="C1160" s="98" t="s">
        <v>749</v>
      </c>
      <c r="D1160" s="96" t="s">
        <v>582</v>
      </c>
      <c r="E1160" s="97">
        <v>650</v>
      </c>
      <c r="F1160" s="67" t="str">
        <f>IFERROR(IFERROR(INDEX(Кат!$A:$A,MATCH(Прайс!$B1160,Кат!$G:$G,0)),INDEX(Торг!$B:$B,MATCH(Прайс!$B1160,Торг!$H:$H,0))),"")</f>
        <v/>
      </c>
      <c r="G1160" s="67" t="str">
        <f>IFERROR(IFERROR(INDEX(Кат!$B:$B,MATCH(Прайс!$B1160,Кат!$G:$G,0)),INDEX(Торг!$C:$C,MATCH(Прайс!$B1160,Торг!$H:$H,0))),"")</f>
        <v/>
      </c>
      <c r="H1160" s="67" t="str">
        <f>IFERROR(IFERROR(INDEX(Кат!$I:$I,MATCH(Прайс!$B1160,Кат!$G:$G,0)),INDEX(Торг!$I:$I,MATCH(Прайс!$B1160,Торг!$H:$H,0))),"")</f>
        <v/>
      </c>
    </row>
    <row r="1161" spans="1:8" x14ac:dyDescent="0.25">
      <c r="A1161" s="94" t="s">
        <v>3077</v>
      </c>
      <c r="B1161" s="98">
        <v>60084</v>
      </c>
      <c r="C1161" s="98" t="s">
        <v>750</v>
      </c>
      <c r="D1161" s="96" t="s">
        <v>582</v>
      </c>
      <c r="E1161" s="97">
        <v>650</v>
      </c>
      <c r="F1161" s="67" t="str">
        <f>IFERROR(IFERROR(INDEX(Кат!$A:$A,MATCH(Прайс!$B1161,Кат!$G:$G,0)),INDEX(Торг!$B:$B,MATCH(Прайс!$B1161,Торг!$H:$H,0))),"")</f>
        <v/>
      </c>
      <c r="G1161" s="67" t="str">
        <f>IFERROR(IFERROR(INDEX(Кат!$B:$B,MATCH(Прайс!$B1161,Кат!$G:$G,0)),INDEX(Торг!$C:$C,MATCH(Прайс!$B1161,Торг!$H:$H,0))),"")</f>
        <v/>
      </c>
      <c r="H1161" s="67" t="str">
        <f>IFERROR(IFERROR(INDEX(Кат!$I:$I,MATCH(Прайс!$B1161,Кат!$G:$G,0)),INDEX(Торг!$I:$I,MATCH(Прайс!$B1161,Торг!$H:$H,0))),"")</f>
        <v/>
      </c>
    </row>
    <row r="1162" spans="1:8" x14ac:dyDescent="0.25">
      <c r="A1162" s="94" t="s">
        <v>3078</v>
      </c>
      <c r="B1162" s="98">
        <v>60085</v>
      </c>
      <c r="C1162" s="98" t="s">
        <v>751</v>
      </c>
      <c r="D1162" s="96" t="s">
        <v>582</v>
      </c>
      <c r="E1162" s="97">
        <v>650</v>
      </c>
      <c r="F1162" s="67" t="str">
        <f>IFERROR(IFERROR(INDEX(Кат!$A:$A,MATCH(Прайс!$B1162,Кат!$G:$G,0)),INDEX(Торг!$B:$B,MATCH(Прайс!$B1162,Торг!$H:$H,0))),"")</f>
        <v/>
      </c>
      <c r="G1162" s="67" t="str">
        <f>IFERROR(IFERROR(INDEX(Кат!$B:$B,MATCH(Прайс!$B1162,Кат!$G:$G,0)),INDEX(Торг!$C:$C,MATCH(Прайс!$B1162,Торг!$H:$H,0))),"")</f>
        <v/>
      </c>
      <c r="H1162" s="67" t="str">
        <f>IFERROR(IFERROR(INDEX(Кат!$I:$I,MATCH(Прайс!$B1162,Кат!$G:$G,0)),INDEX(Торг!$I:$I,MATCH(Прайс!$B1162,Торг!$H:$H,0))),"")</f>
        <v/>
      </c>
    </row>
    <row r="1163" spans="1:8" x14ac:dyDescent="0.25">
      <c r="A1163" s="94" t="s">
        <v>3079</v>
      </c>
      <c r="B1163" s="98">
        <v>60086</v>
      </c>
      <c r="C1163" s="98" t="s">
        <v>752</v>
      </c>
      <c r="D1163" s="96" t="s">
        <v>582</v>
      </c>
      <c r="E1163" s="97">
        <v>650</v>
      </c>
      <c r="F1163" s="67" t="str">
        <f>IFERROR(IFERROR(INDEX(Кат!$A:$A,MATCH(Прайс!$B1163,Кат!$G:$G,0)),INDEX(Торг!$B:$B,MATCH(Прайс!$B1163,Торг!$H:$H,0))),"")</f>
        <v/>
      </c>
      <c r="G1163" s="67" t="str">
        <f>IFERROR(IFERROR(INDEX(Кат!$B:$B,MATCH(Прайс!$B1163,Кат!$G:$G,0)),INDEX(Торг!$C:$C,MATCH(Прайс!$B1163,Торг!$H:$H,0))),"")</f>
        <v/>
      </c>
      <c r="H1163" s="67" t="str">
        <f>IFERROR(IFERROR(INDEX(Кат!$I:$I,MATCH(Прайс!$B1163,Кат!$G:$G,0)),INDEX(Торг!$I:$I,MATCH(Прайс!$B1163,Торг!$H:$H,0))),"")</f>
        <v/>
      </c>
    </row>
    <row r="1164" spans="1:8" x14ac:dyDescent="0.25">
      <c r="A1164" s="94" t="s">
        <v>3080</v>
      </c>
      <c r="B1164" s="98">
        <v>60087</v>
      </c>
      <c r="C1164" s="98" t="s">
        <v>753</v>
      </c>
      <c r="D1164" s="96" t="s">
        <v>582</v>
      </c>
      <c r="E1164" s="97">
        <v>800</v>
      </c>
      <c r="F1164" s="67" t="str">
        <f>IFERROR(IFERROR(INDEX(Кат!$A:$A,MATCH(Прайс!$B1164,Кат!$G:$G,0)),INDEX(Торг!$B:$B,MATCH(Прайс!$B1164,Торг!$H:$H,0))),"")</f>
        <v/>
      </c>
      <c r="G1164" s="67" t="str">
        <f>IFERROR(IFERROR(INDEX(Кат!$B:$B,MATCH(Прайс!$B1164,Кат!$G:$G,0)),INDEX(Торг!$C:$C,MATCH(Прайс!$B1164,Торг!$H:$H,0))),"")</f>
        <v/>
      </c>
      <c r="H1164" s="67" t="str">
        <f>IFERROR(IFERROR(INDEX(Кат!$I:$I,MATCH(Прайс!$B1164,Кат!$G:$G,0)),INDEX(Торг!$I:$I,MATCH(Прайс!$B1164,Торг!$H:$H,0))),"")</f>
        <v/>
      </c>
    </row>
    <row r="1165" spans="1:8" x14ac:dyDescent="0.25">
      <c r="A1165" s="94" t="s">
        <v>3081</v>
      </c>
      <c r="B1165" s="98">
        <v>60098</v>
      </c>
      <c r="C1165" s="98" t="s">
        <v>754</v>
      </c>
      <c r="D1165" s="96" t="s">
        <v>160</v>
      </c>
      <c r="E1165" s="97">
        <v>320</v>
      </c>
      <c r="F1165" s="67" t="str">
        <f>IFERROR(IFERROR(INDEX(Кат!$A:$A,MATCH(Прайс!$B1165,Кат!$G:$G,0)),INDEX(Торг!$B:$B,MATCH(Прайс!$B1165,Торг!$H:$H,0))),"")</f>
        <v/>
      </c>
      <c r="G1165" s="67" t="str">
        <f>IFERROR(IFERROR(INDEX(Кат!$B:$B,MATCH(Прайс!$B1165,Кат!$G:$G,0)),INDEX(Торг!$C:$C,MATCH(Прайс!$B1165,Торг!$H:$H,0))),"")</f>
        <v/>
      </c>
      <c r="H1165" s="67" t="str">
        <f>IFERROR(IFERROR(INDEX(Кат!$I:$I,MATCH(Прайс!$B1165,Кат!$G:$G,0)),INDEX(Торг!$I:$I,MATCH(Прайс!$B1165,Торг!$H:$H,0))),"")</f>
        <v/>
      </c>
    </row>
    <row r="1166" spans="1:8" x14ac:dyDescent="0.25">
      <c r="A1166" s="94" t="s">
        <v>3082</v>
      </c>
      <c r="B1166" s="98">
        <v>60099</v>
      </c>
      <c r="C1166" s="98" t="s">
        <v>755</v>
      </c>
      <c r="D1166" s="96" t="s">
        <v>160</v>
      </c>
      <c r="E1166" s="97">
        <v>330</v>
      </c>
      <c r="F1166" s="67" t="str">
        <f>IFERROR(IFERROR(INDEX(Кат!$A:$A,MATCH(Прайс!$B1166,Кат!$G:$G,0)),INDEX(Торг!$B:$B,MATCH(Прайс!$B1166,Торг!$H:$H,0))),"")</f>
        <v/>
      </c>
      <c r="G1166" s="67" t="str">
        <f>IFERROR(IFERROR(INDEX(Кат!$B:$B,MATCH(Прайс!$B1166,Кат!$G:$G,0)),INDEX(Торг!$C:$C,MATCH(Прайс!$B1166,Торг!$H:$H,0))),"")</f>
        <v/>
      </c>
      <c r="H1166" s="67" t="str">
        <f>IFERROR(IFERROR(INDEX(Кат!$I:$I,MATCH(Прайс!$B1166,Кат!$G:$G,0)),INDEX(Торг!$I:$I,MATCH(Прайс!$B1166,Торг!$H:$H,0))),"")</f>
        <v/>
      </c>
    </row>
    <row r="1167" spans="1:8" x14ac:dyDescent="0.25">
      <c r="A1167" s="94" t="s">
        <v>3083</v>
      </c>
      <c r="B1167" s="98">
        <v>60100</v>
      </c>
      <c r="C1167" s="98" t="s">
        <v>756</v>
      </c>
      <c r="D1167" s="96" t="s">
        <v>160</v>
      </c>
      <c r="E1167" s="97">
        <v>335</v>
      </c>
      <c r="F1167" s="67" t="str">
        <f>IFERROR(IFERROR(INDEX(Кат!$A:$A,MATCH(Прайс!$B1167,Кат!$G:$G,0)),INDEX(Торг!$B:$B,MATCH(Прайс!$B1167,Торг!$H:$H,0))),"")</f>
        <v/>
      </c>
      <c r="G1167" s="67" t="str">
        <f>IFERROR(IFERROR(INDEX(Кат!$B:$B,MATCH(Прайс!$B1167,Кат!$G:$G,0)),INDEX(Торг!$C:$C,MATCH(Прайс!$B1167,Торг!$H:$H,0))),"")</f>
        <v/>
      </c>
      <c r="H1167" s="67" t="str">
        <f>IFERROR(IFERROR(INDEX(Кат!$I:$I,MATCH(Прайс!$B1167,Кат!$G:$G,0)),INDEX(Торг!$I:$I,MATCH(Прайс!$B1167,Торг!$H:$H,0))),"")</f>
        <v/>
      </c>
    </row>
    <row r="1168" spans="1:8" x14ac:dyDescent="0.25">
      <c r="A1168" s="94" t="s">
        <v>3084</v>
      </c>
      <c r="B1168" s="98">
        <v>60093</v>
      </c>
      <c r="C1168" s="98" t="s">
        <v>757</v>
      </c>
      <c r="D1168" s="96" t="s">
        <v>160</v>
      </c>
      <c r="E1168" s="97">
        <v>270</v>
      </c>
      <c r="F1168" s="67" t="str">
        <f>IFERROR(IFERROR(INDEX(Кат!$A:$A,MATCH(Прайс!$B1168,Кат!$G:$G,0)),INDEX(Торг!$B:$B,MATCH(Прайс!$B1168,Торг!$H:$H,0))),"")</f>
        <v/>
      </c>
      <c r="G1168" s="67" t="str">
        <f>IFERROR(IFERROR(INDEX(Кат!$B:$B,MATCH(Прайс!$B1168,Кат!$G:$G,0)),INDEX(Торг!$C:$C,MATCH(Прайс!$B1168,Торг!$H:$H,0))),"")</f>
        <v/>
      </c>
      <c r="H1168" s="67" t="str">
        <f>IFERROR(IFERROR(INDEX(Кат!$I:$I,MATCH(Прайс!$B1168,Кат!$G:$G,0)),INDEX(Торг!$I:$I,MATCH(Прайс!$B1168,Торг!$H:$H,0))),"")</f>
        <v/>
      </c>
    </row>
    <row r="1169" spans="1:8" x14ac:dyDescent="0.25">
      <c r="A1169" s="94" t="s">
        <v>3085</v>
      </c>
      <c r="B1169" s="98">
        <v>60094</v>
      </c>
      <c r="C1169" s="98" t="s">
        <v>758</v>
      </c>
      <c r="D1169" s="96" t="s">
        <v>160</v>
      </c>
      <c r="E1169" s="97">
        <v>295</v>
      </c>
      <c r="F1169" s="67" t="str">
        <f>IFERROR(IFERROR(INDEX(Кат!$A:$A,MATCH(Прайс!$B1169,Кат!$G:$G,0)),INDEX(Торг!$B:$B,MATCH(Прайс!$B1169,Торг!$H:$H,0))),"")</f>
        <v/>
      </c>
      <c r="G1169" s="67" t="str">
        <f>IFERROR(IFERROR(INDEX(Кат!$B:$B,MATCH(Прайс!$B1169,Кат!$G:$G,0)),INDEX(Торг!$C:$C,MATCH(Прайс!$B1169,Торг!$H:$H,0))),"")</f>
        <v/>
      </c>
      <c r="H1169" s="67" t="str">
        <f>IFERROR(IFERROR(INDEX(Кат!$I:$I,MATCH(Прайс!$B1169,Кат!$G:$G,0)),INDEX(Торг!$I:$I,MATCH(Прайс!$B1169,Торг!$H:$H,0))),"")</f>
        <v/>
      </c>
    </row>
    <row r="1170" spans="1:8" x14ac:dyDescent="0.25">
      <c r="A1170" s="94" t="s">
        <v>3087</v>
      </c>
      <c r="B1170" s="98">
        <v>60089</v>
      </c>
      <c r="C1170" s="98" t="s">
        <v>759</v>
      </c>
      <c r="D1170" s="96" t="s">
        <v>160</v>
      </c>
      <c r="E1170" s="97">
        <v>270</v>
      </c>
      <c r="F1170" s="67" t="str">
        <f>IFERROR(IFERROR(INDEX(Кат!$A:$A,MATCH(Прайс!$B1170,Кат!$G:$G,0)),INDEX(Торг!$B:$B,MATCH(Прайс!$B1170,Торг!$H:$H,0))),"")</f>
        <v/>
      </c>
      <c r="G1170" s="67" t="str">
        <f>IFERROR(IFERROR(INDEX(Кат!$B:$B,MATCH(Прайс!$B1170,Кат!$G:$G,0)),INDEX(Торг!$C:$C,MATCH(Прайс!$B1170,Торг!$H:$H,0))),"")</f>
        <v/>
      </c>
      <c r="H1170" s="67" t="str">
        <f>IFERROR(IFERROR(INDEX(Кат!$I:$I,MATCH(Прайс!$B1170,Кат!$G:$G,0)),INDEX(Торг!$I:$I,MATCH(Прайс!$B1170,Торг!$H:$H,0))),"")</f>
        <v/>
      </c>
    </row>
    <row r="1171" spans="1:8" x14ac:dyDescent="0.25">
      <c r="A1171" s="94" t="s">
        <v>3088</v>
      </c>
      <c r="B1171" s="98">
        <v>60090</v>
      </c>
      <c r="C1171" s="98" t="s">
        <v>760</v>
      </c>
      <c r="D1171" s="96" t="s">
        <v>159</v>
      </c>
      <c r="E1171" s="97">
        <v>270</v>
      </c>
      <c r="F1171" s="67" t="str">
        <f>IFERROR(IFERROR(INDEX(Кат!$A:$A,MATCH(Прайс!$B1171,Кат!$G:$G,0)),INDEX(Торг!$B:$B,MATCH(Прайс!$B1171,Торг!$H:$H,0))),"")</f>
        <v/>
      </c>
      <c r="G1171" s="67" t="str">
        <f>IFERROR(IFERROR(INDEX(Кат!$B:$B,MATCH(Прайс!$B1171,Кат!$G:$G,0)),INDEX(Торг!$C:$C,MATCH(Прайс!$B1171,Торг!$H:$H,0))),"")</f>
        <v/>
      </c>
      <c r="H1171" s="67" t="str">
        <f>IFERROR(IFERROR(INDEX(Кат!$I:$I,MATCH(Прайс!$B1171,Кат!$G:$G,0)),INDEX(Торг!$I:$I,MATCH(Прайс!$B1171,Торг!$H:$H,0))),"")</f>
        <v/>
      </c>
    </row>
    <row r="1172" spans="1:8" x14ac:dyDescent="0.25">
      <c r="A1172" s="94" t="s">
        <v>3089</v>
      </c>
      <c r="B1172" s="98">
        <v>60091</v>
      </c>
      <c r="C1172" s="98" t="s">
        <v>6243</v>
      </c>
      <c r="D1172" s="96" t="s">
        <v>159</v>
      </c>
      <c r="E1172" s="97">
        <v>270</v>
      </c>
      <c r="F1172" s="67" t="str">
        <f>IFERROR(IFERROR(INDEX(Кат!$A:$A,MATCH(Прайс!$B1172,Кат!$G:$G,0)),INDEX(Торг!$B:$B,MATCH(Прайс!$B1172,Торг!$H:$H,0))),"")</f>
        <v/>
      </c>
      <c r="G1172" s="67" t="str">
        <f>IFERROR(IFERROR(INDEX(Кат!$B:$B,MATCH(Прайс!$B1172,Кат!$G:$G,0)),INDEX(Торг!$C:$C,MATCH(Прайс!$B1172,Торг!$H:$H,0))),"")</f>
        <v/>
      </c>
      <c r="H1172" s="67" t="str">
        <f>IFERROR(IFERROR(INDEX(Кат!$I:$I,MATCH(Прайс!$B1172,Кат!$G:$G,0)),INDEX(Торг!$I:$I,MATCH(Прайс!$B1172,Торг!$H:$H,0))),"")</f>
        <v/>
      </c>
    </row>
    <row r="1173" spans="1:8" x14ac:dyDescent="0.25">
      <c r="A1173" s="94" t="s">
        <v>3090</v>
      </c>
      <c r="B1173" s="98">
        <v>60092</v>
      </c>
      <c r="C1173" s="98" t="s">
        <v>761</v>
      </c>
      <c r="D1173" s="96" t="s">
        <v>159</v>
      </c>
      <c r="E1173" s="97">
        <v>280</v>
      </c>
      <c r="F1173" s="67" t="str">
        <f>IFERROR(IFERROR(INDEX(Кат!$A:$A,MATCH(Прайс!$B1173,Кат!$G:$G,0)),INDEX(Торг!$B:$B,MATCH(Прайс!$B1173,Торг!$H:$H,0))),"")</f>
        <v/>
      </c>
      <c r="G1173" s="67" t="str">
        <f>IFERROR(IFERROR(INDEX(Кат!$B:$B,MATCH(Прайс!$B1173,Кат!$G:$G,0)),INDEX(Торг!$C:$C,MATCH(Прайс!$B1173,Торг!$H:$H,0))),"")</f>
        <v/>
      </c>
      <c r="H1173" s="67" t="str">
        <f>IFERROR(IFERROR(INDEX(Кат!$I:$I,MATCH(Прайс!$B1173,Кат!$G:$G,0)),INDEX(Торг!$I:$I,MATCH(Прайс!$B1173,Торг!$H:$H,0))),"")</f>
        <v/>
      </c>
    </row>
    <row r="1174" spans="1:8" x14ac:dyDescent="0.25">
      <c r="A1174" s="94" t="s">
        <v>3086</v>
      </c>
      <c r="B1174" s="98">
        <v>60095</v>
      </c>
      <c r="C1174" s="98" t="s">
        <v>6710</v>
      </c>
      <c r="D1174" s="96" t="s">
        <v>160</v>
      </c>
      <c r="E1174" s="97">
        <v>360</v>
      </c>
      <c r="F1174" s="67" t="str">
        <f>IFERROR(IFERROR(INDEX(Кат!$A:$A,MATCH(Прайс!$B1174,Кат!$G:$G,0)),INDEX(Торг!$B:$B,MATCH(Прайс!$B1174,Торг!$H:$H,0))),"")</f>
        <v/>
      </c>
      <c r="G1174" s="67" t="str">
        <f>IFERROR(IFERROR(INDEX(Кат!$B:$B,MATCH(Прайс!$B1174,Кат!$G:$G,0)),INDEX(Торг!$C:$C,MATCH(Прайс!$B1174,Торг!$H:$H,0))),"")</f>
        <v/>
      </c>
      <c r="H1174" s="67" t="str">
        <f>IFERROR(IFERROR(INDEX(Кат!$I:$I,MATCH(Прайс!$B1174,Кат!$G:$G,0)),INDEX(Торг!$I:$I,MATCH(Прайс!$B1174,Торг!$H:$H,0))),"")</f>
        <v/>
      </c>
    </row>
    <row r="1175" spans="1:8" x14ac:dyDescent="0.25">
      <c r="A1175" s="94" t="s">
        <v>3091</v>
      </c>
      <c r="B1175" s="98">
        <v>60096</v>
      </c>
      <c r="C1175" s="98" t="s">
        <v>762</v>
      </c>
      <c r="D1175" s="96" t="s">
        <v>159</v>
      </c>
      <c r="E1175" s="97">
        <v>290</v>
      </c>
      <c r="F1175" s="67" t="str">
        <f>IFERROR(IFERROR(INDEX(Кат!$A:$A,MATCH(Прайс!$B1175,Кат!$G:$G,0)),INDEX(Торг!$B:$B,MATCH(Прайс!$B1175,Торг!$H:$H,0))),"")</f>
        <v/>
      </c>
      <c r="G1175" s="67" t="str">
        <f>IFERROR(IFERROR(INDEX(Кат!$B:$B,MATCH(Прайс!$B1175,Кат!$G:$G,0)),INDEX(Торг!$C:$C,MATCH(Прайс!$B1175,Торг!$H:$H,0))),"")</f>
        <v/>
      </c>
      <c r="H1175" s="67" t="str">
        <f>IFERROR(IFERROR(INDEX(Кат!$I:$I,MATCH(Прайс!$B1175,Кат!$G:$G,0)),INDEX(Торг!$I:$I,MATCH(Прайс!$B1175,Торг!$H:$H,0))),"")</f>
        <v/>
      </c>
    </row>
    <row r="1176" spans="1:8" x14ac:dyDescent="0.25">
      <c r="A1176" s="94" t="s">
        <v>3092</v>
      </c>
      <c r="B1176" s="98">
        <v>60097</v>
      </c>
      <c r="C1176" s="98" t="s">
        <v>763</v>
      </c>
      <c r="D1176" s="96" t="s">
        <v>160</v>
      </c>
      <c r="E1176" s="97">
        <v>310</v>
      </c>
      <c r="F1176" s="67" t="str">
        <f>IFERROR(IFERROR(INDEX(Кат!$A:$A,MATCH(Прайс!$B1176,Кат!$G:$G,0)),INDEX(Торг!$B:$B,MATCH(Прайс!$B1176,Торг!$H:$H,0))),"")</f>
        <v/>
      </c>
      <c r="G1176" s="67" t="str">
        <f>IFERROR(IFERROR(INDEX(Кат!$B:$B,MATCH(Прайс!$B1176,Кат!$G:$G,0)),INDEX(Торг!$C:$C,MATCH(Прайс!$B1176,Торг!$H:$H,0))),"")</f>
        <v/>
      </c>
      <c r="H1176" s="67" t="str">
        <f>IFERROR(IFERROR(INDEX(Кат!$I:$I,MATCH(Прайс!$B1176,Кат!$G:$G,0)),INDEX(Торг!$I:$I,MATCH(Прайс!$B1176,Торг!$H:$H,0))),"")</f>
        <v/>
      </c>
    </row>
    <row r="1177" spans="1:8" x14ac:dyDescent="0.25">
      <c r="A1177" s="94" t="s">
        <v>3093</v>
      </c>
      <c r="B1177" s="98">
        <v>60088</v>
      </c>
      <c r="C1177" s="98" t="s">
        <v>2084</v>
      </c>
      <c r="D1177" s="96" t="s">
        <v>582</v>
      </c>
      <c r="E1177" s="97">
        <v>240</v>
      </c>
      <c r="F1177" s="67" t="str">
        <f>IFERROR(IFERROR(INDEX(Кат!$A:$A,MATCH(Прайс!$B1177,Кат!$G:$G,0)),INDEX(Торг!$B:$B,MATCH(Прайс!$B1177,Торг!$H:$H,0))),"")</f>
        <v/>
      </c>
      <c r="G1177" s="67" t="str">
        <f>IFERROR(IFERROR(INDEX(Кат!$B:$B,MATCH(Прайс!$B1177,Кат!$G:$G,0)),INDEX(Торг!$C:$C,MATCH(Прайс!$B1177,Торг!$H:$H,0))),"")</f>
        <v/>
      </c>
      <c r="H1177" s="67" t="str">
        <f>IFERROR(IFERROR(INDEX(Кат!$I:$I,MATCH(Прайс!$B1177,Кат!$G:$G,0)),INDEX(Торг!$I:$I,MATCH(Прайс!$B1177,Торг!$H:$H,0))),"")</f>
        <v/>
      </c>
    </row>
    <row r="1178" spans="1:8" x14ac:dyDescent="0.25">
      <c r="A1178" s="103" t="s">
        <v>3094</v>
      </c>
      <c r="B1178" s="104">
        <v>60101</v>
      </c>
      <c r="C1178" s="104" t="s">
        <v>764</v>
      </c>
      <c r="D1178" s="105" t="s">
        <v>582</v>
      </c>
      <c r="E1178" s="106">
        <v>1350</v>
      </c>
      <c r="F1178" s="67" t="str">
        <f>IFERROR(IFERROR(INDEX(Кат!$A:$A,MATCH(Прайс!$B1178,Кат!$G:$G,0)),INDEX(Торг!$B:$B,MATCH(Прайс!$B1178,Торг!$H:$H,0))),"")</f>
        <v/>
      </c>
      <c r="G1178" s="67" t="str">
        <f>IFERROR(IFERROR(INDEX(Кат!$B:$B,MATCH(Прайс!$B1178,Кат!$G:$G,0)),INDEX(Торг!$C:$C,MATCH(Прайс!$B1178,Торг!$H:$H,0))),"")</f>
        <v/>
      </c>
      <c r="H1178" s="67" t="str">
        <f>IFERROR(IFERROR(INDEX(Кат!$I:$I,MATCH(Прайс!$B1178,Кат!$G:$G,0)),INDEX(Торг!$I:$I,MATCH(Прайс!$B1178,Торг!$H:$H,0))),"")</f>
        <v/>
      </c>
    </row>
    <row r="1179" spans="1:8" x14ac:dyDescent="0.25">
      <c r="A1179" s="103" t="s">
        <v>3095</v>
      </c>
      <c r="B1179" s="104">
        <v>60102</v>
      </c>
      <c r="C1179" s="104" t="s">
        <v>765</v>
      </c>
      <c r="D1179" s="105" t="s">
        <v>582</v>
      </c>
      <c r="E1179" s="113">
        <v>560</v>
      </c>
      <c r="F1179" s="67" t="str">
        <f>IFERROR(IFERROR(INDEX(Кат!$A:$A,MATCH(Прайс!$B1179,Кат!$G:$G,0)),INDEX(Торг!$B:$B,MATCH(Прайс!$B1179,Торг!$H:$H,0))),"")</f>
        <v/>
      </c>
      <c r="G1179" s="67" t="str">
        <f>IFERROR(IFERROR(INDEX(Кат!$B:$B,MATCH(Прайс!$B1179,Кат!$G:$G,0)),INDEX(Торг!$C:$C,MATCH(Прайс!$B1179,Торг!$H:$H,0))),"")</f>
        <v/>
      </c>
      <c r="H1179" s="67" t="str">
        <f>IFERROR(IFERROR(INDEX(Кат!$I:$I,MATCH(Прайс!$B1179,Кат!$G:$G,0)),INDEX(Торг!$I:$I,MATCH(Прайс!$B1179,Торг!$H:$H,0))),"")</f>
        <v/>
      </c>
    </row>
    <row r="1180" spans="1:8" x14ac:dyDescent="0.25">
      <c r="A1180" s="103" t="s">
        <v>3096</v>
      </c>
      <c r="B1180" s="104">
        <v>60103</v>
      </c>
      <c r="C1180" s="104" t="s">
        <v>766</v>
      </c>
      <c r="D1180" s="105" t="s">
        <v>582</v>
      </c>
      <c r="E1180" s="113">
        <v>590</v>
      </c>
      <c r="F1180" s="67" t="str">
        <f>IFERROR(IFERROR(INDEX(Кат!$A:$A,MATCH(Прайс!$B1180,Кат!$G:$G,0)),INDEX(Торг!$B:$B,MATCH(Прайс!$B1180,Торг!$H:$H,0))),"")</f>
        <v/>
      </c>
      <c r="G1180" s="67" t="str">
        <f>IFERROR(IFERROR(INDEX(Кат!$B:$B,MATCH(Прайс!$B1180,Кат!$G:$G,0)),INDEX(Торг!$C:$C,MATCH(Прайс!$B1180,Торг!$H:$H,0))),"")</f>
        <v/>
      </c>
      <c r="H1180" s="67" t="str">
        <f>IFERROR(IFERROR(INDEX(Кат!$I:$I,MATCH(Прайс!$B1180,Кат!$G:$G,0)),INDEX(Торг!$I:$I,MATCH(Прайс!$B1180,Торг!$H:$H,0))),"")</f>
        <v/>
      </c>
    </row>
    <row r="1181" spans="1:8" x14ac:dyDescent="0.25">
      <c r="A1181" s="103" t="s">
        <v>3097</v>
      </c>
      <c r="B1181" s="104">
        <v>60104</v>
      </c>
      <c r="C1181" s="104" t="s">
        <v>767</v>
      </c>
      <c r="D1181" s="105" t="s">
        <v>582</v>
      </c>
      <c r="E1181" s="113">
        <v>590</v>
      </c>
      <c r="F1181" s="67" t="str">
        <f>IFERROR(IFERROR(INDEX(Кат!$A:$A,MATCH(Прайс!$B1181,Кат!$G:$G,0)),INDEX(Торг!$B:$B,MATCH(Прайс!$B1181,Торг!$H:$H,0))),"")</f>
        <v/>
      </c>
      <c r="G1181" s="67" t="str">
        <f>IFERROR(IFERROR(INDEX(Кат!$B:$B,MATCH(Прайс!$B1181,Кат!$G:$G,0)),INDEX(Торг!$C:$C,MATCH(Прайс!$B1181,Торг!$H:$H,0))),"")</f>
        <v/>
      </c>
      <c r="H1181" s="67" t="str">
        <f>IFERROR(IFERROR(INDEX(Кат!$I:$I,MATCH(Прайс!$B1181,Кат!$G:$G,0)),INDEX(Торг!$I:$I,MATCH(Прайс!$B1181,Торг!$H:$H,0))),"")</f>
        <v/>
      </c>
    </row>
    <row r="1182" spans="1:8" x14ac:dyDescent="0.25">
      <c r="A1182" s="103" t="s">
        <v>3098</v>
      </c>
      <c r="B1182" s="104">
        <v>60105</v>
      </c>
      <c r="C1182" s="104" t="s">
        <v>768</v>
      </c>
      <c r="D1182" s="105" t="s">
        <v>582</v>
      </c>
      <c r="E1182" s="113">
        <v>590</v>
      </c>
      <c r="F1182" s="67" t="str">
        <f>IFERROR(IFERROR(INDEX(Кат!$A:$A,MATCH(Прайс!$B1182,Кат!$G:$G,0)),INDEX(Торг!$B:$B,MATCH(Прайс!$B1182,Торг!$H:$H,0))),"")</f>
        <v/>
      </c>
      <c r="G1182" s="67" t="str">
        <f>IFERROR(IFERROR(INDEX(Кат!$B:$B,MATCH(Прайс!$B1182,Кат!$G:$G,0)),INDEX(Торг!$C:$C,MATCH(Прайс!$B1182,Торг!$H:$H,0))),"")</f>
        <v/>
      </c>
      <c r="H1182" s="67" t="str">
        <f>IFERROR(IFERROR(INDEX(Кат!$I:$I,MATCH(Прайс!$B1182,Кат!$G:$G,0)),INDEX(Торг!$I:$I,MATCH(Прайс!$B1182,Торг!$H:$H,0))),"")</f>
        <v/>
      </c>
    </row>
    <row r="1183" spans="1:8" x14ac:dyDescent="0.25">
      <c r="A1183" s="103" t="s">
        <v>3099</v>
      </c>
      <c r="B1183" s="104">
        <v>60106</v>
      </c>
      <c r="C1183" s="104" t="s">
        <v>769</v>
      </c>
      <c r="D1183" s="105" t="s">
        <v>582</v>
      </c>
      <c r="E1183" s="113">
        <v>590</v>
      </c>
      <c r="F1183" s="67" t="str">
        <f>IFERROR(IFERROR(INDEX(Кат!$A:$A,MATCH(Прайс!$B1183,Кат!$G:$G,0)),INDEX(Торг!$B:$B,MATCH(Прайс!$B1183,Торг!$H:$H,0))),"")</f>
        <v/>
      </c>
      <c r="G1183" s="67" t="str">
        <f>IFERROR(IFERROR(INDEX(Кат!$B:$B,MATCH(Прайс!$B1183,Кат!$G:$G,0)),INDEX(Торг!$C:$C,MATCH(Прайс!$B1183,Торг!$H:$H,0))),"")</f>
        <v/>
      </c>
      <c r="H1183" s="67" t="str">
        <f>IFERROR(IFERROR(INDEX(Кат!$I:$I,MATCH(Прайс!$B1183,Кат!$G:$G,0)),INDEX(Торг!$I:$I,MATCH(Прайс!$B1183,Торг!$H:$H,0))),"")</f>
        <v/>
      </c>
    </row>
    <row r="1184" spans="1:8" x14ac:dyDescent="0.25">
      <c r="A1184" s="103" t="s">
        <v>3100</v>
      </c>
      <c r="B1184" s="104">
        <v>60107</v>
      </c>
      <c r="C1184" s="104" t="s">
        <v>770</v>
      </c>
      <c r="D1184" s="105" t="s">
        <v>160</v>
      </c>
      <c r="E1184" s="113">
        <v>430</v>
      </c>
      <c r="F1184" s="67" t="str">
        <f>IFERROR(IFERROR(INDEX(Кат!$A:$A,MATCH(Прайс!$B1184,Кат!$G:$G,0)),INDEX(Торг!$B:$B,MATCH(Прайс!$B1184,Торг!$H:$H,0))),"")</f>
        <v/>
      </c>
      <c r="G1184" s="67" t="str">
        <f>IFERROR(IFERROR(INDEX(Кат!$B:$B,MATCH(Прайс!$B1184,Кат!$G:$G,0)),INDEX(Торг!$C:$C,MATCH(Прайс!$B1184,Торг!$H:$H,0))),"")</f>
        <v/>
      </c>
      <c r="H1184" s="67" t="str">
        <f>IFERROR(IFERROR(INDEX(Кат!$I:$I,MATCH(Прайс!$B1184,Кат!$G:$G,0)),INDEX(Торг!$I:$I,MATCH(Прайс!$B1184,Торг!$H:$H,0))),"")</f>
        <v/>
      </c>
    </row>
    <row r="1185" spans="1:8" x14ac:dyDescent="0.25">
      <c r="A1185" s="103" t="s">
        <v>3101</v>
      </c>
      <c r="B1185" s="104">
        <v>60108</v>
      </c>
      <c r="C1185" s="104" t="s">
        <v>771</v>
      </c>
      <c r="D1185" s="105" t="s">
        <v>582</v>
      </c>
      <c r="E1185" s="113">
        <v>340</v>
      </c>
      <c r="F1185" s="67" t="str">
        <f>IFERROR(IFERROR(INDEX(Кат!$A:$A,MATCH(Прайс!$B1185,Кат!$G:$G,0)),INDEX(Торг!$B:$B,MATCH(Прайс!$B1185,Торг!$H:$H,0))),"")</f>
        <v/>
      </c>
      <c r="G1185" s="67" t="str">
        <f>IFERROR(IFERROR(INDEX(Кат!$B:$B,MATCH(Прайс!$B1185,Кат!$G:$G,0)),INDEX(Торг!$C:$C,MATCH(Прайс!$B1185,Торг!$H:$H,0))),"")</f>
        <v/>
      </c>
      <c r="H1185" s="67" t="str">
        <f>IFERROR(IFERROR(INDEX(Кат!$I:$I,MATCH(Прайс!$B1185,Кат!$G:$G,0)),INDEX(Торг!$I:$I,MATCH(Прайс!$B1185,Торг!$H:$H,0))),"")</f>
        <v/>
      </c>
    </row>
    <row r="1186" spans="1:8" x14ac:dyDescent="0.25">
      <c r="A1186" s="103" t="s">
        <v>3102</v>
      </c>
      <c r="B1186" s="104">
        <v>60120</v>
      </c>
      <c r="C1186" s="104" t="s">
        <v>772</v>
      </c>
      <c r="D1186" s="105" t="s">
        <v>582</v>
      </c>
      <c r="E1186" s="113">
        <v>310</v>
      </c>
      <c r="F1186" s="67" t="str">
        <f>IFERROR(IFERROR(INDEX(Кат!$A:$A,MATCH(Прайс!$B1186,Кат!$G:$G,0)),INDEX(Торг!$B:$B,MATCH(Прайс!$B1186,Торг!$H:$H,0))),"")</f>
        <v/>
      </c>
      <c r="G1186" s="67" t="str">
        <f>IFERROR(IFERROR(INDEX(Кат!$B:$B,MATCH(Прайс!$B1186,Кат!$G:$G,0)),INDEX(Торг!$C:$C,MATCH(Прайс!$B1186,Торг!$H:$H,0))),"")</f>
        <v/>
      </c>
      <c r="H1186" s="67" t="str">
        <f>IFERROR(IFERROR(INDEX(Кат!$I:$I,MATCH(Прайс!$B1186,Кат!$G:$G,0)),INDEX(Торг!$I:$I,MATCH(Прайс!$B1186,Торг!$H:$H,0))),"")</f>
        <v/>
      </c>
    </row>
    <row r="1187" spans="1:8" x14ac:dyDescent="0.25">
      <c r="A1187" s="103" t="s">
        <v>3103</v>
      </c>
      <c r="B1187" s="104">
        <v>60109</v>
      </c>
      <c r="C1187" s="104" t="s">
        <v>773</v>
      </c>
      <c r="D1187" s="105" t="s">
        <v>582</v>
      </c>
      <c r="E1187" s="113">
        <v>920</v>
      </c>
      <c r="F1187" s="67" t="str">
        <f>IFERROR(IFERROR(INDEX(Кат!$A:$A,MATCH(Прайс!$B1187,Кат!$G:$G,0)),INDEX(Торг!$B:$B,MATCH(Прайс!$B1187,Торг!$H:$H,0))),"")</f>
        <v/>
      </c>
      <c r="G1187" s="67" t="str">
        <f>IFERROR(IFERROR(INDEX(Кат!$B:$B,MATCH(Прайс!$B1187,Кат!$G:$G,0)),INDEX(Торг!$C:$C,MATCH(Прайс!$B1187,Торг!$H:$H,0))),"")</f>
        <v/>
      </c>
      <c r="H1187" s="67" t="str">
        <f>IFERROR(IFERROR(INDEX(Кат!$I:$I,MATCH(Прайс!$B1187,Кат!$G:$G,0)),INDEX(Торг!$I:$I,MATCH(Прайс!$B1187,Торг!$H:$H,0))),"")</f>
        <v/>
      </c>
    </row>
    <row r="1188" spans="1:8" x14ac:dyDescent="0.25">
      <c r="A1188" s="103" t="s">
        <v>3104</v>
      </c>
      <c r="B1188" s="104">
        <v>60110</v>
      </c>
      <c r="C1188" s="104" t="s">
        <v>774</v>
      </c>
      <c r="D1188" s="105" t="s">
        <v>582</v>
      </c>
      <c r="E1188" s="113">
        <v>880</v>
      </c>
      <c r="F1188" s="67" t="str">
        <f>IFERROR(IFERROR(INDEX(Кат!$A:$A,MATCH(Прайс!$B1188,Кат!$G:$G,0)),INDEX(Торг!$B:$B,MATCH(Прайс!$B1188,Торг!$H:$H,0))),"")</f>
        <v/>
      </c>
      <c r="G1188" s="67" t="str">
        <f>IFERROR(IFERROR(INDEX(Кат!$B:$B,MATCH(Прайс!$B1188,Кат!$G:$G,0)),INDEX(Торг!$C:$C,MATCH(Прайс!$B1188,Торг!$H:$H,0))),"")</f>
        <v/>
      </c>
      <c r="H1188" s="67" t="str">
        <f>IFERROR(IFERROR(INDEX(Кат!$I:$I,MATCH(Прайс!$B1188,Кат!$G:$G,0)),INDEX(Торг!$I:$I,MATCH(Прайс!$B1188,Торг!$H:$H,0))),"")</f>
        <v/>
      </c>
    </row>
    <row r="1189" spans="1:8" x14ac:dyDescent="0.25">
      <c r="A1189" s="103" t="s">
        <v>3105</v>
      </c>
      <c r="B1189" s="104">
        <v>60111</v>
      </c>
      <c r="C1189" s="104" t="s">
        <v>775</v>
      </c>
      <c r="D1189" s="105" t="s">
        <v>582</v>
      </c>
      <c r="E1189" s="113">
        <v>880</v>
      </c>
      <c r="F1189" s="67" t="str">
        <f>IFERROR(IFERROR(INDEX(Кат!$A:$A,MATCH(Прайс!$B1189,Кат!$G:$G,0)),INDEX(Торг!$B:$B,MATCH(Прайс!$B1189,Торг!$H:$H,0))),"")</f>
        <v/>
      </c>
      <c r="G1189" s="67" t="str">
        <f>IFERROR(IFERROR(INDEX(Кат!$B:$B,MATCH(Прайс!$B1189,Кат!$G:$G,0)),INDEX(Торг!$C:$C,MATCH(Прайс!$B1189,Торг!$H:$H,0))),"")</f>
        <v/>
      </c>
      <c r="H1189" s="67" t="str">
        <f>IFERROR(IFERROR(INDEX(Кат!$I:$I,MATCH(Прайс!$B1189,Кат!$G:$G,0)),INDEX(Торг!$I:$I,MATCH(Прайс!$B1189,Торг!$H:$H,0))),"")</f>
        <v/>
      </c>
    </row>
    <row r="1190" spans="1:8" x14ac:dyDescent="0.25">
      <c r="A1190" s="103" t="s">
        <v>3051</v>
      </c>
      <c r="B1190" s="104">
        <v>60015</v>
      </c>
      <c r="C1190" s="104" t="s">
        <v>735</v>
      </c>
      <c r="D1190" s="105" t="s">
        <v>582</v>
      </c>
      <c r="E1190" s="106">
        <v>1120</v>
      </c>
      <c r="F1190" s="67" t="str">
        <f>IFERROR(IFERROR(INDEX(Кат!$A:$A,MATCH(Прайс!$B1190,Кат!$G:$G,0)),INDEX(Торг!$B:$B,MATCH(Прайс!$B1190,Торг!$H:$H,0))),"")</f>
        <v/>
      </c>
      <c r="G1190" s="67" t="str">
        <f>IFERROR(IFERROR(INDEX(Кат!$B:$B,MATCH(Прайс!$B1190,Кат!$G:$G,0)),INDEX(Торг!$C:$C,MATCH(Прайс!$B1190,Торг!$H:$H,0))),"")</f>
        <v/>
      </c>
      <c r="H1190" s="67" t="str">
        <f>IFERROR(IFERROR(INDEX(Кат!$I:$I,MATCH(Прайс!$B1190,Кат!$G:$G,0)),INDEX(Торг!$I:$I,MATCH(Прайс!$B1190,Торг!$H:$H,0))),"")</f>
        <v/>
      </c>
    </row>
    <row r="1191" spans="1:8" x14ac:dyDescent="0.25">
      <c r="A1191" s="103" t="s">
        <v>5783</v>
      </c>
      <c r="B1191" s="104">
        <v>60146</v>
      </c>
      <c r="C1191" s="104" t="s">
        <v>5784</v>
      </c>
      <c r="D1191" s="105" t="s">
        <v>582</v>
      </c>
      <c r="E1191" s="113">
        <v>780</v>
      </c>
      <c r="F1191" s="67" t="str">
        <f>IFERROR(IFERROR(INDEX(Кат!$A:$A,MATCH(Прайс!$B1191,Кат!$G:$G,0)),INDEX(Торг!$B:$B,MATCH(Прайс!$B1191,Торг!$H:$H,0))),"")</f>
        <v/>
      </c>
      <c r="G1191" s="67" t="str">
        <f>IFERROR(IFERROR(INDEX(Кат!$B:$B,MATCH(Прайс!$B1191,Кат!$G:$G,0)),INDEX(Торг!$C:$C,MATCH(Прайс!$B1191,Торг!$H:$H,0))),"")</f>
        <v/>
      </c>
      <c r="H1191" s="67" t="str">
        <f>IFERROR(IFERROR(INDEX(Кат!$I:$I,MATCH(Прайс!$B1191,Кат!$G:$G,0)),INDEX(Торг!$I:$I,MATCH(Прайс!$B1191,Торг!$H:$H,0))),"")</f>
        <v/>
      </c>
    </row>
    <row r="1192" spans="1:8" x14ac:dyDescent="0.25">
      <c r="A1192" s="103" t="s">
        <v>3106</v>
      </c>
      <c r="B1192" s="104">
        <v>60126</v>
      </c>
      <c r="C1192" s="104" t="s">
        <v>776</v>
      </c>
      <c r="D1192" s="105" t="s">
        <v>582</v>
      </c>
      <c r="E1192" s="113">
        <v>950</v>
      </c>
      <c r="F1192" s="67" t="str">
        <f>IFERROR(IFERROR(INDEX(Кат!$A:$A,MATCH(Прайс!$B1192,Кат!$G:$G,0)),INDEX(Торг!$B:$B,MATCH(Прайс!$B1192,Торг!$H:$H,0))),"")</f>
        <v/>
      </c>
      <c r="G1192" s="67" t="str">
        <f>IFERROR(IFERROR(INDEX(Кат!$B:$B,MATCH(Прайс!$B1192,Кат!$G:$G,0)),INDEX(Торг!$C:$C,MATCH(Прайс!$B1192,Торг!$H:$H,0))),"")</f>
        <v/>
      </c>
      <c r="H1192" s="67" t="str">
        <f>IFERROR(IFERROR(INDEX(Кат!$I:$I,MATCH(Прайс!$B1192,Кат!$G:$G,0)),INDEX(Торг!$I:$I,MATCH(Прайс!$B1192,Торг!$H:$H,0))),"")</f>
        <v/>
      </c>
    </row>
    <row r="1193" spans="1:8" x14ac:dyDescent="0.25">
      <c r="A1193" s="103" t="s">
        <v>3107</v>
      </c>
      <c r="B1193" s="104">
        <v>60127</v>
      </c>
      <c r="C1193" s="104" t="s">
        <v>777</v>
      </c>
      <c r="D1193" s="105" t="s">
        <v>582</v>
      </c>
      <c r="E1193" s="113">
        <v>950</v>
      </c>
      <c r="F1193" s="67" t="str">
        <f>IFERROR(IFERROR(INDEX(Кат!$A:$A,MATCH(Прайс!$B1193,Кат!$G:$G,0)),INDEX(Торг!$B:$B,MATCH(Прайс!$B1193,Торг!$H:$H,0))),"")</f>
        <v/>
      </c>
      <c r="G1193" s="67" t="str">
        <f>IFERROR(IFERROR(INDEX(Кат!$B:$B,MATCH(Прайс!$B1193,Кат!$G:$G,0)),INDEX(Торг!$C:$C,MATCH(Прайс!$B1193,Торг!$H:$H,0))),"")</f>
        <v/>
      </c>
      <c r="H1193" s="67" t="str">
        <f>IFERROR(IFERROR(INDEX(Кат!$I:$I,MATCH(Прайс!$B1193,Кат!$G:$G,0)),INDEX(Торг!$I:$I,MATCH(Прайс!$B1193,Торг!$H:$H,0))),"")</f>
        <v/>
      </c>
    </row>
    <row r="1194" spans="1:8" x14ac:dyDescent="0.25">
      <c r="A1194" s="103" t="s">
        <v>3108</v>
      </c>
      <c r="B1194" s="104">
        <v>60128</v>
      </c>
      <c r="C1194" s="104" t="s">
        <v>778</v>
      </c>
      <c r="D1194" s="105" t="s">
        <v>582</v>
      </c>
      <c r="E1194" s="113">
        <v>950</v>
      </c>
      <c r="F1194" s="67" t="str">
        <f>IFERROR(IFERROR(INDEX(Кат!$A:$A,MATCH(Прайс!$B1194,Кат!$G:$G,0)),INDEX(Торг!$B:$B,MATCH(Прайс!$B1194,Торг!$H:$H,0))),"")</f>
        <v/>
      </c>
      <c r="G1194" s="67" t="str">
        <f>IFERROR(IFERROR(INDEX(Кат!$B:$B,MATCH(Прайс!$B1194,Кат!$G:$G,0)),INDEX(Торг!$C:$C,MATCH(Прайс!$B1194,Торг!$H:$H,0))),"")</f>
        <v/>
      </c>
      <c r="H1194" s="67" t="str">
        <f>IFERROR(IFERROR(INDEX(Кат!$I:$I,MATCH(Прайс!$B1194,Кат!$G:$G,0)),INDEX(Торг!$I:$I,MATCH(Прайс!$B1194,Торг!$H:$H,0))),"")</f>
        <v/>
      </c>
    </row>
    <row r="1195" spans="1:8" x14ac:dyDescent="0.25">
      <c r="A1195" s="103" t="s">
        <v>3109</v>
      </c>
      <c r="B1195" s="104">
        <v>60129</v>
      </c>
      <c r="C1195" s="104" t="s">
        <v>779</v>
      </c>
      <c r="D1195" s="105" t="s">
        <v>582</v>
      </c>
      <c r="E1195" s="113">
        <v>950</v>
      </c>
      <c r="F1195" s="67" t="str">
        <f>IFERROR(IFERROR(INDEX(Кат!$A:$A,MATCH(Прайс!$B1195,Кат!$G:$G,0)),INDEX(Торг!$B:$B,MATCH(Прайс!$B1195,Торг!$H:$H,0))),"")</f>
        <v/>
      </c>
      <c r="G1195" s="67" t="str">
        <f>IFERROR(IFERROR(INDEX(Кат!$B:$B,MATCH(Прайс!$B1195,Кат!$G:$G,0)),INDEX(Торг!$C:$C,MATCH(Прайс!$B1195,Торг!$H:$H,0))),"")</f>
        <v/>
      </c>
      <c r="H1195" s="67" t="str">
        <f>IFERROR(IFERROR(INDEX(Кат!$I:$I,MATCH(Прайс!$B1195,Кат!$G:$G,0)),INDEX(Торг!$I:$I,MATCH(Прайс!$B1195,Торг!$H:$H,0))),"")</f>
        <v/>
      </c>
    </row>
    <row r="1196" spans="1:8" ht="15.75" x14ac:dyDescent="0.25">
      <c r="A1196" s="90"/>
      <c r="B1196" s="91"/>
      <c r="C1196" s="92" t="s">
        <v>780</v>
      </c>
      <c r="D1196" s="91"/>
      <c r="E1196" s="93"/>
      <c r="F1196" s="67" t="str">
        <f>IFERROR(IFERROR(INDEX(Кат!$A:$A,MATCH(Прайс!$B1196,Кат!$G:$G,0)),INDEX(Торг!$B:$B,MATCH(Прайс!$B1196,Торг!$H:$H,0))),"")</f>
        <v/>
      </c>
      <c r="G1196" s="67" t="str">
        <f>IFERROR(IFERROR(INDEX(Кат!$B:$B,MATCH(Прайс!$B1196,Кат!$G:$G,0)),INDEX(Торг!$C:$C,MATCH(Прайс!$B1196,Торг!$H:$H,0))),"")</f>
        <v/>
      </c>
      <c r="H1196" s="67" t="str">
        <f>IFERROR(IFERROR(INDEX(Кат!$I:$I,MATCH(Прайс!$B1196,Кат!$G:$G,0)),INDEX(Торг!$I:$I,MATCH(Прайс!$B1196,Торг!$H:$H,0))),"")</f>
        <v/>
      </c>
    </row>
    <row r="1197" spans="1:8" x14ac:dyDescent="0.25">
      <c r="A1197" s="94" t="s">
        <v>3110</v>
      </c>
      <c r="B1197" s="98">
        <v>60113</v>
      </c>
      <c r="C1197" s="98" t="s">
        <v>781</v>
      </c>
      <c r="D1197" s="96" t="s">
        <v>190</v>
      </c>
      <c r="E1197" s="97">
        <v>70</v>
      </c>
      <c r="F1197" s="67" t="str">
        <f>IFERROR(IFERROR(INDEX(Кат!$A:$A,MATCH(Прайс!$B1197,Кат!$G:$G,0)),INDEX(Торг!$B:$B,MATCH(Прайс!$B1197,Торг!$H:$H,0))),"")</f>
        <v/>
      </c>
      <c r="G1197" s="67" t="str">
        <f>IFERROR(IFERROR(INDEX(Кат!$B:$B,MATCH(Прайс!$B1197,Кат!$G:$G,0)),INDEX(Торг!$C:$C,MATCH(Прайс!$B1197,Торг!$H:$H,0))),"")</f>
        <v/>
      </c>
      <c r="H1197" s="67" t="str">
        <f>IFERROR(IFERROR(INDEX(Кат!$I:$I,MATCH(Прайс!$B1197,Кат!$G:$G,0)),INDEX(Торг!$I:$I,MATCH(Прайс!$B1197,Торг!$H:$H,0))),"")</f>
        <v/>
      </c>
    </row>
    <row r="1198" spans="1:8" ht="15.75" x14ac:dyDescent="0.25">
      <c r="A1198" s="90"/>
      <c r="B1198" s="91"/>
      <c r="C1198" s="92" t="s">
        <v>782</v>
      </c>
      <c r="D1198" s="91"/>
      <c r="E1198" s="93"/>
      <c r="F1198" s="67" t="str">
        <f>IFERROR(IFERROR(INDEX(Кат!$A:$A,MATCH(Прайс!$B1198,Кат!$G:$G,0)),INDEX(Торг!$B:$B,MATCH(Прайс!$B1198,Торг!$H:$H,0))),"")</f>
        <v/>
      </c>
      <c r="G1198" s="67" t="str">
        <f>IFERROR(IFERROR(INDEX(Кат!$B:$B,MATCH(Прайс!$B1198,Кат!$G:$G,0)),INDEX(Торг!$C:$C,MATCH(Прайс!$B1198,Торг!$H:$H,0))),"")</f>
        <v/>
      </c>
      <c r="H1198" s="67" t="str">
        <f>IFERROR(IFERROR(INDEX(Кат!$I:$I,MATCH(Прайс!$B1198,Кат!$G:$G,0)),INDEX(Торг!$I:$I,MATCH(Прайс!$B1198,Торг!$H:$H,0))),"")</f>
        <v/>
      </c>
    </row>
    <row r="1199" spans="1:8" x14ac:dyDescent="0.25">
      <c r="A1199" s="94" t="s">
        <v>6711</v>
      </c>
      <c r="B1199" s="98">
        <v>60114</v>
      </c>
      <c r="C1199" s="98" t="s">
        <v>6712</v>
      </c>
      <c r="D1199" s="96" t="s">
        <v>190</v>
      </c>
      <c r="E1199" s="97">
        <v>90</v>
      </c>
      <c r="F1199" s="67" t="str">
        <f>IFERROR(IFERROR(INDEX(Кат!$A:$A,MATCH(Прайс!$B1199,Кат!$G:$G,0)),INDEX(Торг!$B:$B,MATCH(Прайс!$B1199,Торг!$H:$H,0))),"")</f>
        <v/>
      </c>
      <c r="G1199" s="67" t="str">
        <f>IFERROR(IFERROR(INDEX(Кат!$B:$B,MATCH(Прайс!$B1199,Кат!$G:$G,0)),INDEX(Торг!$C:$C,MATCH(Прайс!$B1199,Торг!$H:$H,0))),"")</f>
        <v/>
      </c>
      <c r="H1199" s="67" t="str">
        <f>IFERROR(IFERROR(INDEX(Кат!$I:$I,MATCH(Прайс!$B1199,Кат!$G:$G,0)),INDEX(Торг!$I:$I,MATCH(Прайс!$B1199,Торг!$H:$H,0))),"")</f>
        <v/>
      </c>
    </row>
    <row r="1200" spans="1:8" x14ac:dyDescent="0.25">
      <c r="A1200" s="94" t="s">
        <v>6713</v>
      </c>
      <c r="B1200" s="98">
        <v>60115</v>
      </c>
      <c r="C1200" s="98" t="s">
        <v>6714</v>
      </c>
      <c r="D1200" s="96" t="s">
        <v>190</v>
      </c>
      <c r="E1200" s="97">
        <v>110</v>
      </c>
      <c r="F1200" s="67" t="str">
        <f>IFERROR(IFERROR(INDEX(Кат!$A:$A,MATCH(Прайс!$B1200,Кат!$G:$G,0)),INDEX(Торг!$B:$B,MATCH(Прайс!$B1200,Торг!$H:$H,0))),"")</f>
        <v/>
      </c>
      <c r="G1200" s="67" t="str">
        <f>IFERROR(IFERROR(INDEX(Кат!$B:$B,MATCH(Прайс!$B1200,Кат!$G:$G,0)),INDEX(Торг!$C:$C,MATCH(Прайс!$B1200,Торг!$H:$H,0))),"")</f>
        <v/>
      </c>
      <c r="H1200" s="67" t="str">
        <f>IFERROR(IFERROR(INDEX(Кат!$I:$I,MATCH(Прайс!$B1200,Кат!$G:$G,0)),INDEX(Торг!$I:$I,MATCH(Прайс!$B1200,Торг!$H:$H,0))),"")</f>
        <v/>
      </c>
    </row>
    <row r="1201" spans="1:8" x14ac:dyDescent="0.25">
      <c r="A1201" s="94" t="s">
        <v>3111</v>
      </c>
      <c r="B1201" s="98">
        <v>60116</v>
      </c>
      <c r="C1201" s="98" t="s">
        <v>783</v>
      </c>
      <c r="D1201" s="96" t="s">
        <v>190</v>
      </c>
      <c r="E1201" s="97">
        <v>120</v>
      </c>
      <c r="F1201" s="67" t="str">
        <f>IFERROR(IFERROR(INDEX(Кат!$A:$A,MATCH(Прайс!$B1201,Кат!$G:$G,0)),INDEX(Торг!$B:$B,MATCH(Прайс!$B1201,Торг!$H:$H,0))),"")</f>
        <v/>
      </c>
      <c r="G1201" s="67" t="str">
        <f>IFERROR(IFERROR(INDEX(Кат!$B:$B,MATCH(Прайс!$B1201,Кат!$G:$G,0)),INDEX(Торг!$C:$C,MATCH(Прайс!$B1201,Торг!$H:$H,0))),"")</f>
        <v/>
      </c>
      <c r="H1201" s="67" t="str">
        <f>IFERROR(IFERROR(INDEX(Кат!$I:$I,MATCH(Прайс!$B1201,Кат!$G:$G,0)),INDEX(Торг!$I:$I,MATCH(Прайс!$B1201,Торг!$H:$H,0))),"")</f>
        <v/>
      </c>
    </row>
    <row r="1202" spans="1:8" ht="15.75" x14ac:dyDescent="0.25">
      <c r="A1202" s="90"/>
      <c r="B1202" s="91"/>
      <c r="C1202" s="92" t="s">
        <v>784</v>
      </c>
      <c r="D1202" s="91"/>
      <c r="E1202" s="93"/>
      <c r="F1202" s="67" t="str">
        <f>IFERROR(IFERROR(INDEX(Кат!$A:$A,MATCH(Прайс!$B1202,Кат!$G:$G,0)),INDEX(Торг!$B:$B,MATCH(Прайс!$B1202,Торг!$H:$H,0))),"")</f>
        <v/>
      </c>
      <c r="G1202" s="67" t="str">
        <f>IFERROR(IFERROR(INDEX(Кат!$B:$B,MATCH(Прайс!$B1202,Кат!$G:$G,0)),INDEX(Торг!$C:$C,MATCH(Прайс!$B1202,Торг!$H:$H,0))),"")</f>
        <v/>
      </c>
      <c r="H1202" s="67" t="str">
        <f>IFERROR(IFERROR(INDEX(Кат!$I:$I,MATCH(Прайс!$B1202,Кат!$G:$G,0)),INDEX(Торг!$I:$I,MATCH(Прайс!$B1202,Торг!$H:$H,0))),"")</f>
        <v/>
      </c>
    </row>
    <row r="1203" spans="1:8" x14ac:dyDescent="0.25">
      <c r="A1203" s="94" t="s">
        <v>3112</v>
      </c>
      <c r="B1203" s="98">
        <v>60118</v>
      </c>
      <c r="C1203" s="98" t="s">
        <v>785</v>
      </c>
      <c r="D1203" s="96" t="s">
        <v>190</v>
      </c>
      <c r="E1203" s="97">
        <v>400</v>
      </c>
      <c r="F1203" s="67" t="str">
        <f>IFERROR(IFERROR(INDEX(Кат!$A:$A,MATCH(Прайс!$B1203,Кат!$G:$G,0)),INDEX(Торг!$B:$B,MATCH(Прайс!$B1203,Торг!$H:$H,0))),"")</f>
        <v/>
      </c>
      <c r="G1203" s="67" t="str">
        <f>IFERROR(IFERROR(INDEX(Кат!$B:$B,MATCH(Прайс!$B1203,Кат!$G:$G,0)),INDEX(Торг!$C:$C,MATCH(Прайс!$B1203,Торг!$H:$H,0))),"")</f>
        <v/>
      </c>
      <c r="H1203" s="67" t="str">
        <f>IFERROR(IFERROR(INDEX(Кат!$I:$I,MATCH(Прайс!$B1203,Кат!$G:$G,0)),INDEX(Торг!$I:$I,MATCH(Прайс!$B1203,Торг!$H:$H,0))),"")</f>
        <v/>
      </c>
    </row>
    <row r="1204" spans="1:8" x14ac:dyDescent="0.25">
      <c r="A1204" s="94" t="s">
        <v>3113</v>
      </c>
      <c r="B1204" s="98">
        <v>60119</v>
      </c>
      <c r="C1204" s="98" t="s">
        <v>786</v>
      </c>
      <c r="D1204" s="96" t="s">
        <v>190</v>
      </c>
      <c r="E1204" s="97">
        <v>750</v>
      </c>
      <c r="F1204" s="67" t="str">
        <f>IFERROR(IFERROR(INDEX(Кат!$A:$A,MATCH(Прайс!$B1204,Кат!$G:$G,0)),INDEX(Торг!$B:$B,MATCH(Прайс!$B1204,Торг!$H:$H,0))),"")</f>
        <v/>
      </c>
      <c r="G1204" s="67" t="str">
        <f>IFERROR(IFERROR(INDEX(Кат!$B:$B,MATCH(Прайс!$B1204,Кат!$G:$G,0)),INDEX(Торг!$C:$C,MATCH(Прайс!$B1204,Торг!$H:$H,0))),"")</f>
        <v/>
      </c>
      <c r="H1204" s="67" t="str">
        <f>IFERROR(IFERROR(INDEX(Кат!$I:$I,MATCH(Прайс!$B1204,Кат!$G:$G,0)),INDEX(Торг!$I:$I,MATCH(Прайс!$B1204,Торг!$H:$H,0))),"")</f>
        <v/>
      </c>
    </row>
    <row r="1205" spans="1:8" ht="15.75" x14ac:dyDescent="0.25">
      <c r="A1205" s="87"/>
      <c r="B1205" s="88"/>
      <c r="C1205" s="88" t="s">
        <v>787</v>
      </c>
      <c r="D1205" s="88"/>
      <c r="E1205" s="89"/>
      <c r="F1205" s="67" t="str">
        <f>IFERROR(IFERROR(INDEX(Кат!$A:$A,MATCH(Прайс!$B1205,Кат!$G:$G,0)),INDEX(Торг!$B:$B,MATCH(Прайс!$B1205,Торг!$H:$H,0))),"")</f>
        <v/>
      </c>
      <c r="G1205" s="67" t="str">
        <f>IFERROR(IFERROR(INDEX(Кат!$B:$B,MATCH(Прайс!$B1205,Кат!$G:$G,0)),INDEX(Торг!$C:$C,MATCH(Прайс!$B1205,Торг!$H:$H,0))),"")</f>
        <v/>
      </c>
      <c r="H1205" s="67" t="str">
        <f>IFERROR(IFERROR(INDEX(Кат!$I:$I,MATCH(Прайс!$B1205,Кат!$G:$G,0)),INDEX(Торг!$I:$I,MATCH(Прайс!$B1205,Торг!$H:$H,0))),"")</f>
        <v/>
      </c>
    </row>
    <row r="1206" spans="1:8" ht="15.75" x14ac:dyDescent="0.25">
      <c r="A1206" s="90"/>
      <c r="B1206" s="91"/>
      <c r="C1206" s="92" t="s">
        <v>788</v>
      </c>
      <c r="D1206" s="91"/>
      <c r="E1206" s="93"/>
      <c r="F1206" s="67" t="str">
        <f>IFERROR(IFERROR(INDEX(Кат!$A:$A,MATCH(Прайс!$B1206,Кат!$G:$G,0)),INDEX(Торг!$B:$B,MATCH(Прайс!$B1206,Торг!$H:$H,0))),"")</f>
        <v/>
      </c>
      <c r="G1206" s="67" t="str">
        <f>IFERROR(IFERROR(INDEX(Кат!$B:$B,MATCH(Прайс!$B1206,Кат!$G:$G,0)),INDEX(Торг!$C:$C,MATCH(Прайс!$B1206,Торг!$H:$H,0))),"")</f>
        <v/>
      </c>
      <c r="H1206" s="67" t="str">
        <f>IFERROR(IFERROR(INDEX(Кат!$I:$I,MATCH(Прайс!$B1206,Кат!$G:$G,0)),INDEX(Торг!$I:$I,MATCH(Прайс!$B1206,Торг!$H:$H,0))),"")</f>
        <v/>
      </c>
    </row>
    <row r="1207" spans="1:8" x14ac:dyDescent="0.25">
      <c r="A1207" s="94" t="s">
        <v>8551</v>
      </c>
      <c r="B1207" s="98">
        <v>71975</v>
      </c>
      <c r="C1207" s="98" t="s">
        <v>8552</v>
      </c>
      <c r="D1207" s="96" t="s">
        <v>177</v>
      </c>
      <c r="E1207" s="97">
        <v>360</v>
      </c>
      <c r="F1207" s="67" t="str">
        <f>IFERROR(IFERROR(INDEX(Кат!$A:$A,MATCH(Прайс!$B1207,Кат!$G:$G,0)),INDEX(Торг!$B:$B,MATCH(Прайс!$B1207,Торг!$H:$H,0))),"")</f>
        <v/>
      </c>
      <c r="G1207" s="67" t="str">
        <f>IFERROR(IFERROR(INDEX(Кат!$B:$B,MATCH(Прайс!$B1207,Кат!$G:$G,0)),INDEX(Торг!$C:$C,MATCH(Прайс!$B1207,Торг!$H:$H,0))),"")</f>
        <v/>
      </c>
      <c r="H1207" s="67" t="str">
        <f>IFERROR(IFERROR(INDEX(Кат!$I:$I,MATCH(Прайс!$B1207,Кат!$G:$G,0)),INDEX(Торг!$I:$I,MATCH(Прайс!$B1207,Торг!$H:$H,0))),"")</f>
        <v/>
      </c>
    </row>
    <row r="1208" spans="1:8" x14ac:dyDescent="0.25">
      <c r="A1208" s="94" t="s">
        <v>8553</v>
      </c>
      <c r="B1208" s="98">
        <v>72150</v>
      </c>
      <c r="C1208" s="98" t="s">
        <v>8554</v>
      </c>
      <c r="D1208" s="96" t="s">
        <v>177</v>
      </c>
      <c r="E1208" s="97">
        <v>360</v>
      </c>
      <c r="F1208" s="67" t="str">
        <f>IFERROR(IFERROR(INDEX(Кат!$A:$A,MATCH(Прайс!$B1208,Кат!$G:$G,0)),INDEX(Торг!$B:$B,MATCH(Прайс!$B1208,Торг!$H:$H,0))),"")</f>
        <v/>
      </c>
      <c r="G1208" s="67" t="str">
        <f>IFERROR(IFERROR(INDEX(Кат!$B:$B,MATCH(Прайс!$B1208,Кат!$G:$G,0)),INDEX(Торг!$C:$C,MATCH(Прайс!$B1208,Торг!$H:$H,0))),"")</f>
        <v/>
      </c>
      <c r="H1208" s="67" t="str">
        <f>IFERROR(IFERROR(INDEX(Кат!$I:$I,MATCH(Прайс!$B1208,Кат!$G:$G,0)),INDEX(Торг!$I:$I,MATCH(Прайс!$B1208,Торг!$H:$H,0))),"")</f>
        <v/>
      </c>
    </row>
    <row r="1209" spans="1:8" x14ac:dyDescent="0.25">
      <c r="A1209" s="94" t="s">
        <v>3114</v>
      </c>
      <c r="B1209" s="98">
        <v>71974</v>
      </c>
      <c r="C1209" s="98" t="s">
        <v>789</v>
      </c>
      <c r="D1209" s="96" t="s">
        <v>177</v>
      </c>
      <c r="E1209" s="97">
        <v>360</v>
      </c>
      <c r="F1209" s="67" t="str">
        <f>IFERROR(IFERROR(INDEX(Кат!$A:$A,MATCH(Прайс!$B1209,Кат!$G:$G,0)),INDEX(Торг!$B:$B,MATCH(Прайс!$B1209,Торг!$H:$H,0))),"")</f>
        <v/>
      </c>
      <c r="G1209" s="67" t="str">
        <f>IFERROR(IFERROR(INDEX(Кат!$B:$B,MATCH(Прайс!$B1209,Кат!$G:$G,0)),INDEX(Торг!$C:$C,MATCH(Прайс!$B1209,Торг!$H:$H,0))),"")</f>
        <v/>
      </c>
      <c r="H1209" s="67" t="str">
        <f>IFERROR(IFERROR(INDEX(Кат!$I:$I,MATCH(Прайс!$B1209,Кат!$G:$G,0)),INDEX(Торг!$I:$I,MATCH(Прайс!$B1209,Торг!$H:$H,0))),"")</f>
        <v/>
      </c>
    </row>
    <row r="1210" spans="1:8" x14ac:dyDescent="0.25">
      <c r="A1210" s="94" t="s">
        <v>5785</v>
      </c>
      <c r="B1210" s="98">
        <v>71971</v>
      </c>
      <c r="C1210" s="98" t="s">
        <v>5786</v>
      </c>
      <c r="D1210" s="96" t="s">
        <v>177</v>
      </c>
      <c r="E1210" s="97">
        <v>360</v>
      </c>
      <c r="F1210" s="67" t="str">
        <f>IFERROR(IFERROR(INDEX(Кат!$A:$A,MATCH(Прайс!$B1210,Кат!$G:$G,0)),INDEX(Торг!$B:$B,MATCH(Прайс!$B1210,Торг!$H:$H,0))),"")</f>
        <v/>
      </c>
      <c r="G1210" s="67" t="str">
        <f>IFERROR(IFERROR(INDEX(Кат!$B:$B,MATCH(Прайс!$B1210,Кат!$G:$G,0)),INDEX(Торг!$C:$C,MATCH(Прайс!$B1210,Торг!$H:$H,0))),"")</f>
        <v/>
      </c>
      <c r="H1210" s="67" t="str">
        <f>IFERROR(IFERROR(INDEX(Кат!$I:$I,MATCH(Прайс!$B1210,Кат!$G:$G,0)),INDEX(Торг!$I:$I,MATCH(Прайс!$B1210,Торг!$H:$H,0))),"")</f>
        <v/>
      </c>
    </row>
    <row r="1211" spans="1:8" x14ac:dyDescent="0.25">
      <c r="A1211" s="94" t="s">
        <v>5067</v>
      </c>
      <c r="B1211" s="98">
        <v>71977</v>
      </c>
      <c r="C1211" s="98" t="s">
        <v>5068</v>
      </c>
      <c r="D1211" s="96" t="s">
        <v>177</v>
      </c>
      <c r="E1211" s="97">
        <v>360</v>
      </c>
      <c r="F1211" s="67" t="str">
        <f>IFERROR(IFERROR(INDEX(Кат!$A:$A,MATCH(Прайс!$B1211,Кат!$G:$G,0)),INDEX(Торг!$B:$B,MATCH(Прайс!$B1211,Торг!$H:$H,0))),"")</f>
        <v/>
      </c>
      <c r="G1211" s="67" t="str">
        <f>IFERROR(IFERROR(INDEX(Кат!$B:$B,MATCH(Прайс!$B1211,Кат!$G:$G,0)),INDEX(Торг!$C:$C,MATCH(Прайс!$B1211,Торг!$H:$H,0))),"")</f>
        <v/>
      </c>
      <c r="H1211" s="67" t="str">
        <f>IFERROR(IFERROR(INDEX(Кат!$I:$I,MATCH(Прайс!$B1211,Кат!$G:$G,0)),INDEX(Торг!$I:$I,MATCH(Прайс!$B1211,Торг!$H:$H,0))),"")</f>
        <v/>
      </c>
    </row>
    <row r="1212" spans="1:8" x14ac:dyDescent="0.25">
      <c r="A1212" s="94" t="s">
        <v>5787</v>
      </c>
      <c r="B1212" s="98">
        <v>71976</v>
      </c>
      <c r="C1212" s="98" t="s">
        <v>5788</v>
      </c>
      <c r="D1212" s="96" t="s">
        <v>177</v>
      </c>
      <c r="E1212" s="97">
        <v>360</v>
      </c>
      <c r="F1212" s="67" t="str">
        <f>IFERROR(IFERROR(INDEX(Кат!$A:$A,MATCH(Прайс!$B1212,Кат!$G:$G,0)),INDEX(Торг!$B:$B,MATCH(Прайс!$B1212,Торг!$H:$H,0))),"")</f>
        <v/>
      </c>
      <c r="G1212" s="67" t="str">
        <f>IFERROR(IFERROR(INDEX(Кат!$B:$B,MATCH(Прайс!$B1212,Кат!$G:$G,0)),INDEX(Торг!$C:$C,MATCH(Прайс!$B1212,Торг!$H:$H,0))),"")</f>
        <v/>
      </c>
      <c r="H1212" s="67" t="str">
        <f>IFERROR(IFERROR(INDEX(Кат!$I:$I,MATCH(Прайс!$B1212,Кат!$G:$G,0)),INDEX(Торг!$I:$I,MATCH(Прайс!$B1212,Торг!$H:$H,0))),"")</f>
        <v/>
      </c>
    </row>
    <row r="1213" spans="1:8" x14ac:dyDescent="0.25">
      <c r="A1213" s="94" t="s">
        <v>3115</v>
      </c>
      <c r="B1213" s="98">
        <v>71970</v>
      </c>
      <c r="C1213" s="98" t="s">
        <v>790</v>
      </c>
      <c r="D1213" s="96" t="s">
        <v>177</v>
      </c>
      <c r="E1213" s="97">
        <v>360</v>
      </c>
      <c r="F1213" s="67" t="str">
        <f>IFERROR(IFERROR(INDEX(Кат!$A:$A,MATCH(Прайс!$B1213,Кат!$G:$G,0)),INDEX(Торг!$B:$B,MATCH(Прайс!$B1213,Торг!$H:$H,0))),"")</f>
        <v/>
      </c>
      <c r="G1213" s="67" t="str">
        <f>IFERROR(IFERROR(INDEX(Кат!$B:$B,MATCH(Прайс!$B1213,Кат!$G:$G,0)),INDEX(Торг!$C:$C,MATCH(Прайс!$B1213,Торг!$H:$H,0))),"")</f>
        <v/>
      </c>
      <c r="H1213" s="67" t="str">
        <f>IFERROR(IFERROR(INDEX(Кат!$I:$I,MATCH(Прайс!$B1213,Кат!$G:$G,0)),INDEX(Торг!$I:$I,MATCH(Прайс!$B1213,Торг!$H:$H,0))),"")</f>
        <v/>
      </c>
    </row>
    <row r="1214" spans="1:8" x14ac:dyDescent="0.25">
      <c r="A1214" s="94" t="s">
        <v>4882</v>
      </c>
      <c r="B1214" s="98">
        <v>71972</v>
      </c>
      <c r="C1214" s="98" t="s">
        <v>4883</v>
      </c>
      <c r="D1214" s="96" t="s">
        <v>177</v>
      </c>
      <c r="E1214" s="97">
        <v>360</v>
      </c>
      <c r="F1214" s="67" t="str">
        <f>IFERROR(IFERROR(INDEX(Кат!$A:$A,MATCH(Прайс!$B1214,Кат!$G:$G,0)),INDEX(Торг!$B:$B,MATCH(Прайс!$B1214,Торг!$H:$H,0))),"")</f>
        <v/>
      </c>
      <c r="G1214" s="67" t="str">
        <f>IFERROR(IFERROR(INDEX(Кат!$B:$B,MATCH(Прайс!$B1214,Кат!$G:$G,0)),INDEX(Торг!$C:$C,MATCH(Прайс!$B1214,Торг!$H:$H,0))),"")</f>
        <v/>
      </c>
      <c r="H1214" s="67" t="str">
        <f>IFERROR(IFERROR(INDEX(Кат!$I:$I,MATCH(Прайс!$B1214,Кат!$G:$G,0)),INDEX(Торг!$I:$I,MATCH(Прайс!$B1214,Торг!$H:$H,0))),"")</f>
        <v/>
      </c>
    </row>
    <row r="1215" spans="1:8" x14ac:dyDescent="0.25">
      <c r="A1215" s="94" t="s">
        <v>5069</v>
      </c>
      <c r="B1215" s="98">
        <v>72149</v>
      </c>
      <c r="C1215" s="98" t="s">
        <v>5070</v>
      </c>
      <c r="D1215" s="96" t="s">
        <v>177</v>
      </c>
      <c r="E1215" s="97">
        <v>360</v>
      </c>
      <c r="F1215" s="67" t="str">
        <f>IFERROR(IFERROR(INDEX(Кат!$A:$A,MATCH(Прайс!$B1215,Кат!$G:$G,0)),INDEX(Торг!$B:$B,MATCH(Прайс!$B1215,Торг!$H:$H,0))),"")</f>
        <v/>
      </c>
      <c r="G1215" s="67" t="str">
        <f>IFERROR(IFERROR(INDEX(Кат!$B:$B,MATCH(Прайс!$B1215,Кат!$G:$G,0)),INDEX(Торг!$C:$C,MATCH(Прайс!$B1215,Торг!$H:$H,0))),"")</f>
        <v/>
      </c>
      <c r="H1215" s="67" t="str">
        <f>IFERROR(IFERROR(INDEX(Кат!$I:$I,MATCH(Прайс!$B1215,Кат!$G:$G,0)),INDEX(Торг!$I:$I,MATCH(Прайс!$B1215,Торг!$H:$H,0))),"")</f>
        <v/>
      </c>
    </row>
    <row r="1216" spans="1:8" x14ac:dyDescent="0.25">
      <c r="A1216" s="94" t="s">
        <v>4884</v>
      </c>
      <c r="B1216" s="98">
        <v>71973</v>
      </c>
      <c r="C1216" s="98" t="s">
        <v>4885</v>
      </c>
      <c r="D1216" s="96" t="s">
        <v>177</v>
      </c>
      <c r="E1216" s="97">
        <v>360</v>
      </c>
      <c r="F1216" s="67" t="str">
        <f>IFERROR(IFERROR(INDEX(Кат!$A:$A,MATCH(Прайс!$B1216,Кат!$G:$G,0)),INDEX(Торг!$B:$B,MATCH(Прайс!$B1216,Торг!$H:$H,0))),"")</f>
        <v/>
      </c>
      <c r="G1216" s="67" t="str">
        <f>IFERROR(IFERROR(INDEX(Кат!$B:$B,MATCH(Прайс!$B1216,Кат!$G:$G,0)),INDEX(Торг!$C:$C,MATCH(Прайс!$B1216,Торг!$H:$H,0))),"")</f>
        <v/>
      </c>
      <c r="H1216" s="67" t="str">
        <f>IFERROR(IFERROR(INDEX(Кат!$I:$I,MATCH(Прайс!$B1216,Кат!$G:$G,0)),INDEX(Торг!$I:$I,MATCH(Прайс!$B1216,Торг!$H:$H,0))),"")</f>
        <v/>
      </c>
    </row>
    <row r="1217" spans="1:8" x14ac:dyDescent="0.25">
      <c r="A1217" s="94" t="s">
        <v>6715</v>
      </c>
      <c r="B1217" s="98">
        <v>72623</v>
      </c>
      <c r="C1217" s="98" t="s">
        <v>6716</v>
      </c>
      <c r="D1217" s="96" t="s">
        <v>177</v>
      </c>
      <c r="E1217" s="97">
        <v>360</v>
      </c>
      <c r="F1217" s="67" t="str">
        <f>IFERROR(IFERROR(INDEX(Кат!$A:$A,MATCH(Прайс!$B1217,Кат!$G:$G,0)),INDEX(Торг!$B:$B,MATCH(Прайс!$B1217,Торг!$H:$H,0))),"")</f>
        <v/>
      </c>
      <c r="G1217" s="67" t="str">
        <f>IFERROR(IFERROR(INDEX(Кат!$B:$B,MATCH(Прайс!$B1217,Кат!$G:$G,0)),INDEX(Торг!$C:$C,MATCH(Прайс!$B1217,Торг!$H:$H,0))),"")</f>
        <v/>
      </c>
      <c r="H1217" s="67" t="str">
        <f>IFERROR(IFERROR(INDEX(Кат!$I:$I,MATCH(Прайс!$B1217,Кат!$G:$G,0)),INDEX(Торг!$I:$I,MATCH(Прайс!$B1217,Торг!$H:$H,0))),"")</f>
        <v/>
      </c>
    </row>
    <row r="1218" spans="1:8" x14ac:dyDescent="0.25">
      <c r="A1218" s="103" t="s">
        <v>6717</v>
      </c>
      <c r="B1218" s="104">
        <v>72637</v>
      </c>
      <c r="C1218" s="104" t="s">
        <v>6718</v>
      </c>
      <c r="D1218" s="105" t="s">
        <v>582</v>
      </c>
      <c r="E1218" s="113">
        <v>430</v>
      </c>
      <c r="F1218" s="67" t="str">
        <f>IFERROR(IFERROR(INDEX(Кат!$A:$A,MATCH(Прайс!$B1218,Кат!$G:$G,0)),INDEX(Торг!$B:$B,MATCH(Прайс!$B1218,Торг!$H:$H,0))),"")</f>
        <v/>
      </c>
      <c r="G1218" s="67" t="str">
        <f>IFERROR(IFERROR(INDEX(Кат!$B:$B,MATCH(Прайс!$B1218,Кат!$G:$G,0)),INDEX(Торг!$C:$C,MATCH(Прайс!$B1218,Торг!$H:$H,0))),"")</f>
        <v/>
      </c>
      <c r="H1218" s="67" t="str">
        <f>IFERROR(IFERROR(INDEX(Кат!$I:$I,MATCH(Прайс!$B1218,Кат!$G:$G,0)),INDEX(Торг!$I:$I,MATCH(Прайс!$B1218,Торг!$H:$H,0))),"")</f>
        <v/>
      </c>
    </row>
    <row r="1219" spans="1:8" x14ac:dyDescent="0.25">
      <c r="A1219" s="103" t="s">
        <v>6719</v>
      </c>
      <c r="B1219" s="104">
        <v>72649</v>
      </c>
      <c r="C1219" s="104" t="s">
        <v>6720</v>
      </c>
      <c r="D1219" s="105" t="s">
        <v>582</v>
      </c>
      <c r="E1219" s="113">
        <v>430</v>
      </c>
      <c r="F1219" s="67" t="str">
        <f>IFERROR(IFERROR(INDEX(Кат!$A:$A,MATCH(Прайс!$B1219,Кат!$G:$G,0)),INDEX(Торг!$B:$B,MATCH(Прайс!$B1219,Торг!$H:$H,0))),"")</f>
        <v/>
      </c>
      <c r="G1219" s="67" t="str">
        <f>IFERROR(IFERROR(INDEX(Кат!$B:$B,MATCH(Прайс!$B1219,Кат!$G:$G,0)),INDEX(Торг!$C:$C,MATCH(Прайс!$B1219,Торг!$H:$H,0))),"")</f>
        <v/>
      </c>
      <c r="H1219" s="67" t="str">
        <f>IFERROR(IFERROR(INDEX(Кат!$I:$I,MATCH(Прайс!$B1219,Кат!$G:$G,0)),INDEX(Торг!$I:$I,MATCH(Прайс!$B1219,Торг!$H:$H,0))),"")</f>
        <v/>
      </c>
    </row>
    <row r="1220" spans="1:8" x14ac:dyDescent="0.25">
      <c r="A1220" s="103" t="s">
        <v>6721</v>
      </c>
      <c r="B1220" s="104">
        <v>72647</v>
      </c>
      <c r="C1220" s="104" t="s">
        <v>6722</v>
      </c>
      <c r="D1220" s="105" t="s">
        <v>582</v>
      </c>
      <c r="E1220" s="113">
        <v>430</v>
      </c>
      <c r="F1220" s="67" t="str">
        <f>IFERROR(IFERROR(INDEX(Кат!$A:$A,MATCH(Прайс!$B1220,Кат!$G:$G,0)),INDEX(Торг!$B:$B,MATCH(Прайс!$B1220,Торг!$H:$H,0))),"")</f>
        <v/>
      </c>
      <c r="G1220" s="67" t="str">
        <f>IFERROR(IFERROR(INDEX(Кат!$B:$B,MATCH(Прайс!$B1220,Кат!$G:$G,0)),INDEX(Торг!$C:$C,MATCH(Прайс!$B1220,Торг!$H:$H,0))),"")</f>
        <v/>
      </c>
      <c r="H1220" s="67" t="str">
        <f>IFERROR(IFERROR(INDEX(Кат!$I:$I,MATCH(Прайс!$B1220,Кат!$G:$G,0)),INDEX(Торг!$I:$I,MATCH(Прайс!$B1220,Торг!$H:$H,0))),"")</f>
        <v/>
      </c>
    </row>
    <row r="1221" spans="1:8" x14ac:dyDescent="0.25">
      <c r="A1221" s="103" t="s">
        <v>6723</v>
      </c>
      <c r="B1221" s="104">
        <v>72648</v>
      </c>
      <c r="C1221" s="104" t="s">
        <v>6724</v>
      </c>
      <c r="D1221" s="105" t="s">
        <v>582</v>
      </c>
      <c r="E1221" s="113">
        <v>430</v>
      </c>
      <c r="F1221" s="67" t="str">
        <f>IFERROR(IFERROR(INDEX(Кат!$A:$A,MATCH(Прайс!$B1221,Кат!$G:$G,0)),INDEX(Торг!$B:$B,MATCH(Прайс!$B1221,Торг!$H:$H,0))),"")</f>
        <v/>
      </c>
      <c r="G1221" s="67" t="str">
        <f>IFERROR(IFERROR(INDEX(Кат!$B:$B,MATCH(Прайс!$B1221,Кат!$G:$G,0)),INDEX(Торг!$C:$C,MATCH(Прайс!$B1221,Торг!$H:$H,0))),"")</f>
        <v/>
      </c>
      <c r="H1221" s="67" t="str">
        <f>IFERROR(IFERROR(INDEX(Кат!$I:$I,MATCH(Прайс!$B1221,Кат!$G:$G,0)),INDEX(Торг!$I:$I,MATCH(Прайс!$B1221,Торг!$H:$H,0))),"")</f>
        <v/>
      </c>
    </row>
    <row r="1222" spans="1:8" x14ac:dyDescent="0.25">
      <c r="A1222" s="103" t="s">
        <v>6725</v>
      </c>
      <c r="B1222" s="104">
        <v>72633</v>
      </c>
      <c r="C1222" s="104" t="s">
        <v>6726</v>
      </c>
      <c r="D1222" s="105" t="s">
        <v>582</v>
      </c>
      <c r="E1222" s="113">
        <v>430</v>
      </c>
      <c r="F1222" s="67" t="str">
        <f>IFERROR(IFERROR(INDEX(Кат!$A:$A,MATCH(Прайс!$B1222,Кат!$G:$G,0)),INDEX(Торг!$B:$B,MATCH(Прайс!$B1222,Торг!$H:$H,0))),"")</f>
        <v/>
      </c>
      <c r="G1222" s="67" t="str">
        <f>IFERROR(IFERROR(INDEX(Кат!$B:$B,MATCH(Прайс!$B1222,Кат!$G:$G,0)),INDEX(Торг!$C:$C,MATCH(Прайс!$B1222,Торг!$H:$H,0))),"")</f>
        <v/>
      </c>
      <c r="H1222" s="67" t="str">
        <f>IFERROR(IFERROR(INDEX(Кат!$I:$I,MATCH(Прайс!$B1222,Кат!$G:$G,0)),INDEX(Торг!$I:$I,MATCH(Прайс!$B1222,Торг!$H:$H,0))),"")</f>
        <v/>
      </c>
    </row>
    <row r="1223" spans="1:8" x14ac:dyDescent="0.25">
      <c r="A1223" s="103" t="s">
        <v>6727</v>
      </c>
      <c r="B1223" s="104">
        <v>72643</v>
      </c>
      <c r="C1223" s="104" t="s">
        <v>6728</v>
      </c>
      <c r="D1223" s="105" t="s">
        <v>582</v>
      </c>
      <c r="E1223" s="113">
        <v>430</v>
      </c>
      <c r="F1223" s="67" t="str">
        <f>IFERROR(IFERROR(INDEX(Кат!$A:$A,MATCH(Прайс!$B1223,Кат!$G:$G,0)),INDEX(Торг!$B:$B,MATCH(Прайс!$B1223,Торг!$H:$H,0))),"")</f>
        <v/>
      </c>
      <c r="G1223" s="67" t="str">
        <f>IFERROR(IFERROR(INDEX(Кат!$B:$B,MATCH(Прайс!$B1223,Кат!$G:$G,0)),INDEX(Торг!$C:$C,MATCH(Прайс!$B1223,Торг!$H:$H,0))),"")</f>
        <v/>
      </c>
      <c r="H1223" s="67" t="str">
        <f>IFERROR(IFERROR(INDEX(Кат!$I:$I,MATCH(Прайс!$B1223,Кат!$G:$G,0)),INDEX(Торг!$I:$I,MATCH(Прайс!$B1223,Торг!$H:$H,0))),"")</f>
        <v/>
      </c>
    </row>
    <row r="1224" spans="1:8" x14ac:dyDescent="0.25">
      <c r="A1224" s="103" t="s">
        <v>6729</v>
      </c>
      <c r="B1224" s="104">
        <v>72631</v>
      </c>
      <c r="C1224" s="104" t="s">
        <v>6730</v>
      </c>
      <c r="D1224" s="105" t="s">
        <v>582</v>
      </c>
      <c r="E1224" s="113">
        <v>430</v>
      </c>
      <c r="F1224" s="67" t="str">
        <f>IFERROR(IFERROR(INDEX(Кат!$A:$A,MATCH(Прайс!$B1224,Кат!$G:$G,0)),INDEX(Торг!$B:$B,MATCH(Прайс!$B1224,Торг!$H:$H,0))),"")</f>
        <v/>
      </c>
      <c r="G1224" s="67" t="str">
        <f>IFERROR(IFERROR(INDEX(Кат!$B:$B,MATCH(Прайс!$B1224,Кат!$G:$G,0)),INDEX(Торг!$C:$C,MATCH(Прайс!$B1224,Торг!$H:$H,0))),"")</f>
        <v/>
      </c>
      <c r="H1224" s="67" t="str">
        <f>IFERROR(IFERROR(INDEX(Кат!$I:$I,MATCH(Прайс!$B1224,Кат!$G:$G,0)),INDEX(Торг!$I:$I,MATCH(Прайс!$B1224,Торг!$H:$H,0))),"")</f>
        <v/>
      </c>
    </row>
    <row r="1225" spans="1:8" x14ac:dyDescent="0.25">
      <c r="A1225" s="103" t="s">
        <v>6731</v>
      </c>
      <c r="B1225" s="104">
        <v>72644</v>
      </c>
      <c r="C1225" s="104" t="s">
        <v>6732</v>
      </c>
      <c r="D1225" s="105" t="s">
        <v>582</v>
      </c>
      <c r="E1225" s="113">
        <v>430</v>
      </c>
      <c r="F1225" s="67" t="str">
        <f>IFERROR(IFERROR(INDEX(Кат!$A:$A,MATCH(Прайс!$B1225,Кат!$G:$G,0)),INDEX(Торг!$B:$B,MATCH(Прайс!$B1225,Торг!$H:$H,0))),"")</f>
        <v/>
      </c>
      <c r="G1225" s="67" t="str">
        <f>IFERROR(IFERROR(INDEX(Кат!$B:$B,MATCH(Прайс!$B1225,Кат!$G:$G,0)),INDEX(Торг!$C:$C,MATCH(Прайс!$B1225,Торг!$H:$H,0))),"")</f>
        <v/>
      </c>
      <c r="H1225" s="67" t="str">
        <f>IFERROR(IFERROR(INDEX(Кат!$I:$I,MATCH(Прайс!$B1225,Кат!$G:$G,0)),INDEX(Торг!$I:$I,MATCH(Прайс!$B1225,Торг!$H:$H,0))),"")</f>
        <v/>
      </c>
    </row>
    <row r="1226" spans="1:8" x14ac:dyDescent="0.25">
      <c r="A1226" s="103" t="s">
        <v>6733</v>
      </c>
      <c r="B1226" s="104">
        <v>72636</v>
      </c>
      <c r="C1226" s="104" t="s">
        <v>6734</v>
      </c>
      <c r="D1226" s="105" t="s">
        <v>582</v>
      </c>
      <c r="E1226" s="113">
        <v>430</v>
      </c>
      <c r="F1226" s="67" t="str">
        <f>IFERROR(IFERROR(INDEX(Кат!$A:$A,MATCH(Прайс!$B1226,Кат!$G:$G,0)),INDEX(Торг!$B:$B,MATCH(Прайс!$B1226,Торг!$H:$H,0))),"")</f>
        <v/>
      </c>
      <c r="G1226" s="67" t="str">
        <f>IFERROR(IFERROR(INDEX(Кат!$B:$B,MATCH(Прайс!$B1226,Кат!$G:$G,0)),INDEX(Торг!$C:$C,MATCH(Прайс!$B1226,Торг!$H:$H,0))),"")</f>
        <v/>
      </c>
      <c r="H1226" s="67" t="str">
        <f>IFERROR(IFERROR(INDEX(Кат!$I:$I,MATCH(Прайс!$B1226,Кат!$G:$G,0)),INDEX(Торг!$I:$I,MATCH(Прайс!$B1226,Торг!$H:$H,0))),"")</f>
        <v/>
      </c>
    </row>
    <row r="1227" spans="1:8" x14ac:dyDescent="0.25">
      <c r="A1227" s="103" t="s">
        <v>6735</v>
      </c>
      <c r="B1227" s="104">
        <v>72639</v>
      </c>
      <c r="C1227" s="104" t="s">
        <v>6736</v>
      </c>
      <c r="D1227" s="105" t="s">
        <v>582</v>
      </c>
      <c r="E1227" s="113">
        <v>430</v>
      </c>
      <c r="F1227" s="67" t="str">
        <f>IFERROR(IFERROR(INDEX(Кат!$A:$A,MATCH(Прайс!$B1227,Кат!$G:$G,0)),INDEX(Торг!$B:$B,MATCH(Прайс!$B1227,Торг!$H:$H,0))),"")</f>
        <v/>
      </c>
      <c r="G1227" s="67" t="str">
        <f>IFERROR(IFERROR(INDEX(Кат!$B:$B,MATCH(Прайс!$B1227,Кат!$G:$G,0)),INDEX(Торг!$C:$C,MATCH(Прайс!$B1227,Торг!$H:$H,0))),"")</f>
        <v/>
      </c>
      <c r="H1227" s="67" t="str">
        <f>IFERROR(IFERROR(INDEX(Кат!$I:$I,MATCH(Прайс!$B1227,Кат!$G:$G,0)),INDEX(Торг!$I:$I,MATCH(Прайс!$B1227,Торг!$H:$H,0))),"")</f>
        <v/>
      </c>
    </row>
    <row r="1228" spans="1:8" x14ac:dyDescent="0.25">
      <c r="A1228" s="103" t="s">
        <v>6737</v>
      </c>
      <c r="B1228" s="104">
        <v>72642</v>
      </c>
      <c r="C1228" s="104" t="s">
        <v>6738</v>
      </c>
      <c r="D1228" s="105" t="s">
        <v>582</v>
      </c>
      <c r="E1228" s="113">
        <v>430</v>
      </c>
      <c r="F1228" s="67" t="str">
        <f>IFERROR(IFERROR(INDEX(Кат!$A:$A,MATCH(Прайс!$B1228,Кат!$G:$G,0)),INDEX(Торг!$B:$B,MATCH(Прайс!$B1228,Торг!$H:$H,0))),"")</f>
        <v/>
      </c>
      <c r="G1228" s="67" t="str">
        <f>IFERROR(IFERROR(INDEX(Кат!$B:$B,MATCH(Прайс!$B1228,Кат!$G:$G,0)),INDEX(Торг!$C:$C,MATCH(Прайс!$B1228,Торг!$H:$H,0))),"")</f>
        <v/>
      </c>
      <c r="H1228" s="67" t="str">
        <f>IFERROR(IFERROR(INDEX(Кат!$I:$I,MATCH(Прайс!$B1228,Кат!$G:$G,0)),INDEX(Торг!$I:$I,MATCH(Прайс!$B1228,Торг!$H:$H,0))),"")</f>
        <v/>
      </c>
    </row>
    <row r="1229" spans="1:8" x14ac:dyDescent="0.25">
      <c r="A1229" s="103" t="s">
        <v>6739</v>
      </c>
      <c r="B1229" s="104">
        <v>72635</v>
      </c>
      <c r="C1229" s="104" t="s">
        <v>6740</v>
      </c>
      <c r="D1229" s="105" t="s">
        <v>582</v>
      </c>
      <c r="E1229" s="113">
        <v>430</v>
      </c>
      <c r="F1229" s="67" t="str">
        <f>IFERROR(IFERROR(INDEX(Кат!$A:$A,MATCH(Прайс!$B1229,Кат!$G:$G,0)),INDEX(Торг!$B:$B,MATCH(Прайс!$B1229,Торг!$H:$H,0))),"")</f>
        <v/>
      </c>
      <c r="G1229" s="67" t="str">
        <f>IFERROR(IFERROR(INDEX(Кат!$B:$B,MATCH(Прайс!$B1229,Кат!$G:$G,0)),INDEX(Торг!$C:$C,MATCH(Прайс!$B1229,Торг!$H:$H,0))),"")</f>
        <v/>
      </c>
      <c r="H1229" s="67" t="str">
        <f>IFERROR(IFERROR(INDEX(Кат!$I:$I,MATCH(Прайс!$B1229,Кат!$G:$G,0)),INDEX(Торг!$I:$I,MATCH(Прайс!$B1229,Торг!$H:$H,0))),"")</f>
        <v/>
      </c>
    </row>
    <row r="1230" spans="1:8" x14ac:dyDescent="0.25">
      <c r="A1230" s="103" t="s">
        <v>6741</v>
      </c>
      <c r="B1230" s="104">
        <v>72632</v>
      </c>
      <c r="C1230" s="104" t="s">
        <v>6742</v>
      </c>
      <c r="D1230" s="105" t="s">
        <v>582</v>
      </c>
      <c r="E1230" s="113">
        <v>430</v>
      </c>
      <c r="F1230" s="67" t="str">
        <f>IFERROR(IFERROR(INDEX(Кат!$A:$A,MATCH(Прайс!$B1230,Кат!$G:$G,0)),INDEX(Торг!$B:$B,MATCH(Прайс!$B1230,Торг!$H:$H,0))),"")</f>
        <v/>
      </c>
      <c r="G1230" s="67" t="str">
        <f>IFERROR(IFERROR(INDEX(Кат!$B:$B,MATCH(Прайс!$B1230,Кат!$G:$G,0)),INDEX(Торг!$C:$C,MATCH(Прайс!$B1230,Торг!$H:$H,0))),"")</f>
        <v/>
      </c>
      <c r="H1230" s="67" t="str">
        <f>IFERROR(IFERROR(INDEX(Кат!$I:$I,MATCH(Прайс!$B1230,Кат!$G:$G,0)),INDEX(Торг!$I:$I,MATCH(Прайс!$B1230,Торг!$H:$H,0))),"")</f>
        <v/>
      </c>
    </row>
    <row r="1231" spans="1:8" x14ac:dyDescent="0.25">
      <c r="A1231" s="103" t="s">
        <v>6743</v>
      </c>
      <c r="B1231" s="104">
        <v>72634</v>
      </c>
      <c r="C1231" s="104" t="s">
        <v>6744</v>
      </c>
      <c r="D1231" s="105" t="s">
        <v>582</v>
      </c>
      <c r="E1231" s="113">
        <v>430</v>
      </c>
      <c r="F1231" s="67" t="str">
        <f>IFERROR(IFERROR(INDEX(Кат!$A:$A,MATCH(Прайс!$B1231,Кат!$G:$G,0)),INDEX(Торг!$B:$B,MATCH(Прайс!$B1231,Торг!$H:$H,0))),"")</f>
        <v/>
      </c>
      <c r="G1231" s="67" t="str">
        <f>IFERROR(IFERROR(INDEX(Кат!$B:$B,MATCH(Прайс!$B1231,Кат!$G:$G,0)),INDEX(Торг!$C:$C,MATCH(Прайс!$B1231,Торг!$H:$H,0))),"")</f>
        <v/>
      </c>
      <c r="H1231" s="67" t="str">
        <f>IFERROR(IFERROR(INDEX(Кат!$I:$I,MATCH(Прайс!$B1231,Кат!$G:$G,0)),INDEX(Торг!$I:$I,MATCH(Прайс!$B1231,Торг!$H:$H,0))),"")</f>
        <v/>
      </c>
    </row>
    <row r="1232" spans="1:8" x14ac:dyDescent="0.25">
      <c r="A1232" s="103" t="s">
        <v>6745</v>
      </c>
      <c r="B1232" s="104">
        <v>72641</v>
      </c>
      <c r="C1232" s="104" t="s">
        <v>6746</v>
      </c>
      <c r="D1232" s="105" t="s">
        <v>582</v>
      </c>
      <c r="E1232" s="113">
        <v>430</v>
      </c>
      <c r="F1232" s="67" t="str">
        <f>IFERROR(IFERROR(INDEX(Кат!$A:$A,MATCH(Прайс!$B1232,Кат!$G:$G,0)),INDEX(Торг!$B:$B,MATCH(Прайс!$B1232,Торг!$H:$H,0))),"")</f>
        <v/>
      </c>
      <c r="G1232" s="67" t="str">
        <f>IFERROR(IFERROR(INDEX(Кат!$B:$B,MATCH(Прайс!$B1232,Кат!$G:$G,0)),INDEX(Торг!$C:$C,MATCH(Прайс!$B1232,Торг!$H:$H,0))),"")</f>
        <v/>
      </c>
      <c r="H1232" s="67" t="str">
        <f>IFERROR(IFERROR(INDEX(Кат!$I:$I,MATCH(Прайс!$B1232,Кат!$G:$G,0)),INDEX(Торг!$I:$I,MATCH(Прайс!$B1232,Торг!$H:$H,0))),"")</f>
        <v/>
      </c>
    </row>
    <row r="1233" spans="1:8" x14ac:dyDescent="0.25">
      <c r="A1233" s="103" t="s">
        <v>6747</v>
      </c>
      <c r="B1233" s="104">
        <v>72640</v>
      </c>
      <c r="C1233" s="104" t="s">
        <v>6748</v>
      </c>
      <c r="D1233" s="105" t="s">
        <v>582</v>
      </c>
      <c r="E1233" s="113">
        <v>430</v>
      </c>
      <c r="F1233" s="67" t="str">
        <f>IFERROR(IFERROR(INDEX(Кат!$A:$A,MATCH(Прайс!$B1233,Кат!$G:$G,0)),INDEX(Торг!$B:$B,MATCH(Прайс!$B1233,Торг!$H:$H,0))),"")</f>
        <v/>
      </c>
      <c r="G1233" s="67" t="str">
        <f>IFERROR(IFERROR(INDEX(Кат!$B:$B,MATCH(Прайс!$B1233,Кат!$G:$G,0)),INDEX(Торг!$C:$C,MATCH(Прайс!$B1233,Торг!$H:$H,0))),"")</f>
        <v/>
      </c>
      <c r="H1233" s="67" t="str">
        <f>IFERROR(IFERROR(INDEX(Кат!$I:$I,MATCH(Прайс!$B1233,Кат!$G:$G,0)),INDEX(Торг!$I:$I,MATCH(Прайс!$B1233,Торг!$H:$H,0))),"")</f>
        <v/>
      </c>
    </row>
    <row r="1234" spans="1:8" x14ac:dyDescent="0.25">
      <c r="A1234" s="103" t="s">
        <v>6749</v>
      </c>
      <c r="B1234" s="104">
        <v>72638</v>
      </c>
      <c r="C1234" s="104" t="s">
        <v>6750</v>
      </c>
      <c r="D1234" s="105" t="s">
        <v>582</v>
      </c>
      <c r="E1234" s="113">
        <v>430</v>
      </c>
      <c r="F1234" s="67" t="str">
        <f>IFERROR(IFERROR(INDEX(Кат!$A:$A,MATCH(Прайс!$B1234,Кат!$G:$G,0)),INDEX(Торг!$B:$B,MATCH(Прайс!$B1234,Торг!$H:$H,0))),"")</f>
        <v/>
      </c>
      <c r="G1234" s="67" t="str">
        <f>IFERROR(IFERROR(INDEX(Кат!$B:$B,MATCH(Прайс!$B1234,Кат!$G:$G,0)),INDEX(Торг!$C:$C,MATCH(Прайс!$B1234,Торг!$H:$H,0))),"")</f>
        <v/>
      </c>
      <c r="H1234" s="67" t="str">
        <f>IFERROR(IFERROR(INDEX(Кат!$I:$I,MATCH(Прайс!$B1234,Кат!$G:$G,0)),INDEX(Торг!$I:$I,MATCH(Прайс!$B1234,Торг!$H:$H,0))),"")</f>
        <v/>
      </c>
    </row>
    <row r="1235" spans="1:8" x14ac:dyDescent="0.25">
      <c r="A1235" s="103" t="s">
        <v>6751</v>
      </c>
      <c r="B1235" s="104">
        <v>72646</v>
      </c>
      <c r="C1235" s="104" t="s">
        <v>6752</v>
      </c>
      <c r="D1235" s="105" t="s">
        <v>582</v>
      </c>
      <c r="E1235" s="113">
        <v>430</v>
      </c>
      <c r="F1235" s="67" t="str">
        <f>IFERROR(IFERROR(INDEX(Кат!$A:$A,MATCH(Прайс!$B1235,Кат!$G:$G,0)),INDEX(Торг!$B:$B,MATCH(Прайс!$B1235,Торг!$H:$H,0))),"")</f>
        <v/>
      </c>
      <c r="G1235" s="67" t="str">
        <f>IFERROR(IFERROR(INDEX(Кат!$B:$B,MATCH(Прайс!$B1235,Кат!$G:$G,0)),INDEX(Торг!$C:$C,MATCH(Прайс!$B1235,Торг!$H:$H,0))),"")</f>
        <v/>
      </c>
      <c r="H1235" s="67" t="str">
        <f>IFERROR(IFERROR(INDEX(Кат!$I:$I,MATCH(Прайс!$B1235,Кат!$G:$G,0)),INDEX(Торг!$I:$I,MATCH(Прайс!$B1235,Торг!$H:$H,0))),"")</f>
        <v/>
      </c>
    </row>
    <row r="1236" spans="1:8" x14ac:dyDescent="0.25">
      <c r="A1236" s="103" t="s">
        <v>6753</v>
      </c>
      <c r="B1236" s="104">
        <v>72645</v>
      </c>
      <c r="C1236" s="104" t="s">
        <v>6754</v>
      </c>
      <c r="D1236" s="105" t="s">
        <v>582</v>
      </c>
      <c r="E1236" s="113">
        <v>430</v>
      </c>
      <c r="F1236" s="67" t="str">
        <f>IFERROR(IFERROR(INDEX(Кат!$A:$A,MATCH(Прайс!$B1236,Кат!$G:$G,0)),INDEX(Торг!$B:$B,MATCH(Прайс!$B1236,Торг!$H:$H,0))),"")</f>
        <v/>
      </c>
      <c r="G1236" s="67" t="str">
        <f>IFERROR(IFERROR(INDEX(Кат!$B:$B,MATCH(Прайс!$B1236,Кат!$G:$G,0)),INDEX(Торг!$C:$C,MATCH(Прайс!$B1236,Торг!$H:$H,0))),"")</f>
        <v/>
      </c>
      <c r="H1236" s="67" t="str">
        <f>IFERROR(IFERROR(INDEX(Кат!$I:$I,MATCH(Прайс!$B1236,Кат!$G:$G,0)),INDEX(Торг!$I:$I,MATCH(Прайс!$B1236,Торг!$H:$H,0))),"")</f>
        <v/>
      </c>
    </row>
    <row r="1237" spans="1:8" x14ac:dyDescent="0.25">
      <c r="A1237" s="94" t="s">
        <v>8249</v>
      </c>
      <c r="B1237" s="98">
        <v>72694</v>
      </c>
      <c r="C1237" s="98" t="s">
        <v>8250</v>
      </c>
      <c r="D1237" s="96" t="s">
        <v>160</v>
      </c>
      <c r="E1237" s="97">
        <v>200</v>
      </c>
      <c r="F1237" s="67" t="str">
        <f>IFERROR(IFERROR(INDEX(Кат!$A:$A,MATCH(Прайс!$B1237,Кат!$G:$G,0)),INDEX(Торг!$B:$B,MATCH(Прайс!$B1237,Торг!$H:$H,0))),"")</f>
        <v/>
      </c>
      <c r="G1237" s="67" t="str">
        <f>IFERROR(IFERROR(INDEX(Кат!$B:$B,MATCH(Прайс!$B1237,Кат!$G:$G,0)),INDEX(Торг!$C:$C,MATCH(Прайс!$B1237,Торг!$H:$H,0))),"")</f>
        <v/>
      </c>
      <c r="H1237" s="67" t="str">
        <f>IFERROR(IFERROR(INDEX(Кат!$I:$I,MATCH(Прайс!$B1237,Кат!$G:$G,0)),INDEX(Торг!$I:$I,MATCH(Прайс!$B1237,Торг!$H:$H,0))),"")</f>
        <v/>
      </c>
    </row>
    <row r="1238" spans="1:8" x14ac:dyDescent="0.25">
      <c r="A1238" s="94" t="s">
        <v>8251</v>
      </c>
      <c r="B1238" s="98">
        <v>72695</v>
      </c>
      <c r="C1238" s="98" t="s">
        <v>8252</v>
      </c>
      <c r="D1238" s="96" t="s">
        <v>160</v>
      </c>
      <c r="E1238" s="97">
        <v>200</v>
      </c>
      <c r="F1238" s="67" t="str">
        <f>IFERROR(IFERROR(INDEX(Кат!$A:$A,MATCH(Прайс!$B1238,Кат!$G:$G,0)),INDEX(Торг!$B:$B,MATCH(Прайс!$B1238,Торг!$H:$H,0))),"")</f>
        <v/>
      </c>
      <c r="G1238" s="67" t="str">
        <f>IFERROR(IFERROR(INDEX(Кат!$B:$B,MATCH(Прайс!$B1238,Кат!$G:$G,0)),INDEX(Торг!$C:$C,MATCH(Прайс!$B1238,Торг!$H:$H,0))),"")</f>
        <v/>
      </c>
      <c r="H1238" s="67" t="str">
        <f>IFERROR(IFERROR(INDEX(Кат!$I:$I,MATCH(Прайс!$B1238,Кат!$G:$G,0)),INDEX(Торг!$I:$I,MATCH(Прайс!$B1238,Торг!$H:$H,0))),"")</f>
        <v/>
      </c>
    </row>
    <row r="1239" spans="1:8" x14ac:dyDescent="0.25">
      <c r="A1239" s="94" t="s">
        <v>8253</v>
      </c>
      <c r="B1239" s="98">
        <v>72696</v>
      </c>
      <c r="C1239" s="98" t="s">
        <v>8254</v>
      </c>
      <c r="D1239" s="96" t="s">
        <v>160</v>
      </c>
      <c r="E1239" s="97">
        <v>200</v>
      </c>
      <c r="F1239" s="67" t="str">
        <f>IFERROR(IFERROR(INDEX(Кат!$A:$A,MATCH(Прайс!$B1239,Кат!$G:$G,0)),INDEX(Торг!$B:$B,MATCH(Прайс!$B1239,Торг!$H:$H,0))),"")</f>
        <v/>
      </c>
      <c r="G1239" s="67" t="str">
        <f>IFERROR(IFERROR(INDEX(Кат!$B:$B,MATCH(Прайс!$B1239,Кат!$G:$G,0)),INDEX(Торг!$C:$C,MATCH(Прайс!$B1239,Торг!$H:$H,0))),"")</f>
        <v/>
      </c>
      <c r="H1239" s="67" t="str">
        <f>IFERROR(IFERROR(INDEX(Кат!$I:$I,MATCH(Прайс!$B1239,Кат!$G:$G,0)),INDEX(Торг!$I:$I,MATCH(Прайс!$B1239,Торг!$H:$H,0))),"")</f>
        <v/>
      </c>
    </row>
    <row r="1240" spans="1:8" x14ac:dyDescent="0.25">
      <c r="A1240" s="94" t="s">
        <v>8255</v>
      </c>
      <c r="B1240" s="98">
        <v>72697</v>
      </c>
      <c r="C1240" s="98" t="s">
        <v>8256</v>
      </c>
      <c r="D1240" s="96" t="s">
        <v>160</v>
      </c>
      <c r="E1240" s="97">
        <v>200</v>
      </c>
      <c r="F1240" s="67" t="str">
        <f>IFERROR(IFERROR(INDEX(Кат!$A:$A,MATCH(Прайс!$B1240,Кат!$G:$G,0)),INDEX(Торг!$B:$B,MATCH(Прайс!$B1240,Торг!$H:$H,0))),"")</f>
        <v/>
      </c>
      <c r="G1240" s="67" t="str">
        <f>IFERROR(IFERROR(INDEX(Кат!$B:$B,MATCH(Прайс!$B1240,Кат!$G:$G,0)),INDEX(Торг!$C:$C,MATCH(Прайс!$B1240,Торг!$H:$H,0))),"")</f>
        <v/>
      </c>
      <c r="H1240" s="67" t="str">
        <f>IFERROR(IFERROR(INDEX(Кат!$I:$I,MATCH(Прайс!$B1240,Кат!$G:$G,0)),INDEX(Торг!$I:$I,MATCH(Прайс!$B1240,Торг!$H:$H,0))),"")</f>
        <v/>
      </c>
    </row>
    <row r="1241" spans="1:8" x14ac:dyDescent="0.25">
      <c r="A1241" s="94" t="s">
        <v>8257</v>
      </c>
      <c r="B1241" s="98">
        <v>72698</v>
      </c>
      <c r="C1241" s="98" t="s">
        <v>8258</v>
      </c>
      <c r="D1241" s="96" t="s">
        <v>160</v>
      </c>
      <c r="E1241" s="97">
        <v>200</v>
      </c>
      <c r="F1241" s="67" t="str">
        <f>IFERROR(IFERROR(INDEX(Кат!$A:$A,MATCH(Прайс!$B1241,Кат!$G:$G,0)),INDEX(Торг!$B:$B,MATCH(Прайс!$B1241,Торг!$H:$H,0))),"")</f>
        <v/>
      </c>
      <c r="G1241" s="67" t="str">
        <f>IFERROR(IFERROR(INDEX(Кат!$B:$B,MATCH(Прайс!$B1241,Кат!$G:$G,0)),INDEX(Торг!$C:$C,MATCH(Прайс!$B1241,Торг!$H:$H,0))),"")</f>
        <v/>
      </c>
      <c r="H1241" s="67" t="str">
        <f>IFERROR(IFERROR(INDEX(Кат!$I:$I,MATCH(Прайс!$B1241,Кат!$G:$G,0)),INDEX(Торг!$I:$I,MATCH(Прайс!$B1241,Торг!$H:$H,0))),"")</f>
        <v/>
      </c>
    </row>
    <row r="1242" spans="1:8" x14ac:dyDescent="0.25">
      <c r="A1242" s="94" t="s">
        <v>8259</v>
      </c>
      <c r="B1242" s="98">
        <v>72699</v>
      </c>
      <c r="C1242" s="98" t="s">
        <v>8260</v>
      </c>
      <c r="D1242" s="96" t="s">
        <v>160</v>
      </c>
      <c r="E1242" s="97">
        <v>200</v>
      </c>
      <c r="F1242" s="67" t="str">
        <f>IFERROR(IFERROR(INDEX(Кат!$A:$A,MATCH(Прайс!$B1242,Кат!$G:$G,0)),INDEX(Торг!$B:$B,MATCH(Прайс!$B1242,Торг!$H:$H,0))),"")</f>
        <v/>
      </c>
      <c r="G1242" s="67" t="str">
        <f>IFERROR(IFERROR(INDEX(Кат!$B:$B,MATCH(Прайс!$B1242,Кат!$G:$G,0)),INDEX(Торг!$C:$C,MATCH(Прайс!$B1242,Торг!$H:$H,0))),"")</f>
        <v/>
      </c>
      <c r="H1242" s="67" t="str">
        <f>IFERROR(IFERROR(INDEX(Кат!$I:$I,MATCH(Прайс!$B1242,Кат!$G:$G,0)),INDEX(Торг!$I:$I,MATCH(Прайс!$B1242,Торг!$H:$H,0))),"")</f>
        <v/>
      </c>
    </row>
    <row r="1243" spans="1:8" x14ac:dyDescent="0.25">
      <c r="A1243" s="94" t="s">
        <v>8261</v>
      </c>
      <c r="B1243" s="98">
        <v>72700</v>
      </c>
      <c r="C1243" s="98" t="s">
        <v>8262</v>
      </c>
      <c r="D1243" s="96" t="s">
        <v>160</v>
      </c>
      <c r="E1243" s="97">
        <v>200</v>
      </c>
      <c r="F1243" s="67" t="str">
        <f>IFERROR(IFERROR(INDEX(Кат!$A:$A,MATCH(Прайс!$B1243,Кат!$G:$G,0)),INDEX(Торг!$B:$B,MATCH(Прайс!$B1243,Торг!$H:$H,0))),"")</f>
        <v/>
      </c>
      <c r="G1243" s="67" t="str">
        <f>IFERROR(IFERROR(INDEX(Кат!$B:$B,MATCH(Прайс!$B1243,Кат!$G:$G,0)),INDEX(Торг!$C:$C,MATCH(Прайс!$B1243,Торг!$H:$H,0))),"")</f>
        <v/>
      </c>
      <c r="H1243" s="67" t="str">
        <f>IFERROR(IFERROR(INDEX(Кат!$I:$I,MATCH(Прайс!$B1243,Кат!$G:$G,0)),INDEX(Торг!$I:$I,MATCH(Прайс!$B1243,Торг!$H:$H,0))),"")</f>
        <v/>
      </c>
    </row>
    <row r="1244" spans="1:8" x14ac:dyDescent="0.25">
      <c r="A1244" s="94" t="s">
        <v>8263</v>
      </c>
      <c r="B1244" s="98">
        <v>72701</v>
      </c>
      <c r="C1244" s="98" t="s">
        <v>8264</v>
      </c>
      <c r="D1244" s="96" t="s">
        <v>160</v>
      </c>
      <c r="E1244" s="97">
        <v>200</v>
      </c>
      <c r="F1244" s="67" t="str">
        <f>IFERROR(IFERROR(INDEX(Кат!$A:$A,MATCH(Прайс!$B1244,Кат!$G:$G,0)),INDEX(Торг!$B:$B,MATCH(Прайс!$B1244,Торг!$H:$H,0))),"")</f>
        <v/>
      </c>
      <c r="G1244" s="67" t="str">
        <f>IFERROR(IFERROR(INDEX(Кат!$B:$B,MATCH(Прайс!$B1244,Кат!$G:$G,0)),INDEX(Торг!$C:$C,MATCH(Прайс!$B1244,Торг!$H:$H,0))),"")</f>
        <v/>
      </c>
      <c r="H1244" s="67" t="str">
        <f>IFERROR(IFERROR(INDEX(Кат!$I:$I,MATCH(Прайс!$B1244,Кат!$G:$G,0)),INDEX(Торг!$I:$I,MATCH(Прайс!$B1244,Торг!$H:$H,0))),"")</f>
        <v/>
      </c>
    </row>
    <row r="1245" spans="1:8" x14ac:dyDescent="0.25">
      <c r="A1245" s="94" t="s">
        <v>3116</v>
      </c>
      <c r="B1245" s="98">
        <v>72196</v>
      </c>
      <c r="C1245" s="98" t="s">
        <v>2085</v>
      </c>
      <c r="D1245" s="96" t="s">
        <v>160</v>
      </c>
      <c r="E1245" s="97">
        <v>450</v>
      </c>
      <c r="F1245" s="67" t="str">
        <f>IFERROR(IFERROR(INDEX(Кат!$A:$A,MATCH(Прайс!$B1245,Кат!$G:$G,0)),INDEX(Торг!$B:$B,MATCH(Прайс!$B1245,Торг!$H:$H,0))),"")</f>
        <v/>
      </c>
      <c r="G1245" s="67" t="str">
        <f>IFERROR(IFERROR(INDEX(Кат!$B:$B,MATCH(Прайс!$B1245,Кат!$G:$G,0)),INDEX(Торг!$C:$C,MATCH(Прайс!$B1245,Торг!$H:$H,0))),"")</f>
        <v/>
      </c>
      <c r="H1245" s="67" t="str">
        <f>IFERROR(IFERROR(INDEX(Кат!$I:$I,MATCH(Прайс!$B1245,Кат!$G:$G,0)),INDEX(Торг!$I:$I,MATCH(Прайс!$B1245,Торг!$H:$H,0))),"")</f>
        <v/>
      </c>
    </row>
    <row r="1246" spans="1:8" x14ac:dyDescent="0.25">
      <c r="A1246" s="94" t="s">
        <v>8402</v>
      </c>
      <c r="B1246" s="98">
        <v>72191</v>
      </c>
      <c r="C1246" s="98" t="s">
        <v>8403</v>
      </c>
      <c r="D1246" s="96" t="s">
        <v>160</v>
      </c>
      <c r="E1246" s="97">
        <v>450</v>
      </c>
      <c r="F1246" s="67" t="str">
        <f>IFERROR(IFERROR(INDEX(Кат!$A:$A,MATCH(Прайс!$B1246,Кат!$G:$G,0)),INDEX(Торг!$B:$B,MATCH(Прайс!$B1246,Торг!$H:$H,0))),"")</f>
        <v/>
      </c>
      <c r="G1246" s="67" t="str">
        <f>IFERROR(IFERROR(INDEX(Кат!$B:$B,MATCH(Прайс!$B1246,Кат!$G:$G,0)),INDEX(Торг!$C:$C,MATCH(Прайс!$B1246,Торг!$H:$H,0))),"")</f>
        <v/>
      </c>
      <c r="H1246" s="67" t="str">
        <f>IFERROR(IFERROR(INDEX(Кат!$I:$I,MATCH(Прайс!$B1246,Кат!$G:$G,0)),INDEX(Торг!$I:$I,MATCH(Прайс!$B1246,Торг!$H:$H,0))),"")</f>
        <v/>
      </c>
    </row>
    <row r="1247" spans="1:8" x14ac:dyDescent="0.25">
      <c r="A1247" s="94" t="s">
        <v>3117</v>
      </c>
      <c r="B1247" s="98">
        <v>72187</v>
      </c>
      <c r="C1247" s="98" t="s">
        <v>2086</v>
      </c>
      <c r="D1247" s="96" t="s">
        <v>160</v>
      </c>
      <c r="E1247" s="97">
        <v>450</v>
      </c>
      <c r="F1247" s="67" t="str">
        <f>IFERROR(IFERROR(INDEX(Кат!$A:$A,MATCH(Прайс!$B1247,Кат!$G:$G,0)),INDEX(Торг!$B:$B,MATCH(Прайс!$B1247,Торг!$H:$H,0))),"")</f>
        <v/>
      </c>
      <c r="G1247" s="67" t="str">
        <f>IFERROR(IFERROR(INDEX(Кат!$B:$B,MATCH(Прайс!$B1247,Кат!$G:$G,0)),INDEX(Торг!$C:$C,MATCH(Прайс!$B1247,Торг!$H:$H,0))),"")</f>
        <v/>
      </c>
      <c r="H1247" s="67" t="str">
        <f>IFERROR(IFERROR(INDEX(Кат!$I:$I,MATCH(Прайс!$B1247,Кат!$G:$G,0)),INDEX(Торг!$I:$I,MATCH(Прайс!$B1247,Торг!$H:$H,0))),"")</f>
        <v/>
      </c>
    </row>
    <row r="1248" spans="1:8" x14ac:dyDescent="0.25">
      <c r="A1248" s="94" t="s">
        <v>4886</v>
      </c>
      <c r="B1248" s="98">
        <v>72193</v>
      </c>
      <c r="C1248" s="98" t="s">
        <v>4887</v>
      </c>
      <c r="D1248" s="96" t="s">
        <v>160</v>
      </c>
      <c r="E1248" s="97">
        <v>450</v>
      </c>
      <c r="F1248" s="67" t="str">
        <f>IFERROR(IFERROR(INDEX(Кат!$A:$A,MATCH(Прайс!$B1248,Кат!$G:$G,0)),INDEX(Торг!$B:$B,MATCH(Прайс!$B1248,Торг!$H:$H,0))),"")</f>
        <v/>
      </c>
      <c r="G1248" s="67" t="str">
        <f>IFERROR(IFERROR(INDEX(Кат!$B:$B,MATCH(Прайс!$B1248,Кат!$G:$G,0)),INDEX(Торг!$C:$C,MATCH(Прайс!$B1248,Торг!$H:$H,0))),"")</f>
        <v/>
      </c>
      <c r="H1248" s="67" t="str">
        <f>IFERROR(IFERROR(INDEX(Кат!$I:$I,MATCH(Прайс!$B1248,Кат!$G:$G,0)),INDEX(Торг!$I:$I,MATCH(Прайс!$B1248,Торг!$H:$H,0))),"")</f>
        <v/>
      </c>
    </row>
    <row r="1249" spans="1:8" x14ac:dyDescent="0.25">
      <c r="A1249" s="94" t="s">
        <v>5071</v>
      </c>
      <c r="B1249" s="98">
        <v>72192</v>
      </c>
      <c r="C1249" s="98" t="s">
        <v>5072</v>
      </c>
      <c r="D1249" s="96" t="s">
        <v>160</v>
      </c>
      <c r="E1249" s="97">
        <v>450</v>
      </c>
      <c r="F1249" s="67" t="str">
        <f>IFERROR(IFERROR(INDEX(Кат!$A:$A,MATCH(Прайс!$B1249,Кат!$G:$G,0)),INDEX(Торг!$B:$B,MATCH(Прайс!$B1249,Торг!$H:$H,0))),"")</f>
        <v/>
      </c>
      <c r="G1249" s="67" t="str">
        <f>IFERROR(IFERROR(INDEX(Кат!$B:$B,MATCH(Прайс!$B1249,Кат!$G:$G,0)),INDEX(Торг!$C:$C,MATCH(Прайс!$B1249,Торг!$H:$H,0))),"")</f>
        <v/>
      </c>
      <c r="H1249" s="67" t="str">
        <f>IFERROR(IFERROR(INDEX(Кат!$I:$I,MATCH(Прайс!$B1249,Кат!$G:$G,0)),INDEX(Торг!$I:$I,MATCH(Прайс!$B1249,Торг!$H:$H,0))),"")</f>
        <v/>
      </c>
    </row>
    <row r="1250" spans="1:8" x14ac:dyDescent="0.25">
      <c r="A1250" s="94" t="s">
        <v>3118</v>
      </c>
      <c r="B1250" s="98">
        <v>72188</v>
      </c>
      <c r="C1250" s="98" t="s">
        <v>2087</v>
      </c>
      <c r="D1250" s="96" t="s">
        <v>160</v>
      </c>
      <c r="E1250" s="97">
        <v>450</v>
      </c>
      <c r="F1250" s="67" t="str">
        <f>IFERROR(IFERROR(INDEX(Кат!$A:$A,MATCH(Прайс!$B1250,Кат!$G:$G,0)),INDEX(Торг!$B:$B,MATCH(Прайс!$B1250,Торг!$H:$H,0))),"")</f>
        <v/>
      </c>
      <c r="G1250" s="67" t="str">
        <f>IFERROR(IFERROR(INDEX(Кат!$B:$B,MATCH(Прайс!$B1250,Кат!$G:$G,0)),INDEX(Торг!$C:$C,MATCH(Прайс!$B1250,Торг!$H:$H,0))),"")</f>
        <v/>
      </c>
      <c r="H1250" s="67" t="str">
        <f>IFERROR(IFERROR(INDEX(Кат!$I:$I,MATCH(Прайс!$B1250,Кат!$G:$G,0)),INDEX(Торг!$I:$I,MATCH(Прайс!$B1250,Торг!$H:$H,0))),"")</f>
        <v/>
      </c>
    </row>
    <row r="1251" spans="1:8" x14ac:dyDescent="0.25">
      <c r="A1251" s="94" t="s">
        <v>3119</v>
      </c>
      <c r="B1251" s="98">
        <v>72200</v>
      </c>
      <c r="C1251" s="98" t="s">
        <v>2088</v>
      </c>
      <c r="D1251" s="96" t="s">
        <v>160</v>
      </c>
      <c r="E1251" s="97">
        <v>450</v>
      </c>
      <c r="F1251" s="67" t="str">
        <f>IFERROR(IFERROR(INDEX(Кат!$A:$A,MATCH(Прайс!$B1251,Кат!$G:$G,0)),INDEX(Торг!$B:$B,MATCH(Прайс!$B1251,Торг!$H:$H,0))),"")</f>
        <v/>
      </c>
      <c r="G1251" s="67" t="str">
        <f>IFERROR(IFERROR(INDEX(Кат!$B:$B,MATCH(Прайс!$B1251,Кат!$G:$G,0)),INDEX(Торг!$C:$C,MATCH(Прайс!$B1251,Торг!$H:$H,0))),"")</f>
        <v/>
      </c>
      <c r="H1251" s="67" t="str">
        <f>IFERROR(IFERROR(INDEX(Кат!$I:$I,MATCH(Прайс!$B1251,Кат!$G:$G,0)),INDEX(Торг!$I:$I,MATCH(Прайс!$B1251,Торг!$H:$H,0))),"")</f>
        <v/>
      </c>
    </row>
    <row r="1252" spans="1:8" x14ac:dyDescent="0.25">
      <c r="A1252" s="94" t="s">
        <v>5419</v>
      </c>
      <c r="B1252" s="98">
        <v>72210</v>
      </c>
      <c r="C1252" s="98" t="s">
        <v>5420</v>
      </c>
      <c r="D1252" s="96" t="s">
        <v>160</v>
      </c>
      <c r="E1252" s="97">
        <v>450</v>
      </c>
      <c r="F1252" s="67" t="str">
        <f>IFERROR(IFERROR(INDEX(Кат!$A:$A,MATCH(Прайс!$B1252,Кат!$G:$G,0)),INDEX(Торг!$B:$B,MATCH(Прайс!$B1252,Торг!$H:$H,0))),"")</f>
        <v/>
      </c>
      <c r="G1252" s="67" t="str">
        <f>IFERROR(IFERROR(INDEX(Кат!$B:$B,MATCH(Прайс!$B1252,Кат!$G:$G,0)),INDEX(Торг!$C:$C,MATCH(Прайс!$B1252,Торг!$H:$H,0))),"")</f>
        <v/>
      </c>
      <c r="H1252" s="67" t="str">
        <f>IFERROR(IFERROR(INDEX(Кат!$I:$I,MATCH(Прайс!$B1252,Кат!$G:$G,0)),INDEX(Торг!$I:$I,MATCH(Прайс!$B1252,Торг!$H:$H,0))),"")</f>
        <v/>
      </c>
    </row>
    <row r="1253" spans="1:8" x14ac:dyDescent="0.25">
      <c r="A1253" s="94" t="s">
        <v>5073</v>
      </c>
      <c r="B1253" s="98">
        <v>72185</v>
      </c>
      <c r="C1253" s="98" t="s">
        <v>5074</v>
      </c>
      <c r="D1253" s="96" t="s">
        <v>160</v>
      </c>
      <c r="E1253" s="97">
        <v>450</v>
      </c>
      <c r="F1253" s="67" t="str">
        <f>IFERROR(IFERROR(INDEX(Кат!$A:$A,MATCH(Прайс!$B1253,Кат!$G:$G,0)),INDEX(Торг!$B:$B,MATCH(Прайс!$B1253,Торг!$H:$H,0))),"")</f>
        <v/>
      </c>
      <c r="G1253" s="67" t="str">
        <f>IFERROR(IFERROR(INDEX(Кат!$B:$B,MATCH(Прайс!$B1253,Кат!$G:$G,0)),INDEX(Торг!$C:$C,MATCH(Прайс!$B1253,Торг!$H:$H,0))),"")</f>
        <v/>
      </c>
      <c r="H1253" s="67" t="str">
        <f>IFERROR(IFERROR(INDEX(Кат!$I:$I,MATCH(Прайс!$B1253,Кат!$G:$G,0)),INDEX(Торг!$I:$I,MATCH(Прайс!$B1253,Торг!$H:$H,0))),"")</f>
        <v/>
      </c>
    </row>
    <row r="1254" spans="1:8" x14ac:dyDescent="0.25">
      <c r="A1254" s="94" t="s">
        <v>3120</v>
      </c>
      <c r="B1254" s="98">
        <v>72201</v>
      </c>
      <c r="C1254" s="98" t="s">
        <v>2089</v>
      </c>
      <c r="D1254" s="96" t="s">
        <v>160</v>
      </c>
      <c r="E1254" s="97">
        <v>450</v>
      </c>
      <c r="F1254" s="67" t="str">
        <f>IFERROR(IFERROR(INDEX(Кат!$A:$A,MATCH(Прайс!$B1254,Кат!$G:$G,0)),INDEX(Торг!$B:$B,MATCH(Прайс!$B1254,Торг!$H:$H,0))),"")</f>
        <v/>
      </c>
      <c r="G1254" s="67" t="str">
        <f>IFERROR(IFERROR(INDEX(Кат!$B:$B,MATCH(Прайс!$B1254,Кат!$G:$G,0)),INDEX(Торг!$C:$C,MATCH(Прайс!$B1254,Торг!$H:$H,0))),"")</f>
        <v/>
      </c>
      <c r="H1254" s="67" t="str">
        <f>IFERROR(IFERROR(INDEX(Кат!$I:$I,MATCH(Прайс!$B1254,Кат!$G:$G,0)),INDEX(Торг!$I:$I,MATCH(Прайс!$B1254,Торг!$H:$H,0))),"")</f>
        <v/>
      </c>
    </row>
    <row r="1255" spans="1:8" x14ac:dyDescent="0.25">
      <c r="A1255" s="94" t="s">
        <v>6244</v>
      </c>
      <c r="B1255" s="98">
        <v>72186</v>
      </c>
      <c r="C1255" s="98" t="s">
        <v>6245</v>
      </c>
      <c r="D1255" s="96" t="s">
        <v>160</v>
      </c>
      <c r="E1255" s="97">
        <v>450</v>
      </c>
      <c r="F1255" s="67" t="str">
        <f>IFERROR(IFERROR(INDEX(Кат!$A:$A,MATCH(Прайс!$B1255,Кат!$G:$G,0)),INDEX(Торг!$B:$B,MATCH(Прайс!$B1255,Торг!$H:$H,0))),"")</f>
        <v/>
      </c>
      <c r="G1255" s="67" t="str">
        <f>IFERROR(IFERROR(INDEX(Кат!$B:$B,MATCH(Прайс!$B1255,Кат!$G:$G,0)),INDEX(Торг!$C:$C,MATCH(Прайс!$B1255,Торг!$H:$H,0))),"")</f>
        <v/>
      </c>
      <c r="H1255" s="67" t="str">
        <f>IFERROR(IFERROR(INDEX(Кат!$I:$I,MATCH(Прайс!$B1255,Кат!$G:$G,0)),INDEX(Торг!$I:$I,MATCH(Прайс!$B1255,Торг!$H:$H,0))),"")</f>
        <v/>
      </c>
    </row>
    <row r="1256" spans="1:8" x14ac:dyDescent="0.25">
      <c r="A1256" s="94" t="s">
        <v>5075</v>
      </c>
      <c r="B1256" s="98">
        <v>72197</v>
      </c>
      <c r="C1256" s="98" t="s">
        <v>5076</v>
      </c>
      <c r="D1256" s="96" t="s">
        <v>160</v>
      </c>
      <c r="E1256" s="97">
        <v>450</v>
      </c>
      <c r="F1256" s="67" t="str">
        <f>IFERROR(IFERROR(INDEX(Кат!$A:$A,MATCH(Прайс!$B1256,Кат!$G:$G,0)),INDEX(Торг!$B:$B,MATCH(Прайс!$B1256,Торг!$H:$H,0))),"")</f>
        <v/>
      </c>
      <c r="G1256" s="67" t="str">
        <f>IFERROR(IFERROR(INDEX(Кат!$B:$B,MATCH(Прайс!$B1256,Кат!$G:$G,0)),INDEX(Торг!$C:$C,MATCH(Прайс!$B1256,Торг!$H:$H,0))),"")</f>
        <v/>
      </c>
      <c r="H1256" s="67" t="str">
        <f>IFERROR(IFERROR(INDEX(Кат!$I:$I,MATCH(Прайс!$B1256,Кат!$G:$G,0)),INDEX(Торг!$I:$I,MATCH(Прайс!$B1256,Торг!$H:$H,0))),"")</f>
        <v/>
      </c>
    </row>
    <row r="1257" spans="1:8" x14ac:dyDescent="0.25">
      <c r="A1257" s="94" t="s">
        <v>3121</v>
      </c>
      <c r="B1257" s="98">
        <v>72190</v>
      </c>
      <c r="C1257" s="98" t="s">
        <v>2090</v>
      </c>
      <c r="D1257" s="96" t="s">
        <v>160</v>
      </c>
      <c r="E1257" s="97">
        <v>450</v>
      </c>
      <c r="F1257" s="67" t="str">
        <f>IFERROR(IFERROR(INDEX(Кат!$A:$A,MATCH(Прайс!$B1257,Кат!$G:$G,0)),INDEX(Торг!$B:$B,MATCH(Прайс!$B1257,Торг!$H:$H,0))),"")</f>
        <v/>
      </c>
      <c r="G1257" s="67" t="str">
        <f>IFERROR(IFERROR(INDEX(Кат!$B:$B,MATCH(Прайс!$B1257,Кат!$G:$G,0)),INDEX(Торг!$C:$C,MATCH(Прайс!$B1257,Торг!$H:$H,0))),"")</f>
        <v/>
      </c>
      <c r="H1257" s="67" t="str">
        <f>IFERROR(IFERROR(INDEX(Кат!$I:$I,MATCH(Прайс!$B1257,Кат!$G:$G,0)),INDEX(Торг!$I:$I,MATCH(Прайс!$B1257,Торг!$H:$H,0))),"")</f>
        <v/>
      </c>
    </row>
    <row r="1258" spans="1:8" x14ac:dyDescent="0.25">
      <c r="A1258" s="94" t="s">
        <v>7549</v>
      </c>
      <c r="B1258" s="98">
        <v>72189</v>
      </c>
      <c r="C1258" s="98" t="s">
        <v>7550</v>
      </c>
      <c r="D1258" s="96" t="s">
        <v>160</v>
      </c>
      <c r="E1258" s="97">
        <v>450</v>
      </c>
      <c r="F1258" s="67" t="str">
        <f>IFERROR(IFERROR(INDEX(Кат!$A:$A,MATCH(Прайс!$B1258,Кат!$G:$G,0)),INDEX(Торг!$B:$B,MATCH(Прайс!$B1258,Торг!$H:$H,0))),"")</f>
        <v/>
      </c>
      <c r="G1258" s="67" t="str">
        <f>IFERROR(IFERROR(INDEX(Кат!$B:$B,MATCH(Прайс!$B1258,Кат!$G:$G,0)),INDEX(Торг!$C:$C,MATCH(Прайс!$B1258,Торг!$H:$H,0))),"")</f>
        <v/>
      </c>
      <c r="H1258" s="67" t="str">
        <f>IFERROR(IFERROR(INDEX(Кат!$I:$I,MATCH(Прайс!$B1258,Кат!$G:$G,0)),INDEX(Торг!$I:$I,MATCH(Прайс!$B1258,Торг!$H:$H,0))),"")</f>
        <v/>
      </c>
    </row>
    <row r="1259" spans="1:8" x14ac:dyDescent="0.25">
      <c r="A1259" s="94" t="s">
        <v>3122</v>
      </c>
      <c r="B1259" s="98">
        <v>72348</v>
      </c>
      <c r="C1259" s="98" t="s">
        <v>3123</v>
      </c>
      <c r="D1259" s="96" t="s">
        <v>160</v>
      </c>
      <c r="E1259" s="97">
        <v>450</v>
      </c>
      <c r="F1259" s="67" t="str">
        <f>IFERROR(IFERROR(INDEX(Кат!$A:$A,MATCH(Прайс!$B1259,Кат!$G:$G,0)),INDEX(Торг!$B:$B,MATCH(Прайс!$B1259,Торг!$H:$H,0))),"")</f>
        <v/>
      </c>
      <c r="G1259" s="67" t="str">
        <f>IFERROR(IFERROR(INDEX(Кат!$B:$B,MATCH(Прайс!$B1259,Кат!$G:$G,0)),INDEX(Торг!$C:$C,MATCH(Прайс!$B1259,Торг!$H:$H,0))),"")</f>
        <v/>
      </c>
      <c r="H1259" s="67" t="str">
        <f>IFERROR(IFERROR(INDEX(Кат!$I:$I,MATCH(Прайс!$B1259,Кат!$G:$G,0)),INDEX(Торг!$I:$I,MATCH(Прайс!$B1259,Торг!$H:$H,0))),"")</f>
        <v/>
      </c>
    </row>
    <row r="1260" spans="1:8" x14ac:dyDescent="0.25">
      <c r="A1260" s="94" t="s">
        <v>8555</v>
      </c>
      <c r="B1260" s="98">
        <v>72349</v>
      </c>
      <c r="C1260" s="98" t="s">
        <v>8556</v>
      </c>
      <c r="D1260" s="96" t="s">
        <v>160</v>
      </c>
      <c r="E1260" s="97">
        <v>450</v>
      </c>
      <c r="F1260" s="67" t="str">
        <f>IFERROR(IFERROR(INDEX(Кат!$A:$A,MATCH(Прайс!$B1260,Кат!$G:$G,0)),INDEX(Торг!$B:$B,MATCH(Прайс!$B1260,Торг!$H:$H,0))),"")</f>
        <v/>
      </c>
      <c r="G1260" s="67" t="str">
        <f>IFERROR(IFERROR(INDEX(Кат!$B:$B,MATCH(Прайс!$B1260,Кат!$G:$G,0)),INDEX(Торг!$C:$C,MATCH(Прайс!$B1260,Торг!$H:$H,0))),"")</f>
        <v/>
      </c>
      <c r="H1260" s="67" t="str">
        <f>IFERROR(IFERROR(INDEX(Кат!$I:$I,MATCH(Прайс!$B1260,Кат!$G:$G,0)),INDEX(Торг!$I:$I,MATCH(Прайс!$B1260,Торг!$H:$H,0))),"")</f>
        <v/>
      </c>
    </row>
    <row r="1261" spans="1:8" x14ac:dyDescent="0.25">
      <c r="A1261" s="94" t="s">
        <v>3124</v>
      </c>
      <c r="B1261" s="98">
        <v>72350</v>
      </c>
      <c r="C1261" s="98" t="s">
        <v>3125</v>
      </c>
      <c r="D1261" s="96" t="s">
        <v>160</v>
      </c>
      <c r="E1261" s="97">
        <v>450</v>
      </c>
      <c r="F1261" s="67" t="str">
        <f>IFERROR(IFERROR(INDEX(Кат!$A:$A,MATCH(Прайс!$B1261,Кат!$G:$G,0)),INDEX(Торг!$B:$B,MATCH(Прайс!$B1261,Торг!$H:$H,0))),"")</f>
        <v/>
      </c>
      <c r="G1261" s="67" t="str">
        <f>IFERROR(IFERROR(INDEX(Кат!$B:$B,MATCH(Прайс!$B1261,Кат!$G:$G,0)),INDEX(Торг!$C:$C,MATCH(Прайс!$B1261,Торг!$H:$H,0))),"")</f>
        <v/>
      </c>
      <c r="H1261" s="67" t="str">
        <f>IFERROR(IFERROR(INDEX(Кат!$I:$I,MATCH(Прайс!$B1261,Кат!$G:$G,0)),INDEX(Торг!$I:$I,MATCH(Прайс!$B1261,Торг!$H:$H,0))),"")</f>
        <v/>
      </c>
    </row>
    <row r="1262" spans="1:8" x14ac:dyDescent="0.25">
      <c r="A1262" s="94" t="s">
        <v>3126</v>
      </c>
      <c r="B1262" s="98">
        <v>72351</v>
      </c>
      <c r="C1262" s="98" t="s">
        <v>3127</v>
      </c>
      <c r="D1262" s="96" t="s">
        <v>160</v>
      </c>
      <c r="E1262" s="97">
        <v>450</v>
      </c>
      <c r="F1262" s="67" t="str">
        <f>IFERROR(IFERROR(INDEX(Кат!$A:$A,MATCH(Прайс!$B1262,Кат!$G:$G,0)),INDEX(Торг!$B:$B,MATCH(Прайс!$B1262,Торг!$H:$H,0))),"")</f>
        <v/>
      </c>
      <c r="G1262" s="67" t="str">
        <f>IFERROR(IFERROR(INDEX(Кат!$B:$B,MATCH(Прайс!$B1262,Кат!$G:$G,0)),INDEX(Торг!$C:$C,MATCH(Прайс!$B1262,Торг!$H:$H,0))),"")</f>
        <v/>
      </c>
      <c r="H1262" s="67" t="str">
        <f>IFERROR(IFERROR(INDEX(Кат!$I:$I,MATCH(Прайс!$B1262,Кат!$G:$G,0)),INDEX(Торг!$I:$I,MATCH(Прайс!$B1262,Торг!$H:$H,0))),"")</f>
        <v/>
      </c>
    </row>
    <row r="1263" spans="1:8" x14ac:dyDescent="0.25">
      <c r="A1263" s="94" t="s">
        <v>3128</v>
      </c>
      <c r="B1263" s="98">
        <v>72352</v>
      </c>
      <c r="C1263" s="98" t="s">
        <v>3129</v>
      </c>
      <c r="D1263" s="96" t="s">
        <v>160</v>
      </c>
      <c r="E1263" s="97">
        <v>450</v>
      </c>
      <c r="F1263" s="67" t="str">
        <f>IFERROR(IFERROR(INDEX(Кат!$A:$A,MATCH(Прайс!$B1263,Кат!$G:$G,0)),INDEX(Торг!$B:$B,MATCH(Прайс!$B1263,Торг!$H:$H,0))),"")</f>
        <v/>
      </c>
      <c r="G1263" s="67" t="str">
        <f>IFERROR(IFERROR(INDEX(Кат!$B:$B,MATCH(Прайс!$B1263,Кат!$G:$G,0)),INDEX(Торг!$C:$C,MATCH(Прайс!$B1263,Торг!$H:$H,0))),"")</f>
        <v/>
      </c>
      <c r="H1263" s="67" t="str">
        <f>IFERROR(IFERROR(INDEX(Кат!$I:$I,MATCH(Прайс!$B1263,Кат!$G:$G,0)),INDEX(Торг!$I:$I,MATCH(Прайс!$B1263,Торг!$H:$H,0))),"")</f>
        <v/>
      </c>
    </row>
    <row r="1264" spans="1:8" x14ac:dyDescent="0.25">
      <c r="A1264" s="94" t="s">
        <v>6246</v>
      </c>
      <c r="B1264" s="98">
        <v>72353</v>
      </c>
      <c r="C1264" s="98" t="s">
        <v>6247</v>
      </c>
      <c r="D1264" s="96" t="s">
        <v>160</v>
      </c>
      <c r="E1264" s="97">
        <v>450</v>
      </c>
      <c r="F1264" s="67" t="str">
        <f>IFERROR(IFERROR(INDEX(Кат!$A:$A,MATCH(Прайс!$B1264,Кат!$G:$G,0)),INDEX(Торг!$B:$B,MATCH(Прайс!$B1264,Торг!$H:$H,0))),"")</f>
        <v/>
      </c>
      <c r="G1264" s="67" t="str">
        <f>IFERROR(IFERROR(INDEX(Кат!$B:$B,MATCH(Прайс!$B1264,Кат!$G:$G,0)),INDEX(Торг!$C:$C,MATCH(Прайс!$B1264,Торг!$H:$H,0))),"")</f>
        <v/>
      </c>
      <c r="H1264" s="67" t="str">
        <f>IFERROR(IFERROR(INDEX(Кат!$I:$I,MATCH(Прайс!$B1264,Кат!$G:$G,0)),INDEX(Торг!$I:$I,MATCH(Прайс!$B1264,Торг!$H:$H,0))),"")</f>
        <v/>
      </c>
    </row>
    <row r="1265" spans="1:8" x14ac:dyDescent="0.25">
      <c r="A1265" s="94" t="s">
        <v>3130</v>
      </c>
      <c r="B1265" s="98">
        <v>72354</v>
      </c>
      <c r="C1265" s="98" t="s">
        <v>3131</v>
      </c>
      <c r="D1265" s="96" t="s">
        <v>160</v>
      </c>
      <c r="E1265" s="97">
        <v>450</v>
      </c>
      <c r="F1265" s="67" t="str">
        <f>IFERROR(IFERROR(INDEX(Кат!$A:$A,MATCH(Прайс!$B1265,Кат!$G:$G,0)),INDEX(Торг!$B:$B,MATCH(Прайс!$B1265,Торг!$H:$H,0))),"")</f>
        <v/>
      </c>
      <c r="G1265" s="67" t="str">
        <f>IFERROR(IFERROR(INDEX(Кат!$B:$B,MATCH(Прайс!$B1265,Кат!$G:$G,0)),INDEX(Торг!$C:$C,MATCH(Прайс!$B1265,Торг!$H:$H,0))),"")</f>
        <v/>
      </c>
      <c r="H1265" s="67" t="str">
        <f>IFERROR(IFERROR(INDEX(Кат!$I:$I,MATCH(Прайс!$B1265,Кат!$G:$G,0)),INDEX(Торг!$I:$I,MATCH(Прайс!$B1265,Торг!$H:$H,0))),"")</f>
        <v/>
      </c>
    </row>
    <row r="1266" spans="1:8" x14ac:dyDescent="0.25">
      <c r="A1266" s="94" t="s">
        <v>3132</v>
      </c>
      <c r="B1266" s="98">
        <v>72355</v>
      </c>
      <c r="C1266" s="98" t="s">
        <v>3133</v>
      </c>
      <c r="D1266" s="96" t="s">
        <v>160</v>
      </c>
      <c r="E1266" s="97">
        <v>450</v>
      </c>
      <c r="F1266" s="67" t="str">
        <f>IFERROR(IFERROR(INDEX(Кат!$A:$A,MATCH(Прайс!$B1266,Кат!$G:$G,0)),INDEX(Торг!$B:$B,MATCH(Прайс!$B1266,Торг!$H:$H,0))),"")</f>
        <v/>
      </c>
      <c r="G1266" s="67" t="str">
        <f>IFERROR(IFERROR(INDEX(Кат!$B:$B,MATCH(Прайс!$B1266,Кат!$G:$G,0)),INDEX(Торг!$C:$C,MATCH(Прайс!$B1266,Торг!$H:$H,0))),"")</f>
        <v/>
      </c>
      <c r="H1266" s="67" t="str">
        <f>IFERROR(IFERROR(INDEX(Кат!$I:$I,MATCH(Прайс!$B1266,Кат!$G:$G,0)),INDEX(Торг!$I:$I,MATCH(Прайс!$B1266,Торг!$H:$H,0))),"")</f>
        <v/>
      </c>
    </row>
    <row r="1267" spans="1:8" x14ac:dyDescent="0.25">
      <c r="A1267" s="94" t="s">
        <v>8557</v>
      </c>
      <c r="B1267" s="98">
        <v>72356</v>
      </c>
      <c r="C1267" s="98" t="s">
        <v>8558</v>
      </c>
      <c r="D1267" s="96" t="s">
        <v>160</v>
      </c>
      <c r="E1267" s="97">
        <v>450</v>
      </c>
      <c r="F1267" s="67" t="str">
        <f>IFERROR(IFERROR(INDEX(Кат!$A:$A,MATCH(Прайс!$B1267,Кат!$G:$G,0)),INDEX(Торг!$B:$B,MATCH(Прайс!$B1267,Торг!$H:$H,0))),"")</f>
        <v/>
      </c>
      <c r="G1267" s="67" t="str">
        <f>IFERROR(IFERROR(INDEX(Кат!$B:$B,MATCH(Прайс!$B1267,Кат!$G:$G,0)),INDEX(Торг!$C:$C,MATCH(Прайс!$B1267,Торг!$H:$H,0))),"")</f>
        <v/>
      </c>
      <c r="H1267" s="67" t="str">
        <f>IFERROR(IFERROR(INDEX(Кат!$I:$I,MATCH(Прайс!$B1267,Кат!$G:$G,0)),INDEX(Торг!$I:$I,MATCH(Прайс!$B1267,Торг!$H:$H,0))),"")</f>
        <v/>
      </c>
    </row>
    <row r="1268" spans="1:8" x14ac:dyDescent="0.25">
      <c r="A1268" s="94" t="s">
        <v>8559</v>
      </c>
      <c r="B1268" s="98">
        <v>72357</v>
      </c>
      <c r="C1268" s="98" t="s">
        <v>8560</v>
      </c>
      <c r="D1268" s="96" t="s">
        <v>160</v>
      </c>
      <c r="E1268" s="97">
        <v>450</v>
      </c>
      <c r="F1268" s="67" t="str">
        <f>IFERROR(IFERROR(INDEX(Кат!$A:$A,MATCH(Прайс!$B1268,Кат!$G:$G,0)),INDEX(Торг!$B:$B,MATCH(Прайс!$B1268,Торг!$H:$H,0))),"")</f>
        <v/>
      </c>
      <c r="G1268" s="67" t="str">
        <f>IFERROR(IFERROR(INDEX(Кат!$B:$B,MATCH(Прайс!$B1268,Кат!$G:$G,0)),INDEX(Торг!$C:$C,MATCH(Прайс!$B1268,Торг!$H:$H,0))),"")</f>
        <v/>
      </c>
      <c r="H1268" s="67" t="str">
        <f>IFERROR(IFERROR(INDEX(Кат!$I:$I,MATCH(Прайс!$B1268,Кат!$G:$G,0)),INDEX(Торг!$I:$I,MATCH(Прайс!$B1268,Торг!$H:$H,0))),"")</f>
        <v/>
      </c>
    </row>
    <row r="1269" spans="1:8" x14ac:dyDescent="0.25">
      <c r="A1269" s="94" t="s">
        <v>6248</v>
      </c>
      <c r="B1269" s="98">
        <v>72532</v>
      </c>
      <c r="C1269" s="98" t="s">
        <v>6249</v>
      </c>
      <c r="D1269" s="96" t="s">
        <v>160</v>
      </c>
      <c r="E1269" s="97">
        <v>430</v>
      </c>
      <c r="F1269" s="67" t="str">
        <f>IFERROR(IFERROR(INDEX(Кат!$A:$A,MATCH(Прайс!$B1269,Кат!$G:$G,0)),INDEX(Торг!$B:$B,MATCH(Прайс!$B1269,Торг!$H:$H,0))),"")</f>
        <v/>
      </c>
      <c r="G1269" s="67" t="str">
        <f>IFERROR(IFERROR(INDEX(Кат!$B:$B,MATCH(Прайс!$B1269,Кат!$G:$G,0)),INDEX(Торг!$C:$C,MATCH(Прайс!$B1269,Торг!$H:$H,0))),"")</f>
        <v/>
      </c>
      <c r="H1269" s="67" t="str">
        <f>IFERROR(IFERROR(INDEX(Кат!$I:$I,MATCH(Прайс!$B1269,Кат!$G:$G,0)),INDEX(Торг!$I:$I,MATCH(Прайс!$B1269,Торг!$H:$H,0))),"")</f>
        <v/>
      </c>
    </row>
    <row r="1270" spans="1:8" x14ac:dyDescent="0.25">
      <c r="A1270" s="94" t="s">
        <v>6250</v>
      </c>
      <c r="B1270" s="98">
        <v>72531</v>
      </c>
      <c r="C1270" s="98" t="s">
        <v>6251</v>
      </c>
      <c r="D1270" s="96" t="s">
        <v>160</v>
      </c>
      <c r="E1270" s="97">
        <v>430</v>
      </c>
      <c r="F1270" s="67" t="str">
        <f>IFERROR(IFERROR(INDEX(Кат!$A:$A,MATCH(Прайс!$B1270,Кат!$G:$G,0)),INDEX(Торг!$B:$B,MATCH(Прайс!$B1270,Торг!$H:$H,0))),"")</f>
        <v/>
      </c>
      <c r="G1270" s="67" t="str">
        <f>IFERROR(IFERROR(INDEX(Кат!$B:$B,MATCH(Прайс!$B1270,Кат!$G:$G,0)),INDEX(Торг!$C:$C,MATCH(Прайс!$B1270,Торг!$H:$H,0))),"")</f>
        <v/>
      </c>
      <c r="H1270" s="67" t="str">
        <f>IFERROR(IFERROR(INDEX(Кат!$I:$I,MATCH(Прайс!$B1270,Кат!$G:$G,0)),INDEX(Торг!$I:$I,MATCH(Прайс!$B1270,Торг!$H:$H,0))),"")</f>
        <v/>
      </c>
    </row>
    <row r="1271" spans="1:8" x14ac:dyDescent="0.25">
      <c r="A1271" s="94" t="s">
        <v>6252</v>
      </c>
      <c r="B1271" s="98">
        <v>72533</v>
      </c>
      <c r="C1271" s="98" t="s">
        <v>6253</v>
      </c>
      <c r="D1271" s="96" t="s">
        <v>160</v>
      </c>
      <c r="E1271" s="97">
        <v>430</v>
      </c>
      <c r="F1271" s="67" t="str">
        <f>IFERROR(IFERROR(INDEX(Кат!$A:$A,MATCH(Прайс!$B1271,Кат!$G:$G,0)),INDEX(Торг!$B:$B,MATCH(Прайс!$B1271,Торг!$H:$H,0))),"")</f>
        <v/>
      </c>
      <c r="G1271" s="67" t="str">
        <f>IFERROR(IFERROR(INDEX(Кат!$B:$B,MATCH(Прайс!$B1271,Кат!$G:$G,0)),INDEX(Торг!$C:$C,MATCH(Прайс!$B1271,Торг!$H:$H,0))),"")</f>
        <v/>
      </c>
      <c r="H1271" s="67" t="str">
        <f>IFERROR(IFERROR(INDEX(Кат!$I:$I,MATCH(Прайс!$B1271,Кат!$G:$G,0)),INDEX(Торг!$I:$I,MATCH(Прайс!$B1271,Торг!$H:$H,0))),"")</f>
        <v/>
      </c>
    </row>
    <row r="1272" spans="1:8" x14ac:dyDescent="0.25">
      <c r="A1272" s="94" t="s">
        <v>6254</v>
      </c>
      <c r="B1272" s="98">
        <v>72534</v>
      </c>
      <c r="C1272" s="98" t="s">
        <v>6255</v>
      </c>
      <c r="D1272" s="96" t="s">
        <v>160</v>
      </c>
      <c r="E1272" s="97">
        <v>430</v>
      </c>
      <c r="F1272" s="67" t="str">
        <f>IFERROR(IFERROR(INDEX(Кат!$A:$A,MATCH(Прайс!$B1272,Кат!$G:$G,0)),INDEX(Торг!$B:$B,MATCH(Прайс!$B1272,Торг!$H:$H,0))),"")</f>
        <v/>
      </c>
      <c r="G1272" s="67" t="str">
        <f>IFERROR(IFERROR(INDEX(Кат!$B:$B,MATCH(Прайс!$B1272,Кат!$G:$G,0)),INDEX(Торг!$C:$C,MATCH(Прайс!$B1272,Торг!$H:$H,0))),"")</f>
        <v/>
      </c>
      <c r="H1272" s="67" t="str">
        <f>IFERROR(IFERROR(INDEX(Кат!$I:$I,MATCH(Прайс!$B1272,Кат!$G:$G,0)),INDEX(Торг!$I:$I,MATCH(Прайс!$B1272,Торг!$H:$H,0))),"")</f>
        <v/>
      </c>
    </row>
    <row r="1273" spans="1:8" x14ac:dyDescent="0.25">
      <c r="A1273" s="94" t="s">
        <v>6256</v>
      </c>
      <c r="B1273" s="98">
        <v>72536</v>
      </c>
      <c r="C1273" s="98" t="s">
        <v>6257</v>
      </c>
      <c r="D1273" s="96" t="s">
        <v>160</v>
      </c>
      <c r="E1273" s="97">
        <v>430</v>
      </c>
      <c r="F1273" s="67" t="str">
        <f>IFERROR(IFERROR(INDEX(Кат!$A:$A,MATCH(Прайс!$B1273,Кат!$G:$G,0)),INDEX(Торг!$B:$B,MATCH(Прайс!$B1273,Торг!$H:$H,0))),"")</f>
        <v/>
      </c>
      <c r="G1273" s="67" t="str">
        <f>IFERROR(IFERROR(INDEX(Кат!$B:$B,MATCH(Прайс!$B1273,Кат!$G:$G,0)),INDEX(Торг!$C:$C,MATCH(Прайс!$B1273,Торг!$H:$H,0))),"")</f>
        <v/>
      </c>
      <c r="H1273" s="67" t="str">
        <f>IFERROR(IFERROR(INDEX(Кат!$I:$I,MATCH(Прайс!$B1273,Кат!$G:$G,0)),INDEX(Торг!$I:$I,MATCH(Прайс!$B1273,Торг!$H:$H,0))),"")</f>
        <v/>
      </c>
    </row>
    <row r="1274" spans="1:8" x14ac:dyDescent="0.25">
      <c r="A1274" s="94" t="s">
        <v>6258</v>
      </c>
      <c r="B1274" s="98">
        <v>72537</v>
      </c>
      <c r="C1274" s="98" t="s">
        <v>6259</v>
      </c>
      <c r="D1274" s="96" t="s">
        <v>160</v>
      </c>
      <c r="E1274" s="97">
        <v>430</v>
      </c>
      <c r="F1274" s="67" t="str">
        <f>IFERROR(IFERROR(INDEX(Кат!$A:$A,MATCH(Прайс!$B1274,Кат!$G:$G,0)),INDEX(Торг!$B:$B,MATCH(Прайс!$B1274,Торг!$H:$H,0))),"")</f>
        <v/>
      </c>
      <c r="G1274" s="67" t="str">
        <f>IFERROR(IFERROR(INDEX(Кат!$B:$B,MATCH(Прайс!$B1274,Кат!$G:$G,0)),INDEX(Торг!$C:$C,MATCH(Прайс!$B1274,Торг!$H:$H,0))),"")</f>
        <v/>
      </c>
      <c r="H1274" s="67" t="str">
        <f>IFERROR(IFERROR(INDEX(Кат!$I:$I,MATCH(Прайс!$B1274,Кат!$G:$G,0)),INDEX(Торг!$I:$I,MATCH(Прайс!$B1274,Торг!$H:$H,0))),"")</f>
        <v/>
      </c>
    </row>
    <row r="1275" spans="1:8" x14ac:dyDescent="0.25">
      <c r="A1275" s="94" t="s">
        <v>6260</v>
      </c>
      <c r="B1275" s="98">
        <v>72540</v>
      </c>
      <c r="C1275" s="98" t="s">
        <v>6261</v>
      </c>
      <c r="D1275" s="96" t="s">
        <v>160</v>
      </c>
      <c r="E1275" s="97">
        <v>430</v>
      </c>
      <c r="F1275" s="67" t="str">
        <f>IFERROR(IFERROR(INDEX(Кат!$A:$A,MATCH(Прайс!$B1275,Кат!$G:$G,0)),INDEX(Торг!$B:$B,MATCH(Прайс!$B1275,Торг!$H:$H,0))),"")</f>
        <v/>
      </c>
      <c r="G1275" s="67" t="str">
        <f>IFERROR(IFERROR(INDEX(Кат!$B:$B,MATCH(Прайс!$B1275,Кат!$G:$G,0)),INDEX(Торг!$C:$C,MATCH(Прайс!$B1275,Торг!$H:$H,0))),"")</f>
        <v/>
      </c>
      <c r="H1275" s="67" t="str">
        <f>IFERROR(IFERROR(INDEX(Кат!$I:$I,MATCH(Прайс!$B1275,Кат!$G:$G,0)),INDEX(Торг!$I:$I,MATCH(Прайс!$B1275,Торг!$H:$H,0))),"")</f>
        <v/>
      </c>
    </row>
    <row r="1276" spans="1:8" x14ac:dyDescent="0.25">
      <c r="A1276" s="94" t="s">
        <v>6262</v>
      </c>
      <c r="B1276" s="98">
        <v>72541</v>
      </c>
      <c r="C1276" s="98" t="s">
        <v>6263</v>
      </c>
      <c r="D1276" s="96" t="s">
        <v>160</v>
      </c>
      <c r="E1276" s="97">
        <v>430</v>
      </c>
      <c r="F1276" s="67" t="str">
        <f>IFERROR(IFERROR(INDEX(Кат!$A:$A,MATCH(Прайс!$B1276,Кат!$G:$G,0)),INDEX(Торг!$B:$B,MATCH(Прайс!$B1276,Торг!$H:$H,0))),"")</f>
        <v/>
      </c>
      <c r="G1276" s="67" t="str">
        <f>IFERROR(IFERROR(INDEX(Кат!$B:$B,MATCH(Прайс!$B1276,Кат!$G:$G,0)),INDEX(Торг!$C:$C,MATCH(Прайс!$B1276,Торг!$H:$H,0))),"")</f>
        <v/>
      </c>
      <c r="H1276" s="67" t="str">
        <f>IFERROR(IFERROR(INDEX(Кат!$I:$I,MATCH(Прайс!$B1276,Кат!$G:$G,0)),INDEX(Торг!$I:$I,MATCH(Прайс!$B1276,Торг!$H:$H,0))),"")</f>
        <v/>
      </c>
    </row>
    <row r="1277" spans="1:8" x14ac:dyDescent="0.25">
      <c r="A1277" s="94" t="s">
        <v>6264</v>
      </c>
      <c r="B1277" s="98">
        <v>72542</v>
      </c>
      <c r="C1277" s="98" t="s">
        <v>6265</v>
      </c>
      <c r="D1277" s="96" t="s">
        <v>160</v>
      </c>
      <c r="E1277" s="97">
        <v>430</v>
      </c>
      <c r="F1277" s="67" t="str">
        <f>IFERROR(IFERROR(INDEX(Кат!$A:$A,MATCH(Прайс!$B1277,Кат!$G:$G,0)),INDEX(Торг!$B:$B,MATCH(Прайс!$B1277,Торг!$H:$H,0))),"")</f>
        <v/>
      </c>
      <c r="G1277" s="67" t="str">
        <f>IFERROR(IFERROR(INDEX(Кат!$B:$B,MATCH(Прайс!$B1277,Кат!$G:$G,0)),INDEX(Торг!$C:$C,MATCH(Прайс!$B1277,Торг!$H:$H,0))),"")</f>
        <v/>
      </c>
      <c r="H1277" s="67" t="str">
        <f>IFERROR(IFERROR(INDEX(Кат!$I:$I,MATCH(Прайс!$B1277,Кат!$G:$G,0)),INDEX(Торг!$I:$I,MATCH(Прайс!$B1277,Торг!$H:$H,0))),"")</f>
        <v/>
      </c>
    </row>
    <row r="1278" spans="1:8" ht="15.75" x14ac:dyDescent="0.25">
      <c r="A1278" s="90"/>
      <c r="B1278" s="91"/>
      <c r="C1278" s="92" t="s">
        <v>791</v>
      </c>
      <c r="D1278" s="91"/>
      <c r="E1278" s="93"/>
      <c r="F1278" s="67" t="str">
        <f>IFERROR(IFERROR(INDEX(Кат!$A:$A,MATCH(Прайс!$B1278,Кат!$G:$G,0)),INDEX(Торг!$B:$B,MATCH(Прайс!$B1278,Торг!$H:$H,0))),"")</f>
        <v/>
      </c>
      <c r="G1278" s="67" t="str">
        <f>IFERROR(IFERROR(INDEX(Кат!$B:$B,MATCH(Прайс!$B1278,Кат!$G:$G,0)),INDEX(Торг!$C:$C,MATCH(Прайс!$B1278,Торг!$H:$H,0))),"")</f>
        <v/>
      </c>
      <c r="H1278" s="67" t="str">
        <f>IFERROR(IFERROR(INDEX(Кат!$I:$I,MATCH(Прайс!$B1278,Кат!$G:$G,0)),INDEX(Торг!$I:$I,MATCH(Прайс!$B1278,Торг!$H:$H,0))),"")</f>
        <v/>
      </c>
    </row>
    <row r="1279" spans="1:8" x14ac:dyDescent="0.25">
      <c r="A1279" s="103" t="s">
        <v>4888</v>
      </c>
      <c r="B1279" s="104">
        <v>71584</v>
      </c>
      <c r="C1279" s="104" t="s">
        <v>4889</v>
      </c>
      <c r="D1279" s="105" t="s">
        <v>161</v>
      </c>
      <c r="E1279" s="113">
        <v>280</v>
      </c>
      <c r="F1279" s="67" t="str">
        <f>IFERROR(IFERROR(INDEX(Кат!$A:$A,MATCH(Прайс!$B1279,Кат!$G:$G,0)),INDEX(Торг!$B:$B,MATCH(Прайс!$B1279,Торг!$H:$H,0))),"")</f>
        <v/>
      </c>
      <c r="G1279" s="67" t="str">
        <f>IFERROR(IFERROR(INDEX(Кат!$B:$B,MATCH(Прайс!$B1279,Кат!$G:$G,0)),INDEX(Торг!$C:$C,MATCH(Прайс!$B1279,Торг!$H:$H,0))),"")</f>
        <v/>
      </c>
      <c r="H1279" s="67" t="str">
        <f>IFERROR(IFERROR(INDEX(Кат!$I:$I,MATCH(Прайс!$B1279,Кат!$G:$G,0)),INDEX(Торг!$I:$I,MATCH(Прайс!$B1279,Торг!$H:$H,0))),"")</f>
        <v/>
      </c>
    </row>
    <row r="1280" spans="1:8" x14ac:dyDescent="0.25">
      <c r="A1280" s="103" t="s">
        <v>3134</v>
      </c>
      <c r="B1280" s="104">
        <v>71522</v>
      </c>
      <c r="C1280" s="104" t="s">
        <v>2091</v>
      </c>
      <c r="D1280" s="105" t="s">
        <v>161</v>
      </c>
      <c r="E1280" s="113">
        <v>280</v>
      </c>
      <c r="F1280" s="67" t="str">
        <f>IFERROR(IFERROR(INDEX(Кат!$A:$A,MATCH(Прайс!$B1280,Кат!$G:$G,0)),INDEX(Торг!$B:$B,MATCH(Прайс!$B1280,Торг!$H:$H,0))),"")</f>
        <v/>
      </c>
      <c r="G1280" s="67" t="str">
        <f>IFERROR(IFERROR(INDEX(Кат!$B:$B,MATCH(Прайс!$B1280,Кат!$G:$G,0)),INDEX(Торг!$C:$C,MATCH(Прайс!$B1280,Торг!$H:$H,0))),"")</f>
        <v/>
      </c>
      <c r="H1280" s="67" t="str">
        <f>IFERROR(IFERROR(INDEX(Кат!$I:$I,MATCH(Прайс!$B1280,Кат!$G:$G,0)),INDEX(Торг!$I:$I,MATCH(Прайс!$B1280,Торг!$H:$H,0))),"")</f>
        <v/>
      </c>
    </row>
    <row r="1281" spans="1:8" x14ac:dyDescent="0.25">
      <c r="A1281" s="103" t="s">
        <v>6266</v>
      </c>
      <c r="B1281" s="104">
        <v>71589</v>
      </c>
      <c r="C1281" s="104" t="s">
        <v>6267</v>
      </c>
      <c r="D1281" s="105" t="s">
        <v>161</v>
      </c>
      <c r="E1281" s="113">
        <v>280</v>
      </c>
      <c r="F1281" s="67" t="str">
        <f>IFERROR(IFERROR(INDEX(Кат!$A:$A,MATCH(Прайс!$B1281,Кат!$G:$G,0)),INDEX(Торг!$B:$B,MATCH(Прайс!$B1281,Торг!$H:$H,0))),"")</f>
        <v/>
      </c>
      <c r="G1281" s="67" t="str">
        <f>IFERROR(IFERROR(INDEX(Кат!$B:$B,MATCH(Прайс!$B1281,Кат!$G:$G,0)),INDEX(Торг!$C:$C,MATCH(Прайс!$B1281,Торг!$H:$H,0))),"")</f>
        <v/>
      </c>
      <c r="H1281" s="67" t="str">
        <f>IFERROR(IFERROR(INDEX(Кат!$I:$I,MATCH(Прайс!$B1281,Кат!$G:$G,0)),INDEX(Торг!$I:$I,MATCH(Прайс!$B1281,Торг!$H:$H,0))),"")</f>
        <v/>
      </c>
    </row>
    <row r="1282" spans="1:8" x14ac:dyDescent="0.25">
      <c r="A1282" s="103" t="s">
        <v>3135</v>
      </c>
      <c r="B1282" s="104">
        <v>71592</v>
      </c>
      <c r="C1282" s="104" t="s">
        <v>792</v>
      </c>
      <c r="D1282" s="105" t="s">
        <v>161</v>
      </c>
      <c r="E1282" s="113">
        <v>280</v>
      </c>
      <c r="F1282" s="67" t="str">
        <f>IFERROR(IFERROR(INDEX(Кат!$A:$A,MATCH(Прайс!$B1282,Кат!$G:$G,0)),INDEX(Торг!$B:$B,MATCH(Прайс!$B1282,Торг!$H:$H,0))),"")</f>
        <v/>
      </c>
      <c r="G1282" s="67" t="str">
        <f>IFERROR(IFERROR(INDEX(Кат!$B:$B,MATCH(Прайс!$B1282,Кат!$G:$G,0)),INDEX(Торг!$C:$C,MATCH(Прайс!$B1282,Торг!$H:$H,0))),"")</f>
        <v/>
      </c>
      <c r="H1282" s="67" t="str">
        <f>IFERROR(IFERROR(INDEX(Кат!$I:$I,MATCH(Прайс!$B1282,Кат!$G:$G,0)),INDEX(Торг!$I:$I,MATCH(Прайс!$B1282,Торг!$H:$H,0))),"")</f>
        <v/>
      </c>
    </row>
    <row r="1283" spans="1:8" x14ac:dyDescent="0.25">
      <c r="A1283" s="103" t="s">
        <v>8404</v>
      </c>
      <c r="B1283" s="104">
        <v>71583</v>
      </c>
      <c r="C1283" s="104" t="s">
        <v>8405</v>
      </c>
      <c r="D1283" s="105" t="s">
        <v>161</v>
      </c>
      <c r="E1283" s="113">
        <v>280</v>
      </c>
      <c r="F1283" s="67" t="str">
        <f>IFERROR(IFERROR(INDEX(Кат!$A:$A,MATCH(Прайс!$B1283,Кат!$G:$G,0)),INDEX(Торг!$B:$B,MATCH(Прайс!$B1283,Торг!$H:$H,0))),"")</f>
        <v/>
      </c>
      <c r="G1283" s="67" t="str">
        <f>IFERROR(IFERROR(INDEX(Кат!$B:$B,MATCH(Прайс!$B1283,Кат!$G:$G,0)),INDEX(Торг!$C:$C,MATCH(Прайс!$B1283,Торг!$H:$H,0))),"")</f>
        <v/>
      </c>
      <c r="H1283" s="67" t="str">
        <f>IFERROR(IFERROR(INDEX(Кат!$I:$I,MATCH(Прайс!$B1283,Кат!$G:$G,0)),INDEX(Торг!$I:$I,MATCH(Прайс!$B1283,Торг!$H:$H,0))),"")</f>
        <v/>
      </c>
    </row>
    <row r="1284" spans="1:8" x14ac:dyDescent="0.25">
      <c r="A1284" s="103" t="s">
        <v>5077</v>
      </c>
      <c r="B1284" s="104">
        <v>71591</v>
      </c>
      <c r="C1284" s="104" t="s">
        <v>5078</v>
      </c>
      <c r="D1284" s="105" t="s">
        <v>161</v>
      </c>
      <c r="E1284" s="113">
        <v>280</v>
      </c>
      <c r="F1284" s="67" t="str">
        <f>IFERROR(IFERROR(INDEX(Кат!$A:$A,MATCH(Прайс!$B1284,Кат!$G:$G,0)),INDEX(Торг!$B:$B,MATCH(Прайс!$B1284,Торг!$H:$H,0))),"")</f>
        <v/>
      </c>
      <c r="G1284" s="67" t="str">
        <f>IFERROR(IFERROR(INDEX(Кат!$B:$B,MATCH(Прайс!$B1284,Кат!$G:$G,0)),INDEX(Торг!$C:$C,MATCH(Прайс!$B1284,Торг!$H:$H,0))),"")</f>
        <v/>
      </c>
      <c r="H1284" s="67" t="str">
        <f>IFERROR(IFERROR(INDEX(Кат!$I:$I,MATCH(Прайс!$B1284,Кат!$G:$G,0)),INDEX(Торг!$I:$I,MATCH(Прайс!$B1284,Торг!$H:$H,0))),"")</f>
        <v/>
      </c>
    </row>
    <row r="1285" spans="1:8" x14ac:dyDescent="0.25">
      <c r="A1285" s="103" t="s">
        <v>3136</v>
      </c>
      <c r="B1285" s="104">
        <v>71585</v>
      </c>
      <c r="C1285" s="104" t="s">
        <v>793</v>
      </c>
      <c r="D1285" s="105" t="s">
        <v>161</v>
      </c>
      <c r="E1285" s="113">
        <v>280</v>
      </c>
      <c r="F1285" s="67" t="str">
        <f>IFERROR(IFERROR(INDEX(Кат!$A:$A,MATCH(Прайс!$B1285,Кат!$G:$G,0)),INDEX(Торг!$B:$B,MATCH(Прайс!$B1285,Торг!$H:$H,0))),"")</f>
        <v/>
      </c>
      <c r="G1285" s="67" t="str">
        <f>IFERROR(IFERROR(INDEX(Кат!$B:$B,MATCH(Прайс!$B1285,Кат!$G:$G,0)),INDEX(Торг!$C:$C,MATCH(Прайс!$B1285,Торг!$H:$H,0))),"")</f>
        <v/>
      </c>
      <c r="H1285" s="67" t="str">
        <f>IFERROR(IFERROR(INDEX(Кат!$I:$I,MATCH(Прайс!$B1285,Кат!$G:$G,0)),INDEX(Торг!$I:$I,MATCH(Прайс!$B1285,Торг!$H:$H,0))),"")</f>
        <v/>
      </c>
    </row>
    <row r="1286" spans="1:8" x14ac:dyDescent="0.25">
      <c r="A1286" s="103" t="s">
        <v>5789</v>
      </c>
      <c r="B1286" s="104">
        <v>71587</v>
      </c>
      <c r="C1286" s="104" t="s">
        <v>5790</v>
      </c>
      <c r="D1286" s="105" t="s">
        <v>161</v>
      </c>
      <c r="E1286" s="113">
        <v>280</v>
      </c>
      <c r="F1286" s="67" t="str">
        <f>IFERROR(IFERROR(INDEX(Кат!$A:$A,MATCH(Прайс!$B1286,Кат!$G:$G,0)),INDEX(Торг!$B:$B,MATCH(Прайс!$B1286,Торг!$H:$H,0))),"")</f>
        <v/>
      </c>
      <c r="G1286" s="67" t="str">
        <f>IFERROR(IFERROR(INDEX(Кат!$B:$B,MATCH(Прайс!$B1286,Кат!$G:$G,0)),INDEX(Торг!$C:$C,MATCH(Прайс!$B1286,Торг!$H:$H,0))),"")</f>
        <v/>
      </c>
      <c r="H1286" s="67" t="str">
        <f>IFERROR(IFERROR(INDEX(Кат!$I:$I,MATCH(Прайс!$B1286,Кат!$G:$G,0)),INDEX(Торг!$I:$I,MATCH(Прайс!$B1286,Торг!$H:$H,0))),"")</f>
        <v/>
      </c>
    </row>
    <row r="1287" spans="1:8" x14ac:dyDescent="0.25">
      <c r="A1287" s="103" t="s">
        <v>6755</v>
      </c>
      <c r="B1287" s="104">
        <v>71586</v>
      </c>
      <c r="C1287" s="104" t="s">
        <v>6756</v>
      </c>
      <c r="D1287" s="105" t="s">
        <v>161</v>
      </c>
      <c r="E1287" s="113">
        <v>280</v>
      </c>
      <c r="F1287" s="67" t="str">
        <f>IFERROR(IFERROR(INDEX(Кат!$A:$A,MATCH(Прайс!$B1287,Кат!$G:$G,0)),INDEX(Торг!$B:$B,MATCH(Прайс!$B1287,Торг!$H:$H,0))),"")</f>
        <v/>
      </c>
      <c r="G1287" s="67" t="str">
        <f>IFERROR(IFERROR(INDEX(Кат!$B:$B,MATCH(Прайс!$B1287,Кат!$G:$G,0)),INDEX(Торг!$C:$C,MATCH(Прайс!$B1287,Торг!$H:$H,0))),"")</f>
        <v/>
      </c>
      <c r="H1287" s="67" t="str">
        <f>IFERROR(IFERROR(INDEX(Кат!$I:$I,MATCH(Прайс!$B1287,Кат!$G:$G,0)),INDEX(Торг!$I:$I,MATCH(Прайс!$B1287,Торг!$H:$H,0))),"")</f>
        <v/>
      </c>
    </row>
    <row r="1288" spans="1:8" x14ac:dyDescent="0.25">
      <c r="A1288" s="103" t="s">
        <v>3137</v>
      </c>
      <c r="B1288" s="104">
        <v>71590</v>
      </c>
      <c r="C1288" s="104" t="s">
        <v>794</v>
      </c>
      <c r="D1288" s="105" t="s">
        <v>161</v>
      </c>
      <c r="E1288" s="113">
        <v>280</v>
      </c>
      <c r="F1288" s="67" t="str">
        <f>IFERROR(IFERROR(INDEX(Кат!$A:$A,MATCH(Прайс!$B1288,Кат!$G:$G,0)),INDEX(Торг!$B:$B,MATCH(Прайс!$B1288,Торг!$H:$H,0))),"")</f>
        <v/>
      </c>
      <c r="G1288" s="67" t="str">
        <f>IFERROR(IFERROR(INDEX(Кат!$B:$B,MATCH(Прайс!$B1288,Кат!$G:$G,0)),INDEX(Торг!$C:$C,MATCH(Прайс!$B1288,Торг!$H:$H,0))),"")</f>
        <v/>
      </c>
      <c r="H1288" s="67" t="str">
        <f>IFERROR(IFERROR(INDEX(Кат!$I:$I,MATCH(Прайс!$B1288,Кат!$G:$G,0)),INDEX(Торг!$I:$I,MATCH(Прайс!$B1288,Торг!$H:$H,0))),"")</f>
        <v/>
      </c>
    </row>
    <row r="1289" spans="1:8" x14ac:dyDescent="0.25">
      <c r="A1289" s="103" t="s">
        <v>3138</v>
      </c>
      <c r="B1289" s="104">
        <v>71523</v>
      </c>
      <c r="C1289" s="104" t="s">
        <v>795</v>
      </c>
      <c r="D1289" s="105" t="s">
        <v>161</v>
      </c>
      <c r="E1289" s="113">
        <v>280</v>
      </c>
      <c r="F1289" s="67" t="str">
        <f>IFERROR(IFERROR(INDEX(Кат!$A:$A,MATCH(Прайс!$B1289,Кат!$G:$G,0)),INDEX(Торг!$B:$B,MATCH(Прайс!$B1289,Торг!$H:$H,0))),"")</f>
        <v/>
      </c>
      <c r="G1289" s="67" t="str">
        <f>IFERROR(IFERROR(INDEX(Кат!$B:$B,MATCH(Прайс!$B1289,Кат!$G:$G,0)),INDEX(Торг!$C:$C,MATCH(Прайс!$B1289,Торг!$H:$H,0))),"")</f>
        <v/>
      </c>
      <c r="H1289" s="67" t="str">
        <f>IFERROR(IFERROR(INDEX(Кат!$I:$I,MATCH(Прайс!$B1289,Кат!$G:$G,0)),INDEX(Торг!$I:$I,MATCH(Прайс!$B1289,Торг!$H:$H,0))),"")</f>
        <v/>
      </c>
    </row>
    <row r="1290" spans="1:8" x14ac:dyDescent="0.25">
      <c r="A1290" s="103" t="s">
        <v>6757</v>
      </c>
      <c r="B1290" s="104">
        <v>71588</v>
      </c>
      <c r="C1290" s="104" t="s">
        <v>6758</v>
      </c>
      <c r="D1290" s="105" t="s">
        <v>161</v>
      </c>
      <c r="E1290" s="113">
        <v>280</v>
      </c>
      <c r="F1290" s="67" t="str">
        <f>IFERROR(IFERROR(INDEX(Кат!$A:$A,MATCH(Прайс!$B1290,Кат!$G:$G,0)),INDEX(Торг!$B:$B,MATCH(Прайс!$B1290,Торг!$H:$H,0))),"")</f>
        <v/>
      </c>
      <c r="G1290" s="67" t="str">
        <f>IFERROR(IFERROR(INDEX(Кат!$B:$B,MATCH(Прайс!$B1290,Кат!$G:$G,0)),INDEX(Торг!$C:$C,MATCH(Прайс!$B1290,Торг!$H:$H,0))),"")</f>
        <v/>
      </c>
      <c r="H1290" s="67" t="str">
        <f>IFERROR(IFERROR(INDEX(Кат!$I:$I,MATCH(Прайс!$B1290,Кат!$G:$G,0)),INDEX(Торг!$I:$I,MATCH(Прайс!$B1290,Торг!$H:$H,0))),"")</f>
        <v/>
      </c>
    </row>
    <row r="1291" spans="1:8" x14ac:dyDescent="0.25">
      <c r="A1291" s="103" t="s">
        <v>6268</v>
      </c>
      <c r="B1291" s="104">
        <v>71524</v>
      </c>
      <c r="C1291" s="104" t="s">
        <v>6269</v>
      </c>
      <c r="D1291" s="105" t="s">
        <v>160</v>
      </c>
      <c r="E1291" s="113">
        <v>105</v>
      </c>
      <c r="F1291" s="67" t="str">
        <f>IFERROR(IFERROR(INDEX(Кат!$A:$A,MATCH(Прайс!$B1291,Кат!$G:$G,0)),INDEX(Торг!$B:$B,MATCH(Прайс!$B1291,Торг!$H:$H,0))),"")</f>
        <v/>
      </c>
      <c r="G1291" s="67" t="str">
        <f>IFERROR(IFERROR(INDEX(Кат!$B:$B,MATCH(Прайс!$B1291,Кат!$G:$G,0)),INDEX(Торг!$C:$C,MATCH(Прайс!$B1291,Торг!$H:$H,0))),"")</f>
        <v/>
      </c>
      <c r="H1291" s="67" t="str">
        <f>IFERROR(IFERROR(INDEX(Кат!$I:$I,MATCH(Прайс!$B1291,Кат!$G:$G,0)),INDEX(Торг!$I:$I,MATCH(Прайс!$B1291,Торг!$H:$H,0))),"")</f>
        <v/>
      </c>
    </row>
    <row r="1292" spans="1:8" x14ac:dyDescent="0.25">
      <c r="A1292" s="103" t="s">
        <v>7551</v>
      </c>
      <c r="B1292" s="104">
        <v>71576</v>
      </c>
      <c r="C1292" s="104" t="s">
        <v>7552</v>
      </c>
      <c r="D1292" s="105" t="s">
        <v>160</v>
      </c>
      <c r="E1292" s="113">
        <v>105</v>
      </c>
      <c r="F1292" s="67" t="str">
        <f>IFERROR(IFERROR(INDEX(Кат!$A:$A,MATCH(Прайс!$B1292,Кат!$G:$G,0)),INDEX(Торг!$B:$B,MATCH(Прайс!$B1292,Торг!$H:$H,0))),"")</f>
        <v/>
      </c>
      <c r="G1292" s="67" t="str">
        <f>IFERROR(IFERROR(INDEX(Кат!$B:$B,MATCH(Прайс!$B1292,Кат!$G:$G,0)),INDEX(Торг!$C:$C,MATCH(Прайс!$B1292,Торг!$H:$H,0))),"")</f>
        <v/>
      </c>
      <c r="H1292" s="67" t="str">
        <f>IFERROR(IFERROR(INDEX(Кат!$I:$I,MATCH(Прайс!$B1292,Кат!$G:$G,0)),INDEX(Торг!$I:$I,MATCH(Прайс!$B1292,Торг!$H:$H,0))),"")</f>
        <v/>
      </c>
    </row>
    <row r="1293" spans="1:8" x14ac:dyDescent="0.25">
      <c r="A1293" s="103" t="s">
        <v>7553</v>
      </c>
      <c r="B1293" s="104">
        <v>71577</v>
      </c>
      <c r="C1293" s="104" t="s">
        <v>7554</v>
      </c>
      <c r="D1293" s="105" t="s">
        <v>160</v>
      </c>
      <c r="E1293" s="113">
        <v>105</v>
      </c>
      <c r="F1293" s="67" t="str">
        <f>IFERROR(IFERROR(INDEX(Кат!$A:$A,MATCH(Прайс!$B1293,Кат!$G:$G,0)),INDEX(Торг!$B:$B,MATCH(Прайс!$B1293,Торг!$H:$H,0))),"")</f>
        <v/>
      </c>
      <c r="G1293" s="67" t="str">
        <f>IFERROR(IFERROR(INDEX(Кат!$B:$B,MATCH(Прайс!$B1293,Кат!$G:$G,0)),INDEX(Торг!$C:$C,MATCH(Прайс!$B1293,Торг!$H:$H,0))),"")</f>
        <v/>
      </c>
      <c r="H1293" s="67" t="str">
        <f>IFERROR(IFERROR(INDEX(Кат!$I:$I,MATCH(Прайс!$B1293,Кат!$G:$G,0)),INDEX(Торг!$I:$I,MATCH(Прайс!$B1293,Торг!$H:$H,0))),"")</f>
        <v/>
      </c>
    </row>
    <row r="1294" spans="1:8" x14ac:dyDescent="0.25">
      <c r="A1294" s="103" t="s">
        <v>3139</v>
      </c>
      <c r="B1294" s="104">
        <v>71579</v>
      </c>
      <c r="C1294" s="104" t="s">
        <v>796</v>
      </c>
      <c r="D1294" s="105" t="s">
        <v>160</v>
      </c>
      <c r="E1294" s="113">
        <v>105</v>
      </c>
      <c r="F1294" s="67" t="str">
        <f>IFERROR(IFERROR(INDEX(Кат!$A:$A,MATCH(Прайс!$B1294,Кат!$G:$G,0)),INDEX(Торг!$B:$B,MATCH(Прайс!$B1294,Торг!$H:$H,0))),"")</f>
        <v/>
      </c>
      <c r="G1294" s="67" t="str">
        <f>IFERROR(IFERROR(INDEX(Кат!$B:$B,MATCH(Прайс!$B1294,Кат!$G:$G,0)),INDEX(Торг!$C:$C,MATCH(Прайс!$B1294,Торг!$H:$H,0))),"")</f>
        <v/>
      </c>
      <c r="H1294" s="67" t="str">
        <f>IFERROR(IFERROR(INDEX(Кат!$I:$I,MATCH(Прайс!$B1294,Кат!$G:$G,0)),INDEX(Торг!$I:$I,MATCH(Прайс!$B1294,Торг!$H:$H,0))),"")</f>
        <v/>
      </c>
    </row>
    <row r="1295" spans="1:8" x14ac:dyDescent="0.25">
      <c r="A1295" s="103" t="s">
        <v>7555</v>
      </c>
      <c r="B1295" s="104">
        <v>71578</v>
      </c>
      <c r="C1295" s="104" t="s">
        <v>7556</v>
      </c>
      <c r="D1295" s="105" t="s">
        <v>160</v>
      </c>
      <c r="E1295" s="113">
        <v>105</v>
      </c>
      <c r="F1295" s="67" t="str">
        <f>IFERROR(IFERROR(INDEX(Кат!$A:$A,MATCH(Прайс!$B1295,Кат!$G:$G,0)),INDEX(Торг!$B:$B,MATCH(Прайс!$B1295,Торг!$H:$H,0))),"")</f>
        <v/>
      </c>
      <c r="G1295" s="67" t="str">
        <f>IFERROR(IFERROR(INDEX(Кат!$B:$B,MATCH(Прайс!$B1295,Кат!$G:$G,0)),INDEX(Торг!$C:$C,MATCH(Прайс!$B1295,Торг!$H:$H,0))),"")</f>
        <v/>
      </c>
      <c r="H1295" s="67" t="str">
        <f>IFERROR(IFERROR(INDEX(Кат!$I:$I,MATCH(Прайс!$B1295,Кат!$G:$G,0)),INDEX(Торг!$I:$I,MATCH(Прайс!$B1295,Торг!$H:$H,0))),"")</f>
        <v/>
      </c>
    </row>
    <row r="1296" spans="1:8" x14ac:dyDescent="0.25">
      <c r="A1296" s="103" t="s">
        <v>8265</v>
      </c>
      <c r="B1296" s="104">
        <v>72394</v>
      </c>
      <c r="C1296" s="104" t="s">
        <v>8266</v>
      </c>
      <c r="D1296" s="105" t="s">
        <v>160</v>
      </c>
      <c r="E1296" s="113">
        <v>105</v>
      </c>
      <c r="F1296" s="67" t="str">
        <f>IFERROR(IFERROR(INDEX(Кат!$A:$A,MATCH(Прайс!$B1296,Кат!$G:$G,0)),INDEX(Торг!$B:$B,MATCH(Прайс!$B1296,Торг!$H:$H,0))),"")</f>
        <v/>
      </c>
      <c r="G1296" s="67" t="str">
        <f>IFERROR(IFERROR(INDEX(Кат!$B:$B,MATCH(Прайс!$B1296,Кат!$G:$G,0)),INDEX(Торг!$C:$C,MATCH(Прайс!$B1296,Торг!$H:$H,0))),"")</f>
        <v/>
      </c>
      <c r="H1296" s="67" t="str">
        <f>IFERROR(IFERROR(INDEX(Кат!$I:$I,MATCH(Прайс!$B1296,Кат!$G:$G,0)),INDEX(Торг!$I:$I,MATCH(Прайс!$B1296,Торг!$H:$H,0))),"")</f>
        <v/>
      </c>
    </row>
    <row r="1297" spans="1:8" x14ac:dyDescent="0.25">
      <c r="A1297" s="103" t="s">
        <v>3140</v>
      </c>
      <c r="B1297" s="104">
        <v>71661</v>
      </c>
      <c r="C1297" s="104" t="s">
        <v>798</v>
      </c>
      <c r="D1297" s="105" t="s">
        <v>161</v>
      </c>
      <c r="E1297" s="113">
        <v>50</v>
      </c>
      <c r="F1297" s="67" t="str">
        <f>IFERROR(IFERROR(INDEX(Кат!$A:$A,MATCH(Прайс!$B1297,Кат!$G:$G,0)),INDEX(Торг!$B:$B,MATCH(Прайс!$B1297,Торг!$H:$H,0))),"")</f>
        <v/>
      </c>
      <c r="G1297" s="67" t="str">
        <f>IFERROR(IFERROR(INDEX(Кат!$B:$B,MATCH(Прайс!$B1297,Кат!$G:$G,0)),INDEX(Торг!$C:$C,MATCH(Прайс!$B1297,Торг!$H:$H,0))),"")</f>
        <v/>
      </c>
      <c r="H1297" s="67" t="str">
        <f>IFERROR(IFERROR(INDEX(Кат!$I:$I,MATCH(Прайс!$B1297,Кат!$G:$G,0)),INDEX(Торг!$I:$I,MATCH(Прайс!$B1297,Торг!$H:$H,0))),"")</f>
        <v/>
      </c>
    </row>
    <row r="1298" spans="1:8" x14ac:dyDescent="0.25">
      <c r="A1298" s="94" t="s">
        <v>7557</v>
      </c>
      <c r="B1298" s="98">
        <v>72664</v>
      </c>
      <c r="C1298" s="98" t="s">
        <v>7558</v>
      </c>
      <c r="D1298" s="96" t="s">
        <v>330</v>
      </c>
      <c r="E1298" s="97">
        <v>85</v>
      </c>
      <c r="F1298" s="67" t="str">
        <f>IFERROR(IFERROR(INDEX(Кат!$A:$A,MATCH(Прайс!$B1298,Кат!$G:$G,0)),INDEX(Торг!$B:$B,MATCH(Прайс!$B1298,Торг!$H:$H,0))),"")</f>
        <v/>
      </c>
      <c r="G1298" s="67" t="str">
        <f>IFERROR(IFERROR(INDEX(Кат!$B:$B,MATCH(Прайс!$B1298,Кат!$G:$G,0)),INDEX(Торг!$C:$C,MATCH(Прайс!$B1298,Торг!$H:$H,0))),"")</f>
        <v/>
      </c>
      <c r="H1298" s="67" t="str">
        <f>IFERROR(IFERROR(INDEX(Кат!$I:$I,MATCH(Прайс!$B1298,Кат!$G:$G,0)),INDEX(Торг!$I:$I,MATCH(Прайс!$B1298,Торг!$H:$H,0))),"")</f>
        <v/>
      </c>
    </row>
    <row r="1299" spans="1:8" x14ac:dyDescent="0.25">
      <c r="A1299" s="94" t="s">
        <v>7559</v>
      </c>
      <c r="B1299" s="98">
        <v>72665</v>
      </c>
      <c r="C1299" s="98" t="s">
        <v>7560</v>
      </c>
      <c r="D1299" s="96" t="s">
        <v>330</v>
      </c>
      <c r="E1299" s="97">
        <v>85</v>
      </c>
      <c r="F1299" s="67" t="str">
        <f>IFERROR(IFERROR(INDEX(Кат!$A:$A,MATCH(Прайс!$B1299,Кат!$G:$G,0)),INDEX(Торг!$B:$B,MATCH(Прайс!$B1299,Торг!$H:$H,0))),"")</f>
        <v/>
      </c>
      <c r="G1299" s="67" t="str">
        <f>IFERROR(IFERROR(INDEX(Кат!$B:$B,MATCH(Прайс!$B1299,Кат!$G:$G,0)),INDEX(Торг!$C:$C,MATCH(Прайс!$B1299,Торг!$H:$H,0))),"")</f>
        <v/>
      </c>
      <c r="H1299" s="67" t="str">
        <f>IFERROR(IFERROR(INDEX(Кат!$I:$I,MATCH(Прайс!$B1299,Кат!$G:$G,0)),INDEX(Торг!$I:$I,MATCH(Прайс!$B1299,Торг!$H:$H,0))),"")</f>
        <v/>
      </c>
    </row>
    <row r="1300" spans="1:8" x14ac:dyDescent="0.25">
      <c r="A1300" s="94" t="s">
        <v>7561</v>
      </c>
      <c r="B1300" s="98">
        <v>72666</v>
      </c>
      <c r="C1300" s="98" t="s">
        <v>7562</v>
      </c>
      <c r="D1300" s="96" t="s">
        <v>330</v>
      </c>
      <c r="E1300" s="97">
        <v>85</v>
      </c>
      <c r="F1300" s="67" t="str">
        <f>IFERROR(IFERROR(INDEX(Кат!$A:$A,MATCH(Прайс!$B1300,Кат!$G:$G,0)),INDEX(Торг!$B:$B,MATCH(Прайс!$B1300,Торг!$H:$H,0))),"")</f>
        <v/>
      </c>
      <c r="G1300" s="67" t="str">
        <f>IFERROR(IFERROR(INDEX(Кат!$B:$B,MATCH(Прайс!$B1300,Кат!$G:$G,0)),INDEX(Торг!$C:$C,MATCH(Прайс!$B1300,Торг!$H:$H,0))),"")</f>
        <v/>
      </c>
      <c r="H1300" s="67" t="str">
        <f>IFERROR(IFERROR(INDEX(Кат!$I:$I,MATCH(Прайс!$B1300,Кат!$G:$G,0)),INDEX(Торг!$I:$I,MATCH(Прайс!$B1300,Торг!$H:$H,0))),"")</f>
        <v/>
      </c>
    </row>
    <row r="1301" spans="1:8" x14ac:dyDescent="0.25">
      <c r="A1301" s="94" t="s">
        <v>7563</v>
      </c>
      <c r="B1301" s="98">
        <v>72667</v>
      </c>
      <c r="C1301" s="98" t="s">
        <v>7564</v>
      </c>
      <c r="D1301" s="96" t="s">
        <v>330</v>
      </c>
      <c r="E1301" s="97">
        <v>85</v>
      </c>
      <c r="F1301" s="67" t="str">
        <f>IFERROR(IFERROR(INDEX(Кат!$A:$A,MATCH(Прайс!$B1301,Кат!$G:$G,0)),INDEX(Торг!$B:$B,MATCH(Прайс!$B1301,Торг!$H:$H,0))),"")</f>
        <v/>
      </c>
      <c r="G1301" s="67" t="str">
        <f>IFERROR(IFERROR(INDEX(Кат!$B:$B,MATCH(Прайс!$B1301,Кат!$G:$G,0)),INDEX(Торг!$C:$C,MATCH(Прайс!$B1301,Торг!$H:$H,0))),"")</f>
        <v/>
      </c>
      <c r="H1301" s="67" t="str">
        <f>IFERROR(IFERROR(INDEX(Кат!$I:$I,MATCH(Прайс!$B1301,Кат!$G:$G,0)),INDEX(Торг!$I:$I,MATCH(Прайс!$B1301,Торг!$H:$H,0))),"")</f>
        <v/>
      </c>
    </row>
    <row r="1302" spans="1:8" x14ac:dyDescent="0.25">
      <c r="A1302" s="94" t="s">
        <v>7565</v>
      </c>
      <c r="B1302" s="98">
        <v>72668</v>
      </c>
      <c r="C1302" s="98" t="s">
        <v>7566</v>
      </c>
      <c r="D1302" s="96" t="s">
        <v>330</v>
      </c>
      <c r="E1302" s="97">
        <v>85</v>
      </c>
      <c r="F1302" s="67" t="str">
        <f>IFERROR(IFERROR(INDEX(Кат!$A:$A,MATCH(Прайс!$B1302,Кат!$G:$G,0)),INDEX(Торг!$B:$B,MATCH(Прайс!$B1302,Торг!$H:$H,0))),"")</f>
        <v/>
      </c>
      <c r="G1302" s="67" t="str">
        <f>IFERROR(IFERROR(INDEX(Кат!$B:$B,MATCH(Прайс!$B1302,Кат!$G:$G,0)),INDEX(Торг!$C:$C,MATCH(Прайс!$B1302,Торг!$H:$H,0))),"")</f>
        <v/>
      </c>
      <c r="H1302" s="67" t="str">
        <f>IFERROR(IFERROR(INDEX(Кат!$I:$I,MATCH(Прайс!$B1302,Кат!$G:$G,0)),INDEX(Торг!$I:$I,MATCH(Прайс!$B1302,Торг!$H:$H,0))),"")</f>
        <v/>
      </c>
    </row>
    <row r="1303" spans="1:8" x14ac:dyDescent="0.25">
      <c r="A1303" s="103" t="s">
        <v>7567</v>
      </c>
      <c r="B1303" s="104">
        <v>72385</v>
      </c>
      <c r="C1303" s="104" t="s">
        <v>7568</v>
      </c>
      <c r="D1303" s="105" t="s">
        <v>161</v>
      </c>
      <c r="E1303" s="113">
        <v>115</v>
      </c>
      <c r="F1303" s="67" t="str">
        <f>IFERROR(IFERROR(INDEX(Кат!$A:$A,MATCH(Прайс!$B1303,Кат!$G:$G,0)),INDEX(Торг!$B:$B,MATCH(Прайс!$B1303,Торг!$H:$H,0))),"")</f>
        <v/>
      </c>
      <c r="G1303" s="67" t="str">
        <f>IFERROR(IFERROR(INDEX(Кат!$B:$B,MATCH(Прайс!$B1303,Кат!$G:$G,0)),INDEX(Торг!$C:$C,MATCH(Прайс!$B1303,Торг!$H:$H,0))),"")</f>
        <v/>
      </c>
      <c r="H1303" s="67" t="str">
        <f>IFERROR(IFERROR(INDEX(Кат!$I:$I,MATCH(Прайс!$B1303,Кат!$G:$G,0)),INDEX(Торг!$I:$I,MATCH(Прайс!$B1303,Торг!$H:$H,0))),"")</f>
        <v/>
      </c>
    </row>
    <row r="1304" spans="1:8" x14ac:dyDescent="0.25">
      <c r="A1304" s="103" t="s">
        <v>7569</v>
      </c>
      <c r="B1304" s="104">
        <v>72386</v>
      </c>
      <c r="C1304" s="104" t="s">
        <v>7570</v>
      </c>
      <c r="D1304" s="105" t="s">
        <v>161</v>
      </c>
      <c r="E1304" s="113">
        <v>115</v>
      </c>
      <c r="F1304" s="67" t="str">
        <f>IFERROR(IFERROR(INDEX(Кат!$A:$A,MATCH(Прайс!$B1304,Кат!$G:$G,0)),INDEX(Торг!$B:$B,MATCH(Прайс!$B1304,Торг!$H:$H,0))),"")</f>
        <v/>
      </c>
      <c r="G1304" s="67" t="str">
        <f>IFERROR(IFERROR(INDEX(Кат!$B:$B,MATCH(Прайс!$B1304,Кат!$G:$G,0)),INDEX(Торг!$C:$C,MATCH(Прайс!$B1304,Торг!$H:$H,0))),"")</f>
        <v/>
      </c>
      <c r="H1304" s="67" t="str">
        <f>IFERROR(IFERROR(INDEX(Кат!$I:$I,MATCH(Прайс!$B1304,Кат!$G:$G,0)),INDEX(Торг!$I:$I,MATCH(Прайс!$B1304,Торг!$H:$H,0))),"")</f>
        <v/>
      </c>
    </row>
    <row r="1305" spans="1:8" x14ac:dyDescent="0.25">
      <c r="A1305" s="103" t="s">
        <v>7571</v>
      </c>
      <c r="B1305" s="104">
        <v>72387</v>
      </c>
      <c r="C1305" s="104" t="s">
        <v>7572</v>
      </c>
      <c r="D1305" s="105" t="s">
        <v>161</v>
      </c>
      <c r="E1305" s="113">
        <v>115</v>
      </c>
      <c r="F1305" s="67" t="str">
        <f>IFERROR(IFERROR(INDEX(Кат!$A:$A,MATCH(Прайс!$B1305,Кат!$G:$G,0)),INDEX(Торг!$B:$B,MATCH(Прайс!$B1305,Торг!$H:$H,0))),"")</f>
        <v/>
      </c>
      <c r="G1305" s="67" t="str">
        <f>IFERROR(IFERROR(INDEX(Кат!$B:$B,MATCH(Прайс!$B1305,Кат!$G:$G,0)),INDEX(Торг!$C:$C,MATCH(Прайс!$B1305,Торг!$H:$H,0))),"")</f>
        <v/>
      </c>
      <c r="H1305" s="67" t="str">
        <f>IFERROR(IFERROR(INDEX(Кат!$I:$I,MATCH(Прайс!$B1305,Кат!$G:$G,0)),INDEX(Торг!$I:$I,MATCH(Прайс!$B1305,Торг!$H:$H,0))),"")</f>
        <v/>
      </c>
    </row>
    <row r="1306" spans="1:8" x14ac:dyDescent="0.25">
      <c r="A1306" s="103" t="s">
        <v>3141</v>
      </c>
      <c r="B1306" s="104">
        <v>72388</v>
      </c>
      <c r="C1306" s="104" t="s">
        <v>6270</v>
      </c>
      <c r="D1306" s="105" t="s">
        <v>161</v>
      </c>
      <c r="E1306" s="113">
        <v>115</v>
      </c>
      <c r="F1306" s="67" t="str">
        <f>IFERROR(IFERROR(INDEX(Кат!$A:$A,MATCH(Прайс!$B1306,Кат!$G:$G,0)),INDEX(Торг!$B:$B,MATCH(Прайс!$B1306,Торг!$H:$H,0))),"")</f>
        <v/>
      </c>
      <c r="G1306" s="67" t="str">
        <f>IFERROR(IFERROR(INDEX(Кат!$B:$B,MATCH(Прайс!$B1306,Кат!$G:$G,0)),INDEX(Торг!$C:$C,MATCH(Прайс!$B1306,Торг!$H:$H,0))),"")</f>
        <v/>
      </c>
      <c r="H1306" s="67" t="str">
        <f>IFERROR(IFERROR(INDEX(Кат!$I:$I,MATCH(Прайс!$B1306,Кат!$G:$G,0)),INDEX(Торг!$I:$I,MATCH(Прайс!$B1306,Торг!$H:$H,0))),"")</f>
        <v/>
      </c>
    </row>
    <row r="1307" spans="1:8" x14ac:dyDescent="0.25">
      <c r="A1307" s="103" t="s">
        <v>7573</v>
      </c>
      <c r="B1307" s="104">
        <v>72389</v>
      </c>
      <c r="C1307" s="104" t="s">
        <v>7574</v>
      </c>
      <c r="D1307" s="105" t="s">
        <v>161</v>
      </c>
      <c r="E1307" s="113">
        <v>115</v>
      </c>
      <c r="F1307" s="67" t="str">
        <f>IFERROR(IFERROR(INDEX(Кат!$A:$A,MATCH(Прайс!$B1307,Кат!$G:$G,0)),INDEX(Торг!$B:$B,MATCH(Прайс!$B1307,Торг!$H:$H,0))),"")</f>
        <v/>
      </c>
      <c r="G1307" s="67" t="str">
        <f>IFERROR(IFERROR(INDEX(Кат!$B:$B,MATCH(Прайс!$B1307,Кат!$G:$G,0)),INDEX(Торг!$C:$C,MATCH(Прайс!$B1307,Торг!$H:$H,0))),"")</f>
        <v/>
      </c>
      <c r="H1307" s="67" t="str">
        <f>IFERROR(IFERROR(INDEX(Кат!$I:$I,MATCH(Прайс!$B1307,Кат!$G:$G,0)),INDEX(Торг!$I:$I,MATCH(Прайс!$B1307,Торг!$H:$H,0))),"")</f>
        <v/>
      </c>
    </row>
    <row r="1308" spans="1:8" x14ac:dyDescent="0.25">
      <c r="A1308" s="94" t="s">
        <v>6759</v>
      </c>
      <c r="B1308" s="98">
        <v>72658</v>
      </c>
      <c r="C1308" s="98" t="s">
        <v>6760</v>
      </c>
      <c r="D1308" s="96" t="s">
        <v>161</v>
      </c>
      <c r="E1308" s="97">
        <v>160</v>
      </c>
      <c r="F1308" s="67" t="str">
        <f>IFERROR(IFERROR(INDEX(Кат!$A:$A,MATCH(Прайс!$B1308,Кат!$G:$G,0)),INDEX(Торг!$B:$B,MATCH(Прайс!$B1308,Торг!$H:$H,0))),"")</f>
        <v/>
      </c>
      <c r="G1308" s="67" t="str">
        <f>IFERROR(IFERROR(INDEX(Кат!$B:$B,MATCH(Прайс!$B1308,Кат!$G:$G,0)),INDEX(Торг!$C:$C,MATCH(Прайс!$B1308,Торг!$H:$H,0))),"")</f>
        <v/>
      </c>
      <c r="H1308" s="67" t="str">
        <f>IFERROR(IFERROR(INDEX(Кат!$I:$I,MATCH(Прайс!$B1308,Кат!$G:$G,0)),INDEX(Торг!$I:$I,MATCH(Прайс!$B1308,Торг!$H:$H,0))),"")</f>
        <v/>
      </c>
    </row>
    <row r="1309" spans="1:8" x14ac:dyDescent="0.25">
      <c r="A1309" s="94" t="s">
        <v>3142</v>
      </c>
      <c r="B1309" s="98">
        <v>70396</v>
      </c>
      <c r="C1309" s="98" t="s">
        <v>800</v>
      </c>
      <c r="D1309" s="96" t="s">
        <v>4890</v>
      </c>
      <c r="E1309" s="97">
        <v>150</v>
      </c>
      <c r="F1309" s="67" t="str">
        <f>IFERROR(IFERROR(INDEX(Кат!$A:$A,MATCH(Прайс!$B1309,Кат!$G:$G,0)),INDEX(Торг!$B:$B,MATCH(Прайс!$B1309,Торг!$H:$H,0))),"")</f>
        <v/>
      </c>
      <c r="G1309" s="67" t="str">
        <f>IFERROR(IFERROR(INDEX(Кат!$B:$B,MATCH(Прайс!$B1309,Кат!$G:$G,0)),INDEX(Торг!$C:$C,MATCH(Прайс!$B1309,Торг!$H:$H,0))),"")</f>
        <v/>
      </c>
      <c r="H1309" s="67" t="str">
        <f>IFERROR(IFERROR(INDEX(Кат!$I:$I,MATCH(Прайс!$B1309,Кат!$G:$G,0)),INDEX(Торг!$I:$I,MATCH(Прайс!$B1309,Торг!$H:$H,0))),"")</f>
        <v/>
      </c>
    </row>
    <row r="1310" spans="1:8" x14ac:dyDescent="0.25">
      <c r="A1310" s="94" t="s">
        <v>6271</v>
      </c>
      <c r="B1310" s="98">
        <v>72530</v>
      </c>
      <c r="C1310" s="98" t="s">
        <v>6272</v>
      </c>
      <c r="D1310" s="96" t="s">
        <v>361</v>
      </c>
      <c r="E1310" s="97">
        <v>100</v>
      </c>
      <c r="F1310" s="67" t="str">
        <f>IFERROR(IFERROR(INDEX(Кат!$A:$A,MATCH(Прайс!$B1310,Кат!$G:$G,0)),INDEX(Торг!$B:$B,MATCH(Прайс!$B1310,Торг!$H:$H,0))),"")</f>
        <v/>
      </c>
      <c r="G1310" s="67" t="str">
        <f>IFERROR(IFERROR(INDEX(Кат!$B:$B,MATCH(Прайс!$B1310,Кат!$G:$G,0)),INDEX(Торг!$C:$C,MATCH(Прайс!$B1310,Торг!$H:$H,0))),"")</f>
        <v/>
      </c>
      <c r="H1310" s="67" t="str">
        <f>IFERROR(IFERROR(INDEX(Кат!$I:$I,MATCH(Прайс!$B1310,Кат!$G:$G,0)),INDEX(Торг!$I:$I,MATCH(Прайс!$B1310,Торг!$H:$H,0))),"")</f>
        <v/>
      </c>
    </row>
    <row r="1311" spans="1:8" x14ac:dyDescent="0.25">
      <c r="A1311" s="94" t="s">
        <v>3143</v>
      </c>
      <c r="B1311" s="98">
        <v>70831</v>
      </c>
      <c r="C1311" s="98" t="s">
        <v>5791</v>
      </c>
      <c r="D1311" s="96" t="s">
        <v>161</v>
      </c>
      <c r="E1311" s="97">
        <v>550</v>
      </c>
      <c r="F1311" s="67" t="str">
        <f>IFERROR(IFERROR(INDEX(Кат!$A:$A,MATCH(Прайс!$B1311,Кат!$G:$G,0)),INDEX(Торг!$B:$B,MATCH(Прайс!$B1311,Торг!$H:$H,0))),"")</f>
        <v/>
      </c>
      <c r="G1311" s="67" t="str">
        <f>IFERROR(IFERROR(INDEX(Кат!$B:$B,MATCH(Прайс!$B1311,Кат!$G:$G,0)),INDEX(Торг!$C:$C,MATCH(Прайс!$B1311,Торг!$H:$H,0))),"")</f>
        <v/>
      </c>
      <c r="H1311" s="67" t="str">
        <f>IFERROR(IFERROR(INDEX(Кат!$I:$I,MATCH(Прайс!$B1311,Кат!$G:$G,0)),INDEX(Торг!$I:$I,MATCH(Прайс!$B1311,Торг!$H:$H,0))),"")</f>
        <v/>
      </c>
    </row>
    <row r="1312" spans="1:8" x14ac:dyDescent="0.25">
      <c r="A1312" s="94" t="s">
        <v>3144</v>
      </c>
      <c r="B1312" s="98">
        <v>72118</v>
      </c>
      <c r="C1312" s="98" t="s">
        <v>801</v>
      </c>
      <c r="D1312" s="96" t="s">
        <v>161</v>
      </c>
      <c r="E1312" s="97">
        <v>550</v>
      </c>
      <c r="F1312" s="67" t="str">
        <f>IFERROR(IFERROR(INDEX(Кат!$A:$A,MATCH(Прайс!$B1312,Кат!$G:$G,0)),INDEX(Торг!$B:$B,MATCH(Прайс!$B1312,Торг!$H:$H,0))),"")</f>
        <v/>
      </c>
      <c r="G1312" s="67" t="str">
        <f>IFERROR(IFERROR(INDEX(Кат!$B:$B,MATCH(Прайс!$B1312,Кат!$G:$G,0)),INDEX(Торг!$C:$C,MATCH(Прайс!$B1312,Торг!$H:$H,0))),"")</f>
        <v/>
      </c>
      <c r="H1312" s="67" t="str">
        <f>IFERROR(IFERROR(INDEX(Кат!$I:$I,MATCH(Прайс!$B1312,Кат!$G:$G,0)),INDEX(Торг!$I:$I,MATCH(Прайс!$B1312,Торг!$H:$H,0))),"")</f>
        <v/>
      </c>
    </row>
    <row r="1313" spans="1:8" x14ac:dyDescent="0.25">
      <c r="A1313" s="94" t="s">
        <v>3145</v>
      </c>
      <c r="B1313" s="98">
        <v>70833</v>
      </c>
      <c r="C1313" s="98" t="s">
        <v>5792</v>
      </c>
      <c r="D1313" s="96" t="s">
        <v>161</v>
      </c>
      <c r="E1313" s="97">
        <v>550</v>
      </c>
      <c r="F1313" s="67">
        <f>IFERROR(IFERROR(INDEX(Кат!$A:$A,MATCH(Прайс!$B1313,Кат!$G:$G,0)),INDEX(Торг!$B:$B,MATCH(Прайс!$B1313,Торг!$H:$H,0))),"")</f>
        <v>133082</v>
      </c>
      <c r="G1313" s="67">
        <f>IFERROR(IFERROR(INDEX(Кат!$B:$B,MATCH(Прайс!$B1313,Кат!$G:$G,0)),INDEX(Торг!$C:$C,MATCH(Прайс!$B1313,Торг!$H:$H,0))),"")</f>
        <v>6288</v>
      </c>
      <c r="H1313" s="67" t="str">
        <f>IFERROR(IFERROR(INDEX(Кат!$I:$I,MATCH(Прайс!$B1313,Кат!$G:$G,0)),INDEX(Торг!$I:$I,MATCH(Прайс!$B1313,Торг!$H:$H,0))),"")</f>
        <v>кристал авто</v>
      </c>
    </row>
    <row r="1314" spans="1:8" x14ac:dyDescent="0.25">
      <c r="A1314" s="94" t="s">
        <v>3146</v>
      </c>
      <c r="B1314" s="98">
        <v>70834</v>
      </c>
      <c r="C1314" s="98" t="s">
        <v>5793</v>
      </c>
      <c r="D1314" s="96" t="s">
        <v>161</v>
      </c>
      <c r="E1314" s="97">
        <v>550</v>
      </c>
      <c r="F1314" s="67">
        <f>IFERROR(IFERROR(INDEX(Кат!$A:$A,MATCH(Прайс!$B1314,Кат!$G:$G,0)),INDEX(Торг!$B:$B,MATCH(Прайс!$B1314,Торг!$H:$H,0))),"")</f>
        <v>133083</v>
      </c>
      <c r="G1314" s="67">
        <f>IFERROR(IFERROR(INDEX(Кат!$B:$B,MATCH(Прайс!$B1314,Кат!$G:$G,0)),INDEX(Торг!$C:$C,MATCH(Прайс!$B1314,Торг!$H:$H,0))),"")</f>
        <v>6287</v>
      </c>
      <c r="H1314" s="67" t="str">
        <f>IFERROR(IFERROR(INDEX(Кат!$I:$I,MATCH(Прайс!$B1314,Кат!$G:$G,0)),INDEX(Торг!$I:$I,MATCH(Прайс!$B1314,Торг!$H:$H,0))),"")</f>
        <v>кристал авто</v>
      </c>
    </row>
    <row r="1315" spans="1:8" x14ac:dyDescent="0.25">
      <c r="A1315" s="94" t="s">
        <v>3147</v>
      </c>
      <c r="B1315" s="98">
        <v>70835</v>
      </c>
      <c r="C1315" s="98" t="s">
        <v>5794</v>
      </c>
      <c r="D1315" s="96" t="s">
        <v>161</v>
      </c>
      <c r="E1315" s="97">
        <v>550</v>
      </c>
      <c r="F1315" s="67">
        <f>IFERROR(IFERROR(INDEX(Кат!$A:$A,MATCH(Прайс!$B1315,Кат!$G:$G,0)),INDEX(Торг!$B:$B,MATCH(Прайс!$B1315,Торг!$H:$H,0))),"")</f>
        <v>133084</v>
      </c>
      <c r="G1315" s="67">
        <f>IFERROR(IFERROR(INDEX(Кат!$B:$B,MATCH(Прайс!$B1315,Кат!$G:$G,0)),INDEX(Торг!$C:$C,MATCH(Прайс!$B1315,Торг!$H:$H,0))),"")</f>
        <v>6283</v>
      </c>
      <c r="H1315" s="67" t="str">
        <f>IFERROR(IFERROR(INDEX(Кат!$I:$I,MATCH(Прайс!$B1315,Кат!$G:$G,0)),INDEX(Торг!$I:$I,MATCH(Прайс!$B1315,Торг!$H:$H,0))),"")</f>
        <v>кристал авто</v>
      </c>
    </row>
    <row r="1316" spans="1:8" x14ac:dyDescent="0.25">
      <c r="A1316" s="94" t="s">
        <v>3148</v>
      </c>
      <c r="B1316" s="98">
        <v>72117</v>
      </c>
      <c r="C1316" s="98" t="s">
        <v>802</v>
      </c>
      <c r="D1316" s="96" t="s">
        <v>161</v>
      </c>
      <c r="E1316" s="97">
        <v>550</v>
      </c>
      <c r="F1316" s="67" t="str">
        <f>IFERROR(IFERROR(INDEX(Кат!$A:$A,MATCH(Прайс!$B1316,Кат!$G:$G,0)),INDEX(Торг!$B:$B,MATCH(Прайс!$B1316,Торг!$H:$H,0))),"")</f>
        <v/>
      </c>
      <c r="G1316" s="67" t="str">
        <f>IFERROR(IFERROR(INDEX(Кат!$B:$B,MATCH(Прайс!$B1316,Кат!$G:$G,0)),INDEX(Торг!$C:$C,MATCH(Прайс!$B1316,Торг!$H:$H,0))),"")</f>
        <v/>
      </c>
      <c r="H1316" s="67" t="str">
        <f>IFERROR(IFERROR(INDEX(Кат!$I:$I,MATCH(Прайс!$B1316,Кат!$G:$G,0)),INDEX(Торг!$I:$I,MATCH(Прайс!$B1316,Торг!$H:$H,0))),"")</f>
        <v/>
      </c>
    </row>
    <row r="1317" spans="1:8" x14ac:dyDescent="0.25">
      <c r="A1317" s="94" t="s">
        <v>3149</v>
      </c>
      <c r="B1317" s="98">
        <v>72119</v>
      </c>
      <c r="C1317" s="98" t="s">
        <v>803</v>
      </c>
      <c r="D1317" s="96" t="s">
        <v>161</v>
      </c>
      <c r="E1317" s="97">
        <v>550</v>
      </c>
      <c r="F1317" s="67" t="str">
        <f>IFERROR(IFERROR(INDEX(Кат!$A:$A,MATCH(Прайс!$B1317,Кат!$G:$G,0)),INDEX(Торг!$B:$B,MATCH(Прайс!$B1317,Торг!$H:$H,0))),"")</f>
        <v/>
      </c>
      <c r="G1317" s="67" t="str">
        <f>IFERROR(IFERROR(INDEX(Кат!$B:$B,MATCH(Прайс!$B1317,Кат!$G:$G,0)),INDEX(Торг!$C:$C,MATCH(Прайс!$B1317,Торг!$H:$H,0))),"")</f>
        <v/>
      </c>
      <c r="H1317" s="67" t="str">
        <f>IFERROR(IFERROR(INDEX(Кат!$I:$I,MATCH(Прайс!$B1317,Кат!$G:$G,0)),INDEX(Торг!$I:$I,MATCH(Прайс!$B1317,Торг!$H:$H,0))),"")</f>
        <v/>
      </c>
    </row>
    <row r="1318" spans="1:8" x14ac:dyDescent="0.25">
      <c r="A1318" s="94" t="s">
        <v>6761</v>
      </c>
      <c r="B1318" s="98">
        <v>72596</v>
      </c>
      <c r="C1318" s="98" t="s">
        <v>6762</v>
      </c>
      <c r="D1318" s="96" t="s">
        <v>161</v>
      </c>
      <c r="E1318" s="97">
        <v>430</v>
      </c>
      <c r="F1318" s="67" t="str">
        <f>IFERROR(IFERROR(INDEX(Кат!$A:$A,MATCH(Прайс!$B1318,Кат!$G:$G,0)),INDEX(Торг!$B:$B,MATCH(Прайс!$B1318,Торг!$H:$H,0))),"")</f>
        <v/>
      </c>
      <c r="G1318" s="67" t="str">
        <f>IFERROR(IFERROR(INDEX(Кат!$B:$B,MATCH(Прайс!$B1318,Кат!$G:$G,0)),INDEX(Торг!$C:$C,MATCH(Прайс!$B1318,Торг!$H:$H,0))),"")</f>
        <v/>
      </c>
      <c r="H1318" s="67" t="str">
        <f>IFERROR(IFERROR(INDEX(Кат!$I:$I,MATCH(Прайс!$B1318,Кат!$G:$G,0)),INDEX(Торг!$I:$I,MATCH(Прайс!$B1318,Торг!$H:$H,0))),"")</f>
        <v/>
      </c>
    </row>
    <row r="1319" spans="1:8" x14ac:dyDescent="0.25">
      <c r="A1319" s="94" t="s">
        <v>6763</v>
      </c>
      <c r="B1319" s="98">
        <v>72598</v>
      </c>
      <c r="C1319" s="98" t="s">
        <v>6764</v>
      </c>
      <c r="D1319" s="96" t="s">
        <v>161</v>
      </c>
      <c r="E1319" s="97">
        <v>430</v>
      </c>
      <c r="F1319" s="67" t="str">
        <f>IFERROR(IFERROR(INDEX(Кат!$A:$A,MATCH(Прайс!$B1319,Кат!$G:$G,0)),INDEX(Торг!$B:$B,MATCH(Прайс!$B1319,Торг!$H:$H,0))),"")</f>
        <v/>
      </c>
      <c r="G1319" s="67" t="str">
        <f>IFERROR(IFERROR(INDEX(Кат!$B:$B,MATCH(Прайс!$B1319,Кат!$G:$G,0)),INDEX(Торг!$C:$C,MATCH(Прайс!$B1319,Торг!$H:$H,0))),"")</f>
        <v/>
      </c>
      <c r="H1319" s="67" t="str">
        <f>IFERROR(IFERROR(INDEX(Кат!$I:$I,MATCH(Прайс!$B1319,Кат!$G:$G,0)),INDEX(Торг!$I:$I,MATCH(Прайс!$B1319,Торг!$H:$H,0))),"")</f>
        <v/>
      </c>
    </row>
    <row r="1320" spans="1:8" x14ac:dyDescent="0.25">
      <c r="A1320" s="94" t="s">
        <v>6765</v>
      </c>
      <c r="B1320" s="98">
        <v>72601</v>
      </c>
      <c r="C1320" s="98" t="s">
        <v>6766</v>
      </c>
      <c r="D1320" s="96" t="s">
        <v>161</v>
      </c>
      <c r="E1320" s="97">
        <v>430</v>
      </c>
      <c r="F1320" s="67" t="str">
        <f>IFERROR(IFERROR(INDEX(Кат!$A:$A,MATCH(Прайс!$B1320,Кат!$G:$G,0)),INDEX(Торг!$B:$B,MATCH(Прайс!$B1320,Торг!$H:$H,0))),"")</f>
        <v/>
      </c>
      <c r="G1320" s="67" t="str">
        <f>IFERROR(IFERROR(INDEX(Кат!$B:$B,MATCH(Прайс!$B1320,Кат!$G:$G,0)),INDEX(Торг!$C:$C,MATCH(Прайс!$B1320,Торг!$H:$H,0))),"")</f>
        <v/>
      </c>
      <c r="H1320" s="67" t="str">
        <f>IFERROR(IFERROR(INDEX(Кат!$I:$I,MATCH(Прайс!$B1320,Кат!$G:$G,0)),INDEX(Торг!$I:$I,MATCH(Прайс!$B1320,Торг!$H:$H,0))),"")</f>
        <v/>
      </c>
    </row>
    <row r="1321" spans="1:8" x14ac:dyDescent="0.25">
      <c r="A1321" s="94" t="s">
        <v>6767</v>
      </c>
      <c r="B1321" s="98">
        <v>72595</v>
      </c>
      <c r="C1321" s="98" t="s">
        <v>6768</v>
      </c>
      <c r="D1321" s="96" t="s">
        <v>161</v>
      </c>
      <c r="E1321" s="97">
        <v>430</v>
      </c>
      <c r="F1321" s="67" t="str">
        <f>IFERROR(IFERROR(INDEX(Кат!$A:$A,MATCH(Прайс!$B1321,Кат!$G:$G,0)),INDEX(Торг!$B:$B,MATCH(Прайс!$B1321,Торг!$H:$H,0))),"")</f>
        <v/>
      </c>
      <c r="G1321" s="67" t="str">
        <f>IFERROR(IFERROR(INDEX(Кат!$B:$B,MATCH(Прайс!$B1321,Кат!$G:$G,0)),INDEX(Торг!$C:$C,MATCH(Прайс!$B1321,Торг!$H:$H,0))),"")</f>
        <v/>
      </c>
      <c r="H1321" s="67" t="str">
        <f>IFERROR(IFERROR(INDEX(Кат!$I:$I,MATCH(Прайс!$B1321,Кат!$G:$G,0)),INDEX(Торг!$I:$I,MATCH(Прайс!$B1321,Торг!$H:$H,0))),"")</f>
        <v/>
      </c>
    </row>
    <row r="1322" spans="1:8" x14ac:dyDescent="0.25">
      <c r="A1322" s="94" t="s">
        <v>6769</v>
      </c>
      <c r="B1322" s="98">
        <v>72600</v>
      </c>
      <c r="C1322" s="98" t="s">
        <v>6770</v>
      </c>
      <c r="D1322" s="96" t="s">
        <v>161</v>
      </c>
      <c r="E1322" s="97">
        <v>430</v>
      </c>
      <c r="F1322" s="67" t="str">
        <f>IFERROR(IFERROR(INDEX(Кат!$A:$A,MATCH(Прайс!$B1322,Кат!$G:$G,0)),INDEX(Торг!$B:$B,MATCH(Прайс!$B1322,Торг!$H:$H,0))),"")</f>
        <v/>
      </c>
      <c r="G1322" s="67" t="str">
        <f>IFERROR(IFERROR(INDEX(Кат!$B:$B,MATCH(Прайс!$B1322,Кат!$G:$G,0)),INDEX(Торг!$C:$C,MATCH(Прайс!$B1322,Торг!$H:$H,0))),"")</f>
        <v/>
      </c>
      <c r="H1322" s="67" t="str">
        <f>IFERROR(IFERROR(INDEX(Кат!$I:$I,MATCH(Прайс!$B1322,Кат!$G:$G,0)),INDEX(Торг!$I:$I,MATCH(Прайс!$B1322,Торг!$H:$H,0))),"")</f>
        <v/>
      </c>
    </row>
    <row r="1323" spans="1:8" x14ac:dyDescent="0.25">
      <c r="A1323" s="94" t="s">
        <v>6771</v>
      </c>
      <c r="B1323" s="98">
        <v>72599</v>
      </c>
      <c r="C1323" s="98" t="s">
        <v>6772</v>
      </c>
      <c r="D1323" s="96" t="s">
        <v>161</v>
      </c>
      <c r="E1323" s="97">
        <v>430</v>
      </c>
      <c r="F1323" s="67" t="str">
        <f>IFERROR(IFERROR(INDEX(Кат!$A:$A,MATCH(Прайс!$B1323,Кат!$G:$G,0)),INDEX(Торг!$B:$B,MATCH(Прайс!$B1323,Торг!$H:$H,0))),"")</f>
        <v/>
      </c>
      <c r="G1323" s="67" t="str">
        <f>IFERROR(IFERROR(INDEX(Кат!$B:$B,MATCH(Прайс!$B1323,Кат!$G:$G,0)),INDEX(Торг!$C:$C,MATCH(Прайс!$B1323,Торг!$H:$H,0))),"")</f>
        <v/>
      </c>
      <c r="H1323" s="67" t="str">
        <f>IFERROR(IFERROR(INDEX(Кат!$I:$I,MATCH(Прайс!$B1323,Кат!$G:$G,0)),INDEX(Торг!$I:$I,MATCH(Прайс!$B1323,Торг!$H:$H,0))),"")</f>
        <v/>
      </c>
    </row>
    <row r="1324" spans="1:8" x14ac:dyDescent="0.25">
      <c r="A1324" s="94" t="s">
        <v>6773</v>
      </c>
      <c r="B1324" s="98">
        <v>72603</v>
      </c>
      <c r="C1324" s="98" t="s">
        <v>6774</v>
      </c>
      <c r="D1324" s="96" t="s">
        <v>161</v>
      </c>
      <c r="E1324" s="97">
        <v>430</v>
      </c>
      <c r="F1324" s="67" t="str">
        <f>IFERROR(IFERROR(INDEX(Кат!$A:$A,MATCH(Прайс!$B1324,Кат!$G:$G,0)),INDEX(Торг!$B:$B,MATCH(Прайс!$B1324,Торг!$H:$H,0))),"")</f>
        <v/>
      </c>
      <c r="G1324" s="67" t="str">
        <f>IFERROR(IFERROR(INDEX(Кат!$B:$B,MATCH(Прайс!$B1324,Кат!$G:$G,0)),INDEX(Торг!$C:$C,MATCH(Прайс!$B1324,Торг!$H:$H,0))),"")</f>
        <v/>
      </c>
      <c r="H1324" s="67" t="str">
        <f>IFERROR(IFERROR(INDEX(Кат!$I:$I,MATCH(Прайс!$B1324,Кат!$G:$G,0)),INDEX(Торг!$I:$I,MATCH(Прайс!$B1324,Торг!$H:$H,0))),"")</f>
        <v/>
      </c>
    </row>
    <row r="1325" spans="1:8" x14ac:dyDescent="0.25">
      <c r="A1325" s="94" t="s">
        <v>6775</v>
      </c>
      <c r="B1325" s="98">
        <v>72602</v>
      </c>
      <c r="C1325" s="98" t="s">
        <v>6776</v>
      </c>
      <c r="D1325" s="96" t="s">
        <v>161</v>
      </c>
      <c r="E1325" s="97">
        <v>430</v>
      </c>
      <c r="F1325" s="67" t="str">
        <f>IFERROR(IFERROR(INDEX(Кат!$A:$A,MATCH(Прайс!$B1325,Кат!$G:$G,0)),INDEX(Торг!$B:$B,MATCH(Прайс!$B1325,Торг!$H:$H,0))),"")</f>
        <v/>
      </c>
      <c r="G1325" s="67" t="str">
        <f>IFERROR(IFERROR(INDEX(Кат!$B:$B,MATCH(Прайс!$B1325,Кат!$G:$G,0)),INDEX(Торг!$C:$C,MATCH(Прайс!$B1325,Торг!$H:$H,0))),"")</f>
        <v/>
      </c>
      <c r="H1325" s="67" t="str">
        <f>IFERROR(IFERROR(INDEX(Кат!$I:$I,MATCH(Прайс!$B1325,Кат!$G:$G,0)),INDEX(Торг!$I:$I,MATCH(Прайс!$B1325,Торг!$H:$H,0))),"")</f>
        <v/>
      </c>
    </row>
    <row r="1326" spans="1:8" x14ac:dyDescent="0.25">
      <c r="A1326" s="94" t="s">
        <v>3150</v>
      </c>
      <c r="B1326" s="98">
        <v>71395</v>
      </c>
      <c r="C1326" s="98" t="s">
        <v>5795</v>
      </c>
      <c r="D1326" s="96" t="s">
        <v>161</v>
      </c>
      <c r="E1326" s="97">
        <v>275</v>
      </c>
      <c r="F1326" s="67" t="str">
        <f>IFERROR(IFERROR(INDEX(Кат!$A:$A,MATCH(Прайс!$B1326,Кат!$G:$G,0)),INDEX(Торг!$B:$B,MATCH(Прайс!$B1326,Торг!$H:$H,0))),"")</f>
        <v/>
      </c>
      <c r="G1326" s="67" t="str">
        <f>IFERROR(IFERROR(INDEX(Кат!$B:$B,MATCH(Прайс!$B1326,Кат!$G:$G,0)),INDEX(Торг!$C:$C,MATCH(Прайс!$B1326,Торг!$H:$H,0))),"")</f>
        <v/>
      </c>
      <c r="H1326" s="67" t="str">
        <f>IFERROR(IFERROR(INDEX(Кат!$I:$I,MATCH(Прайс!$B1326,Кат!$G:$G,0)),INDEX(Торг!$I:$I,MATCH(Прайс!$B1326,Торг!$H:$H,0))),"")</f>
        <v/>
      </c>
    </row>
    <row r="1327" spans="1:8" x14ac:dyDescent="0.25">
      <c r="A1327" s="94" t="s">
        <v>4891</v>
      </c>
      <c r="B1327" s="98">
        <v>72159</v>
      </c>
      <c r="C1327" s="98" t="s">
        <v>4892</v>
      </c>
      <c r="D1327" s="96" t="s">
        <v>161</v>
      </c>
      <c r="E1327" s="97">
        <v>275</v>
      </c>
      <c r="F1327" s="67" t="str">
        <f>IFERROR(IFERROR(INDEX(Кат!$A:$A,MATCH(Прайс!$B1327,Кат!$G:$G,0)),INDEX(Торг!$B:$B,MATCH(Прайс!$B1327,Торг!$H:$H,0))),"")</f>
        <v/>
      </c>
      <c r="G1327" s="67" t="str">
        <f>IFERROR(IFERROR(INDEX(Кат!$B:$B,MATCH(Прайс!$B1327,Кат!$G:$G,0)),INDEX(Торг!$C:$C,MATCH(Прайс!$B1327,Торг!$H:$H,0))),"")</f>
        <v/>
      </c>
      <c r="H1327" s="67" t="str">
        <f>IFERROR(IFERROR(INDEX(Кат!$I:$I,MATCH(Прайс!$B1327,Кат!$G:$G,0)),INDEX(Торг!$I:$I,MATCH(Прайс!$B1327,Торг!$H:$H,0))),"")</f>
        <v/>
      </c>
    </row>
    <row r="1328" spans="1:8" x14ac:dyDescent="0.25">
      <c r="A1328" s="94" t="s">
        <v>7575</v>
      </c>
      <c r="B1328" s="98">
        <v>72683</v>
      </c>
      <c r="C1328" s="98" t="s">
        <v>7576</v>
      </c>
      <c r="D1328" s="96" t="s">
        <v>161</v>
      </c>
      <c r="E1328" s="97">
        <v>275</v>
      </c>
      <c r="F1328" s="67" t="str">
        <f>IFERROR(IFERROR(INDEX(Кат!$A:$A,MATCH(Прайс!$B1328,Кат!$G:$G,0)),INDEX(Торг!$B:$B,MATCH(Прайс!$B1328,Торг!$H:$H,0))),"")</f>
        <v/>
      </c>
      <c r="G1328" s="67" t="str">
        <f>IFERROR(IFERROR(INDEX(Кат!$B:$B,MATCH(Прайс!$B1328,Кат!$G:$G,0)),INDEX(Торг!$C:$C,MATCH(Прайс!$B1328,Торг!$H:$H,0))),"")</f>
        <v/>
      </c>
      <c r="H1328" s="67" t="str">
        <f>IFERROR(IFERROR(INDEX(Кат!$I:$I,MATCH(Прайс!$B1328,Кат!$G:$G,0)),INDEX(Торг!$I:$I,MATCH(Прайс!$B1328,Торг!$H:$H,0))),"")</f>
        <v/>
      </c>
    </row>
    <row r="1329" spans="1:8" x14ac:dyDescent="0.25">
      <c r="A1329" s="94" t="s">
        <v>7577</v>
      </c>
      <c r="B1329" s="98">
        <v>70854</v>
      </c>
      <c r="C1329" s="98" t="s">
        <v>7578</v>
      </c>
      <c r="D1329" s="96" t="s">
        <v>804</v>
      </c>
      <c r="E1329" s="97">
        <v>275</v>
      </c>
      <c r="F1329" s="67" t="str">
        <f>IFERROR(IFERROR(INDEX(Кат!$A:$A,MATCH(Прайс!$B1329,Кат!$G:$G,0)),INDEX(Торг!$B:$B,MATCH(Прайс!$B1329,Торг!$H:$H,0))),"")</f>
        <v/>
      </c>
      <c r="G1329" s="67" t="str">
        <f>IFERROR(IFERROR(INDEX(Кат!$B:$B,MATCH(Прайс!$B1329,Кат!$G:$G,0)),INDEX(Торг!$C:$C,MATCH(Прайс!$B1329,Торг!$H:$H,0))),"")</f>
        <v/>
      </c>
      <c r="H1329" s="67" t="str">
        <f>IFERROR(IFERROR(INDEX(Кат!$I:$I,MATCH(Прайс!$B1329,Кат!$G:$G,0)),INDEX(Торг!$I:$I,MATCH(Прайс!$B1329,Торг!$H:$H,0))),"")</f>
        <v/>
      </c>
    </row>
    <row r="1330" spans="1:8" x14ac:dyDescent="0.25">
      <c r="A1330" s="94" t="s">
        <v>4893</v>
      </c>
      <c r="B1330" s="98">
        <v>70855</v>
      </c>
      <c r="C1330" s="98" t="s">
        <v>4894</v>
      </c>
      <c r="D1330" s="96" t="s">
        <v>804</v>
      </c>
      <c r="E1330" s="97">
        <v>275</v>
      </c>
      <c r="F1330" s="67" t="str">
        <f>IFERROR(IFERROR(INDEX(Кат!$A:$A,MATCH(Прайс!$B1330,Кат!$G:$G,0)),INDEX(Торг!$B:$B,MATCH(Прайс!$B1330,Торг!$H:$H,0))),"")</f>
        <v/>
      </c>
      <c r="G1330" s="67" t="str">
        <f>IFERROR(IFERROR(INDEX(Кат!$B:$B,MATCH(Прайс!$B1330,Кат!$G:$G,0)),INDEX(Торг!$C:$C,MATCH(Прайс!$B1330,Торг!$H:$H,0))),"")</f>
        <v/>
      </c>
      <c r="H1330" s="67" t="str">
        <f>IFERROR(IFERROR(INDEX(Кат!$I:$I,MATCH(Прайс!$B1330,Кат!$G:$G,0)),INDEX(Торг!$I:$I,MATCH(Прайс!$B1330,Торг!$H:$H,0))),"")</f>
        <v/>
      </c>
    </row>
    <row r="1331" spans="1:8" x14ac:dyDescent="0.25">
      <c r="A1331" s="94" t="s">
        <v>7579</v>
      </c>
      <c r="B1331" s="98">
        <v>72681</v>
      </c>
      <c r="C1331" s="98" t="s">
        <v>7580</v>
      </c>
      <c r="D1331" s="96" t="s">
        <v>161</v>
      </c>
      <c r="E1331" s="97">
        <v>275</v>
      </c>
      <c r="F1331" s="67" t="str">
        <f>IFERROR(IFERROR(INDEX(Кат!$A:$A,MATCH(Прайс!$B1331,Кат!$G:$G,0)),INDEX(Торг!$B:$B,MATCH(Прайс!$B1331,Торг!$H:$H,0))),"")</f>
        <v/>
      </c>
      <c r="G1331" s="67" t="str">
        <f>IFERROR(IFERROR(INDEX(Кат!$B:$B,MATCH(Прайс!$B1331,Кат!$G:$G,0)),INDEX(Торг!$C:$C,MATCH(Прайс!$B1331,Торг!$H:$H,0))),"")</f>
        <v/>
      </c>
      <c r="H1331" s="67" t="str">
        <f>IFERROR(IFERROR(INDEX(Кат!$I:$I,MATCH(Прайс!$B1331,Кат!$G:$G,0)),INDEX(Торг!$I:$I,MATCH(Прайс!$B1331,Торг!$H:$H,0))),"")</f>
        <v/>
      </c>
    </row>
    <row r="1332" spans="1:8" x14ac:dyDescent="0.25">
      <c r="A1332" s="94" t="s">
        <v>6777</v>
      </c>
      <c r="B1332" s="98">
        <v>72060</v>
      </c>
      <c r="C1332" s="98" t="s">
        <v>6778</v>
      </c>
      <c r="D1332" s="96" t="s">
        <v>161</v>
      </c>
      <c r="E1332" s="97">
        <v>275</v>
      </c>
      <c r="F1332" s="67" t="str">
        <f>IFERROR(IFERROR(INDEX(Кат!$A:$A,MATCH(Прайс!$B1332,Кат!$G:$G,0)),INDEX(Торг!$B:$B,MATCH(Прайс!$B1332,Торг!$H:$H,0))),"")</f>
        <v/>
      </c>
      <c r="G1332" s="67" t="str">
        <f>IFERROR(IFERROR(INDEX(Кат!$B:$B,MATCH(Прайс!$B1332,Кат!$G:$G,0)),INDEX(Торг!$C:$C,MATCH(Прайс!$B1332,Торг!$H:$H,0))),"")</f>
        <v/>
      </c>
      <c r="H1332" s="67" t="str">
        <f>IFERROR(IFERROR(INDEX(Кат!$I:$I,MATCH(Прайс!$B1332,Кат!$G:$G,0)),INDEX(Торг!$I:$I,MATCH(Прайс!$B1332,Торг!$H:$H,0))),"")</f>
        <v/>
      </c>
    </row>
    <row r="1333" spans="1:8" x14ac:dyDescent="0.25">
      <c r="A1333" s="94" t="s">
        <v>3151</v>
      </c>
      <c r="B1333" s="98">
        <v>72057</v>
      </c>
      <c r="C1333" s="98" t="s">
        <v>805</v>
      </c>
      <c r="D1333" s="96" t="s">
        <v>161</v>
      </c>
      <c r="E1333" s="97">
        <v>275</v>
      </c>
      <c r="F1333" s="67" t="str">
        <f>IFERROR(IFERROR(INDEX(Кат!$A:$A,MATCH(Прайс!$B1333,Кат!$G:$G,0)),INDEX(Торг!$B:$B,MATCH(Прайс!$B1333,Торг!$H:$H,0))),"")</f>
        <v/>
      </c>
      <c r="G1333" s="67" t="str">
        <f>IFERROR(IFERROR(INDEX(Кат!$B:$B,MATCH(Прайс!$B1333,Кат!$G:$G,0)),INDEX(Торг!$C:$C,MATCH(Прайс!$B1333,Торг!$H:$H,0))),"")</f>
        <v/>
      </c>
      <c r="H1333" s="67" t="str">
        <f>IFERROR(IFERROR(INDEX(Кат!$I:$I,MATCH(Прайс!$B1333,Кат!$G:$G,0)),INDEX(Торг!$I:$I,MATCH(Прайс!$B1333,Торг!$H:$H,0))),"")</f>
        <v/>
      </c>
    </row>
    <row r="1334" spans="1:8" x14ac:dyDescent="0.25">
      <c r="A1334" s="94" t="s">
        <v>7581</v>
      </c>
      <c r="B1334" s="98">
        <v>72682</v>
      </c>
      <c r="C1334" s="98" t="s">
        <v>7582</v>
      </c>
      <c r="D1334" s="96" t="s">
        <v>161</v>
      </c>
      <c r="E1334" s="97">
        <v>275</v>
      </c>
      <c r="F1334" s="67" t="str">
        <f>IFERROR(IFERROR(INDEX(Кат!$A:$A,MATCH(Прайс!$B1334,Кат!$G:$G,0)),INDEX(Торг!$B:$B,MATCH(Прайс!$B1334,Торг!$H:$H,0))),"")</f>
        <v/>
      </c>
      <c r="G1334" s="67" t="str">
        <f>IFERROR(IFERROR(INDEX(Кат!$B:$B,MATCH(Прайс!$B1334,Кат!$G:$G,0)),INDEX(Торг!$C:$C,MATCH(Прайс!$B1334,Торг!$H:$H,0))),"")</f>
        <v/>
      </c>
      <c r="H1334" s="67" t="str">
        <f>IFERROR(IFERROR(INDEX(Кат!$I:$I,MATCH(Прайс!$B1334,Кат!$G:$G,0)),INDEX(Торг!$I:$I,MATCH(Прайс!$B1334,Торг!$H:$H,0))),"")</f>
        <v/>
      </c>
    </row>
    <row r="1335" spans="1:8" x14ac:dyDescent="0.25">
      <c r="A1335" s="94" t="s">
        <v>3152</v>
      </c>
      <c r="B1335" s="98">
        <v>71391</v>
      </c>
      <c r="C1335" s="98" t="s">
        <v>5796</v>
      </c>
      <c r="D1335" s="96" t="s">
        <v>161</v>
      </c>
      <c r="E1335" s="97">
        <v>275</v>
      </c>
      <c r="F1335" s="67" t="str">
        <f>IFERROR(IFERROR(INDEX(Кат!$A:$A,MATCH(Прайс!$B1335,Кат!$G:$G,0)),INDEX(Торг!$B:$B,MATCH(Прайс!$B1335,Торг!$H:$H,0))),"")</f>
        <v/>
      </c>
      <c r="G1335" s="67" t="str">
        <f>IFERROR(IFERROR(INDEX(Кат!$B:$B,MATCH(Прайс!$B1335,Кат!$G:$G,0)),INDEX(Торг!$C:$C,MATCH(Прайс!$B1335,Торг!$H:$H,0))),"")</f>
        <v/>
      </c>
      <c r="H1335" s="67" t="str">
        <f>IFERROR(IFERROR(INDEX(Кат!$I:$I,MATCH(Прайс!$B1335,Кат!$G:$G,0)),INDEX(Торг!$I:$I,MATCH(Прайс!$B1335,Торг!$H:$H,0))),"")</f>
        <v/>
      </c>
    </row>
    <row r="1336" spans="1:8" x14ac:dyDescent="0.25">
      <c r="A1336" s="94" t="s">
        <v>7583</v>
      </c>
      <c r="B1336" s="98">
        <v>72684</v>
      </c>
      <c r="C1336" s="98" t="s">
        <v>7584</v>
      </c>
      <c r="D1336" s="96" t="s">
        <v>161</v>
      </c>
      <c r="E1336" s="97">
        <v>275</v>
      </c>
      <c r="F1336" s="67" t="str">
        <f>IFERROR(IFERROR(INDEX(Кат!$A:$A,MATCH(Прайс!$B1336,Кат!$G:$G,0)),INDEX(Торг!$B:$B,MATCH(Прайс!$B1336,Торг!$H:$H,0))),"")</f>
        <v/>
      </c>
      <c r="G1336" s="67" t="str">
        <f>IFERROR(IFERROR(INDEX(Кат!$B:$B,MATCH(Прайс!$B1336,Кат!$G:$G,0)),INDEX(Торг!$C:$C,MATCH(Прайс!$B1336,Торг!$H:$H,0))),"")</f>
        <v/>
      </c>
      <c r="H1336" s="67" t="str">
        <f>IFERROR(IFERROR(INDEX(Кат!$I:$I,MATCH(Прайс!$B1336,Кат!$G:$G,0)),INDEX(Торг!$I:$I,MATCH(Прайс!$B1336,Торг!$H:$H,0))),"")</f>
        <v/>
      </c>
    </row>
    <row r="1337" spans="1:8" x14ac:dyDescent="0.25">
      <c r="A1337" s="94" t="s">
        <v>3153</v>
      </c>
      <c r="B1337" s="98">
        <v>71394</v>
      </c>
      <c r="C1337" s="98" t="s">
        <v>5797</v>
      </c>
      <c r="D1337" s="96" t="s">
        <v>161</v>
      </c>
      <c r="E1337" s="97">
        <v>275</v>
      </c>
      <c r="F1337" s="67" t="str">
        <f>IFERROR(IFERROR(INDEX(Кат!$A:$A,MATCH(Прайс!$B1337,Кат!$G:$G,0)),INDEX(Торг!$B:$B,MATCH(Прайс!$B1337,Торг!$H:$H,0))),"")</f>
        <v/>
      </c>
      <c r="G1337" s="67" t="str">
        <f>IFERROR(IFERROR(INDEX(Кат!$B:$B,MATCH(Прайс!$B1337,Кат!$G:$G,0)),INDEX(Торг!$C:$C,MATCH(Прайс!$B1337,Торг!$H:$H,0))),"")</f>
        <v/>
      </c>
      <c r="H1337" s="67" t="str">
        <f>IFERROR(IFERROR(INDEX(Кат!$I:$I,MATCH(Прайс!$B1337,Кат!$G:$G,0)),INDEX(Торг!$I:$I,MATCH(Прайс!$B1337,Торг!$H:$H,0))),"")</f>
        <v/>
      </c>
    </row>
    <row r="1338" spans="1:8" x14ac:dyDescent="0.25">
      <c r="A1338" s="94" t="s">
        <v>7585</v>
      </c>
      <c r="B1338" s="98">
        <v>72679</v>
      </c>
      <c r="C1338" s="98" t="s">
        <v>7586</v>
      </c>
      <c r="D1338" s="96" t="s">
        <v>161</v>
      </c>
      <c r="E1338" s="97">
        <v>275</v>
      </c>
      <c r="F1338" s="67" t="str">
        <f>IFERROR(IFERROR(INDEX(Кат!$A:$A,MATCH(Прайс!$B1338,Кат!$G:$G,0)),INDEX(Торг!$B:$B,MATCH(Прайс!$B1338,Торг!$H:$H,0))),"")</f>
        <v/>
      </c>
      <c r="G1338" s="67" t="str">
        <f>IFERROR(IFERROR(INDEX(Кат!$B:$B,MATCH(Прайс!$B1338,Кат!$G:$G,0)),INDEX(Торг!$C:$C,MATCH(Прайс!$B1338,Торг!$H:$H,0))),"")</f>
        <v/>
      </c>
      <c r="H1338" s="67" t="str">
        <f>IFERROR(IFERROR(INDEX(Кат!$I:$I,MATCH(Прайс!$B1338,Кат!$G:$G,0)),INDEX(Торг!$I:$I,MATCH(Прайс!$B1338,Торг!$H:$H,0))),"")</f>
        <v/>
      </c>
    </row>
    <row r="1339" spans="1:8" x14ac:dyDescent="0.25">
      <c r="A1339" s="94" t="s">
        <v>3154</v>
      </c>
      <c r="B1339" s="98">
        <v>72061</v>
      </c>
      <c r="C1339" s="98" t="s">
        <v>806</v>
      </c>
      <c r="D1339" s="96" t="s">
        <v>161</v>
      </c>
      <c r="E1339" s="97">
        <v>275</v>
      </c>
      <c r="F1339" s="67" t="str">
        <f>IFERROR(IFERROR(INDEX(Кат!$A:$A,MATCH(Прайс!$B1339,Кат!$G:$G,0)),INDEX(Торг!$B:$B,MATCH(Прайс!$B1339,Торг!$H:$H,0))),"")</f>
        <v/>
      </c>
      <c r="G1339" s="67" t="str">
        <f>IFERROR(IFERROR(INDEX(Кат!$B:$B,MATCH(Прайс!$B1339,Кат!$G:$G,0)),INDEX(Торг!$C:$C,MATCH(Прайс!$B1339,Торг!$H:$H,0))),"")</f>
        <v/>
      </c>
      <c r="H1339" s="67" t="str">
        <f>IFERROR(IFERROR(INDEX(Кат!$I:$I,MATCH(Прайс!$B1339,Кат!$G:$G,0)),INDEX(Торг!$I:$I,MATCH(Прайс!$B1339,Торг!$H:$H,0))),"")</f>
        <v/>
      </c>
    </row>
    <row r="1340" spans="1:8" x14ac:dyDescent="0.25">
      <c r="A1340" s="94" t="s">
        <v>3155</v>
      </c>
      <c r="B1340" s="98">
        <v>72059</v>
      </c>
      <c r="C1340" s="98" t="s">
        <v>807</v>
      </c>
      <c r="D1340" s="96" t="s">
        <v>161</v>
      </c>
      <c r="E1340" s="97">
        <v>275</v>
      </c>
      <c r="F1340" s="67" t="str">
        <f>IFERROR(IFERROR(INDEX(Кат!$A:$A,MATCH(Прайс!$B1340,Кат!$G:$G,0)),INDEX(Торг!$B:$B,MATCH(Прайс!$B1340,Торг!$H:$H,0))),"")</f>
        <v/>
      </c>
      <c r="G1340" s="67" t="str">
        <f>IFERROR(IFERROR(INDEX(Кат!$B:$B,MATCH(Прайс!$B1340,Кат!$G:$G,0)),INDEX(Торг!$C:$C,MATCH(Прайс!$B1340,Торг!$H:$H,0))),"")</f>
        <v/>
      </c>
      <c r="H1340" s="67" t="str">
        <f>IFERROR(IFERROR(INDEX(Кат!$I:$I,MATCH(Прайс!$B1340,Кат!$G:$G,0)),INDEX(Торг!$I:$I,MATCH(Прайс!$B1340,Торг!$H:$H,0))),"")</f>
        <v/>
      </c>
    </row>
    <row r="1341" spans="1:8" x14ac:dyDescent="0.25">
      <c r="A1341" s="94" t="s">
        <v>4895</v>
      </c>
      <c r="B1341" s="98">
        <v>72058</v>
      </c>
      <c r="C1341" s="98" t="s">
        <v>4896</v>
      </c>
      <c r="D1341" s="96" t="s">
        <v>804</v>
      </c>
      <c r="E1341" s="97">
        <v>275</v>
      </c>
      <c r="F1341" s="67" t="str">
        <f>IFERROR(IFERROR(INDEX(Кат!$A:$A,MATCH(Прайс!$B1341,Кат!$G:$G,0)),INDEX(Торг!$B:$B,MATCH(Прайс!$B1341,Торг!$H:$H,0))),"")</f>
        <v/>
      </c>
      <c r="G1341" s="67" t="str">
        <f>IFERROR(IFERROR(INDEX(Кат!$B:$B,MATCH(Прайс!$B1341,Кат!$G:$G,0)),INDEX(Торг!$C:$C,MATCH(Прайс!$B1341,Торг!$H:$H,0))),"")</f>
        <v/>
      </c>
      <c r="H1341" s="67" t="str">
        <f>IFERROR(IFERROR(INDEX(Кат!$I:$I,MATCH(Прайс!$B1341,Кат!$G:$G,0)),INDEX(Торг!$I:$I,MATCH(Прайс!$B1341,Торг!$H:$H,0))),"")</f>
        <v/>
      </c>
    </row>
    <row r="1342" spans="1:8" x14ac:dyDescent="0.25">
      <c r="A1342" s="94" t="s">
        <v>3156</v>
      </c>
      <c r="B1342" s="98">
        <v>70859</v>
      </c>
      <c r="C1342" s="98" t="s">
        <v>5798</v>
      </c>
      <c r="D1342" s="96" t="s">
        <v>804</v>
      </c>
      <c r="E1342" s="97">
        <v>275</v>
      </c>
      <c r="F1342" s="67" t="str">
        <f>IFERROR(IFERROR(INDEX(Кат!$A:$A,MATCH(Прайс!$B1342,Кат!$G:$G,0)),INDEX(Торг!$B:$B,MATCH(Прайс!$B1342,Торг!$H:$H,0))),"")</f>
        <v/>
      </c>
      <c r="G1342" s="67" t="str">
        <f>IFERROR(IFERROR(INDEX(Кат!$B:$B,MATCH(Прайс!$B1342,Кат!$G:$G,0)),INDEX(Торг!$C:$C,MATCH(Прайс!$B1342,Торг!$H:$H,0))),"")</f>
        <v/>
      </c>
      <c r="H1342" s="67" t="str">
        <f>IFERROR(IFERROR(INDEX(Кат!$I:$I,MATCH(Прайс!$B1342,Кат!$G:$G,0)),INDEX(Торг!$I:$I,MATCH(Прайс!$B1342,Торг!$H:$H,0))),"")</f>
        <v/>
      </c>
    </row>
    <row r="1343" spans="1:8" x14ac:dyDescent="0.25">
      <c r="A1343" s="94" t="s">
        <v>3157</v>
      </c>
      <c r="B1343" s="98">
        <v>70860</v>
      </c>
      <c r="C1343" s="98" t="s">
        <v>5799</v>
      </c>
      <c r="D1343" s="96" t="s">
        <v>804</v>
      </c>
      <c r="E1343" s="97">
        <v>275</v>
      </c>
      <c r="F1343" s="67" t="str">
        <f>IFERROR(IFERROR(INDEX(Кат!$A:$A,MATCH(Прайс!$B1343,Кат!$G:$G,0)),INDEX(Торг!$B:$B,MATCH(Прайс!$B1343,Торг!$H:$H,0))),"")</f>
        <v/>
      </c>
      <c r="G1343" s="67" t="str">
        <f>IFERROR(IFERROR(INDEX(Кат!$B:$B,MATCH(Прайс!$B1343,Кат!$G:$G,0)),INDEX(Торг!$C:$C,MATCH(Прайс!$B1343,Торг!$H:$H,0))),"")</f>
        <v/>
      </c>
      <c r="H1343" s="67" t="str">
        <f>IFERROR(IFERROR(INDEX(Кат!$I:$I,MATCH(Прайс!$B1343,Кат!$G:$G,0)),INDEX(Торг!$I:$I,MATCH(Прайс!$B1343,Торг!$H:$H,0))),"")</f>
        <v/>
      </c>
    </row>
    <row r="1344" spans="1:8" x14ac:dyDescent="0.25">
      <c r="A1344" s="94" t="s">
        <v>3158</v>
      </c>
      <c r="B1344" s="98">
        <v>70861</v>
      </c>
      <c r="C1344" s="98" t="s">
        <v>5800</v>
      </c>
      <c r="D1344" s="96" t="s">
        <v>804</v>
      </c>
      <c r="E1344" s="97">
        <v>275</v>
      </c>
      <c r="F1344" s="67" t="str">
        <f>IFERROR(IFERROR(INDEX(Кат!$A:$A,MATCH(Прайс!$B1344,Кат!$G:$G,0)),INDEX(Торг!$B:$B,MATCH(Прайс!$B1344,Торг!$H:$H,0))),"")</f>
        <v/>
      </c>
      <c r="G1344" s="67" t="str">
        <f>IFERROR(IFERROR(INDEX(Кат!$B:$B,MATCH(Прайс!$B1344,Кат!$G:$G,0)),INDEX(Торг!$C:$C,MATCH(Прайс!$B1344,Торг!$H:$H,0))),"")</f>
        <v/>
      </c>
      <c r="H1344" s="67" t="str">
        <f>IFERROR(IFERROR(INDEX(Кат!$I:$I,MATCH(Прайс!$B1344,Кат!$G:$G,0)),INDEX(Торг!$I:$I,MATCH(Прайс!$B1344,Торг!$H:$H,0))),"")</f>
        <v/>
      </c>
    </row>
    <row r="1345" spans="1:8" x14ac:dyDescent="0.25">
      <c r="A1345" s="94" t="s">
        <v>3159</v>
      </c>
      <c r="B1345" s="98">
        <v>70862</v>
      </c>
      <c r="C1345" s="98" t="s">
        <v>5801</v>
      </c>
      <c r="D1345" s="96" t="s">
        <v>804</v>
      </c>
      <c r="E1345" s="97">
        <v>275</v>
      </c>
      <c r="F1345" s="67" t="str">
        <f>IFERROR(IFERROR(INDEX(Кат!$A:$A,MATCH(Прайс!$B1345,Кат!$G:$G,0)),INDEX(Торг!$B:$B,MATCH(Прайс!$B1345,Торг!$H:$H,0))),"")</f>
        <v/>
      </c>
      <c r="G1345" s="67" t="str">
        <f>IFERROR(IFERROR(INDEX(Кат!$B:$B,MATCH(Прайс!$B1345,Кат!$G:$G,0)),INDEX(Торг!$C:$C,MATCH(Прайс!$B1345,Торг!$H:$H,0))),"")</f>
        <v/>
      </c>
      <c r="H1345" s="67" t="str">
        <f>IFERROR(IFERROR(INDEX(Кат!$I:$I,MATCH(Прайс!$B1345,Кат!$G:$G,0)),INDEX(Торг!$I:$I,MATCH(Прайс!$B1345,Торг!$H:$H,0))),"")</f>
        <v/>
      </c>
    </row>
    <row r="1346" spans="1:8" x14ac:dyDescent="0.25">
      <c r="A1346" s="94" t="s">
        <v>3160</v>
      </c>
      <c r="B1346" s="98">
        <v>70863</v>
      </c>
      <c r="C1346" s="98" t="s">
        <v>5802</v>
      </c>
      <c r="D1346" s="96" t="s">
        <v>804</v>
      </c>
      <c r="E1346" s="97">
        <v>275</v>
      </c>
      <c r="F1346" s="67" t="str">
        <f>IFERROR(IFERROR(INDEX(Кат!$A:$A,MATCH(Прайс!$B1346,Кат!$G:$G,0)),INDEX(Торг!$B:$B,MATCH(Прайс!$B1346,Торг!$H:$H,0))),"")</f>
        <v/>
      </c>
      <c r="G1346" s="67" t="str">
        <f>IFERROR(IFERROR(INDEX(Кат!$B:$B,MATCH(Прайс!$B1346,Кат!$G:$G,0)),INDEX(Торг!$C:$C,MATCH(Прайс!$B1346,Торг!$H:$H,0))),"")</f>
        <v/>
      </c>
      <c r="H1346" s="67" t="str">
        <f>IFERROR(IFERROR(INDEX(Кат!$I:$I,MATCH(Прайс!$B1346,Кат!$G:$G,0)),INDEX(Торг!$I:$I,MATCH(Прайс!$B1346,Торг!$H:$H,0))),"")</f>
        <v/>
      </c>
    </row>
    <row r="1347" spans="1:8" x14ac:dyDescent="0.25">
      <c r="A1347" s="94" t="s">
        <v>3161</v>
      </c>
      <c r="B1347" s="98">
        <v>72157</v>
      </c>
      <c r="C1347" s="98" t="s">
        <v>808</v>
      </c>
      <c r="D1347" s="96" t="s">
        <v>161</v>
      </c>
      <c r="E1347" s="97">
        <v>275</v>
      </c>
      <c r="F1347" s="67" t="str">
        <f>IFERROR(IFERROR(INDEX(Кат!$A:$A,MATCH(Прайс!$B1347,Кат!$G:$G,0)),INDEX(Торг!$B:$B,MATCH(Прайс!$B1347,Торг!$H:$H,0))),"")</f>
        <v/>
      </c>
      <c r="G1347" s="67" t="str">
        <f>IFERROR(IFERROR(INDEX(Кат!$B:$B,MATCH(Прайс!$B1347,Кат!$G:$G,0)),INDEX(Торг!$C:$C,MATCH(Прайс!$B1347,Торг!$H:$H,0))),"")</f>
        <v/>
      </c>
      <c r="H1347" s="67" t="str">
        <f>IFERROR(IFERROR(INDEX(Кат!$I:$I,MATCH(Прайс!$B1347,Кат!$G:$G,0)),INDEX(Торг!$I:$I,MATCH(Прайс!$B1347,Торг!$H:$H,0))),"")</f>
        <v/>
      </c>
    </row>
    <row r="1348" spans="1:8" x14ac:dyDescent="0.25">
      <c r="A1348" s="94" t="s">
        <v>7587</v>
      </c>
      <c r="B1348" s="98">
        <v>72680</v>
      </c>
      <c r="C1348" s="98" t="s">
        <v>7588</v>
      </c>
      <c r="D1348" s="96" t="s">
        <v>161</v>
      </c>
      <c r="E1348" s="97">
        <v>275</v>
      </c>
      <c r="F1348" s="67" t="str">
        <f>IFERROR(IFERROR(INDEX(Кат!$A:$A,MATCH(Прайс!$B1348,Кат!$G:$G,0)),INDEX(Торг!$B:$B,MATCH(Прайс!$B1348,Торг!$H:$H,0))),"")</f>
        <v/>
      </c>
      <c r="G1348" s="67" t="str">
        <f>IFERROR(IFERROR(INDEX(Кат!$B:$B,MATCH(Прайс!$B1348,Кат!$G:$G,0)),INDEX(Торг!$C:$C,MATCH(Прайс!$B1348,Торг!$H:$H,0))),"")</f>
        <v/>
      </c>
      <c r="H1348" s="67" t="str">
        <f>IFERROR(IFERROR(INDEX(Кат!$I:$I,MATCH(Прайс!$B1348,Кат!$G:$G,0)),INDEX(Торг!$I:$I,MATCH(Прайс!$B1348,Торг!$H:$H,0))),"")</f>
        <v/>
      </c>
    </row>
    <row r="1349" spans="1:8" x14ac:dyDescent="0.25">
      <c r="A1349" s="94" t="s">
        <v>3162</v>
      </c>
      <c r="B1349" s="98">
        <v>70864</v>
      </c>
      <c r="C1349" s="98" t="s">
        <v>5803</v>
      </c>
      <c r="D1349" s="96" t="s">
        <v>804</v>
      </c>
      <c r="E1349" s="97">
        <v>275</v>
      </c>
      <c r="F1349" s="67" t="str">
        <f>IFERROR(IFERROR(INDEX(Кат!$A:$A,MATCH(Прайс!$B1349,Кат!$G:$G,0)),INDEX(Торг!$B:$B,MATCH(Прайс!$B1349,Торг!$H:$H,0))),"")</f>
        <v/>
      </c>
      <c r="G1349" s="67" t="str">
        <f>IFERROR(IFERROR(INDEX(Кат!$B:$B,MATCH(Прайс!$B1349,Кат!$G:$G,0)),INDEX(Торг!$C:$C,MATCH(Прайс!$B1349,Торг!$H:$H,0))),"")</f>
        <v/>
      </c>
      <c r="H1349" s="67" t="str">
        <f>IFERROR(IFERROR(INDEX(Кат!$I:$I,MATCH(Прайс!$B1349,Кат!$G:$G,0)),INDEX(Торг!$I:$I,MATCH(Прайс!$B1349,Торг!$H:$H,0))),"")</f>
        <v/>
      </c>
    </row>
    <row r="1350" spans="1:8" x14ac:dyDescent="0.25">
      <c r="A1350" s="94" t="s">
        <v>3163</v>
      </c>
      <c r="B1350" s="98">
        <v>71393</v>
      </c>
      <c r="C1350" s="98" t="s">
        <v>5804</v>
      </c>
      <c r="D1350" s="96" t="s">
        <v>161</v>
      </c>
      <c r="E1350" s="97">
        <v>275</v>
      </c>
      <c r="F1350" s="67" t="str">
        <f>IFERROR(IFERROR(INDEX(Кат!$A:$A,MATCH(Прайс!$B1350,Кат!$G:$G,0)),INDEX(Торг!$B:$B,MATCH(Прайс!$B1350,Торг!$H:$H,0))),"")</f>
        <v/>
      </c>
      <c r="G1350" s="67" t="str">
        <f>IFERROR(IFERROR(INDEX(Кат!$B:$B,MATCH(Прайс!$B1350,Кат!$G:$G,0)),INDEX(Торг!$C:$C,MATCH(Прайс!$B1350,Торг!$H:$H,0))),"")</f>
        <v/>
      </c>
      <c r="H1350" s="67" t="str">
        <f>IFERROR(IFERROR(INDEX(Кат!$I:$I,MATCH(Прайс!$B1350,Кат!$G:$G,0)),INDEX(Торг!$I:$I,MATCH(Прайс!$B1350,Торг!$H:$H,0))),"")</f>
        <v/>
      </c>
    </row>
    <row r="1351" spans="1:8" x14ac:dyDescent="0.25">
      <c r="A1351" s="94" t="s">
        <v>3164</v>
      </c>
      <c r="B1351" s="98">
        <v>70866</v>
      </c>
      <c r="C1351" s="98" t="s">
        <v>5805</v>
      </c>
      <c r="D1351" s="96" t="s">
        <v>804</v>
      </c>
      <c r="E1351" s="97">
        <v>275</v>
      </c>
      <c r="F1351" s="67" t="str">
        <f>IFERROR(IFERROR(INDEX(Кат!$A:$A,MATCH(Прайс!$B1351,Кат!$G:$G,0)),INDEX(Торг!$B:$B,MATCH(Прайс!$B1351,Торг!$H:$H,0))),"")</f>
        <v/>
      </c>
      <c r="G1351" s="67" t="str">
        <f>IFERROR(IFERROR(INDEX(Кат!$B:$B,MATCH(Прайс!$B1351,Кат!$G:$G,0)),INDEX(Торг!$C:$C,MATCH(Прайс!$B1351,Торг!$H:$H,0))),"")</f>
        <v/>
      </c>
      <c r="H1351" s="67" t="str">
        <f>IFERROR(IFERROR(INDEX(Кат!$I:$I,MATCH(Прайс!$B1351,Кат!$G:$G,0)),INDEX(Торг!$I:$I,MATCH(Прайс!$B1351,Торг!$H:$H,0))),"")</f>
        <v/>
      </c>
    </row>
    <row r="1352" spans="1:8" x14ac:dyDescent="0.25">
      <c r="A1352" s="94" t="s">
        <v>3165</v>
      </c>
      <c r="B1352" s="98">
        <v>70867</v>
      </c>
      <c r="C1352" s="98" t="s">
        <v>5806</v>
      </c>
      <c r="D1352" s="96" t="s">
        <v>804</v>
      </c>
      <c r="E1352" s="97">
        <v>275</v>
      </c>
      <c r="F1352" s="67" t="str">
        <f>IFERROR(IFERROR(INDEX(Кат!$A:$A,MATCH(Прайс!$B1352,Кат!$G:$G,0)),INDEX(Торг!$B:$B,MATCH(Прайс!$B1352,Торг!$H:$H,0))),"")</f>
        <v/>
      </c>
      <c r="G1352" s="67" t="str">
        <f>IFERROR(IFERROR(INDEX(Кат!$B:$B,MATCH(Прайс!$B1352,Кат!$G:$G,0)),INDEX(Торг!$C:$C,MATCH(Прайс!$B1352,Торг!$H:$H,0))),"")</f>
        <v/>
      </c>
      <c r="H1352" s="67" t="str">
        <f>IFERROR(IFERROR(INDEX(Кат!$I:$I,MATCH(Прайс!$B1352,Кат!$G:$G,0)),INDEX(Торг!$I:$I,MATCH(Прайс!$B1352,Торг!$H:$H,0))),"")</f>
        <v/>
      </c>
    </row>
    <row r="1353" spans="1:8" x14ac:dyDescent="0.25">
      <c r="A1353" s="94" t="s">
        <v>3166</v>
      </c>
      <c r="B1353" s="98">
        <v>70868</v>
      </c>
      <c r="C1353" s="98" t="s">
        <v>5807</v>
      </c>
      <c r="D1353" s="96" t="s">
        <v>804</v>
      </c>
      <c r="E1353" s="97">
        <v>275</v>
      </c>
      <c r="F1353" s="67" t="str">
        <f>IFERROR(IFERROR(INDEX(Кат!$A:$A,MATCH(Прайс!$B1353,Кат!$G:$G,0)),INDEX(Торг!$B:$B,MATCH(Прайс!$B1353,Торг!$H:$H,0))),"")</f>
        <v/>
      </c>
      <c r="G1353" s="67" t="str">
        <f>IFERROR(IFERROR(INDEX(Кат!$B:$B,MATCH(Прайс!$B1353,Кат!$G:$G,0)),INDEX(Торг!$C:$C,MATCH(Прайс!$B1353,Торг!$H:$H,0))),"")</f>
        <v/>
      </c>
      <c r="H1353" s="67" t="str">
        <f>IFERROR(IFERROR(INDEX(Кат!$I:$I,MATCH(Прайс!$B1353,Кат!$G:$G,0)),INDEX(Торг!$I:$I,MATCH(Прайс!$B1353,Торг!$H:$H,0))),"")</f>
        <v/>
      </c>
    </row>
    <row r="1354" spans="1:8" x14ac:dyDescent="0.25">
      <c r="A1354" s="94" t="s">
        <v>3167</v>
      </c>
      <c r="B1354" s="98">
        <v>71392</v>
      </c>
      <c r="C1354" s="98" t="s">
        <v>5808</v>
      </c>
      <c r="D1354" s="96" t="s">
        <v>161</v>
      </c>
      <c r="E1354" s="97">
        <v>275</v>
      </c>
      <c r="F1354" s="67" t="str">
        <f>IFERROR(IFERROR(INDEX(Кат!$A:$A,MATCH(Прайс!$B1354,Кат!$G:$G,0)),INDEX(Торг!$B:$B,MATCH(Прайс!$B1354,Торг!$H:$H,0))),"")</f>
        <v/>
      </c>
      <c r="G1354" s="67" t="str">
        <f>IFERROR(IFERROR(INDEX(Кат!$B:$B,MATCH(Прайс!$B1354,Кат!$G:$G,0)),INDEX(Торг!$C:$C,MATCH(Прайс!$B1354,Торг!$H:$H,0))),"")</f>
        <v/>
      </c>
      <c r="H1354" s="67" t="str">
        <f>IFERROR(IFERROR(INDEX(Кат!$I:$I,MATCH(Прайс!$B1354,Кат!$G:$G,0)),INDEX(Торг!$I:$I,MATCH(Прайс!$B1354,Торг!$H:$H,0))),"")</f>
        <v/>
      </c>
    </row>
    <row r="1355" spans="1:8" x14ac:dyDescent="0.25">
      <c r="A1355" s="94" t="s">
        <v>3168</v>
      </c>
      <c r="B1355" s="98">
        <v>72158</v>
      </c>
      <c r="C1355" s="98" t="s">
        <v>809</v>
      </c>
      <c r="D1355" s="96" t="s">
        <v>161</v>
      </c>
      <c r="E1355" s="97">
        <v>275</v>
      </c>
      <c r="F1355" s="67" t="str">
        <f>IFERROR(IFERROR(INDEX(Кат!$A:$A,MATCH(Прайс!$B1355,Кат!$G:$G,0)),INDEX(Торг!$B:$B,MATCH(Прайс!$B1355,Торг!$H:$H,0))),"")</f>
        <v/>
      </c>
      <c r="G1355" s="67" t="str">
        <f>IFERROR(IFERROR(INDEX(Кат!$B:$B,MATCH(Прайс!$B1355,Кат!$G:$G,0)),INDEX(Торг!$C:$C,MATCH(Прайс!$B1355,Торг!$H:$H,0))),"")</f>
        <v/>
      </c>
      <c r="H1355" s="67" t="str">
        <f>IFERROR(IFERROR(INDEX(Кат!$I:$I,MATCH(Прайс!$B1355,Кат!$G:$G,0)),INDEX(Торг!$I:$I,MATCH(Прайс!$B1355,Торг!$H:$H,0))),"")</f>
        <v/>
      </c>
    </row>
    <row r="1356" spans="1:8" x14ac:dyDescent="0.25">
      <c r="A1356" s="94" t="s">
        <v>5809</v>
      </c>
      <c r="B1356" s="98">
        <v>70869</v>
      </c>
      <c r="C1356" s="98" t="s">
        <v>5810</v>
      </c>
      <c r="D1356" s="96" t="s">
        <v>804</v>
      </c>
      <c r="E1356" s="97">
        <v>275</v>
      </c>
      <c r="F1356" s="67" t="str">
        <f>IFERROR(IFERROR(INDEX(Кат!$A:$A,MATCH(Прайс!$B1356,Кат!$G:$G,0)),INDEX(Торг!$B:$B,MATCH(Прайс!$B1356,Торг!$H:$H,0))),"")</f>
        <v/>
      </c>
      <c r="G1356" s="67" t="str">
        <f>IFERROR(IFERROR(INDEX(Кат!$B:$B,MATCH(Прайс!$B1356,Кат!$G:$G,0)),INDEX(Торг!$C:$C,MATCH(Прайс!$B1356,Торг!$H:$H,0))),"")</f>
        <v/>
      </c>
      <c r="H1356" s="67" t="str">
        <f>IFERROR(IFERROR(INDEX(Кат!$I:$I,MATCH(Прайс!$B1356,Кат!$G:$G,0)),INDEX(Торг!$I:$I,MATCH(Прайс!$B1356,Торг!$H:$H,0))),"")</f>
        <v/>
      </c>
    </row>
    <row r="1357" spans="1:8" x14ac:dyDescent="0.25">
      <c r="A1357" s="94" t="s">
        <v>7589</v>
      </c>
      <c r="B1357" s="98">
        <v>72678</v>
      </c>
      <c r="C1357" s="98" t="s">
        <v>7590</v>
      </c>
      <c r="D1357" s="96" t="s">
        <v>161</v>
      </c>
      <c r="E1357" s="97">
        <v>275</v>
      </c>
      <c r="F1357" s="67" t="str">
        <f>IFERROR(IFERROR(INDEX(Кат!$A:$A,MATCH(Прайс!$B1357,Кат!$G:$G,0)),INDEX(Торг!$B:$B,MATCH(Прайс!$B1357,Торг!$H:$H,0))),"")</f>
        <v/>
      </c>
      <c r="G1357" s="67" t="str">
        <f>IFERROR(IFERROR(INDEX(Кат!$B:$B,MATCH(Прайс!$B1357,Кат!$G:$G,0)),INDEX(Торг!$C:$C,MATCH(Прайс!$B1357,Торг!$H:$H,0))),"")</f>
        <v/>
      </c>
      <c r="H1357" s="67" t="str">
        <f>IFERROR(IFERROR(INDEX(Кат!$I:$I,MATCH(Прайс!$B1357,Кат!$G:$G,0)),INDEX(Торг!$I:$I,MATCH(Прайс!$B1357,Торг!$H:$H,0))),"")</f>
        <v/>
      </c>
    </row>
    <row r="1358" spans="1:8" x14ac:dyDescent="0.25">
      <c r="A1358" s="94" t="s">
        <v>3169</v>
      </c>
      <c r="B1358" s="98">
        <v>71880</v>
      </c>
      <c r="C1358" s="98" t="s">
        <v>810</v>
      </c>
      <c r="D1358" s="96" t="s">
        <v>161</v>
      </c>
      <c r="E1358" s="97">
        <v>460</v>
      </c>
      <c r="F1358" s="67" t="str">
        <f>IFERROR(IFERROR(INDEX(Кат!$A:$A,MATCH(Прайс!$B1358,Кат!$G:$G,0)),INDEX(Торг!$B:$B,MATCH(Прайс!$B1358,Торг!$H:$H,0))),"")</f>
        <v/>
      </c>
      <c r="G1358" s="67" t="str">
        <f>IFERROR(IFERROR(INDEX(Кат!$B:$B,MATCH(Прайс!$B1358,Кат!$G:$G,0)),INDEX(Торг!$C:$C,MATCH(Прайс!$B1358,Торг!$H:$H,0))),"")</f>
        <v/>
      </c>
      <c r="H1358" s="67" t="str">
        <f>IFERROR(IFERROR(INDEX(Кат!$I:$I,MATCH(Прайс!$B1358,Кат!$G:$G,0)),INDEX(Торг!$I:$I,MATCH(Прайс!$B1358,Торг!$H:$H,0))),"")</f>
        <v/>
      </c>
    </row>
    <row r="1359" spans="1:8" x14ac:dyDescent="0.25">
      <c r="A1359" s="94" t="s">
        <v>3170</v>
      </c>
      <c r="B1359" s="98">
        <v>71387</v>
      </c>
      <c r="C1359" s="98" t="s">
        <v>811</v>
      </c>
      <c r="D1359" s="96" t="s">
        <v>161</v>
      </c>
      <c r="E1359" s="97">
        <v>460</v>
      </c>
      <c r="F1359" s="67" t="str">
        <f>IFERROR(IFERROR(INDEX(Кат!$A:$A,MATCH(Прайс!$B1359,Кат!$G:$G,0)),INDEX(Торг!$B:$B,MATCH(Прайс!$B1359,Торг!$H:$H,0))),"")</f>
        <v/>
      </c>
      <c r="G1359" s="67" t="str">
        <f>IFERROR(IFERROR(INDEX(Кат!$B:$B,MATCH(Прайс!$B1359,Кат!$G:$G,0)),INDEX(Торг!$C:$C,MATCH(Прайс!$B1359,Торг!$H:$H,0))),"")</f>
        <v/>
      </c>
      <c r="H1359" s="67" t="str">
        <f>IFERROR(IFERROR(INDEX(Кат!$I:$I,MATCH(Прайс!$B1359,Кат!$G:$G,0)),INDEX(Торг!$I:$I,MATCH(Прайс!$B1359,Торг!$H:$H,0))),"")</f>
        <v/>
      </c>
    </row>
    <row r="1360" spans="1:8" x14ac:dyDescent="0.25">
      <c r="A1360" s="94" t="s">
        <v>7591</v>
      </c>
      <c r="B1360" s="98">
        <v>72690</v>
      </c>
      <c r="C1360" s="98" t="s">
        <v>7592</v>
      </c>
      <c r="D1360" s="96" t="s">
        <v>161</v>
      </c>
      <c r="E1360" s="97">
        <v>460</v>
      </c>
      <c r="F1360" s="67" t="str">
        <f>IFERROR(IFERROR(INDEX(Кат!$A:$A,MATCH(Прайс!$B1360,Кат!$G:$G,0)),INDEX(Торг!$B:$B,MATCH(Прайс!$B1360,Торг!$H:$H,0))),"")</f>
        <v/>
      </c>
      <c r="G1360" s="67" t="str">
        <f>IFERROR(IFERROR(INDEX(Кат!$B:$B,MATCH(Прайс!$B1360,Кат!$G:$G,0)),INDEX(Торг!$C:$C,MATCH(Прайс!$B1360,Торг!$H:$H,0))),"")</f>
        <v/>
      </c>
      <c r="H1360" s="67" t="str">
        <f>IFERROR(IFERROR(INDEX(Кат!$I:$I,MATCH(Прайс!$B1360,Кат!$G:$G,0)),INDEX(Торг!$I:$I,MATCH(Прайс!$B1360,Торг!$H:$H,0))),"")</f>
        <v/>
      </c>
    </row>
    <row r="1361" spans="1:8" x14ac:dyDescent="0.25">
      <c r="A1361" s="94" t="s">
        <v>3171</v>
      </c>
      <c r="B1361" s="98">
        <v>70836</v>
      </c>
      <c r="C1361" s="98" t="s">
        <v>812</v>
      </c>
      <c r="D1361" s="96" t="s">
        <v>804</v>
      </c>
      <c r="E1361" s="97">
        <v>460</v>
      </c>
      <c r="F1361" s="67" t="str">
        <f>IFERROR(IFERROR(INDEX(Кат!$A:$A,MATCH(Прайс!$B1361,Кат!$G:$G,0)),INDEX(Торг!$B:$B,MATCH(Прайс!$B1361,Торг!$H:$H,0))),"")</f>
        <v/>
      </c>
      <c r="G1361" s="67" t="str">
        <f>IFERROR(IFERROR(INDEX(Кат!$B:$B,MATCH(Прайс!$B1361,Кат!$G:$G,0)),INDEX(Торг!$C:$C,MATCH(Прайс!$B1361,Торг!$H:$H,0))),"")</f>
        <v/>
      </c>
      <c r="H1361" s="67" t="str">
        <f>IFERROR(IFERROR(INDEX(Кат!$I:$I,MATCH(Прайс!$B1361,Кат!$G:$G,0)),INDEX(Торг!$I:$I,MATCH(Прайс!$B1361,Торг!$H:$H,0))),"")</f>
        <v/>
      </c>
    </row>
    <row r="1362" spans="1:8" x14ac:dyDescent="0.25">
      <c r="A1362" s="94" t="s">
        <v>7593</v>
      </c>
      <c r="B1362" s="98">
        <v>72688</v>
      </c>
      <c r="C1362" s="98" t="s">
        <v>7594</v>
      </c>
      <c r="D1362" s="96" t="s">
        <v>161</v>
      </c>
      <c r="E1362" s="97">
        <v>460</v>
      </c>
      <c r="F1362" s="67" t="str">
        <f>IFERROR(IFERROR(INDEX(Кат!$A:$A,MATCH(Прайс!$B1362,Кат!$G:$G,0)),INDEX(Торг!$B:$B,MATCH(Прайс!$B1362,Торг!$H:$H,0))),"")</f>
        <v/>
      </c>
      <c r="G1362" s="67" t="str">
        <f>IFERROR(IFERROR(INDEX(Кат!$B:$B,MATCH(Прайс!$B1362,Кат!$G:$G,0)),INDEX(Торг!$C:$C,MATCH(Прайс!$B1362,Торг!$H:$H,0))),"")</f>
        <v/>
      </c>
      <c r="H1362" s="67" t="str">
        <f>IFERROR(IFERROR(INDEX(Кат!$I:$I,MATCH(Прайс!$B1362,Кат!$G:$G,0)),INDEX(Торг!$I:$I,MATCH(Прайс!$B1362,Торг!$H:$H,0))),"")</f>
        <v/>
      </c>
    </row>
    <row r="1363" spans="1:8" x14ac:dyDescent="0.25">
      <c r="A1363" s="94" t="s">
        <v>3172</v>
      </c>
      <c r="B1363" s="98">
        <v>72087</v>
      </c>
      <c r="C1363" s="98" t="s">
        <v>813</v>
      </c>
      <c r="D1363" s="96" t="s">
        <v>161</v>
      </c>
      <c r="E1363" s="97">
        <v>460</v>
      </c>
      <c r="F1363" s="67" t="str">
        <f>IFERROR(IFERROR(INDEX(Кат!$A:$A,MATCH(Прайс!$B1363,Кат!$G:$G,0)),INDEX(Торг!$B:$B,MATCH(Прайс!$B1363,Торг!$H:$H,0))),"")</f>
        <v/>
      </c>
      <c r="G1363" s="67" t="str">
        <f>IFERROR(IFERROR(INDEX(Кат!$B:$B,MATCH(Прайс!$B1363,Кат!$G:$G,0)),INDEX(Торг!$C:$C,MATCH(Прайс!$B1363,Торг!$H:$H,0))),"")</f>
        <v/>
      </c>
      <c r="H1363" s="67" t="str">
        <f>IFERROR(IFERROR(INDEX(Кат!$I:$I,MATCH(Прайс!$B1363,Кат!$G:$G,0)),INDEX(Торг!$I:$I,MATCH(Прайс!$B1363,Торг!$H:$H,0))),"")</f>
        <v/>
      </c>
    </row>
    <row r="1364" spans="1:8" x14ac:dyDescent="0.25">
      <c r="A1364" s="94" t="s">
        <v>3173</v>
      </c>
      <c r="B1364" s="98">
        <v>72089</v>
      </c>
      <c r="C1364" s="98" t="s">
        <v>814</v>
      </c>
      <c r="D1364" s="96" t="s">
        <v>161</v>
      </c>
      <c r="E1364" s="97">
        <v>460</v>
      </c>
      <c r="F1364" s="67" t="str">
        <f>IFERROR(IFERROR(INDEX(Кат!$A:$A,MATCH(Прайс!$B1364,Кат!$G:$G,0)),INDEX(Торг!$B:$B,MATCH(Прайс!$B1364,Торг!$H:$H,0))),"")</f>
        <v/>
      </c>
      <c r="G1364" s="67" t="str">
        <f>IFERROR(IFERROR(INDEX(Кат!$B:$B,MATCH(Прайс!$B1364,Кат!$G:$G,0)),INDEX(Торг!$C:$C,MATCH(Прайс!$B1364,Торг!$H:$H,0))),"")</f>
        <v/>
      </c>
      <c r="H1364" s="67" t="str">
        <f>IFERROR(IFERROR(INDEX(Кат!$I:$I,MATCH(Прайс!$B1364,Кат!$G:$G,0)),INDEX(Торг!$I:$I,MATCH(Прайс!$B1364,Торг!$H:$H,0))),"")</f>
        <v/>
      </c>
    </row>
    <row r="1365" spans="1:8" x14ac:dyDescent="0.25">
      <c r="A1365" s="94" t="s">
        <v>7595</v>
      </c>
      <c r="B1365" s="98">
        <v>72689</v>
      </c>
      <c r="C1365" s="98" t="s">
        <v>7596</v>
      </c>
      <c r="D1365" s="96" t="s">
        <v>161</v>
      </c>
      <c r="E1365" s="97">
        <v>460</v>
      </c>
      <c r="F1365" s="67" t="str">
        <f>IFERROR(IFERROR(INDEX(Кат!$A:$A,MATCH(Прайс!$B1365,Кат!$G:$G,0)),INDEX(Торг!$B:$B,MATCH(Прайс!$B1365,Торг!$H:$H,0))),"")</f>
        <v/>
      </c>
      <c r="G1365" s="67" t="str">
        <f>IFERROR(IFERROR(INDEX(Кат!$B:$B,MATCH(Прайс!$B1365,Кат!$G:$G,0)),INDEX(Торг!$C:$C,MATCH(Прайс!$B1365,Торг!$H:$H,0))),"")</f>
        <v/>
      </c>
      <c r="H1365" s="67" t="str">
        <f>IFERROR(IFERROR(INDEX(Кат!$I:$I,MATCH(Прайс!$B1365,Кат!$G:$G,0)),INDEX(Торг!$I:$I,MATCH(Прайс!$B1365,Торг!$H:$H,0))),"")</f>
        <v/>
      </c>
    </row>
    <row r="1366" spans="1:8" x14ac:dyDescent="0.25">
      <c r="A1366" s="94" t="s">
        <v>3174</v>
      </c>
      <c r="B1366" s="98">
        <v>71390</v>
      </c>
      <c r="C1366" s="98" t="s">
        <v>815</v>
      </c>
      <c r="D1366" s="96" t="s">
        <v>161</v>
      </c>
      <c r="E1366" s="97">
        <v>460</v>
      </c>
      <c r="F1366" s="67" t="str">
        <f>IFERROR(IFERROR(INDEX(Кат!$A:$A,MATCH(Прайс!$B1366,Кат!$G:$G,0)),INDEX(Торг!$B:$B,MATCH(Прайс!$B1366,Торг!$H:$H,0))),"")</f>
        <v/>
      </c>
      <c r="G1366" s="67" t="str">
        <f>IFERROR(IFERROR(INDEX(Кат!$B:$B,MATCH(Прайс!$B1366,Кат!$G:$G,0)),INDEX(Торг!$C:$C,MATCH(Прайс!$B1366,Торг!$H:$H,0))),"")</f>
        <v/>
      </c>
      <c r="H1366" s="67" t="str">
        <f>IFERROR(IFERROR(INDEX(Кат!$I:$I,MATCH(Прайс!$B1366,Кат!$G:$G,0)),INDEX(Торг!$I:$I,MATCH(Прайс!$B1366,Торг!$H:$H,0))),"")</f>
        <v/>
      </c>
    </row>
    <row r="1367" spans="1:8" x14ac:dyDescent="0.25">
      <c r="A1367" s="94" t="s">
        <v>7597</v>
      </c>
      <c r="B1367" s="98">
        <v>72691</v>
      </c>
      <c r="C1367" s="98" t="s">
        <v>7598</v>
      </c>
      <c r="D1367" s="96" t="s">
        <v>161</v>
      </c>
      <c r="E1367" s="97">
        <v>460</v>
      </c>
      <c r="F1367" s="67" t="str">
        <f>IFERROR(IFERROR(INDEX(Кат!$A:$A,MATCH(Прайс!$B1367,Кат!$G:$G,0)),INDEX(Торг!$B:$B,MATCH(Прайс!$B1367,Торг!$H:$H,0))),"")</f>
        <v/>
      </c>
      <c r="G1367" s="67" t="str">
        <f>IFERROR(IFERROR(INDEX(Кат!$B:$B,MATCH(Прайс!$B1367,Кат!$G:$G,0)),INDEX(Торг!$C:$C,MATCH(Прайс!$B1367,Торг!$H:$H,0))),"")</f>
        <v/>
      </c>
      <c r="H1367" s="67" t="str">
        <f>IFERROR(IFERROR(INDEX(Кат!$I:$I,MATCH(Прайс!$B1367,Кат!$G:$G,0)),INDEX(Торг!$I:$I,MATCH(Прайс!$B1367,Торг!$H:$H,0))),"")</f>
        <v/>
      </c>
    </row>
    <row r="1368" spans="1:8" x14ac:dyDescent="0.25">
      <c r="A1368" s="94" t="s">
        <v>3175</v>
      </c>
      <c r="B1368" s="98">
        <v>71389</v>
      </c>
      <c r="C1368" s="98" t="s">
        <v>816</v>
      </c>
      <c r="D1368" s="96" t="s">
        <v>161</v>
      </c>
      <c r="E1368" s="97">
        <v>460</v>
      </c>
      <c r="F1368" s="67" t="str">
        <f>IFERROR(IFERROR(INDEX(Кат!$A:$A,MATCH(Прайс!$B1368,Кат!$G:$G,0)),INDEX(Торг!$B:$B,MATCH(Прайс!$B1368,Торг!$H:$H,0))),"")</f>
        <v/>
      </c>
      <c r="G1368" s="67" t="str">
        <f>IFERROR(IFERROR(INDEX(Кат!$B:$B,MATCH(Прайс!$B1368,Кат!$G:$G,0)),INDEX(Торг!$C:$C,MATCH(Прайс!$B1368,Торг!$H:$H,0))),"")</f>
        <v/>
      </c>
      <c r="H1368" s="67" t="str">
        <f>IFERROR(IFERROR(INDEX(Кат!$I:$I,MATCH(Прайс!$B1368,Кат!$G:$G,0)),INDEX(Торг!$I:$I,MATCH(Прайс!$B1368,Торг!$H:$H,0))),"")</f>
        <v/>
      </c>
    </row>
    <row r="1369" spans="1:8" x14ac:dyDescent="0.25">
      <c r="A1369" s="94" t="s">
        <v>7599</v>
      </c>
      <c r="B1369" s="98">
        <v>72686</v>
      </c>
      <c r="C1369" s="98" t="s">
        <v>7600</v>
      </c>
      <c r="D1369" s="96" t="s">
        <v>161</v>
      </c>
      <c r="E1369" s="97">
        <v>460</v>
      </c>
      <c r="F1369" s="67" t="str">
        <f>IFERROR(IFERROR(INDEX(Кат!$A:$A,MATCH(Прайс!$B1369,Кат!$G:$G,0)),INDEX(Торг!$B:$B,MATCH(Прайс!$B1369,Торг!$H:$H,0))),"")</f>
        <v/>
      </c>
      <c r="G1369" s="67" t="str">
        <f>IFERROR(IFERROR(INDEX(Кат!$B:$B,MATCH(Прайс!$B1369,Кат!$G:$G,0)),INDEX(Торг!$C:$C,MATCH(Прайс!$B1369,Торг!$H:$H,0))),"")</f>
        <v/>
      </c>
      <c r="H1369" s="67" t="str">
        <f>IFERROR(IFERROR(INDEX(Кат!$I:$I,MATCH(Прайс!$B1369,Кат!$G:$G,0)),INDEX(Торг!$I:$I,MATCH(Прайс!$B1369,Торг!$H:$H,0))),"")</f>
        <v/>
      </c>
    </row>
    <row r="1370" spans="1:8" x14ac:dyDescent="0.25">
      <c r="A1370" s="94" t="s">
        <v>3176</v>
      </c>
      <c r="B1370" s="98">
        <v>72088</v>
      </c>
      <c r="C1370" s="98" t="s">
        <v>817</v>
      </c>
      <c r="D1370" s="96" t="s">
        <v>161</v>
      </c>
      <c r="E1370" s="97">
        <v>460</v>
      </c>
      <c r="F1370" s="67" t="str">
        <f>IFERROR(IFERROR(INDEX(Кат!$A:$A,MATCH(Прайс!$B1370,Кат!$G:$G,0)),INDEX(Торг!$B:$B,MATCH(Прайс!$B1370,Торг!$H:$H,0))),"")</f>
        <v/>
      </c>
      <c r="G1370" s="67" t="str">
        <f>IFERROR(IFERROR(INDEX(Кат!$B:$B,MATCH(Прайс!$B1370,Кат!$G:$G,0)),INDEX(Торг!$C:$C,MATCH(Прайс!$B1370,Торг!$H:$H,0))),"")</f>
        <v/>
      </c>
      <c r="H1370" s="67" t="str">
        <f>IFERROR(IFERROR(INDEX(Кат!$I:$I,MATCH(Прайс!$B1370,Кат!$G:$G,0)),INDEX(Торг!$I:$I,MATCH(Прайс!$B1370,Торг!$H:$H,0))),"")</f>
        <v/>
      </c>
    </row>
    <row r="1371" spans="1:8" x14ac:dyDescent="0.25">
      <c r="A1371" s="94" t="s">
        <v>3177</v>
      </c>
      <c r="B1371" s="98">
        <v>72091</v>
      </c>
      <c r="C1371" s="98" t="s">
        <v>818</v>
      </c>
      <c r="D1371" s="96" t="s">
        <v>161</v>
      </c>
      <c r="E1371" s="97">
        <v>460</v>
      </c>
      <c r="F1371" s="67" t="str">
        <f>IFERROR(IFERROR(INDEX(Кат!$A:$A,MATCH(Прайс!$B1371,Кат!$G:$G,0)),INDEX(Торг!$B:$B,MATCH(Прайс!$B1371,Торг!$H:$H,0))),"")</f>
        <v/>
      </c>
      <c r="G1371" s="67" t="str">
        <f>IFERROR(IFERROR(INDEX(Кат!$B:$B,MATCH(Прайс!$B1371,Кат!$G:$G,0)),INDEX(Торг!$C:$C,MATCH(Прайс!$B1371,Торг!$H:$H,0))),"")</f>
        <v/>
      </c>
      <c r="H1371" s="67" t="str">
        <f>IFERROR(IFERROR(INDEX(Кат!$I:$I,MATCH(Прайс!$B1371,Кат!$G:$G,0)),INDEX(Торг!$I:$I,MATCH(Прайс!$B1371,Торг!$H:$H,0))),"")</f>
        <v/>
      </c>
    </row>
    <row r="1372" spans="1:8" x14ac:dyDescent="0.25">
      <c r="A1372" s="94" t="s">
        <v>3178</v>
      </c>
      <c r="B1372" s="98">
        <v>72090</v>
      </c>
      <c r="C1372" s="98" t="s">
        <v>819</v>
      </c>
      <c r="D1372" s="96" t="s">
        <v>804</v>
      </c>
      <c r="E1372" s="97">
        <v>460</v>
      </c>
      <c r="F1372" s="67" t="str">
        <f>IFERROR(IFERROR(INDEX(Кат!$A:$A,MATCH(Прайс!$B1372,Кат!$G:$G,0)),INDEX(Торг!$B:$B,MATCH(Прайс!$B1372,Торг!$H:$H,0))),"")</f>
        <v/>
      </c>
      <c r="G1372" s="67" t="str">
        <f>IFERROR(IFERROR(INDEX(Кат!$B:$B,MATCH(Прайс!$B1372,Кат!$G:$G,0)),INDEX(Торг!$C:$C,MATCH(Прайс!$B1372,Торг!$H:$H,0))),"")</f>
        <v/>
      </c>
      <c r="H1372" s="67" t="str">
        <f>IFERROR(IFERROR(INDEX(Кат!$I:$I,MATCH(Прайс!$B1372,Кат!$G:$G,0)),INDEX(Торг!$I:$I,MATCH(Прайс!$B1372,Торг!$H:$H,0))),"")</f>
        <v/>
      </c>
    </row>
    <row r="1373" spans="1:8" x14ac:dyDescent="0.25">
      <c r="A1373" s="94" t="s">
        <v>3179</v>
      </c>
      <c r="B1373" s="98">
        <v>70841</v>
      </c>
      <c r="C1373" s="98" t="s">
        <v>820</v>
      </c>
      <c r="D1373" s="96" t="s">
        <v>804</v>
      </c>
      <c r="E1373" s="97">
        <v>460</v>
      </c>
      <c r="F1373" s="67" t="str">
        <f>IFERROR(IFERROR(INDEX(Кат!$A:$A,MATCH(Прайс!$B1373,Кат!$G:$G,0)),INDEX(Торг!$B:$B,MATCH(Прайс!$B1373,Торг!$H:$H,0))),"")</f>
        <v/>
      </c>
      <c r="G1373" s="67" t="str">
        <f>IFERROR(IFERROR(INDEX(Кат!$B:$B,MATCH(Прайс!$B1373,Кат!$G:$G,0)),INDEX(Торг!$C:$C,MATCH(Прайс!$B1373,Торг!$H:$H,0))),"")</f>
        <v/>
      </c>
      <c r="H1373" s="67" t="str">
        <f>IFERROR(IFERROR(INDEX(Кат!$I:$I,MATCH(Прайс!$B1373,Кат!$G:$G,0)),INDEX(Торг!$I:$I,MATCH(Прайс!$B1373,Торг!$H:$H,0))),"")</f>
        <v/>
      </c>
    </row>
    <row r="1374" spans="1:8" x14ac:dyDescent="0.25">
      <c r="A1374" s="94" t="s">
        <v>3180</v>
      </c>
      <c r="B1374" s="98">
        <v>70842</v>
      </c>
      <c r="C1374" s="98" t="s">
        <v>821</v>
      </c>
      <c r="D1374" s="96" t="s">
        <v>804</v>
      </c>
      <c r="E1374" s="97">
        <v>460</v>
      </c>
      <c r="F1374" s="67" t="str">
        <f>IFERROR(IFERROR(INDEX(Кат!$A:$A,MATCH(Прайс!$B1374,Кат!$G:$G,0)),INDEX(Торг!$B:$B,MATCH(Прайс!$B1374,Торг!$H:$H,0))),"")</f>
        <v/>
      </c>
      <c r="G1374" s="67" t="str">
        <f>IFERROR(IFERROR(INDEX(Кат!$B:$B,MATCH(Прайс!$B1374,Кат!$G:$G,0)),INDEX(Торг!$C:$C,MATCH(Прайс!$B1374,Торг!$H:$H,0))),"")</f>
        <v/>
      </c>
      <c r="H1374" s="67" t="str">
        <f>IFERROR(IFERROR(INDEX(Кат!$I:$I,MATCH(Прайс!$B1374,Кат!$G:$G,0)),INDEX(Торг!$I:$I,MATCH(Прайс!$B1374,Торг!$H:$H,0))),"")</f>
        <v/>
      </c>
    </row>
    <row r="1375" spans="1:8" x14ac:dyDescent="0.25">
      <c r="A1375" s="94" t="s">
        <v>3181</v>
      </c>
      <c r="B1375" s="98">
        <v>70843</v>
      </c>
      <c r="C1375" s="98" t="s">
        <v>822</v>
      </c>
      <c r="D1375" s="96" t="s">
        <v>804</v>
      </c>
      <c r="E1375" s="97">
        <v>460</v>
      </c>
      <c r="F1375" s="67" t="str">
        <f>IFERROR(IFERROR(INDEX(Кат!$A:$A,MATCH(Прайс!$B1375,Кат!$G:$G,0)),INDEX(Торг!$B:$B,MATCH(Прайс!$B1375,Торг!$H:$H,0))),"")</f>
        <v/>
      </c>
      <c r="G1375" s="67" t="str">
        <f>IFERROR(IFERROR(INDEX(Кат!$B:$B,MATCH(Прайс!$B1375,Кат!$G:$G,0)),INDEX(Торг!$C:$C,MATCH(Прайс!$B1375,Торг!$H:$H,0))),"")</f>
        <v/>
      </c>
      <c r="H1375" s="67" t="str">
        <f>IFERROR(IFERROR(INDEX(Кат!$I:$I,MATCH(Прайс!$B1375,Кат!$G:$G,0)),INDEX(Торг!$I:$I,MATCH(Прайс!$B1375,Торг!$H:$H,0))),"")</f>
        <v/>
      </c>
    </row>
    <row r="1376" spans="1:8" x14ac:dyDescent="0.25">
      <c r="A1376" s="94" t="s">
        <v>3182</v>
      </c>
      <c r="B1376" s="98">
        <v>71878</v>
      </c>
      <c r="C1376" s="98" t="s">
        <v>823</v>
      </c>
      <c r="D1376" s="96" t="s">
        <v>161</v>
      </c>
      <c r="E1376" s="97">
        <v>460</v>
      </c>
      <c r="F1376" s="67" t="str">
        <f>IFERROR(IFERROR(INDEX(Кат!$A:$A,MATCH(Прайс!$B1376,Кат!$G:$G,0)),INDEX(Торг!$B:$B,MATCH(Прайс!$B1376,Торг!$H:$H,0))),"")</f>
        <v/>
      </c>
      <c r="G1376" s="67" t="str">
        <f>IFERROR(IFERROR(INDEX(Кат!$B:$B,MATCH(Прайс!$B1376,Кат!$G:$G,0)),INDEX(Торг!$C:$C,MATCH(Прайс!$B1376,Торг!$H:$H,0))),"")</f>
        <v/>
      </c>
      <c r="H1376" s="67" t="str">
        <f>IFERROR(IFERROR(INDEX(Кат!$I:$I,MATCH(Прайс!$B1376,Кат!$G:$G,0)),INDEX(Торг!$I:$I,MATCH(Прайс!$B1376,Торг!$H:$H,0))),"")</f>
        <v/>
      </c>
    </row>
    <row r="1377" spans="1:8" x14ac:dyDescent="0.25">
      <c r="A1377" s="94" t="s">
        <v>3183</v>
      </c>
      <c r="B1377" s="98">
        <v>70844</v>
      </c>
      <c r="C1377" s="98" t="s">
        <v>824</v>
      </c>
      <c r="D1377" s="96" t="s">
        <v>804</v>
      </c>
      <c r="E1377" s="97">
        <v>460</v>
      </c>
      <c r="F1377" s="67" t="str">
        <f>IFERROR(IFERROR(INDEX(Кат!$A:$A,MATCH(Прайс!$B1377,Кат!$G:$G,0)),INDEX(Торг!$B:$B,MATCH(Прайс!$B1377,Торг!$H:$H,0))),"")</f>
        <v/>
      </c>
      <c r="G1377" s="67" t="str">
        <f>IFERROR(IFERROR(INDEX(Кат!$B:$B,MATCH(Прайс!$B1377,Кат!$G:$G,0)),INDEX(Торг!$C:$C,MATCH(Прайс!$B1377,Торг!$H:$H,0))),"")</f>
        <v/>
      </c>
      <c r="H1377" s="67" t="str">
        <f>IFERROR(IFERROR(INDEX(Кат!$I:$I,MATCH(Прайс!$B1377,Кат!$G:$G,0)),INDEX(Торг!$I:$I,MATCH(Прайс!$B1377,Торг!$H:$H,0))),"")</f>
        <v/>
      </c>
    </row>
    <row r="1378" spans="1:8" x14ac:dyDescent="0.25">
      <c r="A1378" s="94" t="s">
        <v>3184</v>
      </c>
      <c r="B1378" s="98">
        <v>71825</v>
      </c>
      <c r="C1378" s="98" t="s">
        <v>825</v>
      </c>
      <c r="D1378" s="96" t="s">
        <v>161</v>
      </c>
      <c r="E1378" s="97">
        <v>460</v>
      </c>
      <c r="F1378" s="67" t="str">
        <f>IFERROR(IFERROR(INDEX(Кат!$A:$A,MATCH(Прайс!$B1378,Кат!$G:$G,0)),INDEX(Торг!$B:$B,MATCH(Прайс!$B1378,Торг!$H:$H,0))),"")</f>
        <v/>
      </c>
      <c r="G1378" s="67" t="str">
        <f>IFERROR(IFERROR(INDEX(Кат!$B:$B,MATCH(Прайс!$B1378,Кат!$G:$G,0)),INDEX(Торг!$C:$C,MATCH(Прайс!$B1378,Торг!$H:$H,0))),"")</f>
        <v/>
      </c>
      <c r="H1378" s="67" t="str">
        <f>IFERROR(IFERROR(INDEX(Кат!$I:$I,MATCH(Прайс!$B1378,Кат!$G:$G,0)),INDEX(Торг!$I:$I,MATCH(Прайс!$B1378,Торг!$H:$H,0))),"")</f>
        <v/>
      </c>
    </row>
    <row r="1379" spans="1:8" x14ac:dyDescent="0.25">
      <c r="A1379" s="94" t="s">
        <v>3185</v>
      </c>
      <c r="B1379" s="98">
        <v>71879</v>
      </c>
      <c r="C1379" s="98" t="s">
        <v>826</v>
      </c>
      <c r="D1379" s="96" t="s">
        <v>161</v>
      </c>
      <c r="E1379" s="97">
        <v>460</v>
      </c>
      <c r="F1379" s="67" t="str">
        <f>IFERROR(IFERROR(INDEX(Кат!$A:$A,MATCH(Прайс!$B1379,Кат!$G:$G,0)),INDEX(Торг!$B:$B,MATCH(Прайс!$B1379,Торг!$H:$H,0))),"")</f>
        <v/>
      </c>
      <c r="G1379" s="67" t="str">
        <f>IFERROR(IFERROR(INDEX(Кат!$B:$B,MATCH(Прайс!$B1379,Кат!$G:$G,0)),INDEX(Торг!$C:$C,MATCH(Прайс!$B1379,Торг!$H:$H,0))),"")</f>
        <v/>
      </c>
      <c r="H1379" s="67" t="str">
        <f>IFERROR(IFERROR(INDEX(Кат!$I:$I,MATCH(Прайс!$B1379,Кат!$G:$G,0)),INDEX(Торг!$I:$I,MATCH(Прайс!$B1379,Торг!$H:$H,0))),"")</f>
        <v/>
      </c>
    </row>
    <row r="1380" spans="1:8" x14ac:dyDescent="0.25">
      <c r="A1380" s="94" t="s">
        <v>7601</v>
      </c>
      <c r="B1380" s="98">
        <v>72687</v>
      </c>
      <c r="C1380" s="98" t="s">
        <v>7602</v>
      </c>
      <c r="D1380" s="96" t="s">
        <v>161</v>
      </c>
      <c r="E1380" s="97">
        <v>460</v>
      </c>
      <c r="F1380" s="67" t="str">
        <f>IFERROR(IFERROR(INDEX(Кат!$A:$A,MATCH(Прайс!$B1380,Кат!$G:$G,0)),INDEX(Торг!$B:$B,MATCH(Прайс!$B1380,Торг!$H:$H,0))),"")</f>
        <v/>
      </c>
      <c r="G1380" s="67" t="str">
        <f>IFERROR(IFERROR(INDEX(Кат!$B:$B,MATCH(Прайс!$B1380,Кат!$G:$G,0)),INDEX(Торг!$C:$C,MATCH(Прайс!$B1380,Торг!$H:$H,0))),"")</f>
        <v/>
      </c>
      <c r="H1380" s="67" t="str">
        <f>IFERROR(IFERROR(INDEX(Кат!$I:$I,MATCH(Прайс!$B1380,Кат!$G:$G,0)),INDEX(Торг!$I:$I,MATCH(Прайс!$B1380,Торг!$H:$H,0))),"")</f>
        <v/>
      </c>
    </row>
    <row r="1381" spans="1:8" x14ac:dyDescent="0.25">
      <c r="A1381" s="94" t="s">
        <v>4897</v>
      </c>
      <c r="B1381" s="98">
        <v>72393</v>
      </c>
      <c r="C1381" s="98" t="s">
        <v>4898</v>
      </c>
      <c r="D1381" s="96" t="s">
        <v>161</v>
      </c>
      <c r="E1381" s="97">
        <v>460</v>
      </c>
      <c r="F1381" s="67" t="str">
        <f>IFERROR(IFERROR(INDEX(Кат!$A:$A,MATCH(Прайс!$B1381,Кат!$G:$G,0)),INDEX(Торг!$B:$B,MATCH(Прайс!$B1381,Торг!$H:$H,0))),"")</f>
        <v/>
      </c>
      <c r="G1381" s="67" t="str">
        <f>IFERROR(IFERROR(INDEX(Кат!$B:$B,MATCH(Прайс!$B1381,Кат!$G:$G,0)),INDEX(Торг!$C:$C,MATCH(Прайс!$B1381,Торг!$H:$H,0))),"")</f>
        <v/>
      </c>
      <c r="H1381" s="67" t="str">
        <f>IFERROR(IFERROR(INDEX(Кат!$I:$I,MATCH(Прайс!$B1381,Кат!$G:$G,0)),INDEX(Торг!$I:$I,MATCH(Прайс!$B1381,Торг!$H:$H,0))),"")</f>
        <v/>
      </c>
    </row>
    <row r="1382" spans="1:8" x14ac:dyDescent="0.25">
      <c r="A1382" s="94" t="s">
        <v>6779</v>
      </c>
      <c r="B1382" s="98">
        <v>70846</v>
      </c>
      <c r="C1382" s="98" t="s">
        <v>6780</v>
      </c>
      <c r="D1382" s="96" t="s">
        <v>804</v>
      </c>
      <c r="E1382" s="97">
        <v>460</v>
      </c>
      <c r="F1382" s="67" t="str">
        <f>IFERROR(IFERROR(INDEX(Кат!$A:$A,MATCH(Прайс!$B1382,Кат!$G:$G,0)),INDEX(Торг!$B:$B,MATCH(Прайс!$B1382,Торг!$H:$H,0))),"")</f>
        <v/>
      </c>
      <c r="G1382" s="67" t="str">
        <f>IFERROR(IFERROR(INDEX(Кат!$B:$B,MATCH(Прайс!$B1382,Кат!$G:$G,0)),INDEX(Торг!$C:$C,MATCH(Прайс!$B1382,Торг!$H:$H,0))),"")</f>
        <v/>
      </c>
      <c r="H1382" s="67" t="str">
        <f>IFERROR(IFERROR(INDEX(Кат!$I:$I,MATCH(Прайс!$B1382,Кат!$G:$G,0)),INDEX(Торг!$I:$I,MATCH(Прайс!$B1382,Торг!$H:$H,0))),"")</f>
        <v/>
      </c>
    </row>
    <row r="1383" spans="1:8" x14ac:dyDescent="0.25">
      <c r="A1383" s="94" t="s">
        <v>3186</v>
      </c>
      <c r="B1383" s="98">
        <v>71388</v>
      </c>
      <c r="C1383" s="98" t="s">
        <v>827</v>
      </c>
      <c r="D1383" s="96" t="s">
        <v>161</v>
      </c>
      <c r="E1383" s="97">
        <v>460</v>
      </c>
      <c r="F1383" s="67" t="str">
        <f>IFERROR(IFERROR(INDEX(Кат!$A:$A,MATCH(Прайс!$B1383,Кат!$G:$G,0)),INDEX(Торг!$B:$B,MATCH(Прайс!$B1383,Торг!$H:$H,0))),"")</f>
        <v/>
      </c>
      <c r="G1383" s="67" t="str">
        <f>IFERROR(IFERROR(INDEX(Кат!$B:$B,MATCH(Прайс!$B1383,Кат!$G:$G,0)),INDEX(Торг!$C:$C,MATCH(Прайс!$B1383,Торг!$H:$H,0))),"")</f>
        <v/>
      </c>
      <c r="H1383" s="67" t="str">
        <f>IFERROR(IFERROR(INDEX(Кат!$I:$I,MATCH(Прайс!$B1383,Кат!$G:$G,0)),INDEX(Торг!$I:$I,MATCH(Прайс!$B1383,Торг!$H:$H,0))),"")</f>
        <v/>
      </c>
    </row>
    <row r="1384" spans="1:8" x14ac:dyDescent="0.25">
      <c r="A1384" s="94" t="s">
        <v>3187</v>
      </c>
      <c r="B1384" s="98">
        <v>70848</v>
      </c>
      <c r="C1384" s="98" t="s">
        <v>828</v>
      </c>
      <c r="D1384" s="96" t="s">
        <v>804</v>
      </c>
      <c r="E1384" s="97">
        <v>460</v>
      </c>
      <c r="F1384" s="67" t="str">
        <f>IFERROR(IFERROR(INDEX(Кат!$A:$A,MATCH(Прайс!$B1384,Кат!$G:$G,0)),INDEX(Торг!$B:$B,MATCH(Прайс!$B1384,Торг!$H:$H,0))),"")</f>
        <v/>
      </c>
      <c r="G1384" s="67" t="str">
        <f>IFERROR(IFERROR(INDEX(Кат!$B:$B,MATCH(Прайс!$B1384,Кат!$G:$G,0)),INDEX(Торг!$C:$C,MATCH(Прайс!$B1384,Торг!$H:$H,0))),"")</f>
        <v/>
      </c>
      <c r="H1384" s="67" t="str">
        <f>IFERROR(IFERROR(INDEX(Кат!$I:$I,MATCH(Прайс!$B1384,Кат!$G:$G,0)),INDEX(Торг!$I:$I,MATCH(Прайс!$B1384,Торг!$H:$H,0))),"")</f>
        <v/>
      </c>
    </row>
    <row r="1385" spans="1:8" x14ac:dyDescent="0.25">
      <c r="A1385" s="94" t="s">
        <v>3188</v>
      </c>
      <c r="B1385" s="98">
        <v>70849</v>
      </c>
      <c r="C1385" s="98" t="s">
        <v>829</v>
      </c>
      <c r="D1385" s="96" t="s">
        <v>804</v>
      </c>
      <c r="E1385" s="97">
        <v>460</v>
      </c>
      <c r="F1385" s="67" t="str">
        <f>IFERROR(IFERROR(INDEX(Кат!$A:$A,MATCH(Прайс!$B1385,Кат!$G:$G,0)),INDEX(Торг!$B:$B,MATCH(Прайс!$B1385,Торг!$H:$H,0))),"")</f>
        <v/>
      </c>
      <c r="G1385" s="67" t="str">
        <f>IFERROR(IFERROR(INDEX(Кат!$B:$B,MATCH(Прайс!$B1385,Кат!$G:$G,0)),INDEX(Торг!$C:$C,MATCH(Прайс!$B1385,Торг!$H:$H,0))),"")</f>
        <v/>
      </c>
      <c r="H1385" s="67" t="str">
        <f>IFERROR(IFERROR(INDEX(Кат!$I:$I,MATCH(Прайс!$B1385,Кат!$G:$G,0)),INDEX(Торг!$I:$I,MATCH(Прайс!$B1385,Торг!$H:$H,0))),"")</f>
        <v/>
      </c>
    </row>
    <row r="1386" spans="1:8" x14ac:dyDescent="0.25">
      <c r="A1386" s="94" t="s">
        <v>3189</v>
      </c>
      <c r="B1386" s="98">
        <v>70850</v>
      </c>
      <c r="C1386" s="98" t="s">
        <v>830</v>
      </c>
      <c r="D1386" s="96" t="s">
        <v>804</v>
      </c>
      <c r="E1386" s="97">
        <v>460</v>
      </c>
      <c r="F1386" s="67" t="str">
        <f>IFERROR(IFERROR(INDEX(Кат!$A:$A,MATCH(Прайс!$B1386,Кат!$G:$G,0)),INDEX(Торг!$B:$B,MATCH(Прайс!$B1386,Торг!$H:$H,0))),"")</f>
        <v/>
      </c>
      <c r="G1386" s="67" t="str">
        <f>IFERROR(IFERROR(INDEX(Кат!$B:$B,MATCH(Прайс!$B1386,Кат!$G:$G,0)),INDEX(Торг!$C:$C,MATCH(Прайс!$B1386,Торг!$H:$H,0))),"")</f>
        <v/>
      </c>
      <c r="H1386" s="67" t="str">
        <f>IFERROR(IFERROR(INDEX(Кат!$I:$I,MATCH(Прайс!$B1386,Кат!$G:$G,0)),INDEX(Торг!$I:$I,MATCH(Прайс!$B1386,Торг!$H:$H,0))),"")</f>
        <v/>
      </c>
    </row>
    <row r="1387" spans="1:8" x14ac:dyDescent="0.25">
      <c r="A1387" s="94" t="s">
        <v>3190</v>
      </c>
      <c r="B1387" s="98">
        <v>70851</v>
      </c>
      <c r="C1387" s="98" t="s">
        <v>831</v>
      </c>
      <c r="D1387" s="96" t="s">
        <v>804</v>
      </c>
      <c r="E1387" s="97">
        <v>460</v>
      </c>
      <c r="F1387" s="67" t="str">
        <f>IFERROR(IFERROR(INDEX(Кат!$A:$A,MATCH(Прайс!$B1387,Кат!$G:$G,0)),INDEX(Торг!$B:$B,MATCH(Прайс!$B1387,Торг!$H:$H,0))),"")</f>
        <v/>
      </c>
      <c r="G1387" s="67" t="str">
        <f>IFERROR(IFERROR(INDEX(Кат!$B:$B,MATCH(Прайс!$B1387,Кат!$G:$G,0)),INDEX(Торг!$C:$C,MATCH(Прайс!$B1387,Торг!$H:$H,0))),"")</f>
        <v/>
      </c>
      <c r="H1387" s="67" t="str">
        <f>IFERROR(IFERROR(INDEX(Кат!$I:$I,MATCH(Прайс!$B1387,Кат!$G:$G,0)),INDEX(Торг!$I:$I,MATCH(Прайс!$B1387,Торг!$H:$H,0))),"")</f>
        <v/>
      </c>
    </row>
    <row r="1388" spans="1:8" x14ac:dyDescent="0.25">
      <c r="A1388" s="94" t="s">
        <v>3191</v>
      </c>
      <c r="B1388" s="98">
        <v>71823</v>
      </c>
      <c r="C1388" s="98" t="s">
        <v>832</v>
      </c>
      <c r="D1388" s="96" t="s">
        <v>161</v>
      </c>
      <c r="E1388" s="97">
        <v>460</v>
      </c>
      <c r="F1388" s="67" t="str">
        <f>IFERROR(IFERROR(INDEX(Кат!$A:$A,MATCH(Прайс!$B1388,Кат!$G:$G,0)),INDEX(Торг!$B:$B,MATCH(Прайс!$B1388,Торг!$H:$H,0))),"")</f>
        <v/>
      </c>
      <c r="G1388" s="67" t="str">
        <f>IFERROR(IFERROR(INDEX(Кат!$B:$B,MATCH(Прайс!$B1388,Кат!$G:$G,0)),INDEX(Торг!$C:$C,MATCH(Прайс!$B1388,Торг!$H:$H,0))),"")</f>
        <v/>
      </c>
      <c r="H1388" s="67" t="str">
        <f>IFERROR(IFERROR(INDEX(Кат!$I:$I,MATCH(Прайс!$B1388,Кат!$G:$G,0)),INDEX(Торг!$I:$I,MATCH(Прайс!$B1388,Торг!$H:$H,0))),"")</f>
        <v/>
      </c>
    </row>
    <row r="1389" spans="1:8" x14ac:dyDescent="0.25">
      <c r="A1389" s="94" t="s">
        <v>7603</v>
      </c>
      <c r="B1389" s="98">
        <v>72685</v>
      </c>
      <c r="C1389" s="98" t="s">
        <v>7604</v>
      </c>
      <c r="D1389" s="96" t="s">
        <v>161</v>
      </c>
      <c r="E1389" s="97">
        <v>460</v>
      </c>
      <c r="F1389" s="67" t="str">
        <f>IFERROR(IFERROR(INDEX(Кат!$A:$A,MATCH(Прайс!$B1389,Кат!$G:$G,0)),INDEX(Торг!$B:$B,MATCH(Прайс!$B1389,Торг!$H:$H,0))),"")</f>
        <v/>
      </c>
      <c r="G1389" s="67" t="str">
        <f>IFERROR(IFERROR(INDEX(Кат!$B:$B,MATCH(Прайс!$B1389,Кат!$G:$G,0)),INDEX(Торг!$C:$C,MATCH(Прайс!$B1389,Торг!$H:$H,0))),"")</f>
        <v/>
      </c>
      <c r="H1389" s="67" t="str">
        <f>IFERROR(IFERROR(INDEX(Кат!$I:$I,MATCH(Прайс!$B1389,Кат!$G:$G,0)),INDEX(Торг!$I:$I,MATCH(Прайс!$B1389,Торг!$H:$H,0))),"")</f>
        <v/>
      </c>
    </row>
    <row r="1390" spans="1:8" ht="15.75" x14ac:dyDescent="0.25">
      <c r="A1390" s="90"/>
      <c r="B1390" s="91"/>
      <c r="C1390" s="92" t="s">
        <v>833</v>
      </c>
      <c r="D1390" s="91"/>
      <c r="E1390" s="93"/>
      <c r="F1390" s="67" t="str">
        <f>IFERROR(IFERROR(INDEX(Кат!$A:$A,MATCH(Прайс!$B1390,Кат!$G:$G,0)),INDEX(Торг!$B:$B,MATCH(Прайс!$B1390,Торг!$H:$H,0))),"")</f>
        <v/>
      </c>
      <c r="G1390" s="67" t="str">
        <f>IFERROR(IFERROR(INDEX(Кат!$B:$B,MATCH(Прайс!$B1390,Кат!$G:$G,0)),INDEX(Торг!$C:$C,MATCH(Прайс!$B1390,Торг!$H:$H,0))),"")</f>
        <v/>
      </c>
      <c r="H1390" s="67" t="str">
        <f>IFERROR(IFERROR(INDEX(Кат!$I:$I,MATCH(Прайс!$B1390,Кат!$G:$G,0)),INDEX(Торг!$I:$I,MATCH(Прайс!$B1390,Торг!$H:$H,0))),"")</f>
        <v/>
      </c>
    </row>
    <row r="1391" spans="1:8" x14ac:dyDescent="0.25">
      <c r="A1391" s="94" t="s">
        <v>3192</v>
      </c>
      <c r="B1391" s="98">
        <v>70046</v>
      </c>
      <c r="C1391" s="98" t="s">
        <v>834</v>
      </c>
      <c r="D1391" s="96" t="s">
        <v>160</v>
      </c>
      <c r="E1391" s="97">
        <v>140</v>
      </c>
      <c r="F1391" s="67" t="str">
        <f>IFERROR(IFERROR(INDEX(Кат!$A:$A,MATCH(Прайс!$B1391,Кат!$G:$G,0)),INDEX(Торг!$B:$B,MATCH(Прайс!$B1391,Торг!$H:$H,0))),"")</f>
        <v/>
      </c>
      <c r="G1391" s="67" t="str">
        <f>IFERROR(IFERROR(INDEX(Кат!$B:$B,MATCH(Прайс!$B1391,Кат!$G:$G,0)),INDEX(Торг!$C:$C,MATCH(Прайс!$B1391,Торг!$H:$H,0))),"")</f>
        <v/>
      </c>
      <c r="H1391" s="67" t="str">
        <f>IFERROR(IFERROR(INDEX(Кат!$I:$I,MATCH(Прайс!$B1391,Кат!$G:$G,0)),INDEX(Торг!$I:$I,MATCH(Прайс!$B1391,Торг!$H:$H,0))),"")</f>
        <v/>
      </c>
    </row>
    <row r="1392" spans="1:8" x14ac:dyDescent="0.25">
      <c r="A1392" s="94" t="s">
        <v>5421</v>
      </c>
      <c r="B1392" s="98">
        <v>70048</v>
      </c>
      <c r="C1392" s="98" t="s">
        <v>5422</v>
      </c>
      <c r="D1392" s="96" t="s">
        <v>160</v>
      </c>
      <c r="E1392" s="97">
        <v>140</v>
      </c>
      <c r="F1392" s="67" t="str">
        <f>IFERROR(IFERROR(INDEX(Кат!$A:$A,MATCH(Прайс!$B1392,Кат!$G:$G,0)),INDEX(Торг!$B:$B,MATCH(Прайс!$B1392,Торг!$H:$H,0))),"")</f>
        <v/>
      </c>
      <c r="G1392" s="67" t="str">
        <f>IFERROR(IFERROR(INDEX(Кат!$B:$B,MATCH(Прайс!$B1392,Кат!$G:$G,0)),INDEX(Торг!$C:$C,MATCH(Прайс!$B1392,Торг!$H:$H,0))),"")</f>
        <v/>
      </c>
      <c r="H1392" s="67" t="str">
        <f>IFERROR(IFERROR(INDEX(Кат!$I:$I,MATCH(Прайс!$B1392,Кат!$G:$G,0)),INDEX(Торг!$I:$I,MATCH(Прайс!$B1392,Торг!$H:$H,0))),"")</f>
        <v/>
      </c>
    </row>
    <row r="1393" spans="1:8" x14ac:dyDescent="0.25">
      <c r="A1393" s="94" t="s">
        <v>6781</v>
      </c>
      <c r="B1393" s="98">
        <v>70047</v>
      </c>
      <c r="C1393" s="98" t="s">
        <v>6782</v>
      </c>
      <c r="D1393" s="96" t="s">
        <v>160</v>
      </c>
      <c r="E1393" s="97">
        <v>140</v>
      </c>
      <c r="F1393" s="67" t="str">
        <f>IFERROR(IFERROR(INDEX(Кат!$A:$A,MATCH(Прайс!$B1393,Кат!$G:$G,0)),INDEX(Торг!$B:$B,MATCH(Прайс!$B1393,Торг!$H:$H,0))),"")</f>
        <v/>
      </c>
      <c r="G1393" s="67" t="str">
        <f>IFERROR(IFERROR(INDEX(Кат!$B:$B,MATCH(Прайс!$B1393,Кат!$G:$G,0)),INDEX(Торг!$C:$C,MATCH(Прайс!$B1393,Торг!$H:$H,0))),"")</f>
        <v/>
      </c>
      <c r="H1393" s="67" t="str">
        <f>IFERROR(IFERROR(INDEX(Кат!$I:$I,MATCH(Прайс!$B1393,Кат!$G:$G,0)),INDEX(Торг!$I:$I,MATCH(Прайс!$B1393,Торг!$H:$H,0))),"")</f>
        <v/>
      </c>
    </row>
    <row r="1394" spans="1:8" x14ac:dyDescent="0.25">
      <c r="A1394" s="94" t="s">
        <v>6273</v>
      </c>
      <c r="B1394" s="98">
        <v>70049</v>
      </c>
      <c r="C1394" s="98" t="s">
        <v>6274</v>
      </c>
      <c r="D1394" s="96" t="s">
        <v>160</v>
      </c>
      <c r="E1394" s="97">
        <v>140</v>
      </c>
      <c r="F1394" s="67" t="str">
        <f>IFERROR(IFERROR(INDEX(Кат!$A:$A,MATCH(Прайс!$B1394,Кат!$G:$G,0)),INDEX(Торг!$B:$B,MATCH(Прайс!$B1394,Торг!$H:$H,0))),"")</f>
        <v/>
      </c>
      <c r="G1394" s="67" t="str">
        <f>IFERROR(IFERROR(INDEX(Кат!$B:$B,MATCH(Прайс!$B1394,Кат!$G:$G,0)),INDEX(Торг!$C:$C,MATCH(Прайс!$B1394,Торг!$H:$H,0))),"")</f>
        <v/>
      </c>
      <c r="H1394" s="67" t="str">
        <f>IFERROR(IFERROR(INDEX(Кат!$I:$I,MATCH(Прайс!$B1394,Кат!$G:$G,0)),INDEX(Торг!$I:$I,MATCH(Прайс!$B1394,Торг!$H:$H,0))),"")</f>
        <v/>
      </c>
    </row>
    <row r="1395" spans="1:8" x14ac:dyDescent="0.25">
      <c r="A1395" s="94" t="s">
        <v>3193</v>
      </c>
      <c r="B1395" s="98">
        <v>70050</v>
      </c>
      <c r="C1395" s="98" t="s">
        <v>835</v>
      </c>
      <c r="D1395" s="96" t="s">
        <v>160</v>
      </c>
      <c r="E1395" s="97">
        <v>140</v>
      </c>
      <c r="F1395" s="67" t="str">
        <f>IFERROR(IFERROR(INDEX(Кат!$A:$A,MATCH(Прайс!$B1395,Кат!$G:$G,0)),INDEX(Торг!$B:$B,MATCH(Прайс!$B1395,Торг!$H:$H,0))),"")</f>
        <v/>
      </c>
      <c r="G1395" s="67" t="str">
        <f>IFERROR(IFERROR(INDEX(Кат!$B:$B,MATCH(Прайс!$B1395,Кат!$G:$G,0)),INDEX(Торг!$C:$C,MATCH(Прайс!$B1395,Торг!$H:$H,0))),"")</f>
        <v/>
      </c>
      <c r="H1395" s="67" t="str">
        <f>IFERROR(IFERROR(INDEX(Кат!$I:$I,MATCH(Прайс!$B1395,Кат!$G:$G,0)),INDEX(Торг!$I:$I,MATCH(Прайс!$B1395,Торг!$H:$H,0))),"")</f>
        <v/>
      </c>
    </row>
    <row r="1396" spans="1:8" x14ac:dyDescent="0.25">
      <c r="A1396" s="94" t="s">
        <v>3194</v>
      </c>
      <c r="B1396" s="98">
        <v>70051</v>
      </c>
      <c r="C1396" s="98" t="s">
        <v>836</v>
      </c>
      <c r="D1396" s="96" t="s">
        <v>160</v>
      </c>
      <c r="E1396" s="97">
        <v>140</v>
      </c>
      <c r="F1396" s="67" t="str">
        <f>IFERROR(IFERROR(INDEX(Кат!$A:$A,MATCH(Прайс!$B1396,Кат!$G:$G,0)),INDEX(Торг!$B:$B,MATCH(Прайс!$B1396,Торг!$H:$H,0))),"")</f>
        <v/>
      </c>
      <c r="G1396" s="67" t="str">
        <f>IFERROR(IFERROR(INDEX(Кат!$B:$B,MATCH(Прайс!$B1396,Кат!$G:$G,0)),INDEX(Торг!$C:$C,MATCH(Прайс!$B1396,Торг!$H:$H,0))),"")</f>
        <v/>
      </c>
      <c r="H1396" s="67" t="str">
        <f>IFERROR(IFERROR(INDEX(Кат!$I:$I,MATCH(Прайс!$B1396,Кат!$G:$G,0)),INDEX(Торг!$I:$I,MATCH(Прайс!$B1396,Торг!$H:$H,0))),"")</f>
        <v/>
      </c>
    </row>
    <row r="1397" spans="1:8" x14ac:dyDescent="0.25">
      <c r="A1397" s="94" t="s">
        <v>3195</v>
      </c>
      <c r="B1397" s="98">
        <v>70052</v>
      </c>
      <c r="C1397" s="98" t="s">
        <v>837</v>
      </c>
      <c r="D1397" s="96" t="s">
        <v>838</v>
      </c>
      <c r="E1397" s="97">
        <v>140</v>
      </c>
      <c r="F1397" s="67" t="str">
        <f>IFERROR(IFERROR(INDEX(Кат!$A:$A,MATCH(Прайс!$B1397,Кат!$G:$G,0)),INDEX(Торг!$B:$B,MATCH(Прайс!$B1397,Торг!$H:$H,0))),"")</f>
        <v/>
      </c>
      <c r="G1397" s="67" t="str">
        <f>IFERROR(IFERROR(INDEX(Кат!$B:$B,MATCH(Прайс!$B1397,Кат!$G:$G,0)),INDEX(Торг!$C:$C,MATCH(Прайс!$B1397,Торг!$H:$H,0))),"")</f>
        <v/>
      </c>
      <c r="H1397" s="67" t="str">
        <f>IFERROR(IFERROR(INDEX(Кат!$I:$I,MATCH(Прайс!$B1397,Кат!$G:$G,0)),INDEX(Торг!$I:$I,MATCH(Прайс!$B1397,Торг!$H:$H,0))),"")</f>
        <v/>
      </c>
    </row>
    <row r="1398" spans="1:8" x14ac:dyDescent="0.25">
      <c r="A1398" s="94" t="s">
        <v>3196</v>
      </c>
      <c r="B1398" s="98">
        <v>70053</v>
      </c>
      <c r="C1398" s="98" t="s">
        <v>839</v>
      </c>
      <c r="D1398" s="96" t="s">
        <v>160</v>
      </c>
      <c r="E1398" s="97">
        <v>140</v>
      </c>
      <c r="F1398" s="67" t="str">
        <f>IFERROR(IFERROR(INDEX(Кат!$A:$A,MATCH(Прайс!$B1398,Кат!$G:$G,0)),INDEX(Торг!$B:$B,MATCH(Прайс!$B1398,Торг!$H:$H,0))),"")</f>
        <v/>
      </c>
      <c r="G1398" s="67" t="str">
        <f>IFERROR(IFERROR(INDEX(Кат!$B:$B,MATCH(Прайс!$B1398,Кат!$G:$G,0)),INDEX(Торг!$C:$C,MATCH(Прайс!$B1398,Торг!$H:$H,0))),"")</f>
        <v/>
      </c>
      <c r="H1398" s="67" t="str">
        <f>IFERROR(IFERROR(INDEX(Кат!$I:$I,MATCH(Прайс!$B1398,Кат!$G:$G,0)),INDEX(Торг!$I:$I,MATCH(Прайс!$B1398,Торг!$H:$H,0))),"")</f>
        <v/>
      </c>
    </row>
    <row r="1399" spans="1:8" x14ac:dyDescent="0.25">
      <c r="A1399" s="94" t="s">
        <v>3197</v>
      </c>
      <c r="B1399" s="98">
        <v>70054</v>
      </c>
      <c r="C1399" s="98" t="s">
        <v>840</v>
      </c>
      <c r="D1399" s="96" t="s">
        <v>160</v>
      </c>
      <c r="E1399" s="97">
        <v>140</v>
      </c>
      <c r="F1399" s="67" t="str">
        <f>IFERROR(IFERROR(INDEX(Кат!$A:$A,MATCH(Прайс!$B1399,Кат!$G:$G,0)),INDEX(Торг!$B:$B,MATCH(Прайс!$B1399,Торг!$H:$H,0))),"")</f>
        <v/>
      </c>
      <c r="G1399" s="67" t="str">
        <f>IFERROR(IFERROR(INDEX(Кат!$B:$B,MATCH(Прайс!$B1399,Кат!$G:$G,0)),INDEX(Торг!$C:$C,MATCH(Прайс!$B1399,Торг!$H:$H,0))),"")</f>
        <v/>
      </c>
      <c r="H1399" s="67" t="str">
        <f>IFERROR(IFERROR(INDEX(Кат!$I:$I,MATCH(Прайс!$B1399,Кат!$G:$G,0)),INDEX(Торг!$I:$I,MATCH(Прайс!$B1399,Торг!$H:$H,0))),"")</f>
        <v/>
      </c>
    </row>
    <row r="1400" spans="1:8" x14ac:dyDescent="0.25">
      <c r="A1400" s="94" t="s">
        <v>3198</v>
      </c>
      <c r="B1400" s="98">
        <v>70055</v>
      </c>
      <c r="C1400" s="98" t="s">
        <v>841</v>
      </c>
      <c r="D1400" s="96" t="s">
        <v>160</v>
      </c>
      <c r="E1400" s="97">
        <v>140</v>
      </c>
      <c r="F1400" s="67" t="str">
        <f>IFERROR(IFERROR(INDEX(Кат!$A:$A,MATCH(Прайс!$B1400,Кат!$G:$G,0)),INDEX(Торг!$B:$B,MATCH(Прайс!$B1400,Торг!$H:$H,0))),"")</f>
        <v/>
      </c>
      <c r="G1400" s="67" t="str">
        <f>IFERROR(IFERROR(INDEX(Кат!$B:$B,MATCH(Прайс!$B1400,Кат!$G:$G,0)),INDEX(Торг!$C:$C,MATCH(Прайс!$B1400,Торг!$H:$H,0))),"")</f>
        <v/>
      </c>
      <c r="H1400" s="67" t="str">
        <f>IFERROR(IFERROR(INDEX(Кат!$I:$I,MATCH(Прайс!$B1400,Кат!$G:$G,0)),INDEX(Торг!$I:$I,MATCH(Прайс!$B1400,Торг!$H:$H,0))),"")</f>
        <v/>
      </c>
    </row>
    <row r="1401" spans="1:8" x14ac:dyDescent="0.25">
      <c r="A1401" s="94" t="s">
        <v>3199</v>
      </c>
      <c r="B1401" s="98">
        <v>71297</v>
      </c>
      <c r="C1401" s="98" t="s">
        <v>842</v>
      </c>
      <c r="D1401" s="96" t="s">
        <v>160</v>
      </c>
      <c r="E1401" s="97">
        <v>140</v>
      </c>
      <c r="F1401" s="67" t="str">
        <f>IFERROR(IFERROR(INDEX(Кат!$A:$A,MATCH(Прайс!$B1401,Кат!$G:$G,0)),INDEX(Торг!$B:$B,MATCH(Прайс!$B1401,Торг!$H:$H,0))),"")</f>
        <v/>
      </c>
      <c r="G1401" s="67" t="str">
        <f>IFERROR(IFERROR(INDEX(Кат!$B:$B,MATCH(Прайс!$B1401,Кат!$G:$G,0)),INDEX(Торг!$C:$C,MATCH(Прайс!$B1401,Торг!$H:$H,0))),"")</f>
        <v/>
      </c>
      <c r="H1401" s="67" t="str">
        <f>IFERROR(IFERROR(INDEX(Кат!$I:$I,MATCH(Прайс!$B1401,Кат!$G:$G,0)),INDEX(Торг!$I:$I,MATCH(Прайс!$B1401,Торг!$H:$H,0))),"")</f>
        <v/>
      </c>
    </row>
    <row r="1402" spans="1:8" x14ac:dyDescent="0.25">
      <c r="A1402" s="94" t="s">
        <v>3200</v>
      </c>
      <c r="B1402" s="98">
        <v>70058</v>
      </c>
      <c r="C1402" s="98" t="s">
        <v>843</v>
      </c>
      <c r="D1402" s="96" t="s">
        <v>160</v>
      </c>
      <c r="E1402" s="97">
        <v>140</v>
      </c>
      <c r="F1402" s="67">
        <f>IFERROR(IFERROR(INDEX(Кат!$A:$A,MATCH(Прайс!$B1402,Кат!$G:$G,0)),INDEX(Торг!$B:$B,MATCH(Прайс!$B1402,Торг!$H:$H,0))),"")</f>
        <v>185762</v>
      </c>
      <c r="G1402" s="67">
        <f>IFERROR(IFERROR(INDEX(Кат!$B:$B,MATCH(Прайс!$B1402,Кат!$G:$G,0)),INDEX(Торг!$C:$C,MATCH(Прайс!$B1402,Торг!$H:$H,0))),"")</f>
        <v>6320</v>
      </c>
      <c r="H1402" s="67" t="str">
        <f>IFERROR(IFERROR(INDEX(Кат!$I:$I,MATCH(Прайс!$B1402,Кат!$G:$G,0)),INDEX(Торг!$I:$I,MATCH(Прайс!$B1402,Торг!$H:$H,0))),"")</f>
        <v>кристал авто</v>
      </c>
    </row>
    <row r="1403" spans="1:8" x14ac:dyDescent="0.25">
      <c r="A1403" s="94" t="s">
        <v>3201</v>
      </c>
      <c r="B1403" s="98">
        <v>70056</v>
      </c>
      <c r="C1403" s="98" t="s">
        <v>844</v>
      </c>
      <c r="D1403" s="96" t="s">
        <v>160</v>
      </c>
      <c r="E1403" s="97">
        <v>140</v>
      </c>
      <c r="F1403" s="67" t="str">
        <f>IFERROR(IFERROR(INDEX(Кат!$A:$A,MATCH(Прайс!$B1403,Кат!$G:$G,0)),INDEX(Торг!$B:$B,MATCH(Прайс!$B1403,Торг!$H:$H,0))),"")</f>
        <v/>
      </c>
      <c r="G1403" s="67" t="str">
        <f>IFERROR(IFERROR(INDEX(Кат!$B:$B,MATCH(Прайс!$B1403,Кат!$G:$G,0)),INDEX(Торг!$C:$C,MATCH(Прайс!$B1403,Торг!$H:$H,0))),"")</f>
        <v/>
      </c>
      <c r="H1403" s="67" t="str">
        <f>IFERROR(IFERROR(INDEX(Кат!$I:$I,MATCH(Прайс!$B1403,Кат!$G:$G,0)),INDEX(Торг!$I:$I,MATCH(Прайс!$B1403,Торг!$H:$H,0))),"")</f>
        <v/>
      </c>
    </row>
    <row r="1404" spans="1:8" x14ac:dyDescent="0.25">
      <c r="A1404" s="94" t="s">
        <v>3202</v>
      </c>
      <c r="B1404" s="98">
        <v>70059</v>
      </c>
      <c r="C1404" s="98" t="s">
        <v>2092</v>
      </c>
      <c r="D1404" s="96" t="s">
        <v>160</v>
      </c>
      <c r="E1404" s="97">
        <v>140</v>
      </c>
      <c r="F1404" s="67">
        <f>IFERROR(IFERROR(INDEX(Кат!$A:$A,MATCH(Прайс!$B1404,Кат!$G:$G,0)),INDEX(Торг!$B:$B,MATCH(Прайс!$B1404,Торг!$H:$H,0))),"")</f>
        <v>185775</v>
      </c>
      <c r="G1404" s="67">
        <f>IFERROR(IFERROR(INDEX(Кат!$B:$B,MATCH(Прайс!$B1404,Кат!$G:$G,0)),INDEX(Торг!$C:$C,MATCH(Прайс!$B1404,Торг!$H:$H,0))),"")</f>
        <v>6331</v>
      </c>
      <c r="H1404" s="67" t="str">
        <f>IFERROR(IFERROR(INDEX(Кат!$I:$I,MATCH(Прайс!$B1404,Кат!$G:$G,0)),INDEX(Торг!$I:$I,MATCH(Прайс!$B1404,Торг!$H:$H,0))),"")</f>
        <v>кристал авто</v>
      </c>
    </row>
    <row r="1405" spans="1:8" x14ac:dyDescent="0.25">
      <c r="A1405" s="94" t="s">
        <v>3203</v>
      </c>
      <c r="B1405" s="98">
        <v>71526</v>
      </c>
      <c r="C1405" s="98" t="s">
        <v>845</v>
      </c>
      <c r="D1405" s="96" t="s">
        <v>160</v>
      </c>
      <c r="E1405" s="97">
        <v>140</v>
      </c>
      <c r="F1405" s="67" t="str">
        <f>IFERROR(IFERROR(INDEX(Кат!$A:$A,MATCH(Прайс!$B1405,Кат!$G:$G,0)),INDEX(Торг!$B:$B,MATCH(Прайс!$B1405,Торг!$H:$H,0))),"")</f>
        <v/>
      </c>
      <c r="G1405" s="67" t="str">
        <f>IFERROR(IFERROR(INDEX(Кат!$B:$B,MATCH(Прайс!$B1405,Кат!$G:$G,0)),INDEX(Торг!$C:$C,MATCH(Прайс!$B1405,Торг!$H:$H,0))),"")</f>
        <v/>
      </c>
      <c r="H1405" s="67" t="str">
        <f>IFERROR(IFERROR(INDEX(Кат!$I:$I,MATCH(Прайс!$B1405,Кат!$G:$G,0)),INDEX(Торг!$I:$I,MATCH(Прайс!$B1405,Торг!$H:$H,0))),"")</f>
        <v/>
      </c>
    </row>
    <row r="1406" spans="1:8" x14ac:dyDescent="0.25">
      <c r="A1406" s="94" t="s">
        <v>3204</v>
      </c>
      <c r="B1406" s="98">
        <v>71062</v>
      </c>
      <c r="C1406" s="98" t="s">
        <v>846</v>
      </c>
      <c r="D1406" s="96" t="s">
        <v>160</v>
      </c>
      <c r="E1406" s="97">
        <v>140</v>
      </c>
      <c r="F1406" s="67" t="str">
        <f>IFERROR(IFERROR(INDEX(Кат!$A:$A,MATCH(Прайс!$B1406,Кат!$G:$G,0)),INDEX(Торг!$B:$B,MATCH(Прайс!$B1406,Торг!$H:$H,0))),"")</f>
        <v/>
      </c>
      <c r="G1406" s="67" t="str">
        <f>IFERROR(IFERROR(INDEX(Кат!$B:$B,MATCH(Прайс!$B1406,Кат!$G:$G,0)),INDEX(Торг!$C:$C,MATCH(Прайс!$B1406,Торг!$H:$H,0))),"")</f>
        <v/>
      </c>
      <c r="H1406" s="67" t="str">
        <f>IFERROR(IFERROR(INDEX(Кат!$I:$I,MATCH(Прайс!$B1406,Кат!$G:$G,0)),INDEX(Торг!$I:$I,MATCH(Прайс!$B1406,Торг!$H:$H,0))),"")</f>
        <v/>
      </c>
    </row>
    <row r="1407" spans="1:8" x14ac:dyDescent="0.25">
      <c r="A1407" s="94" t="s">
        <v>3205</v>
      </c>
      <c r="B1407" s="98">
        <v>72169</v>
      </c>
      <c r="C1407" s="98" t="s">
        <v>847</v>
      </c>
      <c r="D1407" s="96" t="s">
        <v>160</v>
      </c>
      <c r="E1407" s="97">
        <v>140</v>
      </c>
      <c r="F1407" s="67">
        <f>IFERROR(IFERROR(INDEX(Кат!$A:$A,MATCH(Прайс!$B1407,Кат!$G:$G,0)),INDEX(Торг!$B:$B,MATCH(Прайс!$B1407,Торг!$H:$H,0))),"")</f>
        <v>185778</v>
      </c>
      <c r="G1407" s="67">
        <f>IFERROR(IFERROR(INDEX(Кат!$B:$B,MATCH(Прайс!$B1407,Кат!$G:$G,0)),INDEX(Торг!$C:$C,MATCH(Прайс!$B1407,Торг!$H:$H,0))),"")</f>
        <v>6326</v>
      </c>
      <c r="H1407" s="67" t="str">
        <f>IFERROR(IFERROR(INDEX(Кат!$I:$I,MATCH(Прайс!$B1407,Кат!$G:$G,0)),INDEX(Торг!$I:$I,MATCH(Прайс!$B1407,Торг!$H:$H,0))),"")</f>
        <v>кристал авто</v>
      </c>
    </row>
    <row r="1408" spans="1:8" x14ac:dyDescent="0.25">
      <c r="A1408" s="94" t="s">
        <v>4899</v>
      </c>
      <c r="B1408" s="98">
        <v>70060</v>
      </c>
      <c r="C1408" s="98" t="s">
        <v>4900</v>
      </c>
      <c r="D1408" s="96" t="s">
        <v>160</v>
      </c>
      <c r="E1408" s="97">
        <v>140</v>
      </c>
      <c r="F1408" s="67">
        <f>IFERROR(IFERROR(INDEX(Кат!$A:$A,MATCH(Прайс!$B1408,Кат!$G:$G,0)),INDEX(Торг!$B:$B,MATCH(Прайс!$B1408,Торг!$H:$H,0))),"")</f>
        <v>185765</v>
      </c>
      <c r="G1408" s="67">
        <f>IFERROR(IFERROR(INDEX(Кат!$B:$B,MATCH(Прайс!$B1408,Кат!$G:$G,0)),INDEX(Торг!$C:$C,MATCH(Прайс!$B1408,Торг!$H:$H,0))),"")</f>
        <v>6323</v>
      </c>
      <c r="H1408" s="67" t="str">
        <f>IFERROR(IFERROR(INDEX(Кат!$I:$I,MATCH(Прайс!$B1408,Кат!$G:$G,0)),INDEX(Торг!$I:$I,MATCH(Прайс!$B1408,Торг!$H:$H,0))),"")</f>
        <v>кристал авто</v>
      </c>
    </row>
    <row r="1409" spans="1:8" x14ac:dyDescent="0.25">
      <c r="A1409" s="94" t="s">
        <v>3206</v>
      </c>
      <c r="B1409" s="98">
        <v>70061</v>
      </c>
      <c r="C1409" s="98" t="s">
        <v>848</v>
      </c>
      <c r="D1409" s="96" t="s">
        <v>160</v>
      </c>
      <c r="E1409" s="97">
        <v>140</v>
      </c>
      <c r="F1409" s="67">
        <f>IFERROR(IFERROR(INDEX(Кат!$A:$A,MATCH(Прайс!$B1409,Кат!$G:$G,0)),INDEX(Торг!$B:$B,MATCH(Прайс!$B1409,Торг!$H:$H,0))),"")</f>
        <v>185768</v>
      </c>
      <c r="G1409" s="67">
        <f>IFERROR(IFERROR(INDEX(Кат!$B:$B,MATCH(Прайс!$B1409,Кат!$G:$G,0)),INDEX(Торг!$C:$C,MATCH(Прайс!$B1409,Торг!$H:$H,0))),"")</f>
        <v>23339</v>
      </c>
      <c r="H1409" s="67" t="str">
        <f>IFERROR(IFERROR(INDEX(Кат!$I:$I,MATCH(Прайс!$B1409,Кат!$G:$G,0)),INDEX(Торг!$I:$I,MATCH(Прайс!$B1409,Торг!$H:$H,0))),"")</f>
        <v>кристал авто</v>
      </c>
    </row>
    <row r="1410" spans="1:8" x14ac:dyDescent="0.25">
      <c r="A1410" s="94" t="s">
        <v>3207</v>
      </c>
      <c r="B1410" s="98">
        <v>70062</v>
      </c>
      <c r="C1410" s="98" t="s">
        <v>849</v>
      </c>
      <c r="D1410" s="96" t="s">
        <v>160</v>
      </c>
      <c r="E1410" s="97">
        <v>140</v>
      </c>
      <c r="F1410" s="67">
        <f>IFERROR(IFERROR(INDEX(Кат!$A:$A,MATCH(Прайс!$B1410,Кат!$G:$G,0)),INDEX(Торг!$B:$B,MATCH(Прайс!$B1410,Торг!$H:$H,0))),"")</f>
        <v>185770</v>
      </c>
      <c r="G1410" s="67">
        <f>IFERROR(IFERROR(INDEX(Кат!$B:$B,MATCH(Прайс!$B1410,Кат!$G:$G,0)),INDEX(Торг!$C:$C,MATCH(Прайс!$B1410,Торг!$H:$H,0))),"")</f>
        <v>6334</v>
      </c>
      <c r="H1410" s="67" t="str">
        <f>IFERROR(IFERROR(INDEX(Кат!$I:$I,MATCH(Прайс!$B1410,Кат!$G:$G,0)),INDEX(Торг!$I:$I,MATCH(Прайс!$B1410,Торг!$H:$H,0))),"")</f>
        <v>кристал авто</v>
      </c>
    </row>
    <row r="1411" spans="1:8" x14ac:dyDescent="0.25">
      <c r="A1411" s="94" t="s">
        <v>3208</v>
      </c>
      <c r="B1411" s="98">
        <v>70063</v>
      </c>
      <c r="C1411" s="98" t="s">
        <v>850</v>
      </c>
      <c r="D1411" s="96" t="s">
        <v>160</v>
      </c>
      <c r="E1411" s="97">
        <v>140</v>
      </c>
      <c r="F1411" s="67">
        <f>IFERROR(IFERROR(INDEX(Кат!$A:$A,MATCH(Прайс!$B1411,Кат!$G:$G,0)),INDEX(Торг!$B:$B,MATCH(Прайс!$B1411,Торг!$H:$H,0))),"")</f>
        <v>185772</v>
      </c>
      <c r="G1411" s="67">
        <f>IFERROR(IFERROR(INDEX(Кат!$B:$B,MATCH(Прайс!$B1411,Кат!$G:$G,0)),INDEX(Торг!$C:$C,MATCH(Прайс!$B1411,Торг!$H:$H,0))),"")</f>
        <v>6330</v>
      </c>
      <c r="H1411" s="67" t="str">
        <f>IFERROR(IFERROR(INDEX(Кат!$I:$I,MATCH(Прайс!$B1411,Кат!$G:$G,0)),INDEX(Торг!$I:$I,MATCH(Прайс!$B1411,Торг!$H:$H,0))),"")</f>
        <v>кристал авто</v>
      </c>
    </row>
    <row r="1412" spans="1:8" x14ac:dyDescent="0.25">
      <c r="A1412" s="94" t="s">
        <v>3209</v>
      </c>
      <c r="B1412" s="98">
        <v>70064</v>
      </c>
      <c r="C1412" s="98" t="s">
        <v>851</v>
      </c>
      <c r="D1412" s="96" t="s">
        <v>160</v>
      </c>
      <c r="E1412" s="97">
        <v>140</v>
      </c>
      <c r="F1412" s="67">
        <f>IFERROR(IFERROR(INDEX(Кат!$A:$A,MATCH(Прайс!$B1412,Кат!$G:$G,0)),INDEX(Торг!$B:$B,MATCH(Прайс!$B1412,Торг!$H:$H,0))),"")</f>
        <v>185763</v>
      </c>
      <c r="G1412" s="67">
        <f>IFERROR(IFERROR(INDEX(Кат!$B:$B,MATCH(Прайс!$B1412,Кат!$G:$G,0)),INDEX(Торг!$C:$C,MATCH(Прайс!$B1412,Торг!$H:$H,0))),"")</f>
        <v>6321</v>
      </c>
      <c r="H1412" s="67" t="str">
        <f>IFERROR(IFERROR(INDEX(Кат!$I:$I,MATCH(Прайс!$B1412,Кат!$G:$G,0)),INDEX(Торг!$I:$I,MATCH(Прайс!$B1412,Торг!$H:$H,0))),"")</f>
        <v>кристал авто</v>
      </c>
    </row>
    <row r="1413" spans="1:8" x14ac:dyDescent="0.25">
      <c r="A1413" s="94" t="s">
        <v>3210</v>
      </c>
      <c r="B1413" s="98">
        <v>70065</v>
      </c>
      <c r="C1413" s="98" t="s">
        <v>852</v>
      </c>
      <c r="D1413" s="96" t="s">
        <v>160</v>
      </c>
      <c r="E1413" s="97">
        <v>140</v>
      </c>
      <c r="F1413" s="67">
        <f>IFERROR(IFERROR(INDEX(Кат!$A:$A,MATCH(Прайс!$B1413,Кат!$G:$G,0)),INDEX(Торг!$B:$B,MATCH(Прайс!$B1413,Торг!$H:$H,0))),"")</f>
        <v>185764</v>
      </c>
      <c r="G1413" s="67">
        <f>IFERROR(IFERROR(INDEX(Кат!$B:$B,MATCH(Прайс!$B1413,Кат!$G:$G,0)),INDEX(Торг!$C:$C,MATCH(Прайс!$B1413,Торг!$H:$H,0))),"")</f>
        <v>6322</v>
      </c>
      <c r="H1413" s="67" t="str">
        <f>IFERROR(IFERROR(INDEX(Кат!$I:$I,MATCH(Прайс!$B1413,Кат!$G:$G,0)),INDEX(Торг!$I:$I,MATCH(Прайс!$B1413,Торг!$H:$H,0))),"")</f>
        <v>кристал авто</v>
      </c>
    </row>
    <row r="1414" spans="1:8" x14ac:dyDescent="0.25">
      <c r="A1414" s="94" t="s">
        <v>3211</v>
      </c>
      <c r="B1414" s="98">
        <v>70066</v>
      </c>
      <c r="C1414" s="98" t="s">
        <v>853</v>
      </c>
      <c r="D1414" s="96" t="s">
        <v>160</v>
      </c>
      <c r="E1414" s="97">
        <v>140</v>
      </c>
      <c r="F1414" s="67">
        <f>IFERROR(IFERROR(INDEX(Кат!$A:$A,MATCH(Прайс!$B1414,Кат!$G:$G,0)),INDEX(Торг!$B:$B,MATCH(Прайс!$B1414,Торг!$H:$H,0))),"")</f>
        <v>185767</v>
      </c>
      <c r="G1414" s="67">
        <f>IFERROR(IFERROR(INDEX(Кат!$B:$B,MATCH(Прайс!$B1414,Кат!$G:$G,0)),INDEX(Торг!$C:$C,MATCH(Прайс!$B1414,Торг!$H:$H,0))),"")</f>
        <v>6333</v>
      </c>
      <c r="H1414" s="67" t="str">
        <f>IFERROR(IFERROR(INDEX(Кат!$I:$I,MATCH(Прайс!$B1414,Кат!$G:$G,0)),INDEX(Торг!$I:$I,MATCH(Прайс!$B1414,Торг!$H:$H,0))),"")</f>
        <v>кристал авто</v>
      </c>
    </row>
    <row r="1415" spans="1:8" x14ac:dyDescent="0.25">
      <c r="A1415" s="94" t="s">
        <v>3212</v>
      </c>
      <c r="B1415" s="98">
        <v>71113</v>
      </c>
      <c r="C1415" s="98" t="s">
        <v>2093</v>
      </c>
      <c r="D1415" s="96" t="s">
        <v>160</v>
      </c>
      <c r="E1415" s="97">
        <v>140</v>
      </c>
      <c r="F1415" s="67" t="str">
        <f>IFERROR(IFERROR(INDEX(Кат!$A:$A,MATCH(Прайс!$B1415,Кат!$G:$G,0)),INDEX(Торг!$B:$B,MATCH(Прайс!$B1415,Торг!$H:$H,0))),"")</f>
        <v/>
      </c>
      <c r="G1415" s="67" t="str">
        <f>IFERROR(IFERROR(INDEX(Кат!$B:$B,MATCH(Прайс!$B1415,Кат!$G:$G,0)),INDEX(Торг!$C:$C,MATCH(Прайс!$B1415,Торг!$H:$H,0))),"")</f>
        <v/>
      </c>
      <c r="H1415" s="67" t="str">
        <f>IFERROR(IFERROR(INDEX(Кат!$I:$I,MATCH(Прайс!$B1415,Кат!$G:$G,0)),INDEX(Торг!$I:$I,MATCH(Прайс!$B1415,Торг!$H:$H,0))),"")</f>
        <v/>
      </c>
    </row>
    <row r="1416" spans="1:8" x14ac:dyDescent="0.25">
      <c r="A1416" s="94" t="s">
        <v>3213</v>
      </c>
      <c r="B1416" s="98">
        <v>70067</v>
      </c>
      <c r="C1416" s="98" t="s">
        <v>854</v>
      </c>
      <c r="D1416" s="96" t="s">
        <v>160</v>
      </c>
      <c r="E1416" s="97">
        <v>140</v>
      </c>
      <c r="F1416" s="67">
        <f>IFERROR(IFERROR(INDEX(Кат!$A:$A,MATCH(Прайс!$B1416,Кат!$G:$G,0)),INDEX(Торг!$B:$B,MATCH(Прайс!$B1416,Торг!$H:$H,0))),"")</f>
        <v>185766</v>
      </c>
      <c r="G1416" s="67">
        <f>IFERROR(IFERROR(INDEX(Кат!$B:$B,MATCH(Прайс!$B1416,Кат!$G:$G,0)),INDEX(Торг!$C:$C,MATCH(Прайс!$B1416,Торг!$H:$H,0))),"")</f>
        <v>6324</v>
      </c>
      <c r="H1416" s="67" t="str">
        <f>IFERROR(IFERROR(INDEX(Кат!$I:$I,MATCH(Прайс!$B1416,Кат!$G:$G,0)),INDEX(Торг!$I:$I,MATCH(Прайс!$B1416,Торг!$H:$H,0))),"")</f>
        <v>кристал авто</v>
      </c>
    </row>
    <row r="1417" spans="1:8" x14ac:dyDescent="0.25">
      <c r="A1417" s="94" t="s">
        <v>3214</v>
      </c>
      <c r="B1417" s="98">
        <v>70068</v>
      </c>
      <c r="C1417" s="98" t="s">
        <v>855</v>
      </c>
      <c r="D1417" s="96" t="s">
        <v>160</v>
      </c>
      <c r="E1417" s="97">
        <v>140</v>
      </c>
      <c r="F1417" s="67">
        <f>IFERROR(IFERROR(INDEX(Кат!$A:$A,MATCH(Прайс!$B1417,Кат!$G:$G,0)),INDEX(Торг!$B:$B,MATCH(Прайс!$B1417,Торг!$H:$H,0))),"")</f>
        <v>185769</v>
      </c>
      <c r="G1417" s="67">
        <f>IFERROR(IFERROR(INDEX(Кат!$B:$B,MATCH(Прайс!$B1417,Кат!$G:$G,0)),INDEX(Торг!$C:$C,MATCH(Прайс!$B1417,Торг!$H:$H,0))),"")</f>
        <v>6328</v>
      </c>
      <c r="H1417" s="67" t="str">
        <f>IFERROR(IFERROR(INDEX(Кат!$I:$I,MATCH(Прайс!$B1417,Кат!$G:$G,0)),INDEX(Торг!$I:$I,MATCH(Прайс!$B1417,Торг!$H:$H,0))),"")</f>
        <v>кристал авто</v>
      </c>
    </row>
    <row r="1418" spans="1:8" x14ac:dyDescent="0.25">
      <c r="A1418" s="103" t="s">
        <v>3215</v>
      </c>
      <c r="B1418" s="104">
        <v>71363</v>
      </c>
      <c r="C1418" s="104" t="s">
        <v>856</v>
      </c>
      <c r="D1418" s="105" t="s">
        <v>160</v>
      </c>
      <c r="E1418" s="113">
        <v>140</v>
      </c>
      <c r="F1418" s="67">
        <f>IFERROR(IFERROR(INDEX(Кат!$A:$A,MATCH(Прайс!$B1418,Кат!$G:$G,0)),INDEX(Торг!$B:$B,MATCH(Прайс!$B1418,Торг!$H:$H,0))),"")</f>
        <v>185776</v>
      </c>
      <c r="G1418" s="67">
        <f>IFERROR(IFERROR(INDEX(Кат!$B:$B,MATCH(Прайс!$B1418,Кат!$G:$G,0)),INDEX(Торг!$C:$C,MATCH(Прайс!$B1418,Торг!$H:$H,0))),"")</f>
        <v>23337</v>
      </c>
      <c r="H1418" s="67" t="str">
        <f>IFERROR(IFERROR(INDEX(Кат!$I:$I,MATCH(Прайс!$B1418,Кат!$G:$G,0)),INDEX(Торг!$I:$I,MATCH(Прайс!$B1418,Торг!$H:$H,0))),"")</f>
        <v>кристал авто</v>
      </c>
    </row>
    <row r="1419" spans="1:8" x14ac:dyDescent="0.25">
      <c r="A1419" s="94" t="s">
        <v>3216</v>
      </c>
      <c r="B1419" s="98">
        <v>70069</v>
      </c>
      <c r="C1419" s="98" t="s">
        <v>857</v>
      </c>
      <c r="D1419" s="96" t="s">
        <v>160</v>
      </c>
      <c r="E1419" s="97">
        <v>140</v>
      </c>
      <c r="F1419" s="67">
        <f>IFERROR(IFERROR(INDEX(Кат!$A:$A,MATCH(Прайс!$B1419,Кат!$G:$G,0)),INDEX(Торг!$B:$B,MATCH(Прайс!$B1419,Торг!$H:$H,0))),"")</f>
        <v>185771</v>
      </c>
      <c r="G1419" s="67">
        <f>IFERROR(IFERROR(INDEX(Кат!$B:$B,MATCH(Прайс!$B1419,Кат!$G:$G,0)),INDEX(Торг!$C:$C,MATCH(Прайс!$B1419,Торг!$H:$H,0))),"")</f>
        <v>6325</v>
      </c>
      <c r="H1419" s="67" t="str">
        <f>IFERROR(IFERROR(INDEX(Кат!$I:$I,MATCH(Прайс!$B1419,Кат!$G:$G,0)),INDEX(Торг!$I:$I,MATCH(Прайс!$B1419,Торг!$H:$H,0))),"")</f>
        <v>кристал авто</v>
      </c>
    </row>
    <row r="1420" spans="1:8" x14ac:dyDescent="0.25">
      <c r="A1420" s="103" t="s">
        <v>6275</v>
      </c>
      <c r="B1420" s="104">
        <v>71525</v>
      </c>
      <c r="C1420" s="104" t="s">
        <v>6276</v>
      </c>
      <c r="D1420" s="105" t="s">
        <v>160</v>
      </c>
      <c r="E1420" s="113">
        <v>140</v>
      </c>
      <c r="F1420" s="67" t="str">
        <f>IFERROR(IFERROR(INDEX(Кат!$A:$A,MATCH(Прайс!$B1420,Кат!$G:$G,0)),INDEX(Торг!$B:$B,MATCH(Прайс!$B1420,Торг!$H:$H,0))),"")</f>
        <v/>
      </c>
      <c r="G1420" s="67" t="str">
        <f>IFERROR(IFERROR(INDEX(Кат!$B:$B,MATCH(Прайс!$B1420,Кат!$G:$G,0)),INDEX(Торг!$C:$C,MATCH(Прайс!$B1420,Торг!$H:$H,0))),"")</f>
        <v/>
      </c>
      <c r="H1420" s="67" t="str">
        <f>IFERROR(IFERROR(INDEX(Кат!$I:$I,MATCH(Прайс!$B1420,Кат!$G:$G,0)),INDEX(Торг!$I:$I,MATCH(Прайс!$B1420,Торг!$H:$H,0))),"")</f>
        <v/>
      </c>
    </row>
    <row r="1421" spans="1:8" x14ac:dyDescent="0.25">
      <c r="A1421" s="94" t="s">
        <v>3217</v>
      </c>
      <c r="B1421" s="98">
        <v>71737</v>
      </c>
      <c r="C1421" s="98" t="s">
        <v>858</v>
      </c>
      <c r="D1421" s="96" t="s">
        <v>160</v>
      </c>
      <c r="E1421" s="97">
        <v>140</v>
      </c>
      <c r="F1421" s="67" t="str">
        <f>IFERROR(IFERROR(INDEX(Кат!$A:$A,MATCH(Прайс!$B1421,Кат!$G:$G,0)),INDEX(Торг!$B:$B,MATCH(Прайс!$B1421,Торг!$H:$H,0))),"")</f>
        <v/>
      </c>
      <c r="G1421" s="67" t="str">
        <f>IFERROR(IFERROR(INDEX(Кат!$B:$B,MATCH(Прайс!$B1421,Кат!$G:$G,0)),INDEX(Торг!$C:$C,MATCH(Прайс!$B1421,Торг!$H:$H,0))),"")</f>
        <v/>
      </c>
      <c r="H1421" s="67" t="str">
        <f>IFERROR(IFERROR(INDEX(Кат!$I:$I,MATCH(Прайс!$B1421,Кат!$G:$G,0)),INDEX(Торг!$I:$I,MATCH(Прайс!$B1421,Торг!$H:$H,0))),"")</f>
        <v/>
      </c>
    </row>
    <row r="1422" spans="1:8" x14ac:dyDescent="0.25">
      <c r="A1422" s="94" t="s">
        <v>7605</v>
      </c>
      <c r="B1422" s="98">
        <v>71338</v>
      </c>
      <c r="C1422" s="98" t="s">
        <v>7606</v>
      </c>
      <c r="D1422" s="96" t="s">
        <v>160</v>
      </c>
      <c r="E1422" s="97">
        <v>140</v>
      </c>
      <c r="F1422" s="67" t="str">
        <f>IFERROR(IFERROR(INDEX(Кат!$A:$A,MATCH(Прайс!$B1422,Кат!$G:$G,0)),INDEX(Торг!$B:$B,MATCH(Прайс!$B1422,Торг!$H:$H,0))),"")</f>
        <v/>
      </c>
      <c r="G1422" s="67" t="str">
        <f>IFERROR(IFERROR(INDEX(Кат!$B:$B,MATCH(Прайс!$B1422,Кат!$G:$G,0)),INDEX(Торг!$C:$C,MATCH(Прайс!$B1422,Торг!$H:$H,0))),"")</f>
        <v/>
      </c>
      <c r="H1422" s="67" t="str">
        <f>IFERROR(IFERROR(INDEX(Кат!$I:$I,MATCH(Прайс!$B1422,Кат!$G:$G,0)),INDEX(Торг!$I:$I,MATCH(Прайс!$B1422,Торг!$H:$H,0))),"")</f>
        <v/>
      </c>
    </row>
    <row r="1423" spans="1:8" x14ac:dyDescent="0.25">
      <c r="A1423" s="94" t="s">
        <v>3218</v>
      </c>
      <c r="B1423" s="98">
        <v>71362</v>
      </c>
      <c r="C1423" s="98" t="s">
        <v>859</v>
      </c>
      <c r="D1423" s="96" t="s">
        <v>160</v>
      </c>
      <c r="E1423" s="97">
        <v>140</v>
      </c>
      <c r="F1423" s="67">
        <f>IFERROR(IFERROR(INDEX(Кат!$A:$A,MATCH(Прайс!$B1423,Кат!$G:$G,0)),INDEX(Торг!$B:$B,MATCH(Прайс!$B1423,Торг!$H:$H,0))),"")</f>
        <v>185759</v>
      </c>
      <c r="G1423" s="67">
        <f>IFERROR(IFERROR(INDEX(Кат!$B:$B,MATCH(Прайс!$B1423,Кат!$G:$G,0)),INDEX(Торг!$C:$C,MATCH(Прайс!$B1423,Торг!$H:$H,0))),"")</f>
        <v>6332</v>
      </c>
      <c r="H1423" s="67" t="str">
        <f>IFERROR(IFERROR(INDEX(Кат!$I:$I,MATCH(Прайс!$B1423,Кат!$G:$G,0)),INDEX(Торг!$I:$I,MATCH(Прайс!$B1423,Торг!$H:$H,0))),"")</f>
        <v>кристал авто</v>
      </c>
    </row>
    <row r="1424" spans="1:8" x14ac:dyDescent="0.25">
      <c r="A1424" s="94" t="s">
        <v>3219</v>
      </c>
      <c r="B1424" s="98">
        <v>71063</v>
      </c>
      <c r="C1424" s="98" t="s">
        <v>860</v>
      </c>
      <c r="D1424" s="96" t="s">
        <v>160</v>
      </c>
      <c r="E1424" s="97">
        <v>140</v>
      </c>
      <c r="F1424" s="67" t="str">
        <f>IFERROR(IFERROR(INDEX(Кат!$A:$A,MATCH(Прайс!$B1424,Кат!$G:$G,0)),INDEX(Торг!$B:$B,MATCH(Прайс!$B1424,Торг!$H:$H,0))),"")</f>
        <v/>
      </c>
      <c r="G1424" s="67" t="str">
        <f>IFERROR(IFERROR(INDEX(Кат!$B:$B,MATCH(Прайс!$B1424,Кат!$G:$G,0)),INDEX(Торг!$C:$C,MATCH(Прайс!$B1424,Торг!$H:$H,0))),"")</f>
        <v/>
      </c>
      <c r="H1424" s="67" t="str">
        <f>IFERROR(IFERROR(INDEX(Кат!$I:$I,MATCH(Прайс!$B1424,Кат!$G:$G,0)),INDEX(Торг!$I:$I,MATCH(Прайс!$B1424,Торг!$H:$H,0))),"")</f>
        <v/>
      </c>
    </row>
    <row r="1425" spans="1:8" x14ac:dyDescent="0.25">
      <c r="A1425" s="94" t="s">
        <v>3220</v>
      </c>
      <c r="B1425" s="98">
        <v>70071</v>
      </c>
      <c r="C1425" s="98" t="s">
        <v>861</v>
      </c>
      <c r="D1425" s="96" t="s">
        <v>160</v>
      </c>
      <c r="E1425" s="97">
        <v>140</v>
      </c>
      <c r="F1425" s="67">
        <f>IFERROR(IFERROR(INDEX(Кат!$A:$A,MATCH(Прайс!$B1425,Кат!$G:$G,0)),INDEX(Торг!$B:$B,MATCH(Прайс!$B1425,Торг!$H:$H,0))),"")</f>
        <v>185773</v>
      </c>
      <c r="G1425" s="67">
        <f>IFERROR(IFERROR(INDEX(Кат!$B:$B,MATCH(Прайс!$B1425,Кат!$G:$G,0)),INDEX(Торг!$C:$C,MATCH(Прайс!$B1425,Торг!$H:$H,0))),"")</f>
        <v>6335</v>
      </c>
      <c r="H1425" s="67" t="str">
        <f>IFERROR(IFERROR(INDEX(Кат!$I:$I,MATCH(Прайс!$B1425,Кат!$G:$G,0)),INDEX(Торг!$I:$I,MATCH(Прайс!$B1425,Торг!$H:$H,0))),"")</f>
        <v>кристал авто</v>
      </c>
    </row>
    <row r="1426" spans="1:8" x14ac:dyDescent="0.25">
      <c r="A1426" s="94" t="s">
        <v>3221</v>
      </c>
      <c r="B1426" s="98">
        <v>70072</v>
      </c>
      <c r="C1426" s="98" t="s">
        <v>862</v>
      </c>
      <c r="D1426" s="96" t="s">
        <v>160</v>
      </c>
      <c r="E1426" s="97">
        <v>140</v>
      </c>
      <c r="F1426" s="67">
        <f>IFERROR(IFERROR(INDEX(Кат!$A:$A,MATCH(Прайс!$B1426,Кат!$G:$G,0)),INDEX(Торг!$B:$B,MATCH(Прайс!$B1426,Торг!$H:$H,0))),"")</f>
        <v>185774</v>
      </c>
      <c r="G1426" s="67">
        <f>IFERROR(IFERROR(INDEX(Кат!$B:$B,MATCH(Прайс!$B1426,Кат!$G:$G,0)),INDEX(Торг!$C:$C,MATCH(Прайс!$B1426,Торг!$H:$H,0))),"")</f>
        <v>17959</v>
      </c>
      <c r="H1426" s="67" t="str">
        <f>IFERROR(IFERROR(INDEX(Кат!$I:$I,MATCH(Прайс!$B1426,Кат!$G:$G,0)),INDEX(Торг!$I:$I,MATCH(Прайс!$B1426,Торг!$H:$H,0))),"")</f>
        <v>кристал авто</v>
      </c>
    </row>
    <row r="1427" spans="1:8" x14ac:dyDescent="0.25">
      <c r="A1427" s="94" t="s">
        <v>3222</v>
      </c>
      <c r="B1427" s="98">
        <v>70073</v>
      </c>
      <c r="C1427" s="98" t="s">
        <v>863</v>
      </c>
      <c r="D1427" s="96" t="s">
        <v>160</v>
      </c>
      <c r="E1427" s="97">
        <v>140</v>
      </c>
      <c r="F1427" s="67" t="str">
        <f>IFERROR(IFERROR(INDEX(Кат!$A:$A,MATCH(Прайс!$B1427,Кат!$G:$G,0)),INDEX(Торг!$B:$B,MATCH(Прайс!$B1427,Торг!$H:$H,0))),"")</f>
        <v/>
      </c>
      <c r="G1427" s="67" t="str">
        <f>IFERROR(IFERROR(INDEX(Кат!$B:$B,MATCH(Прайс!$B1427,Кат!$G:$G,0)),INDEX(Торг!$C:$C,MATCH(Прайс!$B1427,Торг!$H:$H,0))),"")</f>
        <v/>
      </c>
      <c r="H1427" s="67" t="str">
        <f>IFERROR(IFERROR(INDEX(Кат!$I:$I,MATCH(Прайс!$B1427,Кат!$G:$G,0)),INDEX(Торг!$I:$I,MATCH(Прайс!$B1427,Торг!$H:$H,0))),"")</f>
        <v/>
      </c>
    </row>
    <row r="1428" spans="1:8" x14ac:dyDescent="0.25">
      <c r="A1428" s="94" t="s">
        <v>3223</v>
      </c>
      <c r="B1428" s="98">
        <v>70057</v>
      </c>
      <c r="C1428" s="98" t="s">
        <v>864</v>
      </c>
      <c r="D1428" s="96" t="s">
        <v>160</v>
      </c>
      <c r="E1428" s="97">
        <v>140</v>
      </c>
      <c r="F1428" s="67">
        <f>IFERROR(IFERROR(INDEX(Кат!$A:$A,MATCH(Прайс!$B1428,Кат!$G:$G,0)),INDEX(Торг!$B:$B,MATCH(Прайс!$B1428,Торг!$H:$H,0))),"")</f>
        <v>185761</v>
      </c>
      <c r="G1428" s="67">
        <f>IFERROR(IFERROR(INDEX(Кат!$B:$B,MATCH(Прайс!$B1428,Кат!$G:$G,0)),INDEX(Торг!$C:$C,MATCH(Прайс!$B1428,Торг!$H:$H,0))),"")</f>
        <v>6327</v>
      </c>
      <c r="H1428" s="67" t="str">
        <f>IFERROR(IFERROR(INDEX(Кат!$I:$I,MATCH(Прайс!$B1428,Кат!$G:$G,0)),INDEX(Торг!$I:$I,MATCH(Прайс!$B1428,Торг!$H:$H,0))),"")</f>
        <v>кристал авто</v>
      </c>
    </row>
    <row r="1429" spans="1:8" x14ac:dyDescent="0.25">
      <c r="A1429" s="94" t="s">
        <v>3224</v>
      </c>
      <c r="B1429" s="98">
        <v>70074</v>
      </c>
      <c r="C1429" s="98" t="s">
        <v>865</v>
      </c>
      <c r="D1429" s="96" t="s">
        <v>160</v>
      </c>
      <c r="E1429" s="97">
        <v>140</v>
      </c>
      <c r="F1429" s="67">
        <f>IFERROR(IFERROR(INDEX(Кат!$A:$A,MATCH(Прайс!$B1429,Кат!$G:$G,0)),INDEX(Торг!$B:$B,MATCH(Прайс!$B1429,Торг!$H:$H,0))),"")</f>
        <v>185760</v>
      </c>
      <c r="G1429" s="67">
        <f>IFERROR(IFERROR(INDEX(Кат!$B:$B,MATCH(Прайс!$B1429,Кат!$G:$G,0)),INDEX(Торг!$C:$C,MATCH(Прайс!$B1429,Торг!$H:$H,0))),"")</f>
        <v>6329</v>
      </c>
      <c r="H1429" s="67" t="str">
        <f>IFERROR(IFERROR(INDEX(Кат!$I:$I,MATCH(Прайс!$B1429,Кат!$G:$G,0)),INDEX(Торг!$I:$I,MATCH(Прайс!$B1429,Торг!$H:$H,0))),"")</f>
        <v>кристал авто</v>
      </c>
    </row>
    <row r="1430" spans="1:8" x14ac:dyDescent="0.25">
      <c r="A1430" s="94" t="s">
        <v>3225</v>
      </c>
      <c r="B1430" s="98">
        <v>72212</v>
      </c>
      <c r="C1430" s="98" t="s">
        <v>866</v>
      </c>
      <c r="D1430" s="96" t="s">
        <v>160</v>
      </c>
      <c r="E1430" s="97">
        <v>140</v>
      </c>
      <c r="F1430" s="67" t="str">
        <f>IFERROR(IFERROR(INDEX(Кат!$A:$A,MATCH(Прайс!$B1430,Кат!$G:$G,0)),INDEX(Торг!$B:$B,MATCH(Прайс!$B1430,Торг!$H:$H,0))),"")</f>
        <v/>
      </c>
      <c r="G1430" s="67" t="str">
        <f>IFERROR(IFERROR(INDEX(Кат!$B:$B,MATCH(Прайс!$B1430,Кат!$G:$G,0)),INDEX(Торг!$C:$C,MATCH(Прайс!$B1430,Торг!$H:$H,0))),"")</f>
        <v/>
      </c>
      <c r="H1430" s="67" t="str">
        <f>IFERROR(IFERROR(INDEX(Кат!$I:$I,MATCH(Прайс!$B1430,Кат!$G:$G,0)),INDEX(Торг!$I:$I,MATCH(Прайс!$B1430,Торг!$H:$H,0))),"")</f>
        <v/>
      </c>
    </row>
    <row r="1431" spans="1:8" x14ac:dyDescent="0.25">
      <c r="A1431" s="94" t="s">
        <v>3226</v>
      </c>
      <c r="B1431" s="98">
        <v>70091</v>
      </c>
      <c r="C1431" s="98" t="s">
        <v>867</v>
      </c>
      <c r="D1431" s="96" t="s">
        <v>868</v>
      </c>
      <c r="E1431" s="97">
        <v>75</v>
      </c>
      <c r="F1431" s="67" t="str">
        <f>IFERROR(IFERROR(INDEX(Кат!$A:$A,MATCH(Прайс!$B1431,Кат!$G:$G,0)),INDEX(Торг!$B:$B,MATCH(Прайс!$B1431,Торг!$H:$H,0))),"")</f>
        <v/>
      </c>
      <c r="G1431" s="67" t="str">
        <f>IFERROR(IFERROR(INDEX(Кат!$B:$B,MATCH(Прайс!$B1431,Кат!$G:$G,0)),INDEX(Торг!$C:$C,MATCH(Прайс!$B1431,Торг!$H:$H,0))),"")</f>
        <v/>
      </c>
      <c r="H1431" s="67" t="str">
        <f>IFERROR(IFERROR(INDEX(Кат!$I:$I,MATCH(Прайс!$B1431,Кат!$G:$G,0)),INDEX(Торг!$I:$I,MATCH(Прайс!$B1431,Торг!$H:$H,0))),"")</f>
        <v/>
      </c>
    </row>
    <row r="1432" spans="1:8" x14ac:dyDescent="0.25">
      <c r="A1432" s="94" t="s">
        <v>3227</v>
      </c>
      <c r="B1432" s="98">
        <v>72366</v>
      </c>
      <c r="C1432" s="98" t="s">
        <v>3228</v>
      </c>
      <c r="D1432" s="96" t="s">
        <v>868</v>
      </c>
      <c r="E1432" s="97">
        <v>75</v>
      </c>
      <c r="F1432" s="67" t="str">
        <f>IFERROR(IFERROR(INDEX(Кат!$A:$A,MATCH(Прайс!$B1432,Кат!$G:$G,0)),INDEX(Торг!$B:$B,MATCH(Прайс!$B1432,Торг!$H:$H,0))),"")</f>
        <v/>
      </c>
      <c r="G1432" s="67" t="str">
        <f>IFERROR(IFERROR(INDEX(Кат!$B:$B,MATCH(Прайс!$B1432,Кат!$G:$G,0)),INDEX(Торг!$C:$C,MATCH(Прайс!$B1432,Торг!$H:$H,0))),"")</f>
        <v/>
      </c>
      <c r="H1432" s="67" t="str">
        <f>IFERROR(IFERROR(INDEX(Кат!$I:$I,MATCH(Прайс!$B1432,Кат!$G:$G,0)),INDEX(Торг!$I:$I,MATCH(Прайс!$B1432,Торг!$H:$H,0))),"")</f>
        <v/>
      </c>
    </row>
    <row r="1433" spans="1:8" x14ac:dyDescent="0.25">
      <c r="A1433" s="94" t="s">
        <v>3229</v>
      </c>
      <c r="B1433" s="98">
        <v>72375</v>
      </c>
      <c r="C1433" s="98" t="s">
        <v>3230</v>
      </c>
      <c r="D1433" s="96" t="s">
        <v>177</v>
      </c>
      <c r="E1433" s="97">
        <v>75</v>
      </c>
      <c r="F1433" s="67" t="str">
        <f>IFERROR(IFERROR(INDEX(Кат!$A:$A,MATCH(Прайс!$B1433,Кат!$G:$G,0)),INDEX(Торг!$B:$B,MATCH(Прайс!$B1433,Торг!$H:$H,0))),"")</f>
        <v/>
      </c>
      <c r="G1433" s="67" t="str">
        <f>IFERROR(IFERROR(INDEX(Кат!$B:$B,MATCH(Прайс!$B1433,Кат!$G:$G,0)),INDEX(Торг!$C:$C,MATCH(Прайс!$B1433,Торг!$H:$H,0))),"")</f>
        <v/>
      </c>
      <c r="H1433" s="67" t="str">
        <f>IFERROR(IFERROR(INDEX(Кат!$I:$I,MATCH(Прайс!$B1433,Кат!$G:$G,0)),INDEX(Торг!$I:$I,MATCH(Прайс!$B1433,Торг!$H:$H,0))),"")</f>
        <v/>
      </c>
    </row>
    <row r="1434" spans="1:8" x14ac:dyDescent="0.25">
      <c r="A1434" s="94" t="s">
        <v>3231</v>
      </c>
      <c r="B1434" s="98">
        <v>72372</v>
      </c>
      <c r="C1434" s="98" t="s">
        <v>3232</v>
      </c>
      <c r="D1434" s="96" t="s">
        <v>177</v>
      </c>
      <c r="E1434" s="97">
        <v>75</v>
      </c>
      <c r="F1434" s="67" t="str">
        <f>IFERROR(IFERROR(INDEX(Кат!$A:$A,MATCH(Прайс!$B1434,Кат!$G:$G,0)),INDEX(Торг!$B:$B,MATCH(Прайс!$B1434,Торг!$H:$H,0))),"")</f>
        <v/>
      </c>
      <c r="G1434" s="67" t="str">
        <f>IFERROR(IFERROR(INDEX(Кат!$B:$B,MATCH(Прайс!$B1434,Кат!$G:$G,0)),INDEX(Торг!$C:$C,MATCH(Прайс!$B1434,Торг!$H:$H,0))),"")</f>
        <v/>
      </c>
      <c r="H1434" s="67" t="str">
        <f>IFERROR(IFERROR(INDEX(Кат!$I:$I,MATCH(Прайс!$B1434,Кат!$G:$G,0)),INDEX(Торг!$I:$I,MATCH(Прайс!$B1434,Торг!$H:$H,0))),"")</f>
        <v/>
      </c>
    </row>
    <row r="1435" spans="1:8" x14ac:dyDescent="0.25">
      <c r="A1435" s="94" t="s">
        <v>3233</v>
      </c>
      <c r="B1435" s="98">
        <v>72373</v>
      </c>
      <c r="C1435" s="98" t="s">
        <v>3234</v>
      </c>
      <c r="D1435" s="96" t="s">
        <v>177</v>
      </c>
      <c r="E1435" s="97">
        <v>75</v>
      </c>
      <c r="F1435" s="67" t="str">
        <f>IFERROR(IFERROR(INDEX(Кат!$A:$A,MATCH(Прайс!$B1435,Кат!$G:$G,0)),INDEX(Торг!$B:$B,MATCH(Прайс!$B1435,Торг!$H:$H,0))),"")</f>
        <v/>
      </c>
      <c r="G1435" s="67" t="str">
        <f>IFERROR(IFERROR(INDEX(Кат!$B:$B,MATCH(Прайс!$B1435,Кат!$G:$G,0)),INDEX(Торг!$C:$C,MATCH(Прайс!$B1435,Торг!$H:$H,0))),"")</f>
        <v/>
      </c>
      <c r="H1435" s="67" t="str">
        <f>IFERROR(IFERROR(INDEX(Кат!$I:$I,MATCH(Прайс!$B1435,Кат!$G:$G,0)),INDEX(Торг!$I:$I,MATCH(Прайс!$B1435,Торг!$H:$H,0))),"")</f>
        <v/>
      </c>
    </row>
    <row r="1436" spans="1:8" x14ac:dyDescent="0.25">
      <c r="A1436" s="94" t="s">
        <v>3235</v>
      </c>
      <c r="B1436" s="98">
        <v>72371</v>
      </c>
      <c r="C1436" s="98" t="s">
        <v>3236</v>
      </c>
      <c r="D1436" s="96" t="s">
        <v>177</v>
      </c>
      <c r="E1436" s="97">
        <v>75</v>
      </c>
      <c r="F1436" s="67" t="str">
        <f>IFERROR(IFERROR(INDEX(Кат!$A:$A,MATCH(Прайс!$B1436,Кат!$G:$G,0)),INDEX(Торг!$B:$B,MATCH(Прайс!$B1436,Торг!$H:$H,0))),"")</f>
        <v/>
      </c>
      <c r="G1436" s="67" t="str">
        <f>IFERROR(IFERROR(INDEX(Кат!$B:$B,MATCH(Прайс!$B1436,Кат!$G:$G,0)),INDEX(Торг!$C:$C,MATCH(Прайс!$B1436,Торг!$H:$H,0))),"")</f>
        <v/>
      </c>
      <c r="H1436" s="67" t="str">
        <f>IFERROR(IFERROR(INDEX(Кат!$I:$I,MATCH(Прайс!$B1436,Кат!$G:$G,0)),INDEX(Торг!$I:$I,MATCH(Прайс!$B1436,Торг!$H:$H,0))),"")</f>
        <v/>
      </c>
    </row>
    <row r="1437" spans="1:8" x14ac:dyDescent="0.25">
      <c r="A1437" s="94" t="s">
        <v>3237</v>
      </c>
      <c r="B1437" s="98">
        <v>72374</v>
      </c>
      <c r="C1437" s="98" t="s">
        <v>3238</v>
      </c>
      <c r="D1437" s="96" t="s">
        <v>177</v>
      </c>
      <c r="E1437" s="97">
        <v>75</v>
      </c>
      <c r="F1437" s="67" t="str">
        <f>IFERROR(IFERROR(INDEX(Кат!$A:$A,MATCH(Прайс!$B1437,Кат!$G:$G,0)),INDEX(Торг!$B:$B,MATCH(Прайс!$B1437,Торг!$H:$H,0))),"")</f>
        <v/>
      </c>
      <c r="G1437" s="67" t="str">
        <f>IFERROR(IFERROR(INDEX(Кат!$B:$B,MATCH(Прайс!$B1437,Кат!$G:$G,0)),INDEX(Торг!$C:$C,MATCH(Прайс!$B1437,Торг!$H:$H,0))),"")</f>
        <v/>
      </c>
      <c r="H1437" s="67" t="str">
        <f>IFERROR(IFERROR(INDEX(Кат!$I:$I,MATCH(Прайс!$B1437,Кат!$G:$G,0)),INDEX(Торг!$I:$I,MATCH(Прайс!$B1437,Торг!$H:$H,0))),"")</f>
        <v/>
      </c>
    </row>
    <row r="1438" spans="1:8" x14ac:dyDescent="0.25">
      <c r="A1438" s="94" t="s">
        <v>3239</v>
      </c>
      <c r="B1438" s="98">
        <v>70094</v>
      </c>
      <c r="C1438" s="98" t="s">
        <v>7607</v>
      </c>
      <c r="D1438" s="96" t="s">
        <v>177</v>
      </c>
      <c r="E1438" s="97">
        <v>75</v>
      </c>
      <c r="F1438" s="67">
        <f>IFERROR(IFERROR(INDEX(Кат!$A:$A,MATCH(Прайс!$B1438,Кат!$G:$G,0)),INDEX(Торг!$B:$B,MATCH(Прайс!$B1438,Торг!$H:$H,0))),"")</f>
        <v>133045</v>
      </c>
      <c r="G1438" s="67">
        <f>IFERROR(IFERROR(INDEX(Кат!$B:$B,MATCH(Прайс!$B1438,Кат!$G:$G,0)),INDEX(Торг!$C:$C,MATCH(Прайс!$B1438,Торг!$H:$H,0))),"")</f>
        <v>6315</v>
      </c>
      <c r="H1438" s="67" t="str">
        <f>IFERROR(IFERROR(INDEX(Кат!$I:$I,MATCH(Прайс!$B1438,Кат!$G:$G,0)),INDEX(Торг!$I:$I,MATCH(Прайс!$B1438,Торг!$H:$H,0))),"")</f>
        <v>кристал авто</v>
      </c>
    </row>
    <row r="1439" spans="1:8" x14ac:dyDescent="0.25">
      <c r="A1439" s="94" t="s">
        <v>3240</v>
      </c>
      <c r="B1439" s="98">
        <v>70092</v>
      </c>
      <c r="C1439" s="98" t="s">
        <v>869</v>
      </c>
      <c r="D1439" s="96" t="s">
        <v>177</v>
      </c>
      <c r="E1439" s="97">
        <v>75</v>
      </c>
      <c r="F1439" s="67" t="str">
        <f>IFERROR(IFERROR(INDEX(Кат!$A:$A,MATCH(Прайс!$B1439,Кат!$G:$G,0)),INDEX(Торг!$B:$B,MATCH(Прайс!$B1439,Торг!$H:$H,0))),"")</f>
        <v/>
      </c>
      <c r="G1439" s="67" t="str">
        <f>IFERROR(IFERROR(INDEX(Кат!$B:$B,MATCH(Прайс!$B1439,Кат!$G:$G,0)),INDEX(Торг!$C:$C,MATCH(Прайс!$B1439,Торг!$H:$H,0))),"")</f>
        <v/>
      </c>
      <c r="H1439" s="67" t="str">
        <f>IFERROR(IFERROR(INDEX(Кат!$I:$I,MATCH(Прайс!$B1439,Кат!$G:$G,0)),INDEX(Торг!$I:$I,MATCH(Прайс!$B1439,Торг!$H:$H,0))),"")</f>
        <v/>
      </c>
    </row>
    <row r="1440" spans="1:8" x14ac:dyDescent="0.25">
      <c r="A1440" s="94" t="s">
        <v>3241</v>
      </c>
      <c r="B1440" s="98">
        <v>70100</v>
      </c>
      <c r="C1440" s="98" t="s">
        <v>870</v>
      </c>
      <c r="D1440" s="96" t="s">
        <v>177</v>
      </c>
      <c r="E1440" s="97">
        <v>75</v>
      </c>
      <c r="F1440" s="67">
        <f>IFERROR(IFERROR(INDEX(Кат!$A:$A,MATCH(Прайс!$B1440,Кат!$G:$G,0)),INDEX(Торг!$B:$B,MATCH(Прайс!$B1440,Торг!$H:$H,0))),"")</f>
        <v>133046</v>
      </c>
      <c r="G1440" s="67">
        <f>IFERROR(IFERROR(INDEX(Кат!$B:$B,MATCH(Прайс!$B1440,Кат!$G:$G,0)),INDEX(Торг!$C:$C,MATCH(Прайс!$B1440,Торг!$H:$H,0))),"")</f>
        <v>6319</v>
      </c>
      <c r="H1440" s="67" t="str">
        <f>IFERROR(IFERROR(INDEX(Кат!$I:$I,MATCH(Прайс!$B1440,Кат!$G:$G,0)),INDEX(Торг!$I:$I,MATCH(Прайс!$B1440,Торг!$H:$H,0))),"")</f>
        <v>кристал авто</v>
      </c>
    </row>
    <row r="1441" spans="1:8" x14ac:dyDescent="0.25">
      <c r="A1441" s="94" t="s">
        <v>3242</v>
      </c>
      <c r="B1441" s="98">
        <v>70095</v>
      </c>
      <c r="C1441" s="98" t="s">
        <v>871</v>
      </c>
      <c r="D1441" s="96" t="s">
        <v>177</v>
      </c>
      <c r="E1441" s="97">
        <v>75</v>
      </c>
      <c r="F1441" s="67" t="str">
        <f>IFERROR(IFERROR(INDEX(Кат!$A:$A,MATCH(Прайс!$B1441,Кат!$G:$G,0)),INDEX(Торг!$B:$B,MATCH(Прайс!$B1441,Торг!$H:$H,0))),"")</f>
        <v/>
      </c>
      <c r="G1441" s="67" t="str">
        <f>IFERROR(IFERROR(INDEX(Кат!$B:$B,MATCH(Прайс!$B1441,Кат!$G:$G,0)),INDEX(Торг!$C:$C,MATCH(Прайс!$B1441,Торг!$H:$H,0))),"")</f>
        <v/>
      </c>
      <c r="H1441" s="67" t="str">
        <f>IFERROR(IFERROR(INDEX(Кат!$I:$I,MATCH(Прайс!$B1441,Кат!$G:$G,0)),INDEX(Торг!$I:$I,MATCH(Прайс!$B1441,Торг!$H:$H,0))),"")</f>
        <v/>
      </c>
    </row>
    <row r="1442" spans="1:8" x14ac:dyDescent="0.25">
      <c r="A1442" s="94" t="s">
        <v>3243</v>
      </c>
      <c r="B1442" s="98">
        <v>70096</v>
      </c>
      <c r="C1442" s="98" t="s">
        <v>872</v>
      </c>
      <c r="D1442" s="96" t="s">
        <v>177</v>
      </c>
      <c r="E1442" s="97">
        <v>75</v>
      </c>
      <c r="F1442" s="67">
        <f>IFERROR(IFERROR(INDEX(Кат!$A:$A,MATCH(Прайс!$B1442,Кат!$G:$G,0)),INDEX(Торг!$B:$B,MATCH(Прайс!$B1442,Торг!$H:$H,0))),"")</f>
        <v>133047</v>
      </c>
      <c r="G1442" s="67">
        <f>IFERROR(IFERROR(INDEX(Кат!$B:$B,MATCH(Прайс!$B1442,Кат!$G:$G,0)),INDEX(Торг!$C:$C,MATCH(Прайс!$B1442,Торг!$H:$H,0))),"")</f>
        <v>6311</v>
      </c>
      <c r="H1442" s="67" t="str">
        <f>IFERROR(IFERROR(INDEX(Кат!$I:$I,MATCH(Прайс!$B1442,Кат!$G:$G,0)),INDEX(Торг!$I:$I,MATCH(Прайс!$B1442,Торг!$H:$H,0))),"")</f>
        <v>кристал авто</v>
      </c>
    </row>
    <row r="1443" spans="1:8" x14ac:dyDescent="0.25">
      <c r="A1443" s="94" t="s">
        <v>3244</v>
      </c>
      <c r="B1443" s="98">
        <v>70097</v>
      </c>
      <c r="C1443" s="98" t="s">
        <v>873</v>
      </c>
      <c r="D1443" s="96" t="s">
        <v>177</v>
      </c>
      <c r="E1443" s="97">
        <v>75</v>
      </c>
      <c r="F1443" s="67">
        <f>IFERROR(IFERROR(INDEX(Кат!$A:$A,MATCH(Прайс!$B1443,Кат!$G:$G,0)),INDEX(Торг!$B:$B,MATCH(Прайс!$B1443,Торг!$H:$H,0))),"")</f>
        <v>133048</v>
      </c>
      <c r="G1443" s="67">
        <f>IFERROR(IFERROR(INDEX(Кат!$B:$B,MATCH(Прайс!$B1443,Кат!$G:$G,0)),INDEX(Торг!$C:$C,MATCH(Прайс!$B1443,Торг!$H:$H,0))),"")</f>
        <v>6313</v>
      </c>
      <c r="H1443" s="67" t="str">
        <f>IFERROR(IFERROR(INDEX(Кат!$I:$I,MATCH(Прайс!$B1443,Кат!$G:$G,0)),INDEX(Торг!$I:$I,MATCH(Прайс!$B1443,Торг!$H:$H,0))),"")</f>
        <v>кристал авто</v>
      </c>
    </row>
    <row r="1444" spans="1:8" x14ac:dyDescent="0.25">
      <c r="A1444" s="94" t="s">
        <v>3245</v>
      </c>
      <c r="B1444" s="98">
        <v>70098</v>
      </c>
      <c r="C1444" s="98" t="s">
        <v>874</v>
      </c>
      <c r="D1444" s="96" t="s">
        <v>177</v>
      </c>
      <c r="E1444" s="97">
        <v>75</v>
      </c>
      <c r="F1444" s="67">
        <f>IFERROR(IFERROR(INDEX(Кат!$A:$A,MATCH(Прайс!$B1444,Кат!$G:$G,0)),INDEX(Торг!$B:$B,MATCH(Прайс!$B1444,Торг!$H:$H,0))),"")</f>
        <v>133049</v>
      </c>
      <c r="G1444" s="67">
        <f>IFERROR(IFERROR(INDEX(Кат!$B:$B,MATCH(Прайс!$B1444,Кат!$G:$G,0)),INDEX(Торг!$C:$C,MATCH(Прайс!$B1444,Торг!$H:$H,0))),"")</f>
        <v>6314</v>
      </c>
      <c r="H1444" s="67" t="str">
        <f>IFERROR(IFERROR(INDEX(Кат!$I:$I,MATCH(Прайс!$B1444,Кат!$G:$G,0)),INDEX(Торг!$I:$I,MATCH(Прайс!$B1444,Торг!$H:$H,0))),"")</f>
        <v>кристал авто</v>
      </c>
    </row>
    <row r="1445" spans="1:8" x14ac:dyDescent="0.25">
      <c r="A1445" s="94" t="s">
        <v>3246</v>
      </c>
      <c r="B1445" s="98">
        <v>70099</v>
      </c>
      <c r="C1445" s="98" t="s">
        <v>875</v>
      </c>
      <c r="D1445" s="96" t="s">
        <v>177</v>
      </c>
      <c r="E1445" s="97">
        <v>75</v>
      </c>
      <c r="F1445" s="67" t="str">
        <f>IFERROR(IFERROR(INDEX(Кат!$A:$A,MATCH(Прайс!$B1445,Кат!$G:$G,0)),INDEX(Торг!$B:$B,MATCH(Прайс!$B1445,Торг!$H:$H,0))),"")</f>
        <v/>
      </c>
      <c r="G1445" s="67" t="str">
        <f>IFERROR(IFERROR(INDEX(Кат!$B:$B,MATCH(Прайс!$B1445,Кат!$G:$G,0)),INDEX(Торг!$C:$C,MATCH(Прайс!$B1445,Торг!$H:$H,0))),"")</f>
        <v/>
      </c>
      <c r="H1445" s="67" t="str">
        <f>IFERROR(IFERROR(INDEX(Кат!$I:$I,MATCH(Прайс!$B1445,Кат!$G:$G,0)),INDEX(Торг!$I:$I,MATCH(Прайс!$B1445,Торг!$H:$H,0))),"")</f>
        <v/>
      </c>
    </row>
    <row r="1446" spans="1:8" x14ac:dyDescent="0.25">
      <c r="A1446" s="94" t="s">
        <v>3247</v>
      </c>
      <c r="B1446" s="98">
        <v>70105</v>
      </c>
      <c r="C1446" s="98" t="s">
        <v>876</v>
      </c>
      <c r="D1446" s="96" t="s">
        <v>177</v>
      </c>
      <c r="E1446" s="97">
        <v>75</v>
      </c>
      <c r="F1446" s="67">
        <f>IFERROR(IFERROR(INDEX(Кат!$A:$A,MATCH(Прайс!$B1446,Кат!$G:$G,0)),INDEX(Торг!$B:$B,MATCH(Прайс!$B1446,Торг!$H:$H,0))),"")</f>
        <v>133044</v>
      </c>
      <c r="G1446" s="67">
        <f>IFERROR(IFERROR(INDEX(Кат!$B:$B,MATCH(Прайс!$B1446,Кат!$G:$G,0)),INDEX(Торг!$C:$C,MATCH(Прайс!$B1446,Торг!$H:$H,0))),"")</f>
        <v>6318</v>
      </c>
      <c r="H1446" s="67" t="str">
        <f>IFERROR(IFERROR(INDEX(Кат!$I:$I,MATCH(Прайс!$B1446,Кат!$G:$G,0)),INDEX(Торг!$I:$I,MATCH(Прайс!$B1446,Торг!$H:$H,0))),"")</f>
        <v>кристал авто</v>
      </c>
    </row>
    <row r="1447" spans="1:8" x14ac:dyDescent="0.25">
      <c r="A1447" s="94" t="s">
        <v>3248</v>
      </c>
      <c r="B1447" s="98">
        <v>70101</v>
      </c>
      <c r="C1447" s="98" t="s">
        <v>877</v>
      </c>
      <c r="D1447" s="96" t="s">
        <v>177</v>
      </c>
      <c r="E1447" s="97">
        <v>75</v>
      </c>
      <c r="F1447" s="67" t="str">
        <f>IFERROR(IFERROR(INDEX(Кат!$A:$A,MATCH(Прайс!$B1447,Кат!$G:$G,0)),INDEX(Торг!$B:$B,MATCH(Прайс!$B1447,Торг!$H:$H,0))),"")</f>
        <v/>
      </c>
      <c r="G1447" s="67" t="str">
        <f>IFERROR(IFERROR(INDEX(Кат!$B:$B,MATCH(Прайс!$B1447,Кат!$G:$G,0)),INDEX(Торг!$C:$C,MATCH(Прайс!$B1447,Торг!$H:$H,0))),"")</f>
        <v/>
      </c>
      <c r="H1447" s="67" t="str">
        <f>IFERROR(IFERROR(INDEX(Кат!$I:$I,MATCH(Прайс!$B1447,Кат!$G:$G,0)),INDEX(Торг!$I:$I,MATCH(Прайс!$B1447,Торг!$H:$H,0))),"")</f>
        <v/>
      </c>
    </row>
    <row r="1448" spans="1:8" x14ac:dyDescent="0.25">
      <c r="A1448" s="94" t="s">
        <v>3249</v>
      </c>
      <c r="B1448" s="98">
        <v>70102</v>
      </c>
      <c r="C1448" s="98" t="s">
        <v>878</v>
      </c>
      <c r="D1448" s="96" t="s">
        <v>177</v>
      </c>
      <c r="E1448" s="97">
        <v>75</v>
      </c>
      <c r="F1448" s="67" t="str">
        <f>IFERROR(IFERROR(INDEX(Кат!$A:$A,MATCH(Прайс!$B1448,Кат!$G:$G,0)),INDEX(Торг!$B:$B,MATCH(Прайс!$B1448,Торг!$H:$H,0))),"")</f>
        <v/>
      </c>
      <c r="G1448" s="67" t="str">
        <f>IFERROR(IFERROR(INDEX(Кат!$B:$B,MATCH(Прайс!$B1448,Кат!$G:$G,0)),INDEX(Торг!$C:$C,MATCH(Прайс!$B1448,Торг!$H:$H,0))),"")</f>
        <v/>
      </c>
      <c r="H1448" s="67" t="str">
        <f>IFERROR(IFERROR(INDEX(Кат!$I:$I,MATCH(Прайс!$B1448,Кат!$G:$G,0)),INDEX(Торг!$I:$I,MATCH(Прайс!$B1448,Торг!$H:$H,0))),"")</f>
        <v/>
      </c>
    </row>
    <row r="1449" spans="1:8" x14ac:dyDescent="0.25">
      <c r="A1449" s="94" t="s">
        <v>3250</v>
      </c>
      <c r="B1449" s="98">
        <v>71738</v>
      </c>
      <c r="C1449" s="98" t="s">
        <v>879</v>
      </c>
      <c r="D1449" s="96" t="s">
        <v>177</v>
      </c>
      <c r="E1449" s="97">
        <v>75</v>
      </c>
      <c r="F1449" s="67" t="str">
        <f>IFERROR(IFERROR(INDEX(Кат!$A:$A,MATCH(Прайс!$B1449,Кат!$G:$G,0)),INDEX(Торг!$B:$B,MATCH(Прайс!$B1449,Торг!$H:$H,0))),"")</f>
        <v/>
      </c>
      <c r="G1449" s="67" t="str">
        <f>IFERROR(IFERROR(INDEX(Кат!$B:$B,MATCH(Прайс!$B1449,Кат!$G:$G,0)),INDEX(Торг!$C:$C,MATCH(Прайс!$B1449,Торг!$H:$H,0))),"")</f>
        <v/>
      </c>
      <c r="H1449" s="67" t="str">
        <f>IFERROR(IFERROR(INDEX(Кат!$I:$I,MATCH(Прайс!$B1449,Кат!$G:$G,0)),INDEX(Торг!$I:$I,MATCH(Прайс!$B1449,Торг!$H:$H,0))),"")</f>
        <v/>
      </c>
    </row>
    <row r="1450" spans="1:8" x14ac:dyDescent="0.25">
      <c r="A1450" s="94" t="s">
        <v>3251</v>
      </c>
      <c r="B1450" s="98">
        <v>70103</v>
      </c>
      <c r="C1450" s="98" t="s">
        <v>880</v>
      </c>
      <c r="D1450" s="96" t="s">
        <v>177</v>
      </c>
      <c r="E1450" s="97">
        <v>75</v>
      </c>
      <c r="F1450" s="67">
        <f>IFERROR(IFERROR(INDEX(Кат!$A:$A,MATCH(Прайс!$B1450,Кат!$G:$G,0)),INDEX(Торг!$B:$B,MATCH(Прайс!$B1450,Торг!$H:$H,0))),"")</f>
        <v>133050</v>
      </c>
      <c r="G1450" s="67">
        <f>IFERROR(IFERROR(INDEX(Кат!$B:$B,MATCH(Прайс!$B1450,Кат!$G:$G,0)),INDEX(Торг!$C:$C,MATCH(Прайс!$B1450,Торг!$H:$H,0))),"")</f>
        <v>6312</v>
      </c>
      <c r="H1450" s="67" t="str">
        <f>IFERROR(IFERROR(INDEX(Кат!$I:$I,MATCH(Прайс!$B1450,Кат!$G:$G,0)),INDEX(Торг!$I:$I,MATCH(Прайс!$B1450,Торг!$H:$H,0))),"")</f>
        <v>кристал авто</v>
      </c>
    </row>
    <row r="1451" spans="1:8" x14ac:dyDescent="0.25">
      <c r="A1451" s="94" t="s">
        <v>3252</v>
      </c>
      <c r="B1451" s="98">
        <v>70093</v>
      </c>
      <c r="C1451" s="98" t="s">
        <v>881</v>
      </c>
      <c r="D1451" s="96" t="s">
        <v>177</v>
      </c>
      <c r="E1451" s="97">
        <v>75</v>
      </c>
      <c r="F1451" s="67" t="str">
        <f>IFERROR(IFERROR(INDEX(Кат!$A:$A,MATCH(Прайс!$B1451,Кат!$G:$G,0)),INDEX(Торг!$B:$B,MATCH(Прайс!$B1451,Торг!$H:$H,0))),"")</f>
        <v/>
      </c>
      <c r="G1451" s="67" t="str">
        <f>IFERROR(IFERROR(INDEX(Кат!$B:$B,MATCH(Прайс!$B1451,Кат!$G:$G,0)),INDEX(Торг!$C:$C,MATCH(Прайс!$B1451,Торг!$H:$H,0))),"")</f>
        <v/>
      </c>
      <c r="H1451" s="67" t="str">
        <f>IFERROR(IFERROR(INDEX(Кат!$I:$I,MATCH(Прайс!$B1451,Кат!$G:$G,0)),INDEX(Торг!$I:$I,MATCH(Прайс!$B1451,Торг!$H:$H,0))),"")</f>
        <v/>
      </c>
    </row>
    <row r="1452" spans="1:8" x14ac:dyDescent="0.25">
      <c r="A1452" s="94" t="s">
        <v>3253</v>
      </c>
      <c r="B1452" s="98">
        <v>70107</v>
      </c>
      <c r="C1452" s="98" t="s">
        <v>882</v>
      </c>
      <c r="D1452" s="96" t="s">
        <v>883</v>
      </c>
      <c r="E1452" s="97">
        <v>55</v>
      </c>
      <c r="F1452" s="67" t="str">
        <f>IFERROR(IFERROR(INDEX(Кат!$A:$A,MATCH(Прайс!$B1452,Кат!$G:$G,0)),INDEX(Торг!$B:$B,MATCH(Прайс!$B1452,Торг!$H:$H,0))),"")</f>
        <v/>
      </c>
      <c r="G1452" s="67" t="str">
        <f>IFERROR(IFERROR(INDEX(Кат!$B:$B,MATCH(Прайс!$B1452,Кат!$G:$G,0)),INDEX(Торг!$C:$C,MATCH(Прайс!$B1452,Торг!$H:$H,0))),"")</f>
        <v/>
      </c>
      <c r="H1452" s="67" t="str">
        <f>IFERROR(IFERROR(INDEX(Кат!$I:$I,MATCH(Прайс!$B1452,Кат!$G:$G,0)),INDEX(Торг!$I:$I,MATCH(Прайс!$B1452,Торг!$H:$H,0))),"")</f>
        <v/>
      </c>
    </row>
    <row r="1453" spans="1:8" x14ac:dyDescent="0.25">
      <c r="A1453" s="94" t="s">
        <v>3254</v>
      </c>
      <c r="B1453" s="98">
        <v>70108</v>
      </c>
      <c r="C1453" s="98" t="s">
        <v>5812</v>
      </c>
      <c r="D1453" s="96" t="s">
        <v>884</v>
      </c>
      <c r="E1453" s="97">
        <v>55</v>
      </c>
      <c r="F1453" s="67" t="str">
        <f>IFERROR(IFERROR(INDEX(Кат!$A:$A,MATCH(Прайс!$B1453,Кат!$G:$G,0)),INDEX(Торг!$B:$B,MATCH(Прайс!$B1453,Торг!$H:$H,0))),"")</f>
        <v/>
      </c>
      <c r="G1453" s="67" t="str">
        <f>IFERROR(IFERROR(INDEX(Кат!$B:$B,MATCH(Прайс!$B1453,Кат!$G:$G,0)),INDEX(Торг!$C:$C,MATCH(Прайс!$B1453,Торг!$H:$H,0))),"")</f>
        <v/>
      </c>
      <c r="H1453" s="67" t="str">
        <f>IFERROR(IFERROR(INDEX(Кат!$I:$I,MATCH(Прайс!$B1453,Кат!$G:$G,0)),INDEX(Торг!$I:$I,MATCH(Прайс!$B1453,Торг!$H:$H,0))),"")</f>
        <v/>
      </c>
    </row>
    <row r="1454" spans="1:8" x14ac:dyDescent="0.25">
      <c r="A1454" s="94" t="s">
        <v>6277</v>
      </c>
      <c r="B1454" s="98">
        <v>70109</v>
      </c>
      <c r="C1454" s="98" t="s">
        <v>6278</v>
      </c>
      <c r="D1454" s="96" t="s">
        <v>884</v>
      </c>
      <c r="E1454" s="97">
        <v>55</v>
      </c>
      <c r="F1454" s="67" t="str">
        <f>IFERROR(IFERROR(INDEX(Кат!$A:$A,MATCH(Прайс!$B1454,Кат!$G:$G,0)),INDEX(Торг!$B:$B,MATCH(Прайс!$B1454,Торг!$H:$H,0))),"")</f>
        <v/>
      </c>
      <c r="G1454" s="67" t="str">
        <f>IFERROR(IFERROR(INDEX(Кат!$B:$B,MATCH(Прайс!$B1454,Кат!$G:$G,0)),INDEX(Торг!$C:$C,MATCH(Прайс!$B1454,Торг!$H:$H,0))),"")</f>
        <v/>
      </c>
      <c r="H1454" s="67" t="str">
        <f>IFERROR(IFERROR(INDEX(Кат!$I:$I,MATCH(Прайс!$B1454,Кат!$G:$G,0)),INDEX(Торг!$I:$I,MATCH(Прайс!$B1454,Торг!$H:$H,0))),"")</f>
        <v/>
      </c>
    </row>
    <row r="1455" spans="1:8" x14ac:dyDescent="0.25">
      <c r="A1455" s="94" t="s">
        <v>3255</v>
      </c>
      <c r="B1455" s="98">
        <v>70110</v>
      </c>
      <c r="C1455" s="98" t="s">
        <v>5813</v>
      </c>
      <c r="D1455" s="96" t="s">
        <v>884</v>
      </c>
      <c r="E1455" s="97">
        <v>55</v>
      </c>
      <c r="F1455" s="67" t="str">
        <f>IFERROR(IFERROR(INDEX(Кат!$A:$A,MATCH(Прайс!$B1455,Кат!$G:$G,0)),INDEX(Торг!$B:$B,MATCH(Прайс!$B1455,Торг!$H:$H,0))),"")</f>
        <v/>
      </c>
      <c r="G1455" s="67" t="str">
        <f>IFERROR(IFERROR(INDEX(Кат!$B:$B,MATCH(Прайс!$B1455,Кат!$G:$G,0)),INDEX(Торг!$C:$C,MATCH(Прайс!$B1455,Торг!$H:$H,0))),"")</f>
        <v/>
      </c>
      <c r="H1455" s="67" t="str">
        <f>IFERROR(IFERROR(INDEX(Кат!$I:$I,MATCH(Прайс!$B1455,Кат!$G:$G,0)),INDEX(Торг!$I:$I,MATCH(Прайс!$B1455,Торг!$H:$H,0))),"")</f>
        <v/>
      </c>
    </row>
    <row r="1456" spans="1:8" x14ac:dyDescent="0.25">
      <c r="A1456" s="94" t="s">
        <v>5079</v>
      </c>
      <c r="B1456" s="98">
        <v>70111</v>
      </c>
      <c r="C1456" s="98" t="s">
        <v>5814</v>
      </c>
      <c r="D1456" s="96" t="s">
        <v>884</v>
      </c>
      <c r="E1456" s="97">
        <v>55</v>
      </c>
      <c r="F1456" s="67" t="str">
        <f>IFERROR(IFERROR(INDEX(Кат!$A:$A,MATCH(Прайс!$B1456,Кат!$G:$G,0)),INDEX(Торг!$B:$B,MATCH(Прайс!$B1456,Торг!$H:$H,0))),"")</f>
        <v/>
      </c>
      <c r="G1456" s="67" t="str">
        <f>IFERROR(IFERROR(INDEX(Кат!$B:$B,MATCH(Прайс!$B1456,Кат!$G:$G,0)),INDEX(Торг!$C:$C,MATCH(Прайс!$B1456,Торг!$H:$H,0))),"")</f>
        <v/>
      </c>
      <c r="H1456" s="67" t="str">
        <f>IFERROR(IFERROR(INDEX(Кат!$I:$I,MATCH(Прайс!$B1456,Кат!$G:$G,0)),INDEX(Торг!$I:$I,MATCH(Прайс!$B1456,Торг!$H:$H,0))),"")</f>
        <v/>
      </c>
    </row>
    <row r="1457" spans="1:8" x14ac:dyDescent="0.25">
      <c r="A1457" s="94" t="s">
        <v>3256</v>
      </c>
      <c r="B1457" s="98">
        <v>70112</v>
      </c>
      <c r="C1457" s="98" t="s">
        <v>5815</v>
      </c>
      <c r="D1457" s="96" t="s">
        <v>884</v>
      </c>
      <c r="E1457" s="97">
        <v>55</v>
      </c>
      <c r="F1457" s="67" t="str">
        <f>IFERROR(IFERROR(INDEX(Кат!$A:$A,MATCH(Прайс!$B1457,Кат!$G:$G,0)),INDEX(Торг!$B:$B,MATCH(Прайс!$B1457,Торг!$H:$H,0))),"")</f>
        <v/>
      </c>
      <c r="G1457" s="67" t="str">
        <f>IFERROR(IFERROR(INDEX(Кат!$B:$B,MATCH(Прайс!$B1457,Кат!$G:$G,0)),INDEX(Торг!$C:$C,MATCH(Прайс!$B1457,Торг!$H:$H,0))),"")</f>
        <v/>
      </c>
      <c r="H1457" s="67" t="str">
        <f>IFERROR(IFERROR(INDEX(Кат!$I:$I,MATCH(Прайс!$B1457,Кат!$G:$G,0)),INDEX(Торг!$I:$I,MATCH(Прайс!$B1457,Торг!$H:$H,0))),"")</f>
        <v/>
      </c>
    </row>
    <row r="1458" spans="1:8" x14ac:dyDescent="0.25">
      <c r="A1458" s="94" t="s">
        <v>6783</v>
      </c>
      <c r="B1458" s="98">
        <v>72604</v>
      </c>
      <c r="C1458" s="98" t="s">
        <v>7608</v>
      </c>
      <c r="D1458" s="96" t="s">
        <v>884</v>
      </c>
      <c r="E1458" s="97">
        <v>42</v>
      </c>
      <c r="F1458" s="67" t="str">
        <f>IFERROR(IFERROR(INDEX(Кат!$A:$A,MATCH(Прайс!$B1458,Кат!$G:$G,0)),INDEX(Торг!$B:$B,MATCH(Прайс!$B1458,Торг!$H:$H,0))),"")</f>
        <v/>
      </c>
      <c r="G1458" s="67" t="str">
        <f>IFERROR(IFERROR(INDEX(Кат!$B:$B,MATCH(Прайс!$B1458,Кат!$G:$G,0)),INDEX(Торг!$C:$C,MATCH(Прайс!$B1458,Торг!$H:$H,0))),"")</f>
        <v/>
      </c>
      <c r="H1458" s="67" t="str">
        <f>IFERROR(IFERROR(INDEX(Кат!$I:$I,MATCH(Прайс!$B1458,Кат!$G:$G,0)),INDEX(Торг!$I:$I,MATCH(Прайс!$B1458,Торг!$H:$H,0))),"")</f>
        <v/>
      </c>
    </row>
    <row r="1459" spans="1:8" x14ac:dyDescent="0.25">
      <c r="A1459" s="94" t="s">
        <v>6784</v>
      </c>
      <c r="B1459" s="98">
        <v>72605</v>
      </c>
      <c r="C1459" s="98" t="s">
        <v>7609</v>
      </c>
      <c r="D1459" s="96" t="s">
        <v>884</v>
      </c>
      <c r="E1459" s="97">
        <v>42</v>
      </c>
      <c r="F1459" s="67" t="str">
        <f>IFERROR(IFERROR(INDEX(Кат!$A:$A,MATCH(Прайс!$B1459,Кат!$G:$G,0)),INDEX(Торг!$B:$B,MATCH(Прайс!$B1459,Торг!$H:$H,0))),"")</f>
        <v/>
      </c>
      <c r="G1459" s="67" t="str">
        <f>IFERROR(IFERROR(INDEX(Кат!$B:$B,MATCH(Прайс!$B1459,Кат!$G:$G,0)),INDEX(Торг!$C:$C,MATCH(Прайс!$B1459,Торг!$H:$H,0))),"")</f>
        <v/>
      </c>
      <c r="H1459" s="67" t="str">
        <f>IFERROR(IFERROR(INDEX(Кат!$I:$I,MATCH(Прайс!$B1459,Кат!$G:$G,0)),INDEX(Торг!$I:$I,MATCH(Прайс!$B1459,Торг!$H:$H,0))),"")</f>
        <v/>
      </c>
    </row>
    <row r="1460" spans="1:8" x14ac:dyDescent="0.25">
      <c r="A1460" s="94" t="s">
        <v>6785</v>
      </c>
      <c r="B1460" s="98">
        <v>72606</v>
      </c>
      <c r="C1460" s="98" t="s">
        <v>7610</v>
      </c>
      <c r="D1460" s="96" t="s">
        <v>884</v>
      </c>
      <c r="E1460" s="97">
        <v>42</v>
      </c>
      <c r="F1460" s="67" t="str">
        <f>IFERROR(IFERROR(INDEX(Кат!$A:$A,MATCH(Прайс!$B1460,Кат!$G:$G,0)),INDEX(Торг!$B:$B,MATCH(Прайс!$B1460,Торг!$H:$H,0))),"")</f>
        <v/>
      </c>
      <c r="G1460" s="67" t="str">
        <f>IFERROR(IFERROR(INDEX(Кат!$B:$B,MATCH(Прайс!$B1460,Кат!$G:$G,0)),INDEX(Торг!$C:$C,MATCH(Прайс!$B1460,Торг!$H:$H,0))),"")</f>
        <v/>
      </c>
      <c r="H1460" s="67" t="str">
        <f>IFERROR(IFERROR(INDEX(Кат!$I:$I,MATCH(Прайс!$B1460,Кат!$G:$G,0)),INDEX(Торг!$I:$I,MATCH(Прайс!$B1460,Торг!$H:$H,0))),"")</f>
        <v/>
      </c>
    </row>
    <row r="1461" spans="1:8" x14ac:dyDescent="0.25">
      <c r="A1461" s="94" t="s">
        <v>6786</v>
      </c>
      <c r="B1461" s="98">
        <v>72607</v>
      </c>
      <c r="C1461" s="98" t="s">
        <v>7611</v>
      </c>
      <c r="D1461" s="96" t="s">
        <v>884</v>
      </c>
      <c r="E1461" s="97">
        <v>42</v>
      </c>
      <c r="F1461" s="67" t="str">
        <f>IFERROR(IFERROR(INDEX(Кат!$A:$A,MATCH(Прайс!$B1461,Кат!$G:$G,0)),INDEX(Торг!$B:$B,MATCH(Прайс!$B1461,Торг!$H:$H,0))),"")</f>
        <v/>
      </c>
      <c r="G1461" s="67" t="str">
        <f>IFERROR(IFERROR(INDEX(Кат!$B:$B,MATCH(Прайс!$B1461,Кат!$G:$G,0)),INDEX(Торг!$C:$C,MATCH(Прайс!$B1461,Торг!$H:$H,0))),"")</f>
        <v/>
      </c>
      <c r="H1461" s="67" t="str">
        <f>IFERROR(IFERROR(INDEX(Кат!$I:$I,MATCH(Прайс!$B1461,Кат!$G:$G,0)),INDEX(Торг!$I:$I,MATCH(Прайс!$B1461,Торг!$H:$H,0))),"")</f>
        <v/>
      </c>
    </row>
    <row r="1462" spans="1:8" x14ac:dyDescent="0.25">
      <c r="A1462" s="94" t="s">
        <v>7612</v>
      </c>
      <c r="B1462" s="98">
        <v>72673</v>
      </c>
      <c r="C1462" s="98" t="s">
        <v>7613</v>
      </c>
      <c r="D1462" s="96" t="s">
        <v>162</v>
      </c>
      <c r="E1462" s="97">
        <v>42</v>
      </c>
      <c r="F1462" s="67" t="str">
        <f>IFERROR(IFERROR(INDEX(Кат!$A:$A,MATCH(Прайс!$B1462,Кат!$G:$G,0)),INDEX(Торг!$B:$B,MATCH(Прайс!$B1462,Торг!$H:$H,0))),"")</f>
        <v/>
      </c>
      <c r="G1462" s="67" t="str">
        <f>IFERROR(IFERROR(INDEX(Кат!$B:$B,MATCH(Прайс!$B1462,Кат!$G:$G,0)),INDEX(Торг!$C:$C,MATCH(Прайс!$B1462,Торг!$H:$H,0))),"")</f>
        <v/>
      </c>
      <c r="H1462" s="67" t="str">
        <f>IFERROR(IFERROR(INDEX(Кат!$I:$I,MATCH(Прайс!$B1462,Кат!$G:$G,0)),INDEX(Торг!$I:$I,MATCH(Прайс!$B1462,Торг!$H:$H,0))),"")</f>
        <v/>
      </c>
    </row>
    <row r="1463" spans="1:8" x14ac:dyDescent="0.25">
      <c r="A1463" s="94" t="s">
        <v>7614</v>
      </c>
      <c r="B1463" s="98">
        <v>72674</v>
      </c>
      <c r="C1463" s="98" t="s">
        <v>7615</v>
      </c>
      <c r="D1463" s="96" t="s">
        <v>162</v>
      </c>
      <c r="E1463" s="97">
        <v>42</v>
      </c>
      <c r="F1463" s="67" t="str">
        <f>IFERROR(IFERROR(INDEX(Кат!$A:$A,MATCH(Прайс!$B1463,Кат!$G:$G,0)),INDEX(Торг!$B:$B,MATCH(Прайс!$B1463,Торг!$H:$H,0))),"")</f>
        <v/>
      </c>
      <c r="G1463" s="67" t="str">
        <f>IFERROR(IFERROR(INDEX(Кат!$B:$B,MATCH(Прайс!$B1463,Кат!$G:$G,0)),INDEX(Торг!$C:$C,MATCH(Прайс!$B1463,Торг!$H:$H,0))),"")</f>
        <v/>
      </c>
      <c r="H1463" s="67" t="str">
        <f>IFERROR(IFERROR(INDEX(Кат!$I:$I,MATCH(Прайс!$B1463,Кат!$G:$G,0)),INDEX(Торг!$I:$I,MATCH(Прайс!$B1463,Торг!$H:$H,0))),"")</f>
        <v/>
      </c>
    </row>
    <row r="1464" spans="1:8" x14ac:dyDescent="0.25">
      <c r="A1464" s="94" t="s">
        <v>7616</v>
      </c>
      <c r="B1464" s="98">
        <v>72675</v>
      </c>
      <c r="C1464" s="98" t="s">
        <v>7617</v>
      </c>
      <c r="D1464" s="96" t="s">
        <v>162</v>
      </c>
      <c r="E1464" s="97">
        <v>42</v>
      </c>
      <c r="F1464" s="67" t="str">
        <f>IFERROR(IFERROR(INDEX(Кат!$A:$A,MATCH(Прайс!$B1464,Кат!$G:$G,0)),INDEX(Торг!$B:$B,MATCH(Прайс!$B1464,Торг!$H:$H,0))),"")</f>
        <v/>
      </c>
      <c r="G1464" s="67" t="str">
        <f>IFERROR(IFERROR(INDEX(Кат!$B:$B,MATCH(Прайс!$B1464,Кат!$G:$G,0)),INDEX(Торг!$C:$C,MATCH(Прайс!$B1464,Торг!$H:$H,0))),"")</f>
        <v/>
      </c>
      <c r="H1464" s="67" t="str">
        <f>IFERROR(IFERROR(INDEX(Кат!$I:$I,MATCH(Прайс!$B1464,Кат!$G:$G,0)),INDEX(Торг!$I:$I,MATCH(Прайс!$B1464,Торг!$H:$H,0))),"")</f>
        <v/>
      </c>
    </row>
    <row r="1465" spans="1:8" x14ac:dyDescent="0.25">
      <c r="A1465" s="94" t="s">
        <v>7618</v>
      </c>
      <c r="B1465" s="98">
        <v>72676</v>
      </c>
      <c r="C1465" s="98" t="s">
        <v>7619</v>
      </c>
      <c r="D1465" s="96" t="s">
        <v>162</v>
      </c>
      <c r="E1465" s="97">
        <v>42</v>
      </c>
      <c r="F1465" s="67" t="str">
        <f>IFERROR(IFERROR(INDEX(Кат!$A:$A,MATCH(Прайс!$B1465,Кат!$G:$G,0)),INDEX(Торг!$B:$B,MATCH(Прайс!$B1465,Торг!$H:$H,0))),"")</f>
        <v/>
      </c>
      <c r="G1465" s="67" t="str">
        <f>IFERROR(IFERROR(INDEX(Кат!$B:$B,MATCH(Прайс!$B1465,Кат!$G:$G,0)),INDEX(Торг!$C:$C,MATCH(Прайс!$B1465,Торг!$H:$H,0))),"")</f>
        <v/>
      </c>
      <c r="H1465" s="67" t="str">
        <f>IFERROR(IFERROR(INDEX(Кат!$I:$I,MATCH(Прайс!$B1465,Кат!$G:$G,0)),INDEX(Торг!$I:$I,MATCH(Прайс!$B1465,Торг!$H:$H,0))),"")</f>
        <v/>
      </c>
    </row>
    <row r="1466" spans="1:8" x14ac:dyDescent="0.25">
      <c r="A1466" s="94" t="s">
        <v>7620</v>
      </c>
      <c r="B1466" s="98">
        <v>72677</v>
      </c>
      <c r="C1466" s="98" t="s">
        <v>7621</v>
      </c>
      <c r="D1466" s="96" t="s">
        <v>162</v>
      </c>
      <c r="E1466" s="97">
        <v>42</v>
      </c>
      <c r="F1466" s="67" t="str">
        <f>IFERROR(IFERROR(INDEX(Кат!$A:$A,MATCH(Прайс!$B1466,Кат!$G:$G,0)),INDEX(Торг!$B:$B,MATCH(Прайс!$B1466,Торг!$H:$H,0))),"")</f>
        <v/>
      </c>
      <c r="G1466" s="67" t="str">
        <f>IFERROR(IFERROR(INDEX(Кат!$B:$B,MATCH(Прайс!$B1466,Кат!$G:$G,0)),INDEX(Торг!$C:$C,MATCH(Прайс!$B1466,Торг!$H:$H,0))),"")</f>
        <v/>
      </c>
      <c r="H1466" s="67" t="str">
        <f>IFERROR(IFERROR(INDEX(Кат!$I:$I,MATCH(Прайс!$B1466,Кат!$G:$G,0)),INDEX(Торг!$I:$I,MATCH(Прайс!$B1466,Торг!$H:$H,0))),"")</f>
        <v/>
      </c>
    </row>
    <row r="1467" spans="1:8" x14ac:dyDescent="0.25">
      <c r="A1467" s="94" t="s">
        <v>3257</v>
      </c>
      <c r="B1467" s="98">
        <v>71711</v>
      </c>
      <c r="C1467" s="98" t="s">
        <v>885</v>
      </c>
      <c r="D1467" s="96" t="s">
        <v>886</v>
      </c>
      <c r="E1467" s="97">
        <v>42</v>
      </c>
      <c r="F1467" s="67" t="str">
        <f>IFERROR(IFERROR(INDEX(Кат!$A:$A,MATCH(Прайс!$B1467,Кат!$G:$G,0)),INDEX(Торг!$B:$B,MATCH(Прайс!$B1467,Торг!$H:$H,0))),"")</f>
        <v/>
      </c>
      <c r="G1467" s="67" t="str">
        <f>IFERROR(IFERROR(INDEX(Кат!$B:$B,MATCH(Прайс!$B1467,Кат!$G:$G,0)),INDEX(Торг!$C:$C,MATCH(Прайс!$B1467,Торг!$H:$H,0))),"")</f>
        <v/>
      </c>
      <c r="H1467" s="67" t="str">
        <f>IFERROR(IFERROR(INDEX(Кат!$I:$I,MATCH(Прайс!$B1467,Кат!$G:$G,0)),INDEX(Торг!$I:$I,MATCH(Прайс!$B1467,Торг!$H:$H,0))),"")</f>
        <v/>
      </c>
    </row>
    <row r="1468" spans="1:8" x14ac:dyDescent="0.25">
      <c r="A1468" s="94" t="s">
        <v>3258</v>
      </c>
      <c r="B1468" s="98">
        <v>72219</v>
      </c>
      <c r="C1468" s="98" t="s">
        <v>5816</v>
      </c>
      <c r="D1468" s="96" t="s">
        <v>162</v>
      </c>
      <c r="E1468" s="97">
        <v>42</v>
      </c>
      <c r="F1468" s="67" t="str">
        <f>IFERROR(IFERROR(INDEX(Кат!$A:$A,MATCH(Прайс!$B1468,Кат!$G:$G,0)),INDEX(Торг!$B:$B,MATCH(Прайс!$B1468,Торг!$H:$H,0))),"")</f>
        <v/>
      </c>
      <c r="G1468" s="67" t="str">
        <f>IFERROR(IFERROR(INDEX(Кат!$B:$B,MATCH(Прайс!$B1468,Кат!$G:$G,0)),INDEX(Торг!$C:$C,MATCH(Прайс!$B1468,Торг!$H:$H,0))),"")</f>
        <v/>
      </c>
      <c r="H1468" s="67" t="str">
        <f>IFERROR(IFERROR(INDEX(Кат!$I:$I,MATCH(Прайс!$B1468,Кат!$G:$G,0)),INDEX(Торг!$I:$I,MATCH(Прайс!$B1468,Торг!$H:$H,0))),"")</f>
        <v/>
      </c>
    </row>
    <row r="1469" spans="1:8" x14ac:dyDescent="0.25">
      <c r="A1469" s="94" t="s">
        <v>3259</v>
      </c>
      <c r="B1469" s="98">
        <v>71045</v>
      </c>
      <c r="C1469" s="98" t="s">
        <v>5817</v>
      </c>
      <c r="D1469" s="96" t="s">
        <v>162</v>
      </c>
      <c r="E1469" s="97">
        <v>42</v>
      </c>
      <c r="F1469" s="67" t="str">
        <f>IFERROR(IFERROR(INDEX(Кат!$A:$A,MATCH(Прайс!$B1469,Кат!$G:$G,0)),INDEX(Торг!$B:$B,MATCH(Прайс!$B1469,Торг!$H:$H,0))),"")</f>
        <v/>
      </c>
      <c r="G1469" s="67" t="str">
        <f>IFERROR(IFERROR(INDEX(Кат!$B:$B,MATCH(Прайс!$B1469,Кат!$G:$G,0)),INDEX(Торг!$C:$C,MATCH(Прайс!$B1469,Торг!$H:$H,0))),"")</f>
        <v/>
      </c>
      <c r="H1469" s="67" t="str">
        <f>IFERROR(IFERROR(INDEX(Кат!$I:$I,MATCH(Прайс!$B1469,Кат!$G:$G,0)),INDEX(Торг!$I:$I,MATCH(Прайс!$B1469,Торг!$H:$H,0))),"")</f>
        <v/>
      </c>
    </row>
    <row r="1470" spans="1:8" x14ac:dyDescent="0.25">
      <c r="A1470" s="94" t="s">
        <v>3260</v>
      </c>
      <c r="B1470" s="98">
        <v>71047</v>
      </c>
      <c r="C1470" s="98" t="s">
        <v>5818</v>
      </c>
      <c r="D1470" s="96" t="s">
        <v>162</v>
      </c>
      <c r="E1470" s="97">
        <v>42</v>
      </c>
      <c r="F1470" s="67" t="str">
        <f>IFERROR(IFERROR(INDEX(Кат!$A:$A,MATCH(Прайс!$B1470,Кат!$G:$G,0)),INDEX(Торг!$B:$B,MATCH(Прайс!$B1470,Торг!$H:$H,0))),"")</f>
        <v/>
      </c>
      <c r="G1470" s="67" t="str">
        <f>IFERROR(IFERROR(INDEX(Кат!$B:$B,MATCH(Прайс!$B1470,Кат!$G:$G,0)),INDEX(Торг!$C:$C,MATCH(Прайс!$B1470,Торг!$H:$H,0))),"")</f>
        <v/>
      </c>
      <c r="H1470" s="67" t="str">
        <f>IFERROR(IFERROR(INDEX(Кат!$I:$I,MATCH(Прайс!$B1470,Кат!$G:$G,0)),INDEX(Торг!$I:$I,MATCH(Прайс!$B1470,Торг!$H:$H,0))),"")</f>
        <v/>
      </c>
    </row>
    <row r="1471" spans="1:8" x14ac:dyDescent="0.25">
      <c r="A1471" s="94" t="s">
        <v>6787</v>
      </c>
      <c r="B1471" s="98">
        <v>71046</v>
      </c>
      <c r="C1471" s="98" t="s">
        <v>6788</v>
      </c>
      <c r="D1471" s="96" t="s">
        <v>162</v>
      </c>
      <c r="E1471" s="97">
        <v>42</v>
      </c>
      <c r="F1471" s="67" t="str">
        <f>IFERROR(IFERROR(INDEX(Кат!$A:$A,MATCH(Прайс!$B1471,Кат!$G:$G,0)),INDEX(Торг!$B:$B,MATCH(Прайс!$B1471,Торг!$H:$H,0))),"")</f>
        <v/>
      </c>
      <c r="G1471" s="67" t="str">
        <f>IFERROR(IFERROR(INDEX(Кат!$B:$B,MATCH(Прайс!$B1471,Кат!$G:$G,0)),INDEX(Торг!$C:$C,MATCH(Прайс!$B1471,Торг!$H:$H,0))),"")</f>
        <v/>
      </c>
      <c r="H1471" s="67" t="str">
        <f>IFERROR(IFERROR(INDEX(Кат!$I:$I,MATCH(Прайс!$B1471,Кат!$G:$G,0)),INDEX(Торг!$I:$I,MATCH(Прайс!$B1471,Торг!$H:$H,0))),"")</f>
        <v/>
      </c>
    </row>
    <row r="1472" spans="1:8" x14ac:dyDescent="0.25">
      <c r="A1472" s="94" t="s">
        <v>5819</v>
      </c>
      <c r="B1472" s="98">
        <v>71457</v>
      </c>
      <c r="C1472" s="98" t="s">
        <v>5820</v>
      </c>
      <c r="D1472" s="96" t="s">
        <v>162</v>
      </c>
      <c r="E1472" s="97">
        <v>42</v>
      </c>
      <c r="F1472" s="67" t="str">
        <f>IFERROR(IFERROR(INDEX(Кат!$A:$A,MATCH(Прайс!$B1472,Кат!$G:$G,0)),INDEX(Торг!$B:$B,MATCH(Прайс!$B1472,Торг!$H:$H,0))),"")</f>
        <v/>
      </c>
      <c r="G1472" s="67" t="str">
        <f>IFERROR(IFERROR(INDEX(Кат!$B:$B,MATCH(Прайс!$B1472,Кат!$G:$G,0)),INDEX(Торг!$C:$C,MATCH(Прайс!$B1472,Торг!$H:$H,0))),"")</f>
        <v/>
      </c>
      <c r="H1472" s="67" t="str">
        <f>IFERROR(IFERROR(INDEX(Кат!$I:$I,MATCH(Прайс!$B1472,Кат!$G:$G,0)),INDEX(Торг!$I:$I,MATCH(Прайс!$B1472,Торг!$H:$H,0))),"")</f>
        <v/>
      </c>
    </row>
    <row r="1473" spans="1:8" x14ac:dyDescent="0.25">
      <c r="A1473" s="94" t="s">
        <v>3261</v>
      </c>
      <c r="B1473" s="98">
        <v>71050</v>
      </c>
      <c r="C1473" s="98" t="s">
        <v>5821</v>
      </c>
      <c r="D1473" s="96" t="s">
        <v>162</v>
      </c>
      <c r="E1473" s="97">
        <v>42</v>
      </c>
      <c r="F1473" s="67" t="str">
        <f>IFERROR(IFERROR(INDEX(Кат!$A:$A,MATCH(Прайс!$B1473,Кат!$G:$G,0)),INDEX(Торг!$B:$B,MATCH(Прайс!$B1473,Торг!$H:$H,0))),"")</f>
        <v/>
      </c>
      <c r="G1473" s="67" t="str">
        <f>IFERROR(IFERROR(INDEX(Кат!$B:$B,MATCH(Прайс!$B1473,Кат!$G:$G,0)),INDEX(Торг!$C:$C,MATCH(Прайс!$B1473,Торг!$H:$H,0))),"")</f>
        <v/>
      </c>
      <c r="H1473" s="67" t="str">
        <f>IFERROR(IFERROR(INDEX(Кат!$I:$I,MATCH(Прайс!$B1473,Кат!$G:$G,0)),INDEX(Торг!$I:$I,MATCH(Прайс!$B1473,Торг!$H:$H,0))),"")</f>
        <v/>
      </c>
    </row>
    <row r="1474" spans="1:8" x14ac:dyDescent="0.25">
      <c r="A1474" s="94" t="s">
        <v>3262</v>
      </c>
      <c r="B1474" s="98">
        <v>71048</v>
      </c>
      <c r="C1474" s="98" t="s">
        <v>5822</v>
      </c>
      <c r="D1474" s="96" t="s">
        <v>162</v>
      </c>
      <c r="E1474" s="97">
        <v>42</v>
      </c>
      <c r="F1474" s="67" t="str">
        <f>IFERROR(IFERROR(INDEX(Кат!$A:$A,MATCH(Прайс!$B1474,Кат!$G:$G,0)),INDEX(Торг!$B:$B,MATCH(Прайс!$B1474,Торг!$H:$H,0))),"")</f>
        <v/>
      </c>
      <c r="G1474" s="67" t="str">
        <f>IFERROR(IFERROR(INDEX(Кат!$B:$B,MATCH(Прайс!$B1474,Кат!$G:$G,0)),INDEX(Торг!$C:$C,MATCH(Прайс!$B1474,Торг!$H:$H,0))),"")</f>
        <v/>
      </c>
      <c r="H1474" s="67" t="str">
        <f>IFERROR(IFERROR(INDEX(Кат!$I:$I,MATCH(Прайс!$B1474,Кат!$G:$G,0)),INDEX(Торг!$I:$I,MATCH(Прайс!$B1474,Торг!$H:$H,0))),"")</f>
        <v/>
      </c>
    </row>
    <row r="1475" spans="1:8" x14ac:dyDescent="0.25">
      <c r="A1475" s="94" t="s">
        <v>3263</v>
      </c>
      <c r="B1475" s="98">
        <v>71456</v>
      </c>
      <c r="C1475" s="98" t="s">
        <v>5823</v>
      </c>
      <c r="D1475" s="96" t="s">
        <v>162</v>
      </c>
      <c r="E1475" s="97">
        <v>42</v>
      </c>
      <c r="F1475" s="67" t="str">
        <f>IFERROR(IFERROR(INDEX(Кат!$A:$A,MATCH(Прайс!$B1475,Кат!$G:$G,0)),INDEX(Торг!$B:$B,MATCH(Прайс!$B1475,Торг!$H:$H,0))),"")</f>
        <v/>
      </c>
      <c r="G1475" s="67" t="str">
        <f>IFERROR(IFERROR(INDEX(Кат!$B:$B,MATCH(Прайс!$B1475,Кат!$G:$G,0)),INDEX(Торг!$C:$C,MATCH(Прайс!$B1475,Торг!$H:$H,0))),"")</f>
        <v/>
      </c>
      <c r="H1475" s="67" t="str">
        <f>IFERROR(IFERROR(INDEX(Кат!$I:$I,MATCH(Прайс!$B1475,Кат!$G:$G,0)),INDEX(Торг!$I:$I,MATCH(Прайс!$B1475,Торг!$H:$H,0))),"")</f>
        <v/>
      </c>
    </row>
    <row r="1476" spans="1:8" x14ac:dyDescent="0.25">
      <c r="A1476" s="94" t="s">
        <v>3264</v>
      </c>
      <c r="B1476" s="98">
        <v>71049</v>
      </c>
      <c r="C1476" s="98" t="s">
        <v>5824</v>
      </c>
      <c r="D1476" s="96" t="s">
        <v>162</v>
      </c>
      <c r="E1476" s="97">
        <v>42</v>
      </c>
      <c r="F1476" s="67" t="str">
        <f>IFERROR(IFERROR(INDEX(Кат!$A:$A,MATCH(Прайс!$B1476,Кат!$G:$G,0)),INDEX(Торг!$B:$B,MATCH(Прайс!$B1476,Торг!$H:$H,0))),"")</f>
        <v/>
      </c>
      <c r="G1476" s="67" t="str">
        <f>IFERROR(IFERROR(INDEX(Кат!$B:$B,MATCH(Прайс!$B1476,Кат!$G:$G,0)),INDEX(Торг!$C:$C,MATCH(Прайс!$B1476,Торг!$H:$H,0))),"")</f>
        <v/>
      </c>
      <c r="H1476" s="67" t="str">
        <f>IFERROR(IFERROR(INDEX(Кат!$I:$I,MATCH(Прайс!$B1476,Кат!$G:$G,0)),INDEX(Торг!$I:$I,MATCH(Прайс!$B1476,Торг!$H:$H,0))),"")</f>
        <v/>
      </c>
    </row>
    <row r="1477" spans="1:8" x14ac:dyDescent="0.25">
      <c r="A1477" s="94" t="s">
        <v>3265</v>
      </c>
      <c r="B1477" s="98">
        <v>71455</v>
      </c>
      <c r="C1477" s="98" t="s">
        <v>5825</v>
      </c>
      <c r="D1477" s="96" t="s">
        <v>162</v>
      </c>
      <c r="E1477" s="97">
        <v>42</v>
      </c>
      <c r="F1477" s="67" t="str">
        <f>IFERROR(IFERROR(INDEX(Кат!$A:$A,MATCH(Прайс!$B1477,Кат!$G:$G,0)),INDEX(Торг!$B:$B,MATCH(Прайс!$B1477,Торг!$H:$H,0))),"")</f>
        <v/>
      </c>
      <c r="G1477" s="67" t="str">
        <f>IFERROR(IFERROR(INDEX(Кат!$B:$B,MATCH(Прайс!$B1477,Кат!$G:$G,0)),INDEX(Торг!$C:$C,MATCH(Прайс!$B1477,Торг!$H:$H,0))),"")</f>
        <v/>
      </c>
      <c r="H1477" s="67" t="str">
        <f>IFERROR(IFERROR(INDEX(Кат!$I:$I,MATCH(Прайс!$B1477,Кат!$G:$G,0)),INDEX(Торг!$I:$I,MATCH(Прайс!$B1477,Торг!$H:$H,0))),"")</f>
        <v/>
      </c>
    </row>
    <row r="1478" spans="1:8" x14ac:dyDescent="0.25">
      <c r="A1478" s="94" t="s">
        <v>3266</v>
      </c>
      <c r="B1478" s="98">
        <v>70118</v>
      </c>
      <c r="C1478" s="98" t="s">
        <v>5826</v>
      </c>
      <c r="D1478" s="96" t="s">
        <v>884</v>
      </c>
      <c r="E1478" s="97">
        <v>42</v>
      </c>
      <c r="F1478" s="67" t="str">
        <f>IFERROR(IFERROR(INDEX(Кат!$A:$A,MATCH(Прайс!$B1478,Кат!$G:$G,0)),INDEX(Торг!$B:$B,MATCH(Прайс!$B1478,Торг!$H:$H,0))),"")</f>
        <v/>
      </c>
      <c r="G1478" s="67" t="str">
        <f>IFERROR(IFERROR(INDEX(Кат!$B:$B,MATCH(Прайс!$B1478,Кат!$G:$G,0)),INDEX(Торг!$C:$C,MATCH(Прайс!$B1478,Торг!$H:$H,0))),"")</f>
        <v/>
      </c>
      <c r="H1478" s="67" t="str">
        <f>IFERROR(IFERROR(INDEX(Кат!$I:$I,MATCH(Прайс!$B1478,Кат!$G:$G,0)),INDEX(Торг!$I:$I,MATCH(Прайс!$B1478,Торг!$H:$H,0))),"")</f>
        <v/>
      </c>
    </row>
    <row r="1479" spans="1:8" x14ac:dyDescent="0.25">
      <c r="A1479" s="94" t="s">
        <v>3267</v>
      </c>
      <c r="B1479" s="98">
        <v>70119</v>
      </c>
      <c r="C1479" s="98" t="s">
        <v>5827</v>
      </c>
      <c r="D1479" s="96" t="s">
        <v>884</v>
      </c>
      <c r="E1479" s="97">
        <v>42</v>
      </c>
      <c r="F1479" s="67" t="str">
        <f>IFERROR(IFERROR(INDEX(Кат!$A:$A,MATCH(Прайс!$B1479,Кат!$G:$G,0)),INDEX(Торг!$B:$B,MATCH(Прайс!$B1479,Торг!$H:$H,0))),"")</f>
        <v/>
      </c>
      <c r="G1479" s="67" t="str">
        <f>IFERROR(IFERROR(INDEX(Кат!$B:$B,MATCH(Прайс!$B1479,Кат!$G:$G,0)),INDEX(Торг!$C:$C,MATCH(Прайс!$B1479,Торг!$H:$H,0))),"")</f>
        <v/>
      </c>
      <c r="H1479" s="67" t="str">
        <f>IFERROR(IFERROR(INDEX(Кат!$I:$I,MATCH(Прайс!$B1479,Кат!$G:$G,0)),INDEX(Торг!$I:$I,MATCH(Прайс!$B1479,Торг!$H:$H,0))),"")</f>
        <v/>
      </c>
    </row>
    <row r="1480" spans="1:8" x14ac:dyDescent="0.25">
      <c r="A1480" s="94" t="s">
        <v>3268</v>
      </c>
      <c r="B1480" s="98">
        <v>71096</v>
      </c>
      <c r="C1480" s="98" t="s">
        <v>5828</v>
      </c>
      <c r="D1480" s="96" t="s">
        <v>162</v>
      </c>
      <c r="E1480" s="97">
        <v>42</v>
      </c>
      <c r="F1480" s="67">
        <f>IFERROR(IFERROR(INDEX(Кат!$A:$A,MATCH(Прайс!$B1480,Кат!$G:$G,0)),INDEX(Торг!$B:$B,MATCH(Прайс!$B1480,Торг!$H:$H,0))),"")</f>
        <v>185758</v>
      </c>
      <c r="G1480" s="67">
        <f>IFERROR(IFERROR(INDEX(Кат!$B:$B,MATCH(Прайс!$B1480,Кат!$G:$G,0)),INDEX(Торг!$C:$C,MATCH(Прайс!$B1480,Торг!$H:$H,0))),"")</f>
        <v>65128</v>
      </c>
      <c r="H1480" s="67" t="str">
        <f>IFERROR(IFERROR(INDEX(Кат!$I:$I,MATCH(Прайс!$B1480,Кат!$G:$G,0)),INDEX(Торг!$I:$I,MATCH(Прайс!$B1480,Торг!$H:$H,0))),"")</f>
        <v>кристал авто</v>
      </c>
    </row>
    <row r="1481" spans="1:8" x14ac:dyDescent="0.25">
      <c r="A1481" s="94" t="s">
        <v>3269</v>
      </c>
      <c r="B1481" s="98">
        <v>70120</v>
      </c>
      <c r="C1481" s="98" t="s">
        <v>5829</v>
      </c>
      <c r="D1481" s="96" t="s">
        <v>884</v>
      </c>
      <c r="E1481" s="97">
        <v>42</v>
      </c>
      <c r="F1481" s="67" t="str">
        <f>IFERROR(IFERROR(INDEX(Кат!$A:$A,MATCH(Прайс!$B1481,Кат!$G:$G,0)),INDEX(Торг!$B:$B,MATCH(Прайс!$B1481,Торг!$H:$H,0))),"")</f>
        <v/>
      </c>
      <c r="G1481" s="67" t="str">
        <f>IFERROR(IFERROR(INDEX(Кат!$B:$B,MATCH(Прайс!$B1481,Кат!$G:$G,0)),INDEX(Торг!$C:$C,MATCH(Прайс!$B1481,Торг!$H:$H,0))),"")</f>
        <v/>
      </c>
      <c r="H1481" s="67" t="str">
        <f>IFERROR(IFERROR(INDEX(Кат!$I:$I,MATCH(Прайс!$B1481,Кат!$G:$G,0)),INDEX(Торг!$I:$I,MATCH(Прайс!$B1481,Торг!$H:$H,0))),"")</f>
        <v/>
      </c>
    </row>
    <row r="1482" spans="1:8" x14ac:dyDescent="0.25">
      <c r="A1482" s="94" t="s">
        <v>3270</v>
      </c>
      <c r="B1482" s="98">
        <v>71341</v>
      </c>
      <c r="C1482" s="98" t="s">
        <v>5830</v>
      </c>
      <c r="D1482" s="96" t="s">
        <v>162</v>
      </c>
      <c r="E1482" s="97">
        <v>42</v>
      </c>
      <c r="F1482" s="67" t="str">
        <f>IFERROR(IFERROR(INDEX(Кат!$A:$A,MATCH(Прайс!$B1482,Кат!$G:$G,0)),INDEX(Торг!$B:$B,MATCH(Прайс!$B1482,Торг!$H:$H,0))),"")</f>
        <v/>
      </c>
      <c r="G1482" s="67" t="str">
        <f>IFERROR(IFERROR(INDEX(Кат!$B:$B,MATCH(Прайс!$B1482,Кат!$G:$G,0)),INDEX(Торг!$C:$C,MATCH(Прайс!$B1482,Торг!$H:$H,0))),"")</f>
        <v/>
      </c>
      <c r="H1482" s="67" t="str">
        <f>IFERROR(IFERROR(INDEX(Кат!$I:$I,MATCH(Прайс!$B1482,Кат!$G:$G,0)),INDEX(Торг!$I:$I,MATCH(Прайс!$B1482,Торг!$H:$H,0))),"")</f>
        <v/>
      </c>
    </row>
    <row r="1483" spans="1:8" x14ac:dyDescent="0.25">
      <c r="A1483" s="94" t="s">
        <v>3271</v>
      </c>
      <c r="B1483" s="98">
        <v>70117</v>
      </c>
      <c r="C1483" s="98" t="s">
        <v>5831</v>
      </c>
      <c r="D1483" s="96" t="s">
        <v>884</v>
      </c>
      <c r="E1483" s="97">
        <v>42</v>
      </c>
      <c r="F1483" s="67" t="str">
        <f>IFERROR(IFERROR(INDEX(Кат!$A:$A,MATCH(Прайс!$B1483,Кат!$G:$G,0)),INDEX(Торг!$B:$B,MATCH(Прайс!$B1483,Торг!$H:$H,0))),"")</f>
        <v/>
      </c>
      <c r="G1483" s="67" t="str">
        <f>IFERROR(IFERROR(INDEX(Кат!$B:$B,MATCH(Прайс!$B1483,Кат!$G:$G,0)),INDEX(Торг!$C:$C,MATCH(Прайс!$B1483,Торг!$H:$H,0))),"")</f>
        <v/>
      </c>
      <c r="H1483" s="67" t="str">
        <f>IFERROR(IFERROR(INDEX(Кат!$I:$I,MATCH(Прайс!$B1483,Кат!$G:$G,0)),INDEX(Торг!$I:$I,MATCH(Прайс!$B1483,Торг!$H:$H,0))),"")</f>
        <v/>
      </c>
    </row>
    <row r="1484" spans="1:8" x14ac:dyDescent="0.25">
      <c r="A1484" s="94" t="s">
        <v>3272</v>
      </c>
      <c r="B1484" s="98">
        <v>71098</v>
      </c>
      <c r="C1484" s="98" t="s">
        <v>5832</v>
      </c>
      <c r="D1484" s="96" t="s">
        <v>162</v>
      </c>
      <c r="E1484" s="97">
        <v>42</v>
      </c>
      <c r="F1484" s="67" t="str">
        <f>IFERROR(IFERROR(INDEX(Кат!$A:$A,MATCH(Прайс!$B1484,Кат!$G:$G,0)),INDEX(Торг!$B:$B,MATCH(Прайс!$B1484,Торг!$H:$H,0))),"")</f>
        <v/>
      </c>
      <c r="G1484" s="67" t="str">
        <f>IFERROR(IFERROR(INDEX(Кат!$B:$B,MATCH(Прайс!$B1484,Кат!$G:$G,0)),INDEX(Торг!$C:$C,MATCH(Прайс!$B1484,Торг!$H:$H,0))),"")</f>
        <v/>
      </c>
      <c r="H1484" s="67" t="str">
        <f>IFERROR(IFERROR(INDEX(Кат!$I:$I,MATCH(Прайс!$B1484,Кат!$G:$G,0)),INDEX(Торг!$I:$I,MATCH(Прайс!$B1484,Торг!$H:$H,0))),"")</f>
        <v/>
      </c>
    </row>
    <row r="1485" spans="1:8" x14ac:dyDescent="0.25">
      <c r="A1485" s="94" t="s">
        <v>3273</v>
      </c>
      <c r="B1485" s="98">
        <v>70123</v>
      </c>
      <c r="C1485" s="98" t="s">
        <v>5833</v>
      </c>
      <c r="D1485" s="96" t="s">
        <v>884</v>
      </c>
      <c r="E1485" s="97">
        <v>42</v>
      </c>
      <c r="F1485" s="67" t="str">
        <f>IFERROR(IFERROR(INDEX(Кат!$A:$A,MATCH(Прайс!$B1485,Кат!$G:$G,0)),INDEX(Торг!$B:$B,MATCH(Прайс!$B1485,Торг!$H:$H,0))),"")</f>
        <v/>
      </c>
      <c r="G1485" s="67" t="str">
        <f>IFERROR(IFERROR(INDEX(Кат!$B:$B,MATCH(Прайс!$B1485,Кат!$G:$G,0)),INDEX(Торг!$C:$C,MATCH(Прайс!$B1485,Торг!$H:$H,0))),"")</f>
        <v/>
      </c>
      <c r="H1485" s="67" t="str">
        <f>IFERROR(IFERROR(INDEX(Кат!$I:$I,MATCH(Прайс!$B1485,Кат!$G:$G,0)),INDEX(Торг!$I:$I,MATCH(Прайс!$B1485,Торг!$H:$H,0))),"")</f>
        <v/>
      </c>
    </row>
    <row r="1486" spans="1:8" x14ac:dyDescent="0.25">
      <c r="A1486" s="94" t="s">
        <v>7622</v>
      </c>
      <c r="B1486" s="98">
        <v>71132</v>
      </c>
      <c r="C1486" s="98" t="s">
        <v>7623</v>
      </c>
      <c r="D1486" s="96" t="s">
        <v>162</v>
      </c>
      <c r="E1486" s="97">
        <v>42</v>
      </c>
      <c r="F1486" s="67" t="str">
        <f>IFERROR(IFERROR(INDEX(Кат!$A:$A,MATCH(Прайс!$B1486,Кат!$G:$G,0)),INDEX(Торг!$B:$B,MATCH(Прайс!$B1486,Торг!$H:$H,0))),"")</f>
        <v/>
      </c>
      <c r="G1486" s="67" t="str">
        <f>IFERROR(IFERROR(INDEX(Кат!$B:$B,MATCH(Прайс!$B1486,Кат!$G:$G,0)),INDEX(Торг!$C:$C,MATCH(Прайс!$B1486,Торг!$H:$H,0))),"")</f>
        <v/>
      </c>
      <c r="H1486" s="67" t="str">
        <f>IFERROR(IFERROR(INDEX(Кат!$I:$I,MATCH(Прайс!$B1486,Кат!$G:$G,0)),INDEX(Торг!$I:$I,MATCH(Прайс!$B1486,Торг!$H:$H,0))),"")</f>
        <v/>
      </c>
    </row>
    <row r="1487" spans="1:8" x14ac:dyDescent="0.25">
      <c r="A1487" s="103" t="s">
        <v>7624</v>
      </c>
      <c r="B1487" s="104">
        <v>72410</v>
      </c>
      <c r="C1487" s="104" t="s">
        <v>7625</v>
      </c>
      <c r="D1487" s="105" t="s">
        <v>884</v>
      </c>
      <c r="E1487" s="113">
        <v>42</v>
      </c>
      <c r="F1487" s="67" t="str">
        <f>IFERROR(IFERROR(INDEX(Кат!$A:$A,MATCH(Прайс!$B1487,Кат!$G:$G,0)),INDEX(Торг!$B:$B,MATCH(Прайс!$B1487,Торг!$H:$H,0))),"")</f>
        <v/>
      </c>
      <c r="G1487" s="67" t="str">
        <f>IFERROR(IFERROR(INDEX(Кат!$B:$B,MATCH(Прайс!$B1487,Кат!$G:$G,0)),INDEX(Торг!$C:$C,MATCH(Прайс!$B1487,Торг!$H:$H,0))),"")</f>
        <v/>
      </c>
      <c r="H1487" s="67" t="str">
        <f>IFERROR(IFERROR(INDEX(Кат!$I:$I,MATCH(Прайс!$B1487,Кат!$G:$G,0)),INDEX(Торг!$I:$I,MATCH(Прайс!$B1487,Торг!$H:$H,0))),"")</f>
        <v/>
      </c>
    </row>
    <row r="1488" spans="1:8" x14ac:dyDescent="0.25">
      <c r="A1488" s="94" t="s">
        <v>3274</v>
      </c>
      <c r="B1488" s="98">
        <v>71641</v>
      </c>
      <c r="C1488" s="98" t="s">
        <v>5834</v>
      </c>
      <c r="D1488" s="96" t="s">
        <v>884</v>
      </c>
      <c r="E1488" s="97">
        <v>42</v>
      </c>
      <c r="F1488" s="67" t="str">
        <f>IFERROR(IFERROR(INDEX(Кат!$A:$A,MATCH(Прайс!$B1488,Кат!$G:$G,0)),INDEX(Торг!$B:$B,MATCH(Прайс!$B1488,Торг!$H:$H,0))),"")</f>
        <v/>
      </c>
      <c r="G1488" s="67" t="str">
        <f>IFERROR(IFERROR(INDEX(Кат!$B:$B,MATCH(Прайс!$B1488,Кат!$G:$G,0)),INDEX(Торг!$C:$C,MATCH(Прайс!$B1488,Торг!$H:$H,0))),"")</f>
        <v/>
      </c>
      <c r="H1488" s="67" t="str">
        <f>IFERROR(IFERROR(INDEX(Кат!$I:$I,MATCH(Прайс!$B1488,Кат!$G:$G,0)),INDEX(Торг!$I:$I,MATCH(Прайс!$B1488,Торг!$H:$H,0))),"")</f>
        <v/>
      </c>
    </row>
    <row r="1489" spans="1:8" x14ac:dyDescent="0.25">
      <c r="A1489" s="94" t="s">
        <v>3275</v>
      </c>
      <c r="B1489" s="98">
        <v>71855</v>
      </c>
      <c r="C1489" s="98" t="s">
        <v>5835</v>
      </c>
      <c r="D1489" s="96" t="s">
        <v>162</v>
      </c>
      <c r="E1489" s="97">
        <v>42</v>
      </c>
      <c r="F1489" s="67" t="str">
        <f>IFERROR(IFERROR(INDEX(Кат!$A:$A,MATCH(Прайс!$B1489,Кат!$G:$G,0)),INDEX(Торг!$B:$B,MATCH(Прайс!$B1489,Торг!$H:$H,0))),"")</f>
        <v/>
      </c>
      <c r="G1489" s="67" t="str">
        <f>IFERROR(IFERROR(INDEX(Кат!$B:$B,MATCH(Прайс!$B1489,Кат!$G:$G,0)),INDEX(Торг!$C:$C,MATCH(Прайс!$B1489,Торг!$H:$H,0))),"")</f>
        <v/>
      </c>
      <c r="H1489" s="67" t="str">
        <f>IFERROR(IFERROR(INDEX(Кат!$I:$I,MATCH(Прайс!$B1489,Кат!$G:$G,0)),INDEX(Торг!$I:$I,MATCH(Прайс!$B1489,Торг!$H:$H,0))),"")</f>
        <v/>
      </c>
    </row>
    <row r="1490" spans="1:8" x14ac:dyDescent="0.25">
      <c r="A1490" s="94" t="s">
        <v>6789</v>
      </c>
      <c r="B1490" s="98">
        <v>70121</v>
      </c>
      <c r="C1490" s="98" t="s">
        <v>6790</v>
      </c>
      <c r="D1490" s="96" t="s">
        <v>884</v>
      </c>
      <c r="E1490" s="97">
        <v>42</v>
      </c>
      <c r="F1490" s="67">
        <f>IFERROR(IFERROR(INDEX(Кат!$A:$A,MATCH(Прайс!$B1490,Кат!$G:$G,0)),INDEX(Торг!$B:$B,MATCH(Прайс!$B1490,Торг!$H:$H,0))),"")</f>
        <v>185779</v>
      </c>
      <c r="G1490" s="67">
        <f>IFERROR(IFERROR(INDEX(Кат!$B:$B,MATCH(Прайс!$B1490,Кат!$G:$G,0)),INDEX(Торг!$C:$C,MATCH(Прайс!$B1490,Торг!$H:$H,0))),"")</f>
        <v>6336</v>
      </c>
      <c r="H1490" s="67" t="str">
        <f>IFERROR(IFERROR(INDEX(Кат!$I:$I,MATCH(Прайс!$B1490,Кат!$G:$G,0)),INDEX(Торг!$I:$I,MATCH(Прайс!$B1490,Торг!$H:$H,0))),"")</f>
        <v>кристал авто</v>
      </c>
    </row>
    <row r="1491" spans="1:8" x14ac:dyDescent="0.25">
      <c r="A1491" s="94" t="s">
        <v>6791</v>
      </c>
      <c r="B1491" s="98">
        <v>70358</v>
      </c>
      <c r="C1491" s="98" t="s">
        <v>6792</v>
      </c>
      <c r="D1491" s="96" t="s">
        <v>162</v>
      </c>
      <c r="E1491" s="97">
        <v>42</v>
      </c>
      <c r="F1491" s="67" t="str">
        <f>IFERROR(IFERROR(INDEX(Кат!$A:$A,MATCH(Прайс!$B1491,Кат!$G:$G,0)),INDEX(Торг!$B:$B,MATCH(Прайс!$B1491,Торг!$H:$H,0))),"")</f>
        <v/>
      </c>
      <c r="G1491" s="67" t="str">
        <f>IFERROR(IFERROR(INDEX(Кат!$B:$B,MATCH(Прайс!$B1491,Кат!$G:$G,0)),INDEX(Торг!$C:$C,MATCH(Прайс!$B1491,Торг!$H:$H,0))),"")</f>
        <v/>
      </c>
      <c r="H1491" s="67" t="str">
        <f>IFERROR(IFERROR(INDEX(Кат!$I:$I,MATCH(Прайс!$B1491,Кат!$G:$G,0)),INDEX(Торг!$I:$I,MATCH(Прайс!$B1491,Торг!$H:$H,0))),"")</f>
        <v/>
      </c>
    </row>
    <row r="1492" spans="1:8" x14ac:dyDescent="0.25">
      <c r="A1492" s="94" t="s">
        <v>3276</v>
      </c>
      <c r="B1492" s="98">
        <v>70122</v>
      </c>
      <c r="C1492" s="98" t="s">
        <v>5836</v>
      </c>
      <c r="D1492" s="96" t="s">
        <v>884</v>
      </c>
      <c r="E1492" s="97">
        <v>42</v>
      </c>
      <c r="F1492" s="67" t="str">
        <f>IFERROR(IFERROR(INDEX(Кат!$A:$A,MATCH(Прайс!$B1492,Кат!$G:$G,0)),INDEX(Торг!$B:$B,MATCH(Прайс!$B1492,Торг!$H:$H,0))),"")</f>
        <v/>
      </c>
      <c r="G1492" s="67" t="str">
        <f>IFERROR(IFERROR(INDEX(Кат!$B:$B,MATCH(Прайс!$B1492,Кат!$G:$G,0)),INDEX(Торг!$C:$C,MATCH(Прайс!$B1492,Торг!$H:$H,0))),"")</f>
        <v/>
      </c>
      <c r="H1492" s="67" t="str">
        <f>IFERROR(IFERROR(INDEX(Кат!$I:$I,MATCH(Прайс!$B1492,Кат!$G:$G,0)),INDEX(Торг!$I:$I,MATCH(Прайс!$B1492,Торг!$H:$H,0))),"")</f>
        <v/>
      </c>
    </row>
    <row r="1493" spans="1:8" x14ac:dyDescent="0.25">
      <c r="A1493" s="94" t="s">
        <v>3277</v>
      </c>
      <c r="B1493" s="98">
        <v>70126</v>
      </c>
      <c r="C1493" s="98" t="s">
        <v>5837</v>
      </c>
      <c r="D1493" s="96" t="s">
        <v>884</v>
      </c>
      <c r="E1493" s="97">
        <v>42</v>
      </c>
      <c r="F1493" s="67" t="str">
        <f>IFERROR(IFERROR(INDEX(Кат!$A:$A,MATCH(Прайс!$B1493,Кат!$G:$G,0)),INDEX(Торг!$B:$B,MATCH(Прайс!$B1493,Торг!$H:$H,0))),"")</f>
        <v/>
      </c>
      <c r="G1493" s="67" t="str">
        <f>IFERROR(IFERROR(INDEX(Кат!$B:$B,MATCH(Прайс!$B1493,Кат!$G:$G,0)),INDEX(Торг!$C:$C,MATCH(Прайс!$B1493,Торг!$H:$H,0))),"")</f>
        <v/>
      </c>
      <c r="H1493" s="67" t="str">
        <f>IFERROR(IFERROR(INDEX(Кат!$I:$I,MATCH(Прайс!$B1493,Кат!$G:$G,0)),INDEX(Торг!$I:$I,MATCH(Прайс!$B1493,Торг!$H:$H,0))),"")</f>
        <v/>
      </c>
    </row>
    <row r="1494" spans="1:8" x14ac:dyDescent="0.25">
      <c r="A1494" s="94" t="s">
        <v>7626</v>
      </c>
      <c r="B1494" s="98">
        <v>72412</v>
      </c>
      <c r="C1494" s="98" t="s">
        <v>7627</v>
      </c>
      <c r="D1494" s="96" t="s">
        <v>884</v>
      </c>
      <c r="E1494" s="97">
        <v>42</v>
      </c>
      <c r="F1494" s="67" t="str">
        <f>IFERROR(IFERROR(INDEX(Кат!$A:$A,MATCH(Прайс!$B1494,Кат!$G:$G,0)),INDEX(Торг!$B:$B,MATCH(Прайс!$B1494,Торг!$H:$H,0))),"")</f>
        <v/>
      </c>
      <c r="G1494" s="67" t="str">
        <f>IFERROR(IFERROR(INDEX(Кат!$B:$B,MATCH(Прайс!$B1494,Кат!$G:$G,0)),INDEX(Торг!$C:$C,MATCH(Прайс!$B1494,Торг!$H:$H,0))),"")</f>
        <v/>
      </c>
      <c r="H1494" s="67" t="str">
        <f>IFERROR(IFERROR(INDEX(Кат!$I:$I,MATCH(Прайс!$B1494,Кат!$G:$G,0)),INDEX(Торг!$I:$I,MATCH(Прайс!$B1494,Торг!$H:$H,0))),"")</f>
        <v/>
      </c>
    </row>
    <row r="1495" spans="1:8" x14ac:dyDescent="0.25">
      <c r="A1495" s="94" t="s">
        <v>3278</v>
      </c>
      <c r="B1495" s="98">
        <v>70357</v>
      </c>
      <c r="C1495" s="98" t="s">
        <v>5838</v>
      </c>
      <c r="D1495" s="96" t="s">
        <v>162</v>
      </c>
      <c r="E1495" s="97">
        <v>42</v>
      </c>
      <c r="F1495" s="67" t="str">
        <f>IFERROR(IFERROR(INDEX(Кат!$A:$A,MATCH(Прайс!$B1495,Кат!$G:$G,0)),INDEX(Торг!$B:$B,MATCH(Прайс!$B1495,Торг!$H:$H,0))),"")</f>
        <v/>
      </c>
      <c r="G1495" s="67" t="str">
        <f>IFERROR(IFERROR(INDEX(Кат!$B:$B,MATCH(Прайс!$B1495,Кат!$G:$G,0)),INDEX(Торг!$C:$C,MATCH(Прайс!$B1495,Торг!$H:$H,0))),"")</f>
        <v/>
      </c>
      <c r="H1495" s="67" t="str">
        <f>IFERROR(IFERROR(INDEX(Кат!$I:$I,MATCH(Прайс!$B1495,Кат!$G:$G,0)),INDEX(Торг!$I:$I,MATCH(Прайс!$B1495,Торг!$H:$H,0))),"")</f>
        <v/>
      </c>
    </row>
    <row r="1496" spans="1:8" x14ac:dyDescent="0.25">
      <c r="A1496" s="94" t="s">
        <v>3279</v>
      </c>
      <c r="B1496" s="98">
        <v>71097</v>
      </c>
      <c r="C1496" s="98" t="s">
        <v>5839</v>
      </c>
      <c r="D1496" s="96" t="s">
        <v>162</v>
      </c>
      <c r="E1496" s="97">
        <v>42</v>
      </c>
      <c r="F1496" s="67" t="str">
        <f>IFERROR(IFERROR(INDEX(Кат!$A:$A,MATCH(Прайс!$B1496,Кат!$G:$G,0)),INDEX(Торг!$B:$B,MATCH(Прайс!$B1496,Торг!$H:$H,0))),"")</f>
        <v/>
      </c>
      <c r="G1496" s="67" t="str">
        <f>IFERROR(IFERROR(INDEX(Кат!$B:$B,MATCH(Прайс!$B1496,Кат!$G:$G,0)),INDEX(Торг!$C:$C,MATCH(Прайс!$B1496,Торг!$H:$H,0))),"")</f>
        <v/>
      </c>
      <c r="H1496" s="67" t="str">
        <f>IFERROR(IFERROR(INDEX(Кат!$I:$I,MATCH(Прайс!$B1496,Кат!$G:$G,0)),INDEX(Торг!$I:$I,MATCH(Прайс!$B1496,Торг!$H:$H,0))),"")</f>
        <v/>
      </c>
    </row>
    <row r="1497" spans="1:8" x14ac:dyDescent="0.25">
      <c r="A1497" s="94" t="s">
        <v>3280</v>
      </c>
      <c r="B1497" s="98">
        <v>70125</v>
      </c>
      <c r="C1497" s="98" t="s">
        <v>5840</v>
      </c>
      <c r="D1497" s="96" t="s">
        <v>884</v>
      </c>
      <c r="E1497" s="97">
        <v>42</v>
      </c>
      <c r="F1497" s="67" t="str">
        <f>IFERROR(IFERROR(INDEX(Кат!$A:$A,MATCH(Прайс!$B1497,Кат!$G:$G,0)),INDEX(Торг!$B:$B,MATCH(Прайс!$B1497,Торг!$H:$H,0))),"")</f>
        <v/>
      </c>
      <c r="G1497" s="67" t="str">
        <f>IFERROR(IFERROR(INDEX(Кат!$B:$B,MATCH(Прайс!$B1497,Кат!$G:$G,0)),INDEX(Торг!$C:$C,MATCH(Прайс!$B1497,Торг!$H:$H,0))),"")</f>
        <v/>
      </c>
      <c r="H1497" s="67" t="str">
        <f>IFERROR(IFERROR(INDEX(Кат!$I:$I,MATCH(Прайс!$B1497,Кат!$G:$G,0)),INDEX(Торг!$I:$I,MATCH(Прайс!$B1497,Торг!$H:$H,0))),"")</f>
        <v/>
      </c>
    </row>
    <row r="1498" spans="1:8" x14ac:dyDescent="0.25">
      <c r="A1498" s="94" t="s">
        <v>3281</v>
      </c>
      <c r="B1498" s="98">
        <v>71739</v>
      </c>
      <c r="C1498" s="98" t="s">
        <v>5841</v>
      </c>
      <c r="D1498" s="96" t="s">
        <v>162</v>
      </c>
      <c r="E1498" s="97">
        <v>42</v>
      </c>
      <c r="F1498" s="67" t="str">
        <f>IFERROR(IFERROR(INDEX(Кат!$A:$A,MATCH(Прайс!$B1498,Кат!$G:$G,0)),INDEX(Торг!$B:$B,MATCH(Прайс!$B1498,Торг!$H:$H,0))),"")</f>
        <v/>
      </c>
      <c r="G1498" s="67" t="str">
        <f>IFERROR(IFERROR(INDEX(Кат!$B:$B,MATCH(Прайс!$B1498,Кат!$G:$G,0)),INDEX(Торг!$C:$C,MATCH(Прайс!$B1498,Торг!$H:$H,0))),"")</f>
        <v/>
      </c>
      <c r="H1498" s="67" t="str">
        <f>IFERROR(IFERROR(INDEX(Кат!$I:$I,MATCH(Прайс!$B1498,Кат!$G:$G,0)),INDEX(Торг!$I:$I,MATCH(Прайс!$B1498,Торг!$H:$H,0))),"")</f>
        <v/>
      </c>
    </row>
    <row r="1499" spans="1:8" x14ac:dyDescent="0.25">
      <c r="A1499" s="94" t="s">
        <v>3282</v>
      </c>
      <c r="B1499" s="98">
        <v>71343</v>
      </c>
      <c r="C1499" s="98" t="s">
        <v>5842</v>
      </c>
      <c r="D1499" s="96" t="s">
        <v>162</v>
      </c>
      <c r="E1499" s="97">
        <v>42</v>
      </c>
      <c r="F1499" s="67" t="str">
        <f>IFERROR(IFERROR(INDEX(Кат!$A:$A,MATCH(Прайс!$B1499,Кат!$G:$G,0)),INDEX(Торг!$B:$B,MATCH(Прайс!$B1499,Торг!$H:$H,0))),"")</f>
        <v/>
      </c>
      <c r="G1499" s="67" t="str">
        <f>IFERROR(IFERROR(INDEX(Кат!$B:$B,MATCH(Прайс!$B1499,Кат!$G:$G,0)),INDEX(Торг!$C:$C,MATCH(Прайс!$B1499,Торг!$H:$H,0))),"")</f>
        <v/>
      </c>
      <c r="H1499" s="67" t="str">
        <f>IFERROR(IFERROR(INDEX(Кат!$I:$I,MATCH(Прайс!$B1499,Кат!$G:$G,0)),INDEX(Торг!$I:$I,MATCH(Прайс!$B1499,Торг!$H:$H,0))),"")</f>
        <v/>
      </c>
    </row>
    <row r="1500" spans="1:8" x14ac:dyDescent="0.25">
      <c r="A1500" s="94" t="s">
        <v>3283</v>
      </c>
      <c r="B1500" s="98">
        <v>70127</v>
      </c>
      <c r="C1500" s="98" t="s">
        <v>5843</v>
      </c>
      <c r="D1500" s="96" t="s">
        <v>884</v>
      </c>
      <c r="E1500" s="97">
        <v>42</v>
      </c>
      <c r="F1500" s="67" t="str">
        <f>IFERROR(IFERROR(INDEX(Кат!$A:$A,MATCH(Прайс!$B1500,Кат!$G:$G,0)),INDEX(Торг!$B:$B,MATCH(Прайс!$B1500,Торг!$H:$H,0))),"")</f>
        <v/>
      </c>
      <c r="G1500" s="67" t="str">
        <f>IFERROR(IFERROR(INDEX(Кат!$B:$B,MATCH(Прайс!$B1500,Кат!$G:$G,0)),INDEX(Торг!$C:$C,MATCH(Прайс!$B1500,Торг!$H:$H,0))),"")</f>
        <v/>
      </c>
      <c r="H1500" s="67" t="str">
        <f>IFERROR(IFERROR(INDEX(Кат!$I:$I,MATCH(Прайс!$B1500,Кат!$G:$G,0)),INDEX(Торг!$I:$I,MATCH(Прайс!$B1500,Торг!$H:$H,0))),"")</f>
        <v/>
      </c>
    </row>
    <row r="1501" spans="1:8" x14ac:dyDescent="0.25">
      <c r="A1501" s="103" t="s">
        <v>3284</v>
      </c>
      <c r="B1501" s="104">
        <v>70356</v>
      </c>
      <c r="C1501" s="104" t="s">
        <v>5844</v>
      </c>
      <c r="D1501" s="105" t="s">
        <v>162</v>
      </c>
      <c r="E1501" s="113">
        <v>42</v>
      </c>
      <c r="F1501" s="67" t="str">
        <f>IFERROR(IFERROR(INDEX(Кат!$A:$A,MATCH(Прайс!$B1501,Кат!$G:$G,0)),INDEX(Торг!$B:$B,MATCH(Прайс!$B1501,Торг!$H:$H,0))),"")</f>
        <v/>
      </c>
      <c r="G1501" s="67" t="str">
        <f>IFERROR(IFERROR(INDEX(Кат!$B:$B,MATCH(Прайс!$B1501,Кат!$G:$G,0)),INDEX(Торг!$C:$C,MATCH(Прайс!$B1501,Торг!$H:$H,0))),"")</f>
        <v/>
      </c>
      <c r="H1501" s="67" t="str">
        <f>IFERROR(IFERROR(INDEX(Кат!$I:$I,MATCH(Прайс!$B1501,Кат!$G:$G,0)),INDEX(Торг!$I:$I,MATCH(Прайс!$B1501,Торг!$H:$H,0))),"")</f>
        <v/>
      </c>
    </row>
    <row r="1502" spans="1:8" x14ac:dyDescent="0.25">
      <c r="A1502" s="103" t="s">
        <v>7628</v>
      </c>
      <c r="B1502" s="104">
        <v>70128</v>
      </c>
      <c r="C1502" s="104" t="s">
        <v>7629</v>
      </c>
      <c r="D1502" s="105" t="s">
        <v>884</v>
      </c>
      <c r="E1502" s="113">
        <v>42</v>
      </c>
      <c r="F1502" s="67" t="str">
        <f>IFERROR(IFERROR(INDEX(Кат!$A:$A,MATCH(Прайс!$B1502,Кат!$G:$G,0)),INDEX(Торг!$B:$B,MATCH(Прайс!$B1502,Торг!$H:$H,0))),"")</f>
        <v/>
      </c>
      <c r="G1502" s="67" t="str">
        <f>IFERROR(IFERROR(INDEX(Кат!$B:$B,MATCH(Прайс!$B1502,Кат!$G:$G,0)),INDEX(Торг!$C:$C,MATCH(Прайс!$B1502,Торг!$H:$H,0))),"")</f>
        <v/>
      </c>
      <c r="H1502" s="67" t="str">
        <f>IFERROR(IFERROR(INDEX(Кат!$I:$I,MATCH(Прайс!$B1502,Кат!$G:$G,0)),INDEX(Торг!$I:$I,MATCH(Прайс!$B1502,Торг!$H:$H,0))),"")</f>
        <v/>
      </c>
    </row>
    <row r="1503" spans="1:8" x14ac:dyDescent="0.25">
      <c r="A1503" s="94" t="s">
        <v>4901</v>
      </c>
      <c r="B1503" s="98">
        <v>70116</v>
      </c>
      <c r="C1503" s="98" t="s">
        <v>5845</v>
      </c>
      <c r="D1503" s="96" t="s">
        <v>884</v>
      </c>
      <c r="E1503" s="97">
        <v>42</v>
      </c>
      <c r="F1503" s="67" t="str">
        <f>IFERROR(IFERROR(INDEX(Кат!$A:$A,MATCH(Прайс!$B1503,Кат!$G:$G,0)),INDEX(Торг!$B:$B,MATCH(Прайс!$B1503,Торг!$H:$H,0))),"")</f>
        <v/>
      </c>
      <c r="G1503" s="67" t="str">
        <f>IFERROR(IFERROR(INDEX(Кат!$B:$B,MATCH(Прайс!$B1503,Кат!$G:$G,0)),INDEX(Торг!$C:$C,MATCH(Прайс!$B1503,Торг!$H:$H,0))),"")</f>
        <v/>
      </c>
      <c r="H1503" s="67" t="str">
        <f>IFERROR(IFERROR(INDEX(Кат!$I:$I,MATCH(Прайс!$B1503,Кат!$G:$G,0)),INDEX(Торг!$I:$I,MATCH(Прайс!$B1503,Торг!$H:$H,0))),"")</f>
        <v/>
      </c>
    </row>
    <row r="1504" spans="1:8" x14ac:dyDescent="0.25">
      <c r="A1504" s="94" t="s">
        <v>3285</v>
      </c>
      <c r="B1504" s="98">
        <v>70130</v>
      </c>
      <c r="C1504" s="98" t="s">
        <v>887</v>
      </c>
      <c r="D1504" s="96" t="s">
        <v>886</v>
      </c>
      <c r="E1504" s="97">
        <v>42</v>
      </c>
      <c r="F1504" s="67" t="str">
        <f>IFERROR(IFERROR(INDEX(Кат!$A:$A,MATCH(Прайс!$B1504,Кат!$G:$G,0)),INDEX(Торг!$B:$B,MATCH(Прайс!$B1504,Торг!$H:$H,0))),"")</f>
        <v/>
      </c>
      <c r="G1504" s="67" t="str">
        <f>IFERROR(IFERROR(INDEX(Кат!$B:$B,MATCH(Прайс!$B1504,Кат!$G:$G,0)),INDEX(Торг!$C:$C,MATCH(Прайс!$B1504,Торг!$H:$H,0))),"")</f>
        <v/>
      </c>
      <c r="H1504" s="67" t="str">
        <f>IFERROR(IFERROR(INDEX(Кат!$I:$I,MATCH(Прайс!$B1504,Кат!$G:$G,0)),INDEX(Торг!$I:$I,MATCH(Прайс!$B1504,Торг!$H:$H,0))),"")</f>
        <v/>
      </c>
    </row>
    <row r="1505" spans="1:8" x14ac:dyDescent="0.25">
      <c r="A1505" s="94" t="s">
        <v>8561</v>
      </c>
      <c r="B1505" s="98">
        <v>71027</v>
      </c>
      <c r="C1505" s="98" t="s">
        <v>8562</v>
      </c>
      <c r="D1505" s="96" t="s">
        <v>162</v>
      </c>
      <c r="E1505" s="97">
        <v>42</v>
      </c>
      <c r="F1505" s="67">
        <f>IFERROR(IFERROR(INDEX(Кат!$A:$A,MATCH(Прайс!$B1505,Кат!$G:$G,0)),INDEX(Торг!$B:$B,MATCH(Прайс!$B1505,Торг!$H:$H,0))),"")</f>
        <v>185785</v>
      </c>
      <c r="G1505" s="67">
        <f>IFERROR(IFERROR(INDEX(Кат!$B:$B,MATCH(Прайс!$B1505,Кат!$G:$G,0)),INDEX(Торг!$C:$C,MATCH(Прайс!$B1505,Торг!$H:$H,0))),"")</f>
        <v>6341</v>
      </c>
      <c r="H1505" s="67" t="str">
        <f>IFERROR(IFERROR(INDEX(Кат!$I:$I,MATCH(Прайс!$B1505,Кат!$G:$G,0)),INDEX(Торг!$I:$I,MATCH(Прайс!$B1505,Торг!$H:$H,0))),"")</f>
        <v>кристал авто</v>
      </c>
    </row>
    <row r="1506" spans="1:8" x14ac:dyDescent="0.25">
      <c r="A1506" s="94" t="s">
        <v>3286</v>
      </c>
      <c r="B1506" s="98">
        <v>71095</v>
      </c>
      <c r="C1506" s="98" t="s">
        <v>5846</v>
      </c>
      <c r="D1506" s="96" t="s">
        <v>888</v>
      </c>
      <c r="E1506" s="97">
        <v>42</v>
      </c>
      <c r="F1506" s="67">
        <f>IFERROR(IFERROR(INDEX(Кат!$A:$A,MATCH(Прайс!$B1506,Кат!$G:$G,0)),INDEX(Торг!$B:$B,MATCH(Прайс!$B1506,Торг!$H:$H,0))),"")</f>
        <v>185783</v>
      </c>
      <c r="G1506" s="67">
        <f>IFERROR(IFERROR(INDEX(Кат!$B:$B,MATCH(Прайс!$B1506,Кат!$G:$G,0)),INDEX(Торг!$C:$C,MATCH(Прайс!$B1506,Торг!$H:$H,0))),"")</f>
        <v>6339</v>
      </c>
      <c r="H1506" s="67" t="str">
        <f>IFERROR(IFERROR(INDEX(Кат!$I:$I,MATCH(Прайс!$B1506,Кат!$G:$G,0)),INDEX(Торг!$I:$I,MATCH(Прайс!$B1506,Торг!$H:$H,0))),"")</f>
        <v>кристал авто</v>
      </c>
    </row>
    <row r="1507" spans="1:8" x14ac:dyDescent="0.25">
      <c r="A1507" s="94" t="s">
        <v>3287</v>
      </c>
      <c r="B1507" s="98">
        <v>70131</v>
      </c>
      <c r="C1507" s="98" t="s">
        <v>5847</v>
      </c>
      <c r="D1507" s="96" t="s">
        <v>884</v>
      </c>
      <c r="E1507" s="97">
        <v>42</v>
      </c>
      <c r="F1507" s="67">
        <f>IFERROR(IFERROR(INDEX(Кат!$A:$A,MATCH(Прайс!$B1507,Кат!$G:$G,0)),INDEX(Торг!$B:$B,MATCH(Прайс!$B1507,Торг!$H:$H,0))),"")</f>
        <v>185789</v>
      </c>
      <c r="G1507" s="67">
        <f>IFERROR(IFERROR(INDEX(Кат!$B:$B,MATCH(Прайс!$B1507,Кат!$G:$G,0)),INDEX(Торг!$C:$C,MATCH(Прайс!$B1507,Торг!$H:$H,0))),"")</f>
        <v>6344</v>
      </c>
      <c r="H1507" s="67" t="str">
        <f>IFERROR(IFERROR(INDEX(Кат!$I:$I,MATCH(Прайс!$B1507,Кат!$G:$G,0)),INDEX(Торг!$I:$I,MATCH(Прайс!$B1507,Торг!$H:$H,0))),"")</f>
        <v>кристал авто</v>
      </c>
    </row>
    <row r="1508" spans="1:8" x14ac:dyDescent="0.25">
      <c r="A1508" s="94" t="s">
        <v>3288</v>
      </c>
      <c r="B1508" s="98">
        <v>70132</v>
      </c>
      <c r="C1508" s="98" t="s">
        <v>5848</v>
      </c>
      <c r="D1508" s="96" t="s">
        <v>884</v>
      </c>
      <c r="E1508" s="97">
        <v>42</v>
      </c>
      <c r="F1508" s="67">
        <f>IFERROR(IFERROR(INDEX(Кат!$A:$A,MATCH(Прайс!$B1508,Кат!$G:$G,0)),INDEX(Торг!$B:$B,MATCH(Прайс!$B1508,Торг!$H:$H,0))),"")</f>
        <v>185780</v>
      </c>
      <c r="G1508" s="67">
        <f>IFERROR(IFERROR(INDEX(Кат!$B:$B,MATCH(Прайс!$B1508,Кат!$G:$G,0)),INDEX(Торг!$C:$C,MATCH(Прайс!$B1508,Торг!$H:$H,0))),"")</f>
        <v>6337</v>
      </c>
      <c r="H1508" s="67" t="str">
        <f>IFERROR(IFERROR(INDEX(Кат!$I:$I,MATCH(Прайс!$B1508,Кат!$G:$G,0)),INDEX(Торг!$I:$I,MATCH(Прайс!$B1508,Торг!$H:$H,0))),"")</f>
        <v>кристал авто</v>
      </c>
    </row>
    <row r="1509" spans="1:8" x14ac:dyDescent="0.25">
      <c r="A1509" s="94" t="s">
        <v>3289</v>
      </c>
      <c r="B1509" s="98">
        <v>71094</v>
      </c>
      <c r="C1509" s="98" t="s">
        <v>5849</v>
      </c>
      <c r="D1509" s="96" t="s">
        <v>888</v>
      </c>
      <c r="E1509" s="97">
        <v>42</v>
      </c>
      <c r="F1509" s="67">
        <f>IFERROR(IFERROR(INDEX(Кат!$A:$A,MATCH(Прайс!$B1509,Кат!$G:$G,0)),INDEX(Торг!$B:$B,MATCH(Прайс!$B1509,Торг!$H:$H,0))),"")</f>
        <v>185787</v>
      </c>
      <c r="G1509" s="67">
        <f>IFERROR(IFERROR(INDEX(Кат!$B:$B,MATCH(Прайс!$B1509,Кат!$G:$G,0)),INDEX(Торг!$C:$C,MATCH(Прайс!$B1509,Торг!$H:$H,0))),"")</f>
        <v>6343</v>
      </c>
      <c r="H1509" s="67" t="str">
        <f>IFERROR(IFERROR(INDEX(Кат!$I:$I,MATCH(Прайс!$B1509,Кат!$G:$G,0)),INDEX(Торг!$I:$I,MATCH(Прайс!$B1509,Торг!$H:$H,0))),"")</f>
        <v>кристал авто</v>
      </c>
    </row>
    <row r="1510" spans="1:8" x14ac:dyDescent="0.25">
      <c r="A1510" s="94" t="s">
        <v>5850</v>
      </c>
      <c r="B1510" s="98">
        <v>70133</v>
      </c>
      <c r="C1510" s="98" t="s">
        <v>5851</v>
      </c>
      <c r="D1510" s="96" t="s">
        <v>884</v>
      </c>
      <c r="E1510" s="97">
        <v>42</v>
      </c>
      <c r="F1510" s="67" t="str">
        <f>IFERROR(IFERROR(INDEX(Кат!$A:$A,MATCH(Прайс!$B1510,Кат!$G:$G,0)),INDEX(Торг!$B:$B,MATCH(Прайс!$B1510,Торг!$H:$H,0))),"")</f>
        <v/>
      </c>
      <c r="G1510" s="67" t="str">
        <f>IFERROR(IFERROR(INDEX(Кат!$B:$B,MATCH(Прайс!$B1510,Кат!$G:$G,0)),INDEX(Торг!$C:$C,MATCH(Прайс!$B1510,Торг!$H:$H,0))),"")</f>
        <v/>
      </c>
      <c r="H1510" s="67" t="str">
        <f>IFERROR(IFERROR(INDEX(Кат!$I:$I,MATCH(Прайс!$B1510,Кат!$G:$G,0)),INDEX(Торг!$I:$I,MATCH(Прайс!$B1510,Торг!$H:$H,0))),"")</f>
        <v/>
      </c>
    </row>
    <row r="1511" spans="1:8" x14ac:dyDescent="0.25">
      <c r="A1511" s="94" t="s">
        <v>3290</v>
      </c>
      <c r="B1511" s="98">
        <v>70134</v>
      </c>
      <c r="C1511" s="98" t="s">
        <v>5852</v>
      </c>
      <c r="D1511" s="96" t="s">
        <v>884</v>
      </c>
      <c r="E1511" s="97">
        <v>42</v>
      </c>
      <c r="F1511" s="67" t="str">
        <f>IFERROR(IFERROR(INDEX(Кат!$A:$A,MATCH(Прайс!$B1511,Кат!$G:$G,0)),INDEX(Торг!$B:$B,MATCH(Прайс!$B1511,Торг!$H:$H,0))),"")</f>
        <v/>
      </c>
      <c r="G1511" s="67" t="str">
        <f>IFERROR(IFERROR(INDEX(Кат!$B:$B,MATCH(Прайс!$B1511,Кат!$G:$G,0)),INDEX(Торг!$C:$C,MATCH(Прайс!$B1511,Торг!$H:$H,0))),"")</f>
        <v/>
      </c>
      <c r="H1511" s="67" t="str">
        <f>IFERROR(IFERROR(INDEX(Кат!$I:$I,MATCH(Прайс!$B1511,Кат!$G:$G,0)),INDEX(Торг!$I:$I,MATCH(Прайс!$B1511,Торг!$H:$H,0))),"")</f>
        <v/>
      </c>
    </row>
    <row r="1512" spans="1:8" x14ac:dyDescent="0.25">
      <c r="A1512" s="94" t="s">
        <v>3291</v>
      </c>
      <c r="B1512" s="98">
        <v>71093</v>
      </c>
      <c r="C1512" s="98" t="s">
        <v>5853</v>
      </c>
      <c r="D1512" s="96" t="s">
        <v>888</v>
      </c>
      <c r="E1512" s="97">
        <v>42</v>
      </c>
      <c r="F1512" s="67">
        <f>IFERROR(IFERROR(INDEX(Кат!$A:$A,MATCH(Прайс!$B1512,Кат!$G:$G,0)),INDEX(Торг!$B:$B,MATCH(Прайс!$B1512,Торг!$H:$H,0))),"")</f>
        <v>185781</v>
      </c>
      <c r="G1512" s="67">
        <f>IFERROR(IFERROR(INDEX(Кат!$B:$B,MATCH(Прайс!$B1512,Кат!$G:$G,0)),INDEX(Торг!$C:$C,MATCH(Прайс!$B1512,Торг!$H:$H,0))),"")</f>
        <v>6338</v>
      </c>
      <c r="H1512" s="67" t="str">
        <f>IFERROR(IFERROR(INDEX(Кат!$I:$I,MATCH(Прайс!$B1512,Кат!$G:$G,0)),INDEX(Торг!$I:$I,MATCH(Прайс!$B1512,Торг!$H:$H,0))),"")</f>
        <v>кристал авто</v>
      </c>
    </row>
    <row r="1513" spans="1:8" x14ac:dyDescent="0.25">
      <c r="A1513" s="94" t="s">
        <v>8563</v>
      </c>
      <c r="B1513" s="98">
        <v>70135</v>
      </c>
      <c r="C1513" s="98" t="s">
        <v>8564</v>
      </c>
      <c r="D1513" s="96" t="s">
        <v>884</v>
      </c>
      <c r="E1513" s="97">
        <v>42</v>
      </c>
      <c r="F1513" s="67">
        <f>IFERROR(IFERROR(INDEX(Кат!$A:$A,MATCH(Прайс!$B1513,Кат!$G:$G,0)),INDEX(Торг!$B:$B,MATCH(Прайс!$B1513,Торг!$H:$H,0))),"")</f>
        <v>185782</v>
      </c>
      <c r="G1513" s="67">
        <f>IFERROR(IFERROR(INDEX(Кат!$B:$B,MATCH(Прайс!$B1513,Кат!$G:$G,0)),INDEX(Торг!$C:$C,MATCH(Прайс!$B1513,Торг!$H:$H,0))),"")</f>
        <v>6345</v>
      </c>
      <c r="H1513" s="67" t="str">
        <f>IFERROR(IFERROR(INDEX(Кат!$I:$I,MATCH(Прайс!$B1513,Кат!$G:$G,0)),INDEX(Торг!$I:$I,MATCH(Прайс!$B1513,Торг!$H:$H,0))),"")</f>
        <v>кристал авто</v>
      </c>
    </row>
    <row r="1514" spans="1:8" x14ac:dyDescent="0.25">
      <c r="A1514" s="94" t="s">
        <v>3292</v>
      </c>
      <c r="B1514" s="98">
        <v>70136</v>
      </c>
      <c r="C1514" s="98" t="s">
        <v>5854</v>
      </c>
      <c r="D1514" s="96" t="s">
        <v>884</v>
      </c>
      <c r="E1514" s="97">
        <v>42</v>
      </c>
      <c r="F1514" s="67">
        <f>IFERROR(IFERROR(INDEX(Кат!$A:$A,MATCH(Прайс!$B1514,Кат!$G:$G,0)),INDEX(Торг!$B:$B,MATCH(Прайс!$B1514,Торг!$H:$H,0))),"")</f>
        <v>185784</v>
      </c>
      <c r="G1514" s="67">
        <f>IFERROR(IFERROR(INDEX(Кат!$B:$B,MATCH(Прайс!$B1514,Кат!$G:$G,0)),INDEX(Торг!$C:$C,MATCH(Прайс!$B1514,Торг!$H:$H,0))),"")</f>
        <v>6340</v>
      </c>
      <c r="H1514" s="67" t="str">
        <f>IFERROR(IFERROR(INDEX(Кат!$I:$I,MATCH(Прайс!$B1514,Кат!$G:$G,0)),INDEX(Торг!$I:$I,MATCH(Прайс!$B1514,Торг!$H:$H,0))),"")</f>
        <v>кристал авто</v>
      </c>
    </row>
    <row r="1515" spans="1:8" x14ac:dyDescent="0.25">
      <c r="A1515" s="94" t="s">
        <v>7630</v>
      </c>
      <c r="B1515" s="98">
        <v>72411</v>
      </c>
      <c r="C1515" s="98" t="s">
        <v>7631</v>
      </c>
      <c r="D1515" s="96" t="s">
        <v>888</v>
      </c>
      <c r="E1515" s="97">
        <v>42</v>
      </c>
      <c r="F1515" s="67" t="str">
        <f>IFERROR(IFERROR(INDEX(Кат!$A:$A,MATCH(Прайс!$B1515,Кат!$G:$G,0)),INDEX(Торг!$B:$B,MATCH(Прайс!$B1515,Торг!$H:$H,0))),"")</f>
        <v/>
      </c>
      <c r="G1515" s="67" t="str">
        <f>IFERROR(IFERROR(INDEX(Кат!$B:$B,MATCH(Прайс!$B1515,Кат!$G:$G,0)),INDEX(Торг!$C:$C,MATCH(Прайс!$B1515,Торг!$H:$H,0))),"")</f>
        <v/>
      </c>
      <c r="H1515" s="67" t="str">
        <f>IFERROR(IFERROR(INDEX(Кат!$I:$I,MATCH(Прайс!$B1515,Кат!$G:$G,0)),INDEX(Торг!$I:$I,MATCH(Прайс!$B1515,Торг!$H:$H,0))),"")</f>
        <v/>
      </c>
    </row>
    <row r="1516" spans="1:8" x14ac:dyDescent="0.25">
      <c r="A1516" s="94" t="s">
        <v>3293</v>
      </c>
      <c r="B1516" s="98">
        <v>70137</v>
      </c>
      <c r="C1516" s="98" t="s">
        <v>5855</v>
      </c>
      <c r="D1516" s="96" t="s">
        <v>884</v>
      </c>
      <c r="E1516" s="97">
        <v>42</v>
      </c>
      <c r="F1516" s="67" t="str">
        <f>IFERROR(IFERROR(INDEX(Кат!$A:$A,MATCH(Прайс!$B1516,Кат!$G:$G,0)),INDEX(Торг!$B:$B,MATCH(Прайс!$B1516,Торг!$H:$H,0))),"")</f>
        <v/>
      </c>
      <c r="G1516" s="67" t="str">
        <f>IFERROR(IFERROR(INDEX(Кат!$B:$B,MATCH(Прайс!$B1516,Кат!$G:$G,0)),INDEX(Торг!$C:$C,MATCH(Прайс!$B1516,Торг!$H:$H,0))),"")</f>
        <v/>
      </c>
      <c r="H1516" s="67" t="str">
        <f>IFERROR(IFERROR(INDEX(Кат!$I:$I,MATCH(Прайс!$B1516,Кат!$G:$G,0)),INDEX(Торг!$I:$I,MATCH(Прайс!$B1516,Торг!$H:$H,0))),"")</f>
        <v/>
      </c>
    </row>
    <row r="1517" spans="1:8" x14ac:dyDescent="0.25">
      <c r="A1517" s="94" t="s">
        <v>3294</v>
      </c>
      <c r="B1517" s="98">
        <v>70138</v>
      </c>
      <c r="C1517" s="98" t="s">
        <v>5856</v>
      </c>
      <c r="D1517" s="96" t="s">
        <v>884</v>
      </c>
      <c r="E1517" s="97">
        <v>42</v>
      </c>
      <c r="F1517" s="67">
        <f>IFERROR(IFERROR(INDEX(Кат!$A:$A,MATCH(Прайс!$B1517,Кат!$G:$G,0)),INDEX(Торг!$B:$B,MATCH(Прайс!$B1517,Торг!$H:$H,0))),"")</f>
        <v>185788</v>
      </c>
      <c r="G1517" s="67">
        <f>IFERROR(IFERROR(INDEX(Кат!$B:$B,MATCH(Прайс!$B1517,Кат!$G:$G,0)),INDEX(Торг!$C:$C,MATCH(Прайс!$B1517,Торг!$H:$H,0))),"")</f>
        <v>6346</v>
      </c>
      <c r="H1517" s="67" t="str">
        <f>IFERROR(IFERROR(INDEX(Кат!$I:$I,MATCH(Прайс!$B1517,Кат!$G:$G,0)),INDEX(Торг!$I:$I,MATCH(Прайс!$B1517,Торг!$H:$H,0))),"")</f>
        <v>кристал авто</v>
      </c>
    </row>
    <row r="1518" spans="1:8" x14ac:dyDescent="0.25">
      <c r="A1518" s="94" t="s">
        <v>6793</v>
      </c>
      <c r="B1518" s="98">
        <v>71106</v>
      </c>
      <c r="C1518" s="98" t="s">
        <v>6794</v>
      </c>
      <c r="D1518" s="96" t="s">
        <v>162</v>
      </c>
      <c r="E1518" s="97">
        <v>42</v>
      </c>
      <c r="F1518" s="67" t="str">
        <f>IFERROR(IFERROR(INDEX(Кат!$A:$A,MATCH(Прайс!$B1518,Кат!$G:$G,0)),INDEX(Торг!$B:$B,MATCH(Прайс!$B1518,Торг!$H:$H,0))),"")</f>
        <v/>
      </c>
      <c r="G1518" s="67" t="str">
        <f>IFERROR(IFERROR(INDEX(Кат!$B:$B,MATCH(Прайс!$B1518,Кат!$G:$G,0)),INDEX(Торг!$C:$C,MATCH(Прайс!$B1518,Торг!$H:$H,0))),"")</f>
        <v/>
      </c>
      <c r="H1518" s="67" t="str">
        <f>IFERROR(IFERROR(INDEX(Кат!$I:$I,MATCH(Прайс!$B1518,Кат!$G:$G,0)),INDEX(Торг!$I:$I,MATCH(Прайс!$B1518,Торг!$H:$H,0))),"")</f>
        <v/>
      </c>
    </row>
    <row r="1519" spans="1:8" x14ac:dyDescent="0.25">
      <c r="A1519" s="94" t="s">
        <v>6279</v>
      </c>
      <c r="B1519" s="98">
        <v>71101</v>
      </c>
      <c r="C1519" s="98" t="s">
        <v>6280</v>
      </c>
      <c r="D1519" s="96" t="s">
        <v>162</v>
      </c>
      <c r="E1519" s="97">
        <v>42</v>
      </c>
      <c r="F1519" s="67" t="str">
        <f>IFERROR(IFERROR(INDEX(Кат!$A:$A,MATCH(Прайс!$B1519,Кат!$G:$G,0)),INDEX(Торг!$B:$B,MATCH(Прайс!$B1519,Торг!$H:$H,0))),"")</f>
        <v/>
      </c>
      <c r="G1519" s="67" t="str">
        <f>IFERROR(IFERROR(INDEX(Кат!$B:$B,MATCH(Прайс!$B1519,Кат!$G:$G,0)),INDEX(Торг!$C:$C,MATCH(Прайс!$B1519,Торг!$H:$H,0))),"")</f>
        <v/>
      </c>
      <c r="H1519" s="67" t="str">
        <f>IFERROR(IFERROR(INDEX(Кат!$I:$I,MATCH(Прайс!$B1519,Кат!$G:$G,0)),INDEX(Торг!$I:$I,MATCH(Прайс!$B1519,Торг!$H:$H,0))),"")</f>
        <v/>
      </c>
    </row>
    <row r="1520" spans="1:8" x14ac:dyDescent="0.25">
      <c r="A1520" s="94" t="s">
        <v>3295</v>
      </c>
      <c r="B1520" s="98">
        <v>71110</v>
      </c>
      <c r="C1520" s="98" t="s">
        <v>5857</v>
      </c>
      <c r="D1520" s="96" t="s">
        <v>162</v>
      </c>
      <c r="E1520" s="97">
        <v>42</v>
      </c>
      <c r="F1520" s="67" t="str">
        <f>IFERROR(IFERROR(INDEX(Кат!$A:$A,MATCH(Прайс!$B1520,Кат!$G:$G,0)),INDEX(Торг!$B:$B,MATCH(Прайс!$B1520,Торг!$H:$H,0))),"")</f>
        <v/>
      </c>
      <c r="G1520" s="67" t="str">
        <f>IFERROR(IFERROR(INDEX(Кат!$B:$B,MATCH(Прайс!$B1520,Кат!$G:$G,0)),INDEX(Торг!$C:$C,MATCH(Прайс!$B1520,Торг!$H:$H,0))),"")</f>
        <v/>
      </c>
      <c r="H1520" s="67" t="str">
        <f>IFERROR(IFERROR(INDEX(Кат!$I:$I,MATCH(Прайс!$B1520,Кат!$G:$G,0)),INDEX(Торг!$I:$I,MATCH(Прайс!$B1520,Торг!$H:$H,0))),"")</f>
        <v/>
      </c>
    </row>
    <row r="1521" spans="1:8" x14ac:dyDescent="0.25">
      <c r="A1521" s="94" t="s">
        <v>3296</v>
      </c>
      <c r="B1521" s="98">
        <v>71102</v>
      </c>
      <c r="C1521" s="98" t="s">
        <v>5858</v>
      </c>
      <c r="D1521" s="96" t="s">
        <v>162</v>
      </c>
      <c r="E1521" s="97">
        <v>42</v>
      </c>
      <c r="F1521" s="67" t="str">
        <f>IFERROR(IFERROR(INDEX(Кат!$A:$A,MATCH(Прайс!$B1521,Кат!$G:$G,0)),INDEX(Торг!$B:$B,MATCH(Прайс!$B1521,Торг!$H:$H,0))),"")</f>
        <v/>
      </c>
      <c r="G1521" s="67" t="str">
        <f>IFERROR(IFERROR(INDEX(Кат!$B:$B,MATCH(Прайс!$B1521,Кат!$G:$G,0)),INDEX(Торг!$C:$C,MATCH(Прайс!$B1521,Торг!$H:$H,0))),"")</f>
        <v/>
      </c>
      <c r="H1521" s="67" t="str">
        <f>IFERROR(IFERROR(INDEX(Кат!$I:$I,MATCH(Прайс!$B1521,Кат!$G:$G,0)),INDEX(Торг!$I:$I,MATCH(Прайс!$B1521,Торг!$H:$H,0))),"")</f>
        <v/>
      </c>
    </row>
    <row r="1522" spans="1:8" x14ac:dyDescent="0.25">
      <c r="A1522" s="94" t="s">
        <v>3297</v>
      </c>
      <c r="B1522" s="98">
        <v>71107</v>
      </c>
      <c r="C1522" s="98" t="s">
        <v>5859</v>
      </c>
      <c r="D1522" s="96" t="s">
        <v>162</v>
      </c>
      <c r="E1522" s="97">
        <v>42</v>
      </c>
      <c r="F1522" s="67" t="str">
        <f>IFERROR(IFERROR(INDEX(Кат!$A:$A,MATCH(Прайс!$B1522,Кат!$G:$G,0)),INDEX(Торг!$B:$B,MATCH(Прайс!$B1522,Торг!$H:$H,0))),"")</f>
        <v/>
      </c>
      <c r="G1522" s="67" t="str">
        <f>IFERROR(IFERROR(INDEX(Кат!$B:$B,MATCH(Прайс!$B1522,Кат!$G:$G,0)),INDEX(Торг!$C:$C,MATCH(Прайс!$B1522,Торг!$H:$H,0))),"")</f>
        <v/>
      </c>
      <c r="H1522" s="67" t="str">
        <f>IFERROR(IFERROR(INDEX(Кат!$I:$I,MATCH(Прайс!$B1522,Кат!$G:$G,0)),INDEX(Торг!$I:$I,MATCH(Прайс!$B1522,Торг!$H:$H,0))),"")</f>
        <v/>
      </c>
    </row>
    <row r="1523" spans="1:8" x14ac:dyDescent="0.25">
      <c r="A1523" s="94" t="s">
        <v>6795</v>
      </c>
      <c r="B1523" s="98">
        <v>71103</v>
      </c>
      <c r="C1523" s="98" t="s">
        <v>6796</v>
      </c>
      <c r="D1523" s="96" t="s">
        <v>162</v>
      </c>
      <c r="E1523" s="97">
        <v>42</v>
      </c>
      <c r="F1523" s="67" t="str">
        <f>IFERROR(IFERROR(INDEX(Кат!$A:$A,MATCH(Прайс!$B1523,Кат!$G:$G,0)),INDEX(Торг!$B:$B,MATCH(Прайс!$B1523,Торг!$H:$H,0))),"")</f>
        <v/>
      </c>
      <c r="G1523" s="67" t="str">
        <f>IFERROR(IFERROR(INDEX(Кат!$B:$B,MATCH(Прайс!$B1523,Кат!$G:$G,0)),INDEX(Торг!$C:$C,MATCH(Прайс!$B1523,Торг!$H:$H,0))),"")</f>
        <v/>
      </c>
      <c r="H1523" s="67" t="str">
        <f>IFERROR(IFERROR(INDEX(Кат!$I:$I,MATCH(Прайс!$B1523,Кат!$G:$G,0)),INDEX(Торг!$I:$I,MATCH(Прайс!$B1523,Торг!$H:$H,0))),"")</f>
        <v/>
      </c>
    </row>
    <row r="1524" spans="1:8" x14ac:dyDescent="0.25">
      <c r="A1524" s="94" t="s">
        <v>3298</v>
      </c>
      <c r="B1524" s="98">
        <v>71108</v>
      </c>
      <c r="C1524" s="98" t="s">
        <v>5860</v>
      </c>
      <c r="D1524" s="96" t="s">
        <v>162</v>
      </c>
      <c r="E1524" s="97">
        <v>42</v>
      </c>
      <c r="F1524" s="67" t="str">
        <f>IFERROR(IFERROR(INDEX(Кат!$A:$A,MATCH(Прайс!$B1524,Кат!$G:$G,0)),INDEX(Торг!$B:$B,MATCH(Прайс!$B1524,Торг!$H:$H,0))),"")</f>
        <v/>
      </c>
      <c r="G1524" s="67" t="str">
        <f>IFERROR(IFERROR(INDEX(Кат!$B:$B,MATCH(Прайс!$B1524,Кат!$G:$G,0)),INDEX(Торг!$C:$C,MATCH(Прайс!$B1524,Торг!$H:$H,0))),"")</f>
        <v/>
      </c>
      <c r="H1524" s="67" t="str">
        <f>IFERROR(IFERROR(INDEX(Кат!$I:$I,MATCH(Прайс!$B1524,Кат!$G:$G,0)),INDEX(Торг!$I:$I,MATCH(Прайс!$B1524,Торг!$H:$H,0))),"")</f>
        <v/>
      </c>
    </row>
    <row r="1525" spans="1:8" x14ac:dyDescent="0.25">
      <c r="A1525" s="94" t="s">
        <v>3299</v>
      </c>
      <c r="B1525" s="98">
        <v>70077</v>
      </c>
      <c r="C1525" s="98" t="s">
        <v>889</v>
      </c>
      <c r="D1525" s="96" t="s">
        <v>890</v>
      </c>
      <c r="E1525" s="97">
        <v>75</v>
      </c>
      <c r="F1525" s="67" t="str">
        <f>IFERROR(IFERROR(INDEX(Кат!$A:$A,MATCH(Прайс!$B1525,Кат!$G:$G,0)),INDEX(Торг!$B:$B,MATCH(Прайс!$B1525,Торг!$H:$H,0))),"")</f>
        <v/>
      </c>
      <c r="G1525" s="67" t="str">
        <f>IFERROR(IFERROR(INDEX(Кат!$B:$B,MATCH(Прайс!$B1525,Кат!$G:$G,0)),INDEX(Торг!$C:$C,MATCH(Прайс!$B1525,Торг!$H:$H,0))),"")</f>
        <v/>
      </c>
      <c r="H1525" s="67" t="str">
        <f>IFERROR(IFERROR(INDEX(Кат!$I:$I,MATCH(Прайс!$B1525,Кат!$G:$G,0)),INDEX(Торг!$I:$I,MATCH(Прайс!$B1525,Торг!$H:$H,0))),"")</f>
        <v/>
      </c>
    </row>
    <row r="1526" spans="1:8" x14ac:dyDescent="0.25">
      <c r="A1526" s="94" t="s">
        <v>3300</v>
      </c>
      <c r="B1526" s="98">
        <v>70075</v>
      </c>
      <c r="C1526" s="98" t="s">
        <v>891</v>
      </c>
      <c r="D1526" s="96" t="s">
        <v>890</v>
      </c>
      <c r="E1526" s="97">
        <v>90</v>
      </c>
      <c r="F1526" s="67" t="str">
        <f>IFERROR(IFERROR(INDEX(Кат!$A:$A,MATCH(Прайс!$B1526,Кат!$G:$G,0)),INDEX(Торг!$B:$B,MATCH(Прайс!$B1526,Торг!$H:$H,0))),"")</f>
        <v/>
      </c>
      <c r="G1526" s="67" t="str">
        <f>IFERROR(IFERROR(INDEX(Кат!$B:$B,MATCH(Прайс!$B1526,Кат!$G:$G,0)),INDEX(Торг!$C:$C,MATCH(Прайс!$B1526,Торг!$H:$H,0))),"")</f>
        <v/>
      </c>
      <c r="H1526" s="67" t="str">
        <f>IFERROR(IFERROR(INDEX(Кат!$I:$I,MATCH(Прайс!$B1526,Кат!$G:$G,0)),INDEX(Торг!$I:$I,MATCH(Прайс!$B1526,Торг!$H:$H,0))),"")</f>
        <v/>
      </c>
    </row>
    <row r="1527" spans="1:8" x14ac:dyDescent="0.25">
      <c r="A1527" s="94" t="s">
        <v>3301</v>
      </c>
      <c r="B1527" s="98">
        <v>71147</v>
      </c>
      <c r="C1527" s="98" t="s">
        <v>892</v>
      </c>
      <c r="D1527" s="96" t="s">
        <v>177</v>
      </c>
      <c r="E1527" s="97">
        <v>90</v>
      </c>
      <c r="F1527" s="67" t="str">
        <f>IFERROR(IFERROR(INDEX(Кат!$A:$A,MATCH(Прайс!$B1527,Кат!$G:$G,0)),INDEX(Торг!$B:$B,MATCH(Прайс!$B1527,Торг!$H:$H,0))),"")</f>
        <v/>
      </c>
      <c r="G1527" s="67" t="str">
        <f>IFERROR(IFERROR(INDEX(Кат!$B:$B,MATCH(Прайс!$B1527,Кат!$G:$G,0)),INDEX(Торг!$C:$C,MATCH(Прайс!$B1527,Торг!$H:$H,0))),"")</f>
        <v/>
      </c>
      <c r="H1527" s="67" t="str">
        <f>IFERROR(IFERROR(INDEX(Кат!$I:$I,MATCH(Прайс!$B1527,Кат!$G:$G,0)),INDEX(Торг!$I:$I,MATCH(Прайс!$B1527,Торг!$H:$H,0))),"")</f>
        <v/>
      </c>
    </row>
    <row r="1528" spans="1:8" x14ac:dyDescent="0.25">
      <c r="A1528" s="94" t="s">
        <v>3302</v>
      </c>
      <c r="B1528" s="98">
        <v>71143</v>
      </c>
      <c r="C1528" s="98" t="s">
        <v>893</v>
      </c>
      <c r="D1528" s="96" t="s">
        <v>177</v>
      </c>
      <c r="E1528" s="97">
        <v>90</v>
      </c>
      <c r="F1528" s="67" t="str">
        <f>IFERROR(IFERROR(INDEX(Кат!$A:$A,MATCH(Прайс!$B1528,Кат!$G:$G,0)),INDEX(Торг!$B:$B,MATCH(Прайс!$B1528,Торг!$H:$H,0))),"")</f>
        <v/>
      </c>
      <c r="G1528" s="67" t="str">
        <f>IFERROR(IFERROR(INDEX(Кат!$B:$B,MATCH(Прайс!$B1528,Кат!$G:$G,0)),INDEX(Торг!$C:$C,MATCH(Прайс!$B1528,Торг!$H:$H,0))),"")</f>
        <v/>
      </c>
      <c r="H1528" s="67" t="str">
        <f>IFERROR(IFERROR(INDEX(Кат!$I:$I,MATCH(Прайс!$B1528,Кат!$G:$G,0)),INDEX(Торг!$I:$I,MATCH(Прайс!$B1528,Торг!$H:$H,0))),"")</f>
        <v/>
      </c>
    </row>
    <row r="1529" spans="1:8" x14ac:dyDescent="0.25">
      <c r="A1529" s="94" t="s">
        <v>3303</v>
      </c>
      <c r="B1529" s="98">
        <v>71144</v>
      </c>
      <c r="C1529" s="98" t="s">
        <v>894</v>
      </c>
      <c r="D1529" s="96" t="s">
        <v>177</v>
      </c>
      <c r="E1529" s="97">
        <v>90</v>
      </c>
      <c r="F1529" s="67" t="str">
        <f>IFERROR(IFERROR(INDEX(Кат!$A:$A,MATCH(Прайс!$B1529,Кат!$G:$G,0)),INDEX(Торг!$B:$B,MATCH(Прайс!$B1529,Торг!$H:$H,0))),"")</f>
        <v/>
      </c>
      <c r="G1529" s="67" t="str">
        <f>IFERROR(IFERROR(INDEX(Кат!$B:$B,MATCH(Прайс!$B1529,Кат!$G:$G,0)),INDEX(Торг!$C:$C,MATCH(Прайс!$B1529,Торг!$H:$H,0))),"")</f>
        <v/>
      </c>
      <c r="H1529" s="67" t="str">
        <f>IFERROR(IFERROR(INDEX(Кат!$I:$I,MATCH(Прайс!$B1529,Кат!$G:$G,0)),INDEX(Торг!$I:$I,MATCH(Прайс!$B1529,Торг!$H:$H,0))),"")</f>
        <v/>
      </c>
    </row>
    <row r="1530" spans="1:8" x14ac:dyDescent="0.25">
      <c r="A1530" s="94" t="s">
        <v>3304</v>
      </c>
      <c r="B1530" s="98">
        <v>71145</v>
      </c>
      <c r="C1530" s="98" t="s">
        <v>895</v>
      </c>
      <c r="D1530" s="96" t="s">
        <v>177</v>
      </c>
      <c r="E1530" s="97">
        <v>90</v>
      </c>
      <c r="F1530" s="67" t="str">
        <f>IFERROR(IFERROR(INDEX(Кат!$A:$A,MATCH(Прайс!$B1530,Кат!$G:$G,0)),INDEX(Торг!$B:$B,MATCH(Прайс!$B1530,Торг!$H:$H,0))),"")</f>
        <v/>
      </c>
      <c r="G1530" s="67" t="str">
        <f>IFERROR(IFERROR(INDEX(Кат!$B:$B,MATCH(Прайс!$B1530,Кат!$G:$G,0)),INDEX(Торг!$C:$C,MATCH(Прайс!$B1530,Торг!$H:$H,0))),"")</f>
        <v/>
      </c>
      <c r="H1530" s="67" t="str">
        <f>IFERROR(IFERROR(INDEX(Кат!$I:$I,MATCH(Прайс!$B1530,Кат!$G:$G,0)),INDEX(Торг!$I:$I,MATCH(Прайс!$B1530,Торг!$H:$H,0))),"")</f>
        <v/>
      </c>
    </row>
    <row r="1531" spans="1:8" x14ac:dyDescent="0.25">
      <c r="A1531" s="94" t="s">
        <v>3305</v>
      </c>
      <c r="B1531" s="98">
        <v>71142</v>
      </c>
      <c r="C1531" s="98" t="s">
        <v>896</v>
      </c>
      <c r="D1531" s="96" t="s">
        <v>177</v>
      </c>
      <c r="E1531" s="97">
        <v>90</v>
      </c>
      <c r="F1531" s="67" t="str">
        <f>IFERROR(IFERROR(INDEX(Кат!$A:$A,MATCH(Прайс!$B1531,Кат!$G:$G,0)),INDEX(Торг!$B:$B,MATCH(Прайс!$B1531,Торг!$H:$H,0))),"")</f>
        <v/>
      </c>
      <c r="G1531" s="67" t="str">
        <f>IFERROR(IFERROR(INDEX(Кат!$B:$B,MATCH(Прайс!$B1531,Кат!$G:$G,0)),INDEX(Торг!$C:$C,MATCH(Прайс!$B1531,Торг!$H:$H,0))),"")</f>
        <v/>
      </c>
      <c r="H1531" s="67" t="str">
        <f>IFERROR(IFERROR(INDEX(Кат!$I:$I,MATCH(Прайс!$B1531,Кат!$G:$G,0)),INDEX(Торг!$I:$I,MATCH(Прайс!$B1531,Торг!$H:$H,0))),"")</f>
        <v/>
      </c>
    </row>
    <row r="1532" spans="1:8" x14ac:dyDescent="0.25">
      <c r="A1532" s="94" t="s">
        <v>3306</v>
      </c>
      <c r="B1532" s="98">
        <v>71146</v>
      </c>
      <c r="C1532" s="98" t="s">
        <v>897</v>
      </c>
      <c r="D1532" s="96" t="s">
        <v>177</v>
      </c>
      <c r="E1532" s="97">
        <v>90</v>
      </c>
      <c r="F1532" s="67" t="str">
        <f>IFERROR(IFERROR(INDEX(Кат!$A:$A,MATCH(Прайс!$B1532,Кат!$G:$G,0)),INDEX(Торг!$B:$B,MATCH(Прайс!$B1532,Торг!$H:$H,0))),"")</f>
        <v/>
      </c>
      <c r="G1532" s="67" t="str">
        <f>IFERROR(IFERROR(INDEX(Кат!$B:$B,MATCH(Прайс!$B1532,Кат!$G:$G,0)),INDEX(Торг!$C:$C,MATCH(Прайс!$B1532,Торг!$H:$H,0))),"")</f>
        <v/>
      </c>
      <c r="H1532" s="67" t="str">
        <f>IFERROR(IFERROR(INDEX(Кат!$I:$I,MATCH(Прайс!$B1532,Кат!$G:$G,0)),INDEX(Торг!$I:$I,MATCH(Прайс!$B1532,Торг!$H:$H,0))),"")</f>
        <v/>
      </c>
    </row>
    <row r="1533" spans="1:8" x14ac:dyDescent="0.25">
      <c r="A1533" s="94" t="s">
        <v>7632</v>
      </c>
      <c r="B1533" s="98">
        <v>72120</v>
      </c>
      <c r="C1533" s="98" t="s">
        <v>7633</v>
      </c>
      <c r="D1533" s="96" t="s">
        <v>177</v>
      </c>
      <c r="E1533" s="97">
        <v>75</v>
      </c>
      <c r="F1533" s="67" t="str">
        <f>IFERROR(IFERROR(INDEX(Кат!$A:$A,MATCH(Прайс!$B1533,Кат!$G:$G,0)),INDEX(Торг!$B:$B,MATCH(Прайс!$B1533,Торг!$H:$H,0))),"")</f>
        <v/>
      </c>
      <c r="G1533" s="67" t="str">
        <f>IFERROR(IFERROR(INDEX(Кат!$B:$B,MATCH(Прайс!$B1533,Кат!$G:$G,0)),INDEX(Торг!$C:$C,MATCH(Прайс!$B1533,Торг!$H:$H,0))),"")</f>
        <v/>
      </c>
      <c r="H1533" s="67" t="str">
        <f>IFERROR(IFERROR(INDEX(Кат!$I:$I,MATCH(Прайс!$B1533,Кат!$G:$G,0)),INDEX(Торг!$I:$I,MATCH(Прайс!$B1533,Торг!$H:$H,0))),"")</f>
        <v/>
      </c>
    </row>
    <row r="1534" spans="1:8" x14ac:dyDescent="0.25">
      <c r="A1534" s="94" t="s">
        <v>3307</v>
      </c>
      <c r="B1534" s="98">
        <v>70078</v>
      </c>
      <c r="C1534" s="98" t="s">
        <v>898</v>
      </c>
      <c r="D1534" s="96" t="s">
        <v>177</v>
      </c>
      <c r="E1534" s="97">
        <v>75</v>
      </c>
      <c r="F1534" s="67" t="str">
        <f>IFERROR(IFERROR(INDEX(Кат!$A:$A,MATCH(Прайс!$B1534,Кат!$G:$G,0)),INDEX(Торг!$B:$B,MATCH(Прайс!$B1534,Торг!$H:$H,0))),"")</f>
        <v/>
      </c>
      <c r="G1534" s="67" t="str">
        <f>IFERROR(IFERROR(INDEX(Кат!$B:$B,MATCH(Прайс!$B1534,Кат!$G:$G,0)),INDEX(Торг!$C:$C,MATCH(Прайс!$B1534,Торг!$H:$H,0))),"")</f>
        <v/>
      </c>
      <c r="H1534" s="67" t="str">
        <f>IFERROR(IFERROR(INDEX(Кат!$I:$I,MATCH(Прайс!$B1534,Кат!$G:$G,0)),INDEX(Торг!$I:$I,MATCH(Прайс!$B1534,Торг!$H:$H,0))),"")</f>
        <v/>
      </c>
    </row>
    <row r="1535" spans="1:8" x14ac:dyDescent="0.25">
      <c r="A1535" s="94" t="s">
        <v>3308</v>
      </c>
      <c r="B1535" s="98">
        <v>70080</v>
      </c>
      <c r="C1535" s="98" t="s">
        <v>899</v>
      </c>
      <c r="D1535" s="96" t="s">
        <v>177</v>
      </c>
      <c r="E1535" s="97">
        <v>75</v>
      </c>
      <c r="F1535" s="67" t="str">
        <f>IFERROR(IFERROR(INDEX(Кат!$A:$A,MATCH(Прайс!$B1535,Кат!$G:$G,0)),INDEX(Торг!$B:$B,MATCH(Прайс!$B1535,Торг!$H:$H,0))),"")</f>
        <v/>
      </c>
      <c r="G1535" s="67" t="str">
        <f>IFERROR(IFERROR(INDEX(Кат!$B:$B,MATCH(Прайс!$B1535,Кат!$G:$G,0)),INDEX(Торг!$C:$C,MATCH(Прайс!$B1535,Торг!$H:$H,0))),"")</f>
        <v/>
      </c>
      <c r="H1535" s="67" t="str">
        <f>IFERROR(IFERROR(INDEX(Кат!$I:$I,MATCH(Прайс!$B1535,Кат!$G:$G,0)),INDEX(Торг!$I:$I,MATCH(Прайс!$B1535,Торг!$H:$H,0))),"")</f>
        <v/>
      </c>
    </row>
    <row r="1536" spans="1:8" x14ac:dyDescent="0.25">
      <c r="A1536" s="94" t="s">
        <v>3309</v>
      </c>
      <c r="B1536" s="98">
        <v>70081</v>
      </c>
      <c r="C1536" s="98" t="s">
        <v>900</v>
      </c>
      <c r="D1536" s="96" t="s">
        <v>177</v>
      </c>
      <c r="E1536" s="97">
        <v>75</v>
      </c>
      <c r="F1536" s="67" t="str">
        <f>IFERROR(IFERROR(INDEX(Кат!$A:$A,MATCH(Прайс!$B1536,Кат!$G:$G,0)),INDEX(Торг!$B:$B,MATCH(Прайс!$B1536,Торг!$H:$H,0))),"")</f>
        <v/>
      </c>
      <c r="G1536" s="67" t="str">
        <f>IFERROR(IFERROR(INDEX(Кат!$B:$B,MATCH(Прайс!$B1536,Кат!$G:$G,0)),INDEX(Торг!$C:$C,MATCH(Прайс!$B1536,Торг!$H:$H,0))),"")</f>
        <v/>
      </c>
      <c r="H1536" s="67" t="str">
        <f>IFERROR(IFERROR(INDEX(Кат!$I:$I,MATCH(Прайс!$B1536,Кат!$G:$G,0)),INDEX(Торг!$I:$I,MATCH(Прайс!$B1536,Торг!$H:$H,0))),"")</f>
        <v/>
      </c>
    </row>
    <row r="1537" spans="1:8" x14ac:dyDescent="0.25">
      <c r="A1537" s="94" t="s">
        <v>3310</v>
      </c>
      <c r="B1537" s="98">
        <v>70087</v>
      </c>
      <c r="C1537" s="98" t="s">
        <v>901</v>
      </c>
      <c r="D1537" s="96" t="s">
        <v>177</v>
      </c>
      <c r="E1537" s="97">
        <v>75</v>
      </c>
      <c r="F1537" s="67" t="str">
        <f>IFERROR(IFERROR(INDEX(Кат!$A:$A,MATCH(Прайс!$B1537,Кат!$G:$G,0)),INDEX(Торг!$B:$B,MATCH(Прайс!$B1537,Торг!$H:$H,0))),"")</f>
        <v/>
      </c>
      <c r="G1537" s="67" t="str">
        <f>IFERROR(IFERROR(INDEX(Кат!$B:$B,MATCH(Прайс!$B1537,Кат!$G:$G,0)),INDEX(Торг!$C:$C,MATCH(Прайс!$B1537,Торг!$H:$H,0))),"")</f>
        <v/>
      </c>
      <c r="H1537" s="67" t="str">
        <f>IFERROR(IFERROR(INDEX(Кат!$I:$I,MATCH(Прайс!$B1537,Кат!$G:$G,0)),INDEX(Торг!$I:$I,MATCH(Прайс!$B1537,Торг!$H:$H,0))),"")</f>
        <v/>
      </c>
    </row>
    <row r="1538" spans="1:8" x14ac:dyDescent="0.25">
      <c r="A1538" s="94" t="s">
        <v>3311</v>
      </c>
      <c r="B1538" s="98">
        <v>70082</v>
      </c>
      <c r="C1538" s="98" t="s">
        <v>902</v>
      </c>
      <c r="D1538" s="96" t="s">
        <v>177</v>
      </c>
      <c r="E1538" s="97">
        <v>75</v>
      </c>
      <c r="F1538" s="67" t="str">
        <f>IFERROR(IFERROR(INDEX(Кат!$A:$A,MATCH(Прайс!$B1538,Кат!$G:$G,0)),INDEX(Торг!$B:$B,MATCH(Прайс!$B1538,Торг!$H:$H,0))),"")</f>
        <v/>
      </c>
      <c r="G1538" s="67" t="str">
        <f>IFERROR(IFERROR(INDEX(Кат!$B:$B,MATCH(Прайс!$B1538,Кат!$G:$G,0)),INDEX(Торг!$C:$C,MATCH(Прайс!$B1538,Торг!$H:$H,0))),"")</f>
        <v/>
      </c>
      <c r="H1538" s="67" t="str">
        <f>IFERROR(IFERROR(INDEX(Кат!$I:$I,MATCH(Прайс!$B1538,Кат!$G:$G,0)),INDEX(Торг!$I:$I,MATCH(Прайс!$B1538,Торг!$H:$H,0))),"")</f>
        <v/>
      </c>
    </row>
    <row r="1539" spans="1:8" x14ac:dyDescent="0.25">
      <c r="A1539" s="94" t="s">
        <v>3312</v>
      </c>
      <c r="B1539" s="98">
        <v>71894</v>
      </c>
      <c r="C1539" s="98" t="s">
        <v>903</v>
      </c>
      <c r="D1539" s="96" t="s">
        <v>177</v>
      </c>
      <c r="E1539" s="97">
        <v>75</v>
      </c>
      <c r="F1539" s="67" t="str">
        <f>IFERROR(IFERROR(INDEX(Кат!$A:$A,MATCH(Прайс!$B1539,Кат!$G:$G,0)),INDEX(Торг!$B:$B,MATCH(Прайс!$B1539,Торг!$H:$H,0))),"")</f>
        <v/>
      </c>
      <c r="G1539" s="67" t="str">
        <f>IFERROR(IFERROR(INDEX(Кат!$B:$B,MATCH(Прайс!$B1539,Кат!$G:$G,0)),INDEX(Торг!$C:$C,MATCH(Прайс!$B1539,Торг!$H:$H,0))),"")</f>
        <v/>
      </c>
      <c r="H1539" s="67" t="str">
        <f>IFERROR(IFERROR(INDEX(Кат!$I:$I,MATCH(Прайс!$B1539,Кат!$G:$G,0)),INDEX(Торг!$I:$I,MATCH(Прайс!$B1539,Торг!$H:$H,0))),"")</f>
        <v/>
      </c>
    </row>
    <row r="1540" spans="1:8" x14ac:dyDescent="0.25">
      <c r="A1540" s="94" t="s">
        <v>3313</v>
      </c>
      <c r="B1540" s="98">
        <v>70086</v>
      </c>
      <c r="C1540" s="98" t="s">
        <v>904</v>
      </c>
      <c r="D1540" s="96" t="s">
        <v>160</v>
      </c>
      <c r="E1540" s="97">
        <v>75</v>
      </c>
      <c r="F1540" s="67" t="str">
        <f>IFERROR(IFERROR(INDEX(Кат!$A:$A,MATCH(Прайс!$B1540,Кат!$G:$G,0)),INDEX(Торг!$B:$B,MATCH(Прайс!$B1540,Торг!$H:$H,0))),"")</f>
        <v/>
      </c>
      <c r="G1540" s="67" t="str">
        <f>IFERROR(IFERROR(INDEX(Кат!$B:$B,MATCH(Прайс!$B1540,Кат!$G:$G,0)),INDEX(Торг!$C:$C,MATCH(Прайс!$B1540,Торг!$H:$H,0))),"")</f>
        <v/>
      </c>
      <c r="H1540" s="67" t="str">
        <f>IFERROR(IFERROR(INDEX(Кат!$I:$I,MATCH(Прайс!$B1540,Кат!$G:$G,0)),INDEX(Торг!$I:$I,MATCH(Прайс!$B1540,Торг!$H:$H,0))),"")</f>
        <v/>
      </c>
    </row>
    <row r="1541" spans="1:8" x14ac:dyDescent="0.25">
      <c r="A1541" s="94" t="s">
        <v>3314</v>
      </c>
      <c r="B1541" s="98">
        <v>71893</v>
      </c>
      <c r="C1541" s="98" t="s">
        <v>905</v>
      </c>
      <c r="D1541" s="96" t="s">
        <v>177</v>
      </c>
      <c r="E1541" s="97">
        <v>75</v>
      </c>
      <c r="F1541" s="67" t="str">
        <f>IFERROR(IFERROR(INDEX(Кат!$A:$A,MATCH(Прайс!$B1541,Кат!$G:$G,0)),INDEX(Торг!$B:$B,MATCH(Прайс!$B1541,Торг!$H:$H,0))),"")</f>
        <v/>
      </c>
      <c r="G1541" s="67" t="str">
        <f>IFERROR(IFERROR(INDEX(Кат!$B:$B,MATCH(Прайс!$B1541,Кат!$G:$G,0)),INDEX(Торг!$C:$C,MATCH(Прайс!$B1541,Торг!$H:$H,0))),"")</f>
        <v/>
      </c>
      <c r="H1541" s="67" t="str">
        <f>IFERROR(IFERROR(INDEX(Кат!$I:$I,MATCH(Прайс!$B1541,Кат!$G:$G,0)),INDEX(Торг!$I:$I,MATCH(Прайс!$B1541,Торг!$H:$H,0))),"")</f>
        <v/>
      </c>
    </row>
    <row r="1542" spans="1:8" x14ac:dyDescent="0.25">
      <c r="A1542" s="94" t="s">
        <v>3315</v>
      </c>
      <c r="B1542" s="98">
        <v>71892</v>
      </c>
      <c r="C1542" s="98" t="s">
        <v>906</v>
      </c>
      <c r="D1542" s="96" t="s">
        <v>177</v>
      </c>
      <c r="E1542" s="97">
        <v>75</v>
      </c>
      <c r="F1542" s="67" t="str">
        <f>IFERROR(IFERROR(INDEX(Кат!$A:$A,MATCH(Прайс!$B1542,Кат!$G:$G,0)),INDEX(Торг!$B:$B,MATCH(Прайс!$B1542,Торг!$H:$H,0))),"")</f>
        <v/>
      </c>
      <c r="G1542" s="67" t="str">
        <f>IFERROR(IFERROR(INDEX(Кат!$B:$B,MATCH(Прайс!$B1542,Кат!$G:$G,0)),INDEX(Торг!$C:$C,MATCH(Прайс!$B1542,Торг!$H:$H,0))),"")</f>
        <v/>
      </c>
      <c r="H1542" s="67" t="str">
        <f>IFERROR(IFERROR(INDEX(Кат!$I:$I,MATCH(Прайс!$B1542,Кат!$G:$G,0)),INDEX(Торг!$I:$I,MATCH(Прайс!$B1542,Торг!$H:$H,0))),"")</f>
        <v/>
      </c>
    </row>
    <row r="1543" spans="1:8" x14ac:dyDescent="0.25">
      <c r="A1543" s="94" t="s">
        <v>3316</v>
      </c>
      <c r="B1543" s="98">
        <v>70083</v>
      </c>
      <c r="C1543" s="98" t="s">
        <v>907</v>
      </c>
      <c r="D1543" s="96" t="s">
        <v>177</v>
      </c>
      <c r="E1543" s="97">
        <v>75</v>
      </c>
      <c r="F1543" s="67" t="str">
        <f>IFERROR(IFERROR(INDEX(Кат!$A:$A,MATCH(Прайс!$B1543,Кат!$G:$G,0)),INDEX(Торг!$B:$B,MATCH(Прайс!$B1543,Торг!$H:$H,0))),"")</f>
        <v/>
      </c>
      <c r="G1543" s="67" t="str">
        <f>IFERROR(IFERROR(INDEX(Кат!$B:$B,MATCH(Прайс!$B1543,Кат!$G:$G,0)),INDEX(Торг!$C:$C,MATCH(Прайс!$B1543,Торг!$H:$H,0))),"")</f>
        <v/>
      </c>
      <c r="H1543" s="67" t="str">
        <f>IFERROR(IFERROR(INDEX(Кат!$I:$I,MATCH(Прайс!$B1543,Кат!$G:$G,0)),INDEX(Торг!$I:$I,MATCH(Прайс!$B1543,Торг!$H:$H,0))),"")</f>
        <v/>
      </c>
    </row>
    <row r="1544" spans="1:8" x14ac:dyDescent="0.25">
      <c r="A1544" s="94" t="s">
        <v>3317</v>
      </c>
      <c r="B1544" s="98">
        <v>71896</v>
      </c>
      <c r="C1544" s="98" t="s">
        <v>908</v>
      </c>
      <c r="D1544" s="96" t="s">
        <v>177</v>
      </c>
      <c r="E1544" s="97">
        <v>75</v>
      </c>
      <c r="F1544" s="67" t="str">
        <f>IFERROR(IFERROR(INDEX(Кат!$A:$A,MATCH(Прайс!$B1544,Кат!$G:$G,0)),INDEX(Торг!$B:$B,MATCH(Прайс!$B1544,Торг!$H:$H,0))),"")</f>
        <v/>
      </c>
      <c r="G1544" s="67" t="str">
        <f>IFERROR(IFERROR(INDEX(Кат!$B:$B,MATCH(Прайс!$B1544,Кат!$G:$G,0)),INDEX(Торг!$C:$C,MATCH(Прайс!$B1544,Торг!$H:$H,0))),"")</f>
        <v/>
      </c>
      <c r="H1544" s="67" t="str">
        <f>IFERROR(IFERROR(INDEX(Кат!$I:$I,MATCH(Прайс!$B1544,Кат!$G:$G,0)),INDEX(Торг!$I:$I,MATCH(Прайс!$B1544,Торг!$H:$H,0))),"")</f>
        <v/>
      </c>
    </row>
    <row r="1545" spans="1:8" x14ac:dyDescent="0.25">
      <c r="A1545" s="94" t="s">
        <v>3318</v>
      </c>
      <c r="B1545" s="98">
        <v>70084</v>
      </c>
      <c r="C1545" s="98" t="s">
        <v>909</v>
      </c>
      <c r="D1545" s="96" t="s">
        <v>177</v>
      </c>
      <c r="E1545" s="97">
        <v>75</v>
      </c>
      <c r="F1545" s="67" t="str">
        <f>IFERROR(IFERROR(INDEX(Кат!$A:$A,MATCH(Прайс!$B1545,Кат!$G:$G,0)),INDEX(Торг!$B:$B,MATCH(Прайс!$B1545,Торг!$H:$H,0))),"")</f>
        <v/>
      </c>
      <c r="G1545" s="67" t="str">
        <f>IFERROR(IFERROR(INDEX(Кат!$B:$B,MATCH(Прайс!$B1545,Кат!$G:$G,0)),INDEX(Торг!$C:$C,MATCH(Прайс!$B1545,Торг!$H:$H,0))),"")</f>
        <v/>
      </c>
      <c r="H1545" s="67" t="str">
        <f>IFERROR(IFERROR(INDEX(Кат!$I:$I,MATCH(Прайс!$B1545,Кат!$G:$G,0)),INDEX(Торг!$I:$I,MATCH(Прайс!$B1545,Торг!$H:$H,0))),"")</f>
        <v/>
      </c>
    </row>
    <row r="1546" spans="1:8" x14ac:dyDescent="0.25">
      <c r="A1546" s="94" t="s">
        <v>3319</v>
      </c>
      <c r="B1546" s="98">
        <v>70085</v>
      </c>
      <c r="C1546" s="98" t="s">
        <v>910</v>
      </c>
      <c r="D1546" s="96" t="s">
        <v>177</v>
      </c>
      <c r="E1546" s="97">
        <v>75</v>
      </c>
      <c r="F1546" s="67" t="str">
        <f>IFERROR(IFERROR(INDEX(Кат!$A:$A,MATCH(Прайс!$B1546,Кат!$G:$G,0)),INDEX(Торг!$B:$B,MATCH(Прайс!$B1546,Торг!$H:$H,0))),"")</f>
        <v/>
      </c>
      <c r="G1546" s="67" t="str">
        <f>IFERROR(IFERROR(INDEX(Кат!$B:$B,MATCH(Прайс!$B1546,Кат!$G:$G,0)),INDEX(Торг!$C:$C,MATCH(Прайс!$B1546,Торг!$H:$H,0))),"")</f>
        <v/>
      </c>
      <c r="H1546" s="67" t="str">
        <f>IFERROR(IFERROR(INDEX(Кат!$I:$I,MATCH(Прайс!$B1546,Кат!$G:$G,0)),INDEX(Торг!$I:$I,MATCH(Прайс!$B1546,Торг!$H:$H,0))),"")</f>
        <v/>
      </c>
    </row>
    <row r="1547" spans="1:8" x14ac:dyDescent="0.25">
      <c r="A1547" s="94" t="s">
        <v>3320</v>
      </c>
      <c r="B1547" s="98">
        <v>71740</v>
      </c>
      <c r="C1547" s="98" t="s">
        <v>911</v>
      </c>
      <c r="D1547" s="96" t="s">
        <v>177</v>
      </c>
      <c r="E1547" s="97">
        <v>75</v>
      </c>
      <c r="F1547" s="67" t="str">
        <f>IFERROR(IFERROR(INDEX(Кат!$A:$A,MATCH(Прайс!$B1547,Кат!$G:$G,0)),INDEX(Торг!$B:$B,MATCH(Прайс!$B1547,Торг!$H:$H,0))),"")</f>
        <v/>
      </c>
      <c r="G1547" s="67" t="str">
        <f>IFERROR(IFERROR(INDEX(Кат!$B:$B,MATCH(Прайс!$B1547,Кат!$G:$G,0)),INDEX(Торг!$C:$C,MATCH(Прайс!$B1547,Торг!$H:$H,0))),"")</f>
        <v/>
      </c>
      <c r="H1547" s="67" t="str">
        <f>IFERROR(IFERROR(INDEX(Кат!$I:$I,MATCH(Прайс!$B1547,Кат!$G:$G,0)),INDEX(Торг!$I:$I,MATCH(Прайс!$B1547,Торг!$H:$H,0))),"")</f>
        <v/>
      </c>
    </row>
    <row r="1548" spans="1:8" x14ac:dyDescent="0.25">
      <c r="A1548" s="94" t="s">
        <v>3321</v>
      </c>
      <c r="B1548" s="98">
        <v>70088</v>
      </c>
      <c r="C1548" s="98" t="s">
        <v>912</v>
      </c>
      <c r="D1548" s="96" t="s">
        <v>177</v>
      </c>
      <c r="E1548" s="97">
        <v>75</v>
      </c>
      <c r="F1548" s="67" t="str">
        <f>IFERROR(IFERROR(INDEX(Кат!$A:$A,MATCH(Прайс!$B1548,Кат!$G:$G,0)),INDEX(Торг!$B:$B,MATCH(Прайс!$B1548,Торг!$H:$H,0))),"")</f>
        <v/>
      </c>
      <c r="G1548" s="67" t="str">
        <f>IFERROR(IFERROR(INDEX(Кат!$B:$B,MATCH(Прайс!$B1548,Кат!$G:$G,0)),INDEX(Торг!$C:$C,MATCH(Прайс!$B1548,Торг!$H:$H,0))),"")</f>
        <v/>
      </c>
      <c r="H1548" s="67" t="str">
        <f>IFERROR(IFERROR(INDEX(Кат!$I:$I,MATCH(Прайс!$B1548,Кат!$G:$G,0)),INDEX(Торг!$I:$I,MATCH(Прайс!$B1548,Торг!$H:$H,0))),"")</f>
        <v/>
      </c>
    </row>
    <row r="1549" spans="1:8" x14ac:dyDescent="0.25">
      <c r="A1549" s="94" t="s">
        <v>3322</v>
      </c>
      <c r="B1549" s="98">
        <v>71895</v>
      </c>
      <c r="C1549" s="98" t="s">
        <v>913</v>
      </c>
      <c r="D1549" s="96" t="s">
        <v>177</v>
      </c>
      <c r="E1549" s="97">
        <v>75</v>
      </c>
      <c r="F1549" s="67" t="str">
        <f>IFERROR(IFERROR(INDEX(Кат!$A:$A,MATCH(Прайс!$B1549,Кат!$G:$G,0)),INDEX(Торг!$B:$B,MATCH(Прайс!$B1549,Торг!$H:$H,0))),"")</f>
        <v/>
      </c>
      <c r="G1549" s="67" t="str">
        <f>IFERROR(IFERROR(INDEX(Кат!$B:$B,MATCH(Прайс!$B1549,Кат!$G:$G,0)),INDEX(Торг!$C:$C,MATCH(Прайс!$B1549,Торг!$H:$H,0))),"")</f>
        <v/>
      </c>
      <c r="H1549" s="67" t="str">
        <f>IFERROR(IFERROR(INDEX(Кат!$I:$I,MATCH(Прайс!$B1549,Кат!$G:$G,0)),INDEX(Торг!$I:$I,MATCH(Прайс!$B1549,Торг!$H:$H,0))),"")</f>
        <v/>
      </c>
    </row>
    <row r="1550" spans="1:8" x14ac:dyDescent="0.25">
      <c r="A1550" s="94" t="s">
        <v>8565</v>
      </c>
      <c r="B1550" s="98">
        <v>70079</v>
      </c>
      <c r="C1550" s="98" t="s">
        <v>8566</v>
      </c>
      <c r="D1550" s="96" t="s">
        <v>177</v>
      </c>
      <c r="E1550" s="97">
        <v>75</v>
      </c>
      <c r="F1550" s="67" t="str">
        <f>IFERROR(IFERROR(INDEX(Кат!$A:$A,MATCH(Прайс!$B1550,Кат!$G:$G,0)),INDEX(Торг!$B:$B,MATCH(Прайс!$B1550,Торг!$H:$H,0))),"")</f>
        <v/>
      </c>
      <c r="G1550" s="67" t="str">
        <f>IFERROR(IFERROR(INDEX(Кат!$B:$B,MATCH(Прайс!$B1550,Кат!$G:$G,0)),INDEX(Торг!$C:$C,MATCH(Прайс!$B1550,Торг!$H:$H,0))),"")</f>
        <v/>
      </c>
      <c r="H1550" s="67" t="str">
        <f>IFERROR(IFERROR(INDEX(Кат!$I:$I,MATCH(Прайс!$B1550,Кат!$G:$G,0)),INDEX(Торг!$I:$I,MATCH(Прайс!$B1550,Торг!$H:$H,0))),"")</f>
        <v/>
      </c>
    </row>
    <row r="1551" spans="1:8" x14ac:dyDescent="0.25">
      <c r="A1551" s="94" t="s">
        <v>3323</v>
      </c>
      <c r="B1551" s="98">
        <v>70089</v>
      </c>
      <c r="C1551" s="98" t="s">
        <v>914</v>
      </c>
      <c r="D1551" s="96" t="s">
        <v>177</v>
      </c>
      <c r="E1551" s="97">
        <v>75</v>
      </c>
      <c r="F1551" s="67" t="str">
        <f>IFERROR(IFERROR(INDEX(Кат!$A:$A,MATCH(Прайс!$B1551,Кат!$G:$G,0)),INDEX(Торг!$B:$B,MATCH(Прайс!$B1551,Торг!$H:$H,0))),"")</f>
        <v/>
      </c>
      <c r="G1551" s="67" t="str">
        <f>IFERROR(IFERROR(INDEX(Кат!$B:$B,MATCH(Прайс!$B1551,Кат!$G:$G,0)),INDEX(Торг!$C:$C,MATCH(Прайс!$B1551,Торг!$H:$H,0))),"")</f>
        <v/>
      </c>
      <c r="H1551" s="67" t="str">
        <f>IFERROR(IFERROR(INDEX(Кат!$I:$I,MATCH(Прайс!$B1551,Кат!$G:$G,0)),INDEX(Торг!$I:$I,MATCH(Прайс!$B1551,Торг!$H:$H,0))),"")</f>
        <v/>
      </c>
    </row>
    <row r="1552" spans="1:8" x14ac:dyDescent="0.25">
      <c r="A1552" s="94" t="s">
        <v>3324</v>
      </c>
      <c r="B1552" s="98">
        <v>71349</v>
      </c>
      <c r="C1552" s="98" t="s">
        <v>915</v>
      </c>
      <c r="D1552" s="96" t="s">
        <v>4902</v>
      </c>
      <c r="E1552" s="97">
        <v>120</v>
      </c>
      <c r="F1552" s="67" t="str">
        <f>IFERROR(IFERROR(INDEX(Кат!$A:$A,MATCH(Прайс!$B1552,Кат!$G:$G,0)),INDEX(Торг!$B:$B,MATCH(Прайс!$B1552,Торг!$H:$H,0))),"")</f>
        <v/>
      </c>
      <c r="G1552" s="67" t="str">
        <f>IFERROR(IFERROR(INDEX(Кат!$B:$B,MATCH(Прайс!$B1552,Кат!$G:$G,0)),INDEX(Торг!$C:$C,MATCH(Прайс!$B1552,Торг!$H:$H,0))),"")</f>
        <v/>
      </c>
      <c r="H1552" s="67" t="str">
        <f>IFERROR(IFERROR(INDEX(Кат!$I:$I,MATCH(Прайс!$B1552,Кат!$G:$G,0)),INDEX(Торг!$I:$I,MATCH(Прайс!$B1552,Торг!$H:$H,0))),"")</f>
        <v/>
      </c>
    </row>
    <row r="1553" spans="1:8" x14ac:dyDescent="0.25">
      <c r="A1553" s="94" t="s">
        <v>3325</v>
      </c>
      <c r="B1553" s="98">
        <v>70153</v>
      </c>
      <c r="C1553" s="98" t="s">
        <v>916</v>
      </c>
      <c r="D1553" s="96" t="s">
        <v>160</v>
      </c>
      <c r="E1553" s="97">
        <v>120</v>
      </c>
      <c r="F1553" s="67" t="str">
        <f>IFERROR(IFERROR(INDEX(Кат!$A:$A,MATCH(Прайс!$B1553,Кат!$G:$G,0)),INDEX(Торг!$B:$B,MATCH(Прайс!$B1553,Торг!$H:$H,0))),"")</f>
        <v/>
      </c>
      <c r="G1553" s="67" t="str">
        <f>IFERROR(IFERROR(INDEX(Кат!$B:$B,MATCH(Прайс!$B1553,Кат!$G:$G,0)),INDEX(Торг!$C:$C,MATCH(Прайс!$B1553,Торг!$H:$H,0))),"")</f>
        <v/>
      </c>
      <c r="H1553" s="67" t="str">
        <f>IFERROR(IFERROR(INDEX(Кат!$I:$I,MATCH(Прайс!$B1553,Кат!$G:$G,0)),INDEX(Торг!$I:$I,MATCH(Прайс!$B1553,Торг!$H:$H,0))),"")</f>
        <v/>
      </c>
    </row>
    <row r="1554" spans="1:8" x14ac:dyDescent="0.25">
      <c r="A1554" s="94" t="s">
        <v>5423</v>
      </c>
      <c r="B1554" s="98">
        <v>70156</v>
      </c>
      <c r="C1554" s="98" t="s">
        <v>5424</v>
      </c>
      <c r="D1554" s="96" t="s">
        <v>160</v>
      </c>
      <c r="E1554" s="97">
        <v>120</v>
      </c>
      <c r="F1554" s="67" t="str">
        <f>IFERROR(IFERROR(INDEX(Кат!$A:$A,MATCH(Прайс!$B1554,Кат!$G:$G,0)),INDEX(Торг!$B:$B,MATCH(Прайс!$B1554,Торг!$H:$H,0))),"")</f>
        <v/>
      </c>
      <c r="G1554" s="67" t="str">
        <f>IFERROR(IFERROR(INDEX(Кат!$B:$B,MATCH(Прайс!$B1554,Кат!$G:$G,0)),INDEX(Торг!$C:$C,MATCH(Прайс!$B1554,Торг!$H:$H,0))),"")</f>
        <v/>
      </c>
      <c r="H1554" s="67" t="str">
        <f>IFERROR(IFERROR(INDEX(Кат!$I:$I,MATCH(Прайс!$B1554,Кат!$G:$G,0)),INDEX(Торг!$I:$I,MATCH(Прайс!$B1554,Торг!$H:$H,0))),"")</f>
        <v/>
      </c>
    </row>
    <row r="1555" spans="1:8" x14ac:dyDescent="0.25">
      <c r="A1555" s="94" t="s">
        <v>3326</v>
      </c>
      <c r="B1555" s="98">
        <v>71114</v>
      </c>
      <c r="C1555" s="98" t="s">
        <v>917</v>
      </c>
      <c r="D1555" s="96" t="s">
        <v>160</v>
      </c>
      <c r="E1555" s="97">
        <v>120</v>
      </c>
      <c r="F1555" s="67" t="str">
        <f>IFERROR(IFERROR(INDEX(Кат!$A:$A,MATCH(Прайс!$B1555,Кат!$G:$G,0)),INDEX(Торг!$B:$B,MATCH(Прайс!$B1555,Торг!$H:$H,0))),"")</f>
        <v/>
      </c>
      <c r="G1555" s="67" t="str">
        <f>IFERROR(IFERROR(INDEX(Кат!$B:$B,MATCH(Прайс!$B1555,Кат!$G:$G,0)),INDEX(Торг!$C:$C,MATCH(Прайс!$B1555,Торг!$H:$H,0))),"")</f>
        <v/>
      </c>
      <c r="H1555" s="67" t="str">
        <f>IFERROR(IFERROR(INDEX(Кат!$I:$I,MATCH(Прайс!$B1555,Кат!$G:$G,0)),INDEX(Торг!$I:$I,MATCH(Прайс!$B1555,Торг!$H:$H,0))),"")</f>
        <v/>
      </c>
    </row>
    <row r="1556" spans="1:8" x14ac:dyDescent="0.25">
      <c r="A1556" s="94" t="s">
        <v>3327</v>
      </c>
      <c r="B1556" s="98">
        <v>70158</v>
      </c>
      <c r="C1556" s="98" t="s">
        <v>918</v>
      </c>
      <c r="D1556" s="96" t="s">
        <v>160</v>
      </c>
      <c r="E1556" s="97">
        <v>120</v>
      </c>
      <c r="F1556" s="67" t="str">
        <f>IFERROR(IFERROR(INDEX(Кат!$A:$A,MATCH(Прайс!$B1556,Кат!$G:$G,0)),INDEX(Торг!$B:$B,MATCH(Прайс!$B1556,Торг!$H:$H,0))),"")</f>
        <v/>
      </c>
      <c r="G1556" s="67" t="str">
        <f>IFERROR(IFERROR(INDEX(Кат!$B:$B,MATCH(Прайс!$B1556,Кат!$G:$G,0)),INDEX(Торг!$C:$C,MATCH(Прайс!$B1556,Торг!$H:$H,0))),"")</f>
        <v/>
      </c>
      <c r="H1556" s="67" t="str">
        <f>IFERROR(IFERROR(INDEX(Кат!$I:$I,MATCH(Прайс!$B1556,Кат!$G:$G,0)),INDEX(Торг!$I:$I,MATCH(Прайс!$B1556,Торг!$H:$H,0))),"")</f>
        <v/>
      </c>
    </row>
    <row r="1557" spans="1:8" x14ac:dyDescent="0.25">
      <c r="A1557" s="94" t="s">
        <v>3328</v>
      </c>
      <c r="B1557" s="98">
        <v>70159</v>
      </c>
      <c r="C1557" s="98" t="s">
        <v>919</v>
      </c>
      <c r="D1557" s="96" t="s">
        <v>160</v>
      </c>
      <c r="E1557" s="97">
        <v>120</v>
      </c>
      <c r="F1557" s="67" t="str">
        <f>IFERROR(IFERROR(INDEX(Кат!$A:$A,MATCH(Прайс!$B1557,Кат!$G:$G,0)),INDEX(Торг!$B:$B,MATCH(Прайс!$B1557,Торг!$H:$H,0))),"")</f>
        <v/>
      </c>
      <c r="G1557" s="67" t="str">
        <f>IFERROR(IFERROR(INDEX(Кат!$B:$B,MATCH(Прайс!$B1557,Кат!$G:$G,0)),INDEX(Торг!$C:$C,MATCH(Прайс!$B1557,Торг!$H:$H,0))),"")</f>
        <v/>
      </c>
      <c r="H1557" s="67" t="str">
        <f>IFERROR(IFERROR(INDEX(Кат!$I:$I,MATCH(Прайс!$B1557,Кат!$G:$G,0)),INDEX(Торг!$I:$I,MATCH(Прайс!$B1557,Торг!$H:$H,0))),"")</f>
        <v/>
      </c>
    </row>
    <row r="1558" spans="1:8" x14ac:dyDescent="0.25">
      <c r="A1558" s="94" t="s">
        <v>3329</v>
      </c>
      <c r="B1558" s="98">
        <v>70157</v>
      </c>
      <c r="C1558" s="98" t="s">
        <v>920</v>
      </c>
      <c r="D1558" s="96" t="s">
        <v>160</v>
      </c>
      <c r="E1558" s="97">
        <v>120</v>
      </c>
      <c r="F1558" s="67" t="str">
        <f>IFERROR(IFERROR(INDEX(Кат!$A:$A,MATCH(Прайс!$B1558,Кат!$G:$G,0)),INDEX(Торг!$B:$B,MATCH(Прайс!$B1558,Торг!$H:$H,0))),"")</f>
        <v/>
      </c>
      <c r="G1558" s="67" t="str">
        <f>IFERROR(IFERROR(INDEX(Кат!$B:$B,MATCH(Прайс!$B1558,Кат!$G:$G,0)),INDEX(Торг!$C:$C,MATCH(Прайс!$B1558,Торг!$H:$H,0))),"")</f>
        <v/>
      </c>
      <c r="H1558" s="67" t="str">
        <f>IFERROR(IFERROR(INDEX(Кат!$I:$I,MATCH(Прайс!$B1558,Кат!$G:$G,0)),INDEX(Торг!$I:$I,MATCH(Прайс!$B1558,Торг!$H:$H,0))),"")</f>
        <v/>
      </c>
    </row>
    <row r="1559" spans="1:8" x14ac:dyDescent="0.25">
      <c r="A1559" s="94" t="s">
        <v>3330</v>
      </c>
      <c r="B1559" s="98">
        <v>70155</v>
      </c>
      <c r="C1559" s="98" t="s">
        <v>921</v>
      </c>
      <c r="D1559" s="96" t="s">
        <v>160</v>
      </c>
      <c r="E1559" s="97">
        <v>120</v>
      </c>
      <c r="F1559" s="67" t="str">
        <f>IFERROR(IFERROR(INDEX(Кат!$A:$A,MATCH(Прайс!$B1559,Кат!$G:$G,0)),INDEX(Торг!$B:$B,MATCH(Прайс!$B1559,Торг!$H:$H,0))),"")</f>
        <v/>
      </c>
      <c r="G1559" s="67" t="str">
        <f>IFERROR(IFERROR(INDEX(Кат!$B:$B,MATCH(Прайс!$B1559,Кат!$G:$G,0)),INDEX(Торг!$C:$C,MATCH(Прайс!$B1559,Торг!$H:$H,0))),"")</f>
        <v/>
      </c>
      <c r="H1559" s="67" t="str">
        <f>IFERROR(IFERROR(INDEX(Кат!$I:$I,MATCH(Прайс!$B1559,Кат!$G:$G,0)),INDEX(Торг!$I:$I,MATCH(Прайс!$B1559,Торг!$H:$H,0))),"")</f>
        <v/>
      </c>
    </row>
    <row r="1560" spans="1:8" x14ac:dyDescent="0.25">
      <c r="A1560" s="94" t="s">
        <v>6797</v>
      </c>
      <c r="B1560" s="98">
        <v>71307</v>
      </c>
      <c r="C1560" s="98" t="s">
        <v>6798</v>
      </c>
      <c r="D1560" s="96" t="s">
        <v>160</v>
      </c>
      <c r="E1560" s="97">
        <v>140</v>
      </c>
      <c r="F1560" s="67" t="str">
        <f>IFERROR(IFERROR(INDEX(Кат!$A:$A,MATCH(Прайс!$B1560,Кат!$G:$G,0)),INDEX(Торг!$B:$B,MATCH(Прайс!$B1560,Торг!$H:$H,0))),"")</f>
        <v/>
      </c>
      <c r="G1560" s="67" t="str">
        <f>IFERROR(IFERROR(INDEX(Кат!$B:$B,MATCH(Прайс!$B1560,Кат!$G:$G,0)),INDEX(Торг!$C:$C,MATCH(Прайс!$B1560,Торг!$H:$H,0))),"")</f>
        <v/>
      </c>
      <c r="H1560" s="67" t="str">
        <f>IFERROR(IFERROR(INDEX(Кат!$I:$I,MATCH(Прайс!$B1560,Кат!$G:$G,0)),INDEX(Торг!$I:$I,MATCH(Прайс!$B1560,Торг!$H:$H,0))),"")</f>
        <v/>
      </c>
    </row>
    <row r="1561" spans="1:8" x14ac:dyDescent="0.25">
      <c r="A1561" s="94" t="s">
        <v>5425</v>
      </c>
      <c r="B1561" s="98">
        <v>72173</v>
      </c>
      <c r="C1561" s="98" t="s">
        <v>5426</v>
      </c>
      <c r="D1561" s="96" t="s">
        <v>160</v>
      </c>
      <c r="E1561" s="97">
        <v>120</v>
      </c>
      <c r="F1561" s="67" t="str">
        <f>IFERROR(IFERROR(INDEX(Кат!$A:$A,MATCH(Прайс!$B1561,Кат!$G:$G,0)),INDEX(Торг!$B:$B,MATCH(Прайс!$B1561,Торг!$H:$H,0))),"")</f>
        <v/>
      </c>
      <c r="G1561" s="67" t="str">
        <f>IFERROR(IFERROR(INDEX(Кат!$B:$B,MATCH(Прайс!$B1561,Кат!$G:$G,0)),INDEX(Торг!$C:$C,MATCH(Прайс!$B1561,Торг!$H:$H,0))),"")</f>
        <v/>
      </c>
      <c r="H1561" s="67" t="str">
        <f>IFERROR(IFERROR(INDEX(Кат!$I:$I,MATCH(Прайс!$B1561,Кат!$G:$G,0)),INDEX(Торг!$I:$I,MATCH(Прайс!$B1561,Торг!$H:$H,0))),"")</f>
        <v/>
      </c>
    </row>
    <row r="1562" spans="1:8" x14ac:dyDescent="0.25">
      <c r="A1562" s="94" t="s">
        <v>6799</v>
      </c>
      <c r="B1562" s="98">
        <v>71593</v>
      </c>
      <c r="C1562" s="98" t="s">
        <v>6800</v>
      </c>
      <c r="D1562" s="96" t="s">
        <v>160</v>
      </c>
      <c r="E1562" s="97">
        <v>120</v>
      </c>
      <c r="F1562" s="67" t="str">
        <f>IFERROR(IFERROR(INDEX(Кат!$A:$A,MATCH(Прайс!$B1562,Кат!$G:$G,0)),INDEX(Торг!$B:$B,MATCH(Прайс!$B1562,Торг!$H:$H,0))),"")</f>
        <v/>
      </c>
      <c r="G1562" s="67" t="str">
        <f>IFERROR(IFERROR(INDEX(Кат!$B:$B,MATCH(Прайс!$B1562,Кат!$G:$G,0)),INDEX(Торг!$C:$C,MATCH(Прайс!$B1562,Торг!$H:$H,0))),"")</f>
        <v/>
      </c>
      <c r="H1562" s="67" t="str">
        <f>IFERROR(IFERROR(INDEX(Кат!$I:$I,MATCH(Прайс!$B1562,Кат!$G:$G,0)),INDEX(Торг!$I:$I,MATCH(Прайс!$B1562,Торг!$H:$H,0))),"")</f>
        <v/>
      </c>
    </row>
    <row r="1563" spans="1:8" x14ac:dyDescent="0.25">
      <c r="A1563" s="94" t="s">
        <v>6801</v>
      </c>
      <c r="B1563" s="98">
        <v>70160</v>
      </c>
      <c r="C1563" s="98" t="s">
        <v>6802</v>
      </c>
      <c r="D1563" s="96" t="s">
        <v>160</v>
      </c>
      <c r="E1563" s="97">
        <v>120</v>
      </c>
      <c r="F1563" s="67" t="str">
        <f>IFERROR(IFERROR(INDEX(Кат!$A:$A,MATCH(Прайс!$B1563,Кат!$G:$G,0)),INDEX(Торг!$B:$B,MATCH(Прайс!$B1563,Торг!$H:$H,0))),"")</f>
        <v/>
      </c>
      <c r="G1563" s="67" t="str">
        <f>IFERROR(IFERROR(INDEX(Кат!$B:$B,MATCH(Прайс!$B1563,Кат!$G:$G,0)),INDEX(Торг!$C:$C,MATCH(Прайс!$B1563,Торг!$H:$H,0))),"")</f>
        <v/>
      </c>
      <c r="H1563" s="67" t="str">
        <f>IFERROR(IFERROR(INDEX(Кат!$I:$I,MATCH(Прайс!$B1563,Кат!$G:$G,0)),INDEX(Торг!$I:$I,MATCH(Прайс!$B1563,Торг!$H:$H,0))),"")</f>
        <v/>
      </c>
    </row>
    <row r="1564" spans="1:8" x14ac:dyDescent="0.25">
      <c r="A1564" s="94" t="s">
        <v>3331</v>
      </c>
      <c r="B1564" s="98">
        <v>71309</v>
      </c>
      <c r="C1564" s="98" t="s">
        <v>922</v>
      </c>
      <c r="D1564" s="96" t="s">
        <v>160</v>
      </c>
      <c r="E1564" s="97">
        <v>140</v>
      </c>
      <c r="F1564" s="67" t="str">
        <f>IFERROR(IFERROR(INDEX(Кат!$A:$A,MATCH(Прайс!$B1564,Кат!$G:$G,0)),INDEX(Торг!$B:$B,MATCH(Прайс!$B1564,Торг!$H:$H,0))),"")</f>
        <v/>
      </c>
      <c r="G1564" s="67" t="str">
        <f>IFERROR(IFERROR(INDEX(Кат!$B:$B,MATCH(Прайс!$B1564,Кат!$G:$G,0)),INDEX(Торг!$C:$C,MATCH(Прайс!$B1564,Торг!$H:$H,0))),"")</f>
        <v/>
      </c>
      <c r="H1564" s="67" t="str">
        <f>IFERROR(IFERROR(INDEX(Кат!$I:$I,MATCH(Прайс!$B1564,Кат!$G:$G,0)),INDEX(Торг!$I:$I,MATCH(Прайс!$B1564,Торг!$H:$H,0))),"")</f>
        <v/>
      </c>
    </row>
    <row r="1565" spans="1:8" x14ac:dyDescent="0.25">
      <c r="A1565" s="94" t="s">
        <v>3332</v>
      </c>
      <c r="B1565" s="98">
        <v>71594</v>
      </c>
      <c r="C1565" s="98" t="s">
        <v>923</v>
      </c>
      <c r="D1565" s="96" t="s">
        <v>160</v>
      </c>
      <c r="E1565" s="97">
        <v>120</v>
      </c>
      <c r="F1565" s="67" t="str">
        <f>IFERROR(IFERROR(INDEX(Кат!$A:$A,MATCH(Прайс!$B1565,Кат!$G:$G,0)),INDEX(Торг!$B:$B,MATCH(Прайс!$B1565,Торг!$H:$H,0))),"")</f>
        <v/>
      </c>
      <c r="G1565" s="67" t="str">
        <f>IFERROR(IFERROR(INDEX(Кат!$B:$B,MATCH(Прайс!$B1565,Кат!$G:$G,0)),INDEX(Торг!$C:$C,MATCH(Прайс!$B1565,Торг!$H:$H,0))),"")</f>
        <v/>
      </c>
      <c r="H1565" s="67" t="str">
        <f>IFERROR(IFERROR(INDEX(Кат!$I:$I,MATCH(Прайс!$B1565,Кат!$G:$G,0)),INDEX(Торг!$I:$I,MATCH(Прайс!$B1565,Торг!$H:$H,0))),"")</f>
        <v/>
      </c>
    </row>
    <row r="1566" spans="1:8" x14ac:dyDescent="0.25">
      <c r="A1566" s="94" t="s">
        <v>3333</v>
      </c>
      <c r="B1566" s="98">
        <v>71308</v>
      </c>
      <c r="C1566" s="98" t="s">
        <v>924</v>
      </c>
      <c r="D1566" s="96" t="s">
        <v>160</v>
      </c>
      <c r="E1566" s="97">
        <v>140</v>
      </c>
      <c r="F1566" s="67" t="str">
        <f>IFERROR(IFERROR(INDEX(Кат!$A:$A,MATCH(Прайс!$B1566,Кат!$G:$G,0)),INDEX(Торг!$B:$B,MATCH(Прайс!$B1566,Торг!$H:$H,0))),"")</f>
        <v/>
      </c>
      <c r="G1566" s="67" t="str">
        <f>IFERROR(IFERROR(INDEX(Кат!$B:$B,MATCH(Прайс!$B1566,Кат!$G:$G,0)),INDEX(Торг!$C:$C,MATCH(Прайс!$B1566,Торг!$H:$H,0))),"")</f>
        <v/>
      </c>
      <c r="H1566" s="67" t="str">
        <f>IFERROR(IFERROR(INDEX(Кат!$I:$I,MATCH(Прайс!$B1566,Кат!$G:$G,0)),INDEX(Торг!$I:$I,MATCH(Прайс!$B1566,Торг!$H:$H,0))),"")</f>
        <v/>
      </c>
    </row>
    <row r="1567" spans="1:8" x14ac:dyDescent="0.25">
      <c r="A1567" s="94" t="s">
        <v>3334</v>
      </c>
      <c r="B1567" s="98">
        <v>70161</v>
      </c>
      <c r="C1567" s="98" t="s">
        <v>925</v>
      </c>
      <c r="D1567" s="96" t="s">
        <v>160</v>
      </c>
      <c r="E1567" s="97">
        <v>120</v>
      </c>
      <c r="F1567" s="67" t="str">
        <f>IFERROR(IFERROR(INDEX(Кат!$A:$A,MATCH(Прайс!$B1567,Кат!$G:$G,0)),INDEX(Торг!$B:$B,MATCH(Прайс!$B1567,Торг!$H:$H,0))),"")</f>
        <v/>
      </c>
      <c r="G1567" s="67" t="str">
        <f>IFERROR(IFERROR(INDEX(Кат!$B:$B,MATCH(Прайс!$B1567,Кат!$G:$G,0)),INDEX(Торг!$C:$C,MATCH(Прайс!$B1567,Торг!$H:$H,0))),"")</f>
        <v/>
      </c>
      <c r="H1567" s="67" t="str">
        <f>IFERROR(IFERROR(INDEX(Кат!$I:$I,MATCH(Прайс!$B1567,Кат!$G:$G,0)),INDEX(Торг!$I:$I,MATCH(Прайс!$B1567,Торг!$H:$H,0))),"")</f>
        <v/>
      </c>
    </row>
    <row r="1568" spans="1:8" x14ac:dyDescent="0.25">
      <c r="A1568" s="94" t="s">
        <v>3335</v>
      </c>
      <c r="B1568" s="98">
        <v>70162</v>
      </c>
      <c r="C1568" s="98" t="s">
        <v>926</v>
      </c>
      <c r="D1568" s="96" t="s">
        <v>160</v>
      </c>
      <c r="E1568" s="97">
        <v>120</v>
      </c>
      <c r="F1568" s="67" t="str">
        <f>IFERROR(IFERROR(INDEX(Кат!$A:$A,MATCH(Прайс!$B1568,Кат!$G:$G,0)),INDEX(Торг!$B:$B,MATCH(Прайс!$B1568,Торг!$H:$H,0))),"")</f>
        <v/>
      </c>
      <c r="G1568" s="67" t="str">
        <f>IFERROR(IFERROR(INDEX(Кат!$B:$B,MATCH(Прайс!$B1568,Кат!$G:$G,0)),INDEX(Торг!$C:$C,MATCH(Прайс!$B1568,Торг!$H:$H,0))),"")</f>
        <v/>
      </c>
      <c r="H1568" s="67" t="str">
        <f>IFERROR(IFERROR(INDEX(Кат!$I:$I,MATCH(Прайс!$B1568,Кат!$G:$G,0)),INDEX(Торг!$I:$I,MATCH(Прайс!$B1568,Торг!$H:$H,0))),"")</f>
        <v/>
      </c>
    </row>
    <row r="1569" spans="1:8" x14ac:dyDescent="0.25">
      <c r="A1569" s="94" t="s">
        <v>6803</v>
      </c>
      <c r="B1569" s="98">
        <v>72172</v>
      </c>
      <c r="C1569" s="98" t="s">
        <v>6804</v>
      </c>
      <c r="D1569" s="96" t="s">
        <v>160</v>
      </c>
      <c r="E1569" s="97">
        <v>120</v>
      </c>
      <c r="F1569" s="67" t="str">
        <f>IFERROR(IFERROR(INDEX(Кат!$A:$A,MATCH(Прайс!$B1569,Кат!$G:$G,0)),INDEX(Торг!$B:$B,MATCH(Прайс!$B1569,Торг!$H:$H,0))),"")</f>
        <v/>
      </c>
      <c r="G1569" s="67" t="str">
        <f>IFERROR(IFERROR(INDEX(Кат!$B:$B,MATCH(Прайс!$B1569,Кат!$G:$G,0)),INDEX(Торг!$C:$C,MATCH(Прайс!$B1569,Торг!$H:$H,0))),"")</f>
        <v/>
      </c>
      <c r="H1569" s="67" t="str">
        <f>IFERROR(IFERROR(INDEX(Кат!$I:$I,MATCH(Прайс!$B1569,Кат!$G:$G,0)),INDEX(Торг!$I:$I,MATCH(Прайс!$B1569,Торг!$H:$H,0))),"")</f>
        <v/>
      </c>
    </row>
    <row r="1570" spans="1:8" x14ac:dyDescent="0.25">
      <c r="A1570" s="94" t="s">
        <v>6805</v>
      </c>
      <c r="B1570" s="98">
        <v>70154</v>
      </c>
      <c r="C1570" s="98" t="s">
        <v>6806</v>
      </c>
      <c r="D1570" s="96" t="s">
        <v>160</v>
      </c>
      <c r="E1570" s="97">
        <v>120</v>
      </c>
      <c r="F1570" s="67" t="str">
        <f>IFERROR(IFERROR(INDEX(Кат!$A:$A,MATCH(Прайс!$B1570,Кат!$G:$G,0)),INDEX(Торг!$B:$B,MATCH(Прайс!$B1570,Торг!$H:$H,0))),"")</f>
        <v/>
      </c>
      <c r="G1570" s="67" t="str">
        <f>IFERROR(IFERROR(INDEX(Кат!$B:$B,MATCH(Прайс!$B1570,Кат!$G:$G,0)),INDEX(Торг!$C:$C,MATCH(Прайс!$B1570,Торг!$H:$H,0))),"")</f>
        <v/>
      </c>
      <c r="H1570" s="67" t="str">
        <f>IFERROR(IFERROR(INDEX(Кат!$I:$I,MATCH(Прайс!$B1570,Кат!$G:$G,0)),INDEX(Торг!$I:$I,MATCH(Прайс!$B1570,Торг!$H:$H,0))),"")</f>
        <v/>
      </c>
    </row>
    <row r="1571" spans="1:8" x14ac:dyDescent="0.25">
      <c r="A1571" s="94" t="s">
        <v>3336</v>
      </c>
      <c r="B1571" s="98">
        <v>71139</v>
      </c>
      <c r="C1571" s="98" t="s">
        <v>927</v>
      </c>
      <c r="D1571" s="96" t="s">
        <v>160</v>
      </c>
      <c r="E1571" s="97">
        <v>120</v>
      </c>
      <c r="F1571" s="67" t="str">
        <f>IFERROR(IFERROR(INDEX(Кат!$A:$A,MATCH(Прайс!$B1571,Кат!$G:$G,0)),INDEX(Торг!$B:$B,MATCH(Прайс!$B1571,Торг!$H:$H,0))),"")</f>
        <v/>
      </c>
      <c r="G1571" s="67" t="str">
        <f>IFERROR(IFERROR(INDEX(Кат!$B:$B,MATCH(Прайс!$B1571,Кат!$G:$G,0)),INDEX(Торг!$C:$C,MATCH(Прайс!$B1571,Торг!$H:$H,0))),"")</f>
        <v/>
      </c>
      <c r="H1571" s="67" t="str">
        <f>IFERROR(IFERROR(INDEX(Кат!$I:$I,MATCH(Прайс!$B1571,Кат!$G:$G,0)),INDEX(Торг!$I:$I,MATCH(Прайс!$B1571,Торг!$H:$H,0))),"")</f>
        <v/>
      </c>
    </row>
    <row r="1572" spans="1:8" x14ac:dyDescent="0.25">
      <c r="A1572" s="94" t="s">
        <v>3337</v>
      </c>
      <c r="B1572" s="98">
        <v>70164</v>
      </c>
      <c r="C1572" s="98" t="s">
        <v>928</v>
      </c>
      <c r="D1572" s="96" t="s">
        <v>929</v>
      </c>
      <c r="E1572" s="97">
        <v>38</v>
      </c>
      <c r="F1572" s="67" t="str">
        <f>IFERROR(IFERROR(INDEX(Кат!$A:$A,MATCH(Прайс!$B1572,Кат!$G:$G,0)),INDEX(Торг!$B:$B,MATCH(Прайс!$B1572,Торг!$H:$H,0))),"")</f>
        <v/>
      </c>
      <c r="G1572" s="67" t="str">
        <f>IFERROR(IFERROR(INDEX(Кат!$B:$B,MATCH(Прайс!$B1572,Кат!$G:$G,0)),INDEX(Торг!$C:$C,MATCH(Прайс!$B1572,Торг!$H:$H,0))),"")</f>
        <v/>
      </c>
      <c r="H1572" s="67" t="str">
        <f>IFERROR(IFERROR(INDEX(Кат!$I:$I,MATCH(Прайс!$B1572,Кат!$G:$G,0)),INDEX(Торг!$I:$I,MATCH(Прайс!$B1572,Торг!$H:$H,0))),"")</f>
        <v/>
      </c>
    </row>
    <row r="1573" spans="1:8" x14ac:dyDescent="0.25">
      <c r="A1573" s="94" t="s">
        <v>3338</v>
      </c>
      <c r="B1573" s="98">
        <v>70165</v>
      </c>
      <c r="C1573" s="98" t="s">
        <v>5861</v>
      </c>
      <c r="D1573" s="96" t="s">
        <v>884</v>
      </c>
      <c r="E1573" s="97">
        <v>38</v>
      </c>
      <c r="F1573" s="67" t="str">
        <f>IFERROR(IFERROR(INDEX(Кат!$A:$A,MATCH(Прайс!$B1573,Кат!$G:$G,0)),INDEX(Торг!$B:$B,MATCH(Прайс!$B1573,Торг!$H:$H,0))),"")</f>
        <v/>
      </c>
      <c r="G1573" s="67" t="str">
        <f>IFERROR(IFERROR(INDEX(Кат!$B:$B,MATCH(Прайс!$B1573,Кат!$G:$G,0)),INDEX(Торг!$C:$C,MATCH(Прайс!$B1573,Торг!$H:$H,0))),"")</f>
        <v/>
      </c>
      <c r="H1573" s="67" t="str">
        <f>IFERROR(IFERROR(INDEX(Кат!$I:$I,MATCH(Прайс!$B1573,Кат!$G:$G,0)),INDEX(Торг!$I:$I,MATCH(Прайс!$B1573,Торг!$H:$H,0))),"")</f>
        <v/>
      </c>
    </row>
    <row r="1574" spans="1:8" x14ac:dyDescent="0.25">
      <c r="A1574" s="94" t="s">
        <v>3339</v>
      </c>
      <c r="B1574" s="98">
        <v>70167</v>
      </c>
      <c r="C1574" s="98" t="s">
        <v>5862</v>
      </c>
      <c r="D1574" s="96" t="s">
        <v>884</v>
      </c>
      <c r="E1574" s="97">
        <v>38</v>
      </c>
      <c r="F1574" s="67" t="str">
        <f>IFERROR(IFERROR(INDEX(Кат!$A:$A,MATCH(Прайс!$B1574,Кат!$G:$G,0)),INDEX(Торг!$B:$B,MATCH(Прайс!$B1574,Торг!$H:$H,0))),"")</f>
        <v/>
      </c>
      <c r="G1574" s="67" t="str">
        <f>IFERROR(IFERROR(INDEX(Кат!$B:$B,MATCH(Прайс!$B1574,Кат!$G:$G,0)),INDEX(Торг!$C:$C,MATCH(Прайс!$B1574,Торг!$H:$H,0))),"")</f>
        <v/>
      </c>
      <c r="H1574" s="67" t="str">
        <f>IFERROR(IFERROR(INDEX(Кат!$I:$I,MATCH(Прайс!$B1574,Кат!$G:$G,0)),INDEX(Торг!$I:$I,MATCH(Прайс!$B1574,Торг!$H:$H,0))),"")</f>
        <v/>
      </c>
    </row>
    <row r="1575" spans="1:8" x14ac:dyDescent="0.25">
      <c r="A1575" s="94" t="s">
        <v>3340</v>
      </c>
      <c r="B1575" s="98">
        <v>71886</v>
      </c>
      <c r="C1575" s="98" t="s">
        <v>5863</v>
      </c>
      <c r="D1575" s="96" t="s">
        <v>162</v>
      </c>
      <c r="E1575" s="97">
        <v>38</v>
      </c>
      <c r="F1575" s="67" t="str">
        <f>IFERROR(IFERROR(INDEX(Кат!$A:$A,MATCH(Прайс!$B1575,Кат!$G:$G,0)),INDEX(Торг!$B:$B,MATCH(Прайс!$B1575,Торг!$H:$H,0))),"")</f>
        <v/>
      </c>
      <c r="G1575" s="67" t="str">
        <f>IFERROR(IFERROR(INDEX(Кат!$B:$B,MATCH(Прайс!$B1575,Кат!$G:$G,0)),INDEX(Торг!$C:$C,MATCH(Прайс!$B1575,Торг!$H:$H,0))),"")</f>
        <v/>
      </c>
      <c r="H1575" s="67" t="str">
        <f>IFERROR(IFERROR(INDEX(Кат!$I:$I,MATCH(Прайс!$B1575,Кат!$G:$G,0)),INDEX(Торг!$I:$I,MATCH(Прайс!$B1575,Торг!$H:$H,0))),"")</f>
        <v/>
      </c>
    </row>
    <row r="1576" spans="1:8" x14ac:dyDescent="0.25">
      <c r="A1576" s="94" t="s">
        <v>3341</v>
      </c>
      <c r="B1576" s="98">
        <v>70163</v>
      </c>
      <c r="C1576" s="98" t="s">
        <v>5864</v>
      </c>
      <c r="D1576" s="96" t="s">
        <v>884</v>
      </c>
      <c r="E1576" s="97">
        <v>38</v>
      </c>
      <c r="F1576" s="67" t="str">
        <f>IFERROR(IFERROR(INDEX(Кат!$A:$A,MATCH(Прайс!$B1576,Кат!$G:$G,0)),INDEX(Торг!$B:$B,MATCH(Прайс!$B1576,Торг!$H:$H,0))),"")</f>
        <v/>
      </c>
      <c r="G1576" s="67" t="str">
        <f>IFERROR(IFERROR(INDEX(Кат!$B:$B,MATCH(Прайс!$B1576,Кат!$G:$G,0)),INDEX(Торг!$C:$C,MATCH(Прайс!$B1576,Торг!$H:$H,0))),"")</f>
        <v/>
      </c>
      <c r="H1576" s="67" t="str">
        <f>IFERROR(IFERROR(INDEX(Кат!$I:$I,MATCH(Прайс!$B1576,Кат!$G:$G,0)),INDEX(Торг!$I:$I,MATCH(Прайс!$B1576,Торг!$H:$H,0))),"")</f>
        <v/>
      </c>
    </row>
    <row r="1577" spans="1:8" x14ac:dyDescent="0.25">
      <c r="A1577" s="94" t="s">
        <v>3342</v>
      </c>
      <c r="B1577" s="98">
        <v>71888</v>
      </c>
      <c r="C1577" s="98" t="s">
        <v>5865</v>
      </c>
      <c r="D1577" s="96" t="s">
        <v>162</v>
      </c>
      <c r="E1577" s="97">
        <v>38</v>
      </c>
      <c r="F1577" s="67" t="str">
        <f>IFERROR(IFERROR(INDEX(Кат!$A:$A,MATCH(Прайс!$B1577,Кат!$G:$G,0)),INDEX(Торг!$B:$B,MATCH(Прайс!$B1577,Торг!$H:$H,0))),"")</f>
        <v/>
      </c>
      <c r="G1577" s="67" t="str">
        <f>IFERROR(IFERROR(INDEX(Кат!$B:$B,MATCH(Прайс!$B1577,Кат!$G:$G,0)),INDEX(Торг!$C:$C,MATCH(Прайс!$B1577,Торг!$H:$H,0))),"")</f>
        <v/>
      </c>
      <c r="H1577" s="67" t="str">
        <f>IFERROR(IFERROR(INDEX(Кат!$I:$I,MATCH(Прайс!$B1577,Кат!$G:$G,0)),INDEX(Торг!$I:$I,MATCH(Прайс!$B1577,Торг!$H:$H,0))),"")</f>
        <v/>
      </c>
    </row>
    <row r="1578" spans="1:8" x14ac:dyDescent="0.25">
      <c r="A1578" s="94" t="s">
        <v>3343</v>
      </c>
      <c r="B1578" s="98">
        <v>71889</v>
      </c>
      <c r="C1578" s="98" t="s">
        <v>5866</v>
      </c>
      <c r="D1578" s="96" t="s">
        <v>162</v>
      </c>
      <c r="E1578" s="97">
        <v>38</v>
      </c>
      <c r="F1578" s="67" t="str">
        <f>IFERROR(IFERROR(INDEX(Кат!$A:$A,MATCH(Прайс!$B1578,Кат!$G:$G,0)),INDEX(Торг!$B:$B,MATCH(Прайс!$B1578,Торг!$H:$H,0))),"")</f>
        <v/>
      </c>
      <c r="G1578" s="67" t="str">
        <f>IFERROR(IFERROR(INDEX(Кат!$B:$B,MATCH(Прайс!$B1578,Кат!$G:$G,0)),INDEX(Торг!$C:$C,MATCH(Прайс!$B1578,Торг!$H:$H,0))),"")</f>
        <v/>
      </c>
      <c r="H1578" s="67" t="str">
        <f>IFERROR(IFERROR(INDEX(Кат!$I:$I,MATCH(Прайс!$B1578,Кат!$G:$G,0)),INDEX(Торг!$I:$I,MATCH(Прайс!$B1578,Торг!$H:$H,0))),"")</f>
        <v/>
      </c>
    </row>
    <row r="1579" spans="1:8" x14ac:dyDescent="0.25">
      <c r="A1579" s="94" t="s">
        <v>3344</v>
      </c>
      <c r="B1579" s="98">
        <v>71887</v>
      </c>
      <c r="C1579" s="98" t="s">
        <v>5867</v>
      </c>
      <c r="D1579" s="96" t="s">
        <v>162</v>
      </c>
      <c r="E1579" s="97">
        <v>38</v>
      </c>
      <c r="F1579" s="67" t="str">
        <f>IFERROR(IFERROR(INDEX(Кат!$A:$A,MATCH(Прайс!$B1579,Кат!$G:$G,0)),INDEX(Торг!$B:$B,MATCH(Прайс!$B1579,Торг!$H:$H,0))),"")</f>
        <v/>
      </c>
      <c r="G1579" s="67" t="str">
        <f>IFERROR(IFERROR(INDEX(Кат!$B:$B,MATCH(Прайс!$B1579,Кат!$G:$G,0)),INDEX(Торг!$C:$C,MATCH(Прайс!$B1579,Торг!$H:$H,0))),"")</f>
        <v/>
      </c>
      <c r="H1579" s="67" t="str">
        <f>IFERROR(IFERROR(INDEX(Кат!$I:$I,MATCH(Прайс!$B1579,Кат!$G:$G,0)),INDEX(Торг!$I:$I,MATCH(Прайс!$B1579,Торг!$H:$H,0))),"")</f>
        <v/>
      </c>
    </row>
    <row r="1580" spans="1:8" x14ac:dyDescent="0.25">
      <c r="A1580" s="94" t="s">
        <v>3345</v>
      </c>
      <c r="B1580" s="98">
        <v>70170</v>
      </c>
      <c r="C1580" s="98" t="s">
        <v>5868</v>
      </c>
      <c r="D1580" s="96" t="s">
        <v>884</v>
      </c>
      <c r="E1580" s="97">
        <v>38</v>
      </c>
      <c r="F1580" s="67" t="str">
        <f>IFERROR(IFERROR(INDEX(Кат!$A:$A,MATCH(Прайс!$B1580,Кат!$G:$G,0)),INDEX(Торг!$B:$B,MATCH(Прайс!$B1580,Торг!$H:$H,0))),"")</f>
        <v/>
      </c>
      <c r="G1580" s="67" t="str">
        <f>IFERROR(IFERROR(INDEX(Кат!$B:$B,MATCH(Прайс!$B1580,Кат!$G:$G,0)),INDEX(Торг!$C:$C,MATCH(Прайс!$B1580,Торг!$H:$H,0))),"")</f>
        <v/>
      </c>
      <c r="H1580" s="67" t="str">
        <f>IFERROR(IFERROR(INDEX(Кат!$I:$I,MATCH(Прайс!$B1580,Кат!$G:$G,0)),INDEX(Торг!$I:$I,MATCH(Прайс!$B1580,Торг!$H:$H,0))),"")</f>
        <v/>
      </c>
    </row>
    <row r="1581" spans="1:8" x14ac:dyDescent="0.25">
      <c r="A1581" s="94" t="s">
        <v>3346</v>
      </c>
      <c r="B1581" s="98">
        <v>70169</v>
      </c>
      <c r="C1581" s="98" t="s">
        <v>5869</v>
      </c>
      <c r="D1581" s="96" t="s">
        <v>884</v>
      </c>
      <c r="E1581" s="97">
        <v>38</v>
      </c>
      <c r="F1581" s="67" t="str">
        <f>IFERROR(IFERROR(INDEX(Кат!$A:$A,MATCH(Прайс!$B1581,Кат!$G:$G,0)),INDEX(Торг!$B:$B,MATCH(Прайс!$B1581,Торг!$H:$H,0))),"")</f>
        <v/>
      </c>
      <c r="G1581" s="67" t="str">
        <f>IFERROR(IFERROR(INDEX(Кат!$B:$B,MATCH(Прайс!$B1581,Кат!$G:$G,0)),INDEX(Торг!$C:$C,MATCH(Прайс!$B1581,Торг!$H:$H,0))),"")</f>
        <v/>
      </c>
      <c r="H1581" s="67" t="str">
        <f>IFERROR(IFERROR(INDEX(Кат!$I:$I,MATCH(Прайс!$B1581,Кат!$G:$G,0)),INDEX(Торг!$I:$I,MATCH(Прайс!$B1581,Торг!$H:$H,0))),"")</f>
        <v/>
      </c>
    </row>
    <row r="1582" spans="1:8" x14ac:dyDescent="0.25">
      <c r="A1582" s="94" t="s">
        <v>3347</v>
      </c>
      <c r="B1582" s="98">
        <v>71885</v>
      </c>
      <c r="C1582" s="98" t="s">
        <v>5870</v>
      </c>
      <c r="D1582" s="96" t="s">
        <v>162</v>
      </c>
      <c r="E1582" s="97">
        <v>38</v>
      </c>
      <c r="F1582" s="67" t="str">
        <f>IFERROR(IFERROR(INDEX(Кат!$A:$A,MATCH(Прайс!$B1582,Кат!$G:$G,0)),INDEX(Торг!$B:$B,MATCH(Прайс!$B1582,Торг!$H:$H,0))),"")</f>
        <v/>
      </c>
      <c r="G1582" s="67" t="str">
        <f>IFERROR(IFERROR(INDEX(Кат!$B:$B,MATCH(Прайс!$B1582,Кат!$G:$G,0)),INDEX(Торг!$C:$C,MATCH(Прайс!$B1582,Торг!$H:$H,0))),"")</f>
        <v/>
      </c>
      <c r="H1582" s="67" t="str">
        <f>IFERROR(IFERROR(INDEX(Кат!$I:$I,MATCH(Прайс!$B1582,Кат!$G:$G,0)),INDEX(Торг!$I:$I,MATCH(Прайс!$B1582,Торг!$H:$H,0))),"")</f>
        <v/>
      </c>
    </row>
    <row r="1583" spans="1:8" x14ac:dyDescent="0.25">
      <c r="A1583" s="94" t="s">
        <v>3348</v>
      </c>
      <c r="B1583" s="98">
        <v>70166</v>
      </c>
      <c r="C1583" s="98" t="s">
        <v>5871</v>
      </c>
      <c r="D1583" s="96" t="s">
        <v>884</v>
      </c>
      <c r="E1583" s="97">
        <v>38</v>
      </c>
      <c r="F1583" s="67" t="str">
        <f>IFERROR(IFERROR(INDEX(Кат!$A:$A,MATCH(Прайс!$B1583,Кат!$G:$G,0)),INDEX(Торг!$B:$B,MATCH(Прайс!$B1583,Торг!$H:$H,0))),"")</f>
        <v/>
      </c>
      <c r="G1583" s="67" t="str">
        <f>IFERROR(IFERROR(INDEX(Кат!$B:$B,MATCH(Прайс!$B1583,Кат!$G:$G,0)),INDEX(Торг!$C:$C,MATCH(Прайс!$B1583,Торг!$H:$H,0))),"")</f>
        <v/>
      </c>
      <c r="H1583" s="67" t="str">
        <f>IFERROR(IFERROR(INDEX(Кат!$I:$I,MATCH(Прайс!$B1583,Кат!$G:$G,0)),INDEX(Торг!$I:$I,MATCH(Прайс!$B1583,Торг!$H:$H,0))),"")</f>
        <v/>
      </c>
    </row>
    <row r="1584" spans="1:8" x14ac:dyDescent="0.25">
      <c r="A1584" s="94" t="s">
        <v>5080</v>
      </c>
      <c r="B1584" s="98">
        <v>71890</v>
      </c>
      <c r="C1584" s="98" t="s">
        <v>5872</v>
      </c>
      <c r="D1584" s="96" t="s">
        <v>162</v>
      </c>
      <c r="E1584" s="97">
        <v>38</v>
      </c>
      <c r="F1584" s="67" t="str">
        <f>IFERROR(IFERROR(INDEX(Кат!$A:$A,MATCH(Прайс!$B1584,Кат!$G:$G,0)),INDEX(Торг!$B:$B,MATCH(Прайс!$B1584,Торг!$H:$H,0))),"")</f>
        <v/>
      </c>
      <c r="G1584" s="67" t="str">
        <f>IFERROR(IFERROR(INDEX(Кат!$B:$B,MATCH(Прайс!$B1584,Кат!$G:$G,0)),INDEX(Торг!$C:$C,MATCH(Прайс!$B1584,Торг!$H:$H,0))),"")</f>
        <v/>
      </c>
      <c r="H1584" s="67" t="str">
        <f>IFERROR(IFERROR(INDEX(Кат!$I:$I,MATCH(Прайс!$B1584,Кат!$G:$G,0)),INDEX(Торг!$I:$I,MATCH(Прайс!$B1584,Торг!$H:$H,0))),"")</f>
        <v/>
      </c>
    </row>
    <row r="1585" spans="1:8" x14ac:dyDescent="0.25">
      <c r="A1585" s="103" t="s">
        <v>3349</v>
      </c>
      <c r="B1585" s="104">
        <v>71333</v>
      </c>
      <c r="C1585" s="104" t="s">
        <v>930</v>
      </c>
      <c r="D1585" s="105" t="s">
        <v>165</v>
      </c>
      <c r="E1585" s="113">
        <v>100</v>
      </c>
      <c r="F1585" s="67" t="str">
        <f>IFERROR(IFERROR(INDEX(Кат!$A:$A,MATCH(Прайс!$B1585,Кат!$G:$G,0)),INDEX(Торг!$B:$B,MATCH(Прайс!$B1585,Торг!$H:$H,0))),"")</f>
        <v/>
      </c>
      <c r="G1585" s="67" t="str">
        <f>IFERROR(IFERROR(INDEX(Кат!$B:$B,MATCH(Прайс!$B1585,Кат!$G:$G,0)),INDEX(Торг!$C:$C,MATCH(Прайс!$B1585,Торг!$H:$H,0))),"")</f>
        <v/>
      </c>
      <c r="H1585" s="67" t="str">
        <f>IFERROR(IFERROR(INDEX(Кат!$I:$I,MATCH(Прайс!$B1585,Кат!$G:$G,0)),INDEX(Торг!$I:$I,MATCH(Прайс!$B1585,Торг!$H:$H,0))),"")</f>
        <v/>
      </c>
    </row>
    <row r="1586" spans="1:8" x14ac:dyDescent="0.25">
      <c r="A1586" s="103" t="s">
        <v>3350</v>
      </c>
      <c r="B1586" s="104">
        <v>71326</v>
      </c>
      <c r="C1586" s="104" t="s">
        <v>931</v>
      </c>
      <c r="D1586" s="105" t="s">
        <v>165</v>
      </c>
      <c r="E1586" s="113">
        <v>100</v>
      </c>
      <c r="F1586" s="67" t="str">
        <f>IFERROR(IFERROR(INDEX(Кат!$A:$A,MATCH(Прайс!$B1586,Кат!$G:$G,0)),INDEX(Торг!$B:$B,MATCH(Прайс!$B1586,Торг!$H:$H,0))),"")</f>
        <v/>
      </c>
      <c r="G1586" s="67" t="str">
        <f>IFERROR(IFERROR(INDEX(Кат!$B:$B,MATCH(Прайс!$B1586,Кат!$G:$G,0)),INDEX(Торг!$C:$C,MATCH(Прайс!$B1586,Торг!$H:$H,0))),"")</f>
        <v/>
      </c>
      <c r="H1586" s="67" t="str">
        <f>IFERROR(IFERROR(INDEX(Кат!$I:$I,MATCH(Прайс!$B1586,Кат!$G:$G,0)),INDEX(Торг!$I:$I,MATCH(Прайс!$B1586,Торг!$H:$H,0))),"")</f>
        <v/>
      </c>
    </row>
    <row r="1587" spans="1:8" x14ac:dyDescent="0.25">
      <c r="A1587" s="103" t="s">
        <v>3351</v>
      </c>
      <c r="B1587" s="104">
        <v>71329</v>
      </c>
      <c r="C1587" s="104" t="s">
        <v>932</v>
      </c>
      <c r="D1587" s="105" t="s">
        <v>165</v>
      </c>
      <c r="E1587" s="113">
        <v>100</v>
      </c>
      <c r="F1587" s="67" t="str">
        <f>IFERROR(IFERROR(INDEX(Кат!$A:$A,MATCH(Прайс!$B1587,Кат!$G:$G,0)),INDEX(Торг!$B:$B,MATCH(Прайс!$B1587,Торг!$H:$H,0))),"")</f>
        <v/>
      </c>
      <c r="G1587" s="67" t="str">
        <f>IFERROR(IFERROR(INDEX(Кат!$B:$B,MATCH(Прайс!$B1587,Кат!$G:$G,0)),INDEX(Торг!$C:$C,MATCH(Прайс!$B1587,Торг!$H:$H,0))),"")</f>
        <v/>
      </c>
      <c r="H1587" s="67" t="str">
        <f>IFERROR(IFERROR(INDEX(Кат!$I:$I,MATCH(Прайс!$B1587,Кат!$G:$G,0)),INDEX(Торг!$I:$I,MATCH(Прайс!$B1587,Торг!$H:$H,0))),"")</f>
        <v/>
      </c>
    </row>
    <row r="1588" spans="1:8" x14ac:dyDescent="0.25">
      <c r="A1588" s="103" t="s">
        <v>3352</v>
      </c>
      <c r="B1588" s="104">
        <v>71252</v>
      </c>
      <c r="C1588" s="104" t="s">
        <v>933</v>
      </c>
      <c r="D1588" s="105" t="s">
        <v>162</v>
      </c>
      <c r="E1588" s="113">
        <v>100</v>
      </c>
      <c r="F1588" s="67" t="str">
        <f>IFERROR(IFERROR(INDEX(Кат!$A:$A,MATCH(Прайс!$B1588,Кат!$G:$G,0)),INDEX(Торг!$B:$B,MATCH(Прайс!$B1588,Торг!$H:$H,0))),"")</f>
        <v/>
      </c>
      <c r="G1588" s="67" t="str">
        <f>IFERROR(IFERROR(INDEX(Кат!$B:$B,MATCH(Прайс!$B1588,Кат!$G:$G,0)),INDEX(Торг!$C:$C,MATCH(Прайс!$B1588,Торг!$H:$H,0))),"")</f>
        <v/>
      </c>
      <c r="H1588" s="67" t="str">
        <f>IFERROR(IFERROR(INDEX(Кат!$I:$I,MATCH(Прайс!$B1588,Кат!$G:$G,0)),INDEX(Торг!$I:$I,MATCH(Прайс!$B1588,Торг!$H:$H,0))),"")</f>
        <v/>
      </c>
    </row>
    <row r="1589" spans="1:8" x14ac:dyDescent="0.25">
      <c r="A1589" s="103" t="s">
        <v>3353</v>
      </c>
      <c r="B1589" s="104">
        <v>71254</v>
      </c>
      <c r="C1589" s="104" t="s">
        <v>934</v>
      </c>
      <c r="D1589" s="105" t="s">
        <v>162</v>
      </c>
      <c r="E1589" s="113">
        <v>100</v>
      </c>
      <c r="F1589" s="67" t="str">
        <f>IFERROR(IFERROR(INDEX(Кат!$A:$A,MATCH(Прайс!$B1589,Кат!$G:$G,0)),INDEX(Торг!$B:$B,MATCH(Прайс!$B1589,Торг!$H:$H,0))),"")</f>
        <v/>
      </c>
      <c r="G1589" s="67" t="str">
        <f>IFERROR(IFERROR(INDEX(Кат!$B:$B,MATCH(Прайс!$B1589,Кат!$G:$G,0)),INDEX(Торг!$C:$C,MATCH(Прайс!$B1589,Торг!$H:$H,0))),"")</f>
        <v/>
      </c>
      <c r="H1589" s="67" t="str">
        <f>IFERROR(IFERROR(INDEX(Кат!$I:$I,MATCH(Прайс!$B1589,Кат!$G:$G,0)),INDEX(Торг!$I:$I,MATCH(Прайс!$B1589,Торг!$H:$H,0))),"")</f>
        <v/>
      </c>
    </row>
    <row r="1590" spans="1:8" x14ac:dyDescent="0.25">
      <c r="A1590" s="103" t="s">
        <v>3354</v>
      </c>
      <c r="B1590" s="104">
        <v>71261</v>
      </c>
      <c r="C1590" s="104" t="s">
        <v>935</v>
      </c>
      <c r="D1590" s="105" t="s">
        <v>162</v>
      </c>
      <c r="E1590" s="113">
        <v>100</v>
      </c>
      <c r="F1590" s="67" t="str">
        <f>IFERROR(IFERROR(INDEX(Кат!$A:$A,MATCH(Прайс!$B1590,Кат!$G:$G,0)),INDEX(Торг!$B:$B,MATCH(Прайс!$B1590,Торг!$H:$H,0))),"")</f>
        <v/>
      </c>
      <c r="G1590" s="67" t="str">
        <f>IFERROR(IFERROR(INDEX(Кат!$B:$B,MATCH(Прайс!$B1590,Кат!$G:$G,0)),INDEX(Торг!$C:$C,MATCH(Прайс!$B1590,Торг!$H:$H,0))),"")</f>
        <v/>
      </c>
      <c r="H1590" s="67" t="str">
        <f>IFERROR(IFERROR(INDEX(Кат!$I:$I,MATCH(Прайс!$B1590,Кат!$G:$G,0)),INDEX(Торг!$I:$I,MATCH(Прайс!$B1590,Торг!$H:$H,0))),"")</f>
        <v/>
      </c>
    </row>
    <row r="1591" spans="1:8" x14ac:dyDescent="0.25">
      <c r="A1591" s="94" t="s">
        <v>3355</v>
      </c>
      <c r="B1591" s="98">
        <v>71188</v>
      </c>
      <c r="C1591" s="98" t="s">
        <v>936</v>
      </c>
      <c r="D1591" s="96" t="s">
        <v>162</v>
      </c>
      <c r="E1591" s="97">
        <v>135</v>
      </c>
      <c r="F1591" s="67" t="str">
        <f>IFERROR(IFERROR(INDEX(Кат!$A:$A,MATCH(Прайс!$B1591,Кат!$G:$G,0)),INDEX(Торг!$B:$B,MATCH(Прайс!$B1591,Торг!$H:$H,0))),"")</f>
        <v/>
      </c>
      <c r="G1591" s="67" t="str">
        <f>IFERROR(IFERROR(INDEX(Кат!$B:$B,MATCH(Прайс!$B1591,Кат!$G:$G,0)),INDEX(Торг!$C:$C,MATCH(Прайс!$B1591,Торг!$H:$H,0))),"")</f>
        <v/>
      </c>
      <c r="H1591" s="67" t="str">
        <f>IFERROR(IFERROR(INDEX(Кат!$I:$I,MATCH(Прайс!$B1591,Кат!$G:$G,0)),INDEX(Торг!$I:$I,MATCH(Прайс!$B1591,Торг!$H:$H,0))),"")</f>
        <v/>
      </c>
    </row>
    <row r="1592" spans="1:8" x14ac:dyDescent="0.25">
      <c r="A1592" s="94" t="s">
        <v>6281</v>
      </c>
      <c r="B1592" s="98">
        <v>71189</v>
      </c>
      <c r="C1592" s="98" t="s">
        <v>6282</v>
      </c>
      <c r="D1592" s="96" t="s">
        <v>162</v>
      </c>
      <c r="E1592" s="97">
        <v>135</v>
      </c>
      <c r="F1592" s="67" t="str">
        <f>IFERROR(IFERROR(INDEX(Кат!$A:$A,MATCH(Прайс!$B1592,Кат!$G:$G,0)),INDEX(Торг!$B:$B,MATCH(Прайс!$B1592,Торг!$H:$H,0))),"")</f>
        <v/>
      </c>
      <c r="G1592" s="67" t="str">
        <f>IFERROR(IFERROR(INDEX(Кат!$B:$B,MATCH(Прайс!$B1592,Кат!$G:$G,0)),INDEX(Торг!$C:$C,MATCH(Прайс!$B1592,Торг!$H:$H,0))),"")</f>
        <v/>
      </c>
      <c r="H1592" s="67" t="str">
        <f>IFERROR(IFERROR(INDEX(Кат!$I:$I,MATCH(Прайс!$B1592,Кат!$G:$G,0)),INDEX(Торг!$I:$I,MATCH(Прайс!$B1592,Торг!$H:$H,0))),"")</f>
        <v/>
      </c>
    </row>
    <row r="1593" spans="1:8" x14ac:dyDescent="0.25">
      <c r="A1593" s="94" t="s">
        <v>3356</v>
      </c>
      <c r="B1593" s="98">
        <v>71190</v>
      </c>
      <c r="C1593" s="98" t="s">
        <v>937</v>
      </c>
      <c r="D1593" s="96" t="s">
        <v>162</v>
      </c>
      <c r="E1593" s="97">
        <v>135</v>
      </c>
      <c r="F1593" s="67" t="str">
        <f>IFERROR(IFERROR(INDEX(Кат!$A:$A,MATCH(Прайс!$B1593,Кат!$G:$G,0)),INDEX(Торг!$B:$B,MATCH(Прайс!$B1593,Торг!$H:$H,0))),"")</f>
        <v/>
      </c>
      <c r="G1593" s="67" t="str">
        <f>IFERROR(IFERROR(INDEX(Кат!$B:$B,MATCH(Прайс!$B1593,Кат!$G:$G,0)),INDEX(Торг!$C:$C,MATCH(Прайс!$B1593,Торг!$H:$H,0))),"")</f>
        <v/>
      </c>
      <c r="H1593" s="67" t="str">
        <f>IFERROR(IFERROR(INDEX(Кат!$I:$I,MATCH(Прайс!$B1593,Кат!$G:$G,0)),INDEX(Торг!$I:$I,MATCH(Прайс!$B1593,Торг!$H:$H,0))),"")</f>
        <v/>
      </c>
    </row>
    <row r="1594" spans="1:8" x14ac:dyDescent="0.25">
      <c r="A1594" s="94" t="s">
        <v>3357</v>
      </c>
      <c r="B1594" s="98">
        <v>71191</v>
      </c>
      <c r="C1594" s="98" t="s">
        <v>938</v>
      </c>
      <c r="D1594" s="96" t="s">
        <v>162</v>
      </c>
      <c r="E1594" s="97">
        <v>135</v>
      </c>
      <c r="F1594" s="67" t="str">
        <f>IFERROR(IFERROR(INDEX(Кат!$A:$A,MATCH(Прайс!$B1594,Кат!$G:$G,0)),INDEX(Торг!$B:$B,MATCH(Прайс!$B1594,Торг!$H:$H,0))),"")</f>
        <v/>
      </c>
      <c r="G1594" s="67" t="str">
        <f>IFERROR(IFERROR(INDEX(Кат!$B:$B,MATCH(Прайс!$B1594,Кат!$G:$G,0)),INDEX(Торг!$C:$C,MATCH(Прайс!$B1594,Торг!$H:$H,0))),"")</f>
        <v/>
      </c>
      <c r="H1594" s="67" t="str">
        <f>IFERROR(IFERROR(INDEX(Кат!$I:$I,MATCH(Прайс!$B1594,Кат!$G:$G,0)),INDEX(Торг!$I:$I,MATCH(Прайс!$B1594,Торг!$H:$H,0))),"")</f>
        <v/>
      </c>
    </row>
    <row r="1595" spans="1:8" x14ac:dyDescent="0.25">
      <c r="A1595" s="94" t="s">
        <v>5873</v>
      </c>
      <c r="B1595" s="98">
        <v>71192</v>
      </c>
      <c r="C1595" s="98" t="s">
        <v>5874</v>
      </c>
      <c r="D1595" s="96" t="s">
        <v>162</v>
      </c>
      <c r="E1595" s="97">
        <v>135</v>
      </c>
      <c r="F1595" s="67" t="str">
        <f>IFERROR(IFERROR(INDEX(Кат!$A:$A,MATCH(Прайс!$B1595,Кат!$G:$G,0)),INDEX(Торг!$B:$B,MATCH(Прайс!$B1595,Торг!$H:$H,0))),"")</f>
        <v/>
      </c>
      <c r="G1595" s="67" t="str">
        <f>IFERROR(IFERROR(INDEX(Кат!$B:$B,MATCH(Прайс!$B1595,Кат!$G:$G,0)),INDEX(Торг!$C:$C,MATCH(Прайс!$B1595,Торг!$H:$H,0))),"")</f>
        <v/>
      </c>
      <c r="H1595" s="67" t="str">
        <f>IFERROR(IFERROR(INDEX(Кат!$I:$I,MATCH(Прайс!$B1595,Кат!$G:$G,0)),INDEX(Торг!$I:$I,MATCH(Прайс!$B1595,Торг!$H:$H,0))),"")</f>
        <v/>
      </c>
    </row>
    <row r="1596" spans="1:8" x14ac:dyDescent="0.25">
      <c r="A1596" s="94" t="s">
        <v>3358</v>
      </c>
      <c r="B1596" s="98">
        <v>71298</v>
      </c>
      <c r="C1596" s="98" t="s">
        <v>939</v>
      </c>
      <c r="D1596" s="96" t="s">
        <v>162</v>
      </c>
      <c r="E1596" s="97">
        <v>135</v>
      </c>
      <c r="F1596" s="67" t="str">
        <f>IFERROR(IFERROR(INDEX(Кат!$A:$A,MATCH(Прайс!$B1596,Кат!$G:$G,0)),INDEX(Торг!$B:$B,MATCH(Прайс!$B1596,Торг!$H:$H,0))),"")</f>
        <v/>
      </c>
      <c r="G1596" s="67" t="str">
        <f>IFERROR(IFERROR(INDEX(Кат!$B:$B,MATCH(Прайс!$B1596,Кат!$G:$G,0)),INDEX(Торг!$C:$C,MATCH(Прайс!$B1596,Торг!$H:$H,0))),"")</f>
        <v/>
      </c>
      <c r="H1596" s="67" t="str">
        <f>IFERROR(IFERROR(INDEX(Кат!$I:$I,MATCH(Прайс!$B1596,Кат!$G:$G,0)),INDEX(Торг!$I:$I,MATCH(Прайс!$B1596,Торг!$H:$H,0))),"")</f>
        <v/>
      </c>
    </row>
    <row r="1597" spans="1:8" x14ac:dyDescent="0.25">
      <c r="A1597" s="94" t="s">
        <v>3359</v>
      </c>
      <c r="B1597" s="98">
        <v>71193</v>
      </c>
      <c r="C1597" s="98" t="s">
        <v>940</v>
      </c>
      <c r="D1597" s="96" t="s">
        <v>162</v>
      </c>
      <c r="E1597" s="97">
        <v>135</v>
      </c>
      <c r="F1597" s="67" t="str">
        <f>IFERROR(IFERROR(INDEX(Кат!$A:$A,MATCH(Прайс!$B1597,Кат!$G:$G,0)),INDEX(Торг!$B:$B,MATCH(Прайс!$B1597,Торг!$H:$H,0))),"")</f>
        <v/>
      </c>
      <c r="G1597" s="67" t="str">
        <f>IFERROR(IFERROR(INDEX(Кат!$B:$B,MATCH(Прайс!$B1597,Кат!$G:$G,0)),INDEX(Торг!$C:$C,MATCH(Прайс!$B1597,Торг!$H:$H,0))),"")</f>
        <v/>
      </c>
      <c r="H1597" s="67" t="str">
        <f>IFERROR(IFERROR(INDEX(Кат!$I:$I,MATCH(Прайс!$B1597,Кат!$G:$G,0)),INDEX(Торг!$I:$I,MATCH(Прайс!$B1597,Торг!$H:$H,0))),"")</f>
        <v/>
      </c>
    </row>
    <row r="1598" spans="1:8" x14ac:dyDescent="0.25">
      <c r="A1598" s="94" t="s">
        <v>3360</v>
      </c>
      <c r="B1598" s="98">
        <v>71194</v>
      </c>
      <c r="C1598" s="98" t="s">
        <v>941</v>
      </c>
      <c r="D1598" s="96" t="s">
        <v>162</v>
      </c>
      <c r="E1598" s="97">
        <v>135</v>
      </c>
      <c r="F1598" s="67" t="str">
        <f>IFERROR(IFERROR(INDEX(Кат!$A:$A,MATCH(Прайс!$B1598,Кат!$G:$G,0)),INDEX(Торг!$B:$B,MATCH(Прайс!$B1598,Торг!$H:$H,0))),"")</f>
        <v/>
      </c>
      <c r="G1598" s="67" t="str">
        <f>IFERROR(IFERROR(INDEX(Кат!$B:$B,MATCH(Прайс!$B1598,Кат!$G:$G,0)),INDEX(Торг!$C:$C,MATCH(Прайс!$B1598,Торг!$H:$H,0))),"")</f>
        <v/>
      </c>
      <c r="H1598" s="67" t="str">
        <f>IFERROR(IFERROR(INDEX(Кат!$I:$I,MATCH(Прайс!$B1598,Кат!$G:$G,0)),INDEX(Торг!$I:$I,MATCH(Прайс!$B1598,Торг!$H:$H,0))),"")</f>
        <v/>
      </c>
    </row>
    <row r="1599" spans="1:8" x14ac:dyDescent="0.25">
      <c r="A1599" s="94" t="s">
        <v>5081</v>
      </c>
      <c r="B1599" s="98">
        <v>71195</v>
      </c>
      <c r="C1599" s="98" t="s">
        <v>5082</v>
      </c>
      <c r="D1599" s="96" t="s">
        <v>162</v>
      </c>
      <c r="E1599" s="97">
        <v>135</v>
      </c>
      <c r="F1599" s="67" t="str">
        <f>IFERROR(IFERROR(INDEX(Кат!$A:$A,MATCH(Прайс!$B1599,Кат!$G:$G,0)),INDEX(Торг!$B:$B,MATCH(Прайс!$B1599,Торг!$H:$H,0))),"")</f>
        <v/>
      </c>
      <c r="G1599" s="67" t="str">
        <f>IFERROR(IFERROR(INDEX(Кат!$B:$B,MATCH(Прайс!$B1599,Кат!$G:$G,0)),INDEX(Торг!$C:$C,MATCH(Прайс!$B1599,Торг!$H:$H,0))),"")</f>
        <v/>
      </c>
      <c r="H1599" s="67" t="str">
        <f>IFERROR(IFERROR(INDEX(Кат!$I:$I,MATCH(Прайс!$B1599,Кат!$G:$G,0)),INDEX(Торг!$I:$I,MATCH(Прайс!$B1599,Торг!$H:$H,0))),"")</f>
        <v/>
      </c>
    </row>
    <row r="1600" spans="1:8" x14ac:dyDescent="0.25">
      <c r="A1600" s="94" t="s">
        <v>6283</v>
      </c>
      <c r="B1600" s="98">
        <v>71196</v>
      </c>
      <c r="C1600" s="98" t="s">
        <v>6284</v>
      </c>
      <c r="D1600" s="96" t="s">
        <v>162</v>
      </c>
      <c r="E1600" s="97">
        <v>135</v>
      </c>
      <c r="F1600" s="67" t="str">
        <f>IFERROR(IFERROR(INDEX(Кат!$A:$A,MATCH(Прайс!$B1600,Кат!$G:$G,0)),INDEX(Торг!$B:$B,MATCH(Прайс!$B1600,Торг!$H:$H,0))),"")</f>
        <v/>
      </c>
      <c r="G1600" s="67" t="str">
        <f>IFERROR(IFERROR(INDEX(Кат!$B:$B,MATCH(Прайс!$B1600,Кат!$G:$G,0)),INDEX(Торг!$C:$C,MATCH(Прайс!$B1600,Торг!$H:$H,0))),"")</f>
        <v/>
      </c>
      <c r="H1600" s="67" t="str">
        <f>IFERROR(IFERROR(INDEX(Кат!$I:$I,MATCH(Прайс!$B1600,Кат!$G:$G,0)),INDEX(Торг!$I:$I,MATCH(Прайс!$B1600,Торг!$H:$H,0))),"")</f>
        <v/>
      </c>
    </row>
    <row r="1601" spans="1:8" x14ac:dyDescent="0.25">
      <c r="A1601" s="94" t="s">
        <v>3361</v>
      </c>
      <c r="B1601" s="98">
        <v>71197</v>
      </c>
      <c r="C1601" s="98" t="s">
        <v>942</v>
      </c>
      <c r="D1601" s="96" t="s">
        <v>162</v>
      </c>
      <c r="E1601" s="97">
        <v>135</v>
      </c>
      <c r="F1601" s="67" t="str">
        <f>IFERROR(IFERROR(INDEX(Кат!$A:$A,MATCH(Прайс!$B1601,Кат!$G:$G,0)),INDEX(Торг!$B:$B,MATCH(Прайс!$B1601,Торг!$H:$H,0))),"")</f>
        <v/>
      </c>
      <c r="G1601" s="67" t="str">
        <f>IFERROR(IFERROR(INDEX(Кат!$B:$B,MATCH(Прайс!$B1601,Кат!$G:$G,0)),INDEX(Торг!$C:$C,MATCH(Прайс!$B1601,Торг!$H:$H,0))),"")</f>
        <v/>
      </c>
      <c r="H1601" s="67" t="str">
        <f>IFERROR(IFERROR(INDEX(Кат!$I:$I,MATCH(Прайс!$B1601,Кат!$G:$G,0)),INDEX(Торг!$I:$I,MATCH(Прайс!$B1601,Торг!$H:$H,0))),"")</f>
        <v/>
      </c>
    </row>
    <row r="1602" spans="1:8" x14ac:dyDescent="0.25">
      <c r="A1602" s="94" t="s">
        <v>3362</v>
      </c>
      <c r="B1602" s="98">
        <v>71198</v>
      </c>
      <c r="C1602" s="98" t="s">
        <v>943</v>
      </c>
      <c r="D1602" s="96" t="s">
        <v>162</v>
      </c>
      <c r="E1602" s="97">
        <v>135</v>
      </c>
      <c r="F1602" s="67" t="str">
        <f>IFERROR(IFERROR(INDEX(Кат!$A:$A,MATCH(Прайс!$B1602,Кат!$G:$G,0)),INDEX(Торг!$B:$B,MATCH(Прайс!$B1602,Торг!$H:$H,0))),"")</f>
        <v/>
      </c>
      <c r="G1602" s="67" t="str">
        <f>IFERROR(IFERROR(INDEX(Кат!$B:$B,MATCH(Прайс!$B1602,Кат!$G:$G,0)),INDEX(Торг!$C:$C,MATCH(Прайс!$B1602,Торг!$H:$H,0))),"")</f>
        <v/>
      </c>
      <c r="H1602" s="67" t="str">
        <f>IFERROR(IFERROR(INDEX(Кат!$I:$I,MATCH(Прайс!$B1602,Кат!$G:$G,0)),INDEX(Торг!$I:$I,MATCH(Прайс!$B1602,Торг!$H:$H,0))),"")</f>
        <v/>
      </c>
    </row>
    <row r="1603" spans="1:8" x14ac:dyDescent="0.25">
      <c r="A1603" s="94" t="s">
        <v>3363</v>
      </c>
      <c r="B1603" s="98">
        <v>71199</v>
      </c>
      <c r="C1603" s="98" t="s">
        <v>944</v>
      </c>
      <c r="D1603" s="96" t="s">
        <v>162</v>
      </c>
      <c r="E1603" s="97">
        <v>135</v>
      </c>
      <c r="F1603" s="67" t="str">
        <f>IFERROR(IFERROR(INDEX(Кат!$A:$A,MATCH(Прайс!$B1603,Кат!$G:$G,0)),INDEX(Торг!$B:$B,MATCH(Прайс!$B1603,Торг!$H:$H,0))),"")</f>
        <v/>
      </c>
      <c r="G1603" s="67" t="str">
        <f>IFERROR(IFERROR(INDEX(Кат!$B:$B,MATCH(Прайс!$B1603,Кат!$G:$G,0)),INDEX(Торг!$C:$C,MATCH(Прайс!$B1603,Торг!$H:$H,0))),"")</f>
        <v/>
      </c>
      <c r="H1603" s="67" t="str">
        <f>IFERROR(IFERROR(INDEX(Кат!$I:$I,MATCH(Прайс!$B1603,Кат!$G:$G,0)),INDEX(Торг!$I:$I,MATCH(Прайс!$B1603,Торг!$H:$H,0))),"")</f>
        <v/>
      </c>
    </row>
    <row r="1604" spans="1:8" x14ac:dyDescent="0.25">
      <c r="A1604" s="94" t="s">
        <v>3364</v>
      </c>
      <c r="B1604" s="98">
        <v>71200</v>
      </c>
      <c r="C1604" s="98" t="s">
        <v>945</v>
      </c>
      <c r="D1604" s="96" t="s">
        <v>162</v>
      </c>
      <c r="E1604" s="97">
        <v>135</v>
      </c>
      <c r="F1604" s="67" t="str">
        <f>IFERROR(IFERROR(INDEX(Кат!$A:$A,MATCH(Прайс!$B1604,Кат!$G:$G,0)),INDEX(Торг!$B:$B,MATCH(Прайс!$B1604,Торг!$H:$H,0))),"")</f>
        <v/>
      </c>
      <c r="G1604" s="67" t="str">
        <f>IFERROR(IFERROR(INDEX(Кат!$B:$B,MATCH(Прайс!$B1604,Кат!$G:$G,0)),INDEX(Торг!$C:$C,MATCH(Прайс!$B1604,Торг!$H:$H,0))),"")</f>
        <v/>
      </c>
      <c r="H1604" s="67" t="str">
        <f>IFERROR(IFERROR(INDEX(Кат!$I:$I,MATCH(Прайс!$B1604,Кат!$G:$G,0)),INDEX(Торг!$I:$I,MATCH(Прайс!$B1604,Торг!$H:$H,0))),"")</f>
        <v/>
      </c>
    </row>
    <row r="1605" spans="1:8" x14ac:dyDescent="0.25">
      <c r="A1605" s="94" t="s">
        <v>3365</v>
      </c>
      <c r="B1605" s="98">
        <v>71201</v>
      </c>
      <c r="C1605" s="98" t="s">
        <v>946</v>
      </c>
      <c r="D1605" s="96" t="s">
        <v>162</v>
      </c>
      <c r="E1605" s="97">
        <v>135</v>
      </c>
      <c r="F1605" s="67" t="str">
        <f>IFERROR(IFERROR(INDEX(Кат!$A:$A,MATCH(Прайс!$B1605,Кат!$G:$G,0)),INDEX(Торг!$B:$B,MATCH(Прайс!$B1605,Торг!$H:$H,0))),"")</f>
        <v/>
      </c>
      <c r="G1605" s="67" t="str">
        <f>IFERROR(IFERROR(INDEX(Кат!$B:$B,MATCH(Прайс!$B1605,Кат!$G:$G,0)),INDEX(Торг!$C:$C,MATCH(Прайс!$B1605,Торг!$H:$H,0))),"")</f>
        <v/>
      </c>
      <c r="H1605" s="67" t="str">
        <f>IFERROR(IFERROR(INDEX(Кат!$I:$I,MATCH(Прайс!$B1605,Кат!$G:$G,0)),INDEX(Торг!$I:$I,MATCH(Прайс!$B1605,Торг!$H:$H,0))),"")</f>
        <v/>
      </c>
    </row>
    <row r="1606" spans="1:8" x14ac:dyDescent="0.25">
      <c r="A1606" s="94" t="s">
        <v>3366</v>
      </c>
      <c r="B1606" s="98">
        <v>71202</v>
      </c>
      <c r="C1606" s="98" t="s">
        <v>947</v>
      </c>
      <c r="D1606" s="96" t="s">
        <v>162</v>
      </c>
      <c r="E1606" s="97">
        <v>135</v>
      </c>
      <c r="F1606" s="67" t="str">
        <f>IFERROR(IFERROR(INDEX(Кат!$A:$A,MATCH(Прайс!$B1606,Кат!$G:$G,0)),INDEX(Торг!$B:$B,MATCH(Прайс!$B1606,Торг!$H:$H,0))),"")</f>
        <v/>
      </c>
      <c r="G1606" s="67" t="str">
        <f>IFERROR(IFERROR(INDEX(Кат!$B:$B,MATCH(Прайс!$B1606,Кат!$G:$G,0)),INDEX(Торг!$C:$C,MATCH(Прайс!$B1606,Торг!$H:$H,0))),"")</f>
        <v/>
      </c>
      <c r="H1606" s="67" t="str">
        <f>IFERROR(IFERROR(INDEX(Кат!$I:$I,MATCH(Прайс!$B1606,Кат!$G:$G,0)),INDEX(Торг!$I:$I,MATCH(Прайс!$B1606,Торг!$H:$H,0))),"")</f>
        <v/>
      </c>
    </row>
    <row r="1607" spans="1:8" x14ac:dyDescent="0.25">
      <c r="A1607" s="94" t="s">
        <v>6285</v>
      </c>
      <c r="B1607" s="98">
        <v>71203</v>
      </c>
      <c r="C1607" s="98" t="s">
        <v>6286</v>
      </c>
      <c r="D1607" s="96" t="s">
        <v>162</v>
      </c>
      <c r="E1607" s="97">
        <v>135</v>
      </c>
      <c r="F1607" s="67" t="str">
        <f>IFERROR(IFERROR(INDEX(Кат!$A:$A,MATCH(Прайс!$B1607,Кат!$G:$G,0)),INDEX(Торг!$B:$B,MATCH(Прайс!$B1607,Торг!$H:$H,0))),"")</f>
        <v/>
      </c>
      <c r="G1607" s="67" t="str">
        <f>IFERROR(IFERROR(INDEX(Кат!$B:$B,MATCH(Прайс!$B1607,Кат!$G:$G,0)),INDEX(Торг!$C:$C,MATCH(Прайс!$B1607,Торг!$H:$H,0))),"")</f>
        <v/>
      </c>
      <c r="H1607" s="67" t="str">
        <f>IFERROR(IFERROR(INDEX(Кат!$I:$I,MATCH(Прайс!$B1607,Кат!$G:$G,0)),INDEX(Торг!$I:$I,MATCH(Прайс!$B1607,Торг!$H:$H,0))),"")</f>
        <v/>
      </c>
    </row>
    <row r="1608" spans="1:8" x14ac:dyDescent="0.25">
      <c r="A1608" s="94" t="s">
        <v>3367</v>
      </c>
      <c r="B1608" s="98">
        <v>71204</v>
      </c>
      <c r="C1608" s="98" t="s">
        <v>948</v>
      </c>
      <c r="D1608" s="96" t="s">
        <v>162</v>
      </c>
      <c r="E1608" s="97">
        <v>135</v>
      </c>
      <c r="F1608" s="67" t="str">
        <f>IFERROR(IFERROR(INDEX(Кат!$A:$A,MATCH(Прайс!$B1608,Кат!$G:$G,0)),INDEX(Торг!$B:$B,MATCH(Прайс!$B1608,Торг!$H:$H,0))),"")</f>
        <v/>
      </c>
      <c r="G1608" s="67" t="str">
        <f>IFERROR(IFERROR(INDEX(Кат!$B:$B,MATCH(Прайс!$B1608,Кат!$G:$G,0)),INDEX(Торг!$C:$C,MATCH(Прайс!$B1608,Торг!$H:$H,0))),"")</f>
        <v/>
      </c>
      <c r="H1608" s="67" t="str">
        <f>IFERROR(IFERROR(INDEX(Кат!$I:$I,MATCH(Прайс!$B1608,Кат!$G:$G,0)),INDEX(Торг!$I:$I,MATCH(Прайс!$B1608,Торг!$H:$H,0))),"")</f>
        <v/>
      </c>
    </row>
    <row r="1609" spans="1:8" x14ac:dyDescent="0.25">
      <c r="A1609" s="94" t="s">
        <v>5875</v>
      </c>
      <c r="B1609" s="98">
        <v>71205</v>
      </c>
      <c r="C1609" s="98" t="s">
        <v>5876</v>
      </c>
      <c r="D1609" s="96" t="s">
        <v>162</v>
      </c>
      <c r="E1609" s="97">
        <v>135</v>
      </c>
      <c r="F1609" s="67" t="str">
        <f>IFERROR(IFERROR(INDEX(Кат!$A:$A,MATCH(Прайс!$B1609,Кат!$G:$G,0)),INDEX(Торг!$B:$B,MATCH(Прайс!$B1609,Торг!$H:$H,0))),"")</f>
        <v/>
      </c>
      <c r="G1609" s="67" t="str">
        <f>IFERROR(IFERROR(INDEX(Кат!$B:$B,MATCH(Прайс!$B1609,Кат!$G:$G,0)),INDEX(Торг!$C:$C,MATCH(Прайс!$B1609,Торг!$H:$H,0))),"")</f>
        <v/>
      </c>
      <c r="H1609" s="67" t="str">
        <f>IFERROR(IFERROR(INDEX(Кат!$I:$I,MATCH(Прайс!$B1609,Кат!$G:$G,0)),INDEX(Торг!$I:$I,MATCH(Прайс!$B1609,Торг!$H:$H,0))),"")</f>
        <v/>
      </c>
    </row>
    <row r="1610" spans="1:8" x14ac:dyDescent="0.25">
      <c r="A1610" s="94" t="s">
        <v>3368</v>
      </c>
      <c r="B1610" s="98">
        <v>71206</v>
      </c>
      <c r="C1610" s="98" t="s">
        <v>949</v>
      </c>
      <c r="D1610" s="96" t="s">
        <v>162</v>
      </c>
      <c r="E1610" s="97">
        <v>135</v>
      </c>
      <c r="F1610" s="67" t="str">
        <f>IFERROR(IFERROR(INDEX(Кат!$A:$A,MATCH(Прайс!$B1610,Кат!$G:$G,0)),INDEX(Торг!$B:$B,MATCH(Прайс!$B1610,Торг!$H:$H,0))),"")</f>
        <v/>
      </c>
      <c r="G1610" s="67" t="str">
        <f>IFERROR(IFERROR(INDEX(Кат!$B:$B,MATCH(Прайс!$B1610,Кат!$G:$G,0)),INDEX(Торг!$C:$C,MATCH(Прайс!$B1610,Торг!$H:$H,0))),"")</f>
        <v/>
      </c>
      <c r="H1610" s="67" t="str">
        <f>IFERROR(IFERROR(INDEX(Кат!$I:$I,MATCH(Прайс!$B1610,Кат!$G:$G,0)),INDEX(Торг!$I:$I,MATCH(Прайс!$B1610,Торг!$H:$H,0))),"")</f>
        <v/>
      </c>
    </row>
    <row r="1611" spans="1:8" x14ac:dyDescent="0.25">
      <c r="A1611" s="94" t="s">
        <v>3369</v>
      </c>
      <c r="B1611" s="98">
        <v>71207</v>
      </c>
      <c r="C1611" s="98" t="s">
        <v>950</v>
      </c>
      <c r="D1611" s="96" t="s">
        <v>162</v>
      </c>
      <c r="E1611" s="97">
        <v>135</v>
      </c>
      <c r="F1611" s="67" t="str">
        <f>IFERROR(IFERROR(INDEX(Кат!$A:$A,MATCH(Прайс!$B1611,Кат!$G:$G,0)),INDEX(Торг!$B:$B,MATCH(Прайс!$B1611,Торг!$H:$H,0))),"")</f>
        <v/>
      </c>
      <c r="G1611" s="67" t="str">
        <f>IFERROR(IFERROR(INDEX(Кат!$B:$B,MATCH(Прайс!$B1611,Кат!$G:$G,0)),INDEX(Торг!$C:$C,MATCH(Прайс!$B1611,Торг!$H:$H,0))),"")</f>
        <v/>
      </c>
      <c r="H1611" s="67" t="str">
        <f>IFERROR(IFERROR(INDEX(Кат!$I:$I,MATCH(Прайс!$B1611,Кат!$G:$G,0)),INDEX(Торг!$I:$I,MATCH(Прайс!$B1611,Торг!$H:$H,0))),"")</f>
        <v/>
      </c>
    </row>
    <row r="1612" spans="1:8" x14ac:dyDescent="0.25">
      <c r="A1612" s="94" t="s">
        <v>3370</v>
      </c>
      <c r="B1612" s="98">
        <v>71208</v>
      </c>
      <c r="C1612" s="98" t="s">
        <v>951</v>
      </c>
      <c r="D1612" s="96" t="s">
        <v>162</v>
      </c>
      <c r="E1612" s="97">
        <v>135</v>
      </c>
      <c r="F1612" s="67" t="str">
        <f>IFERROR(IFERROR(INDEX(Кат!$A:$A,MATCH(Прайс!$B1612,Кат!$G:$G,0)),INDEX(Торг!$B:$B,MATCH(Прайс!$B1612,Торг!$H:$H,0))),"")</f>
        <v/>
      </c>
      <c r="G1612" s="67" t="str">
        <f>IFERROR(IFERROR(INDEX(Кат!$B:$B,MATCH(Прайс!$B1612,Кат!$G:$G,0)),INDEX(Торг!$C:$C,MATCH(Прайс!$B1612,Торг!$H:$H,0))),"")</f>
        <v/>
      </c>
      <c r="H1612" s="67" t="str">
        <f>IFERROR(IFERROR(INDEX(Кат!$I:$I,MATCH(Прайс!$B1612,Кат!$G:$G,0)),INDEX(Торг!$I:$I,MATCH(Прайс!$B1612,Торг!$H:$H,0))),"")</f>
        <v/>
      </c>
    </row>
    <row r="1613" spans="1:8" x14ac:dyDescent="0.25">
      <c r="A1613" s="94" t="s">
        <v>5877</v>
      </c>
      <c r="B1613" s="98">
        <v>71209</v>
      </c>
      <c r="C1613" s="98" t="s">
        <v>5878</v>
      </c>
      <c r="D1613" s="96" t="s">
        <v>162</v>
      </c>
      <c r="E1613" s="97">
        <v>135</v>
      </c>
      <c r="F1613" s="67" t="str">
        <f>IFERROR(IFERROR(INDEX(Кат!$A:$A,MATCH(Прайс!$B1613,Кат!$G:$G,0)),INDEX(Торг!$B:$B,MATCH(Прайс!$B1613,Торг!$H:$H,0))),"")</f>
        <v/>
      </c>
      <c r="G1613" s="67" t="str">
        <f>IFERROR(IFERROR(INDEX(Кат!$B:$B,MATCH(Прайс!$B1613,Кат!$G:$G,0)),INDEX(Торг!$C:$C,MATCH(Прайс!$B1613,Торг!$H:$H,0))),"")</f>
        <v/>
      </c>
      <c r="H1613" s="67" t="str">
        <f>IFERROR(IFERROR(INDEX(Кат!$I:$I,MATCH(Прайс!$B1613,Кат!$G:$G,0)),INDEX(Торг!$I:$I,MATCH(Прайс!$B1613,Торг!$H:$H,0))),"")</f>
        <v/>
      </c>
    </row>
    <row r="1614" spans="1:8" x14ac:dyDescent="0.25">
      <c r="A1614" s="94" t="s">
        <v>5427</v>
      </c>
      <c r="B1614" s="98">
        <v>71210</v>
      </c>
      <c r="C1614" s="98" t="s">
        <v>5428</v>
      </c>
      <c r="D1614" s="96" t="s">
        <v>162</v>
      </c>
      <c r="E1614" s="97">
        <v>135</v>
      </c>
      <c r="F1614" s="67" t="str">
        <f>IFERROR(IFERROR(INDEX(Кат!$A:$A,MATCH(Прайс!$B1614,Кат!$G:$G,0)),INDEX(Торг!$B:$B,MATCH(Прайс!$B1614,Торг!$H:$H,0))),"")</f>
        <v/>
      </c>
      <c r="G1614" s="67" t="str">
        <f>IFERROR(IFERROR(INDEX(Кат!$B:$B,MATCH(Прайс!$B1614,Кат!$G:$G,0)),INDEX(Торг!$C:$C,MATCH(Прайс!$B1614,Торг!$H:$H,0))),"")</f>
        <v/>
      </c>
      <c r="H1614" s="67" t="str">
        <f>IFERROR(IFERROR(INDEX(Кат!$I:$I,MATCH(Прайс!$B1614,Кат!$G:$G,0)),INDEX(Торг!$I:$I,MATCH(Прайс!$B1614,Торг!$H:$H,0))),"")</f>
        <v/>
      </c>
    </row>
    <row r="1615" spans="1:8" x14ac:dyDescent="0.25">
      <c r="A1615" s="94" t="s">
        <v>3371</v>
      </c>
      <c r="B1615" s="98">
        <v>71211</v>
      </c>
      <c r="C1615" s="98" t="s">
        <v>952</v>
      </c>
      <c r="D1615" s="96" t="s">
        <v>162</v>
      </c>
      <c r="E1615" s="97">
        <v>135</v>
      </c>
      <c r="F1615" s="67" t="str">
        <f>IFERROR(IFERROR(INDEX(Кат!$A:$A,MATCH(Прайс!$B1615,Кат!$G:$G,0)),INDEX(Торг!$B:$B,MATCH(Прайс!$B1615,Торг!$H:$H,0))),"")</f>
        <v/>
      </c>
      <c r="G1615" s="67" t="str">
        <f>IFERROR(IFERROR(INDEX(Кат!$B:$B,MATCH(Прайс!$B1615,Кат!$G:$G,0)),INDEX(Торг!$C:$C,MATCH(Прайс!$B1615,Торг!$H:$H,0))),"")</f>
        <v/>
      </c>
      <c r="H1615" s="67" t="str">
        <f>IFERROR(IFERROR(INDEX(Кат!$I:$I,MATCH(Прайс!$B1615,Кат!$G:$G,0)),INDEX(Торг!$I:$I,MATCH(Прайс!$B1615,Торг!$H:$H,0))),"")</f>
        <v/>
      </c>
    </row>
    <row r="1616" spans="1:8" x14ac:dyDescent="0.25">
      <c r="A1616" s="94" t="s">
        <v>3372</v>
      </c>
      <c r="B1616" s="98">
        <v>71212</v>
      </c>
      <c r="C1616" s="98" t="s">
        <v>953</v>
      </c>
      <c r="D1616" s="96" t="s">
        <v>162</v>
      </c>
      <c r="E1616" s="97">
        <v>135</v>
      </c>
      <c r="F1616" s="67" t="str">
        <f>IFERROR(IFERROR(INDEX(Кат!$A:$A,MATCH(Прайс!$B1616,Кат!$G:$G,0)),INDEX(Торг!$B:$B,MATCH(Прайс!$B1616,Торг!$H:$H,0))),"")</f>
        <v/>
      </c>
      <c r="G1616" s="67" t="str">
        <f>IFERROR(IFERROR(INDEX(Кат!$B:$B,MATCH(Прайс!$B1616,Кат!$G:$G,0)),INDEX(Торг!$C:$C,MATCH(Прайс!$B1616,Торг!$H:$H,0))),"")</f>
        <v/>
      </c>
      <c r="H1616" s="67" t="str">
        <f>IFERROR(IFERROR(INDEX(Кат!$I:$I,MATCH(Прайс!$B1616,Кат!$G:$G,0)),INDEX(Торг!$I:$I,MATCH(Прайс!$B1616,Торг!$H:$H,0))),"")</f>
        <v/>
      </c>
    </row>
    <row r="1617" spans="1:8" x14ac:dyDescent="0.25">
      <c r="A1617" s="94" t="s">
        <v>3373</v>
      </c>
      <c r="B1617" s="98">
        <v>71213</v>
      </c>
      <c r="C1617" s="98" t="s">
        <v>954</v>
      </c>
      <c r="D1617" s="96" t="s">
        <v>162</v>
      </c>
      <c r="E1617" s="97">
        <v>135</v>
      </c>
      <c r="F1617" s="67" t="str">
        <f>IFERROR(IFERROR(INDEX(Кат!$A:$A,MATCH(Прайс!$B1617,Кат!$G:$G,0)),INDEX(Торг!$B:$B,MATCH(Прайс!$B1617,Торг!$H:$H,0))),"")</f>
        <v/>
      </c>
      <c r="G1617" s="67" t="str">
        <f>IFERROR(IFERROR(INDEX(Кат!$B:$B,MATCH(Прайс!$B1617,Кат!$G:$G,0)),INDEX(Торг!$C:$C,MATCH(Прайс!$B1617,Торг!$H:$H,0))),"")</f>
        <v/>
      </c>
      <c r="H1617" s="67" t="str">
        <f>IFERROR(IFERROR(INDEX(Кат!$I:$I,MATCH(Прайс!$B1617,Кат!$G:$G,0)),INDEX(Торг!$I:$I,MATCH(Прайс!$B1617,Торг!$H:$H,0))),"")</f>
        <v/>
      </c>
    </row>
    <row r="1618" spans="1:8" x14ac:dyDescent="0.25">
      <c r="A1618" s="94" t="s">
        <v>3374</v>
      </c>
      <c r="B1618" s="98">
        <v>71214</v>
      </c>
      <c r="C1618" s="98" t="s">
        <v>955</v>
      </c>
      <c r="D1618" s="96" t="s">
        <v>162</v>
      </c>
      <c r="E1618" s="97">
        <v>135</v>
      </c>
      <c r="F1618" s="67" t="str">
        <f>IFERROR(IFERROR(INDEX(Кат!$A:$A,MATCH(Прайс!$B1618,Кат!$G:$G,0)),INDEX(Торг!$B:$B,MATCH(Прайс!$B1618,Торг!$H:$H,0))),"")</f>
        <v/>
      </c>
      <c r="G1618" s="67" t="str">
        <f>IFERROR(IFERROR(INDEX(Кат!$B:$B,MATCH(Прайс!$B1618,Кат!$G:$G,0)),INDEX(Торг!$C:$C,MATCH(Прайс!$B1618,Торг!$H:$H,0))),"")</f>
        <v/>
      </c>
      <c r="H1618" s="67" t="str">
        <f>IFERROR(IFERROR(INDEX(Кат!$I:$I,MATCH(Прайс!$B1618,Кат!$G:$G,0)),INDEX(Торг!$I:$I,MATCH(Прайс!$B1618,Торг!$H:$H,0))),"")</f>
        <v/>
      </c>
    </row>
    <row r="1619" spans="1:8" x14ac:dyDescent="0.25">
      <c r="A1619" s="94" t="s">
        <v>3375</v>
      </c>
      <c r="B1619" s="98">
        <v>71215</v>
      </c>
      <c r="C1619" s="98" t="s">
        <v>956</v>
      </c>
      <c r="D1619" s="96" t="s">
        <v>162</v>
      </c>
      <c r="E1619" s="97">
        <v>135</v>
      </c>
      <c r="F1619" s="67" t="str">
        <f>IFERROR(IFERROR(INDEX(Кат!$A:$A,MATCH(Прайс!$B1619,Кат!$G:$G,0)),INDEX(Торг!$B:$B,MATCH(Прайс!$B1619,Торг!$H:$H,0))),"")</f>
        <v/>
      </c>
      <c r="G1619" s="67" t="str">
        <f>IFERROR(IFERROR(INDEX(Кат!$B:$B,MATCH(Прайс!$B1619,Кат!$G:$G,0)),INDEX(Торг!$C:$C,MATCH(Прайс!$B1619,Торг!$H:$H,0))),"")</f>
        <v/>
      </c>
      <c r="H1619" s="67" t="str">
        <f>IFERROR(IFERROR(INDEX(Кат!$I:$I,MATCH(Прайс!$B1619,Кат!$G:$G,0)),INDEX(Торг!$I:$I,MATCH(Прайс!$B1619,Торг!$H:$H,0))),"")</f>
        <v/>
      </c>
    </row>
    <row r="1620" spans="1:8" x14ac:dyDescent="0.25">
      <c r="A1620" s="94" t="s">
        <v>3376</v>
      </c>
      <c r="B1620" s="98">
        <v>71216</v>
      </c>
      <c r="C1620" s="98" t="s">
        <v>957</v>
      </c>
      <c r="D1620" s="96" t="s">
        <v>162</v>
      </c>
      <c r="E1620" s="97">
        <v>135</v>
      </c>
      <c r="F1620" s="67" t="str">
        <f>IFERROR(IFERROR(INDEX(Кат!$A:$A,MATCH(Прайс!$B1620,Кат!$G:$G,0)),INDEX(Торг!$B:$B,MATCH(Прайс!$B1620,Торг!$H:$H,0))),"")</f>
        <v/>
      </c>
      <c r="G1620" s="67" t="str">
        <f>IFERROR(IFERROR(INDEX(Кат!$B:$B,MATCH(Прайс!$B1620,Кат!$G:$G,0)),INDEX(Торг!$C:$C,MATCH(Прайс!$B1620,Торг!$H:$H,0))),"")</f>
        <v/>
      </c>
      <c r="H1620" s="67" t="str">
        <f>IFERROR(IFERROR(INDEX(Кат!$I:$I,MATCH(Прайс!$B1620,Кат!$G:$G,0)),INDEX(Торг!$I:$I,MATCH(Прайс!$B1620,Торг!$H:$H,0))),"")</f>
        <v/>
      </c>
    </row>
    <row r="1621" spans="1:8" x14ac:dyDescent="0.25">
      <c r="A1621" s="94" t="s">
        <v>3377</v>
      </c>
      <c r="B1621" s="98">
        <v>71217</v>
      </c>
      <c r="C1621" s="98" t="s">
        <v>958</v>
      </c>
      <c r="D1621" s="96" t="s">
        <v>162</v>
      </c>
      <c r="E1621" s="97">
        <v>135</v>
      </c>
      <c r="F1621" s="67" t="str">
        <f>IFERROR(IFERROR(INDEX(Кат!$A:$A,MATCH(Прайс!$B1621,Кат!$G:$G,0)),INDEX(Торг!$B:$B,MATCH(Прайс!$B1621,Торг!$H:$H,0))),"")</f>
        <v/>
      </c>
      <c r="G1621" s="67" t="str">
        <f>IFERROR(IFERROR(INDEX(Кат!$B:$B,MATCH(Прайс!$B1621,Кат!$G:$G,0)),INDEX(Торг!$C:$C,MATCH(Прайс!$B1621,Торг!$H:$H,0))),"")</f>
        <v/>
      </c>
      <c r="H1621" s="67" t="str">
        <f>IFERROR(IFERROR(INDEX(Кат!$I:$I,MATCH(Прайс!$B1621,Кат!$G:$G,0)),INDEX(Торг!$I:$I,MATCH(Прайс!$B1621,Торг!$H:$H,0))),"")</f>
        <v/>
      </c>
    </row>
    <row r="1622" spans="1:8" x14ac:dyDescent="0.25">
      <c r="A1622" s="94" t="s">
        <v>3378</v>
      </c>
      <c r="B1622" s="98">
        <v>71219</v>
      </c>
      <c r="C1622" s="98" t="s">
        <v>959</v>
      </c>
      <c r="D1622" s="96" t="s">
        <v>162</v>
      </c>
      <c r="E1622" s="97">
        <v>135</v>
      </c>
      <c r="F1622" s="67" t="str">
        <f>IFERROR(IFERROR(INDEX(Кат!$A:$A,MATCH(Прайс!$B1622,Кат!$G:$G,0)),INDEX(Торг!$B:$B,MATCH(Прайс!$B1622,Торг!$H:$H,0))),"")</f>
        <v/>
      </c>
      <c r="G1622" s="67" t="str">
        <f>IFERROR(IFERROR(INDEX(Кат!$B:$B,MATCH(Прайс!$B1622,Кат!$G:$G,0)),INDEX(Торг!$C:$C,MATCH(Прайс!$B1622,Торг!$H:$H,0))),"")</f>
        <v/>
      </c>
      <c r="H1622" s="67" t="str">
        <f>IFERROR(IFERROR(INDEX(Кат!$I:$I,MATCH(Прайс!$B1622,Кат!$G:$G,0)),INDEX(Торг!$I:$I,MATCH(Прайс!$B1622,Торг!$H:$H,0))),"")</f>
        <v/>
      </c>
    </row>
    <row r="1623" spans="1:8" x14ac:dyDescent="0.25">
      <c r="A1623" s="94" t="s">
        <v>3379</v>
      </c>
      <c r="B1623" s="98">
        <v>71220</v>
      </c>
      <c r="C1623" s="98" t="s">
        <v>960</v>
      </c>
      <c r="D1623" s="96" t="s">
        <v>162</v>
      </c>
      <c r="E1623" s="97">
        <v>135</v>
      </c>
      <c r="F1623" s="67" t="str">
        <f>IFERROR(IFERROR(INDEX(Кат!$A:$A,MATCH(Прайс!$B1623,Кат!$G:$G,0)),INDEX(Торг!$B:$B,MATCH(Прайс!$B1623,Торг!$H:$H,0))),"")</f>
        <v/>
      </c>
      <c r="G1623" s="67" t="str">
        <f>IFERROR(IFERROR(INDEX(Кат!$B:$B,MATCH(Прайс!$B1623,Кат!$G:$G,0)),INDEX(Торг!$C:$C,MATCH(Прайс!$B1623,Торг!$H:$H,0))),"")</f>
        <v/>
      </c>
      <c r="H1623" s="67" t="str">
        <f>IFERROR(IFERROR(INDEX(Кат!$I:$I,MATCH(Прайс!$B1623,Кат!$G:$G,0)),INDEX(Торг!$I:$I,MATCH(Прайс!$B1623,Торг!$H:$H,0))),"")</f>
        <v/>
      </c>
    </row>
    <row r="1624" spans="1:8" x14ac:dyDescent="0.25">
      <c r="A1624" s="94" t="s">
        <v>3380</v>
      </c>
      <c r="B1624" s="98">
        <v>71221</v>
      </c>
      <c r="C1624" s="98" t="s">
        <v>961</v>
      </c>
      <c r="D1624" s="96" t="s">
        <v>162</v>
      </c>
      <c r="E1624" s="97">
        <v>135</v>
      </c>
      <c r="F1624" s="67" t="str">
        <f>IFERROR(IFERROR(INDEX(Кат!$A:$A,MATCH(Прайс!$B1624,Кат!$G:$G,0)),INDEX(Торг!$B:$B,MATCH(Прайс!$B1624,Торг!$H:$H,0))),"")</f>
        <v/>
      </c>
      <c r="G1624" s="67" t="str">
        <f>IFERROR(IFERROR(INDEX(Кат!$B:$B,MATCH(Прайс!$B1624,Кат!$G:$G,0)),INDEX(Торг!$C:$C,MATCH(Прайс!$B1624,Торг!$H:$H,0))),"")</f>
        <v/>
      </c>
      <c r="H1624" s="67" t="str">
        <f>IFERROR(IFERROR(INDEX(Кат!$I:$I,MATCH(Прайс!$B1624,Кат!$G:$G,0)),INDEX(Торг!$I:$I,MATCH(Прайс!$B1624,Торг!$H:$H,0))),"")</f>
        <v/>
      </c>
    </row>
    <row r="1625" spans="1:8" x14ac:dyDescent="0.25">
      <c r="A1625" s="103" t="s">
        <v>5083</v>
      </c>
      <c r="B1625" s="104">
        <v>71222</v>
      </c>
      <c r="C1625" s="104" t="s">
        <v>5084</v>
      </c>
      <c r="D1625" s="105" t="s">
        <v>162</v>
      </c>
      <c r="E1625" s="113">
        <v>135</v>
      </c>
      <c r="F1625" s="67" t="str">
        <f>IFERROR(IFERROR(INDEX(Кат!$A:$A,MATCH(Прайс!$B1625,Кат!$G:$G,0)),INDEX(Торг!$B:$B,MATCH(Прайс!$B1625,Торг!$H:$H,0))),"")</f>
        <v/>
      </c>
      <c r="G1625" s="67" t="str">
        <f>IFERROR(IFERROR(INDEX(Кат!$B:$B,MATCH(Прайс!$B1625,Кат!$G:$G,0)),INDEX(Торг!$C:$C,MATCH(Прайс!$B1625,Торг!$H:$H,0))),"")</f>
        <v/>
      </c>
      <c r="H1625" s="67" t="str">
        <f>IFERROR(IFERROR(INDEX(Кат!$I:$I,MATCH(Прайс!$B1625,Кат!$G:$G,0)),INDEX(Торг!$I:$I,MATCH(Прайс!$B1625,Торг!$H:$H,0))),"")</f>
        <v/>
      </c>
    </row>
    <row r="1626" spans="1:8" x14ac:dyDescent="0.25">
      <c r="A1626" s="94" t="s">
        <v>3381</v>
      </c>
      <c r="B1626" s="98">
        <v>72254</v>
      </c>
      <c r="C1626" s="98" t="s">
        <v>962</v>
      </c>
      <c r="D1626" s="96" t="s">
        <v>162</v>
      </c>
      <c r="E1626" s="97">
        <v>135</v>
      </c>
      <c r="F1626" s="67" t="str">
        <f>IFERROR(IFERROR(INDEX(Кат!$A:$A,MATCH(Прайс!$B1626,Кат!$G:$G,0)),INDEX(Торг!$B:$B,MATCH(Прайс!$B1626,Торг!$H:$H,0))),"")</f>
        <v/>
      </c>
      <c r="G1626" s="67" t="str">
        <f>IFERROR(IFERROR(INDEX(Кат!$B:$B,MATCH(Прайс!$B1626,Кат!$G:$G,0)),INDEX(Торг!$C:$C,MATCH(Прайс!$B1626,Торг!$H:$H,0))),"")</f>
        <v/>
      </c>
      <c r="H1626" s="67" t="str">
        <f>IFERROR(IFERROR(INDEX(Кат!$I:$I,MATCH(Прайс!$B1626,Кат!$G:$G,0)),INDEX(Торг!$I:$I,MATCH(Прайс!$B1626,Торг!$H:$H,0))),"")</f>
        <v/>
      </c>
    </row>
    <row r="1627" spans="1:8" x14ac:dyDescent="0.25">
      <c r="A1627" s="94" t="s">
        <v>3382</v>
      </c>
      <c r="B1627" s="98">
        <v>72255</v>
      </c>
      <c r="C1627" s="98" t="s">
        <v>963</v>
      </c>
      <c r="D1627" s="96" t="s">
        <v>162</v>
      </c>
      <c r="E1627" s="97">
        <v>135</v>
      </c>
      <c r="F1627" s="67" t="str">
        <f>IFERROR(IFERROR(INDEX(Кат!$A:$A,MATCH(Прайс!$B1627,Кат!$G:$G,0)),INDEX(Торг!$B:$B,MATCH(Прайс!$B1627,Торг!$H:$H,0))),"")</f>
        <v/>
      </c>
      <c r="G1627" s="67" t="str">
        <f>IFERROR(IFERROR(INDEX(Кат!$B:$B,MATCH(Прайс!$B1627,Кат!$G:$G,0)),INDEX(Торг!$C:$C,MATCH(Прайс!$B1627,Торг!$H:$H,0))),"")</f>
        <v/>
      </c>
      <c r="H1627" s="67" t="str">
        <f>IFERROR(IFERROR(INDEX(Кат!$I:$I,MATCH(Прайс!$B1627,Кат!$G:$G,0)),INDEX(Торг!$I:$I,MATCH(Прайс!$B1627,Торг!$H:$H,0))),"")</f>
        <v/>
      </c>
    </row>
    <row r="1628" spans="1:8" x14ac:dyDescent="0.25">
      <c r="A1628" s="94" t="s">
        <v>3383</v>
      </c>
      <c r="B1628" s="98">
        <v>70247</v>
      </c>
      <c r="C1628" s="98" t="s">
        <v>964</v>
      </c>
      <c r="D1628" s="96" t="s">
        <v>161</v>
      </c>
      <c r="E1628" s="97">
        <v>85</v>
      </c>
      <c r="F1628" s="67" t="str">
        <f>IFERROR(IFERROR(INDEX(Кат!$A:$A,MATCH(Прайс!$B1628,Кат!$G:$G,0)),INDEX(Торг!$B:$B,MATCH(Прайс!$B1628,Торг!$H:$H,0))),"")</f>
        <v/>
      </c>
      <c r="G1628" s="67" t="str">
        <f>IFERROR(IFERROR(INDEX(Кат!$B:$B,MATCH(Прайс!$B1628,Кат!$G:$G,0)),INDEX(Торг!$C:$C,MATCH(Прайс!$B1628,Торг!$H:$H,0))),"")</f>
        <v/>
      </c>
      <c r="H1628" s="67" t="str">
        <f>IFERROR(IFERROR(INDEX(Кат!$I:$I,MATCH(Прайс!$B1628,Кат!$G:$G,0)),INDEX(Торг!$I:$I,MATCH(Прайс!$B1628,Торг!$H:$H,0))),"")</f>
        <v/>
      </c>
    </row>
    <row r="1629" spans="1:8" x14ac:dyDescent="0.25">
      <c r="A1629" s="94" t="s">
        <v>3384</v>
      </c>
      <c r="B1629" s="98">
        <v>70255</v>
      </c>
      <c r="C1629" s="98" t="s">
        <v>965</v>
      </c>
      <c r="D1629" s="96" t="s">
        <v>161</v>
      </c>
      <c r="E1629" s="97">
        <v>85</v>
      </c>
      <c r="F1629" s="67" t="str">
        <f>IFERROR(IFERROR(INDEX(Кат!$A:$A,MATCH(Прайс!$B1629,Кат!$G:$G,0)),INDEX(Торг!$B:$B,MATCH(Прайс!$B1629,Торг!$H:$H,0))),"")</f>
        <v/>
      </c>
      <c r="G1629" s="67" t="str">
        <f>IFERROR(IFERROR(INDEX(Кат!$B:$B,MATCH(Прайс!$B1629,Кат!$G:$G,0)),INDEX(Торг!$C:$C,MATCH(Прайс!$B1629,Торг!$H:$H,0))),"")</f>
        <v/>
      </c>
      <c r="H1629" s="67" t="str">
        <f>IFERROR(IFERROR(INDEX(Кат!$I:$I,MATCH(Прайс!$B1629,Кат!$G:$G,0)),INDEX(Торг!$I:$I,MATCH(Прайс!$B1629,Торг!$H:$H,0))),"")</f>
        <v/>
      </c>
    </row>
    <row r="1630" spans="1:8" x14ac:dyDescent="0.25">
      <c r="A1630" s="94" t="s">
        <v>3385</v>
      </c>
      <c r="B1630" s="98">
        <v>70256</v>
      </c>
      <c r="C1630" s="98" t="s">
        <v>966</v>
      </c>
      <c r="D1630" s="96" t="s">
        <v>161</v>
      </c>
      <c r="E1630" s="97">
        <v>85</v>
      </c>
      <c r="F1630" s="67" t="str">
        <f>IFERROR(IFERROR(INDEX(Кат!$A:$A,MATCH(Прайс!$B1630,Кат!$G:$G,0)),INDEX(Торг!$B:$B,MATCH(Прайс!$B1630,Торг!$H:$H,0))),"")</f>
        <v/>
      </c>
      <c r="G1630" s="67" t="str">
        <f>IFERROR(IFERROR(INDEX(Кат!$B:$B,MATCH(Прайс!$B1630,Кат!$G:$G,0)),INDEX(Торг!$C:$C,MATCH(Прайс!$B1630,Торг!$H:$H,0))),"")</f>
        <v/>
      </c>
      <c r="H1630" s="67" t="str">
        <f>IFERROR(IFERROR(INDEX(Кат!$I:$I,MATCH(Прайс!$B1630,Кат!$G:$G,0)),INDEX(Торг!$I:$I,MATCH(Прайс!$B1630,Торг!$H:$H,0))),"")</f>
        <v/>
      </c>
    </row>
    <row r="1631" spans="1:8" x14ac:dyDescent="0.25">
      <c r="A1631" s="94" t="s">
        <v>3386</v>
      </c>
      <c r="B1631" s="98">
        <v>70259</v>
      </c>
      <c r="C1631" s="98" t="s">
        <v>967</v>
      </c>
      <c r="D1631" s="96" t="s">
        <v>161</v>
      </c>
      <c r="E1631" s="97">
        <v>85</v>
      </c>
      <c r="F1631" s="67" t="str">
        <f>IFERROR(IFERROR(INDEX(Кат!$A:$A,MATCH(Прайс!$B1631,Кат!$G:$G,0)),INDEX(Торг!$B:$B,MATCH(Прайс!$B1631,Торг!$H:$H,0))),"")</f>
        <v/>
      </c>
      <c r="G1631" s="67" t="str">
        <f>IFERROR(IFERROR(INDEX(Кат!$B:$B,MATCH(Прайс!$B1631,Кат!$G:$G,0)),INDEX(Торг!$C:$C,MATCH(Прайс!$B1631,Торг!$H:$H,0))),"")</f>
        <v/>
      </c>
      <c r="H1631" s="67" t="str">
        <f>IFERROR(IFERROR(INDEX(Кат!$I:$I,MATCH(Прайс!$B1631,Кат!$G:$G,0)),INDEX(Торг!$I:$I,MATCH(Прайс!$B1631,Торг!$H:$H,0))),"")</f>
        <v/>
      </c>
    </row>
    <row r="1632" spans="1:8" x14ac:dyDescent="0.25">
      <c r="A1632" s="94" t="s">
        <v>3387</v>
      </c>
      <c r="B1632" s="98">
        <v>70248</v>
      </c>
      <c r="C1632" s="98" t="s">
        <v>968</v>
      </c>
      <c r="D1632" s="96" t="s">
        <v>161</v>
      </c>
      <c r="E1632" s="97">
        <v>85</v>
      </c>
      <c r="F1632" s="67" t="str">
        <f>IFERROR(IFERROR(INDEX(Кат!$A:$A,MATCH(Прайс!$B1632,Кат!$G:$G,0)),INDEX(Торг!$B:$B,MATCH(Прайс!$B1632,Торг!$H:$H,0))),"")</f>
        <v/>
      </c>
      <c r="G1632" s="67" t="str">
        <f>IFERROR(IFERROR(INDEX(Кат!$B:$B,MATCH(Прайс!$B1632,Кат!$G:$G,0)),INDEX(Торг!$C:$C,MATCH(Прайс!$B1632,Торг!$H:$H,0))),"")</f>
        <v/>
      </c>
      <c r="H1632" s="67" t="str">
        <f>IFERROR(IFERROR(INDEX(Кат!$I:$I,MATCH(Прайс!$B1632,Кат!$G:$G,0)),INDEX(Торг!$I:$I,MATCH(Прайс!$B1632,Торг!$H:$H,0))),"")</f>
        <v/>
      </c>
    </row>
    <row r="1633" spans="1:8" x14ac:dyDescent="0.25">
      <c r="A1633" s="94" t="s">
        <v>3388</v>
      </c>
      <c r="B1633" s="98">
        <v>70249</v>
      </c>
      <c r="C1633" s="98" t="s">
        <v>969</v>
      </c>
      <c r="D1633" s="96" t="s">
        <v>161</v>
      </c>
      <c r="E1633" s="97">
        <v>85</v>
      </c>
      <c r="F1633" s="67" t="str">
        <f>IFERROR(IFERROR(INDEX(Кат!$A:$A,MATCH(Прайс!$B1633,Кат!$G:$G,0)),INDEX(Торг!$B:$B,MATCH(Прайс!$B1633,Торг!$H:$H,0))),"")</f>
        <v/>
      </c>
      <c r="G1633" s="67" t="str">
        <f>IFERROR(IFERROR(INDEX(Кат!$B:$B,MATCH(Прайс!$B1633,Кат!$G:$G,0)),INDEX(Торг!$C:$C,MATCH(Прайс!$B1633,Торг!$H:$H,0))),"")</f>
        <v/>
      </c>
      <c r="H1633" s="67" t="str">
        <f>IFERROR(IFERROR(INDEX(Кат!$I:$I,MATCH(Прайс!$B1633,Кат!$G:$G,0)),INDEX(Торг!$I:$I,MATCH(Прайс!$B1633,Торг!$H:$H,0))),"")</f>
        <v/>
      </c>
    </row>
    <row r="1634" spans="1:8" x14ac:dyDescent="0.25">
      <c r="A1634" s="94" t="s">
        <v>3389</v>
      </c>
      <c r="B1634" s="98">
        <v>70251</v>
      </c>
      <c r="C1634" s="98" t="s">
        <v>970</v>
      </c>
      <c r="D1634" s="96" t="s">
        <v>161</v>
      </c>
      <c r="E1634" s="97">
        <v>85</v>
      </c>
      <c r="F1634" s="67" t="str">
        <f>IFERROR(IFERROR(INDEX(Кат!$A:$A,MATCH(Прайс!$B1634,Кат!$G:$G,0)),INDEX(Торг!$B:$B,MATCH(Прайс!$B1634,Торг!$H:$H,0))),"")</f>
        <v/>
      </c>
      <c r="G1634" s="67" t="str">
        <f>IFERROR(IFERROR(INDEX(Кат!$B:$B,MATCH(Прайс!$B1634,Кат!$G:$G,0)),INDEX(Торг!$C:$C,MATCH(Прайс!$B1634,Торг!$H:$H,0))),"")</f>
        <v/>
      </c>
      <c r="H1634" s="67" t="str">
        <f>IFERROR(IFERROR(INDEX(Кат!$I:$I,MATCH(Прайс!$B1634,Кат!$G:$G,0)),INDEX(Торг!$I:$I,MATCH(Прайс!$B1634,Торг!$H:$H,0))),"")</f>
        <v/>
      </c>
    </row>
    <row r="1635" spans="1:8" x14ac:dyDescent="0.25">
      <c r="A1635" s="94" t="s">
        <v>3390</v>
      </c>
      <c r="B1635" s="98">
        <v>70253</v>
      </c>
      <c r="C1635" s="98" t="s">
        <v>971</v>
      </c>
      <c r="D1635" s="96" t="s">
        <v>161</v>
      </c>
      <c r="E1635" s="97">
        <v>85</v>
      </c>
      <c r="F1635" s="67" t="str">
        <f>IFERROR(IFERROR(INDEX(Кат!$A:$A,MATCH(Прайс!$B1635,Кат!$G:$G,0)),INDEX(Торг!$B:$B,MATCH(Прайс!$B1635,Торг!$H:$H,0))),"")</f>
        <v/>
      </c>
      <c r="G1635" s="67" t="str">
        <f>IFERROR(IFERROR(INDEX(Кат!$B:$B,MATCH(Прайс!$B1635,Кат!$G:$G,0)),INDEX(Торг!$C:$C,MATCH(Прайс!$B1635,Торг!$H:$H,0))),"")</f>
        <v/>
      </c>
      <c r="H1635" s="67" t="str">
        <f>IFERROR(IFERROR(INDEX(Кат!$I:$I,MATCH(Прайс!$B1635,Кат!$G:$G,0)),INDEX(Торг!$I:$I,MATCH(Прайс!$B1635,Торг!$H:$H,0))),"")</f>
        <v/>
      </c>
    </row>
    <row r="1636" spans="1:8" x14ac:dyDescent="0.25">
      <c r="A1636" s="94" t="s">
        <v>3391</v>
      </c>
      <c r="B1636" s="98">
        <v>70257</v>
      </c>
      <c r="C1636" s="98" t="s">
        <v>972</v>
      </c>
      <c r="D1636" s="96" t="s">
        <v>161</v>
      </c>
      <c r="E1636" s="97">
        <v>85</v>
      </c>
      <c r="F1636" s="67" t="str">
        <f>IFERROR(IFERROR(INDEX(Кат!$A:$A,MATCH(Прайс!$B1636,Кат!$G:$G,0)),INDEX(Торг!$B:$B,MATCH(Прайс!$B1636,Торг!$H:$H,0))),"")</f>
        <v/>
      </c>
      <c r="G1636" s="67" t="str">
        <f>IFERROR(IFERROR(INDEX(Кат!$B:$B,MATCH(Прайс!$B1636,Кат!$G:$G,0)),INDEX(Торг!$C:$C,MATCH(Прайс!$B1636,Торг!$H:$H,0))),"")</f>
        <v/>
      </c>
      <c r="H1636" s="67" t="str">
        <f>IFERROR(IFERROR(INDEX(Кат!$I:$I,MATCH(Прайс!$B1636,Кат!$G:$G,0)),INDEX(Торг!$I:$I,MATCH(Прайс!$B1636,Торг!$H:$H,0))),"")</f>
        <v/>
      </c>
    </row>
    <row r="1637" spans="1:8" x14ac:dyDescent="0.25">
      <c r="A1637" s="94" t="s">
        <v>3392</v>
      </c>
      <c r="B1637" s="98">
        <v>70258</v>
      </c>
      <c r="C1637" s="98" t="s">
        <v>973</v>
      </c>
      <c r="D1637" s="96" t="s">
        <v>161</v>
      </c>
      <c r="E1637" s="97">
        <v>85</v>
      </c>
      <c r="F1637" s="67" t="str">
        <f>IFERROR(IFERROR(INDEX(Кат!$A:$A,MATCH(Прайс!$B1637,Кат!$G:$G,0)),INDEX(Торг!$B:$B,MATCH(Прайс!$B1637,Торг!$H:$H,0))),"")</f>
        <v/>
      </c>
      <c r="G1637" s="67" t="str">
        <f>IFERROR(IFERROR(INDEX(Кат!$B:$B,MATCH(Прайс!$B1637,Кат!$G:$G,0)),INDEX(Торг!$C:$C,MATCH(Прайс!$B1637,Торг!$H:$H,0))),"")</f>
        <v/>
      </c>
      <c r="H1637" s="67" t="str">
        <f>IFERROR(IFERROR(INDEX(Кат!$I:$I,MATCH(Прайс!$B1637,Кат!$G:$G,0)),INDEX(Торг!$I:$I,MATCH(Прайс!$B1637,Торг!$H:$H,0))),"")</f>
        <v/>
      </c>
    </row>
    <row r="1638" spans="1:8" x14ac:dyDescent="0.25">
      <c r="A1638" s="94" t="s">
        <v>3393</v>
      </c>
      <c r="B1638" s="98">
        <v>70252</v>
      </c>
      <c r="C1638" s="98" t="s">
        <v>974</v>
      </c>
      <c r="D1638" s="96" t="s">
        <v>161</v>
      </c>
      <c r="E1638" s="97">
        <v>85</v>
      </c>
      <c r="F1638" s="67" t="str">
        <f>IFERROR(IFERROR(INDEX(Кат!$A:$A,MATCH(Прайс!$B1638,Кат!$G:$G,0)),INDEX(Торг!$B:$B,MATCH(Прайс!$B1638,Торг!$H:$H,0))),"")</f>
        <v/>
      </c>
      <c r="G1638" s="67" t="str">
        <f>IFERROR(IFERROR(INDEX(Кат!$B:$B,MATCH(Прайс!$B1638,Кат!$G:$G,0)),INDEX(Торг!$C:$C,MATCH(Прайс!$B1638,Торг!$H:$H,0))),"")</f>
        <v/>
      </c>
      <c r="H1638" s="67" t="str">
        <f>IFERROR(IFERROR(INDEX(Кат!$I:$I,MATCH(Прайс!$B1638,Кат!$G:$G,0)),INDEX(Торг!$I:$I,MATCH(Прайс!$B1638,Торг!$H:$H,0))),"")</f>
        <v/>
      </c>
    </row>
    <row r="1639" spans="1:8" x14ac:dyDescent="0.25">
      <c r="A1639" s="94" t="s">
        <v>3394</v>
      </c>
      <c r="B1639" s="98">
        <v>70260</v>
      </c>
      <c r="C1639" s="98" t="s">
        <v>975</v>
      </c>
      <c r="D1639" s="96" t="s">
        <v>161</v>
      </c>
      <c r="E1639" s="97">
        <v>85</v>
      </c>
      <c r="F1639" s="67" t="str">
        <f>IFERROR(IFERROR(INDEX(Кат!$A:$A,MATCH(Прайс!$B1639,Кат!$G:$G,0)),INDEX(Торг!$B:$B,MATCH(Прайс!$B1639,Торг!$H:$H,0))),"")</f>
        <v/>
      </c>
      <c r="G1639" s="67" t="str">
        <f>IFERROR(IFERROR(INDEX(Кат!$B:$B,MATCH(Прайс!$B1639,Кат!$G:$G,0)),INDEX(Торг!$C:$C,MATCH(Прайс!$B1639,Торг!$H:$H,0))),"")</f>
        <v/>
      </c>
      <c r="H1639" s="67" t="str">
        <f>IFERROR(IFERROR(INDEX(Кат!$I:$I,MATCH(Прайс!$B1639,Кат!$G:$G,0)),INDEX(Торг!$I:$I,MATCH(Прайс!$B1639,Торг!$H:$H,0))),"")</f>
        <v/>
      </c>
    </row>
    <row r="1640" spans="1:8" x14ac:dyDescent="0.25">
      <c r="A1640" s="94" t="s">
        <v>3395</v>
      </c>
      <c r="B1640" s="98">
        <v>70250</v>
      </c>
      <c r="C1640" s="98" t="s">
        <v>976</v>
      </c>
      <c r="D1640" s="96" t="s">
        <v>161</v>
      </c>
      <c r="E1640" s="97">
        <v>85</v>
      </c>
      <c r="F1640" s="67" t="str">
        <f>IFERROR(IFERROR(INDEX(Кат!$A:$A,MATCH(Прайс!$B1640,Кат!$G:$G,0)),INDEX(Торг!$B:$B,MATCH(Прайс!$B1640,Торг!$H:$H,0))),"")</f>
        <v/>
      </c>
      <c r="G1640" s="67" t="str">
        <f>IFERROR(IFERROR(INDEX(Кат!$B:$B,MATCH(Прайс!$B1640,Кат!$G:$G,0)),INDEX(Торг!$C:$C,MATCH(Прайс!$B1640,Торг!$H:$H,0))),"")</f>
        <v/>
      </c>
      <c r="H1640" s="67" t="str">
        <f>IFERROR(IFERROR(INDEX(Кат!$I:$I,MATCH(Прайс!$B1640,Кат!$G:$G,0)),INDEX(Торг!$I:$I,MATCH(Прайс!$B1640,Торг!$H:$H,0))),"")</f>
        <v/>
      </c>
    </row>
    <row r="1641" spans="1:8" x14ac:dyDescent="0.25">
      <c r="A1641" s="94" t="s">
        <v>3396</v>
      </c>
      <c r="B1641" s="98">
        <v>70254</v>
      </c>
      <c r="C1641" s="98" t="s">
        <v>977</v>
      </c>
      <c r="D1641" s="96" t="s">
        <v>161</v>
      </c>
      <c r="E1641" s="97">
        <v>85</v>
      </c>
      <c r="F1641" s="67" t="str">
        <f>IFERROR(IFERROR(INDEX(Кат!$A:$A,MATCH(Прайс!$B1641,Кат!$G:$G,0)),INDEX(Торг!$B:$B,MATCH(Прайс!$B1641,Торг!$H:$H,0))),"")</f>
        <v/>
      </c>
      <c r="G1641" s="67" t="str">
        <f>IFERROR(IFERROR(INDEX(Кат!$B:$B,MATCH(Прайс!$B1641,Кат!$G:$G,0)),INDEX(Торг!$C:$C,MATCH(Прайс!$B1641,Торг!$H:$H,0))),"")</f>
        <v/>
      </c>
      <c r="H1641" s="67" t="str">
        <f>IFERROR(IFERROR(INDEX(Кат!$I:$I,MATCH(Прайс!$B1641,Кат!$G:$G,0)),INDEX(Торг!$I:$I,MATCH(Прайс!$B1641,Торг!$H:$H,0))),"")</f>
        <v/>
      </c>
    </row>
    <row r="1642" spans="1:8" x14ac:dyDescent="0.25">
      <c r="A1642" s="94" t="s">
        <v>3397</v>
      </c>
      <c r="B1642" s="98">
        <v>70261</v>
      </c>
      <c r="C1642" s="98" t="s">
        <v>978</v>
      </c>
      <c r="D1642" s="96" t="s">
        <v>161</v>
      </c>
      <c r="E1642" s="97">
        <v>85</v>
      </c>
      <c r="F1642" s="67" t="str">
        <f>IFERROR(IFERROR(INDEX(Кат!$A:$A,MATCH(Прайс!$B1642,Кат!$G:$G,0)),INDEX(Торг!$B:$B,MATCH(Прайс!$B1642,Торг!$H:$H,0))),"")</f>
        <v/>
      </c>
      <c r="G1642" s="67" t="str">
        <f>IFERROR(IFERROR(INDEX(Кат!$B:$B,MATCH(Прайс!$B1642,Кат!$G:$G,0)),INDEX(Торг!$C:$C,MATCH(Прайс!$B1642,Торг!$H:$H,0))),"")</f>
        <v/>
      </c>
      <c r="H1642" s="67" t="str">
        <f>IFERROR(IFERROR(INDEX(Кат!$I:$I,MATCH(Прайс!$B1642,Кат!$G:$G,0)),INDEX(Торг!$I:$I,MATCH(Прайс!$B1642,Торг!$H:$H,0))),"")</f>
        <v/>
      </c>
    </row>
    <row r="1643" spans="1:8" x14ac:dyDescent="0.25">
      <c r="A1643" s="94" t="s">
        <v>3398</v>
      </c>
      <c r="B1643" s="98">
        <v>71841</v>
      </c>
      <c r="C1643" s="98" t="s">
        <v>979</v>
      </c>
      <c r="D1643" s="96" t="s">
        <v>166</v>
      </c>
      <c r="E1643" s="97">
        <v>80</v>
      </c>
      <c r="F1643" s="67" t="str">
        <f>IFERROR(IFERROR(INDEX(Кат!$A:$A,MATCH(Прайс!$B1643,Кат!$G:$G,0)),INDEX(Торг!$B:$B,MATCH(Прайс!$B1643,Торг!$H:$H,0))),"")</f>
        <v/>
      </c>
      <c r="G1643" s="67" t="str">
        <f>IFERROR(IFERROR(INDEX(Кат!$B:$B,MATCH(Прайс!$B1643,Кат!$G:$G,0)),INDEX(Торг!$C:$C,MATCH(Прайс!$B1643,Торг!$H:$H,0))),"")</f>
        <v/>
      </c>
      <c r="H1643" s="67" t="str">
        <f>IFERROR(IFERROR(INDEX(Кат!$I:$I,MATCH(Прайс!$B1643,Кат!$G:$G,0)),INDEX(Торг!$I:$I,MATCH(Прайс!$B1643,Торг!$H:$H,0))),"")</f>
        <v/>
      </c>
    </row>
    <row r="1644" spans="1:8" x14ac:dyDescent="0.25">
      <c r="A1644" s="94" t="s">
        <v>6807</v>
      </c>
      <c r="B1644" s="98">
        <v>71842</v>
      </c>
      <c r="C1644" s="98" t="s">
        <v>6808</v>
      </c>
      <c r="D1644" s="96" t="s">
        <v>166</v>
      </c>
      <c r="E1644" s="97">
        <v>80</v>
      </c>
      <c r="F1644" s="67" t="str">
        <f>IFERROR(IFERROR(INDEX(Кат!$A:$A,MATCH(Прайс!$B1644,Кат!$G:$G,0)),INDEX(Торг!$B:$B,MATCH(Прайс!$B1644,Торг!$H:$H,0))),"")</f>
        <v/>
      </c>
      <c r="G1644" s="67" t="str">
        <f>IFERROR(IFERROR(INDEX(Кат!$B:$B,MATCH(Прайс!$B1644,Кат!$G:$G,0)),INDEX(Торг!$C:$C,MATCH(Прайс!$B1644,Торг!$H:$H,0))),"")</f>
        <v/>
      </c>
      <c r="H1644" s="67" t="str">
        <f>IFERROR(IFERROR(INDEX(Кат!$I:$I,MATCH(Прайс!$B1644,Кат!$G:$G,0)),INDEX(Торг!$I:$I,MATCH(Прайс!$B1644,Торг!$H:$H,0))),"")</f>
        <v/>
      </c>
    </row>
    <row r="1645" spans="1:8" x14ac:dyDescent="0.25">
      <c r="A1645" s="94" t="s">
        <v>3399</v>
      </c>
      <c r="B1645" s="98">
        <v>71843</v>
      </c>
      <c r="C1645" s="98" t="s">
        <v>980</v>
      </c>
      <c r="D1645" s="96" t="s">
        <v>166</v>
      </c>
      <c r="E1645" s="97">
        <v>80</v>
      </c>
      <c r="F1645" s="67" t="str">
        <f>IFERROR(IFERROR(INDEX(Кат!$A:$A,MATCH(Прайс!$B1645,Кат!$G:$G,0)),INDEX(Торг!$B:$B,MATCH(Прайс!$B1645,Торг!$H:$H,0))),"")</f>
        <v/>
      </c>
      <c r="G1645" s="67" t="str">
        <f>IFERROR(IFERROR(INDEX(Кат!$B:$B,MATCH(Прайс!$B1645,Кат!$G:$G,0)),INDEX(Торг!$C:$C,MATCH(Прайс!$B1645,Торг!$H:$H,0))),"")</f>
        <v/>
      </c>
      <c r="H1645" s="67" t="str">
        <f>IFERROR(IFERROR(INDEX(Кат!$I:$I,MATCH(Прайс!$B1645,Кат!$G:$G,0)),INDEX(Торг!$I:$I,MATCH(Прайс!$B1645,Торг!$H:$H,0))),"")</f>
        <v/>
      </c>
    </row>
    <row r="1646" spans="1:8" x14ac:dyDescent="0.25">
      <c r="A1646" s="94" t="s">
        <v>3400</v>
      </c>
      <c r="B1646" s="98">
        <v>71844</v>
      </c>
      <c r="C1646" s="98" t="s">
        <v>981</v>
      </c>
      <c r="D1646" s="96" t="s">
        <v>166</v>
      </c>
      <c r="E1646" s="97">
        <v>80</v>
      </c>
      <c r="F1646" s="67" t="str">
        <f>IFERROR(IFERROR(INDEX(Кат!$A:$A,MATCH(Прайс!$B1646,Кат!$G:$G,0)),INDEX(Торг!$B:$B,MATCH(Прайс!$B1646,Торг!$H:$H,0))),"")</f>
        <v/>
      </c>
      <c r="G1646" s="67" t="str">
        <f>IFERROR(IFERROR(INDEX(Кат!$B:$B,MATCH(Прайс!$B1646,Кат!$G:$G,0)),INDEX(Торг!$C:$C,MATCH(Прайс!$B1646,Торг!$H:$H,0))),"")</f>
        <v/>
      </c>
      <c r="H1646" s="67" t="str">
        <f>IFERROR(IFERROR(INDEX(Кат!$I:$I,MATCH(Прайс!$B1646,Кат!$G:$G,0)),INDEX(Торг!$I:$I,MATCH(Прайс!$B1646,Торг!$H:$H,0))),"")</f>
        <v/>
      </c>
    </row>
    <row r="1647" spans="1:8" x14ac:dyDescent="0.25">
      <c r="A1647" s="94" t="s">
        <v>3401</v>
      </c>
      <c r="B1647" s="98">
        <v>71845</v>
      </c>
      <c r="C1647" s="98" t="s">
        <v>982</v>
      </c>
      <c r="D1647" s="96" t="s">
        <v>166</v>
      </c>
      <c r="E1647" s="97">
        <v>80</v>
      </c>
      <c r="F1647" s="67" t="str">
        <f>IFERROR(IFERROR(INDEX(Кат!$A:$A,MATCH(Прайс!$B1647,Кат!$G:$G,0)),INDEX(Торг!$B:$B,MATCH(Прайс!$B1647,Торг!$H:$H,0))),"")</f>
        <v/>
      </c>
      <c r="G1647" s="67" t="str">
        <f>IFERROR(IFERROR(INDEX(Кат!$B:$B,MATCH(Прайс!$B1647,Кат!$G:$G,0)),INDEX(Торг!$C:$C,MATCH(Прайс!$B1647,Торг!$H:$H,0))),"")</f>
        <v/>
      </c>
      <c r="H1647" s="67" t="str">
        <f>IFERROR(IFERROR(INDEX(Кат!$I:$I,MATCH(Прайс!$B1647,Кат!$G:$G,0)),INDEX(Торг!$I:$I,MATCH(Прайс!$B1647,Торг!$H:$H,0))),"")</f>
        <v/>
      </c>
    </row>
    <row r="1648" spans="1:8" x14ac:dyDescent="0.25">
      <c r="A1648" s="103" t="s">
        <v>3402</v>
      </c>
      <c r="B1648" s="104">
        <v>71846</v>
      </c>
      <c r="C1648" s="104" t="s">
        <v>983</v>
      </c>
      <c r="D1648" s="105" t="s">
        <v>166</v>
      </c>
      <c r="E1648" s="113">
        <v>80</v>
      </c>
      <c r="F1648" s="67" t="str">
        <f>IFERROR(IFERROR(INDEX(Кат!$A:$A,MATCH(Прайс!$B1648,Кат!$G:$G,0)),INDEX(Торг!$B:$B,MATCH(Прайс!$B1648,Торг!$H:$H,0))),"")</f>
        <v/>
      </c>
      <c r="G1648" s="67" t="str">
        <f>IFERROR(IFERROR(INDEX(Кат!$B:$B,MATCH(Прайс!$B1648,Кат!$G:$G,0)),INDEX(Торг!$C:$C,MATCH(Прайс!$B1648,Торг!$H:$H,0))),"")</f>
        <v/>
      </c>
      <c r="H1648" s="67" t="str">
        <f>IFERROR(IFERROR(INDEX(Кат!$I:$I,MATCH(Прайс!$B1648,Кат!$G:$G,0)),INDEX(Торг!$I:$I,MATCH(Прайс!$B1648,Торг!$H:$H,0))),"")</f>
        <v/>
      </c>
    </row>
    <row r="1649" spans="1:8" x14ac:dyDescent="0.25">
      <c r="A1649" s="94" t="s">
        <v>3403</v>
      </c>
      <c r="B1649" s="98">
        <v>71847</v>
      </c>
      <c r="C1649" s="98" t="s">
        <v>984</v>
      </c>
      <c r="D1649" s="96" t="s">
        <v>166</v>
      </c>
      <c r="E1649" s="97">
        <v>80</v>
      </c>
      <c r="F1649" s="67" t="str">
        <f>IFERROR(IFERROR(INDEX(Кат!$A:$A,MATCH(Прайс!$B1649,Кат!$G:$G,0)),INDEX(Торг!$B:$B,MATCH(Прайс!$B1649,Торг!$H:$H,0))),"")</f>
        <v/>
      </c>
      <c r="G1649" s="67" t="str">
        <f>IFERROR(IFERROR(INDEX(Кат!$B:$B,MATCH(Прайс!$B1649,Кат!$G:$G,0)),INDEX(Торг!$C:$C,MATCH(Прайс!$B1649,Торг!$H:$H,0))),"")</f>
        <v/>
      </c>
      <c r="H1649" s="67" t="str">
        <f>IFERROR(IFERROR(INDEX(Кат!$I:$I,MATCH(Прайс!$B1649,Кат!$G:$G,0)),INDEX(Торг!$I:$I,MATCH(Прайс!$B1649,Торг!$H:$H,0))),"")</f>
        <v/>
      </c>
    </row>
    <row r="1650" spans="1:8" x14ac:dyDescent="0.25">
      <c r="A1650" s="94" t="s">
        <v>3404</v>
      </c>
      <c r="B1650" s="98">
        <v>71848</v>
      </c>
      <c r="C1650" s="98" t="s">
        <v>985</v>
      </c>
      <c r="D1650" s="96" t="s">
        <v>166</v>
      </c>
      <c r="E1650" s="97">
        <v>80</v>
      </c>
      <c r="F1650" s="67" t="str">
        <f>IFERROR(IFERROR(INDEX(Кат!$A:$A,MATCH(Прайс!$B1650,Кат!$G:$G,0)),INDEX(Торг!$B:$B,MATCH(Прайс!$B1650,Торг!$H:$H,0))),"")</f>
        <v/>
      </c>
      <c r="G1650" s="67" t="str">
        <f>IFERROR(IFERROR(INDEX(Кат!$B:$B,MATCH(Прайс!$B1650,Кат!$G:$G,0)),INDEX(Торг!$C:$C,MATCH(Прайс!$B1650,Торг!$H:$H,0))),"")</f>
        <v/>
      </c>
      <c r="H1650" s="67" t="str">
        <f>IFERROR(IFERROR(INDEX(Кат!$I:$I,MATCH(Прайс!$B1650,Кат!$G:$G,0)),INDEX(Торг!$I:$I,MATCH(Прайс!$B1650,Торг!$H:$H,0))),"")</f>
        <v/>
      </c>
    </row>
    <row r="1651" spans="1:8" x14ac:dyDescent="0.25">
      <c r="A1651" s="94" t="s">
        <v>3405</v>
      </c>
      <c r="B1651" s="98">
        <v>71849</v>
      </c>
      <c r="C1651" s="98" t="s">
        <v>986</v>
      </c>
      <c r="D1651" s="96" t="s">
        <v>166</v>
      </c>
      <c r="E1651" s="97">
        <v>80</v>
      </c>
      <c r="F1651" s="67" t="str">
        <f>IFERROR(IFERROR(INDEX(Кат!$A:$A,MATCH(Прайс!$B1651,Кат!$G:$G,0)),INDEX(Торг!$B:$B,MATCH(Прайс!$B1651,Торг!$H:$H,0))),"")</f>
        <v/>
      </c>
      <c r="G1651" s="67" t="str">
        <f>IFERROR(IFERROR(INDEX(Кат!$B:$B,MATCH(Прайс!$B1651,Кат!$G:$G,0)),INDEX(Торг!$C:$C,MATCH(Прайс!$B1651,Торг!$H:$H,0))),"")</f>
        <v/>
      </c>
      <c r="H1651" s="67" t="str">
        <f>IFERROR(IFERROR(INDEX(Кат!$I:$I,MATCH(Прайс!$B1651,Кат!$G:$G,0)),INDEX(Торг!$I:$I,MATCH(Прайс!$B1651,Торг!$H:$H,0))),"")</f>
        <v/>
      </c>
    </row>
    <row r="1652" spans="1:8" x14ac:dyDescent="0.25">
      <c r="A1652" s="103" t="s">
        <v>6809</v>
      </c>
      <c r="B1652" s="104">
        <v>71918</v>
      </c>
      <c r="C1652" s="104" t="s">
        <v>6810</v>
      </c>
      <c r="D1652" s="105" t="s">
        <v>161</v>
      </c>
      <c r="E1652" s="113">
        <v>80</v>
      </c>
      <c r="F1652" s="67" t="str">
        <f>IFERROR(IFERROR(INDEX(Кат!$A:$A,MATCH(Прайс!$B1652,Кат!$G:$G,0)),INDEX(Торг!$B:$B,MATCH(Прайс!$B1652,Торг!$H:$H,0))),"")</f>
        <v/>
      </c>
      <c r="G1652" s="67" t="str">
        <f>IFERROR(IFERROR(INDEX(Кат!$B:$B,MATCH(Прайс!$B1652,Кат!$G:$G,0)),INDEX(Торг!$C:$C,MATCH(Прайс!$B1652,Торг!$H:$H,0))),"")</f>
        <v/>
      </c>
      <c r="H1652" s="67" t="str">
        <f>IFERROR(IFERROR(INDEX(Кат!$I:$I,MATCH(Прайс!$B1652,Кат!$G:$G,0)),INDEX(Торг!$I:$I,MATCH(Прайс!$B1652,Торг!$H:$H,0))),"")</f>
        <v/>
      </c>
    </row>
    <row r="1653" spans="1:8" x14ac:dyDescent="0.25">
      <c r="A1653" s="103" t="s">
        <v>6811</v>
      </c>
      <c r="B1653" s="104">
        <v>71909</v>
      </c>
      <c r="C1653" s="104" t="s">
        <v>6812</v>
      </c>
      <c r="D1653" s="105" t="s">
        <v>161</v>
      </c>
      <c r="E1653" s="113">
        <v>80</v>
      </c>
      <c r="F1653" s="67" t="str">
        <f>IFERROR(IFERROR(INDEX(Кат!$A:$A,MATCH(Прайс!$B1653,Кат!$G:$G,0)),INDEX(Торг!$B:$B,MATCH(Прайс!$B1653,Торг!$H:$H,0))),"")</f>
        <v/>
      </c>
      <c r="G1653" s="67" t="str">
        <f>IFERROR(IFERROR(INDEX(Кат!$B:$B,MATCH(Прайс!$B1653,Кат!$G:$G,0)),INDEX(Торг!$C:$C,MATCH(Прайс!$B1653,Торг!$H:$H,0))),"")</f>
        <v/>
      </c>
      <c r="H1653" s="67" t="str">
        <f>IFERROR(IFERROR(INDEX(Кат!$I:$I,MATCH(Прайс!$B1653,Кат!$G:$G,0)),INDEX(Торг!$I:$I,MATCH(Прайс!$B1653,Торг!$H:$H,0))),"")</f>
        <v/>
      </c>
    </row>
    <row r="1654" spans="1:8" x14ac:dyDescent="0.25">
      <c r="A1654" s="103" t="s">
        <v>6813</v>
      </c>
      <c r="B1654" s="104">
        <v>71908</v>
      </c>
      <c r="C1654" s="104" t="s">
        <v>6814</v>
      </c>
      <c r="D1654" s="105" t="s">
        <v>161</v>
      </c>
      <c r="E1654" s="113">
        <v>80</v>
      </c>
      <c r="F1654" s="67" t="str">
        <f>IFERROR(IFERROR(INDEX(Кат!$A:$A,MATCH(Прайс!$B1654,Кат!$G:$G,0)),INDEX(Торг!$B:$B,MATCH(Прайс!$B1654,Торг!$H:$H,0))),"")</f>
        <v/>
      </c>
      <c r="G1654" s="67" t="str">
        <f>IFERROR(IFERROR(INDEX(Кат!$B:$B,MATCH(Прайс!$B1654,Кат!$G:$G,0)),INDEX(Торг!$C:$C,MATCH(Прайс!$B1654,Торг!$H:$H,0))),"")</f>
        <v/>
      </c>
      <c r="H1654" s="67" t="str">
        <f>IFERROR(IFERROR(INDEX(Кат!$I:$I,MATCH(Прайс!$B1654,Кат!$G:$G,0)),INDEX(Торг!$I:$I,MATCH(Прайс!$B1654,Торг!$H:$H,0))),"")</f>
        <v/>
      </c>
    </row>
    <row r="1655" spans="1:8" x14ac:dyDescent="0.25">
      <c r="A1655" s="103" t="s">
        <v>3406</v>
      </c>
      <c r="B1655" s="104">
        <v>71874</v>
      </c>
      <c r="C1655" s="104" t="s">
        <v>987</v>
      </c>
      <c r="D1655" s="105" t="s">
        <v>161</v>
      </c>
      <c r="E1655" s="113">
        <v>80</v>
      </c>
      <c r="F1655" s="67" t="str">
        <f>IFERROR(IFERROR(INDEX(Кат!$A:$A,MATCH(Прайс!$B1655,Кат!$G:$G,0)),INDEX(Торг!$B:$B,MATCH(Прайс!$B1655,Торг!$H:$H,0))),"")</f>
        <v/>
      </c>
      <c r="G1655" s="67" t="str">
        <f>IFERROR(IFERROR(INDEX(Кат!$B:$B,MATCH(Прайс!$B1655,Кат!$G:$G,0)),INDEX(Торг!$C:$C,MATCH(Прайс!$B1655,Торг!$H:$H,0))),"")</f>
        <v/>
      </c>
      <c r="H1655" s="67" t="str">
        <f>IFERROR(IFERROR(INDEX(Кат!$I:$I,MATCH(Прайс!$B1655,Кат!$G:$G,0)),INDEX(Торг!$I:$I,MATCH(Прайс!$B1655,Торг!$H:$H,0))),"")</f>
        <v/>
      </c>
    </row>
    <row r="1656" spans="1:8" x14ac:dyDescent="0.25">
      <c r="A1656" s="103" t="s">
        <v>3407</v>
      </c>
      <c r="B1656" s="104">
        <v>71911</v>
      </c>
      <c r="C1656" s="104" t="s">
        <v>988</v>
      </c>
      <c r="D1656" s="105" t="s">
        <v>161</v>
      </c>
      <c r="E1656" s="113">
        <v>80</v>
      </c>
      <c r="F1656" s="67" t="str">
        <f>IFERROR(IFERROR(INDEX(Кат!$A:$A,MATCH(Прайс!$B1656,Кат!$G:$G,0)),INDEX(Торг!$B:$B,MATCH(Прайс!$B1656,Торг!$H:$H,0))),"")</f>
        <v/>
      </c>
      <c r="G1656" s="67" t="str">
        <f>IFERROR(IFERROR(INDEX(Кат!$B:$B,MATCH(Прайс!$B1656,Кат!$G:$G,0)),INDEX(Торг!$C:$C,MATCH(Прайс!$B1656,Торг!$H:$H,0))),"")</f>
        <v/>
      </c>
      <c r="H1656" s="67" t="str">
        <f>IFERROR(IFERROR(INDEX(Кат!$I:$I,MATCH(Прайс!$B1656,Кат!$G:$G,0)),INDEX(Торг!$I:$I,MATCH(Прайс!$B1656,Торг!$H:$H,0))),"")</f>
        <v/>
      </c>
    </row>
    <row r="1657" spans="1:8" x14ac:dyDescent="0.25">
      <c r="A1657" s="103" t="s">
        <v>3408</v>
      </c>
      <c r="B1657" s="104">
        <v>71910</v>
      </c>
      <c r="C1657" s="104" t="s">
        <v>989</v>
      </c>
      <c r="D1657" s="105" t="s">
        <v>161</v>
      </c>
      <c r="E1657" s="113">
        <v>80</v>
      </c>
      <c r="F1657" s="67" t="str">
        <f>IFERROR(IFERROR(INDEX(Кат!$A:$A,MATCH(Прайс!$B1657,Кат!$G:$G,0)),INDEX(Торг!$B:$B,MATCH(Прайс!$B1657,Торг!$H:$H,0))),"")</f>
        <v/>
      </c>
      <c r="G1657" s="67" t="str">
        <f>IFERROR(IFERROR(INDEX(Кат!$B:$B,MATCH(Прайс!$B1657,Кат!$G:$G,0)),INDEX(Торг!$C:$C,MATCH(Прайс!$B1657,Торг!$H:$H,0))),"")</f>
        <v/>
      </c>
      <c r="H1657" s="67" t="str">
        <f>IFERROR(IFERROR(INDEX(Кат!$I:$I,MATCH(Прайс!$B1657,Кат!$G:$G,0)),INDEX(Торг!$I:$I,MATCH(Прайс!$B1657,Торг!$H:$H,0))),"")</f>
        <v/>
      </c>
    </row>
    <row r="1658" spans="1:8" x14ac:dyDescent="0.25">
      <c r="A1658" s="103" t="s">
        <v>6815</v>
      </c>
      <c r="B1658" s="104">
        <v>71913</v>
      </c>
      <c r="C1658" s="104" t="s">
        <v>6816</v>
      </c>
      <c r="D1658" s="105" t="s">
        <v>161</v>
      </c>
      <c r="E1658" s="113">
        <v>80</v>
      </c>
      <c r="F1658" s="67" t="str">
        <f>IFERROR(IFERROR(INDEX(Кат!$A:$A,MATCH(Прайс!$B1658,Кат!$G:$G,0)),INDEX(Торг!$B:$B,MATCH(Прайс!$B1658,Торг!$H:$H,0))),"")</f>
        <v/>
      </c>
      <c r="G1658" s="67" t="str">
        <f>IFERROR(IFERROR(INDEX(Кат!$B:$B,MATCH(Прайс!$B1658,Кат!$G:$G,0)),INDEX(Торг!$C:$C,MATCH(Прайс!$B1658,Торг!$H:$H,0))),"")</f>
        <v/>
      </c>
      <c r="H1658" s="67" t="str">
        <f>IFERROR(IFERROR(INDEX(Кат!$I:$I,MATCH(Прайс!$B1658,Кат!$G:$G,0)),INDEX(Торг!$I:$I,MATCH(Прайс!$B1658,Торг!$H:$H,0))),"")</f>
        <v/>
      </c>
    </row>
    <row r="1659" spans="1:8" x14ac:dyDescent="0.25">
      <c r="A1659" s="103" t="s">
        <v>6817</v>
      </c>
      <c r="B1659" s="104">
        <v>71917</v>
      </c>
      <c r="C1659" s="104" t="s">
        <v>6818</v>
      </c>
      <c r="D1659" s="105" t="s">
        <v>161</v>
      </c>
      <c r="E1659" s="113">
        <v>80</v>
      </c>
      <c r="F1659" s="67" t="str">
        <f>IFERROR(IFERROR(INDEX(Кат!$A:$A,MATCH(Прайс!$B1659,Кат!$G:$G,0)),INDEX(Торг!$B:$B,MATCH(Прайс!$B1659,Торг!$H:$H,0))),"")</f>
        <v/>
      </c>
      <c r="G1659" s="67" t="str">
        <f>IFERROR(IFERROR(INDEX(Кат!$B:$B,MATCH(Прайс!$B1659,Кат!$G:$G,0)),INDEX(Торг!$C:$C,MATCH(Прайс!$B1659,Торг!$H:$H,0))),"")</f>
        <v/>
      </c>
      <c r="H1659" s="67" t="str">
        <f>IFERROR(IFERROR(INDEX(Кат!$I:$I,MATCH(Прайс!$B1659,Кат!$G:$G,0)),INDEX(Торг!$I:$I,MATCH(Прайс!$B1659,Торг!$H:$H,0))),"")</f>
        <v/>
      </c>
    </row>
    <row r="1660" spans="1:8" x14ac:dyDescent="0.25">
      <c r="A1660" s="103" t="s">
        <v>6819</v>
      </c>
      <c r="B1660" s="104">
        <v>71912</v>
      </c>
      <c r="C1660" s="104" t="s">
        <v>6820</v>
      </c>
      <c r="D1660" s="105" t="s">
        <v>161</v>
      </c>
      <c r="E1660" s="113">
        <v>80</v>
      </c>
      <c r="F1660" s="67" t="str">
        <f>IFERROR(IFERROR(INDEX(Кат!$A:$A,MATCH(Прайс!$B1660,Кат!$G:$G,0)),INDEX(Торг!$B:$B,MATCH(Прайс!$B1660,Торг!$H:$H,0))),"")</f>
        <v/>
      </c>
      <c r="G1660" s="67" t="str">
        <f>IFERROR(IFERROR(INDEX(Кат!$B:$B,MATCH(Прайс!$B1660,Кат!$G:$G,0)),INDEX(Торг!$C:$C,MATCH(Прайс!$B1660,Торг!$H:$H,0))),"")</f>
        <v/>
      </c>
      <c r="H1660" s="67" t="str">
        <f>IFERROR(IFERROR(INDEX(Кат!$I:$I,MATCH(Прайс!$B1660,Кат!$G:$G,0)),INDEX(Торг!$I:$I,MATCH(Прайс!$B1660,Торг!$H:$H,0))),"")</f>
        <v/>
      </c>
    </row>
    <row r="1661" spans="1:8" x14ac:dyDescent="0.25">
      <c r="A1661" s="103" t="s">
        <v>6821</v>
      </c>
      <c r="B1661" s="104">
        <v>71875</v>
      </c>
      <c r="C1661" s="104" t="s">
        <v>6822</v>
      </c>
      <c r="D1661" s="105" t="s">
        <v>161</v>
      </c>
      <c r="E1661" s="113">
        <v>80</v>
      </c>
      <c r="F1661" s="67" t="str">
        <f>IFERROR(IFERROR(INDEX(Кат!$A:$A,MATCH(Прайс!$B1661,Кат!$G:$G,0)),INDEX(Торг!$B:$B,MATCH(Прайс!$B1661,Торг!$H:$H,0))),"")</f>
        <v/>
      </c>
      <c r="G1661" s="67" t="str">
        <f>IFERROR(IFERROR(INDEX(Кат!$B:$B,MATCH(Прайс!$B1661,Кат!$G:$G,0)),INDEX(Торг!$C:$C,MATCH(Прайс!$B1661,Торг!$H:$H,0))),"")</f>
        <v/>
      </c>
      <c r="H1661" s="67" t="str">
        <f>IFERROR(IFERROR(INDEX(Кат!$I:$I,MATCH(Прайс!$B1661,Кат!$G:$G,0)),INDEX(Торг!$I:$I,MATCH(Прайс!$B1661,Торг!$H:$H,0))),"")</f>
        <v/>
      </c>
    </row>
    <row r="1662" spans="1:8" x14ac:dyDescent="0.25">
      <c r="A1662" s="103" t="s">
        <v>5429</v>
      </c>
      <c r="B1662" s="104">
        <v>71916</v>
      </c>
      <c r="C1662" s="104" t="s">
        <v>5430</v>
      </c>
      <c r="D1662" s="105" t="s">
        <v>161</v>
      </c>
      <c r="E1662" s="113">
        <v>80</v>
      </c>
      <c r="F1662" s="67" t="str">
        <f>IFERROR(IFERROR(INDEX(Кат!$A:$A,MATCH(Прайс!$B1662,Кат!$G:$G,0)),INDEX(Торг!$B:$B,MATCH(Прайс!$B1662,Торг!$H:$H,0))),"")</f>
        <v/>
      </c>
      <c r="G1662" s="67" t="str">
        <f>IFERROR(IFERROR(INDEX(Кат!$B:$B,MATCH(Прайс!$B1662,Кат!$G:$G,0)),INDEX(Торг!$C:$C,MATCH(Прайс!$B1662,Торг!$H:$H,0))),"")</f>
        <v/>
      </c>
      <c r="H1662" s="67" t="str">
        <f>IFERROR(IFERROR(INDEX(Кат!$I:$I,MATCH(Прайс!$B1662,Кат!$G:$G,0)),INDEX(Торг!$I:$I,MATCH(Прайс!$B1662,Торг!$H:$H,0))),"")</f>
        <v/>
      </c>
    </row>
    <row r="1663" spans="1:8" x14ac:dyDescent="0.25">
      <c r="A1663" s="103" t="s">
        <v>3409</v>
      </c>
      <c r="B1663" s="104">
        <v>71915</v>
      </c>
      <c r="C1663" s="104" t="s">
        <v>990</v>
      </c>
      <c r="D1663" s="105" t="s">
        <v>161</v>
      </c>
      <c r="E1663" s="113">
        <v>80</v>
      </c>
      <c r="F1663" s="67" t="str">
        <f>IFERROR(IFERROR(INDEX(Кат!$A:$A,MATCH(Прайс!$B1663,Кат!$G:$G,0)),INDEX(Торг!$B:$B,MATCH(Прайс!$B1663,Торг!$H:$H,0))),"")</f>
        <v/>
      </c>
      <c r="G1663" s="67" t="str">
        <f>IFERROR(IFERROR(INDEX(Кат!$B:$B,MATCH(Прайс!$B1663,Кат!$G:$G,0)),INDEX(Торг!$C:$C,MATCH(Прайс!$B1663,Торг!$H:$H,0))),"")</f>
        <v/>
      </c>
      <c r="H1663" s="67" t="str">
        <f>IFERROR(IFERROR(INDEX(Кат!$I:$I,MATCH(Прайс!$B1663,Кат!$G:$G,0)),INDEX(Торг!$I:$I,MATCH(Прайс!$B1663,Торг!$H:$H,0))),"")</f>
        <v/>
      </c>
    </row>
    <row r="1664" spans="1:8" x14ac:dyDescent="0.25">
      <c r="A1664" s="103" t="s">
        <v>6823</v>
      </c>
      <c r="B1664" s="104">
        <v>71919</v>
      </c>
      <c r="C1664" s="104" t="s">
        <v>6824</v>
      </c>
      <c r="D1664" s="105" t="s">
        <v>161</v>
      </c>
      <c r="E1664" s="113">
        <v>80</v>
      </c>
      <c r="F1664" s="67" t="str">
        <f>IFERROR(IFERROR(INDEX(Кат!$A:$A,MATCH(Прайс!$B1664,Кат!$G:$G,0)),INDEX(Торг!$B:$B,MATCH(Прайс!$B1664,Торг!$H:$H,0))),"")</f>
        <v/>
      </c>
      <c r="G1664" s="67" t="str">
        <f>IFERROR(IFERROR(INDEX(Кат!$B:$B,MATCH(Прайс!$B1664,Кат!$G:$G,0)),INDEX(Торг!$C:$C,MATCH(Прайс!$B1664,Торг!$H:$H,0))),"")</f>
        <v/>
      </c>
      <c r="H1664" s="67" t="str">
        <f>IFERROR(IFERROR(INDEX(Кат!$I:$I,MATCH(Прайс!$B1664,Кат!$G:$G,0)),INDEX(Торг!$I:$I,MATCH(Прайс!$B1664,Торг!$H:$H,0))),"")</f>
        <v/>
      </c>
    </row>
    <row r="1665" spans="1:8" x14ac:dyDescent="0.25">
      <c r="A1665" s="103" t="s">
        <v>6825</v>
      </c>
      <c r="B1665" s="104">
        <v>71876</v>
      </c>
      <c r="C1665" s="104" t="s">
        <v>6826</v>
      </c>
      <c r="D1665" s="105" t="s">
        <v>161</v>
      </c>
      <c r="E1665" s="113">
        <v>80</v>
      </c>
      <c r="F1665" s="67" t="str">
        <f>IFERROR(IFERROR(INDEX(Кат!$A:$A,MATCH(Прайс!$B1665,Кат!$G:$G,0)),INDEX(Торг!$B:$B,MATCH(Прайс!$B1665,Торг!$H:$H,0))),"")</f>
        <v/>
      </c>
      <c r="G1665" s="67" t="str">
        <f>IFERROR(IFERROR(INDEX(Кат!$B:$B,MATCH(Прайс!$B1665,Кат!$G:$G,0)),INDEX(Торг!$C:$C,MATCH(Прайс!$B1665,Торг!$H:$H,0))),"")</f>
        <v/>
      </c>
      <c r="H1665" s="67" t="str">
        <f>IFERROR(IFERROR(INDEX(Кат!$I:$I,MATCH(Прайс!$B1665,Кат!$G:$G,0)),INDEX(Торг!$I:$I,MATCH(Прайс!$B1665,Торг!$H:$H,0))),"")</f>
        <v/>
      </c>
    </row>
    <row r="1666" spans="1:8" x14ac:dyDescent="0.25">
      <c r="A1666" s="103" t="s">
        <v>3410</v>
      </c>
      <c r="B1666" s="104">
        <v>71914</v>
      </c>
      <c r="C1666" s="104" t="s">
        <v>991</v>
      </c>
      <c r="D1666" s="105" t="s">
        <v>161</v>
      </c>
      <c r="E1666" s="113">
        <v>80</v>
      </c>
      <c r="F1666" s="67" t="str">
        <f>IFERROR(IFERROR(INDEX(Кат!$A:$A,MATCH(Прайс!$B1666,Кат!$G:$G,0)),INDEX(Торг!$B:$B,MATCH(Прайс!$B1666,Торг!$H:$H,0))),"")</f>
        <v/>
      </c>
      <c r="G1666" s="67" t="str">
        <f>IFERROR(IFERROR(INDEX(Кат!$B:$B,MATCH(Прайс!$B1666,Кат!$G:$G,0)),INDEX(Торг!$C:$C,MATCH(Прайс!$B1666,Торг!$H:$H,0))),"")</f>
        <v/>
      </c>
      <c r="H1666" s="67" t="str">
        <f>IFERROR(IFERROR(INDEX(Кат!$I:$I,MATCH(Прайс!$B1666,Кат!$G:$G,0)),INDEX(Торг!$I:$I,MATCH(Прайс!$B1666,Торг!$H:$H,0))),"")</f>
        <v/>
      </c>
    </row>
    <row r="1667" spans="1:8" x14ac:dyDescent="0.25">
      <c r="A1667" s="103" t="s">
        <v>3411</v>
      </c>
      <c r="B1667" s="104">
        <v>71566</v>
      </c>
      <c r="C1667" s="104" t="s">
        <v>992</v>
      </c>
      <c r="D1667" s="105" t="s">
        <v>161</v>
      </c>
      <c r="E1667" s="113">
        <v>95</v>
      </c>
      <c r="F1667" s="67" t="str">
        <f>IFERROR(IFERROR(INDEX(Кат!$A:$A,MATCH(Прайс!$B1667,Кат!$G:$G,0)),INDEX(Торг!$B:$B,MATCH(Прайс!$B1667,Торг!$H:$H,0))),"")</f>
        <v/>
      </c>
      <c r="G1667" s="67" t="str">
        <f>IFERROR(IFERROR(INDEX(Кат!$B:$B,MATCH(Прайс!$B1667,Кат!$G:$G,0)),INDEX(Торг!$C:$C,MATCH(Прайс!$B1667,Торг!$H:$H,0))),"")</f>
        <v/>
      </c>
      <c r="H1667" s="67" t="str">
        <f>IFERROR(IFERROR(INDEX(Кат!$I:$I,MATCH(Прайс!$B1667,Кат!$G:$G,0)),INDEX(Торг!$I:$I,MATCH(Прайс!$B1667,Торг!$H:$H,0))),"")</f>
        <v/>
      </c>
    </row>
    <row r="1668" spans="1:8" x14ac:dyDescent="0.25">
      <c r="A1668" s="103" t="s">
        <v>3412</v>
      </c>
      <c r="B1668" s="104">
        <v>71567</v>
      </c>
      <c r="C1668" s="104" t="s">
        <v>993</v>
      </c>
      <c r="D1668" s="105" t="s">
        <v>161</v>
      </c>
      <c r="E1668" s="113">
        <v>95</v>
      </c>
      <c r="F1668" s="67" t="str">
        <f>IFERROR(IFERROR(INDEX(Кат!$A:$A,MATCH(Прайс!$B1668,Кат!$G:$G,0)),INDEX(Торг!$B:$B,MATCH(Прайс!$B1668,Торг!$H:$H,0))),"")</f>
        <v/>
      </c>
      <c r="G1668" s="67" t="str">
        <f>IFERROR(IFERROR(INDEX(Кат!$B:$B,MATCH(Прайс!$B1668,Кат!$G:$G,0)),INDEX(Торг!$C:$C,MATCH(Прайс!$B1668,Торг!$H:$H,0))),"")</f>
        <v/>
      </c>
      <c r="H1668" s="67" t="str">
        <f>IFERROR(IFERROR(INDEX(Кат!$I:$I,MATCH(Прайс!$B1668,Кат!$G:$G,0)),INDEX(Торг!$I:$I,MATCH(Прайс!$B1668,Торг!$H:$H,0))),"")</f>
        <v/>
      </c>
    </row>
    <row r="1669" spans="1:8" x14ac:dyDescent="0.25">
      <c r="A1669" s="103" t="s">
        <v>3413</v>
      </c>
      <c r="B1669" s="104">
        <v>71568</v>
      </c>
      <c r="C1669" s="104" t="s">
        <v>994</v>
      </c>
      <c r="D1669" s="105" t="s">
        <v>161</v>
      </c>
      <c r="E1669" s="113">
        <v>95</v>
      </c>
      <c r="F1669" s="67" t="str">
        <f>IFERROR(IFERROR(INDEX(Кат!$A:$A,MATCH(Прайс!$B1669,Кат!$G:$G,0)),INDEX(Торг!$B:$B,MATCH(Прайс!$B1669,Торг!$H:$H,0))),"")</f>
        <v/>
      </c>
      <c r="G1669" s="67" t="str">
        <f>IFERROR(IFERROR(INDEX(Кат!$B:$B,MATCH(Прайс!$B1669,Кат!$G:$G,0)),INDEX(Торг!$C:$C,MATCH(Прайс!$B1669,Торг!$H:$H,0))),"")</f>
        <v/>
      </c>
      <c r="H1669" s="67" t="str">
        <f>IFERROR(IFERROR(INDEX(Кат!$I:$I,MATCH(Прайс!$B1669,Кат!$G:$G,0)),INDEX(Торг!$I:$I,MATCH(Прайс!$B1669,Торг!$H:$H,0))),"")</f>
        <v/>
      </c>
    </row>
    <row r="1670" spans="1:8" x14ac:dyDescent="0.25">
      <c r="A1670" s="103" t="s">
        <v>3414</v>
      </c>
      <c r="B1670" s="104">
        <v>71569</v>
      </c>
      <c r="C1670" s="104" t="s">
        <v>995</v>
      </c>
      <c r="D1670" s="105" t="s">
        <v>161</v>
      </c>
      <c r="E1670" s="113">
        <v>95</v>
      </c>
      <c r="F1670" s="67" t="str">
        <f>IFERROR(IFERROR(INDEX(Кат!$A:$A,MATCH(Прайс!$B1670,Кат!$G:$G,0)),INDEX(Торг!$B:$B,MATCH(Прайс!$B1670,Торг!$H:$H,0))),"")</f>
        <v/>
      </c>
      <c r="G1670" s="67" t="str">
        <f>IFERROR(IFERROR(INDEX(Кат!$B:$B,MATCH(Прайс!$B1670,Кат!$G:$G,0)),INDEX(Торг!$C:$C,MATCH(Прайс!$B1670,Торг!$H:$H,0))),"")</f>
        <v/>
      </c>
      <c r="H1670" s="67" t="str">
        <f>IFERROR(IFERROR(INDEX(Кат!$I:$I,MATCH(Прайс!$B1670,Кат!$G:$G,0)),INDEX(Торг!$I:$I,MATCH(Прайс!$B1670,Торг!$H:$H,0))),"")</f>
        <v/>
      </c>
    </row>
    <row r="1671" spans="1:8" x14ac:dyDescent="0.25">
      <c r="A1671" s="103" t="s">
        <v>3415</v>
      </c>
      <c r="B1671" s="104">
        <v>71570</v>
      </c>
      <c r="C1671" s="104" t="s">
        <v>996</v>
      </c>
      <c r="D1671" s="105" t="s">
        <v>161</v>
      </c>
      <c r="E1671" s="113">
        <v>95</v>
      </c>
      <c r="F1671" s="67" t="str">
        <f>IFERROR(IFERROR(INDEX(Кат!$A:$A,MATCH(Прайс!$B1671,Кат!$G:$G,0)),INDEX(Торг!$B:$B,MATCH(Прайс!$B1671,Торг!$H:$H,0))),"")</f>
        <v/>
      </c>
      <c r="G1671" s="67" t="str">
        <f>IFERROR(IFERROR(INDEX(Кат!$B:$B,MATCH(Прайс!$B1671,Кат!$G:$G,0)),INDEX(Торг!$C:$C,MATCH(Прайс!$B1671,Торг!$H:$H,0))),"")</f>
        <v/>
      </c>
      <c r="H1671" s="67" t="str">
        <f>IFERROR(IFERROR(INDEX(Кат!$I:$I,MATCH(Прайс!$B1671,Кат!$G:$G,0)),INDEX(Торг!$I:$I,MATCH(Прайс!$B1671,Торг!$H:$H,0))),"")</f>
        <v/>
      </c>
    </row>
    <row r="1672" spans="1:8" x14ac:dyDescent="0.25">
      <c r="A1672" s="103" t="s">
        <v>3416</v>
      </c>
      <c r="B1672" s="104">
        <v>71571</v>
      </c>
      <c r="C1672" s="104" t="s">
        <v>997</v>
      </c>
      <c r="D1672" s="105" t="s">
        <v>161</v>
      </c>
      <c r="E1672" s="113">
        <v>95</v>
      </c>
      <c r="F1672" s="67" t="str">
        <f>IFERROR(IFERROR(INDEX(Кат!$A:$A,MATCH(Прайс!$B1672,Кат!$G:$G,0)),INDEX(Торг!$B:$B,MATCH(Прайс!$B1672,Торг!$H:$H,0))),"")</f>
        <v/>
      </c>
      <c r="G1672" s="67" t="str">
        <f>IFERROR(IFERROR(INDEX(Кат!$B:$B,MATCH(Прайс!$B1672,Кат!$G:$G,0)),INDEX(Торг!$C:$C,MATCH(Прайс!$B1672,Торг!$H:$H,0))),"")</f>
        <v/>
      </c>
      <c r="H1672" s="67" t="str">
        <f>IFERROR(IFERROR(INDEX(Кат!$I:$I,MATCH(Прайс!$B1672,Кат!$G:$G,0)),INDEX(Торг!$I:$I,MATCH(Прайс!$B1672,Торг!$H:$H,0))),"")</f>
        <v/>
      </c>
    </row>
    <row r="1673" spans="1:8" x14ac:dyDescent="0.25">
      <c r="A1673" s="103" t="s">
        <v>3417</v>
      </c>
      <c r="B1673" s="104">
        <v>71572</v>
      </c>
      <c r="C1673" s="104" t="s">
        <v>998</v>
      </c>
      <c r="D1673" s="105" t="s">
        <v>161</v>
      </c>
      <c r="E1673" s="113">
        <v>95</v>
      </c>
      <c r="F1673" s="67" t="str">
        <f>IFERROR(IFERROR(INDEX(Кат!$A:$A,MATCH(Прайс!$B1673,Кат!$G:$G,0)),INDEX(Торг!$B:$B,MATCH(Прайс!$B1673,Торг!$H:$H,0))),"")</f>
        <v/>
      </c>
      <c r="G1673" s="67" t="str">
        <f>IFERROR(IFERROR(INDEX(Кат!$B:$B,MATCH(Прайс!$B1673,Кат!$G:$G,0)),INDEX(Торг!$C:$C,MATCH(Прайс!$B1673,Торг!$H:$H,0))),"")</f>
        <v/>
      </c>
      <c r="H1673" s="67" t="str">
        <f>IFERROR(IFERROR(INDEX(Кат!$I:$I,MATCH(Прайс!$B1673,Кат!$G:$G,0)),INDEX(Торг!$I:$I,MATCH(Прайс!$B1673,Торг!$H:$H,0))),"")</f>
        <v/>
      </c>
    </row>
    <row r="1674" spans="1:8" x14ac:dyDescent="0.25">
      <c r="A1674" s="94" t="s">
        <v>6287</v>
      </c>
      <c r="B1674" s="98">
        <v>72556</v>
      </c>
      <c r="C1674" s="98" t="s">
        <v>6288</v>
      </c>
      <c r="D1674" s="96" t="s">
        <v>165</v>
      </c>
      <c r="E1674" s="97">
        <v>42</v>
      </c>
      <c r="F1674" s="67" t="str">
        <f>IFERROR(IFERROR(INDEX(Кат!$A:$A,MATCH(Прайс!$B1674,Кат!$G:$G,0)),INDEX(Торг!$B:$B,MATCH(Прайс!$B1674,Торг!$H:$H,0))),"")</f>
        <v/>
      </c>
      <c r="G1674" s="67" t="str">
        <f>IFERROR(IFERROR(INDEX(Кат!$B:$B,MATCH(Прайс!$B1674,Кат!$G:$G,0)),INDEX(Торг!$C:$C,MATCH(Прайс!$B1674,Торг!$H:$H,0))),"")</f>
        <v/>
      </c>
      <c r="H1674" s="67" t="str">
        <f>IFERROR(IFERROR(INDEX(Кат!$I:$I,MATCH(Прайс!$B1674,Кат!$G:$G,0)),INDEX(Торг!$I:$I,MATCH(Прайс!$B1674,Торг!$H:$H,0))),"")</f>
        <v/>
      </c>
    </row>
    <row r="1675" spans="1:8" x14ac:dyDescent="0.25">
      <c r="A1675" s="94" t="s">
        <v>6289</v>
      </c>
      <c r="B1675" s="98">
        <v>72557</v>
      </c>
      <c r="C1675" s="98" t="s">
        <v>6290</v>
      </c>
      <c r="D1675" s="96" t="s">
        <v>165</v>
      </c>
      <c r="E1675" s="97">
        <v>42</v>
      </c>
      <c r="F1675" s="67" t="str">
        <f>IFERROR(IFERROR(INDEX(Кат!$A:$A,MATCH(Прайс!$B1675,Кат!$G:$G,0)),INDEX(Торг!$B:$B,MATCH(Прайс!$B1675,Торг!$H:$H,0))),"")</f>
        <v/>
      </c>
      <c r="G1675" s="67" t="str">
        <f>IFERROR(IFERROR(INDEX(Кат!$B:$B,MATCH(Прайс!$B1675,Кат!$G:$G,0)),INDEX(Торг!$C:$C,MATCH(Прайс!$B1675,Торг!$H:$H,0))),"")</f>
        <v/>
      </c>
      <c r="H1675" s="67" t="str">
        <f>IFERROR(IFERROR(INDEX(Кат!$I:$I,MATCH(Прайс!$B1675,Кат!$G:$G,0)),INDEX(Торг!$I:$I,MATCH(Прайс!$B1675,Торг!$H:$H,0))),"")</f>
        <v/>
      </c>
    </row>
    <row r="1676" spans="1:8" x14ac:dyDescent="0.25">
      <c r="A1676" s="94" t="s">
        <v>6291</v>
      </c>
      <c r="B1676" s="98">
        <v>72558</v>
      </c>
      <c r="C1676" s="98" t="s">
        <v>6292</v>
      </c>
      <c r="D1676" s="96" t="s">
        <v>165</v>
      </c>
      <c r="E1676" s="97">
        <v>42</v>
      </c>
      <c r="F1676" s="67" t="str">
        <f>IFERROR(IFERROR(INDEX(Кат!$A:$A,MATCH(Прайс!$B1676,Кат!$G:$G,0)),INDEX(Торг!$B:$B,MATCH(Прайс!$B1676,Торг!$H:$H,0))),"")</f>
        <v/>
      </c>
      <c r="G1676" s="67" t="str">
        <f>IFERROR(IFERROR(INDEX(Кат!$B:$B,MATCH(Прайс!$B1676,Кат!$G:$G,0)),INDEX(Торг!$C:$C,MATCH(Прайс!$B1676,Торг!$H:$H,0))),"")</f>
        <v/>
      </c>
      <c r="H1676" s="67" t="str">
        <f>IFERROR(IFERROR(INDEX(Кат!$I:$I,MATCH(Прайс!$B1676,Кат!$G:$G,0)),INDEX(Торг!$I:$I,MATCH(Прайс!$B1676,Торг!$H:$H,0))),"")</f>
        <v/>
      </c>
    </row>
    <row r="1677" spans="1:8" x14ac:dyDescent="0.25">
      <c r="A1677" s="94" t="s">
        <v>6293</v>
      </c>
      <c r="B1677" s="98">
        <v>72559</v>
      </c>
      <c r="C1677" s="98" t="s">
        <v>6294</v>
      </c>
      <c r="D1677" s="96" t="s">
        <v>165</v>
      </c>
      <c r="E1677" s="97">
        <v>42</v>
      </c>
      <c r="F1677" s="67" t="str">
        <f>IFERROR(IFERROR(INDEX(Кат!$A:$A,MATCH(Прайс!$B1677,Кат!$G:$G,0)),INDEX(Торг!$B:$B,MATCH(Прайс!$B1677,Торг!$H:$H,0))),"")</f>
        <v/>
      </c>
      <c r="G1677" s="67" t="str">
        <f>IFERROR(IFERROR(INDEX(Кат!$B:$B,MATCH(Прайс!$B1677,Кат!$G:$G,0)),INDEX(Торг!$C:$C,MATCH(Прайс!$B1677,Торг!$H:$H,0))),"")</f>
        <v/>
      </c>
      <c r="H1677" s="67" t="str">
        <f>IFERROR(IFERROR(INDEX(Кат!$I:$I,MATCH(Прайс!$B1677,Кат!$G:$G,0)),INDEX(Торг!$I:$I,MATCH(Прайс!$B1677,Торг!$H:$H,0))),"")</f>
        <v/>
      </c>
    </row>
    <row r="1678" spans="1:8" x14ac:dyDescent="0.25">
      <c r="A1678" s="94" t="s">
        <v>6295</v>
      </c>
      <c r="B1678" s="98">
        <v>72560</v>
      </c>
      <c r="C1678" s="98" t="s">
        <v>6296</v>
      </c>
      <c r="D1678" s="96" t="s">
        <v>165</v>
      </c>
      <c r="E1678" s="97">
        <v>42</v>
      </c>
      <c r="F1678" s="67" t="str">
        <f>IFERROR(IFERROR(INDEX(Кат!$A:$A,MATCH(Прайс!$B1678,Кат!$G:$G,0)),INDEX(Торг!$B:$B,MATCH(Прайс!$B1678,Торг!$H:$H,0))),"")</f>
        <v/>
      </c>
      <c r="G1678" s="67" t="str">
        <f>IFERROR(IFERROR(INDEX(Кат!$B:$B,MATCH(Прайс!$B1678,Кат!$G:$G,0)),INDEX(Торг!$C:$C,MATCH(Прайс!$B1678,Торг!$H:$H,0))),"")</f>
        <v/>
      </c>
      <c r="H1678" s="67" t="str">
        <f>IFERROR(IFERROR(INDEX(Кат!$I:$I,MATCH(Прайс!$B1678,Кат!$G:$G,0)),INDEX(Торг!$I:$I,MATCH(Прайс!$B1678,Торг!$H:$H,0))),"")</f>
        <v/>
      </c>
    </row>
    <row r="1679" spans="1:8" x14ac:dyDescent="0.25">
      <c r="A1679" s="94" t="s">
        <v>6297</v>
      </c>
      <c r="B1679" s="98">
        <v>72561</v>
      </c>
      <c r="C1679" s="98" t="s">
        <v>6298</v>
      </c>
      <c r="D1679" s="96" t="s">
        <v>165</v>
      </c>
      <c r="E1679" s="97">
        <v>42</v>
      </c>
      <c r="F1679" s="67" t="str">
        <f>IFERROR(IFERROR(INDEX(Кат!$A:$A,MATCH(Прайс!$B1679,Кат!$G:$G,0)),INDEX(Торг!$B:$B,MATCH(Прайс!$B1679,Торг!$H:$H,0))),"")</f>
        <v/>
      </c>
      <c r="G1679" s="67" t="str">
        <f>IFERROR(IFERROR(INDEX(Кат!$B:$B,MATCH(Прайс!$B1679,Кат!$G:$G,0)),INDEX(Торг!$C:$C,MATCH(Прайс!$B1679,Торг!$H:$H,0))),"")</f>
        <v/>
      </c>
      <c r="H1679" s="67" t="str">
        <f>IFERROR(IFERROR(INDEX(Кат!$I:$I,MATCH(Прайс!$B1679,Кат!$G:$G,0)),INDEX(Торг!$I:$I,MATCH(Прайс!$B1679,Торг!$H:$H,0))),"")</f>
        <v/>
      </c>
    </row>
    <row r="1680" spans="1:8" x14ac:dyDescent="0.25">
      <c r="A1680" s="94" t="s">
        <v>6299</v>
      </c>
      <c r="B1680" s="98">
        <v>72562</v>
      </c>
      <c r="C1680" s="98" t="s">
        <v>6300</v>
      </c>
      <c r="D1680" s="96" t="s">
        <v>165</v>
      </c>
      <c r="E1680" s="97">
        <v>42</v>
      </c>
      <c r="F1680" s="67" t="str">
        <f>IFERROR(IFERROR(INDEX(Кат!$A:$A,MATCH(Прайс!$B1680,Кат!$G:$G,0)),INDEX(Торг!$B:$B,MATCH(Прайс!$B1680,Торг!$H:$H,0))),"")</f>
        <v/>
      </c>
      <c r="G1680" s="67" t="str">
        <f>IFERROR(IFERROR(INDEX(Кат!$B:$B,MATCH(Прайс!$B1680,Кат!$G:$G,0)),INDEX(Торг!$C:$C,MATCH(Прайс!$B1680,Торг!$H:$H,0))),"")</f>
        <v/>
      </c>
      <c r="H1680" s="67" t="str">
        <f>IFERROR(IFERROR(INDEX(Кат!$I:$I,MATCH(Прайс!$B1680,Кат!$G:$G,0)),INDEX(Торг!$I:$I,MATCH(Прайс!$B1680,Торг!$H:$H,0))),"")</f>
        <v/>
      </c>
    </row>
    <row r="1681" spans="1:8" x14ac:dyDescent="0.25">
      <c r="A1681" s="94" t="s">
        <v>6301</v>
      </c>
      <c r="B1681" s="98">
        <v>72563</v>
      </c>
      <c r="C1681" s="98" t="s">
        <v>6302</v>
      </c>
      <c r="D1681" s="96" t="s">
        <v>165</v>
      </c>
      <c r="E1681" s="97">
        <v>42</v>
      </c>
      <c r="F1681" s="67" t="str">
        <f>IFERROR(IFERROR(INDEX(Кат!$A:$A,MATCH(Прайс!$B1681,Кат!$G:$G,0)),INDEX(Торг!$B:$B,MATCH(Прайс!$B1681,Торг!$H:$H,0))),"")</f>
        <v/>
      </c>
      <c r="G1681" s="67" t="str">
        <f>IFERROR(IFERROR(INDEX(Кат!$B:$B,MATCH(Прайс!$B1681,Кат!$G:$G,0)),INDEX(Торг!$C:$C,MATCH(Прайс!$B1681,Торг!$H:$H,0))),"")</f>
        <v/>
      </c>
      <c r="H1681" s="67" t="str">
        <f>IFERROR(IFERROR(INDEX(Кат!$I:$I,MATCH(Прайс!$B1681,Кат!$G:$G,0)),INDEX(Торг!$I:$I,MATCH(Прайс!$B1681,Торг!$H:$H,0))),"")</f>
        <v/>
      </c>
    </row>
    <row r="1682" spans="1:8" x14ac:dyDescent="0.25">
      <c r="A1682" s="94" t="s">
        <v>6303</v>
      </c>
      <c r="B1682" s="98">
        <v>72564</v>
      </c>
      <c r="C1682" s="98" t="s">
        <v>6304</v>
      </c>
      <c r="D1682" s="96" t="s">
        <v>165</v>
      </c>
      <c r="E1682" s="97">
        <v>42</v>
      </c>
      <c r="F1682" s="67" t="str">
        <f>IFERROR(IFERROR(INDEX(Кат!$A:$A,MATCH(Прайс!$B1682,Кат!$G:$G,0)),INDEX(Торг!$B:$B,MATCH(Прайс!$B1682,Торг!$H:$H,0))),"")</f>
        <v/>
      </c>
      <c r="G1682" s="67" t="str">
        <f>IFERROR(IFERROR(INDEX(Кат!$B:$B,MATCH(Прайс!$B1682,Кат!$G:$G,0)),INDEX(Торг!$C:$C,MATCH(Прайс!$B1682,Торг!$H:$H,0))),"")</f>
        <v/>
      </c>
      <c r="H1682" s="67" t="str">
        <f>IFERROR(IFERROR(INDEX(Кат!$I:$I,MATCH(Прайс!$B1682,Кат!$G:$G,0)),INDEX(Торг!$I:$I,MATCH(Прайс!$B1682,Торг!$H:$H,0))),"")</f>
        <v/>
      </c>
    </row>
    <row r="1683" spans="1:8" x14ac:dyDescent="0.25">
      <c r="A1683" s="94" t="s">
        <v>6305</v>
      </c>
      <c r="B1683" s="98">
        <v>72549</v>
      </c>
      <c r="C1683" s="98" t="s">
        <v>6306</v>
      </c>
      <c r="D1683" s="96" t="s">
        <v>176</v>
      </c>
      <c r="E1683" s="97">
        <v>35</v>
      </c>
      <c r="F1683" s="67" t="str">
        <f>IFERROR(IFERROR(INDEX(Кат!$A:$A,MATCH(Прайс!$B1683,Кат!$G:$G,0)),INDEX(Торг!$B:$B,MATCH(Прайс!$B1683,Торг!$H:$H,0))),"")</f>
        <v/>
      </c>
      <c r="G1683" s="67" t="str">
        <f>IFERROR(IFERROR(INDEX(Кат!$B:$B,MATCH(Прайс!$B1683,Кат!$G:$G,0)),INDEX(Торг!$C:$C,MATCH(Прайс!$B1683,Торг!$H:$H,0))),"")</f>
        <v/>
      </c>
      <c r="H1683" s="67" t="str">
        <f>IFERROR(IFERROR(INDEX(Кат!$I:$I,MATCH(Прайс!$B1683,Кат!$G:$G,0)),INDEX(Торг!$I:$I,MATCH(Прайс!$B1683,Торг!$H:$H,0))),"")</f>
        <v/>
      </c>
    </row>
    <row r="1684" spans="1:8" x14ac:dyDescent="0.25">
      <c r="A1684" s="94" t="s">
        <v>6307</v>
      </c>
      <c r="B1684" s="98">
        <v>72550</v>
      </c>
      <c r="C1684" s="98" t="s">
        <v>6308</v>
      </c>
      <c r="D1684" s="96" t="s">
        <v>165</v>
      </c>
      <c r="E1684" s="97">
        <v>35</v>
      </c>
      <c r="F1684" s="67" t="str">
        <f>IFERROR(IFERROR(INDEX(Кат!$A:$A,MATCH(Прайс!$B1684,Кат!$G:$G,0)),INDEX(Торг!$B:$B,MATCH(Прайс!$B1684,Торг!$H:$H,0))),"")</f>
        <v/>
      </c>
      <c r="G1684" s="67" t="str">
        <f>IFERROR(IFERROR(INDEX(Кат!$B:$B,MATCH(Прайс!$B1684,Кат!$G:$G,0)),INDEX(Торг!$C:$C,MATCH(Прайс!$B1684,Торг!$H:$H,0))),"")</f>
        <v/>
      </c>
      <c r="H1684" s="67" t="str">
        <f>IFERROR(IFERROR(INDEX(Кат!$I:$I,MATCH(Прайс!$B1684,Кат!$G:$G,0)),INDEX(Торг!$I:$I,MATCH(Прайс!$B1684,Торг!$H:$H,0))),"")</f>
        <v/>
      </c>
    </row>
    <row r="1685" spans="1:8" x14ac:dyDescent="0.25">
      <c r="A1685" s="94" t="s">
        <v>6309</v>
      </c>
      <c r="B1685" s="98">
        <v>72551</v>
      </c>
      <c r="C1685" s="98" t="s">
        <v>6310</v>
      </c>
      <c r="D1685" s="96" t="s">
        <v>165</v>
      </c>
      <c r="E1685" s="97">
        <v>35</v>
      </c>
      <c r="F1685" s="67" t="str">
        <f>IFERROR(IFERROR(INDEX(Кат!$A:$A,MATCH(Прайс!$B1685,Кат!$G:$G,0)),INDEX(Торг!$B:$B,MATCH(Прайс!$B1685,Торг!$H:$H,0))),"")</f>
        <v/>
      </c>
      <c r="G1685" s="67" t="str">
        <f>IFERROR(IFERROR(INDEX(Кат!$B:$B,MATCH(Прайс!$B1685,Кат!$G:$G,0)),INDEX(Торг!$C:$C,MATCH(Прайс!$B1685,Торг!$H:$H,0))),"")</f>
        <v/>
      </c>
      <c r="H1685" s="67" t="str">
        <f>IFERROR(IFERROR(INDEX(Кат!$I:$I,MATCH(Прайс!$B1685,Кат!$G:$G,0)),INDEX(Торг!$I:$I,MATCH(Прайс!$B1685,Торг!$H:$H,0))),"")</f>
        <v/>
      </c>
    </row>
    <row r="1686" spans="1:8" x14ac:dyDescent="0.25">
      <c r="A1686" s="94" t="s">
        <v>6311</v>
      </c>
      <c r="B1686" s="98">
        <v>72552</v>
      </c>
      <c r="C1686" s="98" t="s">
        <v>6312</v>
      </c>
      <c r="D1686" s="96" t="s">
        <v>165</v>
      </c>
      <c r="E1686" s="97">
        <v>35</v>
      </c>
      <c r="F1686" s="67" t="str">
        <f>IFERROR(IFERROR(INDEX(Кат!$A:$A,MATCH(Прайс!$B1686,Кат!$G:$G,0)),INDEX(Торг!$B:$B,MATCH(Прайс!$B1686,Торг!$H:$H,0))),"")</f>
        <v/>
      </c>
      <c r="G1686" s="67" t="str">
        <f>IFERROR(IFERROR(INDEX(Кат!$B:$B,MATCH(Прайс!$B1686,Кат!$G:$G,0)),INDEX(Торг!$C:$C,MATCH(Прайс!$B1686,Торг!$H:$H,0))),"")</f>
        <v/>
      </c>
      <c r="H1686" s="67" t="str">
        <f>IFERROR(IFERROR(INDEX(Кат!$I:$I,MATCH(Прайс!$B1686,Кат!$G:$G,0)),INDEX(Торг!$I:$I,MATCH(Прайс!$B1686,Торг!$H:$H,0))),"")</f>
        <v/>
      </c>
    </row>
    <row r="1687" spans="1:8" x14ac:dyDescent="0.25">
      <c r="A1687" s="94" t="s">
        <v>6313</v>
      </c>
      <c r="B1687" s="98">
        <v>72553</v>
      </c>
      <c r="C1687" s="98" t="s">
        <v>6314</v>
      </c>
      <c r="D1687" s="96" t="s">
        <v>165</v>
      </c>
      <c r="E1687" s="97">
        <v>35</v>
      </c>
      <c r="F1687" s="67" t="str">
        <f>IFERROR(IFERROR(INDEX(Кат!$A:$A,MATCH(Прайс!$B1687,Кат!$G:$G,0)),INDEX(Торг!$B:$B,MATCH(Прайс!$B1687,Торг!$H:$H,0))),"")</f>
        <v/>
      </c>
      <c r="G1687" s="67" t="str">
        <f>IFERROR(IFERROR(INDEX(Кат!$B:$B,MATCH(Прайс!$B1687,Кат!$G:$G,0)),INDEX(Торг!$C:$C,MATCH(Прайс!$B1687,Торг!$H:$H,0))),"")</f>
        <v/>
      </c>
      <c r="H1687" s="67" t="str">
        <f>IFERROR(IFERROR(INDEX(Кат!$I:$I,MATCH(Прайс!$B1687,Кат!$G:$G,0)),INDEX(Торг!$I:$I,MATCH(Прайс!$B1687,Торг!$H:$H,0))),"")</f>
        <v/>
      </c>
    </row>
    <row r="1688" spans="1:8" x14ac:dyDescent="0.25">
      <c r="A1688" s="94" t="s">
        <v>6827</v>
      </c>
      <c r="B1688" s="98">
        <v>72554</v>
      </c>
      <c r="C1688" s="98" t="s">
        <v>6828</v>
      </c>
      <c r="D1688" s="96" t="s">
        <v>165</v>
      </c>
      <c r="E1688" s="97">
        <v>35</v>
      </c>
      <c r="F1688" s="67" t="str">
        <f>IFERROR(IFERROR(INDEX(Кат!$A:$A,MATCH(Прайс!$B1688,Кат!$G:$G,0)),INDEX(Торг!$B:$B,MATCH(Прайс!$B1688,Торг!$H:$H,0))),"")</f>
        <v/>
      </c>
      <c r="G1688" s="67" t="str">
        <f>IFERROR(IFERROR(INDEX(Кат!$B:$B,MATCH(Прайс!$B1688,Кат!$G:$G,0)),INDEX(Торг!$C:$C,MATCH(Прайс!$B1688,Торг!$H:$H,0))),"")</f>
        <v/>
      </c>
      <c r="H1688" s="67" t="str">
        <f>IFERROR(IFERROR(INDEX(Кат!$I:$I,MATCH(Прайс!$B1688,Кат!$G:$G,0)),INDEX(Торг!$I:$I,MATCH(Прайс!$B1688,Торг!$H:$H,0))),"")</f>
        <v/>
      </c>
    </row>
    <row r="1689" spans="1:8" x14ac:dyDescent="0.25">
      <c r="A1689" s="94" t="s">
        <v>6315</v>
      </c>
      <c r="B1689" s="98">
        <v>72555</v>
      </c>
      <c r="C1689" s="98" t="s">
        <v>6316</v>
      </c>
      <c r="D1689" s="96" t="s">
        <v>165</v>
      </c>
      <c r="E1689" s="97">
        <v>35</v>
      </c>
      <c r="F1689" s="67" t="str">
        <f>IFERROR(IFERROR(INDEX(Кат!$A:$A,MATCH(Прайс!$B1689,Кат!$G:$G,0)),INDEX(Торг!$B:$B,MATCH(Прайс!$B1689,Торг!$H:$H,0))),"")</f>
        <v/>
      </c>
      <c r="G1689" s="67" t="str">
        <f>IFERROR(IFERROR(INDEX(Кат!$B:$B,MATCH(Прайс!$B1689,Кат!$G:$G,0)),INDEX(Торг!$C:$C,MATCH(Прайс!$B1689,Торг!$H:$H,0))),"")</f>
        <v/>
      </c>
      <c r="H1689" s="67" t="str">
        <f>IFERROR(IFERROR(INDEX(Кат!$I:$I,MATCH(Прайс!$B1689,Кат!$G:$G,0)),INDEX(Торг!$I:$I,MATCH(Прайс!$B1689,Торг!$H:$H,0))),"")</f>
        <v/>
      </c>
    </row>
    <row r="1690" spans="1:8" x14ac:dyDescent="0.25">
      <c r="A1690" s="103" t="s">
        <v>3418</v>
      </c>
      <c r="B1690" s="104">
        <v>72204</v>
      </c>
      <c r="C1690" s="104" t="s">
        <v>999</v>
      </c>
      <c r="D1690" s="105" t="s">
        <v>161</v>
      </c>
      <c r="E1690" s="113">
        <v>90</v>
      </c>
      <c r="F1690" s="67" t="str">
        <f>IFERROR(IFERROR(INDEX(Кат!$A:$A,MATCH(Прайс!$B1690,Кат!$G:$G,0)),INDEX(Торг!$B:$B,MATCH(Прайс!$B1690,Торг!$H:$H,0))),"")</f>
        <v/>
      </c>
      <c r="G1690" s="67" t="str">
        <f>IFERROR(IFERROR(INDEX(Кат!$B:$B,MATCH(Прайс!$B1690,Кат!$G:$G,0)),INDEX(Торг!$C:$C,MATCH(Прайс!$B1690,Торг!$H:$H,0))),"")</f>
        <v/>
      </c>
      <c r="H1690" s="67" t="str">
        <f>IFERROR(IFERROR(INDEX(Кат!$I:$I,MATCH(Прайс!$B1690,Кат!$G:$G,0)),INDEX(Торг!$I:$I,MATCH(Прайс!$B1690,Торг!$H:$H,0))),"")</f>
        <v/>
      </c>
    </row>
    <row r="1691" spans="1:8" x14ac:dyDescent="0.25">
      <c r="A1691" s="103" t="s">
        <v>3419</v>
      </c>
      <c r="B1691" s="104">
        <v>72209</v>
      </c>
      <c r="C1691" s="104" t="s">
        <v>1000</v>
      </c>
      <c r="D1691" s="105" t="s">
        <v>161</v>
      </c>
      <c r="E1691" s="113">
        <v>90</v>
      </c>
      <c r="F1691" s="67" t="str">
        <f>IFERROR(IFERROR(INDEX(Кат!$A:$A,MATCH(Прайс!$B1691,Кат!$G:$G,0)),INDEX(Торг!$B:$B,MATCH(Прайс!$B1691,Торг!$H:$H,0))),"")</f>
        <v/>
      </c>
      <c r="G1691" s="67" t="str">
        <f>IFERROR(IFERROR(INDEX(Кат!$B:$B,MATCH(Прайс!$B1691,Кат!$G:$G,0)),INDEX(Торг!$C:$C,MATCH(Прайс!$B1691,Торг!$H:$H,0))),"")</f>
        <v/>
      </c>
      <c r="H1691" s="67" t="str">
        <f>IFERROR(IFERROR(INDEX(Кат!$I:$I,MATCH(Прайс!$B1691,Кат!$G:$G,0)),INDEX(Торг!$I:$I,MATCH(Прайс!$B1691,Торг!$H:$H,0))),"")</f>
        <v/>
      </c>
    </row>
    <row r="1692" spans="1:8" x14ac:dyDescent="0.25">
      <c r="A1692" s="103" t="s">
        <v>5879</v>
      </c>
      <c r="B1692" s="104">
        <v>72207</v>
      </c>
      <c r="C1692" s="104" t="s">
        <v>5880</v>
      </c>
      <c r="D1692" s="105" t="s">
        <v>161</v>
      </c>
      <c r="E1692" s="113">
        <v>90</v>
      </c>
      <c r="F1692" s="67" t="str">
        <f>IFERROR(IFERROR(INDEX(Кат!$A:$A,MATCH(Прайс!$B1692,Кат!$G:$G,0)),INDEX(Торг!$B:$B,MATCH(Прайс!$B1692,Торг!$H:$H,0))),"")</f>
        <v/>
      </c>
      <c r="G1692" s="67" t="str">
        <f>IFERROR(IFERROR(INDEX(Кат!$B:$B,MATCH(Прайс!$B1692,Кат!$G:$G,0)),INDEX(Торг!$C:$C,MATCH(Прайс!$B1692,Торг!$H:$H,0))),"")</f>
        <v/>
      </c>
      <c r="H1692" s="67" t="str">
        <f>IFERROR(IFERROR(INDEX(Кат!$I:$I,MATCH(Прайс!$B1692,Кат!$G:$G,0)),INDEX(Торг!$I:$I,MATCH(Прайс!$B1692,Торг!$H:$H,0))),"")</f>
        <v/>
      </c>
    </row>
    <row r="1693" spans="1:8" x14ac:dyDescent="0.25">
      <c r="A1693" s="103" t="s">
        <v>6829</v>
      </c>
      <c r="B1693" s="104">
        <v>72205</v>
      </c>
      <c r="C1693" s="104" t="s">
        <v>6830</v>
      </c>
      <c r="D1693" s="105" t="s">
        <v>161</v>
      </c>
      <c r="E1693" s="113">
        <v>90</v>
      </c>
      <c r="F1693" s="67" t="str">
        <f>IFERROR(IFERROR(INDEX(Кат!$A:$A,MATCH(Прайс!$B1693,Кат!$G:$G,0)),INDEX(Торг!$B:$B,MATCH(Прайс!$B1693,Торг!$H:$H,0))),"")</f>
        <v/>
      </c>
      <c r="G1693" s="67" t="str">
        <f>IFERROR(IFERROR(INDEX(Кат!$B:$B,MATCH(Прайс!$B1693,Кат!$G:$G,0)),INDEX(Торг!$C:$C,MATCH(Прайс!$B1693,Торг!$H:$H,0))),"")</f>
        <v/>
      </c>
      <c r="H1693" s="67" t="str">
        <f>IFERROR(IFERROR(INDEX(Кат!$I:$I,MATCH(Прайс!$B1693,Кат!$G:$G,0)),INDEX(Торг!$I:$I,MATCH(Прайс!$B1693,Торг!$H:$H,0))),"")</f>
        <v/>
      </c>
    </row>
    <row r="1694" spans="1:8" x14ac:dyDescent="0.25">
      <c r="A1694" s="103" t="s">
        <v>3420</v>
      </c>
      <c r="B1694" s="104">
        <v>72208</v>
      </c>
      <c r="C1694" s="104" t="s">
        <v>1001</v>
      </c>
      <c r="D1694" s="105" t="s">
        <v>161</v>
      </c>
      <c r="E1694" s="113">
        <v>90</v>
      </c>
      <c r="F1694" s="67" t="str">
        <f>IFERROR(IFERROR(INDEX(Кат!$A:$A,MATCH(Прайс!$B1694,Кат!$G:$G,0)),INDEX(Торг!$B:$B,MATCH(Прайс!$B1694,Торг!$H:$H,0))),"")</f>
        <v/>
      </c>
      <c r="G1694" s="67" t="str">
        <f>IFERROR(IFERROR(INDEX(Кат!$B:$B,MATCH(Прайс!$B1694,Кат!$G:$G,0)),INDEX(Торг!$C:$C,MATCH(Прайс!$B1694,Торг!$H:$H,0))),"")</f>
        <v/>
      </c>
      <c r="H1694" s="67" t="str">
        <f>IFERROR(IFERROR(INDEX(Кат!$I:$I,MATCH(Прайс!$B1694,Кат!$G:$G,0)),INDEX(Торг!$I:$I,MATCH(Прайс!$B1694,Торг!$H:$H,0))),"")</f>
        <v/>
      </c>
    </row>
    <row r="1695" spans="1:8" x14ac:dyDescent="0.25">
      <c r="A1695" s="103" t="s">
        <v>3421</v>
      </c>
      <c r="B1695" s="104">
        <v>72202</v>
      </c>
      <c r="C1695" s="104" t="s">
        <v>1002</v>
      </c>
      <c r="D1695" s="105" t="s">
        <v>161</v>
      </c>
      <c r="E1695" s="113">
        <v>90</v>
      </c>
      <c r="F1695" s="67" t="str">
        <f>IFERROR(IFERROR(INDEX(Кат!$A:$A,MATCH(Прайс!$B1695,Кат!$G:$G,0)),INDEX(Торг!$B:$B,MATCH(Прайс!$B1695,Торг!$H:$H,0))),"")</f>
        <v/>
      </c>
      <c r="G1695" s="67" t="str">
        <f>IFERROR(IFERROR(INDEX(Кат!$B:$B,MATCH(Прайс!$B1695,Кат!$G:$G,0)),INDEX(Торг!$C:$C,MATCH(Прайс!$B1695,Торг!$H:$H,0))),"")</f>
        <v/>
      </c>
      <c r="H1695" s="67" t="str">
        <f>IFERROR(IFERROR(INDEX(Кат!$I:$I,MATCH(Прайс!$B1695,Кат!$G:$G,0)),INDEX(Торг!$I:$I,MATCH(Прайс!$B1695,Торг!$H:$H,0))),"")</f>
        <v/>
      </c>
    </row>
    <row r="1696" spans="1:8" x14ac:dyDescent="0.25">
      <c r="A1696" s="103" t="s">
        <v>3422</v>
      </c>
      <c r="B1696" s="104">
        <v>72203</v>
      </c>
      <c r="C1696" s="104" t="s">
        <v>1003</v>
      </c>
      <c r="D1696" s="105" t="s">
        <v>161</v>
      </c>
      <c r="E1696" s="113">
        <v>90</v>
      </c>
      <c r="F1696" s="67" t="str">
        <f>IFERROR(IFERROR(INDEX(Кат!$A:$A,MATCH(Прайс!$B1696,Кат!$G:$G,0)),INDEX(Торг!$B:$B,MATCH(Прайс!$B1696,Торг!$H:$H,0))),"")</f>
        <v/>
      </c>
      <c r="G1696" s="67" t="str">
        <f>IFERROR(IFERROR(INDEX(Кат!$B:$B,MATCH(Прайс!$B1696,Кат!$G:$G,0)),INDEX(Торг!$C:$C,MATCH(Прайс!$B1696,Торг!$H:$H,0))),"")</f>
        <v/>
      </c>
      <c r="H1696" s="67" t="str">
        <f>IFERROR(IFERROR(INDEX(Кат!$I:$I,MATCH(Прайс!$B1696,Кат!$G:$G,0)),INDEX(Торг!$I:$I,MATCH(Прайс!$B1696,Торг!$H:$H,0))),"")</f>
        <v/>
      </c>
    </row>
    <row r="1697" spans="1:8" x14ac:dyDescent="0.25">
      <c r="A1697" s="103" t="s">
        <v>3423</v>
      </c>
      <c r="B1697" s="104">
        <v>72206</v>
      </c>
      <c r="C1697" s="104" t="s">
        <v>1004</v>
      </c>
      <c r="D1697" s="105" t="s">
        <v>161</v>
      </c>
      <c r="E1697" s="113">
        <v>90</v>
      </c>
      <c r="F1697" s="67" t="str">
        <f>IFERROR(IFERROR(INDEX(Кат!$A:$A,MATCH(Прайс!$B1697,Кат!$G:$G,0)),INDEX(Торг!$B:$B,MATCH(Прайс!$B1697,Торг!$H:$H,0))),"")</f>
        <v/>
      </c>
      <c r="G1697" s="67" t="str">
        <f>IFERROR(IFERROR(INDEX(Кат!$B:$B,MATCH(Прайс!$B1697,Кат!$G:$G,0)),INDEX(Торг!$C:$C,MATCH(Прайс!$B1697,Торг!$H:$H,0))),"")</f>
        <v/>
      </c>
      <c r="H1697" s="67" t="str">
        <f>IFERROR(IFERROR(INDEX(Кат!$I:$I,MATCH(Прайс!$B1697,Кат!$G:$G,0)),INDEX(Торг!$I:$I,MATCH(Прайс!$B1697,Торг!$H:$H,0))),"")</f>
        <v/>
      </c>
    </row>
    <row r="1698" spans="1:8" x14ac:dyDescent="0.25">
      <c r="A1698" s="94" t="s">
        <v>3424</v>
      </c>
      <c r="B1698" s="98">
        <v>71831</v>
      </c>
      <c r="C1698" s="98" t="s">
        <v>1005</v>
      </c>
      <c r="D1698" s="96" t="s">
        <v>161</v>
      </c>
      <c r="E1698" s="97">
        <v>140</v>
      </c>
      <c r="F1698" s="67" t="str">
        <f>IFERROR(IFERROR(INDEX(Кат!$A:$A,MATCH(Прайс!$B1698,Кат!$G:$G,0)),INDEX(Торг!$B:$B,MATCH(Прайс!$B1698,Торг!$H:$H,0))),"")</f>
        <v/>
      </c>
      <c r="G1698" s="67" t="str">
        <f>IFERROR(IFERROR(INDEX(Кат!$B:$B,MATCH(Прайс!$B1698,Кат!$G:$G,0)),INDEX(Торг!$C:$C,MATCH(Прайс!$B1698,Торг!$H:$H,0))),"")</f>
        <v/>
      </c>
      <c r="H1698" s="67" t="str">
        <f>IFERROR(IFERROR(INDEX(Кат!$I:$I,MATCH(Прайс!$B1698,Кат!$G:$G,0)),INDEX(Торг!$I:$I,MATCH(Прайс!$B1698,Торг!$H:$H,0))),"")</f>
        <v/>
      </c>
    </row>
    <row r="1699" spans="1:8" x14ac:dyDescent="0.25">
      <c r="A1699" s="94" t="s">
        <v>3425</v>
      </c>
      <c r="B1699" s="98">
        <v>71832</v>
      </c>
      <c r="C1699" s="98" t="s">
        <v>1006</v>
      </c>
      <c r="D1699" s="96" t="s">
        <v>161</v>
      </c>
      <c r="E1699" s="97">
        <v>140</v>
      </c>
      <c r="F1699" s="67" t="str">
        <f>IFERROR(IFERROR(INDEX(Кат!$A:$A,MATCH(Прайс!$B1699,Кат!$G:$G,0)),INDEX(Торг!$B:$B,MATCH(Прайс!$B1699,Торг!$H:$H,0))),"")</f>
        <v/>
      </c>
      <c r="G1699" s="67" t="str">
        <f>IFERROR(IFERROR(INDEX(Кат!$B:$B,MATCH(Прайс!$B1699,Кат!$G:$G,0)),INDEX(Торг!$C:$C,MATCH(Прайс!$B1699,Торг!$H:$H,0))),"")</f>
        <v/>
      </c>
      <c r="H1699" s="67" t="str">
        <f>IFERROR(IFERROR(INDEX(Кат!$I:$I,MATCH(Прайс!$B1699,Кат!$G:$G,0)),INDEX(Торг!$I:$I,MATCH(Прайс!$B1699,Торг!$H:$H,0))),"")</f>
        <v/>
      </c>
    </row>
    <row r="1700" spans="1:8" x14ac:dyDescent="0.25">
      <c r="A1700" s="94" t="s">
        <v>3426</v>
      </c>
      <c r="B1700" s="98">
        <v>71833</v>
      </c>
      <c r="C1700" s="98" t="s">
        <v>1007</v>
      </c>
      <c r="D1700" s="96" t="s">
        <v>161</v>
      </c>
      <c r="E1700" s="97">
        <v>140</v>
      </c>
      <c r="F1700" s="67" t="str">
        <f>IFERROR(IFERROR(INDEX(Кат!$A:$A,MATCH(Прайс!$B1700,Кат!$G:$G,0)),INDEX(Торг!$B:$B,MATCH(Прайс!$B1700,Торг!$H:$H,0))),"")</f>
        <v/>
      </c>
      <c r="G1700" s="67" t="str">
        <f>IFERROR(IFERROR(INDEX(Кат!$B:$B,MATCH(Прайс!$B1700,Кат!$G:$G,0)),INDEX(Торг!$C:$C,MATCH(Прайс!$B1700,Торг!$H:$H,0))),"")</f>
        <v/>
      </c>
      <c r="H1700" s="67" t="str">
        <f>IFERROR(IFERROR(INDEX(Кат!$I:$I,MATCH(Прайс!$B1700,Кат!$G:$G,0)),INDEX(Торг!$I:$I,MATCH(Прайс!$B1700,Торг!$H:$H,0))),"")</f>
        <v/>
      </c>
    </row>
    <row r="1701" spans="1:8" x14ac:dyDescent="0.25">
      <c r="A1701" s="94" t="s">
        <v>3427</v>
      </c>
      <c r="B1701" s="98">
        <v>71834</v>
      </c>
      <c r="C1701" s="98" t="s">
        <v>1008</v>
      </c>
      <c r="D1701" s="96" t="s">
        <v>161</v>
      </c>
      <c r="E1701" s="97">
        <v>140</v>
      </c>
      <c r="F1701" s="67" t="str">
        <f>IFERROR(IFERROR(INDEX(Кат!$A:$A,MATCH(Прайс!$B1701,Кат!$G:$G,0)),INDEX(Торг!$B:$B,MATCH(Прайс!$B1701,Торг!$H:$H,0))),"")</f>
        <v/>
      </c>
      <c r="G1701" s="67" t="str">
        <f>IFERROR(IFERROR(INDEX(Кат!$B:$B,MATCH(Прайс!$B1701,Кат!$G:$G,0)),INDEX(Торг!$C:$C,MATCH(Прайс!$B1701,Торг!$H:$H,0))),"")</f>
        <v/>
      </c>
      <c r="H1701" s="67" t="str">
        <f>IFERROR(IFERROR(INDEX(Кат!$I:$I,MATCH(Прайс!$B1701,Кат!$G:$G,0)),INDEX(Торг!$I:$I,MATCH(Прайс!$B1701,Торг!$H:$H,0))),"")</f>
        <v/>
      </c>
    </row>
    <row r="1702" spans="1:8" x14ac:dyDescent="0.25">
      <c r="A1702" s="94" t="s">
        <v>5881</v>
      </c>
      <c r="B1702" s="98">
        <v>71835</v>
      </c>
      <c r="C1702" s="98" t="s">
        <v>5882</v>
      </c>
      <c r="D1702" s="96" t="s">
        <v>161</v>
      </c>
      <c r="E1702" s="97">
        <v>140</v>
      </c>
      <c r="F1702" s="67" t="str">
        <f>IFERROR(IFERROR(INDEX(Кат!$A:$A,MATCH(Прайс!$B1702,Кат!$G:$G,0)),INDEX(Торг!$B:$B,MATCH(Прайс!$B1702,Торг!$H:$H,0))),"")</f>
        <v/>
      </c>
      <c r="G1702" s="67" t="str">
        <f>IFERROR(IFERROR(INDEX(Кат!$B:$B,MATCH(Прайс!$B1702,Кат!$G:$G,0)),INDEX(Торг!$C:$C,MATCH(Прайс!$B1702,Торг!$H:$H,0))),"")</f>
        <v/>
      </c>
      <c r="H1702" s="67" t="str">
        <f>IFERROR(IFERROR(INDEX(Кат!$I:$I,MATCH(Прайс!$B1702,Кат!$G:$G,0)),INDEX(Торг!$I:$I,MATCH(Прайс!$B1702,Торг!$H:$H,0))),"")</f>
        <v/>
      </c>
    </row>
    <row r="1703" spans="1:8" x14ac:dyDescent="0.25">
      <c r="A1703" s="94" t="s">
        <v>3428</v>
      </c>
      <c r="B1703" s="98">
        <v>71836</v>
      </c>
      <c r="C1703" s="98" t="s">
        <v>1009</v>
      </c>
      <c r="D1703" s="96" t="s">
        <v>161</v>
      </c>
      <c r="E1703" s="97">
        <v>140</v>
      </c>
      <c r="F1703" s="67" t="str">
        <f>IFERROR(IFERROR(INDEX(Кат!$A:$A,MATCH(Прайс!$B1703,Кат!$G:$G,0)),INDEX(Торг!$B:$B,MATCH(Прайс!$B1703,Торг!$H:$H,0))),"")</f>
        <v/>
      </c>
      <c r="G1703" s="67" t="str">
        <f>IFERROR(IFERROR(INDEX(Кат!$B:$B,MATCH(Прайс!$B1703,Кат!$G:$G,0)),INDEX(Торг!$C:$C,MATCH(Прайс!$B1703,Торг!$H:$H,0))),"")</f>
        <v/>
      </c>
      <c r="H1703" s="67" t="str">
        <f>IFERROR(IFERROR(INDEX(Кат!$I:$I,MATCH(Прайс!$B1703,Кат!$G:$G,0)),INDEX(Торг!$I:$I,MATCH(Прайс!$B1703,Торг!$H:$H,0))),"")</f>
        <v/>
      </c>
    </row>
    <row r="1704" spans="1:8" x14ac:dyDescent="0.25">
      <c r="A1704" s="94" t="s">
        <v>6831</v>
      </c>
      <c r="B1704" s="98">
        <v>71837</v>
      </c>
      <c r="C1704" s="98" t="s">
        <v>6832</v>
      </c>
      <c r="D1704" s="96" t="s">
        <v>161</v>
      </c>
      <c r="E1704" s="97">
        <v>140</v>
      </c>
      <c r="F1704" s="67" t="str">
        <f>IFERROR(IFERROR(INDEX(Кат!$A:$A,MATCH(Прайс!$B1704,Кат!$G:$G,0)),INDEX(Торг!$B:$B,MATCH(Прайс!$B1704,Торг!$H:$H,0))),"")</f>
        <v/>
      </c>
      <c r="G1704" s="67" t="str">
        <f>IFERROR(IFERROR(INDEX(Кат!$B:$B,MATCH(Прайс!$B1704,Кат!$G:$G,0)),INDEX(Торг!$C:$C,MATCH(Прайс!$B1704,Торг!$H:$H,0))),"")</f>
        <v/>
      </c>
      <c r="H1704" s="67" t="str">
        <f>IFERROR(IFERROR(INDEX(Кат!$I:$I,MATCH(Прайс!$B1704,Кат!$G:$G,0)),INDEX(Торг!$I:$I,MATCH(Прайс!$B1704,Торг!$H:$H,0))),"")</f>
        <v/>
      </c>
    </row>
    <row r="1705" spans="1:8" x14ac:dyDescent="0.25">
      <c r="A1705" s="94" t="s">
        <v>6833</v>
      </c>
      <c r="B1705" s="98">
        <v>71838</v>
      </c>
      <c r="C1705" s="98" t="s">
        <v>6834</v>
      </c>
      <c r="D1705" s="96" t="s">
        <v>161</v>
      </c>
      <c r="E1705" s="97">
        <v>140</v>
      </c>
      <c r="F1705" s="67" t="str">
        <f>IFERROR(IFERROR(INDEX(Кат!$A:$A,MATCH(Прайс!$B1705,Кат!$G:$G,0)),INDEX(Торг!$B:$B,MATCH(Прайс!$B1705,Торг!$H:$H,0))),"")</f>
        <v/>
      </c>
      <c r="G1705" s="67" t="str">
        <f>IFERROR(IFERROR(INDEX(Кат!$B:$B,MATCH(Прайс!$B1705,Кат!$G:$G,0)),INDEX(Торг!$C:$C,MATCH(Прайс!$B1705,Торг!$H:$H,0))),"")</f>
        <v/>
      </c>
      <c r="H1705" s="67" t="str">
        <f>IFERROR(IFERROR(INDEX(Кат!$I:$I,MATCH(Прайс!$B1705,Кат!$G:$G,0)),INDEX(Торг!$I:$I,MATCH(Прайс!$B1705,Торг!$H:$H,0))),"")</f>
        <v/>
      </c>
    </row>
    <row r="1706" spans="1:8" x14ac:dyDescent="0.25">
      <c r="A1706" s="94" t="s">
        <v>6835</v>
      </c>
      <c r="B1706" s="98">
        <v>71839</v>
      </c>
      <c r="C1706" s="98" t="s">
        <v>6836</v>
      </c>
      <c r="D1706" s="96" t="s">
        <v>161</v>
      </c>
      <c r="E1706" s="97">
        <v>140</v>
      </c>
      <c r="F1706" s="67" t="str">
        <f>IFERROR(IFERROR(INDEX(Кат!$A:$A,MATCH(Прайс!$B1706,Кат!$G:$G,0)),INDEX(Торг!$B:$B,MATCH(Прайс!$B1706,Торг!$H:$H,0))),"")</f>
        <v/>
      </c>
      <c r="G1706" s="67" t="str">
        <f>IFERROR(IFERROR(INDEX(Кат!$B:$B,MATCH(Прайс!$B1706,Кат!$G:$G,0)),INDEX(Торг!$C:$C,MATCH(Прайс!$B1706,Торг!$H:$H,0))),"")</f>
        <v/>
      </c>
      <c r="H1706" s="67" t="str">
        <f>IFERROR(IFERROR(INDEX(Кат!$I:$I,MATCH(Прайс!$B1706,Кат!$G:$G,0)),INDEX(Торг!$I:$I,MATCH(Прайс!$B1706,Торг!$H:$H,0))),"")</f>
        <v/>
      </c>
    </row>
    <row r="1707" spans="1:8" x14ac:dyDescent="0.25">
      <c r="A1707" s="103" t="s">
        <v>3429</v>
      </c>
      <c r="B1707" s="104">
        <v>72046</v>
      </c>
      <c r="C1707" s="104" t="s">
        <v>1010</v>
      </c>
      <c r="D1707" s="105" t="s">
        <v>161</v>
      </c>
      <c r="E1707" s="113">
        <v>90</v>
      </c>
      <c r="F1707" s="67" t="str">
        <f>IFERROR(IFERROR(INDEX(Кат!$A:$A,MATCH(Прайс!$B1707,Кат!$G:$G,0)),INDEX(Торг!$B:$B,MATCH(Прайс!$B1707,Торг!$H:$H,0))),"")</f>
        <v/>
      </c>
      <c r="G1707" s="67" t="str">
        <f>IFERROR(IFERROR(INDEX(Кат!$B:$B,MATCH(Прайс!$B1707,Кат!$G:$G,0)),INDEX(Торг!$C:$C,MATCH(Прайс!$B1707,Торг!$H:$H,0))),"")</f>
        <v/>
      </c>
      <c r="H1707" s="67" t="str">
        <f>IFERROR(IFERROR(INDEX(Кат!$I:$I,MATCH(Прайс!$B1707,Кат!$G:$G,0)),INDEX(Торг!$I:$I,MATCH(Прайс!$B1707,Торг!$H:$H,0))),"")</f>
        <v/>
      </c>
    </row>
    <row r="1708" spans="1:8" x14ac:dyDescent="0.25">
      <c r="A1708" s="103" t="s">
        <v>3430</v>
      </c>
      <c r="B1708" s="104">
        <v>72044</v>
      </c>
      <c r="C1708" s="104" t="s">
        <v>1011</v>
      </c>
      <c r="D1708" s="105" t="s">
        <v>161</v>
      </c>
      <c r="E1708" s="113">
        <v>90</v>
      </c>
      <c r="F1708" s="67" t="str">
        <f>IFERROR(IFERROR(INDEX(Кат!$A:$A,MATCH(Прайс!$B1708,Кат!$G:$G,0)),INDEX(Торг!$B:$B,MATCH(Прайс!$B1708,Торг!$H:$H,0))),"")</f>
        <v/>
      </c>
      <c r="G1708" s="67" t="str">
        <f>IFERROR(IFERROR(INDEX(Кат!$B:$B,MATCH(Прайс!$B1708,Кат!$G:$G,0)),INDEX(Торг!$C:$C,MATCH(Прайс!$B1708,Торг!$H:$H,0))),"")</f>
        <v/>
      </c>
      <c r="H1708" s="67" t="str">
        <f>IFERROR(IFERROR(INDEX(Кат!$I:$I,MATCH(Прайс!$B1708,Кат!$G:$G,0)),INDEX(Торг!$I:$I,MATCH(Прайс!$B1708,Торг!$H:$H,0))),"")</f>
        <v/>
      </c>
    </row>
    <row r="1709" spans="1:8" x14ac:dyDescent="0.25">
      <c r="A1709" s="103" t="s">
        <v>3431</v>
      </c>
      <c r="B1709" s="104">
        <v>72048</v>
      </c>
      <c r="C1709" s="104" t="s">
        <v>1012</v>
      </c>
      <c r="D1709" s="105" t="s">
        <v>161</v>
      </c>
      <c r="E1709" s="113">
        <v>90</v>
      </c>
      <c r="F1709" s="67" t="str">
        <f>IFERROR(IFERROR(INDEX(Кат!$A:$A,MATCH(Прайс!$B1709,Кат!$G:$G,0)),INDEX(Торг!$B:$B,MATCH(Прайс!$B1709,Торг!$H:$H,0))),"")</f>
        <v/>
      </c>
      <c r="G1709" s="67" t="str">
        <f>IFERROR(IFERROR(INDEX(Кат!$B:$B,MATCH(Прайс!$B1709,Кат!$G:$G,0)),INDEX(Торг!$C:$C,MATCH(Прайс!$B1709,Торг!$H:$H,0))),"")</f>
        <v/>
      </c>
      <c r="H1709" s="67" t="str">
        <f>IFERROR(IFERROR(INDEX(Кат!$I:$I,MATCH(Прайс!$B1709,Кат!$G:$G,0)),INDEX(Торг!$I:$I,MATCH(Прайс!$B1709,Торг!$H:$H,0))),"")</f>
        <v/>
      </c>
    </row>
    <row r="1710" spans="1:8" x14ac:dyDescent="0.25">
      <c r="A1710" s="103" t="s">
        <v>3432</v>
      </c>
      <c r="B1710" s="104">
        <v>72045</v>
      </c>
      <c r="C1710" s="104" t="s">
        <v>1013</v>
      </c>
      <c r="D1710" s="105" t="s">
        <v>161</v>
      </c>
      <c r="E1710" s="113">
        <v>90</v>
      </c>
      <c r="F1710" s="67" t="str">
        <f>IFERROR(IFERROR(INDEX(Кат!$A:$A,MATCH(Прайс!$B1710,Кат!$G:$G,0)),INDEX(Торг!$B:$B,MATCH(Прайс!$B1710,Торг!$H:$H,0))),"")</f>
        <v/>
      </c>
      <c r="G1710" s="67" t="str">
        <f>IFERROR(IFERROR(INDEX(Кат!$B:$B,MATCH(Прайс!$B1710,Кат!$G:$G,0)),INDEX(Торг!$C:$C,MATCH(Прайс!$B1710,Торг!$H:$H,0))),"")</f>
        <v/>
      </c>
      <c r="H1710" s="67" t="str">
        <f>IFERROR(IFERROR(INDEX(Кат!$I:$I,MATCH(Прайс!$B1710,Кат!$G:$G,0)),INDEX(Торг!$I:$I,MATCH(Прайс!$B1710,Торг!$H:$H,0))),"")</f>
        <v/>
      </c>
    </row>
    <row r="1711" spans="1:8" x14ac:dyDescent="0.25">
      <c r="A1711" s="103" t="s">
        <v>3433</v>
      </c>
      <c r="B1711" s="104">
        <v>72047</v>
      </c>
      <c r="C1711" s="104" t="s">
        <v>1014</v>
      </c>
      <c r="D1711" s="105" t="s">
        <v>161</v>
      </c>
      <c r="E1711" s="113">
        <v>90</v>
      </c>
      <c r="F1711" s="67" t="str">
        <f>IFERROR(IFERROR(INDEX(Кат!$A:$A,MATCH(Прайс!$B1711,Кат!$G:$G,0)),INDEX(Торг!$B:$B,MATCH(Прайс!$B1711,Торг!$H:$H,0))),"")</f>
        <v/>
      </c>
      <c r="G1711" s="67" t="str">
        <f>IFERROR(IFERROR(INDEX(Кат!$B:$B,MATCH(Прайс!$B1711,Кат!$G:$G,0)),INDEX(Торг!$C:$C,MATCH(Прайс!$B1711,Торг!$H:$H,0))),"")</f>
        <v/>
      </c>
      <c r="H1711" s="67" t="str">
        <f>IFERROR(IFERROR(INDEX(Кат!$I:$I,MATCH(Прайс!$B1711,Кат!$G:$G,0)),INDEX(Торг!$I:$I,MATCH(Прайс!$B1711,Торг!$H:$H,0))),"")</f>
        <v/>
      </c>
    </row>
    <row r="1712" spans="1:8" x14ac:dyDescent="0.25">
      <c r="A1712" s="94" t="s">
        <v>6837</v>
      </c>
      <c r="B1712" s="98">
        <v>72657</v>
      </c>
      <c r="C1712" s="98" t="s">
        <v>6838</v>
      </c>
      <c r="D1712" s="96" t="s">
        <v>160</v>
      </c>
      <c r="E1712" s="97">
        <v>40</v>
      </c>
      <c r="F1712" s="67" t="str">
        <f>IFERROR(IFERROR(INDEX(Кат!$A:$A,MATCH(Прайс!$B1712,Кат!$G:$G,0)),INDEX(Торг!$B:$B,MATCH(Прайс!$B1712,Торг!$H:$H,0))),"")</f>
        <v/>
      </c>
      <c r="G1712" s="67" t="str">
        <f>IFERROR(IFERROR(INDEX(Кат!$B:$B,MATCH(Прайс!$B1712,Кат!$G:$G,0)),INDEX(Торг!$C:$C,MATCH(Прайс!$B1712,Торг!$H:$H,0))),"")</f>
        <v/>
      </c>
      <c r="H1712" s="67" t="str">
        <f>IFERROR(IFERROR(INDEX(Кат!$I:$I,MATCH(Прайс!$B1712,Кат!$G:$G,0)),INDEX(Торг!$I:$I,MATCH(Прайс!$B1712,Торг!$H:$H,0))),"")</f>
        <v/>
      </c>
    </row>
    <row r="1713" spans="1:8" x14ac:dyDescent="0.25">
      <c r="A1713" s="94" t="s">
        <v>6839</v>
      </c>
      <c r="B1713" s="98">
        <v>70291</v>
      </c>
      <c r="C1713" s="98" t="s">
        <v>6840</v>
      </c>
      <c r="D1713" s="96" t="s">
        <v>5002</v>
      </c>
      <c r="E1713" s="97">
        <v>40</v>
      </c>
      <c r="F1713" s="67" t="str">
        <f>IFERROR(IFERROR(INDEX(Кат!$A:$A,MATCH(Прайс!$B1713,Кат!$G:$G,0)),INDEX(Торг!$B:$B,MATCH(Прайс!$B1713,Торг!$H:$H,0))),"")</f>
        <v/>
      </c>
      <c r="G1713" s="67" t="str">
        <f>IFERROR(IFERROR(INDEX(Кат!$B:$B,MATCH(Прайс!$B1713,Кат!$G:$G,0)),INDEX(Торг!$C:$C,MATCH(Прайс!$B1713,Торг!$H:$H,0))),"")</f>
        <v/>
      </c>
      <c r="H1713" s="67" t="str">
        <f>IFERROR(IFERROR(INDEX(Кат!$I:$I,MATCH(Прайс!$B1713,Кат!$G:$G,0)),INDEX(Торг!$I:$I,MATCH(Прайс!$B1713,Торг!$H:$H,0))),"")</f>
        <v/>
      </c>
    </row>
    <row r="1714" spans="1:8" x14ac:dyDescent="0.25">
      <c r="A1714" s="94" t="s">
        <v>6841</v>
      </c>
      <c r="B1714" s="98">
        <v>70295</v>
      </c>
      <c r="C1714" s="98" t="s">
        <v>6842</v>
      </c>
      <c r="D1714" s="96" t="s">
        <v>5002</v>
      </c>
      <c r="E1714" s="97">
        <v>40</v>
      </c>
      <c r="F1714" s="67" t="str">
        <f>IFERROR(IFERROR(INDEX(Кат!$A:$A,MATCH(Прайс!$B1714,Кат!$G:$G,0)),INDEX(Торг!$B:$B,MATCH(Прайс!$B1714,Торг!$H:$H,0))),"")</f>
        <v/>
      </c>
      <c r="G1714" s="67" t="str">
        <f>IFERROR(IFERROR(INDEX(Кат!$B:$B,MATCH(Прайс!$B1714,Кат!$G:$G,0)),INDEX(Торг!$C:$C,MATCH(Прайс!$B1714,Торг!$H:$H,0))),"")</f>
        <v/>
      </c>
      <c r="H1714" s="67" t="str">
        <f>IFERROR(IFERROR(INDEX(Кат!$I:$I,MATCH(Прайс!$B1714,Кат!$G:$G,0)),INDEX(Торг!$I:$I,MATCH(Прайс!$B1714,Торг!$H:$H,0))),"")</f>
        <v/>
      </c>
    </row>
    <row r="1715" spans="1:8" x14ac:dyDescent="0.25">
      <c r="A1715" s="94" t="s">
        <v>6843</v>
      </c>
      <c r="B1715" s="98">
        <v>70293</v>
      </c>
      <c r="C1715" s="98" t="s">
        <v>6844</v>
      </c>
      <c r="D1715" s="96" t="s">
        <v>5002</v>
      </c>
      <c r="E1715" s="97">
        <v>40</v>
      </c>
      <c r="F1715" s="67" t="str">
        <f>IFERROR(IFERROR(INDEX(Кат!$A:$A,MATCH(Прайс!$B1715,Кат!$G:$G,0)),INDEX(Торг!$B:$B,MATCH(Прайс!$B1715,Торг!$H:$H,0))),"")</f>
        <v/>
      </c>
      <c r="G1715" s="67" t="str">
        <f>IFERROR(IFERROR(INDEX(Кат!$B:$B,MATCH(Прайс!$B1715,Кат!$G:$G,0)),INDEX(Торг!$C:$C,MATCH(Прайс!$B1715,Торг!$H:$H,0))),"")</f>
        <v/>
      </c>
      <c r="H1715" s="67" t="str">
        <f>IFERROR(IFERROR(INDEX(Кат!$I:$I,MATCH(Прайс!$B1715,Кат!$G:$G,0)),INDEX(Торг!$I:$I,MATCH(Прайс!$B1715,Торг!$H:$H,0))),"")</f>
        <v/>
      </c>
    </row>
    <row r="1716" spans="1:8" x14ac:dyDescent="0.25">
      <c r="A1716" s="94" t="s">
        <v>6845</v>
      </c>
      <c r="B1716" s="98">
        <v>70292</v>
      </c>
      <c r="C1716" s="98" t="s">
        <v>6846</v>
      </c>
      <c r="D1716" s="96" t="s">
        <v>5002</v>
      </c>
      <c r="E1716" s="97">
        <v>40</v>
      </c>
      <c r="F1716" s="67" t="str">
        <f>IFERROR(IFERROR(INDEX(Кат!$A:$A,MATCH(Прайс!$B1716,Кат!$G:$G,0)),INDEX(Торг!$B:$B,MATCH(Прайс!$B1716,Торг!$H:$H,0))),"")</f>
        <v/>
      </c>
      <c r="G1716" s="67" t="str">
        <f>IFERROR(IFERROR(INDEX(Кат!$B:$B,MATCH(Прайс!$B1716,Кат!$G:$G,0)),INDEX(Торг!$C:$C,MATCH(Прайс!$B1716,Торг!$H:$H,0))),"")</f>
        <v/>
      </c>
      <c r="H1716" s="67" t="str">
        <f>IFERROR(IFERROR(INDEX(Кат!$I:$I,MATCH(Прайс!$B1716,Кат!$G:$G,0)),INDEX(Торг!$I:$I,MATCH(Прайс!$B1716,Торг!$H:$H,0))),"")</f>
        <v/>
      </c>
    </row>
    <row r="1717" spans="1:8" x14ac:dyDescent="0.25">
      <c r="A1717" s="94" t="s">
        <v>6847</v>
      </c>
      <c r="B1717" s="98">
        <v>70294</v>
      </c>
      <c r="C1717" s="98" t="s">
        <v>6848</v>
      </c>
      <c r="D1717" s="96" t="s">
        <v>5002</v>
      </c>
      <c r="E1717" s="97">
        <v>40</v>
      </c>
      <c r="F1717" s="67" t="str">
        <f>IFERROR(IFERROR(INDEX(Кат!$A:$A,MATCH(Прайс!$B1717,Кат!$G:$G,0)),INDEX(Торг!$B:$B,MATCH(Прайс!$B1717,Торг!$H:$H,0))),"")</f>
        <v/>
      </c>
      <c r="G1717" s="67" t="str">
        <f>IFERROR(IFERROR(INDEX(Кат!$B:$B,MATCH(Прайс!$B1717,Кат!$G:$G,0)),INDEX(Торг!$C:$C,MATCH(Прайс!$B1717,Торг!$H:$H,0))),"")</f>
        <v/>
      </c>
      <c r="H1717" s="67" t="str">
        <f>IFERROR(IFERROR(INDEX(Кат!$I:$I,MATCH(Прайс!$B1717,Кат!$G:$G,0)),INDEX(Торг!$I:$I,MATCH(Прайс!$B1717,Торг!$H:$H,0))),"")</f>
        <v/>
      </c>
    </row>
    <row r="1718" spans="1:8" x14ac:dyDescent="0.25">
      <c r="A1718" s="94" t="s">
        <v>6849</v>
      </c>
      <c r="B1718" s="98">
        <v>71028</v>
      </c>
      <c r="C1718" s="98" t="s">
        <v>6850</v>
      </c>
      <c r="D1718" s="96" t="s">
        <v>160</v>
      </c>
      <c r="E1718" s="97">
        <v>40</v>
      </c>
      <c r="F1718" s="67" t="str">
        <f>IFERROR(IFERROR(INDEX(Кат!$A:$A,MATCH(Прайс!$B1718,Кат!$G:$G,0)),INDEX(Торг!$B:$B,MATCH(Прайс!$B1718,Торг!$H:$H,0))),"")</f>
        <v/>
      </c>
      <c r="G1718" s="67" t="str">
        <f>IFERROR(IFERROR(INDEX(Кат!$B:$B,MATCH(Прайс!$B1718,Кат!$G:$G,0)),INDEX(Торг!$C:$C,MATCH(Прайс!$B1718,Торг!$H:$H,0))),"")</f>
        <v/>
      </c>
      <c r="H1718" s="67" t="str">
        <f>IFERROR(IFERROR(INDEX(Кат!$I:$I,MATCH(Прайс!$B1718,Кат!$G:$G,0)),INDEX(Торг!$I:$I,MATCH(Прайс!$B1718,Торг!$H:$H,0))),"")</f>
        <v/>
      </c>
    </row>
    <row r="1719" spans="1:8" x14ac:dyDescent="0.25">
      <c r="A1719" s="94" t="s">
        <v>3434</v>
      </c>
      <c r="B1719" s="98">
        <v>70296</v>
      </c>
      <c r="C1719" s="98" t="s">
        <v>1015</v>
      </c>
      <c r="D1719" s="96" t="s">
        <v>160</v>
      </c>
      <c r="E1719" s="97">
        <v>150</v>
      </c>
      <c r="F1719" s="67" t="str">
        <f>IFERROR(IFERROR(INDEX(Кат!$A:$A,MATCH(Прайс!$B1719,Кат!$G:$G,0)),INDEX(Торг!$B:$B,MATCH(Прайс!$B1719,Торг!$H:$H,0))),"")</f>
        <v/>
      </c>
      <c r="G1719" s="67" t="str">
        <f>IFERROR(IFERROR(INDEX(Кат!$B:$B,MATCH(Прайс!$B1719,Кат!$G:$G,0)),INDEX(Торг!$C:$C,MATCH(Прайс!$B1719,Торг!$H:$H,0))),"")</f>
        <v/>
      </c>
      <c r="H1719" s="67" t="str">
        <f>IFERROR(IFERROR(INDEX(Кат!$I:$I,MATCH(Прайс!$B1719,Кат!$G:$G,0)),INDEX(Торг!$I:$I,MATCH(Прайс!$B1719,Торг!$H:$H,0))),"")</f>
        <v/>
      </c>
    </row>
    <row r="1720" spans="1:8" x14ac:dyDescent="0.25">
      <c r="A1720" s="94" t="s">
        <v>3435</v>
      </c>
      <c r="B1720" s="98">
        <v>70297</v>
      </c>
      <c r="C1720" s="98" t="s">
        <v>1016</v>
      </c>
      <c r="D1720" s="96" t="s">
        <v>160</v>
      </c>
      <c r="E1720" s="97">
        <v>150</v>
      </c>
      <c r="F1720" s="67" t="str">
        <f>IFERROR(IFERROR(INDEX(Кат!$A:$A,MATCH(Прайс!$B1720,Кат!$G:$G,0)),INDEX(Торг!$B:$B,MATCH(Прайс!$B1720,Торг!$H:$H,0))),"")</f>
        <v/>
      </c>
      <c r="G1720" s="67" t="str">
        <f>IFERROR(IFERROR(INDEX(Кат!$B:$B,MATCH(Прайс!$B1720,Кат!$G:$G,0)),INDEX(Торг!$C:$C,MATCH(Прайс!$B1720,Торг!$H:$H,0))),"")</f>
        <v/>
      </c>
      <c r="H1720" s="67" t="str">
        <f>IFERROR(IFERROR(INDEX(Кат!$I:$I,MATCH(Прайс!$B1720,Кат!$G:$G,0)),INDEX(Торг!$I:$I,MATCH(Прайс!$B1720,Торг!$H:$H,0))),"")</f>
        <v/>
      </c>
    </row>
    <row r="1721" spans="1:8" x14ac:dyDescent="0.25">
      <c r="A1721" s="94" t="s">
        <v>3436</v>
      </c>
      <c r="B1721" s="98">
        <v>70298</v>
      </c>
      <c r="C1721" s="98" t="s">
        <v>1017</v>
      </c>
      <c r="D1721" s="96" t="s">
        <v>160</v>
      </c>
      <c r="E1721" s="97">
        <v>150</v>
      </c>
      <c r="F1721" s="67" t="str">
        <f>IFERROR(IFERROR(INDEX(Кат!$A:$A,MATCH(Прайс!$B1721,Кат!$G:$G,0)),INDEX(Торг!$B:$B,MATCH(Прайс!$B1721,Торг!$H:$H,0))),"")</f>
        <v/>
      </c>
      <c r="G1721" s="67" t="str">
        <f>IFERROR(IFERROR(INDEX(Кат!$B:$B,MATCH(Прайс!$B1721,Кат!$G:$G,0)),INDEX(Торг!$C:$C,MATCH(Прайс!$B1721,Торг!$H:$H,0))),"")</f>
        <v/>
      </c>
      <c r="H1721" s="67" t="str">
        <f>IFERROR(IFERROR(INDEX(Кат!$I:$I,MATCH(Прайс!$B1721,Кат!$G:$G,0)),INDEX(Торг!$I:$I,MATCH(Прайс!$B1721,Торг!$H:$H,0))),"")</f>
        <v/>
      </c>
    </row>
    <row r="1722" spans="1:8" x14ac:dyDescent="0.25">
      <c r="A1722" s="94" t="s">
        <v>6851</v>
      </c>
      <c r="B1722" s="98">
        <v>72574</v>
      </c>
      <c r="C1722" s="98" t="s">
        <v>6852</v>
      </c>
      <c r="D1722" s="96" t="s">
        <v>582</v>
      </c>
      <c r="E1722" s="97">
        <v>190</v>
      </c>
      <c r="F1722" s="67" t="str">
        <f>IFERROR(IFERROR(INDEX(Кат!$A:$A,MATCH(Прайс!$B1722,Кат!$G:$G,0)),INDEX(Торг!$B:$B,MATCH(Прайс!$B1722,Торг!$H:$H,0))),"")</f>
        <v/>
      </c>
      <c r="G1722" s="67" t="str">
        <f>IFERROR(IFERROR(INDEX(Кат!$B:$B,MATCH(Прайс!$B1722,Кат!$G:$G,0)),INDEX(Торг!$C:$C,MATCH(Прайс!$B1722,Торг!$H:$H,0))),"")</f>
        <v/>
      </c>
      <c r="H1722" s="67" t="str">
        <f>IFERROR(IFERROR(INDEX(Кат!$I:$I,MATCH(Прайс!$B1722,Кат!$G:$G,0)),INDEX(Торг!$I:$I,MATCH(Прайс!$B1722,Торг!$H:$H,0))),"")</f>
        <v/>
      </c>
    </row>
    <row r="1723" spans="1:8" x14ac:dyDescent="0.25">
      <c r="A1723" s="94" t="s">
        <v>6853</v>
      </c>
      <c r="B1723" s="98">
        <v>72575</v>
      </c>
      <c r="C1723" s="98" t="s">
        <v>6854</v>
      </c>
      <c r="D1723" s="96" t="s">
        <v>582</v>
      </c>
      <c r="E1723" s="97">
        <v>190</v>
      </c>
      <c r="F1723" s="67" t="str">
        <f>IFERROR(IFERROR(INDEX(Кат!$A:$A,MATCH(Прайс!$B1723,Кат!$G:$G,0)),INDEX(Торг!$B:$B,MATCH(Прайс!$B1723,Торг!$H:$H,0))),"")</f>
        <v/>
      </c>
      <c r="G1723" s="67" t="str">
        <f>IFERROR(IFERROR(INDEX(Кат!$B:$B,MATCH(Прайс!$B1723,Кат!$G:$G,0)),INDEX(Торг!$C:$C,MATCH(Прайс!$B1723,Торг!$H:$H,0))),"")</f>
        <v/>
      </c>
      <c r="H1723" s="67" t="str">
        <f>IFERROR(IFERROR(INDEX(Кат!$I:$I,MATCH(Прайс!$B1723,Кат!$G:$G,0)),INDEX(Торг!$I:$I,MATCH(Прайс!$B1723,Торг!$H:$H,0))),"")</f>
        <v/>
      </c>
    </row>
    <row r="1724" spans="1:8" x14ac:dyDescent="0.25">
      <c r="A1724" s="94" t="s">
        <v>6855</v>
      </c>
      <c r="B1724" s="98">
        <v>72576</v>
      </c>
      <c r="C1724" s="98" t="s">
        <v>6856</v>
      </c>
      <c r="D1724" s="96" t="s">
        <v>582</v>
      </c>
      <c r="E1724" s="97">
        <v>190</v>
      </c>
      <c r="F1724" s="67" t="str">
        <f>IFERROR(IFERROR(INDEX(Кат!$A:$A,MATCH(Прайс!$B1724,Кат!$G:$G,0)),INDEX(Торг!$B:$B,MATCH(Прайс!$B1724,Торг!$H:$H,0))),"")</f>
        <v/>
      </c>
      <c r="G1724" s="67" t="str">
        <f>IFERROR(IFERROR(INDEX(Кат!$B:$B,MATCH(Прайс!$B1724,Кат!$G:$G,0)),INDEX(Торг!$C:$C,MATCH(Прайс!$B1724,Торг!$H:$H,0))),"")</f>
        <v/>
      </c>
      <c r="H1724" s="67" t="str">
        <f>IFERROR(IFERROR(INDEX(Кат!$I:$I,MATCH(Прайс!$B1724,Кат!$G:$G,0)),INDEX(Торг!$I:$I,MATCH(Прайс!$B1724,Торг!$H:$H,0))),"")</f>
        <v/>
      </c>
    </row>
    <row r="1725" spans="1:8" x14ac:dyDescent="0.25">
      <c r="A1725" s="94" t="s">
        <v>6857</v>
      </c>
      <c r="B1725" s="98">
        <v>72577</v>
      </c>
      <c r="C1725" s="98" t="s">
        <v>6858</v>
      </c>
      <c r="D1725" s="96" t="s">
        <v>582</v>
      </c>
      <c r="E1725" s="97">
        <v>190</v>
      </c>
      <c r="F1725" s="67" t="str">
        <f>IFERROR(IFERROR(INDEX(Кат!$A:$A,MATCH(Прайс!$B1725,Кат!$G:$G,0)),INDEX(Торг!$B:$B,MATCH(Прайс!$B1725,Торг!$H:$H,0))),"")</f>
        <v/>
      </c>
      <c r="G1725" s="67" t="str">
        <f>IFERROR(IFERROR(INDEX(Кат!$B:$B,MATCH(Прайс!$B1725,Кат!$G:$G,0)),INDEX(Торг!$C:$C,MATCH(Прайс!$B1725,Торг!$H:$H,0))),"")</f>
        <v/>
      </c>
      <c r="H1725" s="67" t="str">
        <f>IFERROR(IFERROR(INDEX(Кат!$I:$I,MATCH(Прайс!$B1725,Кат!$G:$G,0)),INDEX(Торг!$I:$I,MATCH(Прайс!$B1725,Торг!$H:$H,0))),"")</f>
        <v/>
      </c>
    </row>
    <row r="1726" spans="1:8" x14ac:dyDescent="0.25">
      <c r="A1726" s="94" t="s">
        <v>6859</v>
      </c>
      <c r="B1726" s="98">
        <v>72578</v>
      </c>
      <c r="C1726" s="98" t="s">
        <v>6860</v>
      </c>
      <c r="D1726" s="96" t="s">
        <v>582</v>
      </c>
      <c r="E1726" s="97">
        <v>190</v>
      </c>
      <c r="F1726" s="67" t="str">
        <f>IFERROR(IFERROR(INDEX(Кат!$A:$A,MATCH(Прайс!$B1726,Кат!$G:$G,0)),INDEX(Торг!$B:$B,MATCH(Прайс!$B1726,Торг!$H:$H,0))),"")</f>
        <v/>
      </c>
      <c r="G1726" s="67" t="str">
        <f>IFERROR(IFERROR(INDEX(Кат!$B:$B,MATCH(Прайс!$B1726,Кат!$G:$G,0)),INDEX(Торг!$C:$C,MATCH(Прайс!$B1726,Торг!$H:$H,0))),"")</f>
        <v/>
      </c>
      <c r="H1726" s="67" t="str">
        <f>IFERROR(IFERROR(INDEX(Кат!$I:$I,MATCH(Прайс!$B1726,Кат!$G:$G,0)),INDEX(Торг!$I:$I,MATCH(Прайс!$B1726,Торг!$H:$H,0))),"")</f>
        <v/>
      </c>
    </row>
    <row r="1727" spans="1:8" x14ac:dyDescent="0.25">
      <c r="A1727" s="94" t="s">
        <v>6861</v>
      </c>
      <c r="B1727" s="98">
        <v>72592</v>
      </c>
      <c r="C1727" s="98" t="s">
        <v>6862</v>
      </c>
      <c r="D1727" s="96" t="s">
        <v>582</v>
      </c>
      <c r="E1727" s="97">
        <v>190</v>
      </c>
      <c r="F1727" s="67" t="str">
        <f>IFERROR(IFERROR(INDEX(Кат!$A:$A,MATCH(Прайс!$B1727,Кат!$G:$G,0)),INDEX(Торг!$B:$B,MATCH(Прайс!$B1727,Торг!$H:$H,0))),"")</f>
        <v/>
      </c>
      <c r="G1727" s="67" t="str">
        <f>IFERROR(IFERROR(INDEX(Кат!$B:$B,MATCH(Прайс!$B1727,Кат!$G:$G,0)),INDEX(Торг!$C:$C,MATCH(Прайс!$B1727,Торг!$H:$H,0))),"")</f>
        <v/>
      </c>
      <c r="H1727" s="67" t="str">
        <f>IFERROR(IFERROR(INDEX(Кат!$I:$I,MATCH(Прайс!$B1727,Кат!$G:$G,0)),INDEX(Торг!$I:$I,MATCH(Прайс!$B1727,Торг!$H:$H,0))),"")</f>
        <v/>
      </c>
    </row>
    <row r="1728" spans="1:8" x14ac:dyDescent="0.25">
      <c r="A1728" s="94" t="s">
        <v>6863</v>
      </c>
      <c r="B1728" s="98">
        <v>72579</v>
      </c>
      <c r="C1728" s="98" t="s">
        <v>6864</v>
      </c>
      <c r="D1728" s="96" t="s">
        <v>582</v>
      </c>
      <c r="E1728" s="97">
        <v>190</v>
      </c>
      <c r="F1728" s="67" t="str">
        <f>IFERROR(IFERROR(INDEX(Кат!$A:$A,MATCH(Прайс!$B1728,Кат!$G:$G,0)),INDEX(Торг!$B:$B,MATCH(Прайс!$B1728,Торг!$H:$H,0))),"")</f>
        <v/>
      </c>
      <c r="G1728" s="67" t="str">
        <f>IFERROR(IFERROR(INDEX(Кат!$B:$B,MATCH(Прайс!$B1728,Кат!$G:$G,0)),INDEX(Торг!$C:$C,MATCH(Прайс!$B1728,Торг!$H:$H,0))),"")</f>
        <v/>
      </c>
      <c r="H1728" s="67" t="str">
        <f>IFERROR(IFERROR(INDEX(Кат!$I:$I,MATCH(Прайс!$B1728,Кат!$G:$G,0)),INDEX(Торг!$I:$I,MATCH(Прайс!$B1728,Торг!$H:$H,0))),"")</f>
        <v/>
      </c>
    </row>
    <row r="1729" spans="1:8" x14ac:dyDescent="0.25">
      <c r="A1729" s="94" t="s">
        <v>6865</v>
      </c>
      <c r="B1729" s="98">
        <v>72580</v>
      </c>
      <c r="C1729" s="98" t="s">
        <v>6866</v>
      </c>
      <c r="D1729" s="96" t="s">
        <v>582</v>
      </c>
      <c r="E1729" s="97">
        <v>190</v>
      </c>
      <c r="F1729" s="67" t="str">
        <f>IFERROR(IFERROR(INDEX(Кат!$A:$A,MATCH(Прайс!$B1729,Кат!$G:$G,0)),INDEX(Торг!$B:$B,MATCH(Прайс!$B1729,Торг!$H:$H,0))),"")</f>
        <v/>
      </c>
      <c r="G1729" s="67" t="str">
        <f>IFERROR(IFERROR(INDEX(Кат!$B:$B,MATCH(Прайс!$B1729,Кат!$G:$G,0)),INDEX(Торг!$C:$C,MATCH(Прайс!$B1729,Торг!$H:$H,0))),"")</f>
        <v/>
      </c>
      <c r="H1729" s="67" t="str">
        <f>IFERROR(IFERROR(INDEX(Кат!$I:$I,MATCH(Прайс!$B1729,Кат!$G:$G,0)),INDEX(Торг!$I:$I,MATCH(Прайс!$B1729,Торг!$H:$H,0))),"")</f>
        <v/>
      </c>
    </row>
    <row r="1730" spans="1:8" x14ac:dyDescent="0.25">
      <c r="A1730" s="94" t="s">
        <v>6867</v>
      </c>
      <c r="B1730" s="98">
        <v>72581</v>
      </c>
      <c r="C1730" s="98" t="s">
        <v>6868</v>
      </c>
      <c r="D1730" s="96" t="s">
        <v>582</v>
      </c>
      <c r="E1730" s="97">
        <v>190</v>
      </c>
      <c r="F1730" s="67" t="str">
        <f>IFERROR(IFERROR(INDEX(Кат!$A:$A,MATCH(Прайс!$B1730,Кат!$G:$G,0)),INDEX(Торг!$B:$B,MATCH(Прайс!$B1730,Торг!$H:$H,0))),"")</f>
        <v/>
      </c>
      <c r="G1730" s="67" t="str">
        <f>IFERROR(IFERROR(INDEX(Кат!$B:$B,MATCH(Прайс!$B1730,Кат!$G:$G,0)),INDEX(Торг!$C:$C,MATCH(Прайс!$B1730,Торг!$H:$H,0))),"")</f>
        <v/>
      </c>
      <c r="H1730" s="67" t="str">
        <f>IFERROR(IFERROR(INDEX(Кат!$I:$I,MATCH(Прайс!$B1730,Кат!$G:$G,0)),INDEX(Торг!$I:$I,MATCH(Прайс!$B1730,Торг!$H:$H,0))),"")</f>
        <v/>
      </c>
    </row>
    <row r="1731" spans="1:8" x14ac:dyDescent="0.25">
      <c r="A1731" s="94" t="s">
        <v>6869</v>
      </c>
      <c r="B1731" s="98">
        <v>72589</v>
      </c>
      <c r="C1731" s="98" t="s">
        <v>6870</v>
      </c>
      <c r="D1731" s="96" t="s">
        <v>582</v>
      </c>
      <c r="E1731" s="97">
        <v>190</v>
      </c>
      <c r="F1731" s="67" t="str">
        <f>IFERROR(IFERROR(INDEX(Кат!$A:$A,MATCH(Прайс!$B1731,Кат!$G:$G,0)),INDEX(Торг!$B:$B,MATCH(Прайс!$B1731,Торг!$H:$H,0))),"")</f>
        <v/>
      </c>
      <c r="G1731" s="67" t="str">
        <f>IFERROR(IFERROR(INDEX(Кат!$B:$B,MATCH(Прайс!$B1731,Кат!$G:$G,0)),INDEX(Торг!$C:$C,MATCH(Прайс!$B1731,Торг!$H:$H,0))),"")</f>
        <v/>
      </c>
      <c r="H1731" s="67" t="str">
        <f>IFERROR(IFERROR(INDEX(Кат!$I:$I,MATCH(Прайс!$B1731,Кат!$G:$G,0)),INDEX(Торг!$I:$I,MATCH(Прайс!$B1731,Торг!$H:$H,0))),"")</f>
        <v/>
      </c>
    </row>
    <row r="1732" spans="1:8" x14ac:dyDescent="0.25">
      <c r="A1732" s="94" t="s">
        <v>6871</v>
      </c>
      <c r="B1732" s="98">
        <v>72582</v>
      </c>
      <c r="C1732" s="98" t="s">
        <v>6872</v>
      </c>
      <c r="D1732" s="96" t="s">
        <v>582</v>
      </c>
      <c r="E1732" s="97">
        <v>190</v>
      </c>
      <c r="F1732" s="67" t="str">
        <f>IFERROR(IFERROR(INDEX(Кат!$A:$A,MATCH(Прайс!$B1732,Кат!$G:$G,0)),INDEX(Торг!$B:$B,MATCH(Прайс!$B1732,Торг!$H:$H,0))),"")</f>
        <v/>
      </c>
      <c r="G1732" s="67" t="str">
        <f>IFERROR(IFERROR(INDEX(Кат!$B:$B,MATCH(Прайс!$B1732,Кат!$G:$G,0)),INDEX(Торг!$C:$C,MATCH(Прайс!$B1732,Торг!$H:$H,0))),"")</f>
        <v/>
      </c>
      <c r="H1732" s="67" t="str">
        <f>IFERROR(IFERROR(INDEX(Кат!$I:$I,MATCH(Прайс!$B1732,Кат!$G:$G,0)),INDEX(Торг!$I:$I,MATCH(Прайс!$B1732,Торг!$H:$H,0))),"")</f>
        <v/>
      </c>
    </row>
    <row r="1733" spans="1:8" x14ac:dyDescent="0.25">
      <c r="A1733" s="94" t="s">
        <v>6873</v>
      </c>
      <c r="B1733" s="98">
        <v>72593</v>
      </c>
      <c r="C1733" s="98" t="s">
        <v>6874</v>
      </c>
      <c r="D1733" s="96" t="s">
        <v>582</v>
      </c>
      <c r="E1733" s="97">
        <v>190</v>
      </c>
      <c r="F1733" s="67" t="str">
        <f>IFERROR(IFERROR(INDEX(Кат!$A:$A,MATCH(Прайс!$B1733,Кат!$G:$G,0)),INDEX(Торг!$B:$B,MATCH(Прайс!$B1733,Торг!$H:$H,0))),"")</f>
        <v/>
      </c>
      <c r="G1733" s="67" t="str">
        <f>IFERROR(IFERROR(INDEX(Кат!$B:$B,MATCH(Прайс!$B1733,Кат!$G:$G,0)),INDEX(Торг!$C:$C,MATCH(Прайс!$B1733,Торг!$H:$H,0))),"")</f>
        <v/>
      </c>
      <c r="H1733" s="67" t="str">
        <f>IFERROR(IFERROR(INDEX(Кат!$I:$I,MATCH(Прайс!$B1733,Кат!$G:$G,0)),INDEX(Торг!$I:$I,MATCH(Прайс!$B1733,Торг!$H:$H,0))),"")</f>
        <v/>
      </c>
    </row>
    <row r="1734" spans="1:8" x14ac:dyDescent="0.25">
      <c r="A1734" s="94" t="s">
        <v>7634</v>
      </c>
      <c r="B1734" s="98">
        <v>72583</v>
      </c>
      <c r="C1734" s="98" t="s">
        <v>7635</v>
      </c>
      <c r="D1734" s="96" t="s">
        <v>582</v>
      </c>
      <c r="E1734" s="97">
        <v>190</v>
      </c>
      <c r="F1734" s="67" t="str">
        <f>IFERROR(IFERROR(INDEX(Кат!$A:$A,MATCH(Прайс!$B1734,Кат!$G:$G,0)),INDEX(Торг!$B:$B,MATCH(Прайс!$B1734,Торг!$H:$H,0))),"")</f>
        <v/>
      </c>
      <c r="G1734" s="67" t="str">
        <f>IFERROR(IFERROR(INDEX(Кат!$B:$B,MATCH(Прайс!$B1734,Кат!$G:$G,0)),INDEX(Торг!$C:$C,MATCH(Прайс!$B1734,Торг!$H:$H,0))),"")</f>
        <v/>
      </c>
      <c r="H1734" s="67" t="str">
        <f>IFERROR(IFERROR(INDEX(Кат!$I:$I,MATCH(Прайс!$B1734,Кат!$G:$G,0)),INDEX(Торг!$I:$I,MATCH(Прайс!$B1734,Торг!$H:$H,0))),"")</f>
        <v/>
      </c>
    </row>
    <row r="1735" spans="1:8" x14ac:dyDescent="0.25">
      <c r="A1735" s="94" t="s">
        <v>8406</v>
      </c>
      <c r="B1735" s="98">
        <v>72584</v>
      </c>
      <c r="C1735" s="98" t="s">
        <v>8407</v>
      </c>
      <c r="D1735" s="96" t="s">
        <v>582</v>
      </c>
      <c r="E1735" s="97">
        <v>190</v>
      </c>
      <c r="F1735" s="67" t="str">
        <f>IFERROR(IFERROR(INDEX(Кат!$A:$A,MATCH(Прайс!$B1735,Кат!$G:$G,0)),INDEX(Торг!$B:$B,MATCH(Прайс!$B1735,Торг!$H:$H,0))),"")</f>
        <v/>
      </c>
      <c r="G1735" s="67" t="str">
        <f>IFERROR(IFERROR(INDEX(Кат!$B:$B,MATCH(Прайс!$B1735,Кат!$G:$G,0)),INDEX(Торг!$C:$C,MATCH(Прайс!$B1735,Торг!$H:$H,0))),"")</f>
        <v/>
      </c>
      <c r="H1735" s="67" t="str">
        <f>IFERROR(IFERROR(INDEX(Кат!$I:$I,MATCH(Прайс!$B1735,Кат!$G:$G,0)),INDEX(Торг!$I:$I,MATCH(Прайс!$B1735,Торг!$H:$H,0))),"")</f>
        <v/>
      </c>
    </row>
    <row r="1736" spans="1:8" x14ac:dyDescent="0.25">
      <c r="A1736" s="94" t="s">
        <v>6875</v>
      </c>
      <c r="B1736" s="98">
        <v>72590</v>
      </c>
      <c r="C1736" s="98" t="s">
        <v>6876</v>
      </c>
      <c r="D1736" s="96" t="s">
        <v>582</v>
      </c>
      <c r="E1736" s="97">
        <v>190</v>
      </c>
      <c r="F1736" s="67" t="str">
        <f>IFERROR(IFERROR(INDEX(Кат!$A:$A,MATCH(Прайс!$B1736,Кат!$G:$G,0)),INDEX(Торг!$B:$B,MATCH(Прайс!$B1736,Торг!$H:$H,0))),"")</f>
        <v/>
      </c>
      <c r="G1736" s="67" t="str">
        <f>IFERROR(IFERROR(INDEX(Кат!$B:$B,MATCH(Прайс!$B1736,Кат!$G:$G,0)),INDEX(Торг!$C:$C,MATCH(Прайс!$B1736,Торг!$H:$H,0))),"")</f>
        <v/>
      </c>
      <c r="H1736" s="67" t="str">
        <f>IFERROR(IFERROR(INDEX(Кат!$I:$I,MATCH(Прайс!$B1736,Кат!$G:$G,0)),INDEX(Торг!$I:$I,MATCH(Прайс!$B1736,Торг!$H:$H,0))),"")</f>
        <v/>
      </c>
    </row>
    <row r="1737" spans="1:8" x14ac:dyDescent="0.25">
      <c r="A1737" s="94" t="s">
        <v>6877</v>
      </c>
      <c r="B1737" s="98">
        <v>72591</v>
      </c>
      <c r="C1737" s="98" t="s">
        <v>6878</v>
      </c>
      <c r="D1737" s="96" t="s">
        <v>582</v>
      </c>
      <c r="E1737" s="97">
        <v>190</v>
      </c>
      <c r="F1737" s="67" t="str">
        <f>IFERROR(IFERROR(INDEX(Кат!$A:$A,MATCH(Прайс!$B1737,Кат!$G:$G,0)),INDEX(Торг!$B:$B,MATCH(Прайс!$B1737,Торг!$H:$H,0))),"")</f>
        <v/>
      </c>
      <c r="G1737" s="67" t="str">
        <f>IFERROR(IFERROR(INDEX(Кат!$B:$B,MATCH(Прайс!$B1737,Кат!$G:$G,0)),INDEX(Торг!$C:$C,MATCH(Прайс!$B1737,Торг!$H:$H,0))),"")</f>
        <v/>
      </c>
      <c r="H1737" s="67" t="str">
        <f>IFERROR(IFERROR(INDEX(Кат!$I:$I,MATCH(Прайс!$B1737,Кат!$G:$G,0)),INDEX(Торг!$I:$I,MATCH(Прайс!$B1737,Торг!$H:$H,0))),"")</f>
        <v/>
      </c>
    </row>
    <row r="1738" spans="1:8" x14ac:dyDescent="0.25">
      <c r="A1738" s="94" t="s">
        <v>6879</v>
      </c>
      <c r="B1738" s="98">
        <v>72585</v>
      </c>
      <c r="C1738" s="98" t="s">
        <v>6880</v>
      </c>
      <c r="D1738" s="96" t="s">
        <v>582</v>
      </c>
      <c r="E1738" s="97">
        <v>190</v>
      </c>
      <c r="F1738" s="67" t="str">
        <f>IFERROR(IFERROR(INDEX(Кат!$A:$A,MATCH(Прайс!$B1738,Кат!$G:$G,0)),INDEX(Торг!$B:$B,MATCH(Прайс!$B1738,Торг!$H:$H,0))),"")</f>
        <v/>
      </c>
      <c r="G1738" s="67" t="str">
        <f>IFERROR(IFERROR(INDEX(Кат!$B:$B,MATCH(Прайс!$B1738,Кат!$G:$G,0)),INDEX(Торг!$C:$C,MATCH(Прайс!$B1738,Торг!$H:$H,0))),"")</f>
        <v/>
      </c>
      <c r="H1738" s="67" t="str">
        <f>IFERROR(IFERROR(INDEX(Кат!$I:$I,MATCH(Прайс!$B1738,Кат!$G:$G,0)),INDEX(Торг!$I:$I,MATCH(Прайс!$B1738,Торг!$H:$H,0))),"")</f>
        <v/>
      </c>
    </row>
    <row r="1739" spans="1:8" x14ac:dyDescent="0.25">
      <c r="A1739" s="94" t="s">
        <v>7636</v>
      </c>
      <c r="B1739" s="98">
        <v>72586</v>
      </c>
      <c r="C1739" s="98" t="s">
        <v>7637</v>
      </c>
      <c r="D1739" s="96" t="s">
        <v>582</v>
      </c>
      <c r="E1739" s="97">
        <v>190</v>
      </c>
      <c r="F1739" s="67" t="str">
        <f>IFERROR(IFERROR(INDEX(Кат!$A:$A,MATCH(Прайс!$B1739,Кат!$G:$G,0)),INDEX(Торг!$B:$B,MATCH(Прайс!$B1739,Торг!$H:$H,0))),"")</f>
        <v/>
      </c>
      <c r="G1739" s="67" t="str">
        <f>IFERROR(IFERROR(INDEX(Кат!$B:$B,MATCH(Прайс!$B1739,Кат!$G:$G,0)),INDEX(Торг!$C:$C,MATCH(Прайс!$B1739,Торг!$H:$H,0))),"")</f>
        <v/>
      </c>
      <c r="H1739" s="67" t="str">
        <f>IFERROR(IFERROR(INDEX(Кат!$I:$I,MATCH(Прайс!$B1739,Кат!$G:$G,0)),INDEX(Торг!$I:$I,MATCH(Прайс!$B1739,Торг!$H:$H,0))),"")</f>
        <v/>
      </c>
    </row>
    <row r="1740" spans="1:8" x14ac:dyDescent="0.25">
      <c r="A1740" s="94" t="s">
        <v>6881</v>
      </c>
      <c r="B1740" s="98">
        <v>72587</v>
      </c>
      <c r="C1740" s="98" t="s">
        <v>6882</v>
      </c>
      <c r="D1740" s="96" t="s">
        <v>582</v>
      </c>
      <c r="E1740" s="97">
        <v>190</v>
      </c>
      <c r="F1740" s="67" t="str">
        <f>IFERROR(IFERROR(INDEX(Кат!$A:$A,MATCH(Прайс!$B1740,Кат!$G:$G,0)),INDEX(Торг!$B:$B,MATCH(Прайс!$B1740,Торг!$H:$H,0))),"")</f>
        <v/>
      </c>
      <c r="G1740" s="67" t="str">
        <f>IFERROR(IFERROR(INDEX(Кат!$B:$B,MATCH(Прайс!$B1740,Кат!$G:$G,0)),INDEX(Торг!$C:$C,MATCH(Прайс!$B1740,Торг!$H:$H,0))),"")</f>
        <v/>
      </c>
      <c r="H1740" s="67" t="str">
        <f>IFERROR(IFERROR(INDEX(Кат!$I:$I,MATCH(Прайс!$B1740,Кат!$G:$G,0)),INDEX(Торг!$I:$I,MATCH(Прайс!$B1740,Торг!$H:$H,0))),"")</f>
        <v/>
      </c>
    </row>
    <row r="1741" spans="1:8" x14ac:dyDescent="0.25">
      <c r="A1741" s="94" t="s">
        <v>6883</v>
      </c>
      <c r="B1741" s="98">
        <v>72588</v>
      </c>
      <c r="C1741" s="98" t="s">
        <v>6884</v>
      </c>
      <c r="D1741" s="96" t="s">
        <v>176</v>
      </c>
      <c r="E1741" s="97">
        <v>190</v>
      </c>
      <c r="F1741" s="67" t="str">
        <f>IFERROR(IFERROR(INDEX(Кат!$A:$A,MATCH(Прайс!$B1741,Кат!$G:$G,0)),INDEX(Торг!$B:$B,MATCH(Прайс!$B1741,Торг!$H:$H,0))),"")</f>
        <v/>
      </c>
      <c r="G1741" s="67" t="str">
        <f>IFERROR(IFERROR(INDEX(Кат!$B:$B,MATCH(Прайс!$B1741,Кат!$G:$G,0)),INDEX(Торг!$C:$C,MATCH(Прайс!$B1741,Торг!$H:$H,0))),"")</f>
        <v/>
      </c>
      <c r="H1741" s="67" t="str">
        <f>IFERROR(IFERROR(INDEX(Кат!$I:$I,MATCH(Прайс!$B1741,Кат!$G:$G,0)),INDEX(Торг!$I:$I,MATCH(Прайс!$B1741,Торг!$H:$H,0))),"")</f>
        <v/>
      </c>
    </row>
    <row r="1742" spans="1:8" x14ac:dyDescent="0.25">
      <c r="A1742" s="94" t="s">
        <v>8408</v>
      </c>
      <c r="B1742" s="98">
        <v>71543</v>
      </c>
      <c r="C1742" s="98" t="s">
        <v>8409</v>
      </c>
      <c r="D1742" s="96" t="s">
        <v>159</v>
      </c>
      <c r="E1742" s="97">
        <v>180</v>
      </c>
      <c r="F1742" s="67" t="str">
        <f>IFERROR(IFERROR(INDEX(Кат!$A:$A,MATCH(Прайс!$B1742,Кат!$G:$G,0)),INDEX(Торг!$B:$B,MATCH(Прайс!$B1742,Торг!$H:$H,0))),"")</f>
        <v/>
      </c>
      <c r="G1742" s="67" t="str">
        <f>IFERROR(IFERROR(INDEX(Кат!$B:$B,MATCH(Прайс!$B1742,Кат!$G:$G,0)),INDEX(Торг!$C:$C,MATCH(Прайс!$B1742,Торг!$H:$H,0))),"")</f>
        <v/>
      </c>
      <c r="H1742" s="67" t="str">
        <f>IFERROR(IFERROR(INDEX(Кат!$I:$I,MATCH(Прайс!$B1742,Кат!$G:$G,0)),INDEX(Торг!$I:$I,MATCH(Прайс!$B1742,Торг!$H:$H,0))),"")</f>
        <v/>
      </c>
    </row>
    <row r="1743" spans="1:8" x14ac:dyDescent="0.25">
      <c r="A1743" s="94" t="s">
        <v>8410</v>
      </c>
      <c r="B1743" s="98">
        <v>71541</v>
      </c>
      <c r="C1743" s="98" t="s">
        <v>8411</v>
      </c>
      <c r="D1743" s="96" t="s">
        <v>159</v>
      </c>
      <c r="E1743" s="97">
        <v>180</v>
      </c>
      <c r="F1743" s="67" t="str">
        <f>IFERROR(IFERROR(INDEX(Кат!$A:$A,MATCH(Прайс!$B1743,Кат!$G:$G,0)),INDEX(Торг!$B:$B,MATCH(Прайс!$B1743,Торг!$H:$H,0))),"")</f>
        <v/>
      </c>
      <c r="G1743" s="67" t="str">
        <f>IFERROR(IFERROR(INDEX(Кат!$B:$B,MATCH(Прайс!$B1743,Кат!$G:$G,0)),INDEX(Торг!$C:$C,MATCH(Прайс!$B1743,Торг!$H:$H,0))),"")</f>
        <v/>
      </c>
      <c r="H1743" s="67" t="str">
        <f>IFERROR(IFERROR(INDEX(Кат!$I:$I,MATCH(Прайс!$B1743,Кат!$G:$G,0)),INDEX(Торг!$I:$I,MATCH(Прайс!$B1743,Торг!$H:$H,0))),"")</f>
        <v/>
      </c>
    </row>
    <row r="1744" spans="1:8" x14ac:dyDescent="0.25">
      <c r="A1744" s="103" t="s">
        <v>3437</v>
      </c>
      <c r="B1744" s="104">
        <v>72155</v>
      </c>
      <c r="C1744" s="104" t="s">
        <v>5883</v>
      </c>
      <c r="D1744" s="105" t="s">
        <v>190</v>
      </c>
      <c r="E1744" s="113">
        <v>35</v>
      </c>
      <c r="F1744" s="67" t="str">
        <f>IFERROR(IFERROR(INDEX(Кат!$A:$A,MATCH(Прайс!$B1744,Кат!$G:$G,0)),INDEX(Торг!$B:$B,MATCH(Прайс!$B1744,Торг!$H:$H,0))),"")</f>
        <v/>
      </c>
      <c r="G1744" s="67" t="str">
        <f>IFERROR(IFERROR(INDEX(Кат!$B:$B,MATCH(Прайс!$B1744,Кат!$G:$G,0)),INDEX(Торг!$C:$C,MATCH(Прайс!$B1744,Торг!$H:$H,0))),"")</f>
        <v/>
      </c>
      <c r="H1744" s="67" t="str">
        <f>IFERROR(IFERROR(INDEX(Кат!$I:$I,MATCH(Прайс!$B1744,Кат!$G:$G,0)),INDEX(Торг!$I:$I,MATCH(Прайс!$B1744,Торг!$H:$H,0))),"")</f>
        <v/>
      </c>
    </row>
    <row r="1745" spans="1:8" x14ac:dyDescent="0.25">
      <c r="A1745" s="103" t="s">
        <v>3438</v>
      </c>
      <c r="B1745" s="104">
        <v>72154</v>
      </c>
      <c r="C1745" s="104" t="s">
        <v>5884</v>
      </c>
      <c r="D1745" s="105" t="s">
        <v>190</v>
      </c>
      <c r="E1745" s="113">
        <v>35</v>
      </c>
      <c r="F1745" s="67" t="str">
        <f>IFERROR(IFERROR(INDEX(Кат!$A:$A,MATCH(Прайс!$B1745,Кат!$G:$G,0)),INDEX(Торг!$B:$B,MATCH(Прайс!$B1745,Торг!$H:$H,0))),"")</f>
        <v/>
      </c>
      <c r="G1745" s="67" t="str">
        <f>IFERROR(IFERROR(INDEX(Кат!$B:$B,MATCH(Прайс!$B1745,Кат!$G:$G,0)),INDEX(Торг!$C:$C,MATCH(Прайс!$B1745,Торг!$H:$H,0))),"")</f>
        <v/>
      </c>
      <c r="H1745" s="67" t="str">
        <f>IFERROR(IFERROR(INDEX(Кат!$I:$I,MATCH(Прайс!$B1745,Кат!$G:$G,0)),INDEX(Торг!$I:$I,MATCH(Прайс!$B1745,Торг!$H:$H,0))),"")</f>
        <v/>
      </c>
    </row>
    <row r="1746" spans="1:8" x14ac:dyDescent="0.25">
      <c r="A1746" s="94" t="s">
        <v>3439</v>
      </c>
      <c r="B1746" s="98">
        <v>70350</v>
      </c>
      <c r="C1746" s="98" t="s">
        <v>5885</v>
      </c>
      <c r="D1746" s="96" t="s">
        <v>216</v>
      </c>
      <c r="E1746" s="97">
        <v>100</v>
      </c>
      <c r="F1746" s="67">
        <f>IFERROR(IFERROR(INDEX(Кат!$A:$A,MATCH(Прайс!$B1746,Кат!$G:$G,0)),INDEX(Торг!$B:$B,MATCH(Прайс!$B1746,Торг!$H:$H,0))),"")</f>
        <v>132996</v>
      </c>
      <c r="G1746" s="67">
        <f>IFERROR(IFERROR(INDEX(Кат!$B:$B,MATCH(Прайс!$B1746,Кат!$G:$G,0)),INDEX(Торг!$C:$C,MATCH(Прайс!$B1746,Торг!$H:$H,0))),"")</f>
        <v>16937</v>
      </c>
      <c r="H1746" s="67" t="str">
        <f>IFERROR(IFERROR(INDEX(Кат!$I:$I,MATCH(Прайс!$B1746,Кат!$G:$G,0)),INDEX(Торг!$I:$I,MATCH(Прайс!$B1746,Торг!$H:$H,0))),"")</f>
        <v>кристал авто</v>
      </c>
    </row>
    <row r="1747" spans="1:8" x14ac:dyDescent="0.25">
      <c r="A1747" s="94" t="s">
        <v>3440</v>
      </c>
      <c r="B1747" s="98">
        <v>70351</v>
      </c>
      <c r="C1747" s="98" t="s">
        <v>5886</v>
      </c>
      <c r="D1747" s="96" t="s">
        <v>216</v>
      </c>
      <c r="E1747" s="97">
        <v>100</v>
      </c>
      <c r="F1747" s="67">
        <f>IFERROR(IFERROR(INDEX(Кат!$A:$A,MATCH(Прайс!$B1747,Кат!$G:$G,0)),INDEX(Торг!$B:$B,MATCH(Прайс!$B1747,Торг!$H:$H,0))),"")</f>
        <v>132997</v>
      </c>
      <c r="G1747" s="67">
        <f>IFERROR(IFERROR(INDEX(Кат!$B:$B,MATCH(Прайс!$B1747,Кат!$G:$G,0)),INDEX(Торг!$C:$C,MATCH(Прайс!$B1747,Торг!$H:$H,0))),"")</f>
        <v>16933</v>
      </c>
      <c r="H1747" s="67" t="str">
        <f>IFERROR(IFERROR(INDEX(Кат!$I:$I,MATCH(Прайс!$B1747,Кат!$G:$G,0)),INDEX(Торг!$I:$I,MATCH(Прайс!$B1747,Торг!$H:$H,0))),"")</f>
        <v>кристал авто</v>
      </c>
    </row>
    <row r="1748" spans="1:8" x14ac:dyDescent="0.25">
      <c r="A1748" s="94" t="s">
        <v>3441</v>
      </c>
      <c r="B1748" s="98">
        <v>70352</v>
      </c>
      <c r="C1748" s="98" t="s">
        <v>5887</v>
      </c>
      <c r="D1748" s="96" t="s">
        <v>1018</v>
      </c>
      <c r="E1748" s="97">
        <v>100</v>
      </c>
      <c r="F1748" s="67" t="str">
        <f>IFERROR(IFERROR(INDEX(Кат!$A:$A,MATCH(Прайс!$B1748,Кат!$G:$G,0)),INDEX(Торг!$B:$B,MATCH(Прайс!$B1748,Торг!$H:$H,0))),"")</f>
        <v/>
      </c>
      <c r="G1748" s="67" t="str">
        <f>IFERROR(IFERROR(INDEX(Кат!$B:$B,MATCH(Прайс!$B1748,Кат!$G:$G,0)),INDEX(Торг!$C:$C,MATCH(Прайс!$B1748,Торг!$H:$H,0))),"")</f>
        <v/>
      </c>
      <c r="H1748" s="67" t="str">
        <f>IFERROR(IFERROR(INDEX(Кат!$I:$I,MATCH(Прайс!$B1748,Кат!$G:$G,0)),INDEX(Торг!$I:$I,MATCH(Прайс!$B1748,Торг!$H:$H,0))),"")</f>
        <v/>
      </c>
    </row>
    <row r="1749" spans="1:8" x14ac:dyDescent="0.25">
      <c r="A1749" s="94" t="s">
        <v>3442</v>
      </c>
      <c r="B1749" s="98">
        <v>70353</v>
      </c>
      <c r="C1749" s="98" t="s">
        <v>5888</v>
      </c>
      <c r="D1749" s="96" t="s">
        <v>1018</v>
      </c>
      <c r="E1749" s="97">
        <v>100</v>
      </c>
      <c r="F1749" s="67" t="str">
        <f>IFERROR(IFERROR(INDEX(Кат!$A:$A,MATCH(Прайс!$B1749,Кат!$G:$G,0)),INDEX(Торг!$B:$B,MATCH(Прайс!$B1749,Торг!$H:$H,0))),"")</f>
        <v/>
      </c>
      <c r="G1749" s="67" t="str">
        <f>IFERROR(IFERROR(INDEX(Кат!$B:$B,MATCH(Прайс!$B1749,Кат!$G:$G,0)),INDEX(Торг!$C:$C,MATCH(Прайс!$B1749,Торг!$H:$H,0))),"")</f>
        <v/>
      </c>
      <c r="H1749" s="67" t="str">
        <f>IFERROR(IFERROR(INDEX(Кат!$I:$I,MATCH(Прайс!$B1749,Кат!$G:$G,0)),INDEX(Торг!$I:$I,MATCH(Прайс!$B1749,Торг!$H:$H,0))),"")</f>
        <v/>
      </c>
    </row>
    <row r="1750" spans="1:8" x14ac:dyDescent="0.25">
      <c r="A1750" s="94" t="s">
        <v>3443</v>
      </c>
      <c r="B1750" s="98">
        <v>70354</v>
      </c>
      <c r="C1750" s="98" t="s">
        <v>5889</v>
      </c>
      <c r="D1750" s="96" t="s">
        <v>1018</v>
      </c>
      <c r="E1750" s="97">
        <v>100</v>
      </c>
      <c r="F1750" s="67" t="str">
        <f>IFERROR(IFERROR(INDEX(Кат!$A:$A,MATCH(Прайс!$B1750,Кат!$G:$G,0)),INDEX(Торг!$B:$B,MATCH(Прайс!$B1750,Торг!$H:$H,0))),"")</f>
        <v/>
      </c>
      <c r="G1750" s="67" t="str">
        <f>IFERROR(IFERROR(INDEX(Кат!$B:$B,MATCH(Прайс!$B1750,Кат!$G:$G,0)),INDEX(Торг!$C:$C,MATCH(Прайс!$B1750,Торг!$H:$H,0))),"")</f>
        <v/>
      </c>
      <c r="H1750" s="67" t="str">
        <f>IFERROR(IFERROR(INDEX(Кат!$I:$I,MATCH(Прайс!$B1750,Кат!$G:$G,0)),INDEX(Торг!$I:$I,MATCH(Прайс!$B1750,Торг!$H:$H,0))),"")</f>
        <v/>
      </c>
    </row>
    <row r="1751" spans="1:8" x14ac:dyDescent="0.25">
      <c r="A1751" s="94" t="s">
        <v>3444</v>
      </c>
      <c r="B1751" s="98">
        <v>70355</v>
      </c>
      <c r="C1751" s="98" t="s">
        <v>5890</v>
      </c>
      <c r="D1751" s="96" t="s">
        <v>216</v>
      </c>
      <c r="E1751" s="97">
        <v>100</v>
      </c>
      <c r="F1751" s="67">
        <f>IFERROR(IFERROR(INDEX(Кат!$A:$A,MATCH(Прайс!$B1751,Кат!$G:$G,0)),INDEX(Торг!$B:$B,MATCH(Прайс!$B1751,Торг!$H:$H,0))),"")</f>
        <v>133000</v>
      </c>
      <c r="G1751" s="67">
        <f>IFERROR(IFERROR(INDEX(Кат!$B:$B,MATCH(Прайс!$B1751,Кат!$G:$G,0)),INDEX(Торг!$C:$C,MATCH(Прайс!$B1751,Торг!$H:$H,0))),"")</f>
        <v>16934</v>
      </c>
      <c r="H1751" s="67" t="str">
        <f>IFERROR(IFERROR(INDEX(Кат!$I:$I,MATCH(Прайс!$B1751,Кат!$G:$G,0)),INDEX(Торг!$I:$I,MATCH(Прайс!$B1751,Торг!$H:$H,0))),"")</f>
        <v>кристал авто</v>
      </c>
    </row>
    <row r="1752" spans="1:8" x14ac:dyDescent="0.25">
      <c r="A1752" s="94" t="s">
        <v>3445</v>
      </c>
      <c r="B1752" s="98">
        <v>71546</v>
      </c>
      <c r="C1752" s="98" t="s">
        <v>1020</v>
      </c>
      <c r="D1752" s="96" t="s">
        <v>1019</v>
      </c>
      <c r="E1752" s="97">
        <v>140</v>
      </c>
      <c r="F1752" s="67" t="str">
        <f>IFERROR(IFERROR(INDEX(Кат!$A:$A,MATCH(Прайс!$B1752,Кат!$G:$G,0)),INDEX(Торг!$B:$B,MATCH(Прайс!$B1752,Торг!$H:$H,0))),"")</f>
        <v/>
      </c>
      <c r="G1752" s="67" t="str">
        <f>IFERROR(IFERROR(INDEX(Кат!$B:$B,MATCH(Прайс!$B1752,Кат!$G:$G,0)),INDEX(Торг!$C:$C,MATCH(Прайс!$B1752,Торг!$H:$H,0))),"")</f>
        <v/>
      </c>
      <c r="H1752" s="67" t="str">
        <f>IFERROR(IFERROR(INDEX(Кат!$I:$I,MATCH(Прайс!$B1752,Кат!$G:$G,0)),INDEX(Торг!$I:$I,MATCH(Прайс!$B1752,Торг!$H:$H,0))),"")</f>
        <v/>
      </c>
    </row>
    <row r="1753" spans="1:8" x14ac:dyDescent="0.25">
      <c r="A1753" s="94" t="s">
        <v>3446</v>
      </c>
      <c r="B1753" s="98">
        <v>71473</v>
      </c>
      <c r="C1753" s="98" t="s">
        <v>1021</v>
      </c>
      <c r="D1753" s="96" t="s">
        <v>1019</v>
      </c>
      <c r="E1753" s="97">
        <v>140</v>
      </c>
      <c r="F1753" s="67">
        <f>IFERROR(IFERROR(INDEX(Кат!$A:$A,MATCH(Прайс!$B1753,Кат!$G:$G,0)),INDEX(Торг!$B:$B,MATCH(Прайс!$B1753,Торг!$H:$H,0))),"")</f>
        <v>133001</v>
      </c>
      <c r="G1753" s="67">
        <f>IFERROR(IFERROR(INDEX(Кат!$B:$B,MATCH(Прайс!$B1753,Кат!$G:$G,0)),INDEX(Торг!$C:$C,MATCH(Прайс!$B1753,Торг!$H:$H,0))),"")</f>
        <v>17612</v>
      </c>
      <c r="H1753" s="67" t="str">
        <f>IFERROR(IFERROR(INDEX(Кат!$I:$I,MATCH(Прайс!$B1753,Кат!$G:$G,0)),INDEX(Торг!$I:$I,MATCH(Прайс!$B1753,Торг!$H:$H,0))),"")</f>
        <v>кристал авто</v>
      </c>
    </row>
    <row r="1754" spans="1:8" x14ac:dyDescent="0.25">
      <c r="A1754" s="94" t="s">
        <v>3447</v>
      </c>
      <c r="B1754" s="98">
        <v>71754</v>
      </c>
      <c r="C1754" s="98" t="s">
        <v>2094</v>
      </c>
      <c r="D1754" s="96" t="s">
        <v>161</v>
      </c>
      <c r="E1754" s="97">
        <v>145</v>
      </c>
      <c r="F1754" s="67">
        <f>IFERROR(IFERROR(INDEX(Кат!$A:$A,MATCH(Прайс!$B1754,Кат!$G:$G,0)),INDEX(Торг!$B:$B,MATCH(Прайс!$B1754,Торг!$H:$H,0))),"")</f>
        <v>131477</v>
      </c>
      <c r="G1754" s="67">
        <f>IFERROR(IFERROR(INDEX(Кат!$B:$B,MATCH(Прайс!$B1754,Кат!$G:$G,0)),INDEX(Торг!$C:$C,MATCH(Прайс!$B1754,Торг!$H:$H,0))),"")</f>
        <v>19976</v>
      </c>
      <c r="H1754" s="67" t="str">
        <f>IFERROR(IFERROR(INDEX(Кат!$I:$I,MATCH(Прайс!$B1754,Кат!$G:$G,0)),INDEX(Торг!$I:$I,MATCH(Прайс!$B1754,Торг!$H:$H,0))),"")</f>
        <v>кристал авто</v>
      </c>
    </row>
    <row r="1755" spans="1:8" x14ac:dyDescent="0.25">
      <c r="A1755" s="94" t="s">
        <v>3448</v>
      </c>
      <c r="B1755" s="98">
        <v>71755</v>
      </c>
      <c r="C1755" s="98" t="s">
        <v>2095</v>
      </c>
      <c r="D1755" s="96" t="s">
        <v>161</v>
      </c>
      <c r="E1755" s="97">
        <v>145</v>
      </c>
      <c r="F1755" s="67">
        <f>IFERROR(IFERROR(INDEX(Кат!$A:$A,MATCH(Прайс!$B1755,Кат!$G:$G,0)),INDEX(Торг!$B:$B,MATCH(Прайс!$B1755,Торг!$H:$H,0))),"")</f>
        <v>131470</v>
      </c>
      <c r="G1755" s="67">
        <f>IFERROR(IFERROR(INDEX(Кат!$B:$B,MATCH(Прайс!$B1755,Кат!$G:$G,0)),INDEX(Торг!$C:$C,MATCH(Прайс!$B1755,Торг!$H:$H,0))),"")</f>
        <v>19982</v>
      </c>
      <c r="H1755" s="67" t="str">
        <f>IFERROR(IFERROR(INDEX(Кат!$I:$I,MATCH(Прайс!$B1755,Кат!$G:$G,0)),INDEX(Торг!$I:$I,MATCH(Прайс!$B1755,Торг!$H:$H,0))),"")</f>
        <v>кристал авто</v>
      </c>
    </row>
    <row r="1756" spans="1:8" x14ac:dyDescent="0.25">
      <c r="A1756" s="94" t="s">
        <v>3449</v>
      </c>
      <c r="B1756" s="98">
        <v>71756</v>
      </c>
      <c r="C1756" s="98" t="s">
        <v>2096</v>
      </c>
      <c r="D1756" s="96" t="s">
        <v>161</v>
      </c>
      <c r="E1756" s="97">
        <v>145</v>
      </c>
      <c r="F1756" s="67" t="str">
        <f>IFERROR(IFERROR(INDEX(Кат!$A:$A,MATCH(Прайс!$B1756,Кат!$G:$G,0)),INDEX(Торг!$B:$B,MATCH(Прайс!$B1756,Торг!$H:$H,0))),"")</f>
        <v/>
      </c>
      <c r="G1756" s="67" t="str">
        <f>IFERROR(IFERROR(INDEX(Кат!$B:$B,MATCH(Прайс!$B1756,Кат!$G:$G,0)),INDEX(Торг!$C:$C,MATCH(Прайс!$B1756,Торг!$H:$H,0))),"")</f>
        <v/>
      </c>
      <c r="H1756" s="67" t="str">
        <f>IFERROR(IFERROR(INDEX(Кат!$I:$I,MATCH(Прайс!$B1756,Кат!$G:$G,0)),INDEX(Торг!$I:$I,MATCH(Прайс!$B1756,Торг!$H:$H,0))),"")</f>
        <v/>
      </c>
    </row>
    <row r="1757" spans="1:8" x14ac:dyDescent="0.25">
      <c r="A1757" s="94" t="s">
        <v>3450</v>
      </c>
      <c r="B1757" s="98">
        <v>71759</v>
      </c>
      <c r="C1757" s="98" t="s">
        <v>2097</v>
      </c>
      <c r="D1757" s="96" t="s">
        <v>161</v>
      </c>
      <c r="E1757" s="97">
        <v>145</v>
      </c>
      <c r="F1757" s="67">
        <f>IFERROR(IFERROR(INDEX(Кат!$A:$A,MATCH(Прайс!$B1757,Кат!$G:$G,0)),INDEX(Торг!$B:$B,MATCH(Прайс!$B1757,Торг!$H:$H,0))),"")</f>
        <v>131492</v>
      </c>
      <c r="G1757" s="67">
        <f>IFERROR(IFERROR(INDEX(Кат!$B:$B,MATCH(Прайс!$B1757,Кат!$G:$G,0)),INDEX(Торг!$C:$C,MATCH(Прайс!$B1757,Торг!$H:$H,0))),"")</f>
        <v>19981</v>
      </c>
      <c r="H1757" s="67" t="str">
        <f>IFERROR(IFERROR(INDEX(Кат!$I:$I,MATCH(Прайс!$B1757,Кат!$G:$G,0)),INDEX(Торг!$I:$I,MATCH(Прайс!$B1757,Торг!$H:$H,0))),"")</f>
        <v>кристал авто</v>
      </c>
    </row>
    <row r="1758" spans="1:8" x14ac:dyDescent="0.25">
      <c r="A1758" s="94" t="s">
        <v>3451</v>
      </c>
      <c r="B1758" s="98">
        <v>71763</v>
      </c>
      <c r="C1758" s="98" t="s">
        <v>2098</v>
      </c>
      <c r="D1758" s="96" t="s">
        <v>161</v>
      </c>
      <c r="E1758" s="97">
        <v>145</v>
      </c>
      <c r="F1758" s="67">
        <f>IFERROR(IFERROR(INDEX(Кат!$A:$A,MATCH(Прайс!$B1758,Кат!$G:$G,0)),INDEX(Торг!$B:$B,MATCH(Прайс!$B1758,Торг!$H:$H,0))),"")</f>
        <v>131476</v>
      </c>
      <c r="G1758" s="67">
        <f>IFERROR(IFERROR(INDEX(Кат!$B:$B,MATCH(Прайс!$B1758,Кат!$G:$G,0)),INDEX(Торг!$C:$C,MATCH(Прайс!$B1758,Торг!$H:$H,0))),"")</f>
        <v>20002</v>
      </c>
      <c r="H1758" s="67" t="str">
        <f>IFERROR(IFERROR(INDEX(Кат!$I:$I,MATCH(Прайс!$B1758,Кат!$G:$G,0)),INDEX(Торг!$I:$I,MATCH(Прайс!$B1758,Торг!$H:$H,0))),"")</f>
        <v>кристал авто</v>
      </c>
    </row>
    <row r="1759" spans="1:8" x14ac:dyDescent="0.25">
      <c r="A1759" s="94" t="s">
        <v>3452</v>
      </c>
      <c r="B1759" s="98">
        <v>71765</v>
      </c>
      <c r="C1759" s="98" t="s">
        <v>2099</v>
      </c>
      <c r="D1759" s="96" t="s">
        <v>161</v>
      </c>
      <c r="E1759" s="97">
        <v>145</v>
      </c>
      <c r="F1759" s="67">
        <f>IFERROR(IFERROR(INDEX(Кат!$A:$A,MATCH(Прайс!$B1759,Кат!$G:$G,0)),INDEX(Торг!$B:$B,MATCH(Прайс!$B1759,Торг!$H:$H,0))),"")</f>
        <v>131482</v>
      </c>
      <c r="G1759" s="67">
        <f>IFERROR(IFERROR(INDEX(Кат!$B:$B,MATCH(Прайс!$B1759,Кат!$G:$G,0)),INDEX(Торг!$C:$C,MATCH(Прайс!$B1759,Торг!$H:$H,0))),"")</f>
        <v>19983</v>
      </c>
      <c r="H1759" s="67" t="str">
        <f>IFERROR(IFERROR(INDEX(Кат!$I:$I,MATCH(Прайс!$B1759,Кат!$G:$G,0)),INDEX(Торг!$I:$I,MATCH(Прайс!$B1759,Торг!$H:$H,0))),"")</f>
        <v>кристал авто</v>
      </c>
    </row>
    <row r="1760" spans="1:8" x14ac:dyDescent="0.25">
      <c r="A1760" s="94" t="s">
        <v>3453</v>
      </c>
      <c r="B1760" s="98">
        <v>71869</v>
      </c>
      <c r="C1760" s="98" t="s">
        <v>2100</v>
      </c>
      <c r="D1760" s="96" t="s">
        <v>161</v>
      </c>
      <c r="E1760" s="97">
        <v>145</v>
      </c>
      <c r="F1760" s="67" t="str">
        <f>IFERROR(IFERROR(INDEX(Кат!$A:$A,MATCH(Прайс!$B1760,Кат!$G:$G,0)),INDEX(Торг!$B:$B,MATCH(Прайс!$B1760,Торг!$H:$H,0))),"")</f>
        <v/>
      </c>
      <c r="G1760" s="67" t="str">
        <f>IFERROR(IFERROR(INDEX(Кат!$B:$B,MATCH(Прайс!$B1760,Кат!$G:$G,0)),INDEX(Торг!$C:$C,MATCH(Прайс!$B1760,Торг!$H:$H,0))),"")</f>
        <v/>
      </c>
      <c r="H1760" s="67" t="str">
        <f>IFERROR(IFERROR(INDEX(Кат!$I:$I,MATCH(Прайс!$B1760,Кат!$G:$G,0)),INDEX(Торг!$I:$I,MATCH(Прайс!$B1760,Торг!$H:$H,0))),"")</f>
        <v/>
      </c>
    </row>
    <row r="1761" spans="1:8" x14ac:dyDescent="0.25">
      <c r="A1761" s="94" t="s">
        <v>3454</v>
      </c>
      <c r="B1761" s="98">
        <v>71767</v>
      </c>
      <c r="C1761" s="98" t="s">
        <v>2101</v>
      </c>
      <c r="D1761" s="96" t="s">
        <v>161</v>
      </c>
      <c r="E1761" s="97">
        <v>145</v>
      </c>
      <c r="F1761" s="67">
        <f>IFERROR(IFERROR(INDEX(Кат!$A:$A,MATCH(Прайс!$B1761,Кат!$G:$G,0)),INDEX(Торг!$B:$B,MATCH(Прайс!$B1761,Торг!$H:$H,0))),"")</f>
        <v>131494</v>
      </c>
      <c r="G1761" s="67">
        <f>IFERROR(IFERROR(INDEX(Кат!$B:$B,MATCH(Прайс!$B1761,Кат!$G:$G,0)),INDEX(Торг!$C:$C,MATCH(Прайс!$B1761,Торг!$H:$H,0))),"")</f>
        <v>20005</v>
      </c>
      <c r="H1761" s="67" t="str">
        <f>IFERROR(IFERROR(INDEX(Кат!$I:$I,MATCH(Прайс!$B1761,Кат!$G:$G,0)),INDEX(Торг!$I:$I,MATCH(Прайс!$B1761,Торг!$H:$H,0))),"")</f>
        <v>кристал авто</v>
      </c>
    </row>
    <row r="1762" spans="1:8" x14ac:dyDescent="0.25">
      <c r="A1762" s="94" t="s">
        <v>3455</v>
      </c>
      <c r="B1762" s="98">
        <v>71771</v>
      </c>
      <c r="C1762" s="98" t="s">
        <v>2102</v>
      </c>
      <c r="D1762" s="96" t="s">
        <v>161</v>
      </c>
      <c r="E1762" s="97">
        <v>145</v>
      </c>
      <c r="F1762" s="67" t="str">
        <f>IFERROR(IFERROR(INDEX(Кат!$A:$A,MATCH(Прайс!$B1762,Кат!$G:$G,0)),INDEX(Торг!$B:$B,MATCH(Прайс!$B1762,Торг!$H:$H,0))),"")</f>
        <v/>
      </c>
      <c r="G1762" s="67" t="str">
        <f>IFERROR(IFERROR(INDEX(Кат!$B:$B,MATCH(Прайс!$B1762,Кат!$G:$G,0)),INDEX(Торг!$C:$C,MATCH(Прайс!$B1762,Торг!$H:$H,0))),"")</f>
        <v/>
      </c>
      <c r="H1762" s="67" t="str">
        <f>IFERROR(IFERROR(INDEX(Кат!$I:$I,MATCH(Прайс!$B1762,Кат!$G:$G,0)),INDEX(Торг!$I:$I,MATCH(Прайс!$B1762,Торг!$H:$H,0))),"")</f>
        <v/>
      </c>
    </row>
    <row r="1763" spans="1:8" x14ac:dyDescent="0.25">
      <c r="A1763" s="94" t="s">
        <v>3456</v>
      </c>
      <c r="B1763" s="98">
        <v>71772</v>
      </c>
      <c r="C1763" s="98" t="s">
        <v>2103</v>
      </c>
      <c r="D1763" s="96" t="s">
        <v>161</v>
      </c>
      <c r="E1763" s="97">
        <v>145</v>
      </c>
      <c r="F1763" s="67" t="str">
        <f>IFERROR(IFERROR(INDEX(Кат!$A:$A,MATCH(Прайс!$B1763,Кат!$G:$G,0)),INDEX(Торг!$B:$B,MATCH(Прайс!$B1763,Торг!$H:$H,0))),"")</f>
        <v/>
      </c>
      <c r="G1763" s="67" t="str">
        <f>IFERROR(IFERROR(INDEX(Кат!$B:$B,MATCH(Прайс!$B1763,Кат!$G:$G,0)),INDEX(Торг!$C:$C,MATCH(Прайс!$B1763,Торг!$H:$H,0))),"")</f>
        <v/>
      </c>
      <c r="H1763" s="67" t="str">
        <f>IFERROR(IFERROR(INDEX(Кат!$I:$I,MATCH(Прайс!$B1763,Кат!$G:$G,0)),INDEX(Торг!$I:$I,MATCH(Прайс!$B1763,Торг!$H:$H,0))),"")</f>
        <v/>
      </c>
    </row>
    <row r="1764" spans="1:8" x14ac:dyDescent="0.25">
      <c r="A1764" s="94" t="s">
        <v>3457</v>
      </c>
      <c r="B1764" s="98">
        <v>71773</v>
      </c>
      <c r="C1764" s="98" t="s">
        <v>2104</v>
      </c>
      <c r="D1764" s="96" t="s">
        <v>161</v>
      </c>
      <c r="E1764" s="97">
        <v>145</v>
      </c>
      <c r="F1764" s="67">
        <f>IFERROR(IFERROR(INDEX(Кат!$A:$A,MATCH(Прайс!$B1764,Кат!$G:$G,0)),INDEX(Торг!$B:$B,MATCH(Прайс!$B1764,Торг!$H:$H,0))),"")</f>
        <v>131488</v>
      </c>
      <c r="G1764" s="67">
        <f>IFERROR(IFERROR(INDEX(Кат!$B:$B,MATCH(Прайс!$B1764,Кат!$G:$G,0)),INDEX(Торг!$C:$C,MATCH(Прайс!$B1764,Торг!$H:$H,0))),"")</f>
        <v>19997</v>
      </c>
      <c r="H1764" s="67" t="str">
        <f>IFERROR(IFERROR(INDEX(Кат!$I:$I,MATCH(Прайс!$B1764,Кат!$G:$G,0)),INDEX(Торг!$I:$I,MATCH(Прайс!$B1764,Торг!$H:$H,0))),"")</f>
        <v>кристал авто</v>
      </c>
    </row>
    <row r="1765" spans="1:8" x14ac:dyDescent="0.25">
      <c r="A1765" s="94" t="s">
        <v>3458</v>
      </c>
      <c r="B1765" s="98">
        <v>71774</v>
      </c>
      <c r="C1765" s="98" t="s">
        <v>2105</v>
      </c>
      <c r="D1765" s="96" t="s">
        <v>161</v>
      </c>
      <c r="E1765" s="97">
        <v>145</v>
      </c>
      <c r="F1765" s="67">
        <f>IFERROR(IFERROR(INDEX(Кат!$A:$A,MATCH(Прайс!$B1765,Кат!$G:$G,0)),INDEX(Торг!$B:$B,MATCH(Прайс!$B1765,Торг!$H:$H,0))),"")</f>
        <v>131487</v>
      </c>
      <c r="G1765" s="67">
        <f>IFERROR(IFERROR(INDEX(Кат!$B:$B,MATCH(Прайс!$B1765,Кат!$G:$G,0)),INDEX(Торг!$C:$C,MATCH(Прайс!$B1765,Торг!$H:$H,0))),"")</f>
        <v>19977</v>
      </c>
      <c r="H1765" s="67" t="str">
        <f>IFERROR(IFERROR(INDEX(Кат!$I:$I,MATCH(Прайс!$B1765,Кат!$G:$G,0)),INDEX(Торг!$I:$I,MATCH(Прайс!$B1765,Торг!$H:$H,0))),"")</f>
        <v>кристал авто</v>
      </c>
    </row>
    <row r="1766" spans="1:8" x14ac:dyDescent="0.25">
      <c r="A1766" s="94" t="s">
        <v>3459</v>
      </c>
      <c r="B1766" s="98">
        <v>71775</v>
      </c>
      <c r="C1766" s="98" t="s">
        <v>2106</v>
      </c>
      <c r="D1766" s="96" t="s">
        <v>161</v>
      </c>
      <c r="E1766" s="97">
        <v>145</v>
      </c>
      <c r="F1766" s="67" t="str">
        <f>IFERROR(IFERROR(INDEX(Кат!$A:$A,MATCH(Прайс!$B1766,Кат!$G:$G,0)),INDEX(Торг!$B:$B,MATCH(Прайс!$B1766,Торг!$H:$H,0))),"")</f>
        <v/>
      </c>
      <c r="G1766" s="67" t="str">
        <f>IFERROR(IFERROR(INDEX(Кат!$B:$B,MATCH(Прайс!$B1766,Кат!$G:$G,0)),INDEX(Торг!$C:$C,MATCH(Прайс!$B1766,Торг!$H:$H,0))),"")</f>
        <v/>
      </c>
      <c r="H1766" s="67" t="str">
        <f>IFERROR(IFERROR(INDEX(Кат!$I:$I,MATCH(Прайс!$B1766,Кат!$G:$G,0)),INDEX(Торг!$I:$I,MATCH(Прайс!$B1766,Торг!$H:$H,0))),"")</f>
        <v/>
      </c>
    </row>
    <row r="1767" spans="1:8" x14ac:dyDescent="0.25">
      <c r="A1767" s="94" t="s">
        <v>3460</v>
      </c>
      <c r="B1767" s="98">
        <v>71776</v>
      </c>
      <c r="C1767" s="98" t="s">
        <v>2107</v>
      </c>
      <c r="D1767" s="96" t="s">
        <v>161</v>
      </c>
      <c r="E1767" s="97">
        <v>145</v>
      </c>
      <c r="F1767" s="67" t="str">
        <f>IFERROR(IFERROR(INDEX(Кат!$A:$A,MATCH(Прайс!$B1767,Кат!$G:$G,0)),INDEX(Торг!$B:$B,MATCH(Прайс!$B1767,Торг!$H:$H,0))),"")</f>
        <v/>
      </c>
      <c r="G1767" s="67" t="str">
        <f>IFERROR(IFERROR(INDEX(Кат!$B:$B,MATCH(Прайс!$B1767,Кат!$G:$G,0)),INDEX(Торг!$C:$C,MATCH(Прайс!$B1767,Торг!$H:$H,0))),"")</f>
        <v/>
      </c>
      <c r="H1767" s="67" t="str">
        <f>IFERROR(IFERROR(INDEX(Кат!$I:$I,MATCH(Прайс!$B1767,Кат!$G:$G,0)),INDEX(Торг!$I:$I,MATCH(Прайс!$B1767,Торг!$H:$H,0))),"")</f>
        <v/>
      </c>
    </row>
    <row r="1768" spans="1:8" x14ac:dyDescent="0.25">
      <c r="A1768" s="94" t="s">
        <v>3461</v>
      </c>
      <c r="B1768" s="98">
        <v>71777</v>
      </c>
      <c r="C1768" s="98" t="s">
        <v>2108</v>
      </c>
      <c r="D1768" s="96" t="s">
        <v>161</v>
      </c>
      <c r="E1768" s="97">
        <v>145</v>
      </c>
      <c r="F1768" s="67">
        <f>IFERROR(IFERROR(INDEX(Кат!$A:$A,MATCH(Прайс!$B1768,Кат!$G:$G,0)),INDEX(Торг!$B:$B,MATCH(Прайс!$B1768,Торг!$H:$H,0))),"")</f>
        <v>131486</v>
      </c>
      <c r="G1768" s="67">
        <f>IFERROR(IFERROR(INDEX(Кат!$B:$B,MATCH(Прайс!$B1768,Кат!$G:$G,0)),INDEX(Торг!$C:$C,MATCH(Прайс!$B1768,Торг!$H:$H,0))),"")</f>
        <v>19994</v>
      </c>
      <c r="H1768" s="67" t="str">
        <f>IFERROR(IFERROR(INDEX(Кат!$I:$I,MATCH(Прайс!$B1768,Кат!$G:$G,0)),INDEX(Торг!$I:$I,MATCH(Прайс!$B1768,Торг!$H:$H,0))),"")</f>
        <v>кристал авто</v>
      </c>
    </row>
    <row r="1769" spans="1:8" x14ac:dyDescent="0.25">
      <c r="A1769" s="94" t="s">
        <v>3462</v>
      </c>
      <c r="B1769" s="98">
        <v>71780</v>
      </c>
      <c r="C1769" s="98" t="s">
        <v>2109</v>
      </c>
      <c r="D1769" s="96" t="s">
        <v>161</v>
      </c>
      <c r="E1769" s="97">
        <v>145</v>
      </c>
      <c r="F1769" s="67">
        <f>IFERROR(IFERROR(INDEX(Кат!$A:$A,MATCH(Прайс!$B1769,Кат!$G:$G,0)),INDEX(Торг!$B:$B,MATCH(Прайс!$B1769,Торг!$H:$H,0))),"")</f>
        <v>131480</v>
      </c>
      <c r="G1769" s="67">
        <f>IFERROR(IFERROR(INDEX(Кат!$B:$B,MATCH(Прайс!$B1769,Кат!$G:$G,0)),INDEX(Торг!$C:$C,MATCH(Прайс!$B1769,Торг!$H:$H,0))),"")</f>
        <v>20004</v>
      </c>
      <c r="H1769" s="67" t="str">
        <f>IFERROR(IFERROR(INDEX(Кат!$I:$I,MATCH(Прайс!$B1769,Кат!$G:$G,0)),INDEX(Торг!$I:$I,MATCH(Прайс!$B1769,Торг!$H:$H,0))),"")</f>
        <v>кристал авто</v>
      </c>
    </row>
    <row r="1770" spans="1:8" x14ac:dyDescent="0.25">
      <c r="A1770" s="94" t="s">
        <v>3463</v>
      </c>
      <c r="B1770" s="98">
        <v>71781</v>
      </c>
      <c r="C1770" s="98" t="s">
        <v>2110</v>
      </c>
      <c r="D1770" s="96" t="s">
        <v>161</v>
      </c>
      <c r="E1770" s="97">
        <v>145</v>
      </c>
      <c r="F1770" s="67" t="str">
        <f>IFERROR(IFERROR(INDEX(Кат!$A:$A,MATCH(Прайс!$B1770,Кат!$G:$G,0)),INDEX(Торг!$B:$B,MATCH(Прайс!$B1770,Торг!$H:$H,0))),"")</f>
        <v/>
      </c>
      <c r="G1770" s="67" t="str">
        <f>IFERROR(IFERROR(INDEX(Кат!$B:$B,MATCH(Прайс!$B1770,Кат!$G:$G,0)),INDEX(Торг!$C:$C,MATCH(Прайс!$B1770,Торг!$H:$H,0))),"")</f>
        <v/>
      </c>
      <c r="H1770" s="67" t="str">
        <f>IFERROR(IFERROR(INDEX(Кат!$I:$I,MATCH(Прайс!$B1770,Кат!$G:$G,0)),INDEX(Торг!$I:$I,MATCH(Прайс!$B1770,Торг!$H:$H,0))),"")</f>
        <v/>
      </c>
    </row>
    <row r="1771" spans="1:8" x14ac:dyDescent="0.25">
      <c r="A1771" s="94" t="s">
        <v>3464</v>
      </c>
      <c r="B1771" s="98">
        <v>71860</v>
      </c>
      <c r="C1771" s="98" t="s">
        <v>2111</v>
      </c>
      <c r="D1771" s="96" t="s">
        <v>161</v>
      </c>
      <c r="E1771" s="97">
        <v>145</v>
      </c>
      <c r="F1771" s="67" t="str">
        <f>IFERROR(IFERROR(INDEX(Кат!$A:$A,MATCH(Прайс!$B1771,Кат!$G:$G,0)),INDEX(Торг!$B:$B,MATCH(Прайс!$B1771,Торг!$H:$H,0))),"")</f>
        <v/>
      </c>
      <c r="G1771" s="67" t="str">
        <f>IFERROR(IFERROR(INDEX(Кат!$B:$B,MATCH(Прайс!$B1771,Кат!$G:$G,0)),INDEX(Торг!$C:$C,MATCH(Прайс!$B1771,Торг!$H:$H,0))),"")</f>
        <v/>
      </c>
      <c r="H1771" s="67" t="str">
        <f>IFERROR(IFERROR(INDEX(Кат!$I:$I,MATCH(Прайс!$B1771,Кат!$G:$G,0)),INDEX(Торг!$I:$I,MATCH(Прайс!$B1771,Торг!$H:$H,0))),"")</f>
        <v/>
      </c>
    </row>
    <row r="1772" spans="1:8" x14ac:dyDescent="0.25">
      <c r="A1772" s="94" t="s">
        <v>3465</v>
      </c>
      <c r="B1772" s="98">
        <v>71782</v>
      </c>
      <c r="C1772" s="98" t="s">
        <v>2112</v>
      </c>
      <c r="D1772" s="96" t="s">
        <v>161</v>
      </c>
      <c r="E1772" s="97">
        <v>145</v>
      </c>
      <c r="F1772" s="67" t="str">
        <f>IFERROR(IFERROR(INDEX(Кат!$A:$A,MATCH(Прайс!$B1772,Кат!$G:$G,0)),INDEX(Торг!$B:$B,MATCH(Прайс!$B1772,Торг!$H:$H,0))),"")</f>
        <v/>
      </c>
      <c r="G1772" s="67" t="str">
        <f>IFERROR(IFERROR(INDEX(Кат!$B:$B,MATCH(Прайс!$B1772,Кат!$G:$G,0)),INDEX(Торг!$C:$C,MATCH(Прайс!$B1772,Торг!$H:$H,0))),"")</f>
        <v/>
      </c>
      <c r="H1772" s="67" t="str">
        <f>IFERROR(IFERROR(INDEX(Кат!$I:$I,MATCH(Прайс!$B1772,Кат!$G:$G,0)),INDEX(Торг!$I:$I,MATCH(Прайс!$B1772,Торг!$H:$H,0))),"")</f>
        <v/>
      </c>
    </row>
    <row r="1773" spans="1:8" x14ac:dyDescent="0.25">
      <c r="A1773" s="94" t="s">
        <v>3466</v>
      </c>
      <c r="B1773" s="98">
        <v>71783</v>
      </c>
      <c r="C1773" s="98" t="s">
        <v>2113</v>
      </c>
      <c r="D1773" s="96" t="s">
        <v>161</v>
      </c>
      <c r="E1773" s="97">
        <v>145</v>
      </c>
      <c r="F1773" s="67">
        <f>IFERROR(IFERROR(INDEX(Кат!$A:$A,MATCH(Прайс!$B1773,Кат!$G:$G,0)),INDEX(Торг!$B:$B,MATCH(Прайс!$B1773,Торг!$H:$H,0))),"")</f>
        <v>131491</v>
      </c>
      <c r="G1773" s="67">
        <f>IFERROR(IFERROR(INDEX(Кат!$B:$B,MATCH(Прайс!$B1773,Кат!$G:$G,0)),INDEX(Торг!$C:$C,MATCH(Прайс!$B1773,Торг!$H:$H,0))),"")</f>
        <v>19999</v>
      </c>
      <c r="H1773" s="67" t="str">
        <f>IFERROR(IFERROR(INDEX(Кат!$I:$I,MATCH(Прайс!$B1773,Кат!$G:$G,0)),INDEX(Торг!$I:$I,MATCH(Прайс!$B1773,Торг!$H:$H,0))),"")</f>
        <v>кристал авто</v>
      </c>
    </row>
    <row r="1774" spans="1:8" x14ac:dyDescent="0.25">
      <c r="A1774" s="94" t="s">
        <v>3467</v>
      </c>
      <c r="B1774" s="98">
        <v>71784</v>
      </c>
      <c r="C1774" s="98" t="s">
        <v>2114</v>
      </c>
      <c r="D1774" s="96" t="s">
        <v>161</v>
      </c>
      <c r="E1774" s="97">
        <v>145</v>
      </c>
      <c r="F1774" s="67" t="str">
        <f>IFERROR(IFERROR(INDEX(Кат!$A:$A,MATCH(Прайс!$B1774,Кат!$G:$G,0)),INDEX(Торг!$B:$B,MATCH(Прайс!$B1774,Торг!$H:$H,0))),"")</f>
        <v/>
      </c>
      <c r="G1774" s="67" t="str">
        <f>IFERROR(IFERROR(INDEX(Кат!$B:$B,MATCH(Прайс!$B1774,Кат!$G:$G,0)),INDEX(Торг!$C:$C,MATCH(Прайс!$B1774,Торг!$H:$H,0))),"")</f>
        <v/>
      </c>
      <c r="H1774" s="67" t="str">
        <f>IFERROR(IFERROR(INDEX(Кат!$I:$I,MATCH(Прайс!$B1774,Кат!$G:$G,0)),INDEX(Торг!$I:$I,MATCH(Прайс!$B1774,Торг!$H:$H,0))),"")</f>
        <v/>
      </c>
    </row>
    <row r="1775" spans="1:8" x14ac:dyDescent="0.25">
      <c r="A1775" s="94" t="s">
        <v>3468</v>
      </c>
      <c r="B1775" s="98">
        <v>71861</v>
      </c>
      <c r="C1775" s="98" t="s">
        <v>2115</v>
      </c>
      <c r="D1775" s="96" t="s">
        <v>161</v>
      </c>
      <c r="E1775" s="97">
        <v>145</v>
      </c>
      <c r="F1775" s="67" t="str">
        <f>IFERROR(IFERROR(INDEX(Кат!$A:$A,MATCH(Прайс!$B1775,Кат!$G:$G,0)),INDEX(Торг!$B:$B,MATCH(Прайс!$B1775,Торг!$H:$H,0))),"")</f>
        <v/>
      </c>
      <c r="G1775" s="67" t="str">
        <f>IFERROR(IFERROR(INDEX(Кат!$B:$B,MATCH(Прайс!$B1775,Кат!$G:$G,0)),INDEX(Торг!$C:$C,MATCH(Прайс!$B1775,Торг!$H:$H,0))),"")</f>
        <v/>
      </c>
      <c r="H1775" s="67" t="str">
        <f>IFERROR(IFERROR(INDEX(Кат!$I:$I,MATCH(Прайс!$B1775,Кат!$G:$G,0)),INDEX(Торг!$I:$I,MATCH(Прайс!$B1775,Торг!$H:$H,0))),"")</f>
        <v/>
      </c>
    </row>
    <row r="1776" spans="1:8" x14ac:dyDescent="0.25">
      <c r="A1776" s="94" t="s">
        <v>3469</v>
      </c>
      <c r="B1776" s="98">
        <v>71862</v>
      </c>
      <c r="C1776" s="98" t="s">
        <v>1022</v>
      </c>
      <c r="D1776" s="96" t="s">
        <v>161</v>
      </c>
      <c r="E1776" s="97">
        <v>145</v>
      </c>
      <c r="F1776" s="67">
        <f>IFERROR(IFERROR(INDEX(Кат!$A:$A,MATCH(Прайс!$B1776,Кат!$G:$G,0)),INDEX(Торг!$B:$B,MATCH(Прайс!$B1776,Торг!$H:$H,0))),"")</f>
        <v>131490</v>
      </c>
      <c r="G1776" s="67">
        <f>IFERROR(IFERROR(INDEX(Кат!$B:$B,MATCH(Прайс!$B1776,Кат!$G:$G,0)),INDEX(Торг!$C:$C,MATCH(Прайс!$B1776,Торг!$H:$H,0))),"")</f>
        <v>19990</v>
      </c>
      <c r="H1776" s="67" t="str">
        <f>IFERROR(IFERROR(INDEX(Кат!$I:$I,MATCH(Прайс!$B1776,Кат!$G:$G,0)),INDEX(Торг!$I:$I,MATCH(Прайс!$B1776,Торг!$H:$H,0))),"")</f>
        <v>кристал авто</v>
      </c>
    </row>
    <row r="1777" spans="1:8" x14ac:dyDescent="0.25">
      <c r="A1777" s="94" t="s">
        <v>3470</v>
      </c>
      <c r="B1777" s="98">
        <v>71863</v>
      </c>
      <c r="C1777" s="98" t="s">
        <v>2116</v>
      </c>
      <c r="D1777" s="96" t="s">
        <v>161</v>
      </c>
      <c r="E1777" s="97">
        <v>145</v>
      </c>
      <c r="F1777" s="67" t="str">
        <f>IFERROR(IFERROR(INDEX(Кат!$A:$A,MATCH(Прайс!$B1777,Кат!$G:$G,0)),INDEX(Торг!$B:$B,MATCH(Прайс!$B1777,Торг!$H:$H,0))),"")</f>
        <v/>
      </c>
      <c r="G1777" s="67" t="str">
        <f>IFERROR(IFERROR(INDEX(Кат!$B:$B,MATCH(Прайс!$B1777,Кат!$G:$G,0)),INDEX(Торг!$C:$C,MATCH(Прайс!$B1777,Торг!$H:$H,0))),"")</f>
        <v/>
      </c>
      <c r="H1777" s="67" t="str">
        <f>IFERROR(IFERROR(INDEX(Кат!$I:$I,MATCH(Прайс!$B1777,Кат!$G:$G,0)),INDEX(Торг!$I:$I,MATCH(Прайс!$B1777,Торг!$H:$H,0))),"")</f>
        <v/>
      </c>
    </row>
    <row r="1778" spans="1:8" x14ac:dyDescent="0.25">
      <c r="A1778" s="94" t="s">
        <v>3471</v>
      </c>
      <c r="B1778" s="98">
        <v>71785</v>
      </c>
      <c r="C1778" s="98" t="s">
        <v>2117</v>
      </c>
      <c r="D1778" s="96" t="s">
        <v>161</v>
      </c>
      <c r="E1778" s="97">
        <v>145</v>
      </c>
      <c r="F1778" s="67">
        <f>IFERROR(IFERROR(INDEX(Кат!$A:$A,MATCH(Прайс!$B1778,Кат!$G:$G,0)),INDEX(Торг!$B:$B,MATCH(Прайс!$B1778,Торг!$H:$H,0))),"")</f>
        <v>131465</v>
      </c>
      <c r="G1778" s="67">
        <f>IFERROR(IFERROR(INDEX(Кат!$B:$B,MATCH(Прайс!$B1778,Кат!$G:$G,0)),INDEX(Торг!$C:$C,MATCH(Прайс!$B1778,Торг!$H:$H,0))),"")</f>
        <v>32787</v>
      </c>
      <c r="H1778" s="67" t="str">
        <f>IFERROR(IFERROR(INDEX(Кат!$I:$I,MATCH(Прайс!$B1778,Кат!$G:$G,0)),INDEX(Торг!$I:$I,MATCH(Прайс!$B1778,Торг!$H:$H,0))),"")</f>
        <v>кристал авто</v>
      </c>
    </row>
    <row r="1779" spans="1:8" x14ac:dyDescent="0.25">
      <c r="A1779" s="94" t="s">
        <v>3472</v>
      </c>
      <c r="B1779" s="98">
        <v>71786</v>
      </c>
      <c r="C1779" s="98" t="s">
        <v>2118</v>
      </c>
      <c r="D1779" s="96" t="s">
        <v>161</v>
      </c>
      <c r="E1779" s="97">
        <v>145</v>
      </c>
      <c r="F1779" s="67">
        <f>IFERROR(IFERROR(INDEX(Кат!$A:$A,MATCH(Прайс!$B1779,Кат!$G:$G,0)),INDEX(Торг!$B:$B,MATCH(Прайс!$B1779,Торг!$H:$H,0))),"")</f>
        <v>131493</v>
      </c>
      <c r="G1779" s="67">
        <f>IFERROR(IFERROR(INDEX(Кат!$B:$B,MATCH(Прайс!$B1779,Кат!$G:$G,0)),INDEX(Торг!$C:$C,MATCH(Прайс!$B1779,Торг!$H:$H,0))),"")</f>
        <v>19987</v>
      </c>
      <c r="H1779" s="67" t="str">
        <f>IFERROR(IFERROR(INDEX(Кат!$I:$I,MATCH(Прайс!$B1779,Кат!$G:$G,0)),INDEX(Торг!$I:$I,MATCH(Прайс!$B1779,Торг!$H:$H,0))),"")</f>
        <v>кристал авто</v>
      </c>
    </row>
    <row r="1780" spans="1:8" x14ac:dyDescent="0.25">
      <c r="A1780" s="94" t="s">
        <v>3473</v>
      </c>
      <c r="B1780" s="98">
        <v>71787</v>
      </c>
      <c r="C1780" s="98" t="s">
        <v>2119</v>
      </c>
      <c r="D1780" s="96" t="s">
        <v>161</v>
      </c>
      <c r="E1780" s="97">
        <v>145</v>
      </c>
      <c r="F1780" s="67">
        <f>IFERROR(IFERROR(INDEX(Кат!$A:$A,MATCH(Прайс!$B1780,Кат!$G:$G,0)),INDEX(Торг!$B:$B,MATCH(Прайс!$B1780,Торг!$H:$H,0))),"")</f>
        <v>131474</v>
      </c>
      <c r="G1780" s="67">
        <f>IFERROR(IFERROR(INDEX(Кат!$B:$B,MATCH(Прайс!$B1780,Кат!$G:$G,0)),INDEX(Торг!$C:$C,MATCH(Прайс!$B1780,Торг!$H:$H,0))),"")</f>
        <v>19979</v>
      </c>
      <c r="H1780" s="67" t="str">
        <f>IFERROR(IFERROR(INDEX(Кат!$I:$I,MATCH(Прайс!$B1780,Кат!$G:$G,0)),INDEX(Торг!$I:$I,MATCH(Прайс!$B1780,Торг!$H:$H,0))),"")</f>
        <v>кристал авто</v>
      </c>
    </row>
    <row r="1781" spans="1:8" x14ac:dyDescent="0.25">
      <c r="A1781" s="94" t="s">
        <v>3474</v>
      </c>
      <c r="B1781" s="98">
        <v>71789</v>
      </c>
      <c r="C1781" s="98" t="s">
        <v>2120</v>
      </c>
      <c r="D1781" s="96" t="s">
        <v>161</v>
      </c>
      <c r="E1781" s="97">
        <v>145</v>
      </c>
      <c r="F1781" s="67">
        <f>IFERROR(IFERROR(INDEX(Кат!$A:$A,MATCH(Прайс!$B1781,Кат!$G:$G,0)),INDEX(Торг!$B:$B,MATCH(Прайс!$B1781,Торг!$H:$H,0))),"")</f>
        <v>131481</v>
      </c>
      <c r="G1781" s="67">
        <f>IFERROR(IFERROR(INDEX(Кат!$B:$B,MATCH(Прайс!$B1781,Кат!$G:$G,0)),INDEX(Торг!$C:$C,MATCH(Прайс!$B1781,Торг!$H:$H,0))),"")</f>
        <v>20003</v>
      </c>
      <c r="H1781" s="67" t="str">
        <f>IFERROR(IFERROR(INDEX(Кат!$I:$I,MATCH(Прайс!$B1781,Кат!$G:$G,0)),INDEX(Торг!$I:$I,MATCH(Прайс!$B1781,Торг!$H:$H,0))),"")</f>
        <v>кристал авто</v>
      </c>
    </row>
    <row r="1782" spans="1:8" x14ac:dyDescent="0.25">
      <c r="A1782" s="94" t="s">
        <v>3475</v>
      </c>
      <c r="B1782" s="98">
        <v>71865</v>
      </c>
      <c r="C1782" s="98" t="s">
        <v>2121</v>
      </c>
      <c r="D1782" s="96" t="s">
        <v>161</v>
      </c>
      <c r="E1782" s="97">
        <v>145</v>
      </c>
      <c r="F1782" s="67" t="str">
        <f>IFERROR(IFERROR(INDEX(Кат!$A:$A,MATCH(Прайс!$B1782,Кат!$G:$G,0)),INDEX(Торг!$B:$B,MATCH(Прайс!$B1782,Торг!$H:$H,0))),"")</f>
        <v/>
      </c>
      <c r="G1782" s="67" t="str">
        <f>IFERROR(IFERROR(INDEX(Кат!$B:$B,MATCH(Прайс!$B1782,Кат!$G:$G,0)),INDEX(Торг!$C:$C,MATCH(Прайс!$B1782,Торг!$H:$H,0))),"")</f>
        <v/>
      </c>
      <c r="H1782" s="67" t="str">
        <f>IFERROR(IFERROR(INDEX(Кат!$I:$I,MATCH(Прайс!$B1782,Кат!$G:$G,0)),INDEX(Торг!$I:$I,MATCH(Прайс!$B1782,Торг!$H:$H,0))),"")</f>
        <v/>
      </c>
    </row>
    <row r="1783" spans="1:8" x14ac:dyDescent="0.25">
      <c r="A1783" s="94" t="s">
        <v>3476</v>
      </c>
      <c r="B1783" s="98">
        <v>71790</v>
      </c>
      <c r="C1783" s="98" t="s">
        <v>2122</v>
      </c>
      <c r="D1783" s="96" t="s">
        <v>161</v>
      </c>
      <c r="E1783" s="97">
        <v>145</v>
      </c>
      <c r="F1783" s="67">
        <f>IFERROR(IFERROR(INDEX(Кат!$A:$A,MATCH(Прайс!$B1783,Кат!$G:$G,0)),INDEX(Торг!$B:$B,MATCH(Прайс!$B1783,Торг!$H:$H,0))),"")</f>
        <v>131489</v>
      </c>
      <c r="G1783" s="67">
        <f>IFERROR(IFERROR(INDEX(Кат!$B:$B,MATCH(Прайс!$B1783,Кат!$G:$G,0)),INDEX(Торг!$C:$C,MATCH(Прайс!$B1783,Торг!$H:$H,0))),"")</f>
        <v>19980</v>
      </c>
      <c r="H1783" s="67" t="str">
        <f>IFERROR(IFERROR(INDEX(Кат!$I:$I,MATCH(Прайс!$B1783,Кат!$G:$G,0)),INDEX(Торг!$I:$I,MATCH(Прайс!$B1783,Торг!$H:$H,0))),"")</f>
        <v>кристал авто</v>
      </c>
    </row>
    <row r="1784" spans="1:8" x14ac:dyDescent="0.25">
      <c r="A1784" s="94" t="s">
        <v>3477</v>
      </c>
      <c r="B1784" s="98">
        <v>71793</v>
      </c>
      <c r="C1784" s="98" t="s">
        <v>2123</v>
      </c>
      <c r="D1784" s="96" t="s">
        <v>161</v>
      </c>
      <c r="E1784" s="97">
        <v>145</v>
      </c>
      <c r="F1784" s="67" t="str">
        <f>IFERROR(IFERROR(INDEX(Кат!$A:$A,MATCH(Прайс!$B1784,Кат!$G:$G,0)),INDEX(Торг!$B:$B,MATCH(Прайс!$B1784,Торг!$H:$H,0))),"")</f>
        <v/>
      </c>
      <c r="G1784" s="67" t="str">
        <f>IFERROR(IFERROR(INDEX(Кат!$B:$B,MATCH(Прайс!$B1784,Кат!$G:$G,0)),INDEX(Торг!$C:$C,MATCH(Прайс!$B1784,Торг!$H:$H,0))),"")</f>
        <v/>
      </c>
      <c r="H1784" s="67" t="str">
        <f>IFERROR(IFERROR(INDEX(Кат!$I:$I,MATCH(Прайс!$B1784,Кат!$G:$G,0)),INDEX(Торг!$I:$I,MATCH(Прайс!$B1784,Торг!$H:$H,0))),"")</f>
        <v/>
      </c>
    </row>
    <row r="1785" spans="1:8" x14ac:dyDescent="0.25">
      <c r="A1785" s="94" t="s">
        <v>3478</v>
      </c>
      <c r="B1785" s="98">
        <v>71794</v>
      </c>
      <c r="C1785" s="98" t="s">
        <v>2124</v>
      </c>
      <c r="D1785" s="96" t="s">
        <v>161</v>
      </c>
      <c r="E1785" s="97">
        <v>145</v>
      </c>
      <c r="F1785" s="67">
        <f>IFERROR(IFERROR(INDEX(Кат!$A:$A,MATCH(Прайс!$B1785,Кат!$G:$G,0)),INDEX(Торг!$B:$B,MATCH(Прайс!$B1785,Торг!$H:$H,0))),"")</f>
        <v>131479</v>
      </c>
      <c r="G1785" s="67">
        <f>IFERROR(IFERROR(INDEX(Кат!$B:$B,MATCH(Прайс!$B1785,Кат!$G:$G,0)),INDEX(Торг!$C:$C,MATCH(Прайс!$B1785,Торг!$H:$H,0))),"")</f>
        <v>19978</v>
      </c>
      <c r="H1785" s="67" t="str">
        <f>IFERROR(IFERROR(INDEX(Кат!$I:$I,MATCH(Прайс!$B1785,Кат!$G:$G,0)),INDEX(Торг!$I:$I,MATCH(Прайс!$B1785,Торг!$H:$H,0))),"")</f>
        <v>кристал авто</v>
      </c>
    </row>
    <row r="1786" spans="1:8" x14ac:dyDescent="0.25">
      <c r="A1786" s="94" t="s">
        <v>3479</v>
      </c>
      <c r="B1786" s="98">
        <v>72311</v>
      </c>
      <c r="C1786" s="98" t="s">
        <v>3480</v>
      </c>
      <c r="D1786" s="96" t="s">
        <v>159</v>
      </c>
      <c r="E1786" s="97">
        <v>115</v>
      </c>
      <c r="F1786" s="67" t="str">
        <f>IFERROR(IFERROR(INDEX(Кат!$A:$A,MATCH(Прайс!$B1786,Кат!$G:$G,0)),INDEX(Торг!$B:$B,MATCH(Прайс!$B1786,Торг!$H:$H,0))),"")</f>
        <v/>
      </c>
      <c r="G1786" s="67" t="str">
        <f>IFERROR(IFERROR(INDEX(Кат!$B:$B,MATCH(Прайс!$B1786,Кат!$G:$G,0)),INDEX(Торг!$C:$C,MATCH(Прайс!$B1786,Торг!$H:$H,0))),"")</f>
        <v/>
      </c>
      <c r="H1786" s="67" t="str">
        <f>IFERROR(IFERROR(INDEX(Кат!$I:$I,MATCH(Прайс!$B1786,Кат!$G:$G,0)),INDEX(Торг!$I:$I,MATCH(Прайс!$B1786,Торг!$H:$H,0))),"")</f>
        <v/>
      </c>
    </row>
    <row r="1787" spans="1:8" x14ac:dyDescent="0.25">
      <c r="A1787" s="94" t="s">
        <v>3481</v>
      </c>
      <c r="B1787" s="98">
        <v>72381</v>
      </c>
      <c r="C1787" s="98" t="s">
        <v>3482</v>
      </c>
      <c r="D1787" s="96" t="s">
        <v>159</v>
      </c>
      <c r="E1787" s="97">
        <v>115</v>
      </c>
      <c r="F1787" s="67" t="str">
        <f>IFERROR(IFERROR(INDEX(Кат!$A:$A,MATCH(Прайс!$B1787,Кат!$G:$G,0)),INDEX(Торг!$B:$B,MATCH(Прайс!$B1787,Торг!$H:$H,0))),"")</f>
        <v/>
      </c>
      <c r="G1787" s="67" t="str">
        <f>IFERROR(IFERROR(INDEX(Кат!$B:$B,MATCH(Прайс!$B1787,Кат!$G:$G,0)),INDEX(Торг!$C:$C,MATCH(Прайс!$B1787,Торг!$H:$H,0))),"")</f>
        <v/>
      </c>
      <c r="H1787" s="67" t="str">
        <f>IFERROR(IFERROR(INDEX(Кат!$I:$I,MATCH(Прайс!$B1787,Кат!$G:$G,0)),INDEX(Торг!$I:$I,MATCH(Прайс!$B1787,Торг!$H:$H,0))),"")</f>
        <v/>
      </c>
    </row>
    <row r="1788" spans="1:8" x14ac:dyDescent="0.25">
      <c r="A1788" s="94" t="s">
        <v>3483</v>
      </c>
      <c r="B1788" s="98">
        <v>72314</v>
      </c>
      <c r="C1788" s="98" t="s">
        <v>1023</v>
      </c>
      <c r="D1788" s="96" t="s">
        <v>159</v>
      </c>
      <c r="E1788" s="97">
        <v>115</v>
      </c>
      <c r="F1788" s="67" t="str">
        <f>IFERROR(IFERROR(INDEX(Кат!$A:$A,MATCH(Прайс!$B1788,Кат!$G:$G,0)),INDEX(Торг!$B:$B,MATCH(Прайс!$B1788,Торг!$H:$H,0))),"")</f>
        <v/>
      </c>
      <c r="G1788" s="67" t="str">
        <f>IFERROR(IFERROR(INDEX(Кат!$B:$B,MATCH(Прайс!$B1788,Кат!$G:$G,0)),INDEX(Торг!$C:$C,MATCH(Прайс!$B1788,Торг!$H:$H,0))),"")</f>
        <v/>
      </c>
      <c r="H1788" s="67" t="str">
        <f>IFERROR(IFERROR(INDEX(Кат!$I:$I,MATCH(Прайс!$B1788,Кат!$G:$G,0)),INDEX(Торг!$I:$I,MATCH(Прайс!$B1788,Торг!$H:$H,0))),"")</f>
        <v/>
      </c>
    </row>
    <row r="1789" spans="1:8" x14ac:dyDescent="0.25">
      <c r="A1789" s="94" t="s">
        <v>3484</v>
      </c>
      <c r="B1789" s="98">
        <v>72318</v>
      </c>
      <c r="C1789" s="98" t="s">
        <v>1024</v>
      </c>
      <c r="D1789" s="96" t="s">
        <v>159</v>
      </c>
      <c r="E1789" s="97">
        <v>115</v>
      </c>
      <c r="F1789" s="67" t="str">
        <f>IFERROR(IFERROR(INDEX(Кат!$A:$A,MATCH(Прайс!$B1789,Кат!$G:$G,0)),INDEX(Торг!$B:$B,MATCH(Прайс!$B1789,Торг!$H:$H,0))),"")</f>
        <v/>
      </c>
      <c r="G1789" s="67" t="str">
        <f>IFERROR(IFERROR(INDEX(Кат!$B:$B,MATCH(Прайс!$B1789,Кат!$G:$G,0)),INDEX(Торг!$C:$C,MATCH(Прайс!$B1789,Торг!$H:$H,0))),"")</f>
        <v/>
      </c>
      <c r="H1789" s="67" t="str">
        <f>IFERROR(IFERROR(INDEX(Кат!$I:$I,MATCH(Прайс!$B1789,Кат!$G:$G,0)),INDEX(Торг!$I:$I,MATCH(Прайс!$B1789,Торг!$H:$H,0))),"")</f>
        <v/>
      </c>
    </row>
    <row r="1790" spans="1:8" x14ac:dyDescent="0.25">
      <c r="A1790" s="94" t="s">
        <v>3485</v>
      </c>
      <c r="B1790" s="98">
        <v>72382</v>
      </c>
      <c r="C1790" s="98" t="s">
        <v>3486</v>
      </c>
      <c r="D1790" s="96" t="s">
        <v>159</v>
      </c>
      <c r="E1790" s="97">
        <v>115</v>
      </c>
      <c r="F1790" s="67" t="str">
        <f>IFERROR(IFERROR(INDEX(Кат!$A:$A,MATCH(Прайс!$B1790,Кат!$G:$G,0)),INDEX(Торг!$B:$B,MATCH(Прайс!$B1790,Торг!$H:$H,0))),"")</f>
        <v/>
      </c>
      <c r="G1790" s="67" t="str">
        <f>IFERROR(IFERROR(INDEX(Кат!$B:$B,MATCH(Прайс!$B1790,Кат!$G:$G,0)),INDEX(Торг!$C:$C,MATCH(Прайс!$B1790,Торг!$H:$H,0))),"")</f>
        <v/>
      </c>
      <c r="H1790" s="67" t="str">
        <f>IFERROR(IFERROR(INDEX(Кат!$I:$I,MATCH(Прайс!$B1790,Кат!$G:$G,0)),INDEX(Торг!$I:$I,MATCH(Прайс!$B1790,Торг!$H:$H,0))),"")</f>
        <v/>
      </c>
    </row>
    <row r="1791" spans="1:8" x14ac:dyDescent="0.25">
      <c r="A1791" s="94" t="s">
        <v>3487</v>
      </c>
      <c r="B1791" s="98">
        <v>72379</v>
      </c>
      <c r="C1791" s="98" t="s">
        <v>3488</v>
      </c>
      <c r="D1791" s="96" t="s">
        <v>159</v>
      </c>
      <c r="E1791" s="97">
        <v>115</v>
      </c>
      <c r="F1791" s="67" t="str">
        <f>IFERROR(IFERROR(INDEX(Кат!$A:$A,MATCH(Прайс!$B1791,Кат!$G:$G,0)),INDEX(Торг!$B:$B,MATCH(Прайс!$B1791,Торг!$H:$H,0))),"")</f>
        <v/>
      </c>
      <c r="G1791" s="67" t="str">
        <f>IFERROR(IFERROR(INDEX(Кат!$B:$B,MATCH(Прайс!$B1791,Кат!$G:$G,0)),INDEX(Торг!$C:$C,MATCH(Прайс!$B1791,Торг!$H:$H,0))),"")</f>
        <v/>
      </c>
      <c r="H1791" s="67" t="str">
        <f>IFERROR(IFERROR(INDEX(Кат!$I:$I,MATCH(Прайс!$B1791,Кат!$G:$G,0)),INDEX(Торг!$I:$I,MATCH(Прайс!$B1791,Торг!$H:$H,0))),"")</f>
        <v/>
      </c>
    </row>
    <row r="1792" spans="1:8" x14ac:dyDescent="0.25">
      <c r="A1792" s="94" t="s">
        <v>3489</v>
      </c>
      <c r="B1792" s="98">
        <v>72378</v>
      </c>
      <c r="C1792" s="98" t="s">
        <v>3490</v>
      </c>
      <c r="D1792" s="96" t="s">
        <v>159</v>
      </c>
      <c r="E1792" s="97">
        <v>115</v>
      </c>
      <c r="F1792" s="67" t="str">
        <f>IFERROR(IFERROR(INDEX(Кат!$A:$A,MATCH(Прайс!$B1792,Кат!$G:$G,0)),INDEX(Торг!$B:$B,MATCH(Прайс!$B1792,Торг!$H:$H,0))),"")</f>
        <v/>
      </c>
      <c r="G1792" s="67" t="str">
        <f>IFERROR(IFERROR(INDEX(Кат!$B:$B,MATCH(Прайс!$B1792,Кат!$G:$G,0)),INDEX(Торг!$C:$C,MATCH(Прайс!$B1792,Торг!$H:$H,0))),"")</f>
        <v/>
      </c>
      <c r="H1792" s="67" t="str">
        <f>IFERROR(IFERROR(INDEX(Кат!$I:$I,MATCH(Прайс!$B1792,Кат!$G:$G,0)),INDEX(Торг!$I:$I,MATCH(Прайс!$B1792,Торг!$H:$H,0))),"")</f>
        <v/>
      </c>
    </row>
    <row r="1793" spans="1:8" x14ac:dyDescent="0.25">
      <c r="A1793" s="94" t="s">
        <v>3491</v>
      </c>
      <c r="B1793" s="98">
        <v>72376</v>
      </c>
      <c r="C1793" s="98" t="s">
        <v>3492</v>
      </c>
      <c r="D1793" s="96" t="s">
        <v>159</v>
      </c>
      <c r="E1793" s="97">
        <v>115</v>
      </c>
      <c r="F1793" s="67" t="str">
        <f>IFERROR(IFERROR(INDEX(Кат!$A:$A,MATCH(Прайс!$B1793,Кат!$G:$G,0)),INDEX(Торг!$B:$B,MATCH(Прайс!$B1793,Торг!$H:$H,0))),"")</f>
        <v/>
      </c>
      <c r="G1793" s="67" t="str">
        <f>IFERROR(IFERROR(INDEX(Кат!$B:$B,MATCH(Прайс!$B1793,Кат!$G:$G,0)),INDEX(Торг!$C:$C,MATCH(Прайс!$B1793,Торг!$H:$H,0))),"")</f>
        <v/>
      </c>
      <c r="H1793" s="67" t="str">
        <f>IFERROR(IFERROR(INDEX(Кат!$I:$I,MATCH(Прайс!$B1793,Кат!$G:$G,0)),INDEX(Торг!$I:$I,MATCH(Прайс!$B1793,Торг!$H:$H,0))),"")</f>
        <v/>
      </c>
    </row>
    <row r="1794" spans="1:8" x14ac:dyDescent="0.25">
      <c r="A1794" s="94" t="s">
        <v>3493</v>
      </c>
      <c r="B1794" s="98">
        <v>72367</v>
      </c>
      <c r="C1794" s="98" t="s">
        <v>3494</v>
      </c>
      <c r="D1794" s="96" t="s">
        <v>159</v>
      </c>
      <c r="E1794" s="97">
        <v>115</v>
      </c>
      <c r="F1794" s="67" t="str">
        <f>IFERROR(IFERROR(INDEX(Кат!$A:$A,MATCH(Прайс!$B1794,Кат!$G:$G,0)),INDEX(Торг!$B:$B,MATCH(Прайс!$B1794,Торг!$H:$H,0))),"")</f>
        <v/>
      </c>
      <c r="G1794" s="67" t="str">
        <f>IFERROR(IFERROR(INDEX(Кат!$B:$B,MATCH(Прайс!$B1794,Кат!$G:$G,0)),INDEX(Торг!$C:$C,MATCH(Прайс!$B1794,Торг!$H:$H,0))),"")</f>
        <v/>
      </c>
      <c r="H1794" s="67" t="str">
        <f>IFERROR(IFERROR(INDEX(Кат!$I:$I,MATCH(Прайс!$B1794,Кат!$G:$G,0)),INDEX(Торг!$I:$I,MATCH(Прайс!$B1794,Торг!$H:$H,0))),"")</f>
        <v/>
      </c>
    </row>
    <row r="1795" spans="1:8" x14ac:dyDescent="0.25">
      <c r="A1795" s="94" t="s">
        <v>6885</v>
      </c>
      <c r="B1795" s="98">
        <v>72612</v>
      </c>
      <c r="C1795" s="98" t="s">
        <v>6886</v>
      </c>
      <c r="D1795" s="96" t="s">
        <v>159</v>
      </c>
      <c r="E1795" s="97">
        <v>115</v>
      </c>
      <c r="F1795" s="67" t="str">
        <f>IFERROR(IFERROR(INDEX(Кат!$A:$A,MATCH(Прайс!$B1795,Кат!$G:$G,0)),INDEX(Торг!$B:$B,MATCH(Прайс!$B1795,Торг!$H:$H,0))),"")</f>
        <v/>
      </c>
      <c r="G1795" s="67" t="str">
        <f>IFERROR(IFERROR(INDEX(Кат!$B:$B,MATCH(Прайс!$B1795,Кат!$G:$G,0)),INDEX(Торг!$C:$C,MATCH(Прайс!$B1795,Торг!$H:$H,0))),"")</f>
        <v/>
      </c>
      <c r="H1795" s="67" t="str">
        <f>IFERROR(IFERROR(INDEX(Кат!$I:$I,MATCH(Прайс!$B1795,Кат!$G:$G,0)),INDEX(Торг!$I:$I,MATCH(Прайс!$B1795,Торг!$H:$H,0))),"")</f>
        <v/>
      </c>
    </row>
    <row r="1796" spans="1:8" x14ac:dyDescent="0.25">
      <c r="A1796" s="94" t="s">
        <v>3495</v>
      </c>
      <c r="B1796" s="98">
        <v>72300</v>
      </c>
      <c r="C1796" s="98" t="s">
        <v>1025</v>
      </c>
      <c r="D1796" s="96" t="s">
        <v>159</v>
      </c>
      <c r="E1796" s="97">
        <v>115</v>
      </c>
      <c r="F1796" s="67" t="str">
        <f>IFERROR(IFERROR(INDEX(Кат!$A:$A,MATCH(Прайс!$B1796,Кат!$G:$G,0)),INDEX(Торг!$B:$B,MATCH(Прайс!$B1796,Торг!$H:$H,0))),"")</f>
        <v/>
      </c>
      <c r="G1796" s="67" t="str">
        <f>IFERROR(IFERROR(INDEX(Кат!$B:$B,MATCH(Прайс!$B1796,Кат!$G:$G,0)),INDEX(Торг!$C:$C,MATCH(Прайс!$B1796,Торг!$H:$H,0))),"")</f>
        <v/>
      </c>
      <c r="H1796" s="67" t="str">
        <f>IFERROR(IFERROR(INDEX(Кат!$I:$I,MATCH(Прайс!$B1796,Кат!$G:$G,0)),INDEX(Торг!$I:$I,MATCH(Прайс!$B1796,Торг!$H:$H,0))),"")</f>
        <v/>
      </c>
    </row>
    <row r="1797" spans="1:8" x14ac:dyDescent="0.25">
      <c r="A1797" s="94" t="s">
        <v>6887</v>
      </c>
      <c r="B1797" s="98">
        <v>72613</v>
      </c>
      <c r="C1797" s="98" t="s">
        <v>6888</v>
      </c>
      <c r="D1797" s="96" t="s">
        <v>159</v>
      </c>
      <c r="E1797" s="97">
        <v>115</v>
      </c>
      <c r="F1797" s="67" t="str">
        <f>IFERROR(IFERROR(INDEX(Кат!$A:$A,MATCH(Прайс!$B1797,Кат!$G:$G,0)),INDEX(Торг!$B:$B,MATCH(Прайс!$B1797,Торг!$H:$H,0))),"")</f>
        <v/>
      </c>
      <c r="G1797" s="67" t="str">
        <f>IFERROR(IFERROR(INDEX(Кат!$B:$B,MATCH(Прайс!$B1797,Кат!$G:$G,0)),INDEX(Торг!$C:$C,MATCH(Прайс!$B1797,Торг!$H:$H,0))),"")</f>
        <v/>
      </c>
      <c r="H1797" s="67" t="str">
        <f>IFERROR(IFERROR(INDEX(Кат!$I:$I,MATCH(Прайс!$B1797,Кат!$G:$G,0)),INDEX(Торг!$I:$I,MATCH(Прайс!$B1797,Торг!$H:$H,0))),"")</f>
        <v/>
      </c>
    </row>
    <row r="1798" spans="1:8" x14ac:dyDescent="0.25">
      <c r="A1798" s="94" t="s">
        <v>3496</v>
      </c>
      <c r="B1798" s="98">
        <v>72319</v>
      </c>
      <c r="C1798" s="98" t="s">
        <v>1026</v>
      </c>
      <c r="D1798" s="96" t="s">
        <v>159</v>
      </c>
      <c r="E1798" s="97">
        <v>115</v>
      </c>
      <c r="F1798" s="67" t="str">
        <f>IFERROR(IFERROR(INDEX(Кат!$A:$A,MATCH(Прайс!$B1798,Кат!$G:$G,0)),INDEX(Торг!$B:$B,MATCH(Прайс!$B1798,Торг!$H:$H,0))),"")</f>
        <v/>
      </c>
      <c r="G1798" s="67" t="str">
        <f>IFERROR(IFERROR(INDEX(Кат!$B:$B,MATCH(Прайс!$B1798,Кат!$G:$G,0)),INDEX(Торг!$C:$C,MATCH(Прайс!$B1798,Торг!$H:$H,0))),"")</f>
        <v/>
      </c>
      <c r="H1798" s="67" t="str">
        <f>IFERROR(IFERROR(INDEX(Кат!$I:$I,MATCH(Прайс!$B1798,Кат!$G:$G,0)),INDEX(Торг!$I:$I,MATCH(Прайс!$B1798,Торг!$H:$H,0))),"")</f>
        <v/>
      </c>
    </row>
    <row r="1799" spans="1:8" x14ac:dyDescent="0.25">
      <c r="A1799" s="94" t="s">
        <v>3497</v>
      </c>
      <c r="B1799" s="98">
        <v>72377</v>
      </c>
      <c r="C1799" s="98" t="s">
        <v>3498</v>
      </c>
      <c r="D1799" s="96" t="s">
        <v>159</v>
      </c>
      <c r="E1799" s="97">
        <v>115</v>
      </c>
      <c r="F1799" s="67" t="str">
        <f>IFERROR(IFERROR(INDEX(Кат!$A:$A,MATCH(Прайс!$B1799,Кат!$G:$G,0)),INDEX(Торг!$B:$B,MATCH(Прайс!$B1799,Торг!$H:$H,0))),"")</f>
        <v/>
      </c>
      <c r="G1799" s="67" t="str">
        <f>IFERROR(IFERROR(INDEX(Кат!$B:$B,MATCH(Прайс!$B1799,Кат!$G:$G,0)),INDEX(Торг!$C:$C,MATCH(Прайс!$B1799,Торг!$H:$H,0))),"")</f>
        <v/>
      </c>
      <c r="H1799" s="67" t="str">
        <f>IFERROR(IFERROR(INDEX(Кат!$I:$I,MATCH(Прайс!$B1799,Кат!$G:$G,0)),INDEX(Торг!$I:$I,MATCH(Прайс!$B1799,Торг!$H:$H,0))),"")</f>
        <v/>
      </c>
    </row>
    <row r="1800" spans="1:8" x14ac:dyDescent="0.25">
      <c r="A1800" s="94" t="s">
        <v>3499</v>
      </c>
      <c r="B1800" s="98">
        <v>72380</v>
      </c>
      <c r="C1800" s="98" t="s">
        <v>3500</v>
      </c>
      <c r="D1800" s="96" t="s">
        <v>159</v>
      </c>
      <c r="E1800" s="97">
        <v>115</v>
      </c>
      <c r="F1800" s="67" t="str">
        <f>IFERROR(IFERROR(INDEX(Кат!$A:$A,MATCH(Прайс!$B1800,Кат!$G:$G,0)),INDEX(Торг!$B:$B,MATCH(Прайс!$B1800,Торг!$H:$H,0))),"")</f>
        <v/>
      </c>
      <c r="G1800" s="67" t="str">
        <f>IFERROR(IFERROR(INDEX(Кат!$B:$B,MATCH(Прайс!$B1800,Кат!$G:$G,0)),INDEX(Торг!$C:$C,MATCH(Прайс!$B1800,Торг!$H:$H,0))),"")</f>
        <v/>
      </c>
      <c r="H1800" s="67" t="str">
        <f>IFERROR(IFERROR(INDEX(Кат!$I:$I,MATCH(Прайс!$B1800,Кат!$G:$G,0)),INDEX(Торг!$I:$I,MATCH(Прайс!$B1800,Торг!$H:$H,0))),"")</f>
        <v/>
      </c>
    </row>
    <row r="1801" spans="1:8" x14ac:dyDescent="0.25">
      <c r="A1801" s="94" t="s">
        <v>3501</v>
      </c>
      <c r="B1801" s="98">
        <v>72383</v>
      </c>
      <c r="C1801" s="98" t="s">
        <v>3502</v>
      </c>
      <c r="D1801" s="96" t="s">
        <v>159</v>
      </c>
      <c r="E1801" s="97">
        <v>115</v>
      </c>
      <c r="F1801" s="67">
        <f>IFERROR(IFERROR(INDEX(Кат!$A:$A,MATCH(Прайс!$B1801,Кат!$G:$G,0)),INDEX(Торг!$B:$B,MATCH(Прайс!$B1801,Торг!$H:$H,0))),"")</f>
        <v>132993</v>
      </c>
      <c r="G1801" s="67">
        <f>IFERROR(IFERROR(INDEX(Кат!$B:$B,MATCH(Прайс!$B1801,Кат!$G:$G,0)),INDEX(Торг!$C:$C,MATCH(Прайс!$B1801,Торг!$H:$H,0))),"")</f>
        <v>37802</v>
      </c>
      <c r="H1801" s="67" t="str">
        <f>IFERROR(IFERROR(INDEX(Кат!$I:$I,MATCH(Прайс!$B1801,Кат!$G:$G,0)),INDEX(Торг!$I:$I,MATCH(Прайс!$B1801,Торг!$H:$H,0))),"")</f>
        <v>кристал авто</v>
      </c>
    </row>
    <row r="1802" spans="1:8" x14ac:dyDescent="0.25">
      <c r="A1802" s="94" t="s">
        <v>3503</v>
      </c>
      <c r="B1802" s="98">
        <v>72370</v>
      </c>
      <c r="C1802" s="98" t="s">
        <v>3504</v>
      </c>
      <c r="D1802" s="96" t="s">
        <v>159</v>
      </c>
      <c r="E1802" s="97">
        <v>115</v>
      </c>
      <c r="F1802" s="67" t="str">
        <f>IFERROR(IFERROR(INDEX(Кат!$A:$A,MATCH(Прайс!$B1802,Кат!$G:$G,0)),INDEX(Торг!$B:$B,MATCH(Прайс!$B1802,Торг!$H:$H,0))),"")</f>
        <v/>
      </c>
      <c r="G1802" s="67" t="str">
        <f>IFERROR(IFERROR(INDEX(Кат!$B:$B,MATCH(Прайс!$B1802,Кат!$G:$G,0)),INDEX(Торг!$C:$C,MATCH(Прайс!$B1802,Торг!$H:$H,0))),"")</f>
        <v/>
      </c>
      <c r="H1802" s="67" t="str">
        <f>IFERROR(IFERROR(INDEX(Кат!$I:$I,MATCH(Прайс!$B1802,Кат!$G:$G,0)),INDEX(Торг!$I:$I,MATCH(Прайс!$B1802,Торг!$H:$H,0))),"")</f>
        <v/>
      </c>
    </row>
    <row r="1803" spans="1:8" x14ac:dyDescent="0.25">
      <c r="A1803" s="94" t="s">
        <v>3505</v>
      </c>
      <c r="B1803" s="98">
        <v>72384</v>
      </c>
      <c r="C1803" s="98" t="s">
        <v>3506</v>
      </c>
      <c r="D1803" s="96" t="s">
        <v>159</v>
      </c>
      <c r="E1803" s="97">
        <v>115</v>
      </c>
      <c r="F1803" s="67" t="str">
        <f>IFERROR(IFERROR(INDEX(Кат!$A:$A,MATCH(Прайс!$B1803,Кат!$G:$G,0)),INDEX(Торг!$B:$B,MATCH(Прайс!$B1803,Торг!$H:$H,0))),"")</f>
        <v/>
      </c>
      <c r="G1803" s="67" t="str">
        <f>IFERROR(IFERROR(INDEX(Кат!$B:$B,MATCH(Прайс!$B1803,Кат!$G:$G,0)),INDEX(Торг!$C:$C,MATCH(Прайс!$B1803,Торг!$H:$H,0))),"")</f>
        <v/>
      </c>
      <c r="H1803" s="67" t="str">
        <f>IFERROR(IFERROR(INDEX(Кат!$I:$I,MATCH(Прайс!$B1803,Кат!$G:$G,0)),INDEX(Торг!$I:$I,MATCH(Прайс!$B1803,Торг!$H:$H,0))),"")</f>
        <v/>
      </c>
    </row>
    <row r="1804" spans="1:8" x14ac:dyDescent="0.25">
      <c r="A1804" s="103" t="s">
        <v>3507</v>
      </c>
      <c r="B1804" s="104">
        <v>72320</v>
      </c>
      <c r="C1804" s="104" t="s">
        <v>1027</v>
      </c>
      <c r="D1804" s="105" t="s">
        <v>161</v>
      </c>
      <c r="E1804" s="113">
        <v>135</v>
      </c>
      <c r="F1804" s="67" t="str">
        <f>IFERROR(IFERROR(INDEX(Кат!$A:$A,MATCH(Прайс!$B1804,Кат!$G:$G,0)),INDEX(Торг!$B:$B,MATCH(Прайс!$B1804,Торг!$H:$H,0))),"")</f>
        <v/>
      </c>
      <c r="G1804" s="67" t="str">
        <f>IFERROR(IFERROR(INDEX(Кат!$B:$B,MATCH(Прайс!$B1804,Кат!$G:$G,0)),INDEX(Торг!$C:$C,MATCH(Прайс!$B1804,Торг!$H:$H,0))),"")</f>
        <v/>
      </c>
      <c r="H1804" s="67" t="str">
        <f>IFERROR(IFERROR(INDEX(Кат!$I:$I,MATCH(Прайс!$B1804,Кат!$G:$G,0)),INDEX(Торг!$I:$I,MATCH(Прайс!$B1804,Торг!$H:$H,0))),"")</f>
        <v/>
      </c>
    </row>
    <row r="1805" spans="1:8" x14ac:dyDescent="0.25">
      <c r="A1805" s="103" t="s">
        <v>3508</v>
      </c>
      <c r="B1805" s="104">
        <v>72321</v>
      </c>
      <c r="C1805" s="104" t="s">
        <v>1028</v>
      </c>
      <c r="D1805" s="105" t="s">
        <v>161</v>
      </c>
      <c r="E1805" s="113">
        <v>135</v>
      </c>
      <c r="F1805" s="67" t="str">
        <f>IFERROR(IFERROR(INDEX(Кат!$A:$A,MATCH(Прайс!$B1805,Кат!$G:$G,0)),INDEX(Торг!$B:$B,MATCH(Прайс!$B1805,Торг!$H:$H,0))),"")</f>
        <v/>
      </c>
      <c r="G1805" s="67" t="str">
        <f>IFERROR(IFERROR(INDEX(Кат!$B:$B,MATCH(Прайс!$B1805,Кат!$G:$G,0)),INDEX(Торг!$C:$C,MATCH(Прайс!$B1805,Торг!$H:$H,0))),"")</f>
        <v/>
      </c>
      <c r="H1805" s="67" t="str">
        <f>IFERROR(IFERROR(INDEX(Кат!$I:$I,MATCH(Прайс!$B1805,Кат!$G:$G,0)),INDEX(Торг!$I:$I,MATCH(Прайс!$B1805,Торг!$H:$H,0))),"")</f>
        <v/>
      </c>
    </row>
    <row r="1806" spans="1:8" x14ac:dyDescent="0.25">
      <c r="A1806" s="103" t="s">
        <v>3509</v>
      </c>
      <c r="B1806" s="104">
        <v>72322</v>
      </c>
      <c r="C1806" s="104" t="s">
        <v>1029</v>
      </c>
      <c r="D1806" s="105" t="s">
        <v>161</v>
      </c>
      <c r="E1806" s="113">
        <v>135</v>
      </c>
      <c r="F1806" s="67" t="str">
        <f>IFERROR(IFERROR(INDEX(Кат!$A:$A,MATCH(Прайс!$B1806,Кат!$G:$G,0)),INDEX(Торг!$B:$B,MATCH(Прайс!$B1806,Торг!$H:$H,0))),"")</f>
        <v/>
      </c>
      <c r="G1806" s="67" t="str">
        <f>IFERROR(IFERROR(INDEX(Кат!$B:$B,MATCH(Прайс!$B1806,Кат!$G:$G,0)),INDEX(Торг!$C:$C,MATCH(Прайс!$B1806,Торг!$H:$H,0))),"")</f>
        <v/>
      </c>
      <c r="H1806" s="67" t="str">
        <f>IFERROR(IFERROR(INDEX(Кат!$I:$I,MATCH(Прайс!$B1806,Кат!$G:$G,0)),INDEX(Торг!$I:$I,MATCH(Прайс!$B1806,Торг!$H:$H,0))),"")</f>
        <v/>
      </c>
    </row>
    <row r="1807" spans="1:8" x14ac:dyDescent="0.25">
      <c r="A1807" s="103" t="s">
        <v>3510</v>
      </c>
      <c r="B1807" s="104">
        <v>72323</v>
      </c>
      <c r="C1807" s="104" t="s">
        <v>1030</v>
      </c>
      <c r="D1807" s="105" t="s">
        <v>161</v>
      </c>
      <c r="E1807" s="113">
        <v>135</v>
      </c>
      <c r="F1807" s="67" t="str">
        <f>IFERROR(IFERROR(INDEX(Кат!$A:$A,MATCH(Прайс!$B1807,Кат!$G:$G,0)),INDEX(Торг!$B:$B,MATCH(Прайс!$B1807,Торг!$H:$H,0))),"")</f>
        <v/>
      </c>
      <c r="G1807" s="67" t="str">
        <f>IFERROR(IFERROR(INDEX(Кат!$B:$B,MATCH(Прайс!$B1807,Кат!$G:$G,0)),INDEX(Торг!$C:$C,MATCH(Прайс!$B1807,Торг!$H:$H,0))),"")</f>
        <v/>
      </c>
      <c r="H1807" s="67" t="str">
        <f>IFERROR(IFERROR(INDEX(Кат!$I:$I,MATCH(Прайс!$B1807,Кат!$G:$G,0)),INDEX(Торг!$I:$I,MATCH(Прайс!$B1807,Торг!$H:$H,0))),"")</f>
        <v/>
      </c>
    </row>
    <row r="1808" spans="1:8" x14ac:dyDescent="0.25">
      <c r="A1808" s="103" t="s">
        <v>3511</v>
      </c>
      <c r="B1808" s="104">
        <v>72324</v>
      </c>
      <c r="C1808" s="104" t="s">
        <v>1031</v>
      </c>
      <c r="D1808" s="105" t="s">
        <v>161</v>
      </c>
      <c r="E1808" s="113">
        <v>135</v>
      </c>
      <c r="F1808" s="67" t="str">
        <f>IFERROR(IFERROR(INDEX(Кат!$A:$A,MATCH(Прайс!$B1808,Кат!$G:$G,0)),INDEX(Торг!$B:$B,MATCH(Прайс!$B1808,Торг!$H:$H,0))),"")</f>
        <v/>
      </c>
      <c r="G1808" s="67" t="str">
        <f>IFERROR(IFERROR(INDEX(Кат!$B:$B,MATCH(Прайс!$B1808,Кат!$G:$G,0)),INDEX(Торг!$C:$C,MATCH(Прайс!$B1808,Торг!$H:$H,0))),"")</f>
        <v/>
      </c>
      <c r="H1808" s="67" t="str">
        <f>IFERROR(IFERROR(INDEX(Кат!$I:$I,MATCH(Прайс!$B1808,Кат!$G:$G,0)),INDEX(Торг!$I:$I,MATCH(Прайс!$B1808,Торг!$H:$H,0))),"")</f>
        <v/>
      </c>
    </row>
    <row r="1809" spans="1:8" x14ac:dyDescent="0.25">
      <c r="A1809" s="103" t="s">
        <v>3512</v>
      </c>
      <c r="B1809" s="104">
        <v>72325</v>
      </c>
      <c r="C1809" s="104" t="s">
        <v>1032</v>
      </c>
      <c r="D1809" s="105" t="s">
        <v>161</v>
      </c>
      <c r="E1809" s="113">
        <v>135</v>
      </c>
      <c r="F1809" s="67" t="str">
        <f>IFERROR(IFERROR(INDEX(Кат!$A:$A,MATCH(Прайс!$B1809,Кат!$G:$G,0)),INDEX(Торг!$B:$B,MATCH(Прайс!$B1809,Торг!$H:$H,0))),"")</f>
        <v/>
      </c>
      <c r="G1809" s="67" t="str">
        <f>IFERROR(IFERROR(INDEX(Кат!$B:$B,MATCH(Прайс!$B1809,Кат!$G:$G,0)),INDEX(Торг!$C:$C,MATCH(Прайс!$B1809,Торг!$H:$H,0))),"")</f>
        <v/>
      </c>
      <c r="H1809" s="67" t="str">
        <f>IFERROR(IFERROR(INDEX(Кат!$I:$I,MATCH(Прайс!$B1809,Кат!$G:$G,0)),INDEX(Торг!$I:$I,MATCH(Прайс!$B1809,Торг!$H:$H,0))),"")</f>
        <v/>
      </c>
    </row>
    <row r="1810" spans="1:8" x14ac:dyDescent="0.25">
      <c r="A1810" s="103" t="s">
        <v>3513</v>
      </c>
      <c r="B1810" s="104">
        <v>72326</v>
      </c>
      <c r="C1810" s="104" t="s">
        <v>1033</v>
      </c>
      <c r="D1810" s="105" t="s">
        <v>161</v>
      </c>
      <c r="E1810" s="113">
        <v>135</v>
      </c>
      <c r="F1810" s="67" t="str">
        <f>IFERROR(IFERROR(INDEX(Кат!$A:$A,MATCH(Прайс!$B1810,Кат!$G:$G,0)),INDEX(Торг!$B:$B,MATCH(Прайс!$B1810,Торг!$H:$H,0))),"")</f>
        <v/>
      </c>
      <c r="G1810" s="67" t="str">
        <f>IFERROR(IFERROR(INDEX(Кат!$B:$B,MATCH(Прайс!$B1810,Кат!$G:$G,0)),INDEX(Торг!$C:$C,MATCH(Прайс!$B1810,Торг!$H:$H,0))),"")</f>
        <v/>
      </c>
      <c r="H1810" s="67" t="str">
        <f>IFERROR(IFERROR(INDEX(Кат!$I:$I,MATCH(Прайс!$B1810,Кат!$G:$G,0)),INDEX(Торг!$I:$I,MATCH(Прайс!$B1810,Торг!$H:$H,0))),"")</f>
        <v/>
      </c>
    </row>
    <row r="1811" spans="1:8" x14ac:dyDescent="0.25">
      <c r="A1811" s="103" t="s">
        <v>3514</v>
      </c>
      <c r="B1811" s="104">
        <v>72327</v>
      </c>
      <c r="C1811" s="104" t="s">
        <v>1034</v>
      </c>
      <c r="D1811" s="105" t="s">
        <v>161</v>
      </c>
      <c r="E1811" s="113">
        <v>135</v>
      </c>
      <c r="F1811" s="67" t="str">
        <f>IFERROR(IFERROR(INDEX(Кат!$A:$A,MATCH(Прайс!$B1811,Кат!$G:$G,0)),INDEX(Торг!$B:$B,MATCH(Прайс!$B1811,Торг!$H:$H,0))),"")</f>
        <v/>
      </c>
      <c r="G1811" s="67" t="str">
        <f>IFERROR(IFERROR(INDEX(Кат!$B:$B,MATCH(Прайс!$B1811,Кат!$G:$G,0)),INDEX(Торг!$C:$C,MATCH(Прайс!$B1811,Торг!$H:$H,0))),"")</f>
        <v/>
      </c>
      <c r="H1811" s="67" t="str">
        <f>IFERROR(IFERROR(INDEX(Кат!$I:$I,MATCH(Прайс!$B1811,Кат!$G:$G,0)),INDEX(Торг!$I:$I,MATCH(Прайс!$B1811,Торг!$H:$H,0))),"")</f>
        <v/>
      </c>
    </row>
    <row r="1812" spans="1:8" x14ac:dyDescent="0.25">
      <c r="A1812" s="103" t="s">
        <v>3515</v>
      </c>
      <c r="B1812" s="104">
        <v>72328</v>
      </c>
      <c r="C1812" s="104" t="s">
        <v>1035</v>
      </c>
      <c r="D1812" s="105" t="s">
        <v>161</v>
      </c>
      <c r="E1812" s="113">
        <v>135</v>
      </c>
      <c r="F1812" s="67" t="str">
        <f>IFERROR(IFERROR(INDEX(Кат!$A:$A,MATCH(Прайс!$B1812,Кат!$G:$G,0)),INDEX(Торг!$B:$B,MATCH(Прайс!$B1812,Торг!$H:$H,0))),"")</f>
        <v/>
      </c>
      <c r="G1812" s="67" t="str">
        <f>IFERROR(IFERROR(INDEX(Кат!$B:$B,MATCH(Прайс!$B1812,Кат!$G:$G,0)),INDEX(Торг!$C:$C,MATCH(Прайс!$B1812,Торг!$H:$H,0))),"")</f>
        <v/>
      </c>
      <c r="H1812" s="67" t="str">
        <f>IFERROR(IFERROR(INDEX(Кат!$I:$I,MATCH(Прайс!$B1812,Кат!$G:$G,0)),INDEX(Торг!$I:$I,MATCH(Прайс!$B1812,Торг!$H:$H,0))),"")</f>
        <v/>
      </c>
    </row>
    <row r="1813" spans="1:8" x14ac:dyDescent="0.25">
      <c r="A1813" s="94" t="s">
        <v>3516</v>
      </c>
      <c r="B1813" s="98">
        <v>72038</v>
      </c>
      <c r="C1813" s="98" t="s">
        <v>1036</v>
      </c>
      <c r="D1813" s="96" t="s">
        <v>161</v>
      </c>
      <c r="E1813" s="97">
        <v>135</v>
      </c>
      <c r="F1813" s="67" t="str">
        <f>IFERROR(IFERROR(INDEX(Кат!$A:$A,MATCH(Прайс!$B1813,Кат!$G:$G,0)),INDEX(Торг!$B:$B,MATCH(Прайс!$B1813,Торг!$H:$H,0))),"")</f>
        <v/>
      </c>
      <c r="G1813" s="67" t="str">
        <f>IFERROR(IFERROR(INDEX(Кат!$B:$B,MATCH(Прайс!$B1813,Кат!$G:$G,0)),INDEX(Торг!$C:$C,MATCH(Прайс!$B1813,Торг!$H:$H,0))),"")</f>
        <v/>
      </c>
      <c r="H1813" s="67" t="str">
        <f>IFERROR(IFERROR(INDEX(Кат!$I:$I,MATCH(Прайс!$B1813,Кат!$G:$G,0)),INDEX(Торг!$I:$I,MATCH(Прайс!$B1813,Торг!$H:$H,0))),"")</f>
        <v/>
      </c>
    </row>
    <row r="1814" spans="1:8" x14ac:dyDescent="0.25">
      <c r="A1814" s="94" t="s">
        <v>3517</v>
      </c>
      <c r="B1814" s="98">
        <v>72030</v>
      </c>
      <c r="C1814" s="98" t="s">
        <v>1037</v>
      </c>
      <c r="D1814" s="96" t="s">
        <v>161</v>
      </c>
      <c r="E1814" s="97">
        <v>135</v>
      </c>
      <c r="F1814" s="67" t="str">
        <f>IFERROR(IFERROR(INDEX(Кат!$A:$A,MATCH(Прайс!$B1814,Кат!$G:$G,0)),INDEX(Торг!$B:$B,MATCH(Прайс!$B1814,Торг!$H:$H,0))),"")</f>
        <v/>
      </c>
      <c r="G1814" s="67" t="str">
        <f>IFERROR(IFERROR(INDEX(Кат!$B:$B,MATCH(Прайс!$B1814,Кат!$G:$G,0)),INDEX(Торг!$C:$C,MATCH(Прайс!$B1814,Торг!$H:$H,0))),"")</f>
        <v/>
      </c>
      <c r="H1814" s="67" t="str">
        <f>IFERROR(IFERROR(INDEX(Кат!$I:$I,MATCH(Прайс!$B1814,Кат!$G:$G,0)),INDEX(Торг!$I:$I,MATCH(Прайс!$B1814,Торг!$H:$H,0))),"")</f>
        <v/>
      </c>
    </row>
    <row r="1815" spans="1:8" x14ac:dyDescent="0.25">
      <c r="A1815" s="94" t="s">
        <v>3518</v>
      </c>
      <c r="B1815" s="98">
        <v>72029</v>
      </c>
      <c r="C1815" s="98" t="s">
        <v>1038</v>
      </c>
      <c r="D1815" s="96" t="s">
        <v>161</v>
      </c>
      <c r="E1815" s="97">
        <v>135</v>
      </c>
      <c r="F1815" s="67" t="str">
        <f>IFERROR(IFERROR(INDEX(Кат!$A:$A,MATCH(Прайс!$B1815,Кат!$G:$G,0)),INDEX(Торг!$B:$B,MATCH(Прайс!$B1815,Торг!$H:$H,0))),"")</f>
        <v/>
      </c>
      <c r="G1815" s="67" t="str">
        <f>IFERROR(IFERROR(INDEX(Кат!$B:$B,MATCH(Прайс!$B1815,Кат!$G:$G,0)),INDEX(Торг!$C:$C,MATCH(Прайс!$B1815,Торг!$H:$H,0))),"")</f>
        <v/>
      </c>
      <c r="H1815" s="67" t="str">
        <f>IFERROR(IFERROR(INDEX(Кат!$I:$I,MATCH(Прайс!$B1815,Кат!$G:$G,0)),INDEX(Торг!$I:$I,MATCH(Прайс!$B1815,Торг!$H:$H,0))),"")</f>
        <v/>
      </c>
    </row>
    <row r="1816" spans="1:8" x14ac:dyDescent="0.25">
      <c r="A1816" s="94" t="s">
        <v>6889</v>
      </c>
      <c r="B1816" s="98">
        <v>72257</v>
      </c>
      <c r="C1816" s="98" t="s">
        <v>6890</v>
      </c>
      <c r="D1816" s="96" t="s">
        <v>161</v>
      </c>
      <c r="E1816" s="97">
        <v>135</v>
      </c>
      <c r="F1816" s="67" t="str">
        <f>IFERROR(IFERROR(INDEX(Кат!$A:$A,MATCH(Прайс!$B1816,Кат!$G:$G,0)),INDEX(Торг!$B:$B,MATCH(Прайс!$B1816,Торг!$H:$H,0))),"")</f>
        <v/>
      </c>
      <c r="G1816" s="67" t="str">
        <f>IFERROR(IFERROR(INDEX(Кат!$B:$B,MATCH(Прайс!$B1816,Кат!$G:$G,0)),INDEX(Торг!$C:$C,MATCH(Прайс!$B1816,Торг!$H:$H,0))),"")</f>
        <v/>
      </c>
      <c r="H1816" s="67" t="str">
        <f>IFERROR(IFERROR(INDEX(Кат!$I:$I,MATCH(Прайс!$B1816,Кат!$G:$G,0)),INDEX(Торг!$I:$I,MATCH(Прайс!$B1816,Торг!$H:$H,0))),"")</f>
        <v/>
      </c>
    </row>
    <row r="1817" spans="1:8" x14ac:dyDescent="0.25">
      <c r="A1817" s="94" t="s">
        <v>5431</v>
      </c>
      <c r="B1817" s="98">
        <v>72026</v>
      </c>
      <c r="C1817" s="98" t="s">
        <v>5432</v>
      </c>
      <c r="D1817" s="96" t="s">
        <v>161</v>
      </c>
      <c r="E1817" s="97">
        <v>135</v>
      </c>
      <c r="F1817" s="67" t="str">
        <f>IFERROR(IFERROR(INDEX(Кат!$A:$A,MATCH(Прайс!$B1817,Кат!$G:$G,0)),INDEX(Торг!$B:$B,MATCH(Прайс!$B1817,Торг!$H:$H,0))),"")</f>
        <v/>
      </c>
      <c r="G1817" s="67" t="str">
        <f>IFERROR(IFERROR(INDEX(Кат!$B:$B,MATCH(Прайс!$B1817,Кат!$G:$G,0)),INDEX(Торг!$C:$C,MATCH(Прайс!$B1817,Торг!$H:$H,0))),"")</f>
        <v/>
      </c>
      <c r="H1817" s="67" t="str">
        <f>IFERROR(IFERROR(INDEX(Кат!$I:$I,MATCH(Прайс!$B1817,Кат!$G:$G,0)),INDEX(Торг!$I:$I,MATCH(Прайс!$B1817,Торг!$H:$H,0))),"")</f>
        <v/>
      </c>
    </row>
    <row r="1818" spans="1:8" x14ac:dyDescent="0.25">
      <c r="A1818" s="94" t="s">
        <v>3519</v>
      </c>
      <c r="B1818" s="98">
        <v>72027</v>
      </c>
      <c r="C1818" s="98" t="s">
        <v>1039</v>
      </c>
      <c r="D1818" s="96" t="s">
        <v>161</v>
      </c>
      <c r="E1818" s="97">
        <v>135</v>
      </c>
      <c r="F1818" s="67" t="str">
        <f>IFERROR(IFERROR(INDEX(Кат!$A:$A,MATCH(Прайс!$B1818,Кат!$G:$G,0)),INDEX(Торг!$B:$B,MATCH(Прайс!$B1818,Торг!$H:$H,0))),"")</f>
        <v/>
      </c>
      <c r="G1818" s="67" t="str">
        <f>IFERROR(IFERROR(INDEX(Кат!$B:$B,MATCH(Прайс!$B1818,Кат!$G:$G,0)),INDEX(Торг!$C:$C,MATCH(Прайс!$B1818,Торг!$H:$H,0))),"")</f>
        <v/>
      </c>
      <c r="H1818" s="67" t="str">
        <f>IFERROR(IFERROR(INDEX(Кат!$I:$I,MATCH(Прайс!$B1818,Кат!$G:$G,0)),INDEX(Торг!$I:$I,MATCH(Прайс!$B1818,Торг!$H:$H,0))),"")</f>
        <v/>
      </c>
    </row>
    <row r="1819" spans="1:8" x14ac:dyDescent="0.25">
      <c r="A1819" s="94" t="s">
        <v>3520</v>
      </c>
      <c r="B1819" s="98">
        <v>72039</v>
      </c>
      <c r="C1819" s="98" t="s">
        <v>1040</v>
      </c>
      <c r="D1819" s="96" t="s">
        <v>161</v>
      </c>
      <c r="E1819" s="97">
        <v>135</v>
      </c>
      <c r="F1819" s="67" t="str">
        <f>IFERROR(IFERROR(INDEX(Кат!$A:$A,MATCH(Прайс!$B1819,Кат!$G:$G,0)),INDEX(Торг!$B:$B,MATCH(Прайс!$B1819,Торг!$H:$H,0))),"")</f>
        <v/>
      </c>
      <c r="G1819" s="67" t="str">
        <f>IFERROR(IFERROR(INDEX(Кат!$B:$B,MATCH(Прайс!$B1819,Кат!$G:$G,0)),INDEX(Торг!$C:$C,MATCH(Прайс!$B1819,Торг!$H:$H,0))),"")</f>
        <v/>
      </c>
      <c r="H1819" s="67" t="str">
        <f>IFERROR(IFERROR(INDEX(Кат!$I:$I,MATCH(Прайс!$B1819,Кат!$G:$G,0)),INDEX(Торг!$I:$I,MATCH(Прайс!$B1819,Торг!$H:$H,0))),"")</f>
        <v/>
      </c>
    </row>
    <row r="1820" spans="1:8" x14ac:dyDescent="0.25">
      <c r="A1820" s="94" t="s">
        <v>3521</v>
      </c>
      <c r="B1820" s="98">
        <v>72034</v>
      </c>
      <c r="C1820" s="98" t="s">
        <v>1041</v>
      </c>
      <c r="D1820" s="96" t="s">
        <v>161</v>
      </c>
      <c r="E1820" s="97">
        <v>135</v>
      </c>
      <c r="F1820" s="67" t="str">
        <f>IFERROR(IFERROR(INDEX(Кат!$A:$A,MATCH(Прайс!$B1820,Кат!$G:$G,0)),INDEX(Торг!$B:$B,MATCH(Прайс!$B1820,Торг!$H:$H,0))),"")</f>
        <v/>
      </c>
      <c r="G1820" s="67" t="str">
        <f>IFERROR(IFERROR(INDEX(Кат!$B:$B,MATCH(Прайс!$B1820,Кат!$G:$G,0)),INDEX(Торг!$C:$C,MATCH(Прайс!$B1820,Торг!$H:$H,0))),"")</f>
        <v/>
      </c>
      <c r="H1820" s="67" t="str">
        <f>IFERROR(IFERROR(INDEX(Кат!$I:$I,MATCH(Прайс!$B1820,Кат!$G:$G,0)),INDEX(Торг!$I:$I,MATCH(Прайс!$B1820,Торг!$H:$H,0))),"")</f>
        <v/>
      </c>
    </row>
    <row r="1821" spans="1:8" x14ac:dyDescent="0.25">
      <c r="A1821" s="94" t="s">
        <v>7638</v>
      </c>
      <c r="B1821" s="98">
        <v>72028</v>
      </c>
      <c r="C1821" s="98" t="s">
        <v>7639</v>
      </c>
      <c r="D1821" s="96" t="s">
        <v>161</v>
      </c>
      <c r="E1821" s="97">
        <v>135</v>
      </c>
      <c r="F1821" s="67" t="str">
        <f>IFERROR(IFERROR(INDEX(Кат!$A:$A,MATCH(Прайс!$B1821,Кат!$G:$G,0)),INDEX(Торг!$B:$B,MATCH(Прайс!$B1821,Торг!$H:$H,0))),"")</f>
        <v/>
      </c>
      <c r="G1821" s="67" t="str">
        <f>IFERROR(IFERROR(INDEX(Кат!$B:$B,MATCH(Прайс!$B1821,Кат!$G:$G,0)),INDEX(Торг!$C:$C,MATCH(Прайс!$B1821,Торг!$H:$H,0))),"")</f>
        <v/>
      </c>
      <c r="H1821" s="67" t="str">
        <f>IFERROR(IFERROR(INDEX(Кат!$I:$I,MATCH(Прайс!$B1821,Кат!$G:$G,0)),INDEX(Торг!$I:$I,MATCH(Прайс!$B1821,Торг!$H:$H,0))),"")</f>
        <v/>
      </c>
    </row>
    <row r="1822" spans="1:8" x14ac:dyDescent="0.25">
      <c r="A1822" s="94" t="s">
        <v>3522</v>
      </c>
      <c r="B1822" s="98">
        <v>72036</v>
      </c>
      <c r="C1822" s="98" t="s">
        <v>1042</v>
      </c>
      <c r="D1822" s="96" t="s">
        <v>161</v>
      </c>
      <c r="E1822" s="97">
        <v>135</v>
      </c>
      <c r="F1822" s="67" t="str">
        <f>IFERROR(IFERROR(INDEX(Кат!$A:$A,MATCH(Прайс!$B1822,Кат!$G:$G,0)),INDEX(Торг!$B:$B,MATCH(Прайс!$B1822,Торг!$H:$H,0))),"")</f>
        <v/>
      </c>
      <c r="G1822" s="67" t="str">
        <f>IFERROR(IFERROR(INDEX(Кат!$B:$B,MATCH(Прайс!$B1822,Кат!$G:$G,0)),INDEX(Торг!$C:$C,MATCH(Прайс!$B1822,Торг!$H:$H,0))),"")</f>
        <v/>
      </c>
      <c r="H1822" s="67" t="str">
        <f>IFERROR(IFERROR(INDEX(Кат!$I:$I,MATCH(Прайс!$B1822,Кат!$G:$G,0)),INDEX(Торг!$I:$I,MATCH(Прайс!$B1822,Торг!$H:$H,0))),"")</f>
        <v/>
      </c>
    </row>
    <row r="1823" spans="1:8" x14ac:dyDescent="0.25">
      <c r="A1823" s="94" t="s">
        <v>6891</v>
      </c>
      <c r="B1823" s="98">
        <v>72041</v>
      </c>
      <c r="C1823" s="98" t="s">
        <v>6892</v>
      </c>
      <c r="D1823" s="96" t="s">
        <v>161</v>
      </c>
      <c r="E1823" s="97">
        <v>135</v>
      </c>
      <c r="F1823" s="67" t="str">
        <f>IFERROR(IFERROR(INDEX(Кат!$A:$A,MATCH(Прайс!$B1823,Кат!$G:$G,0)),INDEX(Торг!$B:$B,MATCH(Прайс!$B1823,Торг!$H:$H,0))),"")</f>
        <v/>
      </c>
      <c r="G1823" s="67" t="str">
        <f>IFERROR(IFERROR(INDEX(Кат!$B:$B,MATCH(Прайс!$B1823,Кат!$G:$G,0)),INDEX(Торг!$C:$C,MATCH(Прайс!$B1823,Торг!$H:$H,0))),"")</f>
        <v/>
      </c>
      <c r="H1823" s="67" t="str">
        <f>IFERROR(IFERROR(INDEX(Кат!$I:$I,MATCH(Прайс!$B1823,Кат!$G:$G,0)),INDEX(Торг!$I:$I,MATCH(Прайс!$B1823,Торг!$H:$H,0))),"")</f>
        <v/>
      </c>
    </row>
    <row r="1824" spans="1:8" x14ac:dyDescent="0.25">
      <c r="A1824" s="94" t="s">
        <v>6317</v>
      </c>
      <c r="B1824" s="98">
        <v>72031</v>
      </c>
      <c r="C1824" s="98" t="s">
        <v>6318</v>
      </c>
      <c r="D1824" s="96" t="s">
        <v>161</v>
      </c>
      <c r="E1824" s="97">
        <v>135</v>
      </c>
      <c r="F1824" s="67" t="str">
        <f>IFERROR(IFERROR(INDEX(Кат!$A:$A,MATCH(Прайс!$B1824,Кат!$G:$G,0)),INDEX(Торг!$B:$B,MATCH(Прайс!$B1824,Торг!$H:$H,0))),"")</f>
        <v/>
      </c>
      <c r="G1824" s="67" t="str">
        <f>IFERROR(IFERROR(INDEX(Кат!$B:$B,MATCH(Прайс!$B1824,Кат!$G:$G,0)),INDEX(Торг!$C:$C,MATCH(Прайс!$B1824,Торг!$H:$H,0))),"")</f>
        <v/>
      </c>
      <c r="H1824" s="67" t="str">
        <f>IFERROR(IFERROR(INDEX(Кат!$I:$I,MATCH(Прайс!$B1824,Кат!$G:$G,0)),INDEX(Торг!$I:$I,MATCH(Прайс!$B1824,Торг!$H:$H,0))),"")</f>
        <v/>
      </c>
    </row>
    <row r="1825" spans="1:8" x14ac:dyDescent="0.25">
      <c r="A1825" s="94" t="s">
        <v>3523</v>
      </c>
      <c r="B1825" s="98">
        <v>72258</v>
      </c>
      <c r="C1825" s="98" t="s">
        <v>1043</v>
      </c>
      <c r="D1825" s="96" t="s">
        <v>161</v>
      </c>
      <c r="E1825" s="97">
        <v>135</v>
      </c>
      <c r="F1825" s="67" t="str">
        <f>IFERROR(IFERROR(INDEX(Кат!$A:$A,MATCH(Прайс!$B1825,Кат!$G:$G,0)),INDEX(Торг!$B:$B,MATCH(Прайс!$B1825,Торг!$H:$H,0))),"")</f>
        <v/>
      </c>
      <c r="G1825" s="67" t="str">
        <f>IFERROR(IFERROR(INDEX(Кат!$B:$B,MATCH(Прайс!$B1825,Кат!$G:$G,0)),INDEX(Торг!$C:$C,MATCH(Прайс!$B1825,Торг!$H:$H,0))),"")</f>
        <v/>
      </c>
      <c r="H1825" s="67" t="str">
        <f>IFERROR(IFERROR(INDEX(Кат!$I:$I,MATCH(Прайс!$B1825,Кат!$G:$G,0)),INDEX(Торг!$I:$I,MATCH(Прайс!$B1825,Торг!$H:$H,0))),"")</f>
        <v/>
      </c>
    </row>
    <row r="1826" spans="1:8" x14ac:dyDescent="0.25">
      <c r="A1826" s="94" t="s">
        <v>3524</v>
      </c>
      <c r="B1826" s="98">
        <v>72037</v>
      </c>
      <c r="C1826" s="98" t="s">
        <v>1044</v>
      </c>
      <c r="D1826" s="96" t="s">
        <v>161</v>
      </c>
      <c r="E1826" s="97">
        <v>135</v>
      </c>
      <c r="F1826" s="67" t="str">
        <f>IFERROR(IFERROR(INDEX(Кат!$A:$A,MATCH(Прайс!$B1826,Кат!$G:$G,0)),INDEX(Торг!$B:$B,MATCH(Прайс!$B1826,Торг!$H:$H,0))),"")</f>
        <v/>
      </c>
      <c r="G1826" s="67" t="str">
        <f>IFERROR(IFERROR(INDEX(Кат!$B:$B,MATCH(Прайс!$B1826,Кат!$G:$G,0)),INDEX(Торг!$C:$C,MATCH(Прайс!$B1826,Торг!$H:$H,0))),"")</f>
        <v/>
      </c>
      <c r="H1826" s="67" t="str">
        <f>IFERROR(IFERROR(INDEX(Кат!$I:$I,MATCH(Прайс!$B1826,Кат!$G:$G,0)),INDEX(Торг!$I:$I,MATCH(Прайс!$B1826,Торг!$H:$H,0))),"")</f>
        <v/>
      </c>
    </row>
    <row r="1827" spans="1:8" x14ac:dyDescent="0.25">
      <c r="A1827" s="94" t="s">
        <v>3525</v>
      </c>
      <c r="B1827" s="98">
        <v>72040</v>
      </c>
      <c r="C1827" s="98" t="s">
        <v>1045</v>
      </c>
      <c r="D1827" s="96" t="s">
        <v>161</v>
      </c>
      <c r="E1827" s="97">
        <v>135</v>
      </c>
      <c r="F1827" s="67" t="str">
        <f>IFERROR(IFERROR(INDEX(Кат!$A:$A,MATCH(Прайс!$B1827,Кат!$G:$G,0)),INDEX(Торг!$B:$B,MATCH(Прайс!$B1827,Торг!$H:$H,0))),"")</f>
        <v/>
      </c>
      <c r="G1827" s="67" t="str">
        <f>IFERROR(IFERROR(INDEX(Кат!$B:$B,MATCH(Прайс!$B1827,Кат!$G:$G,0)),INDEX(Торг!$C:$C,MATCH(Прайс!$B1827,Торг!$H:$H,0))),"")</f>
        <v/>
      </c>
      <c r="H1827" s="67" t="str">
        <f>IFERROR(IFERROR(INDEX(Кат!$I:$I,MATCH(Прайс!$B1827,Кат!$G:$G,0)),INDEX(Торг!$I:$I,MATCH(Прайс!$B1827,Торг!$H:$H,0))),"")</f>
        <v/>
      </c>
    </row>
    <row r="1828" spans="1:8" x14ac:dyDescent="0.25">
      <c r="A1828" s="94" t="s">
        <v>3526</v>
      </c>
      <c r="B1828" s="98">
        <v>72032</v>
      </c>
      <c r="C1828" s="98" t="s">
        <v>1046</v>
      </c>
      <c r="D1828" s="96" t="s">
        <v>161</v>
      </c>
      <c r="E1828" s="97">
        <v>135</v>
      </c>
      <c r="F1828" s="67" t="str">
        <f>IFERROR(IFERROR(INDEX(Кат!$A:$A,MATCH(Прайс!$B1828,Кат!$G:$G,0)),INDEX(Торг!$B:$B,MATCH(Прайс!$B1828,Торг!$H:$H,0))),"")</f>
        <v/>
      </c>
      <c r="G1828" s="67" t="str">
        <f>IFERROR(IFERROR(INDEX(Кат!$B:$B,MATCH(Прайс!$B1828,Кат!$G:$G,0)),INDEX(Торг!$C:$C,MATCH(Прайс!$B1828,Торг!$H:$H,0))),"")</f>
        <v/>
      </c>
      <c r="H1828" s="67" t="str">
        <f>IFERROR(IFERROR(INDEX(Кат!$I:$I,MATCH(Прайс!$B1828,Кат!$G:$G,0)),INDEX(Торг!$I:$I,MATCH(Прайс!$B1828,Торг!$H:$H,0))),"")</f>
        <v/>
      </c>
    </row>
    <row r="1829" spans="1:8" x14ac:dyDescent="0.25">
      <c r="A1829" s="94" t="s">
        <v>3527</v>
      </c>
      <c r="B1829" s="98">
        <v>72035</v>
      </c>
      <c r="C1829" s="98" t="s">
        <v>1047</v>
      </c>
      <c r="D1829" s="96" t="s">
        <v>161</v>
      </c>
      <c r="E1829" s="97">
        <v>135</v>
      </c>
      <c r="F1829" s="67" t="str">
        <f>IFERROR(IFERROR(INDEX(Кат!$A:$A,MATCH(Прайс!$B1829,Кат!$G:$G,0)),INDEX(Торг!$B:$B,MATCH(Прайс!$B1829,Торг!$H:$H,0))),"")</f>
        <v/>
      </c>
      <c r="G1829" s="67" t="str">
        <f>IFERROR(IFERROR(INDEX(Кат!$B:$B,MATCH(Прайс!$B1829,Кат!$G:$G,0)),INDEX(Торг!$C:$C,MATCH(Прайс!$B1829,Торг!$H:$H,0))),"")</f>
        <v/>
      </c>
      <c r="H1829" s="67" t="str">
        <f>IFERROR(IFERROR(INDEX(Кат!$I:$I,MATCH(Прайс!$B1829,Кат!$G:$G,0)),INDEX(Торг!$I:$I,MATCH(Прайс!$B1829,Торг!$H:$H,0))),"")</f>
        <v/>
      </c>
    </row>
    <row r="1830" spans="1:8" x14ac:dyDescent="0.25">
      <c r="A1830" s="94" t="s">
        <v>3528</v>
      </c>
      <c r="B1830" s="98">
        <v>72292</v>
      </c>
      <c r="C1830" s="98" t="s">
        <v>1048</v>
      </c>
      <c r="D1830" s="96" t="s">
        <v>161</v>
      </c>
      <c r="E1830" s="97">
        <v>100</v>
      </c>
      <c r="F1830" s="67">
        <f>IFERROR(IFERROR(INDEX(Кат!$A:$A,MATCH(Прайс!$B1830,Кат!$G:$G,0)),INDEX(Торг!$B:$B,MATCH(Прайс!$B1830,Торг!$H:$H,0))),"")</f>
        <v>133023</v>
      </c>
      <c r="G1830" s="67">
        <f>IFERROR(IFERROR(INDEX(Кат!$B:$B,MATCH(Прайс!$B1830,Кат!$G:$G,0)),INDEX(Торг!$C:$C,MATCH(Прайс!$B1830,Торг!$H:$H,0))),"")</f>
        <v>13778</v>
      </c>
      <c r="H1830" s="67" t="str">
        <f>IFERROR(IFERROR(INDEX(Кат!$I:$I,MATCH(Прайс!$B1830,Кат!$G:$G,0)),INDEX(Торг!$I:$I,MATCH(Прайс!$B1830,Торг!$H:$H,0))),"")</f>
        <v>кристал авто</v>
      </c>
    </row>
    <row r="1831" spans="1:8" x14ac:dyDescent="0.25">
      <c r="A1831" s="94" t="s">
        <v>3529</v>
      </c>
      <c r="B1831" s="98">
        <v>72293</v>
      </c>
      <c r="C1831" s="98" t="s">
        <v>1049</v>
      </c>
      <c r="D1831" s="96" t="s">
        <v>161</v>
      </c>
      <c r="E1831" s="97">
        <v>100</v>
      </c>
      <c r="F1831" s="67">
        <f>IFERROR(IFERROR(INDEX(Кат!$A:$A,MATCH(Прайс!$B1831,Кат!$G:$G,0)),INDEX(Торг!$B:$B,MATCH(Прайс!$B1831,Торг!$H:$H,0))),"")</f>
        <v>133024</v>
      </c>
      <c r="G1831" s="67">
        <f>IFERROR(IFERROR(INDEX(Кат!$B:$B,MATCH(Прайс!$B1831,Кат!$G:$G,0)),INDEX(Торг!$C:$C,MATCH(Прайс!$B1831,Торг!$H:$H,0))),"")</f>
        <v>13779</v>
      </c>
      <c r="H1831" s="67" t="str">
        <f>IFERROR(IFERROR(INDEX(Кат!$I:$I,MATCH(Прайс!$B1831,Кат!$G:$G,0)),INDEX(Торг!$I:$I,MATCH(Прайс!$B1831,Торг!$H:$H,0))),"")</f>
        <v>кристал авто</v>
      </c>
    </row>
    <row r="1832" spans="1:8" x14ac:dyDescent="0.25">
      <c r="A1832" s="94" t="s">
        <v>3530</v>
      </c>
      <c r="B1832" s="98">
        <v>72295</v>
      </c>
      <c r="C1832" s="98" t="s">
        <v>1050</v>
      </c>
      <c r="D1832" s="96" t="s">
        <v>161</v>
      </c>
      <c r="E1832" s="97">
        <v>100</v>
      </c>
      <c r="F1832" s="67">
        <f>IFERROR(IFERROR(INDEX(Кат!$A:$A,MATCH(Прайс!$B1832,Кат!$G:$G,0)),INDEX(Торг!$B:$B,MATCH(Прайс!$B1832,Торг!$H:$H,0))),"")</f>
        <v>133026</v>
      </c>
      <c r="G1832" s="67">
        <f>IFERROR(IFERROR(INDEX(Кат!$B:$B,MATCH(Прайс!$B1832,Кат!$G:$G,0)),INDEX(Торг!$C:$C,MATCH(Прайс!$B1832,Торг!$H:$H,0))),"")</f>
        <v>13777</v>
      </c>
      <c r="H1832" s="67" t="str">
        <f>IFERROR(IFERROR(INDEX(Кат!$I:$I,MATCH(Прайс!$B1832,Кат!$G:$G,0)),INDEX(Торг!$I:$I,MATCH(Прайс!$B1832,Торг!$H:$H,0))),"")</f>
        <v>кристал авто</v>
      </c>
    </row>
    <row r="1833" spans="1:8" x14ac:dyDescent="0.25">
      <c r="A1833" s="94" t="s">
        <v>3531</v>
      </c>
      <c r="B1833" s="98">
        <v>72297</v>
      </c>
      <c r="C1833" s="98" t="s">
        <v>1051</v>
      </c>
      <c r="D1833" s="96" t="s">
        <v>161</v>
      </c>
      <c r="E1833" s="97">
        <v>100</v>
      </c>
      <c r="F1833" s="67">
        <f>IFERROR(IFERROR(INDEX(Кат!$A:$A,MATCH(Прайс!$B1833,Кат!$G:$G,0)),INDEX(Торг!$B:$B,MATCH(Прайс!$B1833,Торг!$H:$H,0))),"")</f>
        <v>133018</v>
      </c>
      <c r="G1833" s="67">
        <f>IFERROR(IFERROR(INDEX(Кат!$B:$B,MATCH(Прайс!$B1833,Кат!$G:$G,0)),INDEX(Торг!$C:$C,MATCH(Прайс!$B1833,Торг!$H:$H,0))),"")</f>
        <v>13780</v>
      </c>
      <c r="H1833" s="67" t="str">
        <f>IFERROR(IFERROR(INDEX(Кат!$I:$I,MATCH(Прайс!$B1833,Кат!$G:$G,0)),INDEX(Торг!$I:$I,MATCH(Прайс!$B1833,Торг!$H:$H,0))),"")</f>
        <v>кристал авто</v>
      </c>
    </row>
    <row r="1834" spans="1:8" x14ac:dyDescent="0.25">
      <c r="A1834" s="94" t="s">
        <v>3532</v>
      </c>
      <c r="B1834" s="98">
        <v>72298</v>
      </c>
      <c r="C1834" s="98" t="s">
        <v>1052</v>
      </c>
      <c r="D1834" s="96" t="s">
        <v>161</v>
      </c>
      <c r="E1834" s="97">
        <v>100</v>
      </c>
      <c r="F1834" s="67">
        <f>IFERROR(IFERROR(INDEX(Кат!$A:$A,MATCH(Прайс!$B1834,Кат!$G:$G,0)),INDEX(Торг!$B:$B,MATCH(Прайс!$B1834,Торг!$H:$H,0))),"")</f>
        <v>133020</v>
      </c>
      <c r="G1834" s="67">
        <f>IFERROR(IFERROR(INDEX(Кат!$B:$B,MATCH(Прайс!$B1834,Кат!$G:$G,0)),INDEX(Торг!$C:$C,MATCH(Прайс!$B1834,Торг!$H:$H,0))),"")</f>
        <v>14089</v>
      </c>
      <c r="H1834" s="67" t="str">
        <f>IFERROR(IFERROR(INDEX(Кат!$I:$I,MATCH(Прайс!$B1834,Кат!$G:$G,0)),INDEX(Торг!$I:$I,MATCH(Прайс!$B1834,Торг!$H:$H,0))),"")</f>
        <v>кристал авто</v>
      </c>
    </row>
    <row r="1835" spans="1:8" x14ac:dyDescent="0.25">
      <c r="A1835" s="94" t="s">
        <v>3533</v>
      </c>
      <c r="B1835" s="98">
        <v>72294</v>
      </c>
      <c r="C1835" s="98" t="s">
        <v>1053</v>
      </c>
      <c r="D1835" s="96" t="s">
        <v>161</v>
      </c>
      <c r="E1835" s="97">
        <v>100</v>
      </c>
      <c r="F1835" s="67" t="str">
        <f>IFERROR(IFERROR(INDEX(Кат!$A:$A,MATCH(Прайс!$B1835,Кат!$G:$G,0)),INDEX(Торг!$B:$B,MATCH(Прайс!$B1835,Торг!$H:$H,0))),"")</f>
        <v/>
      </c>
      <c r="G1835" s="67" t="str">
        <f>IFERROR(IFERROR(INDEX(Кат!$B:$B,MATCH(Прайс!$B1835,Кат!$G:$G,0)),INDEX(Торг!$C:$C,MATCH(Прайс!$B1835,Торг!$H:$H,0))),"")</f>
        <v/>
      </c>
      <c r="H1835" s="67" t="str">
        <f>IFERROR(IFERROR(INDEX(Кат!$I:$I,MATCH(Прайс!$B1835,Кат!$G:$G,0)),INDEX(Торг!$I:$I,MATCH(Прайс!$B1835,Торг!$H:$H,0))),"")</f>
        <v/>
      </c>
    </row>
    <row r="1836" spans="1:8" x14ac:dyDescent="0.25">
      <c r="A1836" s="94" t="s">
        <v>3534</v>
      </c>
      <c r="B1836" s="98">
        <v>72296</v>
      </c>
      <c r="C1836" s="98" t="s">
        <v>8412</v>
      </c>
      <c r="D1836" s="96" t="s">
        <v>161</v>
      </c>
      <c r="E1836" s="97">
        <v>100</v>
      </c>
      <c r="F1836" s="67">
        <f>IFERROR(IFERROR(INDEX(Кат!$A:$A,MATCH(Прайс!$B1836,Кат!$G:$G,0)),INDEX(Торг!$B:$B,MATCH(Прайс!$B1836,Торг!$H:$H,0))),"")</f>
        <v>133013</v>
      </c>
      <c r="G1836" s="67">
        <f>IFERROR(IFERROR(INDEX(Кат!$B:$B,MATCH(Прайс!$B1836,Кат!$G:$G,0)),INDEX(Торг!$C:$C,MATCH(Прайс!$B1836,Торг!$H:$H,0))),"")</f>
        <v>14172</v>
      </c>
      <c r="H1836" s="67" t="str">
        <f>IFERROR(IFERROR(INDEX(Кат!$I:$I,MATCH(Прайс!$B1836,Кат!$G:$G,0)),INDEX(Торг!$I:$I,MATCH(Прайс!$B1836,Торг!$H:$H,0))),"")</f>
        <v>кристал авто</v>
      </c>
    </row>
    <row r="1837" spans="1:8" x14ac:dyDescent="0.25">
      <c r="A1837" s="94" t="s">
        <v>3535</v>
      </c>
      <c r="B1837" s="98">
        <v>72369</v>
      </c>
      <c r="C1837" s="98" t="s">
        <v>3536</v>
      </c>
      <c r="D1837" s="96" t="s">
        <v>161</v>
      </c>
      <c r="E1837" s="97">
        <v>135</v>
      </c>
      <c r="F1837" s="67" t="str">
        <f>IFERROR(IFERROR(INDEX(Кат!$A:$A,MATCH(Прайс!$B1837,Кат!$G:$G,0)),INDEX(Торг!$B:$B,MATCH(Прайс!$B1837,Торг!$H:$H,0))),"")</f>
        <v/>
      </c>
      <c r="G1837" s="67" t="str">
        <f>IFERROR(IFERROR(INDEX(Кат!$B:$B,MATCH(Прайс!$B1837,Кат!$G:$G,0)),INDEX(Торг!$C:$C,MATCH(Прайс!$B1837,Торг!$H:$H,0))),"")</f>
        <v/>
      </c>
      <c r="H1837" s="67" t="str">
        <f>IFERROR(IFERROR(INDEX(Кат!$I:$I,MATCH(Прайс!$B1837,Кат!$G:$G,0)),INDEX(Торг!$I:$I,MATCH(Прайс!$B1837,Торг!$H:$H,0))),"")</f>
        <v/>
      </c>
    </row>
    <row r="1838" spans="1:8" x14ac:dyDescent="0.25">
      <c r="A1838" s="94" t="s">
        <v>3537</v>
      </c>
      <c r="B1838" s="98">
        <v>71935</v>
      </c>
      <c r="C1838" s="98" t="s">
        <v>1054</v>
      </c>
      <c r="D1838" s="96" t="s">
        <v>161</v>
      </c>
      <c r="E1838" s="97">
        <v>130</v>
      </c>
      <c r="F1838" s="67">
        <f>IFERROR(IFERROR(INDEX(Кат!$A:$A,MATCH(Прайс!$B1838,Кат!$G:$G,0)),INDEX(Торг!$B:$B,MATCH(Прайс!$B1838,Торг!$H:$H,0))),"")</f>
        <v>131459</v>
      </c>
      <c r="G1838" s="67">
        <f>IFERROR(IFERROR(INDEX(Кат!$B:$B,MATCH(Прайс!$B1838,Кат!$G:$G,0)),INDEX(Торг!$C:$C,MATCH(Прайс!$B1838,Торг!$H:$H,0))),"")</f>
        <v>38362</v>
      </c>
      <c r="H1838" s="67" t="str">
        <f>IFERROR(IFERROR(INDEX(Кат!$I:$I,MATCH(Прайс!$B1838,Кат!$G:$G,0)),INDEX(Торг!$I:$I,MATCH(Прайс!$B1838,Торг!$H:$H,0))),"")</f>
        <v>кристал авто</v>
      </c>
    </row>
    <row r="1839" spans="1:8" x14ac:dyDescent="0.25">
      <c r="A1839" s="94" t="s">
        <v>3538</v>
      </c>
      <c r="B1839" s="98">
        <v>71927</v>
      </c>
      <c r="C1839" s="98" t="s">
        <v>1055</v>
      </c>
      <c r="D1839" s="96" t="s">
        <v>161</v>
      </c>
      <c r="E1839" s="97">
        <v>130</v>
      </c>
      <c r="F1839" s="67" t="str">
        <f>IFERROR(IFERROR(INDEX(Кат!$A:$A,MATCH(Прайс!$B1839,Кат!$G:$G,0)),INDEX(Торг!$B:$B,MATCH(Прайс!$B1839,Торг!$H:$H,0))),"")</f>
        <v/>
      </c>
      <c r="G1839" s="67" t="str">
        <f>IFERROR(IFERROR(INDEX(Кат!$B:$B,MATCH(Прайс!$B1839,Кат!$G:$G,0)),INDEX(Торг!$C:$C,MATCH(Прайс!$B1839,Торг!$H:$H,0))),"")</f>
        <v/>
      </c>
      <c r="H1839" s="67" t="str">
        <f>IFERROR(IFERROR(INDEX(Кат!$I:$I,MATCH(Прайс!$B1839,Кат!$G:$G,0)),INDEX(Торг!$I:$I,MATCH(Прайс!$B1839,Торг!$H:$H,0))),"")</f>
        <v/>
      </c>
    </row>
    <row r="1840" spans="1:8" x14ac:dyDescent="0.25">
      <c r="A1840" s="94" t="s">
        <v>3539</v>
      </c>
      <c r="B1840" s="98">
        <v>71933</v>
      </c>
      <c r="C1840" s="98" t="s">
        <v>1056</v>
      </c>
      <c r="D1840" s="96" t="s">
        <v>161</v>
      </c>
      <c r="E1840" s="97">
        <v>130</v>
      </c>
      <c r="F1840" s="67" t="str">
        <f>IFERROR(IFERROR(INDEX(Кат!$A:$A,MATCH(Прайс!$B1840,Кат!$G:$G,0)),INDEX(Торг!$B:$B,MATCH(Прайс!$B1840,Торг!$H:$H,0))),"")</f>
        <v/>
      </c>
      <c r="G1840" s="67" t="str">
        <f>IFERROR(IFERROR(INDEX(Кат!$B:$B,MATCH(Прайс!$B1840,Кат!$G:$G,0)),INDEX(Торг!$C:$C,MATCH(Прайс!$B1840,Торг!$H:$H,0))),"")</f>
        <v/>
      </c>
      <c r="H1840" s="67" t="str">
        <f>IFERROR(IFERROR(INDEX(Кат!$I:$I,MATCH(Прайс!$B1840,Кат!$G:$G,0)),INDEX(Торг!$I:$I,MATCH(Прайс!$B1840,Торг!$H:$H,0))),"")</f>
        <v/>
      </c>
    </row>
    <row r="1841" spans="1:8" x14ac:dyDescent="0.25">
      <c r="A1841" s="94" t="s">
        <v>3540</v>
      </c>
      <c r="B1841" s="98">
        <v>72233</v>
      </c>
      <c r="C1841" s="98" t="s">
        <v>1057</v>
      </c>
      <c r="D1841" s="96" t="s">
        <v>161</v>
      </c>
      <c r="E1841" s="97">
        <v>130</v>
      </c>
      <c r="F1841" s="67">
        <f>IFERROR(IFERROR(INDEX(Кат!$A:$A,MATCH(Прайс!$B1841,Кат!$G:$G,0)),INDEX(Торг!$B:$B,MATCH(Прайс!$B1841,Торг!$H:$H,0))),"")</f>
        <v>133008</v>
      </c>
      <c r="G1841" s="67">
        <f>IFERROR(IFERROR(INDEX(Кат!$B:$B,MATCH(Прайс!$B1841,Кат!$G:$G,0)),INDEX(Торг!$C:$C,MATCH(Прайс!$B1841,Торг!$H:$H,0))),"")</f>
        <v>17616</v>
      </c>
      <c r="H1841" s="67" t="str">
        <f>IFERROR(IFERROR(INDEX(Кат!$I:$I,MATCH(Прайс!$B1841,Кат!$G:$G,0)),INDEX(Торг!$I:$I,MATCH(Прайс!$B1841,Торг!$H:$H,0))),"")</f>
        <v>кристал авто</v>
      </c>
    </row>
    <row r="1842" spans="1:8" x14ac:dyDescent="0.25">
      <c r="A1842" s="94" t="s">
        <v>8567</v>
      </c>
      <c r="B1842" s="98">
        <v>72234</v>
      </c>
      <c r="C1842" s="98" t="s">
        <v>8568</v>
      </c>
      <c r="D1842" s="96" t="s">
        <v>161</v>
      </c>
      <c r="E1842" s="97">
        <v>130</v>
      </c>
      <c r="F1842" s="67" t="str">
        <f>IFERROR(IFERROR(INDEX(Кат!$A:$A,MATCH(Прайс!$B1842,Кат!$G:$G,0)),INDEX(Торг!$B:$B,MATCH(Прайс!$B1842,Торг!$H:$H,0))),"")</f>
        <v/>
      </c>
      <c r="G1842" s="67" t="str">
        <f>IFERROR(IFERROR(INDEX(Кат!$B:$B,MATCH(Прайс!$B1842,Кат!$G:$G,0)),INDEX(Торг!$C:$C,MATCH(Прайс!$B1842,Торг!$H:$H,0))),"")</f>
        <v/>
      </c>
      <c r="H1842" s="67" t="str">
        <f>IFERROR(IFERROR(INDEX(Кат!$I:$I,MATCH(Прайс!$B1842,Кат!$G:$G,0)),INDEX(Торг!$I:$I,MATCH(Прайс!$B1842,Торг!$H:$H,0))),"")</f>
        <v/>
      </c>
    </row>
    <row r="1843" spans="1:8" x14ac:dyDescent="0.25">
      <c r="A1843" s="94" t="s">
        <v>3541</v>
      </c>
      <c r="B1843" s="98">
        <v>71923</v>
      </c>
      <c r="C1843" s="98" t="s">
        <v>1058</v>
      </c>
      <c r="D1843" s="96" t="s">
        <v>161</v>
      </c>
      <c r="E1843" s="97">
        <v>130</v>
      </c>
      <c r="F1843" s="67" t="str">
        <f>IFERROR(IFERROR(INDEX(Кат!$A:$A,MATCH(Прайс!$B1843,Кат!$G:$G,0)),INDEX(Торг!$B:$B,MATCH(Прайс!$B1843,Торг!$H:$H,0))),"")</f>
        <v/>
      </c>
      <c r="G1843" s="67" t="str">
        <f>IFERROR(IFERROR(INDEX(Кат!$B:$B,MATCH(Прайс!$B1843,Кат!$G:$G,0)),INDEX(Торг!$C:$C,MATCH(Прайс!$B1843,Торг!$H:$H,0))),"")</f>
        <v/>
      </c>
      <c r="H1843" s="67" t="str">
        <f>IFERROR(IFERROR(INDEX(Кат!$I:$I,MATCH(Прайс!$B1843,Кат!$G:$G,0)),INDEX(Торг!$I:$I,MATCH(Прайс!$B1843,Торг!$H:$H,0))),"")</f>
        <v/>
      </c>
    </row>
    <row r="1844" spans="1:8" x14ac:dyDescent="0.25">
      <c r="A1844" s="94" t="s">
        <v>3542</v>
      </c>
      <c r="B1844" s="98">
        <v>71920</v>
      </c>
      <c r="C1844" s="98" t="s">
        <v>1059</v>
      </c>
      <c r="D1844" s="96" t="s">
        <v>161</v>
      </c>
      <c r="E1844" s="97">
        <v>130</v>
      </c>
      <c r="F1844" s="67">
        <f>IFERROR(IFERROR(INDEX(Кат!$A:$A,MATCH(Прайс!$B1844,Кат!$G:$G,0)),INDEX(Торг!$B:$B,MATCH(Прайс!$B1844,Торг!$H:$H,0))),"")</f>
        <v>131460</v>
      </c>
      <c r="G1844" s="67">
        <f>IFERROR(IFERROR(INDEX(Кат!$B:$B,MATCH(Прайс!$B1844,Кат!$G:$G,0)),INDEX(Торг!$C:$C,MATCH(Прайс!$B1844,Торг!$H:$H,0))),"")</f>
        <v>38361</v>
      </c>
      <c r="H1844" s="67" t="str">
        <f>IFERROR(IFERROR(INDEX(Кат!$I:$I,MATCH(Прайс!$B1844,Кат!$G:$G,0)),INDEX(Торг!$I:$I,MATCH(Прайс!$B1844,Торг!$H:$H,0))),"")</f>
        <v>кристал авто</v>
      </c>
    </row>
    <row r="1845" spans="1:8" x14ac:dyDescent="0.25">
      <c r="A1845" s="94" t="s">
        <v>3543</v>
      </c>
      <c r="B1845" s="98">
        <v>71930</v>
      </c>
      <c r="C1845" s="98" t="s">
        <v>1060</v>
      </c>
      <c r="D1845" s="96" t="s">
        <v>161</v>
      </c>
      <c r="E1845" s="97">
        <v>130</v>
      </c>
      <c r="F1845" s="67" t="str">
        <f>IFERROR(IFERROR(INDEX(Кат!$A:$A,MATCH(Прайс!$B1845,Кат!$G:$G,0)),INDEX(Торг!$B:$B,MATCH(Прайс!$B1845,Торг!$H:$H,0))),"")</f>
        <v/>
      </c>
      <c r="G1845" s="67" t="str">
        <f>IFERROR(IFERROR(INDEX(Кат!$B:$B,MATCH(Прайс!$B1845,Кат!$G:$G,0)),INDEX(Торг!$C:$C,MATCH(Прайс!$B1845,Торг!$H:$H,0))),"")</f>
        <v/>
      </c>
      <c r="H1845" s="67" t="str">
        <f>IFERROR(IFERROR(INDEX(Кат!$I:$I,MATCH(Прайс!$B1845,Кат!$G:$G,0)),INDEX(Торг!$I:$I,MATCH(Прайс!$B1845,Торг!$H:$H,0))),"")</f>
        <v/>
      </c>
    </row>
    <row r="1846" spans="1:8" x14ac:dyDescent="0.25">
      <c r="A1846" s="94" t="s">
        <v>3544</v>
      </c>
      <c r="B1846" s="98">
        <v>72237</v>
      </c>
      <c r="C1846" s="98" t="s">
        <v>1061</v>
      </c>
      <c r="D1846" s="96" t="s">
        <v>161</v>
      </c>
      <c r="E1846" s="97">
        <v>130</v>
      </c>
      <c r="F1846" s="67">
        <f>IFERROR(IFERROR(INDEX(Кат!$A:$A,MATCH(Прайс!$B1846,Кат!$G:$G,0)),INDEX(Торг!$B:$B,MATCH(Прайс!$B1846,Торг!$H:$H,0))),"")</f>
        <v>133007</v>
      </c>
      <c r="G1846" s="67">
        <f>IFERROR(IFERROR(INDEX(Кат!$B:$B,MATCH(Прайс!$B1846,Кат!$G:$G,0)),INDEX(Торг!$C:$C,MATCH(Прайс!$B1846,Торг!$H:$H,0))),"")</f>
        <v>17617</v>
      </c>
      <c r="H1846" s="67" t="str">
        <f>IFERROR(IFERROR(INDEX(Кат!$I:$I,MATCH(Прайс!$B1846,Кат!$G:$G,0)),INDEX(Торг!$I:$I,MATCH(Прайс!$B1846,Торг!$H:$H,0))),"")</f>
        <v>кристал авто</v>
      </c>
    </row>
    <row r="1847" spans="1:8" x14ac:dyDescent="0.25">
      <c r="A1847" s="94" t="s">
        <v>3545</v>
      </c>
      <c r="B1847" s="98">
        <v>71928</v>
      </c>
      <c r="C1847" s="98" t="s">
        <v>1062</v>
      </c>
      <c r="D1847" s="96" t="s">
        <v>161</v>
      </c>
      <c r="E1847" s="97">
        <v>130</v>
      </c>
      <c r="F1847" s="67" t="str">
        <f>IFERROR(IFERROR(INDEX(Кат!$A:$A,MATCH(Прайс!$B1847,Кат!$G:$G,0)),INDEX(Торг!$B:$B,MATCH(Прайс!$B1847,Торг!$H:$H,0))),"")</f>
        <v/>
      </c>
      <c r="G1847" s="67" t="str">
        <f>IFERROR(IFERROR(INDEX(Кат!$B:$B,MATCH(Прайс!$B1847,Кат!$G:$G,0)),INDEX(Торг!$C:$C,MATCH(Прайс!$B1847,Торг!$H:$H,0))),"")</f>
        <v/>
      </c>
      <c r="H1847" s="67" t="str">
        <f>IFERROR(IFERROR(INDEX(Кат!$I:$I,MATCH(Прайс!$B1847,Кат!$G:$G,0)),INDEX(Торг!$I:$I,MATCH(Прайс!$B1847,Торг!$H:$H,0))),"")</f>
        <v/>
      </c>
    </row>
    <row r="1848" spans="1:8" x14ac:dyDescent="0.25">
      <c r="A1848" s="94" t="s">
        <v>3546</v>
      </c>
      <c r="B1848" s="98">
        <v>71932</v>
      </c>
      <c r="C1848" s="98" t="s">
        <v>1063</v>
      </c>
      <c r="D1848" s="96" t="s">
        <v>161</v>
      </c>
      <c r="E1848" s="97">
        <v>130</v>
      </c>
      <c r="F1848" s="67">
        <f>IFERROR(IFERROR(INDEX(Кат!$A:$A,MATCH(Прайс!$B1848,Кат!$G:$G,0)),INDEX(Торг!$B:$B,MATCH(Прайс!$B1848,Торг!$H:$H,0))),"")</f>
        <v>131461</v>
      </c>
      <c r="G1848" s="67">
        <f>IFERROR(IFERROR(INDEX(Кат!$B:$B,MATCH(Прайс!$B1848,Кат!$G:$G,0)),INDEX(Торг!$C:$C,MATCH(Прайс!$B1848,Торг!$H:$H,0))),"")</f>
        <v>38364</v>
      </c>
      <c r="H1848" s="67" t="str">
        <f>IFERROR(IFERROR(INDEX(Кат!$I:$I,MATCH(Прайс!$B1848,Кат!$G:$G,0)),INDEX(Торг!$I:$I,MATCH(Прайс!$B1848,Торг!$H:$H,0))),"")</f>
        <v>кристал авто</v>
      </c>
    </row>
    <row r="1849" spans="1:8" x14ac:dyDescent="0.25">
      <c r="A1849" s="94" t="s">
        <v>3547</v>
      </c>
      <c r="B1849" s="98">
        <v>71924</v>
      </c>
      <c r="C1849" s="98" t="s">
        <v>1064</v>
      </c>
      <c r="D1849" s="96" t="s">
        <v>161</v>
      </c>
      <c r="E1849" s="97">
        <v>130</v>
      </c>
      <c r="F1849" s="67" t="str">
        <f>IFERROR(IFERROR(INDEX(Кат!$A:$A,MATCH(Прайс!$B1849,Кат!$G:$G,0)),INDEX(Торг!$B:$B,MATCH(Прайс!$B1849,Торг!$H:$H,0))),"")</f>
        <v/>
      </c>
      <c r="G1849" s="67" t="str">
        <f>IFERROR(IFERROR(INDEX(Кат!$B:$B,MATCH(Прайс!$B1849,Кат!$G:$G,0)),INDEX(Торг!$C:$C,MATCH(Прайс!$B1849,Торг!$H:$H,0))),"")</f>
        <v/>
      </c>
      <c r="H1849" s="67" t="str">
        <f>IFERROR(IFERROR(INDEX(Кат!$I:$I,MATCH(Прайс!$B1849,Кат!$G:$G,0)),INDEX(Торг!$I:$I,MATCH(Прайс!$B1849,Торг!$H:$H,0))),"")</f>
        <v/>
      </c>
    </row>
    <row r="1850" spans="1:8" x14ac:dyDescent="0.25">
      <c r="A1850" s="94" t="s">
        <v>3548</v>
      </c>
      <c r="B1850" s="98">
        <v>72240</v>
      </c>
      <c r="C1850" s="98" t="s">
        <v>3549</v>
      </c>
      <c r="D1850" s="96" t="s">
        <v>161</v>
      </c>
      <c r="E1850" s="97">
        <v>130</v>
      </c>
      <c r="F1850" s="67">
        <f>IFERROR(IFERROR(INDEX(Кат!$A:$A,MATCH(Прайс!$B1850,Кат!$G:$G,0)),INDEX(Торг!$B:$B,MATCH(Прайс!$B1850,Торг!$H:$H,0))),"")</f>
        <v>133009</v>
      </c>
      <c r="G1850" s="67">
        <f>IFERROR(IFERROR(INDEX(Кат!$B:$B,MATCH(Прайс!$B1850,Кат!$G:$G,0)),INDEX(Торг!$C:$C,MATCH(Прайс!$B1850,Торг!$H:$H,0))),"")</f>
        <v>17614</v>
      </c>
      <c r="H1850" s="67" t="str">
        <f>IFERROR(IFERROR(INDEX(Кат!$I:$I,MATCH(Прайс!$B1850,Кат!$G:$G,0)),INDEX(Торг!$I:$I,MATCH(Прайс!$B1850,Торг!$H:$H,0))),"")</f>
        <v>кристал авто</v>
      </c>
    </row>
    <row r="1851" spans="1:8" x14ac:dyDescent="0.25">
      <c r="A1851" s="94" t="s">
        <v>3550</v>
      </c>
      <c r="B1851" s="98">
        <v>71934</v>
      </c>
      <c r="C1851" s="98" t="s">
        <v>1065</v>
      </c>
      <c r="D1851" s="96" t="s">
        <v>161</v>
      </c>
      <c r="E1851" s="97">
        <v>130</v>
      </c>
      <c r="F1851" s="67" t="str">
        <f>IFERROR(IFERROR(INDEX(Кат!$A:$A,MATCH(Прайс!$B1851,Кат!$G:$G,0)),INDEX(Торг!$B:$B,MATCH(Прайс!$B1851,Торг!$H:$H,0))),"")</f>
        <v/>
      </c>
      <c r="G1851" s="67" t="str">
        <f>IFERROR(IFERROR(INDEX(Кат!$B:$B,MATCH(Прайс!$B1851,Кат!$G:$G,0)),INDEX(Торг!$C:$C,MATCH(Прайс!$B1851,Торг!$H:$H,0))),"")</f>
        <v/>
      </c>
      <c r="H1851" s="67" t="str">
        <f>IFERROR(IFERROR(INDEX(Кат!$I:$I,MATCH(Прайс!$B1851,Кат!$G:$G,0)),INDEX(Торг!$I:$I,MATCH(Прайс!$B1851,Торг!$H:$H,0))),"")</f>
        <v/>
      </c>
    </row>
    <row r="1852" spans="1:8" x14ac:dyDescent="0.25">
      <c r="A1852" s="94" t="s">
        <v>3551</v>
      </c>
      <c r="B1852" s="98">
        <v>71926</v>
      </c>
      <c r="C1852" s="98" t="s">
        <v>1066</v>
      </c>
      <c r="D1852" s="96" t="s">
        <v>161</v>
      </c>
      <c r="E1852" s="97">
        <v>130</v>
      </c>
      <c r="F1852" s="67" t="str">
        <f>IFERROR(IFERROR(INDEX(Кат!$A:$A,MATCH(Прайс!$B1852,Кат!$G:$G,0)),INDEX(Торг!$B:$B,MATCH(Прайс!$B1852,Торг!$H:$H,0))),"")</f>
        <v/>
      </c>
      <c r="G1852" s="67" t="str">
        <f>IFERROR(IFERROR(INDEX(Кат!$B:$B,MATCH(Прайс!$B1852,Кат!$G:$G,0)),INDEX(Торг!$C:$C,MATCH(Прайс!$B1852,Торг!$H:$H,0))),"")</f>
        <v/>
      </c>
      <c r="H1852" s="67" t="str">
        <f>IFERROR(IFERROR(INDEX(Кат!$I:$I,MATCH(Прайс!$B1852,Кат!$G:$G,0)),INDEX(Торг!$I:$I,MATCH(Прайс!$B1852,Торг!$H:$H,0))),"")</f>
        <v/>
      </c>
    </row>
    <row r="1853" spans="1:8" x14ac:dyDescent="0.25">
      <c r="A1853" s="94" t="s">
        <v>3552</v>
      </c>
      <c r="B1853" s="98">
        <v>71929</v>
      </c>
      <c r="C1853" s="98" t="s">
        <v>1067</v>
      </c>
      <c r="D1853" s="96" t="s">
        <v>161</v>
      </c>
      <c r="E1853" s="97">
        <v>130</v>
      </c>
      <c r="F1853" s="67" t="str">
        <f>IFERROR(IFERROR(INDEX(Кат!$A:$A,MATCH(Прайс!$B1853,Кат!$G:$G,0)),INDEX(Торг!$B:$B,MATCH(Прайс!$B1853,Торг!$H:$H,0))),"")</f>
        <v/>
      </c>
      <c r="G1853" s="67" t="str">
        <f>IFERROR(IFERROR(INDEX(Кат!$B:$B,MATCH(Прайс!$B1853,Кат!$G:$G,0)),INDEX(Торг!$C:$C,MATCH(Прайс!$B1853,Торг!$H:$H,0))),"")</f>
        <v/>
      </c>
      <c r="H1853" s="67" t="str">
        <f>IFERROR(IFERROR(INDEX(Кат!$I:$I,MATCH(Прайс!$B1853,Кат!$G:$G,0)),INDEX(Торг!$I:$I,MATCH(Прайс!$B1853,Торг!$H:$H,0))),"")</f>
        <v/>
      </c>
    </row>
    <row r="1854" spans="1:8" x14ac:dyDescent="0.25">
      <c r="A1854" s="94" t="s">
        <v>3553</v>
      </c>
      <c r="B1854" s="98">
        <v>71922</v>
      </c>
      <c r="C1854" s="98" t="s">
        <v>1068</v>
      </c>
      <c r="D1854" s="96" t="s">
        <v>161</v>
      </c>
      <c r="E1854" s="97">
        <v>130</v>
      </c>
      <c r="F1854" s="67" t="str">
        <f>IFERROR(IFERROR(INDEX(Кат!$A:$A,MATCH(Прайс!$B1854,Кат!$G:$G,0)),INDEX(Торг!$B:$B,MATCH(Прайс!$B1854,Торг!$H:$H,0))),"")</f>
        <v/>
      </c>
      <c r="G1854" s="67" t="str">
        <f>IFERROR(IFERROR(INDEX(Кат!$B:$B,MATCH(Прайс!$B1854,Кат!$G:$G,0)),INDEX(Торг!$C:$C,MATCH(Прайс!$B1854,Торг!$H:$H,0))),"")</f>
        <v/>
      </c>
      <c r="H1854" s="67" t="str">
        <f>IFERROR(IFERROR(INDEX(Кат!$I:$I,MATCH(Прайс!$B1854,Кат!$G:$G,0)),INDEX(Торг!$I:$I,MATCH(Прайс!$B1854,Торг!$H:$H,0))),"")</f>
        <v/>
      </c>
    </row>
    <row r="1855" spans="1:8" x14ac:dyDescent="0.25">
      <c r="A1855" s="94" t="s">
        <v>3554</v>
      </c>
      <c r="B1855" s="98">
        <v>71925</v>
      </c>
      <c r="C1855" s="98" t="s">
        <v>1069</v>
      </c>
      <c r="D1855" s="96" t="s">
        <v>161</v>
      </c>
      <c r="E1855" s="97">
        <v>130</v>
      </c>
      <c r="F1855" s="67">
        <f>IFERROR(IFERROR(INDEX(Кат!$A:$A,MATCH(Прайс!$B1855,Кат!$G:$G,0)),INDEX(Торг!$B:$B,MATCH(Прайс!$B1855,Торг!$H:$H,0))),"")</f>
        <v>131462</v>
      </c>
      <c r="G1855" s="67">
        <f>IFERROR(IFERROR(INDEX(Кат!$B:$B,MATCH(Прайс!$B1855,Кат!$G:$G,0)),INDEX(Торг!$C:$C,MATCH(Прайс!$B1855,Торг!$H:$H,0))),"")</f>
        <v>38360</v>
      </c>
      <c r="H1855" s="67" t="str">
        <f>IFERROR(IFERROR(INDEX(Кат!$I:$I,MATCH(Прайс!$B1855,Кат!$G:$G,0)),INDEX(Торг!$I:$I,MATCH(Прайс!$B1855,Торг!$H:$H,0))),"")</f>
        <v>кристал авто</v>
      </c>
    </row>
    <row r="1856" spans="1:8" x14ac:dyDescent="0.25">
      <c r="A1856" s="94" t="s">
        <v>3555</v>
      </c>
      <c r="B1856" s="98">
        <v>72235</v>
      </c>
      <c r="C1856" s="98" t="s">
        <v>1070</v>
      </c>
      <c r="D1856" s="96" t="s">
        <v>161</v>
      </c>
      <c r="E1856" s="97">
        <v>130</v>
      </c>
      <c r="F1856" s="67">
        <f>IFERROR(IFERROR(INDEX(Кат!$A:$A,MATCH(Прайс!$B1856,Кат!$G:$G,0)),INDEX(Торг!$B:$B,MATCH(Прайс!$B1856,Торг!$H:$H,0))),"")</f>
        <v>133010</v>
      </c>
      <c r="G1856" s="67">
        <f>IFERROR(IFERROR(INDEX(Кат!$B:$B,MATCH(Прайс!$B1856,Кат!$G:$G,0)),INDEX(Торг!$C:$C,MATCH(Прайс!$B1856,Торг!$H:$H,0))),"")</f>
        <v>17613</v>
      </c>
      <c r="H1856" s="67" t="str">
        <f>IFERROR(IFERROR(INDEX(Кат!$I:$I,MATCH(Прайс!$B1856,Кат!$G:$G,0)),INDEX(Торг!$I:$I,MATCH(Прайс!$B1856,Торг!$H:$H,0))),"")</f>
        <v>кристал авто</v>
      </c>
    </row>
    <row r="1857" spans="1:8" x14ac:dyDescent="0.25">
      <c r="A1857" s="94" t="s">
        <v>3556</v>
      </c>
      <c r="B1857" s="98">
        <v>72236</v>
      </c>
      <c r="C1857" s="98" t="s">
        <v>1071</v>
      </c>
      <c r="D1857" s="96" t="s">
        <v>161</v>
      </c>
      <c r="E1857" s="97">
        <v>130</v>
      </c>
      <c r="F1857" s="67" t="str">
        <f>IFERROR(IFERROR(INDEX(Кат!$A:$A,MATCH(Прайс!$B1857,Кат!$G:$G,0)),INDEX(Торг!$B:$B,MATCH(Прайс!$B1857,Торг!$H:$H,0))),"")</f>
        <v/>
      </c>
      <c r="G1857" s="67" t="str">
        <f>IFERROR(IFERROR(INDEX(Кат!$B:$B,MATCH(Прайс!$B1857,Кат!$G:$G,0)),INDEX(Торг!$C:$C,MATCH(Прайс!$B1857,Торг!$H:$H,0))),"")</f>
        <v/>
      </c>
      <c r="H1857" s="67" t="str">
        <f>IFERROR(IFERROR(INDEX(Кат!$I:$I,MATCH(Прайс!$B1857,Кат!$G:$G,0)),INDEX(Торг!$I:$I,MATCH(Прайс!$B1857,Торг!$H:$H,0))),"")</f>
        <v/>
      </c>
    </row>
    <row r="1858" spans="1:8" x14ac:dyDescent="0.25">
      <c r="A1858" s="94" t="s">
        <v>3557</v>
      </c>
      <c r="B1858" s="98">
        <v>72239</v>
      </c>
      <c r="C1858" s="98" t="s">
        <v>1072</v>
      </c>
      <c r="D1858" s="96" t="s">
        <v>161</v>
      </c>
      <c r="E1858" s="97">
        <v>130</v>
      </c>
      <c r="F1858" s="67">
        <f>IFERROR(IFERROR(INDEX(Кат!$A:$A,MATCH(Прайс!$B1858,Кат!$G:$G,0)),INDEX(Торг!$B:$B,MATCH(Прайс!$B1858,Торг!$H:$H,0))),"")</f>
        <v>133011</v>
      </c>
      <c r="G1858" s="67">
        <f>IFERROR(IFERROR(INDEX(Кат!$B:$B,MATCH(Прайс!$B1858,Кат!$G:$G,0)),INDEX(Торг!$C:$C,MATCH(Прайс!$B1858,Торг!$H:$H,0))),"")</f>
        <v>17615</v>
      </c>
      <c r="H1858" s="67" t="str">
        <f>IFERROR(IFERROR(INDEX(Кат!$I:$I,MATCH(Прайс!$B1858,Кат!$G:$G,0)),INDEX(Торг!$I:$I,MATCH(Прайс!$B1858,Торг!$H:$H,0))),"")</f>
        <v>кристал авто</v>
      </c>
    </row>
    <row r="1859" spans="1:8" x14ac:dyDescent="0.25">
      <c r="A1859" s="94" t="s">
        <v>3558</v>
      </c>
      <c r="B1859" s="98">
        <v>71931</v>
      </c>
      <c r="C1859" s="98" t="s">
        <v>1073</v>
      </c>
      <c r="D1859" s="96" t="s">
        <v>161</v>
      </c>
      <c r="E1859" s="97">
        <v>130</v>
      </c>
      <c r="F1859" s="67" t="str">
        <f>IFERROR(IFERROR(INDEX(Кат!$A:$A,MATCH(Прайс!$B1859,Кат!$G:$G,0)),INDEX(Торг!$B:$B,MATCH(Прайс!$B1859,Торг!$H:$H,0))),"")</f>
        <v/>
      </c>
      <c r="G1859" s="67" t="str">
        <f>IFERROR(IFERROR(INDEX(Кат!$B:$B,MATCH(Прайс!$B1859,Кат!$G:$G,0)),INDEX(Торг!$C:$C,MATCH(Прайс!$B1859,Торг!$H:$H,0))),"")</f>
        <v/>
      </c>
      <c r="H1859" s="67" t="str">
        <f>IFERROR(IFERROR(INDEX(Кат!$I:$I,MATCH(Прайс!$B1859,Кат!$G:$G,0)),INDEX(Торг!$I:$I,MATCH(Прайс!$B1859,Торг!$H:$H,0))),"")</f>
        <v/>
      </c>
    </row>
    <row r="1860" spans="1:8" x14ac:dyDescent="0.25">
      <c r="A1860" s="103" t="s">
        <v>3559</v>
      </c>
      <c r="B1860" s="104">
        <v>72063</v>
      </c>
      <c r="C1860" s="104" t="s">
        <v>1074</v>
      </c>
      <c r="D1860" s="105" t="s">
        <v>161</v>
      </c>
      <c r="E1860" s="113">
        <v>140</v>
      </c>
      <c r="F1860" s="67" t="str">
        <f>IFERROR(IFERROR(INDEX(Кат!$A:$A,MATCH(Прайс!$B1860,Кат!$G:$G,0)),INDEX(Торг!$B:$B,MATCH(Прайс!$B1860,Торг!$H:$H,0))),"")</f>
        <v/>
      </c>
      <c r="G1860" s="67" t="str">
        <f>IFERROR(IFERROR(INDEX(Кат!$B:$B,MATCH(Прайс!$B1860,Кат!$G:$G,0)),INDEX(Торг!$C:$C,MATCH(Прайс!$B1860,Торг!$H:$H,0))),"")</f>
        <v/>
      </c>
      <c r="H1860" s="67" t="str">
        <f>IFERROR(IFERROR(INDEX(Кат!$I:$I,MATCH(Прайс!$B1860,Кат!$G:$G,0)),INDEX(Торг!$I:$I,MATCH(Прайс!$B1860,Торг!$H:$H,0))),"")</f>
        <v/>
      </c>
    </row>
    <row r="1861" spans="1:8" x14ac:dyDescent="0.25">
      <c r="A1861" s="103" t="s">
        <v>3560</v>
      </c>
      <c r="B1861" s="104">
        <v>72094</v>
      </c>
      <c r="C1861" s="104" t="s">
        <v>1075</v>
      </c>
      <c r="D1861" s="105" t="s">
        <v>161</v>
      </c>
      <c r="E1861" s="113">
        <v>140</v>
      </c>
      <c r="F1861" s="67" t="str">
        <f>IFERROR(IFERROR(INDEX(Кат!$A:$A,MATCH(Прайс!$B1861,Кат!$G:$G,0)),INDEX(Торг!$B:$B,MATCH(Прайс!$B1861,Торг!$H:$H,0))),"")</f>
        <v/>
      </c>
      <c r="G1861" s="67" t="str">
        <f>IFERROR(IFERROR(INDEX(Кат!$B:$B,MATCH(Прайс!$B1861,Кат!$G:$G,0)),INDEX(Торг!$C:$C,MATCH(Прайс!$B1861,Торг!$H:$H,0))),"")</f>
        <v/>
      </c>
      <c r="H1861" s="67" t="str">
        <f>IFERROR(IFERROR(INDEX(Кат!$I:$I,MATCH(Прайс!$B1861,Кат!$G:$G,0)),INDEX(Торг!$I:$I,MATCH(Прайс!$B1861,Торг!$H:$H,0))),"")</f>
        <v/>
      </c>
    </row>
    <row r="1862" spans="1:8" x14ac:dyDescent="0.25">
      <c r="A1862" s="103" t="s">
        <v>3561</v>
      </c>
      <c r="B1862" s="104">
        <v>72096</v>
      </c>
      <c r="C1862" s="104" t="s">
        <v>1076</v>
      </c>
      <c r="D1862" s="105" t="s">
        <v>161</v>
      </c>
      <c r="E1862" s="113">
        <v>140</v>
      </c>
      <c r="F1862" s="67" t="str">
        <f>IFERROR(IFERROR(INDEX(Кат!$A:$A,MATCH(Прайс!$B1862,Кат!$G:$G,0)),INDEX(Торг!$B:$B,MATCH(Прайс!$B1862,Торг!$H:$H,0))),"")</f>
        <v/>
      </c>
      <c r="G1862" s="67" t="str">
        <f>IFERROR(IFERROR(INDEX(Кат!$B:$B,MATCH(Прайс!$B1862,Кат!$G:$G,0)),INDEX(Торг!$C:$C,MATCH(Прайс!$B1862,Торг!$H:$H,0))),"")</f>
        <v/>
      </c>
      <c r="H1862" s="67" t="str">
        <f>IFERROR(IFERROR(INDEX(Кат!$I:$I,MATCH(Прайс!$B1862,Кат!$G:$G,0)),INDEX(Торг!$I:$I,MATCH(Прайс!$B1862,Торг!$H:$H,0))),"")</f>
        <v/>
      </c>
    </row>
    <row r="1863" spans="1:8" x14ac:dyDescent="0.25">
      <c r="A1863" s="103" t="s">
        <v>3562</v>
      </c>
      <c r="B1863" s="104">
        <v>72097</v>
      </c>
      <c r="C1863" s="104" t="s">
        <v>1077</v>
      </c>
      <c r="D1863" s="105" t="s">
        <v>161</v>
      </c>
      <c r="E1863" s="113">
        <v>140</v>
      </c>
      <c r="F1863" s="67" t="str">
        <f>IFERROR(IFERROR(INDEX(Кат!$A:$A,MATCH(Прайс!$B1863,Кат!$G:$G,0)),INDEX(Торг!$B:$B,MATCH(Прайс!$B1863,Торг!$H:$H,0))),"")</f>
        <v/>
      </c>
      <c r="G1863" s="67" t="str">
        <f>IFERROR(IFERROR(INDEX(Кат!$B:$B,MATCH(Прайс!$B1863,Кат!$G:$G,0)),INDEX(Торг!$C:$C,MATCH(Прайс!$B1863,Торг!$H:$H,0))),"")</f>
        <v/>
      </c>
      <c r="H1863" s="67" t="str">
        <f>IFERROR(IFERROR(INDEX(Кат!$I:$I,MATCH(Прайс!$B1863,Кат!$G:$G,0)),INDEX(Торг!$I:$I,MATCH(Прайс!$B1863,Торг!$H:$H,0))),"")</f>
        <v/>
      </c>
    </row>
    <row r="1864" spans="1:8" x14ac:dyDescent="0.25">
      <c r="A1864" s="103" t="s">
        <v>3563</v>
      </c>
      <c r="B1864" s="104">
        <v>72095</v>
      </c>
      <c r="C1864" s="104" t="s">
        <v>1078</v>
      </c>
      <c r="D1864" s="105" t="s">
        <v>161</v>
      </c>
      <c r="E1864" s="113">
        <v>140</v>
      </c>
      <c r="F1864" s="67" t="str">
        <f>IFERROR(IFERROR(INDEX(Кат!$A:$A,MATCH(Прайс!$B1864,Кат!$G:$G,0)),INDEX(Торг!$B:$B,MATCH(Прайс!$B1864,Торг!$H:$H,0))),"")</f>
        <v/>
      </c>
      <c r="G1864" s="67" t="str">
        <f>IFERROR(IFERROR(INDEX(Кат!$B:$B,MATCH(Прайс!$B1864,Кат!$G:$G,0)),INDEX(Торг!$C:$C,MATCH(Прайс!$B1864,Торг!$H:$H,0))),"")</f>
        <v/>
      </c>
      <c r="H1864" s="67" t="str">
        <f>IFERROR(IFERROR(INDEX(Кат!$I:$I,MATCH(Прайс!$B1864,Кат!$G:$G,0)),INDEX(Торг!$I:$I,MATCH(Прайс!$B1864,Торг!$H:$H,0))),"")</f>
        <v/>
      </c>
    </row>
    <row r="1865" spans="1:8" x14ac:dyDescent="0.25">
      <c r="A1865" s="103" t="s">
        <v>3564</v>
      </c>
      <c r="B1865" s="104">
        <v>72067</v>
      </c>
      <c r="C1865" s="104" t="s">
        <v>1079</v>
      </c>
      <c r="D1865" s="105" t="s">
        <v>161</v>
      </c>
      <c r="E1865" s="113">
        <v>140</v>
      </c>
      <c r="F1865" s="67" t="str">
        <f>IFERROR(IFERROR(INDEX(Кат!$A:$A,MATCH(Прайс!$B1865,Кат!$G:$G,0)),INDEX(Торг!$B:$B,MATCH(Прайс!$B1865,Торг!$H:$H,0))),"")</f>
        <v/>
      </c>
      <c r="G1865" s="67" t="str">
        <f>IFERROR(IFERROR(INDEX(Кат!$B:$B,MATCH(Прайс!$B1865,Кат!$G:$G,0)),INDEX(Торг!$C:$C,MATCH(Прайс!$B1865,Торг!$H:$H,0))),"")</f>
        <v/>
      </c>
      <c r="H1865" s="67" t="str">
        <f>IFERROR(IFERROR(INDEX(Кат!$I:$I,MATCH(Прайс!$B1865,Кат!$G:$G,0)),INDEX(Торг!$I:$I,MATCH(Прайс!$B1865,Торг!$H:$H,0))),"")</f>
        <v/>
      </c>
    </row>
    <row r="1866" spans="1:8" x14ac:dyDescent="0.25">
      <c r="A1866" s="103" t="s">
        <v>3565</v>
      </c>
      <c r="B1866" s="104">
        <v>72086</v>
      </c>
      <c r="C1866" s="104" t="s">
        <v>1080</v>
      </c>
      <c r="D1866" s="105" t="s">
        <v>161</v>
      </c>
      <c r="E1866" s="113">
        <v>140</v>
      </c>
      <c r="F1866" s="67" t="str">
        <f>IFERROR(IFERROR(INDEX(Кат!$A:$A,MATCH(Прайс!$B1866,Кат!$G:$G,0)),INDEX(Торг!$B:$B,MATCH(Прайс!$B1866,Торг!$H:$H,0))),"")</f>
        <v/>
      </c>
      <c r="G1866" s="67" t="str">
        <f>IFERROR(IFERROR(INDEX(Кат!$B:$B,MATCH(Прайс!$B1866,Кат!$G:$G,0)),INDEX(Торг!$C:$C,MATCH(Прайс!$B1866,Торг!$H:$H,0))),"")</f>
        <v/>
      </c>
      <c r="H1866" s="67" t="str">
        <f>IFERROR(IFERROR(INDEX(Кат!$I:$I,MATCH(Прайс!$B1866,Кат!$G:$G,0)),INDEX(Торг!$I:$I,MATCH(Прайс!$B1866,Торг!$H:$H,0))),"")</f>
        <v/>
      </c>
    </row>
    <row r="1867" spans="1:8" x14ac:dyDescent="0.25">
      <c r="A1867" s="103" t="s">
        <v>3566</v>
      </c>
      <c r="B1867" s="104">
        <v>72064</v>
      </c>
      <c r="C1867" s="104" t="s">
        <v>1081</v>
      </c>
      <c r="D1867" s="105" t="s">
        <v>161</v>
      </c>
      <c r="E1867" s="113">
        <v>140</v>
      </c>
      <c r="F1867" s="67" t="str">
        <f>IFERROR(IFERROR(INDEX(Кат!$A:$A,MATCH(Прайс!$B1867,Кат!$G:$G,0)),INDEX(Торг!$B:$B,MATCH(Прайс!$B1867,Торг!$H:$H,0))),"")</f>
        <v/>
      </c>
      <c r="G1867" s="67" t="str">
        <f>IFERROR(IFERROR(INDEX(Кат!$B:$B,MATCH(Прайс!$B1867,Кат!$G:$G,0)),INDEX(Торг!$C:$C,MATCH(Прайс!$B1867,Торг!$H:$H,0))),"")</f>
        <v/>
      </c>
      <c r="H1867" s="67" t="str">
        <f>IFERROR(IFERROR(INDEX(Кат!$I:$I,MATCH(Прайс!$B1867,Кат!$G:$G,0)),INDEX(Торг!$I:$I,MATCH(Прайс!$B1867,Торг!$H:$H,0))),"")</f>
        <v/>
      </c>
    </row>
    <row r="1868" spans="1:8" x14ac:dyDescent="0.25">
      <c r="A1868" s="103" t="s">
        <v>3567</v>
      </c>
      <c r="B1868" s="104">
        <v>72062</v>
      </c>
      <c r="C1868" s="104" t="s">
        <v>1082</v>
      </c>
      <c r="D1868" s="105" t="s">
        <v>161</v>
      </c>
      <c r="E1868" s="113">
        <v>140</v>
      </c>
      <c r="F1868" s="67" t="str">
        <f>IFERROR(IFERROR(INDEX(Кат!$A:$A,MATCH(Прайс!$B1868,Кат!$G:$G,0)),INDEX(Торг!$B:$B,MATCH(Прайс!$B1868,Торг!$H:$H,0))),"")</f>
        <v/>
      </c>
      <c r="G1868" s="67" t="str">
        <f>IFERROR(IFERROR(INDEX(Кат!$B:$B,MATCH(Прайс!$B1868,Кат!$G:$G,0)),INDEX(Торг!$C:$C,MATCH(Прайс!$B1868,Торг!$H:$H,0))),"")</f>
        <v/>
      </c>
      <c r="H1868" s="67" t="str">
        <f>IFERROR(IFERROR(INDEX(Кат!$I:$I,MATCH(Прайс!$B1868,Кат!$G:$G,0)),INDEX(Торг!$I:$I,MATCH(Прайс!$B1868,Торг!$H:$H,0))),"")</f>
        <v/>
      </c>
    </row>
    <row r="1869" spans="1:8" x14ac:dyDescent="0.25">
      <c r="A1869" s="103" t="s">
        <v>3568</v>
      </c>
      <c r="B1869" s="104">
        <v>72147</v>
      </c>
      <c r="C1869" s="104" t="s">
        <v>1083</v>
      </c>
      <c r="D1869" s="105" t="s">
        <v>161</v>
      </c>
      <c r="E1869" s="113">
        <v>140</v>
      </c>
      <c r="F1869" s="67" t="str">
        <f>IFERROR(IFERROR(INDEX(Кат!$A:$A,MATCH(Прайс!$B1869,Кат!$G:$G,0)),INDEX(Торг!$B:$B,MATCH(Прайс!$B1869,Торг!$H:$H,0))),"")</f>
        <v/>
      </c>
      <c r="G1869" s="67" t="str">
        <f>IFERROR(IFERROR(INDEX(Кат!$B:$B,MATCH(Прайс!$B1869,Кат!$G:$G,0)),INDEX(Торг!$C:$C,MATCH(Прайс!$B1869,Торг!$H:$H,0))),"")</f>
        <v/>
      </c>
      <c r="H1869" s="67" t="str">
        <f>IFERROR(IFERROR(INDEX(Кат!$I:$I,MATCH(Прайс!$B1869,Кат!$G:$G,0)),INDEX(Торг!$I:$I,MATCH(Прайс!$B1869,Торг!$H:$H,0))),"")</f>
        <v/>
      </c>
    </row>
    <row r="1870" spans="1:8" x14ac:dyDescent="0.25">
      <c r="A1870" s="103" t="s">
        <v>3569</v>
      </c>
      <c r="B1870" s="104">
        <v>72065</v>
      </c>
      <c r="C1870" s="104" t="s">
        <v>1084</v>
      </c>
      <c r="D1870" s="105" t="s">
        <v>161</v>
      </c>
      <c r="E1870" s="113">
        <v>140</v>
      </c>
      <c r="F1870" s="67" t="str">
        <f>IFERROR(IFERROR(INDEX(Кат!$A:$A,MATCH(Прайс!$B1870,Кат!$G:$G,0)),INDEX(Торг!$B:$B,MATCH(Прайс!$B1870,Торг!$H:$H,0))),"")</f>
        <v/>
      </c>
      <c r="G1870" s="67" t="str">
        <f>IFERROR(IFERROR(INDEX(Кат!$B:$B,MATCH(Прайс!$B1870,Кат!$G:$G,0)),INDEX(Торг!$C:$C,MATCH(Прайс!$B1870,Торг!$H:$H,0))),"")</f>
        <v/>
      </c>
      <c r="H1870" s="67" t="str">
        <f>IFERROR(IFERROR(INDEX(Кат!$I:$I,MATCH(Прайс!$B1870,Кат!$G:$G,0)),INDEX(Торг!$I:$I,MATCH(Прайс!$B1870,Торг!$H:$H,0))),"")</f>
        <v/>
      </c>
    </row>
    <row r="1871" spans="1:8" x14ac:dyDescent="0.25">
      <c r="A1871" s="103" t="s">
        <v>4903</v>
      </c>
      <c r="B1871" s="104">
        <v>72066</v>
      </c>
      <c r="C1871" s="104" t="s">
        <v>4904</v>
      </c>
      <c r="D1871" s="105" t="s">
        <v>161</v>
      </c>
      <c r="E1871" s="113">
        <v>140</v>
      </c>
      <c r="F1871" s="67" t="str">
        <f>IFERROR(IFERROR(INDEX(Кат!$A:$A,MATCH(Прайс!$B1871,Кат!$G:$G,0)),INDEX(Торг!$B:$B,MATCH(Прайс!$B1871,Торг!$H:$H,0))),"")</f>
        <v/>
      </c>
      <c r="G1871" s="67" t="str">
        <f>IFERROR(IFERROR(INDEX(Кат!$B:$B,MATCH(Прайс!$B1871,Кат!$G:$G,0)),INDEX(Торг!$C:$C,MATCH(Прайс!$B1871,Торг!$H:$H,0))),"")</f>
        <v/>
      </c>
      <c r="H1871" s="67" t="str">
        <f>IFERROR(IFERROR(INDEX(Кат!$I:$I,MATCH(Прайс!$B1871,Кат!$G:$G,0)),INDEX(Торг!$I:$I,MATCH(Прайс!$B1871,Торг!$H:$H,0))),"")</f>
        <v/>
      </c>
    </row>
    <row r="1872" spans="1:8" x14ac:dyDescent="0.25">
      <c r="A1872" s="103" t="s">
        <v>3570</v>
      </c>
      <c r="B1872" s="104">
        <v>72242</v>
      </c>
      <c r="C1872" s="104" t="s">
        <v>1085</v>
      </c>
      <c r="D1872" s="105" t="s">
        <v>161</v>
      </c>
      <c r="E1872" s="113">
        <v>135</v>
      </c>
      <c r="F1872" s="67">
        <f>IFERROR(IFERROR(INDEX(Кат!$A:$A,MATCH(Прайс!$B1872,Кат!$G:$G,0)),INDEX(Торг!$B:$B,MATCH(Прайс!$B1872,Торг!$H:$H,0))),"")</f>
        <v>133019</v>
      </c>
      <c r="G1872" s="67">
        <f>IFERROR(IFERROR(INDEX(Кат!$B:$B,MATCH(Прайс!$B1872,Кат!$G:$G,0)),INDEX(Торг!$C:$C,MATCH(Прайс!$B1872,Торг!$H:$H,0))),"")</f>
        <v>16468</v>
      </c>
      <c r="H1872" s="67" t="str">
        <f>IFERROR(IFERROR(INDEX(Кат!$I:$I,MATCH(Прайс!$B1872,Кат!$G:$G,0)),INDEX(Торг!$I:$I,MATCH(Прайс!$B1872,Торг!$H:$H,0))),"")</f>
        <v>кристал авто</v>
      </c>
    </row>
    <row r="1873" spans="1:8" x14ac:dyDescent="0.25">
      <c r="A1873" s="103" t="s">
        <v>3571</v>
      </c>
      <c r="B1873" s="104">
        <v>72245</v>
      </c>
      <c r="C1873" s="104" t="s">
        <v>1086</v>
      </c>
      <c r="D1873" s="105" t="s">
        <v>161</v>
      </c>
      <c r="E1873" s="113">
        <v>135</v>
      </c>
      <c r="F1873" s="67">
        <f>IFERROR(IFERROR(INDEX(Кат!$A:$A,MATCH(Прайс!$B1873,Кат!$G:$G,0)),INDEX(Торг!$B:$B,MATCH(Прайс!$B1873,Торг!$H:$H,0))),"")</f>
        <v>133017</v>
      </c>
      <c r="G1873" s="67">
        <f>IFERROR(IFERROR(INDEX(Кат!$B:$B,MATCH(Прайс!$B1873,Кат!$G:$G,0)),INDEX(Торг!$C:$C,MATCH(Прайс!$B1873,Торг!$H:$H,0))),"")</f>
        <v>16469</v>
      </c>
      <c r="H1873" s="67" t="str">
        <f>IFERROR(IFERROR(INDEX(Кат!$I:$I,MATCH(Прайс!$B1873,Кат!$G:$G,0)),INDEX(Торг!$I:$I,MATCH(Прайс!$B1873,Торг!$H:$H,0))),"")</f>
        <v>кристал авто</v>
      </c>
    </row>
    <row r="1874" spans="1:8" x14ac:dyDescent="0.25">
      <c r="A1874" s="103" t="s">
        <v>3572</v>
      </c>
      <c r="B1874" s="104">
        <v>72302</v>
      </c>
      <c r="C1874" s="104" t="s">
        <v>799</v>
      </c>
      <c r="D1874" s="105" t="s">
        <v>161</v>
      </c>
      <c r="E1874" s="113">
        <v>135</v>
      </c>
      <c r="F1874" s="67">
        <f>IFERROR(IFERROR(INDEX(Кат!$A:$A,MATCH(Прайс!$B1874,Кат!$G:$G,0)),INDEX(Торг!$B:$B,MATCH(Прайс!$B1874,Торг!$H:$H,0))),"")</f>
        <v>133015</v>
      </c>
      <c r="G1874" s="67">
        <f>IFERROR(IFERROR(INDEX(Кат!$B:$B,MATCH(Прайс!$B1874,Кат!$G:$G,0)),INDEX(Торг!$C:$C,MATCH(Прайс!$B1874,Торг!$H:$H,0))),"")</f>
        <v>16470</v>
      </c>
      <c r="H1874" s="67" t="str">
        <f>IFERROR(IFERROR(INDEX(Кат!$I:$I,MATCH(Прайс!$B1874,Кат!$G:$G,0)),INDEX(Торг!$I:$I,MATCH(Прайс!$B1874,Торг!$H:$H,0))),"")</f>
        <v>кристал авто</v>
      </c>
    </row>
    <row r="1875" spans="1:8" x14ac:dyDescent="0.25">
      <c r="A1875" s="103" t="s">
        <v>3573</v>
      </c>
      <c r="B1875" s="104">
        <v>72243</v>
      </c>
      <c r="C1875" s="104" t="s">
        <v>1087</v>
      </c>
      <c r="D1875" s="105" t="s">
        <v>161</v>
      </c>
      <c r="E1875" s="113">
        <v>135</v>
      </c>
      <c r="F1875" s="67">
        <f>IFERROR(IFERROR(INDEX(Кат!$A:$A,MATCH(Прайс!$B1875,Кат!$G:$G,0)),INDEX(Торг!$B:$B,MATCH(Прайс!$B1875,Торг!$H:$H,0))),"")</f>
        <v>133014</v>
      </c>
      <c r="G1875" s="67">
        <f>IFERROR(IFERROR(INDEX(Кат!$B:$B,MATCH(Прайс!$B1875,Кат!$G:$G,0)),INDEX(Торг!$C:$C,MATCH(Прайс!$B1875,Торг!$H:$H,0))),"")</f>
        <v>17061</v>
      </c>
      <c r="H1875" s="67" t="str">
        <f>IFERROR(IFERROR(INDEX(Кат!$I:$I,MATCH(Прайс!$B1875,Кат!$G:$G,0)),INDEX(Торг!$I:$I,MATCH(Прайс!$B1875,Торг!$H:$H,0))),"")</f>
        <v>кристал авто</v>
      </c>
    </row>
    <row r="1876" spans="1:8" x14ac:dyDescent="0.25">
      <c r="A1876" s="103" t="s">
        <v>3574</v>
      </c>
      <c r="B1876" s="104">
        <v>72309</v>
      </c>
      <c r="C1876" s="104" t="s">
        <v>1088</v>
      </c>
      <c r="D1876" s="105" t="s">
        <v>161</v>
      </c>
      <c r="E1876" s="113">
        <v>135</v>
      </c>
      <c r="F1876" s="67">
        <f>IFERROR(IFERROR(INDEX(Кат!$A:$A,MATCH(Прайс!$B1876,Кат!$G:$G,0)),INDEX(Торг!$B:$B,MATCH(Прайс!$B1876,Торг!$H:$H,0))),"")</f>
        <v>133025</v>
      </c>
      <c r="G1876" s="67">
        <f>IFERROR(IFERROR(INDEX(Кат!$B:$B,MATCH(Прайс!$B1876,Кат!$G:$G,0)),INDEX(Торг!$C:$C,MATCH(Прайс!$B1876,Торг!$H:$H,0))),"")</f>
        <v>17059</v>
      </c>
      <c r="H1876" s="67" t="str">
        <f>IFERROR(IFERROR(INDEX(Кат!$I:$I,MATCH(Прайс!$B1876,Кат!$G:$G,0)),INDEX(Торг!$I:$I,MATCH(Прайс!$B1876,Торг!$H:$H,0))),"")</f>
        <v>кристал авто</v>
      </c>
    </row>
    <row r="1877" spans="1:8" x14ac:dyDescent="0.25">
      <c r="A1877" s="103" t="s">
        <v>3575</v>
      </c>
      <c r="B1877" s="104">
        <v>72308</v>
      </c>
      <c r="C1877" s="104" t="s">
        <v>1089</v>
      </c>
      <c r="D1877" s="105" t="s">
        <v>161</v>
      </c>
      <c r="E1877" s="113">
        <v>135</v>
      </c>
      <c r="F1877" s="67">
        <f>IFERROR(IFERROR(INDEX(Кат!$A:$A,MATCH(Прайс!$B1877,Кат!$G:$G,0)),INDEX(Торг!$B:$B,MATCH(Прайс!$B1877,Торг!$H:$H,0))),"")</f>
        <v>133012</v>
      </c>
      <c r="G1877" s="67">
        <f>IFERROR(IFERROR(INDEX(Кат!$B:$B,MATCH(Прайс!$B1877,Кат!$G:$G,0)),INDEX(Торг!$C:$C,MATCH(Прайс!$B1877,Торг!$H:$H,0))),"")</f>
        <v>17063</v>
      </c>
      <c r="H1877" s="67" t="str">
        <f>IFERROR(IFERROR(INDEX(Кат!$I:$I,MATCH(Прайс!$B1877,Кат!$G:$G,0)),INDEX(Торг!$I:$I,MATCH(Прайс!$B1877,Торг!$H:$H,0))),"")</f>
        <v>кристал авто</v>
      </c>
    </row>
    <row r="1878" spans="1:8" x14ac:dyDescent="0.25">
      <c r="A1878" s="94" t="s">
        <v>8569</v>
      </c>
      <c r="B1878" s="98">
        <v>72244</v>
      </c>
      <c r="C1878" s="98" t="s">
        <v>8570</v>
      </c>
      <c r="D1878" s="96" t="s">
        <v>161</v>
      </c>
      <c r="E1878" s="97">
        <v>135</v>
      </c>
      <c r="F1878" s="67">
        <f>IFERROR(IFERROR(INDEX(Кат!$A:$A,MATCH(Прайс!$B1878,Кат!$G:$G,0)),INDEX(Торг!$B:$B,MATCH(Прайс!$B1878,Торг!$H:$H,0))),"")</f>
        <v>133021</v>
      </c>
      <c r="G1878" s="67">
        <f>IFERROR(IFERROR(INDEX(Кат!$B:$B,MATCH(Прайс!$B1878,Кат!$G:$G,0)),INDEX(Торг!$C:$C,MATCH(Прайс!$B1878,Торг!$H:$H,0))),"")</f>
        <v>17062</v>
      </c>
      <c r="H1878" s="67" t="str">
        <f>IFERROR(IFERROR(INDEX(Кат!$I:$I,MATCH(Прайс!$B1878,Кат!$G:$G,0)),INDEX(Торг!$I:$I,MATCH(Прайс!$B1878,Торг!$H:$H,0))),"")</f>
        <v>кристал авто</v>
      </c>
    </row>
    <row r="1879" spans="1:8" x14ac:dyDescent="0.25">
      <c r="A1879" s="103" t="s">
        <v>3576</v>
      </c>
      <c r="B1879" s="104">
        <v>72241</v>
      </c>
      <c r="C1879" s="104" t="s">
        <v>1090</v>
      </c>
      <c r="D1879" s="105" t="s">
        <v>161</v>
      </c>
      <c r="E1879" s="113">
        <v>135</v>
      </c>
      <c r="F1879" s="67">
        <f>IFERROR(IFERROR(INDEX(Кат!$A:$A,MATCH(Прайс!$B1879,Кат!$G:$G,0)),INDEX(Торг!$B:$B,MATCH(Прайс!$B1879,Торг!$H:$H,0))),"")</f>
        <v>133016</v>
      </c>
      <c r="G1879" s="67">
        <f>IFERROR(IFERROR(INDEX(Кат!$B:$B,MATCH(Прайс!$B1879,Кат!$G:$G,0)),INDEX(Торг!$C:$C,MATCH(Прайс!$B1879,Торг!$H:$H,0))),"")</f>
        <v>17060</v>
      </c>
      <c r="H1879" s="67" t="str">
        <f>IFERROR(IFERROR(INDEX(Кат!$I:$I,MATCH(Прайс!$B1879,Кат!$G:$G,0)),INDEX(Торг!$I:$I,MATCH(Прайс!$B1879,Торг!$H:$H,0))),"")</f>
        <v>кристал авто</v>
      </c>
    </row>
    <row r="1880" spans="1:8" x14ac:dyDescent="0.25">
      <c r="A1880" s="103" t="s">
        <v>3577</v>
      </c>
      <c r="B1880" s="104">
        <v>72307</v>
      </c>
      <c r="C1880" s="104" t="s">
        <v>1091</v>
      </c>
      <c r="D1880" s="105" t="s">
        <v>161</v>
      </c>
      <c r="E1880" s="113">
        <v>135</v>
      </c>
      <c r="F1880" s="67" t="str">
        <f>IFERROR(IFERROR(INDEX(Кат!$A:$A,MATCH(Прайс!$B1880,Кат!$G:$G,0)),INDEX(Торг!$B:$B,MATCH(Прайс!$B1880,Торг!$H:$H,0))),"")</f>
        <v/>
      </c>
      <c r="G1880" s="67" t="str">
        <f>IFERROR(IFERROR(INDEX(Кат!$B:$B,MATCH(Прайс!$B1880,Кат!$G:$G,0)),INDEX(Торг!$C:$C,MATCH(Прайс!$B1880,Торг!$H:$H,0))),"")</f>
        <v/>
      </c>
      <c r="H1880" s="67" t="str">
        <f>IFERROR(IFERROR(INDEX(Кат!$I:$I,MATCH(Прайс!$B1880,Кат!$G:$G,0)),INDEX(Торг!$I:$I,MATCH(Прайс!$B1880,Торг!$H:$H,0))),"")</f>
        <v/>
      </c>
    </row>
    <row r="1881" spans="1:8" x14ac:dyDescent="0.25">
      <c r="A1881" s="94" t="s">
        <v>8571</v>
      </c>
      <c r="B1881" s="98">
        <v>72231</v>
      </c>
      <c r="C1881" s="98" t="s">
        <v>8572</v>
      </c>
      <c r="D1881" s="96" t="s">
        <v>161</v>
      </c>
      <c r="E1881" s="97">
        <v>135</v>
      </c>
      <c r="F1881" s="67">
        <f>IFERROR(IFERROR(INDEX(Кат!$A:$A,MATCH(Прайс!$B1881,Кат!$G:$G,0)),INDEX(Торг!$B:$B,MATCH(Прайс!$B1881,Торг!$H:$H,0))),"")</f>
        <v>133022</v>
      </c>
      <c r="G1881" s="67">
        <f>IFERROR(IFERROR(INDEX(Кат!$B:$B,MATCH(Прайс!$B1881,Кат!$G:$G,0)),INDEX(Торг!$C:$C,MATCH(Прайс!$B1881,Торг!$H:$H,0))),"")</f>
        <v>17064</v>
      </c>
      <c r="H1881" s="67" t="str">
        <f>IFERROR(IFERROR(INDEX(Кат!$I:$I,MATCH(Прайс!$B1881,Кат!$G:$G,0)),INDEX(Торг!$I:$I,MATCH(Прайс!$B1881,Торг!$H:$H,0))),"")</f>
        <v>кристал авто</v>
      </c>
    </row>
    <row r="1882" spans="1:8" x14ac:dyDescent="0.25">
      <c r="A1882" s="103" t="s">
        <v>7640</v>
      </c>
      <c r="B1882" s="104">
        <v>72306</v>
      </c>
      <c r="C1882" s="104" t="s">
        <v>7641</v>
      </c>
      <c r="D1882" s="105" t="s">
        <v>161</v>
      </c>
      <c r="E1882" s="113">
        <v>135</v>
      </c>
      <c r="F1882" s="67" t="str">
        <f>IFERROR(IFERROR(INDEX(Кат!$A:$A,MATCH(Прайс!$B1882,Кат!$G:$G,0)),INDEX(Торг!$B:$B,MATCH(Прайс!$B1882,Торг!$H:$H,0))),"")</f>
        <v/>
      </c>
      <c r="G1882" s="67" t="str">
        <f>IFERROR(IFERROR(INDEX(Кат!$B:$B,MATCH(Прайс!$B1882,Кат!$G:$G,0)),INDEX(Торг!$C:$C,MATCH(Прайс!$B1882,Торг!$H:$H,0))),"")</f>
        <v/>
      </c>
      <c r="H1882" s="67" t="str">
        <f>IFERROR(IFERROR(INDEX(Кат!$I:$I,MATCH(Прайс!$B1882,Кат!$G:$G,0)),INDEX(Торг!$I:$I,MATCH(Прайс!$B1882,Торг!$H:$H,0))),"")</f>
        <v/>
      </c>
    </row>
    <row r="1883" spans="1:8" x14ac:dyDescent="0.25">
      <c r="A1883" s="94" t="s">
        <v>3578</v>
      </c>
      <c r="B1883" s="98">
        <v>72229</v>
      </c>
      <c r="C1883" s="98" t="s">
        <v>1092</v>
      </c>
      <c r="D1883" s="96" t="s">
        <v>190</v>
      </c>
      <c r="E1883" s="97">
        <v>65</v>
      </c>
      <c r="F1883" s="67">
        <f>IFERROR(IFERROR(INDEX(Кат!$A:$A,MATCH(Прайс!$B1883,Кат!$G:$G,0)),INDEX(Торг!$B:$B,MATCH(Прайс!$B1883,Торг!$H:$H,0))),"")</f>
        <v>132999</v>
      </c>
      <c r="G1883" s="67">
        <f>IFERROR(IFERROR(INDEX(Кат!$B:$B,MATCH(Прайс!$B1883,Кат!$G:$G,0)),INDEX(Торг!$C:$C,MATCH(Прайс!$B1883,Торг!$H:$H,0))),"")</f>
        <v>16935</v>
      </c>
      <c r="H1883" s="67" t="str">
        <f>IFERROR(IFERROR(INDEX(Кат!$I:$I,MATCH(Прайс!$B1883,Кат!$G:$G,0)),INDEX(Торг!$I:$I,MATCH(Прайс!$B1883,Торг!$H:$H,0))),"")</f>
        <v>кристал авто</v>
      </c>
    </row>
    <row r="1884" spans="1:8" x14ac:dyDescent="0.25">
      <c r="A1884" s="94" t="s">
        <v>3579</v>
      </c>
      <c r="B1884" s="98">
        <v>72230</v>
      </c>
      <c r="C1884" s="98" t="s">
        <v>1093</v>
      </c>
      <c r="D1884" s="96" t="s">
        <v>190</v>
      </c>
      <c r="E1884" s="97">
        <v>65</v>
      </c>
      <c r="F1884" s="67">
        <f>IFERROR(IFERROR(INDEX(Кат!$A:$A,MATCH(Прайс!$B1884,Кат!$G:$G,0)),INDEX(Торг!$B:$B,MATCH(Прайс!$B1884,Торг!$H:$H,0))),"")</f>
        <v>132994</v>
      </c>
      <c r="G1884" s="67">
        <f>IFERROR(IFERROR(INDEX(Кат!$B:$B,MATCH(Прайс!$B1884,Кат!$G:$G,0)),INDEX(Торг!$C:$C,MATCH(Прайс!$B1884,Торг!$H:$H,0))),"")</f>
        <v>30937</v>
      </c>
      <c r="H1884" s="67" t="str">
        <f>IFERROR(IFERROR(INDEX(Кат!$I:$I,MATCH(Прайс!$B1884,Кат!$G:$G,0)),INDEX(Торг!$I:$I,MATCH(Прайс!$B1884,Торг!$H:$H,0))),"")</f>
        <v>кристал авто</v>
      </c>
    </row>
    <row r="1885" spans="1:8" x14ac:dyDescent="0.25">
      <c r="A1885" s="94" t="s">
        <v>3580</v>
      </c>
      <c r="B1885" s="98">
        <v>72286</v>
      </c>
      <c r="C1885" s="98" t="s">
        <v>1094</v>
      </c>
      <c r="D1885" s="96" t="s">
        <v>190</v>
      </c>
      <c r="E1885" s="97">
        <v>65</v>
      </c>
      <c r="F1885" s="67" t="str">
        <f>IFERROR(IFERROR(INDEX(Кат!$A:$A,MATCH(Прайс!$B1885,Кат!$G:$G,0)),INDEX(Торг!$B:$B,MATCH(Прайс!$B1885,Торг!$H:$H,0))),"")</f>
        <v/>
      </c>
      <c r="G1885" s="67" t="str">
        <f>IFERROR(IFERROR(INDEX(Кат!$B:$B,MATCH(Прайс!$B1885,Кат!$G:$G,0)),INDEX(Торг!$C:$C,MATCH(Прайс!$B1885,Торг!$H:$H,0))),"")</f>
        <v/>
      </c>
      <c r="H1885" s="67" t="str">
        <f>IFERROR(IFERROR(INDEX(Кат!$I:$I,MATCH(Прайс!$B1885,Кат!$G:$G,0)),INDEX(Торг!$I:$I,MATCH(Прайс!$B1885,Торг!$H:$H,0))),"")</f>
        <v/>
      </c>
    </row>
    <row r="1886" spans="1:8" x14ac:dyDescent="0.25">
      <c r="A1886" s="94" t="s">
        <v>3581</v>
      </c>
      <c r="B1886" s="98">
        <v>72267</v>
      </c>
      <c r="C1886" s="98" t="s">
        <v>1095</v>
      </c>
      <c r="D1886" s="96" t="s">
        <v>190</v>
      </c>
      <c r="E1886" s="97">
        <v>65</v>
      </c>
      <c r="F1886" s="67">
        <f>IFERROR(IFERROR(INDEX(Кат!$A:$A,MATCH(Прайс!$B1886,Кат!$G:$G,0)),INDEX(Торг!$B:$B,MATCH(Прайс!$B1886,Торг!$H:$H,0))),"")</f>
        <v>132998</v>
      </c>
      <c r="G1886" s="67">
        <f>IFERROR(IFERROR(INDEX(Кат!$B:$B,MATCH(Прайс!$B1886,Кат!$G:$G,0)),INDEX(Торг!$C:$C,MATCH(Прайс!$B1886,Торг!$H:$H,0))),"")</f>
        <v>16936</v>
      </c>
      <c r="H1886" s="67" t="str">
        <f>IFERROR(IFERROR(INDEX(Кат!$I:$I,MATCH(Прайс!$B1886,Кат!$G:$G,0)),INDEX(Торг!$I:$I,MATCH(Прайс!$B1886,Торг!$H:$H,0))),"")</f>
        <v>кристал авто</v>
      </c>
    </row>
    <row r="1887" spans="1:8" x14ac:dyDescent="0.25">
      <c r="A1887" s="99" t="s">
        <v>3582</v>
      </c>
      <c r="B1887" s="108">
        <v>72301</v>
      </c>
      <c r="C1887" s="108" t="s">
        <v>1096</v>
      </c>
      <c r="D1887" s="101" t="s">
        <v>190</v>
      </c>
      <c r="E1887" s="102">
        <v>65</v>
      </c>
      <c r="F1887" s="67">
        <f>IFERROR(IFERROR(INDEX(Кат!$A:$A,MATCH(Прайс!$B1887,Кат!$G:$G,0)),INDEX(Торг!$B:$B,MATCH(Прайс!$B1887,Торг!$H:$H,0))),"")</f>
        <v>132995</v>
      </c>
      <c r="G1887" s="67">
        <f>IFERROR(IFERROR(INDEX(Кат!$B:$B,MATCH(Прайс!$B1887,Кат!$G:$G,0)),INDEX(Торг!$C:$C,MATCH(Прайс!$B1887,Торг!$H:$H,0))),"")</f>
        <v>16938</v>
      </c>
      <c r="H1887" s="67" t="str">
        <f>IFERROR(IFERROR(INDEX(Кат!$I:$I,MATCH(Прайс!$B1887,Кат!$G:$G,0)),INDEX(Торг!$I:$I,MATCH(Прайс!$B1887,Торг!$H:$H,0))),"")</f>
        <v>кристал авто</v>
      </c>
    </row>
    <row r="1888" spans="1:8" x14ac:dyDescent="0.25">
      <c r="A1888" s="94" t="s">
        <v>3583</v>
      </c>
      <c r="B1888" s="98">
        <v>72228</v>
      </c>
      <c r="C1888" s="98" t="s">
        <v>1097</v>
      </c>
      <c r="D1888" s="96" t="s">
        <v>190</v>
      </c>
      <c r="E1888" s="97">
        <v>65</v>
      </c>
      <c r="F1888" s="67" t="str">
        <f>IFERROR(IFERROR(INDEX(Кат!$A:$A,MATCH(Прайс!$B1888,Кат!$G:$G,0)),INDEX(Торг!$B:$B,MATCH(Прайс!$B1888,Торг!$H:$H,0))),"")</f>
        <v/>
      </c>
      <c r="G1888" s="67" t="str">
        <f>IFERROR(IFERROR(INDEX(Кат!$B:$B,MATCH(Прайс!$B1888,Кат!$G:$G,0)),INDEX(Торг!$C:$C,MATCH(Прайс!$B1888,Торг!$H:$H,0))),"")</f>
        <v/>
      </c>
      <c r="H1888" s="67" t="str">
        <f>IFERROR(IFERROR(INDEX(Кат!$I:$I,MATCH(Прайс!$B1888,Кат!$G:$G,0)),INDEX(Торг!$I:$I,MATCH(Прайс!$B1888,Торг!$H:$H,0))),"")</f>
        <v/>
      </c>
    </row>
    <row r="1889" spans="1:8" x14ac:dyDescent="0.25">
      <c r="A1889" s="94" t="s">
        <v>3584</v>
      </c>
      <c r="B1889" s="98">
        <v>72227</v>
      </c>
      <c r="C1889" s="98" t="s">
        <v>1098</v>
      </c>
      <c r="D1889" s="96" t="s">
        <v>190</v>
      </c>
      <c r="E1889" s="97">
        <v>65</v>
      </c>
      <c r="F1889" s="67" t="str">
        <f>IFERROR(IFERROR(INDEX(Кат!$A:$A,MATCH(Прайс!$B1889,Кат!$G:$G,0)),INDEX(Торг!$B:$B,MATCH(Прайс!$B1889,Торг!$H:$H,0))),"")</f>
        <v/>
      </c>
      <c r="G1889" s="67" t="str">
        <f>IFERROR(IFERROR(INDEX(Кат!$B:$B,MATCH(Прайс!$B1889,Кат!$G:$G,0)),INDEX(Торг!$C:$C,MATCH(Прайс!$B1889,Торг!$H:$H,0))),"")</f>
        <v/>
      </c>
      <c r="H1889" s="67" t="str">
        <f>IFERROR(IFERROR(INDEX(Кат!$I:$I,MATCH(Прайс!$B1889,Кат!$G:$G,0)),INDEX(Торг!$I:$I,MATCH(Прайс!$B1889,Торг!$H:$H,0))),"")</f>
        <v/>
      </c>
    </row>
    <row r="1890" spans="1:8" x14ac:dyDescent="0.25">
      <c r="A1890" s="94" t="s">
        <v>3585</v>
      </c>
      <c r="B1890" s="98">
        <v>72226</v>
      </c>
      <c r="C1890" s="98" t="s">
        <v>1099</v>
      </c>
      <c r="D1890" s="96" t="s">
        <v>190</v>
      </c>
      <c r="E1890" s="97">
        <v>65</v>
      </c>
      <c r="F1890" s="67" t="str">
        <f>IFERROR(IFERROR(INDEX(Кат!$A:$A,MATCH(Прайс!$B1890,Кат!$G:$G,0)),INDEX(Торг!$B:$B,MATCH(Прайс!$B1890,Торг!$H:$H,0))),"")</f>
        <v/>
      </c>
      <c r="G1890" s="67" t="str">
        <f>IFERROR(IFERROR(INDEX(Кат!$B:$B,MATCH(Прайс!$B1890,Кат!$G:$G,0)),INDEX(Торг!$C:$C,MATCH(Прайс!$B1890,Торг!$H:$H,0))),"")</f>
        <v/>
      </c>
      <c r="H1890" s="67" t="str">
        <f>IFERROR(IFERROR(INDEX(Кат!$I:$I,MATCH(Прайс!$B1890,Кат!$G:$G,0)),INDEX(Торг!$I:$I,MATCH(Прайс!$B1890,Торг!$H:$H,0))),"")</f>
        <v/>
      </c>
    </row>
    <row r="1891" spans="1:8" x14ac:dyDescent="0.25">
      <c r="A1891" s="94" t="s">
        <v>3586</v>
      </c>
      <c r="B1891" s="98">
        <v>72232</v>
      </c>
      <c r="C1891" s="98" t="s">
        <v>1100</v>
      </c>
      <c r="D1891" s="96" t="s">
        <v>190</v>
      </c>
      <c r="E1891" s="97">
        <v>65</v>
      </c>
      <c r="F1891" s="67" t="str">
        <f>IFERROR(IFERROR(INDEX(Кат!$A:$A,MATCH(Прайс!$B1891,Кат!$G:$G,0)),INDEX(Торг!$B:$B,MATCH(Прайс!$B1891,Торг!$H:$H,0))),"")</f>
        <v/>
      </c>
      <c r="G1891" s="67" t="str">
        <f>IFERROR(IFERROR(INDEX(Кат!$B:$B,MATCH(Прайс!$B1891,Кат!$G:$G,0)),INDEX(Торг!$C:$C,MATCH(Прайс!$B1891,Торг!$H:$H,0))),"")</f>
        <v/>
      </c>
      <c r="H1891" s="67" t="str">
        <f>IFERROR(IFERROR(INDEX(Кат!$I:$I,MATCH(Прайс!$B1891,Кат!$G:$G,0)),INDEX(Торг!$I:$I,MATCH(Прайс!$B1891,Торг!$H:$H,0))),"")</f>
        <v/>
      </c>
    </row>
    <row r="1892" spans="1:8" x14ac:dyDescent="0.25">
      <c r="A1892" s="94" t="s">
        <v>5892</v>
      </c>
      <c r="B1892" s="98">
        <v>72521</v>
      </c>
      <c r="C1892" s="98" t="s">
        <v>5893</v>
      </c>
      <c r="D1892" s="96" t="s">
        <v>190</v>
      </c>
      <c r="E1892" s="97">
        <v>65</v>
      </c>
      <c r="F1892" s="67" t="str">
        <f>IFERROR(IFERROR(INDEX(Кат!$A:$A,MATCH(Прайс!$B1892,Кат!$G:$G,0)),INDEX(Торг!$B:$B,MATCH(Прайс!$B1892,Торг!$H:$H,0))),"")</f>
        <v/>
      </c>
      <c r="G1892" s="67" t="str">
        <f>IFERROR(IFERROR(INDEX(Кат!$B:$B,MATCH(Прайс!$B1892,Кат!$G:$G,0)),INDEX(Торг!$C:$C,MATCH(Прайс!$B1892,Торг!$H:$H,0))),"")</f>
        <v/>
      </c>
      <c r="H1892" s="67" t="str">
        <f>IFERROR(IFERROR(INDEX(Кат!$I:$I,MATCH(Прайс!$B1892,Кат!$G:$G,0)),INDEX(Торг!$I:$I,MATCH(Прайс!$B1892,Торг!$H:$H,0))),"")</f>
        <v/>
      </c>
    </row>
    <row r="1893" spans="1:8" x14ac:dyDescent="0.25">
      <c r="A1893" s="94" t="s">
        <v>3587</v>
      </c>
      <c r="B1893" s="98">
        <v>72225</v>
      </c>
      <c r="C1893" s="98" t="s">
        <v>1101</v>
      </c>
      <c r="D1893" s="96" t="s">
        <v>190</v>
      </c>
      <c r="E1893" s="97">
        <v>65</v>
      </c>
      <c r="F1893" s="67" t="str">
        <f>IFERROR(IFERROR(INDEX(Кат!$A:$A,MATCH(Прайс!$B1893,Кат!$G:$G,0)),INDEX(Торг!$B:$B,MATCH(Прайс!$B1893,Торг!$H:$H,0))),"")</f>
        <v/>
      </c>
      <c r="G1893" s="67" t="str">
        <f>IFERROR(IFERROR(INDEX(Кат!$B:$B,MATCH(Прайс!$B1893,Кат!$G:$G,0)),INDEX(Торг!$C:$C,MATCH(Прайс!$B1893,Торг!$H:$H,0))),"")</f>
        <v/>
      </c>
      <c r="H1893" s="67" t="str">
        <f>IFERROR(IFERROR(INDEX(Кат!$I:$I,MATCH(Прайс!$B1893,Кат!$G:$G,0)),INDEX(Торг!$I:$I,MATCH(Прайс!$B1893,Торг!$H:$H,0))),"")</f>
        <v/>
      </c>
    </row>
    <row r="1894" spans="1:8" x14ac:dyDescent="0.25">
      <c r="A1894" s="94" t="s">
        <v>3588</v>
      </c>
      <c r="B1894" s="98">
        <v>72224</v>
      </c>
      <c r="C1894" s="98" t="s">
        <v>1102</v>
      </c>
      <c r="D1894" s="96" t="s">
        <v>190</v>
      </c>
      <c r="E1894" s="97">
        <v>65</v>
      </c>
      <c r="F1894" s="67" t="str">
        <f>IFERROR(IFERROR(INDEX(Кат!$A:$A,MATCH(Прайс!$B1894,Кат!$G:$G,0)),INDEX(Торг!$B:$B,MATCH(Прайс!$B1894,Торг!$H:$H,0))),"")</f>
        <v/>
      </c>
      <c r="G1894" s="67" t="str">
        <f>IFERROR(IFERROR(INDEX(Кат!$B:$B,MATCH(Прайс!$B1894,Кат!$G:$G,0)),INDEX(Торг!$C:$C,MATCH(Прайс!$B1894,Торг!$H:$H,0))),"")</f>
        <v/>
      </c>
      <c r="H1894" s="67" t="str">
        <f>IFERROR(IFERROR(INDEX(Кат!$I:$I,MATCH(Прайс!$B1894,Кат!$G:$G,0)),INDEX(Торг!$I:$I,MATCH(Прайс!$B1894,Торг!$H:$H,0))),"")</f>
        <v/>
      </c>
    </row>
    <row r="1895" spans="1:8" x14ac:dyDescent="0.25">
      <c r="A1895" s="94" t="s">
        <v>3589</v>
      </c>
      <c r="B1895" s="98">
        <v>72223</v>
      </c>
      <c r="C1895" s="98" t="s">
        <v>1103</v>
      </c>
      <c r="D1895" s="96" t="s">
        <v>190</v>
      </c>
      <c r="E1895" s="97">
        <v>65</v>
      </c>
      <c r="F1895" s="67" t="str">
        <f>IFERROR(IFERROR(INDEX(Кат!$A:$A,MATCH(Прайс!$B1895,Кат!$G:$G,0)),INDEX(Торг!$B:$B,MATCH(Прайс!$B1895,Торг!$H:$H,0))),"")</f>
        <v/>
      </c>
      <c r="G1895" s="67" t="str">
        <f>IFERROR(IFERROR(INDEX(Кат!$B:$B,MATCH(Прайс!$B1895,Кат!$G:$G,0)),INDEX(Торг!$C:$C,MATCH(Прайс!$B1895,Торг!$H:$H,0))),"")</f>
        <v/>
      </c>
      <c r="H1895" s="67" t="str">
        <f>IFERROR(IFERROR(INDEX(Кат!$I:$I,MATCH(Прайс!$B1895,Кат!$G:$G,0)),INDEX(Торг!$I:$I,MATCH(Прайс!$B1895,Торг!$H:$H,0))),"")</f>
        <v/>
      </c>
    </row>
    <row r="1896" spans="1:8" x14ac:dyDescent="0.25">
      <c r="A1896" s="94" t="s">
        <v>3590</v>
      </c>
      <c r="B1896" s="98">
        <v>72221</v>
      </c>
      <c r="C1896" s="98" t="s">
        <v>1104</v>
      </c>
      <c r="D1896" s="96" t="s">
        <v>190</v>
      </c>
      <c r="E1896" s="97">
        <v>65</v>
      </c>
      <c r="F1896" s="67" t="str">
        <f>IFERROR(IFERROR(INDEX(Кат!$A:$A,MATCH(Прайс!$B1896,Кат!$G:$G,0)),INDEX(Торг!$B:$B,MATCH(Прайс!$B1896,Торг!$H:$H,0))),"")</f>
        <v/>
      </c>
      <c r="G1896" s="67" t="str">
        <f>IFERROR(IFERROR(INDEX(Кат!$B:$B,MATCH(Прайс!$B1896,Кат!$G:$G,0)),INDEX(Торг!$C:$C,MATCH(Прайс!$B1896,Торг!$H:$H,0))),"")</f>
        <v/>
      </c>
      <c r="H1896" s="67" t="str">
        <f>IFERROR(IFERROR(INDEX(Кат!$I:$I,MATCH(Прайс!$B1896,Кат!$G:$G,0)),INDEX(Торг!$I:$I,MATCH(Прайс!$B1896,Торг!$H:$H,0))),"")</f>
        <v/>
      </c>
    </row>
    <row r="1897" spans="1:8" x14ac:dyDescent="0.25">
      <c r="A1897" s="94" t="s">
        <v>3591</v>
      </c>
      <c r="B1897" s="98">
        <v>72222</v>
      </c>
      <c r="C1897" s="98" t="s">
        <v>1105</v>
      </c>
      <c r="D1897" s="96" t="s">
        <v>190</v>
      </c>
      <c r="E1897" s="97">
        <v>65</v>
      </c>
      <c r="F1897" s="67" t="str">
        <f>IFERROR(IFERROR(INDEX(Кат!$A:$A,MATCH(Прайс!$B1897,Кат!$G:$G,0)),INDEX(Торг!$B:$B,MATCH(Прайс!$B1897,Торг!$H:$H,0))),"")</f>
        <v/>
      </c>
      <c r="G1897" s="67" t="str">
        <f>IFERROR(IFERROR(INDEX(Кат!$B:$B,MATCH(Прайс!$B1897,Кат!$G:$G,0)),INDEX(Торг!$C:$C,MATCH(Прайс!$B1897,Торг!$H:$H,0))),"")</f>
        <v/>
      </c>
      <c r="H1897" s="67" t="str">
        <f>IFERROR(IFERROR(INDEX(Кат!$I:$I,MATCH(Прайс!$B1897,Кат!$G:$G,0)),INDEX(Торг!$I:$I,MATCH(Прайс!$B1897,Торг!$H:$H,0))),"")</f>
        <v/>
      </c>
    </row>
    <row r="1898" spans="1:8" x14ac:dyDescent="0.25">
      <c r="A1898" s="94" t="s">
        <v>3592</v>
      </c>
      <c r="B1898" s="98">
        <v>72220</v>
      </c>
      <c r="C1898" s="98" t="s">
        <v>1106</v>
      </c>
      <c r="D1898" s="96" t="s">
        <v>190</v>
      </c>
      <c r="E1898" s="97">
        <v>65</v>
      </c>
      <c r="F1898" s="67" t="str">
        <f>IFERROR(IFERROR(INDEX(Кат!$A:$A,MATCH(Прайс!$B1898,Кат!$G:$G,0)),INDEX(Торг!$B:$B,MATCH(Прайс!$B1898,Торг!$H:$H,0))),"")</f>
        <v/>
      </c>
      <c r="G1898" s="67" t="str">
        <f>IFERROR(IFERROR(INDEX(Кат!$B:$B,MATCH(Прайс!$B1898,Кат!$G:$G,0)),INDEX(Торг!$C:$C,MATCH(Прайс!$B1898,Торг!$H:$H,0))),"")</f>
        <v/>
      </c>
      <c r="H1898" s="67" t="str">
        <f>IFERROR(IFERROR(INDEX(Кат!$I:$I,MATCH(Прайс!$B1898,Кат!$G:$G,0)),INDEX(Торг!$I:$I,MATCH(Прайс!$B1898,Торг!$H:$H,0))),"")</f>
        <v/>
      </c>
    </row>
    <row r="1899" spans="1:8" x14ac:dyDescent="0.25">
      <c r="A1899" s="94" t="s">
        <v>6893</v>
      </c>
      <c r="B1899" s="98">
        <v>72621</v>
      </c>
      <c r="C1899" s="98" t="s">
        <v>6894</v>
      </c>
      <c r="D1899" s="96" t="s">
        <v>1019</v>
      </c>
      <c r="E1899" s="97">
        <v>140</v>
      </c>
      <c r="F1899" s="67" t="str">
        <f>IFERROR(IFERROR(INDEX(Кат!$A:$A,MATCH(Прайс!$B1899,Кат!$G:$G,0)),INDEX(Торг!$B:$B,MATCH(Прайс!$B1899,Торг!$H:$H,0))),"")</f>
        <v/>
      </c>
      <c r="G1899" s="67" t="str">
        <f>IFERROR(IFERROR(INDEX(Кат!$B:$B,MATCH(Прайс!$B1899,Кат!$G:$G,0)),INDEX(Торг!$C:$C,MATCH(Прайс!$B1899,Торг!$H:$H,0))),"")</f>
        <v/>
      </c>
      <c r="H1899" s="67" t="str">
        <f>IFERROR(IFERROR(INDEX(Кат!$I:$I,MATCH(Прайс!$B1899,Кат!$G:$G,0)),INDEX(Торг!$I:$I,MATCH(Прайс!$B1899,Торг!$H:$H,0))),"")</f>
        <v/>
      </c>
    </row>
    <row r="1900" spans="1:8" x14ac:dyDescent="0.25">
      <c r="A1900" s="94" t="s">
        <v>7642</v>
      </c>
      <c r="B1900" s="98">
        <v>72663</v>
      </c>
      <c r="C1900" s="98" t="s">
        <v>7643</v>
      </c>
      <c r="D1900" s="96" t="s">
        <v>1019</v>
      </c>
      <c r="E1900" s="97">
        <v>140</v>
      </c>
      <c r="F1900" s="67" t="str">
        <f>IFERROR(IFERROR(INDEX(Кат!$A:$A,MATCH(Прайс!$B1900,Кат!$G:$G,0)),INDEX(Торг!$B:$B,MATCH(Прайс!$B1900,Торг!$H:$H,0))),"")</f>
        <v/>
      </c>
      <c r="G1900" s="67" t="str">
        <f>IFERROR(IFERROR(INDEX(Кат!$B:$B,MATCH(Прайс!$B1900,Кат!$G:$G,0)),INDEX(Торг!$C:$C,MATCH(Прайс!$B1900,Торг!$H:$H,0))),"")</f>
        <v/>
      </c>
      <c r="H1900" s="67" t="str">
        <f>IFERROR(IFERROR(INDEX(Кат!$I:$I,MATCH(Прайс!$B1900,Кат!$G:$G,0)),INDEX(Торг!$I:$I,MATCH(Прайс!$B1900,Торг!$H:$H,0))),"")</f>
        <v/>
      </c>
    </row>
    <row r="1901" spans="1:8" x14ac:dyDescent="0.25">
      <c r="A1901" s="94" t="s">
        <v>3593</v>
      </c>
      <c r="B1901" s="98">
        <v>72299</v>
      </c>
      <c r="C1901" s="98" t="s">
        <v>1107</v>
      </c>
      <c r="D1901" s="96" t="s">
        <v>1019</v>
      </c>
      <c r="E1901" s="97">
        <v>140</v>
      </c>
      <c r="F1901" s="67" t="str">
        <f>IFERROR(IFERROR(INDEX(Кат!$A:$A,MATCH(Прайс!$B1901,Кат!$G:$G,0)),INDEX(Торг!$B:$B,MATCH(Прайс!$B1901,Торг!$H:$H,0))),"")</f>
        <v/>
      </c>
      <c r="G1901" s="67" t="str">
        <f>IFERROR(IFERROR(INDEX(Кат!$B:$B,MATCH(Прайс!$B1901,Кат!$G:$G,0)),INDEX(Торг!$C:$C,MATCH(Прайс!$B1901,Торг!$H:$H,0))),"")</f>
        <v/>
      </c>
      <c r="H1901" s="67" t="str">
        <f>IFERROR(IFERROR(INDEX(Кат!$I:$I,MATCH(Прайс!$B1901,Кат!$G:$G,0)),INDEX(Торг!$I:$I,MATCH(Прайс!$B1901,Торг!$H:$H,0))),"")</f>
        <v/>
      </c>
    </row>
    <row r="1902" spans="1:8" x14ac:dyDescent="0.25">
      <c r="A1902" s="94" t="s">
        <v>5085</v>
      </c>
      <c r="B1902" s="98">
        <v>72290</v>
      </c>
      <c r="C1902" s="98" t="s">
        <v>5086</v>
      </c>
      <c r="D1902" s="96" t="s">
        <v>1019</v>
      </c>
      <c r="E1902" s="97">
        <v>140</v>
      </c>
      <c r="F1902" s="67">
        <f>IFERROR(IFERROR(INDEX(Кат!$A:$A,MATCH(Прайс!$B1902,Кат!$G:$G,0)),INDEX(Торг!$B:$B,MATCH(Прайс!$B1902,Торг!$H:$H,0))),"")</f>
        <v>133004</v>
      </c>
      <c r="G1902" s="67">
        <f>IFERROR(IFERROR(INDEX(Кат!$B:$B,MATCH(Прайс!$B1902,Кат!$G:$G,0)),INDEX(Торг!$C:$C,MATCH(Прайс!$B1902,Торг!$H:$H,0))),"")</f>
        <v>14174</v>
      </c>
      <c r="H1902" s="67" t="str">
        <f>IFERROR(IFERROR(INDEX(Кат!$I:$I,MATCH(Прайс!$B1902,Кат!$G:$G,0)),INDEX(Торг!$I:$I,MATCH(Прайс!$B1902,Торг!$H:$H,0))),"")</f>
        <v>кристал авто</v>
      </c>
    </row>
    <row r="1903" spans="1:8" x14ac:dyDescent="0.25">
      <c r="A1903" s="94" t="s">
        <v>8267</v>
      </c>
      <c r="B1903" s="98">
        <v>72702</v>
      </c>
      <c r="C1903" s="98" t="s">
        <v>8268</v>
      </c>
      <c r="D1903" s="96" t="s">
        <v>1019</v>
      </c>
      <c r="E1903" s="97">
        <v>140</v>
      </c>
      <c r="F1903" s="67" t="str">
        <f>IFERROR(IFERROR(INDEX(Кат!$A:$A,MATCH(Прайс!$B1903,Кат!$G:$G,0)),INDEX(Торг!$B:$B,MATCH(Прайс!$B1903,Торг!$H:$H,0))),"")</f>
        <v/>
      </c>
      <c r="G1903" s="67" t="str">
        <f>IFERROR(IFERROR(INDEX(Кат!$B:$B,MATCH(Прайс!$B1903,Кат!$G:$G,0)),INDEX(Торг!$C:$C,MATCH(Прайс!$B1903,Торг!$H:$H,0))),"")</f>
        <v/>
      </c>
      <c r="H1903" s="67" t="str">
        <f>IFERROR(IFERROR(INDEX(Кат!$I:$I,MATCH(Прайс!$B1903,Кат!$G:$G,0)),INDEX(Торг!$I:$I,MATCH(Прайс!$B1903,Торг!$H:$H,0))),"")</f>
        <v/>
      </c>
    </row>
    <row r="1904" spans="1:8" x14ac:dyDescent="0.25">
      <c r="A1904" s="94" t="s">
        <v>4905</v>
      </c>
      <c r="B1904" s="98">
        <v>72291</v>
      </c>
      <c r="C1904" s="98" t="s">
        <v>4906</v>
      </c>
      <c r="D1904" s="96" t="s">
        <v>1019</v>
      </c>
      <c r="E1904" s="97">
        <v>140</v>
      </c>
      <c r="F1904" s="67">
        <f>IFERROR(IFERROR(INDEX(Кат!$A:$A,MATCH(Прайс!$B1904,Кат!$G:$G,0)),INDEX(Торг!$B:$B,MATCH(Прайс!$B1904,Торг!$H:$H,0))),"")</f>
        <v>133005</v>
      </c>
      <c r="G1904" s="67">
        <f>IFERROR(IFERROR(INDEX(Кат!$B:$B,MATCH(Прайс!$B1904,Кат!$G:$G,0)),INDEX(Торг!$C:$C,MATCH(Прайс!$B1904,Торг!$H:$H,0))),"")</f>
        <v>14173</v>
      </c>
      <c r="H1904" s="67" t="str">
        <f>IFERROR(IFERROR(INDEX(Кат!$I:$I,MATCH(Прайс!$B1904,Кат!$G:$G,0)),INDEX(Торг!$I:$I,MATCH(Прайс!$B1904,Торг!$H:$H,0))),"")</f>
        <v>кристал авто</v>
      </c>
    </row>
    <row r="1905" spans="1:8" x14ac:dyDescent="0.25">
      <c r="A1905" s="94" t="s">
        <v>6895</v>
      </c>
      <c r="B1905" s="98">
        <v>72622</v>
      </c>
      <c r="C1905" s="98" t="s">
        <v>6896</v>
      </c>
      <c r="D1905" s="96" t="s">
        <v>1019</v>
      </c>
      <c r="E1905" s="97">
        <v>140</v>
      </c>
      <c r="F1905" s="67" t="str">
        <f>IFERROR(IFERROR(INDEX(Кат!$A:$A,MATCH(Прайс!$B1905,Кат!$G:$G,0)),INDEX(Торг!$B:$B,MATCH(Прайс!$B1905,Торг!$H:$H,0))),"")</f>
        <v/>
      </c>
      <c r="G1905" s="67" t="str">
        <f>IFERROR(IFERROR(INDEX(Кат!$B:$B,MATCH(Прайс!$B1905,Кат!$G:$G,0)),INDEX(Торг!$C:$C,MATCH(Прайс!$B1905,Торг!$H:$H,0))),"")</f>
        <v/>
      </c>
      <c r="H1905" s="67" t="str">
        <f>IFERROR(IFERROR(INDEX(Кат!$I:$I,MATCH(Прайс!$B1905,Кат!$G:$G,0)),INDEX(Торг!$I:$I,MATCH(Прайс!$B1905,Торг!$H:$H,0))),"")</f>
        <v/>
      </c>
    </row>
    <row r="1906" spans="1:8" x14ac:dyDescent="0.25">
      <c r="A1906" s="94" t="s">
        <v>6897</v>
      </c>
      <c r="B1906" s="98">
        <v>72624</v>
      </c>
      <c r="C1906" s="98" t="s">
        <v>6898</v>
      </c>
      <c r="D1906" s="96" t="s">
        <v>1019</v>
      </c>
      <c r="E1906" s="97">
        <v>140</v>
      </c>
      <c r="F1906" s="67" t="str">
        <f>IFERROR(IFERROR(INDEX(Кат!$A:$A,MATCH(Прайс!$B1906,Кат!$G:$G,0)),INDEX(Торг!$B:$B,MATCH(Прайс!$B1906,Торг!$H:$H,0))),"")</f>
        <v/>
      </c>
      <c r="G1906" s="67" t="str">
        <f>IFERROR(IFERROR(INDEX(Кат!$B:$B,MATCH(Прайс!$B1906,Кат!$G:$G,0)),INDEX(Торг!$C:$C,MATCH(Прайс!$B1906,Торг!$H:$H,0))),"")</f>
        <v/>
      </c>
      <c r="H1906" s="67" t="str">
        <f>IFERROR(IFERROR(INDEX(Кат!$I:$I,MATCH(Прайс!$B1906,Кат!$G:$G,0)),INDEX(Торг!$I:$I,MATCH(Прайс!$B1906,Торг!$H:$H,0))),"")</f>
        <v/>
      </c>
    </row>
    <row r="1907" spans="1:8" x14ac:dyDescent="0.25">
      <c r="A1907" s="94" t="s">
        <v>6899</v>
      </c>
      <c r="B1907" s="98">
        <v>72614</v>
      </c>
      <c r="C1907" s="98" t="s">
        <v>6900</v>
      </c>
      <c r="D1907" s="96" t="s">
        <v>161</v>
      </c>
      <c r="E1907" s="97">
        <v>145</v>
      </c>
      <c r="F1907" s="67" t="str">
        <f>IFERROR(IFERROR(INDEX(Кат!$A:$A,MATCH(Прайс!$B1907,Кат!$G:$G,0)),INDEX(Торг!$B:$B,MATCH(Прайс!$B1907,Торг!$H:$H,0))),"")</f>
        <v/>
      </c>
      <c r="G1907" s="67" t="str">
        <f>IFERROR(IFERROR(INDEX(Кат!$B:$B,MATCH(Прайс!$B1907,Кат!$G:$G,0)),INDEX(Торг!$C:$C,MATCH(Прайс!$B1907,Торг!$H:$H,0))),"")</f>
        <v/>
      </c>
      <c r="H1907" s="67" t="str">
        <f>IFERROR(IFERROR(INDEX(Кат!$I:$I,MATCH(Прайс!$B1907,Кат!$G:$G,0)),INDEX(Торг!$I:$I,MATCH(Прайс!$B1907,Торг!$H:$H,0))),"")</f>
        <v/>
      </c>
    </row>
    <row r="1908" spans="1:8" x14ac:dyDescent="0.25">
      <c r="A1908" s="94" t="s">
        <v>6901</v>
      </c>
      <c r="B1908" s="98">
        <v>72615</v>
      </c>
      <c r="C1908" s="98" t="s">
        <v>6902</v>
      </c>
      <c r="D1908" s="96" t="s">
        <v>161</v>
      </c>
      <c r="E1908" s="97">
        <v>145</v>
      </c>
      <c r="F1908" s="67" t="str">
        <f>IFERROR(IFERROR(INDEX(Кат!$A:$A,MATCH(Прайс!$B1908,Кат!$G:$G,0)),INDEX(Торг!$B:$B,MATCH(Прайс!$B1908,Торг!$H:$H,0))),"")</f>
        <v/>
      </c>
      <c r="G1908" s="67" t="str">
        <f>IFERROR(IFERROR(INDEX(Кат!$B:$B,MATCH(Прайс!$B1908,Кат!$G:$G,0)),INDEX(Торг!$C:$C,MATCH(Прайс!$B1908,Торг!$H:$H,0))),"")</f>
        <v/>
      </c>
      <c r="H1908" s="67" t="str">
        <f>IFERROR(IFERROR(INDEX(Кат!$I:$I,MATCH(Прайс!$B1908,Кат!$G:$G,0)),INDEX(Торг!$I:$I,MATCH(Прайс!$B1908,Торг!$H:$H,0))),"")</f>
        <v/>
      </c>
    </row>
    <row r="1909" spans="1:8" x14ac:dyDescent="0.25">
      <c r="A1909" s="94" t="s">
        <v>6903</v>
      </c>
      <c r="B1909" s="98">
        <v>72616</v>
      </c>
      <c r="C1909" s="98" t="s">
        <v>6904</v>
      </c>
      <c r="D1909" s="96" t="s">
        <v>161</v>
      </c>
      <c r="E1909" s="97">
        <v>145</v>
      </c>
      <c r="F1909" s="67" t="str">
        <f>IFERROR(IFERROR(INDEX(Кат!$A:$A,MATCH(Прайс!$B1909,Кат!$G:$G,0)),INDEX(Торг!$B:$B,MATCH(Прайс!$B1909,Торг!$H:$H,0))),"")</f>
        <v/>
      </c>
      <c r="G1909" s="67" t="str">
        <f>IFERROR(IFERROR(INDEX(Кат!$B:$B,MATCH(Прайс!$B1909,Кат!$G:$G,0)),INDEX(Торг!$C:$C,MATCH(Прайс!$B1909,Торг!$H:$H,0))),"")</f>
        <v/>
      </c>
      <c r="H1909" s="67" t="str">
        <f>IFERROR(IFERROR(INDEX(Кат!$I:$I,MATCH(Прайс!$B1909,Кат!$G:$G,0)),INDEX(Торг!$I:$I,MATCH(Прайс!$B1909,Торг!$H:$H,0))),"")</f>
        <v/>
      </c>
    </row>
    <row r="1910" spans="1:8" x14ac:dyDescent="0.25">
      <c r="A1910" s="94" t="s">
        <v>6905</v>
      </c>
      <c r="B1910" s="98">
        <v>72617</v>
      </c>
      <c r="C1910" s="98" t="s">
        <v>6906</v>
      </c>
      <c r="D1910" s="96" t="s">
        <v>161</v>
      </c>
      <c r="E1910" s="97">
        <v>145</v>
      </c>
      <c r="F1910" s="67" t="str">
        <f>IFERROR(IFERROR(INDEX(Кат!$A:$A,MATCH(Прайс!$B1910,Кат!$G:$G,0)),INDEX(Торг!$B:$B,MATCH(Прайс!$B1910,Торг!$H:$H,0))),"")</f>
        <v/>
      </c>
      <c r="G1910" s="67" t="str">
        <f>IFERROR(IFERROR(INDEX(Кат!$B:$B,MATCH(Прайс!$B1910,Кат!$G:$G,0)),INDEX(Торг!$C:$C,MATCH(Прайс!$B1910,Торг!$H:$H,0))),"")</f>
        <v/>
      </c>
      <c r="H1910" s="67" t="str">
        <f>IFERROR(IFERROR(INDEX(Кат!$I:$I,MATCH(Прайс!$B1910,Кат!$G:$G,0)),INDEX(Торг!$I:$I,MATCH(Прайс!$B1910,Торг!$H:$H,0))),"")</f>
        <v/>
      </c>
    </row>
    <row r="1911" spans="1:8" x14ac:dyDescent="0.25">
      <c r="A1911" s="94" t="s">
        <v>6907</v>
      </c>
      <c r="B1911" s="98">
        <v>72618</v>
      </c>
      <c r="C1911" s="98" t="s">
        <v>6908</v>
      </c>
      <c r="D1911" s="96" t="s">
        <v>161</v>
      </c>
      <c r="E1911" s="97">
        <v>145</v>
      </c>
      <c r="F1911" s="67" t="str">
        <f>IFERROR(IFERROR(INDEX(Кат!$A:$A,MATCH(Прайс!$B1911,Кат!$G:$G,0)),INDEX(Торг!$B:$B,MATCH(Прайс!$B1911,Торг!$H:$H,0))),"")</f>
        <v/>
      </c>
      <c r="G1911" s="67" t="str">
        <f>IFERROR(IFERROR(INDEX(Кат!$B:$B,MATCH(Прайс!$B1911,Кат!$G:$G,0)),INDEX(Торг!$C:$C,MATCH(Прайс!$B1911,Торг!$H:$H,0))),"")</f>
        <v/>
      </c>
      <c r="H1911" s="67" t="str">
        <f>IFERROR(IFERROR(INDEX(Кат!$I:$I,MATCH(Прайс!$B1911,Кат!$G:$G,0)),INDEX(Торг!$I:$I,MATCH(Прайс!$B1911,Торг!$H:$H,0))),"")</f>
        <v/>
      </c>
    </row>
    <row r="1912" spans="1:8" x14ac:dyDescent="0.25">
      <c r="A1912" s="94" t="s">
        <v>6319</v>
      </c>
      <c r="B1912" s="98">
        <v>72395</v>
      </c>
      <c r="C1912" s="98" t="s">
        <v>6909</v>
      </c>
      <c r="D1912" s="96" t="s">
        <v>161</v>
      </c>
      <c r="E1912" s="97">
        <v>145</v>
      </c>
      <c r="F1912" s="67" t="str">
        <f>IFERROR(IFERROR(INDEX(Кат!$A:$A,MATCH(Прайс!$B1912,Кат!$G:$G,0)),INDEX(Торг!$B:$B,MATCH(Прайс!$B1912,Торг!$H:$H,0))),"")</f>
        <v/>
      </c>
      <c r="G1912" s="67" t="str">
        <f>IFERROR(IFERROR(INDEX(Кат!$B:$B,MATCH(Прайс!$B1912,Кат!$G:$G,0)),INDEX(Торг!$C:$C,MATCH(Прайс!$B1912,Торг!$H:$H,0))),"")</f>
        <v/>
      </c>
      <c r="H1912" s="67" t="str">
        <f>IFERROR(IFERROR(INDEX(Кат!$I:$I,MATCH(Прайс!$B1912,Кат!$G:$G,0)),INDEX(Торг!$I:$I,MATCH(Прайс!$B1912,Торг!$H:$H,0))),"")</f>
        <v/>
      </c>
    </row>
    <row r="1913" spans="1:8" x14ac:dyDescent="0.25">
      <c r="A1913" s="94" t="s">
        <v>8269</v>
      </c>
      <c r="B1913" s="98">
        <v>72703</v>
      </c>
      <c r="C1913" s="98" t="s">
        <v>8270</v>
      </c>
      <c r="D1913" s="96" t="s">
        <v>176</v>
      </c>
      <c r="E1913" s="97">
        <v>145</v>
      </c>
      <c r="F1913" s="67" t="str">
        <f>IFERROR(IFERROR(INDEX(Кат!$A:$A,MATCH(Прайс!$B1913,Кат!$G:$G,0)),INDEX(Торг!$B:$B,MATCH(Прайс!$B1913,Торг!$H:$H,0))),"")</f>
        <v/>
      </c>
      <c r="G1913" s="67" t="str">
        <f>IFERROR(IFERROR(INDEX(Кат!$B:$B,MATCH(Прайс!$B1913,Кат!$G:$G,0)),INDEX(Торг!$C:$C,MATCH(Прайс!$B1913,Торг!$H:$H,0))),"")</f>
        <v/>
      </c>
      <c r="H1913" s="67" t="str">
        <f>IFERROR(IFERROR(INDEX(Кат!$I:$I,MATCH(Прайс!$B1913,Кат!$G:$G,0)),INDEX(Торг!$I:$I,MATCH(Прайс!$B1913,Торг!$H:$H,0))),"")</f>
        <v/>
      </c>
    </row>
    <row r="1914" spans="1:8" x14ac:dyDescent="0.25">
      <c r="A1914" s="94" t="s">
        <v>6910</v>
      </c>
      <c r="B1914" s="98">
        <v>72336</v>
      </c>
      <c r="C1914" s="98" t="s">
        <v>6911</v>
      </c>
      <c r="D1914" s="96" t="s">
        <v>161</v>
      </c>
      <c r="E1914" s="97">
        <v>145</v>
      </c>
      <c r="F1914" s="67" t="str">
        <f>IFERROR(IFERROR(INDEX(Кат!$A:$A,MATCH(Прайс!$B1914,Кат!$G:$G,0)),INDEX(Торг!$B:$B,MATCH(Прайс!$B1914,Торг!$H:$H,0))),"")</f>
        <v/>
      </c>
      <c r="G1914" s="67" t="str">
        <f>IFERROR(IFERROR(INDEX(Кат!$B:$B,MATCH(Прайс!$B1914,Кат!$G:$G,0)),INDEX(Торг!$C:$C,MATCH(Прайс!$B1914,Торг!$H:$H,0))),"")</f>
        <v/>
      </c>
      <c r="H1914" s="67" t="str">
        <f>IFERROR(IFERROR(INDEX(Кат!$I:$I,MATCH(Прайс!$B1914,Кат!$G:$G,0)),INDEX(Торг!$I:$I,MATCH(Прайс!$B1914,Торг!$H:$H,0))),"")</f>
        <v/>
      </c>
    </row>
    <row r="1915" spans="1:8" x14ac:dyDescent="0.25">
      <c r="A1915" s="94" t="s">
        <v>8271</v>
      </c>
      <c r="B1915" s="98">
        <v>72704</v>
      </c>
      <c r="C1915" s="98" t="s">
        <v>8272</v>
      </c>
      <c r="D1915" s="96" t="s">
        <v>161</v>
      </c>
      <c r="E1915" s="97">
        <v>145</v>
      </c>
      <c r="F1915" s="67" t="str">
        <f>IFERROR(IFERROR(INDEX(Кат!$A:$A,MATCH(Прайс!$B1915,Кат!$G:$G,0)),INDEX(Торг!$B:$B,MATCH(Прайс!$B1915,Торг!$H:$H,0))),"")</f>
        <v/>
      </c>
      <c r="G1915" s="67" t="str">
        <f>IFERROR(IFERROR(INDEX(Кат!$B:$B,MATCH(Прайс!$B1915,Кат!$G:$G,0)),INDEX(Торг!$C:$C,MATCH(Прайс!$B1915,Торг!$H:$H,0))),"")</f>
        <v/>
      </c>
      <c r="H1915" s="67" t="str">
        <f>IFERROR(IFERROR(INDEX(Кат!$I:$I,MATCH(Прайс!$B1915,Кат!$G:$G,0)),INDEX(Торг!$I:$I,MATCH(Прайс!$B1915,Торг!$H:$H,0))),"")</f>
        <v/>
      </c>
    </row>
    <row r="1916" spans="1:8" x14ac:dyDescent="0.25">
      <c r="A1916" s="94" t="s">
        <v>6320</v>
      </c>
      <c r="B1916" s="98">
        <v>72337</v>
      </c>
      <c r="C1916" s="98" t="s">
        <v>6912</v>
      </c>
      <c r="D1916" s="96" t="s">
        <v>161</v>
      </c>
      <c r="E1916" s="97">
        <v>145</v>
      </c>
      <c r="F1916" s="67">
        <f>IFERROR(IFERROR(INDEX(Кат!$A:$A,MATCH(Прайс!$B1916,Кат!$G:$G,0)),INDEX(Торг!$B:$B,MATCH(Прайс!$B1916,Торг!$H:$H,0))),"")</f>
        <v>131483</v>
      </c>
      <c r="G1916" s="67">
        <f>IFERROR(IFERROR(INDEX(Кат!$B:$B,MATCH(Прайс!$B1916,Кат!$G:$G,0)),INDEX(Торг!$C:$C,MATCH(Прайс!$B1916,Торг!$H:$H,0))),"")</f>
        <v>19996</v>
      </c>
      <c r="H1916" s="67" t="str">
        <f>IFERROR(IFERROR(INDEX(Кат!$I:$I,MATCH(Прайс!$B1916,Кат!$G:$G,0)),INDEX(Торг!$I:$I,MATCH(Прайс!$B1916,Торг!$H:$H,0))),"")</f>
        <v>кристал авто</v>
      </c>
    </row>
    <row r="1917" spans="1:8" x14ac:dyDescent="0.25">
      <c r="A1917" s="94" t="s">
        <v>6913</v>
      </c>
      <c r="B1917" s="98">
        <v>72338</v>
      </c>
      <c r="C1917" s="98" t="s">
        <v>6914</v>
      </c>
      <c r="D1917" s="96" t="s">
        <v>161</v>
      </c>
      <c r="E1917" s="97">
        <v>145</v>
      </c>
      <c r="F1917" s="67" t="str">
        <f>IFERROR(IFERROR(INDEX(Кат!$A:$A,MATCH(Прайс!$B1917,Кат!$G:$G,0)),INDEX(Торг!$B:$B,MATCH(Прайс!$B1917,Торг!$H:$H,0))),"")</f>
        <v/>
      </c>
      <c r="G1917" s="67" t="str">
        <f>IFERROR(IFERROR(INDEX(Кат!$B:$B,MATCH(Прайс!$B1917,Кат!$G:$G,0)),INDEX(Торг!$C:$C,MATCH(Прайс!$B1917,Торг!$H:$H,0))),"")</f>
        <v/>
      </c>
      <c r="H1917" s="67" t="str">
        <f>IFERROR(IFERROR(INDEX(Кат!$I:$I,MATCH(Прайс!$B1917,Кат!$G:$G,0)),INDEX(Торг!$I:$I,MATCH(Прайс!$B1917,Торг!$H:$H,0))),"")</f>
        <v/>
      </c>
    </row>
    <row r="1918" spans="1:8" x14ac:dyDescent="0.25">
      <c r="A1918" s="94" t="s">
        <v>6915</v>
      </c>
      <c r="B1918" s="98">
        <v>72339</v>
      </c>
      <c r="C1918" s="98" t="s">
        <v>6916</v>
      </c>
      <c r="D1918" s="96" t="s">
        <v>161</v>
      </c>
      <c r="E1918" s="97">
        <v>145</v>
      </c>
      <c r="F1918" s="67" t="str">
        <f>IFERROR(IFERROR(INDEX(Кат!$A:$A,MATCH(Прайс!$B1918,Кат!$G:$G,0)),INDEX(Торг!$B:$B,MATCH(Прайс!$B1918,Торг!$H:$H,0))),"")</f>
        <v/>
      </c>
      <c r="G1918" s="67" t="str">
        <f>IFERROR(IFERROR(INDEX(Кат!$B:$B,MATCH(Прайс!$B1918,Кат!$G:$G,0)),INDEX(Торг!$C:$C,MATCH(Прайс!$B1918,Торг!$H:$H,0))),"")</f>
        <v/>
      </c>
      <c r="H1918" s="67" t="str">
        <f>IFERROR(IFERROR(INDEX(Кат!$I:$I,MATCH(Прайс!$B1918,Кат!$G:$G,0)),INDEX(Торг!$I:$I,MATCH(Прайс!$B1918,Торг!$H:$H,0))),"")</f>
        <v/>
      </c>
    </row>
    <row r="1919" spans="1:8" x14ac:dyDescent="0.25">
      <c r="A1919" s="94" t="s">
        <v>6321</v>
      </c>
      <c r="B1919" s="98">
        <v>72340</v>
      </c>
      <c r="C1919" s="98" t="s">
        <v>6917</v>
      </c>
      <c r="D1919" s="96" t="s">
        <v>161</v>
      </c>
      <c r="E1919" s="97">
        <v>145</v>
      </c>
      <c r="F1919" s="67" t="str">
        <f>IFERROR(IFERROR(INDEX(Кат!$A:$A,MATCH(Прайс!$B1919,Кат!$G:$G,0)),INDEX(Торг!$B:$B,MATCH(Прайс!$B1919,Торг!$H:$H,0))),"")</f>
        <v/>
      </c>
      <c r="G1919" s="67" t="str">
        <f>IFERROR(IFERROR(INDEX(Кат!$B:$B,MATCH(Прайс!$B1919,Кат!$G:$G,0)),INDEX(Торг!$C:$C,MATCH(Прайс!$B1919,Торг!$H:$H,0))),"")</f>
        <v/>
      </c>
      <c r="H1919" s="67" t="str">
        <f>IFERROR(IFERROR(INDEX(Кат!$I:$I,MATCH(Прайс!$B1919,Кат!$G:$G,0)),INDEX(Торг!$I:$I,MATCH(Прайс!$B1919,Торг!$H:$H,0))),"")</f>
        <v/>
      </c>
    </row>
    <row r="1920" spans="1:8" x14ac:dyDescent="0.25">
      <c r="A1920" s="94" t="s">
        <v>6918</v>
      </c>
      <c r="B1920" s="98">
        <v>72619</v>
      </c>
      <c r="C1920" s="98" t="s">
        <v>6919</v>
      </c>
      <c r="D1920" s="96" t="s">
        <v>161</v>
      </c>
      <c r="E1920" s="97">
        <v>145</v>
      </c>
      <c r="F1920" s="67" t="str">
        <f>IFERROR(IFERROR(INDEX(Кат!$A:$A,MATCH(Прайс!$B1920,Кат!$G:$G,0)),INDEX(Торг!$B:$B,MATCH(Прайс!$B1920,Торг!$H:$H,0))),"")</f>
        <v/>
      </c>
      <c r="G1920" s="67" t="str">
        <f>IFERROR(IFERROR(INDEX(Кат!$B:$B,MATCH(Прайс!$B1920,Кат!$G:$G,0)),INDEX(Торг!$C:$C,MATCH(Прайс!$B1920,Торг!$H:$H,0))),"")</f>
        <v/>
      </c>
      <c r="H1920" s="67" t="str">
        <f>IFERROR(IFERROR(INDEX(Кат!$I:$I,MATCH(Прайс!$B1920,Кат!$G:$G,0)),INDEX(Торг!$I:$I,MATCH(Прайс!$B1920,Торг!$H:$H,0))),"")</f>
        <v/>
      </c>
    </row>
    <row r="1921" spans="1:8" x14ac:dyDescent="0.25">
      <c r="A1921" s="94" t="s">
        <v>8273</v>
      </c>
      <c r="B1921" s="98">
        <v>72705</v>
      </c>
      <c r="C1921" s="98" t="s">
        <v>8274</v>
      </c>
      <c r="D1921" s="96" t="s">
        <v>161</v>
      </c>
      <c r="E1921" s="97">
        <v>145</v>
      </c>
      <c r="F1921" s="67" t="str">
        <f>IFERROR(IFERROR(INDEX(Кат!$A:$A,MATCH(Прайс!$B1921,Кат!$G:$G,0)),INDEX(Торг!$B:$B,MATCH(Прайс!$B1921,Торг!$H:$H,0))),"")</f>
        <v/>
      </c>
      <c r="G1921" s="67" t="str">
        <f>IFERROR(IFERROR(INDEX(Кат!$B:$B,MATCH(Прайс!$B1921,Кат!$G:$G,0)),INDEX(Торг!$C:$C,MATCH(Прайс!$B1921,Торг!$H:$H,0))),"")</f>
        <v/>
      </c>
      <c r="H1921" s="67" t="str">
        <f>IFERROR(IFERROR(INDEX(Кат!$I:$I,MATCH(Прайс!$B1921,Кат!$G:$G,0)),INDEX(Торг!$I:$I,MATCH(Прайс!$B1921,Торг!$H:$H,0))),"")</f>
        <v/>
      </c>
    </row>
    <row r="1922" spans="1:8" x14ac:dyDescent="0.25">
      <c r="A1922" s="94" t="s">
        <v>8413</v>
      </c>
      <c r="B1922" s="98">
        <v>72341</v>
      </c>
      <c r="C1922" s="98" t="s">
        <v>8414</v>
      </c>
      <c r="D1922" s="96" t="s">
        <v>161</v>
      </c>
      <c r="E1922" s="97">
        <v>145</v>
      </c>
      <c r="F1922" s="67" t="str">
        <f>IFERROR(IFERROR(INDEX(Кат!$A:$A,MATCH(Прайс!$B1922,Кат!$G:$G,0)),INDEX(Торг!$B:$B,MATCH(Прайс!$B1922,Торг!$H:$H,0))),"")</f>
        <v/>
      </c>
      <c r="G1922" s="67" t="str">
        <f>IFERROR(IFERROR(INDEX(Кат!$B:$B,MATCH(Прайс!$B1922,Кат!$G:$G,0)),INDEX(Торг!$C:$C,MATCH(Прайс!$B1922,Торг!$H:$H,0))),"")</f>
        <v/>
      </c>
      <c r="H1922" s="67" t="str">
        <f>IFERROR(IFERROR(INDEX(Кат!$I:$I,MATCH(Прайс!$B1922,Кат!$G:$G,0)),INDEX(Торг!$I:$I,MATCH(Прайс!$B1922,Торг!$H:$H,0))),"")</f>
        <v/>
      </c>
    </row>
    <row r="1923" spans="1:8" x14ac:dyDescent="0.25">
      <c r="A1923" s="94" t="s">
        <v>8275</v>
      </c>
      <c r="B1923" s="98">
        <v>72706</v>
      </c>
      <c r="C1923" s="98" t="s">
        <v>8276</v>
      </c>
      <c r="D1923" s="96" t="s">
        <v>161</v>
      </c>
      <c r="E1923" s="97">
        <v>145</v>
      </c>
      <c r="F1923" s="67" t="str">
        <f>IFERROR(IFERROR(INDEX(Кат!$A:$A,MATCH(Прайс!$B1923,Кат!$G:$G,0)),INDEX(Торг!$B:$B,MATCH(Прайс!$B1923,Торг!$H:$H,0))),"")</f>
        <v/>
      </c>
      <c r="G1923" s="67" t="str">
        <f>IFERROR(IFERROR(INDEX(Кат!$B:$B,MATCH(Прайс!$B1923,Кат!$G:$G,0)),INDEX(Торг!$C:$C,MATCH(Прайс!$B1923,Торг!$H:$H,0))),"")</f>
        <v/>
      </c>
      <c r="H1923" s="67" t="str">
        <f>IFERROR(IFERROR(INDEX(Кат!$I:$I,MATCH(Прайс!$B1923,Кат!$G:$G,0)),INDEX(Торг!$I:$I,MATCH(Прайс!$B1923,Торг!$H:$H,0))),"")</f>
        <v/>
      </c>
    </row>
    <row r="1924" spans="1:8" x14ac:dyDescent="0.25">
      <c r="A1924" s="94" t="s">
        <v>6920</v>
      </c>
      <c r="B1924" s="98">
        <v>72620</v>
      </c>
      <c r="C1924" s="98" t="s">
        <v>6921</v>
      </c>
      <c r="D1924" s="96" t="s">
        <v>161</v>
      </c>
      <c r="E1924" s="97">
        <v>145</v>
      </c>
      <c r="F1924" s="67" t="str">
        <f>IFERROR(IFERROR(INDEX(Кат!$A:$A,MATCH(Прайс!$B1924,Кат!$G:$G,0)),INDEX(Торг!$B:$B,MATCH(Прайс!$B1924,Торг!$H:$H,0))),"")</f>
        <v/>
      </c>
      <c r="G1924" s="67" t="str">
        <f>IFERROR(IFERROR(INDEX(Кат!$B:$B,MATCH(Прайс!$B1924,Кат!$G:$G,0)),INDEX(Торг!$C:$C,MATCH(Прайс!$B1924,Торг!$H:$H,0))),"")</f>
        <v/>
      </c>
      <c r="H1924" s="67" t="str">
        <f>IFERROR(IFERROR(INDEX(Кат!$I:$I,MATCH(Прайс!$B1924,Кат!$G:$G,0)),INDEX(Торг!$I:$I,MATCH(Прайс!$B1924,Торг!$H:$H,0))),"")</f>
        <v/>
      </c>
    </row>
    <row r="1925" spans="1:8" x14ac:dyDescent="0.25">
      <c r="A1925" s="103" t="s">
        <v>6322</v>
      </c>
      <c r="B1925" s="104">
        <v>70390</v>
      </c>
      <c r="C1925" s="104" t="s">
        <v>6323</v>
      </c>
      <c r="D1925" s="105" t="s">
        <v>797</v>
      </c>
      <c r="E1925" s="113">
        <v>170</v>
      </c>
      <c r="F1925" s="67" t="str">
        <f>IFERROR(IFERROR(INDEX(Кат!$A:$A,MATCH(Прайс!$B1925,Кат!$G:$G,0)),INDEX(Торг!$B:$B,MATCH(Прайс!$B1925,Торг!$H:$H,0))),"")</f>
        <v/>
      </c>
      <c r="G1925" s="67" t="str">
        <f>IFERROR(IFERROR(INDEX(Кат!$B:$B,MATCH(Прайс!$B1925,Кат!$G:$G,0)),INDEX(Торг!$C:$C,MATCH(Прайс!$B1925,Торг!$H:$H,0))),"")</f>
        <v/>
      </c>
      <c r="H1925" s="67" t="str">
        <f>IFERROR(IFERROR(INDEX(Кат!$I:$I,MATCH(Прайс!$B1925,Кат!$G:$G,0)),INDEX(Торг!$I:$I,MATCH(Прайс!$B1925,Торг!$H:$H,0))),"")</f>
        <v/>
      </c>
    </row>
    <row r="1926" spans="1:8" x14ac:dyDescent="0.25">
      <c r="A1926" s="103" t="s">
        <v>6922</v>
      </c>
      <c r="B1926" s="104">
        <v>70391</v>
      </c>
      <c r="C1926" s="104" t="s">
        <v>6923</v>
      </c>
      <c r="D1926" s="105" t="s">
        <v>797</v>
      </c>
      <c r="E1926" s="113">
        <v>170</v>
      </c>
      <c r="F1926" s="67" t="str">
        <f>IFERROR(IFERROR(INDEX(Кат!$A:$A,MATCH(Прайс!$B1926,Кат!$G:$G,0)),INDEX(Торг!$B:$B,MATCH(Прайс!$B1926,Торг!$H:$H,0))),"")</f>
        <v/>
      </c>
      <c r="G1926" s="67" t="str">
        <f>IFERROR(IFERROR(INDEX(Кат!$B:$B,MATCH(Прайс!$B1926,Кат!$G:$G,0)),INDEX(Торг!$C:$C,MATCH(Прайс!$B1926,Торг!$H:$H,0))),"")</f>
        <v/>
      </c>
      <c r="H1926" s="67" t="str">
        <f>IFERROR(IFERROR(INDEX(Кат!$I:$I,MATCH(Прайс!$B1926,Кат!$G:$G,0)),INDEX(Торг!$I:$I,MATCH(Прайс!$B1926,Торг!$H:$H,0))),"")</f>
        <v/>
      </c>
    </row>
    <row r="1927" spans="1:8" x14ac:dyDescent="0.25">
      <c r="A1927" s="103" t="s">
        <v>3594</v>
      </c>
      <c r="B1927" s="104">
        <v>70392</v>
      </c>
      <c r="C1927" s="104" t="s">
        <v>1108</v>
      </c>
      <c r="D1927" s="105" t="s">
        <v>797</v>
      </c>
      <c r="E1927" s="113">
        <v>170</v>
      </c>
      <c r="F1927" s="67" t="str">
        <f>IFERROR(IFERROR(INDEX(Кат!$A:$A,MATCH(Прайс!$B1927,Кат!$G:$G,0)),INDEX(Торг!$B:$B,MATCH(Прайс!$B1927,Торг!$H:$H,0))),"")</f>
        <v/>
      </c>
      <c r="G1927" s="67" t="str">
        <f>IFERROR(IFERROR(INDEX(Кат!$B:$B,MATCH(Прайс!$B1927,Кат!$G:$G,0)),INDEX(Торг!$C:$C,MATCH(Прайс!$B1927,Торг!$H:$H,0))),"")</f>
        <v/>
      </c>
      <c r="H1927" s="67" t="str">
        <f>IFERROR(IFERROR(INDEX(Кат!$I:$I,MATCH(Прайс!$B1927,Кат!$G:$G,0)),INDEX(Торг!$I:$I,MATCH(Прайс!$B1927,Торг!$H:$H,0))),"")</f>
        <v/>
      </c>
    </row>
    <row r="1928" spans="1:8" x14ac:dyDescent="0.25">
      <c r="A1928" s="103" t="s">
        <v>8415</v>
      </c>
      <c r="B1928" s="104">
        <v>70393</v>
      </c>
      <c r="C1928" s="104" t="s">
        <v>8416</v>
      </c>
      <c r="D1928" s="105" t="s">
        <v>797</v>
      </c>
      <c r="E1928" s="113">
        <v>170</v>
      </c>
      <c r="F1928" s="67" t="str">
        <f>IFERROR(IFERROR(INDEX(Кат!$A:$A,MATCH(Прайс!$B1928,Кат!$G:$G,0)),INDEX(Торг!$B:$B,MATCH(Прайс!$B1928,Торг!$H:$H,0))),"")</f>
        <v/>
      </c>
      <c r="G1928" s="67" t="str">
        <f>IFERROR(IFERROR(INDEX(Кат!$B:$B,MATCH(Прайс!$B1928,Кат!$G:$G,0)),INDEX(Торг!$C:$C,MATCH(Прайс!$B1928,Торг!$H:$H,0))),"")</f>
        <v/>
      </c>
      <c r="H1928" s="67" t="str">
        <f>IFERROR(IFERROR(INDEX(Кат!$I:$I,MATCH(Прайс!$B1928,Кат!$G:$G,0)),INDEX(Торг!$I:$I,MATCH(Прайс!$B1928,Торг!$H:$H,0))),"")</f>
        <v/>
      </c>
    </row>
    <row r="1929" spans="1:8" x14ac:dyDescent="0.25">
      <c r="A1929" s="103" t="s">
        <v>6924</v>
      </c>
      <c r="B1929" s="104">
        <v>70394</v>
      </c>
      <c r="C1929" s="104" t="s">
        <v>6925</v>
      </c>
      <c r="D1929" s="105" t="s">
        <v>797</v>
      </c>
      <c r="E1929" s="113">
        <v>170</v>
      </c>
      <c r="F1929" s="67" t="str">
        <f>IFERROR(IFERROR(INDEX(Кат!$A:$A,MATCH(Прайс!$B1929,Кат!$G:$G,0)),INDEX(Торг!$B:$B,MATCH(Прайс!$B1929,Торг!$H:$H,0))),"")</f>
        <v/>
      </c>
      <c r="G1929" s="67" t="str">
        <f>IFERROR(IFERROR(INDEX(Кат!$B:$B,MATCH(Прайс!$B1929,Кат!$G:$G,0)),INDEX(Торг!$C:$C,MATCH(Прайс!$B1929,Торг!$H:$H,0))),"")</f>
        <v/>
      </c>
      <c r="H1929" s="67" t="str">
        <f>IFERROR(IFERROR(INDEX(Кат!$I:$I,MATCH(Прайс!$B1929,Кат!$G:$G,0)),INDEX(Торг!$I:$I,MATCH(Прайс!$B1929,Торг!$H:$H,0))),"")</f>
        <v/>
      </c>
    </row>
    <row r="1930" spans="1:8" x14ac:dyDescent="0.25">
      <c r="A1930" s="103" t="s">
        <v>6926</v>
      </c>
      <c r="B1930" s="104">
        <v>70395</v>
      </c>
      <c r="C1930" s="104" t="s">
        <v>6927</v>
      </c>
      <c r="D1930" s="105" t="s">
        <v>797</v>
      </c>
      <c r="E1930" s="113">
        <v>170</v>
      </c>
      <c r="F1930" s="67" t="str">
        <f>IFERROR(IFERROR(INDEX(Кат!$A:$A,MATCH(Прайс!$B1930,Кат!$G:$G,0)),INDEX(Торг!$B:$B,MATCH(Прайс!$B1930,Торг!$H:$H,0))),"")</f>
        <v/>
      </c>
      <c r="G1930" s="67" t="str">
        <f>IFERROR(IFERROR(INDEX(Кат!$B:$B,MATCH(Прайс!$B1930,Кат!$G:$G,0)),INDEX(Торг!$C:$C,MATCH(Прайс!$B1930,Торг!$H:$H,0))),"")</f>
        <v/>
      </c>
      <c r="H1930" s="67" t="str">
        <f>IFERROR(IFERROR(INDEX(Кат!$I:$I,MATCH(Прайс!$B1930,Кат!$G:$G,0)),INDEX(Торг!$I:$I,MATCH(Прайс!$B1930,Торг!$H:$H,0))),"")</f>
        <v/>
      </c>
    </row>
    <row r="1931" spans="1:8" x14ac:dyDescent="0.25">
      <c r="A1931" s="103" t="s">
        <v>3595</v>
      </c>
      <c r="B1931" s="104">
        <v>70389</v>
      </c>
      <c r="C1931" s="104" t="s">
        <v>1109</v>
      </c>
      <c r="D1931" s="105" t="s">
        <v>797</v>
      </c>
      <c r="E1931" s="113">
        <v>170</v>
      </c>
      <c r="F1931" s="67" t="str">
        <f>IFERROR(IFERROR(INDEX(Кат!$A:$A,MATCH(Прайс!$B1931,Кат!$G:$G,0)),INDEX(Торг!$B:$B,MATCH(Прайс!$B1931,Торг!$H:$H,0))),"")</f>
        <v/>
      </c>
      <c r="G1931" s="67" t="str">
        <f>IFERROR(IFERROR(INDEX(Кат!$B:$B,MATCH(Прайс!$B1931,Кат!$G:$G,0)),INDEX(Торг!$C:$C,MATCH(Прайс!$B1931,Торг!$H:$H,0))),"")</f>
        <v/>
      </c>
      <c r="H1931" s="67" t="str">
        <f>IFERROR(IFERROR(INDEX(Кат!$I:$I,MATCH(Прайс!$B1931,Кат!$G:$G,0)),INDEX(Торг!$I:$I,MATCH(Прайс!$B1931,Торг!$H:$H,0))),"")</f>
        <v/>
      </c>
    </row>
    <row r="1932" spans="1:8" x14ac:dyDescent="0.25">
      <c r="A1932" s="94" t="s">
        <v>3596</v>
      </c>
      <c r="B1932" s="98">
        <v>70446</v>
      </c>
      <c r="C1932" s="98" t="s">
        <v>1110</v>
      </c>
      <c r="D1932" s="96" t="s">
        <v>271</v>
      </c>
      <c r="E1932" s="97">
        <v>140</v>
      </c>
      <c r="F1932" s="67" t="str">
        <f>IFERROR(IFERROR(INDEX(Кат!$A:$A,MATCH(Прайс!$B1932,Кат!$G:$G,0)),INDEX(Торг!$B:$B,MATCH(Прайс!$B1932,Торг!$H:$H,0))),"")</f>
        <v/>
      </c>
      <c r="G1932" s="67" t="str">
        <f>IFERROR(IFERROR(INDEX(Кат!$B:$B,MATCH(Прайс!$B1932,Кат!$G:$G,0)),INDEX(Торг!$C:$C,MATCH(Прайс!$B1932,Торг!$H:$H,0))),"")</f>
        <v/>
      </c>
      <c r="H1932" s="67" t="str">
        <f>IFERROR(IFERROR(INDEX(Кат!$I:$I,MATCH(Прайс!$B1932,Кат!$G:$G,0)),INDEX(Торг!$I:$I,MATCH(Прайс!$B1932,Торг!$H:$H,0))),"")</f>
        <v/>
      </c>
    </row>
    <row r="1933" spans="1:8" x14ac:dyDescent="0.25">
      <c r="A1933" s="94" t="s">
        <v>3597</v>
      </c>
      <c r="B1933" s="98">
        <v>70413</v>
      </c>
      <c r="C1933" s="98" t="s">
        <v>1111</v>
      </c>
      <c r="D1933" s="96" t="s">
        <v>337</v>
      </c>
      <c r="E1933" s="97">
        <v>135</v>
      </c>
      <c r="F1933" s="67" t="str">
        <f>IFERROR(IFERROR(INDEX(Кат!$A:$A,MATCH(Прайс!$B1933,Кат!$G:$G,0)),INDEX(Торг!$B:$B,MATCH(Прайс!$B1933,Торг!$H:$H,0))),"")</f>
        <v/>
      </c>
      <c r="G1933" s="67" t="str">
        <f>IFERROR(IFERROR(INDEX(Кат!$B:$B,MATCH(Прайс!$B1933,Кат!$G:$G,0)),INDEX(Торг!$C:$C,MATCH(Прайс!$B1933,Торг!$H:$H,0))),"")</f>
        <v/>
      </c>
      <c r="H1933" s="67" t="str">
        <f>IFERROR(IFERROR(INDEX(Кат!$I:$I,MATCH(Прайс!$B1933,Кат!$G:$G,0)),INDEX(Торг!$I:$I,MATCH(Прайс!$B1933,Торг!$H:$H,0))),"")</f>
        <v/>
      </c>
    </row>
    <row r="1934" spans="1:8" x14ac:dyDescent="0.25">
      <c r="A1934" s="94" t="s">
        <v>3598</v>
      </c>
      <c r="B1934" s="98">
        <v>70414</v>
      </c>
      <c r="C1934" s="98" t="s">
        <v>1112</v>
      </c>
      <c r="D1934" s="96" t="s">
        <v>1113</v>
      </c>
      <c r="E1934" s="97">
        <v>135</v>
      </c>
      <c r="F1934" s="67" t="str">
        <f>IFERROR(IFERROR(INDEX(Кат!$A:$A,MATCH(Прайс!$B1934,Кат!$G:$G,0)),INDEX(Торг!$B:$B,MATCH(Прайс!$B1934,Торг!$H:$H,0))),"")</f>
        <v/>
      </c>
      <c r="G1934" s="67" t="str">
        <f>IFERROR(IFERROR(INDEX(Кат!$B:$B,MATCH(Прайс!$B1934,Кат!$G:$G,0)),INDEX(Торг!$C:$C,MATCH(Прайс!$B1934,Торг!$H:$H,0))),"")</f>
        <v/>
      </c>
      <c r="H1934" s="67" t="str">
        <f>IFERROR(IFERROR(INDEX(Кат!$I:$I,MATCH(Прайс!$B1934,Кат!$G:$G,0)),INDEX(Торг!$I:$I,MATCH(Прайс!$B1934,Торг!$H:$H,0))),"")</f>
        <v/>
      </c>
    </row>
    <row r="1935" spans="1:8" x14ac:dyDescent="0.25">
      <c r="A1935" s="94" t="s">
        <v>3599</v>
      </c>
      <c r="B1935" s="98">
        <v>70416</v>
      </c>
      <c r="C1935" s="98" t="s">
        <v>1114</v>
      </c>
      <c r="D1935" s="96" t="s">
        <v>1115</v>
      </c>
      <c r="E1935" s="97">
        <v>135</v>
      </c>
      <c r="F1935" s="67" t="str">
        <f>IFERROR(IFERROR(INDEX(Кат!$A:$A,MATCH(Прайс!$B1935,Кат!$G:$G,0)),INDEX(Торг!$B:$B,MATCH(Прайс!$B1935,Торг!$H:$H,0))),"")</f>
        <v/>
      </c>
      <c r="G1935" s="67" t="str">
        <f>IFERROR(IFERROR(INDEX(Кат!$B:$B,MATCH(Прайс!$B1935,Кат!$G:$G,0)),INDEX(Торг!$C:$C,MATCH(Прайс!$B1935,Торг!$H:$H,0))),"")</f>
        <v/>
      </c>
      <c r="H1935" s="67" t="str">
        <f>IFERROR(IFERROR(INDEX(Кат!$I:$I,MATCH(Прайс!$B1935,Кат!$G:$G,0)),INDEX(Торг!$I:$I,MATCH(Прайс!$B1935,Торг!$H:$H,0))),"")</f>
        <v/>
      </c>
    </row>
    <row r="1936" spans="1:8" x14ac:dyDescent="0.25">
      <c r="A1936" s="94" t="s">
        <v>3600</v>
      </c>
      <c r="B1936" s="98">
        <v>71064</v>
      </c>
      <c r="C1936" s="98" t="s">
        <v>1116</v>
      </c>
      <c r="D1936" s="96" t="s">
        <v>1115</v>
      </c>
      <c r="E1936" s="97">
        <v>135</v>
      </c>
      <c r="F1936" s="67" t="str">
        <f>IFERROR(IFERROR(INDEX(Кат!$A:$A,MATCH(Прайс!$B1936,Кат!$G:$G,0)),INDEX(Торг!$B:$B,MATCH(Прайс!$B1936,Торг!$H:$H,0))),"")</f>
        <v/>
      </c>
      <c r="G1936" s="67" t="str">
        <f>IFERROR(IFERROR(INDEX(Кат!$B:$B,MATCH(Прайс!$B1936,Кат!$G:$G,0)),INDEX(Торг!$C:$C,MATCH(Прайс!$B1936,Торг!$H:$H,0))),"")</f>
        <v/>
      </c>
      <c r="H1936" s="67" t="str">
        <f>IFERROR(IFERROR(INDEX(Кат!$I:$I,MATCH(Прайс!$B1936,Кат!$G:$G,0)),INDEX(Торг!$I:$I,MATCH(Прайс!$B1936,Торг!$H:$H,0))),"")</f>
        <v/>
      </c>
    </row>
    <row r="1937" spans="1:8" x14ac:dyDescent="0.25">
      <c r="A1937" s="94" t="s">
        <v>3601</v>
      </c>
      <c r="B1937" s="98">
        <v>70418</v>
      </c>
      <c r="C1937" s="98" t="s">
        <v>1117</v>
      </c>
      <c r="D1937" s="96" t="s">
        <v>1115</v>
      </c>
      <c r="E1937" s="97">
        <v>135</v>
      </c>
      <c r="F1937" s="67" t="str">
        <f>IFERROR(IFERROR(INDEX(Кат!$A:$A,MATCH(Прайс!$B1937,Кат!$G:$G,0)),INDEX(Торг!$B:$B,MATCH(Прайс!$B1937,Торг!$H:$H,0))),"")</f>
        <v/>
      </c>
      <c r="G1937" s="67" t="str">
        <f>IFERROR(IFERROR(INDEX(Кат!$B:$B,MATCH(Прайс!$B1937,Кат!$G:$G,0)),INDEX(Торг!$C:$C,MATCH(Прайс!$B1937,Торг!$H:$H,0))),"")</f>
        <v/>
      </c>
      <c r="H1937" s="67" t="str">
        <f>IFERROR(IFERROR(INDEX(Кат!$I:$I,MATCH(Прайс!$B1937,Кат!$G:$G,0)),INDEX(Торг!$I:$I,MATCH(Прайс!$B1937,Торг!$H:$H,0))),"")</f>
        <v/>
      </c>
    </row>
    <row r="1938" spans="1:8" x14ac:dyDescent="0.25">
      <c r="A1938" s="94" t="s">
        <v>3602</v>
      </c>
      <c r="B1938" s="98">
        <v>70419</v>
      </c>
      <c r="C1938" s="98" t="s">
        <v>1118</v>
      </c>
      <c r="D1938" s="96" t="s">
        <v>1115</v>
      </c>
      <c r="E1938" s="97">
        <v>135</v>
      </c>
      <c r="F1938" s="67" t="str">
        <f>IFERROR(IFERROR(INDEX(Кат!$A:$A,MATCH(Прайс!$B1938,Кат!$G:$G,0)),INDEX(Торг!$B:$B,MATCH(Прайс!$B1938,Торг!$H:$H,0))),"")</f>
        <v/>
      </c>
      <c r="G1938" s="67" t="str">
        <f>IFERROR(IFERROR(INDEX(Кат!$B:$B,MATCH(Прайс!$B1938,Кат!$G:$G,0)),INDEX(Торг!$C:$C,MATCH(Прайс!$B1938,Торг!$H:$H,0))),"")</f>
        <v/>
      </c>
      <c r="H1938" s="67" t="str">
        <f>IFERROR(IFERROR(INDEX(Кат!$I:$I,MATCH(Прайс!$B1938,Кат!$G:$G,0)),INDEX(Торг!$I:$I,MATCH(Прайс!$B1938,Торг!$H:$H,0))),"")</f>
        <v/>
      </c>
    </row>
    <row r="1939" spans="1:8" x14ac:dyDescent="0.25">
      <c r="A1939" s="94" t="s">
        <v>6928</v>
      </c>
      <c r="B1939" s="98">
        <v>72656</v>
      </c>
      <c r="C1939" s="98" t="s">
        <v>6929</v>
      </c>
      <c r="D1939" s="96" t="s">
        <v>1115</v>
      </c>
      <c r="E1939" s="97">
        <v>135</v>
      </c>
      <c r="F1939" s="67" t="str">
        <f>IFERROR(IFERROR(INDEX(Кат!$A:$A,MATCH(Прайс!$B1939,Кат!$G:$G,0)),INDEX(Торг!$B:$B,MATCH(Прайс!$B1939,Торг!$H:$H,0))),"")</f>
        <v/>
      </c>
      <c r="G1939" s="67" t="str">
        <f>IFERROR(IFERROR(INDEX(Кат!$B:$B,MATCH(Прайс!$B1939,Кат!$G:$G,0)),INDEX(Торг!$C:$C,MATCH(Прайс!$B1939,Торг!$H:$H,0))),"")</f>
        <v/>
      </c>
      <c r="H1939" s="67" t="str">
        <f>IFERROR(IFERROR(INDEX(Кат!$I:$I,MATCH(Прайс!$B1939,Кат!$G:$G,0)),INDEX(Торг!$I:$I,MATCH(Прайс!$B1939,Торг!$H:$H,0))),"")</f>
        <v/>
      </c>
    </row>
    <row r="1940" spans="1:8" x14ac:dyDescent="0.25">
      <c r="A1940" s="94" t="s">
        <v>3603</v>
      </c>
      <c r="B1940" s="98">
        <v>70421</v>
      </c>
      <c r="C1940" s="98" t="s">
        <v>1119</v>
      </c>
      <c r="D1940" s="96" t="s">
        <v>1115</v>
      </c>
      <c r="E1940" s="97">
        <v>135</v>
      </c>
      <c r="F1940" s="67" t="str">
        <f>IFERROR(IFERROR(INDEX(Кат!$A:$A,MATCH(Прайс!$B1940,Кат!$G:$G,0)),INDEX(Торг!$B:$B,MATCH(Прайс!$B1940,Торг!$H:$H,0))),"")</f>
        <v/>
      </c>
      <c r="G1940" s="67" t="str">
        <f>IFERROR(IFERROR(INDEX(Кат!$B:$B,MATCH(Прайс!$B1940,Кат!$G:$G,0)),INDEX(Торг!$C:$C,MATCH(Прайс!$B1940,Торг!$H:$H,0))),"")</f>
        <v/>
      </c>
      <c r="H1940" s="67" t="str">
        <f>IFERROR(IFERROR(INDEX(Кат!$I:$I,MATCH(Прайс!$B1940,Кат!$G:$G,0)),INDEX(Торг!$I:$I,MATCH(Прайс!$B1940,Торг!$H:$H,0))),"")</f>
        <v/>
      </c>
    </row>
    <row r="1941" spans="1:8" x14ac:dyDescent="0.25">
      <c r="A1941" s="94" t="s">
        <v>3604</v>
      </c>
      <c r="B1941" s="98">
        <v>70422</v>
      </c>
      <c r="C1941" s="98" t="s">
        <v>1120</v>
      </c>
      <c r="D1941" s="96" t="s">
        <v>1115</v>
      </c>
      <c r="E1941" s="97">
        <v>135</v>
      </c>
      <c r="F1941" s="67" t="str">
        <f>IFERROR(IFERROR(INDEX(Кат!$A:$A,MATCH(Прайс!$B1941,Кат!$G:$G,0)),INDEX(Торг!$B:$B,MATCH(Прайс!$B1941,Торг!$H:$H,0))),"")</f>
        <v/>
      </c>
      <c r="G1941" s="67" t="str">
        <f>IFERROR(IFERROR(INDEX(Кат!$B:$B,MATCH(Прайс!$B1941,Кат!$G:$G,0)),INDEX(Торг!$C:$C,MATCH(Прайс!$B1941,Торг!$H:$H,0))),"")</f>
        <v/>
      </c>
      <c r="H1941" s="67" t="str">
        <f>IFERROR(IFERROR(INDEX(Кат!$I:$I,MATCH(Прайс!$B1941,Кат!$G:$G,0)),INDEX(Торг!$I:$I,MATCH(Прайс!$B1941,Торг!$H:$H,0))),"")</f>
        <v/>
      </c>
    </row>
    <row r="1942" spans="1:8" x14ac:dyDescent="0.25">
      <c r="A1942" s="94" t="s">
        <v>3605</v>
      </c>
      <c r="B1942" s="98">
        <v>70423</v>
      </c>
      <c r="C1942" s="98" t="s">
        <v>6324</v>
      </c>
      <c r="D1942" s="96" t="s">
        <v>1115</v>
      </c>
      <c r="E1942" s="97">
        <v>135</v>
      </c>
      <c r="F1942" s="67" t="str">
        <f>IFERROR(IFERROR(INDEX(Кат!$A:$A,MATCH(Прайс!$B1942,Кат!$G:$G,0)),INDEX(Торг!$B:$B,MATCH(Прайс!$B1942,Торг!$H:$H,0))),"")</f>
        <v/>
      </c>
      <c r="G1942" s="67" t="str">
        <f>IFERROR(IFERROR(INDEX(Кат!$B:$B,MATCH(Прайс!$B1942,Кат!$G:$G,0)),INDEX(Торг!$C:$C,MATCH(Прайс!$B1942,Торг!$H:$H,0))),"")</f>
        <v/>
      </c>
      <c r="H1942" s="67" t="str">
        <f>IFERROR(IFERROR(INDEX(Кат!$I:$I,MATCH(Прайс!$B1942,Кат!$G:$G,0)),INDEX(Торг!$I:$I,MATCH(Прайс!$B1942,Торг!$H:$H,0))),"")</f>
        <v/>
      </c>
    </row>
    <row r="1943" spans="1:8" x14ac:dyDescent="0.25">
      <c r="A1943" s="94" t="s">
        <v>3606</v>
      </c>
      <c r="B1943" s="98">
        <v>70424</v>
      </c>
      <c r="C1943" s="98" t="s">
        <v>1121</v>
      </c>
      <c r="D1943" s="96" t="s">
        <v>1115</v>
      </c>
      <c r="E1943" s="97">
        <v>135</v>
      </c>
      <c r="F1943" s="67" t="str">
        <f>IFERROR(IFERROR(INDEX(Кат!$A:$A,MATCH(Прайс!$B1943,Кат!$G:$G,0)),INDEX(Торг!$B:$B,MATCH(Прайс!$B1943,Торг!$H:$H,0))),"")</f>
        <v/>
      </c>
      <c r="G1943" s="67" t="str">
        <f>IFERROR(IFERROR(INDEX(Кат!$B:$B,MATCH(Прайс!$B1943,Кат!$G:$G,0)),INDEX(Торг!$C:$C,MATCH(Прайс!$B1943,Торг!$H:$H,0))),"")</f>
        <v/>
      </c>
      <c r="H1943" s="67" t="str">
        <f>IFERROR(IFERROR(INDEX(Кат!$I:$I,MATCH(Прайс!$B1943,Кат!$G:$G,0)),INDEX(Торг!$I:$I,MATCH(Прайс!$B1943,Торг!$H:$H,0))),"")</f>
        <v/>
      </c>
    </row>
    <row r="1944" spans="1:8" x14ac:dyDescent="0.25">
      <c r="A1944" s="94" t="s">
        <v>3607</v>
      </c>
      <c r="B1944" s="98">
        <v>70425</v>
      </c>
      <c r="C1944" s="98" t="s">
        <v>1122</v>
      </c>
      <c r="D1944" s="96" t="s">
        <v>1115</v>
      </c>
      <c r="E1944" s="97">
        <v>135</v>
      </c>
      <c r="F1944" s="67" t="str">
        <f>IFERROR(IFERROR(INDEX(Кат!$A:$A,MATCH(Прайс!$B1944,Кат!$G:$G,0)),INDEX(Торг!$B:$B,MATCH(Прайс!$B1944,Торг!$H:$H,0))),"")</f>
        <v/>
      </c>
      <c r="G1944" s="67" t="str">
        <f>IFERROR(IFERROR(INDEX(Кат!$B:$B,MATCH(Прайс!$B1944,Кат!$G:$G,0)),INDEX(Торг!$C:$C,MATCH(Прайс!$B1944,Торг!$H:$H,0))),"")</f>
        <v/>
      </c>
      <c r="H1944" s="67" t="str">
        <f>IFERROR(IFERROR(INDEX(Кат!$I:$I,MATCH(Прайс!$B1944,Кат!$G:$G,0)),INDEX(Торг!$I:$I,MATCH(Прайс!$B1944,Торг!$H:$H,0))),"")</f>
        <v/>
      </c>
    </row>
    <row r="1945" spans="1:8" x14ac:dyDescent="0.25">
      <c r="A1945" s="94" t="s">
        <v>3608</v>
      </c>
      <c r="B1945" s="98">
        <v>70426</v>
      </c>
      <c r="C1945" s="98" t="s">
        <v>1123</v>
      </c>
      <c r="D1945" s="96" t="s">
        <v>1115</v>
      </c>
      <c r="E1945" s="97">
        <v>135</v>
      </c>
      <c r="F1945" s="67" t="str">
        <f>IFERROR(IFERROR(INDEX(Кат!$A:$A,MATCH(Прайс!$B1945,Кат!$G:$G,0)),INDEX(Торг!$B:$B,MATCH(Прайс!$B1945,Торг!$H:$H,0))),"")</f>
        <v/>
      </c>
      <c r="G1945" s="67" t="str">
        <f>IFERROR(IFERROR(INDEX(Кат!$B:$B,MATCH(Прайс!$B1945,Кат!$G:$G,0)),INDEX(Торг!$C:$C,MATCH(Прайс!$B1945,Торг!$H:$H,0))),"")</f>
        <v/>
      </c>
      <c r="H1945" s="67" t="str">
        <f>IFERROR(IFERROR(INDEX(Кат!$I:$I,MATCH(Прайс!$B1945,Кат!$G:$G,0)),INDEX(Торг!$I:$I,MATCH(Прайс!$B1945,Торг!$H:$H,0))),"")</f>
        <v/>
      </c>
    </row>
    <row r="1946" spans="1:8" x14ac:dyDescent="0.25">
      <c r="A1946" s="94" t="s">
        <v>3609</v>
      </c>
      <c r="B1946" s="98">
        <v>70427</v>
      </c>
      <c r="C1946" s="98" t="s">
        <v>6325</v>
      </c>
      <c r="D1946" s="96" t="s">
        <v>1115</v>
      </c>
      <c r="E1946" s="97">
        <v>135</v>
      </c>
      <c r="F1946" s="67" t="str">
        <f>IFERROR(IFERROR(INDEX(Кат!$A:$A,MATCH(Прайс!$B1946,Кат!$G:$G,0)),INDEX(Торг!$B:$B,MATCH(Прайс!$B1946,Торг!$H:$H,0))),"")</f>
        <v/>
      </c>
      <c r="G1946" s="67" t="str">
        <f>IFERROR(IFERROR(INDEX(Кат!$B:$B,MATCH(Прайс!$B1946,Кат!$G:$G,0)),INDEX(Торг!$C:$C,MATCH(Прайс!$B1946,Торг!$H:$H,0))),"")</f>
        <v/>
      </c>
      <c r="H1946" s="67" t="str">
        <f>IFERROR(IFERROR(INDEX(Кат!$I:$I,MATCH(Прайс!$B1946,Кат!$G:$G,0)),INDEX(Торг!$I:$I,MATCH(Прайс!$B1946,Торг!$H:$H,0))),"")</f>
        <v/>
      </c>
    </row>
    <row r="1947" spans="1:8" x14ac:dyDescent="0.25">
      <c r="A1947" s="94" t="s">
        <v>3610</v>
      </c>
      <c r="B1947" s="98">
        <v>70417</v>
      </c>
      <c r="C1947" s="98" t="s">
        <v>2125</v>
      </c>
      <c r="D1947" s="96" t="s">
        <v>1115</v>
      </c>
      <c r="E1947" s="97">
        <v>135</v>
      </c>
      <c r="F1947" s="67" t="str">
        <f>IFERROR(IFERROR(INDEX(Кат!$A:$A,MATCH(Прайс!$B1947,Кат!$G:$G,0)),INDEX(Торг!$B:$B,MATCH(Прайс!$B1947,Торг!$H:$H,0))),"")</f>
        <v/>
      </c>
      <c r="G1947" s="67" t="str">
        <f>IFERROR(IFERROR(INDEX(Кат!$B:$B,MATCH(Прайс!$B1947,Кат!$G:$G,0)),INDEX(Торг!$C:$C,MATCH(Прайс!$B1947,Торг!$H:$H,0))),"")</f>
        <v/>
      </c>
      <c r="H1947" s="67" t="str">
        <f>IFERROR(IFERROR(INDEX(Кат!$I:$I,MATCH(Прайс!$B1947,Кат!$G:$G,0)),INDEX(Торг!$I:$I,MATCH(Прайс!$B1947,Торг!$H:$H,0))),"")</f>
        <v/>
      </c>
    </row>
    <row r="1948" spans="1:8" x14ac:dyDescent="0.25">
      <c r="A1948" s="94" t="s">
        <v>3611</v>
      </c>
      <c r="B1948" s="98">
        <v>71348</v>
      </c>
      <c r="C1948" s="98" t="s">
        <v>1124</v>
      </c>
      <c r="D1948" s="96" t="s">
        <v>5087</v>
      </c>
      <c r="E1948" s="97">
        <v>140</v>
      </c>
      <c r="F1948" s="67" t="str">
        <f>IFERROR(IFERROR(INDEX(Кат!$A:$A,MATCH(Прайс!$B1948,Кат!$G:$G,0)),INDEX(Торг!$B:$B,MATCH(Прайс!$B1948,Торг!$H:$H,0))),"")</f>
        <v/>
      </c>
      <c r="G1948" s="67" t="str">
        <f>IFERROR(IFERROR(INDEX(Кат!$B:$B,MATCH(Прайс!$B1948,Кат!$G:$G,0)),INDEX(Торг!$C:$C,MATCH(Прайс!$B1948,Торг!$H:$H,0))),"")</f>
        <v/>
      </c>
      <c r="H1948" s="67" t="str">
        <f>IFERROR(IFERROR(INDEX(Кат!$I:$I,MATCH(Прайс!$B1948,Кат!$G:$G,0)),INDEX(Торг!$I:$I,MATCH(Прайс!$B1948,Торг!$H:$H,0))),"")</f>
        <v/>
      </c>
    </row>
    <row r="1949" spans="1:8" x14ac:dyDescent="0.25">
      <c r="A1949" s="94" t="s">
        <v>8573</v>
      </c>
      <c r="B1949" s="98">
        <v>72715</v>
      </c>
      <c r="C1949" s="98" t="s">
        <v>8574</v>
      </c>
      <c r="D1949" s="96" t="s">
        <v>176</v>
      </c>
      <c r="E1949" s="97">
        <v>140</v>
      </c>
      <c r="F1949" s="67" t="str">
        <f>IFERROR(IFERROR(INDEX(Кат!$A:$A,MATCH(Прайс!$B1949,Кат!$G:$G,0)),INDEX(Торг!$B:$B,MATCH(Прайс!$B1949,Торг!$H:$H,0))),"")</f>
        <v/>
      </c>
      <c r="G1949" s="67" t="str">
        <f>IFERROR(IFERROR(INDEX(Кат!$B:$B,MATCH(Прайс!$B1949,Кат!$G:$G,0)),INDEX(Торг!$C:$C,MATCH(Прайс!$B1949,Торг!$H:$H,0))),"")</f>
        <v/>
      </c>
      <c r="H1949" s="67" t="str">
        <f>IFERROR(IFERROR(INDEX(Кат!$I:$I,MATCH(Прайс!$B1949,Кат!$G:$G,0)),INDEX(Торг!$I:$I,MATCH(Прайс!$B1949,Торг!$H:$H,0))),"")</f>
        <v/>
      </c>
    </row>
    <row r="1950" spans="1:8" x14ac:dyDescent="0.25">
      <c r="A1950" s="94" t="s">
        <v>8575</v>
      </c>
      <c r="B1950" s="98">
        <v>72714</v>
      </c>
      <c r="C1950" s="98" t="s">
        <v>8576</v>
      </c>
      <c r="D1950" s="96" t="s">
        <v>176</v>
      </c>
      <c r="E1950" s="97">
        <v>170</v>
      </c>
      <c r="F1950" s="67" t="str">
        <f>IFERROR(IFERROR(INDEX(Кат!$A:$A,MATCH(Прайс!$B1950,Кат!$G:$G,0)),INDEX(Торг!$B:$B,MATCH(Прайс!$B1950,Торг!$H:$H,0))),"")</f>
        <v/>
      </c>
      <c r="G1950" s="67" t="str">
        <f>IFERROR(IFERROR(INDEX(Кат!$B:$B,MATCH(Прайс!$B1950,Кат!$G:$G,0)),INDEX(Торг!$C:$C,MATCH(Прайс!$B1950,Торг!$H:$H,0))),"")</f>
        <v/>
      </c>
      <c r="H1950" s="67" t="str">
        <f>IFERROR(IFERROR(INDEX(Кат!$I:$I,MATCH(Прайс!$B1950,Кат!$G:$G,0)),INDEX(Торг!$I:$I,MATCH(Прайс!$B1950,Торг!$H:$H,0))),"")</f>
        <v/>
      </c>
    </row>
    <row r="1951" spans="1:8" x14ac:dyDescent="0.25">
      <c r="A1951" s="94" t="s">
        <v>8577</v>
      </c>
      <c r="B1951" s="98">
        <v>72720</v>
      </c>
      <c r="C1951" s="98" t="s">
        <v>8578</v>
      </c>
      <c r="D1951" s="96" t="s">
        <v>176</v>
      </c>
      <c r="E1951" s="97">
        <v>140</v>
      </c>
      <c r="F1951" s="67" t="str">
        <f>IFERROR(IFERROR(INDEX(Кат!$A:$A,MATCH(Прайс!$B1951,Кат!$G:$G,0)),INDEX(Торг!$B:$B,MATCH(Прайс!$B1951,Торг!$H:$H,0))),"")</f>
        <v/>
      </c>
      <c r="G1951" s="67" t="str">
        <f>IFERROR(IFERROR(INDEX(Кат!$B:$B,MATCH(Прайс!$B1951,Кат!$G:$G,0)),INDEX(Торг!$C:$C,MATCH(Прайс!$B1951,Торг!$H:$H,0))),"")</f>
        <v/>
      </c>
      <c r="H1951" s="67" t="str">
        <f>IFERROR(IFERROR(INDEX(Кат!$I:$I,MATCH(Прайс!$B1951,Кат!$G:$G,0)),INDEX(Торг!$I:$I,MATCH(Прайс!$B1951,Торг!$H:$H,0))),"")</f>
        <v/>
      </c>
    </row>
    <row r="1952" spans="1:8" x14ac:dyDescent="0.25">
      <c r="A1952" s="94" t="s">
        <v>8579</v>
      </c>
      <c r="B1952" s="98">
        <v>72722</v>
      </c>
      <c r="C1952" s="98" t="s">
        <v>8580</v>
      </c>
      <c r="D1952" s="96" t="s">
        <v>176</v>
      </c>
      <c r="E1952" s="97">
        <v>140</v>
      </c>
      <c r="F1952" s="67" t="str">
        <f>IFERROR(IFERROR(INDEX(Кат!$A:$A,MATCH(Прайс!$B1952,Кат!$G:$G,0)),INDEX(Торг!$B:$B,MATCH(Прайс!$B1952,Торг!$H:$H,0))),"")</f>
        <v/>
      </c>
      <c r="G1952" s="67" t="str">
        <f>IFERROR(IFERROR(INDEX(Кат!$B:$B,MATCH(Прайс!$B1952,Кат!$G:$G,0)),INDEX(Торг!$C:$C,MATCH(Прайс!$B1952,Торг!$H:$H,0))),"")</f>
        <v/>
      </c>
      <c r="H1952" s="67" t="str">
        <f>IFERROR(IFERROR(INDEX(Кат!$I:$I,MATCH(Прайс!$B1952,Кат!$G:$G,0)),INDEX(Торг!$I:$I,MATCH(Прайс!$B1952,Торг!$H:$H,0))),"")</f>
        <v/>
      </c>
    </row>
    <row r="1953" spans="1:8" x14ac:dyDescent="0.25">
      <c r="A1953" s="94" t="s">
        <v>8581</v>
      </c>
      <c r="B1953" s="98">
        <v>72713</v>
      </c>
      <c r="C1953" s="98" t="s">
        <v>8582</v>
      </c>
      <c r="D1953" s="96" t="s">
        <v>176</v>
      </c>
      <c r="E1953" s="97">
        <v>170</v>
      </c>
      <c r="F1953" s="67" t="str">
        <f>IFERROR(IFERROR(INDEX(Кат!$A:$A,MATCH(Прайс!$B1953,Кат!$G:$G,0)),INDEX(Торг!$B:$B,MATCH(Прайс!$B1953,Торг!$H:$H,0))),"")</f>
        <v/>
      </c>
      <c r="G1953" s="67" t="str">
        <f>IFERROR(IFERROR(INDEX(Кат!$B:$B,MATCH(Прайс!$B1953,Кат!$G:$G,0)),INDEX(Торг!$C:$C,MATCH(Прайс!$B1953,Торг!$H:$H,0))),"")</f>
        <v/>
      </c>
      <c r="H1953" s="67" t="str">
        <f>IFERROR(IFERROR(INDEX(Кат!$I:$I,MATCH(Прайс!$B1953,Кат!$G:$G,0)),INDEX(Торг!$I:$I,MATCH(Прайс!$B1953,Торг!$H:$H,0))),"")</f>
        <v/>
      </c>
    </row>
    <row r="1954" spans="1:8" x14ac:dyDescent="0.25">
      <c r="A1954" s="94" t="s">
        <v>8583</v>
      </c>
      <c r="B1954" s="98">
        <v>72721</v>
      </c>
      <c r="C1954" s="98" t="s">
        <v>8584</v>
      </c>
      <c r="D1954" s="96" t="s">
        <v>176</v>
      </c>
      <c r="E1954" s="97">
        <v>140</v>
      </c>
      <c r="F1954" s="67" t="str">
        <f>IFERROR(IFERROR(INDEX(Кат!$A:$A,MATCH(Прайс!$B1954,Кат!$G:$G,0)),INDEX(Торг!$B:$B,MATCH(Прайс!$B1954,Торг!$H:$H,0))),"")</f>
        <v/>
      </c>
      <c r="G1954" s="67" t="str">
        <f>IFERROR(IFERROR(INDEX(Кат!$B:$B,MATCH(Прайс!$B1954,Кат!$G:$G,0)),INDEX(Торг!$C:$C,MATCH(Прайс!$B1954,Торг!$H:$H,0))),"")</f>
        <v/>
      </c>
      <c r="H1954" s="67" t="str">
        <f>IFERROR(IFERROR(INDEX(Кат!$I:$I,MATCH(Прайс!$B1954,Кат!$G:$G,0)),INDEX(Торг!$I:$I,MATCH(Прайс!$B1954,Торг!$H:$H,0))),"")</f>
        <v/>
      </c>
    </row>
    <row r="1955" spans="1:8" x14ac:dyDescent="0.25">
      <c r="A1955" s="94" t="s">
        <v>8585</v>
      </c>
      <c r="B1955" s="98">
        <v>72719</v>
      </c>
      <c r="C1955" s="98" t="s">
        <v>8586</v>
      </c>
      <c r="D1955" s="96" t="s">
        <v>176</v>
      </c>
      <c r="E1955" s="97">
        <v>140</v>
      </c>
      <c r="F1955" s="67" t="str">
        <f>IFERROR(IFERROR(INDEX(Кат!$A:$A,MATCH(Прайс!$B1955,Кат!$G:$G,0)),INDEX(Торг!$B:$B,MATCH(Прайс!$B1955,Торг!$H:$H,0))),"")</f>
        <v/>
      </c>
      <c r="G1955" s="67" t="str">
        <f>IFERROR(IFERROR(INDEX(Кат!$B:$B,MATCH(Прайс!$B1955,Кат!$G:$G,0)),INDEX(Торг!$C:$C,MATCH(Прайс!$B1955,Торг!$H:$H,0))),"")</f>
        <v/>
      </c>
      <c r="H1955" s="67" t="str">
        <f>IFERROR(IFERROR(INDEX(Кат!$I:$I,MATCH(Прайс!$B1955,Кат!$G:$G,0)),INDEX(Торг!$I:$I,MATCH(Прайс!$B1955,Торг!$H:$H,0))),"")</f>
        <v/>
      </c>
    </row>
    <row r="1956" spans="1:8" x14ac:dyDescent="0.25">
      <c r="A1956" s="94" t="s">
        <v>8587</v>
      </c>
      <c r="B1956" s="98">
        <v>72723</v>
      </c>
      <c r="C1956" s="98" t="s">
        <v>8588</v>
      </c>
      <c r="D1956" s="96" t="s">
        <v>176</v>
      </c>
      <c r="E1956" s="97">
        <v>140</v>
      </c>
      <c r="F1956" s="67" t="str">
        <f>IFERROR(IFERROR(INDEX(Кат!$A:$A,MATCH(Прайс!$B1956,Кат!$G:$G,0)),INDEX(Торг!$B:$B,MATCH(Прайс!$B1956,Торг!$H:$H,0))),"")</f>
        <v/>
      </c>
      <c r="G1956" s="67" t="str">
        <f>IFERROR(IFERROR(INDEX(Кат!$B:$B,MATCH(Прайс!$B1956,Кат!$G:$G,0)),INDEX(Торг!$C:$C,MATCH(Прайс!$B1956,Торг!$H:$H,0))),"")</f>
        <v/>
      </c>
      <c r="H1956" s="67" t="str">
        <f>IFERROR(IFERROR(INDEX(Кат!$I:$I,MATCH(Прайс!$B1956,Кат!$G:$G,0)),INDEX(Торг!$I:$I,MATCH(Прайс!$B1956,Торг!$H:$H,0))),"")</f>
        <v/>
      </c>
    </row>
    <row r="1957" spans="1:8" x14ac:dyDescent="0.25">
      <c r="A1957" s="94" t="s">
        <v>8589</v>
      </c>
      <c r="B1957" s="98">
        <v>72717</v>
      </c>
      <c r="C1957" s="98" t="s">
        <v>8590</v>
      </c>
      <c r="D1957" s="96" t="s">
        <v>176</v>
      </c>
      <c r="E1957" s="97">
        <v>140</v>
      </c>
      <c r="F1957" s="67" t="str">
        <f>IFERROR(IFERROR(INDEX(Кат!$A:$A,MATCH(Прайс!$B1957,Кат!$G:$G,0)),INDEX(Торг!$B:$B,MATCH(Прайс!$B1957,Торг!$H:$H,0))),"")</f>
        <v/>
      </c>
      <c r="G1957" s="67" t="str">
        <f>IFERROR(IFERROR(INDEX(Кат!$B:$B,MATCH(Прайс!$B1957,Кат!$G:$G,0)),INDEX(Торг!$C:$C,MATCH(Прайс!$B1957,Торг!$H:$H,0))),"")</f>
        <v/>
      </c>
      <c r="H1957" s="67" t="str">
        <f>IFERROR(IFERROR(INDEX(Кат!$I:$I,MATCH(Прайс!$B1957,Кат!$G:$G,0)),INDEX(Торг!$I:$I,MATCH(Прайс!$B1957,Торг!$H:$H,0))),"")</f>
        <v/>
      </c>
    </row>
    <row r="1958" spans="1:8" x14ac:dyDescent="0.25">
      <c r="A1958" s="94" t="s">
        <v>8591</v>
      </c>
      <c r="B1958" s="98">
        <v>72712</v>
      </c>
      <c r="C1958" s="98" t="s">
        <v>8592</v>
      </c>
      <c r="D1958" s="96" t="s">
        <v>176</v>
      </c>
      <c r="E1958" s="97">
        <v>170</v>
      </c>
      <c r="F1958" s="67" t="str">
        <f>IFERROR(IFERROR(INDEX(Кат!$A:$A,MATCH(Прайс!$B1958,Кат!$G:$G,0)),INDEX(Торг!$B:$B,MATCH(Прайс!$B1958,Торг!$H:$H,0))),"")</f>
        <v/>
      </c>
      <c r="G1958" s="67" t="str">
        <f>IFERROR(IFERROR(INDEX(Кат!$B:$B,MATCH(Прайс!$B1958,Кат!$G:$G,0)),INDEX(Торг!$C:$C,MATCH(Прайс!$B1958,Торг!$H:$H,0))),"")</f>
        <v/>
      </c>
      <c r="H1958" s="67" t="str">
        <f>IFERROR(IFERROR(INDEX(Кат!$I:$I,MATCH(Прайс!$B1958,Кат!$G:$G,0)),INDEX(Торг!$I:$I,MATCH(Прайс!$B1958,Торг!$H:$H,0))),"")</f>
        <v/>
      </c>
    </row>
    <row r="1959" spans="1:8" x14ac:dyDescent="0.25">
      <c r="A1959" s="94" t="s">
        <v>8593</v>
      </c>
      <c r="B1959" s="98">
        <v>72716</v>
      </c>
      <c r="C1959" s="98" t="s">
        <v>8594</v>
      </c>
      <c r="D1959" s="96" t="s">
        <v>176</v>
      </c>
      <c r="E1959" s="97">
        <v>140</v>
      </c>
      <c r="F1959" s="67" t="str">
        <f>IFERROR(IFERROR(INDEX(Кат!$A:$A,MATCH(Прайс!$B1959,Кат!$G:$G,0)),INDEX(Торг!$B:$B,MATCH(Прайс!$B1959,Торг!$H:$H,0))),"")</f>
        <v/>
      </c>
      <c r="G1959" s="67" t="str">
        <f>IFERROR(IFERROR(INDEX(Кат!$B:$B,MATCH(Прайс!$B1959,Кат!$G:$G,0)),INDEX(Торг!$C:$C,MATCH(Прайс!$B1959,Торг!$H:$H,0))),"")</f>
        <v/>
      </c>
      <c r="H1959" s="67" t="str">
        <f>IFERROR(IFERROR(INDEX(Кат!$I:$I,MATCH(Прайс!$B1959,Кат!$G:$G,0)),INDEX(Торг!$I:$I,MATCH(Прайс!$B1959,Торг!$H:$H,0))),"")</f>
        <v/>
      </c>
    </row>
    <row r="1960" spans="1:8" x14ac:dyDescent="0.25">
      <c r="A1960" s="94" t="s">
        <v>8595</v>
      </c>
      <c r="B1960" s="98">
        <v>72718</v>
      </c>
      <c r="C1960" s="98" t="s">
        <v>8596</v>
      </c>
      <c r="D1960" s="96" t="s">
        <v>176</v>
      </c>
      <c r="E1960" s="97">
        <v>140</v>
      </c>
      <c r="F1960" s="67" t="str">
        <f>IFERROR(IFERROR(INDEX(Кат!$A:$A,MATCH(Прайс!$B1960,Кат!$G:$G,0)),INDEX(Торг!$B:$B,MATCH(Прайс!$B1960,Торг!$H:$H,0))),"")</f>
        <v/>
      </c>
      <c r="G1960" s="67" t="str">
        <f>IFERROR(IFERROR(INDEX(Кат!$B:$B,MATCH(Прайс!$B1960,Кат!$G:$G,0)),INDEX(Торг!$C:$C,MATCH(Прайс!$B1960,Торг!$H:$H,0))),"")</f>
        <v/>
      </c>
      <c r="H1960" s="67" t="str">
        <f>IFERROR(IFERROR(INDEX(Кат!$I:$I,MATCH(Прайс!$B1960,Кат!$G:$G,0)),INDEX(Торг!$I:$I,MATCH(Прайс!$B1960,Торг!$H:$H,0))),"")</f>
        <v/>
      </c>
    </row>
    <row r="1961" spans="1:8" x14ac:dyDescent="0.25">
      <c r="A1961" s="103" t="s">
        <v>3612</v>
      </c>
      <c r="B1961" s="104">
        <v>70572</v>
      </c>
      <c r="C1961" s="104" t="s">
        <v>7644</v>
      </c>
      <c r="D1961" s="105" t="s">
        <v>165</v>
      </c>
      <c r="E1961" s="113">
        <v>95</v>
      </c>
      <c r="F1961" s="67" t="str">
        <f>IFERROR(IFERROR(INDEX(Кат!$A:$A,MATCH(Прайс!$B1961,Кат!$G:$G,0)),INDEX(Торг!$B:$B,MATCH(Прайс!$B1961,Торг!$H:$H,0))),"")</f>
        <v/>
      </c>
      <c r="G1961" s="67" t="str">
        <f>IFERROR(IFERROR(INDEX(Кат!$B:$B,MATCH(Прайс!$B1961,Кат!$G:$G,0)),INDEX(Торг!$C:$C,MATCH(Прайс!$B1961,Торг!$H:$H,0))),"")</f>
        <v/>
      </c>
      <c r="H1961" s="67" t="str">
        <f>IFERROR(IFERROR(INDEX(Кат!$I:$I,MATCH(Прайс!$B1961,Кат!$G:$G,0)),INDEX(Торг!$I:$I,MATCH(Прайс!$B1961,Торг!$H:$H,0))),"")</f>
        <v/>
      </c>
    </row>
    <row r="1962" spans="1:8" x14ac:dyDescent="0.25">
      <c r="A1962" s="94" t="s">
        <v>6930</v>
      </c>
      <c r="B1962" s="98">
        <v>72650</v>
      </c>
      <c r="C1962" s="98" t="s">
        <v>6931</v>
      </c>
      <c r="D1962" s="96" t="s">
        <v>582</v>
      </c>
      <c r="E1962" s="97">
        <v>120</v>
      </c>
      <c r="F1962" s="67" t="str">
        <f>IFERROR(IFERROR(INDEX(Кат!$A:$A,MATCH(Прайс!$B1962,Кат!$G:$G,0)),INDEX(Торг!$B:$B,MATCH(Прайс!$B1962,Торг!$H:$H,0))),"")</f>
        <v/>
      </c>
      <c r="G1962" s="67" t="str">
        <f>IFERROR(IFERROR(INDEX(Кат!$B:$B,MATCH(Прайс!$B1962,Кат!$G:$G,0)),INDEX(Торг!$C:$C,MATCH(Прайс!$B1962,Торг!$H:$H,0))),"")</f>
        <v/>
      </c>
      <c r="H1962" s="67" t="str">
        <f>IFERROR(IFERROR(INDEX(Кат!$I:$I,MATCH(Прайс!$B1962,Кат!$G:$G,0)),INDEX(Торг!$I:$I,MATCH(Прайс!$B1962,Торг!$H:$H,0))),"")</f>
        <v/>
      </c>
    </row>
    <row r="1963" spans="1:8" x14ac:dyDescent="0.25">
      <c r="A1963" s="94" t="s">
        <v>6932</v>
      </c>
      <c r="B1963" s="98">
        <v>72651</v>
      </c>
      <c r="C1963" s="98" t="s">
        <v>6933</v>
      </c>
      <c r="D1963" s="96" t="s">
        <v>582</v>
      </c>
      <c r="E1963" s="97">
        <v>120</v>
      </c>
      <c r="F1963" s="67" t="str">
        <f>IFERROR(IFERROR(INDEX(Кат!$A:$A,MATCH(Прайс!$B1963,Кат!$G:$G,0)),INDEX(Торг!$B:$B,MATCH(Прайс!$B1963,Торг!$H:$H,0))),"")</f>
        <v/>
      </c>
      <c r="G1963" s="67" t="str">
        <f>IFERROR(IFERROR(INDEX(Кат!$B:$B,MATCH(Прайс!$B1963,Кат!$G:$G,0)),INDEX(Торг!$C:$C,MATCH(Прайс!$B1963,Торг!$H:$H,0))),"")</f>
        <v/>
      </c>
      <c r="H1963" s="67" t="str">
        <f>IFERROR(IFERROR(INDEX(Кат!$I:$I,MATCH(Прайс!$B1963,Кат!$G:$G,0)),INDEX(Торг!$I:$I,MATCH(Прайс!$B1963,Торг!$H:$H,0))),"")</f>
        <v/>
      </c>
    </row>
    <row r="1964" spans="1:8" x14ac:dyDescent="0.25">
      <c r="A1964" s="94" t="s">
        <v>6934</v>
      </c>
      <c r="B1964" s="98">
        <v>72652</v>
      </c>
      <c r="C1964" s="98" t="s">
        <v>6935</v>
      </c>
      <c r="D1964" s="96" t="s">
        <v>582</v>
      </c>
      <c r="E1964" s="97">
        <v>120</v>
      </c>
      <c r="F1964" s="67" t="str">
        <f>IFERROR(IFERROR(INDEX(Кат!$A:$A,MATCH(Прайс!$B1964,Кат!$G:$G,0)),INDEX(Торг!$B:$B,MATCH(Прайс!$B1964,Торг!$H:$H,0))),"")</f>
        <v/>
      </c>
      <c r="G1964" s="67" t="str">
        <f>IFERROR(IFERROR(INDEX(Кат!$B:$B,MATCH(Прайс!$B1964,Кат!$G:$G,0)),INDEX(Торг!$C:$C,MATCH(Прайс!$B1964,Торг!$H:$H,0))),"")</f>
        <v/>
      </c>
      <c r="H1964" s="67" t="str">
        <f>IFERROR(IFERROR(INDEX(Кат!$I:$I,MATCH(Прайс!$B1964,Кат!$G:$G,0)),INDEX(Торг!$I:$I,MATCH(Прайс!$B1964,Торг!$H:$H,0))),"")</f>
        <v/>
      </c>
    </row>
    <row r="1965" spans="1:8" x14ac:dyDescent="0.25">
      <c r="A1965" s="94" t="s">
        <v>6936</v>
      </c>
      <c r="B1965" s="98">
        <v>72653</v>
      </c>
      <c r="C1965" s="98" t="s">
        <v>6937</v>
      </c>
      <c r="D1965" s="96" t="s">
        <v>582</v>
      </c>
      <c r="E1965" s="97">
        <v>120</v>
      </c>
      <c r="F1965" s="67" t="str">
        <f>IFERROR(IFERROR(INDEX(Кат!$A:$A,MATCH(Прайс!$B1965,Кат!$G:$G,0)),INDEX(Торг!$B:$B,MATCH(Прайс!$B1965,Торг!$H:$H,0))),"")</f>
        <v/>
      </c>
      <c r="G1965" s="67" t="str">
        <f>IFERROR(IFERROR(INDEX(Кат!$B:$B,MATCH(Прайс!$B1965,Кат!$G:$G,0)),INDEX(Торг!$C:$C,MATCH(Прайс!$B1965,Торг!$H:$H,0))),"")</f>
        <v/>
      </c>
      <c r="H1965" s="67" t="str">
        <f>IFERROR(IFERROR(INDEX(Кат!$I:$I,MATCH(Прайс!$B1965,Кат!$G:$G,0)),INDEX(Торг!$I:$I,MATCH(Прайс!$B1965,Торг!$H:$H,0))),"")</f>
        <v/>
      </c>
    </row>
    <row r="1966" spans="1:8" x14ac:dyDescent="0.25">
      <c r="A1966" s="94" t="s">
        <v>6938</v>
      </c>
      <c r="B1966" s="98">
        <v>72654</v>
      </c>
      <c r="C1966" s="98" t="s">
        <v>6939</v>
      </c>
      <c r="D1966" s="96" t="s">
        <v>582</v>
      </c>
      <c r="E1966" s="97">
        <v>120</v>
      </c>
      <c r="F1966" s="67" t="str">
        <f>IFERROR(IFERROR(INDEX(Кат!$A:$A,MATCH(Прайс!$B1966,Кат!$G:$G,0)),INDEX(Торг!$B:$B,MATCH(Прайс!$B1966,Торг!$H:$H,0))),"")</f>
        <v/>
      </c>
      <c r="G1966" s="67" t="str">
        <f>IFERROR(IFERROR(INDEX(Кат!$B:$B,MATCH(Прайс!$B1966,Кат!$G:$G,0)),INDEX(Торг!$C:$C,MATCH(Прайс!$B1966,Торг!$H:$H,0))),"")</f>
        <v/>
      </c>
      <c r="H1966" s="67" t="str">
        <f>IFERROR(IFERROR(INDEX(Кат!$I:$I,MATCH(Прайс!$B1966,Кат!$G:$G,0)),INDEX(Торг!$I:$I,MATCH(Прайс!$B1966,Торг!$H:$H,0))),"")</f>
        <v/>
      </c>
    </row>
    <row r="1967" spans="1:8" x14ac:dyDescent="0.25">
      <c r="A1967" s="94" t="s">
        <v>5894</v>
      </c>
      <c r="B1967" s="98">
        <v>72505</v>
      </c>
      <c r="C1967" s="98" t="s">
        <v>5895</v>
      </c>
      <c r="D1967" s="96" t="s">
        <v>337</v>
      </c>
      <c r="E1967" s="97">
        <v>120</v>
      </c>
      <c r="F1967" s="67" t="str">
        <f>IFERROR(IFERROR(INDEX(Кат!$A:$A,MATCH(Прайс!$B1967,Кат!$G:$G,0)),INDEX(Торг!$B:$B,MATCH(Прайс!$B1967,Торг!$H:$H,0))),"")</f>
        <v/>
      </c>
      <c r="G1967" s="67" t="str">
        <f>IFERROR(IFERROR(INDEX(Кат!$B:$B,MATCH(Прайс!$B1967,Кат!$G:$G,0)),INDEX(Торг!$C:$C,MATCH(Прайс!$B1967,Торг!$H:$H,0))),"")</f>
        <v/>
      </c>
      <c r="H1967" s="67" t="str">
        <f>IFERROR(IFERROR(INDEX(Кат!$I:$I,MATCH(Прайс!$B1967,Кат!$G:$G,0)),INDEX(Торг!$I:$I,MATCH(Прайс!$B1967,Торг!$H:$H,0))),"")</f>
        <v/>
      </c>
    </row>
    <row r="1968" spans="1:8" x14ac:dyDescent="0.25">
      <c r="A1968" s="94" t="s">
        <v>5896</v>
      </c>
      <c r="B1968" s="98">
        <v>72506</v>
      </c>
      <c r="C1968" s="98" t="s">
        <v>5897</v>
      </c>
      <c r="D1968" s="96" t="s">
        <v>337</v>
      </c>
      <c r="E1968" s="97">
        <v>120</v>
      </c>
      <c r="F1968" s="67" t="str">
        <f>IFERROR(IFERROR(INDEX(Кат!$A:$A,MATCH(Прайс!$B1968,Кат!$G:$G,0)),INDEX(Торг!$B:$B,MATCH(Прайс!$B1968,Торг!$H:$H,0))),"")</f>
        <v/>
      </c>
      <c r="G1968" s="67" t="str">
        <f>IFERROR(IFERROR(INDEX(Кат!$B:$B,MATCH(Прайс!$B1968,Кат!$G:$G,0)),INDEX(Торг!$C:$C,MATCH(Прайс!$B1968,Торг!$H:$H,0))),"")</f>
        <v/>
      </c>
      <c r="H1968" s="67" t="str">
        <f>IFERROR(IFERROR(INDEX(Кат!$I:$I,MATCH(Прайс!$B1968,Кат!$G:$G,0)),INDEX(Торг!$I:$I,MATCH(Прайс!$B1968,Торг!$H:$H,0))),"")</f>
        <v/>
      </c>
    </row>
    <row r="1969" spans="1:8" x14ac:dyDescent="0.25">
      <c r="A1969" s="94" t="s">
        <v>5898</v>
      </c>
      <c r="B1969" s="98">
        <v>72507</v>
      </c>
      <c r="C1969" s="98" t="s">
        <v>5899</v>
      </c>
      <c r="D1969" s="96" t="s">
        <v>337</v>
      </c>
      <c r="E1969" s="97">
        <v>120</v>
      </c>
      <c r="F1969" s="67" t="str">
        <f>IFERROR(IFERROR(INDEX(Кат!$A:$A,MATCH(Прайс!$B1969,Кат!$G:$G,0)),INDEX(Торг!$B:$B,MATCH(Прайс!$B1969,Торг!$H:$H,0))),"")</f>
        <v/>
      </c>
      <c r="G1969" s="67" t="str">
        <f>IFERROR(IFERROR(INDEX(Кат!$B:$B,MATCH(Прайс!$B1969,Кат!$G:$G,0)),INDEX(Торг!$C:$C,MATCH(Прайс!$B1969,Торг!$H:$H,0))),"")</f>
        <v/>
      </c>
      <c r="H1969" s="67" t="str">
        <f>IFERROR(IFERROR(INDEX(Кат!$I:$I,MATCH(Прайс!$B1969,Кат!$G:$G,0)),INDEX(Торг!$I:$I,MATCH(Прайс!$B1969,Торг!$H:$H,0))),"")</f>
        <v/>
      </c>
    </row>
    <row r="1970" spans="1:8" x14ac:dyDescent="0.25">
      <c r="A1970" s="94" t="s">
        <v>5900</v>
      </c>
      <c r="B1970" s="98">
        <v>72508</v>
      </c>
      <c r="C1970" s="98" t="s">
        <v>5901</v>
      </c>
      <c r="D1970" s="96" t="s">
        <v>337</v>
      </c>
      <c r="E1970" s="97">
        <v>120</v>
      </c>
      <c r="F1970" s="67" t="str">
        <f>IFERROR(IFERROR(INDEX(Кат!$A:$A,MATCH(Прайс!$B1970,Кат!$G:$G,0)),INDEX(Торг!$B:$B,MATCH(Прайс!$B1970,Торг!$H:$H,0))),"")</f>
        <v/>
      </c>
      <c r="G1970" s="67" t="str">
        <f>IFERROR(IFERROR(INDEX(Кат!$B:$B,MATCH(Прайс!$B1970,Кат!$G:$G,0)),INDEX(Торг!$C:$C,MATCH(Прайс!$B1970,Торг!$H:$H,0))),"")</f>
        <v/>
      </c>
      <c r="H1970" s="67" t="str">
        <f>IFERROR(IFERROR(INDEX(Кат!$I:$I,MATCH(Прайс!$B1970,Кат!$G:$G,0)),INDEX(Торг!$I:$I,MATCH(Прайс!$B1970,Торг!$H:$H,0))),"")</f>
        <v/>
      </c>
    </row>
    <row r="1971" spans="1:8" x14ac:dyDescent="0.25">
      <c r="A1971" s="94" t="s">
        <v>5902</v>
      </c>
      <c r="B1971" s="98">
        <v>72509</v>
      </c>
      <c r="C1971" s="98" t="s">
        <v>5903</v>
      </c>
      <c r="D1971" s="96" t="s">
        <v>337</v>
      </c>
      <c r="E1971" s="97">
        <v>120</v>
      </c>
      <c r="F1971" s="67" t="str">
        <f>IFERROR(IFERROR(INDEX(Кат!$A:$A,MATCH(Прайс!$B1971,Кат!$G:$G,0)),INDEX(Торг!$B:$B,MATCH(Прайс!$B1971,Торг!$H:$H,0))),"")</f>
        <v/>
      </c>
      <c r="G1971" s="67" t="str">
        <f>IFERROR(IFERROR(INDEX(Кат!$B:$B,MATCH(Прайс!$B1971,Кат!$G:$G,0)),INDEX(Торг!$C:$C,MATCH(Прайс!$B1971,Торг!$H:$H,0))),"")</f>
        <v/>
      </c>
      <c r="H1971" s="67" t="str">
        <f>IFERROR(IFERROR(INDEX(Кат!$I:$I,MATCH(Прайс!$B1971,Кат!$G:$G,0)),INDEX(Торг!$I:$I,MATCH(Прайс!$B1971,Торг!$H:$H,0))),"")</f>
        <v/>
      </c>
    </row>
    <row r="1972" spans="1:8" x14ac:dyDescent="0.25">
      <c r="A1972" s="94" t="s">
        <v>5904</v>
      </c>
      <c r="B1972" s="98">
        <v>72510</v>
      </c>
      <c r="C1972" s="98" t="s">
        <v>5905</v>
      </c>
      <c r="D1972" s="96" t="s">
        <v>337</v>
      </c>
      <c r="E1972" s="97">
        <v>120</v>
      </c>
      <c r="F1972" s="67" t="str">
        <f>IFERROR(IFERROR(INDEX(Кат!$A:$A,MATCH(Прайс!$B1972,Кат!$G:$G,0)),INDEX(Торг!$B:$B,MATCH(Прайс!$B1972,Торг!$H:$H,0))),"")</f>
        <v/>
      </c>
      <c r="G1972" s="67" t="str">
        <f>IFERROR(IFERROR(INDEX(Кат!$B:$B,MATCH(Прайс!$B1972,Кат!$G:$G,0)),INDEX(Торг!$C:$C,MATCH(Прайс!$B1972,Торг!$H:$H,0))),"")</f>
        <v/>
      </c>
      <c r="H1972" s="67" t="str">
        <f>IFERROR(IFERROR(INDEX(Кат!$I:$I,MATCH(Прайс!$B1972,Кат!$G:$G,0)),INDEX(Торг!$I:$I,MATCH(Прайс!$B1972,Торг!$H:$H,0))),"")</f>
        <v/>
      </c>
    </row>
    <row r="1973" spans="1:8" x14ac:dyDescent="0.25">
      <c r="A1973" s="94" t="s">
        <v>5906</v>
      </c>
      <c r="B1973" s="98">
        <v>72511</v>
      </c>
      <c r="C1973" s="98" t="s">
        <v>5907</v>
      </c>
      <c r="D1973" s="96" t="s">
        <v>337</v>
      </c>
      <c r="E1973" s="97">
        <v>120</v>
      </c>
      <c r="F1973" s="67" t="str">
        <f>IFERROR(IFERROR(INDEX(Кат!$A:$A,MATCH(Прайс!$B1973,Кат!$G:$G,0)),INDEX(Торг!$B:$B,MATCH(Прайс!$B1973,Торг!$H:$H,0))),"")</f>
        <v/>
      </c>
      <c r="G1973" s="67" t="str">
        <f>IFERROR(IFERROR(INDEX(Кат!$B:$B,MATCH(Прайс!$B1973,Кат!$G:$G,0)),INDEX(Торг!$C:$C,MATCH(Прайс!$B1973,Торг!$H:$H,0))),"")</f>
        <v/>
      </c>
      <c r="H1973" s="67" t="str">
        <f>IFERROR(IFERROR(INDEX(Кат!$I:$I,MATCH(Прайс!$B1973,Кат!$G:$G,0)),INDEX(Торг!$I:$I,MATCH(Прайс!$B1973,Торг!$H:$H,0))),"")</f>
        <v/>
      </c>
    </row>
    <row r="1974" spans="1:8" x14ac:dyDescent="0.25">
      <c r="A1974" s="94" t="s">
        <v>5908</v>
      </c>
      <c r="B1974" s="98">
        <v>72512</v>
      </c>
      <c r="C1974" s="98" t="s">
        <v>5909</v>
      </c>
      <c r="D1974" s="96" t="s">
        <v>337</v>
      </c>
      <c r="E1974" s="97">
        <v>120</v>
      </c>
      <c r="F1974" s="67" t="str">
        <f>IFERROR(IFERROR(INDEX(Кат!$A:$A,MATCH(Прайс!$B1974,Кат!$G:$G,0)),INDEX(Торг!$B:$B,MATCH(Прайс!$B1974,Торг!$H:$H,0))),"")</f>
        <v/>
      </c>
      <c r="G1974" s="67" t="str">
        <f>IFERROR(IFERROR(INDEX(Кат!$B:$B,MATCH(Прайс!$B1974,Кат!$G:$G,0)),INDEX(Торг!$C:$C,MATCH(Прайс!$B1974,Торг!$H:$H,0))),"")</f>
        <v/>
      </c>
      <c r="H1974" s="67" t="str">
        <f>IFERROR(IFERROR(INDEX(Кат!$I:$I,MATCH(Прайс!$B1974,Кат!$G:$G,0)),INDEX(Торг!$I:$I,MATCH(Прайс!$B1974,Торг!$H:$H,0))),"")</f>
        <v/>
      </c>
    </row>
    <row r="1975" spans="1:8" x14ac:dyDescent="0.25">
      <c r="A1975" s="94" t="s">
        <v>5433</v>
      </c>
      <c r="B1975" s="98">
        <v>72501</v>
      </c>
      <c r="C1975" s="98" t="s">
        <v>5434</v>
      </c>
      <c r="D1975" s="96" t="s">
        <v>177</v>
      </c>
      <c r="E1975" s="97">
        <v>35</v>
      </c>
      <c r="F1975" s="67" t="str">
        <f>IFERROR(IFERROR(INDEX(Кат!$A:$A,MATCH(Прайс!$B1975,Кат!$G:$G,0)),INDEX(Торг!$B:$B,MATCH(Прайс!$B1975,Торг!$H:$H,0))),"")</f>
        <v/>
      </c>
      <c r="G1975" s="67" t="str">
        <f>IFERROR(IFERROR(INDEX(Кат!$B:$B,MATCH(Прайс!$B1975,Кат!$G:$G,0)),INDEX(Торг!$C:$C,MATCH(Прайс!$B1975,Торг!$H:$H,0))),"")</f>
        <v/>
      </c>
      <c r="H1975" s="67" t="str">
        <f>IFERROR(IFERROR(INDEX(Кат!$I:$I,MATCH(Прайс!$B1975,Кат!$G:$G,0)),INDEX(Торг!$I:$I,MATCH(Прайс!$B1975,Торг!$H:$H,0))),"")</f>
        <v/>
      </c>
    </row>
    <row r="1976" spans="1:8" x14ac:dyDescent="0.25">
      <c r="A1976" s="94" t="s">
        <v>5435</v>
      </c>
      <c r="B1976" s="98">
        <v>72502</v>
      </c>
      <c r="C1976" s="98" t="s">
        <v>5436</v>
      </c>
      <c r="D1976" s="96" t="s">
        <v>177</v>
      </c>
      <c r="E1976" s="97">
        <v>35</v>
      </c>
      <c r="F1976" s="67" t="str">
        <f>IFERROR(IFERROR(INDEX(Кат!$A:$A,MATCH(Прайс!$B1976,Кат!$G:$G,0)),INDEX(Торг!$B:$B,MATCH(Прайс!$B1976,Торг!$H:$H,0))),"")</f>
        <v/>
      </c>
      <c r="G1976" s="67" t="str">
        <f>IFERROR(IFERROR(INDEX(Кат!$B:$B,MATCH(Прайс!$B1976,Кат!$G:$G,0)),INDEX(Торг!$C:$C,MATCH(Прайс!$B1976,Торг!$H:$H,0))),"")</f>
        <v/>
      </c>
      <c r="H1976" s="67" t="str">
        <f>IFERROR(IFERROR(INDEX(Кат!$I:$I,MATCH(Прайс!$B1976,Кат!$G:$G,0)),INDEX(Торг!$I:$I,MATCH(Прайс!$B1976,Торг!$H:$H,0))),"")</f>
        <v/>
      </c>
    </row>
    <row r="1977" spans="1:8" x14ac:dyDescent="0.25">
      <c r="A1977" s="94" t="s">
        <v>5437</v>
      </c>
      <c r="B1977" s="98">
        <v>72503</v>
      </c>
      <c r="C1977" s="98" t="s">
        <v>5438</v>
      </c>
      <c r="D1977" s="96" t="s">
        <v>177</v>
      </c>
      <c r="E1977" s="97">
        <v>35</v>
      </c>
      <c r="F1977" s="67" t="str">
        <f>IFERROR(IFERROR(INDEX(Кат!$A:$A,MATCH(Прайс!$B1977,Кат!$G:$G,0)),INDEX(Торг!$B:$B,MATCH(Прайс!$B1977,Торг!$H:$H,0))),"")</f>
        <v/>
      </c>
      <c r="G1977" s="67" t="str">
        <f>IFERROR(IFERROR(INDEX(Кат!$B:$B,MATCH(Прайс!$B1977,Кат!$G:$G,0)),INDEX(Торг!$C:$C,MATCH(Прайс!$B1977,Торг!$H:$H,0))),"")</f>
        <v/>
      </c>
      <c r="H1977" s="67" t="str">
        <f>IFERROR(IFERROR(INDEX(Кат!$I:$I,MATCH(Прайс!$B1977,Кат!$G:$G,0)),INDEX(Торг!$I:$I,MATCH(Прайс!$B1977,Торг!$H:$H,0))),"")</f>
        <v/>
      </c>
    </row>
    <row r="1978" spans="1:8" x14ac:dyDescent="0.25">
      <c r="A1978" s="94" t="s">
        <v>5439</v>
      </c>
      <c r="B1978" s="98">
        <v>72504</v>
      </c>
      <c r="C1978" s="98" t="s">
        <v>5440</v>
      </c>
      <c r="D1978" s="96" t="s">
        <v>177</v>
      </c>
      <c r="E1978" s="97">
        <v>35</v>
      </c>
      <c r="F1978" s="67" t="str">
        <f>IFERROR(IFERROR(INDEX(Кат!$A:$A,MATCH(Прайс!$B1978,Кат!$G:$G,0)),INDEX(Торг!$B:$B,MATCH(Прайс!$B1978,Торг!$H:$H,0))),"")</f>
        <v/>
      </c>
      <c r="G1978" s="67" t="str">
        <f>IFERROR(IFERROR(INDEX(Кат!$B:$B,MATCH(Прайс!$B1978,Кат!$G:$G,0)),INDEX(Торг!$C:$C,MATCH(Прайс!$B1978,Торг!$H:$H,0))),"")</f>
        <v/>
      </c>
      <c r="H1978" s="67" t="str">
        <f>IFERROR(IFERROR(INDEX(Кат!$I:$I,MATCH(Прайс!$B1978,Кат!$G:$G,0)),INDEX(Торг!$I:$I,MATCH(Прайс!$B1978,Торг!$H:$H,0))),"")</f>
        <v/>
      </c>
    </row>
    <row r="1979" spans="1:8" x14ac:dyDescent="0.25">
      <c r="A1979" s="103" t="s">
        <v>6326</v>
      </c>
      <c r="B1979" s="104">
        <v>72568</v>
      </c>
      <c r="C1979" s="104" t="s">
        <v>6940</v>
      </c>
      <c r="D1979" s="105" t="s">
        <v>337</v>
      </c>
      <c r="E1979" s="113">
        <v>85</v>
      </c>
      <c r="F1979" s="67" t="str">
        <f>IFERROR(IFERROR(INDEX(Кат!$A:$A,MATCH(Прайс!$B1979,Кат!$G:$G,0)),INDEX(Торг!$B:$B,MATCH(Прайс!$B1979,Торг!$H:$H,0))),"")</f>
        <v/>
      </c>
      <c r="G1979" s="67" t="str">
        <f>IFERROR(IFERROR(INDEX(Кат!$B:$B,MATCH(Прайс!$B1979,Кат!$G:$G,0)),INDEX(Торг!$C:$C,MATCH(Прайс!$B1979,Торг!$H:$H,0))),"")</f>
        <v/>
      </c>
      <c r="H1979" s="67" t="str">
        <f>IFERROR(IFERROR(INDEX(Кат!$I:$I,MATCH(Прайс!$B1979,Кат!$G:$G,0)),INDEX(Торг!$I:$I,MATCH(Прайс!$B1979,Торг!$H:$H,0))),"")</f>
        <v/>
      </c>
    </row>
    <row r="1980" spans="1:8" x14ac:dyDescent="0.25">
      <c r="A1980" s="103" t="s">
        <v>7645</v>
      </c>
      <c r="B1980" s="104">
        <v>72569</v>
      </c>
      <c r="C1980" s="104" t="s">
        <v>7646</v>
      </c>
      <c r="D1980" s="105" t="s">
        <v>337</v>
      </c>
      <c r="E1980" s="113">
        <v>85</v>
      </c>
      <c r="F1980" s="67" t="str">
        <f>IFERROR(IFERROR(INDEX(Кат!$A:$A,MATCH(Прайс!$B1980,Кат!$G:$G,0)),INDEX(Торг!$B:$B,MATCH(Прайс!$B1980,Торг!$H:$H,0))),"")</f>
        <v/>
      </c>
      <c r="G1980" s="67" t="str">
        <f>IFERROR(IFERROR(INDEX(Кат!$B:$B,MATCH(Прайс!$B1980,Кат!$G:$G,0)),INDEX(Торг!$C:$C,MATCH(Прайс!$B1980,Торг!$H:$H,0))),"")</f>
        <v/>
      </c>
      <c r="H1980" s="67" t="str">
        <f>IFERROR(IFERROR(INDEX(Кат!$I:$I,MATCH(Прайс!$B1980,Кат!$G:$G,0)),INDEX(Торг!$I:$I,MATCH(Прайс!$B1980,Торг!$H:$H,0))),"")</f>
        <v/>
      </c>
    </row>
    <row r="1981" spans="1:8" x14ac:dyDescent="0.25">
      <c r="A1981" s="103" t="s">
        <v>7647</v>
      </c>
      <c r="B1981" s="104">
        <v>72570</v>
      </c>
      <c r="C1981" s="104" t="s">
        <v>7648</v>
      </c>
      <c r="D1981" s="105" t="s">
        <v>337</v>
      </c>
      <c r="E1981" s="113">
        <v>85</v>
      </c>
      <c r="F1981" s="67" t="str">
        <f>IFERROR(IFERROR(INDEX(Кат!$A:$A,MATCH(Прайс!$B1981,Кат!$G:$G,0)),INDEX(Торг!$B:$B,MATCH(Прайс!$B1981,Торг!$H:$H,0))),"")</f>
        <v/>
      </c>
      <c r="G1981" s="67" t="str">
        <f>IFERROR(IFERROR(INDEX(Кат!$B:$B,MATCH(Прайс!$B1981,Кат!$G:$G,0)),INDEX(Торг!$C:$C,MATCH(Прайс!$B1981,Торг!$H:$H,0))),"")</f>
        <v/>
      </c>
      <c r="H1981" s="67" t="str">
        <f>IFERROR(IFERROR(INDEX(Кат!$I:$I,MATCH(Прайс!$B1981,Кат!$G:$G,0)),INDEX(Торг!$I:$I,MATCH(Прайс!$B1981,Торг!$H:$H,0))),"")</f>
        <v/>
      </c>
    </row>
    <row r="1982" spans="1:8" x14ac:dyDescent="0.25">
      <c r="A1982" s="103" t="s">
        <v>7649</v>
      </c>
      <c r="B1982" s="104">
        <v>72571</v>
      </c>
      <c r="C1982" s="104" t="s">
        <v>7650</v>
      </c>
      <c r="D1982" s="105" t="s">
        <v>337</v>
      </c>
      <c r="E1982" s="113">
        <v>85</v>
      </c>
      <c r="F1982" s="67" t="str">
        <f>IFERROR(IFERROR(INDEX(Кат!$A:$A,MATCH(Прайс!$B1982,Кат!$G:$G,0)),INDEX(Торг!$B:$B,MATCH(Прайс!$B1982,Торг!$H:$H,0))),"")</f>
        <v/>
      </c>
      <c r="G1982" s="67" t="str">
        <f>IFERROR(IFERROR(INDEX(Кат!$B:$B,MATCH(Прайс!$B1982,Кат!$G:$G,0)),INDEX(Торг!$C:$C,MATCH(Прайс!$B1982,Торг!$H:$H,0))),"")</f>
        <v/>
      </c>
      <c r="H1982" s="67" t="str">
        <f>IFERROR(IFERROR(INDEX(Кат!$I:$I,MATCH(Прайс!$B1982,Кат!$G:$G,0)),INDEX(Торг!$I:$I,MATCH(Прайс!$B1982,Торг!$H:$H,0))),"")</f>
        <v/>
      </c>
    </row>
    <row r="1983" spans="1:8" x14ac:dyDescent="0.25">
      <c r="A1983" s="103" t="s">
        <v>6941</v>
      </c>
      <c r="B1983" s="104">
        <v>72660</v>
      </c>
      <c r="C1983" s="104" t="s">
        <v>7651</v>
      </c>
      <c r="D1983" s="105" t="s">
        <v>337</v>
      </c>
      <c r="E1983" s="113">
        <v>85</v>
      </c>
      <c r="F1983" s="67" t="str">
        <f>IFERROR(IFERROR(INDEX(Кат!$A:$A,MATCH(Прайс!$B1983,Кат!$G:$G,0)),INDEX(Торг!$B:$B,MATCH(Прайс!$B1983,Торг!$H:$H,0))),"")</f>
        <v/>
      </c>
      <c r="G1983" s="67" t="str">
        <f>IFERROR(IFERROR(INDEX(Кат!$B:$B,MATCH(Прайс!$B1983,Кат!$G:$G,0)),INDEX(Торг!$C:$C,MATCH(Прайс!$B1983,Торг!$H:$H,0))),"")</f>
        <v/>
      </c>
      <c r="H1983" s="67" t="str">
        <f>IFERROR(IFERROR(INDEX(Кат!$I:$I,MATCH(Прайс!$B1983,Кат!$G:$G,0)),INDEX(Торг!$I:$I,MATCH(Прайс!$B1983,Торг!$H:$H,0))),"")</f>
        <v/>
      </c>
    </row>
    <row r="1984" spans="1:8" x14ac:dyDescent="0.25">
      <c r="A1984" s="103" t="s">
        <v>6942</v>
      </c>
      <c r="B1984" s="104">
        <v>72661</v>
      </c>
      <c r="C1984" s="104" t="s">
        <v>7652</v>
      </c>
      <c r="D1984" s="105" t="s">
        <v>337</v>
      </c>
      <c r="E1984" s="113">
        <v>85</v>
      </c>
      <c r="F1984" s="67" t="str">
        <f>IFERROR(IFERROR(INDEX(Кат!$A:$A,MATCH(Прайс!$B1984,Кат!$G:$G,0)),INDEX(Торг!$B:$B,MATCH(Прайс!$B1984,Торг!$H:$H,0))),"")</f>
        <v/>
      </c>
      <c r="G1984" s="67" t="str">
        <f>IFERROR(IFERROR(INDEX(Кат!$B:$B,MATCH(Прайс!$B1984,Кат!$G:$G,0)),INDEX(Торг!$C:$C,MATCH(Прайс!$B1984,Торг!$H:$H,0))),"")</f>
        <v/>
      </c>
      <c r="H1984" s="67" t="str">
        <f>IFERROR(IFERROR(INDEX(Кат!$I:$I,MATCH(Прайс!$B1984,Кат!$G:$G,0)),INDEX(Торг!$I:$I,MATCH(Прайс!$B1984,Торг!$H:$H,0))),"")</f>
        <v/>
      </c>
    </row>
    <row r="1985" spans="1:8" x14ac:dyDescent="0.25">
      <c r="A1985" s="103" t="s">
        <v>6943</v>
      </c>
      <c r="B1985" s="104">
        <v>72662</v>
      </c>
      <c r="C1985" s="104" t="s">
        <v>7653</v>
      </c>
      <c r="D1985" s="105" t="s">
        <v>337</v>
      </c>
      <c r="E1985" s="113">
        <v>85</v>
      </c>
      <c r="F1985" s="67" t="str">
        <f>IFERROR(IFERROR(INDEX(Кат!$A:$A,MATCH(Прайс!$B1985,Кат!$G:$G,0)),INDEX(Торг!$B:$B,MATCH(Прайс!$B1985,Торг!$H:$H,0))),"")</f>
        <v/>
      </c>
      <c r="G1985" s="67" t="str">
        <f>IFERROR(IFERROR(INDEX(Кат!$B:$B,MATCH(Прайс!$B1985,Кат!$G:$G,0)),INDEX(Торг!$C:$C,MATCH(Прайс!$B1985,Торг!$H:$H,0))),"")</f>
        <v/>
      </c>
      <c r="H1985" s="67" t="str">
        <f>IFERROR(IFERROR(INDEX(Кат!$I:$I,MATCH(Прайс!$B1985,Кат!$G:$G,0)),INDEX(Торг!$I:$I,MATCH(Прайс!$B1985,Торг!$H:$H,0))),"")</f>
        <v/>
      </c>
    </row>
    <row r="1986" spans="1:8" x14ac:dyDescent="0.25">
      <c r="A1986" s="94" t="s">
        <v>6327</v>
      </c>
      <c r="B1986" s="98">
        <v>72544</v>
      </c>
      <c r="C1986" s="98" t="s">
        <v>6328</v>
      </c>
      <c r="D1986" s="96" t="s">
        <v>177</v>
      </c>
      <c r="E1986" s="97">
        <v>22</v>
      </c>
      <c r="F1986" s="67" t="str">
        <f>IFERROR(IFERROR(INDEX(Кат!$A:$A,MATCH(Прайс!$B1986,Кат!$G:$G,0)),INDEX(Торг!$B:$B,MATCH(Прайс!$B1986,Торг!$H:$H,0))),"")</f>
        <v/>
      </c>
      <c r="G1986" s="67" t="str">
        <f>IFERROR(IFERROR(INDEX(Кат!$B:$B,MATCH(Прайс!$B1986,Кат!$G:$G,0)),INDEX(Торг!$C:$C,MATCH(Прайс!$B1986,Торг!$H:$H,0))),"")</f>
        <v/>
      </c>
      <c r="H1986" s="67" t="str">
        <f>IFERROR(IFERROR(INDEX(Кат!$I:$I,MATCH(Прайс!$B1986,Кат!$G:$G,0)),INDEX(Торг!$I:$I,MATCH(Прайс!$B1986,Торг!$H:$H,0))),"")</f>
        <v/>
      </c>
    </row>
    <row r="1987" spans="1:8" x14ac:dyDescent="0.25">
      <c r="A1987" s="94" t="s">
        <v>6329</v>
      </c>
      <c r="B1987" s="98">
        <v>72543</v>
      </c>
      <c r="C1987" s="98" t="s">
        <v>6330</v>
      </c>
      <c r="D1987" s="96" t="s">
        <v>177</v>
      </c>
      <c r="E1987" s="97">
        <v>25</v>
      </c>
      <c r="F1987" s="67" t="str">
        <f>IFERROR(IFERROR(INDEX(Кат!$A:$A,MATCH(Прайс!$B1987,Кат!$G:$G,0)),INDEX(Торг!$B:$B,MATCH(Прайс!$B1987,Торг!$H:$H,0))),"")</f>
        <v/>
      </c>
      <c r="G1987" s="67" t="str">
        <f>IFERROR(IFERROR(INDEX(Кат!$B:$B,MATCH(Прайс!$B1987,Кат!$G:$G,0)),INDEX(Торг!$C:$C,MATCH(Прайс!$B1987,Торг!$H:$H,0))),"")</f>
        <v/>
      </c>
      <c r="H1987" s="67" t="str">
        <f>IFERROR(IFERROR(INDEX(Кат!$I:$I,MATCH(Прайс!$B1987,Кат!$G:$G,0)),INDEX(Торг!$I:$I,MATCH(Прайс!$B1987,Торг!$H:$H,0))),"")</f>
        <v/>
      </c>
    </row>
    <row r="1988" spans="1:8" x14ac:dyDescent="0.25">
      <c r="A1988" s="94" t="s">
        <v>7654</v>
      </c>
      <c r="B1988" s="98">
        <v>70662</v>
      </c>
      <c r="C1988" s="98" t="s">
        <v>7655</v>
      </c>
      <c r="D1988" s="96" t="s">
        <v>1126</v>
      </c>
      <c r="E1988" s="97">
        <v>110</v>
      </c>
      <c r="F1988" s="67">
        <f>IFERROR(IFERROR(INDEX(Кат!$A:$A,MATCH(Прайс!$B1988,Кат!$G:$G,0)),INDEX(Торг!$B:$B,MATCH(Прайс!$B1988,Торг!$H:$H,0))),"")</f>
        <v>133058</v>
      </c>
      <c r="G1988" s="67">
        <f>IFERROR(IFERROR(INDEX(Кат!$B:$B,MATCH(Прайс!$B1988,Кат!$G:$G,0)),INDEX(Торг!$C:$C,MATCH(Прайс!$B1988,Торг!$H:$H,0))),"")</f>
        <v>13626</v>
      </c>
      <c r="H1988" s="67" t="str">
        <f>IFERROR(IFERROR(INDEX(Кат!$I:$I,MATCH(Прайс!$B1988,Кат!$G:$G,0)),INDEX(Торг!$I:$I,MATCH(Прайс!$B1988,Торг!$H:$H,0))),"")</f>
        <v>кристал авто</v>
      </c>
    </row>
    <row r="1989" spans="1:8" x14ac:dyDescent="0.25">
      <c r="A1989" s="94" t="s">
        <v>6331</v>
      </c>
      <c r="B1989" s="98">
        <v>70638</v>
      </c>
      <c r="C1989" s="98" t="s">
        <v>6332</v>
      </c>
      <c r="D1989" s="96" t="s">
        <v>1126</v>
      </c>
      <c r="E1989" s="97">
        <v>110</v>
      </c>
      <c r="F1989" s="67" t="str">
        <f>IFERROR(IFERROR(INDEX(Кат!$A:$A,MATCH(Прайс!$B1989,Кат!$G:$G,0)),INDEX(Торг!$B:$B,MATCH(Прайс!$B1989,Торг!$H:$H,0))),"")</f>
        <v/>
      </c>
      <c r="G1989" s="67" t="str">
        <f>IFERROR(IFERROR(INDEX(Кат!$B:$B,MATCH(Прайс!$B1989,Кат!$G:$G,0)),INDEX(Торг!$C:$C,MATCH(Прайс!$B1989,Торг!$H:$H,0))),"")</f>
        <v/>
      </c>
      <c r="H1989" s="67" t="str">
        <f>IFERROR(IFERROR(INDEX(Кат!$I:$I,MATCH(Прайс!$B1989,Кат!$G:$G,0)),INDEX(Торг!$I:$I,MATCH(Прайс!$B1989,Торг!$H:$H,0))),"")</f>
        <v/>
      </c>
    </row>
    <row r="1990" spans="1:8" x14ac:dyDescent="0.25">
      <c r="A1990" s="94" t="s">
        <v>7656</v>
      </c>
      <c r="B1990" s="98">
        <v>70640</v>
      </c>
      <c r="C1990" s="98" t="s">
        <v>7657</v>
      </c>
      <c r="D1990" s="96" t="s">
        <v>1126</v>
      </c>
      <c r="E1990" s="97">
        <v>110</v>
      </c>
      <c r="F1990" s="67" t="str">
        <f>IFERROR(IFERROR(INDEX(Кат!$A:$A,MATCH(Прайс!$B1990,Кат!$G:$G,0)),INDEX(Торг!$B:$B,MATCH(Прайс!$B1990,Торг!$H:$H,0))),"")</f>
        <v/>
      </c>
      <c r="G1990" s="67" t="str">
        <f>IFERROR(IFERROR(INDEX(Кат!$B:$B,MATCH(Прайс!$B1990,Кат!$G:$G,0)),INDEX(Торг!$C:$C,MATCH(Прайс!$B1990,Торг!$H:$H,0))),"")</f>
        <v/>
      </c>
      <c r="H1990" s="67" t="str">
        <f>IFERROR(IFERROR(INDEX(Кат!$I:$I,MATCH(Прайс!$B1990,Кат!$G:$G,0)),INDEX(Торг!$I:$I,MATCH(Прайс!$B1990,Торг!$H:$H,0))),"")</f>
        <v/>
      </c>
    </row>
    <row r="1991" spans="1:8" x14ac:dyDescent="0.25">
      <c r="A1991" s="94" t="s">
        <v>3613</v>
      </c>
      <c r="B1991" s="98">
        <v>70641</v>
      </c>
      <c r="C1991" s="98" t="s">
        <v>1127</v>
      </c>
      <c r="D1991" s="96" t="s">
        <v>1126</v>
      </c>
      <c r="E1991" s="97">
        <v>110</v>
      </c>
      <c r="F1991" s="67">
        <f>IFERROR(IFERROR(INDEX(Кат!$A:$A,MATCH(Прайс!$B1991,Кат!$G:$G,0)),INDEX(Торг!$B:$B,MATCH(Прайс!$B1991,Торг!$H:$H,0))),"")</f>
        <v>133063</v>
      </c>
      <c r="G1991" s="67">
        <f>IFERROR(IFERROR(INDEX(Кат!$B:$B,MATCH(Прайс!$B1991,Кат!$G:$G,0)),INDEX(Торг!$C:$C,MATCH(Прайс!$B1991,Торг!$H:$H,0))),"")</f>
        <v>13624</v>
      </c>
      <c r="H1991" s="67" t="str">
        <f>IFERROR(IFERROR(INDEX(Кат!$I:$I,MATCH(Прайс!$B1991,Кат!$G:$G,0)),INDEX(Торг!$I:$I,MATCH(Прайс!$B1991,Торг!$H:$H,0))),"")</f>
        <v>кристал авто</v>
      </c>
    </row>
    <row r="1992" spans="1:8" x14ac:dyDescent="0.25">
      <c r="A1992" s="99" t="s">
        <v>3614</v>
      </c>
      <c r="B1992" s="108">
        <v>70642</v>
      </c>
      <c r="C1992" s="108" t="s">
        <v>1128</v>
      </c>
      <c r="D1992" s="101" t="s">
        <v>1126</v>
      </c>
      <c r="E1992" s="102">
        <v>110</v>
      </c>
      <c r="F1992" s="67">
        <f>IFERROR(IFERROR(INDEX(Кат!$A:$A,MATCH(Прайс!$B1992,Кат!$G:$G,0)),INDEX(Торг!$B:$B,MATCH(Прайс!$B1992,Торг!$H:$H,0))),"")</f>
        <v>133059</v>
      </c>
      <c r="G1992" s="67">
        <f>IFERROR(IFERROR(INDEX(Кат!$B:$B,MATCH(Прайс!$B1992,Кат!$G:$G,0)),INDEX(Торг!$C:$C,MATCH(Прайс!$B1992,Торг!$H:$H,0))),"")</f>
        <v>13619</v>
      </c>
      <c r="H1992" s="67" t="str">
        <f>IFERROR(IFERROR(INDEX(Кат!$I:$I,MATCH(Прайс!$B1992,Кат!$G:$G,0)),INDEX(Торг!$I:$I,MATCH(Прайс!$B1992,Торг!$H:$H,0))),"")</f>
        <v>кристал авто</v>
      </c>
    </row>
    <row r="1993" spans="1:8" x14ac:dyDescent="0.25">
      <c r="A1993" s="94" t="s">
        <v>3615</v>
      </c>
      <c r="B1993" s="98">
        <v>70644</v>
      </c>
      <c r="C1993" s="98" t="s">
        <v>1129</v>
      </c>
      <c r="D1993" s="96" t="s">
        <v>1126</v>
      </c>
      <c r="E1993" s="97">
        <v>110</v>
      </c>
      <c r="F1993" s="67">
        <f>IFERROR(IFERROR(INDEX(Кат!$A:$A,MATCH(Прайс!$B1993,Кат!$G:$G,0)),INDEX(Торг!$B:$B,MATCH(Прайс!$B1993,Торг!$H:$H,0))),"")</f>
        <v>133065</v>
      </c>
      <c r="G1993" s="67">
        <f>IFERROR(IFERROR(INDEX(Кат!$B:$B,MATCH(Прайс!$B1993,Кат!$G:$G,0)),INDEX(Торг!$C:$C,MATCH(Прайс!$B1993,Торг!$H:$H,0))),"")</f>
        <v>13629</v>
      </c>
      <c r="H1993" s="67" t="str">
        <f>IFERROR(IFERROR(INDEX(Кат!$I:$I,MATCH(Прайс!$B1993,Кат!$G:$G,0)),INDEX(Торг!$I:$I,MATCH(Прайс!$B1993,Торг!$H:$H,0))),"")</f>
        <v>кристал авто</v>
      </c>
    </row>
    <row r="1994" spans="1:8" x14ac:dyDescent="0.25">
      <c r="A1994" s="94" t="s">
        <v>5441</v>
      </c>
      <c r="B1994" s="98">
        <v>72489</v>
      </c>
      <c r="C1994" s="98" t="s">
        <v>5442</v>
      </c>
      <c r="D1994" s="96" t="s">
        <v>1126</v>
      </c>
      <c r="E1994" s="97">
        <v>110</v>
      </c>
      <c r="F1994" s="67" t="str">
        <f>IFERROR(IFERROR(INDEX(Кат!$A:$A,MATCH(Прайс!$B1994,Кат!$G:$G,0)),INDEX(Торг!$B:$B,MATCH(Прайс!$B1994,Торг!$H:$H,0))),"")</f>
        <v/>
      </c>
      <c r="G1994" s="67" t="str">
        <f>IFERROR(IFERROR(INDEX(Кат!$B:$B,MATCH(Прайс!$B1994,Кат!$G:$G,0)),INDEX(Торг!$C:$C,MATCH(Прайс!$B1994,Торг!$H:$H,0))),"")</f>
        <v/>
      </c>
      <c r="H1994" s="67" t="str">
        <f>IFERROR(IFERROR(INDEX(Кат!$I:$I,MATCH(Прайс!$B1994,Кат!$G:$G,0)),INDEX(Торг!$I:$I,MATCH(Прайс!$B1994,Торг!$H:$H,0))),"")</f>
        <v/>
      </c>
    </row>
    <row r="1995" spans="1:8" x14ac:dyDescent="0.25">
      <c r="A1995" s="94" t="s">
        <v>3616</v>
      </c>
      <c r="B1995" s="98">
        <v>70646</v>
      </c>
      <c r="C1995" s="98" t="s">
        <v>1130</v>
      </c>
      <c r="D1995" s="96" t="s">
        <v>1126</v>
      </c>
      <c r="E1995" s="97">
        <v>110</v>
      </c>
      <c r="F1995" s="67" t="str">
        <f>IFERROR(IFERROR(INDEX(Кат!$A:$A,MATCH(Прайс!$B1995,Кат!$G:$G,0)),INDEX(Торг!$B:$B,MATCH(Прайс!$B1995,Торг!$H:$H,0))),"")</f>
        <v/>
      </c>
      <c r="G1995" s="67" t="str">
        <f>IFERROR(IFERROR(INDEX(Кат!$B:$B,MATCH(Прайс!$B1995,Кат!$G:$G,0)),INDEX(Торг!$C:$C,MATCH(Прайс!$B1995,Торг!$H:$H,0))),"")</f>
        <v/>
      </c>
      <c r="H1995" s="67" t="str">
        <f>IFERROR(IFERROR(INDEX(Кат!$I:$I,MATCH(Прайс!$B1995,Кат!$G:$G,0)),INDEX(Торг!$I:$I,MATCH(Прайс!$B1995,Торг!$H:$H,0))),"")</f>
        <v/>
      </c>
    </row>
    <row r="1996" spans="1:8" x14ac:dyDescent="0.25">
      <c r="A1996" s="94" t="s">
        <v>6944</v>
      </c>
      <c r="B1996" s="98">
        <v>70668</v>
      </c>
      <c r="C1996" s="98" t="s">
        <v>6945</v>
      </c>
      <c r="D1996" s="96" t="s">
        <v>1126</v>
      </c>
      <c r="E1996" s="97">
        <v>110</v>
      </c>
      <c r="F1996" s="67" t="str">
        <f>IFERROR(IFERROR(INDEX(Кат!$A:$A,MATCH(Прайс!$B1996,Кат!$G:$G,0)),INDEX(Торг!$B:$B,MATCH(Прайс!$B1996,Торг!$H:$H,0))),"")</f>
        <v/>
      </c>
      <c r="G1996" s="67" t="str">
        <f>IFERROR(IFERROR(INDEX(Кат!$B:$B,MATCH(Прайс!$B1996,Кат!$G:$G,0)),INDEX(Торг!$C:$C,MATCH(Прайс!$B1996,Торг!$H:$H,0))),"")</f>
        <v/>
      </c>
      <c r="H1996" s="67" t="str">
        <f>IFERROR(IFERROR(INDEX(Кат!$I:$I,MATCH(Прайс!$B1996,Кат!$G:$G,0)),INDEX(Торг!$I:$I,MATCH(Прайс!$B1996,Торг!$H:$H,0))),"")</f>
        <v/>
      </c>
    </row>
    <row r="1997" spans="1:8" x14ac:dyDescent="0.25">
      <c r="A1997" s="94" t="s">
        <v>3617</v>
      </c>
      <c r="B1997" s="98">
        <v>70632</v>
      </c>
      <c r="C1997" s="98" t="s">
        <v>1131</v>
      </c>
      <c r="D1997" s="96" t="s">
        <v>1126</v>
      </c>
      <c r="E1997" s="97">
        <v>110</v>
      </c>
      <c r="F1997" s="67">
        <f>IFERROR(IFERROR(INDEX(Кат!$A:$A,MATCH(Прайс!$B1997,Кат!$G:$G,0)),INDEX(Торг!$B:$B,MATCH(Прайс!$B1997,Торг!$H:$H,0))),"")</f>
        <v>133067</v>
      </c>
      <c r="G1997" s="67">
        <f>IFERROR(IFERROR(INDEX(Кат!$B:$B,MATCH(Прайс!$B1997,Кат!$G:$G,0)),INDEX(Торг!$C:$C,MATCH(Прайс!$B1997,Торг!$H:$H,0))),"")</f>
        <v>13630</v>
      </c>
      <c r="H1997" s="67" t="str">
        <f>IFERROR(IFERROR(INDEX(Кат!$I:$I,MATCH(Прайс!$B1997,Кат!$G:$G,0)),INDEX(Торг!$I:$I,MATCH(Прайс!$B1997,Торг!$H:$H,0))),"")</f>
        <v>кристал авто</v>
      </c>
    </row>
    <row r="1998" spans="1:8" x14ac:dyDescent="0.25">
      <c r="A1998" s="94" t="s">
        <v>3618</v>
      </c>
      <c r="B1998" s="98">
        <v>70647</v>
      </c>
      <c r="C1998" s="98" t="s">
        <v>1132</v>
      </c>
      <c r="D1998" s="96" t="s">
        <v>1126</v>
      </c>
      <c r="E1998" s="97">
        <v>110</v>
      </c>
      <c r="F1998" s="67">
        <f>IFERROR(IFERROR(INDEX(Кат!$A:$A,MATCH(Прайс!$B1998,Кат!$G:$G,0)),INDEX(Торг!$B:$B,MATCH(Прайс!$B1998,Торг!$H:$H,0))),"")</f>
        <v>133060</v>
      </c>
      <c r="G1998" s="67">
        <f>IFERROR(IFERROR(INDEX(Кат!$B:$B,MATCH(Прайс!$B1998,Кат!$G:$G,0)),INDEX(Торг!$C:$C,MATCH(Прайс!$B1998,Торг!$H:$H,0))),"")</f>
        <v>6295</v>
      </c>
      <c r="H1998" s="67" t="str">
        <f>IFERROR(IFERROR(INDEX(Кат!$I:$I,MATCH(Прайс!$B1998,Кат!$G:$G,0)),INDEX(Торг!$I:$I,MATCH(Прайс!$B1998,Торг!$H:$H,0))),"")</f>
        <v>кристал авто</v>
      </c>
    </row>
    <row r="1999" spans="1:8" x14ac:dyDescent="0.25">
      <c r="A1999" s="94" t="s">
        <v>7658</v>
      </c>
      <c r="B1999" s="98">
        <v>70648</v>
      </c>
      <c r="C1999" s="98" t="s">
        <v>7659</v>
      </c>
      <c r="D1999" s="96" t="s">
        <v>1126</v>
      </c>
      <c r="E1999" s="97">
        <v>110</v>
      </c>
      <c r="F1999" s="67">
        <f>IFERROR(IFERROR(INDEX(Кат!$A:$A,MATCH(Прайс!$B1999,Кат!$G:$G,0)),INDEX(Торг!$B:$B,MATCH(Прайс!$B1999,Торг!$H:$H,0))),"")</f>
        <v>133068</v>
      </c>
      <c r="G1999" s="67">
        <f>IFERROR(IFERROR(INDEX(Кат!$B:$B,MATCH(Прайс!$B1999,Кат!$G:$G,0)),INDEX(Торг!$C:$C,MATCH(Прайс!$B1999,Торг!$H:$H,0))),"")</f>
        <v>6293</v>
      </c>
      <c r="H1999" s="67" t="str">
        <f>IFERROR(IFERROR(INDEX(Кат!$I:$I,MATCH(Прайс!$B1999,Кат!$G:$G,0)),INDEX(Торг!$I:$I,MATCH(Прайс!$B1999,Торг!$H:$H,0))),"")</f>
        <v>кристал авто</v>
      </c>
    </row>
    <row r="2000" spans="1:8" x14ac:dyDescent="0.25">
      <c r="A2000" s="94" t="s">
        <v>3619</v>
      </c>
      <c r="B2000" s="98">
        <v>70664</v>
      </c>
      <c r="C2000" s="98" t="s">
        <v>1133</v>
      </c>
      <c r="D2000" s="96" t="s">
        <v>1126</v>
      </c>
      <c r="E2000" s="97">
        <v>110</v>
      </c>
      <c r="F2000" s="67">
        <f>IFERROR(IFERROR(INDEX(Кат!$A:$A,MATCH(Прайс!$B2000,Кат!$G:$G,0)),INDEX(Торг!$B:$B,MATCH(Прайс!$B2000,Торг!$H:$H,0))),"")</f>
        <v>133080</v>
      </c>
      <c r="G2000" s="67">
        <f>IFERROR(IFERROR(INDEX(Кат!$B:$B,MATCH(Прайс!$B2000,Кат!$G:$G,0)),INDEX(Торг!$C:$C,MATCH(Прайс!$B2000,Торг!$H:$H,0))),"")</f>
        <v>6290</v>
      </c>
      <c r="H2000" s="67" t="str">
        <f>IFERROR(IFERROR(INDEX(Кат!$I:$I,MATCH(Прайс!$B2000,Кат!$G:$G,0)),INDEX(Торг!$I:$I,MATCH(Прайс!$B2000,Торг!$H:$H,0))),"")</f>
        <v>кристал авто</v>
      </c>
    </row>
    <row r="2001" spans="1:8" x14ac:dyDescent="0.25">
      <c r="A2001" s="94" t="s">
        <v>3620</v>
      </c>
      <c r="B2001" s="98">
        <v>70652</v>
      </c>
      <c r="C2001" s="98" t="s">
        <v>1134</v>
      </c>
      <c r="D2001" s="96" t="s">
        <v>1126</v>
      </c>
      <c r="E2001" s="97">
        <v>110</v>
      </c>
      <c r="F2001" s="67">
        <f>IFERROR(IFERROR(INDEX(Кат!$A:$A,MATCH(Прайс!$B2001,Кат!$G:$G,0)),INDEX(Торг!$B:$B,MATCH(Прайс!$B2001,Торг!$H:$H,0))),"")</f>
        <v>133071</v>
      </c>
      <c r="G2001" s="67">
        <f>IFERROR(IFERROR(INDEX(Кат!$B:$B,MATCH(Прайс!$B2001,Кат!$G:$G,0)),INDEX(Торг!$C:$C,MATCH(Прайс!$B2001,Торг!$H:$H,0))),"")</f>
        <v>13625</v>
      </c>
      <c r="H2001" s="67" t="str">
        <f>IFERROR(IFERROR(INDEX(Кат!$I:$I,MATCH(Прайс!$B2001,Кат!$G:$G,0)),INDEX(Торг!$I:$I,MATCH(Прайс!$B2001,Торг!$H:$H,0))),"")</f>
        <v>кристал авто</v>
      </c>
    </row>
    <row r="2002" spans="1:8" x14ac:dyDescent="0.25">
      <c r="A2002" s="94" t="s">
        <v>6333</v>
      </c>
      <c r="B2002" s="98">
        <v>70653</v>
      </c>
      <c r="C2002" s="98" t="s">
        <v>6334</v>
      </c>
      <c r="D2002" s="96" t="s">
        <v>1126</v>
      </c>
      <c r="E2002" s="97">
        <v>110</v>
      </c>
      <c r="F2002" s="67">
        <f>IFERROR(IFERROR(INDEX(Кат!$A:$A,MATCH(Прайс!$B2002,Кат!$G:$G,0)),INDEX(Торг!$B:$B,MATCH(Прайс!$B2002,Торг!$H:$H,0))),"")</f>
        <v>133072</v>
      </c>
      <c r="G2002" s="67">
        <f>IFERROR(IFERROR(INDEX(Кат!$B:$B,MATCH(Прайс!$B2002,Кат!$G:$G,0)),INDEX(Торг!$C:$C,MATCH(Прайс!$B2002,Торг!$H:$H,0))),"")</f>
        <v>6304</v>
      </c>
      <c r="H2002" s="67" t="str">
        <f>IFERROR(IFERROR(INDEX(Кат!$I:$I,MATCH(Прайс!$B2002,Кат!$G:$G,0)),INDEX(Торг!$I:$I,MATCH(Прайс!$B2002,Торг!$H:$H,0))),"")</f>
        <v>кристал авто</v>
      </c>
    </row>
    <row r="2003" spans="1:8" x14ac:dyDescent="0.25">
      <c r="A2003" s="94" t="s">
        <v>6946</v>
      </c>
      <c r="B2003" s="98">
        <v>70655</v>
      </c>
      <c r="C2003" s="98" t="s">
        <v>6947</v>
      </c>
      <c r="D2003" s="96" t="s">
        <v>1126</v>
      </c>
      <c r="E2003" s="97">
        <v>110</v>
      </c>
      <c r="F2003" s="67">
        <f>IFERROR(IFERROR(INDEX(Кат!$A:$A,MATCH(Прайс!$B2003,Кат!$G:$G,0)),INDEX(Торг!$B:$B,MATCH(Прайс!$B2003,Торг!$H:$H,0))),"")</f>
        <v>133061</v>
      </c>
      <c r="G2003" s="67">
        <f>IFERROR(IFERROR(INDEX(Кат!$B:$B,MATCH(Прайс!$B2003,Кат!$G:$G,0)),INDEX(Торг!$C:$C,MATCH(Прайс!$B2003,Торг!$H:$H,0))),"")</f>
        <v>6298</v>
      </c>
      <c r="H2003" s="67" t="str">
        <f>IFERROR(IFERROR(INDEX(Кат!$I:$I,MATCH(Прайс!$B2003,Кат!$G:$G,0)),INDEX(Торг!$I:$I,MATCH(Прайс!$B2003,Торг!$H:$H,0))),"")</f>
        <v>кристал авто</v>
      </c>
    </row>
    <row r="2004" spans="1:8" x14ac:dyDescent="0.25">
      <c r="A2004" s="94" t="s">
        <v>3621</v>
      </c>
      <c r="B2004" s="98">
        <v>70656</v>
      </c>
      <c r="C2004" s="98" t="s">
        <v>2126</v>
      </c>
      <c r="D2004" s="96" t="s">
        <v>1126</v>
      </c>
      <c r="E2004" s="97">
        <v>110</v>
      </c>
      <c r="F2004" s="67">
        <f>IFERROR(IFERROR(INDEX(Кат!$A:$A,MATCH(Прайс!$B2004,Кат!$G:$G,0)),INDEX(Торг!$B:$B,MATCH(Прайс!$B2004,Торг!$H:$H,0))),"")</f>
        <v>133073</v>
      </c>
      <c r="G2004" s="67">
        <f>IFERROR(IFERROR(INDEX(Кат!$B:$B,MATCH(Прайс!$B2004,Кат!$G:$G,0)),INDEX(Торг!$C:$C,MATCH(Прайс!$B2004,Торг!$H:$H,0))),"")</f>
        <v>6303</v>
      </c>
      <c r="H2004" s="67" t="str">
        <f>IFERROR(IFERROR(INDEX(Кат!$I:$I,MATCH(Прайс!$B2004,Кат!$G:$G,0)),INDEX(Торг!$I:$I,MATCH(Прайс!$B2004,Торг!$H:$H,0))),"")</f>
        <v>кристал авто</v>
      </c>
    </row>
    <row r="2005" spans="1:8" x14ac:dyDescent="0.25">
      <c r="A2005" s="103" t="s">
        <v>3622</v>
      </c>
      <c r="B2005" s="104">
        <v>71537</v>
      </c>
      <c r="C2005" s="104" t="s">
        <v>1135</v>
      </c>
      <c r="D2005" s="105" t="s">
        <v>177</v>
      </c>
      <c r="E2005" s="113">
        <v>110</v>
      </c>
      <c r="F2005" s="67" t="str">
        <f>IFERROR(IFERROR(INDEX(Кат!$A:$A,MATCH(Прайс!$B2005,Кат!$G:$G,0)),INDEX(Торг!$B:$B,MATCH(Прайс!$B2005,Торг!$H:$H,0))),"")</f>
        <v/>
      </c>
      <c r="G2005" s="67" t="str">
        <f>IFERROR(IFERROR(INDEX(Кат!$B:$B,MATCH(Прайс!$B2005,Кат!$G:$G,0)),INDEX(Торг!$C:$C,MATCH(Прайс!$B2005,Торг!$H:$H,0))),"")</f>
        <v/>
      </c>
      <c r="H2005" s="67" t="str">
        <f>IFERROR(IFERROR(INDEX(Кат!$I:$I,MATCH(Прайс!$B2005,Кат!$G:$G,0)),INDEX(Торг!$I:$I,MATCH(Прайс!$B2005,Торг!$H:$H,0))),"")</f>
        <v/>
      </c>
    </row>
    <row r="2006" spans="1:8" x14ac:dyDescent="0.25">
      <c r="A2006" s="94" t="s">
        <v>6948</v>
      </c>
      <c r="B2006" s="98">
        <v>70657</v>
      </c>
      <c r="C2006" s="98" t="s">
        <v>6949</v>
      </c>
      <c r="D2006" s="96" t="s">
        <v>1126</v>
      </c>
      <c r="E2006" s="97">
        <v>110</v>
      </c>
      <c r="F2006" s="67">
        <f>IFERROR(IFERROR(INDEX(Кат!$A:$A,MATCH(Прайс!$B2006,Кат!$G:$G,0)),INDEX(Торг!$B:$B,MATCH(Прайс!$B2006,Торг!$H:$H,0))),"")</f>
        <v>133074</v>
      </c>
      <c r="G2006" s="67">
        <f>IFERROR(IFERROR(INDEX(Кат!$B:$B,MATCH(Прайс!$B2006,Кат!$G:$G,0)),INDEX(Торг!$C:$C,MATCH(Прайс!$B2006,Торг!$H:$H,0))),"")</f>
        <v>13620</v>
      </c>
      <c r="H2006" s="67" t="str">
        <f>IFERROR(IFERROR(INDEX(Кат!$I:$I,MATCH(Прайс!$B2006,Кат!$G:$G,0)),INDEX(Торг!$I:$I,MATCH(Прайс!$B2006,Торг!$H:$H,0))),"")</f>
        <v>кристал авто</v>
      </c>
    </row>
    <row r="2007" spans="1:8" x14ac:dyDescent="0.25">
      <c r="A2007" s="94" t="s">
        <v>3623</v>
      </c>
      <c r="B2007" s="98">
        <v>70658</v>
      </c>
      <c r="C2007" s="98" t="s">
        <v>1136</v>
      </c>
      <c r="D2007" s="96" t="s">
        <v>1126</v>
      </c>
      <c r="E2007" s="97">
        <v>110</v>
      </c>
      <c r="F2007" s="67">
        <f>IFERROR(IFERROR(INDEX(Кат!$A:$A,MATCH(Прайс!$B2007,Кат!$G:$G,0)),INDEX(Торг!$B:$B,MATCH(Прайс!$B2007,Торг!$H:$H,0))),"")</f>
        <v>133066</v>
      </c>
      <c r="G2007" s="67">
        <f>IFERROR(IFERROR(INDEX(Кат!$B:$B,MATCH(Прайс!$B2007,Кат!$G:$G,0)),INDEX(Торг!$C:$C,MATCH(Прайс!$B2007,Торг!$H:$H,0))),"")</f>
        <v>6307</v>
      </c>
      <c r="H2007" s="67" t="str">
        <f>IFERROR(IFERROR(INDEX(Кат!$I:$I,MATCH(Прайс!$B2007,Кат!$G:$G,0)),INDEX(Торг!$I:$I,MATCH(Прайс!$B2007,Торг!$H:$H,0))),"")</f>
        <v>кристал авто</v>
      </c>
    </row>
    <row r="2008" spans="1:8" x14ac:dyDescent="0.25">
      <c r="A2008" s="103" t="s">
        <v>3624</v>
      </c>
      <c r="B2008" s="104">
        <v>70362</v>
      </c>
      <c r="C2008" s="104" t="s">
        <v>1137</v>
      </c>
      <c r="D2008" s="105" t="s">
        <v>177</v>
      </c>
      <c r="E2008" s="113">
        <v>110</v>
      </c>
      <c r="F2008" s="67" t="str">
        <f>IFERROR(IFERROR(INDEX(Кат!$A:$A,MATCH(Прайс!$B2008,Кат!$G:$G,0)),INDEX(Торг!$B:$B,MATCH(Прайс!$B2008,Торг!$H:$H,0))),"")</f>
        <v/>
      </c>
      <c r="G2008" s="67" t="str">
        <f>IFERROR(IFERROR(INDEX(Кат!$B:$B,MATCH(Прайс!$B2008,Кат!$G:$G,0)),INDEX(Торг!$C:$C,MATCH(Прайс!$B2008,Торг!$H:$H,0))),"")</f>
        <v/>
      </c>
      <c r="H2008" s="67" t="str">
        <f>IFERROR(IFERROR(INDEX(Кат!$I:$I,MATCH(Прайс!$B2008,Кат!$G:$G,0)),INDEX(Торг!$I:$I,MATCH(Прайс!$B2008,Торг!$H:$H,0))),"")</f>
        <v/>
      </c>
    </row>
    <row r="2009" spans="1:8" x14ac:dyDescent="0.25">
      <c r="A2009" s="94" t="s">
        <v>6335</v>
      </c>
      <c r="B2009" s="98">
        <v>72572</v>
      </c>
      <c r="C2009" s="98" t="s">
        <v>6336</v>
      </c>
      <c r="D2009" s="96" t="s">
        <v>1126</v>
      </c>
      <c r="E2009" s="97">
        <v>110</v>
      </c>
      <c r="F2009" s="67" t="str">
        <f>IFERROR(IFERROR(INDEX(Кат!$A:$A,MATCH(Прайс!$B2009,Кат!$G:$G,0)),INDEX(Торг!$B:$B,MATCH(Прайс!$B2009,Торг!$H:$H,0))),"")</f>
        <v/>
      </c>
      <c r="G2009" s="67" t="str">
        <f>IFERROR(IFERROR(INDEX(Кат!$B:$B,MATCH(Прайс!$B2009,Кат!$G:$G,0)),INDEX(Торг!$C:$C,MATCH(Прайс!$B2009,Торг!$H:$H,0))),"")</f>
        <v/>
      </c>
      <c r="H2009" s="67" t="str">
        <f>IFERROR(IFERROR(INDEX(Кат!$I:$I,MATCH(Прайс!$B2009,Кат!$G:$G,0)),INDEX(Торг!$I:$I,MATCH(Прайс!$B2009,Торг!$H:$H,0))),"")</f>
        <v/>
      </c>
    </row>
    <row r="2010" spans="1:8" x14ac:dyDescent="0.25">
      <c r="A2010" s="103" t="s">
        <v>3625</v>
      </c>
      <c r="B2010" s="104">
        <v>70661</v>
      </c>
      <c r="C2010" s="104" t="s">
        <v>1138</v>
      </c>
      <c r="D2010" s="105" t="s">
        <v>1126</v>
      </c>
      <c r="E2010" s="113">
        <v>110</v>
      </c>
      <c r="F2010" s="67">
        <f>IFERROR(IFERROR(INDEX(Кат!$A:$A,MATCH(Прайс!$B2010,Кат!$G:$G,0)),INDEX(Торг!$B:$B,MATCH(Прайс!$B2010,Торг!$H:$H,0))),"")</f>
        <v>133076</v>
      </c>
      <c r="G2010" s="67">
        <f>IFERROR(IFERROR(INDEX(Кат!$B:$B,MATCH(Прайс!$B2010,Кат!$G:$G,0)),INDEX(Торг!$C:$C,MATCH(Прайс!$B2010,Торг!$H:$H,0))),"")</f>
        <v>13618</v>
      </c>
      <c r="H2010" s="67" t="str">
        <f>IFERROR(IFERROR(INDEX(Кат!$I:$I,MATCH(Прайс!$B2010,Кат!$G:$G,0)),INDEX(Торг!$I:$I,MATCH(Прайс!$B2010,Торг!$H:$H,0))),"")</f>
        <v>кристал авто</v>
      </c>
    </row>
    <row r="2011" spans="1:8" x14ac:dyDescent="0.25">
      <c r="A2011" s="94" t="s">
        <v>6337</v>
      </c>
      <c r="B2011" s="98">
        <v>70665</v>
      </c>
      <c r="C2011" s="98" t="s">
        <v>7660</v>
      </c>
      <c r="D2011" s="96" t="s">
        <v>1126</v>
      </c>
      <c r="E2011" s="97">
        <v>110</v>
      </c>
      <c r="F2011" s="67">
        <f>IFERROR(IFERROR(INDEX(Кат!$A:$A,MATCH(Прайс!$B2011,Кат!$G:$G,0)),INDEX(Торг!$B:$B,MATCH(Прайс!$B2011,Торг!$H:$H,0))),"")</f>
        <v>133078</v>
      </c>
      <c r="G2011" s="67">
        <f>IFERROR(IFERROR(INDEX(Кат!$B:$B,MATCH(Прайс!$B2011,Кат!$G:$G,0)),INDEX(Торг!$C:$C,MATCH(Прайс!$B2011,Торг!$H:$H,0))),"")</f>
        <v>6305</v>
      </c>
      <c r="H2011" s="67" t="str">
        <f>IFERROR(IFERROR(INDEX(Кат!$I:$I,MATCH(Прайс!$B2011,Кат!$G:$G,0)),INDEX(Торг!$I:$I,MATCH(Прайс!$B2011,Торг!$H:$H,0))),"")</f>
        <v>кристал авто</v>
      </c>
    </row>
    <row r="2012" spans="1:8" x14ac:dyDescent="0.25">
      <c r="A2012" s="94" t="s">
        <v>3626</v>
      </c>
      <c r="B2012" s="98">
        <v>72285</v>
      </c>
      <c r="C2012" s="98" t="s">
        <v>1139</v>
      </c>
      <c r="D2012" s="96" t="s">
        <v>271</v>
      </c>
      <c r="E2012" s="97">
        <v>90</v>
      </c>
      <c r="F2012" s="67" t="str">
        <f>IFERROR(IFERROR(INDEX(Кат!$A:$A,MATCH(Прайс!$B2012,Кат!$G:$G,0)),INDEX(Торг!$B:$B,MATCH(Прайс!$B2012,Торг!$H:$H,0))),"")</f>
        <v/>
      </c>
      <c r="G2012" s="67" t="str">
        <f>IFERROR(IFERROR(INDEX(Кат!$B:$B,MATCH(Прайс!$B2012,Кат!$G:$G,0)),INDEX(Торг!$C:$C,MATCH(Прайс!$B2012,Торг!$H:$H,0))),"")</f>
        <v/>
      </c>
      <c r="H2012" s="67" t="str">
        <f>IFERROR(IFERROR(INDEX(Кат!$I:$I,MATCH(Прайс!$B2012,Кат!$G:$G,0)),INDEX(Торг!$I:$I,MATCH(Прайс!$B2012,Торг!$H:$H,0))),"")</f>
        <v/>
      </c>
    </row>
    <row r="2013" spans="1:8" x14ac:dyDescent="0.25">
      <c r="A2013" s="94" t="s">
        <v>3627</v>
      </c>
      <c r="B2013" s="98">
        <v>70773</v>
      </c>
      <c r="C2013" s="98" t="s">
        <v>1140</v>
      </c>
      <c r="D2013" s="96" t="s">
        <v>337</v>
      </c>
      <c r="E2013" s="97">
        <v>110</v>
      </c>
      <c r="F2013" s="67" t="str">
        <f>IFERROR(IFERROR(INDEX(Кат!$A:$A,MATCH(Прайс!$B2013,Кат!$G:$G,0)),INDEX(Торг!$B:$B,MATCH(Прайс!$B2013,Торг!$H:$H,0))),"")</f>
        <v/>
      </c>
      <c r="G2013" s="67" t="str">
        <f>IFERROR(IFERROR(INDEX(Кат!$B:$B,MATCH(Прайс!$B2013,Кат!$G:$G,0)),INDEX(Торг!$C:$C,MATCH(Прайс!$B2013,Торг!$H:$H,0))),"")</f>
        <v/>
      </c>
      <c r="H2013" s="67" t="str">
        <f>IFERROR(IFERROR(INDEX(Кат!$I:$I,MATCH(Прайс!$B2013,Кат!$G:$G,0)),INDEX(Торг!$I:$I,MATCH(Прайс!$B2013,Торг!$H:$H,0))),"")</f>
        <v/>
      </c>
    </row>
    <row r="2014" spans="1:8" x14ac:dyDescent="0.25">
      <c r="A2014" s="94" t="s">
        <v>6950</v>
      </c>
      <c r="B2014" s="98">
        <v>72659</v>
      </c>
      <c r="C2014" s="98" t="s">
        <v>6951</v>
      </c>
      <c r="D2014" s="96" t="s">
        <v>224</v>
      </c>
      <c r="E2014" s="97">
        <v>20</v>
      </c>
      <c r="F2014" s="67" t="str">
        <f>IFERROR(IFERROR(INDEX(Кат!$A:$A,MATCH(Прайс!$B2014,Кат!$G:$G,0)),INDEX(Торг!$B:$B,MATCH(Прайс!$B2014,Торг!$H:$H,0))),"")</f>
        <v/>
      </c>
      <c r="G2014" s="67" t="str">
        <f>IFERROR(IFERROR(INDEX(Кат!$B:$B,MATCH(Прайс!$B2014,Кат!$G:$G,0)),INDEX(Торг!$C:$C,MATCH(Прайс!$B2014,Торг!$H:$H,0))),"")</f>
        <v/>
      </c>
      <c r="H2014" s="67" t="str">
        <f>IFERROR(IFERROR(INDEX(Кат!$I:$I,MATCH(Прайс!$B2014,Кат!$G:$G,0)),INDEX(Торг!$I:$I,MATCH(Прайс!$B2014,Торг!$H:$H,0))),"")</f>
        <v/>
      </c>
    </row>
    <row r="2015" spans="1:8" x14ac:dyDescent="0.25">
      <c r="A2015" s="94" t="s">
        <v>6338</v>
      </c>
      <c r="B2015" s="98">
        <v>72545</v>
      </c>
      <c r="C2015" s="98" t="s">
        <v>6339</v>
      </c>
      <c r="D2015" s="96" t="s">
        <v>177</v>
      </c>
      <c r="E2015" s="97">
        <v>25</v>
      </c>
      <c r="F2015" s="67" t="str">
        <f>IFERROR(IFERROR(INDEX(Кат!$A:$A,MATCH(Прайс!$B2015,Кат!$G:$G,0)),INDEX(Торг!$B:$B,MATCH(Прайс!$B2015,Торг!$H:$H,0))),"")</f>
        <v/>
      </c>
      <c r="G2015" s="67" t="str">
        <f>IFERROR(IFERROR(INDEX(Кат!$B:$B,MATCH(Прайс!$B2015,Кат!$G:$G,0)),INDEX(Торг!$C:$C,MATCH(Прайс!$B2015,Торг!$H:$H,0))),"")</f>
        <v/>
      </c>
      <c r="H2015" s="67" t="str">
        <f>IFERROR(IFERROR(INDEX(Кат!$I:$I,MATCH(Прайс!$B2015,Кат!$G:$G,0)),INDEX(Торг!$I:$I,MATCH(Прайс!$B2015,Торг!$H:$H,0))),"")</f>
        <v/>
      </c>
    </row>
    <row r="2016" spans="1:8" x14ac:dyDescent="0.25">
      <c r="A2016" s="94" t="s">
        <v>6340</v>
      </c>
      <c r="B2016" s="98">
        <v>72566</v>
      </c>
      <c r="C2016" s="98" t="s">
        <v>6341</v>
      </c>
      <c r="D2016" s="96" t="s">
        <v>177</v>
      </c>
      <c r="E2016" s="97">
        <v>25</v>
      </c>
      <c r="F2016" s="67" t="str">
        <f>IFERROR(IFERROR(INDEX(Кат!$A:$A,MATCH(Прайс!$B2016,Кат!$G:$G,0)),INDEX(Торг!$B:$B,MATCH(Прайс!$B2016,Торг!$H:$H,0))),"")</f>
        <v/>
      </c>
      <c r="G2016" s="67" t="str">
        <f>IFERROR(IFERROR(INDEX(Кат!$B:$B,MATCH(Прайс!$B2016,Кат!$G:$G,0)),INDEX(Торг!$C:$C,MATCH(Прайс!$B2016,Торг!$H:$H,0))),"")</f>
        <v/>
      </c>
      <c r="H2016" s="67" t="str">
        <f>IFERROR(IFERROR(INDEX(Кат!$I:$I,MATCH(Прайс!$B2016,Кат!$G:$G,0)),INDEX(Торг!$I:$I,MATCH(Прайс!$B2016,Торг!$H:$H,0))),"")</f>
        <v/>
      </c>
    </row>
    <row r="2017" spans="1:8" x14ac:dyDescent="0.25">
      <c r="A2017" s="94" t="s">
        <v>7661</v>
      </c>
      <c r="B2017" s="98">
        <v>72567</v>
      </c>
      <c r="C2017" s="98" t="s">
        <v>7662</v>
      </c>
      <c r="D2017" s="96" t="s">
        <v>160</v>
      </c>
      <c r="E2017" s="97">
        <v>20</v>
      </c>
      <c r="F2017" s="67" t="str">
        <f>IFERROR(IFERROR(INDEX(Кат!$A:$A,MATCH(Прайс!$B2017,Кат!$G:$G,0)),INDEX(Торг!$B:$B,MATCH(Прайс!$B2017,Торг!$H:$H,0))),"")</f>
        <v/>
      </c>
      <c r="G2017" s="67" t="str">
        <f>IFERROR(IFERROR(INDEX(Кат!$B:$B,MATCH(Прайс!$B2017,Кат!$G:$G,0)),INDEX(Торг!$C:$C,MATCH(Прайс!$B2017,Торг!$H:$H,0))),"")</f>
        <v/>
      </c>
      <c r="H2017" s="67" t="str">
        <f>IFERROR(IFERROR(INDEX(Кат!$I:$I,MATCH(Прайс!$B2017,Кат!$G:$G,0)),INDEX(Торг!$I:$I,MATCH(Прайс!$B2017,Торг!$H:$H,0))),"")</f>
        <v/>
      </c>
    </row>
    <row r="2018" spans="1:8" x14ac:dyDescent="0.25">
      <c r="A2018" s="94" t="s">
        <v>3628</v>
      </c>
      <c r="B2018" s="98">
        <v>71946</v>
      </c>
      <c r="C2018" s="98" t="s">
        <v>1141</v>
      </c>
      <c r="D2018" s="96" t="s">
        <v>159</v>
      </c>
      <c r="E2018" s="97">
        <v>20</v>
      </c>
      <c r="F2018" s="67" t="str">
        <f>IFERROR(IFERROR(INDEX(Кат!$A:$A,MATCH(Прайс!$B2018,Кат!$G:$G,0)),INDEX(Торг!$B:$B,MATCH(Прайс!$B2018,Торг!$H:$H,0))),"")</f>
        <v/>
      </c>
      <c r="G2018" s="67" t="str">
        <f>IFERROR(IFERROR(INDEX(Кат!$B:$B,MATCH(Прайс!$B2018,Кат!$G:$G,0)),INDEX(Торг!$C:$C,MATCH(Прайс!$B2018,Торг!$H:$H,0))),"")</f>
        <v/>
      </c>
      <c r="H2018" s="67" t="str">
        <f>IFERROR(IFERROR(INDEX(Кат!$I:$I,MATCH(Прайс!$B2018,Кат!$G:$G,0)),INDEX(Торг!$I:$I,MATCH(Прайс!$B2018,Торг!$H:$H,0))),"")</f>
        <v/>
      </c>
    </row>
    <row r="2019" spans="1:8" x14ac:dyDescent="0.25">
      <c r="A2019" s="94" t="s">
        <v>3629</v>
      </c>
      <c r="B2019" s="98">
        <v>71945</v>
      </c>
      <c r="C2019" s="98" t="s">
        <v>1142</v>
      </c>
      <c r="D2019" s="96" t="s">
        <v>159</v>
      </c>
      <c r="E2019" s="97">
        <v>20</v>
      </c>
      <c r="F2019" s="67" t="str">
        <f>IFERROR(IFERROR(INDEX(Кат!$A:$A,MATCH(Прайс!$B2019,Кат!$G:$G,0)),INDEX(Торг!$B:$B,MATCH(Прайс!$B2019,Торг!$H:$H,0))),"")</f>
        <v/>
      </c>
      <c r="G2019" s="67" t="str">
        <f>IFERROR(IFERROR(INDEX(Кат!$B:$B,MATCH(Прайс!$B2019,Кат!$G:$G,0)),INDEX(Торг!$C:$C,MATCH(Прайс!$B2019,Торг!$H:$H,0))),"")</f>
        <v/>
      </c>
      <c r="H2019" s="67" t="str">
        <f>IFERROR(IFERROR(INDEX(Кат!$I:$I,MATCH(Прайс!$B2019,Кат!$G:$G,0)),INDEX(Торг!$I:$I,MATCH(Прайс!$B2019,Торг!$H:$H,0))),"")</f>
        <v/>
      </c>
    </row>
    <row r="2020" spans="1:8" x14ac:dyDescent="0.25">
      <c r="A2020" s="94" t="s">
        <v>6952</v>
      </c>
      <c r="B2020" s="98">
        <v>72611</v>
      </c>
      <c r="C2020" s="98" t="s">
        <v>6953</v>
      </c>
      <c r="D2020" s="96" t="s">
        <v>190</v>
      </c>
      <c r="E2020" s="97">
        <v>135</v>
      </c>
      <c r="F2020" s="67" t="str">
        <f>IFERROR(IFERROR(INDEX(Кат!$A:$A,MATCH(Прайс!$B2020,Кат!$G:$G,0)),INDEX(Торг!$B:$B,MATCH(Прайс!$B2020,Торг!$H:$H,0))),"")</f>
        <v/>
      </c>
      <c r="G2020" s="67" t="str">
        <f>IFERROR(IFERROR(INDEX(Кат!$B:$B,MATCH(Прайс!$B2020,Кат!$G:$G,0)),INDEX(Торг!$C:$C,MATCH(Прайс!$B2020,Торг!$H:$H,0))),"")</f>
        <v/>
      </c>
      <c r="H2020" s="67" t="str">
        <f>IFERROR(IFERROR(INDEX(Кат!$I:$I,MATCH(Прайс!$B2020,Кат!$G:$G,0)),INDEX(Торг!$I:$I,MATCH(Прайс!$B2020,Торг!$H:$H,0))),"")</f>
        <v/>
      </c>
    </row>
    <row r="2021" spans="1:8" x14ac:dyDescent="0.25">
      <c r="A2021" s="94" t="s">
        <v>3655</v>
      </c>
      <c r="B2021" s="98">
        <v>72125</v>
      </c>
      <c r="C2021" s="98" t="s">
        <v>5088</v>
      </c>
      <c r="D2021" s="96" t="s">
        <v>190</v>
      </c>
      <c r="E2021" s="97">
        <v>135</v>
      </c>
      <c r="F2021" s="67" t="str">
        <f>IFERROR(IFERROR(INDEX(Кат!$A:$A,MATCH(Прайс!$B2021,Кат!$G:$G,0)),INDEX(Торг!$B:$B,MATCH(Прайс!$B2021,Торг!$H:$H,0))),"")</f>
        <v/>
      </c>
      <c r="G2021" s="67" t="str">
        <f>IFERROR(IFERROR(INDEX(Кат!$B:$B,MATCH(Прайс!$B2021,Кат!$G:$G,0)),INDEX(Торг!$C:$C,MATCH(Прайс!$B2021,Торг!$H:$H,0))),"")</f>
        <v/>
      </c>
      <c r="H2021" s="67" t="str">
        <f>IFERROR(IFERROR(INDEX(Кат!$I:$I,MATCH(Прайс!$B2021,Кат!$G:$G,0)),INDEX(Торг!$I:$I,MATCH(Прайс!$B2021,Торг!$H:$H,0))),"")</f>
        <v/>
      </c>
    </row>
    <row r="2022" spans="1:8" x14ac:dyDescent="0.25">
      <c r="A2022" s="94" t="s">
        <v>6954</v>
      </c>
      <c r="B2022" s="98">
        <v>72498</v>
      </c>
      <c r="C2022" s="98" t="s">
        <v>6955</v>
      </c>
      <c r="D2022" s="96" t="s">
        <v>190</v>
      </c>
      <c r="E2022" s="97">
        <v>135</v>
      </c>
      <c r="F2022" s="67" t="str">
        <f>IFERROR(IFERROR(INDEX(Кат!$A:$A,MATCH(Прайс!$B2022,Кат!$G:$G,0)),INDEX(Торг!$B:$B,MATCH(Прайс!$B2022,Торг!$H:$H,0))),"")</f>
        <v/>
      </c>
      <c r="G2022" s="67" t="str">
        <f>IFERROR(IFERROR(INDEX(Кат!$B:$B,MATCH(Прайс!$B2022,Кат!$G:$G,0)),INDEX(Торг!$C:$C,MATCH(Прайс!$B2022,Торг!$H:$H,0))),"")</f>
        <v/>
      </c>
      <c r="H2022" s="67" t="str">
        <f>IFERROR(IFERROR(INDEX(Кат!$I:$I,MATCH(Прайс!$B2022,Кат!$G:$G,0)),INDEX(Торг!$I:$I,MATCH(Прайс!$B2022,Торг!$H:$H,0))),"")</f>
        <v/>
      </c>
    </row>
    <row r="2023" spans="1:8" x14ac:dyDescent="0.25">
      <c r="A2023" s="94" t="s">
        <v>3656</v>
      </c>
      <c r="B2023" s="98">
        <v>72126</v>
      </c>
      <c r="C2023" s="98" t="s">
        <v>5089</v>
      </c>
      <c r="D2023" s="96" t="s">
        <v>190</v>
      </c>
      <c r="E2023" s="97">
        <v>135</v>
      </c>
      <c r="F2023" s="67" t="str">
        <f>IFERROR(IFERROR(INDEX(Кат!$A:$A,MATCH(Прайс!$B2023,Кат!$G:$G,0)),INDEX(Торг!$B:$B,MATCH(Прайс!$B2023,Торг!$H:$H,0))),"")</f>
        <v/>
      </c>
      <c r="G2023" s="67" t="str">
        <f>IFERROR(IFERROR(INDEX(Кат!$B:$B,MATCH(Прайс!$B2023,Кат!$G:$G,0)),INDEX(Торг!$C:$C,MATCH(Прайс!$B2023,Торг!$H:$H,0))),"")</f>
        <v/>
      </c>
      <c r="H2023" s="67" t="str">
        <f>IFERROR(IFERROR(INDEX(Кат!$I:$I,MATCH(Прайс!$B2023,Кат!$G:$G,0)),INDEX(Торг!$I:$I,MATCH(Прайс!$B2023,Торг!$H:$H,0))),"")</f>
        <v/>
      </c>
    </row>
    <row r="2024" spans="1:8" x14ac:dyDescent="0.25">
      <c r="A2024" s="94" t="s">
        <v>6956</v>
      </c>
      <c r="B2024" s="98">
        <v>72491</v>
      </c>
      <c r="C2024" s="98" t="s">
        <v>6957</v>
      </c>
      <c r="D2024" s="96" t="s">
        <v>190</v>
      </c>
      <c r="E2024" s="97">
        <v>135</v>
      </c>
      <c r="F2024" s="67" t="str">
        <f>IFERROR(IFERROR(INDEX(Кат!$A:$A,MATCH(Прайс!$B2024,Кат!$G:$G,0)),INDEX(Торг!$B:$B,MATCH(Прайс!$B2024,Торг!$H:$H,0))),"")</f>
        <v/>
      </c>
      <c r="G2024" s="67" t="str">
        <f>IFERROR(IFERROR(INDEX(Кат!$B:$B,MATCH(Прайс!$B2024,Кат!$G:$G,0)),INDEX(Торг!$C:$C,MATCH(Прайс!$B2024,Торг!$H:$H,0))),"")</f>
        <v/>
      </c>
      <c r="H2024" s="67" t="str">
        <f>IFERROR(IFERROR(INDEX(Кат!$I:$I,MATCH(Прайс!$B2024,Кат!$G:$G,0)),INDEX(Торг!$I:$I,MATCH(Прайс!$B2024,Торг!$H:$H,0))),"")</f>
        <v/>
      </c>
    </row>
    <row r="2025" spans="1:8" x14ac:dyDescent="0.25">
      <c r="A2025" s="94" t="s">
        <v>3657</v>
      </c>
      <c r="B2025" s="98">
        <v>72127</v>
      </c>
      <c r="C2025" s="98" t="s">
        <v>5090</v>
      </c>
      <c r="D2025" s="96" t="s">
        <v>190</v>
      </c>
      <c r="E2025" s="97">
        <v>135</v>
      </c>
      <c r="F2025" s="67" t="str">
        <f>IFERROR(IFERROR(INDEX(Кат!$A:$A,MATCH(Прайс!$B2025,Кат!$G:$G,0)),INDEX(Торг!$B:$B,MATCH(Прайс!$B2025,Торг!$H:$H,0))),"")</f>
        <v/>
      </c>
      <c r="G2025" s="67" t="str">
        <f>IFERROR(IFERROR(INDEX(Кат!$B:$B,MATCH(Прайс!$B2025,Кат!$G:$G,0)),INDEX(Торг!$C:$C,MATCH(Прайс!$B2025,Торг!$H:$H,0))),"")</f>
        <v/>
      </c>
      <c r="H2025" s="67" t="str">
        <f>IFERROR(IFERROR(INDEX(Кат!$I:$I,MATCH(Прайс!$B2025,Кат!$G:$G,0)),INDEX(Торг!$I:$I,MATCH(Прайс!$B2025,Торг!$H:$H,0))),"")</f>
        <v/>
      </c>
    </row>
    <row r="2026" spans="1:8" x14ac:dyDescent="0.25">
      <c r="A2026" s="94" t="s">
        <v>6958</v>
      </c>
      <c r="B2026" s="98">
        <v>72496</v>
      </c>
      <c r="C2026" s="98" t="s">
        <v>6959</v>
      </c>
      <c r="D2026" s="96" t="s">
        <v>190</v>
      </c>
      <c r="E2026" s="97">
        <v>135</v>
      </c>
      <c r="F2026" s="67" t="str">
        <f>IFERROR(IFERROR(INDEX(Кат!$A:$A,MATCH(Прайс!$B2026,Кат!$G:$G,0)),INDEX(Торг!$B:$B,MATCH(Прайс!$B2026,Торг!$H:$H,0))),"")</f>
        <v/>
      </c>
      <c r="G2026" s="67" t="str">
        <f>IFERROR(IFERROR(INDEX(Кат!$B:$B,MATCH(Прайс!$B2026,Кат!$G:$G,0)),INDEX(Торг!$C:$C,MATCH(Прайс!$B2026,Торг!$H:$H,0))),"")</f>
        <v/>
      </c>
      <c r="H2026" s="67" t="str">
        <f>IFERROR(IFERROR(INDEX(Кат!$I:$I,MATCH(Прайс!$B2026,Кат!$G:$G,0)),INDEX(Торг!$I:$I,MATCH(Прайс!$B2026,Торг!$H:$H,0))),"")</f>
        <v/>
      </c>
    </row>
    <row r="2027" spans="1:8" x14ac:dyDescent="0.25">
      <c r="A2027" s="94" t="s">
        <v>5091</v>
      </c>
      <c r="B2027" s="98">
        <v>72497</v>
      </c>
      <c r="C2027" s="98" t="s">
        <v>5092</v>
      </c>
      <c r="D2027" s="96" t="s">
        <v>190</v>
      </c>
      <c r="E2027" s="97">
        <v>135</v>
      </c>
      <c r="F2027" s="67" t="str">
        <f>IFERROR(IFERROR(INDEX(Кат!$A:$A,MATCH(Прайс!$B2027,Кат!$G:$G,0)),INDEX(Торг!$B:$B,MATCH(Прайс!$B2027,Торг!$H:$H,0))),"")</f>
        <v/>
      </c>
      <c r="G2027" s="67" t="str">
        <f>IFERROR(IFERROR(INDEX(Кат!$B:$B,MATCH(Прайс!$B2027,Кат!$G:$G,0)),INDEX(Торг!$C:$C,MATCH(Прайс!$B2027,Торг!$H:$H,0))),"")</f>
        <v/>
      </c>
      <c r="H2027" s="67" t="str">
        <f>IFERROR(IFERROR(INDEX(Кат!$I:$I,MATCH(Прайс!$B2027,Кат!$G:$G,0)),INDEX(Торг!$I:$I,MATCH(Прайс!$B2027,Торг!$H:$H,0))),"")</f>
        <v/>
      </c>
    </row>
    <row r="2028" spans="1:8" x14ac:dyDescent="0.25">
      <c r="A2028" s="94" t="s">
        <v>3658</v>
      </c>
      <c r="B2028" s="98">
        <v>72128</v>
      </c>
      <c r="C2028" s="98" t="s">
        <v>5093</v>
      </c>
      <c r="D2028" s="96" t="s">
        <v>190</v>
      </c>
      <c r="E2028" s="97">
        <v>135</v>
      </c>
      <c r="F2028" s="67" t="str">
        <f>IFERROR(IFERROR(INDEX(Кат!$A:$A,MATCH(Прайс!$B2028,Кат!$G:$G,0)),INDEX(Торг!$B:$B,MATCH(Прайс!$B2028,Торг!$H:$H,0))),"")</f>
        <v/>
      </c>
      <c r="G2028" s="67" t="str">
        <f>IFERROR(IFERROR(INDEX(Кат!$B:$B,MATCH(Прайс!$B2028,Кат!$G:$G,0)),INDEX(Торг!$C:$C,MATCH(Прайс!$B2028,Торг!$H:$H,0))),"")</f>
        <v/>
      </c>
      <c r="H2028" s="67" t="str">
        <f>IFERROR(IFERROR(INDEX(Кат!$I:$I,MATCH(Прайс!$B2028,Кат!$G:$G,0)),INDEX(Торг!$I:$I,MATCH(Прайс!$B2028,Торг!$H:$H,0))),"")</f>
        <v/>
      </c>
    </row>
    <row r="2029" spans="1:8" x14ac:dyDescent="0.25">
      <c r="A2029" s="94" t="s">
        <v>6960</v>
      </c>
      <c r="B2029" s="98">
        <v>72493</v>
      </c>
      <c r="C2029" s="98" t="s">
        <v>6961</v>
      </c>
      <c r="D2029" s="96" t="s">
        <v>190</v>
      </c>
      <c r="E2029" s="97">
        <v>135</v>
      </c>
      <c r="F2029" s="67" t="str">
        <f>IFERROR(IFERROR(INDEX(Кат!$A:$A,MATCH(Прайс!$B2029,Кат!$G:$G,0)),INDEX(Торг!$B:$B,MATCH(Прайс!$B2029,Торг!$H:$H,0))),"")</f>
        <v/>
      </c>
      <c r="G2029" s="67" t="str">
        <f>IFERROR(IFERROR(INDEX(Кат!$B:$B,MATCH(Прайс!$B2029,Кат!$G:$G,0)),INDEX(Торг!$C:$C,MATCH(Прайс!$B2029,Торг!$H:$H,0))),"")</f>
        <v/>
      </c>
      <c r="H2029" s="67" t="str">
        <f>IFERROR(IFERROR(INDEX(Кат!$I:$I,MATCH(Прайс!$B2029,Кат!$G:$G,0)),INDEX(Торг!$I:$I,MATCH(Прайс!$B2029,Торг!$H:$H,0))),"")</f>
        <v/>
      </c>
    </row>
    <row r="2030" spans="1:8" x14ac:dyDescent="0.25">
      <c r="A2030" s="94" t="s">
        <v>3659</v>
      </c>
      <c r="B2030" s="98">
        <v>72129</v>
      </c>
      <c r="C2030" s="98" t="s">
        <v>5094</v>
      </c>
      <c r="D2030" s="96" t="s">
        <v>190</v>
      </c>
      <c r="E2030" s="97">
        <v>135</v>
      </c>
      <c r="F2030" s="67" t="str">
        <f>IFERROR(IFERROR(INDEX(Кат!$A:$A,MATCH(Прайс!$B2030,Кат!$G:$G,0)),INDEX(Торг!$B:$B,MATCH(Прайс!$B2030,Торг!$H:$H,0))),"")</f>
        <v/>
      </c>
      <c r="G2030" s="67" t="str">
        <f>IFERROR(IFERROR(INDEX(Кат!$B:$B,MATCH(Прайс!$B2030,Кат!$G:$G,0)),INDEX(Торг!$C:$C,MATCH(Прайс!$B2030,Торг!$H:$H,0))),"")</f>
        <v/>
      </c>
      <c r="H2030" s="67" t="str">
        <f>IFERROR(IFERROR(INDEX(Кат!$I:$I,MATCH(Прайс!$B2030,Кат!$G:$G,0)),INDEX(Торг!$I:$I,MATCH(Прайс!$B2030,Торг!$H:$H,0))),"")</f>
        <v/>
      </c>
    </row>
    <row r="2031" spans="1:8" x14ac:dyDescent="0.25">
      <c r="A2031" s="94" t="s">
        <v>5095</v>
      </c>
      <c r="B2031" s="98">
        <v>72495</v>
      </c>
      <c r="C2031" s="98" t="s">
        <v>5096</v>
      </c>
      <c r="D2031" s="96" t="s">
        <v>190</v>
      </c>
      <c r="E2031" s="97">
        <v>135</v>
      </c>
      <c r="F2031" s="67" t="str">
        <f>IFERROR(IFERROR(INDEX(Кат!$A:$A,MATCH(Прайс!$B2031,Кат!$G:$G,0)),INDEX(Торг!$B:$B,MATCH(Прайс!$B2031,Торг!$H:$H,0))),"")</f>
        <v/>
      </c>
      <c r="G2031" s="67" t="str">
        <f>IFERROR(IFERROR(INDEX(Кат!$B:$B,MATCH(Прайс!$B2031,Кат!$G:$G,0)),INDEX(Торг!$C:$C,MATCH(Прайс!$B2031,Торг!$H:$H,0))),"")</f>
        <v/>
      </c>
      <c r="H2031" s="67" t="str">
        <f>IFERROR(IFERROR(INDEX(Кат!$I:$I,MATCH(Прайс!$B2031,Кат!$G:$G,0)),INDEX(Торг!$I:$I,MATCH(Прайс!$B2031,Торг!$H:$H,0))),"")</f>
        <v/>
      </c>
    </row>
    <row r="2032" spans="1:8" x14ac:dyDescent="0.25">
      <c r="A2032" s="94" t="s">
        <v>3660</v>
      </c>
      <c r="B2032" s="98">
        <v>72130</v>
      </c>
      <c r="C2032" s="98" t="s">
        <v>6342</v>
      </c>
      <c r="D2032" s="96" t="s">
        <v>190</v>
      </c>
      <c r="E2032" s="97">
        <v>135</v>
      </c>
      <c r="F2032" s="67" t="str">
        <f>IFERROR(IFERROR(INDEX(Кат!$A:$A,MATCH(Прайс!$B2032,Кат!$G:$G,0)),INDEX(Торг!$B:$B,MATCH(Прайс!$B2032,Торг!$H:$H,0))),"")</f>
        <v/>
      </c>
      <c r="G2032" s="67" t="str">
        <f>IFERROR(IFERROR(INDEX(Кат!$B:$B,MATCH(Прайс!$B2032,Кат!$G:$G,0)),INDEX(Торг!$C:$C,MATCH(Прайс!$B2032,Торг!$H:$H,0))),"")</f>
        <v/>
      </c>
      <c r="H2032" s="67" t="str">
        <f>IFERROR(IFERROR(INDEX(Кат!$I:$I,MATCH(Прайс!$B2032,Кат!$G:$G,0)),INDEX(Торг!$I:$I,MATCH(Прайс!$B2032,Торг!$H:$H,0))),"")</f>
        <v/>
      </c>
    </row>
    <row r="2033" spans="1:8" x14ac:dyDescent="0.25">
      <c r="A2033" s="94" t="s">
        <v>5097</v>
      </c>
      <c r="B2033" s="98">
        <v>72490</v>
      </c>
      <c r="C2033" s="98" t="s">
        <v>5098</v>
      </c>
      <c r="D2033" s="96" t="s">
        <v>190</v>
      </c>
      <c r="E2033" s="97">
        <v>135</v>
      </c>
      <c r="F2033" s="67" t="str">
        <f>IFERROR(IFERROR(INDEX(Кат!$A:$A,MATCH(Прайс!$B2033,Кат!$G:$G,0)),INDEX(Торг!$B:$B,MATCH(Прайс!$B2033,Торг!$H:$H,0))),"")</f>
        <v/>
      </c>
      <c r="G2033" s="67" t="str">
        <f>IFERROR(IFERROR(INDEX(Кат!$B:$B,MATCH(Прайс!$B2033,Кат!$G:$G,0)),INDEX(Торг!$C:$C,MATCH(Прайс!$B2033,Торг!$H:$H,0))),"")</f>
        <v/>
      </c>
      <c r="H2033" s="67" t="str">
        <f>IFERROR(IFERROR(INDEX(Кат!$I:$I,MATCH(Прайс!$B2033,Кат!$G:$G,0)),INDEX(Торг!$I:$I,MATCH(Прайс!$B2033,Торг!$H:$H,0))),"")</f>
        <v/>
      </c>
    </row>
    <row r="2034" spans="1:8" x14ac:dyDescent="0.25">
      <c r="A2034" s="94" t="s">
        <v>3661</v>
      </c>
      <c r="B2034" s="98">
        <v>72131</v>
      </c>
      <c r="C2034" s="98" t="s">
        <v>5099</v>
      </c>
      <c r="D2034" s="96" t="s">
        <v>190</v>
      </c>
      <c r="E2034" s="97">
        <v>135</v>
      </c>
      <c r="F2034" s="67" t="str">
        <f>IFERROR(IFERROR(INDEX(Кат!$A:$A,MATCH(Прайс!$B2034,Кат!$G:$G,0)),INDEX(Торг!$B:$B,MATCH(Прайс!$B2034,Торг!$H:$H,0))),"")</f>
        <v/>
      </c>
      <c r="G2034" s="67" t="str">
        <f>IFERROR(IFERROR(INDEX(Кат!$B:$B,MATCH(Прайс!$B2034,Кат!$G:$G,0)),INDEX(Торг!$C:$C,MATCH(Прайс!$B2034,Торг!$H:$H,0))),"")</f>
        <v/>
      </c>
      <c r="H2034" s="67" t="str">
        <f>IFERROR(IFERROR(INDEX(Кат!$I:$I,MATCH(Прайс!$B2034,Кат!$G:$G,0)),INDEX(Торг!$I:$I,MATCH(Прайс!$B2034,Торг!$H:$H,0))),"")</f>
        <v/>
      </c>
    </row>
    <row r="2035" spans="1:8" x14ac:dyDescent="0.25">
      <c r="A2035" s="94" t="s">
        <v>6962</v>
      </c>
      <c r="B2035" s="98">
        <v>72492</v>
      </c>
      <c r="C2035" s="98" t="s">
        <v>6963</v>
      </c>
      <c r="D2035" s="96" t="s">
        <v>190</v>
      </c>
      <c r="E2035" s="97">
        <v>135</v>
      </c>
      <c r="F2035" s="67" t="str">
        <f>IFERROR(IFERROR(INDEX(Кат!$A:$A,MATCH(Прайс!$B2035,Кат!$G:$G,0)),INDEX(Торг!$B:$B,MATCH(Прайс!$B2035,Торг!$H:$H,0))),"")</f>
        <v/>
      </c>
      <c r="G2035" s="67" t="str">
        <f>IFERROR(IFERROR(INDEX(Кат!$B:$B,MATCH(Прайс!$B2035,Кат!$G:$G,0)),INDEX(Торг!$C:$C,MATCH(Прайс!$B2035,Торг!$H:$H,0))),"")</f>
        <v/>
      </c>
      <c r="H2035" s="67" t="str">
        <f>IFERROR(IFERROR(INDEX(Кат!$I:$I,MATCH(Прайс!$B2035,Кат!$G:$G,0)),INDEX(Торг!$I:$I,MATCH(Прайс!$B2035,Торг!$H:$H,0))),"")</f>
        <v/>
      </c>
    </row>
    <row r="2036" spans="1:8" x14ac:dyDescent="0.25">
      <c r="A2036" s="94" t="s">
        <v>3662</v>
      </c>
      <c r="B2036" s="98">
        <v>72132</v>
      </c>
      <c r="C2036" s="98" t="s">
        <v>5100</v>
      </c>
      <c r="D2036" s="96" t="s">
        <v>190</v>
      </c>
      <c r="E2036" s="97">
        <v>135</v>
      </c>
      <c r="F2036" s="67" t="str">
        <f>IFERROR(IFERROR(INDEX(Кат!$A:$A,MATCH(Прайс!$B2036,Кат!$G:$G,0)),INDEX(Торг!$B:$B,MATCH(Прайс!$B2036,Торг!$H:$H,0))),"")</f>
        <v/>
      </c>
      <c r="G2036" s="67" t="str">
        <f>IFERROR(IFERROR(INDEX(Кат!$B:$B,MATCH(Прайс!$B2036,Кат!$G:$G,0)),INDEX(Торг!$C:$C,MATCH(Прайс!$B2036,Торг!$H:$H,0))),"")</f>
        <v/>
      </c>
      <c r="H2036" s="67" t="str">
        <f>IFERROR(IFERROR(INDEX(Кат!$I:$I,MATCH(Прайс!$B2036,Кат!$G:$G,0)),INDEX(Торг!$I:$I,MATCH(Прайс!$B2036,Торг!$H:$H,0))),"")</f>
        <v/>
      </c>
    </row>
    <row r="2037" spans="1:8" x14ac:dyDescent="0.25">
      <c r="A2037" s="94" t="s">
        <v>5101</v>
      </c>
      <c r="B2037" s="98">
        <v>72499</v>
      </c>
      <c r="C2037" s="98" t="s">
        <v>5102</v>
      </c>
      <c r="D2037" s="96" t="s">
        <v>190</v>
      </c>
      <c r="E2037" s="97">
        <v>135</v>
      </c>
      <c r="F2037" s="67" t="str">
        <f>IFERROR(IFERROR(INDEX(Кат!$A:$A,MATCH(Прайс!$B2037,Кат!$G:$G,0)),INDEX(Торг!$B:$B,MATCH(Прайс!$B2037,Торг!$H:$H,0))),"")</f>
        <v/>
      </c>
      <c r="G2037" s="67" t="str">
        <f>IFERROR(IFERROR(INDEX(Кат!$B:$B,MATCH(Прайс!$B2037,Кат!$G:$G,0)),INDEX(Торг!$C:$C,MATCH(Прайс!$B2037,Торг!$H:$H,0))),"")</f>
        <v/>
      </c>
      <c r="H2037" s="67" t="str">
        <f>IFERROR(IFERROR(INDEX(Кат!$I:$I,MATCH(Прайс!$B2037,Кат!$G:$G,0)),INDEX(Торг!$I:$I,MATCH(Прайс!$B2037,Торг!$H:$H,0))),"")</f>
        <v/>
      </c>
    </row>
    <row r="2038" spans="1:8" x14ac:dyDescent="0.25">
      <c r="A2038" s="94" t="s">
        <v>3663</v>
      </c>
      <c r="B2038" s="98">
        <v>72133</v>
      </c>
      <c r="C2038" s="98" t="s">
        <v>5103</v>
      </c>
      <c r="D2038" s="96" t="s">
        <v>190</v>
      </c>
      <c r="E2038" s="97">
        <v>135</v>
      </c>
      <c r="F2038" s="67" t="str">
        <f>IFERROR(IFERROR(INDEX(Кат!$A:$A,MATCH(Прайс!$B2038,Кат!$G:$G,0)),INDEX(Торг!$B:$B,MATCH(Прайс!$B2038,Торг!$H:$H,0))),"")</f>
        <v/>
      </c>
      <c r="G2038" s="67" t="str">
        <f>IFERROR(IFERROR(INDEX(Кат!$B:$B,MATCH(Прайс!$B2038,Кат!$G:$G,0)),INDEX(Торг!$C:$C,MATCH(Прайс!$B2038,Торг!$H:$H,0))),"")</f>
        <v/>
      </c>
      <c r="H2038" s="67" t="str">
        <f>IFERROR(IFERROR(INDEX(Кат!$I:$I,MATCH(Прайс!$B2038,Кат!$G:$G,0)),INDEX(Торг!$I:$I,MATCH(Прайс!$B2038,Торг!$H:$H,0))),"")</f>
        <v/>
      </c>
    </row>
    <row r="2039" spans="1:8" x14ac:dyDescent="0.25">
      <c r="A2039" s="94" t="s">
        <v>6964</v>
      </c>
      <c r="B2039" s="98">
        <v>72494</v>
      </c>
      <c r="C2039" s="98" t="s">
        <v>6965</v>
      </c>
      <c r="D2039" s="96" t="s">
        <v>190</v>
      </c>
      <c r="E2039" s="97">
        <v>135</v>
      </c>
      <c r="F2039" s="67" t="str">
        <f>IFERROR(IFERROR(INDEX(Кат!$A:$A,MATCH(Прайс!$B2039,Кат!$G:$G,0)),INDEX(Торг!$B:$B,MATCH(Прайс!$B2039,Торг!$H:$H,0))),"")</f>
        <v/>
      </c>
      <c r="G2039" s="67" t="str">
        <f>IFERROR(IFERROR(INDEX(Кат!$B:$B,MATCH(Прайс!$B2039,Кат!$G:$G,0)),INDEX(Торг!$C:$C,MATCH(Прайс!$B2039,Торг!$H:$H,0))),"")</f>
        <v/>
      </c>
      <c r="H2039" s="67" t="str">
        <f>IFERROR(IFERROR(INDEX(Кат!$I:$I,MATCH(Прайс!$B2039,Кат!$G:$G,0)),INDEX(Торг!$I:$I,MATCH(Прайс!$B2039,Торг!$H:$H,0))),"")</f>
        <v/>
      </c>
    </row>
    <row r="2040" spans="1:8" x14ac:dyDescent="0.25">
      <c r="A2040" s="94" t="s">
        <v>3664</v>
      </c>
      <c r="B2040" s="98">
        <v>72134</v>
      </c>
      <c r="C2040" s="98" t="s">
        <v>5104</v>
      </c>
      <c r="D2040" s="96" t="s">
        <v>190</v>
      </c>
      <c r="E2040" s="97">
        <v>135</v>
      </c>
      <c r="F2040" s="67" t="str">
        <f>IFERROR(IFERROR(INDEX(Кат!$A:$A,MATCH(Прайс!$B2040,Кат!$G:$G,0)),INDEX(Торг!$B:$B,MATCH(Прайс!$B2040,Торг!$H:$H,0))),"")</f>
        <v/>
      </c>
      <c r="G2040" s="67" t="str">
        <f>IFERROR(IFERROR(INDEX(Кат!$B:$B,MATCH(Прайс!$B2040,Кат!$G:$G,0)),INDEX(Торг!$C:$C,MATCH(Прайс!$B2040,Торг!$H:$H,0))),"")</f>
        <v/>
      </c>
      <c r="H2040" s="67" t="str">
        <f>IFERROR(IFERROR(INDEX(Кат!$I:$I,MATCH(Прайс!$B2040,Кат!$G:$G,0)),INDEX(Торг!$I:$I,MATCH(Прайс!$B2040,Торг!$H:$H,0))),"")</f>
        <v/>
      </c>
    </row>
    <row r="2041" spans="1:8" x14ac:dyDescent="0.25">
      <c r="A2041" s="94" t="s">
        <v>3665</v>
      </c>
      <c r="B2041" s="98">
        <v>72135</v>
      </c>
      <c r="C2041" s="98" t="s">
        <v>5443</v>
      </c>
      <c r="D2041" s="96" t="s">
        <v>190</v>
      </c>
      <c r="E2041" s="97">
        <v>135</v>
      </c>
      <c r="F2041" s="67" t="str">
        <f>IFERROR(IFERROR(INDEX(Кат!$A:$A,MATCH(Прайс!$B2041,Кат!$G:$G,0)),INDEX(Торг!$B:$B,MATCH(Прайс!$B2041,Торг!$H:$H,0))),"")</f>
        <v/>
      </c>
      <c r="G2041" s="67" t="str">
        <f>IFERROR(IFERROR(INDEX(Кат!$B:$B,MATCH(Прайс!$B2041,Кат!$G:$G,0)),INDEX(Торг!$C:$C,MATCH(Прайс!$B2041,Торг!$H:$H,0))),"")</f>
        <v/>
      </c>
      <c r="H2041" s="67" t="str">
        <f>IFERROR(IFERROR(INDEX(Кат!$I:$I,MATCH(Прайс!$B2041,Кат!$G:$G,0)),INDEX(Торг!$I:$I,MATCH(Прайс!$B2041,Торг!$H:$H,0))),"")</f>
        <v/>
      </c>
    </row>
    <row r="2042" spans="1:8" x14ac:dyDescent="0.25">
      <c r="A2042" s="94" t="s">
        <v>3666</v>
      </c>
      <c r="B2042" s="98">
        <v>72136</v>
      </c>
      <c r="C2042" s="98" t="s">
        <v>5105</v>
      </c>
      <c r="D2042" s="96" t="s">
        <v>190</v>
      </c>
      <c r="E2042" s="97">
        <v>135</v>
      </c>
      <c r="F2042" s="67" t="str">
        <f>IFERROR(IFERROR(INDEX(Кат!$A:$A,MATCH(Прайс!$B2042,Кат!$G:$G,0)),INDEX(Торг!$B:$B,MATCH(Прайс!$B2042,Торг!$H:$H,0))),"")</f>
        <v/>
      </c>
      <c r="G2042" s="67" t="str">
        <f>IFERROR(IFERROR(INDEX(Кат!$B:$B,MATCH(Прайс!$B2042,Кат!$G:$G,0)),INDEX(Торг!$C:$C,MATCH(Прайс!$B2042,Торг!$H:$H,0))),"")</f>
        <v/>
      </c>
      <c r="H2042" s="67" t="str">
        <f>IFERROR(IFERROR(INDEX(Кат!$I:$I,MATCH(Прайс!$B2042,Кат!$G:$G,0)),INDEX(Торг!$I:$I,MATCH(Прайс!$B2042,Торг!$H:$H,0))),"")</f>
        <v/>
      </c>
    </row>
    <row r="2043" spans="1:8" x14ac:dyDescent="0.25">
      <c r="A2043" s="94" t="s">
        <v>3667</v>
      </c>
      <c r="B2043" s="98">
        <v>72137</v>
      </c>
      <c r="C2043" s="98" t="s">
        <v>5106</v>
      </c>
      <c r="D2043" s="96" t="s">
        <v>190</v>
      </c>
      <c r="E2043" s="97">
        <v>135</v>
      </c>
      <c r="F2043" s="67" t="str">
        <f>IFERROR(IFERROR(INDEX(Кат!$A:$A,MATCH(Прайс!$B2043,Кат!$G:$G,0)),INDEX(Торг!$B:$B,MATCH(Прайс!$B2043,Торг!$H:$H,0))),"")</f>
        <v/>
      </c>
      <c r="G2043" s="67" t="str">
        <f>IFERROR(IFERROR(INDEX(Кат!$B:$B,MATCH(Прайс!$B2043,Кат!$G:$G,0)),INDEX(Торг!$C:$C,MATCH(Прайс!$B2043,Торг!$H:$H,0))),"")</f>
        <v/>
      </c>
      <c r="H2043" s="67" t="str">
        <f>IFERROR(IFERROR(INDEX(Кат!$I:$I,MATCH(Прайс!$B2043,Кат!$G:$G,0)),INDEX(Торг!$I:$I,MATCH(Прайс!$B2043,Торг!$H:$H,0))),"")</f>
        <v/>
      </c>
    </row>
    <row r="2044" spans="1:8" x14ac:dyDescent="0.25">
      <c r="A2044" s="94" t="s">
        <v>3668</v>
      </c>
      <c r="B2044" s="98">
        <v>72138</v>
      </c>
      <c r="C2044" s="98" t="s">
        <v>5107</v>
      </c>
      <c r="D2044" s="96" t="s">
        <v>190</v>
      </c>
      <c r="E2044" s="97">
        <v>135</v>
      </c>
      <c r="F2044" s="67" t="str">
        <f>IFERROR(IFERROR(INDEX(Кат!$A:$A,MATCH(Прайс!$B2044,Кат!$G:$G,0)),INDEX(Торг!$B:$B,MATCH(Прайс!$B2044,Торг!$H:$H,0))),"")</f>
        <v/>
      </c>
      <c r="G2044" s="67" t="str">
        <f>IFERROR(IFERROR(INDEX(Кат!$B:$B,MATCH(Прайс!$B2044,Кат!$G:$G,0)),INDEX(Торг!$C:$C,MATCH(Прайс!$B2044,Торг!$H:$H,0))),"")</f>
        <v/>
      </c>
      <c r="H2044" s="67" t="str">
        <f>IFERROR(IFERROR(INDEX(Кат!$I:$I,MATCH(Прайс!$B2044,Кат!$G:$G,0)),INDEX(Торг!$I:$I,MATCH(Прайс!$B2044,Торг!$H:$H,0))),"")</f>
        <v/>
      </c>
    </row>
    <row r="2045" spans="1:8" x14ac:dyDescent="0.25">
      <c r="A2045" s="94" t="s">
        <v>3669</v>
      </c>
      <c r="B2045" s="98">
        <v>72139</v>
      </c>
      <c r="C2045" s="98" t="s">
        <v>5108</v>
      </c>
      <c r="D2045" s="96" t="s">
        <v>190</v>
      </c>
      <c r="E2045" s="97">
        <v>135</v>
      </c>
      <c r="F2045" s="67" t="str">
        <f>IFERROR(IFERROR(INDEX(Кат!$A:$A,MATCH(Прайс!$B2045,Кат!$G:$G,0)),INDEX(Торг!$B:$B,MATCH(Прайс!$B2045,Торг!$H:$H,0))),"")</f>
        <v/>
      </c>
      <c r="G2045" s="67" t="str">
        <f>IFERROR(IFERROR(INDEX(Кат!$B:$B,MATCH(Прайс!$B2045,Кат!$G:$G,0)),INDEX(Торг!$C:$C,MATCH(Прайс!$B2045,Торг!$H:$H,0))),"")</f>
        <v/>
      </c>
      <c r="H2045" s="67" t="str">
        <f>IFERROR(IFERROR(INDEX(Кат!$I:$I,MATCH(Прайс!$B2045,Кат!$G:$G,0)),INDEX(Торг!$I:$I,MATCH(Прайс!$B2045,Торг!$H:$H,0))),"")</f>
        <v/>
      </c>
    </row>
    <row r="2046" spans="1:8" x14ac:dyDescent="0.25">
      <c r="A2046" s="94" t="s">
        <v>3670</v>
      </c>
      <c r="B2046" s="98">
        <v>72140</v>
      </c>
      <c r="C2046" s="98" t="s">
        <v>5109</v>
      </c>
      <c r="D2046" s="96" t="s">
        <v>190</v>
      </c>
      <c r="E2046" s="97">
        <v>135</v>
      </c>
      <c r="F2046" s="67" t="str">
        <f>IFERROR(IFERROR(INDEX(Кат!$A:$A,MATCH(Прайс!$B2046,Кат!$G:$G,0)),INDEX(Торг!$B:$B,MATCH(Прайс!$B2046,Торг!$H:$H,0))),"")</f>
        <v/>
      </c>
      <c r="G2046" s="67" t="str">
        <f>IFERROR(IFERROR(INDEX(Кат!$B:$B,MATCH(Прайс!$B2046,Кат!$G:$G,0)),INDEX(Торг!$C:$C,MATCH(Прайс!$B2046,Торг!$H:$H,0))),"")</f>
        <v/>
      </c>
      <c r="H2046" s="67" t="str">
        <f>IFERROR(IFERROR(INDEX(Кат!$I:$I,MATCH(Прайс!$B2046,Кат!$G:$G,0)),INDEX(Торг!$I:$I,MATCH(Прайс!$B2046,Торг!$H:$H,0))),"")</f>
        <v/>
      </c>
    </row>
    <row r="2047" spans="1:8" x14ac:dyDescent="0.25">
      <c r="A2047" s="94" t="s">
        <v>3671</v>
      </c>
      <c r="B2047" s="98">
        <v>72141</v>
      </c>
      <c r="C2047" s="98" t="s">
        <v>5110</v>
      </c>
      <c r="D2047" s="96" t="s">
        <v>190</v>
      </c>
      <c r="E2047" s="97">
        <v>135</v>
      </c>
      <c r="F2047" s="67" t="str">
        <f>IFERROR(IFERROR(INDEX(Кат!$A:$A,MATCH(Прайс!$B2047,Кат!$G:$G,0)),INDEX(Торг!$B:$B,MATCH(Прайс!$B2047,Торг!$H:$H,0))),"")</f>
        <v/>
      </c>
      <c r="G2047" s="67" t="str">
        <f>IFERROR(IFERROR(INDEX(Кат!$B:$B,MATCH(Прайс!$B2047,Кат!$G:$G,0)),INDEX(Торг!$C:$C,MATCH(Прайс!$B2047,Торг!$H:$H,0))),"")</f>
        <v/>
      </c>
      <c r="H2047" s="67" t="str">
        <f>IFERROR(IFERROR(INDEX(Кат!$I:$I,MATCH(Прайс!$B2047,Кат!$G:$G,0)),INDEX(Торг!$I:$I,MATCH(Прайс!$B2047,Торг!$H:$H,0))),"")</f>
        <v/>
      </c>
    </row>
    <row r="2048" spans="1:8" x14ac:dyDescent="0.25">
      <c r="A2048" s="94" t="s">
        <v>3672</v>
      </c>
      <c r="B2048" s="98">
        <v>72142</v>
      </c>
      <c r="C2048" s="98" t="s">
        <v>5111</v>
      </c>
      <c r="D2048" s="96" t="s">
        <v>190</v>
      </c>
      <c r="E2048" s="97">
        <v>135</v>
      </c>
      <c r="F2048" s="67" t="str">
        <f>IFERROR(IFERROR(INDEX(Кат!$A:$A,MATCH(Прайс!$B2048,Кат!$G:$G,0)),INDEX(Торг!$B:$B,MATCH(Прайс!$B2048,Торг!$H:$H,0))),"")</f>
        <v/>
      </c>
      <c r="G2048" s="67" t="str">
        <f>IFERROR(IFERROR(INDEX(Кат!$B:$B,MATCH(Прайс!$B2048,Кат!$G:$G,0)),INDEX(Торг!$C:$C,MATCH(Прайс!$B2048,Торг!$H:$H,0))),"")</f>
        <v/>
      </c>
      <c r="H2048" s="67" t="str">
        <f>IFERROR(IFERROR(INDEX(Кат!$I:$I,MATCH(Прайс!$B2048,Кат!$G:$G,0)),INDEX(Торг!$I:$I,MATCH(Прайс!$B2048,Торг!$H:$H,0))),"")</f>
        <v/>
      </c>
    </row>
    <row r="2049" spans="1:8" x14ac:dyDescent="0.25">
      <c r="A2049" s="94" t="s">
        <v>3673</v>
      </c>
      <c r="B2049" s="98">
        <v>72143</v>
      </c>
      <c r="C2049" s="98" t="s">
        <v>5444</v>
      </c>
      <c r="D2049" s="96" t="s">
        <v>190</v>
      </c>
      <c r="E2049" s="97">
        <v>135</v>
      </c>
      <c r="F2049" s="67" t="str">
        <f>IFERROR(IFERROR(INDEX(Кат!$A:$A,MATCH(Прайс!$B2049,Кат!$G:$G,0)),INDEX(Торг!$B:$B,MATCH(Прайс!$B2049,Торг!$H:$H,0))),"")</f>
        <v/>
      </c>
      <c r="G2049" s="67" t="str">
        <f>IFERROR(IFERROR(INDEX(Кат!$B:$B,MATCH(Прайс!$B2049,Кат!$G:$G,0)),INDEX(Торг!$C:$C,MATCH(Прайс!$B2049,Торг!$H:$H,0))),"")</f>
        <v/>
      </c>
      <c r="H2049" s="67" t="str">
        <f>IFERROR(IFERROR(INDEX(Кат!$I:$I,MATCH(Прайс!$B2049,Кат!$G:$G,0)),INDEX(Торг!$I:$I,MATCH(Прайс!$B2049,Торг!$H:$H,0))),"")</f>
        <v/>
      </c>
    </row>
    <row r="2050" spans="1:8" x14ac:dyDescent="0.25">
      <c r="A2050" s="94" t="s">
        <v>3674</v>
      </c>
      <c r="B2050" s="98">
        <v>72144</v>
      </c>
      <c r="C2050" s="98" t="s">
        <v>5112</v>
      </c>
      <c r="D2050" s="96" t="s">
        <v>190</v>
      </c>
      <c r="E2050" s="97">
        <v>135</v>
      </c>
      <c r="F2050" s="67" t="str">
        <f>IFERROR(IFERROR(INDEX(Кат!$A:$A,MATCH(Прайс!$B2050,Кат!$G:$G,0)),INDEX(Торг!$B:$B,MATCH(Прайс!$B2050,Торг!$H:$H,0))),"")</f>
        <v/>
      </c>
      <c r="G2050" s="67" t="str">
        <f>IFERROR(IFERROR(INDEX(Кат!$B:$B,MATCH(Прайс!$B2050,Кат!$G:$G,0)),INDEX(Торг!$C:$C,MATCH(Прайс!$B2050,Торг!$H:$H,0))),"")</f>
        <v/>
      </c>
      <c r="H2050" s="67" t="str">
        <f>IFERROR(IFERROR(INDEX(Кат!$I:$I,MATCH(Прайс!$B2050,Кат!$G:$G,0)),INDEX(Торг!$I:$I,MATCH(Прайс!$B2050,Торг!$H:$H,0))),"")</f>
        <v/>
      </c>
    </row>
    <row r="2051" spans="1:8" x14ac:dyDescent="0.25">
      <c r="A2051" s="94" t="s">
        <v>3675</v>
      </c>
      <c r="B2051" s="98">
        <v>72145</v>
      </c>
      <c r="C2051" s="98" t="s">
        <v>5113</v>
      </c>
      <c r="D2051" s="96" t="s">
        <v>190</v>
      </c>
      <c r="E2051" s="97">
        <v>135</v>
      </c>
      <c r="F2051" s="67" t="str">
        <f>IFERROR(IFERROR(INDEX(Кат!$A:$A,MATCH(Прайс!$B2051,Кат!$G:$G,0)),INDEX(Торг!$B:$B,MATCH(Прайс!$B2051,Торг!$H:$H,0))),"")</f>
        <v/>
      </c>
      <c r="G2051" s="67" t="str">
        <f>IFERROR(IFERROR(INDEX(Кат!$B:$B,MATCH(Прайс!$B2051,Кат!$G:$G,0)),INDEX(Торг!$C:$C,MATCH(Прайс!$B2051,Торг!$H:$H,0))),"")</f>
        <v/>
      </c>
      <c r="H2051" s="67" t="str">
        <f>IFERROR(IFERROR(INDEX(Кат!$I:$I,MATCH(Прайс!$B2051,Кат!$G:$G,0)),INDEX(Торг!$I:$I,MATCH(Прайс!$B2051,Торг!$H:$H,0))),"")</f>
        <v/>
      </c>
    </row>
    <row r="2052" spans="1:8" x14ac:dyDescent="0.25">
      <c r="A2052" s="94" t="s">
        <v>3676</v>
      </c>
      <c r="B2052" s="98">
        <v>72146</v>
      </c>
      <c r="C2052" s="98" t="s">
        <v>5114</v>
      </c>
      <c r="D2052" s="96" t="s">
        <v>190</v>
      </c>
      <c r="E2052" s="97">
        <v>135</v>
      </c>
      <c r="F2052" s="67" t="str">
        <f>IFERROR(IFERROR(INDEX(Кат!$A:$A,MATCH(Прайс!$B2052,Кат!$G:$G,0)),INDEX(Торг!$B:$B,MATCH(Прайс!$B2052,Торг!$H:$H,0))),"")</f>
        <v/>
      </c>
      <c r="G2052" s="67" t="str">
        <f>IFERROR(IFERROR(INDEX(Кат!$B:$B,MATCH(Прайс!$B2052,Кат!$G:$G,0)),INDEX(Торг!$C:$C,MATCH(Прайс!$B2052,Торг!$H:$H,0))),"")</f>
        <v/>
      </c>
      <c r="H2052" s="67" t="str">
        <f>IFERROR(IFERROR(INDEX(Кат!$I:$I,MATCH(Прайс!$B2052,Кат!$G:$G,0)),INDEX(Торг!$I:$I,MATCH(Прайс!$B2052,Торг!$H:$H,0))),"")</f>
        <v/>
      </c>
    </row>
    <row r="2053" spans="1:8" x14ac:dyDescent="0.25">
      <c r="A2053" s="94" t="s">
        <v>4910</v>
      </c>
      <c r="B2053" s="98">
        <v>72414</v>
      </c>
      <c r="C2053" s="98" t="s">
        <v>5115</v>
      </c>
      <c r="D2053" s="96" t="s">
        <v>190</v>
      </c>
      <c r="E2053" s="97">
        <v>135</v>
      </c>
      <c r="F2053" s="67" t="str">
        <f>IFERROR(IFERROR(INDEX(Кат!$A:$A,MATCH(Прайс!$B2053,Кат!$G:$G,0)),INDEX(Торг!$B:$B,MATCH(Прайс!$B2053,Торг!$H:$H,0))),"")</f>
        <v/>
      </c>
      <c r="G2053" s="67" t="str">
        <f>IFERROR(IFERROR(INDEX(Кат!$B:$B,MATCH(Прайс!$B2053,Кат!$G:$G,0)),INDEX(Торг!$C:$C,MATCH(Прайс!$B2053,Торг!$H:$H,0))),"")</f>
        <v/>
      </c>
      <c r="H2053" s="67" t="str">
        <f>IFERROR(IFERROR(INDEX(Кат!$I:$I,MATCH(Прайс!$B2053,Кат!$G:$G,0)),INDEX(Торг!$I:$I,MATCH(Прайс!$B2053,Торг!$H:$H,0))),"")</f>
        <v/>
      </c>
    </row>
    <row r="2054" spans="1:8" x14ac:dyDescent="0.25">
      <c r="A2054" s="94" t="s">
        <v>3677</v>
      </c>
      <c r="B2054" s="98">
        <v>72358</v>
      </c>
      <c r="C2054" s="98" t="s">
        <v>5116</v>
      </c>
      <c r="D2054" s="96" t="s">
        <v>190</v>
      </c>
      <c r="E2054" s="97">
        <v>135</v>
      </c>
      <c r="F2054" s="67" t="str">
        <f>IFERROR(IFERROR(INDEX(Кат!$A:$A,MATCH(Прайс!$B2054,Кат!$G:$G,0)),INDEX(Торг!$B:$B,MATCH(Прайс!$B2054,Торг!$H:$H,0))),"")</f>
        <v/>
      </c>
      <c r="G2054" s="67" t="str">
        <f>IFERROR(IFERROR(INDEX(Кат!$B:$B,MATCH(Прайс!$B2054,Кат!$G:$G,0)),INDEX(Торг!$C:$C,MATCH(Прайс!$B2054,Торг!$H:$H,0))),"")</f>
        <v/>
      </c>
      <c r="H2054" s="67" t="str">
        <f>IFERROR(IFERROR(INDEX(Кат!$I:$I,MATCH(Прайс!$B2054,Кат!$G:$G,0)),INDEX(Торг!$I:$I,MATCH(Прайс!$B2054,Торг!$H:$H,0))),"")</f>
        <v/>
      </c>
    </row>
    <row r="2055" spans="1:8" x14ac:dyDescent="0.25">
      <c r="A2055" s="94" t="s">
        <v>3678</v>
      </c>
      <c r="B2055" s="98">
        <v>72335</v>
      </c>
      <c r="C2055" s="98" t="s">
        <v>5117</v>
      </c>
      <c r="D2055" s="96" t="s">
        <v>190</v>
      </c>
      <c r="E2055" s="97">
        <v>135</v>
      </c>
      <c r="F2055" s="67" t="str">
        <f>IFERROR(IFERROR(INDEX(Кат!$A:$A,MATCH(Прайс!$B2055,Кат!$G:$G,0)),INDEX(Торг!$B:$B,MATCH(Прайс!$B2055,Торг!$H:$H,0))),"")</f>
        <v/>
      </c>
      <c r="G2055" s="67" t="str">
        <f>IFERROR(IFERROR(INDEX(Кат!$B:$B,MATCH(Прайс!$B2055,Кат!$G:$G,0)),INDEX(Торг!$C:$C,MATCH(Прайс!$B2055,Торг!$H:$H,0))),"")</f>
        <v/>
      </c>
      <c r="H2055" s="67" t="str">
        <f>IFERROR(IFERROR(INDEX(Кат!$I:$I,MATCH(Прайс!$B2055,Кат!$G:$G,0)),INDEX(Торг!$I:$I,MATCH(Прайс!$B2055,Торг!$H:$H,0))),"")</f>
        <v/>
      </c>
    </row>
    <row r="2056" spans="1:8" x14ac:dyDescent="0.25">
      <c r="A2056" s="94" t="s">
        <v>4911</v>
      </c>
      <c r="B2056" s="98">
        <v>72390</v>
      </c>
      <c r="C2056" s="98" t="s">
        <v>5118</v>
      </c>
      <c r="D2056" s="96" t="s">
        <v>190</v>
      </c>
      <c r="E2056" s="97">
        <v>135</v>
      </c>
      <c r="F2056" s="67" t="str">
        <f>IFERROR(IFERROR(INDEX(Кат!$A:$A,MATCH(Прайс!$B2056,Кат!$G:$G,0)),INDEX(Торг!$B:$B,MATCH(Прайс!$B2056,Торг!$H:$H,0))),"")</f>
        <v/>
      </c>
      <c r="G2056" s="67" t="str">
        <f>IFERROR(IFERROR(INDEX(Кат!$B:$B,MATCH(Прайс!$B2056,Кат!$G:$G,0)),INDEX(Торг!$C:$C,MATCH(Прайс!$B2056,Торг!$H:$H,0))),"")</f>
        <v/>
      </c>
      <c r="H2056" s="67" t="str">
        <f>IFERROR(IFERROR(INDEX(Кат!$I:$I,MATCH(Прайс!$B2056,Кат!$G:$G,0)),INDEX(Торг!$I:$I,MATCH(Прайс!$B2056,Торг!$H:$H,0))),"")</f>
        <v/>
      </c>
    </row>
    <row r="2057" spans="1:8" x14ac:dyDescent="0.25">
      <c r="A2057" s="94" t="s">
        <v>4912</v>
      </c>
      <c r="B2057" s="98">
        <v>72413</v>
      </c>
      <c r="C2057" s="98" t="s">
        <v>5119</v>
      </c>
      <c r="D2057" s="96" t="s">
        <v>190</v>
      </c>
      <c r="E2057" s="97">
        <v>135</v>
      </c>
      <c r="F2057" s="67" t="str">
        <f>IFERROR(IFERROR(INDEX(Кат!$A:$A,MATCH(Прайс!$B2057,Кат!$G:$G,0)),INDEX(Торг!$B:$B,MATCH(Прайс!$B2057,Торг!$H:$H,0))),"")</f>
        <v/>
      </c>
      <c r="G2057" s="67" t="str">
        <f>IFERROR(IFERROR(INDEX(Кат!$B:$B,MATCH(Прайс!$B2057,Кат!$G:$G,0)),INDEX(Торг!$C:$C,MATCH(Прайс!$B2057,Торг!$H:$H,0))),"")</f>
        <v/>
      </c>
      <c r="H2057" s="67" t="str">
        <f>IFERROR(IFERROR(INDEX(Кат!$I:$I,MATCH(Прайс!$B2057,Кат!$G:$G,0)),INDEX(Торг!$I:$I,MATCH(Прайс!$B2057,Торг!$H:$H,0))),"")</f>
        <v/>
      </c>
    </row>
    <row r="2058" spans="1:8" x14ac:dyDescent="0.25">
      <c r="A2058" s="94" t="s">
        <v>5120</v>
      </c>
      <c r="B2058" s="98">
        <v>72500</v>
      </c>
      <c r="C2058" s="98" t="s">
        <v>5121</v>
      </c>
      <c r="D2058" s="96" t="s">
        <v>190</v>
      </c>
      <c r="E2058" s="97">
        <v>135</v>
      </c>
      <c r="F2058" s="67" t="str">
        <f>IFERROR(IFERROR(INDEX(Кат!$A:$A,MATCH(Прайс!$B2058,Кат!$G:$G,0)),INDEX(Торг!$B:$B,MATCH(Прайс!$B2058,Торг!$H:$H,0))),"")</f>
        <v/>
      </c>
      <c r="G2058" s="67" t="str">
        <f>IFERROR(IFERROR(INDEX(Кат!$B:$B,MATCH(Прайс!$B2058,Кат!$G:$G,0)),INDEX(Торг!$C:$C,MATCH(Прайс!$B2058,Торг!$H:$H,0))),"")</f>
        <v/>
      </c>
      <c r="H2058" s="67" t="str">
        <f>IFERROR(IFERROR(INDEX(Кат!$I:$I,MATCH(Прайс!$B2058,Кат!$G:$G,0)),INDEX(Торг!$I:$I,MATCH(Прайс!$B2058,Торг!$H:$H,0))),"")</f>
        <v/>
      </c>
    </row>
    <row r="2059" spans="1:8" x14ac:dyDescent="0.25">
      <c r="A2059" s="109" t="s">
        <v>8277</v>
      </c>
      <c r="B2059" s="110">
        <v>72692</v>
      </c>
      <c r="C2059" s="110" t="s">
        <v>8278</v>
      </c>
      <c r="D2059" s="111" t="s">
        <v>190</v>
      </c>
      <c r="E2059" s="112">
        <v>135</v>
      </c>
      <c r="F2059" s="67" t="str">
        <f>IFERROR(IFERROR(INDEX(Кат!$A:$A,MATCH(Прайс!$B2059,Кат!$G:$G,0)),INDEX(Торг!$B:$B,MATCH(Прайс!$B2059,Торг!$H:$H,0))),"")</f>
        <v/>
      </c>
      <c r="G2059" s="67" t="str">
        <f>IFERROR(IFERROR(INDEX(Кат!$B:$B,MATCH(Прайс!$B2059,Кат!$G:$G,0)),INDEX(Торг!$C:$C,MATCH(Прайс!$B2059,Торг!$H:$H,0))),"")</f>
        <v/>
      </c>
      <c r="H2059" s="67" t="str">
        <f>IFERROR(IFERROR(INDEX(Кат!$I:$I,MATCH(Прайс!$B2059,Кат!$G:$G,0)),INDEX(Торг!$I:$I,MATCH(Прайс!$B2059,Торг!$H:$H,0))),"")</f>
        <v/>
      </c>
    </row>
    <row r="2060" spans="1:8" x14ac:dyDescent="0.25">
      <c r="A2060" s="109" t="s">
        <v>8279</v>
      </c>
      <c r="B2060" s="110">
        <v>72693</v>
      </c>
      <c r="C2060" s="110" t="s">
        <v>8280</v>
      </c>
      <c r="D2060" s="111" t="s">
        <v>190</v>
      </c>
      <c r="E2060" s="112">
        <v>135</v>
      </c>
      <c r="F2060" s="67" t="str">
        <f>IFERROR(IFERROR(INDEX(Кат!$A:$A,MATCH(Прайс!$B2060,Кат!$G:$G,0)),INDEX(Торг!$B:$B,MATCH(Прайс!$B2060,Торг!$H:$H,0))),"")</f>
        <v/>
      </c>
      <c r="G2060" s="67" t="str">
        <f>IFERROR(IFERROR(INDEX(Кат!$B:$B,MATCH(Прайс!$B2060,Кат!$G:$G,0)),INDEX(Торг!$C:$C,MATCH(Прайс!$B2060,Торг!$H:$H,0))),"")</f>
        <v/>
      </c>
      <c r="H2060" s="67" t="str">
        <f>IFERROR(IFERROR(INDEX(Кат!$I:$I,MATCH(Прайс!$B2060,Кат!$G:$G,0)),INDEX(Торг!$I:$I,MATCH(Прайс!$B2060,Торг!$H:$H,0))),"")</f>
        <v/>
      </c>
    </row>
    <row r="2061" spans="1:8" x14ac:dyDescent="0.25">
      <c r="A2061" s="94" t="s">
        <v>8597</v>
      </c>
      <c r="B2061" s="98">
        <v>72416</v>
      </c>
      <c r="C2061" s="98" t="s">
        <v>8598</v>
      </c>
      <c r="D2061" s="96" t="s">
        <v>337</v>
      </c>
      <c r="E2061" s="97">
        <v>85</v>
      </c>
      <c r="F2061" s="67" t="str">
        <f>IFERROR(IFERROR(INDEX(Кат!$A:$A,MATCH(Прайс!$B2061,Кат!$G:$G,0)),INDEX(Торг!$B:$B,MATCH(Прайс!$B2061,Торг!$H:$H,0))),"")</f>
        <v/>
      </c>
      <c r="G2061" s="67" t="str">
        <f>IFERROR(IFERROR(INDEX(Кат!$B:$B,MATCH(Прайс!$B2061,Кат!$G:$G,0)),INDEX(Торг!$C:$C,MATCH(Прайс!$B2061,Торг!$H:$H,0))),"")</f>
        <v/>
      </c>
      <c r="H2061" s="67" t="str">
        <f>IFERROR(IFERROR(INDEX(Кат!$I:$I,MATCH(Прайс!$B2061,Кат!$G:$G,0)),INDEX(Торг!$I:$I,MATCH(Прайс!$B2061,Торг!$H:$H,0))),"")</f>
        <v/>
      </c>
    </row>
    <row r="2062" spans="1:8" x14ac:dyDescent="0.25">
      <c r="A2062" s="94" t="s">
        <v>3649</v>
      </c>
      <c r="B2062" s="98">
        <v>70932</v>
      </c>
      <c r="C2062" s="98" t="s">
        <v>5122</v>
      </c>
      <c r="D2062" s="96" t="s">
        <v>337</v>
      </c>
      <c r="E2062" s="97">
        <v>65</v>
      </c>
      <c r="F2062" s="67" t="str">
        <f>IFERROR(IFERROR(INDEX(Кат!$A:$A,MATCH(Прайс!$B2062,Кат!$G:$G,0)),INDEX(Торг!$B:$B,MATCH(Прайс!$B2062,Торг!$H:$H,0))),"")</f>
        <v/>
      </c>
      <c r="G2062" s="67" t="str">
        <f>IFERROR(IFERROR(INDEX(Кат!$B:$B,MATCH(Прайс!$B2062,Кат!$G:$G,0)),INDEX(Торг!$C:$C,MATCH(Прайс!$B2062,Торг!$H:$H,0))),"")</f>
        <v/>
      </c>
      <c r="H2062" s="67" t="str">
        <f>IFERROR(IFERROR(INDEX(Кат!$I:$I,MATCH(Прайс!$B2062,Кат!$G:$G,0)),INDEX(Торг!$I:$I,MATCH(Прайс!$B2062,Торг!$H:$H,0))),"")</f>
        <v/>
      </c>
    </row>
    <row r="2063" spans="1:8" x14ac:dyDescent="0.25">
      <c r="A2063" s="94" t="s">
        <v>3635</v>
      </c>
      <c r="B2063" s="98">
        <v>70931</v>
      </c>
      <c r="C2063" s="98" t="s">
        <v>5123</v>
      </c>
      <c r="D2063" s="96" t="s">
        <v>337</v>
      </c>
      <c r="E2063" s="97">
        <v>65</v>
      </c>
      <c r="F2063" s="67" t="str">
        <f>IFERROR(IFERROR(INDEX(Кат!$A:$A,MATCH(Прайс!$B2063,Кат!$G:$G,0)),INDEX(Торг!$B:$B,MATCH(Прайс!$B2063,Торг!$H:$H,0))),"")</f>
        <v/>
      </c>
      <c r="G2063" s="67" t="str">
        <f>IFERROR(IFERROR(INDEX(Кат!$B:$B,MATCH(Прайс!$B2063,Кат!$G:$G,0)),INDEX(Торг!$C:$C,MATCH(Прайс!$B2063,Торг!$H:$H,0))),"")</f>
        <v/>
      </c>
      <c r="H2063" s="67" t="str">
        <f>IFERROR(IFERROR(INDEX(Кат!$I:$I,MATCH(Прайс!$B2063,Кат!$G:$G,0)),INDEX(Торг!$I:$I,MATCH(Прайс!$B2063,Торг!$H:$H,0))),"")</f>
        <v/>
      </c>
    </row>
    <row r="2064" spans="1:8" x14ac:dyDescent="0.25">
      <c r="A2064" s="94" t="s">
        <v>4908</v>
      </c>
      <c r="B2064" s="98">
        <v>71558</v>
      </c>
      <c r="C2064" s="98" t="s">
        <v>5124</v>
      </c>
      <c r="D2064" s="96" t="s">
        <v>337</v>
      </c>
      <c r="E2064" s="97">
        <v>65</v>
      </c>
      <c r="F2064" s="67" t="str">
        <f>IFERROR(IFERROR(INDEX(Кат!$A:$A,MATCH(Прайс!$B2064,Кат!$G:$G,0)),INDEX(Торг!$B:$B,MATCH(Прайс!$B2064,Торг!$H:$H,0))),"")</f>
        <v/>
      </c>
      <c r="G2064" s="67" t="str">
        <f>IFERROR(IFERROR(INDEX(Кат!$B:$B,MATCH(Прайс!$B2064,Кат!$G:$G,0)),INDEX(Торг!$C:$C,MATCH(Прайс!$B2064,Торг!$H:$H,0))),"")</f>
        <v/>
      </c>
      <c r="H2064" s="67" t="str">
        <f>IFERROR(IFERROR(INDEX(Кат!$I:$I,MATCH(Прайс!$B2064,Кат!$G:$G,0)),INDEX(Торг!$I:$I,MATCH(Прайс!$B2064,Торг!$H:$H,0))),"")</f>
        <v/>
      </c>
    </row>
    <row r="2065" spans="1:8" x14ac:dyDescent="0.25">
      <c r="A2065" s="94" t="s">
        <v>3636</v>
      </c>
      <c r="B2065" s="98">
        <v>71556</v>
      </c>
      <c r="C2065" s="98" t="s">
        <v>5125</v>
      </c>
      <c r="D2065" s="96" t="s">
        <v>337</v>
      </c>
      <c r="E2065" s="97">
        <v>65</v>
      </c>
      <c r="F2065" s="67" t="str">
        <f>IFERROR(IFERROR(INDEX(Кат!$A:$A,MATCH(Прайс!$B2065,Кат!$G:$G,0)),INDEX(Торг!$B:$B,MATCH(Прайс!$B2065,Торг!$H:$H,0))),"")</f>
        <v/>
      </c>
      <c r="G2065" s="67" t="str">
        <f>IFERROR(IFERROR(INDEX(Кат!$B:$B,MATCH(Прайс!$B2065,Кат!$G:$G,0)),INDEX(Торг!$C:$C,MATCH(Прайс!$B2065,Торг!$H:$H,0))),"")</f>
        <v/>
      </c>
      <c r="H2065" s="67" t="str">
        <f>IFERROR(IFERROR(INDEX(Кат!$I:$I,MATCH(Прайс!$B2065,Кат!$G:$G,0)),INDEX(Торг!$I:$I,MATCH(Прайс!$B2065,Торг!$H:$H,0))),"")</f>
        <v/>
      </c>
    </row>
    <row r="2066" spans="1:8" x14ac:dyDescent="0.25">
      <c r="A2066" s="94" t="s">
        <v>3634</v>
      </c>
      <c r="B2066" s="98">
        <v>71557</v>
      </c>
      <c r="C2066" s="98" t="s">
        <v>5126</v>
      </c>
      <c r="D2066" s="96" t="s">
        <v>337</v>
      </c>
      <c r="E2066" s="97">
        <v>65</v>
      </c>
      <c r="F2066" s="67" t="str">
        <f>IFERROR(IFERROR(INDEX(Кат!$A:$A,MATCH(Прайс!$B2066,Кат!$G:$G,0)),INDEX(Торг!$B:$B,MATCH(Прайс!$B2066,Торг!$H:$H,0))),"")</f>
        <v/>
      </c>
      <c r="G2066" s="67" t="str">
        <f>IFERROR(IFERROR(INDEX(Кат!$B:$B,MATCH(Прайс!$B2066,Кат!$G:$G,0)),INDEX(Торг!$C:$C,MATCH(Прайс!$B2066,Торг!$H:$H,0))),"")</f>
        <v/>
      </c>
      <c r="H2066" s="67" t="str">
        <f>IFERROR(IFERROR(INDEX(Кат!$I:$I,MATCH(Прайс!$B2066,Кат!$G:$G,0)),INDEX(Торг!$I:$I,MATCH(Прайс!$B2066,Торг!$H:$H,0))),"")</f>
        <v/>
      </c>
    </row>
    <row r="2067" spans="1:8" x14ac:dyDescent="0.25">
      <c r="A2067" s="94" t="s">
        <v>3631</v>
      </c>
      <c r="B2067" s="98">
        <v>70927</v>
      </c>
      <c r="C2067" s="98" t="s">
        <v>5127</v>
      </c>
      <c r="D2067" s="96" t="s">
        <v>337</v>
      </c>
      <c r="E2067" s="97">
        <v>65</v>
      </c>
      <c r="F2067" s="67" t="str">
        <f>IFERROR(IFERROR(INDEX(Кат!$A:$A,MATCH(Прайс!$B2067,Кат!$G:$G,0)),INDEX(Торг!$B:$B,MATCH(Прайс!$B2067,Торг!$H:$H,0))),"")</f>
        <v/>
      </c>
      <c r="G2067" s="67" t="str">
        <f>IFERROR(IFERROR(INDEX(Кат!$B:$B,MATCH(Прайс!$B2067,Кат!$G:$G,0)),INDEX(Торг!$C:$C,MATCH(Прайс!$B2067,Торг!$H:$H,0))),"")</f>
        <v/>
      </c>
      <c r="H2067" s="67" t="str">
        <f>IFERROR(IFERROR(INDEX(Кат!$I:$I,MATCH(Прайс!$B2067,Кат!$G:$G,0)),INDEX(Торг!$I:$I,MATCH(Прайс!$B2067,Торг!$H:$H,0))),"")</f>
        <v/>
      </c>
    </row>
    <row r="2068" spans="1:8" x14ac:dyDescent="0.25">
      <c r="A2068" s="94" t="s">
        <v>3630</v>
      </c>
      <c r="B2068" s="98">
        <v>72156</v>
      </c>
      <c r="C2068" s="98" t="s">
        <v>5128</v>
      </c>
      <c r="D2068" s="96" t="s">
        <v>337</v>
      </c>
      <c r="E2068" s="97">
        <v>65</v>
      </c>
      <c r="F2068" s="67" t="str">
        <f>IFERROR(IFERROR(INDEX(Кат!$A:$A,MATCH(Прайс!$B2068,Кат!$G:$G,0)),INDEX(Торг!$B:$B,MATCH(Прайс!$B2068,Торг!$H:$H,0))),"")</f>
        <v/>
      </c>
      <c r="G2068" s="67" t="str">
        <f>IFERROR(IFERROR(INDEX(Кат!$B:$B,MATCH(Прайс!$B2068,Кат!$G:$G,0)),INDEX(Торг!$C:$C,MATCH(Прайс!$B2068,Торг!$H:$H,0))),"")</f>
        <v/>
      </c>
      <c r="H2068" s="67" t="str">
        <f>IFERROR(IFERROR(INDEX(Кат!$I:$I,MATCH(Прайс!$B2068,Кат!$G:$G,0)),INDEX(Торг!$I:$I,MATCH(Прайс!$B2068,Торг!$H:$H,0))),"")</f>
        <v/>
      </c>
    </row>
    <row r="2069" spans="1:8" x14ac:dyDescent="0.25">
      <c r="A2069" s="94" t="s">
        <v>3637</v>
      </c>
      <c r="B2069" s="98">
        <v>71367</v>
      </c>
      <c r="C2069" s="98" t="s">
        <v>5129</v>
      </c>
      <c r="D2069" s="96" t="s">
        <v>337</v>
      </c>
      <c r="E2069" s="97">
        <v>65</v>
      </c>
      <c r="F2069" s="67" t="str">
        <f>IFERROR(IFERROR(INDEX(Кат!$A:$A,MATCH(Прайс!$B2069,Кат!$G:$G,0)),INDEX(Торг!$B:$B,MATCH(Прайс!$B2069,Торг!$H:$H,0))),"")</f>
        <v/>
      </c>
      <c r="G2069" s="67" t="str">
        <f>IFERROR(IFERROR(INDEX(Кат!$B:$B,MATCH(Прайс!$B2069,Кат!$G:$G,0)),INDEX(Торг!$C:$C,MATCH(Прайс!$B2069,Торг!$H:$H,0))),"")</f>
        <v/>
      </c>
      <c r="H2069" s="67" t="str">
        <f>IFERROR(IFERROR(INDEX(Кат!$I:$I,MATCH(Прайс!$B2069,Кат!$G:$G,0)),INDEX(Торг!$I:$I,MATCH(Прайс!$B2069,Торг!$H:$H,0))),"")</f>
        <v/>
      </c>
    </row>
    <row r="2070" spans="1:8" x14ac:dyDescent="0.25">
      <c r="A2070" s="94" t="s">
        <v>4907</v>
      </c>
      <c r="B2070" s="98">
        <v>70928</v>
      </c>
      <c r="C2070" s="98" t="s">
        <v>5130</v>
      </c>
      <c r="D2070" s="96" t="s">
        <v>337</v>
      </c>
      <c r="E2070" s="97">
        <v>65</v>
      </c>
      <c r="F2070" s="67" t="str">
        <f>IFERROR(IFERROR(INDEX(Кат!$A:$A,MATCH(Прайс!$B2070,Кат!$G:$G,0)),INDEX(Торг!$B:$B,MATCH(Прайс!$B2070,Торг!$H:$H,0))),"")</f>
        <v/>
      </c>
      <c r="G2070" s="67" t="str">
        <f>IFERROR(IFERROR(INDEX(Кат!$B:$B,MATCH(Прайс!$B2070,Кат!$G:$G,0)),INDEX(Торг!$C:$C,MATCH(Прайс!$B2070,Торг!$H:$H,0))),"")</f>
        <v/>
      </c>
      <c r="H2070" s="67" t="str">
        <f>IFERROR(IFERROR(INDEX(Кат!$I:$I,MATCH(Прайс!$B2070,Кат!$G:$G,0)),INDEX(Торг!$I:$I,MATCH(Прайс!$B2070,Торг!$H:$H,0))),"")</f>
        <v/>
      </c>
    </row>
    <row r="2071" spans="1:8" x14ac:dyDescent="0.25">
      <c r="A2071" s="94" t="s">
        <v>3632</v>
      </c>
      <c r="B2071" s="98">
        <v>70929</v>
      </c>
      <c r="C2071" s="98" t="s">
        <v>5131</v>
      </c>
      <c r="D2071" s="96" t="s">
        <v>337</v>
      </c>
      <c r="E2071" s="97">
        <v>65</v>
      </c>
      <c r="F2071" s="67" t="str">
        <f>IFERROR(IFERROR(INDEX(Кат!$A:$A,MATCH(Прайс!$B2071,Кат!$G:$G,0)),INDEX(Торг!$B:$B,MATCH(Прайс!$B2071,Торг!$H:$H,0))),"")</f>
        <v/>
      </c>
      <c r="G2071" s="67" t="str">
        <f>IFERROR(IFERROR(INDEX(Кат!$B:$B,MATCH(Прайс!$B2071,Кат!$G:$G,0)),INDEX(Торг!$C:$C,MATCH(Прайс!$B2071,Торг!$H:$H,0))),"")</f>
        <v/>
      </c>
      <c r="H2071" s="67" t="str">
        <f>IFERROR(IFERROR(INDEX(Кат!$I:$I,MATCH(Прайс!$B2071,Кат!$G:$G,0)),INDEX(Торг!$I:$I,MATCH(Прайс!$B2071,Торг!$H:$H,0))),"")</f>
        <v/>
      </c>
    </row>
    <row r="2072" spans="1:8" x14ac:dyDescent="0.25">
      <c r="A2072" s="94" t="s">
        <v>6343</v>
      </c>
      <c r="B2072" s="98">
        <v>71562</v>
      </c>
      <c r="C2072" s="98" t="s">
        <v>6344</v>
      </c>
      <c r="D2072" s="96" t="s">
        <v>337</v>
      </c>
      <c r="E2072" s="97">
        <v>65</v>
      </c>
      <c r="F2072" s="67" t="str">
        <f>IFERROR(IFERROR(INDEX(Кат!$A:$A,MATCH(Прайс!$B2072,Кат!$G:$G,0)),INDEX(Торг!$B:$B,MATCH(Прайс!$B2072,Торг!$H:$H,0))),"")</f>
        <v/>
      </c>
      <c r="G2072" s="67" t="str">
        <f>IFERROR(IFERROR(INDEX(Кат!$B:$B,MATCH(Прайс!$B2072,Кат!$G:$G,0)),INDEX(Торг!$C:$C,MATCH(Прайс!$B2072,Торг!$H:$H,0))),"")</f>
        <v/>
      </c>
      <c r="H2072" s="67" t="str">
        <f>IFERROR(IFERROR(INDEX(Кат!$I:$I,MATCH(Прайс!$B2072,Кат!$G:$G,0)),INDEX(Торг!$I:$I,MATCH(Прайс!$B2072,Торг!$H:$H,0))),"")</f>
        <v/>
      </c>
    </row>
    <row r="2073" spans="1:8" x14ac:dyDescent="0.25">
      <c r="A2073" s="94" t="s">
        <v>3633</v>
      </c>
      <c r="B2073" s="98">
        <v>70930</v>
      </c>
      <c r="C2073" s="98" t="s">
        <v>5132</v>
      </c>
      <c r="D2073" s="96" t="s">
        <v>337</v>
      </c>
      <c r="E2073" s="97">
        <v>65</v>
      </c>
      <c r="F2073" s="67" t="str">
        <f>IFERROR(IFERROR(INDEX(Кат!$A:$A,MATCH(Прайс!$B2073,Кат!$G:$G,0)),INDEX(Торг!$B:$B,MATCH(Прайс!$B2073,Торг!$H:$H,0))),"")</f>
        <v/>
      </c>
      <c r="G2073" s="67" t="str">
        <f>IFERROR(IFERROR(INDEX(Кат!$B:$B,MATCH(Прайс!$B2073,Кат!$G:$G,0)),INDEX(Торг!$C:$C,MATCH(Прайс!$B2073,Торг!$H:$H,0))),"")</f>
        <v/>
      </c>
      <c r="H2073" s="67" t="str">
        <f>IFERROR(IFERROR(INDEX(Кат!$I:$I,MATCH(Прайс!$B2073,Кат!$G:$G,0)),INDEX(Торг!$I:$I,MATCH(Прайс!$B2073,Торг!$H:$H,0))),"")</f>
        <v/>
      </c>
    </row>
    <row r="2074" spans="1:8" x14ac:dyDescent="0.25">
      <c r="A2074" s="94" t="s">
        <v>6345</v>
      </c>
      <c r="B2074" s="98">
        <v>70933</v>
      </c>
      <c r="C2074" s="98" t="s">
        <v>6346</v>
      </c>
      <c r="D2074" s="96" t="s">
        <v>337</v>
      </c>
      <c r="E2074" s="97">
        <v>65</v>
      </c>
      <c r="F2074" s="67" t="str">
        <f>IFERROR(IFERROR(INDEX(Кат!$A:$A,MATCH(Прайс!$B2074,Кат!$G:$G,0)),INDEX(Торг!$B:$B,MATCH(Прайс!$B2074,Торг!$H:$H,0))),"")</f>
        <v/>
      </c>
      <c r="G2074" s="67" t="str">
        <f>IFERROR(IFERROR(INDEX(Кат!$B:$B,MATCH(Прайс!$B2074,Кат!$G:$G,0)),INDEX(Торг!$C:$C,MATCH(Прайс!$B2074,Торг!$H:$H,0))),"")</f>
        <v/>
      </c>
      <c r="H2074" s="67" t="str">
        <f>IFERROR(IFERROR(INDEX(Кат!$I:$I,MATCH(Прайс!$B2074,Кат!$G:$G,0)),INDEX(Торг!$I:$I,MATCH(Прайс!$B2074,Торг!$H:$H,0))),"")</f>
        <v/>
      </c>
    </row>
    <row r="2075" spans="1:8" x14ac:dyDescent="0.25">
      <c r="A2075" s="94" t="s">
        <v>4909</v>
      </c>
      <c r="B2075" s="98">
        <v>71561</v>
      </c>
      <c r="C2075" s="98" t="s">
        <v>5133</v>
      </c>
      <c r="D2075" s="96" t="s">
        <v>337</v>
      </c>
      <c r="E2075" s="97">
        <v>65</v>
      </c>
      <c r="F2075" s="67" t="str">
        <f>IFERROR(IFERROR(INDEX(Кат!$A:$A,MATCH(Прайс!$B2075,Кат!$G:$G,0)),INDEX(Торг!$B:$B,MATCH(Прайс!$B2075,Торг!$H:$H,0))),"")</f>
        <v/>
      </c>
      <c r="G2075" s="67" t="str">
        <f>IFERROR(IFERROR(INDEX(Кат!$B:$B,MATCH(Прайс!$B2075,Кат!$G:$G,0)),INDEX(Торг!$C:$C,MATCH(Прайс!$B2075,Торг!$H:$H,0))),"")</f>
        <v/>
      </c>
      <c r="H2075" s="67" t="str">
        <f>IFERROR(IFERROR(INDEX(Кат!$I:$I,MATCH(Прайс!$B2075,Кат!$G:$G,0)),INDEX(Торг!$I:$I,MATCH(Прайс!$B2075,Торг!$H:$H,0))),"")</f>
        <v/>
      </c>
    </row>
    <row r="2076" spans="1:8" x14ac:dyDescent="0.25">
      <c r="A2076" s="94" t="s">
        <v>3650</v>
      </c>
      <c r="B2076" s="98">
        <v>71560</v>
      </c>
      <c r="C2076" s="98" t="s">
        <v>5134</v>
      </c>
      <c r="D2076" s="96" t="s">
        <v>337</v>
      </c>
      <c r="E2076" s="97">
        <v>65</v>
      </c>
      <c r="F2076" s="67" t="str">
        <f>IFERROR(IFERROR(INDEX(Кат!$A:$A,MATCH(Прайс!$B2076,Кат!$G:$G,0)),INDEX(Торг!$B:$B,MATCH(Прайс!$B2076,Торг!$H:$H,0))),"")</f>
        <v/>
      </c>
      <c r="G2076" s="67" t="str">
        <f>IFERROR(IFERROR(INDEX(Кат!$B:$B,MATCH(Прайс!$B2076,Кат!$G:$G,0)),INDEX(Торг!$C:$C,MATCH(Прайс!$B2076,Торг!$H:$H,0))),"")</f>
        <v/>
      </c>
      <c r="H2076" s="67" t="str">
        <f>IFERROR(IFERROR(INDEX(Кат!$I:$I,MATCH(Прайс!$B2076,Кат!$G:$G,0)),INDEX(Торг!$I:$I,MATCH(Прайс!$B2076,Торг!$H:$H,0))),"")</f>
        <v/>
      </c>
    </row>
    <row r="2077" spans="1:8" x14ac:dyDescent="0.25">
      <c r="A2077" s="94" t="s">
        <v>6347</v>
      </c>
      <c r="B2077" s="98">
        <v>71866</v>
      </c>
      <c r="C2077" s="98" t="s">
        <v>6348</v>
      </c>
      <c r="D2077" s="96" t="s">
        <v>161</v>
      </c>
      <c r="E2077" s="97">
        <v>65</v>
      </c>
      <c r="F2077" s="67" t="str">
        <f>IFERROR(IFERROR(INDEX(Кат!$A:$A,MATCH(Прайс!$B2077,Кат!$G:$G,0)),INDEX(Торг!$B:$B,MATCH(Прайс!$B2077,Торг!$H:$H,0))),"")</f>
        <v/>
      </c>
      <c r="G2077" s="67" t="str">
        <f>IFERROR(IFERROR(INDEX(Кат!$B:$B,MATCH(Прайс!$B2077,Кат!$G:$G,0)),INDEX(Торг!$C:$C,MATCH(Прайс!$B2077,Торг!$H:$H,0))),"")</f>
        <v/>
      </c>
      <c r="H2077" s="67" t="str">
        <f>IFERROR(IFERROR(INDEX(Кат!$I:$I,MATCH(Прайс!$B2077,Кат!$G:$G,0)),INDEX(Торг!$I:$I,MATCH(Прайс!$B2077,Торг!$H:$H,0))),"")</f>
        <v/>
      </c>
    </row>
    <row r="2078" spans="1:8" x14ac:dyDescent="0.25">
      <c r="A2078" s="94" t="s">
        <v>3638</v>
      </c>
      <c r="B2078" s="98">
        <v>72175</v>
      </c>
      <c r="C2078" s="98" t="s">
        <v>1143</v>
      </c>
      <c r="D2078" s="96" t="s">
        <v>337</v>
      </c>
      <c r="E2078" s="97">
        <v>110</v>
      </c>
      <c r="F2078" s="67" t="str">
        <f>IFERROR(IFERROR(INDEX(Кат!$A:$A,MATCH(Прайс!$B2078,Кат!$G:$G,0)),INDEX(Торг!$B:$B,MATCH(Прайс!$B2078,Торг!$H:$H,0))),"")</f>
        <v/>
      </c>
      <c r="G2078" s="67" t="str">
        <f>IFERROR(IFERROR(INDEX(Кат!$B:$B,MATCH(Прайс!$B2078,Кат!$G:$G,0)),INDEX(Торг!$C:$C,MATCH(Прайс!$B2078,Торг!$H:$H,0))),"")</f>
        <v/>
      </c>
      <c r="H2078" s="67" t="str">
        <f>IFERROR(IFERROR(INDEX(Кат!$I:$I,MATCH(Прайс!$B2078,Кат!$G:$G,0)),INDEX(Торг!$I:$I,MATCH(Прайс!$B2078,Торг!$H:$H,0))),"")</f>
        <v/>
      </c>
    </row>
    <row r="2079" spans="1:8" x14ac:dyDescent="0.25">
      <c r="A2079" s="94" t="s">
        <v>3639</v>
      </c>
      <c r="B2079" s="98">
        <v>72183</v>
      </c>
      <c r="C2079" s="98" t="s">
        <v>1144</v>
      </c>
      <c r="D2079" s="96" t="s">
        <v>337</v>
      </c>
      <c r="E2079" s="97">
        <v>110</v>
      </c>
      <c r="F2079" s="67" t="str">
        <f>IFERROR(IFERROR(INDEX(Кат!$A:$A,MATCH(Прайс!$B2079,Кат!$G:$G,0)),INDEX(Торг!$B:$B,MATCH(Прайс!$B2079,Торг!$H:$H,0))),"")</f>
        <v/>
      </c>
      <c r="G2079" s="67" t="str">
        <f>IFERROR(IFERROR(INDEX(Кат!$B:$B,MATCH(Прайс!$B2079,Кат!$G:$G,0)),INDEX(Торг!$C:$C,MATCH(Прайс!$B2079,Торг!$H:$H,0))),"")</f>
        <v/>
      </c>
      <c r="H2079" s="67" t="str">
        <f>IFERROR(IFERROR(INDEX(Кат!$I:$I,MATCH(Прайс!$B2079,Кат!$G:$G,0)),INDEX(Торг!$I:$I,MATCH(Прайс!$B2079,Торг!$H:$H,0))),"")</f>
        <v/>
      </c>
    </row>
    <row r="2080" spans="1:8" x14ac:dyDescent="0.25">
      <c r="A2080" s="94" t="s">
        <v>3640</v>
      </c>
      <c r="B2080" s="98">
        <v>72176</v>
      </c>
      <c r="C2080" s="98" t="s">
        <v>1145</v>
      </c>
      <c r="D2080" s="96" t="s">
        <v>337</v>
      </c>
      <c r="E2080" s="97">
        <v>110</v>
      </c>
      <c r="F2080" s="67" t="str">
        <f>IFERROR(IFERROR(INDEX(Кат!$A:$A,MATCH(Прайс!$B2080,Кат!$G:$G,0)),INDEX(Торг!$B:$B,MATCH(Прайс!$B2080,Торг!$H:$H,0))),"")</f>
        <v/>
      </c>
      <c r="G2080" s="67" t="str">
        <f>IFERROR(IFERROR(INDEX(Кат!$B:$B,MATCH(Прайс!$B2080,Кат!$G:$G,0)),INDEX(Торг!$C:$C,MATCH(Прайс!$B2080,Торг!$H:$H,0))),"")</f>
        <v/>
      </c>
      <c r="H2080" s="67" t="str">
        <f>IFERROR(IFERROR(INDEX(Кат!$I:$I,MATCH(Прайс!$B2080,Кат!$G:$G,0)),INDEX(Торг!$I:$I,MATCH(Прайс!$B2080,Торг!$H:$H,0))),"")</f>
        <v/>
      </c>
    </row>
    <row r="2081" spans="1:8" x14ac:dyDescent="0.25">
      <c r="A2081" s="94" t="s">
        <v>5135</v>
      </c>
      <c r="B2081" s="98">
        <v>72181</v>
      </c>
      <c r="C2081" s="98" t="s">
        <v>5136</v>
      </c>
      <c r="D2081" s="96" t="s">
        <v>337</v>
      </c>
      <c r="E2081" s="97">
        <v>110</v>
      </c>
      <c r="F2081" s="67" t="str">
        <f>IFERROR(IFERROR(INDEX(Кат!$A:$A,MATCH(Прайс!$B2081,Кат!$G:$G,0)),INDEX(Торг!$B:$B,MATCH(Прайс!$B2081,Торг!$H:$H,0))),"")</f>
        <v/>
      </c>
      <c r="G2081" s="67" t="str">
        <f>IFERROR(IFERROR(INDEX(Кат!$B:$B,MATCH(Прайс!$B2081,Кат!$G:$G,0)),INDEX(Торг!$C:$C,MATCH(Прайс!$B2081,Торг!$H:$H,0))),"")</f>
        <v/>
      </c>
      <c r="H2081" s="67" t="str">
        <f>IFERROR(IFERROR(INDEX(Кат!$I:$I,MATCH(Прайс!$B2081,Кат!$G:$G,0)),INDEX(Торг!$I:$I,MATCH(Прайс!$B2081,Торг!$H:$H,0))),"")</f>
        <v/>
      </c>
    </row>
    <row r="2082" spans="1:8" x14ac:dyDescent="0.25">
      <c r="A2082" s="94" t="s">
        <v>3641</v>
      </c>
      <c r="B2082" s="98">
        <v>72184</v>
      </c>
      <c r="C2082" s="98" t="s">
        <v>1146</v>
      </c>
      <c r="D2082" s="96" t="s">
        <v>337</v>
      </c>
      <c r="E2082" s="97">
        <v>110</v>
      </c>
      <c r="F2082" s="67" t="str">
        <f>IFERROR(IFERROR(INDEX(Кат!$A:$A,MATCH(Прайс!$B2082,Кат!$G:$G,0)),INDEX(Торг!$B:$B,MATCH(Прайс!$B2082,Торг!$H:$H,0))),"")</f>
        <v/>
      </c>
      <c r="G2082" s="67" t="str">
        <f>IFERROR(IFERROR(INDEX(Кат!$B:$B,MATCH(Прайс!$B2082,Кат!$G:$G,0)),INDEX(Торг!$C:$C,MATCH(Прайс!$B2082,Торг!$H:$H,0))),"")</f>
        <v/>
      </c>
      <c r="H2082" s="67" t="str">
        <f>IFERROR(IFERROR(INDEX(Кат!$I:$I,MATCH(Прайс!$B2082,Кат!$G:$G,0)),INDEX(Торг!$I:$I,MATCH(Прайс!$B2082,Торг!$H:$H,0))),"")</f>
        <v/>
      </c>
    </row>
    <row r="2083" spans="1:8" x14ac:dyDescent="0.25">
      <c r="A2083" s="94" t="s">
        <v>3642</v>
      </c>
      <c r="B2083" s="98">
        <v>72178</v>
      </c>
      <c r="C2083" s="98" t="s">
        <v>1147</v>
      </c>
      <c r="D2083" s="96" t="s">
        <v>337</v>
      </c>
      <c r="E2083" s="97">
        <v>110</v>
      </c>
      <c r="F2083" s="67" t="str">
        <f>IFERROR(IFERROR(INDEX(Кат!$A:$A,MATCH(Прайс!$B2083,Кат!$G:$G,0)),INDEX(Торг!$B:$B,MATCH(Прайс!$B2083,Торг!$H:$H,0))),"")</f>
        <v/>
      </c>
      <c r="G2083" s="67" t="str">
        <f>IFERROR(IFERROR(INDEX(Кат!$B:$B,MATCH(Прайс!$B2083,Кат!$G:$G,0)),INDEX(Торг!$C:$C,MATCH(Прайс!$B2083,Торг!$H:$H,0))),"")</f>
        <v/>
      </c>
      <c r="H2083" s="67" t="str">
        <f>IFERROR(IFERROR(INDEX(Кат!$I:$I,MATCH(Прайс!$B2083,Кат!$G:$G,0)),INDEX(Торг!$I:$I,MATCH(Прайс!$B2083,Торг!$H:$H,0))),"")</f>
        <v/>
      </c>
    </row>
    <row r="2084" spans="1:8" x14ac:dyDescent="0.25">
      <c r="A2084" s="94" t="s">
        <v>3643</v>
      </c>
      <c r="B2084" s="98">
        <v>72180</v>
      </c>
      <c r="C2084" s="98" t="s">
        <v>1148</v>
      </c>
      <c r="D2084" s="96" t="s">
        <v>337</v>
      </c>
      <c r="E2084" s="97">
        <v>110</v>
      </c>
      <c r="F2084" s="67" t="str">
        <f>IFERROR(IFERROR(INDEX(Кат!$A:$A,MATCH(Прайс!$B2084,Кат!$G:$G,0)),INDEX(Торг!$B:$B,MATCH(Прайс!$B2084,Торг!$H:$H,0))),"")</f>
        <v/>
      </c>
      <c r="G2084" s="67" t="str">
        <f>IFERROR(IFERROR(INDEX(Кат!$B:$B,MATCH(Прайс!$B2084,Кат!$G:$G,0)),INDEX(Торг!$C:$C,MATCH(Прайс!$B2084,Торг!$H:$H,0))),"")</f>
        <v/>
      </c>
      <c r="H2084" s="67" t="str">
        <f>IFERROR(IFERROR(INDEX(Кат!$I:$I,MATCH(Прайс!$B2084,Кат!$G:$G,0)),INDEX(Торг!$I:$I,MATCH(Прайс!$B2084,Торг!$H:$H,0))),"")</f>
        <v/>
      </c>
    </row>
    <row r="2085" spans="1:8" x14ac:dyDescent="0.25">
      <c r="A2085" s="94" t="s">
        <v>3644</v>
      </c>
      <c r="B2085" s="98">
        <v>72179</v>
      </c>
      <c r="C2085" s="98" t="s">
        <v>1149</v>
      </c>
      <c r="D2085" s="96" t="s">
        <v>337</v>
      </c>
      <c r="E2085" s="97">
        <v>110</v>
      </c>
      <c r="F2085" s="67" t="str">
        <f>IFERROR(IFERROR(INDEX(Кат!$A:$A,MATCH(Прайс!$B2085,Кат!$G:$G,0)),INDEX(Торг!$B:$B,MATCH(Прайс!$B2085,Торг!$H:$H,0))),"")</f>
        <v/>
      </c>
      <c r="G2085" s="67" t="str">
        <f>IFERROR(IFERROR(INDEX(Кат!$B:$B,MATCH(Прайс!$B2085,Кат!$G:$G,0)),INDEX(Торг!$C:$C,MATCH(Прайс!$B2085,Торг!$H:$H,0))),"")</f>
        <v/>
      </c>
      <c r="H2085" s="67" t="str">
        <f>IFERROR(IFERROR(INDEX(Кат!$I:$I,MATCH(Прайс!$B2085,Кат!$G:$G,0)),INDEX(Торг!$I:$I,MATCH(Прайс!$B2085,Торг!$H:$H,0))),"")</f>
        <v/>
      </c>
    </row>
    <row r="2086" spans="1:8" x14ac:dyDescent="0.25">
      <c r="A2086" s="94" t="s">
        <v>3645</v>
      </c>
      <c r="B2086" s="98">
        <v>72182</v>
      </c>
      <c r="C2086" s="98" t="s">
        <v>1150</v>
      </c>
      <c r="D2086" s="96" t="s">
        <v>337</v>
      </c>
      <c r="E2086" s="97">
        <v>110</v>
      </c>
      <c r="F2086" s="67" t="str">
        <f>IFERROR(IFERROR(INDEX(Кат!$A:$A,MATCH(Прайс!$B2086,Кат!$G:$G,0)),INDEX(Торг!$B:$B,MATCH(Прайс!$B2086,Торг!$H:$H,0))),"")</f>
        <v/>
      </c>
      <c r="G2086" s="67" t="str">
        <f>IFERROR(IFERROR(INDEX(Кат!$B:$B,MATCH(Прайс!$B2086,Кат!$G:$G,0)),INDEX(Торг!$C:$C,MATCH(Прайс!$B2086,Торг!$H:$H,0))),"")</f>
        <v/>
      </c>
      <c r="H2086" s="67" t="str">
        <f>IFERROR(IFERROR(INDEX(Кат!$I:$I,MATCH(Прайс!$B2086,Кат!$G:$G,0)),INDEX(Торг!$I:$I,MATCH(Прайс!$B2086,Торг!$H:$H,0))),"")</f>
        <v/>
      </c>
    </row>
    <row r="2087" spans="1:8" x14ac:dyDescent="0.25">
      <c r="A2087" s="94" t="s">
        <v>3646</v>
      </c>
      <c r="B2087" s="98">
        <v>72214</v>
      </c>
      <c r="C2087" s="98" t="s">
        <v>2127</v>
      </c>
      <c r="D2087" s="96" t="s">
        <v>337</v>
      </c>
      <c r="E2087" s="97">
        <v>110</v>
      </c>
      <c r="F2087" s="67" t="str">
        <f>IFERROR(IFERROR(INDEX(Кат!$A:$A,MATCH(Прайс!$B2087,Кат!$G:$G,0)),INDEX(Торг!$B:$B,MATCH(Прайс!$B2087,Торг!$H:$H,0))),"")</f>
        <v/>
      </c>
      <c r="G2087" s="67" t="str">
        <f>IFERROR(IFERROR(INDEX(Кат!$B:$B,MATCH(Прайс!$B2087,Кат!$G:$G,0)),INDEX(Торг!$C:$C,MATCH(Прайс!$B2087,Торг!$H:$H,0))),"")</f>
        <v/>
      </c>
      <c r="H2087" s="67" t="str">
        <f>IFERROR(IFERROR(INDEX(Кат!$I:$I,MATCH(Прайс!$B2087,Кат!$G:$G,0)),INDEX(Торг!$I:$I,MATCH(Прайс!$B2087,Торг!$H:$H,0))),"")</f>
        <v/>
      </c>
    </row>
    <row r="2088" spans="1:8" x14ac:dyDescent="0.25">
      <c r="A2088" s="94" t="s">
        <v>3647</v>
      </c>
      <c r="B2088" s="98">
        <v>72177</v>
      </c>
      <c r="C2088" s="98" t="s">
        <v>1151</v>
      </c>
      <c r="D2088" s="96" t="s">
        <v>337</v>
      </c>
      <c r="E2088" s="97">
        <v>110</v>
      </c>
      <c r="F2088" s="67" t="str">
        <f>IFERROR(IFERROR(INDEX(Кат!$A:$A,MATCH(Прайс!$B2088,Кат!$G:$G,0)),INDEX(Торг!$B:$B,MATCH(Прайс!$B2088,Торг!$H:$H,0))),"")</f>
        <v/>
      </c>
      <c r="G2088" s="67" t="str">
        <f>IFERROR(IFERROR(INDEX(Кат!$B:$B,MATCH(Прайс!$B2088,Кат!$G:$G,0)),INDEX(Торг!$C:$C,MATCH(Прайс!$B2088,Торг!$H:$H,0))),"")</f>
        <v/>
      </c>
      <c r="H2088" s="67" t="str">
        <f>IFERROR(IFERROR(INDEX(Кат!$I:$I,MATCH(Прайс!$B2088,Кат!$G:$G,0)),INDEX(Торг!$I:$I,MATCH(Прайс!$B2088,Торг!$H:$H,0))),"")</f>
        <v/>
      </c>
    </row>
    <row r="2089" spans="1:8" x14ac:dyDescent="0.25">
      <c r="A2089" s="94" t="s">
        <v>3648</v>
      </c>
      <c r="B2089" s="98">
        <v>72174</v>
      </c>
      <c r="C2089" s="98" t="s">
        <v>1152</v>
      </c>
      <c r="D2089" s="96" t="s">
        <v>337</v>
      </c>
      <c r="E2089" s="97">
        <v>110</v>
      </c>
      <c r="F2089" s="67" t="str">
        <f>IFERROR(IFERROR(INDEX(Кат!$A:$A,MATCH(Прайс!$B2089,Кат!$G:$G,0)),INDEX(Торг!$B:$B,MATCH(Прайс!$B2089,Торг!$H:$H,0))),"")</f>
        <v/>
      </c>
      <c r="G2089" s="67" t="str">
        <f>IFERROR(IFERROR(INDEX(Кат!$B:$B,MATCH(Прайс!$B2089,Кат!$G:$G,0)),INDEX(Торг!$C:$C,MATCH(Прайс!$B2089,Торг!$H:$H,0))),"")</f>
        <v/>
      </c>
      <c r="H2089" s="67" t="str">
        <f>IFERROR(IFERROR(INDEX(Кат!$I:$I,MATCH(Прайс!$B2089,Кат!$G:$G,0)),INDEX(Торг!$I:$I,MATCH(Прайс!$B2089,Торг!$H:$H,0))),"")</f>
        <v/>
      </c>
    </row>
    <row r="2090" spans="1:8" x14ac:dyDescent="0.25">
      <c r="A2090" s="94" t="s">
        <v>5137</v>
      </c>
      <c r="B2090" s="98">
        <v>72417</v>
      </c>
      <c r="C2090" s="98" t="s">
        <v>5138</v>
      </c>
      <c r="D2090" s="96" t="s">
        <v>271</v>
      </c>
      <c r="E2090" s="97">
        <v>60</v>
      </c>
      <c r="F2090" s="67" t="str">
        <f>IFERROR(IFERROR(INDEX(Кат!$A:$A,MATCH(Прайс!$B2090,Кат!$G:$G,0)),INDEX(Торг!$B:$B,MATCH(Прайс!$B2090,Торг!$H:$H,0))),"")</f>
        <v/>
      </c>
      <c r="G2090" s="67" t="str">
        <f>IFERROR(IFERROR(INDEX(Кат!$B:$B,MATCH(Прайс!$B2090,Кат!$G:$G,0)),INDEX(Торг!$C:$C,MATCH(Прайс!$B2090,Торг!$H:$H,0))),"")</f>
        <v/>
      </c>
      <c r="H2090" s="67" t="str">
        <f>IFERROR(IFERROR(INDEX(Кат!$I:$I,MATCH(Прайс!$B2090,Кат!$G:$G,0)),INDEX(Торг!$I:$I,MATCH(Прайс!$B2090,Торг!$H:$H,0))),"")</f>
        <v/>
      </c>
    </row>
    <row r="2091" spans="1:8" x14ac:dyDescent="0.25">
      <c r="A2091" s="94" t="s">
        <v>7663</v>
      </c>
      <c r="B2091" s="98">
        <v>72418</v>
      </c>
      <c r="C2091" s="98" t="s">
        <v>7664</v>
      </c>
      <c r="D2091" s="96" t="s">
        <v>271</v>
      </c>
      <c r="E2091" s="97">
        <v>60</v>
      </c>
      <c r="F2091" s="67" t="str">
        <f>IFERROR(IFERROR(INDEX(Кат!$A:$A,MATCH(Прайс!$B2091,Кат!$G:$G,0)),INDEX(Торг!$B:$B,MATCH(Прайс!$B2091,Торг!$H:$H,0))),"")</f>
        <v/>
      </c>
      <c r="G2091" s="67" t="str">
        <f>IFERROR(IFERROR(INDEX(Кат!$B:$B,MATCH(Прайс!$B2091,Кат!$G:$G,0)),INDEX(Торг!$C:$C,MATCH(Прайс!$B2091,Торг!$H:$H,0))),"")</f>
        <v/>
      </c>
      <c r="H2091" s="67" t="str">
        <f>IFERROR(IFERROR(INDEX(Кат!$I:$I,MATCH(Прайс!$B2091,Кат!$G:$G,0)),INDEX(Торг!$I:$I,MATCH(Прайс!$B2091,Торг!$H:$H,0))),"")</f>
        <v/>
      </c>
    </row>
    <row r="2092" spans="1:8" x14ac:dyDescent="0.25">
      <c r="A2092" s="94" t="s">
        <v>8599</v>
      </c>
      <c r="B2092" s="98">
        <v>72419</v>
      </c>
      <c r="C2092" s="98" t="s">
        <v>8600</v>
      </c>
      <c r="D2092" s="96" t="s">
        <v>271</v>
      </c>
      <c r="E2092" s="97">
        <v>60</v>
      </c>
      <c r="F2092" s="67" t="str">
        <f>IFERROR(IFERROR(INDEX(Кат!$A:$A,MATCH(Прайс!$B2092,Кат!$G:$G,0)),INDEX(Торг!$B:$B,MATCH(Прайс!$B2092,Торг!$H:$H,0))),"")</f>
        <v/>
      </c>
      <c r="G2092" s="67" t="str">
        <f>IFERROR(IFERROR(INDEX(Кат!$B:$B,MATCH(Прайс!$B2092,Кат!$G:$G,0)),INDEX(Торг!$C:$C,MATCH(Прайс!$B2092,Торг!$H:$H,0))),"")</f>
        <v/>
      </c>
      <c r="H2092" s="67" t="str">
        <f>IFERROR(IFERROR(INDEX(Кат!$I:$I,MATCH(Прайс!$B2092,Кат!$G:$G,0)),INDEX(Торг!$I:$I,MATCH(Прайс!$B2092,Торг!$H:$H,0))),"")</f>
        <v/>
      </c>
    </row>
    <row r="2093" spans="1:8" x14ac:dyDescent="0.25">
      <c r="A2093" s="94" t="s">
        <v>5139</v>
      </c>
      <c r="B2093" s="98">
        <v>72420</v>
      </c>
      <c r="C2093" s="98" t="s">
        <v>5140</v>
      </c>
      <c r="D2093" s="96" t="s">
        <v>271</v>
      </c>
      <c r="E2093" s="97">
        <v>60</v>
      </c>
      <c r="F2093" s="67" t="str">
        <f>IFERROR(IFERROR(INDEX(Кат!$A:$A,MATCH(Прайс!$B2093,Кат!$G:$G,0)),INDEX(Торг!$B:$B,MATCH(Прайс!$B2093,Торг!$H:$H,0))),"")</f>
        <v/>
      </c>
      <c r="G2093" s="67" t="str">
        <f>IFERROR(IFERROR(INDEX(Кат!$B:$B,MATCH(Прайс!$B2093,Кат!$G:$G,0)),INDEX(Торг!$C:$C,MATCH(Прайс!$B2093,Торг!$H:$H,0))),"")</f>
        <v/>
      </c>
      <c r="H2093" s="67" t="str">
        <f>IFERROR(IFERROR(INDEX(Кат!$I:$I,MATCH(Прайс!$B2093,Кат!$G:$G,0)),INDEX(Торг!$I:$I,MATCH(Прайс!$B2093,Торг!$H:$H,0))),"")</f>
        <v/>
      </c>
    </row>
    <row r="2094" spans="1:8" x14ac:dyDescent="0.25">
      <c r="A2094" s="94" t="s">
        <v>5141</v>
      </c>
      <c r="B2094" s="98">
        <v>72421</v>
      </c>
      <c r="C2094" s="98" t="s">
        <v>5142</v>
      </c>
      <c r="D2094" s="96" t="s">
        <v>271</v>
      </c>
      <c r="E2094" s="97">
        <v>60</v>
      </c>
      <c r="F2094" s="67" t="str">
        <f>IFERROR(IFERROR(INDEX(Кат!$A:$A,MATCH(Прайс!$B2094,Кат!$G:$G,0)),INDEX(Торг!$B:$B,MATCH(Прайс!$B2094,Торг!$H:$H,0))),"")</f>
        <v/>
      </c>
      <c r="G2094" s="67" t="str">
        <f>IFERROR(IFERROR(INDEX(Кат!$B:$B,MATCH(Прайс!$B2094,Кат!$G:$G,0)),INDEX(Торг!$C:$C,MATCH(Прайс!$B2094,Торг!$H:$H,0))),"")</f>
        <v/>
      </c>
      <c r="H2094" s="67" t="str">
        <f>IFERROR(IFERROR(INDEX(Кат!$I:$I,MATCH(Прайс!$B2094,Кат!$G:$G,0)),INDEX(Торг!$I:$I,MATCH(Прайс!$B2094,Торг!$H:$H,0))),"")</f>
        <v/>
      </c>
    </row>
    <row r="2095" spans="1:8" x14ac:dyDescent="0.25">
      <c r="A2095" s="94" t="s">
        <v>5143</v>
      </c>
      <c r="B2095" s="98">
        <v>72422</v>
      </c>
      <c r="C2095" s="98" t="s">
        <v>5144</v>
      </c>
      <c r="D2095" s="96" t="s">
        <v>271</v>
      </c>
      <c r="E2095" s="97">
        <v>60</v>
      </c>
      <c r="F2095" s="67" t="str">
        <f>IFERROR(IFERROR(INDEX(Кат!$A:$A,MATCH(Прайс!$B2095,Кат!$G:$G,0)),INDEX(Торг!$B:$B,MATCH(Прайс!$B2095,Торг!$H:$H,0))),"")</f>
        <v/>
      </c>
      <c r="G2095" s="67" t="str">
        <f>IFERROR(IFERROR(INDEX(Кат!$B:$B,MATCH(Прайс!$B2095,Кат!$G:$G,0)),INDEX(Торг!$C:$C,MATCH(Прайс!$B2095,Торг!$H:$H,0))),"")</f>
        <v/>
      </c>
      <c r="H2095" s="67" t="str">
        <f>IFERROR(IFERROR(INDEX(Кат!$I:$I,MATCH(Прайс!$B2095,Кат!$G:$G,0)),INDEX(Торг!$I:$I,MATCH(Прайс!$B2095,Торг!$H:$H,0))),"")</f>
        <v/>
      </c>
    </row>
    <row r="2096" spans="1:8" x14ac:dyDescent="0.25">
      <c r="A2096" s="94" t="s">
        <v>7665</v>
      </c>
      <c r="B2096" s="98">
        <v>72669</v>
      </c>
      <c r="C2096" s="98" t="s">
        <v>7666</v>
      </c>
      <c r="D2096" s="96" t="s">
        <v>159</v>
      </c>
      <c r="E2096" s="97">
        <v>30</v>
      </c>
      <c r="F2096" s="67" t="str">
        <f>IFERROR(IFERROR(INDEX(Кат!$A:$A,MATCH(Прайс!$B2096,Кат!$G:$G,0)),INDEX(Торг!$B:$B,MATCH(Прайс!$B2096,Торг!$H:$H,0))),"")</f>
        <v/>
      </c>
      <c r="G2096" s="67" t="str">
        <f>IFERROR(IFERROR(INDEX(Кат!$B:$B,MATCH(Прайс!$B2096,Кат!$G:$G,0)),INDEX(Торг!$C:$C,MATCH(Прайс!$B2096,Торг!$H:$H,0))),"")</f>
        <v/>
      </c>
      <c r="H2096" s="67" t="str">
        <f>IFERROR(IFERROR(INDEX(Кат!$I:$I,MATCH(Прайс!$B2096,Кат!$G:$G,0)),INDEX(Торг!$I:$I,MATCH(Прайс!$B2096,Торг!$H:$H,0))),"")</f>
        <v/>
      </c>
    </row>
    <row r="2097" spans="1:8" x14ac:dyDescent="0.25">
      <c r="A2097" s="94" t="s">
        <v>7667</v>
      </c>
      <c r="B2097" s="98">
        <v>72670</v>
      </c>
      <c r="C2097" s="98" t="s">
        <v>7668</v>
      </c>
      <c r="D2097" s="96" t="s">
        <v>159</v>
      </c>
      <c r="E2097" s="97">
        <v>30</v>
      </c>
      <c r="F2097" s="67" t="str">
        <f>IFERROR(IFERROR(INDEX(Кат!$A:$A,MATCH(Прайс!$B2097,Кат!$G:$G,0)),INDEX(Торг!$B:$B,MATCH(Прайс!$B2097,Торг!$H:$H,0))),"")</f>
        <v/>
      </c>
      <c r="G2097" s="67" t="str">
        <f>IFERROR(IFERROR(INDEX(Кат!$B:$B,MATCH(Прайс!$B2097,Кат!$G:$G,0)),INDEX(Торг!$C:$C,MATCH(Прайс!$B2097,Торг!$H:$H,0))),"")</f>
        <v/>
      </c>
      <c r="H2097" s="67" t="str">
        <f>IFERROR(IFERROR(INDEX(Кат!$I:$I,MATCH(Прайс!$B2097,Кат!$G:$G,0)),INDEX(Торг!$I:$I,MATCH(Прайс!$B2097,Торг!$H:$H,0))),"")</f>
        <v/>
      </c>
    </row>
    <row r="2098" spans="1:8" x14ac:dyDescent="0.25">
      <c r="A2098" s="94" t="s">
        <v>7669</v>
      </c>
      <c r="B2098" s="98">
        <v>72671</v>
      </c>
      <c r="C2098" s="98" t="s">
        <v>7670</v>
      </c>
      <c r="D2098" s="96" t="s">
        <v>159</v>
      </c>
      <c r="E2098" s="97">
        <v>30</v>
      </c>
      <c r="F2098" s="67" t="str">
        <f>IFERROR(IFERROR(INDEX(Кат!$A:$A,MATCH(Прайс!$B2098,Кат!$G:$G,0)),INDEX(Торг!$B:$B,MATCH(Прайс!$B2098,Торг!$H:$H,0))),"")</f>
        <v/>
      </c>
      <c r="G2098" s="67" t="str">
        <f>IFERROR(IFERROR(INDEX(Кат!$B:$B,MATCH(Прайс!$B2098,Кат!$G:$G,0)),INDEX(Торг!$C:$C,MATCH(Прайс!$B2098,Торг!$H:$H,0))),"")</f>
        <v/>
      </c>
      <c r="H2098" s="67" t="str">
        <f>IFERROR(IFERROR(INDEX(Кат!$I:$I,MATCH(Прайс!$B2098,Кат!$G:$G,0)),INDEX(Торг!$I:$I,MATCH(Прайс!$B2098,Торг!$H:$H,0))),"")</f>
        <v/>
      </c>
    </row>
    <row r="2099" spans="1:8" x14ac:dyDescent="0.25">
      <c r="A2099" s="94" t="s">
        <v>7671</v>
      </c>
      <c r="B2099" s="98">
        <v>72672</v>
      </c>
      <c r="C2099" s="98" t="s">
        <v>7672</v>
      </c>
      <c r="D2099" s="96" t="s">
        <v>159</v>
      </c>
      <c r="E2099" s="97">
        <v>30</v>
      </c>
      <c r="F2099" s="67" t="str">
        <f>IFERROR(IFERROR(INDEX(Кат!$A:$A,MATCH(Прайс!$B2099,Кат!$G:$G,0)),INDEX(Торг!$B:$B,MATCH(Прайс!$B2099,Торг!$H:$H,0))),"")</f>
        <v/>
      </c>
      <c r="G2099" s="67" t="str">
        <f>IFERROR(IFERROR(INDEX(Кат!$B:$B,MATCH(Прайс!$B2099,Кат!$G:$G,0)),INDEX(Торг!$C:$C,MATCH(Прайс!$B2099,Торг!$H:$H,0))),"")</f>
        <v/>
      </c>
      <c r="H2099" s="67" t="str">
        <f>IFERROR(IFERROR(INDEX(Кат!$I:$I,MATCH(Прайс!$B2099,Кат!$G:$G,0)),INDEX(Торг!$I:$I,MATCH(Прайс!$B2099,Торг!$H:$H,0))),"")</f>
        <v/>
      </c>
    </row>
    <row r="2100" spans="1:8" x14ac:dyDescent="0.25">
      <c r="A2100" s="94" t="s">
        <v>8417</v>
      </c>
      <c r="B2100" s="98">
        <v>72363</v>
      </c>
      <c r="C2100" s="98" t="s">
        <v>8418</v>
      </c>
      <c r="D2100" s="96" t="s">
        <v>162</v>
      </c>
      <c r="E2100" s="97">
        <v>55</v>
      </c>
      <c r="F2100" s="67" t="str">
        <f>IFERROR(IFERROR(INDEX(Кат!$A:$A,MATCH(Прайс!$B2100,Кат!$G:$G,0)),INDEX(Торг!$B:$B,MATCH(Прайс!$B2100,Торг!$H:$H,0))),"")</f>
        <v/>
      </c>
      <c r="G2100" s="67" t="str">
        <f>IFERROR(IFERROR(INDEX(Кат!$B:$B,MATCH(Прайс!$B2100,Кат!$G:$G,0)),INDEX(Торг!$C:$C,MATCH(Прайс!$B2100,Торг!$H:$H,0))),"")</f>
        <v/>
      </c>
      <c r="H2100" s="67" t="str">
        <f>IFERROR(IFERROR(INDEX(Кат!$I:$I,MATCH(Прайс!$B2100,Кат!$G:$G,0)),INDEX(Торг!$I:$I,MATCH(Прайс!$B2100,Торг!$H:$H,0))),"")</f>
        <v/>
      </c>
    </row>
    <row r="2101" spans="1:8" x14ac:dyDescent="0.25">
      <c r="A2101" s="94" t="s">
        <v>3652</v>
      </c>
      <c r="B2101" s="98">
        <v>72364</v>
      </c>
      <c r="C2101" s="98" t="s">
        <v>5145</v>
      </c>
      <c r="D2101" s="96" t="s">
        <v>162</v>
      </c>
      <c r="E2101" s="97">
        <v>55</v>
      </c>
      <c r="F2101" s="67" t="str">
        <f>IFERROR(IFERROR(INDEX(Кат!$A:$A,MATCH(Прайс!$B2101,Кат!$G:$G,0)),INDEX(Торг!$B:$B,MATCH(Прайс!$B2101,Торг!$H:$H,0))),"")</f>
        <v/>
      </c>
      <c r="G2101" s="67" t="str">
        <f>IFERROR(IFERROR(INDEX(Кат!$B:$B,MATCH(Прайс!$B2101,Кат!$G:$G,0)),INDEX(Торг!$C:$C,MATCH(Прайс!$B2101,Торг!$H:$H,0))),"")</f>
        <v/>
      </c>
      <c r="H2101" s="67" t="str">
        <f>IFERROR(IFERROR(INDEX(Кат!$I:$I,MATCH(Прайс!$B2101,Кат!$G:$G,0)),INDEX(Торг!$I:$I,MATCH(Прайс!$B2101,Торг!$H:$H,0))),"")</f>
        <v/>
      </c>
    </row>
    <row r="2102" spans="1:8" x14ac:dyDescent="0.25">
      <c r="A2102" s="94" t="s">
        <v>8419</v>
      </c>
      <c r="B2102" s="98">
        <v>72360</v>
      </c>
      <c r="C2102" s="98" t="s">
        <v>8420</v>
      </c>
      <c r="D2102" s="96" t="s">
        <v>162</v>
      </c>
      <c r="E2102" s="97">
        <v>55</v>
      </c>
      <c r="F2102" s="67" t="str">
        <f>IFERROR(IFERROR(INDEX(Кат!$A:$A,MATCH(Прайс!$B2102,Кат!$G:$G,0)),INDEX(Торг!$B:$B,MATCH(Прайс!$B2102,Торг!$H:$H,0))),"")</f>
        <v/>
      </c>
      <c r="G2102" s="67" t="str">
        <f>IFERROR(IFERROR(INDEX(Кат!$B:$B,MATCH(Прайс!$B2102,Кат!$G:$G,0)),INDEX(Торг!$C:$C,MATCH(Прайс!$B2102,Торг!$H:$H,0))),"")</f>
        <v/>
      </c>
      <c r="H2102" s="67" t="str">
        <f>IFERROR(IFERROR(INDEX(Кат!$I:$I,MATCH(Прайс!$B2102,Кат!$G:$G,0)),INDEX(Торг!$I:$I,MATCH(Прайс!$B2102,Торг!$H:$H,0))),"")</f>
        <v/>
      </c>
    </row>
    <row r="2103" spans="1:8" x14ac:dyDescent="0.25">
      <c r="A2103" s="94" t="s">
        <v>8601</v>
      </c>
      <c r="B2103" s="98">
        <v>72359</v>
      </c>
      <c r="C2103" s="98" t="s">
        <v>8602</v>
      </c>
      <c r="D2103" s="96" t="s">
        <v>162</v>
      </c>
      <c r="E2103" s="97">
        <v>55</v>
      </c>
      <c r="F2103" s="67" t="str">
        <f>IFERROR(IFERROR(INDEX(Кат!$A:$A,MATCH(Прайс!$B2103,Кат!$G:$G,0)),INDEX(Торг!$B:$B,MATCH(Прайс!$B2103,Торг!$H:$H,0))),"")</f>
        <v/>
      </c>
      <c r="G2103" s="67" t="str">
        <f>IFERROR(IFERROR(INDEX(Кат!$B:$B,MATCH(Прайс!$B2103,Кат!$G:$G,0)),INDEX(Торг!$C:$C,MATCH(Прайс!$B2103,Торг!$H:$H,0))),"")</f>
        <v/>
      </c>
      <c r="H2103" s="67" t="str">
        <f>IFERROR(IFERROR(INDEX(Кат!$I:$I,MATCH(Прайс!$B2103,Кат!$G:$G,0)),INDEX(Торг!$I:$I,MATCH(Прайс!$B2103,Торг!$H:$H,0))),"")</f>
        <v/>
      </c>
    </row>
    <row r="2104" spans="1:8" x14ac:dyDescent="0.25">
      <c r="A2104" s="94" t="s">
        <v>3651</v>
      </c>
      <c r="B2104" s="98">
        <v>72362</v>
      </c>
      <c r="C2104" s="98" t="s">
        <v>5146</v>
      </c>
      <c r="D2104" s="96" t="s">
        <v>162</v>
      </c>
      <c r="E2104" s="97">
        <v>55</v>
      </c>
      <c r="F2104" s="67" t="str">
        <f>IFERROR(IFERROR(INDEX(Кат!$A:$A,MATCH(Прайс!$B2104,Кат!$G:$G,0)),INDEX(Торг!$B:$B,MATCH(Прайс!$B2104,Торг!$H:$H,0))),"")</f>
        <v/>
      </c>
      <c r="G2104" s="67" t="str">
        <f>IFERROR(IFERROR(INDEX(Кат!$B:$B,MATCH(Прайс!$B2104,Кат!$G:$G,0)),INDEX(Торг!$C:$C,MATCH(Прайс!$B2104,Торг!$H:$H,0))),"")</f>
        <v/>
      </c>
      <c r="H2104" s="67" t="str">
        <f>IFERROR(IFERROR(INDEX(Кат!$I:$I,MATCH(Прайс!$B2104,Кат!$G:$G,0)),INDEX(Торг!$I:$I,MATCH(Прайс!$B2104,Торг!$H:$H,0))),"")</f>
        <v/>
      </c>
    </row>
    <row r="2105" spans="1:8" x14ac:dyDescent="0.25">
      <c r="A2105" s="94" t="s">
        <v>3653</v>
      </c>
      <c r="B2105" s="98">
        <v>72361</v>
      </c>
      <c r="C2105" s="98" t="s">
        <v>5147</v>
      </c>
      <c r="D2105" s="96" t="s">
        <v>162</v>
      </c>
      <c r="E2105" s="97">
        <v>55</v>
      </c>
      <c r="F2105" s="67" t="str">
        <f>IFERROR(IFERROR(INDEX(Кат!$A:$A,MATCH(Прайс!$B2105,Кат!$G:$G,0)),INDEX(Торг!$B:$B,MATCH(Прайс!$B2105,Торг!$H:$H,0))),"")</f>
        <v/>
      </c>
      <c r="G2105" s="67" t="str">
        <f>IFERROR(IFERROR(INDEX(Кат!$B:$B,MATCH(Прайс!$B2105,Кат!$G:$G,0)),INDEX(Торг!$C:$C,MATCH(Прайс!$B2105,Торг!$H:$H,0))),"")</f>
        <v/>
      </c>
      <c r="H2105" s="67" t="str">
        <f>IFERROR(IFERROR(INDEX(Кат!$I:$I,MATCH(Прайс!$B2105,Кат!$G:$G,0)),INDEX(Торг!$I:$I,MATCH(Прайс!$B2105,Торг!$H:$H,0))),"")</f>
        <v/>
      </c>
    </row>
    <row r="2106" spans="1:8" x14ac:dyDescent="0.25">
      <c r="A2106" s="94" t="s">
        <v>3654</v>
      </c>
      <c r="B2106" s="98">
        <v>72365</v>
      </c>
      <c r="C2106" s="98" t="s">
        <v>5148</v>
      </c>
      <c r="D2106" s="96" t="s">
        <v>162</v>
      </c>
      <c r="E2106" s="97">
        <v>55</v>
      </c>
      <c r="F2106" s="67" t="str">
        <f>IFERROR(IFERROR(INDEX(Кат!$A:$A,MATCH(Прайс!$B2106,Кат!$G:$G,0)),INDEX(Торг!$B:$B,MATCH(Прайс!$B2106,Торг!$H:$H,0))),"")</f>
        <v/>
      </c>
      <c r="G2106" s="67" t="str">
        <f>IFERROR(IFERROR(INDEX(Кат!$B:$B,MATCH(Прайс!$B2106,Кат!$G:$G,0)),INDEX(Торг!$C:$C,MATCH(Прайс!$B2106,Торг!$H:$H,0))),"")</f>
        <v/>
      </c>
      <c r="H2106" s="67" t="str">
        <f>IFERROR(IFERROR(INDEX(Кат!$I:$I,MATCH(Прайс!$B2106,Кат!$G:$G,0)),INDEX(Торг!$I:$I,MATCH(Прайс!$B2106,Торг!$H:$H,0))),"")</f>
        <v/>
      </c>
    </row>
    <row r="2107" spans="1:8" x14ac:dyDescent="0.25">
      <c r="A2107" s="94" t="s">
        <v>5149</v>
      </c>
      <c r="B2107" s="98">
        <v>72456</v>
      </c>
      <c r="C2107" s="98" t="s">
        <v>5150</v>
      </c>
      <c r="D2107" s="96" t="s">
        <v>162</v>
      </c>
      <c r="E2107" s="97">
        <v>55</v>
      </c>
      <c r="F2107" s="67" t="str">
        <f>IFERROR(IFERROR(INDEX(Кат!$A:$A,MATCH(Прайс!$B2107,Кат!$G:$G,0)),INDEX(Торг!$B:$B,MATCH(Прайс!$B2107,Торг!$H:$H,0))),"")</f>
        <v/>
      </c>
      <c r="G2107" s="67" t="str">
        <f>IFERROR(IFERROR(INDEX(Кат!$B:$B,MATCH(Прайс!$B2107,Кат!$G:$G,0)),INDEX(Торг!$C:$C,MATCH(Прайс!$B2107,Торг!$H:$H,0))),"")</f>
        <v/>
      </c>
      <c r="H2107" s="67" t="str">
        <f>IFERROR(IFERROR(INDEX(Кат!$I:$I,MATCH(Прайс!$B2107,Кат!$G:$G,0)),INDEX(Торг!$I:$I,MATCH(Прайс!$B2107,Торг!$H:$H,0))),"")</f>
        <v/>
      </c>
    </row>
    <row r="2108" spans="1:8" x14ac:dyDescent="0.25">
      <c r="A2108" s="94" t="s">
        <v>5151</v>
      </c>
      <c r="B2108" s="98">
        <v>72457</v>
      </c>
      <c r="C2108" s="98" t="s">
        <v>5152</v>
      </c>
      <c r="D2108" s="96" t="s">
        <v>162</v>
      </c>
      <c r="E2108" s="97">
        <v>55</v>
      </c>
      <c r="F2108" s="67" t="str">
        <f>IFERROR(IFERROR(INDEX(Кат!$A:$A,MATCH(Прайс!$B2108,Кат!$G:$G,0)),INDEX(Торг!$B:$B,MATCH(Прайс!$B2108,Торг!$H:$H,0))),"")</f>
        <v/>
      </c>
      <c r="G2108" s="67" t="str">
        <f>IFERROR(IFERROR(INDEX(Кат!$B:$B,MATCH(Прайс!$B2108,Кат!$G:$G,0)),INDEX(Торг!$C:$C,MATCH(Прайс!$B2108,Торг!$H:$H,0))),"")</f>
        <v/>
      </c>
      <c r="H2108" s="67" t="str">
        <f>IFERROR(IFERROR(INDEX(Кат!$I:$I,MATCH(Прайс!$B2108,Кат!$G:$G,0)),INDEX(Торг!$I:$I,MATCH(Прайс!$B2108,Торг!$H:$H,0))),"")</f>
        <v/>
      </c>
    </row>
    <row r="2109" spans="1:8" x14ac:dyDescent="0.25">
      <c r="A2109" s="94" t="s">
        <v>5153</v>
      </c>
      <c r="B2109" s="98">
        <v>72458</v>
      </c>
      <c r="C2109" s="98" t="s">
        <v>5154</v>
      </c>
      <c r="D2109" s="96" t="s">
        <v>162</v>
      </c>
      <c r="E2109" s="97">
        <v>55</v>
      </c>
      <c r="F2109" s="67" t="str">
        <f>IFERROR(IFERROR(INDEX(Кат!$A:$A,MATCH(Прайс!$B2109,Кат!$G:$G,0)),INDEX(Торг!$B:$B,MATCH(Прайс!$B2109,Торг!$H:$H,0))),"")</f>
        <v/>
      </c>
      <c r="G2109" s="67" t="str">
        <f>IFERROR(IFERROR(INDEX(Кат!$B:$B,MATCH(Прайс!$B2109,Кат!$G:$G,0)),INDEX(Торг!$C:$C,MATCH(Прайс!$B2109,Торг!$H:$H,0))),"")</f>
        <v/>
      </c>
      <c r="H2109" s="67" t="str">
        <f>IFERROR(IFERROR(INDEX(Кат!$I:$I,MATCH(Прайс!$B2109,Кат!$G:$G,0)),INDEX(Торг!$I:$I,MATCH(Прайс!$B2109,Торг!$H:$H,0))),"")</f>
        <v/>
      </c>
    </row>
    <row r="2110" spans="1:8" x14ac:dyDescent="0.25">
      <c r="A2110" s="94" t="s">
        <v>5155</v>
      </c>
      <c r="B2110" s="98">
        <v>72459</v>
      </c>
      <c r="C2110" s="98" t="s">
        <v>5156</v>
      </c>
      <c r="D2110" s="96" t="s">
        <v>162</v>
      </c>
      <c r="E2110" s="97">
        <v>55</v>
      </c>
      <c r="F2110" s="67" t="str">
        <f>IFERROR(IFERROR(INDEX(Кат!$A:$A,MATCH(Прайс!$B2110,Кат!$G:$G,0)),INDEX(Торг!$B:$B,MATCH(Прайс!$B2110,Торг!$H:$H,0))),"")</f>
        <v/>
      </c>
      <c r="G2110" s="67" t="str">
        <f>IFERROR(IFERROR(INDEX(Кат!$B:$B,MATCH(Прайс!$B2110,Кат!$G:$G,0)),INDEX(Торг!$C:$C,MATCH(Прайс!$B2110,Торг!$H:$H,0))),"")</f>
        <v/>
      </c>
      <c r="H2110" s="67" t="str">
        <f>IFERROR(IFERROR(INDEX(Кат!$I:$I,MATCH(Прайс!$B2110,Кат!$G:$G,0)),INDEX(Торг!$I:$I,MATCH(Прайс!$B2110,Торг!$H:$H,0))),"")</f>
        <v/>
      </c>
    </row>
    <row r="2111" spans="1:8" x14ac:dyDescent="0.25">
      <c r="A2111" s="94" t="s">
        <v>5445</v>
      </c>
      <c r="B2111" s="98">
        <v>72460</v>
      </c>
      <c r="C2111" s="98" t="s">
        <v>5446</v>
      </c>
      <c r="D2111" s="96" t="s">
        <v>162</v>
      </c>
      <c r="E2111" s="97">
        <v>55</v>
      </c>
      <c r="F2111" s="67" t="str">
        <f>IFERROR(IFERROR(INDEX(Кат!$A:$A,MATCH(Прайс!$B2111,Кат!$G:$G,0)),INDEX(Торг!$B:$B,MATCH(Прайс!$B2111,Торг!$H:$H,0))),"")</f>
        <v/>
      </c>
      <c r="G2111" s="67" t="str">
        <f>IFERROR(IFERROR(INDEX(Кат!$B:$B,MATCH(Прайс!$B2111,Кат!$G:$G,0)),INDEX(Торг!$C:$C,MATCH(Прайс!$B2111,Торг!$H:$H,0))),"")</f>
        <v/>
      </c>
      <c r="H2111" s="67" t="str">
        <f>IFERROR(IFERROR(INDEX(Кат!$I:$I,MATCH(Прайс!$B2111,Кат!$G:$G,0)),INDEX(Торг!$I:$I,MATCH(Прайс!$B2111,Торг!$H:$H,0))),"")</f>
        <v/>
      </c>
    </row>
    <row r="2112" spans="1:8" x14ac:dyDescent="0.25">
      <c r="A2112" s="94" t="s">
        <v>5157</v>
      </c>
      <c r="B2112" s="98">
        <v>72461</v>
      </c>
      <c r="C2112" s="98" t="s">
        <v>5158</v>
      </c>
      <c r="D2112" s="96" t="s">
        <v>162</v>
      </c>
      <c r="E2112" s="97">
        <v>55</v>
      </c>
      <c r="F2112" s="67" t="str">
        <f>IFERROR(IFERROR(INDEX(Кат!$A:$A,MATCH(Прайс!$B2112,Кат!$G:$G,0)),INDEX(Торг!$B:$B,MATCH(Прайс!$B2112,Торг!$H:$H,0))),"")</f>
        <v/>
      </c>
      <c r="G2112" s="67" t="str">
        <f>IFERROR(IFERROR(INDEX(Кат!$B:$B,MATCH(Прайс!$B2112,Кат!$G:$G,0)),INDEX(Торг!$C:$C,MATCH(Прайс!$B2112,Торг!$H:$H,0))),"")</f>
        <v/>
      </c>
      <c r="H2112" s="67" t="str">
        <f>IFERROR(IFERROR(INDEX(Кат!$I:$I,MATCH(Прайс!$B2112,Кат!$G:$G,0)),INDEX(Торг!$I:$I,MATCH(Прайс!$B2112,Торг!$H:$H,0))),"")</f>
        <v/>
      </c>
    </row>
    <row r="2113" spans="1:8" x14ac:dyDescent="0.25">
      <c r="A2113" s="94" t="s">
        <v>5159</v>
      </c>
      <c r="B2113" s="98">
        <v>72462</v>
      </c>
      <c r="C2113" s="98" t="s">
        <v>5160</v>
      </c>
      <c r="D2113" s="96" t="s">
        <v>162</v>
      </c>
      <c r="E2113" s="97">
        <v>55</v>
      </c>
      <c r="F2113" s="67" t="str">
        <f>IFERROR(IFERROR(INDEX(Кат!$A:$A,MATCH(Прайс!$B2113,Кат!$G:$G,0)),INDEX(Торг!$B:$B,MATCH(Прайс!$B2113,Торг!$H:$H,0))),"")</f>
        <v/>
      </c>
      <c r="G2113" s="67" t="str">
        <f>IFERROR(IFERROR(INDEX(Кат!$B:$B,MATCH(Прайс!$B2113,Кат!$G:$G,0)),INDEX(Торг!$C:$C,MATCH(Прайс!$B2113,Торг!$H:$H,0))),"")</f>
        <v/>
      </c>
      <c r="H2113" s="67" t="str">
        <f>IFERROR(IFERROR(INDEX(Кат!$I:$I,MATCH(Прайс!$B2113,Кат!$G:$G,0)),INDEX(Торг!$I:$I,MATCH(Прайс!$B2113,Торг!$H:$H,0))),"")</f>
        <v/>
      </c>
    </row>
    <row r="2114" spans="1:8" x14ac:dyDescent="0.25">
      <c r="A2114" s="94" t="s">
        <v>5161</v>
      </c>
      <c r="B2114" s="98">
        <v>72423</v>
      </c>
      <c r="C2114" s="98" t="s">
        <v>5162</v>
      </c>
      <c r="D2114" s="96" t="s">
        <v>160</v>
      </c>
      <c r="E2114" s="97">
        <v>55</v>
      </c>
      <c r="F2114" s="67" t="str">
        <f>IFERROR(IFERROR(INDEX(Кат!$A:$A,MATCH(Прайс!$B2114,Кат!$G:$G,0)),INDEX(Торг!$B:$B,MATCH(Прайс!$B2114,Торг!$H:$H,0))),"")</f>
        <v/>
      </c>
      <c r="G2114" s="67" t="str">
        <f>IFERROR(IFERROR(INDEX(Кат!$B:$B,MATCH(Прайс!$B2114,Кат!$G:$G,0)),INDEX(Торг!$C:$C,MATCH(Прайс!$B2114,Торг!$H:$H,0))),"")</f>
        <v/>
      </c>
      <c r="H2114" s="67" t="str">
        <f>IFERROR(IFERROR(INDEX(Кат!$I:$I,MATCH(Прайс!$B2114,Кат!$G:$G,0)),INDEX(Торг!$I:$I,MATCH(Прайс!$B2114,Торг!$H:$H,0))),"")</f>
        <v/>
      </c>
    </row>
    <row r="2115" spans="1:8" x14ac:dyDescent="0.25">
      <c r="A2115" s="94" t="s">
        <v>6349</v>
      </c>
      <c r="B2115" s="98">
        <v>72424</v>
      </c>
      <c r="C2115" s="98" t="s">
        <v>6350</v>
      </c>
      <c r="D2115" s="96" t="s">
        <v>160</v>
      </c>
      <c r="E2115" s="97">
        <v>55</v>
      </c>
      <c r="F2115" s="67" t="str">
        <f>IFERROR(IFERROR(INDEX(Кат!$A:$A,MATCH(Прайс!$B2115,Кат!$G:$G,0)),INDEX(Торг!$B:$B,MATCH(Прайс!$B2115,Торг!$H:$H,0))),"")</f>
        <v/>
      </c>
      <c r="G2115" s="67" t="str">
        <f>IFERROR(IFERROR(INDEX(Кат!$B:$B,MATCH(Прайс!$B2115,Кат!$G:$G,0)),INDEX(Торг!$C:$C,MATCH(Прайс!$B2115,Торг!$H:$H,0))),"")</f>
        <v/>
      </c>
      <c r="H2115" s="67" t="str">
        <f>IFERROR(IFERROR(INDEX(Кат!$I:$I,MATCH(Прайс!$B2115,Кат!$G:$G,0)),INDEX(Торг!$I:$I,MATCH(Прайс!$B2115,Торг!$H:$H,0))),"")</f>
        <v/>
      </c>
    </row>
    <row r="2116" spans="1:8" x14ac:dyDescent="0.25">
      <c r="A2116" s="94" t="s">
        <v>5163</v>
      </c>
      <c r="B2116" s="98">
        <v>72425</v>
      </c>
      <c r="C2116" s="98" t="s">
        <v>5164</v>
      </c>
      <c r="D2116" s="96" t="s">
        <v>160</v>
      </c>
      <c r="E2116" s="97">
        <v>55</v>
      </c>
      <c r="F2116" s="67" t="str">
        <f>IFERROR(IFERROR(INDEX(Кат!$A:$A,MATCH(Прайс!$B2116,Кат!$G:$G,0)),INDEX(Торг!$B:$B,MATCH(Прайс!$B2116,Торг!$H:$H,0))),"")</f>
        <v/>
      </c>
      <c r="G2116" s="67" t="str">
        <f>IFERROR(IFERROR(INDEX(Кат!$B:$B,MATCH(Прайс!$B2116,Кат!$G:$G,0)),INDEX(Торг!$C:$C,MATCH(Прайс!$B2116,Торг!$H:$H,0))),"")</f>
        <v/>
      </c>
      <c r="H2116" s="67" t="str">
        <f>IFERROR(IFERROR(INDEX(Кат!$I:$I,MATCH(Прайс!$B2116,Кат!$G:$G,0)),INDEX(Торг!$I:$I,MATCH(Прайс!$B2116,Торг!$H:$H,0))),"")</f>
        <v/>
      </c>
    </row>
    <row r="2117" spans="1:8" x14ac:dyDescent="0.25">
      <c r="A2117" s="94" t="s">
        <v>5165</v>
      </c>
      <c r="B2117" s="98">
        <v>72426</v>
      </c>
      <c r="C2117" s="98" t="s">
        <v>5166</v>
      </c>
      <c r="D2117" s="96" t="s">
        <v>160</v>
      </c>
      <c r="E2117" s="97">
        <v>55</v>
      </c>
      <c r="F2117" s="67" t="str">
        <f>IFERROR(IFERROR(INDEX(Кат!$A:$A,MATCH(Прайс!$B2117,Кат!$G:$G,0)),INDEX(Торг!$B:$B,MATCH(Прайс!$B2117,Торг!$H:$H,0))),"")</f>
        <v/>
      </c>
      <c r="G2117" s="67" t="str">
        <f>IFERROR(IFERROR(INDEX(Кат!$B:$B,MATCH(Прайс!$B2117,Кат!$G:$G,0)),INDEX(Торг!$C:$C,MATCH(Прайс!$B2117,Торг!$H:$H,0))),"")</f>
        <v/>
      </c>
      <c r="H2117" s="67" t="str">
        <f>IFERROR(IFERROR(INDEX(Кат!$I:$I,MATCH(Прайс!$B2117,Кат!$G:$G,0)),INDEX(Торг!$I:$I,MATCH(Прайс!$B2117,Торг!$H:$H,0))),"")</f>
        <v/>
      </c>
    </row>
    <row r="2118" spans="1:8" x14ac:dyDescent="0.25">
      <c r="A2118" s="94" t="s">
        <v>5167</v>
      </c>
      <c r="B2118" s="98">
        <v>72427</v>
      </c>
      <c r="C2118" s="98" t="s">
        <v>5168</v>
      </c>
      <c r="D2118" s="96" t="s">
        <v>160</v>
      </c>
      <c r="E2118" s="97">
        <v>55</v>
      </c>
      <c r="F2118" s="67" t="str">
        <f>IFERROR(IFERROR(INDEX(Кат!$A:$A,MATCH(Прайс!$B2118,Кат!$G:$G,0)),INDEX(Торг!$B:$B,MATCH(Прайс!$B2118,Торг!$H:$H,0))),"")</f>
        <v/>
      </c>
      <c r="G2118" s="67" t="str">
        <f>IFERROR(IFERROR(INDEX(Кат!$B:$B,MATCH(Прайс!$B2118,Кат!$G:$G,0)),INDEX(Торг!$C:$C,MATCH(Прайс!$B2118,Торг!$H:$H,0))),"")</f>
        <v/>
      </c>
      <c r="H2118" s="67" t="str">
        <f>IFERROR(IFERROR(INDEX(Кат!$I:$I,MATCH(Прайс!$B2118,Кат!$G:$G,0)),INDEX(Торг!$I:$I,MATCH(Прайс!$B2118,Торг!$H:$H,0))),"")</f>
        <v/>
      </c>
    </row>
    <row r="2119" spans="1:8" x14ac:dyDescent="0.25">
      <c r="A2119" s="94" t="s">
        <v>5169</v>
      </c>
      <c r="B2119" s="98">
        <v>72428</v>
      </c>
      <c r="C2119" s="98" t="s">
        <v>5170</v>
      </c>
      <c r="D2119" s="96" t="s">
        <v>160</v>
      </c>
      <c r="E2119" s="97">
        <v>55</v>
      </c>
      <c r="F2119" s="67" t="str">
        <f>IFERROR(IFERROR(INDEX(Кат!$A:$A,MATCH(Прайс!$B2119,Кат!$G:$G,0)),INDEX(Торг!$B:$B,MATCH(Прайс!$B2119,Торг!$H:$H,0))),"")</f>
        <v/>
      </c>
      <c r="G2119" s="67" t="str">
        <f>IFERROR(IFERROR(INDEX(Кат!$B:$B,MATCH(Прайс!$B2119,Кат!$G:$G,0)),INDEX(Торг!$C:$C,MATCH(Прайс!$B2119,Торг!$H:$H,0))),"")</f>
        <v/>
      </c>
      <c r="H2119" s="67" t="str">
        <f>IFERROR(IFERROR(INDEX(Кат!$I:$I,MATCH(Прайс!$B2119,Кат!$G:$G,0)),INDEX(Торг!$I:$I,MATCH(Прайс!$B2119,Торг!$H:$H,0))),"")</f>
        <v/>
      </c>
    </row>
    <row r="2120" spans="1:8" x14ac:dyDescent="0.25">
      <c r="A2120" s="94" t="s">
        <v>5171</v>
      </c>
      <c r="B2120" s="98">
        <v>72429</v>
      </c>
      <c r="C2120" s="98" t="s">
        <v>5172</v>
      </c>
      <c r="D2120" s="96" t="s">
        <v>160</v>
      </c>
      <c r="E2120" s="97">
        <v>55</v>
      </c>
      <c r="F2120" s="67" t="str">
        <f>IFERROR(IFERROR(INDEX(Кат!$A:$A,MATCH(Прайс!$B2120,Кат!$G:$G,0)),INDEX(Торг!$B:$B,MATCH(Прайс!$B2120,Торг!$H:$H,0))),"")</f>
        <v/>
      </c>
      <c r="G2120" s="67" t="str">
        <f>IFERROR(IFERROR(INDEX(Кат!$B:$B,MATCH(Прайс!$B2120,Кат!$G:$G,0)),INDEX(Торг!$C:$C,MATCH(Прайс!$B2120,Торг!$H:$H,0))),"")</f>
        <v/>
      </c>
      <c r="H2120" s="67" t="str">
        <f>IFERROR(IFERROR(INDEX(Кат!$I:$I,MATCH(Прайс!$B2120,Кат!$G:$G,0)),INDEX(Торг!$I:$I,MATCH(Прайс!$B2120,Торг!$H:$H,0))),"")</f>
        <v/>
      </c>
    </row>
    <row r="2121" spans="1:8" x14ac:dyDescent="0.25">
      <c r="A2121" s="94" t="s">
        <v>5173</v>
      </c>
      <c r="B2121" s="98">
        <v>72430</v>
      </c>
      <c r="C2121" s="98" t="s">
        <v>5174</v>
      </c>
      <c r="D2121" s="96" t="s">
        <v>160</v>
      </c>
      <c r="E2121" s="97">
        <v>55</v>
      </c>
      <c r="F2121" s="67" t="str">
        <f>IFERROR(IFERROR(INDEX(Кат!$A:$A,MATCH(Прайс!$B2121,Кат!$G:$G,0)),INDEX(Торг!$B:$B,MATCH(Прайс!$B2121,Торг!$H:$H,0))),"")</f>
        <v/>
      </c>
      <c r="G2121" s="67" t="str">
        <f>IFERROR(IFERROR(INDEX(Кат!$B:$B,MATCH(Прайс!$B2121,Кат!$G:$G,0)),INDEX(Торг!$C:$C,MATCH(Прайс!$B2121,Торг!$H:$H,0))),"")</f>
        <v/>
      </c>
      <c r="H2121" s="67" t="str">
        <f>IFERROR(IFERROR(INDEX(Кат!$I:$I,MATCH(Прайс!$B2121,Кат!$G:$G,0)),INDEX(Торг!$I:$I,MATCH(Прайс!$B2121,Торг!$H:$H,0))),"")</f>
        <v/>
      </c>
    </row>
    <row r="2122" spans="1:8" x14ac:dyDescent="0.25">
      <c r="A2122" s="94" t="s">
        <v>6351</v>
      </c>
      <c r="B2122" s="98">
        <v>72431</v>
      </c>
      <c r="C2122" s="98" t="s">
        <v>6352</v>
      </c>
      <c r="D2122" s="96" t="s">
        <v>160</v>
      </c>
      <c r="E2122" s="97">
        <v>55</v>
      </c>
      <c r="F2122" s="67" t="str">
        <f>IFERROR(IFERROR(INDEX(Кат!$A:$A,MATCH(Прайс!$B2122,Кат!$G:$G,0)),INDEX(Торг!$B:$B,MATCH(Прайс!$B2122,Торг!$H:$H,0))),"")</f>
        <v/>
      </c>
      <c r="G2122" s="67" t="str">
        <f>IFERROR(IFERROR(INDEX(Кат!$B:$B,MATCH(Прайс!$B2122,Кат!$G:$G,0)),INDEX(Торг!$C:$C,MATCH(Прайс!$B2122,Торг!$H:$H,0))),"")</f>
        <v/>
      </c>
      <c r="H2122" s="67" t="str">
        <f>IFERROR(IFERROR(INDEX(Кат!$I:$I,MATCH(Прайс!$B2122,Кат!$G:$G,0)),INDEX(Торг!$I:$I,MATCH(Прайс!$B2122,Торг!$H:$H,0))),"")</f>
        <v/>
      </c>
    </row>
    <row r="2123" spans="1:8" x14ac:dyDescent="0.25">
      <c r="A2123" s="94" t="s">
        <v>5175</v>
      </c>
      <c r="B2123" s="98">
        <v>72432</v>
      </c>
      <c r="C2123" s="98" t="s">
        <v>5176</v>
      </c>
      <c r="D2123" s="96" t="s">
        <v>160</v>
      </c>
      <c r="E2123" s="97">
        <v>55</v>
      </c>
      <c r="F2123" s="67" t="str">
        <f>IFERROR(IFERROR(INDEX(Кат!$A:$A,MATCH(Прайс!$B2123,Кат!$G:$G,0)),INDEX(Торг!$B:$B,MATCH(Прайс!$B2123,Торг!$H:$H,0))),"")</f>
        <v/>
      </c>
      <c r="G2123" s="67" t="str">
        <f>IFERROR(IFERROR(INDEX(Кат!$B:$B,MATCH(Прайс!$B2123,Кат!$G:$G,0)),INDEX(Торг!$C:$C,MATCH(Прайс!$B2123,Торг!$H:$H,0))),"")</f>
        <v/>
      </c>
      <c r="H2123" s="67" t="str">
        <f>IFERROR(IFERROR(INDEX(Кат!$I:$I,MATCH(Прайс!$B2123,Кат!$G:$G,0)),INDEX(Торг!$I:$I,MATCH(Прайс!$B2123,Торг!$H:$H,0))),"")</f>
        <v/>
      </c>
    </row>
    <row r="2124" spans="1:8" x14ac:dyDescent="0.25">
      <c r="A2124" s="94" t="s">
        <v>5177</v>
      </c>
      <c r="B2124" s="98">
        <v>72433</v>
      </c>
      <c r="C2124" s="98" t="s">
        <v>5178</v>
      </c>
      <c r="D2124" s="96" t="s">
        <v>160</v>
      </c>
      <c r="E2124" s="97">
        <v>55</v>
      </c>
      <c r="F2124" s="67" t="str">
        <f>IFERROR(IFERROR(INDEX(Кат!$A:$A,MATCH(Прайс!$B2124,Кат!$G:$G,0)),INDEX(Торг!$B:$B,MATCH(Прайс!$B2124,Торг!$H:$H,0))),"")</f>
        <v/>
      </c>
      <c r="G2124" s="67" t="str">
        <f>IFERROR(IFERROR(INDEX(Кат!$B:$B,MATCH(Прайс!$B2124,Кат!$G:$G,0)),INDEX(Торг!$C:$C,MATCH(Прайс!$B2124,Торг!$H:$H,0))),"")</f>
        <v/>
      </c>
      <c r="H2124" s="67" t="str">
        <f>IFERROR(IFERROR(INDEX(Кат!$I:$I,MATCH(Прайс!$B2124,Кат!$G:$G,0)),INDEX(Торг!$I:$I,MATCH(Прайс!$B2124,Торг!$H:$H,0))),"")</f>
        <v/>
      </c>
    </row>
    <row r="2125" spans="1:8" x14ac:dyDescent="0.25">
      <c r="A2125" s="94" t="s">
        <v>5179</v>
      </c>
      <c r="B2125" s="98">
        <v>72434</v>
      </c>
      <c r="C2125" s="98" t="s">
        <v>5180</v>
      </c>
      <c r="D2125" s="96" t="s">
        <v>160</v>
      </c>
      <c r="E2125" s="97">
        <v>55</v>
      </c>
      <c r="F2125" s="67" t="str">
        <f>IFERROR(IFERROR(INDEX(Кат!$A:$A,MATCH(Прайс!$B2125,Кат!$G:$G,0)),INDEX(Торг!$B:$B,MATCH(Прайс!$B2125,Торг!$H:$H,0))),"")</f>
        <v/>
      </c>
      <c r="G2125" s="67" t="str">
        <f>IFERROR(IFERROR(INDEX(Кат!$B:$B,MATCH(Прайс!$B2125,Кат!$G:$G,0)),INDEX(Торг!$C:$C,MATCH(Прайс!$B2125,Торг!$H:$H,0))),"")</f>
        <v/>
      </c>
      <c r="H2125" s="67" t="str">
        <f>IFERROR(IFERROR(INDEX(Кат!$I:$I,MATCH(Прайс!$B2125,Кат!$G:$G,0)),INDEX(Торг!$I:$I,MATCH(Прайс!$B2125,Торг!$H:$H,0))),"")</f>
        <v/>
      </c>
    </row>
    <row r="2126" spans="1:8" x14ac:dyDescent="0.25">
      <c r="A2126" s="94" t="s">
        <v>5181</v>
      </c>
      <c r="B2126" s="98">
        <v>72435</v>
      </c>
      <c r="C2126" s="98" t="s">
        <v>5182</v>
      </c>
      <c r="D2126" s="96" t="s">
        <v>160</v>
      </c>
      <c r="E2126" s="97">
        <v>55</v>
      </c>
      <c r="F2126" s="67" t="str">
        <f>IFERROR(IFERROR(INDEX(Кат!$A:$A,MATCH(Прайс!$B2126,Кат!$G:$G,0)),INDEX(Торг!$B:$B,MATCH(Прайс!$B2126,Торг!$H:$H,0))),"")</f>
        <v/>
      </c>
      <c r="G2126" s="67" t="str">
        <f>IFERROR(IFERROR(INDEX(Кат!$B:$B,MATCH(Прайс!$B2126,Кат!$G:$G,0)),INDEX(Торг!$C:$C,MATCH(Прайс!$B2126,Торг!$H:$H,0))),"")</f>
        <v/>
      </c>
      <c r="H2126" s="67" t="str">
        <f>IFERROR(IFERROR(INDEX(Кат!$I:$I,MATCH(Прайс!$B2126,Кат!$G:$G,0)),INDEX(Торг!$I:$I,MATCH(Прайс!$B2126,Торг!$H:$H,0))),"")</f>
        <v/>
      </c>
    </row>
    <row r="2127" spans="1:8" x14ac:dyDescent="0.25">
      <c r="A2127" s="94" t="s">
        <v>6353</v>
      </c>
      <c r="B2127" s="98">
        <v>72436</v>
      </c>
      <c r="C2127" s="98" t="s">
        <v>6354</v>
      </c>
      <c r="D2127" s="96" t="s">
        <v>337</v>
      </c>
      <c r="E2127" s="97">
        <v>65</v>
      </c>
      <c r="F2127" s="67" t="str">
        <f>IFERROR(IFERROR(INDEX(Кат!$A:$A,MATCH(Прайс!$B2127,Кат!$G:$G,0)),INDEX(Торг!$B:$B,MATCH(Прайс!$B2127,Торг!$H:$H,0))),"")</f>
        <v/>
      </c>
      <c r="G2127" s="67" t="str">
        <f>IFERROR(IFERROR(INDEX(Кат!$B:$B,MATCH(Прайс!$B2127,Кат!$G:$G,0)),INDEX(Торг!$C:$C,MATCH(Прайс!$B2127,Торг!$H:$H,0))),"")</f>
        <v/>
      </c>
      <c r="H2127" s="67" t="str">
        <f>IFERROR(IFERROR(INDEX(Кат!$I:$I,MATCH(Прайс!$B2127,Кат!$G:$G,0)),INDEX(Торг!$I:$I,MATCH(Прайс!$B2127,Торг!$H:$H,0))),"")</f>
        <v/>
      </c>
    </row>
    <row r="2128" spans="1:8" x14ac:dyDescent="0.25">
      <c r="A2128" s="94" t="s">
        <v>5183</v>
      </c>
      <c r="B2128" s="98">
        <v>72437</v>
      </c>
      <c r="C2128" s="98" t="s">
        <v>5184</v>
      </c>
      <c r="D2128" s="96" t="s">
        <v>337</v>
      </c>
      <c r="E2128" s="97">
        <v>65</v>
      </c>
      <c r="F2128" s="67" t="str">
        <f>IFERROR(IFERROR(INDEX(Кат!$A:$A,MATCH(Прайс!$B2128,Кат!$G:$G,0)),INDEX(Торг!$B:$B,MATCH(Прайс!$B2128,Торг!$H:$H,0))),"")</f>
        <v/>
      </c>
      <c r="G2128" s="67" t="str">
        <f>IFERROR(IFERROR(INDEX(Кат!$B:$B,MATCH(Прайс!$B2128,Кат!$G:$G,0)),INDEX(Торг!$C:$C,MATCH(Прайс!$B2128,Торг!$H:$H,0))),"")</f>
        <v/>
      </c>
      <c r="H2128" s="67" t="str">
        <f>IFERROR(IFERROR(INDEX(Кат!$I:$I,MATCH(Прайс!$B2128,Кат!$G:$G,0)),INDEX(Торг!$I:$I,MATCH(Прайс!$B2128,Торг!$H:$H,0))),"")</f>
        <v/>
      </c>
    </row>
    <row r="2129" spans="1:8" x14ac:dyDescent="0.25">
      <c r="A2129" s="94" t="s">
        <v>5185</v>
      </c>
      <c r="B2129" s="98">
        <v>72438</v>
      </c>
      <c r="C2129" s="98" t="s">
        <v>5186</v>
      </c>
      <c r="D2129" s="96" t="s">
        <v>337</v>
      </c>
      <c r="E2129" s="97">
        <v>65</v>
      </c>
      <c r="F2129" s="67" t="str">
        <f>IFERROR(IFERROR(INDEX(Кат!$A:$A,MATCH(Прайс!$B2129,Кат!$G:$G,0)),INDEX(Торг!$B:$B,MATCH(Прайс!$B2129,Торг!$H:$H,0))),"")</f>
        <v/>
      </c>
      <c r="G2129" s="67" t="str">
        <f>IFERROR(IFERROR(INDEX(Кат!$B:$B,MATCH(Прайс!$B2129,Кат!$G:$G,0)),INDEX(Торг!$C:$C,MATCH(Прайс!$B2129,Торг!$H:$H,0))),"")</f>
        <v/>
      </c>
      <c r="H2129" s="67" t="str">
        <f>IFERROR(IFERROR(INDEX(Кат!$I:$I,MATCH(Прайс!$B2129,Кат!$G:$G,0)),INDEX(Торг!$I:$I,MATCH(Прайс!$B2129,Торг!$H:$H,0))),"")</f>
        <v/>
      </c>
    </row>
    <row r="2130" spans="1:8" x14ac:dyDescent="0.25">
      <c r="A2130" s="94" t="s">
        <v>5187</v>
      </c>
      <c r="B2130" s="98">
        <v>72439</v>
      </c>
      <c r="C2130" s="98" t="s">
        <v>5188</v>
      </c>
      <c r="D2130" s="96" t="s">
        <v>337</v>
      </c>
      <c r="E2130" s="97">
        <v>65</v>
      </c>
      <c r="F2130" s="67" t="str">
        <f>IFERROR(IFERROR(INDEX(Кат!$A:$A,MATCH(Прайс!$B2130,Кат!$G:$G,0)),INDEX(Торг!$B:$B,MATCH(Прайс!$B2130,Торг!$H:$H,0))),"")</f>
        <v/>
      </c>
      <c r="G2130" s="67" t="str">
        <f>IFERROR(IFERROR(INDEX(Кат!$B:$B,MATCH(Прайс!$B2130,Кат!$G:$G,0)),INDEX(Торг!$C:$C,MATCH(Прайс!$B2130,Торг!$H:$H,0))),"")</f>
        <v/>
      </c>
      <c r="H2130" s="67" t="str">
        <f>IFERROR(IFERROR(INDEX(Кат!$I:$I,MATCH(Прайс!$B2130,Кат!$G:$G,0)),INDEX(Торг!$I:$I,MATCH(Прайс!$B2130,Торг!$H:$H,0))),"")</f>
        <v/>
      </c>
    </row>
    <row r="2131" spans="1:8" x14ac:dyDescent="0.25">
      <c r="A2131" s="94" t="s">
        <v>6355</v>
      </c>
      <c r="B2131" s="98">
        <v>72440</v>
      </c>
      <c r="C2131" s="98" t="s">
        <v>6356</v>
      </c>
      <c r="D2131" s="96" t="s">
        <v>337</v>
      </c>
      <c r="E2131" s="97">
        <v>65</v>
      </c>
      <c r="F2131" s="67" t="str">
        <f>IFERROR(IFERROR(INDEX(Кат!$A:$A,MATCH(Прайс!$B2131,Кат!$G:$G,0)),INDEX(Торг!$B:$B,MATCH(Прайс!$B2131,Торг!$H:$H,0))),"")</f>
        <v/>
      </c>
      <c r="G2131" s="67" t="str">
        <f>IFERROR(IFERROR(INDEX(Кат!$B:$B,MATCH(Прайс!$B2131,Кат!$G:$G,0)),INDEX(Торг!$C:$C,MATCH(Прайс!$B2131,Торг!$H:$H,0))),"")</f>
        <v/>
      </c>
      <c r="H2131" s="67" t="str">
        <f>IFERROR(IFERROR(INDEX(Кат!$I:$I,MATCH(Прайс!$B2131,Кат!$G:$G,0)),INDEX(Торг!$I:$I,MATCH(Прайс!$B2131,Торг!$H:$H,0))),"")</f>
        <v/>
      </c>
    </row>
    <row r="2132" spans="1:8" x14ac:dyDescent="0.25">
      <c r="A2132" s="94" t="s">
        <v>5189</v>
      </c>
      <c r="B2132" s="98">
        <v>72441</v>
      </c>
      <c r="C2132" s="98" t="s">
        <v>5190</v>
      </c>
      <c r="D2132" s="96" t="s">
        <v>337</v>
      </c>
      <c r="E2132" s="97">
        <v>65</v>
      </c>
      <c r="F2132" s="67" t="str">
        <f>IFERROR(IFERROR(INDEX(Кат!$A:$A,MATCH(Прайс!$B2132,Кат!$G:$G,0)),INDEX(Торг!$B:$B,MATCH(Прайс!$B2132,Торг!$H:$H,0))),"")</f>
        <v/>
      </c>
      <c r="G2132" s="67" t="str">
        <f>IFERROR(IFERROR(INDEX(Кат!$B:$B,MATCH(Прайс!$B2132,Кат!$G:$G,0)),INDEX(Торг!$C:$C,MATCH(Прайс!$B2132,Торг!$H:$H,0))),"")</f>
        <v/>
      </c>
      <c r="H2132" s="67" t="str">
        <f>IFERROR(IFERROR(INDEX(Кат!$I:$I,MATCH(Прайс!$B2132,Кат!$G:$G,0)),INDEX(Торг!$I:$I,MATCH(Прайс!$B2132,Торг!$H:$H,0))),"")</f>
        <v/>
      </c>
    </row>
    <row r="2133" spans="1:8" x14ac:dyDescent="0.25">
      <c r="A2133" s="94" t="s">
        <v>5191</v>
      </c>
      <c r="B2133" s="98">
        <v>72442</v>
      </c>
      <c r="C2133" s="98" t="s">
        <v>5192</v>
      </c>
      <c r="D2133" s="96" t="s">
        <v>337</v>
      </c>
      <c r="E2133" s="97">
        <v>65</v>
      </c>
      <c r="F2133" s="67" t="str">
        <f>IFERROR(IFERROR(INDEX(Кат!$A:$A,MATCH(Прайс!$B2133,Кат!$G:$G,0)),INDEX(Торг!$B:$B,MATCH(Прайс!$B2133,Торг!$H:$H,0))),"")</f>
        <v/>
      </c>
      <c r="G2133" s="67" t="str">
        <f>IFERROR(IFERROR(INDEX(Кат!$B:$B,MATCH(Прайс!$B2133,Кат!$G:$G,0)),INDEX(Торг!$C:$C,MATCH(Прайс!$B2133,Торг!$H:$H,0))),"")</f>
        <v/>
      </c>
      <c r="H2133" s="67" t="str">
        <f>IFERROR(IFERROR(INDEX(Кат!$I:$I,MATCH(Прайс!$B2133,Кат!$G:$G,0)),INDEX(Торг!$I:$I,MATCH(Прайс!$B2133,Торг!$H:$H,0))),"")</f>
        <v/>
      </c>
    </row>
    <row r="2134" spans="1:8" x14ac:dyDescent="0.25">
      <c r="A2134" s="94" t="s">
        <v>5193</v>
      </c>
      <c r="B2134" s="98">
        <v>72443</v>
      </c>
      <c r="C2134" s="98" t="s">
        <v>5194</v>
      </c>
      <c r="D2134" s="96" t="s">
        <v>337</v>
      </c>
      <c r="E2134" s="97">
        <v>65</v>
      </c>
      <c r="F2134" s="67" t="str">
        <f>IFERROR(IFERROR(INDEX(Кат!$A:$A,MATCH(Прайс!$B2134,Кат!$G:$G,0)),INDEX(Торг!$B:$B,MATCH(Прайс!$B2134,Торг!$H:$H,0))),"")</f>
        <v/>
      </c>
      <c r="G2134" s="67" t="str">
        <f>IFERROR(IFERROR(INDEX(Кат!$B:$B,MATCH(Прайс!$B2134,Кат!$G:$G,0)),INDEX(Торг!$C:$C,MATCH(Прайс!$B2134,Торг!$H:$H,0))),"")</f>
        <v/>
      </c>
      <c r="H2134" s="67" t="str">
        <f>IFERROR(IFERROR(INDEX(Кат!$I:$I,MATCH(Прайс!$B2134,Кат!$G:$G,0)),INDEX(Торг!$I:$I,MATCH(Прайс!$B2134,Торг!$H:$H,0))),"")</f>
        <v/>
      </c>
    </row>
    <row r="2135" spans="1:8" x14ac:dyDescent="0.25">
      <c r="A2135" s="94" t="s">
        <v>5195</v>
      </c>
      <c r="B2135" s="98">
        <v>72444</v>
      </c>
      <c r="C2135" s="98" t="s">
        <v>5196</v>
      </c>
      <c r="D2135" s="96" t="s">
        <v>337</v>
      </c>
      <c r="E2135" s="97">
        <v>65</v>
      </c>
      <c r="F2135" s="67" t="str">
        <f>IFERROR(IFERROR(INDEX(Кат!$A:$A,MATCH(Прайс!$B2135,Кат!$G:$G,0)),INDEX(Торг!$B:$B,MATCH(Прайс!$B2135,Торг!$H:$H,0))),"")</f>
        <v/>
      </c>
      <c r="G2135" s="67" t="str">
        <f>IFERROR(IFERROR(INDEX(Кат!$B:$B,MATCH(Прайс!$B2135,Кат!$G:$G,0)),INDEX(Торг!$C:$C,MATCH(Прайс!$B2135,Торг!$H:$H,0))),"")</f>
        <v/>
      </c>
      <c r="H2135" s="67" t="str">
        <f>IFERROR(IFERROR(INDEX(Кат!$I:$I,MATCH(Прайс!$B2135,Кат!$G:$G,0)),INDEX(Торг!$I:$I,MATCH(Прайс!$B2135,Торг!$H:$H,0))),"")</f>
        <v/>
      </c>
    </row>
    <row r="2136" spans="1:8" x14ac:dyDescent="0.25">
      <c r="A2136" s="94" t="s">
        <v>6357</v>
      </c>
      <c r="B2136" s="98">
        <v>72445</v>
      </c>
      <c r="C2136" s="98" t="s">
        <v>6358</v>
      </c>
      <c r="D2136" s="96" t="s">
        <v>337</v>
      </c>
      <c r="E2136" s="97">
        <v>65</v>
      </c>
      <c r="F2136" s="67" t="str">
        <f>IFERROR(IFERROR(INDEX(Кат!$A:$A,MATCH(Прайс!$B2136,Кат!$G:$G,0)),INDEX(Торг!$B:$B,MATCH(Прайс!$B2136,Торг!$H:$H,0))),"")</f>
        <v/>
      </c>
      <c r="G2136" s="67" t="str">
        <f>IFERROR(IFERROR(INDEX(Кат!$B:$B,MATCH(Прайс!$B2136,Кат!$G:$G,0)),INDEX(Торг!$C:$C,MATCH(Прайс!$B2136,Торг!$H:$H,0))),"")</f>
        <v/>
      </c>
      <c r="H2136" s="67" t="str">
        <f>IFERROR(IFERROR(INDEX(Кат!$I:$I,MATCH(Прайс!$B2136,Кат!$G:$G,0)),INDEX(Торг!$I:$I,MATCH(Прайс!$B2136,Торг!$H:$H,0))),"")</f>
        <v/>
      </c>
    </row>
    <row r="2137" spans="1:8" x14ac:dyDescent="0.25">
      <c r="A2137" s="94" t="s">
        <v>5197</v>
      </c>
      <c r="B2137" s="98">
        <v>72446</v>
      </c>
      <c r="C2137" s="98" t="s">
        <v>5198</v>
      </c>
      <c r="D2137" s="96" t="s">
        <v>337</v>
      </c>
      <c r="E2137" s="97">
        <v>65</v>
      </c>
      <c r="F2137" s="67" t="str">
        <f>IFERROR(IFERROR(INDEX(Кат!$A:$A,MATCH(Прайс!$B2137,Кат!$G:$G,0)),INDEX(Торг!$B:$B,MATCH(Прайс!$B2137,Торг!$H:$H,0))),"")</f>
        <v/>
      </c>
      <c r="G2137" s="67" t="str">
        <f>IFERROR(IFERROR(INDEX(Кат!$B:$B,MATCH(Прайс!$B2137,Кат!$G:$G,0)),INDEX(Торг!$C:$C,MATCH(Прайс!$B2137,Торг!$H:$H,0))),"")</f>
        <v/>
      </c>
      <c r="H2137" s="67" t="str">
        <f>IFERROR(IFERROR(INDEX(Кат!$I:$I,MATCH(Прайс!$B2137,Кат!$G:$G,0)),INDEX(Торг!$I:$I,MATCH(Прайс!$B2137,Торг!$H:$H,0))),"")</f>
        <v/>
      </c>
    </row>
    <row r="2138" spans="1:8" x14ac:dyDescent="0.25">
      <c r="A2138" s="94" t="s">
        <v>5199</v>
      </c>
      <c r="B2138" s="98">
        <v>72447</v>
      </c>
      <c r="C2138" s="98" t="s">
        <v>5200</v>
      </c>
      <c r="D2138" s="96" t="s">
        <v>337</v>
      </c>
      <c r="E2138" s="97">
        <v>65</v>
      </c>
      <c r="F2138" s="67" t="str">
        <f>IFERROR(IFERROR(INDEX(Кат!$A:$A,MATCH(Прайс!$B2138,Кат!$G:$G,0)),INDEX(Торг!$B:$B,MATCH(Прайс!$B2138,Торг!$H:$H,0))),"")</f>
        <v/>
      </c>
      <c r="G2138" s="67" t="str">
        <f>IFERROR(IFERROR(INDEX(Кат!$B:$B,MATCH(Прайс!$B2138,Кат!$G:$G,0)),INDEX(Торг!$C:$C,MATCH(Прайс!$B2138,Торг!$H:$H,0))),"")</f>
        <v/>
      </c>
      <c r="H2138" s="67" t="str">
        <f>IFERROR(IFERROR(INDEX(Кат!$I:$I,MATCH(Прайс!$B2138,Кат!$G:$G,0)),INDEX(Торг!$I:$I,MATCH(Прайс!$B2138,Торг!$H:$H,0))),"")</f>
        <v/>
      </c>
    </row>
    <row r="2139" spans="1:8" x14ac:dyDescent="0.25">
      <c r="A2139" s="94" t="s">
        <v>5201</v>
      </c>
      <c r="B2139" s="98">
        <v>72448</v>
      </c>
      <c r="C2139" s="98" t="s">
        <v>5202</v>
      </c>
      <c r="D2139" s="96" t="s">
        <v>337</v>
      </c>
      <c r="E2139" s="97">
        <v>65</v>
      </c>
      <c r="F2139" s="67" t="str">
        <f>IFERROR(IFERROR(INDEX(Кат!$A:$A,MATCH(Прайс!$B2139,Кат!$G:$G,0)),INDEX(Торг!$B:$B,MATCH(Прайс!$B2139,Торг!$H:$H,0))),"")</f>
        <v/>
      </c>
      <c r="G2139" s="67" t="str">
        <f>IFERROR(IFERROR(INDEX(Кат!$B:$B,MATCH(Прайс!$B2139,Кат!$G:$G,0)),INDEX(Торг!$C:$C,MATCH(Прайс!$B2139,Торг!$H:$H,0))),"")</f>
        <v/>
      </c>
      <c r="H2139" s="67" t="str">
        <f>IFERROR(IFERROR(INDEX(Кат!$I:$I,MATCH(Прайс!$B2139,Кат!$G:$G,0)),INDEX(Торг!$I:$I,MATCH(Прайс!$B2139,Торг!$H:$H,0))),"")</f>
        <v/>
      </c>
    </row>
    <row r="2140" spans="1:8" x14ac:dyDescent="0.25">
      <c r="A2140" s="94" t="s">
        <v>5203</v>
      </c>
      <c r="B2140" s="98">
        <v>72449</v>
      </c>
      <c r="C2140" s="98" t="s">
        <v>5204</v>
      </c>
      <c r="D2140" s="96" t="s">
        <v>337</v>
      </c>
      <c r="E2140" s="97">
        <v>65</v>
      </c>
      <c r="F2140" s="67" t="str">
        <f>IFERROR(IFERROR(INDEX(Кат!$A:$A,MATCH(Прайс!$B2140,Кат!$G:$G,0)),INDEX(Торг!$B:$B,MATCH(Прайс!$B2140,Торг!$H:$H,0))),"")</f>
        <v/>
      </c>
      <c r="G2140" s="67" t="str">
        <f>IFERROR(IFERROR(INDEX(Кат!$B:$B,MATCH(Прайс!$B2140,Кат!$G:$G,0)),INDEX(Торг!$C:$C,MATCH(Прайс!$B2140,Торг!$H:$H,0))),"")</f>
        <v/>
      </c>
      <c r="H2140" s="67" t="str">
        <f>IFERROR(IFERROR(INDEX(Кат!$I:$I,MATCH(Прайс!$B2140,Кат!$G:$G,0)),INDEX(Торг!$I:$I,MATCH(Прайс!$B2140,Торг!$H:$H,0))),"")</f>
        <v/>
      </c>
    </row>
    <row r="2141" spans="1:8" x14ac:dyDescent="0.25">
      <c r="A2141" s="94" t="s">
        <v>5205</v>
      </c>
      <c r="B2141" s="98">
        <v>72450</v>
      </c>
      <c r="C2141" s="98" t="s">
        <v>5206</v>
      </c>
      <c r="D2141" s="96" t="s">
        <v>337</v>
      </c>
      <c r="E2141" s="97">
        <v>65</v>
      </c>
      <c r="F2141" s="67" t="str">
        <f>IFERROR(IFERROR(INDEX(Кат!$A:$A,MATCH(Прайс!$B2141,Кат!$G:$G,0)),INDEX(Торг!$B:$B,MATCH(Прайс!$B2141,Торг!$H:$H,0))),"")</f>
        <v/>
      </c>
      <c r="G2141" s="67" t="str">
        <f>IFERROR(IFERROR(INDEX(Кат!$B:$B,MATCH(Прайс!$B2141,Кат!$G:$G,0)),INDEX(Торг!$C:$C,MATCH(Прайс!$B2141,Торг!$H:$H,0))),"")</f>
        <v/>
      </c>
      <c r="H2141" s="67" t="str">
        <f>IFERROR(IFERROR(INDEX(Кат!$I:$I,MATCH(Прайс!$B2141,Кат!$G:$G,0)),INDEX(Торг!$I:$I,MATCH(Прайс!$B2141,Торг!$H:$H,0))),"")</f>
        <v/>
      </c>
    </row>
    <row r="2142" spans="1:8" x14ac:dyDescent="0.25">
      <c r="A2142" s="94" t="s">
        <v>5207</v>
      </c>
      <c r="B2142" s="98">
        <v>72451</v>
      </c>
      <c r="C2142" s="98" t="s">
        <v>5208</v>
      </c>
      <c r="D2142" s="96" t="s">
        <v>337</v>
      </c>
      <c r="E2142" s="97">
        <v>65</v>
      </c>
      <c r="F2142" s="67" t="str">
        <f>IFERROR(IFERROR(INDEX(Кат!$A:$A,MATCH(Прайс!$B2142,Кат!$G:$G,0)),INDEX(Торг!$B:$B,MATCH(Прайс!$B2142,Торг!$H:$H,0))),"")</f>
        <v/>
      </c>
      <c r="G2142" s="67" t="str">
        <f>IFERROR(IFERROR(INDEX(Кат!$B:$B,MATCH(Прайс!$B2142,Кат!$G:$G,0)),INDEX(Торг!$C:$C,MATCH(Прайс!$B2142,Торг!$H:$H,0))),"")</f>
        <v/>
      </c>
      <c r="H2142" s="67" t="str">
        <f>IFERROR(IFERROR(INDEX(Кат!$I:$I,MATCH(Прайс!$B2142,Кат!$G:$G,0)),INDEX(Торг!$I:$I,MATCH(Прайс!$B2142,Торг!$H:$H,0))),"")</f>
        <v/>
      </c>
    </row>
    <row r="2143" spans="1:8" x14ac:dyDescent="0.25">
      <c r="A2143" s="94" t="s">
        <v>5209</v>
      </c>
      <c r="B2143" s="98">
        <v>72453</v>
      </c>
      <c r="C2143" s="98" t="s">
        <v>5210</v>
      </c>
      <c r="D2143" s="96" t="s">
        <v>337</v>
      </c>
      <c r="E2143" s="97">
        <v>85</v>
      </c>
      <c r="F2143" s="67" t="str">
        <f>IFERROR(IFERROR(INDEX(Кат!$A:$A,MATCH(Прайс!$B2143,Кат!$G:$G,0)),INDEX(Торг!$B:$B,MATCH(Прайс!$B2143,Торг!$H:$H,0))),"")</f>
        <v/>
      </c>
      <c r="G2143" s="67" t="str">
        <f>IFERROR(IFERROR(INDEX(Кат!$B:$B,MATCH(Прайс!$B2143,Кат!$G:$G,0)),INDEX(Торг!$C:$C,MATCH(Прайс!$B2143,Торг!$H:$H,0))),"")</f>
        <v/>
      </c>
      <c r="H2143" s="67" t="str">
        <f>IFERROR(IFERROR(INDEX(Кат!$I:$I,MATCH(Прайс!$B2143,Кат!$G:$G,0)),INDEX(Торг!$I:$I,MATCH(Прайс!$B2143,Торг!$H:$H,0))),"")</f>
        <v/>
      </c>
    </row>
    <row r="2144" spans="1:8" x14ac:dyDescent="0.25">
      <c r="A2144" s="94" t="s">
        <v>5211</v>
      </c>
      <c r="B2144" s="98">
        <v>72454</v>
      </c>
      <c r="C2144" s="98" t="s">
        <v>5212</v>
      </c>
      <c r="D2144" s="96" t="s">
        <v>337</v>
      </c>
      <c r="E2144" s="97">
        <v>85</v>
      </c>
      <c r="F2144" s="67" t="str">
        <f>IFERROR(IFERROR(INDEX(Кат!$A:$A,MATCH(Прайс!$B2144,Кат!$G:$G,0)),INDEX(Торг!$B:$B,MATCH(Прайс!$B2144,Торг!$H:$H,0))),"")</f>
        <v/>
      </c>
      <c r="G2144" s="67" t="str">
        <f>IFERROR(IFERROR(INDEX(Кат!$B:$B,MATCH(Прайс!$B2144,Кат!$G:$G,0)),INDEX(Торг!$C:$C,MATCH(Прайс!$B2144,Торг!$H:$H,0))),"")</f>
        <v/>
      </c>
      <c r="H2144" s="67" t="str">
        <f>IFERROR(IFERROR(INDEX(Кат!$I:$I,MATCH(Прайс!$B2144,Кат!$G:$G,0)),INDEX(Торг!$I:$I,MATCH(Прайс!$B2144,Торг!$H:$H,0))),"")</f>
        <v/>
      </c>
    </row>
    <row r="2145" spans="1:8" x14ac:dyDescent="0.25">
      <c r="A2145" s="94" t="s">
        <v>5213</v>
      </c>
      <c r="B2145" s="98">
        <v>72455</v>
      </c>
      <c r="C2145" s="98" t="s">
        <v>5214</v>
      </c>
      <c r="D2145" s="96" t="s">
        <v>337</v>
      </c>
      <c r="E2145" s="97">
        <v>85</v>
      </c>
      <c r="F2145" s="67" t="str">
        <f>IFERROR(IFERROR(INDEX(Кат!$A:$A,MATCH(Прайс!$B2145,Кат!$G:$G,0)),INDEX(Торг!$B:$B,MATCH(Прайс!$B2145,Торг!$H:$H,0))),"")</f>
        <v/>
      </c>
      <c r="G2145" s="67" t="str">
        <f>IFERROR(IFERROR(INDEX(Кат!$B:$B,MATCH(Прайс!$B2145,Кат!$G:$G,0)),INDEX(Торг!$C:$C,MATCH(Прайс!$B2145,Торг!$H:$H,0))),"")</f>
        <v/>
      </c>
      <c r="H2145" s="67" t="str">
        <f>IFERROR(IFERROR(INDEX(Кат!$I:$I,MATCH(Прайс!$B2145,Кат!$G:$G,0)),INDEX(Торг!$I:$I,MATCH(Прайс!$B2145,Торг!$H:$H,0))),"")</f>
        <v/>
      </c>
    </row>
    <row r="2146" spans="1:8" x14ac:dyDescent="0.25">
      <c r="A2146" s="94" t="s">
        <v>5215</v>
      </c>
      <c r="B2146" s="98">
        <v>72452</v>
      </c>
      <c r="C2146" s="98" t="s">
        <v>5216</v>
      </c>
      <c r="D2146" s="96" t="s">
        <v>337</v>
      </c>
      <c r="E2146" s="97">
        <v>85</v>
      </c>
      <c r="F2146" s="67" t="str">
        <f>IFERROR(IFERROR(INDEX(Кат!$A:$A,MATCH(Прайс!$B2146,Кат!$G:$G,0)),INDEX(Торг!$B:$B,MATCH(Прайс!$B2146,Торг!$H:$H,0))),"")</f>
        <v/>
      </c>
      <c r="G2146" s="67" t="str">
        <f>IFERROR(IFERROR(INDEX(Кат!$B:$B,MATCH(Прайс!$B2146,Кат!$G:$G,0)),INDEX(Торг!$C:$C,MATCH(Прайс!$B2146,Торг!$H:$H,0))),"")</f>
        <v/>
      </c>
      <c r="H2146" s="67" t="str">
        <f>IFERROR(IFERROR(INDEX(Кат!$I:$I,MATCH(Прайс!$B2146,Кат!$G:$G,0)),INDEX(Торг!$I:$I,MATCH(Прайс!$B2146,Торг!$H:$H,0))),"")</f>
        <v/>
      </c>
    </row>
    <row r="2147" spans="1:8" ht="15.75" x14ac:dyDescent="0.25">
      <c r="A2147" s="90"/>
      <c r="B2147" s="91"/>
      <c r="C2147" s="92" t="s">
        <v>1153</v>
      </c>
      <c r="D2147" s="91"/>
      <c r="E2147" s="93"/>
      <c r="F2147" s="67" t="str">
        <f>IFERROR(IFERROR(INDEX(Кат!$A:$A,MATCH(Прайс!$B2147,Кат!$G:$G,0)),INDEX(Торг!$B:$B,MATCH(Прайс!$B2147,Торг!$H:$H,0))),"")</f>
        <v/>
      </c>
      <c r="G2147" s="67" t="str">
        <f>IFERROR(IFERROR(INDEX(Кат!$B:$B,MATCH(Прайс!$B2147,Кат!$G:$G,0)),INDEX(Торг!$C:$C,MATCH(Прайс!$B2147,Торг!$H:$H,0))),"")</f>
        <v/>
      </c>
      <c r="H2147" s="67" t="str">
        <f>IFERROR(IFERROR(INDEX(Кат!$I:$I,MATCH(Прайс!$B2147,Кат!$G:$G,0)),INDEX(Торг!$I:$I,MATCH(Прайс!$B2147,Торг!$H:$H,0))),"")</f>
        <v/>
      </c>
    </row>
    <row r="2148" spans="1:8" x14ac:dyDescent="0.25">
      <c r="A2148" s="94" t="s">
        <v>3679</v>
      </c>
      <c r="B2148" s="98">
        <v>70274</v>
      </c>
      <c r="C2148" s="98" t="s">
        <v>1154</v>
      </c>
      <c r="D2148" s="96" t="s">
        <v>480</v>
      </c>
      <c r="E2148" s="97">
        <v>100</v>
      </c>
      <c r="F2148" s="67" t="str">
        <f>IFERROR(IFERROR(INDEX(Кат!$A:$A,MATCH(Прайс!$B2148,Кат!$G:$G,0)),INDEX(Торг!$B:$B,MATCH(Прайс!$B2148,Торг!$H:$H,0))),"")</f>
        <v/>
      </c>
      <c r="G2148" s="67" t="str">
        <f>IFERROR(IFERROR(INDEX(Кат!$B:$B,MATCH(Прайс!$B2148,Кат!$G:$G,0)),INDEX(Торг!$C:$C,MATCH(Прайс!$B2148,Торг!$H:$H,0))),"")</f>
        <v/>
      </c>
      <c r="H2148" s="67" t="str">
        <f>IFERROR(IFERROR(INDEX(Кат!$I:$I,MATCH(Прайс!$B2148,Кат!$G:$G,0)),INDEX(Торг!$I:$I,MATCH(Прайс!$B2148,Торг!$H:$H,0))),"")</f>
        <v/>
      </c>
    </row>
    <row r="2149" spans="1:8" x14ac:dyDescent="0.25">
      <c r="A2149" s="94" t="s">
        <v>3680</v>
      </c>
      <c r="B2149" s="98">
        <v>71371</v>
      </c>
      <c r="C2149" s="98" t="s">
        <v>1155</v>
      </c>
      <c r="D2149" s="96" t="s">
        <v>480</v>
      </c>
      <c r="E2149" s="97">
        <v>100</v>
      </c>
      <c r="F2149" s="67" t="str">
        <f>IFERROR(IFERROR(INDEX(Кат!$A:$A,MATCH(Прайс!$B2149,Кат!$G:$G,0)),INDEX(Торг!$B:$B,MATCH(Прайс!$B2149,Торг!$H:$H,0))),"")</f>
        <v/>
      </c>
      <c r="G2149" s="67" t="str">
        <f>IFERROR(IFERROR(INDEX(Кат!$B:$B,MATCH(Прайс!$B2149,Кат!$G:$G,0)),INDEX(Торг!$C:$C,MATCH(Прайс!$B2149,Торг!$H:$H,0))),"")</f>
        <v/>
      </c>
      <c r="H2149" s="67" t="str">
        <f>IFERROR(IFERROR(INDEX(Кат!$I:$I,MATCH(Прайс!$B2149,Кат!$G:$G,0)),INDEX(Торг!$I:$I,MATCH(Прайс!$B2149,Торг!$H:$H,0))),"")</f>
        <v/>
      </c>
    </row>
    <row r="2150" spans="1:8" x14ac:dyDescent="0.25">
      <c r="A2150" s="94" t="s">
        <v>3681</v>
      </c>
      <c r="B2150" s="98">
        <v>70276</v>
      </c>
      <c r="C2150" s="98" t="s">
        <v>1156</v>
      </c>
      <c r="D2150" s="96" t="s">
        <v>480</v>
      </c>
      <c r="E2150" s="97">
        <v>100</v>
      </c>
      <c r="F2150" s="67" t="str">
        <f>IFERROR(IFERROR(INDEX(Кат!$A:$A,MATCH(Прайс!$B2150,Кат!$G:$G,0)),INDEX(Торг!$B:$B,MATCH(Прайс!$B2150,Торг!$H:$H,0))),"")</f>
        <v/>
      </c>
      <c r="G2150" s="67" t="str">
        <f>IFERROR(IFERROR(INDEX(Кат!$B:$B,MATCH(Прайс!$B2150,Кат!$G:$G,0)),INDEX(Торг!$C:$C,MATCH(Прайс!$B2150,Торг!$H:$H,0))),"")</f>
        <v/>
      </c>
      <c r="H2150" s="67" t="str">
        <f>IFERROR(IFERROR(INDEX(Кат!$I:$I,MATCH(Прайс!$B2150,Кат!$G:$G,0)),INDEX(Торг!$I:$I,MATCH(Прайс!$B2150,Торг!$H:$H,0))),"")</f>
        <v/>
      </c>
    </row>
    <row r="2151" spans="1:8" x14ac:dyDescent="0.25">
      <c r="A2151" s="94" t="s">
        <v>5447</v>
      </c>
      <c r="B2151" s="98">
        <v>70277</v>
      </c>
      <c r="C2151" s="98" t="s">
        <v>5448</v>
      </c>
      <c r="D2151" s="96" t="s">
        <v>480</v>
      </c>
      <c r="E2151" s="97">
        <v>100</v>
      </c>
      <c r="F2151" s="67" t="str">
        <f>IFERROR(IFERROR(INDEX(Кат!$A:$A,MATCH(Прайс!$B2151,Кат!$G:$G,0)),INDEX(Торг!$B:$B,MATCH(Прайс!$B2151,Торг!$H:$H,0))),"")</f>
        <v/>
      </c>
      <c r="G2151" s="67" t="str">
        <f>IFERROR(IFERROR(INDEX(Кат!$B:$B,MATCH(Прайс!$B2151,Кат!$G:$G,0)),INDEX(Торг!$C:$C,MATCH(Прайс!$B2151,Торг!$H:$H,0))),"")</f>
        <v/>
      </c>
      <c r="H2151" s="67" t="str">
        <f>IFERROR(IFERROR(INDEX(Кат!$I:$I,MATCH(Прайс!$B2151,Кат!$G:$G,0)),INDEX(Торг!$I:$I,MATCH(Прайс!$B2151,Торг!$H:$H,0))),"")</f>
        <v/>
      </c>
    </row>
    <row r="2152" spans="1:8" x14ac:dyDescent="0.25">
      <c r="A2152" s="94" t="s">
        <v>6966</v>
      </c>
      <c r="B2152" s="98">
        <v>70275</v>
      </c>
      <c r="C2152" s="98" t="s">
        <v>6967</v>
      </c>
      <c r="D2152" s="96" t="s">
        <v>480</v>
      </c>
      <c r="E2152" s="97">
        <v>100</v>
      </c>
      <c r="F2152" s="67" t="str">
        <f>IFERROR(IFERROR(INDEX(Кат!$A:$A,MATCH(Прайс!$B2152,Кат!$G:$G,0)),INDEX(Торг!$B:$B,MATCH(Прайс!$B2152,Торг!$H:$H,0))),"")</f>
        <v/>
      </c>
      <c r="G2152" s="67" t="str">
        <f>IFERROR(IFERROR(INDEX(Кат!$B:$B,MATCH(Прайс!$B2152,Кат!$G:$G,0)),INDEX(Торг!$C:$C,MATCH(Прайс!$B2152,Торг!$H:$H,0))),"")</f>
        <v/>
      </c>
      <c r="H2152" s="67" t="str">
        <f>IFERROR(IFERROR(INDEX(Кат!$I:$I,MATCH(Прайс!$B2152,Кат!$G:$G,0)),INDEX(Торг!$I:$I,MATCH(Прайс!$B2152,Торг!$H:$H,0))),"")</f>
        <v/>
      </c>
    </row>
    <row r="2153" spans="1:8" x14ac:dyDescent="0.25">
      <c r="A2153" s="94" t="s">
        <v>3682</v>
      </c>
      <c r="B2153" s="98">
        <v>71115</v>
      </c>
      <c r="C2153" s="98" t="s">
        <v>1157</v>
      </c>
      <c r="D2153" s="96" t="s">
        <v>480</v>
      </c>
      <c r="E2153" s="97">
        <v>100</v>
      </c>
      <c r="F2153" s="67" t="str">
        <f>IFERROR(IFERROR(INDEX(Кат!$A:$A,MATCH(Прайс!$B2153,Кат!$G:$G,0)),INDEX(Торг!$B:$B,MATCH(Прайс!$B2153,Торг!$H:$H,0))),"")</f>
        <v/>
      </c>
      <c r="G2153" s="67" t="str">
        <f>IFERROR(IFERROR(INDEX(Кат!$B:$B,MATCH(Прайс!$B2153,Кат!$G:$G,0)),INDEX(Торг!$C:$C,MATCH(Прайс!$B2153,Торг!$H:$H,0))),"")</f>
        <v/>
      </c>
      <c r="H2153" s="67" t="str">
        <f>IFERROR(IFERROR(INDEX(Кат!$I:$I,MATCH(Прайс!$B2153,Кат!$G:$G,0)),INDEX(Торг!$I:$I,MATCH(Прайс!$B2153,Торг!$H:$H,0))),"")</f>
        <v/>
      </c>
    </row>
    <row r="2154" spans="1:8" x14ac:dyDescent="0.25">
      <c r="A2154" s="94" t="s">
        <v>8281</v>
      </c>
      <c r="B2154" s="98">
        <v>70278</v>
      </c>
      <c r="C2154" s="98" t="s">
        <v>8282</v>
      </c>
      <c r="D2154" s="96" t="s">
        <v>480</v>
      </c>
      <c r="E2154" s="97">
        <v>100</v>
      </c>
      <c r="F2154" s="67" t="str">
        <f>IFERROR(IFERROR(INDEX(Кат!$A:$A,MATCH(Прайс!$B2154,Кат!$G:$G,0)),INDEX(Торг!$B:$B,MATCH(Прайс!$B2154,Торг!$H:$H,0))),"")</f>
        <v/>
      </c>
      <c r="G2154" s="67" t="str">
        <f>IFERROR(IFERROR(INDEX(Кат!$B:$B,MATCH(Прайс!$B2154,Кат!$G:$G,0)),INDEX(Торг!$C:$C,MATCH(Прайс!$B2154,Торг!$H:$H,0))),"")</f>
        <v/>
      </c>
      <c r="H2154" s="67" t="str">
        <f>IFERROR(IFERROR(INDEX(Кат!$I:$I,MATCH(Прайс!$B2154,Кат!$G:$G,0)),INDEX(Торг!$I:$I,MATCH(Прайс!$B2154,Торг!$H:$H,0))),"")</f>
        <v/>
      </c>
    </row>
    <row r="2155" spans="1:8" x14ac:dyDescent="0.25">
      <c r="A2155" s="103" t="s">
        <v>3683</v>
      </c>
      <c r="B2155" s="104">
        <v>72113</v>
      </c>
      <c r="C2155" s="104" t="s">
        <v>1158</v>
      </c>
      <c r="D2155" s="105" t="s">
        <v>160</v>
      </c>
      <c r="E2155" s="113">
        <v>190</v>
      </c>
      <c r="F2155" s="67" t="str">
        <f>IFERROR(IFERROR(INDEX(Кат!$A:$A,MATCH(Прайс!$B2155,Кат!$G:$G,0)),INDEX(Торг!$B:$B,MATCH(Прайс!$B2155,Торг!$H:$H,0))),"")</f>
        <v/>
      </c>
      <c r="G2155" s="67" t="str">
        <f>IFERROR(IFERROR(INDEX(Кат!$B:$B,MATCH(Прайс!$B2155,Кат!$G:$G,0)),INDEX(Торг!$C:$C,MATCH(Прайс!$B2155,Торг!$H:$H,0))),"")</f>
        <v/>
      </c>
      <c r="H2155" s="67" t="str">
        <f>IFERROR(IFERROR(INDEX(Кат!$I:$I,MATCH(Прайс!$B2155,Кат!$G:$G,0)),INDEX(Торг!$I:$I,MATCH(Прайс!$B2155,Торг!$H:$H,0))),"")</f>
        <v/>
      </c>
    </row>
    <row r="2156" spans="1:8" x14ac:dyDescent="0.25">
      <c r="A2156" s="103" t="s">
        <v>3684</v>
      </c>
      <c r="B2156" s="104">
        <v>72115</v>
      </c>
      <c r="C2156" s="104" t="s">
        <v>1159</v>
      </c>
      <c r="D2156" s="105" t="s">
        <v>160</v>
      </c>
      <c r="E2156" s="113">
        <v>190</v>
      </c>
      <c r="F2156" s="67" t="str">
        <f>IFERROR(IFERROR(INDEX(Кат!$A:$A,MATCH(Прайс!$B2156,Кат!$G:$G,0)),INDEX(Торг!$B:$B,MATCH(Прайс!$B2156,Торг!$H:$H,0))),"")</f>
        <v/>
      </c>
      <c r="G2156" s="67" t="str">
        <f>IFERROR(IFERROR(INDEX(Кат!$B:$B,MATCH(Прайс!$B2156,Кат!$G:$G,0)),INDEX(Торг!$C:$C,MATCH(Прайс!$B2156,Торг!$H:$H,0))),"")</f>
        <v/>
      </c>
      <c r="H2156" s="67" t="str">
        <f>IFERROR(IFERROR(INDEX(Кат!$I:$I,MATCH(Прайс!$B2156,Кат!$G:$G,0)),INDEX(Торг!$I:$I,MATCH(Прайс!$B2156,Торг!$H:$H,0))),"")</f>
        <v/>
      </c>
    </row>
    <row r="2157" spans="1:8" x14ac:dyDescent="0.25">
      <c r="A2157" s="103" t="s">
        <v>6968</v>
      </c>
      <c r="B2157" s="104">
        <v>71118</v>
      </c>
      <c r="C2157" s="104" t="s">
        <v>6969</v>
      </c>
      <c r="D2157" s="105" t="s">
        <v>160</v>
      </c>
      <c r="E2157" s="113">
        <v>190</v>
      </c>
      <c r="F2157" s="67" t="str">
        <f>IFERROR(IFERROR(INDEX(Кат!$A:$A,MATCH(Прайс!$B2157,Кат!$G:$G,0)),INDEX(Торг!$B:$B,MATCH(Прайс!$B2157,Торг!$H:$H,0))),"")</f>
        <v/>
      </c>
      <c r="G2157" s="67" t="str">
        <f>IFERROR(IFERROR(INDEX(Кат!$B:$B,MATCH(Прайс!$B2157,Кат!$G:$G,0)),INDEX(Торг!$C:$C,MATCH(Прайс!$B2157,Торг!$H:$H,0))),"")</f>
        <v/>
      </c>
      <c r="H2157" s="67" t="str">
        <f>IFERROR(IFERROR(INDEX(Кат!$I:$I,MATCH(Прайс!$B2157,Кат!$G:$G,0)),INDEX(Торг!$I:$I,MATCH(Прайс!$B2157,Торг!$H:$H,0))),"")</f>
        <v/>
      </c>
    </row>
    <row r="2158" spans="1:8" x14ac:dyDescent="0.25">
      <c r="A2158" s="103" t="s">
        <v>6970</v>
      </c>
      <c r="B2158" s="104">
        <v>71119</v>
      </c>
      <c r="C2158" s="104" t="s">
        <v>6971</v>
      </c>
      <c r="D2158" s="105" t="s">
        <v>160</v>
      </c>
      <c r="E2158" s="113">
        <v>190</v>
      </c>
      <c r="F2158" s="67" t="str">
        <f>IFERROR(IFERROR(INDEX(Кат!$A:$A,MATCH(Прайс!$B2158,Кат!$G:$G,0)),INDEX(Торг!$B:$B,MATCH(Прайс!$B2158,Торг!$H:$H,0))),"")</f>
        <v/>
      </c>
      <c r="G2158" s="67" t="str">
        <f>IFERROR(IFERROR(INDEX(Кат!$B:$B,MATCH(Прайс!$B2158,Кат!$G:$G,0)),INDEX(Торг!$C:$C,MATCH(Прайс!$B2158,Торг!$H:$H,0))),"")</f>
        <v/>
      </c>
      <c r="H2158" s="67" t="str">
        <f>IFERROR(IFERROR(INDEX(Кат!$I:$I,MATCH(Прайс!$B2158,Кат!$G:$G,0)),INDEX(Торг!$I:$I,MATCH(Прайс!$B2158,Торг!$H:$H,0))),"")</f>
        <v/>
      </c>
    </row>
    <row r="2159" spans="1:8" x14ac:dyDescent="0.25">
      <c r="A2159" s="103" t="s">
        <v>6972</v>
      </c>
      <c r="B2159" s="104">
        <v>71120</v>
      </c>
      <c r="C2159" s="104" t="s">
        <v>6973</v>
      </c>
      <c r="D2159" s="105" t="s">
        <v>160</v>
      </c>
      <c r="E2159" s="113">
        <v>190</v>
      </c>
      <c r="F2159" s="67" t="str">
        <f>IFERROR(IFERROR(INDEX(Кат!$A:$A,MATCH(Прайс!$B2159,Кат!$G:$G,0)),INDEX(Торг!$B:$B,MATCH(Прайс!$B2159,Торг!$H:$H,0))),"")</f>
        <v/>
      </c>
      <c r="G2159" s="67" t="str">
        <f>IFERROR(IFERROR(INDEX(Кат!$B:$B,MATCH(Прайс!$B2159,Кат!$G:$G,0)),INDEX(Торг!$C:$C,MATCH(Прайс!$B2159,Торг!$H:$H,0))),"")</f>
        <v/>
      </c>
      <c r="H2159" s="67" t="str">
        <f>IFERROR(IFERROR(INDEX(Кат!$I:$I,MATCH(Прайс!$B2159,Кат!$G:$G,0)),INDEX(Торг!$I:$I,MATCH(Прайс!$B2159,Торг!$H:$H,0))),"")</f>
        <v/>
      </c>
    </row>
    <row r="2160" spans="1:8" x14ac:dyDescent="0.25">
      <c r="A2160" s="103" t="s">
        <v>3685</v>
      </c>
      <c r="B2160" s="104">
        <v>71852</v>
      </c>
      <c r="C2160" s="104" t="s">
        <v>1160</v>
      </c>
      <c r="D2160" s="105" t="s">
        <v>480</v>
      </c>
      <c r="E2160" s="113">
        <v>105</v>
      </c>
      <c r="F2160" s="67" t="str">
        <f>IFERROR(IFERROR(INDEX(Кат!$A:$A,MATCH(Прайс!$B2160,Кат!$G:$G,0)),INDEX(Торг!$B:$B,MATCH(Прайс!$B2160,Торг!$H:$H,0))),"")</f>
        <v/>
      </c>
      <c r="G2160" s="67" t="str">
        <f>IFERROR(IFERROR(INDEX(Кат!$B:$B,MATCH(Прайс!$B2160,Кат!$G:$G,0)),INDEX(Торг!$C:$C,MATCH(Прайс!$B2160,Торг!$H:$H,0))),"")</f>
        <v/>
      </c>
      <c r="H2160" s="67" t="str">
        <f>IFERROR(IFERROR(INDEX(Кат!$I:$I,MATCH(Прайс!$B2160,Кат!$G:$G,0)),INDEX(Торг!$I:$I,MATCH(Прайс!$B2160,Торг!$H:$H,0))),"")</f>
        <v/>
      </c>
    </row>
    <row r="2161" spans="1:9" x14ac:dyDescent="0.25">
      <c r="A2161" s="94" t="s">
        <v>8307</v>
      </c>
      <c r="B2161" s="98">
        <v>71708</v>
      </c>
      <c r="C2161" s="98" t="s">
        <v>8308</v>
      </c>
      <c r="D2161" s="96" t="s">
        <v>241</v>
      </c>
      <c r="E2161" s="97">
        <v>170</v>
      </c>
      <c r="F2161" s="67" t="str">
        <f>IFERROR(IFERROR(INDEX(Кат!$A:$A,MATCH(Прайс!$B2161,Кат!$G:$G,0)),INDEX(Торг!$B:$B,MATCH(Прайс!$B2161,Торг!$H:$H,0))),"")</f>
        <v/>
      </c>
      <c r="G2161" s="67" t="str">
        <f>IFERROR(IFERROR(INDEX(Кат!$B:$B,MATCH(Прайс!$B2161,Кат!$G:$G,0)),INDEX(Торг!$C:$C,MATCH(Прайс!$B2161,Торг!$H:$H,0))),"")</f>
        <v/>
      </c>
      <c r="H2161" s="67" t="str">
        <f>IFERROR(IFERROR(INDEX(Кат!$I:$I,MATCH(Прайс!$B2161,Кат!$G:$G,0)),INDEX(Торг!$I:$I,MATCH(Прайс!$B2161,Торг!$H:$H,0))),"")</f>
        <v/>
      </c>
    </row>
    <row r="2162" spans="1:9" x14ac:dyDescent="0.25">
      <c r="A2162" s="94" t="s">
        <v>5449</v>
      </c>
      <c r="B2162" s="98">
        <v>72396</v>
      </c>
      <c r="C2162" s="98" t="s">
        <v>5450</v>
      </c>
      <c r="D2162" s="96" t="s">
        <v>1744</v>
      </c>
      <c r="E2162" s="97">
        <v>170</v>
      </c>
      <c r="F2162" s="67" t="str">
        <f>IFERROR(IFERROR(INDEX(Кат!$A:$A,MATCH(Прайс!$B2162,Кат!$G:$G,0)),INDEX(Торг!$B:$B,MATCH(Прайс!$B2162,Торг!$H:$H,0))),"")</f>
        <v/>
      </c>
      <c r="G2162" s="67" t="str">
        <f>IFERROR(IFERROR(INDEX(Кат!$B:$B,MATCH(Прайс!$B2162,Кат!$G:$G,0)),INDEX(Торг!$C:$C,MATCH(Прайс!$B2162,Торг!$H:$H,0))),"")</f>
        <v/>
      </c>
      <c r="H2162" s="67" t="str">
        <f>IFERROR(IFERROR(INDEX(Кат!$I:$I,MATCH(Прайс!$B2162,Кат!$G:$G,0)),INDEX(Торг!$I:$I,MATCH(Прайс!$B2162,Торг!$H:$H,0))),"")</f>
        <v/>
      </c>
    </row>
    <row r="2163" spans="1:9" x14ac:dyDescent="0.25">
      <c r="A2163" s="94" t="s">
        <v>3686</v>
      </c>
      <c r="B2163" s="98">
        <v>72246</v>
      </c>
      <c r="C2163" s="98" t="s">
        <v>4913</v>
      </c>
      <c r="D2163" s="96" t="s">
        <v>1161</v>
      </c>
      <c r="E2163" s="97">
        <v>170</v>
      </c>
      <c r="F2163" s="67" t="str">
        <f>IFERROR(IFERROR(INDEX(Кат!$A:$A,MATCH(Прайс!$B2163,Кат!$G:$G,0)),INDEX(Торг!$B:$B,MATCH(Прайс!$B2163,Торг!$H:$H,0))),"")</f>
        <v/>
      </c>
      <c r="G2163" s="67" t="str">
        <f>IFERROR(IFERROR(INDEX(Кат!$B:$B,MATCH(Прайс!$B2163,Кат!$G:$G,0)),INDEX(Торг!$C:$C,MATCH(Прайс!$B2163,Торг!$H:$H,0))),"")</f>
        <v/>
      </c>
      <c r="H2163" s="67" t="str">
        <f>IFERROR(IFERROR(INDEX(Кат!$I:$I,MATCH(Прайс!$B2163,Кат!$G:$G,0)),INDEX(Торг!$I:$I,MATCH(Прайс!$B2163,Торг!$H:$H,0))),"")</f>
        <v/>
      </c>
    </row>
    <row r="2164" spans="1:9" x14ac:dyDescent="0.25">
      <c r="A2164" s="94" t="s">
        <v>7673</v>
      </c>
      <c r="B2164" s="98">
        <v>72248</v>
      </c>
      <c r="C2164" s="98" t="s">
        <v>7674</v>
      </c>
      <c r="D2164" s="96" t="s">
        <v>1161</v>
      </c>
      <c r="E2164" s="97">
        <v>170</v>
      </c>
      <c r="F2164" s="67" t="str">
        <f>IFERROR(IFERROR(INDEX(Кат!$A:$A,MATCH(Прайс!$B2164,Кат!$G:$G,0)),INDEX(Торг!$B:$B,MATCH(Прайс!$B2164,Торг!$H:$H,0))),"")</f>
        <v/>
      </c>
      <c r="G2164" s="67" t="str">
        <f>IFERROR(IFERROR(INDEX(Кат!$B:$B,MATCH(Прайс!$B2164,Кат!$G:$G,0)),INDEX(Торг!$C:$C,MATCH(Прайс!$B2164,Торг!$H:$H,0))),"")</f>
        <v/>
      </c>
      <c r="H2164" s="67" t="str">
        <f>IFERROR(IFERROR(INDEX(Кат!$I:$I,MATCH(Прайс!$B2164,Кат!$G:$G,0)),INDEX(Торг!$I:$I,MATCH(Прайс!$B2164,Торг!$H:$H,0))),"")</f>
        <v/>
      </c>
    </row>
    <row r="2165" spans="1:9" x14ac:dyDescent="0.25">
      <c r="A2165" s="94" t="s">
        <v>3688</v>
      </c>
      <c r="B2165" s="98">
        <v>72287</v>
      </c>
      <c r="C2165" s="98" t="s">
        <v>4914</v>
      </c>
      <c r="D2165" s="96" t="s">
        <v>1161</v>
      </c>
      <c r="E2165" s="97">
        <v>170</v>
      </c>
      <c r="F2165" s="67" t="str">
        <f>IFERROR(IFERROR(INDEX(Кат!$A:$A,MATCH(Прайс!$B2165,Кат!$G:$G,0)),INDEX(Торг!$B:$B,MATCH(Прайс!$B2165,Торг!$H:$H,0))),"")</f>
        <v/>
      </c>
      <c r="G2165" s="67" t="str">
        <f>IFERROR(IFERROR(INDEX(Кат!$B:$B,MATCH(Прайс!$B2165,Кат!$G:$G,0)),INDEX(Торг!$C:$C,MATCH(Прайс!$B2165,Торг!$H:$H,0))),"")</f>
        <v/>
      </c>
      <c r="H2165" s="67" t="str">
        <f>IFERROR(IFERROR(INDEX(Кат!$I:$I,MATCH(Прайс!$B2165,Кат!$G:$G,0)),INDEX(Торг!$I:$I,MATCH(Прайс!$B2165,Торг!$H:$H,0))),"")</f>
        <v/>
      </c>
    </row>
    <row r="2166" spans="1:9" x14ac:dyDescent="0.25">
      <c r="A2166" s="94" t="s">
        <v>3690</v>
      </c>
      <c r="B2166" s="98">
        <v>72268</v>
      </c>
      <c r="C2166" s="98" t="s">
        <v>8283</v>
      </c>
      <c r="D2166" s="96" t="s">
        <v>1161</v>
      </c>
      <c r="E2166" s="97">
        <v>170</v>
      </c>
      <c r="F2166" s="67">
        <f>IFERROR(IFERROR(INDEX(Кат!$A:$A,MATCH(Прайс!$B2166,Кат!$G:$G,0)),INDEX(Торг!$B:$B,MATCH(Прайс!$B2166,Торг!$H:$H,0))),"")</f>
        <v>140709</v>
      </c>
      <c r="G2166" s="67">
        <f>IFERROR(IFERROR(INDEX(Кат!$B:$B,MATCH(Прайс!$B2166,Кат!$G:$G,0)),INDEX(Торг!$C:$C,MATCH(Прайс!$B2166,Торг!$H:$H,0))),"")</f>
        <v>21363</v>
      </c>
      <c r="H2166" s="67" t="str">
        <f>IFERROR(IFERROR(INDEX(Кат!$I:$I,MATCH(Прайс!$B2166,Кат!$G:$G,0)),INDEX(Торг!$I:$I,MATCH(Прайс!$B2166,Торг!$H:$H,0))),"")</f>
        <v>кристал авто</v>
      </c>
    </row>
    <row r="2167" spans="1:9" x14ac:dyDescent="0.25">
      <c r="A2167" s="94" t="s">
        <v>3691</v>
      </c>
      <c r="B2167" s="98">
        <v>72249</v>
      </c>
      <c r="C2167" s="98" t="s">
        <v>4915</v>
      </c>
      <c r="D2167" s="96" t="s">
        <v>1161</v>
      </c>
      <c r="E2167" s="97">
        <v>170</v>
      </c>
      <c r="F2167" s="67">
        <f>IFERROR(IFERROR(INDEX(Кат!$A:$A,MATCH(Прайс!$B2167,Кат!$G:$G,0)),INDEX(Торг!$B:$B,MATCH(Прайс!$B2167,Торг!$H:$H,0))),"")</f>
        <v>131496</v>
      </c>
      <c r="G2167" s="67">
        <f>IFERROR(IFERROR(INDEX(Кат!$B:$B,MATCH(Прайс!$B2167,Кат!$G:$G,0)),INDEX(Торг!$C:$C,MATCH(Прайс!$B2167,Торг!$H:$H,0))),"")</f>
        <v>32021</v>
      </c>
      <c r="H2167" s="67" t="str">
        <f>IFERROR(IFERROR(INDEX(Кат!$I:$I,MATCH(Прайс!$B2167,Кат!$G:$G,0)),INDEX(Торг!$I:$I,MATCH(Прайс!$B2167,Торг!$H:$H,0))),"")</f>
        <v>кристал авто</v>
      </c>
    </row>
    <row r="2168" spans="1:9" x14ac:dyDescent="0.25">
      <c r="A2168" s="94" t="s">
        <v>3692</v>
      </c>
      <c r="B2168" s="98">
        <v>72247</v>
      </c>
      <c r="C2168" s="98" t="s">
        <v>4916</v>
      </c>
      <c r="D2168" s="96" t="s">
        <v>1161</v>
      </c>
      <c r="E2168" s="97">
        <v>170</v>
      </c>
      <c r="F2168" s="67">
        <f>IFERROR(IFERROR(INDEX(Кат!$A:$A,MATCH(Прайс!$B2168,Кат!$G:$G,0)),INDEX(Торг!$B:$B,MATCH(Прайс!$B2168,Торг!$H:$H,0))),"")</f>
        <v>140710</v>
      </c>
      <c r="G2168" s="67">
        <f>IFERROR(IFERROR(INDEX(Кат!$B:$B,MATCH(Прайс!$B2168,Кат!$G:$G,0)),INDEX(Торг!$C:$C,MATCH(Прайс!$B2168,Торг!$H:$H,0))),"")</f>
        <v>18639</v>
      </c>
      <c r="H2168" s="67" t="str">
        <f>IFERROR(IFERROR(INDEX(Кат!$I:$I,MATCH(Прайс!$B2168,Кат!$G:$G,0)),INDEX(Торг!$I:$I,MATCH(Прайс!$B2168,Торг!$H:$H,0))),"")</f>
        <v>кристал авто</v>
      </c>
    </row>
    <row r="2169" spans="1:9" x14ac:dyDescent="0.25">
      <c r="A2169" s="94" t="s">
        <v>4917</v>
      </c>
      <c r="B2169" s="98">
        <v>72401</v>
      </c>
      <c r="C2169" s="98" t="s">
        <v>4918</v>
      </c>
      <c r="D2169" s="96" t="s">
        <v>1744</v>
      </c>
      <c r="E2169" s="97">
        <v>170</v>
      </c>
      <c r="F2169" s="67" t="str">
        <f>IFERROR(IFERROR(INDEX(Кат!$A:$A,MATCH(Прайс!$B2169,Кат!$G:$G,0)),INDEX(Торг!$B:$B,MATCH(Прайс!$B2169,Торг!$H:$H,0))),"")</f>
        <v/>
      </c>
      <c r="G2169" s="67" t="str">
        <f>IFERROR(IFERROR(INDEX(Кат!$B:$B,MATCH(Прайс!$B2169,Кат!$G:$G,0)),INDEX(Торг!$C:$C,MATCH(Прайс!$B2169,Торг!$H:$H,0))),"")</f>
        <v/>
      </c>
      <c r="H2169" s="67" t="str">
        <f>IFERROR(IFERROR(INDEX(Кат!$I:$I,MATCH(Прайс!$B2169,Кат!$G:$G,0)),INDEX(Торг!$I:$I,MATCH(Прайс!$B2169,Торг!$H:$H,0))),"")</f>
        <v/>
      </c>
    </row>
    <row r="2170" spans="1:9" x14ac:dyDescent="0.25">
      <c r="A2170" s="94" t="s">
        <v>8421</v>
      </c>
      <c r="B2170" s="98">
        <v>72404</v>
      </c>
      <c r="C2170" s="98" t="s">
        <v>8422</v>
      </c>
      <c r="D2170" s="96" t="s">
        <v>1744</v>
      </c>
      <c r="E2170" s="97">
        <v>170</v>
      </c>
      <c r="F2170" s="67" t="str">
        <f>IFERROR(IFERROR(INDEX(Кат!$A:$A,MATCH(Прайс!$B2170,Кат!$G:$G,0)),INDEX(Торг!$B:$B,MATCH(Прайс!$B2170,Торг!$H:$H,0))),"")</f>
        <v/>
      </c>
      <c r="G2170" s="67" t="str">
        <f>IFERROR(IFERROR(INDEX(Кат!$B:$B,MATCH(Прайс!$B2170,Кат!$G:$G,0)),INDEX(Торг!$C:$C,MATCH(Прайс!$B2170,Торг!$H:$H,0))),"")</f>
        <v/>
      </c>
      <c r="H2170" s="67" t="str">
        <f>IFERROR(IFERROR(INDEX(Кат!$I:$I,MATCH(Прайс!$B2170,Кат!$G:$G,0)),INDEX(Торг!$I:$I,MATCH(Прайс!$B2170,Торг!$H:$H,0))),"")</f>
        <v/>
      </c>
      <c r="I2170" s="15" t="s">
        <v>6033</v>
      </c>
    </row>
    <row r="2171" spans="1:9" x14ac:dyDescent="0.25">
      <c r="A2171" s="94" t="s">
        <v>4919</v>
      </c>
      <c r="B2171" s="98">
        <v>72407</v>
      </c>
      <c r="C2171" s="98" t="s">
        <v>4920</v>
      </c>
      <c r="D2171" s="96" t="s">
        <v>241</v>
      </c>
      <c r="E2171" s="97">
        <v>170</v>
      </c>
      <c r="F2171" s="67" t="str">
        <f>IFERROR(IFERROR(INDEX(Кат!$A:$A,MATCH(Прайс!$B2171,Кат!$G:$G,0)),INDEX(Торг!$B:$B,MATCH(Прайс!$B2171,Торг!$H:$H,0))),"")</f>
        <v/>
      </c>
      <c r="G2171" s="67" t="str">
        <f>IFERROR(IFERROR(INDEX(Кат!$B:$B,MATCH(Прайс!$B2171,Кат!$G:$G,0)),INDEX(Торг!$C:$C,MATCH(Прайс!$B2171,Торг!$H:$H,0))),"")</f>
        <v/>
      </c>
      <c r="H2171" s="67" t="str">
        <f>IFERROR(IFERROR(INDEX(Кат!$I:$I,MATCH(Прайс!$B2171,Кат!$G:$G,0)),INDEX(Торг!$I:$I,MATCH(Прайс!$B2171,Торг!$H:$H,0))),"")</f>
        <v/>
      </c>
    </row>
    <row r="2172" spans="1:9" x14ac:dyDescent="0.25">
      <c r="A2172" s="94" t="s">
        <v>7675</v>
      </c>
      <c r="B2172" s="98">
        <v>72408</v>
      </c>
      <c r="C2172" s="98" t="s">
        <v>7676</v>
      </c>
      <c r="D2172" s="96" t="s">
        <v>241</v>
      </c>
      <c r="E2172" s="97">
        <v>170</v>
      </c>
      <c r="F2172" s="67" t="str">
        <f>IFERROR(IFERROR(INDEX(Кат!$A:$A,MATCH(Прайс!$B2172,Кат!$G:$G,0)),INDEX(Торг!$B:$B,MATCH(Прайс!$B2172,Торг!$H:$H,0))),"")</f>
        <v/>
      </c>
      <c r="G2172" s="67" t="str">
        <f>IFERROR(IFERROR(INDEX(Кат!$B:$B,MATCH(Прайс!$B2172,Кат!$G:$G,0)),INDEX(Торг!$C:$C,MATCH(Прайс!$B2172,Торг!$H:$H,0))),"")</f>
        <v/>
      </c>
      <c r="H2172" s="67" t="str">
        <f>IFERROR(IFERROR(INDEX(Кат!$I:$I,MATCH(Прайс!$B2172,Кат!$G:$G,0)),INDEX(Торг!$I:$I,MATCH(Прайс!$B2172,Торг!$H:$H,0))),"")</f>
        <v/>
      </c>
    </row>
    <row r="2173" spans="1:9" x14ac:dyDescent="0.25">
      <c r="A2173" s="94" t="s">
        <v>4921</v>
      </c>
      <c r="B2173" s="98">
        <v>72397</v>
      </c>
      <c r="C2173" s="98" t="s">
        <v>4922</v>
      </c>
      <c r="D2173" s="96" t="s">
        <v>1744</v>
      </c>
      <c r="E2173" s="97">
        <v>170</v>
      </c>
      <c r="F2173" s="67" t="str">
        <f>IFERROR(IFERROR(INDEX(Кат!$A:$A,MATCH(Прайс!$B2173,Кат!$G:$G,0)),INDEX(Торг!$B:$B,MATCH(Прайс!$B2173,Торг!$H:$H,0))),"")</f>
        <v/>
      </c>
      <c r="G2173" s="67" t="str">
        <f>IFERROR(IFERROR(INDEX(Кат!$B:$B,MATCH(Прайс!$B2173,Кат!$G:$G,0)),INDEX(Торг!$C:$C,MATCH(Прайс!$B2173,Торг!$H:$H,0))),"")</f>
        <v/>
      </c>
      <c r="H2173" s="67" t="str">
        <f>IFERROR(IFERROR(INDEX(Кат!$I:$I,MATCH(Прайс!$B2173,Кат!$G:$G,0)),INDEX(Торг!$I:$I,MATCH(Прайс!$B2173,Торг!$H:$H,0))),"")</f>
        <v/>
      </c>
    </row>
    <row r="2174" spans="1:9" x14ac:dyDescent="0.25">
      <c r="A2174" s="94" t="s">
        <v>4923</v>
      </c>
      <c r="B2174" s="98">
        <v>72398</v>
      </c>
      <c r="C2174" s="98" t="s">
        <v>4924</v>
      </c>
      <c r="D2174" s="96" t="s">
        <v>1744</v>
      </c>
      <c r="E2174" s="97">
        <v>170</v>
      </c>
      <c r="F2174" s="67" t="str">
        <f>IFERROR(IFERROR(INDEX(Кат!$A:$A,MATCH(Прайс!$B2174,Кат!$G:$G,0)),INDEX(Торг!$B:$B,MATCH(Прайс!$B2174,Торг!$H:$H,0))),"")</f>
        <v/>
      </c>
      <c r="G2174" s="67" t="str">
        <f>IFERROR(IFERROR(INDEX(Кат!$B:$B,MATCH(Прайс!$B2174,Кат!$G:$G,0)),INDEX(Торг!$C:$C,MATCH(Прайс!$B2174,Торг!$H:$H,0))),"")</f>
        <v/>
      </c>
      <c r="H2174" s="67" t="str">
        <f>IFERROR(IFERROR(INDEX(Кат!$I:$I,MATCH(Прайс!$B2174,Кат!$G:$G,0)),INDEX(Торг!$I:$I,MATCH(Прайс!$B2174,Торг!$H:$H,0))),"")</f>
        <v/>
      </c>
    </row>
    <row r="2175" spans="1:9" x14ac:dyDescent="0.25">
      <c r="A2175" s="94" t="s">
        <v>4925</v>
      </c>
      <c r="B2175" s="98">
        <v>72399</v>
      </c>
      <c r="C2175" s="98" t="s">
        <v>4926</v>
      </c>
      <c r="D2175" s="96" t="s">
        <v>1744</v>
      </c>
      <c r="E2175" s="97">
        <v>170</v>
      </c>
      <c r="F2175" s="67" t="str">
        <f>IFERROR(IFERROR(INDEX(Кат!$A:$A,MATCH(Прайс!$B2175,Кат!$G:$G,0)),INDEX(Торг!$B:$B,MATCH(Прайс!$B2175,Торг!$H:$H,0))),"")</f>
        <v/>
      </c>
      <c r="G2175" s="67" t="str">
        <f>IFERROR(IFERROR(INDEX(Кат!$B:$B,MATCH(Прайс!$B2175,Кат!$G:$G,0)),INDEX(Торг!$C:$C,MATCH(Прайс!$B2175,Торг!$H:$H,0))),"")</f>
        <v/>
      </c>
      <c r="H2175" s="67" t="str">
        <f>IFERROR(IFERROR(INDEX(Кат!$I:$I,MATCH(Прайс!$B2175,Кат!$G:$G,0)),INDEX(Торг!$I:$I,MATCH(Прайс!$B2175,Торг!$H:$H,0))),"")</f>
        <v/>
      </c>
    </row>
    <row r="2176" spans="1:9" x14ac:dyDescent="0.25">
      <c r="A2176" s="94" t="s">
        <v>3687</v>
      </c>
      <c r="B2176" s="98">
        <v>72288</v>
      </c>
      <c r="C2176" s="98" t="s">
        <v>1162</v>
      </c>
      <c r="D2176" s="96" t="s">
        <v>1161</v>
      </c>
      <c r="E2176" s="97">
        <v>170</v>
      </c>
      <c r="F2176" s="67" t="str">
        <f>IFERROR(IFERROR(INDEX(Кат!$A:$A,MATCH(Прайс!$B2176,Кат!$G:$G,0)),INDEX(Торг!$B:$B,MATCH(Прайс!$B2176,Торг!$H:$H,0))),"")</f>
        <v/>
      </c>
      <c r="G2176" s="67" t="str">
        <f>IFERROR(IFERROR(INDEX(Кат!$B:$B,MATCH(Прайс!$B2176,Кат!$G:$G,0)),INDEX(Торг!$C:$C,MATCH(Прайс!$B2176,Торг!$H:$H,0))),"")</f>
        <v/>
      </c>
      <c r="H2176" s="67" t="str">
        <f>IFERROR(IFERROR(INDEX(Кат!$I:$I,MATCH(Прайс!$B2176,Кат!$G:$G,0)),INDEX(Торг!$I:$I,MATCH(Прайс!$B2176,Торг!$H:$H,0))),"")</f>
        <v/>
      </c>
    </row>
    <row r="2177" spans="1:9" x14ac:dyDescent="0.25">
      <c r="A2177" s="94" t="s">
        <v>3689</v>
      </c>
      <c r="B2177" s="98">
        <v>72289</v>
      </c>
      <c r="C2177" s="98" t="s">
        <v>1163</v>
      </c>
      <c r="D2177" s="96" t="s">
        <v>1161</v>
      </c>
      <c r="E2177" s="97">
        <v>170</v>
      </c>
      <c r="F2177" s="67" t="str">
        <f>IFERROR(IFERROR(INDEX(Кат!$A:$A,MATCH(Прайс!$B2177,Кат!$G:$G,0)),INDEX(Торг!$B:$B,MATCH(Прайс!$B2177,Торг!$H:$H,0))),"")</f>
        <v/>
      </c>
      <c r="G2177" s="67" t="str">
        <f>IFERROR(IFERROR(INDEX(Кат!$B:$B,MATCH(Прайс!$B2177,Кат!$G:$G,0)),INDEX(Торг!$C:$C,MATCH(Прайс!$B2177,Торг!$H:$H,0))),"")</f>
        <v/>
      </c>
      <c r="H2177" s="67" t="str">
        <f>IFERROR(IFERROR(INDEX(Кат!$I:$I,MATCH(Прайс!$B2177,Кат!$G:$G,0)),INDEX(Торг!$I:$I,MATCH(Прайс!$B2177,Торг!$H:$H,0))),"")</f>
        <v/>
      </c>
    </row>
    <row r="2178" spans="1:9" x14ac:dyDescent="0.25">
      <c r="A2178" s="94" t="s">
        <v>3693</v>
      </c>
      <c r="B2178" s="98">
        <v>72250</v>
      </c>
      <c r="C2178" s="98" t="s">
        <v>6974</v>
      </c>
      <c r="D2178" s="96" t="s">
        <v>1161</v>
      </c>
      <c r="E2178" s="97">
        <v>170</v>
      </c>
      <c r="F2178" s="67" t="str">
        <f>IFERROR(IFERROR(INDEX(Кат!$A:$A,MATCH(Прайс!$B2178,Кат!$G:$G,0)),INDEX(Торг!$B:$B,MATCH(Прайс!$B2178,Торг!$H:$H,0))),"")</f>
        <v/>
      </c>
      <c r="G2178" s="67" t="str">
        <f>IFERROR(IFERROR(INDEX(Кат!$B:$B,MATCH(Прайс!$B2178,Кат!$G:$G,0)),INDEX(Торг!$C:$C,MATCH(Прайс!$B2178,Торг!$H:$H,0))),"")</f>
        <v/>
      </c>
      <c r="H2178" s="67" t="str">
        <f>IFERROR(IFERROR(INDEX(Кат!$I:$I,MATCH(Прайс!$B2178,Кат!$G:$G,0)),INDEX(Торг!$I:$I,MATCH(Прайс!$B2178,Торг!$H:$H,0))),"")</f>
        <v/>
      </c>
    </row>
    <row r="2179" spans="1:9" x14ac:dyDescent="0.25">
      <c r="A2179" s="103" t="s">
        <v>3694</v>
      </c>
      <c r="B2179" s="104">
        <v>70381</v>
      </c>
      <c r="C2179" s="104" t="s">
        <v>1164</v>
      </c>
      <c r="D2179" s="105" t="s">
        <v>160</v>
      </c>
      <c r="E2179" s="113">
        <v>275</v>
      </c>
      <c r="F2179" s="67" t="str">
        <f>IFERROR(IFERROR(INDEX(Кат!$A:$A,MATCH(Прайс!$B2179,Кат!$G:$G,0)),INDEX(Торг!$B:$B,MATCH(Прайс!$B2179,Торг!$H:$H,0))),"")</f>
        <v/>
      </c>
      <c r="G2179" s="67" t="str">
        <f>IFERROR(IFERROR(INDEX(Кат!$B:$B,MATCH(Прайс!$B2179,Кат!$G:$G,0)),INDEX(Торг!$C:$C,MATCH(Прайс!$B2179,Торг!$H:$H,0))),"")</f>
        <v/>
      </c>
      <c r="H2179" s="67" t="str">
        <f>IFERROR(IFERROR(INDEX(Кат!$I:$I,MATCH(Прайс!$B2179,Кат!$G:$G,0)),INDEX(Торг!$I:$I,MATCH(Прайс!$B2179,Торг!$H:$H,0))),"")</f>
        <v/>
      </c>
    </row>
    <row r="2180" spans="1:9" x14ac:dyDescent="0.25">
      <c r="A2180" s="103" t="s">
        <v>3695</v>
      </c>
      <c r="B2180" s="104">
        <v>72050</v>
      </c>
      <c r="C2180" s="104" t="s">
        <v>6359</v>
      </c>
      <c r="D2180" s="105" t="s">
        <v>160</v>
      </c>
      <c r="E2180" s="113">
        <v>275</v>
      </c>
      <c r="F2180" s="67" t="str">
        <f>IFERROR(IFERROR(INDEX(Кат!$A:$A,MATCH(Прайс!$B2180,Кат!$G:$G,0)),INDEX(Торг!$B:$B,MATCH(Прайс!$B2180,Торг!$H:$H,0))),"")</f>
        <v/>
      </c>
      <c r="G2180" s="67" t="str">
        <f>IFERROR(IFERROR(INDEX(Кат!$B:$B,MATCH(Прайс!$B2180,Кат!$G:$G,0)),INDEX(Торг!$C:$C,MATCH(Прайс!$B2180,Торг!$H:$H,0))),"")</f>
        <v/>
      </c>
      <c r="H2180" s="67" t="str">
        <f>IFERROR(IFERROR(INDEX(Кат!$I:$I,MATCH(Прайс!$B2180,Кат!$G:$G,0)),INDEX(Торг!$I:$I,MATCH(Прайс!$B2180,Торг!$H:$H,0))),"")</f>
        <v/>
      </c>
    </row>
    <row r="2181" spans="1:9" x14ac:dyDescent="0.25">
      <c r="A2181" s="103" t="s">
        <v>3696</v>
      </c>
      <c r="B2181" s="104">
        <v>72053</v>
      </c>
      <c r="C2181" s="104" t="s">
        <v>1165</v>
      </c>
      <c r="D2181" s="105" t="s">
        <v>160</v>
      </c>
      <c r="E2181" s="113">
        <v>275</v>
      </c>
      <c r="F2181" s="67" t="str">
        <f>IFERROR(IFERROR(INDEX(Кат!$A:$A,MATCH(Прайс!$B2181,Кат!$G:$G,0)),INDEX(Торг!$B:$B,MATCH(Прайс!$B2181,Торг!$H:$H,0))),"")</f>
        <v/>
      </c>
      <c r="G2181" s="67" t="str">
        <f>IFERROR(IFERROR(INDEX(Кат!$B:$B,MATCH(Прайс!$B2181,Кат!$G:$G,0)),INDEX(Торг!$C:$C,MATCH(Прайс!$B2181,Торг!$H:$H,0))),"")</f>
        <v/>
      </c>
      <c r="H2181" s="67" t="str">
        <f>IFERROR(IFERROR(INDEX(Кат!$I:$I,MATCH(Прайс!$B2181,Кат!$G:$G,0)),INDEX(Торг!$I:$I,MATCH(Прайс!$B2181,Торг!$H:$H,0))),"")</f>
        <v/>
      </c>
    </row>
    <row r="2182" spans="1:9" x14ac:dyDescent="0.25">
      <c r="A2182" s="103" t="s">
        <v>3697</v>
      </c>
      <c r="B2182" s="104">
        <v>72055</v>
      </c>
      <c r="C2182" s="104" t="s">
        <v>1166</v>
      </c>
      <c r="D2182" s="105" t="s">
        <v>160</v>
      </c>
      <c r="E2182" s="113">
        <v>275</v>
      </c>
      <c r="F2182" s="67" t="str">
        <f>IFERROR(IFERROR(INDEX(Кат!$A:$A,MATCH(Прайс!$B2182,Кат!$G:$G,0)),INDEX(Торг!$B:$B,MATCH(Прайс!$B2182,Торг!$H:$H,0))),"")</f>
        <v/>
      </c>
      <c r="G2182" s="67" t="str">
        <f>IFERROR(IFERROR(INDEX(Кат!$B:$B,MATCH(Прайс!$B2182,Кат!$G:$G,0)),INDEX(Торг!$C:$C,MATCH(Прайс!$B2182,Торг!$H:$H,0))),"")</f>
        <v/>
      </c>
      <c r="H2182" s="67" t="str">
        <f>IFERROR(IFERROR(INDEX(Кат!$I:$I,MATCH(Прайс!$B2182,Кат!$G:$G,0)),INDEX(Торг!$I:$I,MATCH(Прайс!$B2182,Торг!$H:$H,0))),"")</f>
        <v/>
      </c>
    </row>
    <row r="2183" spans="1:9" x14ac:dyDescent="0.25">
      <c r="A2183" s="103" t="s">
        <v>3698</v>
      </c>
      <c r="B2183" s="104">
        <v>72052</v>
      </c>
      <c r="C2183" s="104" t="s">
        <v>1167</v>
      </c>
      <c r="D2183" s="105" t="s">
        <v>160</v>
      </c>
      <c r="E2183" s="113">
        <v>275</v>
      </c>
      <c r="F2183" s="67" t="str">
        <f>IFERROR(IFERROR(INDEX(Кат!$A:$A,MATCH(Прайс!$B2183,Кат!$G:$G,0)),INDEX(Торг!$B:$B,MATCH(Прайс!$B2183,Торг!$H:$H,0))),"")</f>
        <v/>
      </c>
      <c r="G2183" s="67" t="str">
        <f>IFERROR(IFERROR(INDEX(Кат!$B:$B,MATCH(Прайс!$B2183,Кат!$G:$G,0)),INDEX(Торг!$C:$C,MATCH(Прайс!$B2183,Торг!$H:$H,0))),"")</f>
        <v/>
      </c>
      <c r="H2183" s="67" t="str">
        <f>IFERROR(IFERROR(INDEX(Кат!$I:$I,MATCH(Прайс!$B2183,Кат!$G:$G,0)),INDEX(Торг!$I:$I,MATCH(Прайс!$B2183,Торг!$H:$H,0))),"")</f>
        <v/>
      </c>
    </row>
    <row r="2184" spans="1:9" x14ac:dyDescent="0.25">
      <c r="A2184" s="103" t="s">
        <v>3699</v>
      </c>
      <c r="B2184" s="104">
        <v>70388</v>
      </c>
      <c r="C2184" s="104" t="s">
        <v>6360</v>
      </c>
      <c r="D2184" s="105" t="s">
        <v>160</v>
      </c>
      <c r="E2184" s="113">
        <v>275</v>
      </c>
      <c r="F2184" s="67" t="str">
        <f>IFERROR(IFERROR(INDEX(Кат!$A:$A,MATCH(Прайс!$B2184,Кат!$G:$G,0)),INDEX(Торг!$B:$B,MATCH(Прайс!$B2184,Торг!$H:$H,0))),"")</f>
        <v/>
      </c>
      <c r="G2184" s="67" t="str">
        <f>IFERROR(IFERROR(INDEX(Кат!$B:$B,MATCH(Прайс!$B2184,Кат!$G:$G,0)),INDEX(Торг!$C:$C,MATCH(Прайс!$B2184,Торг!$H:$H,0))),"")</f>
        <v/>
      </c>
      <c r="H2184" s="67" t="str">
        <f>IFERROR(IFERROR(INDEX(Кат!$I:$I,MATCH(Прайс!$B2184,Кат!$G:$G,0)),INDEX(Торг!$I:$I,MATCH(Прайс!$B2184,Торг!$H:$H,0))),"")</f>
        <v/>
      </c>
    </row>
    <row r="2185" spans="1:9" x14ac:dyDescent="0.25">
      <c r="A2185" s="109" t="s">
        <v>8284</v>
      </c>
      <c r="B2185" s="110">
        <v>72707</v>
      </c>
      <c r="C2185" s="110" t="s">
        <v>8285</v>
      </c>
      <c r="D2185" s="111" t="s">
        <v>797</v>
      </c>
      <c r="E2185" s="112">
        <v>95</v>
      </c>
      <c r="F2185" s="67" t="str">
        <f>IFERROR(IFERROR(INDEX(Кат!$A:$A,MATCH(Прайс!$B2185,Кат!$G:$G,0)),INDEX(Торг!$B:$B,MATCH(Прайс!$B2185,Торг!$H:$H,0))),"")</f>
        <v/>
      </c>
      <c r="G2185" s="67" t="str">
        <f>IFERROR(IFERROR(INDEX(Кат!$B:$B,MATCH(Прайс!$B2185,Кат!$G:$G,0)),INDEX(Торг!$C:$C,MATCH(Прайс!$B2185,Торг!$H:$H,0))),"")</f>
        <v/>
      </c>
      <c r="H2185" s="67" t="str">
        <f>IFERROR(IFERROR(INDEX(Кат!$I:$I,MATCH(Прайс!$B2185,Кат!$G:$G,0)),INDEX(Торг!$I:$I,MATCH(Прайс!$B2185,Торг!$H:$H,0))),"")</f>
        <v/>
      </c>
    </row>
    <row r="2186" spans="1:9" x14ac:dyDescent="0.25">
      <c r="A2186" s="109" t="s">
        <v>8286</v>
      </c>
      <c r="B2186" s="110">
        <v>72708</v>
      </c>
      <c r="C2186" s="110" t="s">
        <v>8287</v>
      </c>
      <c r="D2186" s="111" t="s">
        <v>797</v>
      </c>
      <c r="E2186" s="112">
        <v>95</v>
      </c>
      <c r="F2186" s="67" t="str">
        <f>IFERROR(IFERROR(INDEX(Кат!$A:$A,MATCH(Прайс!$B2186,Кат!$G:$G,0)),INDEX(Торг!$B:$B,MATCH(Прайс!$B2186,Торг!$H:$H,0))),"")</f>
        <v/>
      </c>
      <c r="G2186" s="67" t="str">
        <f>IFERROR(IFERROR(INDEX(Кат!$B:$B,MATCH(Прайс!$B2186,Кат!$G:$G,0)),INDEX(Торг!$C:$C,MATCH(Прайс!$B2186,Торг!$H:$H,0))),"")</f>
        <v/>
      </c>
      <c r="H2186" s="67" t="str">
        <f>IFERROR(IFERROR(INDEX(Кат!$I:$I,MATCH(Прайс!$B2186,Кат!$G:$G,0)),INDEX(Торг!$I:$I,MATCH(Прайс!$B2186,Торг!$H:$H,0))),"")</f>
        <v/>
      </c>
    </row>
    <row r="2187" spans="1:9" x14ac:dyDescent="0.25">
      <c r="A2187" s="109" t="s">
        <v>8288</v>
      </c>
      <c r="B2187" s="110">
        <v>72709</v>
      </c>
      <c r="C2187" s="110" t="s">
        <v>8289</v>
      </c>
      <c r="D2187" s="111" t="s">
        <v>797</v>
      </c>
      <c r="E2187" s="112">
        <v>95</v>
      </c>
      <c r="F2187" s="67" t="str">
        <f>IFERROR(IFERROR(INDEX(Кат!$A:$A,MATCH(Прайс!$B2187,Кат!$G:$G,0)),INDEX(Торг!$B:$B,MATCH(Прайс!$B2187,Торг!$H:$H,0))),"")</f>
        <v/>
      </c>
      <c r="G2187" s="67" t="str">
        <f>IFERROR(IFERROR(INDEX(Кат!$B:$B,MATCH(Прайс!$B2187,Кат!$G:$G,0)),INDEX(Торг!$C:$C,MATCH(Прайс!$B2187,Торг!$H:$H,0))),"")</f>
        <v/>
      </c>
      <c r="H2187" s="67" t="str">
        <f>IFERROR(IFERROR(INDEX(Кат!$I:$I,MATCH(Прайс!$B2187,Кат!$G:$G,0)),INDEX(Торг!$I:$I,MATCH(Прайс!$B2187,Торг!$H:$H,0))),"")</f>
        <v/>
      </c>
      <c r="I2187" s="15" t="s">
        <v>6032</v>
      </c>
    </row>
    <row r="2188" spans="1:9" x14ac:dyDescent="0.25">
      <c r="A2188" s="109" t="s">
        <v>8290</v>
      </c>
      <c r="B2188" s="110">
        <v>72710</v>
      </c>
      <c r="C2188" s="110" t="s">
        <v>8291</v>
      </c>
      <c r="D2188" s="111" t="s">
        <v>797</v>
      </c>
      <c r="E2188" s="112">
        <v>95</v>
      </c>
      <c r="F2188" s="67" t="str">
        <f>IFERROR(IFERROR(INDEX(Кат!$A:$A,MATCH(Прайс!$B2188,Кат!$G:$G,0)),INDEX(Торг!$B:$B,MATCH(Прайс!$B2188,Торг!$H:$H,0))),"")</f>
        <v/>
      </c>
      <c r="G2188" s="67" t="str">
        <f>IFERROR(IFERROR(INDEX(Кат!$B:$B,MATCH(Прайс!$B2188,Кат!$G:$G,0)),INDEX(Торг!$C:$C,MATCH(Прайс!$B2188,Торг!$H:$H,0))),"")</f>
        <v/>
      </c>
      <c r="H2188" s="67" t="str">
        <f>IFERROR(IFERROR(INDEX(Кат!$I:$I,MATCH(Прайс!$B2188,Кат!$G:$G,0)),INDEX(Торг!$I:$I,MATCH(Прайс!$B2188,Торг!$H:$H,0))),"")</f>
        <v/>
      </c>
      <c r="I2188" s="15" t="s">
        <v>6031</v>
      </c>
    </row>
    <row r="2189" spans="1:9" x14ac:dyDescent="0.25">
      <c r="A2189" s="109" t="s">
        <v>8292</v>
      </c>
      <c r="B2189" s="110">
        <v>72711</v>
      </c>
      <c r="C2189" s="110" t="s">
        <v>8293</v>
      </c>
      <c r="D2189" s="111" t="s">
        <v>797</v>
      </c>
      <c r="E2189" s="112">
        <v>95</v>
      </c>
      <c r="F2189" s="67" t="str">
        <f>IFERROR(IFERROR(INDEX(Кат!$A:$A,MATCH(Прайс!$B2189,Кат!$G:$G,0)),INDEX(Торг!$B:$B,MATCH(Прайс!$B2189,Торг!$H:$H,0))),"")</f>
        <v/>
      </c>
      <c r="G2189" s="67" t="str">
        <f>IFERROR(IFERROR(INDEX(Кат!$B:$B,MATCH(Прайс!$B2189,Кат!$G:$G,0)),INDEX(Торг!$C:$C,MATCH(Прайс!$B2189,Торг!$H:$H,0))),"")</f>
        <v/>
      </c>
      <c r="H2189" s="67" t="str">
        <f>IFERROR(IFERROR(INDEX(Кат!$I:$I,MATCH(Прайс!$B2189,Кат!$G:$G,0)),INDEX(Торг!$I:$I,MATCH(Прайс!$B2189,Торг!$H:$H,0))),"")</f>
        <v/>
      </c>
    </row>
    <row r="2190" spans="1:9" x14ac:dyDescent="0.25">
      <c r="A2190" s="94" t="s">
        <v>3700</v>
      </c>
      <c r="B2190" s="98">
        <v>70901</v>
      </c>
      <c r="C2190" s="98" t="s">
        <v>1169</v>
      </c>
      <c r="D2190" s="96" t="s">
        <v>5910</v>
      </c>
      <c r="E2190" s="97">
        <v>240</v>
      </c>
      <c r="F2190" s="67">
        <f>IFERROR(IFERROR(INDEX(Кат!$A:$A,MATCH(Прайс!$B2190,Кат!$G:$G,0)),INDEX(Торг!$B:$B,MATCH(Прайс!$B2190,Торг!$H:$H,0))),"")</f>
        <v>242747</v>
      </c>
      <c r="G2190" s="67">
        <f>IFERROR(IFERROR(INDEX(Кат!$B:$B,MATCH(Прайс!$B2190,Кат!$G:$G,0)),INDEX(Торг!$C:$C,MATCH(Прайс!$B2190,Торг!$H:$H,0))),"")</f>
        <v>192321</v>
      </c>
      <c r="H2190" s="67" t="str">
        <f>IFERROR(IFERROR(INDEX(Кат!$I:$I,MATCH(Прайс!$B2190,Кат!$G:$G,0)),INDEX(Торг!$I:$I,MATCH(Прайс!$B2190,Торг!$H:$H,0))),"")</f>
        <v>кристал авто</v>
      </c>
    </row>
    <row r="2191" spans="1:9" x14ac:dyDescent="0.25">
      <c r="A2191" s="94" t="s">
        <v>5911</v>
      </c>
      <c r="B2191" s="98">
        <v>72527</v>
      </c>
      <c r="C2191" s="98" t="s">
        <v>5912</v>
      </c>
      <c r="D2191" s="96" t="s">
        <v>1168</v>
      </c>
      <c r="E2191" s="97">
        <v>240</v>
      </c>
      <c r="F2191" s="67">
        <f>IFERROR(IFERROR(INDEX(Кат!$A:$A,MATCH(Прайс!$B2191,Кат!$G:$G,0)),INDEX(Торг!$B:$B,MATCH(Прайс!$B2191,Торг!$H:$H,0))),"")</f>
        <v>242749</v>
      </c>
      <c r="G2191" s="67">
        <f>IFERROR(IFERROR(INDEX(Кат!$B:$B,MATCH(Прайс!$B2191,Кат!$G:$G,0)),INDEX(Торг!$C:$C,MATCH(Прайс!$B2191,Торг!$H:$H,0))),"")</f>
        <v>192336</v>
      </c>
      <c r="H2191" s="67" t="str">
        <f>IFERROR(IFERROR(INDEX(Кат!$I:$I,MATCH(Прайс!$B2191,Кат!$G:$G,0)),INDEX(Торг!$I:$I,MATCH(Прайс!$B2191,Торг!$H:$H,0))),"")</f>
        <v>кристал авто</v>
      </c>
    </row>
    <row r="2192" spans="1:9" x14ac:dyDescent="0.25">
      <c r="A2192" s="94" t="s">
        <v>5913</v>
      </c>
      <c r="B2192" s="98">
        <v>72528</v>
      </c>
      <c r="C2192" s="98" t="s">
        <v>5914</v>
      </c>
      <c r="D2192" s="96" t="s">
        <v>1168</v>
      </c>
      <c r="E2192" s="97">
        <v>240</v>
      </c>
      <c r="F2192" s="67">
        <f>IFERROR(IFERROR(INDEX(Кат!$A:$A,MATCH(Прайс!$B2192,Кат!$G:$G,0)),INDEX(Торг!$B:$B,MATCH(Прайс!$B2192,Торг!$H:$H,0))),"")</f>
        <v>242761</v>
      </c>
      <c r="G2192" s="67">
        <f>IFERROR(IFERROR(INDEX(Кат!$B:$B,MATCH(Прайс!$B2192,Кат!$G:$G,0)),INDEX(Торг!$C:$C,MATCH(Прайс!$B2192,Торг!$H:$H,0))),"")</f>
        <v>192337</v>
      </c>
      <c r="H2192" s="67" t="str">
        <f>IFERROR(IFERROR(INDEX(Кат!$I:$I,MATCH(Прайс!$B2192,Кат!$G:$G,0)),INDEX(Торг!$I:$I,MATCH(Прайс!$B2192,Торг!$H:$H,0))),"")</f>
        <v>кристал авто</v>
      </c>
    </row>
    <row r="2193" spans="1:8" x14ac:dyDescent="0.25">
      <c r="A2193" s="94" t="s">
        <v>3701</v>
      </c>
      <c r="B2193" s="98">
        <v>70904</v>
      </c>
      <c r="C2193" s="98" t="s">
        <v>1170</v>
      </c>
      <c r="D2193" s="96" t="s">
        <v>1168</v>
      </c>
      <c r="E2193" s="97">
        <v>240</v>
      </c>
      <c r="F2193" s="67">
        <f>IFERROR(IFERROR(INDEX(Кат!$A:$A,MATCH(Прайс!$B2193,Кат!$G:$G,0)),INDEX(Торг!$B:$B,MATCH(Прайс!$B2193,Торг!$H:$H,0))),"")</f>
        <v>242750</v>
      </c>
      <c r="G2193" s="67">
        <f>IFERROR(IFERROR(INDEX(Кат!$B:$B,MATCH(Прайс!$B2193,Кат!$G:$G,0)),INDEX(Торг!$C:$C,MATCH(Прайс!$B2193,Торг!$H:$H,0))),"")</f>
        <v>192323</v>
      </c>
      <c r="H2193" s="67" t="str">
        <f>IFERROR(IFERROR(INDEX(Кат!$I:$I,MATCH(Прайс!$B2193,Кат!$G:$G,0)),INDEX(Торг!$I:$I,MATCH(Прайс!$B2193,Торг!$H:$H,0))),"")</f>
        <v>кристал авто</v>
      </c>
    </row>
    <row r="2194" spans="1:8" x14ac:dyDescent="0.25">
      <c r="A2194" s="94" t="s">
        <v>5915</v>
      </c>
      <c r="B2194" s="98">
        <v>70905</v>
      </c>
      <c r="C2194" s="98" t="s">
        <v>5916</v>
      </c>
      <c r="D2194" s="96" t="s">
        <v>1168</v>
      </c>
      <c r="E2194" s="97">
        <v>240</v>
      </c>
      <c r="F2194" s="67">
        <f>IFERROR(IFERROR(INDEX(Кат!$A:$A,MATCH(Прайс!$B2194,Кат!$G:$G,0)),INDEX(Торг!$B:$B,MATCH(Прайс!$B2194,Торг!$H:$H,0))),"")</f>
        <v>242751</v>
      </c>
      <c r="G2194" s="67">
        <f>IFERROR(IFERROR(INDEX(Кат!$B:$B,MATCH(Прайс!$B2194,Кат!$G:$G,0)),INDEX(Торг!$C:$C,MATCH(Прайс!$B2194,Торг!$H:$H,0))),"")</f>
        <v>192324</v>
      </c>
      <c r="H2194" s="67" t="str">
        <f>IFERROR(IFERROR(INDEX(Кат!$I:$I,MATCH(Прайс!$B2194,Кат!$G:$G,0)),INDEX(Торг!$I:$I,MATCH(Прайс!$B2194,Торг!$H:$H,0))),"")</f>
        <v>кристал авто</v>
      </c>
    </row>
    <row r="2195" spans="1:8" x14ac:dyDescent="0.25">
      <c r="A2195" s="94" t="s">
        <v>3702</v>
      </c>
      <c r="B2195" s="98">
        <v>70906</v>
      </c>
      <c r="C2195" s="98" t="s">
        <v>1171</v>
      </c>
      <c r="D2195" s="96" t="s">
        <v>5910</v>
      </c>
      <c r="E2195" s="97">
        <v>240</v>
      </c>
      <c r="F2195" s="67">
        <f>IFERROR(IFERROR(INDEX(Кат!$A:$A,MATCH(Прайс!$B2195,Кат!$G:$G,0)),INDEX(Торг!$B:$B,MATCH(Прайс!$B2195,Торг!$H:$H,0))),"")</f>
        <v>242752</v>
      </c>
      <c r="G2195" s="67">
        <f>IFERROR(IFERROR(INDEX(Кат!$B:$B,MATCH(Прайс!$B2195,Кат!$G:$G,0)),INDEX(Торг!$C:$C,MATCH(Прайс!$B2195,Торг!$H:$H,0))),"")</f>
        <v>192325</v>
      </c>
      <c r="H2195" s="67" t="str">
        <f>IFERROR(IFERROR(INDEX(Кат!$I:$I,MATCH(Прайс!$B2195,Кат!$G:$G,0)),INDEX(Торг!$I:$I,MATCH(Прайс!$B2195,Торг!$H:$H,0))),"")</f>
        <v>кристал авто</v>
      </c>
    </row>
    <row r="2196" spans="1:8" x14ac:dyDescent="0.25">
      <c r="A2196" s="94" t="s">
        <v>5917</v>
      </c>
      <c r="B2196" s="98">
        <v>72524</v>
      </c>
      <c r="C2196" s="98" t="s">
        <v>5918</v>
      </c>
      <c r="D2196" s="96" t="s">
        <v>5919</v>
      </c>
      <c r="E2196" s="97">
        <v>240</v>
      </c>
      <c r="F2196" s="67">
        <f>IFERROR(IFERROR(INDEX(Кат!$A:$A,MATCH(Прайс!$B2196,Кат!$G:$G,0)),INDEX(Торг!$B:$B,MATCH(Прайс!$B2196,Торг!$H:$H,0))),"")</f>
        <v>242753</v>
      </c>
      <c r="G2196" s="67">
        <f>IFERROR(IFERROR(INDEX(Кат!$B:$B,MATCH(Прайс!$B2196,Кат!$G:$G,0)),INDEX(Торг!$C:$C,MATCH(Прайс!$B2196,Торг!$H:$H,0))),"")</f>
        <v>192333</v>
      </c>
      <c r="H2196" s="67" t="str">
        <f>IFERROR(IFERROR(INDEX(Кат!$I:$I,MATCH(Прайс!$B2196,Кат!$G:$G,0)),INDEX(Торг!$I:$I,MATCH(Прайс!$B2196,Торг!$H:$H,0))),"")</f>
        <v>кристал авто</v>
      </c>
    </row>
    <row r="2197" spans="1:8" x14ac:dyDescent="0.25">
      <c r="A2197" s="94" t="s">
        <v>5920</v>
      </c>
      <c r="B2197" s="98">
        <v>72525</v>
      </c>
      <c r="C2197" s="98" t="s">
        <v>5921</v>
      </c>
      <c r="D2197" s="96" t="s">
        <v>1168</v>
      </c>
      <c r="E2197" s="97">
        <v>240</v>
      </c>
      <c r="F2197" s="67">
        <f>IFERROR(IFERROR(INDEX(Кат!$A:$A,MATCH(Прайс!$B2197,Кат!$G:$G,0)),INDEX(Торг!$B:$B,MATCH(Прайс!$B2197,Торг!$H:$H,0))),"")</f>
        <v>242754</v>
      </c>
      <c r="G2197" s="67">
        <f>IFERROR(IFERROR(INDEX(Кат!$B:$B,MATCH(Прайс!$B2197,Кат!$G:$G,0)),INDEX(Торг!$C:$C,MATCH(Прайс!$B2197,Торг!$H:$H,0))),"")</f>
        <v>192334</v>
      </c>
      <c r="H2197" s="67" t="str">
        <f>IFERROR(IFERROR(INDEX(Кат!$I:$I,MATCH(Прайс!$B2197,Кат!$G:$G,0)),INDEX(Торг!$I:$I,MATCH(Прайс!$B2197,Торг!$H:$H,0))),"")</f>
        <v>кристал авто</v>
      </c>
    </row>
    <row r="2198" spans="1:8" x14ac:dyDescent="0.25">
      <c r="A2198" s="94" t="s">
        <v>3703</v>
      </c>
      <c r="B2198" s="98">
        <v>70899</v>
      </c>
      <c r="C2198" s="98" t="s">
        <v>1172</v>
      </c>
      <c r="D2198" s="96" t="s">
        <v>5910</v>
      </c>
      <c r="E2198" s="97">
        <v>240</v>
      </c>
      <c r="F2198" s="67">
        <f>IFERROR(IFERROR(INDEX(Кат!$A:$A,MATCH(Прайс!$B2198,Кат!$G:$G,0)),INDEX(Торг!$B:$B,MATCH(Прайс!$B2198,Торг!$H:$H,0))),"")</f>
        <v>242755</v>
      </c>
      <c r="G2198" s="67">
        <f>IFERROR(IFERROR(INDEX(Кат!$B:$B,MATCH(Прайс!$B2198,Кат!$G:$G,0)),INDEX(Торг!$C:$C,MATCH(Прайс!$B2198,Торг!$H:$H,0))),"")</f>
        <v>192320</v>
      </c>
      <c r="H2198" s="67" t="str">
        <f>IFERROR(IFERROR(INDEX(Кат!$I:$I,MATCH(Прайс!$B2198,Кат!$G:$G,0)),INDEX(Торг!$I:$I,MATCH(Прайс!$B2198,Торг!$H:$H,0))),"")</f>
        <v>кристал авто</v>
      </c>
    </row>
    <row r="2199" spans="1:8" x14ac:dyDescent="0.25">
      <c r="A2199" s="94" t="s">
        <v>3704</v>
      </c>
      <c r="B2199" s="98">
        <v>70897</v>
      </c>
      <c r="C2199" s="98" t="s">
        <v>1173</v>
      </c>
      <c r="D2199" s="96" t="s">
        <v>1168</v>
      </c>
      <c r="E2199" s="97">
        <v>240</v>
      </c>
      <c r="F2199" s="67">
        <f>IFERROR(IFERROR(INDEX(Кат!$A:$A,MATCH(Прайс!$B2199,Кат!$G:$G,0)),INDEX(Торг!$B:$B,MATCH(Прайс!$B2199,Торг!$H:$H,0))),"")</f>
        <v>242756</v>
      </c>
      <c r="G2199" s="67">
        <f>IFERROR(IFERROR(INDEX(Кат!$B:$B,MATCH(Прайс!$B2199,Кат!$G:$G,0)),INDEX(Торг!$C:$C,MATCH(Прайс!$B2199,Торг!$H:$H,0))),"")</f>
        <v>192318</v>
      </c>
      <c r="H2199" s="67" t="str">
        <f>IFERROR(IFERROR(INDEX(Кат!$I:$I,MATCH(Прайс!$B2199,Кат!$G:$G,0)),INDEX(Торг!$I:$I,MATCH(Прайс!$B2199,Торг!$H:$H,0))),"")</f>
        <v>кристал авто</v>
      </c>
    </row>
    <row r="2200" spans="1:8" x14ac:dyDescent="0.25">
      <c r="A2200" s="94" t="s">
        <v>3705</v>
      </c>
      <c r="B2200" s="98">
        <v>70912</v>
      </c>
      <c r="C2200" s="98" t="s">
        <v>1174</v>
      </c>
      <c r="D2200" s="96" t="s">
        <v>5910</v>
      </c>
      <c r="E2200" s="97">
        <v>240</v>
      </c>
      <c r="F2200" s="67">
        <f>IFERROR(IFERROR(INDEX(Кат!$A:$A,MATCH(Прайс!$B2200,Кат!$G:$G,0)),INDEX(Торг!$B:$B,MATCH(Прайс!$B2200,Торг!$H:$H,0))),"")</f>
        <v>242757</v>
      </c>
      <c r="G2200" s="67">
        <f>IFERROR(IFERROR(INDEX(Кат!$B:$B,MATCH(Прайс!$B2200,Кат!$G:$G,0)),INDEX(Торг!$C:$C,MATCH(Прайс!$B2200,Торг!$H:$H,0))),"")</f>
        <v>192330</v>
      </c>
      <c r="H2200" s="67" t="str">
        <f>IFERROR(IFERROR(INDEX(Кат!$I:$I,MATCH(Прайс!$B2200,Кат!$G:$G,0)),INDEX(Торг!$I:$I,MATCH(Прайс!$B2200,Торг!$H:$H,0))),"")</f>
        <v>кристал авто</v>
      </c>
    </row>
    <row r="2201" spans="1:8" x14ac:dyDescent="0.25">
      <c r="A2201" s="94" t="s">
        <v>3706</v>
      </c>
      <c r="B2201" s="98">
        <v>70908</v>
      </c>
      <c r="C2201" s="98" t="s">
        <v>1175</v>
      </c>
      <c r="D2201" s="96" t="s">
        <v>5910</v>
      </c>
      <c r="E2201" s="97">
        <v>240</v>
      </c>
      <c r="F2201" s="67">
        <f>IFERROR(IFERROR(INDEX(Кат!$A:$A,MATCH(Прайс!$B2201,Кат!$G:$G,0)),INDEX(Торг!$B:$B,MATCH(Прайс!$B2201,Торг!$H:$H,0))),"")</f>
        <v>242758</v>
      </c>
      <c r="G2201" s="67">
        <f>IFERROR(IFERROR(INDEX(Кат!$B:$B,MATCH(Прайс!$B2201,Кат!$G:$G,0)),INDEX(Торг!$C:$C,MATCH(Прайс!$B2201,Торг!$H:$H,0))),"")</f>
        <v>192327</v>
      </c>
      <c r="H2201" s="67" t="str">
        <f>IFERROR(IFERROR(INDEX(Кат!$I:$I,MATCH(Прайс!$B2201,Кат!$G:$G,0)),INDEX(Торг!$I:$I,MATCH(Прайс!$B2201,Торг!$H:$H,0))),"")</f>
        <v>кристал авто</v>
      </c>
    </row>
    <row r="2202" spans="1:8" x14ac:dyDescent="0.25">
      <c r="A2202" s="94" t="s">
        <v>8423</v>
      </c>
      <c r="B2202" s="98">
        <v>70910</v>
      </c>
      <c r="C2202" s="98" t="s">
        <v>8424</v>
      </c>
      <c r="D2202" s="96" t="s">
        <v>5910</v>
      </c>
      <c r="E2202" s="97">
        <v>240</v>
      </c>
      <c r="F2202" s="67">
        <f>IFERROR(IFERROR(INDEX(Кат!$A:$A,MATCH(Прайс!$B2202,Кат!$G:$G,0)),INDEX(Торг!$B:$B,MATCH(Прайс!$B2202,Торг!$H:$H,0))),"")</f>
        <v>242759</v>
      </c>
      <c r="G2202" s="67">
        <f>IFERROR(IFERROR(INDEX(Кат!$B:$B,MATCH(Прайс!$B2202,Кат!$G:$G,0)),INDEX(Торг!$C:$C,MATCH(Прайс!$B2202,Торг!$H:$H,0))),"")</f>
        <v>192329</v>
      </c>
      <c r="H2202" s="67" t="str">
        <f>IFERROR(IFERROR(INDEX(Кат!$I:$I,MATCH(Прайс!$B2202,Кат!$G:$G,0)),INDEX(Торг!$I:$I,MATCH(Прайс!$B2202,Торг!$H:$H,0))),"")</f>
        <v>кристал авто</v>
      </c>
    </row>
    <row r="2203" spans="1:8" x14ac:dyDescent="0.25">
      <c r="A2203" s="94" t="s">
        <v>5922</v>
      </c>
      <c r="B2203" s="98">
        <v>72529</v>
      </c>
      <c r="C2203" s="98" t="s">
        <v>5923</v>
      </c>
      <c r="D2203" s="96" t="s">
        <v>1168</v>
      </c>
      <c r="E2203" s="97">
        <v>240</v>
      </c>
      <c r="F2203" s="67">
        <f>IFERROR(IFERROR(INDEX(Кат!$A:$A,MATCH(Прайс!$B2203,Кат!$G:$G,0)),INDEX(Торг!$B:$B,MATCH(Прайс!$B2203,Торг!$H:$H,0))),"")</f>
        <v>242760</v>
      </c>
      <c r="G2203" s="67">
        <f>IFERROR(IFERROR(INDEX(Кат!$B:$B,MATCH(Прайс!$B2203,Кат!$G:$G,0)),INDEX(Торг!$C:$C,MATCH(Прайс!$B2203,Торг!$H:$H,0))),"")</f>
        <v>192338</v>
      </c>
      <c r="H2203" s="67" t="str">
        <f>IFERROR(IFERROR(INDEX(Кат!$I:$I,MATCH(Прайс!$B2203,Кат!$G:$G,0)),INDEX(Торг!$I:$I,MATCH(Прайс!$B2203,Торг!$H:$H,0))),"")</f>
        <v>кристал авто</v>
      </c>
    </row>
    <row r="2204" spans="1:8" x14ac:dyDescent="0.25">
      <c r="A2204" s="94" t="s">
        <v>3707</v>
      </c>
      <c r="B2204" s="98">
        <v>70913</v>
      </c>
      <c r="C2204" s="98" t="s">
        <v>1176</v>
      </c>
      <c r="D2204" s="96" t="s">
        <v>1168</v>
      </c>
      <c r="E2204" s="97">
        <v>240</v>
      </c>
      <c r="F2204" s="67">
        <f>IFERROR(IFERROR(INDEX(Кат!$A:$A,MATCH(Прайс!$B2204,Кат!$G:$G,0)),INDEX(Торг!$B:$B,MATCH(Прайс!$B2204,Торг!$H:$H,0))),"")</f>
        <v>242763</v>
      </c>
      <c r="G2204" s="67">
        <f>IFERROR(IFERROR(INDEX(Кат!$B:$B,MATCH(Прайс!$B2204,Кат!$G:$G,0)),INDEX(Торг!$C:$C,MATCH(Прайс!$B2204,Торг!$H:$H,0))),"")</f>
        <v>192331</v>
      </c>
      <c r="H2204" s="67" t="str">
        <f>IFERROR(IFERROR(INDEX(Кат!$I:$I,MATCH(Прайс!$B2204,Кат!$G:$G,0)),INDEX(Торг!$I:$I,MATCH(Прайс!$B2204,Торг!$H:$H,0))),"")</f>
        <v>кристал авто</v>
      </c>
    </row>
    <row r="2205" spans="1:8" x14ac:dyDescent="0.25">
      <c r="A2205" s="94" t="s">
        <v>5924</v>
      </c>
      <c r="B2205" s="98">
        <v>70914</v>
      </c>
      <c r="C2205" s="98" t="s">
        <v>5925</v>
      </c>
      <c r="D2205" s="96" t="s">
        <v>1168</v>
      </c>
      <c r="E2205" s="97">
        <v>240</v>
      </c>
      <c r="F2205" s="67">
        <f>IFERROR(IFERROR(INDEX(Кат!$A:$A,MATCH(Прайс!$B2205,Кат!$G:$G,0)),INDEX(Торг!$B:$B,MATCH(Прайс!$B2205,Торг!$H:$H,0))),"")</f>
        <v>242764</v>
      </c>
      <c r="G2205" s="67">
        <f>IFERROR(IFERROR(INDEX(Кат!$B:$B,MATCH(Прайс!$B2205,Кат!$G:$G,0)),INDEX(Торг!$C:$C,MATCH(Прайс!$B2205,Торг!$H:$H,0))),"")</f>
        <v>192332</v>
      </c>
      <c r="H2205" s="67" t="str">
        <f>IFERROR(IFERROR(INDEX(Кат!$I:$I,MATCH(Прайс!$B2205,Кат!$G:$G,0)),INDEX(Торг!$I:$I,MATCH(Прайс!$B2205,Торг!$H:$H,0))),"")</f>
        <v>кристал авто</v>
      </c>
    </row>
    <row r="2206" spans="1:8" x14ac:dyDescent="0.25">
      <c r="A2206" s="94" t="s">
        <v>5926</v>
      </c>
      <c r="B2206" s="98">
        <v>70898</v>
      </c>
      <c r="C2206" s="98" t="s">
        <v>5927</v>
      </c>
      <c r="D2206" s="96" t="s">
        <v>5910</v>
      </c>
      <c r="E2206" s="97">
        <v>240</v>
      </c>
      <c r="F2206" s="67">
        <f>IFERROR(IFERROR(INDEX(Кат!$A:$A,MATCH(Прайс!$B2206,Кат!$G:$G,0)),INDEX(Торг!$B:$B,MATCH(Прайс!$B2206,Торг!$H:$H,0))),"")</f>
        <v>242765</v>
      </c>
      <c r="G2206" s="67">
        <f>IFERROR(IFERROR(INDEX(Кат!$B:$B,MATCH(Прайс!$B2206,Кат!$G:$G,0)),INDEX(Торг!$C:$C,MATCH(Прайс!$B2206,Торг!$H:$H,0))),"")</f>
        <v>192319</v>
      </c>
      <c r="H2206" s="67" t="str">
        <f>IFERROR(IFERROR(INDEX(Кат!$I:$I,MATCH(Прайс!$B2206,Кат!$G:$G,0)),INDEX(Торг!$I:$I,MATCH(Прайс!$B2206,Торг!$H:$H,0))),"")</f>
        <v>кристал авто</v>
      </c>
    </row>
    <row r="2207" spans="1:8" x14ac:dyDescent="0.25">
      <c r="A2207" s="94" t="s">
        <v>3708</v>
      </c>
      <c r="B2207" s="98">
        <v>70907</v>
      </c>
      <c r="C2207" s="98" t="s">
        <v>1177</v>
      </c>
      <c r="D2207" s="96" t="s">
        <v>1168</v>
      </c>
      <c r="E2207" s="97">
        <v>240</v>
      </c>
      <c r="F2207" s="67">
        <f>IFERROR(IFERROR(INDEX(Кат!$A:$A,MATCH(Прайс!$B2207,Кат!$G:$G,0)),INDEX(Торг!$B:$B,MATCH(Прайс!$B2207,Торг!$H:$H,0))),"")</f>
        <v>242766</v>
      </c>
      <c r="G2207" s="67">
        <f>IFERROR(IFERROR(INDEX(Кат!$B:$B,MATCH(Прайс!$B2207,Кат!$G:$G,0)),INDEX(Торг!$C:$C,MATCH(Прайс!$B2207,Торг!$H:$H,0))),"")</f>
        <v>192326</v>
      </c>
      <c r="H2207" s="67" t="str">
        <f>IFERROR(IFERROR(INDEX(Кат!$I:$I,MATCH(Прайс!$B2207,Кат!$G:$G,0)),INDEX(Торг!$I:$I,MATCH(Прайс!$B2207,Торг!$H:$H,0))),"")</f>
        <v>кристал авто</v>
      </c>
    </row>
    <row r="2208" spans="1:8" x14ac:dyDescent="0.25">
      <c r="A2208" s="94" t="s">
        <v>5928</v>
      </c>
      <c r="B2208" s="98">
        <v>72526</v>
      </c>
      <c r="C2208" s="98" t="s">
        <v>5929</v>
      </c>
      <c r="D2208" s="96" t="s">
        <v>1168</v>
      </c>
      <c r="E2208" s="97">
        <v>240</v>
      </c>
      <c r="F2208" s="67">
        <f>IFERROR(IFERROR(INDEX(Кат!$A:$A,MATCH(Прайс!$B2208,Кат!$G:$G,0)),INDEX(Торг!$B:$B,MATCH(Прайс!$B2208,Торг!$H:$H,0))),"")</f>
        <v>242767</v>
      </c>
      <c r="G2208" s="67">
        <f>IFERROR(IFERROR(INDEX(Кат!$B:$B,MATCH(Прайс!$B2208,Кат!$G:$G,0)),INDEX(Торг!$C:$C,MATCH(Прайс!$B2208,Торг!$H:$H,0))),"")</f>
        <v>192335</v>
      </c>
      <c r="H2208" s="67" t="str">
        <f>IFERROR(IFERROR(INDEX(Кат!$I:$I,MATCH(Прайс!$B2208,Кат!$G:$G,0)),INDEX(Торг!$I:$I,MATCH(Прайс!$B2208,Торг!$H:$H,0))),"")</f>
        <v>кристал авто</v>
      </c>
    </row>
    <row r="2209" spans="1:8" x14ac:dyDescent="0.25">
      <c r="A2209" s="94" t="s">
        <v>6361</v>
      </c>
      <c r="B2209" s="98">
        <v>70918</v>
      </c>
      <c r="C2209" s="98" t="s">
        <v>6362</v>
      </c>
      <c r="D2209" s="96" t="s">
        <v>1168</v>
      </c>
      <c r="E2209" s="97">
        <v>290</v>
      </c>
      <c r="F2209" s="67" t="str">
        <f>IFERROR(IFERROR(INDEX(Кат!$A:$A,MATCH(Прайс!$B2209,Кат!$G:$G,0)),INDEX(Торг!$B:$B,MATCH(Прайс!$B2209,Торг!$H:$H,0))),"")</f>
        <v/>
      </c>
      <c r="G2209" s="67" t="str">
        <f>IFERROR(IFERROR(INDEX(Кат!$B:$B,MATCH(Прайс!$B2209,Кат!$G:$G,0)),INDEX(Торг!$C:$C,MATCH(Прайс!$B2209,Торг!$H:$H,0))),"")</f>
        <v/>
      </c>
      <c r="H2209" s="67" t="str">
        <f>IFERROR(IFERROR(INDEX(Кат!$I:$I,MATCH(Прайс!$B2209,Кат!$G:$G,0)),INDEX(Торг!$I:$I,MATCH(Прайс!$B2209,Торг!$H:$H,0))),"")</f>
        <v/>
      </c>
    </row>
    <row r="2210" spans="1:8" x14ac:dyDescent="0.25">
      <c r="A2210" s="94" t="s">
        <v>3709</v>
      </c>
      <c r="B2210" s="98">
        <v>70925</v>
      </c>
      <c r="C2210" s="98" t="s">
        <v>1178</v>
      </c>
      <c r="D2210" s="96" t="s">
        <v>1168</v>
      </c>
      <c r="E2210" s="97">
        <v>290</v>
      </c>
      <c r="F2210" s="67" t="str">
        <f>IFERROR(IFERROR(INDEX(Кат!$A:$A,MATCH(Прайс!$B2210,Кат!$G:$G,0)),INDEX(Торг!$B:$B,MATCH(Прайс!$B2210,Торг!$H:$H,0))),"")</f>
        <v/>
      </c>
      <c r="G2210" s="67" t="str">
        <f>IFERROR(IFERROR(INDEX(Кат!$B:$B,MATCH(Прайс!$B2210,Кат!$G:$G,0)),INDEX(Торг!$C:$C,MATCH(Прайс!$B2210,Торг!$H:$H,0))),"")</f>
        <v/>
      </c>
      <c r="H2210" s="67" t="str">
        <f>IFERROR(IFERROR(INDEX(Кат!$I:$I,MATCH(Прайс!$B2210,Кат!$G:$G,0)),INDEX(Торг!$I:$I,MATCH(Прайс!$B2210,Торг!$H:$H,0))),"")</f>
        <v/>
      </c>
    </row>
    <row r="2211" spans="1:8" x14ac:dyDescent="0.25">
      <c r="A2211" s="94" t="s">
        <v>6363</v>
      </c>
      <c r="B2211" s="98">
        <v>70921</v>
      </c>
      <c r="C2211" s="98" t="s">
        <v>6364</v>
      </c>
      <c r="D2211" s="96" t="s">
        <v>1168</v>
      </c>
      <c r="E2211" s="97">
        <v>290</v>
      </c>
      <c r="F2211" s="67" t="str">
        <f>IFERROR(IFERROR(INDEX(Кат!$A:$A,MATCH(Прайс!$B2211,Кат!$G:$G,0)),INDEX(Торг!$B:$B,MATCH(Прайс!$B2211,Торг!$H:$H,0))),"")</f>
        <v/>
      </c>
      <c r="G2211" s="67" t="str">
        <f>IFERROR(IFERROR(INDEX(Кат!$B:$B,MATCH(Прайс!$B2211,Кат!$G:$G,0)),INDEX(Торг!$C:$C,MATCH(Прайс!$B2211,Торг!$H:$H,0))),"")</f>
        <v/>
      </c>
      <c r="H2211" s="67" t="str">
        <f>IFERROR(IFERROR(INDEX(Кат!$I:$I,MATCH(Прайс!$B2211,Кат!$G:$G,0)),INDEX(Торг!$I:$I,MATCH(Прайс!$B2211,Торг!$H:$H,0))),"")</f>
        <v/>
      </c>
    </row>
    <row r="2212" spans="1:8" x14ac:dyDescent="0.25">
      <c r="A2212" s="94" t="s">
        <v>6975</v>
      </c>
      <c r="B2212" s="98">
        <v>70915</v>
      </c>
      <c r="C2212" s="98" t="s">
        <v>6976</v>
      </c>
      <c r="D2212" s="96" t="s">
        <v>1168</v>
      </c>
      <c r="E2212" s="97">
        <v>290</v>
      </c>
      <c r="F2212" s="67" t="str">
        <f>IFERROR(IFERROR(INDEX(Кат!$A:$A,MATCH(Прайс!$B2212,Кат!$G:$G,0)),INDEX(Торг!$B:$B,MATCH(Прайс!$B2212,Торг!$H:$H,0))),"")</f>
        <v/>
      </c>
      <c r="G2212" s="67" t="str">
        <f>IFERROR(IFERROR(INDEX(Кат!$B:$B,MATCH(Прайс!$B2212,Кат!$G:$G,0)),INDEX(Торг!$C:$C,MATCH(Прайс!$B2212,Торг!$H:$H,0))),"")</f>
        <v/>
      </c>
      <c r="H2212" s="67" t="str">
        <f>IFERROR(IFERROR(INDEX(Кат!$I:$I,MATCH(Прайс!$B2212,Кат!$G:$G,0)),INDEX(Торг!$I:$I,MATCH(Прайс!$B2212,Торг!$H:$H,0))),"")</f>
        <v/>
      </c>
    </row>
    <row r="2213" spans="1:8" x14ac:dyDescent="0.25">
      <c r="A2213" s="94" t="s">
        <v>8425</v>
      </c>
      <c r="B2213" s="98">
        <v>70922</v>
      </c>
      <c r="C2213" s="98" t="s">
        <v>8426</v>
      </c>
      <c r="D2213" s="96" t="s">
        <v>1168</v>
      </c>
      <c r="E2213" s="97">
        <v>290</v>
      </c>
      <c r="F2213" s="67" t="str">
        <f>IFERROR(IFERROR(INDEX(Кат!$A:$A,MATCH(Прайс!$B2213,Кат!$G:$G,0)),INDEX(Торг!$B:$B,MATCH(Прайс!$B2213,Торг!$H:$H,0))),"")</f>
        <v/>
      </c>
      <c r="G2213" s="67" t="str">
        <f>IFERROR(IFERROR(INDEX(Кат!$B:$B,MATCH(Прайс!$B2213,Кат!$G:$G,0)),INDEX(Торг!$C:$C,MATCH(Прайс!$B2213,Торг!$H:$H,0))),"")</f>
        <v/>
      </c>
      <c r="H2213" s="67" t="str">
        <f>IFERROR(IFERROR(INDEX(Кат!$I:$I,MATCH(Прайс!$B2213,Кат!$G:$G,0)),INDEX(Торг!$I:$I,MATCH(Прайс!$B2213,Торг!$H:$H,0))),"")</f>
        <v/>
      </c>
    </row>
    <row r="2214" spans="1:8" x14ac:dyDescent="0.25">
      <c r="A2214" s="94" t="s">
        <v>3710</v>
      </c>
      <c r="B2214" s="98">
        <v>70920</v>
      </c>
      <c r="C2214" s="98" t="s">
        <v>1179</v>
      </c>
      <c r="D2214" s="96" t="s">
        <v>1168</v>
      </c>
      <c r="E2214" s="97">
        <v>290</v>
      </c>
      <c r="F2214" s="67" t="str">
        <f>IFERROR(IFERROR(INDEX(Кат!$A:$A,MATCH(Прайс!$B2214,Кат!$G:$G,0)),INDEX(Торг!$B:$B,MATCH(Прайс!$B2214,Торг!$H:$H,0))),"")</f>
        <v/>
      </c>
      <c r="G2214" s="67" t="str">
        <f>IFERROR(IFERROR(INDEX(Кат!$B:$B,MATCH(Прайс!$B2214,Кат!$G:$G,0)),INDEX(Торг!$C:$C,MATCH(Прайс!$B2214,Торг!$H:$H,0))),"")</f>
        <v/>
      </c>
      <c r="H2214" s="67" t="str">
        <f>IFERROR(IFERROR(INDEX(Кат!$I:$I,MATCH(Прайс!$B2214,Кат!$G:$G,0)),INDEX(Торг!$I:$I,MATCH(Прайс!$B2214,Торг!$H:$H,0))),"")</f>
        <v/>
      </c>
    </row>
    <row r="2215" spans="1:8" x14ac:dyDescent="0.25">
      <c r="A2215" s="94" t="s">
        <v>6977</v>
      </c>
      <c r="B2215" s="98">
        <v>70924</v>
      </c>
      <c r="C2215" s="98" t="s">
        <v>6978</v>
      </c>
      <c r="D2215" s="96" t="s">
        <v>1168</v>
      </c>
      <c r="E2215" s="97">
        <v>290</v>
      </c>
      <c r="F2215" s="67" t="str">
        <f>IFERROR(IFERROR(INDEX(Кат!$A:$A,MATCH(Прайс!$B2215,Кат!$G:$G,0)),INDEX(Торг!$B:$B,MATCH(Прайс!$B2215,Торг!$H:$H,0))),"")</f>
        <v/>
      </c>
      <c r="G2215" s="67" t="str">
        <f>IFERROR(IFERROR(INDEX(Кат!$B:$B,MATCH(Прайс!$B2215,Кат!$G:$G,0)),INDEX(Торг!$C:$C,MATCH(Прайс!$B2215,Торг!$H:$H,0))),"")</f>
        <v/>
      </c>
      <c r="H2215" s="67" t="str">
        <f>IFERROR(IFERROR(INDEX(Кат!$I:$I,MATCH(Прайс!$B2215,Кат!$G:$G,0)),INDEX(Торг!$I:$I,MATCH(Прайс!$B2215,Торг!$H:$H,0))),"")</f>
        <v/>
      </c>
    </row>
    <row r="2216" spans="1:8" x14ac:dyDescent="0.25">
      <c r="A2216" s="94" t="s">
        <v>3711</v>
      </c>
      <c r="B2216" s="98">
        <v>70919</v>
      </c>
      <c r="C2216" s="98" t="s">
        <v>1180</v>
      </c>
      <c r="D2216" s="96" t="s">
        <v>1168</v>
      </c>
      <c r="E2216" s="97">
        <v>290</v>
      </c>
      <c r="F2216" s="67" t="str">
        <f>IFERROR(IFERROR(INDEX(Кат!$A:$A,MATCH(Прайс!$B2216,Кат!$G:$G,0)),INDEX(Торг!$B:$B,MATCH(Прайс!$B2216,Торг!$H:$H,0))),"")</f>
        <v/>
      </c>
      <c r="G2216" s="67" t="str">
        <f>IFERROR(IFERROR(INDEX(Кат!$B:$B,MATCH(Прайс!$B2216,Кат!$G:$G,0)),INDEX(Торг!$C:$C,MATCH(Прайс!$B2216,Торг!$H:$H,0))),"")</f>
        <v/>
      </c>
      <c r="H2216" s="67" t="str">
        <f>IFERROR(IFERROR(INDEX(Кат!$I:$I,MATCH(Прайс!$B2216,Кат!$G:$G,0)),INDEX(Торг!$I:$I,MATCH(Прайс!$B2216,Торг!$H:$H,0))),"")</f>
        <v/>
      </c>
    </row>
    <row r="2217" spans="1:8" x14ac:dyDescent="0.25">
      <c r="A2217" s="94" t="s">
        <v>3712</v>
      </c>
      <c r="B2217" s="98">
        <v>70917</v>
      </c>
      <c r="C2217" s="98" t="s">
        <v>1181</v>
      </c>
      <c r="D2217" s="96" t="s">
        <v>1168</v>
      </c>
      <c r="E2217" s="97">
        <v>290</v>
      </c>
      <c r="F2217" s="67" t="str">
        <f>IFERROR(IFERROR(INDEX(Кат!$A:$A,MATCH(Прайс!$B2217,Кат!$G:$G,0)),INDEX(Торг!$B:$B,MATCH(Прайс!$B2217,Торг!$H:$H,0))),"")</f>
        <v/>
      </c>
      <c r="G2217" s="67" t="str">
        <f>IFERROR(IFERROR(INDEX(Кат!$B:$B,MATCH(Прайс!$B2217,Кат!$G:$G,0)),INDEX(Торг!$C:$C,MATCH(Прайс!$B2217,Торг!$H:$H,0))),"")</f>
        <v/>
      </c>
      <c r="H2217" s="67" t="str">
        <f>IFERROR(IFERROR(INDEX(Кат!$I:$I,MATCH(Прайс!$B2217,Кат!$G:$G,0)),INDEX(Торг!$I:$I,MATCH(Прайс!$B2217,Торг!$H:$H,0))),"")</f>
        <v/>
      </c>
    </row>
    <row r="2218" spans="1:8" x14ac:dyDescent="0.25">
      <c r="A2218" s="94" t="s">
        <v>3713</v>
      </c>
      <c r="B2218" s="98">
        <v>70892</v>
      </c>
      <c r="C2218" s="98" t="s">
        <v>1182</v>
      </c>
      <c r="D2218" s="96" t="s">
        <v>1168</v>
      </c>
      <c r="E2218" s="97">
        <v>290</v>
      </c>
      <c r="F2218" s="67" t="str">
        <f>IFERROR(IFERROR(INDEX(Кат!$A:$A,MATCH(Прайс!$B2218,Кат!$G:$G,0)),INDEX(Торг!$B:$B,MATCH(Прайс!$B2218,Торг!$H:$H,0))),"")</f>
        <v/>
      </c>
      <c r="G2218" s="67" t="str">
        <f>IFERROR(IFERROR(INDEX(Кат!$B:$B,MATCH(Прайс!$B2218,Кат!$G:$G,0)),INDEX(Торг!$C:$C,MATCH(Прайс!$B2218,Торг!$H:$H,0))),"")</f>
        <v/>
      </c>
      <c r="H2218" s="67" t="str">
        <f>IFERROR(IFERROR(INDEX(Кат!$I:$I,MATCH(Прайс!$B2218,Кат!$G:$G,0)),INDEX(Торг!$I:$I,MATCH(Прайс!$B2218,Торг!$H:$H,0))),"")</f>
        <v/>
      </c>
    </row>
    <row r="2219" spans="1:8" x14ac:dyDescent="0.25">
      <c r="A2219" s="94" t="s">
        <v>3714</v>
      </c>
      <c r="B2219" s="98">
        <v>70882</v>
      </c>
      <c r="C2219" s="98" t="s">
        <v>1183</v>
      </c>
      <c r="D2219" s="96" t="s">
        <v>1168</v>
      </c>
      <c r="E2219" s="97">
        <v>290</v>
      </c>
      <c r="F2219" s="67" t="str">
        <f>IFERROR(IFERROR(INDEX(Кат!$A:$A,MATCH(Прайс!$B2219,Кат!$G:$G,0)),INDEX(Торг!$B:$B,MATCH(Прайс!$B2219,Торг!$H:$H,0))),"")</f>
        <v/>
      </c>
      <c r="G2219" s="67" t="str">
        <f>IFERROR(IFERROR(INDEX(Кат!$B:$B,MATCH(Прайс!$B2219,Кат!$G:$G,0)),INDEX(Торг!$C:$C,MATCH(Прайс!$B2219,Торг!$H:$H,0))),"")</f>
        <v/>
      </c>
      <c r="H2219" s="67" t="str">
        <f>IFERROR(IFERROR(INDEX(Кат!$I:$I,MATCH(Прайс!$B2219,Кат!$G:$G,0)),INDEX(Торг!$I:$I,MATCH(Прайс!$B2219,Торг!$H:$H,0))),"")</f>
        <v/>
      </c>
    </row>
    <row r="2220" spans="1:8" x14ac:dyDescent="0.25">
      <c r="A2220" s="94" t="s">
        <v>6365</v>
      </c>
      <c r="B2220" s="98">
        <v>70883</v>
      </c>
      <c r="C2220" s="98" t="s">
        <v>6366</v>
      </c>
      <c r="D2220" s="96" t="s">
        <v>1168</v>
      </c>
      <c r="E2220" s="97">
        <v>290</v>
      </c>
      <c r="F2220" s="67" t="str">
        <f>IFERROR(IFERROR(INDEX(Кат!$A:$A,MATCH(Прайс!$B2220,Кат!$G:$G,0)),INDEX(Торг!$B:$B,MATCH(Прайс!$B2220,Торг!$H:$H,0))),"")</f>
        <v/>
      </c>
      <c r="G2220" s="67" t="str">
        <f>IFERROR(IFERROR(INDEX(Кат!$B:$B,MATCH(Прайс!$B2220,Кат!$G:$G,0)),INDEX(Торг!$C:$C,MATCH(Прайс!$B2220,Торг!$H:$H,0))),"")</f>
        <v/>
      </c>
      <c r="H2220" s="67" t="str">
        <f>IFERROR(IFERROR(INDEX(Кат!$I:$I,MATCH(Прайс!$B2220,Кат!$G:$G,0)),INDEX(Торг!$I:$I,MATCH(Прайс!$B2220,Торг!$H:$H,0))),"")</f>
        <v/>
      </c>
    </row>
    <row r="2221" spans="1:8" x14ac:dyDescent="0.25">
      <c r="A2221" s="94" t="s">
        <v>5930</v>
      </c>
      <c r="B2221" s="98">
        <v>72523</v>
      </c>
      <c r="C2221" s="98" t="s">
        <v>5931</v>
      </c>
      <c r="D2221" s="96" t="s">
        <v>271</v>
      </c>
      <c r="E2221" s="97">
        <v>290</v>
      </c>
      <c r="F2221" s="67" t="str">
        <f>IFERROR(IFERROR(INDEX(Кат!$A:$A,MATCH(Прайс!$B2221,Кат!$G:$G,0)),INDEX(Торг!$B:$B,MATCH(Прайс!$B2221,Торг!$H:$H,0))),"")</f>
        <v/>
      </c>
      <c r="G2221" s="67" t="str">
        <f>IFERROR(IFERROR(INDEX(Кат!$B:$B,MATCH(Прайс!$B2221,Кат!$G:$G,0)),INDEX(Торг!$C:$C,MATCH(Прайс!$B2221,Торг!$H:$H,0))),"")</f>
        <v/>
      </c>
      <c r="H2221" s="67" t="str">
        <f>IFERROR(IFERROR(INDEX(Кат!$I:$I,MATCH(Прайс!$B2221,Кат!$G:$G,0)),INDEX(Торг!$I:$I,MATCH(Прайс!$B2221,Торг!$H:$H,0))),"")</f>
        <v/>
      </c>
    </row>
    <row r="2222" spans="1:8" x14ac:dyDescent="0.25">
      <c r="A2222" s="94" t="s">
        <v>3715</v>
      </c>
      <c r="B2222" s="98">
        <v>70886</v>
      </c>
      <c r="C2222" s="98" t="s">
        <v>1184</v>
      </c>
      <c r="D2222" s="96" t="s">
        <v>1168</v>
      </c>
      <c r="E2222" s="97">
        <v>290</v>
      </c>
      <c r="F2222" s="67" t="str">
        <f>IFERROR(IFERROR(INDEX(Кат!$A:$A,MATCH(Прайс!$B2222,Кат!$G:$G,0)),INDEX(Торг!$B:$B,MATCH(Прайс!$B2222,Торг!$H:$H,0))),"")</f>
        <v/>
      </c>
      <c r="G2222" s="67" t="str">
        <f>IFERROR(IFERROR(INDEX(Кат!$B:$B,MATCH(Прайс!$B2222,Кат!$G:$G,0)),INDEX(Торг!$C:$C,MATCH(Прайс!$B2222,Торг!$H:$H,0))),"")</f>
        <v/>
      </c>
      <c r="H2222" s="67" t="str">
        <f>IFERROR(IFERROR(INDEX(Кат!$I:$I,MATCH(Прайс!$B2222,Кат!$G:$G,0)),INDEX(Торг!$I:$I,MATCH(Прайс!$B2222,Торг!$H:$H,0))),"")</f>
        <v/>
      </c>
    </row>
    <row r="2223" spans="1:8" x14ac:dyDescent="0.25">
      <c r="A2223" s="94" t="s">
        <v>3716</v>
      </c>
      <c r="B2223" s="98">
        <v>70888</v>
      </c>
      <c r="C2223" s="98" t="s">
        <v>1185</v>
      </c>
      <c r="D2223" s="96" t="s">
        <v>1168</v>
      </c>
      <c r="E2223" s="97">
        <v>290</v>
      </c>
      <c r="F2223" s="67" t="str">
        <f>IFERROR(IFERROR(INDEX(Кат!$A:$A,MATCH(Прайс!$B2223,Кат!$G:$G,0)),INDEX(Торг!$B:$B,MATCH(Прайс!$B2223,Торг!$H:$H,0))),"")</f>
        <v/>
      </c>
      <c r="G2223" s="67" t="str">
        <f>IFERROR(IFERROR(INDEX(Кат!$B:$B,MATCH(Прайс!$B2223,Кат!$G:$G,0)),INDEX(Торг!$C:$C,MATCH(Прайс!$B2223,Торг!$H:$H,0))),"")</f>
        <v/>
      </c>
      <c r="H2223" s="67" t="str">
        <f>IFERROR(IFERROR(INDEX(Кат!$I:$I,MATCH(Прайс!$B2223,Кат!$G:$G,0)),INDEX(Торг!$I:$I,MATCH(Прайс!$B2223,Торг!$H:$H,0))),"")</f>
        <v/>
      </c>
    </row>
    <row r="2224" spans="1:8" x14ac:dyDescent="0.25">
      <c r="A2224" s="94" t="s">
        <v>8427</v>
      </c>
      <c r="B2224" s="98">
        <v>70889</v>
      </c>
      <c r="C2224" s="98" t="s">
        <v>8428</v>
      </c>
      <c r="D2224" s="96" t="s">
        <v>1168</v>
      </c>
      <c r="E2224" s="97">
        <v>290</v>
      </c>
      <c r="F2224" s="67" t="str">
        <f>IFERROR(IFERROR(INDEX(Кат!$A:$A,MATCH(Прайс!$B2224,Кат!$G:$G,0)),INDEX(Торг!$B:$B,MATCH(Прайс!$B2224,Торг!$H:$H,0))),"")</f>
        <v/>
      </c>
      <c r="G2224" s="67" t="str">
        <f>IFERROR(IFERROR(INDEX(Кат!$B:$B,MATCH(Прайс!$B2224,Кат!$G:$G,0)),INDEX(Торг!$C:$C,MATCH(Прайс!$B2224,Торг!$H:$H,0))),"")</f>
        <v/>
      </c>
      <c r="H2224" s="67" t="str">
        <f>IFERROR(IFERROR(INDEX(Кат!$I:$I,MATCH(Прайс!$B2224,Кат!$G:$G,0)),INDEX(Торг!$I:$I,MATCH(Прайс!$B2224,Торг!$H:$H,0))),"")</f>
        <v/>
      </c>
    </row>
    <row r="2225" spans="1:8" x14ac:dyDescent="0.25">
      <c r="A2225" s="94" t="s">
        <v>3717</v>
      </c>
      <c r="B2225" s="98">
        <v>70890</v>
      </c>
      <c r="C2225" s="98" t="s">
        <v>1186</v>
      </c>
      <c r="D2225" s="96" t="s">
        <v>1168</v>
      </c>
      <c r="E2225" s="97">
        <v>290</v>
      </c>
      <c r="F2225" s="67" t="str">
        <f>IFERROR(IFERROR(INDEX(Кат!$A:$A,MATCH(Прайс!$B2225,Кат!$G:$G,0)),INDEX(Торг!$B:$B,MATCH(Прайс!$B2225,Торг!$H:$H,0))),"")</f>
        <v/>
      </c>
      <c r="G2225" s="67" t="str">
        <f>IFERROR(IFERROR(INDEX(Кат!$B:$B,MATCH(Прайс!$B2225,Кат!$G:$G,0)),INDEX(Торг!$C:$C,MATCH(Прайс!$B2225,Торг!$H:$H,0))),"")</f>
        <v/>
      </c>
      <c r="H2225" s="67" t="str">
        <f>IFERROR(IFERROR(INDEX(Кат!$I:$I,MATCH(Прайс!$B2225,Кат!$G:$G,0)),INDEX(Торг!$I:$I,MATCH(Прайс!$B2225,Торг!$H:$H,0))),"")</f>
        <v/>
      </c>
    </row>
    <row r="2226" spans="1:8" x14ac:dyDescent="0.25">
      <c r="A2226" s="94" t="s">
        <v>3718</v>
      </c>
      <c r="B2226" s="98">
        <v>70891</v>
      </c>
      <c r="C2226" s="98" t="s">
        <v>1187</v>
      </c>
      <c r="D2226" s="96" t="s">
        <v>1168</v>
      </c>
      <c r="E2226" s="97">
        <v>290</v>
      </c>
      <c r="F2226" s="67" t="str">
        <f>IFERROR(IFERROR(INDEX(Кат!$A:$A,MATCH(Прайс!$B2226,Кат!$G:$G,0)),INDEX(Торг!$B:$B,MATCH(Прайс!$B2226,Торг!$H:$H,0))),"")</f>
        <v/>
      </c>
      <c r="G2226" s="67" t="str">
        <f>IFERROR(IFERROR(INDEX(Кат!$B:$B,MATCH(Прайс!$B2226,Кат!$G:$G,0)),INDEX(Торг!$C:$C,MATCH(Прайс!$B2226,Торг!$H:$H,0))),"")</f>
        <v/>
      </c>
      <c r="H2226" s="67" t="str">
        <f>IFERROR(IFERROR(INDEX(Кат!$I:$I,MATCH(Прайс!$B2226,Кат!$G:$G,0)),INDEX(Торг!$I:$I,MATCH(Прайс!$B2226,Торг!$H:$H,0))),"")</f>
        <v/>
      </c>
    </row>
    <row r="2227" spans="1:8" x14ac:dyDescent="0.25">
      <c r="A2227" s="94" t="s">
        <v>6367</v>
      </c>
      <c r="B2227" s="98">
        <v>70884</v>
      </c>
      <c r="C2227" s="98" t="s">
        <v>6368</v>
      </c>
      <c r="D2227" s="96" t="s">
        <v>1168</v>
      </c>
      <c r="E2227" s="97">
        <v>290</v>
      </c>
      <c r="F2227" s="67" t="str">
        <f>IFERROR(IFERROR(INDEX(Кат!$A:$A,MATCH(Прайс!$B2227,Кат!$G:$G,0)),INDEX(Торг!$B:$B,MATCH(Прайс!$B2227,Торг!$H:$H,0))),"")</f>
        <v/>
      </c>
      <c r="G2227" s="67" t="str">
        <f>IFERROR(IFERROR(INDEX(Кат!$B:$B,MATCH(Прайс!$B2227,Кат!$G:$G,0)),INDEX(Торг!$C:$C,MATCH(Прайс!$B2227,Торг!$H:$H,0))),"")</f>
        <v/>
      </c>
      <c r="H2227" s="67" t="str">
        <f>IFERROR(IFERROR(INDEX(Кат!$I:$I,MATCH(Прайс!$B2227,Кат!$G:$G,0)),INDEX(Торг!$I:$I,MATCH(Прайс!$B2227,Торг!$H:$H,0))),"")</f>
        <v/>
      </c>
    </row>
    <row r="2228" spans="1:8" x14ac:dyDescent="0.25">
      <c r="A2228" s="94" t="s">
        <v>6369</v>
      </c>
      <c r="B2228" s="98">
        <v>70881</v>
      </c>
      <c r="C2228" s="98" t="s">
        <v>6370</v>
      </c>
      <c r="D2228" s="96" t="s">
        <v>1168</v>
      </c>
      <c r="E2228" s="97">
        <v>290</v>
      </c>
      <c r="F2228" s="67" t="str">
        <f>IFERROR(IFERROR(INDEX(Кат!$A:$A,MATCH(Прайс!$B2228,Кат!$G:$G,0)),INDEX(Торг!$B:$B,MATCH(Прайс!$B2228,Торг!$H:$H,0))),"")</f>
        <v/>
      </c>
      <c r="G2228" s="67" t="str">
        <f>IFERROR(IFERROR(INDEX(Кат!$B:$B,MATCH(Прайс!$B2228,Кат!$G:$G,0)),INDEX(Торг!$C:$C,MATCH(Прайс!$B2228,Торг!$H:$H,0))),"")</f>
        <v/>
      </c>
      <c r="H2228" s="67" t="str">
        <f>IFERROR(IFERROR(INDEX(Кат!$I:$I,MATCH(Прайс!$B2228,Кат!$G:$G,0)),INDEX(Торг!$I:$I,MATCH(Прайс!$B2228,Торг!$H:$H,0))),"")</f>
        <v/>
      </c>
    </row>
    <row r="2229" spans="1:8" x14ac:dyDescent="0.25">
      <c r="A2229" s="94" t="s">
        <v>8429</v>
      </c>
      <c r="B2229" s="98">
        <v>72415</v>
      </c>
      <c r="C2229" s="98" t="s">
        <v>8430</v>
      </c>
      <c r="D2229" s="96" t="s">
        <v>271</v>
      </c>
      <c r="E2229" s="97">
        <v>290</v>
      </c>
      <c r="F2229" s="67" t="str">
        <f>IFERROR(IFERROR(INDEX(Кат!$A:$A,MATCH(Прайс!$B2229,Кат!$G:$G,0)),INDEX(Торг!$B:$B,MATCH(Прайс!$B2229,Торг!$H:$H,0))),"")</f>
        <v/>
      </c>
      <c r="G2229" s="67" t="str">
        <f>IFERROR(IFERROR(INDEX(Кат!$B:$B,MATCH(Прайс!$B2229,Кат!$G:$G,0)),INDEX(Торг!$C:$C,MATCH(Прайс!$B2229,Торг!$H:$H,0))),"")</f>
        <v/>
      </c>
      <c r="H2229" s="67" t="str">
        <f>IFERROR(IFERROR(INDEX(Кат!$I:$I,MATCH(Прайс!$B2229,Кат!$G:$G,0)),INDEX(Торг!$I:$I,MATCH(Прайс!$B2229,Торг!$H:$H,0))),"")</f>
        <v/>
      </c>
    </row>
    <row r="2230" spans="1:8" ht="15.75" x14ac:dyDescent="0.25">
      <c r="A2230" s="90"/>
      <c r="B2230" s="91"/>
      <c r="C2230" s="92" t="s">
        <v>1188</v>
      </c>
      <c r="D2230" s="91"/>
      <c r="E2230" s="93"/>
      <c r="F2230" s="67" t="str">
        <f>IFERROR(IFERROR(INDEX(Кат!$A:$A,MATCH(Прайс!$B2230,Кат!$G:$G,0)),INDEX(Торг!$B:$B,MATCH(Прайс!$B2230,Торг!$H:$H,0))),"")</f>
        <v/>
      </c>
      <c r="G2230" s="67" t="str">
        <f>IFERROR(IFERROR(INDEX(Кат!$B:$B,MATCH(Прайс!$B2230,Кат!$G:$G,0)),INDEX(Торг!$C:$C,MATCH(Прайс!$B2230,Торг!$H:$H,0))),"")</f>
        <v/>
      </c>
      <c r="H2230" s="67" t="str">
        <f>IFERROR(IFERROR(INDEX(Кат!$I:$I,MATCH(Прайс!$B2230,Кат!$G:$G,0)),INDEX(Торг!$I:$I,MATCH(Прайс!$B2230,Торг!$H:$H,0))),"")</f>
        <v/>
      </c>
    </row>
    <row r="2231" spans="1:8" x14ac:dyDescent="0.25">
      <c r="A2231" s="103" t="s">
        <v>5932</v>
      </c>
      <c r="B2231" s="104">
        <v>70321</v>
      </c>
      <c r="C2231" s="104" t="s">
        <v>5933</v>
      </c>
      <c r="D2231" s="105" t="s">
        <v>165</v>
      </c>
      <c r="E2231" s="113">
        <v>440</v>
      </c>
      <c r="F2231" s="67" t="str">
        <f>IFERROR(IFERROR(INDEX(Кат!$A:$A,MATCH(Прайс!$B2231,Кат!$G:$G,0)),INDEX(Торг!$B:$B,MATCH(Прайс!$B2231,Торг!$H:$H,0))),"")</f>
        <v/>
      </c>
      <c r="G2231" s="67" t="str">
        <f>IFERROR(IFERROR(INDEX(Кат!$B:$B,MATCH(Прайс!$B2231,Кат!$G:$G,0)),INDEX(Торг!$C:$C,MATCH(Прайс!$B2231,Торг!$H:$H,0))),"")</f>
        <v/>
      </c>
      <c r="H2231" s="67" t="str">
        <f>IFERROR(IFERROR(INDEX(Кат!$I:$I,MATCH(Прайс!$B2231,Кат!$G:$G,0)),INDEX(Торг!$I:$I,MATCH(Прайс!$B2231,Торг!$H:$H,0))),"")</f>
        <v/>
      </c>
    </row>
    <row r="2232" spans="1:8" x14ac:dyDescent="0.25">
      <c r="A2232" s="103" t="s">
        <v>3719</v>
      </c>
      <c r="B2232" s="104">
        <v>70341</v>
      </c>
      <c r="C2232" s="104" t="s">
        <v>1189</v>
      </c>
      <c r="D2232" s="105" t="s">
        <v>165</v>
      </c>
      <c r="E2232" s="113">
        <v>440</v>
      </c>
      <c r="F2232" s="67" t="str">
        <f>IFERROR(IFERROR(INDEX(Кат!$A:$A,MATCH(Прайс!$B2232,Кат!$G:$G,0)),INDEX(Торг!$B:$B,MATCH(Прайс!$B2232,Торг!$H:$H,0))),"")</f>
        <v/>
      </c>
      <c r="G2232" s="67" t="str">
        <f>IFERROR(IFERROR(INDEX(Кат!$B:$B,MATCH(Прайс!$B2232,Кат!$G:$G,0)),INDEX(Торг!$C:$C,MATCH(Прайс!$B2232,Торг!$H:$H,0))),"")</f>
        <v/>
      </c>
      <c r="H2232" s="67" t="str">
        <f>IFERROR(IFERROR(INDEX(Кат!$I:$I,MATCH(Прайс!$B2232,Кат!$G:$G,0)),INDEX(Торг!$I:$I,MATCH(Прайс!$B2232,Торг!$H:$H,0))),"")</f>
        <v/>
      </c>
    </row>
    <row r="2233" spans="1:8" x14ac:dyDescent="0.25">
      <c r="A2233" s="103" t="s">
        <v>3720</v>
      </c>
      <c r="B2233" s="104">
        <v>70331</v>
      </c>
      <c r="C2233" s="104" t="s">
        <v>1190</v>
      </c>
      <c r="D2233" s="105" t="s">
        <v>165</v>
      </c>
      <c r="E2233" s="113">
        <v>440</v>
      </c>
      <c r="F2233" s="67">
        <f>IFERROR(IFERROR(INDEX(Кат!$A:$A,MATCH(Прайс!$B2233,Кат!$G:$G,0)),INDEX(Торг!$B:$B,MATCH(Прайс!$B2233,Торг!$H:$H,0))),"")</f>
        <v>133057</v>
      </c>
      <c r="G2233" s="67">
        <f>IFERROR(IFERROR(INDEX(Кат!$B:$B,MATCH(Прайс!$B2233,Кат!$G:$G,0)),INDEX(Торг!$C:$C,MATCH(Прайс!$B2233,Торг!$H:$H,0))),"")</f>
        <v>6281</v>
      </c>
      <c r="H2233" s="67" t="str">
        <f>IFERROR(IFERROR(INDEX(Кат!$I:$I,MATCH(Прайс!$B2233,Кат!$G:$G,0)),INDEX(Торг!$I:$I,MATCH(Прайс!$B2233,Торг!$H:$H,0))),"")</f>
        <v>кристал авто</v>
      </c>
    </row>
    <row r="2234" spans="1:8" x14ac:dyDescent="0.25">
      <c r="A2234" s="103" t="s">
        <v>3721</v>
      </c>
      <c r="B2234" s="104">
        <v>70323</v>
      </c>
      <c r="C2234" s="104" t="s">
        <v>1191</v>
      </c>
      <c r="D2234" s="105" t="s">
        <v>165</v>
      </c>
      <c r="E2234" s="113">
        <v>440</v>
      </c>
      <c r="F2234" s="67" t="str">
        <f>IFERROR(IFERROR(INDEX(Кат!$A:$A,MATCH(Прайс!$B2234,Кат!$G:$G,0)),INDEX(Торг!$B:$B,MATCH(Прайс!$B2234,Торг!$H:$H,0))),"")</f>
        <v/>
      </c>
      <c r="G2234" s="67" t="str">
        <f>IFERROR(IFERROR(INDEX(Кат!$B:$B,MATCH(Прайс!$B2234,Кат!$G:$G,0)),INDEX(Торг!$C:$C,MATCH(Прайс!$B2234,Торг!$H:$H,0))),"")</f>
        <v/>
      </c>
      <c r="H2234" s="67" t="str">
        <f>IFERROR(IFERROR(INDEX(Кат!$I:$I,MATCH(Прайс!$B2234,Кат!$G:$G,0)),INDEX(Торг!$I:$I,MATCH(Прайс!$B2234,Торг!$H:$H,0))),"")</f>
        <v/>
      </c>
    </row>
    <row r="2235" spans="1:8" x14ac:dyDescent="0.25">
      <c r="A2235" s="103" t="s">
        <v>6371</v>
      </c>
      <c r="B2235" s="104">
        <v>71128</v>
      </c>
      <c r="C2235" s="104" t="s">
        <v>6372</v>
      </c>
      <c r="D2235" s="105" t="s">
        <v>165</v>
      </c>
      <c r="E2235" s="113">
        <v>440</v>
      </c>
      <c r="F2235" s="67">
        <f>IFERROR(IFERROR(INDEX(Кат!$A:$A,MATCH(Прайс!$B2235,Кат!$G:$G,0)),INDEX(Торг!$B:$B,MATCH(Прайс!$B2235,Торг!$H:$H,0))),"")</f>
        <v>133052</v>
      </c>
      <c r="G2235" s="67">
        <f>IFERROR(IFERROR(INDEX(Кат!$B:$B,MATCH(Прайс!$B2235,Кат!$G:$G,0)),INDEX(Торг!$C:$C,MATCH(Прайс!$B2235,Торг!$H:$H,0))),"")</f>
        <v>19078</v>
      </c>
      <c r="H2235" s="67" t="str">
        <f>IFERROR(IFERROR(INDEX(Кат!$I:$I,MATCH(Прайс!$B2235,Кат!$G:$G,0)),INDEX(Торг!$I:$I,MATCH(Прайс!$B2235,Торг!$H:$H,0))),"")</f>
        <v>кристал авто</v>
      </c>
    </row>
    <row r="2236" spans="1:8" x14ac:dyDescent="0.25">
      <c r="A2236" s="103" t="s">
        <v>3722</v>
      </c>
      <c r="B2236" s="104">
        <v>70329</v>
      </c>
      <c r="C2236" s="104" t="s">
        <v>1192</v>
      </c>
      <c r="D2236" s="105" t="s">
        <v>165</v>
      </c>
      <c r="E2236" s="113">
        <v>440</v>
      </c>
      <c r="F2236" s="67">
        <f>IFERROR(IFERROR(INDEX(Кат!$A:$A,MATCH(Прайс!$B2236,Кат!$G:$G,0)),INDEX(Торг!$B:$B,MATCH(Прайс!$B2236,Торг!$H:$H,0))),"")</f>
        <v>133053</v>
      </c>
      <c r="G2236" s="67">
        <f>IFERROR(IFERROR(INDEX(Кат!$B:$B,MATCH(Прайс!$B2236,Кат!$G:$G,0)),INDEX(Торг!$C:$C,MATCH(Прайс!$B2236,Торг!$H:$H,0))),"")</f>
        <v>6276</v>
      </c>
      <c r="H2236" s="67" t="str">
        <f>IFERROR(IFERROR(INDEX(Кат!$I:$I,MATCH(Прайс!$B2236,Кат!$G:$G,0)),INDEX(Торг!$I:$I,MATCH(Прайс!$B2236,Торг!$H:$H,0))),"")</f>
        <v>кристал авто</v>
      </c>
    </row>
    <row r="2237" spans="1:8" x14ac:dyDescent="0.25">
      <c r="A2237" s="103" t="s">
        <v>3723</v>
      </c>
      <c r="B2237" s="104">
        <v>70345</v>
      </c>
      <c r="C2237" s="104" t="s">
        <v>1193</v>
      </c>
      <c r="D2237" s="105" t="s">
        <v>165</v>
      </c>
      <c r="E2237" s="113">
        <v>440</v>
      </c>
      <c r="F2237" s="67" t="str">
        <f>IFERROR(IFERROR(INDEX(Кат!$A:$A,MATCH(Прайс!$B2237,Кат!$G:$G,0)),INDEX(Торг!$B:$B,MATCH(Прайс!$B2237,Торг!$H:$H,0))),"")</f>
        <v/>
      </c>
      <c r="G2237" s="67" t="str">
        <f>IFERROR(IFERROR(INDEX(Кат!$B:$B,MATCH(Прайс!$B2237,Кат!$G:$G,0)),INDEX(Торг!$C:$C,MATCH(Прайс!$B2237,Торг!$H:$H,0))),"")</f>
        <v/>
      </c>
      <c r="H2237" s="67" t="str">
        <f>IFERROR(IFERROR(INDEX(Кат!$I:$I,MATCH(Прайс!$B2237,Кат!$G:$G,0)),INDEX(Торг!$I:$I,MATCH(Прайс!$B2237,Торг!$H:$H,0))),"")</f>
        <v/>
      </c>
    </row>
    <row r="2238" spans="1:8" x14ac:dyDescent="0.25">
      <c r="A2238" s="103" t="s">
        <v>6373</v>
      </c>
      <c r="B2238" s="104">
        <v>70335</v>
      </c>
      <c r="C2238" s="104" t="s">
        <v>6374</v>
      </c>
      <c r="D2238" s="105" t="s">
        <v>165</v>
      </c>
      <c r="E2238" s="113">
        <v>440</v>
      </c>
      <c r="F2238" s="67">
        <f>IFERROR(IFERROR(INDEX(Кат!$A:$A,MATCH(Прайс!$B2238,Кат!$G:$G,0)),INDEX(Торг!$B:$B,MATCH(Прайс!$B2238,Торг!$H:$H,0))),"")</f>
        <v>133056</v>
      </c>
      <c r="G2238" s="67">
        <f>IFERROR(IFERROR(INDEX(Кат!$B:$B,MATCH(Прайс!$B2238,Кат!$G:$G,0)),INDEX(Торг!$C:$C,MATCH(Прайс!$B2238,Торг!$H:$H,0))),"")</f>
        <v>6280</v>
      </c>
      <c r="H2238" s="67" t="str">
        <f>IFERROR(IFERROR(INDEX(Кат!$I:$I,MATCH(Прайс!$B2238,Кат!$G:$G,0)),INDEX(Торг!$I:$I,MATCH(Прайс!$B2238,Торг!$H:$H,0))),"")</f>
        <v>кристал авто</v>
      </c>
    </row>
    <row r="2239" spans="1:8" x14ac:dyDescent="0.25">
      <c r="A2239" s="103" t="s">
        <v>4927</v>
      </c>
      <c r="B2239" s="104">
        <v>70337</v>
      </c>
      <c r="C2239" s="104" t="s">
        <v>5217</v>
      </c>
      <c r="D2239" s="105" t="s">
        <v>165</v>
      </c>
      <c r="E2239" s="113">
        <v>440</v>
      </c>
      <c r="F2239" s="67">
        <f>IFERROR(IFERROR(INDEX(Кат!$A:$A,MATCH(Прайс!$B2239,Кат!$G:$G,0)),INDEX(Торг!$B:$B,MATCH(Прайс!$B2239,Торг!$H:$H,0))),"")</f>
        <v>133054</v>
      </c>
      <c r="G2239" s="67">
        <f>IFERROR(IFERROR(INDEX(Кат!$B:$B,MATCH(Прайс!$B2239,Кат!$G:$G,0)),INDEX(Торг!$C:$C,MATCH(Прайс!$B2239,Торг!$H:$H,0))),"")</f>
        <v>6277</v>
      </c>
      <c r="H2239" s="67" t="str">
        <f>IFERROR(IFERROR(INDEX(Кат!$I:$I,MATCH(Прайс!$B2239,Кат!$G:$G,0)),INDEX(Торг!$I:$I,MATCH(Прайс!$B2239,Торг!$H:$H,0))),"")</f>
        <v>кристал авто</v>
      </c>
    </row>
    <row r="2240" spans="1:8" x14ac:dyDescent="0.25">
      <c r="A2240" s="103" t="s">
        <v>3724</v>
      </c>
      <c r="B2240" s="104">
        <v>71126</v>
      </c>
      <c r="C2240" s="104" t="s">
        <v>1194</v>
      </c>
      <c r="D2240" s="105" t="s">
        <v>165</v>
      </c>
      <c r="E2240" s="113">
        <v>440</v>
      </c>
      <c r="F2240" s="67" t="str">
        <f>IFERROR(IFERROR(INDEX(Кат!$A:$A,MATCH(Прайс!$B2240,Кат!$G:$G,0)),INDEX(Торг!$B:$B,MATCH(Прайс!$B2240,Торг!$H:$H,0))),"")</f>
        <v/>
      </c>
      <c r="G2240" s="67" t="str">
        <f>IFERROR(IFERROR(INDEX(Кат!$B:$B,MATCH(Прайс!$B2240,Кат!$G:$G,0)),INDEX(Торг!$C:$C,MATCH(Прайс!$B2240,Торг!$H:$H,0))),"")</f>
        <v/>
      </c>
      <c r="H2240" s="67" t="str">
        <f>IFERROR(IFERROR(INDEX(Кат!$I:$I,MATCH(Прайс!$B2240,Кат!$G:$G,0)),INDEX(Торг!$I:$I,MATCH(Прайс!$B2240,Торг!$H:$H,0))),"")</f>
        <v/>
      </c>
    </row>
    <row r="2241" spans="1:8" x14ac:dyDescent="0.25">
      <c r="A2241" s="103" t="s">
        <v>3725</v>
      </c>
      <c r="B2241" s="104">
        <v>71129</v>
      </c>
      <c r="C2241" s="104" t="s">
        <v>2128</v>
      </c>
      <c r="D2241" s="105" t="s">
        <v>165</v>
      </c>
      <c r="E2241" s="113">
        <v>440</v>
      </c>
      <c r="F2241" s="67" t="str">
        <f>IFERROR(IFERROR(INDEX(Кат!$A:$A,MATCH(Прайс!$B2241,Кат!$G:$G,0)),INDEX(Торг!$B:$B,MATCH(Прайс!$B2241,Торг!$H:$H,0))),"")</f>
        <v/>
      </c>
      <c r="G2241" s="67" t="str">
        <f>IFERROR(IFERROR(INDEX(Кат!$B:$B,MATCH(Прайс!$B2241,Кат!$G:$G,0)),INDEX(Торг!$C:$C,MATCH(Прайс!$B2241,Торг!$H:$H,0))),"")</f>
        <v/>
      </c>
      <c r="H2241" s="67" t="str">
        <f>IFERROR(IFERROR(INDEX(Кат!$I:$I,MATCH(Прайс!$B2241,Кат!$G:$G,0)),INDEX(Торг!$I:$I,MATCH(Прайс!$B2241,Торг!$H:$H,0))),"")</f>
        <v/>
      </c>
    </row>
    <row r="2242" spans="1:8" x14ac:dyDescent="0.25">
      <c r="A2242" s="94" t="s">
        <v>8603</v>
      </c>
      <c r="B2242" s="98">
        <v>70322</v>
      </c>
      <c r="C2242" s="98" t="s">
        <v>8604</v>
      </c>
      <c r="D2242" s="96" t="s">
        <v>165</v>
      </c>
      <c r="E2242" s="97">
        <v>440</v>
      </c>
      <c r="F2242" s="67" t="str">
        <f>IFERROR(IFERROR(INDEX(Кат!$A:$A,MATCH(Прайс!$B2242,Кат!$G:$G,0)),INDEX(Торг!$B:$B,MATCH(Прайс!$B2242,Торг!$H:$H,0))),"")</f>
        <v/>
      </c>
      <c r="G2242" s="67" t="str">
        <f>IFERROR(IFERROR(INDEX(Кат!$B:$B,MATCH(Прайс!$B2242,Кат!$G:$G,0)),INDEX(Торг!$C:$C,MATCH(Прайс!$B2242,Торг!$H:$H,0))),"")</f>
        <v/>
      </c>
      <c r="H2242" s="67" t="str">
        <f>IFERROR(IFERROR(INDEX(Кат!$I:$I,MATCH(Прайс!$B2242,Кат!$G:$G,0)),INDEX(Торг!$I:$I,MATCH(Прайс!$B2242,Торг!$H:$H,0))),"")</f>
        <v/>
      </c>
    </row>
    <row r="2243" spans="1:8" x14ac:dyDescent="0.25">
      <c r="A2243" s="103" t="s">
        <v>3726</v>
      </c>
      <c r="B2243" s="104">
        <v>70342</v>
      </c>
      <c r="C2243" s="104" t="s">
        <v>1195</v>
      </c>
      <c r="D2243" s="105" t="s">
        <v>165</v>
      </c>
      <c r="E2243" s="113">
        <v>440</v>
      </c>
      <c r="F2243" s="67" t="str">
        <f>IFERROR(IFERROR(INDEX(Кат!$A:$A,MATCH(Прайс!$B2243,Кат!$G:$G,0)),INDEX(Торг!$B:$B,MATCH(Прайс!$B2243,Торг!$H:$H,0))),"")</f>
        <v/>
      </c>
      <c r="G2243" s="67" t="str">
        <f>IFERROR(IFERROR(INDEX(Кат!$B:$B,MATCH(Прайс!$B2243,Кат!$G:$G,0)),INDEX(Торг!$C:$C,MATCH(Прайс!$B2243,Торг!$H:$H,0))),"")</f>
        <v/>
      </c>
      <c r="H2243" s="67" t="str">
        <f>IFERROR(IFERROR(INDEX(Кат!$I:$I,MATCH(Прайс!$B2243,Кат!$G:$G,0)),INDEX(Торг!$I:$I,MATCH(Прайс!$B2243,Торг!$H:$H,0))),"")</f>
        <v/>
      </c>
    </row>
    <row r="2244" spans="1:8" x14ac:dyDescent="0.25">
      <c r="A2244" s="103" t="s">
        <v>3727</v>
      </c>
      <c r="B2244" s="104">
        <v>70327</v>
      </c>
      <c r="C2244" s="104" t="s">
        <v>1196</v>
      </c>
      <c r="D2244" s="105" t="s">
        <v>165</v>
      </c>
      <c r="E2244" s="113">
        <v>440</v>
      </c>
      <c r="F2244" s="67" t="str">
        <f>IFERROR(IFERROR(INDEX(Кат!$A:$A,MATCH(Прайс!$B2244,Кат!$G:$G,0)),INDEX(Торг!$B:$B,MATCH(Прайс!$B2244,Торг!$H:$H,0))),"")</f>
        <v/>
      </c>
      <c r="G2244" s="67" t="str">
        <f>IFERROR(IFERROR(INDEX(Кат!$B:$B,MATCH(Прайс!$B2244,Кат!$G:$G,0)),INDEX(Торг!$C:$C,MATCH(Прайс!$B2244,Торг!$H:$H,0))),"")</f>
        <v/>
      </c>
      <c r="H2244" s="67" t="str">
        <f>IFERROR(IFERROR(INDEX(Кат!$I:$I,MATCH(Прайс!$B2244,Кат!$G:$G,0)),INDEX(Торг!$I:$I,MATCH(Прайс!$B2244,Торг!$H:$H,0))),"")</f>
        <v/>
      </c>
    </row>
    <row r="2245" spans="1:8" x14ac:dyDescent="0.25">
      <c r="A2245" s="103" t="s">
        <v>7677</v>
      </c>
      <c r="B2245" s="104">
        <v>70328</v>
      </c>
      <c r="C2245" s="104" t="s">
        <v>7678</v>
      </c>
      <c r="D2245" s="105" t="s">
        <v>165</v>
      </c>
      <c r="E2245" s="113">
        <v>440</v>
      </c>
      <c r="F2245" s="67">
        <f>IFERROR(IFERROR(INDEX(Кат!$A:$A,MATCH(Прайс!$B2245,Кат!$G:$G,0)),INDEX(Торг!$B:$B,MATCH(Прайс!$B2245,Торг!$H:$H,0))),"")</f>
        <v>133055</v>
      </c>
      <c r="G2245" s="67">
        <f>IFERROR(IFERROR(INDEX(Кат!$B:$B,MATCH(Прайс!$B2245,Кат!$G:$G,0)),INDEX(Торг!$C:$C,MATCH(Прайс!$B2245,Торг!$H:$H,0))),"")</f>
        <v>6279</v>
      </c>
      <c r="H2245" s="67" t="str">
        <f>IFERROR(IFERROR(INDEX(Кат!$I:$I,MATCH(Прайс!$B2245,Кат!$G:$G,0)),INDEX(Торг!$I:$I,MATCH(Прайс!$B2245,Торг!$H:$H,0))),"")</f>
        <v>кристал авто</v>
      </c>
    </row>
    <row r="2246" spans="1:8" x14ac:dyDescent="0.25">
      <c r="A2246" s="103" t="s">
        <v>7679</v>
      </c>
      <c r="B2246" s="104">
        <v>71127</v>
      </c>
      <c r="C2246" s="104" t="s">
        <v>7680</v>
      </c>
      <c r="D2246" s="105" t="s">
        <v>165</v>
      </c>
      <c r="E2246" s="113">
        <v>440</v>
      </c>
      <c r="F2246" s="67" t="str">
        <f>IFERROR(IFERROR(INDEX(Кат!$A:$A,MATCH(Прайс!$B2246,Кат!$G:$G,0)),INDEX(Торг!$B:$B,MATCH(Прайс!$B2246,Торг!$H:$H,0))),"")</f>
        <v/>
      </c>
      <c r="G2246" s="67" t="str">
        <f>IFERROR(IFERROR(INDEX(Кат!$B:$B,MATCH(Прайс!$B2246,Кат!$G:$G,0)),INDEX(Торг!$C:$C,MATCH(Прайс!$B2246,Торг!$H:$H,0))),"")</f>
        <v/>
      </c>
      <c r="H2246" s="67" t="str">
        <f>IFERROR(IFERROR(INDEX(Кат!$I:$I,MATCH(Прайс!$B2246,Кат!$G:$G,0)),INDEX(Торг!$I:$I,MATCH(Прайс!$B2246,Торг!$H:$H,0))),"")</f>
        <v/>
      </c>
    </row>
    <row r="2247" spans="1:8" x14ac:dyDescent="0.25">
      <c r="A2247" s="103" t="s">
        <v>3728</v>
      </c>
      <c r="B2247" s="104">
        <v>71130</v>
      </c>
      <c r="C2247" s="104" t="s">
        <v>8294</v>
      </c>
      <c r="D2247" s="105" t="s">
        <v>165</v>
      </c>
      <c r="E2247" s="113">
        <v>440</v>
      </c>
      <c r="F2247" s="67" t="str">
        <f>IFERROR(IFERROR(INDEX(Кат!$A:$A,MATCH(Прайс!$B2247,Кат!$G:$G,0)),INDEX(Торг!$B:$B,MATCH(Прайс!$B2247,Торг!$H:$H,0))),"")</f>
        <v/>
      </c>
      <c r="G2247" s="67" t="str">
        <f>IFERROR(IFERROR(INDEX(Кат!$B:$B,MATCH(Прайс!$B2247,Кат!$G:$G,0)),INDEX(Торг!$C:$C,MATCH(Прайс!$B2247,Торг!$H:$H,0))),"")</f>
        <v/>
      </c>
      <c r="H2247" s="67" t="str">
        <f>IFERROR(IFERROR(INDEX(Кат!$I:$I,MATCH(Прайс!$B2247,Кат!$G:$G,0)),INDEX(Торг!$I:$I,MATCH(Прайс!$B2247,Торг!$H:$H,0))),"")</f>
        <v/>
      </c>
    </row>
    <row r="2248" spans="1:8" x14ac:dyDescent="0.25">
      <c r="A2248" s="103" t="s">
        <v>3729</v>
      </c>
      <c r="B2248" s="104">
        <v>70324</v>
      </c>
      <c r="C2248" s="104" t="s">
        <v>5218</v>
      </c>
      <c r="D2248" s="105" t="s">
        <v>165</v>
      </c>
      <c r="E2248" s="113">
        <v>440</v>
      </c>
      <c r="F2248" s="67" t="str">
        <f>IFERROR(IFERROR(INDEX(Кат!$A:$A,MATCH(Прайс!$B2248,Кат!$G:$G,0)),INDEX(Торг!$B:$B,MATCH(Прайс!$B2248,Торг!$H:$H,0))),"")</f>
        <v/>
      </c>
      <c r="G2248" s="67" t="str">
        <f>IFERROR(IFERROR(INDEX(Кат!$B:$B,MATCH(Прайс!$B2248,Кат!$G:$G,0)),INDEX(Торг!$C:$C,MATCH(Прайс!$B2248,Торг!$H:$H,0))),"")</f>
        <v/>
      </c>
      <c r="H2248" s="67" t="str">
        <f>IFERROR(IFERROR(INDEX(Кат!$I:$I,MATCH(Прайс!$B2248,Кат!$G:$G,0)),INDEX(Торг!$I:$I,MATCH(Прайс!$B2248,Торг!$H:$H,0))),"")</f>
        <v/>
      </c>
    </row>
    <row r="2249" spans="1:8" x14ac:dyDescent="0.25">
      <c r="A2249" s="103" t="s">
        <v>3730</v>
      </c>
      <c r="B2249" s="104">
        <v>70339</v>
      </c>
      <c r="C2249" s="104" t="s">
        <v>1197</v>
      </c>
      <c r="D2249" s="105" t="s">
        <v>165</v>
      </c>
      <c r="E2249" s="113">
        <v>440</v>
      </c>
      <c r="F2249" s="67" t="str">
        <f>IFERROR(IFERROR(INDEX(Кат!$A:$A,MATCH(Прайс!$B2249,Кат!$G:$G,0)),INDEX(Торг!$B:$B,MATCH(Прайс!$B2249,Торг!$H:$H,0))),"")</f>
        <v/>
      </c>
      <c r="G2249" s="67" t="str">
        <f>IFERROR(IFERROR(INDEX(Кат!$B:$B,MATCH(Прайс!$B2249,Кат!$G:$G,0)),INDEX(Торг!$C:$C,MATCH(Прайс!$B2249,Торг!$H:$H,0))),"")</f>
        <v/>
      </c>
      <c r="H2249" s="67" t="str">
        <f>IFERROR(IFERROR(INDEX(Кат!$I:$I,MATCH(Прайс!$B2249,Кат!$G:$G,0)),INDEX(Торг!$I:$I,MATCH(Прайс!$B2249,Торг!$H:$H,0))),"")</f>
        <v/>
      </c>
    </row>
    <row r="2250" spans="1:8" x14ac:dyDescent="0.25">
      <c r="A2250" s="103" t="s">
        <v>6979</v>
      </c>
      <c r="B2250" s="104">
        <v>70344</v>
      </c>
      <c r="C2250" s="104" t="s">
        <v>6980</v>
      </c>
      <c r="D2250" s="105" t="s">
        <v>165</v>
      </c>
      <c r="E2250" s="113">
        <v>440</v>
      </c>
      <c r="F2250" s="67" t="str">
        <f>IFERROR(IFERROR(INDEX(Кат!$A:$A,MATCH(Прайс!$B2250,Кат!$G:$G,0)),INDEX(Торг!$B:$B,MATCH(Прайс!$B2250,Торг!$H:$H,0))),"")</f>
        <v/>
      </c>
      <c r="G2250" s="67" t="str">
        <f>IFERROR(IFERROR(INDEX(Кат!$B:$B,MATCH(Прайс!$B2250,Кат!$G:$G,0)),INDEX(Торг!$C:$C,MATCH(Прайс!$B2250,Торг!$H:$H,0))),"")</f>
        <v/>
      </c>
      <c r="H2250" s="67" t="str">
        <f>IFERROR(IFERROR(INDEX(Кат!$I:$I,MATCH(Прайс!$B2250,Кат!$G:$G,0)),INDEX(Торг!$I:$I,MATCH(Прайс!$B2250,Торг!$H:$H,0))),"")</f>
        <v/>
      </c>
    </row>
    <row r="2251" spans="1:8" x14ac:dyDescent="0.25">
      <c r="A2251" s="94" t="s">
        <v>3757</v>
      </c>
      <c r="B2251" s="98">
        <v>70737</v>
      </c>
      <c r="C2251" s="98" t="s">
        <v>5219</v>
      </c>
      <c r="D2251" s="96" t="s">
        <v>165</v>
      </c>
      <c r="E2251" s="97">
        <v>120</v>
      </c>
      <c r="F2251" s="67" t="str">
        <f>IFERROR(IFERROR(INDEX(Кат!$A:$A,MATCH(Прайс!$B2251,Кат!$G:$G,0)),INDEX(Торг!$B:$B,MATCH(Прайс!$B2251,Торг!$H:$H,0))),"")</f>
        <v/>
      </c>
      <c r="G2251" s="67" t="str">
        <f>IFERROR(IFERROR(INDEX(Кат!$B:$B,MATCH(Прайс!$B2251,Кат!$G:$G,0)),INDEX(Торг!$C:$C,MATCH(Прайс!$B2251,Торг!$H:$H,0))),"")</f>
        <v/>
      </c>
      <c r="H2251" s="67" t="str">
        <f>IFERROR(IFERROR(INDEX(Кат!$I:$I,MATCH(Прайс!$B2251,Кат!$G:$G,0)),INDEX(Торг!$I:$I,MATCH(Прайс!$B2251,Торг!$H:$H,0))),"")</f>
        <v/>
      </c>
    </row>
    <row r="2252" spans="1:8" x14ac:dyDescent="0.25">
      <c r="A2252" s="94" t="s">
        <v>3744</v>
      </c>
      <c r="B2252" s="98">
        <v>70726</v>
      </c>
      <c r="C2252" s="98" t="s">
        <v>5220</v>
      </c>
      <c r="D2252" s="96" t="s">
        <v>165</v>
      </c>
      <c r="E2252" s="97">
        <v>120</v>
      </c>
      <c r="F2252" s="67" t="str">
        <f>IFERROR(IFERROR(INDEX(Кат!$A:$A,MATCH(Прайс!$B2252,Кат!$G:$G,0)),INDEX(Торг!$B:$B,MATCH(Прайс!$B2252,Торг!$H:$H,0))),"")</f>
        <v/>
      </c>
      <c r="G2252" s="67" t="str">
        <f>IFERROR(IFERROR(INDEX(Кат!$B:$B,MATCH(Прайс!$B2252,Кат!$G:$G,0)),INDEX(Торг!$C:$C,MATCH(Прайс!$B2252,Торг!$H:$H,0))),"")</f>
        <v/>
      </c>
      <c r="H2252" s="67" t="str">
        <f>IFERROR(IFERROR(INDEX(Кат!$I:$I,MATCH(Прайс!$B2252,Кат!$G:$G,0)),INDEX(Торг!$I:$I,MATCH(Прайс!$B2252,Торг!$H:$H,0))),"")</f>
        <v/>
      </c>
    </row>
    <row r="2253" spans="1:8" x14ac:dyDescent="0.25">
      <c r="A2253" s="94" t="s">
        <v>3758</v>
      </c>
      <c r="B2253" s="98">
        <v>70738</v>
      </c>
      <c r="C2253" s="98" t="s">
        <v>5221</v>
      </c>
      <c r="D2253" s="96" t="s">
        <v>165</v>
      </c>
      <c r="E2253" s="97">
        <v>120</v>
      </c>
      <c r="F2253" s="67" t="str">
        <f>IFERROR(IFERROR(INDEX(Кат!$A:$A,MATCH(Прайс!$B2253,Кат!$G:$G,0)),INDEX(Торг!$B:$B,MATCH(Прайс!$B2253,Торг!$H:$H,0))),"")</f>
        <v/>
      </c>
      <c r="G2253" s="67" t="str">
        <f>IFERROR(IFERROR(INDEX(Кат!$B:$B,MATCH(Прайс!$B2253,Кат!$G:$G,0)),INDEX(Торг!$C:$C,MATCH(Прайс!$B2253,Торг!$H:$H,0))),"")</f>
        <v/>
      </c>
      <c r="H2253" s="67" t="str">
        <f>IFERROR(IFERROR(INDEX(Кат!$I:$I,MATCH(Прайс!$B2253,Кат!$G:$G,0)),INDEX(Торг!$I:$I,MATCH(Прайс!$B2253,Торг!$H:$H,0))),"")</f>
        <v/>
      </c>
    </row>
    <row r="2254" spans="1:8" x14ac:dyDescent="0.25">
      <c r="A2254" s="94" t="s">
        <v>3739</v>
      </c>
      <c r="B2254" s="98">
        <v>70722</v>
      </c>
      <c r="C2254" s="98" t="s">
        <v>5222</v>
      </c>
      <c r="D2254" s="96" t="s">
        <v>165</v>
      </c>
      <c r="E2254" s="97">
        <v>120</v>
      </c>
      <c r="F2254" s="67" t="str">
        <f>IFERROR(IFERROR(INDEX(Кат!$A:$A,MATCH(Прайс!$B2254,Кат!$G:$G,0)),INDEX(Торг!$B:$B,MATCH(Прайс!$B2254,Торг!$H:$H,0))),"")</f>
        <v/>
      </c>
      <c r="G2254" s="67" t="str">
        <f>IFERROR(IFERROR(INDEX(Кат!$B:$B,MATCH(Прайс!$B2254,Кат!$G:$G,0)),INDEX(Торг!$C:$C,MATCH(Прайс!$B2254,Торг!$H:$H,0))),"")</f>
        <v/>
      </c>
      <c r="H2254" s="67" t="str">
        <f>IFERROR(IFERROR(INDEX(Кат!$I:$I,MATCH(Прайс!$B2254,Кат!$G:$G,0)),INDEX(Торг!$I:$I,MATCH(Прайс!$B2254,Торг!$H:$H,0))),"")</f>
        <v/>
      </c>
    </row>
    <row r="2255" spans="1:8" x14ac:dyDescent="0.25">
      <c r="A2255" s="94" t="s">
        <v>3745</v>
      </c>
      <c r="B2255" s="98">
        <v>70727</v>
      </c>
      <c r="C2255" s="98" t="s">
        <v>5223</v>
      </c>
      <c r="D2255" s="96" t="s">
        <v>165</v>
      </c>
      <c r="E2255" s="97">
        <v>120</v>
      </c>
      <c r="F2255" s="67" t="str">
        <f>IFERROR(IFERROR(INDEX(Кат!$A:$A,MATCH(Прайс!$B2255,Кат!$G:$G,0)),INDEX(Торг!$B:$B,MATCH(Прайс!$B2255,Торг!$H:$H,0))),"")</f>
        <v/>
      </c>
      <c r="G2255" s="67" t="str">
        <f>IFERROR(IFERROR(INDEX(Кат!$B:$B,MATCH(Прайс!$B2255,Кат!$G:$G,0)),INDEX(Торг!$C:$C,MATCH(Прайс!$B2255,Торг!$H:$H,0))),"")</f>
        <v/>
      </c>
      <c r="H2255" s="67" t="str">
        <f>IFERROR(IFERROR(INDEX(Кат!$I:$I,MATCH(Прайс!$B2255,Кат!$G:$G,0)),INDEX(Торг!$I:$I,MATCH(Прайс!$B2255,Торг!$H:$H,0))),"")</f>
        <v/>
      </c>
    </row>
    <row r="2256" spans="1:8" x14ac:dyDescent="0.25">
      <c r="A2256" s="94" t="s">
        <v>3741</v>
      </c>
      <c r="B2256" s="98">
        <v>70724</v>
      </c>
      <c r="C2256" s="98" t="s">
        <v>5224</v>
      </c>
      <c r="D2256" s="96" t="s">
        <v>165</v>
      </c>
      <c r="E2256" s="97">
        <v>120</v>
      </c>
      <c r="F2256" s="67" t="str">
        <f>IFERROR(IFERROR(INDEX(Кат!$A:$A,MATCH(Прайс!$B2256,Кат!$G:$G,0)),INDEX(Торг!$B:$B,MATCH(Прайс!$B2256,Торг!$H:$H,0))),"")</f>
        <v/>
      </c>
      <c r="G2256" s="67" t="str">
        <f>IFERROR(IFERROR(INDEX(Кат!$B:$B,MATCH(Прайс!$B2256,Кат!$G:$G,0)),INDEX(Торг!$C:$C,MATCH(Прайс!$B2256,Торг!$H:$H,0))),"")</f>
        <v/>
      </c>
      <c r="H2256" s="67" t="str">
        <f>IFERROR(IFERROR(INDEX(Кат!$I:$I,MATCH(Прайс!$B2256,Кат!$G:$G,0)),INDEX(Торг!$I:$I,MATCH(Прайс!$B2256,Торг!$H:$H,0))),"")</f>
        <v/>
      </c>
    </row>
    <row r="2257" spans="1:8" x14ac:dyDescent="0.25">
      <c r="A2257" s="94" t="s">
        <v>3751</v>
      </c>
      <c r="B2257" s="98">
        <v>70732</v>
      </c>
      <c r="C2257" s="98" t="s">
        <v>5225</v>
      </c>
      <c r="D2257" s="96" t="s">
        <v>165</v>
      </c>
      <c r="E2257" s="97">
        <v>120</v>
      </c>
      <c r="F2257" s="67" t="str">
        <f>IFERROR(IFERROR(INDEX(Кат!$A:$A,MATCH(Прайс!$B2257,Кат!$G:$G,0)),INDEX(Торг!$B:$B,MATCH(Прайс!$B2257,Торг!$H:$H,0))),"")</f>
        <v/>
      </c>
      <c r="G2257" s="67" t="str">
        <f>IFERROR(IFERROR(INDEX(Кат!$B:$B,MATCH(Прайс!$B2257,Кат!$G:$G,0)),INDEX(Торг!$C:$C,MATCH(Прайс!$B2257,Торг!$H:$H,0))),"")</f>
        <v/>
      </c>
      <c r="H2257" s="67" t="str">
        <f>IFERROR(IFERROR(INDEX(Кат!$I:$I,MATCH(Прайс!$B2257,Кат!$G:$G,0)),INDEX(Торг!$I:$I,MATCH(Прайс!$B2257,Торг!$H:$H,0))),"")</f>
        <v/>
      </c>
    </row>
    <row r="2258" spans="1:8" x14ac:dyDescent="0.25">
      <c r="A2258" s="94" t="s">
        <v>3753</v>
      </c>
      <c r="B2258" s="98">
        <v>70734</v>
      </c>
      <c r="C2258" s="98" t="s">
        <v>5226</v>
      </c>
      <c r="D2258" s="96" t="s">
        <v>165</v>
      </c>
      <c r="E2258" s="97">
        <v>120</v>
      </c>
      <c r="F2258" s="67" t="str">
        <f>IFERROR(IFERROR(INDEX(Кат!$A:$A,MATCH(Прайс!$B2258,Кат!$G:$G,0)),INDEX(Торг!$B:$B,MATCH(Прайс!$B2258,Торг!$H:$H,0))),"")</f>
        <v/>
      </c>
      <c r="G2258" s="67" t="str">
        <f>IFERROR(IFERROR(INDEX(Кат!$B:$B,MATCH(Прайс!$B2258,Кат!$G:$G,0)),INDEX(Торг!$C:$C,MATCH(Прайс!$B2258,Торг!$H:$H,0))),"")</f>
        <v/>
      </c>
      <c r="H2258" s="67" t="str">
        <f>IFERROR(IFERROR(INDEX(Кат!$I:$I,MATCH(Прайс!$B2258,Кат!$G:$G,0)),INDEX(Торг!$I:$I,MATCH(Прайс!$B2258,Торг!$H:$H,0))),"")</f>
        <v/>
      </c>
    </row>
    <row r="2259" spans="1:8" x14ac:dyDescent="0.25">
      <c r="A2259" s="94" t="s">
        <v>3747</v>
      </c>
      <c r="B2259" s="98">
        <v>70730</v>
      </c>
      <c r="C2259" s="98" t="s">
        <v>5227</v>
      </c>
      <c r="D2259" s="96" t="s">
        <v>165</v>
      </c>
      <c r="E2259" s="97">
        <v>120</v>
      </c>
      <c r="F2259" s="67" t="str">
        <f>IFERROR(IFERROR(INDEX(Кат!$A:$A,MATCH(Прайс!$B2259,Кат!$G:$G,0)),INDEX(Торг!$B:$B,MATCH(Прайс!$B2259,Торг!$H:$H,0))),"")</f>
        <v/>
      </c>
      <c r="G2259" s="67" t="str">
        <f>IFERROR(IFERROR(INDEX(Кат!$B:$B,MATCH(Прайс!$B2259,Кат!$G:$G,0)),INDEX(Торг!$C:$C,MATCH(Прайс!$B2259,Торг!$H:$H,0))),"")</f>
        <v/>
      </c>
      <c r="H2259" s="67" t="str">
        <f>IFERROR(IFERROR(INDEX(Кат!$I:$I,MATCH(Прайс!$B2259,Кат!$G:$G,0)),INDEX(Торг!$I:$I,MATCH(Прайс!$B2259,Торг!$H:$H,0))),"")</f>
        <v/>
      </c>
    </row>
    <row r="2260" spans="1:8" x14ac:dyDescent="0.25">
      <c r="A2260" s="94" t="s">
        <v>3740</v>
      </c>
      <c r="B2260" s="98">
        <v>70723</v>
      </c>
      <c r="C2260" s="98" t="s">
        <v>5228</v>
      </c>
      <c r="D2260" s="96" t="s">
        <v>165</v>
      </c>
      <c r="E2260" s="97">
        <v>120</v>
      </c>
      <c r="F2260" s="67" t="str">
        <f>IFERROR(IFERROR(INDEX(Кат!$A:$A,MATCH(Прайс!$B2260,Кат!$G:$G,0)),INDEX(Торг!$B:$B,MATCH(Прайс!$B2260,Торг!$H:$H,0))),"")</f>
        <v/>
      </c>
      <c r="G2260" s="67" t="str">
        <f>IFERROR(IFERROR(INDEX(Кат!$B:$B,MATCH(Прайс!$B2260,Кат!$G:$G,0)),INDEX(Торг!$C:$C,MATCH(Прайс!$B2260,Торг!$H:$H,0))),"")</f>
        <v/>
      </c>
      <c r="H2260" s="67" t="str">
        <f>IFERROR(IFERROR(INDEX(Кат!$I:$I,MATCH(Прайс!$B2260,Кат!$G:$G,0)),INDEX(Торг!$I:$I,MATCH(Прайс!$B2260,Торг!$H:$H,0))),"")</f>
        <v/>
      </c>
    </row>
    <row r="2261" spans="1:8" x14ac:dyDescent="0.25">
      <c r="A2261" s="94" t="s">
        <v>5451</v>
      </c>
      <c r="B2261" s="98">
        <v>70736</v>
      </c>
      <c r="C2261" s="98" t="s">
        <v>5452</v>
      </c>
      <c r="D2261" s="96" t="s">
        <v>165</v>
      </c>
      <c r="E2261" s="97">
        <v>120</v>
      </c>
      <c r="F2261" s="67" t="str">
        <f>IFERROR(IFERROR(INDEX(Кат!$A:$A,MATCH(Прайс!$B2261,Кат!$G:$G,0)),INDEX(Торг!$B:$B,MATCH(Прайс!$B2261,Торг!$H:$H,0))),"")</f>
        <v/>
      </c>
      <c r="G2261" s="67" t="str">
        <f>IFERROR(IFERROR(INDEX(Кат!$B:$B,MATCH(Прайс!$B2261,Кат!$G:$G,0)),INDEX(Торг!$C:$C,MATCH(Прайс!$B2261,Торг!$H:$H,0))),"")</f>
        <v/>
      </c>
      <c r="H2261" s="67" t="str">
        <f>IFERROR(IFERROR(INDEX(Кат!$I:$I,MATCH(Прайс!$B2261,Кат!$G:$G,0)),INDEX(Торг!$I:$I,MATCH(Прайс!$B2261,Торг!$H:$H,0))),"")</f>
        <v/>
      </c>
    </row>
    <row r="2262" spans="1:8" x14ac:dyDescent="0.25">
      <c r="A2262" s="94" t="s">
        <v>3752</v>
      </c>
      <c r="B2262" s="98">
        <v>70733</v>
      </c>
      <c r="C2262" s="98" t="s">
        <v>5229</v>
      </c>
      <c r="D2262" s="96" t="s">
        <v>165</v>
      </c>
      <c r="E2262" s="97">
        <v>120</v>
      </c>
      <c r="F2262" s="67" t="str">
        <f>IFERROR(IFERROR(INDEX(Кат!$A:$A,MATCH(Прайс!$B2262,Кат!$G:$G,0)),INDEX(Торг!$B:$B,MATCH(Прайс!$B2262,Торг!$H:$H,0))),"")</f>
        <v/>
      </c>
      <c r="G2262" s="67" t="str">
        <f>IFERROR(IFERROR(INDEX(Кат!$B:$B,MATCH(Прайс!$B2262,Кат!$G:$G,0)),INDEX(Торг!$C:$C,MATCH(Прайс!$B2262,Торг!$H:$H,0))),"")</f>
        <v/>
      </c>
      <c r="H2262" s="67" t="str">
        <f>IFERROR(IFERROR(INDEX(Кат!$I:$I,MATCH(Прайс!$B2262,Кат!$G:$G,0)),INDEX(Торг!$I:$I,MATCH(Прайс!$B2262,Торг!$H:$H,0))),"")</f>
        <v/>
      </c>
    </row>
    <row r="2263" spans="1:8" x14ac:dyDescent="0.25">
      <c r="A2263" s="94" t="s">
        <v>3746</v>
      </c>
      <c r="B2263" s="98">
        <v>70729</v>
      </c>
      <c r="C2263" s="98" t="s">
        <v>5230</v>
      </c>
      <c r="D2263" s="96" t="s">
        <v>165</v>
      </c>
      <c r="E2263" s="97">
        <v>120</v>
      </c>
      <c r="F2263" s="67" t="str">
        <f>IFERROR(IFERROR(INDEX(Кат!$A:$A,MATCH(Прайс!$B2263,Кат!$G:$G,0)),INDEX(Торг!$B:$B,MATCH(Прайс!$B2263,Торг!$H:$H,0))),"")</f>
        <v/>
      </c>
      <c r="G2263" s="67" t="str">
        <f>IFERROR(IFERROR(INDEX(Кат!$B:$B,MATCH(Прайс!$B2263,Кат!$G:$G,0)),INDEX(Торг!$C:$C,MATCH(Прайс!$B2263,Торг!$H:$H,0))),"")</f>
        <v/>
      </c>
      <c r="H2263" s="67" t="str">
        <f>IFERROR(IFERROR(INDEX(Кат!$I:$I,MATCH(Прайс!$B2263,Кат!$G:$G,0)),INDEX(Торг!$I:$I,MATCH(Прайс!$B2263,Торг!$H:$H,0))),"")</f>
        <v/>
      </c>
    </row>
    <row r="2264" spans="1:8" x14ac:dyDescent="0.25">
      <c r="A2264" s="94" t="s">
        <v>8295</v>
      </c>
      <c r="B2264" s="98">
        <v>70728</v>
      </c>
      <c r="C2264" s="98" t="s">
        <v>8296</v>
      </c>
      <c r="D2264" s="96" t="s">
        <v>165</v>
      </c>
      <c r="E2264" s="97">
        <v>120</v>
      </c>
      <c r="F2264" s="67" t="str">
        <f>IFERROR(IFERROR(INDEX(Кат!$A:$A,MATCH(Прайс!$B2264,Кат!$G:$G,0)),INDEX(Торг!$B:$B,MATCH(Прайс!$B2264,Торг!$H:$H,0))),"")</f>
        <v/>
      </c>
      <c r="G2264" s="67" t="str">
        <f>IFERROR(IFERROR(INDEX(Кат!$B:$B,MATCH(Прайс!$B2264,Кат!$G:$G,0)),INDEX(Торг!$C:$C,MATCH(Прайс!$B2264,Торг!$H:$H,0))),"")</f>
        <v/>
      </c>
      <c r="H2264" s="67" t="str">
        <f>IFERROR(IFERROR(INDEX(Кат!$I:$I,MATCH(Прайс!$B2264,Кат!$G:$G,0)),INDEX(Торг!$I:$I,MATCH(Прайс!$B2264,Торг!$H:$H,0))),"")</f>
        <v/>
      </c>
    </row>
    <row r="2265" spans="1:8" x14ac:dyDescent="0.25">
      <c r="A2265" s="94" t="s">
        <v>3750</v>
      </c>
      <c r="B2265" s="98">
        <v>70731</v>
      </c>
      <c r="C2265" s="98" t="s">
        <v>5231</v>
      </c>
      <c r="D2265" s="96" t="s">
        <v>165</v>
      </c>
      <c r="E2265" s="97">
        <v>120</v>
      </c>
      <c r="F2265" s="67" t="str">
        <f>IFERROR(IFERROR(INDEX(Кат!$A:$A,MATCH(Прайс!$B2265,Кат!$G:$G,0)),INDEX(Торг!$B:$B,MATCH(Прайс!$B2265,Торг!$H:$H,0))),"")</f>
        <v/>
      </c>
      <c r="G2265" s="67" t="str">
        <f>IFERROR(IFERROR(INDEX(Кат!$B:$B,MATCH(Прайс!$B2265,Кат!$G:$G,0)),INDEX(Торг!$C:$C,MATCH(Прайс!$B2265,Торг!$H:$H,0))),"")</f>
        <v/>
      </c>
      <c r="H2265" s="67" t="str">
        <f>IFERROR(IFERROR(INDEX(Кат!$I:$I,MATCH(Прайс!$B2265,Кат!$G:$G,0)),INDEX(Торг!$I:$I,MATCH(Прайс!$B2265,Торг!$H:$H,0))),"")</f>
        <v/>
      </c>
    </row>
    <row r="2266" spans="1:8" x14ac:dyDescent="0.25">
      <c r="A2266" s="94" t="s">
        <v>3754</v>
      </c>
      <c r="B2266" s="98">
        <v>70735</v>
      </c>
      <c r="C2266" s="98" t="s">
        <v>5232</v>
      </c>
      <c r="D2266" s="96" t="s">
        <v>165</v>
      </c>
      <c r="E2266" s="97">
        <v>120</v>
      </c>
      <c r="F2266" s="67" t="str">
        <f>IFERROR(IFERROR(INDEX(Кат!$A:$A,MATCH(Прайс!$B2266,Кат!$G:$G,0)),INDEX(Торг!$B:$B,MATCH(Прайс!$B2266,Торг!$H:$H,0))),"")</f>
        <v/>
      </c>
      <c r="G2266" s="67" t="str">
        <f>IFERROR(IFERROR(INDEX(Кат!$B:$B,MATCH(Прайс!$B2266,Кат!$G:$G,0)),INDEX(Торг!$C:$C,MATCH(Прайс!$B2266,Торг!$H:$H,0))),"")</f>
        <v/>
      </c>
      <c r="H2266" s="67" t="str">
        <f>IFERROR(IFERROR(INDEX(Кат!$I:$I,MATCH(Прайс!$B2266,Кат!$G:$G,0)),INDEX(Торг!$I:$I,MATCH(Прайс!$B2266,Торг!$H:$H,0))),"")</f>
        <v/>
      </c>
    </row>
    <row r="2267" spans="1:8" x14ac:dyDescent="0.25">
      <c r="A2267" s="94" t="s">
        <v>3742</v>
      </c>
      <c r="B2267" s="98">
        <v>70725</v>
      </c>
      <c r="C2267" s="98" t="s">
        <v>5233</v>
      </c>
      <c r="D2267" s="96" t="s">
        <v>165</v>
      </c>
      <c r="E2267" s="97">
        <v>120</v>
      </c>
      <c r="F2267" s="67" t="str">
        <f>IFERROR(IFERROR(INDEX(Кат!$A:$A,MATCH(Прайс!$B2267,Кат!$G:$G,0)),INDEX(Торг!$B:$B,MATCH(Прайс!$B2267,Торг!$H:$H,0))),"")</f>
        <v/>
      </c>
      <c r="G2267" s="67" t="str">
        <f>IFERROR(IFERROR(INDEX(Кат!$B:$B,MATCH(Прайс!$B2267,Кат!$G:$G,0)),INDEX(Торг!$C:$C,MATCH(Прайс!$B2267,Торг!$H:$H,0))),"")</f>
        <v/>
      </c>
      <c r="H2267" s="67" t="str">
        <f>IFERROR(IFERROR(INDEX(Кат!$I:$I,MATCH(Прайс!$B2267,Кат!$G:$G,0)),INDEX(Торг!$I:$I,MATCH(Прайс!$B2267,Торг!$H:$H,0))),"")</f>
        <v/>
      </c>
    </row>
    <row r="2268" spans="1:8" x14ac:dyDescent="0.25">
      <c r="A2268" s="94" t="s">
        <v>3737</v>
      </c>
      <c r="B2268" s="98">
        <v>70718</v>
      </c>
      <c r="C2268" s="98" t="s">
        <v>5234</v>
      </c>
      <c r="D2268" s="96" t="s">
        <v>165</v>
      </c>
      <c r="E2268" s="97">
        <v>120</v>
      </c>
      <c r="F2268" s="67" t="str">
        <f>IFERROR(IFERROR(INDEX(Кат!$A:$A,MATCH(Прайс!$B2268,Кат!$G:$G,0)),INDEX(Торг!$B:$B,MATCH(Прайс!$B2268,Торг!$H:$H,0))),"")</f>
        <v/>
      </c>
      <c r="G2268" s="67" t="str">
        <f>IFERROR(IFERROR(INDEX(Кат!$B:$B,MATCH(Прайс!$B2268,Кат!$G:$G,0)),INDEX(Торг!$C:$C,MATCH(Прайс!$B2268,Торг!$H:$H,0))),"")</f>
        <v/>
      </c>
      <c r="H2268" s="67" t="str">
        <f>IFERROR(IFERROR(INDEX(Кат!$I:$I,MATCH(Прайс!$B2268,Кат!$G:$G,0)),INDEX(Торг!$I:$I,MATCH(Прайс!$B2268,Торг!$H:$H,0))),"")</f>
        <v/>
      </c>
    </row>
    <row r="2269" spans="1:8" x14ac:dyDescent="0.25">
      <c r="A2269" s="94" t="s">
        <v>3749</v>
      </c>
      <c r="B2269" s="98">
        <v>71491</v>
      </c>
      <c r="C2269" s="98" t="s">
        <v>5235</v>
      </c>
      <c r="D2269" s="96" t="s">
        <v>165</v>
      </c>
      <c r="E2269" s="97">
        <v>120</v>
      </c>
      <c r="F2269" s="67" t="str">
        <f>IFERROR(IFERROR(INDEX(Кат!$A:$A,MATCH(Прайс!$B2269,Кат!$G:$G,0)),INDEX(Торг!$B:$B,MATCH(Прайс!$B2269,Торг!$H:$H,0))),"")</f>
        <v/>
      </c>
      <c r="G2269" s="67" t="str">
        <f>IFERROR(IFERROR(INDEX(Кат!$B:$B,MATCH(Прайс!$B2269,Кат!$G:$G,0)),INDEX(Торг!$C:$C,MATCH(Прайс!$B2269,Торг!$H:$H,0))),"")</f>
        <v/>
      </c>
      <c r="H2269" s="67" t="str">
        <f>IFERROR(IFERROR(INDEX(Кат!$I:$I,MATCH(Прайс!$B2269,Кат!$G:$G,0)),INDEX(Торг!$I:$I,MATCH(Прайс!$B2269,Торг!$H:$H,0))),"")</f>
        <v/>
      </c>
    </row>
    <row r="2270" spans="1:8" x14ac:dyDescent="0.25">
      <c r="A2270" s="94" t="s">
        <v>3756</v>
      </c>
      <c r="B2270" s="98">
        <v>71488</v>
      </c>
      <c r="C2270" s="98" t="s">
        <v>6981</v>
      </c>
      <c r="D2270" s="96" t="s">
        <v>165</v>
      </c>
      <c r="E2270" s="97">
        <v>120</v>
      </c>
      <c r="F2270" s="67" t="str">
        <f>IFERROR(IFERROR(INDEX(Кат!$A:$A,MATCH(Прайс!$B2270,Кат!$G:$G,0)),INDEX(Торг!$B:$B,MATCH(Прайс!$B2270,Торг!$H:$H,0))),"")</f>
        <v/>
      </c>
      <c r="G2270" s="67" t="str">
        <f>IFERROR(IFERROR(INDEX(Кат!$B:$B,MATCH(Прайс!$B2270,Кат!$G:$G,0)),INDEX(Торг!$C:$C,MATCH(Прайс!$B2270,Торг!$H:$H,0))),"")</f>
        <v/>
      </c>
      <c r="H2270" s="67" t="str">
        <f>IFERROR(IFERROR(INDEX(Кат!$I:$I,MATCH(Прайс!$B2270,Кат!$G:$G,0)),INDEX(Торг!$I:$I,MATCH(Прайс!$B2270,Торг!$H:$H,0))),"")</f>
        <v/>
      </c>
    </row>
    <row r="2271" spans="1:8" x14ac:dyDescent="0.25">
      <c r="A2271" s="94" t="s">
        <v>3755</v>
      </c>
      <c r="B2271" s="98">
        <v>71489</v>
      </c>
      <c r="C2271" s="98" t="s">
        <v>5236</v>
      </c>
      <c r="D2271" s="96" t="s">
        <v>165</v>
      </c>
      <c r="E2271" s="97">
        <v>120</v>
      </c>
      <c r="F2271" s="67" t="str">
        <f>IFERROR(IFERROR(INDEX(Кат!$A:$A,MATCH(Прайс!$B2271,Кат!$G:$G,0)),INDEX(Торг!$B:$B,MATCH(Прайс!$B2271,Торг!$H:$H,0))),"")</f>
        <v/>
      </c>
      <c r="G2271" s="67" t="str">
        <f>IFERROR(IFERROR(INDEX(Кат!$B:$B,MATCH(Прайс!$B2271,Кат!$G:$G,0)),INDEX(Торг!$C:$C,MATCH(Прайс!$B2271,Торг!$H:$H,0))),"")</f>
        <v/>
      </c>
      <c r="H2271" s="67" t="str">
        <f>IFERROR(IFERROR(INDEX(Кат!$I:$I,MATCH(Прайс!$B2271,Кат!$G:$G,0)),INDEX(Торг!$I:$I,MATCH(Прайс!$B2271,Торг!$H:$H,0))),"")</f>
        <v/>
      </c>
    </row>
    <row r="2272" spans="1:8" x14ac:dyDescent="0.25">
      <c r="A2272" s="94" t="s">
        <v>3748</v>
      </c>
      <c r="B2272" s="98">
        <v>71324</v>
      </c>
      <c r="C2272" s="98" t="s">
        <v>5237</v>
      </c>
      <c r="D2272" s="96" t="s">
        <v>165</v>
      </c>
      <c r="E2272" s="97">
        <v>120</v>
      </c>
      <c r="F2272" s="67" t="str">
        <f>IFERROR(IFERROR(INDEX(Кат!$A:$A,MATCH(Прайс!$B2272,Кат!$G:$G,0)),INDEX(Торг!$B:$B,MATCH(Прайс!$B2272,Торг!$H:$H,0))),"")</f>
        <v/>
      </c>
      <c r="G2272" s="67" t="str">
        <f>IFERROR(IFERROR(INDEX(Кат!$B:$B,MATCH(Прайс!$B2272,Кат!$G:$G,0)),INDEX(Торг!$C:$C,MATCH(Прайс!$B2272,Торг!$H:$H,0))),"")</f>
        <v/>
      </c>
      <c r="H2272" s="67" t="str">
        <f>IFERROR(IFERROR(INDEX(Кат!$I:$I,MATCH(Прайс!$B2272,Кат!$G:$G,0)),INDEX(Торг!$I:$I,MATCH(Прайс!$B2272,Торг!$H:$H,0))),"")</f>
        <v/>
      </c>
    </row>
    <row r="2273" spans="1:8" x14ac:dyDescent="0.25">
      <c r="A2273" s="94" t="s">
        <v>3738</v>
      </c>
      <c r="B2273" s="98">
        <v>71487</v>
      </c>
      <c r="C2273" s="98" t="s">
        <v>5238</v>
      </c>
      <c r="D2273" s="96" t="s">
        <v>165</v>
      </c>
      <c r="E2273" s="97">
        <v>120</v>
      </c>
      <c r="F2273" s="67" t="str">
        <f>IFERROR(IFERROR(INDEX(Кат!$A:$A,MATCH(Прайс!$B2273,Кат!$G:$G,0)),INDEX(Торг!$B:$B,MATCH(Прайс!$B2273,Торг!$H:$H,0))),"")</f>
        <v/>
      </c>
      <c r="G2273" s="67" t="str">
        <f>IFERROR(IFERROR(INDEX(Кат!$B:$B,MATCH(Прайс!$B2273,Кат!$G:$G,0)),INDEX(Торг!$C:$C,MATCH(Прайс!$B2273,Торг!$H:$H,0))),"")</f>
        <v/>
      </c>
      <c r="H2273" s="67" t="str">
        <f>IFERROR(IFERROR(INDEX(Кат!$I:$I,MATCH(Прайс!$B2273,Кат!$G:$G,0)),INDEX(Торг!$I:$I,MATCH(Прайс!$B2273,Торг!$H:$H,0))),"")</f>
        <v/>
      </c>
    </row>
    <row r="2274" spans="1:8" x14ac:dyDescent="0.25">
      <c r="A2274" s="94" t="s">
        <v>3743</v>
      </c>
      <c r="B2274" s="98">
        <v>71490</v>
      </c>
      <c r="C2274" s="98" t="s">
        <v>5239</v>
      </c>
      <c r="D2274" s="96" t="s">
        <v>165</v>
      </c>
      <c r="E2274" s="97">
        <v>120</v>
      </c>
      <c r="F2274" s="67" t="str">
        <f>IFERROR(IFERROR(INDEX(Кат!$A:$A,MATCH(Прайс!$B2274,Кат!$G:$G,0)),INDEX(Торг!$B:$B,MATCH(Прайс!$B2274,Торг!$H:$H,0))),"")</f>
        <v/>
      </c>
      <c r="G2274" s="67" t="str">
        <f>IFERROR(IFERROR(INDEX(Кат!$B:$B,MATCH(Прайс!$B2274,Кат!$G:$G,0)),INDEX(Торг!$C:$C,MATCH(Прайс!$B2274,Торг!$H:$H,0))),"")</f>
        <v/>
      </c>
      <c r="H2274" s="67" t="str">
        <f>IFERROR(IFERROR(INDEX(Кат!$I:$I,MATCH(Прайс!$B2274,Кат!$G:$G,0)),INDEX(Торг!$I:$I,MATCH(Прайс!$B2274,Торг!$H:$H,0))),"")</f>
        <v/>
      </c>
    </row>
    <row r="2275" spans="1:8" x14ac:dyDescent="0.25">
      <c r="A2275" s="94" t="s">
        <v>3731</v>
      </c>
      <c r="B2275" s="98">
        <v>70721</v>
      </c>
      <c r="C2275" s="98" t="s">
        <v>5240</v>
      </c>
      <c r="D2275" s="96" t="s">
        <v>165</v>
      </c>
      <c r="E2275" s="97">
        <v>120</v>
      </c>
      <c r="F2275" s="67" t="str">
        <f>IFERROR(IFERROR(INDEX(Кат!$A:$A,MATCH(Прайс!$B2275,Кат!$G:$G,0)),INDEX(Торг!$B:$B,MATCH(Прайс!$B2275,Торг!$H:$H,0))),"")</f>
        <v/>
      </c>
      <c r="G2275" s="67" t="str">
        <f>IFERROR(IFERROR(INDEX(Кат!$B:$B,MATCH(Прайс!$B2275,Кат!$G:$G,0)),INDEX(Торг!$C:$C,MATCH(Прайс!$B2275,Торг!$H:$H,0))),"")</f>
        <v/>
      </c>
      <c r="H2275" s="67" t="str">
        <f>IFERROR(IFERROR(INDEX(Кат!$I:$I,MATCH(Прайс!$B2275,Кат!$G:$G,0)),INDEX(Торг!$I:$I,MATCH(Прайс!$B2275,Торг!$H:$H,0))),"")</f>
        <v/>
      </c>
    </row>
    <row r="2276" spans="1:8" x14ac:dyDescent="0.25">
      <c r="A2276" s="94" t="s">
        <v>3732</v>
      </c>
      <c r="B2276" s="98">
        <v>71323</v>
      </c>
      <c r="C2276" s="98" t="s">
        <v>5241</v>
      </c>
      <c r="D2276" s="96" t="s">
        <v>165</v>
      </c>
      <c r="E2276" s="97">
        <v>120</v>
      </c>
      <c r="F2276" s="67" t="str">
        <f>IFERROR(IFERROR(INDEX(Кат!$A:$A,MATCH(Прайс!$B2276,Кат!$G:$G,0)),INDEX(Торг!$B:$B,MATCH(Прайс!$B2276,Торг!$H:$H,0))),"")</f>
        <v/>
      </c>
      <c r="G2276" s="67" t="str">
        <f>IFERROR(IFERROR(INDEX(Кат!$B:$B,MATCH(Прайс!$B2276,Кат!$G:$G,0)),INDEX(Торг!$C:$C,MATCH(Прайс!$B2276,Торг!$H:$H,0))),"")</f>
        <v/>
      </c>
      <c r="H2276" s="67" t="str">
        <f>IFERROR(IFERROR(INDEX(Кат!$I:$I,MATCH(Прайс!$B2276,Кат!$G:$G,0)),INDEX(Торг!$I:$I,MATCH(Прайс!$B2276,Торг!$H:$H,0))),"")</f>
        <v/>
      </c>
    </row>
    <row r="2277" spans="1:8" x14ac:dyDescent="0.25">
      <c r="A2277" s="94" t="s">
        <v>3733</v>
      </c>
      <c r="B2277" s="98">
        <v>70720</v>
      </c>
      <c r="C2277" s="98" t="s">
        <v>5242</v>
      </c>
      <c r="D2277" s="96" t="s">
        <v>165</v>
      </c>
      <c r="E2277" s="97">
        <v>120</v>
      </c>
      <c r="F2277" s="67" t="str">
        <f>IFERROR(IFERROR(INDEX(Кат!$A:$A,MATCH(Прайс!$B2277,Кат!$G:$G,0)),INDEX(Торг!$B:$B,MATCH(Прайс!$B2277,Торг!$H:$H,0))),"")</f>
        <v/>
      </c>
      <c r="G2277" s="67" t="str">
        <f>IFERROR(IFERROR(INDEX(Кат!$B:$B,MATCH(Прайс!$B2277,Кат!$G:$G,0)),INDEX(Торг!$C:$C,MATCH(Прайс!$B2277,Торг!$H:$H,0))),"")</f>
        <v/>
      </c>
      <c r="H2277" s="67" t="str">
        <f>IFERROR(IFERROR(INDEX(Кат!$I:$I,MATCH(Прайс!$B2277,Кат!$G:$G,0)),INDEX(Торг!$I:$I,MATCH(Прайс!$B2277,Торг!$H:$H,0))),"")</f>
        <v/>
      </c>
    </row>
    <row r="2278" spans="1:8" x14ac:dyDescent="0.25">
      <c r="A2278" s="94" t="s">
        <v>3734</v>
      </c>
      <c r="B2278" s="98">
        <v>71325</v>
      </c>
      <c r="C2278" s="98" t="s">
        <v>5243</v>
      </c>
      <c r="D2278" s="96" t="s">
        <v>165</v>
      </c>
      <c r="E2278" s="97">
        <v>120</v>
      </c>
      <c r="F2278" s="67" t="str">
        <f>IFERROR(IFERROR(INDEX(Кат!$A:$A,MATCH(Прайс!$B2278,Кат!$G:$G,0)),INDEX(Торг!$B:$B,MATCH(Прайс!$B2278,Торг!$H:$H,0))),"")</f>
        <v/>
      </c>
      <c r="G2278" s="67" t="str">
        <f>IFERROR(IFERROR(INDEX(Кат!$B:$B,MATCH(Прайс!$B2278,Кат!$G:$G,0)),INDEX(Торг!$C:$C,MATCH(Прайс!$B2278,Торг!$H:$H,0))),"")</f>
        <v/>
      </c>
      <c r="H2278" s="67" t="str">
        <f>IFERROR(IFERROR(INDEX(Кат!$I:$I,MATCH(Прайс!$B2278,Кат!$G:$G,0)),INDEX(Торг!$I:$I,MATCH(Прайс!$B2278,Торг!$H:$H,0))),"")</f>
        <v/>
      </c>
    </row>
    <row r="2279" spans="1:8" x14ac:dyDescent="0.25">
      <c r="A2279" s="94" t="s">
        <v>3735</v>
      </c>
      <c r="B2279" s="98">
        <v>70719</v>
      </c>
      <c r="C2279" s="98" t="s">
        <v>5244</v>
      </c>
      <c r="D2279" s="96" t="s">
        <v>165</v>
      </c>
      <c r="E2279" s="97">
        <v>120</v>
      </c>
      <c r="F2279" s="67" t="str">
        <f>IFERROR(IFERROR(INDEX(Кат!$A:$A,MATCH(Прайс!$B2279,Кат!$G:$G,0)),INDEX(Торг!$B:$B,MATCH(Прайс!$B2279,Торг!$H:$H,0))),"")</f>
        <v/>
      </c>
      <c r="G2279" s="67" t="str">
        <f>IFERROR(IFERROR(INDEX(Кат!$B:$B,MATCH(Прайс!$B2279,Кат!$G:$G,0)),INDEX(Торг!$C:$C,MATCH(Прайс!$B2279,Торг!$H:$H,0))),"")</f>
        <v/>
      </c>
      <c r="H2279" s="67" t="str">
        <f>IFERROR(IFERROR(INDEX(Кат!$I:$I,MATCH(Прайс!$B2279,Кат!$G:$G,0)),INDEX(Торг!$I:$I,MATCH(Прайс!$B2279,Торг!$H:$H,0))),"")</f>
        <v/>
      </c>
    </row>
    <row r="2280" spans="1:8" x14ac:dyDescent="0.25">
      <c r="A2280" s="94" t="s">
        <v>3736</v>
      </c>
      <c r="B2280" s="98">
        <v>71099</v>
      </c>
      <c r="C2280" s="98" t="s">
        <v>5245</v>
      </c>
      <c r="D2280" s="96" t="s">
        <v>165</v>
      </c>
      <c r="E2280" s="97">
        <v>120</v>
      </c>
      <c r="F2280" s="67" t="str">
        <f>IFERROR(IFERROR(INDEX(Кат!$A:$A,MATCH(Прайс!$B2280,Кат!$G:$G,0)),INDEX(Торг!$B:$B,MATCH(Прайс!$B2280,Торг!$H:$H,0))),"")</f>
        <v/>
      </c>
      <c r="G2280" s="67" t="str">
        <f>IFERROR(IFERROR(INDEX(Кат!$B:$B,MATCH(Прайс!$B2280,Кат!$G:$G,0)),INDEX(Торг!$C:$C,MATCH(Прайс!$B2280,Торг!$H:$H,0))),"")</f>
        <v/>
      </c>
      <c r="H2280" s="67" t="str">
        <f>IFERROR(IFERROR(INDEX(Кат!$I:$I,MATCH(Прайс!$B2280,Кат!$G:$G,0)),INDEX(Торг!$I:$I,MATCH(Прайс!$B2280,Торг!$H:$H,0))),"")</f>
        <v/>
      </c>
    </row>
    <row r="2281" spans="1:8" ht="15.75" x14ac:dyDescent="0.25">
      <c r="A2281" s="90"/>
      <c r="B2281" s="91"/>
      <c r="C2281" s="92" t="s">
        <v>1198</v>
      </c>
      <c r="D2281" s="91"/>
      <c r="E2281" s="93"/>
      <c r="F2281" s="67" t="str">
        <f>IFERROR(IFERROR(INDEX(Кат!$A:$A,MATCH(Прайс!$B2281,Кат!$G:$G,0)),INDEX(Торг!$B:$B,MATCH(Прайс!$B2281,Торг!$H:$H,0))),"")</f>
        <v/>
      </c>
      <c r="G2281" s="67" t="str">
        <f>IFERROR(IFERROR(INDEX(Кат!$B:$B,MATCH(Прайс!$B2281,Кат!$G:$G,0)),INDEX(Торг!$C:$C,MATCH(Прайс!$B2281,Торг!$H:$H,0))),"")</f>
        <v/>
      </c>
      <c r="H2281" s="67" t="str">
        <f>IFERROR(IFERROR(INDEX(Кат!$I:$I,MATCH(Прайс!$B2281,Кат!$G:$G,0)),INDEX(Торг!$I:$I,MATCH(Прайс!$B2281,Торг!$H:$H,0))),"")</f>
        <v/>
      </c>
    </row>
    <row r="2282" spans="1:8" x14ac:dyDescent="0.25">
      <c r="A2282" s="103" t="s">
        <v>7681</v>
      </c>
      <c r="B2282" s="104">
        <v>71137</v>
      </c>
      <c r="C2282" s="104" t="s">
        <v>7682</v>
      </c>
      <c r="D2282" s="105" t="s">
        <v>160</v>
      </c>
      <c r="E2282" s="113">
        <v>355</v>
      </c>
      <c r="F2282" s="67" t="str">
        <f>IFERROR(IFERROR(INDEX(Кат!$A:$A,MATCH(Прайс!$B2282,Кат!$G:$G,0)),INDEX(Торг!$B:$B,MATCH(Прайс!$B2282,Торг!$H:$H,0))),"")</f>
        <v/>
      </c>
      <c r="G2282" s="67" t="str">
        <f>IFERROR(IFERROR(INDEX(Кат!$B:$B,MATCH(Прайс!$B2282,Кат!$G:$G,0)),INDEX(Торг!$C:$C,MATCH(Прайс!$B2282,Торг!$H:$H,0))),"")</f>
        <v/>
      </c>
      <c r="H2282" s="67" t="str">
        <f>IFERROR(IFERROR(INDEX(Кат!$I:$I,MATCH(Прайс!$B2282,Кат!$G:$G,0)),INDEX(Торг!$I:$I,MATCH(Прайс!$B2282,Торг!$H:$H,0))),"")</f>
        <v/>
      </c>
    </row>
    <row r="2283" spans="1:8" x14ac:dyDescent="0.25">
      <c r="A2283" s="103" t="s">
        <v>7683</v>
      </c>
      <c r="B2283" s="104">
        <v>71136</v>
      </c>
      <c r="C2283" s="104" t="s">
        <v>7684</v>
      </c>
      <c r="D2283" s="105" t="s">
        <v>160</v>
      </c>
      <c r="E2283" s="113">
        <v>355</v>
      </c>
      <c r="F2283" s="67" t="str">
        <f>IFERROR(IFERROR(INDEX(Кат!$A:$A,MATCH(Прайс!$B2283,Кат!$G:$G,0)),INDEX(Торг!$B:$B,MATCH(Прайс!$B2283,Торг!$H:$H,0))),"")</f>
        <v/>
      </c>
      <c r="G2283" s="67" t="str">
        <f>IFERROR(IFERROR(INDEX(Кат!$B:$B,MATCH(Прайс!$B2283,Кат!$G:$G,0)),INDEX(Торг!$C:$C,MATCH(Прайс!$B2283,Торг!$H:$H,0))),"")</f>
        <v/>
      </c>
      <c r="H2283" s="67" t="str">
        <f>IFERROR(IFERROR(INDEX(Кат!$I:$I,MATCH(Прайс!$B2283,Кат!$G:$G,0)),INDEX(Торг!$I:$I,MATCH(Прайс!$B2283,Торг!$H:$H,0))),"")</f>
        <v/>
      </c>
    </row>
    <row r="2284" spans="1:8" x14ac:dyDescent="0.25">
      <c r="A2284" s="103" t="s">
        <v>3759</v>
      </c>
      <c r="B2284" s="104">
        <v>71295</v>
      </c>
      <c r="C2284" s="104" t="s">
        <v>1199</v>
      </c>
      <c r="D2284" s="105" t="s">
        <v>166</v>
      </c>
      <c r="E2284" s="113">
        <v>60</v>
      </c>
      <c r="F2284" s="67" t="str">
        <f>IFERROR(IFERROR(INDEX(Кат!$A:$A,MATCH(Прайс!$B2284,Кат!$G:$G,0)),INDEX(Торг!$B:$B,MATCH(Прайс!$B2284,Торг!$H:$H,0))),"")</f>
        <v/>
      </c>
      <c r="G2284" s="67" t="str">
        <f>IFERROR(IFERROR(INDEX(Кат!$B:$B,MATCH(Прайс!$B2284,Кат!$G:$G,0)),INDEX(Торг!$C:$C,MATCH(Прайс!$B2284,Торг!$H:$H,0))),"")</f>
        <v/>
      </c>
      <c r="H2284" s="67" t="str">
        <f>IFERROR(IFERROR(INDEX(Кат!$I:$I,MATCH(Прайс!$B2284,Кат!$G:$G,0)),INDEX(Торг!$I:$I,MATCH(Прайс!$B2284,Торг!$H:$H,0))),"")</f>
        <v/>
      </c>
    </row>
    <row r="2285" spans="1:8" x14ac:dyDescent="0.25">
      <c r="A2285" s="103" t="s">
        <v>5246</v>
      </c>
      <c r="B2285" s="104">
        <v>71519</v>
      </c>
      <c r="C2285" s="104" t="s">
        <v>5247</v>
      </c>
      <c r="D2285" s="105" t="s">
        <v>582</v>
      </c>
      <c r="E2285" s="113">
        <v>100</v>
      </c>
      <c r="F2285" s="67" t="str">
        <f>IFERROR(IFERROR(INDEX(Кат!$A:$A,MATCH(Прайс!$B2285,Кат!$G:$G,0)),INDEX(Торг!$B:$B,MATCH(Прайс!$B2285,Торг!$H:$H,0))),"")</f>
        <v/>
      </c>
      <c r="G2285" s="67" t="str">
        <f>IFERROR(IFERROR(INDEX(Кат!$B:$B,MATCH(Прайс!$B2285,Кат!$G:$G,0)),INDEX(Торг!$C:$C,MATCH(Прайс!$B2285,Торг!$H:$H,0))),"")</f>
        <v/>
      </c>
      <c r="H2285" s="67" t="str">
        <f>IFERROR(IFERROR(INDEX(Кат!$I:$I,MATCH(Прайс!$B2285,Кат!$G:$G,0)),INDEX(Торг!$I:$I,MATCH(Прайс!$B2285,Торг!$H:$H,0))),"")</f>
        <v/>
      </c>
    </row>
    <row r="2286" spans="1:8" x14ac:dyDescent="0.25">
      <c r="A2286" s="94" t="s">
        <v>6375</v>
      </c>
      <c r="B2286" s="98">
        <v>72103</v>
      </c>
      <c r="C2286" s="98" t="s">
        <v>6376</v>
      </c>
      <c r="D2286" s="96" t="s">
        <v>166</v>
      </c>
      <c r="E2286" s="97">
        <v>140</v>
      </c>
      <c r="F2286" s="67" t="str">
        <f>IFERROR(IFERROR(INDEX(Кат!$A:$A,MATCH(Прайс!$B2286,Кат!$G:$G,0)),INDEX(Торг!$B:$B,MATCH(Прайс!$B2286,Торг!$H:$H,0))),"")</f>
        <v/>
      </c>
      <c r="G2286" s="67" t="str">
        <f>IFERROR(IFERROR(INDEX(Кат!$B:$B,MATCH(Прайс!$B2286,Кат!$G:$G,0)),INDEX(Торг!$C:$C,MATCH(Прайс!$B2286,Торг!$H:$H,0))),"")</f>
        <v/>
      </c>
      <c r="H2286" s="67" t="str">
        <f>IFERROR(IFERROR(INDEX(Кат!$I:$I,MATCH(Прайс!$B2286,Кат!$G:$G,0)),INDEX(Торг!$I:$I,MATCH(Прайс!$B2286,Торг!$H:$H,0))),"")</f>
        <v/>
      </c>
    </row>
    <row r="2287" spans="1:8" x14ac:dyDescent="0.25">
      <c r="A2287" s="94" t="s">
        <v>6377</v>
      </c>
      <c r="B2287" s="98">
        <v>72104</v>
      </c>
      <c r="C2287" s="98" t="s">
        <v>6378</v>
      </c>
      <c r="D2287" s="96" t="s">
        <v>166</v>
      </c>
      <c r="E2287" s="97">
        <v>140</v>
      </c>
      <c r="F2287" s="67" t="str">
        <f>IFERROR(IFERROR(INDEX(Кат!$A:$A,MATCH(Прайс!$B2287,Кат!$G:$G,0)),INDEX(Торг!$B:$B,MATCH(Прайс!$B2287,Торг!$H:$H,0))),"")</f>
        <v/>
      </c>
      <c r="G2287" s="67" t="str">
        <f>IFERROR(IFERROR(INDEX(Кат!$B:$B,MATCH(Прайс!$B2287,Кат!$G:$G,0)),INDEX(Торг!$C:$C,MATCH(Прайс!$B2287,Торг!$H:$H,0))),"")</f>
        <v/>
      </c>
      <c r="H2287" s="67" t="str">
        <f>IFERROR(IFERROR(INDEX(Кат!$I:$I,MATCH(Прайс!$B2287,Кат!$G:$G,0)),INDEX(Торг!$I:$I,MATCH(Прайс!$B2287,Торг!$H:$H,0))),"")</f>
        <v/>
      </c>
    </row>
    <row r="2288" spans="1:8" x14ac:dyDescent="0.25">
      <c r="A2288" s="94" t="s">
        <v>6379</v>
      </c>
      <c r="B2288" s="98">
        <v>72105</v>
      </c>
      <c r="C2288" s="98" t="s">
        <v>6380</v>
      </c>
      <c r="D2288" s="96" t="s">
        <v>166</v>
      </c>
      <c r="E2288" s="97">
        <v>140</v>
      </c>
      <c r="F2288" s="67" t="str">
        <f>IFERROR(IFERROR(INDEX(Кат!$A:$A,MATCH(Прайс!$B2288,Кат!$G:$G,0)),INDEX(Торг!$B:$B,MATCH(Прайс!$B2288,Торг!$H:$H,0))),"")</f>
        <v/>
      </c>
      <c r="G2288" s="67" t="str">
        <f>IFERROR(IFERROR(INDEX(Кат!$B:$B,MATCH(Прайс!$B2288,Кат!$G:$G,0)),INDEX(Торг!$C:$C,MATCH(Прайс!$B2288,Торг!$H:$H,0))),"")</f>
        <v/>
      </c>
      <c r="H2288" s="67" t="str">
        <f>IFERROR(IFERROR(INDEX(Кат!$I:$I,MATCH(Прайс!$B2288,Кат!$G:$G,0)),INDEX(Торг!$I:$I,MATCH(Прайс!$B2288,Торг!$H:$H,0))),"")</f>
        <v/>
      </c>
    </row>
    <row r="2289" spans="1:8" x14ac:dyDescent="0.25">
      <c r="A2289" s="94" t="s">
        <v>6982</v>
      </c>
      <c r="B2289" s="98">
        <v>72106</v>
      </c>
      <c r="C2289" s="98" t="s">
        <v>6983</v>
      </c>
      <c r="D2289" s="96" t="s">
        <v>166</v>
      </c>
      <c r="E2289" s="97">
        <v>140</v>
      </c>
      <c r="F2289" s="67" t="str">
        <f>IFERROR(IFERROR(INDEX(Кат!$A:$A,MATCH(Прайс!$B2289,Кат!$G:$G,0)),INDEX(Торг!$B:$B,MATCH(Прайс!$B2289,Торг!$H:$H,0))),"")</f>
        <v/>
      </c>
      <c r="G2289" s="67" t="str">
        <f>IFERROR(IFERROR(INDEX(Кат!$B:$B,MATCH(Прайс!$B2289,Кат!$G:$G,0)),INDEX(Торг!$C:$C,MATCH(Прайс!$B2289,Торг!$H:$H,0))),"")</f>
        <v/>
      </c>
      <c r="H2289" s="67" t="str">
        <f>IFERROR(IFERROR(INDEX(Кат!$I:$I,MATCH(Прайс!$B2289,Кат!$G:$G,0)),INDEX(Торг!$I:$I,MATCH(Прайс!$B2289,Торг!$H:$H,0))),"")</f>
        <v/>
      </c>
    </row>
    <row r="2290" spans="1:8" x14ac:dyDescent="0.25">
      <c r="A2290" s="94" t="s">
        <v>5934</v>
      </c>
      <c r="B2290" s="98">
        <v>72107</v>
      </c>
      <c r="C2290" s="98" t="s">
        <v>5935</v>
      </c>
      <c r="D2290" s="96" t="s">
        <v>166</v>
      </c>
      <c r="E2290" s="97">
        <v>140</v>
      </c>
      <c r="F2290" s="67" t="str">
        <f>IFERROR(IFERROR(INDEX(Кат!$A:$A,MATCH(Прайс!$B2290,Кат!$G:$G,0)),INDEX(Торг!$B:$B,MATCH(Прайс!$B2290,Торг!$H:$H,0))),"")</f>
        <v/>
      </c>
      <c r="G2290" s="67" t="str">
        <f>IFERROR(IFERROR(INDEX(Кат!$B:$B,MATCH(Прайс!$B2290,Кат!$G:$G,0)),INDEX(Торг!$C:$C,MATCH(Прайс!$B2290,Торг!$H:$H,0))),"")</f>
        <v/>
      </c>
      <c r="H2290" s="67" t="str">
        <f>IFERROR(IFERROR(INDEX(Кат!$I:$I,MATCH(Прайс!$B2290,Кат!$G:$G,0)),INDEX(Торг!$I:$I,MATCH(Прайс!$B2290,Торг!$H:$H,0))),"")</f>
        <v/>
      </c>
    </row>
    <row r="2291" spans="1:8" x14ac:dyDescent="0.25">
      <c r="A2291" s="94" t="s">
        <v>6381</v>
      </c>
      <c r="B2291" s="98">
        <v>72108</v>
      </c>
      <c r="C2291" s="98" t="s">
        <v>6382</v>
      </c>
      <c r="D2291" s="96" t="s">
        <v>166</v>
      </c>
      <c r="E2291" s="97">
        <v>140</v>
      </c>
      <c r="F2291" s="67" t="str">
        <f>IFERROR(IFERROR(INDEX(Кат!$A:$A,MATCH(Прайс!$B2291,Кат!$G:$G,0)),INDEX(Торг!$B:$B,MATCH(Прайс!$B2291,Торг!$H:$H,0))),"")</f>
        <v/>
      </c>
      <c r="G2291" s="67" t="str">
        <f>IFERROR(IFERROR(INDEX(Кат!$B:$B,MATCH(Прайс!$B2291,Кат!$G:$G,0)),INDEX(Торг!$C:$C,MATCH(Прайс!$B2291,Торг!$H:$H,0))),"")</f>
        <v/>
      </c>
      <c r="H2291" s="67" t="str">
        <f>IFERROR(IFERROR(INDEX(Кат!$I:$I,MATCH(Прайс!$B2291,Кат!$G:$G,0)),INDEX(Торг!$I:$I,MATCH(Прайс!$B2291,Торг!$H:$H,0))),"")</f>
        <v/>
      </c>
    </row>
    <row r="2292" spans="1:8" x14ac:dyDescent="0.25">
      <c r="A2292" s="94" t="s">
        <v>3760</v>
      </c>
      <c r="B2292" s="98">
        <v>72109</v>
      </c>
      <c r="C2292" s="98" t="s">
        <v>1201</v>
      </c>
      <c r="D2292" s="96" t="s">
        <v>166</v>
      </c>
      <c r="E2292" s="97">
        <v>140</v>
      </c>
      <c r="F2292" s="67" t="str">
        <f>IFERROR(IFERROR(INDEX(Кат!$A:$A,MATCH(Прайс!$B2292,Кат!$G:$G,0)),INDEX(Торг!$B:$B,MATCH(Прайс!$B2292,Торг!$H:$H,0))),"")</f>
        <v/>
      </c>
      <c r="G2292" s="67" t="str">
        <f>IFERROR(IFERROR(INDEX(Кат!$B:$B,MATCH(Прайс!$B2292,Кат!$G:$G,0)),INDEX(Торг!$C:$C,MATCH(Прайс!$B2292,Торг!$H:$H,0))),"")</f>
        <v/>
      </c>
      <c r="H2292" s="67" t="str">
        <f>IFERROR(IFERROR(INDEX(Кат!$I:$I,MATCH(Прайс!$B2292,Кат!$G:$G,0)),INDEX(Торг!$I:$I,MATCH(Прайс!$B2292,Торг!$H:$H,0))),"")</f>
        <v/>
      </c>
    </row>
    <row r="2293" spans="1:8" x14ac:dyDescent="0.25">
      <c r="A2293" s="94" t="s">
        <v>6383</v>
      </c>
      <c r="B2293" s="98">
        <v>72110</v>
      </c>
      <c r="C2293" s="98" t="s">
        <v>6384</v>
      </c>
      <c r="D2293" s="96" t="s">
        <v>166</v>
      </c>
      <c r="E2293" s="97">
        <v>140</v>
      </c>
      <c r="F2293" s="67" t="str">
        <f>IFERROR(IFERROR(INDEX(Кат!$A:$A,MATCH(Прайс!$B2293,Кат!$G:$G,0)),INDEX(Торг!$B:$B,MATCH(Прайс!$B2293,Торг!$H:$H,0))),"")</f>
        <v/>
      </c>
      <c r="G2293" s="67" t="str">
        <f>IFERROR(IFERROR(INDEX(Кат!$B:$B,MATCH(Прайс!$B2293,Кат!$G:$G,0)),INDEX(Торг!$C:$C,MATCH(Прайс!$B2293,Торг!$H:$H,0))),"")</f>
        <v/>
      </c>
      <c r="H2293" s="67" t="str">
        <f>IFERROR(IFERROR(INDEX(Кат!$I:$I,MATCH(Прайс!$B2293,Кат!$G:$G,0)),INDEX(Торг!$I:$I,MATCH(Прайс!$B2293,Торг!$H:$H,0))),"")</f>
        <v/>
      </c>
    </row>
    <row r="2294" spans="1:8" x14ac:dyDescent="0.25">
      <c r="A2294" s="94" t="s">
        <v>3761</v>
      </c>
      <c r="B2294" s="98">
        <v>72111</v>
      </c>
      <c r="C2294" s="98" t="s">
        <v>1202</v>
      </c>
      <c r="D2294" s="96" t="s">
        <v>166</v>
      </c>
      <c r="E2294" s="97">
        <v>140</v>
      </c>
      <c r="F2294" s="67" t="str">
        <f>IFERROR(IFERROR(INDEX(Кат!$A:$A,MATCH(Прайс!$B2294,Кат!$G:$G,0)),INDEX(Торг!$B:$B,MATCH(Прайс!$B2294,Торг!$H:$H,0))),"")</f>
        <v/>
      </c>
      <c r="G2294" s="67" t="str">
        <f>IFERROR(IFERROR(INDEX(Кат!$B:$B,MATCH(Прайс!$B2294,Кат!$G:$G,0)),INDEX(Торг!$C:$C,MATCH(Прайс!$B2294,Торг!$H:$H,0))),"")</f>
        <v/>
      </c>
      <c r="H2294" s="67" t="str">
        <f>IFERROR(IFERROR(INDEX(Кат!$I:$I,MATCH(Прайс!$B2294,Кат!$G:$G,0)),INDEX(Торг!$I:$I,MATCH(Прайс!$B2294,Торг!$H:$H,0))),"")</f>
        <v/>
      </c>
    </row>
    <row r="2295" spans="1:8" x14ac:dyDescent="0.25">
      <c r="A2295" s="94" t="s">
        <v>6385</v>
      </c>
      <c r="B2295" s="98">
        <v>72112</v>
      </c>
      <c r="C2295" s="98" t="s">
        <v>6386</v>
      </c>
      <c r="D2295" s="96" t="s">
        <v>166</v>
      </c>
      <c r="E2295" s="97">
        <v>140</v>
      </c>
      <c r="F2295" s="67" t="str">
        <f>IFERROR(IFERROR(INDEX(Кат!$A:$A,MATCH(Прайс!$B2295,Кат!$G:$G,0)),INDEX(Торг!$B:$B,MATCH(Прайс!$B2295,Торг!$H:$H,0))),"")</f>
        <v/>
      </c>
      <c r="G2295" s="67" t="str">
        <f>IFERROR(IFERROR(INDEX(Кат!$B:$B,MATCH(Прайс!$B2295,Кат!$G:$G,0)),INDEX(Торг!$C:$C,MATCH(Прайс!$B2295,Торг!$H:$H,0))),"")</f>
        <v/>
      </c>
      <c r="H2295" s="67" t="str">
        <f>IFERROR(IFERROR(INDEX(Кат!$I:$I,MATCH(Прайс!$B2295,Кат!$G:$G,0)),INDEX(Торг!$I:$I,MATCH(Прайс!$B2295,Торг!$H:$H,0))),"")</f>
        <v/>
      </c>
    </row>
    <row r="2296" spans="1:8" x14ac:dyDescent="0.25">
      <c r="A2296" s="94" t="s">
        <v>3762</v>
      </c>
      <c r="B2296" s="98">
        <v>70313</v>
      </c>
      <c r="C2296" s="98" t="s">
        <v>3763</v>
      </c>
      <c r="D2296" s="96" t="s">
        <v>177</v>
      </c>
      <c r="E2296" s="97">
        <v>85</v>
      </c>
      <c r="F2296" s="67" t="str">
        <f>IFERROR(IFERROR(INDEX(Кат!$A:$A,MATCH(Прайс!$B2296,Кат!$G:$G,0)),INDEX(Торг!$B:$B,MATCH(Прайс!$B2296,Торг!$H:$H,0))),"")</f>
        <v/>
      </c>
      <c r="G2296" s="67" t="str">
        <f>IFERROR(IFERROR(INDEX(Кат!$B:$B,MATCH(Прайс!$B2296,Кат!$G:$G,0)),INDEX(Торг!$C:$C,MATCH(Прайс!$B2296,Торг!$H:$H,0))),"")</f>
        <v/>
      </c>
      <c r="H2296" s="67" t="str">
        <f>IFERROR(IFERROR(INDEX(Кат!$I:$I,MATCH(Прайс!$B2296,Кат!$G:$G,0)),INDEX(Торг!$I:$I,MATCH(Прайс!$B2296,Торг!$H:$H,0))),"")</f>
        <v/>
      </c>
    </row>
    <row r="2297" spans="1:8" x14ac:dyDescent="0.25">
      <c r="A2297" s="94" t="s">
        <v>3764</v>
      </c>
      <c r="B2297" s="98">
        <v>70314</v>
      </c>
      <c r="C2297" s="98" t="s">
        <v>3765</v>
      </c>
      <c r="D2297" s="96" t="s">
        <v>177</v>
      </c>
      <c r="E2297" s="97">
        <v>85</v>
      </c>
      <c r="F2297" s="67" t="str">
        <f>IFERROR(IFERROR(INDEX(Кат!$A:$A,MATCH(Прайс!$B2297,Кат!$G:$G,0)),INDEX(Торг!$B:$B,MATCH(Прайс!$B2297,Торг!$H:$H,0))),"")</f>
        <v/>
      </c>
      <c r="G2297" s="67" t="str">
        <f>IFERROR(IFERROR(INDEX(Кат!$B:$B,MATCH(Прайс!$B2297,Кат!$G:$G,0)),INDEX(Торг!$C:$C,MATCH(Прайс!$B2297,Торг!$H:$H,0))),"")</f>
        <v/>
      </c>
      <c r="H2297" s="67" t="str">
        <f>IFERROR(IFERROR(INDEX(Кат!$I:$I,MATCH(Прайс!$B2297,Кат!$G:$G,0)),INDEX(Торг!$I:$I,MATCH(Прайс!$B2297,Торг!$H:$H,0))),"")</f>
        <v/>
      </c>
    </row>
    <row r="2298" spans="1:8" x14ac:dyDescent="0.25">
      <c r="A2298" s="94" t="s">
        <v>3766</v>
      </c>
      <c r="B2298" s="98">
        <v>70312</v>
      </c>
      <c r="C2298" s="98" t="s">
        <v>1203</v>
      </c>
      <c r="D2298" s="96" t="s">
        <v>177</v>
      </c>
      <c r="E2298" s="97">
        <v>85</v>
      </c>
      <c r="F2298" s="67" t="str">
        <f>IFERROR(IFERROR(INDEX(Кат!$A:$A,MATCH(Прайс!$B2298,Кат!$G:$G,0)),INDEX(Торг!$B:$B,MATCH(Прайс!$B2298,Торг!$H:$H,0))),"")</f>
        <v/>
      </c>
      <c r="G2298" s="67" t="str">
        <f>IFERROR(IFERROR(INDEX(Кат!$B:$B,MATCH(Прайс!$B2298,Кат!$G:$G,0)),INDEX(Торг!$C:$C,MATCH(Прайс!$B2298,Торг!$H:$H,0))),"")</f>
        <v/>
      </c>
      <c r="H2298" s="67" t="str">
        <f>IFERROR(IFERROR(INDEX(Кат!$I:$I,MATCH(Прайс!$B2298,Кат!$G:$G,0)),INDEX(Торг!$I:$I,MATCH(Прайс!$B2298,Торг!$H:$H,0))),"")</f>
        <v/>
      </c>
    </row>
    <row r="2299" spans="1:8" x14ac:dyDescent="0.25">
      <c r="A2299" s="94" t="s">
        <v>3767</v>
      </c>
      <c r="B2299" s="98">
        <v>70316</v>
      </c>
      <c r="C2299" s="98" t="s">
        <v>1204</v>
      </c>
      <c r="D2299" s="96" t="s">
        <v>177</v>
      </c>
      <c r="E2299" s="97">
        <v>85</v>
      </c>
      <c r="F2299" s="67" t="str">
        <f>IFERROR(IFERROR(INDEX(Кат!$A:$A,MATCH(Прайс!$B2299,Кат!$G:$G,0)),INDEX(Торг!$B:$B,MATCH(Прайс!$B2299,Торг!$H:$H,0))),"")</f>
        <v/>
      </c>
      <c r="G2299" s="67" t="str">
        <f>IFERROR(IFERROR(INDEX(Кат!$B:$B,MATCH(Прайс!$B2299,Кат!$G:$G,0)),INDEX(Торг!$C:$C,MATCH(Прайс!$B2299,Торг!$H:$H,0))),"")</f>
        <v/>
      </c>
      <c r="H2299" s="67" t="str">
        <f>IFERROR(IFERROR(INDEX(Кат!$I:$I,MATCH(Прайс!$B2299,Кат!$G:$G,0)),INDEX(Торг!$I:$I,MATCH(Прайс!$B2299,Торг!$H:$H,0))),"")</f>
        <v/>
      </c>
    </row>
    <row r="2300" spans="1:8" x14ac:dyDescent="0.25">
      <c r="A2300" s="94" t="s">
        <v>3768</v>
      </c>
      <c r="B2300" s="98">
        <v>70315</v>
      </c>
      <c r="C2300" s="98" t="s">
        <v>3769</v>
      </c>
      <c r="D2300" s="96" t="s">
        <v>177</v>
      </c>
      <c r="E2300" s="97">
        <v>85</v>
      </c>
      <c r="F2300" s="67" t="str">
        <f>IFERROR(IFERROR(INDEX(Кат!$A:$A,MATCH(Прайс!$B2300,Кат!$G:$G,0)),INDEX(Торг!$B:$B,MATCH(Прайс!$B2300,Торг!$H:$H,0))),"")</f>
        <v/>
      </c>
      <c r="G2300" s="67" t="str">
        <f>IFERROR(IFERROR(INDEX(Кат!$B:$B,MATCH(Прайс!$B2300,Кат!$G:$G,0)),INDEX(Торг!$C:$C,MATCH(Прайс!$B2300,Торг!$H:$H,0))),"")</f>
        <v/>
      </c>
      <c r="H2300" s="67" t="str">
        <f>IFERROR(IFERROR(INDEX(Кат!$I:$I,MATCH(Прайс!$B2300,Кат!$G:$G,0)),INDEX(Торг!$I:$I,MATCH(Прайс!$B2300,Торг!$H:$H,0))),"")</f>
        <v/>
      </c>
    </row>
    <row r="2301" spans="1:8" x14ac:dyDescent="0.25">
      <c r="A2301" s="94" t="s">
        <v>3770</v>
      </c>
      <c r="B2301" s="98">
        <v>70318</v>
      </c>
      <c r="C2301" s="98" t="s">
        <v>3771</v>
      </c>
      <c r="D2301" s="96" t="s">
        <v>177</v>
      </c>
      <c r="E2301" s="97">
        <v>85</v>
      </c>
      <c r="F2301" s="67" t="str">
        <f>IFERROR(IFERROR(INDEX(Кат!$A:$A,MATCH(Прайс!$B2301,Кат!$G:$G,0)),INDEX(Торг!$B:$B,MATCH(Прайс!$B2301,Торг!$H:$H,0))),"")</f>
        <v/>
      </c>
      <c r="G2301" s="67" t="str">
        <f>IFERROR(IFERROR(INDEX(Кат!$B:$B,MATCH(Прайс!$B2301,Кат!$G:$G,0)),INDEX(Торг!$C:$C,MATCH(Прайс!$B2301,Торг!$H:$H,0))),"")</f>
        <v/>
      </c>
      <c r="H2301" s="67" t="str">
        <f>IFERROR(IFERROR(INDEX(Кат!$I:$I,MATCH(Прайс!$B2301,Кат!$G:$G,0)),INDEX(Торг!$I:$I,MATCH(Прайс!$B2301,Торг!$H:$H,0))),"")</f>
        <v/>
      </c>
    </row>
    <row r="2302" spans="1:8" x14ac:dyDescent="0.25">
      <c r="A2302" s="94" t="s">
        <v>3772</v>
      </c>
      <c r="B2302" s="98">
        <v>71679</v>
      </c>
      <c r="C2302" s="98" t="s">
        <v>1205</v>
      </c>
      <c r="D2302" s="96" t="s">
        <v>177</v>
      </c>
      <c r="E2302" s="97">
        <v>85</v>
      </c>
      <c r="F2302" s="67" t="str">
        <f>IFERROR(IFERROR(INDEX(Кат!$A:$A,MATCH(Прайс!$B2302,Кат!$G:$G,0)),INDEX(Торг!$B:$B,MATCH(Прайс!$B2302,Торг!$H:$H,0))),"")</f>
        <v/>
      </c>
      <c r="G2302" s="67" t="str">
        <f>IFERROR(IFERROR(INDEX(Кат!$B:$B,MATCH(Прайс!$B2302,Кат!$G:$G,0)),INDEX(Торг!$C:$C,MATCH(Прайс!$B2302,Торг!$H:$H,0))),"")</f>
        <v/>
      </c>
      <c r="H2302" s="67" t="str">
        <f>IFERROR(IFERROR(INDEX(Кат!$I:$I,MATCH(Прайс!$B2302,Кат!$G:$G,0)),INDEX(Торг!$I:$I,MATCH(Прайс!$B2302,Торг!$H:$H,0))),"")</f>
        <v/>
      </c>
    </row>
    <row r="2303" spans="1:8" x14ac:dyDescent="0.25">
      <c r="A2303" s="94" t="s">
        <v>3773</v>
      </c>
      <c r="B2303" s="98">
        <v>71678</v>
      </c>
      <c r="C2303" s="98" t="s">
        <v>1206</v>
      </c>
      <c r="D2303" s="96" t="s">
        <v>177</v>
      </c>
      <c r="E2303" s="97">
        <v>85</v>
      </c>
      <c r="F2303" s="67" t="str">
        <f>IFERROR(IFERROR(INDEX(Кат!$A:$A,MATCH(Прайс!$B2303,Кат!$G:$G,0)),INDEX(Торг!$B:$B,MATCH(Прайс!$B2303,Торг!$H:$H,0))),"")</f>
        <v/>
      </c>
      <c r="G2303" s="67" t="str">
        <f>IFERROR(IFERROR(INDEX(Кат!$B:$B,MATCH(Прайс!$B2303,Кат!$G:$G,0)),INDEX(Торг!$C:$C,MATCH(Прайс!$B2303,Торг!$H:$H,0))),"")</f>
        <v/>
      </c>
      <c r="H2303" s="67" t="str">
        <f>IFERROR(IFERROR(INDEX(Кат!$I:$I,MATCH(Прайс!$B2303,Кат!$G:$G,0)),INDEX(Торг!$I:$I,MATCH(Прайс!$B2303,Торг!$H:$H,0))),"")</f>
        <v/>
      </c>
    </row>
    <row r="2304" spans="1:8" x14ac:dyDescent="0.25">
      <c r="A2304" s="103" t="s">
        <v>3774</v>
      </c>
      <c r="B2304" s="104">
        <v>72346</v>
      </c>
      <c r="C2304" s="104" t="s">
        <v>2129</v>
      </c>
      <c r="D2304" s="105" t="s">
        <v>160</v>
      </c>
      <c r="E2304" s="113">
        <v>30</v>
      </c>
      <c r="F2304" s="67" t="str">
        <f>IFERROR(IFERROR(INDEX(Кат!$A:$A,MATCH(Прайс!$B2304,Кат!$G:$G,0)),INDEX(Торг!$B:$B,MATCH(Прайс!$B2304,Торг!$H:$H,0))),"")</f>
        <v/>
      </c>
      <c r="G2304" s="67" t="str">
        <f>IFERROR(IFERROR(INDEX(Кат!$B:$B,MATCH(Прайс!$B2304,Кат!$G:$G,0)),INDEX(Торг!$C:$C,MATCH(Прайс!$B2304,Торг!$H:$H,0))),"")</f>
        <v/>
      </c>
      <c r="H2304" s="67" t="str">
        <f>IFERROR(IFERROR(INDEX(Кат!$I:$I,MATCH(Прайс!$B2304,Кат!$G:$G,0)),INDEX(Торг!$I:$I,MATCH(Прайс!$B2304,Торг!$H:$H,0))),"")</f>
        <v/>
      </c>
    </row>
    <row r="2305" spans="1:8" x14ac:dyDescent="0.25">
      <c r="A2305" s="103" t="s">
        <v>3775</v>
      </c>
      <c r="B2305" s="104">
        <v>72343</v>
      </c>
      <c r="C2305" s="104" t="s">
        <v>2130</v>
      </c>
      <c r="D2305" s="105" t="s">
        <v>160</v>
      </c>
      <c r="E2305" s="113">
        <v>30</v>
      </c>
      <c r="F2305" s="67" t="str">
        <f>IFERROR(IFERROR(INDEX(Кат!$A:$A,MATCH(Прайс!$B2305,Кат!$G:$G,0)),INDEX(Торг!$B:$B,MATCH(Прайс!$B2305,Торг!$H:$H,0))),"")</f>
        <v/>
      </c>
      <c r="G2305" s="67" t="str">
        <f>IFERROR(IFERROR(INDEX(Кат!$B:$B,MATCH(Прайс!$B2305,Кат!$G:$G,0)),INDEX(Торг!$C:$C,MATCH(Прайс!$B2305,Торг!$H:$H,0))),"")</f>
        <v/>
      </c>
      <c r="H2305" s="67" t="str">
        <f>IFERROR(IFERROR(INDEX(Кат!$I:$I,MATCH(Прайс!$B2305,Кат!$G:$G,0)),INDEX(Торг!$I:$I,MATCH(Прайс!$B2305,Торг!$H:$H,0))),"")</f>
        <v/>
      </c>
    </row>
    <row r="2306" spans="1:8" x14ac:dyDescent="0.25">
      <c r="A2306" s="103" t="s">
        <v>3776</v>
      </c>
      <c r="B2306" s="104">
        <v>72345</v>
      </c>
      <c r="C2306" s="104" t="s">
        <v>2131</v>
      </c>
      <c r="D2306" s="105" t="s">
        <v>160</v>
      </c>
      <c r="E2306" s="113">
        <v>30</v>
      </c>
      <c r="F2306" s="67" t="str">
        <f>IFERROR(IFERROR(INDEX(Кат!$A:$A,MATCH(Прайс!$B2306,Кат!$G:$G,0)),INDEX(Торг!$B:$B,MATCH(Прайс!$B2306,Торг!$H:$H,0))),"")</f>
        <v/>
      </c>
      <c r="G2306" s="67" t="str">
        <f>IFERROR(IFERROR(INDEX(Кат!$B:$B,MATCH(Прайс!$B2306,Кат!$G:$G,0)),INDEX(Торг!$C:$C,MATCH(Прайс!$B2306,Торг!$H:$H,0))),"")</f>
        <v/>
      </c>
      <c r="H2306" s="67" t="str">
        <f>IFERROR(IFERROR(INDEX(Кат!$I:$I,MATCH(Прайс!$B2306,Кат!$G:$G,0)),INDEX(Торг!$I:$I,MATCH(Прайс!$B2306,Торг!$H:$H,0))),"")</f>
        <v/>
      </c>
    </row>
    <row r="2307" spans="1:8" x14ac:dyDescent="0.25">
      <c r="A2307" s="103" t="s">
        <v>3777</v>
      </c>
      <c r="B2307" s="104">
        <v>72344</v>
      </c>
      <c r="C2307" s="104" t="s">
        <v>2132</v>
      </c>
      <c r="D2307" s="105" t="s">
        <v>160</v>
      </c>
      <c r="E2307" s="113">
        <v>30</v>
      </c>
      <c r="F2307" s="67" t="str">
        <f>IFERROR(IFERROR(INDEX(Кат!$A:$A,MATCH(Прайс!$B2307,Кат!$G:$G,0)),INDEX(Торг!$B:$B,MATCH(Прайс!$B2307,Торг!$H:$H,0))),"")</f>
        <v/>
      </c>
      <c r="G2307" s="67" t="str">
        <f>IFERROR(IFERROR(INDEX(Кат!$B:$B,MATCH(Прайс!$B2307,Кат!$G:$G,0)),INDEX(Торг!$C:$C,MATCH(Прайс!$B2307,Торг!$H:$H,0))),"")</f>
        <v/>
      </c>
      <c r="H2307" s="67" t="str">
        <f>IFERROR(IFERROR(INDEX(Кат!$I:$I,MATCH(Прайс!$B2307,Кат!$G:$G,0)),INDEX(Торг!$I:$I,MATCH(Прайс!$B2307,Торг!$H:$H,0))),"")</f>
        <v/>
      </c>
    </row>
    <row r="2308" spans="1:8" x14ac:dyDescent="0.25">
      <c r="A2308" s="94" t="s">
        <v>6984</v>
      </c>
      <c r="B2308" s="98">
        <v>72655</v>
      </c>
      <c r="C2308" s="98" t="s">
        <v>6985</v>
      </c>
      <c r="D2308" s="96" t="s">
        <v>1207</v>
      </c>
      <c r="E2308" s="97">
        <v>150</v>
      </c>
      <c r="F2308" s="67" t="str">
        <f>IFERROR(IFERROR(INDEX(Кат!$A:$A,MATCH(Прайс!$B2308,Кат!$G:$G,0)),INDEX(Торг!$B:$B,MATCH(Прайс!$B2308,Торг!$H:$H,0))),"")</f>
        <v/>
      </c>
      <c r="G2308" s="67" t="str">
        <f>IFERROR(IFERROR(INDEX(Кат!$B:$B,MATCH(Прайс!$B2308,Кат!$G:$G,0)),INDEX(Торг!$C:$C,MATCH(Прайс!$B2308,Торг!$H:$H,0))),"")</f>
        <v/>
      </c>
      <c r="H2308" s="67" t="str">
        <f>IFERROR(IFERROR(INDEX(Кат!$I:$I,MATCH(Прайс!$B2308,Кат!$G:$G,0)),INDEX(Торг!$I:$I,MATCH(Прайс!$B2308,Торг!$H:$H,0))),"")</f>
        <v/>
      </c>
    </row>
    <row r="2309" spans="1:8" x14ac:dyDescent="0.25">
      <c r="A2309" s="94" t="s">
        <v>5248</v>
      </c>
      <c r="B2309" s="98">
        <v>71942</v>
      </c>
      <c r="C2309" s="98" t="s">
        <v>5249</v>
      </c>
      <c r="D2309" s="96" t="s">
        <v>1207</v>
      </c>
      <c r="E2309" s="97">
        <v>150</v>
      </c>
      <c r="F2309" s="67" t="str">
        <f>IFERROR(IFERROR(INDEX(Кат!$A:$A,MATCH(Прайс!$B2309,Кат!$G:$G,0)),INDEX(Торг!$B:$B,MATCH(Прайс!$B2309,Торг!$H:$H,0))),"")</f>
        <v/>
      </c>
      <c r="G2309" s="67" t="str">
        <f>IFERROR(IFERROR(INDEX(Кат!$B:$B,MATCH(Прайс!$B2309,Кат!$G:$G,0)),INDEX(Торг!$C:$C,MATCH(Прайс!$B2309,Торг!$H:$H,0))),"")</f>
        <v/>
      </c>
      <c r="H2309" s="67" t="str">
        <f>IFERROR(IFERROR(INDEX(Кат!$I:$I,MATCH(Прайс!$B2309,Кат!$G:$G,0)),INDEX(Торг!$I:$I,MATCH(Прайс!$B2309,Торг!$H:$H,0))),"")</f>
        <v/>
      </c>
    </row>
    <row r="2310" spans="1:8" x14ac:dyDescent="0.25">
      <c r="A2310" s="103" t="s">
        <v>3784</v>
      </c>
      <c r="B2310" s="104">
        <v>72009</v>
      </c>
      <c r="C2310" s="104" t="s">
        <v>6986</v>
      </c>
      <c r="D2310" s="105" t="s">
        <v>1207</v>
      </c>
      <c r="E2310" s="113">
        <v>150</v>
      </c>
      <c r="F2310" s="67" t="str">
        <f>IFERROR(IFERROR(INDEX(Кат!$A:$A,MATCH(Прайс!$B2310,Кат!$G:$G,0)),INDEX(Торг!$B:$B,MATCH(Прайс!$B2310,Торг!$H:$H,0))),"")</f>
        <v/>
      </c>
      <c r="G2310" s="67" t="str">
        <f>IFERROR(IFERROR(INDEX(Кат!$B:$B,MATCH(Прайс!$B2310,Кат!$G:$G,0)),INDEX(Торг!$C:$C,MATCH(Прайс!$B2310,Торг!$H:$H,0))),"")</f>
        <v/>
      </c>
      <c r="H2310" s="67" t="str">
        <f>IFERROR(IFERROR(INDEX(Кат!$I:$I,MATCH(Прайс!$B2310,Кат!$G:$G,0)),INDEX(Торг!$I:$I,MATCH(Прайс!$B2310,Торг!$H:$H,0))),"")</f>
        <v/>
      </c>
    </row>
    <row r="2311" spans="1:8" x14ac:dyDescent="0.25">
      <c r="A2311" s="103" t="s">
        <v>3778</v>
      </c>
      <c r="B2311" s="104">
        <v>71943</v>
      </c>
      <c r="C2311" s="104" t="s">
        <v>1208</v>
      </c>
      <c r="D2311" s="105" t="s">
        <v>1207</v>
      </c>
      <c r="E2311" s="113">
        <v>150</v>
      </c>
      <c r="F2311" s="67" t="str">
        <f>IFERROR(IFERROR(INDEX(Кат!$A:$A,MATCH(Прайс!$B2311,Кат!$G:$G,0)),INDEX(Торг!$B:$B,MATCH(Прайс!$B2311,Торг!$H:$H,0))),"")</f>
        <v/>
      </c>
      <c r="G2311" s="67" t="str">
        <f>IFERROR(IFERROR(INDEX(Кат!$B:$B,MATCH(Прайс!$B2311,Кат!$G:$G,0)),INDEX(Торг!$C:$C,MATCH(Прайс!$B2311,Торг!$H:$H,0))),"")</f>
        <v/>
      </c>
      <c r="H2311" s="67" t="str">
        <f>IFERROR(IFERROR(INDEX(Кат!$I:$I,MATCH(Прайс!$B2311,Кат!$G:$G,0)),INDEX(Торг!$I:$I,MATCH(Прайс!$B2311,Торг!$H:$H,0))),"")</f>
        <v/>
      </c>
    </row>
    <row r="2312" spans="1:8" x14ac:dyDescent="0.25">
      <c r="A2312" s="103" t="s">
        <v>3779</v>
      </c>
      <c r="B2312" s="104">
        <v>71939</v>
      </c>
      <c r="C2312" s="104" t="s">
        <v>1209</v>
      </c>
      <c r="D2312" s="105" t="s">
        <v>1207</v>
      </c>
      <c r="E2312" s="113">
        <v>150</v>
      </c>
      <c r="F2312" s="67" t="str">
        <f>IFERROR(IFERROR(INDEX(Кат!$A:$A,MATCH(Прайс!$B2312,Кат!$G:$G,0)),INDEX(Торг!$B:$B,MATCH(Прайс!$B2312,Торг!$H:$H,0))),"")</f>
        <v/>
      </c>
      <c r="G2312" s="67" t="str">
        <f>IFERROR(IFERROR(INDEX(Кат!$B:$B,MATCH(Прайс!$B2312,Кат!$G:$G,0)),INDEX(Торг!$C:$C,MATCH(Прайс!$B2312,Торг!$H:$H,0))),"")</f>
        <v/>
      </c>
      <c r="H2312" s="67" t="str">
        <f>IFERROR(IFERROR(INDEX(Кат!$I:$I,MATCH(Прайс!$B2312,Кат!$G:$G,0)),INDEX(Торг!$I:$I,MATCH(Прайс!$B2312,Торг!$H:$H,0))),"")</f>
        <v/>
      </c>
    </row>
    <row r="2313" spans="1:8" x14ac:dyDescent="0.25">
      <c r="A2313" s="103" t="s">
        <v>5250</v>
      </c>
      <c r="B2313" s="104">
        <v>71944</v>
      </c>
      <c r="C2313" s="104" t="s">
        <v>5251</v>
      </c>
      <c r="D2313" s="105" t="s">
        <v>5936</v>
      </c>
      <c r="E2313" s="113">
        <v>150</v>
      </c>
      <c r="F2313" s="67" t="str">
        <f>IFERROR(IFERROR(INDEX(Кат!$A:$A,MATCH(Прайс!$B2313,Кат!$G:$G,0)),INDEX(Торг!$B:$B,MATCH(Прайс!$B2313,Торг!$H:$H,0))),"")</f>
        <v/>
      </c>
      <c r="G2313" s="67" t="str">
        <f>IFERROR(IFERROR(INDEX(Кат!$B:$B,MATCH(Прайс!$B2313,Кат!$G:$G,0)),INDEX(Торг!$C:$C,MATCH(Прайс!$B2313,Торг!$H:$H,0))),"")</f>
        <v/>
      </c>
      <c r="H2313" s="67" t="str">
        <f>IFERROR(IFERROR(INDEX(Кат!$I:$I,MATCH(Прайс!$B2313,Кат!$G:$G,0)),INDEX(Торг!$I:$I,MATCH(Прайс!$B2313,Торг!$H:$H,0))),"")</f>
        <v/>
      </c>
    </row>
    <row r="2314" spans="1:8" x14ac:dyDescent="0.25">
      <c r="A2314" s="103" t="s">
        <v>3780</v>
      </c>
      <c r="B2314" s="104">
        <v>71938</v>
      </c>
      <c r="C2314" s="104" t="s">
        <v>1210</v>
      </c>
      <c r="D2314" s="105" t="s">
        <v>5936</v>
      </c>
      <c r="E2314" s="113">
        <v>150</v>
      </c>
      <c r="F2314" s="67" t="str">
        <f>IFERROR(IFERROR(INDEX(Кат!$A:$A,MATCH(Прайс!$B2314,Кат!$G:$G,0)),INDEX(Торг!$B:$B,MATCH(Прайс!$B2314,Торг!$H:$H,0))),"")</f>
        <v/>
      </c>
      <c r="G2314" s="67" t="str">
        <f>IFERROR(IFERROR(INDEX(Кат!$B:$B,MATCH(Прайс!$B2314,Кат!$G:$G,0)),INDEX(Торг!$C:$C,MATCH(Прайс!$B2314,Торг!$H:$H,0))),"")</f>
        <v/>
      </c>
      <c r="H2314" s="67" t="str">
        <f>IFERROR(IFERROR(INDEX(Кат!$I:$I,MATCH(Прайс!$B2314,Кат!$G:$G,0)),INDEX(Торг!$I:$I,MATCH(Прайс!$B2314,Торг!$H:$H,0))),"")</f>
        <v/>
      </c>
    </row>
    <row r="2315" spans="1:8" x14ac:dyDescent="0.25">
      <c r="A2315" s="103" t="s">
        <v>3781</v>
      </c>
      <c r="B2315" s="104">
        <v>71940</v>
      </c>
      <c r="C2315" s="104" t="s">
        <v>1211</v>
      </c>
      <c r="D2315" s="105" t="s">
        <v>1207</v>
      </c>
      <c r="E2315" s="113">
        <v>150</v>
      </c>
      <c r="F2315" s="67" t="str">
        <f>IFERROR(IFERROR(INDEX(Кат!$A:$A,MATCH(Прайс!$B2315,Кат!$G:$G,0)),INDEX(Торг!$B:$B,MATCH(Прайс!$B2315,Торг!$H:$H,0))),"")</f>
        <v/>
      </c>
      <c r="G2315" s="67" t="str">
        <f>IFERROR(IFERROR(INDEX(Кат!$B:$B,MATCH(Прайс!$B2315,Кат!$G:$G,0)),INDEX(Торг!$C:$C,MATCH(Прайс!$B2315,Торг!$H:$H,0))),"")</f>
        <v/>
      </c>
      <c r="H2315" s="67" t="str">
        <f>IFERROR(IFERROR(INDEX(Кат!$I:$I,MATCH(Прайс!$B2315,Кат!$G:$G,0)),INDEX(Торг!$I:$I,MATCH(Прайс!$B2315,Торг!$H:$H,0))),"")</f>
        <v/>
      </c>
    </row>
    <row r="2316" spans="1:8" x14ac:dyDescent="0.25">
      <c r="A2316" s="103" t="s">
        <v>3782</v>
      </c>
      <c r="B2316" s="104">
        <v>71941</v>
      </c>
      <c r="C2316" s="104" t="s">
        <v>1212</v>
      </c>
      <c r="D2316" s="105" t="s">
        <v>1207</v>
      </c>
      <c r="E2316" s="113">
        <v>150</v>
      </c>
      <c r="F2316" s="67" t="str">
        <f>IFERROR(IFERROR(INDEX(Кат!$A:$A,MATCH(Прайс!$B2316,Кат!$G:$G,0)),INDEX(Торг!$B:$B,MATCH(Прайс!$B2316,Торг!$H:$H,0))),"")</f>
        <v/>
      </c>
      <c r="G2316" s="67" t="str">
        <f>IFERROR(IFERROR(INDEX(Кат!$B:$B,MATCH(Прайс!$B2316,Кат!$G:$G,0)),INDEX(Торг!$C:$C,MATCH(Прайс!$B2316,Торг!$H:$H,0))),"")</f>
        <v/>
      </c>
      <c r="H2316" s="67" t="str">
        <f>IFERROR(IFERROR(INDEX(Кат!$I:$I,MATCH(Прайс!$B2316,Кат!$G:$G,0)),INDEX(Торг!$I:$I,MATCH(Прайс!$B2316,Торг!$H:$H,0))),"")</f>
        <v/>
      </c>
    </row>
    <row r="2317" spans="1:8" x14ac:dyDescent="0.25">
      <c r="A2317" s="103" t="s">
        <v>3783</v>
      </c>
      <c r="B2317" s="104">
        <v>72310</v>
      </c>
      <c r="C2317" s="104" t="s">
        <v>1213</v>
      </c>
      <c r="D2317" s="105" t="s">
        <v>1207</v>
      </c>
      <c r="E2317" s="113">
        <v>150</v>
      </c>
      <c r="F2317" s="67" t="str">
        <f>IFERROR(IFERROR(INDEX(Кат!$A:$A,MATCH(Прайс!$B2317,Кат!$G:$G,0)),INDEX(Торг!$B:$B,MATCH(Прайс!$B2317,Торг!$H:$H,0))),"")</f>
        <v/>
      </c>
      <c r="G2317" s="67" t="str">
        <f>IFERROR(IFERROR(INDEX(Кат!$B:$B,MATCH(Прайс!$B2317,Кат!$G:$G,0)),INDEX(Торг!$C:$C,MATCH(Прайс!$B2317,Торг!$H:$H,0))),"")</f>
        <v/>
      </c>
      <c r="H2317" s="67" t="str">
        <f>IFERROR(IFERROR(INDEX(Кат!$I:$I,MATCH(Прайс!$B2317,Кат!$G:$G,0)),INDEX(Торг!$I:$I,MATCH(Прайс!$B2317,Торг!$H:$H,0))),"")</f>
        <v/>
      </c>
    </row>
    <row r="2318" spans="1:8" x14ac:dyDescent="0.25">
      <c r="A2318" s="103" t="s">
        <v>4928</v>
      </c>
      <c r="B2318" s="104">
        <v>72093</v>
      </c>
      <c r="C2318" s="104" t="s">
        <v>4929</v>
      </c>
      <c r="D2318" s="105" t="s">
        <v>176</v>
      </c>
      <c r="E2318" s="113">
        <v>80</v>
      </c>
      <c r="F2318" s="67" t="str">
        <f>IFERROR(IFERROR(INDEX(Кат!$A:$A,MATCH(Прайс!$B2318,Кат!$G:$G,0)),INDEX(Торг!$B:$B,MATCH(Прайс!$B2318,Торг!$H:$H,0))),"")</f>
        <v/>
      </c>
      <c r="G2318" s="67" t="str">
        <f>IFERROR(IFERROR(INDEX(Кат!$B:$B,MATCH(Прайс!$B2318,Кат!$G:$G,0)),INDEX(Торг!$C:$C,MATCH(Прайс!$B2318,Торг!$H:$H,0))),"")</f>
        <v/>
      </c>
      <c r="H2318" s="67" t="str">
        <f>IFERROR(IFERROR(INDEX(Кат!$I:$I,MATCH(Прайс!$B2318,Кат!$G:$G,0)),INDEX(Торг!$I:$I,MATCH(Прайс!$B2318,Торг!$H:$H,0))),"")</f>
        <v/>
      </c>
    </row>
    <row r="2319" spans="1:8" x14ac:dyDescent="0.25">
      <c r="A2319" s="103" t="s">
        <v>3785</v>
      </c>
      <c r="B2319" s="104">
        <v>72262</v>
      </c>
      <c r="C2319" s="104" t="s">
        <v>1214</v>
      </c>
      <c r="D2319" s="105" t="s">
        <v>216</v>
      </c>
      <c r="E2319" s="113">
        <v>140</v>
      </c>
      <c r="F2319" s="67" t="str">
        <f>IFERROR(IFERROR(INDEX(Кат!$A:$A,MATCH(Прайс!$B2319,Кат!$G:$G,0)),INDEX(Торг!$B:$B,MATCH(Прайс!$B2319,Торг!$H:$H,0))),"")</f>
        <v/>
      </c>
      <c r="G2319" s="67" t="str">
        <f>IFERROR(IFERROR(INDEX(Кат!$B:$B,MATCH(Прайс!$B2319,Кат!$G:$G,0)),INDEX(Торг!$C:$C,MATCH(Прайс!$B2319,Торг!$H:$H,0))),"")</f>
        <v/>
      </c>
      <c r="H2319" s="67" t="str">
        <f>IFERROR(IFERROR(INDEX(Кат!$I:$I,MATCH(Прайс!$B2319,Кат!$G:$G,0)),INDEX(Торг!$I:$I,MATCH(Прайс!$B2319,Торг!$H:$H,0))),"")</f>
        <v/>
      </c>
    </row>
    <row r="2320" spans="1:8" x14ac:dyDescent="0.25">
      <c r="A2320" s="103" t="s">
        <v>8431</v>
      </c>
      <c r="B2320" s="104">
        <v>72263</v>
      </c>
      <c r="C2320" s="104" t="s">
        <v>8432</v>
      </c>
      <c r="D2320" s="105" t="s">
        <v>216</v>
      </c>
      <c r="E2320" s="113">
        <v>140</v>
      </c>
      <c r="F2320" s="67">
        <f>IFERROR(IFERROR(INDEX(Кат!$A:$A,MATCH(Прайс!$B2320,Кат!$G:$G,0)),INDEX(Торг!$B:$B,MATCH(Прайс!$B2320,Торг!$H:$H,0))),"")</f>
        <v>133030</v>
      </c>
      <c r="G2320" s="67">
        <f>IFERROR(IFERROR(INDEX(Кат!$B:$B,MATCH(Прайс!$B2320,Кат!$G:$G,0)),INDEX(Торг!$C:$C,MATCH(Прайс!$B2320,Торг!$H:$H,0))),"")</f>
        <v>14179</v>
      </c>
      <c r="H2320" s="67" t="str">
        <f>IFERROR(IFERROR(INDEX(Кат!$I:$I,MATCH(Прайс!$B2320,Кат!$G:$G,0)),INDEX(Торг!$I:$I,MATCH(Прайс!$B2320,Торг!$H:$H,0))),"")</f>
        <v>кристал авто</v>
      </c>
    </row>
    <row r="2321" spans="1:8" x14ac:dyDescent="0.25">
      <c r="A2321" s="103" t="s">
        <v>3786</v>
      </c>
      <c r="B2321" s="104">
        <v>72266</v>
      </c>
      <c r="C2321" s="104" t="s">
        <v>1215</v>
      </c>
      <c r="D2321" s="105" t="s">
        <v>216</v>
      </c>
      <c r="E2321" s="113">
        <v>140</v>
      </c>
      <c r="F2321" s="67">
        <f>IFERROR(IFERROR(INDEX(Кат!$A:$A,MATCH(Прайс!$B2321,Кат!$G:$G,0)),INDEX(Торг!$B:$B,MATCH(Прайс!$B2321,Торг!$H:$H,0))),"")</f>
        <v>133031</v>
      </c>
      <c r="G2321" s="67">
        <f>IFERROR(IFERROR(INDEX(Кат!$B:$B,MATCH(Прайс!$B2321,Кат!$G:$G,0)),INDEX(Торг!$C:$C,MATCH(Прайс!$B2321,Торг!$H:$H,0))),"")</f>
        <v>16472</v>
      </c>
      <c r="H2321" s="67" t="str">
        <f>IFERROR(IFERROR(INDEX(Кат!$I:$I,MATCH(Прайс!$B2321,Кат!$G:$G,0)),INDEX(Торг!$I:$I,MATCH(Прайс!$B2321,Торг!$H:$H,0))),"")</f>
        <v>кристал авто</v>
      </c>
    </row>
    <row r="2322" spans="1:8" x14ac:dyDescent="0.25">
      <c r="A2322" s="103" t="s">
        <v>5252</v>
      </c>
      <c r="B2322" s="104">
        <v>72264</v>
      </c>
      <c r="C2322" s="104" t="s">
        <v>5253</v>
      </c>
      <c r="D2322" s="105" t="s">
        <v>216</v>
      </c>
      <c r="E2322" s="113">
        <v>140</v>
      </c>
      <c r="F2322" s="67" t="str">
        <f>IFERROR(IFERROR(INDEX(Кат!$A:$A,MATCH(Прайс!$B2322,Кат!$G:$G,0)),INDEX(Торг!$B:$B,MATCH(Прайс!$B2322,Торг!$H:$H,0))),"")</f>
        <v/>
      </c>
      <c r="G2322" s="67" t="str">
        <f>IFERROR(IFERROR(INDEX(Кат!$B:$B,MATCH(Прайс!$B2322,Кат!$G:$G,0)),INDEX(Торг!$C:$C,MATCH(Прайс!$B2322,Торг!$H:$H,0))),"")</f>
        <v/>
      </c>
      <c r="H2322" s="67" t="str">
        <f>IFERROR(IFERROR(INDEX(Кат!$I:$I,MATCH(Прайс!$B2322,Кат!$G:$G,0)),INDEX(Торг!$I:$I,MATCH(Прайс!$B2322,Торг!$H:$H,0))),"")</f>
        <v/>
      </c>
    </row>
    <row r="2323" spans="1:8" x14ac:dyDescent="0.25">
      <c r="A2323" s="94" t="s">
        <v>3787</v>
      </c>
      <c r="B2323" s="98">
        <v>72259</v>
      </c>
      <c r="C2323" s="98" t="s">
        <v>1216</v>
      </c>
      <c r="D2323" s="96" t="s">
        <v>216</v>
      </c>
      <c r="E2323" s="97">
        <v>140</v>
      </c>
      <c r="F2323" s="67">
        <f>IFERROR(IFERROR(INDEX(Кат!$A:$A,MATCH(Прайс!$B2323,Кат!$G:$G,0)),INDEX(Торг!$B:$B,MATCH(Прайс!$B2323,Торг!$H:$H,0))),"")</f>
        <v>133032</v>
      </c>
      <c r="G2323" s="67">
        <f>IFERROR(IFERROR(INDEX(Кат!$B:$B,MATCH(Прайс!$B2323,Кат!$G:$G,0)),INDEX(Торг!$C:$C,MATCH(Прайс!$B2323,Торг!$H:$H,0))),"")</f>
        <v>14091</v>
      </c>
      <c r="H2323" s="67" t="str">
        <f>IFERROR(IFERROR(INDEX(Кат!$I:$I,MATCH(Прайс!$B2323,Кат!$G:$G,0)),INDEX(Торг!$I:$I,MATCH(Прайс!$B2323,Торг!$H:$H,0))),"")</f>
        <v>кристал авто</v>
      </c>
    </row>
    <row r="2324" spans="1:8" x14ac:dyDescent="0.25">
      <c r="A2324" s="103" t="s">
        <v>8433</v>
      </c>
      <c r="B2324" s="104">
        <v>72265</v>
      </c>
      <c r="C2324" s="104" t="s">
        <v>8434</v>
      </c>
      <c r="D2324" s="105" t="s">
        <v>216</v>
      </c>
      <c r="E2324" s="113">
        <v>140</v>
      </c>
      <c r="F2324" s="67">
        <f>IFERROR(IFERROR(INDEX(Кат!$A:$A,MATCH(Прайс!$B2324,Кат!$G:$G,0)),INDEX(Торг!$B:$B,MATCH(Прайс!$B2324,Торг!$H:$H,0))),"")</f>
        <v>133034</v>
      </c>
      <c r="G2324" s="67">
        <f>IFERROR(IFERROR(INDEX(Кат!$B:$B,MATCH(Прайс!$B2324,Кат!$G:$G,0)),INDEX(Торг!$C:$C,MATCH(Прайс!$B2324,Торг!$H:$H,0))),"")</f>
        <v>14180</v>
      </c>
      <c r="H2324" s="67" t="str">
        <f>IFERROR(IFERROR(INDEX(Кат!$I:$I,MATCH(Прайс!$B2324,Кат!$G:$G,0)),INDEX(Торг!$I:$I,MATCH(Прайс!$B2324,Торг!$H:$H,0))),"")</f>
        <v>кристал авто</v>
      </c>
    </row>
    <row r="2325" spans="1:8" x14ac:dyDescent="0.25">
      <c r="A2325" s="94" t="s">
        <v>8435</v>
      </c>
      <c r="B2325" s="98">
        <v>72260</v>
      </c>
      <c r="C2325" s="98" t="s">
        <v>8436</v>
      </c>
      <c r="D2325" s="96" t="s">
        <v>216</v>
      </c>
      <c r="E2325" s="97">
        <v>140</v>
      </c>
      <c r="F2325" s="67">
        <f>IFERROR(IFERROR(INDEX(Кат!$A:$A,MATCH(Прайс!$B2325,Кат!$G:$G,0)),INDEX(Торг!$B:$B,MATCH(Прайс!$B2325,Торг!$H:$H,0))),"")</f>
        <v>133033</v>
      </c>
      <c r="G2325" s="67">
        <f>IFERROR(IFERROR(INDEX(Кат!$B:$B,MATCH(Прайс!$B2325,Кат!$G:$G,0)),INDEX(Торг!$C:$C,MATCH(Прайс!$B2325,Торг!$H:$H,0))),"")</f>
        <v>14090</v>
      </c>
      <c r="H2325" s="67" t="str">
        <f>IFERROR(IFERROR(INDEX(Кат!$I:$I,MATCH(Прайс!$B2325,Кат!$G:$G,0)),INDEX(Торг!$I:$I,MATCH(Прайс!$B2325,Торг!$H:$H,0))),"")</f>
        <v>кристал авто</v>
      </c>
    </row>
    <row r="2326" spans="1:8" x14ac:dyDescent="0.25">
      <c r="A2326" s="94" t="s">
        <v>3788</v>
      </c>
      <c r="B2326" s="98">
        <v>70429</v>
      </c>
      <c r="C2326" s="98" t="s">
        <v>6987</v>
      </c>
      <c r="D2326" s="96" t="s">
        <v>177</v>
      </c>
      <c r="E2326" s="97">
        <v>160</v>
      </c>
      <c r="F2326" s="67" t="str">
        <f>IFERROR(IFERROR(INDEX(Кат!$A:$A,MATCH(Прайс!$B2326,Кат!$G:$G,0)),INDEX(Торг!$B:$B,MATCH(Прайс!$B2326,Торг!$H:$H,0))),"")</f>
        <v/>
      </c>
      <c r="G2326" s="67" t="str">
        <f>IFERROR(IFERROR(INDEX(Кат!$B:$B,MATCH(Прайс!$B2326,Кат!$G:$G,0)),INDEX(Торг!$C:$C,MATCH(Прайс!$B2326,Торг!$H:$H,0))),"")</f>
        <v/>
      </c>
      <c r="H2326" s="67" t="str">
        <f>IFERROR(IFERROR(INDEX(Кат!$I:$I,MATCH(Прайс!$B2326,Кат!$G:$G,0)),INDEX(Торг!$I:$I,MATCH(Прайс!$B2326,Торг!$H:$H,0))),"")</f>
        <v/>
      </c>
    </row>
    <row r="2327" spans="1:8" x14ac:dyDescent="0.25">
      <c r="A2327" s="94" t="s">
        <v>3789</v>
      </c>
      <c r="B2327" s="98">
        <v>70430</v>
      </c>
      <c r="C2327" s="98" t="s">
        <v>1217</v>
      </c>
      <c r="D2327" s="96" t="s">
        <v>1200</v>
      </c>
      <c r="E2327" s="97">
        <v>160</v>
      </c>
      <c r="F2327" s="67" t="str">
        <f>IFERROR(IFERROR(INDEX(Кат!$A:$A,MATCH(Прайс!$B2327,Кат!$G:$G,0)),INDEX(Торг!$B:$B,MATCH(Прайс!$B2327,Торг!$H:$H,0))),"")</f>
        <v/>
      </c>
      <c r="G2327" s="67" t="str">
        <f>IFERROR(IFERROR(INDEX(Кат!$B:$B,MATCH(Прайс!$B2327,Кат!$G:$G,0)),INDEX(Торг!$C:$C,MATCH(Прайс!$B2327,Торг!$H:$H,0))),"")</f>
        <v/>
      </c>
      <c r="H2327" s="67" t="str">
        <f>IFERROR(IFERROR(INDEX(Кат!$I:$I,MATCH(Прайс!$B2327,Кат!$G:$G,0)),INDEX(Торг!$I:$I,MATCH(Прайс!$B2327,Торг!$H:$H,0))),"")</f>
        <v/>
      </c>
    </row>
    <row r="2328" spans="1:8" x14ac:dyDescent="0.25">
      <c r="A2328" s="94" t="s">
        <v>3790</v>
      </c>
      <c r="B2328" s="98">
        <v>70432</v>
      </c>
      <c r="C2328" s="98" t="s">
        <v>2133</v>
      </c>
      <c r="D2328" s="96" t="s">
        <v>1200</v>
      </c>
      <c r="E2328" s="97">
        <v>160</v>
      </c>
      <c r="F2328" s="67" t="str">
        <f>IFERROR(IFERROR(INDEX(Кат!$A:$A,MATCH(Прайс!$B2328,Кат!$G:$G,0)),INDEX(Торг!$B:$B,MATCH(Прайс!$B2328,Торг!$H:$H,0))),"")</f>
        <v/>
      </c>
      <c r="G2328" s="67" t="str">
        <f>IFERROR(IFERROR(INDEX(Кат!$B:$B,MATCH(Прайс!$B2328,Кат!$G:$G,0)),INDEX(Торг!$C:$C,MATCH(Прайс!$B2328,Торг!$H:$H,0))),"")</f>
        <v/>
      </c>
      <c r="H2328" s="67" t="str">
        <f>IFERROR(IFERROR(INDEX(Кат!$I:$I,MATCH(Прайс!$B2328,Кат!$G:$G,0)),INDEX(Торг!$I:$I,MATCH(Прайс!$B2328,Торг!$H:$H,0))),"")</f>
        <v/>
      </c>
    </row>
    <row r="2329" spans="1:8" x14ac:dyDescent="0.25">
      <c r="A2329" s="94" t="s">
        <v>3791</v>
      </c>
      <c r="B2329" s="98">
        <v>70433</v>
      </c>
      <c r="C2329" s="98" t="s">
        <v>1218</v>
      </c>
      <c r="D2329" s="96" t="s">
        <v>1200</v>
      </c>
      <c r="E2329" s="97">
        <v>160</v>
      </c>
      <c r="F2329" s="67" t="str">
        <f>IFERROR(IFERROR(INDEX(Кат!$A:$A,MATCH(Прайс!$B2329,Кат!$G:$G,0)),INDEX(Торг!$B:$B,MATCH(Прайс!$B2329,Торг!$H:$H,0))),"")</f>
        <v/>
      </c>
      <c r="G2329" s="67" t="str">
        <f>IFERROR(IFERROR(INDEX(Кат!$B:$B,MATCH(Прайс!$B2329,Кат!$G:$G,0)),INDEX(Торг!$C:$C,MATCH(Прайс!$B2329,Торг!$H:$H,0))),"")</f>
        <v/>
      </c>
      <c r="H2329" s="67" t="str">
        <f>IFERROR(IFERROR(INDEX(Кат!$I:$I,MATCH(Прайс!$B2329,Кат!$G:$G,0)),INDEX(Торг!$I:$I,MATCH(Прайс!$B2329,Торг!$H:$H,0))),"")</f>
        <v/>
      </c>
    </row>
    <row r="2330" spans="1:8" x14ac:dyDescent="0.25">
      <c r="A2330" s="94" t="s">
        <v>3792</v>
      </c>
      <c r="B2330" s="98">
        <v>70434</v>
      </c>
      <c r="C2330" s="98" t="s">
        <v>1219</v>
      </c>
      <c r="D2330" s="96" t="s">
        <v>1200</v>
      </c>
      <c r="E2330" s="97">
        <v>160</v>
      </c>
      <c r="F2330" s="67" t="str">
        <f>IFERROR(IFERROR(INDEX(Кат!$A:$A,MATCH(Прайс!$B2330,Кат!$G:$G,0)),INDEX(Торг!$B:$B,MATCH(Прайс!$B2330,Торг!$H:$H,0))),"")</f>
        <v/>
      </c>
      <c r="G2330" s="67" t="str">
        <f>IFERROR(IFERROR(INDEX(Кат!$B:$B,MATCH(Прайс!$B2330,Кат!$G:$G,0)),INDEX(Торг!$C:$C,MATCH(Прайс!$B2330,Торг!$H:$H,0))),"")</f>
        <v/>
      </c>
      <c r="H2330" s="67" t="str">
        <f>IFERROR(IFERROR(INDEX(Кат!$I:$I,MATCH(Прайс!$B2330,Кат!$G:$G,0)),INDEX(Торг!$I:$I,MATCH(Прайс!$B2330,Торг!$H:$H,0))),"")</f>
        <v/>
      </c>
    </row>
    <row r="2331" spans="1:8" x14ac:dyDescent="0.25">
      <c r="A2331" s="94" t="s">
        <v>6387</v>
      </c>
      <c r="B2331" s="98">
        <v>70435</v>
      </c>
      <c r="C2331" s="98" t="s">
        <v>6388</v>
      </c>
      <c r="D2331" s="96" t="s">
        <v>1200</v>
      </c>
      <c r="E2331" s="97">
        <v>160</v>
      </c>
      <c r="F2331" s="67" t="str">
        <f>IFERROR(IFERROR(INDEX(Кат!$A:$A,MATCH(Прайс!$B2331,Кат!$G:$G,0)),INDEX(Торг!$B:$B,MATCH(Прайс!$B2331,Торг!$H:$H,0))),"")</f>
        <v/>
      </c>
      <c r="G2331" s="67" t="str">
        <f>IFERROR(IFERROR(INDEX(Кат!$B:$B,MATCH(Прайс!$B2331,Кат!$G:$G,0)),INDEX(Торг!$C:$C,MATCH(Прайс!$B2331,Торг!$H:$H,0))),"")</f>
        <v/>
      </c>
      <c r="H2331" s="67" t="str">
        <f>IFERROR(IFERROR(INDEX(Кат!$I:$I,MATCH(Прайс!$B2331,Кат!$G:$G,0)),INDEX(Торг!$I:$I,MATCH(Прайс!$B2331,Торг!$H:$H,0))),"")</f>
        <v/>
      </c>
    </row>
    <row r="2332" spans="1:8" x14ac:dyDescent="0.25">
      <c r="A2332" s="94" t="s">
        <v>3793</v>
      </c>
      <c r="B2332" s="98">
        <v>70436</v>
      </c>
      <c r="C2332" s="98" t="s">
        <v>1220</v>
      </c>
      <c r="D2332" s="96" t="s">
        <v>1200</v>
      </c>
      <c r="E2332" s="97">
        <v>160</v>
      </c>
      <c r="F2332" s="67" t="str">
        <f>IFERROR(IFERROR(INDEX(Кат!$A:$A,MATCH(Прайс!$B2332,Кат!$G:$G,0)),INDEX(Торг!$B:$B,MATCH(Прайс!$B2332,Торг!$H:$H,0))),"")</f>
        <v/>
      </c>
      <c r="G2332" s="67" t="str">
        <f>IFERROR(IFERROR(INDEX(Кат!$B:$B,MATCH(Прайс!$B2332,Кат!$G:$G,0)),INDEX(Торг!$C:$C,MATCH(Прайс!$B2332,Торг!$H:$H,0))),"")</f>
        <v/>
      </c>
      <c r="H2332" s="67" t="str">
        <f>IFERROR(IFERROR(INDEX(Кат!$I:$I,MATCH(Прайс!$B2332,Кат!$G:$G,0)),INDEX(Торг!$I:$I,MATCH(Прайс!$B2332,Торг!$H:$H,0))),"")</f>
        <v/>
      </c>
    </row>
    <row r="2333" spans="1:8" x14ac:dyDescent="0.25">
      <c r="A2333" s="94" t="s">
        <v>3794</v>
      </c>
      <c r="B2333" s="98">
        <v>70437</v>
      </c>
      <c r="C2333" s="98" t="s">
        <v>1221</v>
      </c>
      <c r="D2333" s="96" t="s">
        <v>1200</v>
      </c>
      <c r="E2333" s="97">
        <v>160</v>
      </c>
      <c r="F2333" s="67" t="str">
        <f>IFERROR(IFERROR(INDEX(Кат!$A:$A,MATCH(Прайс!$B2333,Кат!$G:$G,0)),INDEX(Торг!$B:$B,MATCH(Прайс!$B2333,Торг!$H:$H,0))),"")</f>
        <v/>
      </c>
      <c r="G2333" s="67" t="str">
        <f>IFERROR(IFERROR(INDEX(Кат!$B:$B,MATCH(Прайс!$B2333,Кат!$G:$G,0)),INDEX(Торг!$C:$C,MATCH(Прайс!$B2333,Торг!$H:$H,0))),"")</f>
        <v/>
      </c>
      <c r="H2333" s="67" t="str">
        <f>IFERROR(IFERROR(INDEX(Кат!$I:$I,MATCH(Прайс!$B2333,Кат!$G:$G,0)),INDEX(Торг!$I:$I,MATCH(Прайс!$B2333,Торг!$H:$H,0))),"")</f>
        <v/>
      </c>
    </row>
    <row r="2334" spans="1:8" x14ac:dyDescent="0.25">
      <c r="A2334" s="94" t="s">
        <v>3795</v>
      </c>
      <c r="B2334" s="98">
        <v>70431</v>
      </c>
      <c r="C2334" s="98" t="s">
        <v>1222</v>
      </c>
      <c r="D2334" s="96" t="s">
        <v>1200</v>
      </c>
      <c r="E2334" s="97">
        <v>160</v>
      </c>
      <c r="F2334" s="67" t="str">
        <f>IFERROR(IFERROR(INDEX(Кат!$A:$A,MATCH(Прайс!$B2334,Кат!$G:$G,0)),INDEX(Торг!$B:$B,MATCH(Прайс!$B2334,Торг!$H:$H,0))),"")</f>
        <v/>
      </c>
      <c r="G2334" s="67" t="str">
        <f>IFERROR(IFERROR(INDEX(Кат!$B:$B,MATCH(Прайс!$B2334,Кат!$G:$G,0)),INDEX(Торг!$C:$C,MATCH(Прайс!$B2334,Торг!$H:$H,0))),"")</f>
        <v/>
      </c>
      <c r="H2334" s="67" t="str">
        <f>IFERROR(IFERROR(INDEX(Кат!$I:$I,MATCH(Прайс!$B2334,Кат!$G:$G,0)),INDEX(Торг!$I:$I,MATCH(Прайс!$B2334,Торг!$H:$H,0))),"")</f>
        <v/>
      </c>
    </row>
    <row r="2335" spans="1:8" x14ac:dyDescent="0.25">
      <c r="A2335" s="94" t="s">
        <v>5254</v>
      </c>
      <c r="B2335" s="98">
        <v>72477</v>
      </c>
      <c r="C2335" s="98" t="s">
        <v>5255</v>
      </c>
      <c r="D2335" s="96" t="s">
        <v>161</v>
      </c>
      <c r="E2335" s="97">
        <v>80</v>
      </c>
      <c r="F2335" s="67" t="str">
        <f>IFERROR(IFERROR(INDEX(Кат!$A:$A,MATCH(Прайс!$B2335,Кат!$G:$G,0)),INDEX(Торг!$B:$B,MATCH(Прайс!$B2335,Торг!$H:$H,0))),"")</f>
        <v/>
      </c>
      <c r="G2335" s="67" t="str">
        <f>IFERROR(IFERROR(INDEX(Кат!$B:$B,MATCH(Прайс!$B2335,Кат!$G:$G,0)),INDEX(Торг!$C:$C,MATCH(Прайс!$B2335,Торг!$H:$H,0))),"")</f>
        <v/>
      </c>
      <c r="H2335" s="67" t="str">
        <f>IFERROR(IFERROR(INDEX(Кат!$I:$I,MATCH(Прайс!$B2335,Кат!$G:$G,0)),INDEX(Торг!$I:$I,MATCH(Прайс!$B2335,Торг!$H:$H,0))),"")</f>
        <v/>
      </c>
    </row>
    <row r="2336" spans="1:8" x14ac:dyDescent="0.25">
      <c r="A2336" s="94" t="s">
        <v>5256</v>
      </c>
      <c r="B2336" s="98">
        <v>72478</v>
      </c>
      <c r="C2336" s="98" t="s">
        <v>5257</v>
      </c>
      <c r="D2336" s="96" t="s">
        <v>161</v>
      </c>
      <c r="E2336" s="97">
        <v>80</v>
      </c>
      <c r="F2336" s="67" t="str">
        <f>IFERROR(IFERROR(INDEX(Кат!$A:$A,MATCH(Прайс!$B2336,Кат!$G:$G,0)),INDEX(Торг!$B:$B,MATCH(Прайс!$B2336,Торг!$H:$H,0))),"")</f>
        <v/>
      </c>
      <c r="G2336" s="67" t="str">
        <f>IFERROR(IFERROR(INDEX(Кат!$B:$B,MATCH(Прайс!$B2336,Кат!$G:$G,0)),INDEX(Торг!$C:$C,MATCH(Прайс!$B2336,Торг!$H:$H,0))),"")</f>
        <v/>
      </c>
      <c r="H2336" s="67" t="str">
        <f>IFERROR(IFERROR(INDEX(Кат!$I:$I,MATCH(Прайс!$B2336,Кат!$G:$G,0)),INDEX(Торг!$I:$I,MATCH(Прайс!$B2336,Торг!$H:$H,0))),"")</f>
        <v/>
      </c>
    </row>
    <row r="2337" spans="1:8" x14ac:dyDescent="0.25">
      <c r="A2337" s="94" t="s">
        <v>5258</v>
      </c>
      <c r="B2337" s="98">
        <v>72479</v>
      </c>
      <c r="C2337" s="98" t="s">
        <v>5259</v>
      </c>
      <c r="D2337" s="96" t="s">
        <v>161</v>
      </c>
      <c r="E2337" s="97">
        <v>80</v>
      </c>
      <c r="F2337" s="67" t="str">
        <f>IFERROR(IFERROR(INDEX(Кат!$A:$A,MATCH(Прайс!$B2337,Кат!$G:$G,0)),INDEX(Торг!$B:$B,MATCH(Прайс!$B2337,Торг!$H:$H,0))),"")</f>
        <v/>
      </c>
      <c r="G2337" s="67" t="str">
        <f>IFERROR(IFERROR(INDEX(Кат!$B:$B,MATCH(Прайс!$B2337,Кат!$G:$G,0)),INDEX(Торг!$C:$C,MATCH(Прайс!$B2337,Торг!$H:$H,0))),"")</f>
        <v/>
      </c>
      <c r="H2337" s="67" t="str">
        <f>IFERROR(IFERROR(INDEX(Кат!$I:$I,MATCH(Прайс!$B2337,Кат!$G:$G,0)),INDEX(Торг!$I:$I,MATCH(Прайс!$B2337,Торг!$H:$H,0))),"")</f>
        <v/>
      </c>
    </row>
    <row r="2338" spans="1:8" x14ac:dyDescent="0.25">
      <c r="A2338" s="94" t="s">
        <v>5260</v>
      </c>
      <c r="B2338" s="98">
        <v>72480</v>
      </c>
      <c r="C2338" s="98" t="s">
        <v>5261</v>
      </c>
      <c r="D2338" s="96" t="s">
        <v>161</v>
      </c>
      <c r="E2338" s="97">
        <v>80</v>
      </c>
      <c r="F2338" s="67" t="str">
        <f>IFERROR(IFERROR(INDEX(Кат!$A:$A,MATCH(Прайс!$B2338,Кат!$G:$G,0)),INDEX(Торг!$B:$B,MATCH(Прайс!$B2338,Торг!$H:$H,0))),"")</f>
        <v/>
      </c>
      <c r="G2338" s="67" t="str">
        <f>IFERROR(IFERROR(INDEX(Кат!$B:$B,MATCH(Прайс!$B2338,Кат!$G:$G,0)),INDEX(Торг!$C:$C,MATCH(Прайс!$B2338,Торг!$H:$H,0))),"")</f>
        <v/>
      </c>
      <c r="H2338" s="67" t="str">
        <f>IFERROR(IFERROR(INDEX(Кат!$I:$I,MATCH(Прайс!$B2338,Кат!$G:$G,0)),INDEX(Торг!$I:$I,MATCH(Прайс!$B2338,Торг!$H:$H,0))),"")</f>
        <v/>
      </c>
    </row>
    <row r="2339" spans="1:8" x14ac:dyDescent="0.25">
      <c r="A2339" s="94" t="s">
        <v>5262</v>
      </c>
      <c r="B2339" s="98">
        <v>72481</v>
      </c>
      <c r="C2339" s="98" t="s">
        <v>5263</v>
      </c>
      <c r="D2339" s="96" t="s">
        <v>161</v>
      </c>
      <c r="E2339" s="97">
        <v>80</v>
      </c>
      <c r="F2339" s="67" t="str">
        <f>IFERROR(IFERROR(INDEX(Кат!$A:$A,MATCH(Прайс!$B2339,Кат!$G:$G,0)),INDEX(Торг!$B:$B,MATCH(Прайс!$B2339,Торг!$H:$H,0))),"")</f>
        <v/>
      </c>
      <c r="G2339" s="67" t="str">
        <f>IFERROR(IFERROR(INDEX(Кат!$B:$B,MATCH(Прайс!$B2339,Кат!$G:$G,0)),INDEX(Торг!$C:$C,MATCH(Прайс!$B2339,Торг!$H:$H,0))),"")</f>
        <v/>
      </c>
      <c r="H2339" s="67" t="str">
        <f>IFERROR(IFERROR(INDEX(Кат!$I:$I,MATCH(Прайс!$B2339,Кат!$G:$G,0)),INDEX(Торг!$I:$I,MATCH(Прайс!$B2339,Торг!$H:$H,0))),"")</f>
        <v/>
      </c>
    </row>
    <row r="2340" spans="1:8" x14ac:dyDescent="0.25">
      <c r="A2340" s="94" t="s">
        <v>5264</v>
      </c>
      <c r="B2340" s="98">
        <v>72482</v>
      </c>
      <c r="C2340" s="98" t="s">
        <v>5265</v>
      </c>
      <c r="D2340" s="96" t="s">
        <v>161</v>
      </c>
      <c r="E2340" s="97">
        <v>80</v>
      </c>
      <c r="F2340" s="67" t="str">
        <f>IFERROR(IFERROR(INDEX(Кат!$A:$A,MATCH(Прайс!$B2340,Кат!$G:$G,0)),INDEX(Торг!$B:$B,MATCH(Прайс!$B2340,Торг!$H:$H,0))),"")</f>
        <v/>
      </c>
      <c r="G2340" s="67" t="str">
        <f>IFERROR(IFERROR(INDEX(Кат!$B:$B,MATCH(Прайс!$B2340,Кат!$G:$G,0)),INDEX(Торг!$C:$C,MATCH(Прайс!$B2340,Торг!$H:$H,0))),"")</f>
        <v/>
      </c>
      <c r="H2340" s="67" t="str">
        <f>IFERROR(IFERROR(INDEX(Кат!$I:$I,MATCH(Прайс!$B2340,Кат!$G:$G,0)),INDEX(Торг!$I:$I,MATCH(Прайс!$B2340,Торг!$H:$H,0))),"")</f>
        <v/>
      </c>
    </row>
    <row r="2341" spans="1:8" x14ac:dyDescent="0.25">
      <c r="A2341" s="94" t="s">
        <v>5266</v>
      </c>
      <c r="B2341" s="98">
        <v>72483</v>
      </c>
      <c r="C2341" s="98" t="s">
        <v>5267</v>
      </c>
      <c r="D2341" s="96" t="s">
        <v>161</v>
      </c>
      <c r="E2341" s="97">
        <v>80</v>
      </c>
      <c r="F2341" s="67" t="str">
        <f>IFERROR(IFERROR(INDEX(Кат!$A:$A,MATCH(Прайс!$B2341,Кат!$G:$G,0)),INDEX(Торг!$B:$B,MATCH(Прайс!$B2341,Торг!$H:$H,0))),"")</f>
        <v/>
      </c>
      <c r="G2341" s="67" t="str">
        <f>IFERROR(IFERROR(INDEX(Кат!$B:$B,MATCH(Прайс!$B2341,Кат!$G:$G,0)),INDEX(Торг!$C:$C,MATCH(Прайс!$B2341,Торг!$H:$H,0))),"")</f>
        <v/>
      </c>
      <c r="H2341" s="67" t="str">
        <f>IFERROR(IFERROR(INDEX(Кат!$I:$I,MATCH(Прайс!$B2341,Кат!$G:$G,0)),INDEX(Торг!$I:$I,MATCH(Прайс!$B2341,Торг!$H:$H,0))),"")</f>
        <v/>
      </c>
    </row>
    <row r="2342" spans="1:8" x14ac:dyDescent="0.25">
      <c r="A2342" s="94" t="s">
        <v>5268</v>
      </c>
      <c r="B2342" s="98">
        <v>72484</v>
      </c>
      <c r="C2342" s="98" t="s">
        <v>5269</v>
      </c>
      <c r="D2342" s="96" t="s">
        <v>161</v>
      </c>
      <c r="E2342" s="97">
        <v>80</v>
      </c>
      <c r="F2342" s="67" t="str">
        <f>IFERROR(IFERROR(INDEX(Кат!$A:$A,MATCH(Прайс!$B2342,Кат!$G:$G,0)),INDEX(Торг!$B:$B,MATCH(Прайс!$B2342,Торг!$H:$H,0))),"")</f>
        <v/>
      </c>
      <c r="G2342" s="67" t="str">
        <f>IFERROR(IFERROR(INDEX(Кат!$B:$B,MATCH(Прайс!$B2342,Кат!$G:$G,0)),INDEX(Торг!$C:$C,MATCH(Прайс!$B2342,Торг!$H:$H,0))),"")</f>
        <v/>
      </c>
      <c r="H2342" s="67" t="str">
        <f>IFERROR(IFERROR(INDEX(Кат!$I:$I,MATCH(Прайс!$B2342,Кат!$G:$G,0)),INDEX(Торг!$I:$I,MATCH(Прайс!$B2342,Торг!$H:$H,0))),"")</f>
        <v/>
      </c>
    </row>
    <row r="2343" spans="1:8" x14ac:dyDescent="0.25">
      <c r="A2343" s="94" t="s">
        <v>5270</v>
      </c>
      <c r="B2343" s="98">
        <v>72485</v>
      </c>
      <c r="C2343" s="98" t="s">
        <v>5271</v>
      </c>
      <c r="D2343" s="96" t="s">
        <v>161</v>
      </c>
      <c r="E2343" s="97">
        <v>80</v>
      </c>
      <c r="F2343" s="67" t="str">
        <f>IFERROR(IFERROR(INDEX(Кат!$A:$A,MATCH(Прайс!$B2343,Кат!$G:$G,0)),INDEX(Торг!$B:$B,MATCH(Прайс!$B2343,Торг!$H:$H,0))),"")</f>
        <v/>
      </c>
      <c r="G2343" s="67" t="str">
        <f>IFERROR(IFERROR(INDEX(Кат!$B:$B,MATCH(Прайс!$B2343,Кат!$G:$G,0)),INDEX(Торг!$C:$C,MATCH(Прайс!$B2343,Торг!$H:$H,0))),"")</f>
        <v/>
      </c>
      <c r="H2343" s="67" t="str">
        <f>IFERROR(IFERROR(INDEX(Кат!$I:$I,MATCH(Прайс!$B2343,Кат!$G:$G,0)),INDEX(Торг!$I:$I,MATCH(Прайс!$B2343,Торг!$H:$H,0))),"")</f>
        <v/>
      </c>
    </row>
    <row r="2344" spans="1:8" x14ac:dyDescent="0.25">
      <c r="A2344" s="94" t="s">
        <v>5272</v>
      </c>
      <c r="B2344" s="98">
        <v>72486</v>
      </c>
      <c r="C2344" s="98" t="s">
        <v>5273</v>
      </c>
      <c r="D2344" s="96" t="s">
        <v>161</v>
      </c>
      <c r="E2344" s="97">
        <v>80</v>
      </c>
      <c r="F2344" s="67" t="str">
        <f>IFERROR(IFERROR(INDEX(Кат!$A:$A,MATCH(Прайс!$B2344,Кат!$G:$G,0)),INDEX(Торг!$B:$B,MATCH(Прайс!$B2344,Торг!$H:$H,0))),"")</f>
        <v/>
      </c>
      <c r="G2344" s="67" t="str">
        <f>IFERROR(IFERROR(INDEX(Кат!$B:$B,MATCH(Прайс!$B2344,Кат!$G:$G,0)),INDEX(Торг!$C:$C,MATCH(Прайс!$B2344,Торг!$H:$H,0))),"")</f>
        <v/>
      </c>
      <c r="H2344" s="67" t="str">
        <f>IFERROR(IFERROR(INDEX(Кат!$I:$I,MATCH(Прайс!$B2344,Кат!$G:$G,0)),INDEX(Торг!$I:$I,MATCH(Прайс!$B2344,Торг!$H:$H,0))),"")</f>
        <v/>
      </c>
    </row>
    <row r="2345" spans="1:8" x14ac:dyDescent="0.25">
      <c r="A2345" s="94" t="s">
        <v>5274</v>
      </c>
      <c r="B2345" s="98">
        <v>72487</v>
      </c>
      <c r="C2345" s="98" t="s">
        <v>5275</v>
      </c>
      <c r="D2345" s="96" t="s">
        <v>161</v>
      </c>
      <c r="E2345" s="97">
        <v>80</v>
      </c>
      <c r="F2345" s="67" t="str">
        <f>IFERROR(IFERROR(INDEX(Кат!$A:$A,MATCH(Прайс!$B2345,Кат!$G:$G,0)),INDEX(Торг!$B:$B,MATCH(Прайс!$B2345,Торг!$H:$H,0))),"")</f>
        <v/>
      </c>
      <c r="G2345" s="67" t="str">
        <f>IFERROR(IFERROR(INDEX(Кат!$B:$B,MATCH(Прайс!$B2345,Кат!$G:$G,0)),INDEX(Торг!$C:$C,MATCH(Прайс!$B2345,Торг!$H:$H,0))),"")</f>
        <v/>
      </c>
      <c r="H2345" s="67" t="str">
        <f>IFERROR(IFERROR(INDEX(Кат!$I:$I,MATCH(Прайс!$B2345,Кат!$G:$G,0)),INDEX(Торг!$I:$I,MATCH(Прайс!$B2345,Торг!$H:$H,0))),"")</f>
        <v/>
      </c>
    </row>
    <row r="2346" spans="1:8" x14ac:dyDescent="0.25">
      <c r="A2346" s="94" t="s">
        <v>7685</v>
      </c>
      <c r="B2346" s="98">
        <v>72463</v>
      </c>
      <c r="C2346" s="98" t="s">
        <v>7686</v>
      </c>
      <c r="D2346" s="96" t="s">
        <v>161</v>
      </c>
      <c r="E2346" s="97">
        <v>110</v>
      </c>
      <c r="F2346" s="67" t="str">
        <f>IFERROR(IFERROR(INDEX(Кат!$A:$A,MATCH(Прайс!$B2346,Кат!$G:$G,0)),INDEX(Торг!$B:$B,MATCH(Прайс!$B2346,Торг!$H:$H,0))),"")</f>
        <v/>
      </c>
      <c r="G2346" s="67" t="str">
        <f>IFERROR(IFERROR(INDEX(Кат!$B:$B,MATCH(Прайс!$B2346,Кат!$G:$G,0)),INDEX(Торг!$C:$C,MATCH(Прайс!$B2346,Торг!$H:$H,0))),"")</f>
        <v/>
      </c>
      <c r="H2346" s="67" t="str">
        <f>IFERROR(IFERROR(INDEX(Кат!$I:$I,MATCH(Прайс!$B2346,Кат!$G:$G,0)),INDEX(Торг!$I:$I,MATCH(Прайс!$B2346,Торг!$H:$H,0))),"")</f>
        <v/>
      </c>
    </row>
    <row r="2347" spans="1:8" x14ac:dyDescent="0.25">
      <c r="A2347" s="94" t="s">
        <v>5276</v>
      </c>
      <c r="B2347" s="98">
        <v>72464</v>
      </c>
      <c r="C2347" s="98" t="s">
        <v>5277</v>
      </c>
      <c r="D2347" s="96" t="s">
        <v>161</v>
      </c>
      <c r="E2347" s="97">
        <v>110</v>
      </c>
      <c r="F2347" s="67" t="str">
        <f>IFERROR(IFERROR(INDEX(Кат!$A:$A,MATCH(Прайс!$B2347,Кат!$G:$G,0)),INDEX(Торг!$B:$B,MATCH(Прайс!$B2347,Торг!$H:$H,0))),"")</f>
        <v/>
      </c>
      <c r="G2347" s="67" t="str">
        <f>IFERROR(IFERROR(INDEX(Кат!$B:$B,MATCH(Прайс!$B2347,Кат!$G:$G,0)),INDEX(Торг!$C:$C,MATCH(Прайс!$B2347,Торг!$H:$H,0))),"")</f>
        <v/>
      </c>
      <c r="H2347" s="67" t="str">
        <f>IFERROR(IFERROR(INDEX(Кат!$I:$I,MATCH(Прайс!$B2347,Кат!$G:$G,0)),INDEX(Торг!$I:$I,MATCH(Прайс!$B2347,Торг!$H:$H,0))),"")</f>
        <v/>
      </c>
    </row>
    <row r="2348" spans="1:8" x14ac:dyDescent="0.25">
      <c r="A2348" s="94" t="s">
        <v>5278</v>
      </c>
      <c r="B2348" s="98">
        <v>72465</v>
      </c>
      <c r="C2348" s="98" t="s">
        <v>5279</v>
      </c>
      <c r="D2348" s="96" t="s">
        <v>161</v>
      </c>
      <c r="E2348" s="97">
        <v>110</v>
      </c>
      <c r="F2348" s="67" t="str">
        <f>IFERROR(IFERROR(INDEX(Кат!$A:$A,MATCH(Прайс!$B2348,Кат!$G:$G,0)),INDEX(Торг!$B:$B,MATCH(Прайс!$B2348,Торг!$H:$H,0))),"")</f>
        <v/>
      </c>
      <c r="G2348" s="67" t="str">
        <f>IFERROR(IFERROR(INDEX(Кат!$B:$B,MATCH(Прайс!$B2348,Кат!$G:$G,0)),INDEX(Торг!$C:$C,MATCH(Прайс!$B2348,Торг!$H:$H,0))),"")</f>
        <v/>
      </c>
      <c r="H2348" s="67" t="str">
        <f>IFERROR(IFERROR(INDEX(Кат!$I:$I,MATCH(Прайс!$B2348,Кат!$G:$G,0)),INDEX(Торг!$I:$I,MATCH(Прайс!$B2348,Торг!$H:$H,0))),"")</f>
        <v/>
      </c>
    </row>
    <row r="2349" spans="1:8" x14ac:dyDescent="0.25">
      <c r="A2349" s="94" t="s">
        <v>5280</v>
      </c>
      <c r="B2349" s="98">
        <v>72466</v>
      </c>
      <c r="C2349" s="98" t="s">
        <v>5281</v>
      </c>
      <c r="D2349" s="96" t="s">
        <v>161</v>
      </c>
      <c r="E2349" s="97">
        <v>110</v>
      </c>
      <c r="F2349" s="67" t="str">
        <f>IFERROR(IFERROR(INDEX(Кат!$A:$A,MATCH(Прайс!$B2349,Кат!$G:$G,0)),INDEX(Торг!$B:$B,MATCH(Прайс!$B2349,Торг!$H:$H,0))),"")</f>
        <v/>
      </c>
      <c r="G2349" s="67" t="str">
        <f>IFERROR(IFERROR(INDEX(Кат!$B:$B,MATCH(Прайс!$B2349,Кат!$G:$G,0)),INDEX(Торг!$C:$C,MATCH(Прайс!$B2349,Торг!$H:$H,0))),"")</f>
        <v/>
      </c>
      <c r="H2349" s="67" t="str">
        <f>IFERROR(IFERROR(INDEX(Кат!$I:$I,MATCH(Прайс!$B2349,Кат!$G:$G,0)),INDEX(Торг!$I:$I,MATCH(Прайс!$B2349,Торг!$H:$H,0))),"")</f>
        <v/>
      </c>
    </row>
    <row r="2350" spans="1:8" x14ac:dyDescent="0.25">
      <c r="A2350" s="94" t="s">
        <v>5282</v>
      </c>
      <c r="B2350" s="98">
        <v>72467</v>
      </c>
      <c r="C2350" s="98" t="s">
        <v>5283</v>
      </c>
      <c r="D2350" s="96" t="s">
        <v>161</v>
      </c>
      <c r="E2350" s="97">
        <v>110</v>
      </c>
      <c r="F2350" s="67" t="str">
        <f>IFERROR(IFERROR(INDEX(Кат!$A:$A,MATCH(Прайс!$B2350,Кат!$G:$G,0)),INDEX(Торг!$B:$B,MATCH(Прайс!$B2350,Торг!$H:$H,0))),"")</f>
        <v/>
      </c>
      <c r="G2350" s="67" t="str">
        <f>IFERROR(IFERROR(INDEX(Кат!$B:$B,MATCH(Прайс!$B2350,Кат!$G:$G,0)),INDEX(Торг!$C:$C,MATCH(Прайс!$B2350,Торг!$H:$H,0))),"")</f>
        <v/>
      </c>
      <c r="H2350" s="67" t="str">
        <f>IFERROR(IFERROR(INDEX(Кат!$I:$I,MATCH(Прайс!$B2350,Кат!$G:$G,0)),INDEX(Торг!$I:$I,MATCH(Прайс!$B2350,Торг!$H:$H,0))),"")</f>
        <v/>
      </c>
    </row>
    <row r="2351" spans="1:8" x14ac:dyDescent="0.25">
      <c r="A2351" s="94" t="s">
        <v>5284</v>
      </c>
      <c r="B2351" s="98">
        <v>72468</v>
      </c>
      <c r="C2351" s="98" t="s">
        <v>5285</v>
      </c>
      <c r="D2351" s="96" t="s">
        <v>161</v>
      </c>
      <c r="E2351" s="97">
        <v>110</v>
      </c>
      <c r="F2351" s="67" t="str">
        <f>IFERROR(IFERROR(INDEX(Кат!$A:$A,MATCH(Прайс!$B2351,Кат!$G:$G,0)),INDEX(Торг!$B:$B,MATCH(Прайс!$B2351,Торг!$H:$H,0))),"")</f>
        <v/>
      </c>
      <c r="G2351" s="67" t="str">
        <f>IFERROR(IFERROR(INDEX(Кат!$B:$B,MATCH(Прайс!$B2351,Кат!$G:$G,0)),INDEX(Торг!$C:$C,MATCH(Прайс!$B2351,Торг!$H:$H,0))),"")</f>
        <v/>
      </c>
      <c r="H2351" s="67" t="str">
        <f>IFERROR(IFERROR(INDEX(Кат!$I:$I,MATCH(Прайс!$B2351,Кат!$G:$G,0)),INDEX(Торг!$I:$I,MATCH(Прайс!$B2351,Торг!$H:$H,0))),"")</f>
        <v/>
      </c>
    </row>
    <row r="2352" spans="1:8" x14ac:dyDescent="0.25">
      <c r="A2352" s="94" t="s">
        <v>5286</v>
      </c>
      <c r="B2352" s="98">
        <v>72469</v>
      </c>
      <c r="C2352" s="98" t="s">
        <v>5287</v>
      </c>
      <c r="D2352" s="96" t="s">
        <v>161</v>
      </c>
      <c r="E2352" s="97">
        <v>110</v>
      </c>
      <c r="F2352" s="67" t="str">
        <f>IFERROR(IFERROR(INDEX(Кат!$A:$A,MATCH(Прайс!$B2352,Кат!$G:$G,0)),INDEX(Торг!$B:$B,MATCH(Прайс!$B2352,Торг!$H:$H,0))),"")</f>
        <v/>
      </c>
      <c r="G2352" s="67" t="str">
        <f>IFERROR(IFERROR(INDEX(Кат!$B:$B,MATCH(Прайс!$B2352,Кат!$G:$G,0)),INDEX(Торг!$C:$C,MATCH(Прайс!$B2352,Торг!$H:$H,0))),"")</f>
        <v/>
      </c>
      <c r="H2352" s="67" t="str">
        <f>IFERROR(IFERROR(INDEX(Кат!$I:$I,MATCH(Прайс!$B2352,Кат!$G:$G,0)),INDEX(Торг!$I:$I,MATCH(Прайс!$B2352,Торг!$H:$H,0))),"")</f>
        <v/>
      </c>
    </row>
    <row r="2353" spans="1:8" x14ac:dyDescent="0.25">
      <c r="A2353" s="94" t="s">
        <v>5288</v>
      </c>
      <c r="B2353" s="98">
        <v>72470</v>
      </c>
      <c r="C2353" s="98" t="s">
        <v>5289</v>
      </c>
      <c r="D2353" s="96" t="s">
        <v>161</v>
      </c>
      <c r="E2353" s="97">
        <v>110</v>
      </c>
      <c r="F2353" s="67" t="str">
        <f>IFERROR(IFERROR(INDEX(Кат!$A:$A,MATCH(Прайс!$B2353,Кат!$G:$G,0)),INDEX(Торг!$B:$B,MATCH(Прайс!$B2353,Торг!$H:$H,0))),"")</f>
        <v/>
      </c>
      <c r="G2353" s="67" t="str">
        <f>IFERROR(IFERROR(INDEX(Кат!$B:$B,MATCH(Прайс!$B2353,Кат!$G:$G,0)),INDEX(Торг!$C:$C,MATCH(Прайс!$B2353,Торг!$H:$H,0))),"")</f>
        <v/>
      </c>
      <c r="H2353" s="67" t="str">
        <f>IFERROR(IFERROR(INDEX(Кат!$I:$I,MATCH(Прайс!$B2353,Кат!$G:$G,0)),INDEX(Торг!$I:$I,MATCH(Прайс!$B2353,Торг!$H:$H,0))),"")</f>
        <v/>
      </c>
    </row>
    <row r="2354" spans="1:8" x14ac:dyDescent="0.25">
      <c r="A2354" s="94" t="s">
        <v>5290</v>
      </c>
      <c r="B2354" s="98">
        <v>72471</v>
      </c>
      <c r="C2354" s="98" t="s">
        <v>5291</v>
      </c>
      <c r="D2354" s="96" t="s">
        <v>161</v>
      </c>
      <c r="E2354" s="97">
        <v>110</v>
      </c>
      <c r="F2354" s="67" t="str">
        <f>IFERROR(IFERROR(INDEX(Кат!$A:$A,MATCH(Прайс!$B2354,Кат!$G:$G,0)),INDEX(Торг!$B:$B,MATCH(Прайс!$B2354,Торг!$H:$H,0))),"")</f>
        <v/>
      </c>
      <c r="G2354" s="67" t="str">
        <f>IFERROR(IFERROR(INDEX(Кат!$B:$B,MATCH(Прайс!$B2354,Кат!$G:$G,0)),INDEX(Торг!$C:$C,MATCH(Прайс!$B2354,Торг!$H:$H,0))),"")</f>
        <v/>
      </c>
      <c r="H2354" s="67" t="str">
        <f>IFERROR(IFERROR(INDEX(Кат!$I:$I,MATCH(Прайс!$B2354,Кат!$G:$G,0)),INDEX(Торг!$I:$I,MATCH(Прайс!$B2354,Торг!$H:$H,0))),"")</f>
        <v/>
      </c>
    </row>
    <row r="2355" spans="1:8" x14ac:dyDescent="0.25">
      <c r="A2355" s="94" t="s">
        <v>5292</v>
      </c>
      <c r="B2355" s="98">
        <v>72472</v>
      </c>
      <c r="C2355" s="98" t="s">
        <v>5293</v>
      </c>
      <c r="D2355" s="96" t="s">
        <v>161</v>
      </c>
      <c r="E2355" s="97">
        <v>110</v>
      </c>
      <c r="F2355" s="67" t="str">
        <f>IFERROR(IFERROR(INDEX(Кат!$A:$A,MATCH(Прайс!$B2355,Кат!$G:$G,0)),INDEX(Торг!$B:$B,MATCH(Прайс!$B2355,Торг!$H:$H,0))),"")</f>
        <v/>
      </c>
      <c r="G2355" s="67" t="str">
        <f>IFERROR(IFERROR(INDEX(Кат!$B:$B,MATCH(Прайс!$B2355,Кат!$G:$G,0)),INDEX(Торг!$C:$C,MATCH(Прайс!$B2355,Торг!$H:$H,0))),"")</f>
        <v/>
      </c>
      <c r="H2355" s="67" t="str">
        <f>IFERROR(IFERROR(INDEX(Кат!$I:$I,MATCH(Прайс!$B2355,Кат!$G:$G,0)),INDEX(Торг!$I:$I,MATCH(Прайс!$B2355,Торг!$H:$H,0))),"")</f>
        <v/>
      </c>
    </row>
    <row r="2356" spans="1:8" x14ac:dyDescent="0.25">
      <c r="A2356" s="94" t="s">
        <v>5294</v>
      </c>
      <c r="B2356" s="98">
        <v>72473</v>
      </c>
      <c r="C2356" s="98" t="s">
        <v>5295</v>
      </c>
      <c r="D2356" s="96" t="s">
        <v>161</v>
      </c>
      <c r="E2356" s="97">
        <v>110</v>
      </c>
      <c r="F2356" s="67" t="str">
        <f>IFERROR(IFERROR(INDEX(Кат!$A:$A,MATCH(Прайс!$B2356,Кат!$G:$G,0)),INDEX(Торг!$B:$B,MATCH(Прайс!$B2356,Торг!$H:$H,0))),"")</f>
        <v/>
      </c>
      <c r="G2356" s="67" t="str">
        <f>IFERROR(IFERROR(INDEX(Кат!$B:$B,MATCH(Прайс!$B2356,Кат!$G:$G,0)),INDEX(Торг!$C:$C,MATCH(Прайс!$B2356,Торг!$H:$H,0))),"")</f>
        <v/>
      </c>
      <c r="H2356" s="67" t="str">
        <f>IFERROR(IFERROR(INDEX(Кат!$I:$I,MATCH(Прайс!$B2356,Кат!$G:$G,0)),INDEX(Торг!$I:$I,MATCH(Прайс!$B2356,Торг!$H:$H,0))),"")</f>
        <v/>
      </c>
    </row>
    <row r="2357" spans="1:8" x14ac:dyDescent="0.25">
      <c r="A2357" s="94" t="s">
        <v>5296</v>
      </c>
      <c r="B2357" s="98">
        <v>72474</v>
      </c>
      <c r="C2357" s="98" t="s">
        <v>5297</v>
      </c>
      <c r="D2357" s="96" t="s">
        <v>161</v>
      </c>
      <c r="E2357" s="97">
        <v>110</v>
      </c>
      <c r="F2357" s="67" t="str">
        <f>IFERROR(IFERROR(INDEX(Кат!$A:$A,MATCH(Прайс!$B2357,Кат!$G:$G,0)),INDEX(Торг!$B:$B,MATCH(Прайс!$B2357,Торг!$H:$H,0))),"")</f>
        <v/>
      </c>
      <c r="G2357" s="67" t="str">
        <f>IFERROR(IFERROR(INDEX(Кат!$B:$B,MATCH(Прайс!$B2357,Кат!$G:$G,0)),INDEX(Торг!$C:$C,MATCH(Прайс!$B2357,Торг!$H:$H,0))),"")</f>
        <v/>
      </c>
      <c r="H2357" s="67" t="str">
        <f>IFERROR(IFERROR(INDEX(Кат!$I:$I,MATCH(Прайс!$B2357,Кат!$G:$G,0)),INDEX(Торг!$I:$I,MATCH(Прайс!$B2357,Торг!$H:$H,0))),"")</f>
        <v/>
      </c>
    </row>
    <row r="2358" spans="1:8" x14ac:dyDescent="0.25">
      <c r="A2358" s="94" t="s">
        <v>5298</v>
      </c>
      <c r="B2358" s="98">
        <v>72475</v>
      </c>
      <c r="C2358" s="98" t="s">
        <v>5299</v>
      </c>
      <c r="D2358" s="96" t="s">
        <v>161</v>
      </c>
      <c r="E2358" s="97">
        <v>110</v>
      </c>
      <c r="F2358" s="67" t="str">
        <f>IFERROR(IFERROR(INDEX(Кат!$A:$A,MATCH(Прайс!$B2358,Кат!$G:$G,0)),INDEX(Торг!$B:$B,MATCH(Прайс!$B2358,Торг!$H:$H,0))),"")</f>
        <v/>
      </c>
      <c r="G2358" s="67" t="str">
        <f>IFERROR(IFERROR(INDEX(Кат!$B:$B,MATCH(Прайс!$B2358,Кат!$G:$G,0)),INDEX(Торг!$C:$C,MATCH(Прайс!$B2358,Торг!$H:$H,0))),"")</f>
        <v/>
      </c>
      <c r="H2358" s="67" t="str">
        <f>IFERROR(IFERROR(INDEX(Кат!$I:$I,MATCH(Прайс!$B2358,Кат!$G:$G,0)),INDEX(Торг!$I:$I,MATCH(Прайс!$B2358,Торг!$H:$H,0))),"")</f>
        <v/>
      </c>
    </row>
    <row r="2359" spans="1:8" x14ac:dyDescent="0.25">
      <c r="A2359" s="94" t="s">
        <v>5300</v>
      </c>
      <c r="B2359" s="98">
        <v>72476</v>
      </c>
      <c r="C2359" s="98" t="s">
        <v>5301</v>
      </c>
      <c r="D2359" s="96" t="s">
        <v>161</v>
      </c>
      <c r="E2359" s="97">
        <v>110</v>
      </c>
      <c r="F2359" s="67" t="str">
        <f>IFERROR(IFERROR(INDEX(Кат!$A:$A,MATCH(Прайс!$B2359,Кат!$G:$G,0)),INDEX(Торг!$B:$B,MATCH(Прайс!$B2359,Торг!$H:$H,0))),"")</f>
        <v/>
      </c>
      <c r="G2359" s="67" t="str">
        <f>IFERROR(IFERROR(INDEX(Кат!$B:$B,MATCH(Прайс!$B2359,Кат!$G:$G,0)),INDEX(Торг!$C:$C,MATCH(Прайс!$B2359,Торг!$H:$H,0))),"")</f>
        <v/>
      </c>
      <c r="H2359" s="67" t="str">
        <f>IFERROR(IFERROR(INDEX(Кат!$I:$I,MATCH(Прайс!$B2359,Кат!$G:$G,0)),INDEX(Торг!$I:$I,MATCH(Прайс!$B2359,Торг!$H:$H,0))),"")</f>
        <v/>
      </c>
    </row>
    <row r="2360" spans="1:8" ht="15.75" x14ac:dyDescent="0.25">
      <c r="A2360" s="90"/>
      <c r="B2360" s="91"/>
      <c r="C2360" s="92" t="s">
        <v>1223</v>
      </c>
      <c r="D2360" s="91"/>
      <c r="E2360" s="93"/>
      <c r="F2360" s="67" t="str">
        <f>IFERROR(IFERROR(INDEX(Кат!$A:$A,MATCH(Прайс!$B2360,Кат!$G:$G,0)),INDEX(Торг!$B:$B,MATCH(Прайс!$B2360,Торг!$H:$H,0))),"")</f>
        <v/>
      </c>
      <c r="G2360" s="67" t="str">
        <f>IFERROR(IFERROR(INDEX(Кат!$B:$B,MATCH(Прайс!$B2360,Кат!$G:$G,0)),INDEX(Торг!$C:$C,MATCH(Прайс!$B2360,Торг!$H:$H,0))),"")</f>
        <v/>
      </c>
      <c r="H2360" s="67" t="str">
        <f>IFERROR(IFERROR(INDEX(Кат!$I:$I,MATCH(Прайс!$B2360,Кат!$G:$G,0)),INDEX(Торг!$I:$I,MATCH(Прайс!$B2360,Торг!$H:$H,0))),"")</f>
        <v/>
      </c>
    </row>
    <row r="2361" spans="1:8" x14ac:dyDescent="0.25">
      <c r="A2361" s="94" t="s">
        <v>8297</v>
      </c>
      <c r="B2361" s="98">
        <v>70004</v>
      </c>
      <c r="C2361" s="98" t="s">
        <v>8298</v>
      </c>
      <c r="D2361" s="96" t="s">
        <v>1126</v>
      </c>
      <c r="E2361" s="97">
        <v>200</v>
      </c>
      <c r="F2361" s="67" t="str">
        <f>IFERROR(IFERROR(INDEX(Кат!$A:$A,MATCH(Прайс!$B2361,Кат!$G:$G,0)),INDEX(Торг!$B:$B,MATCH(Прайс!$B2361,Торг!$H:$H,0))),"")</f>
        <v/>
      </c>
      <c r="G2361" s="67" t="str">
        <f>IFERROR(IFERROR(INDEX(Кат!$B:$B,MATCH(Прайс!$B2361,Кат!$G:$G,0)),INDEX(Торг!$C:$C,MATCH(Прайс!$B2361,Торг!$H:$H,0))),"")</f>
        <v/>
      </c>
      <c r="H2361" s="67" t="str">
        <f>IFERROR(IFERROR(INDEX(Кат!$I:$I,MATCH(Прайс!$B2361,Кат!$G:$G,0)),INDEX(Торг!$I:$I,MATCH(Прайс!$B2361,Торг!$H:$H,0))),"")</f>
        <v/>
      </c>
    </row>
    <row r="2362" spans="1:8" x14ac:dyDescent="0.25">
      <c r="A2362" s="94" t="s">
        <v>8299</v>
      </c>
      <c r="B2362" s="98">
        <v>71372</v>
      </c>
      <c r="C2362" s="98" t="s">
        <v>8300</v>
      </c>
      <c r="D2362" s="96" t="s">
        <v>177</v>
      </c>
      <c r="E2362" s="97">
        <v>200</v>
      </c>
      <c r="F2362" s="67" t="str">
        <f>IFERROR(IFERROR(INDEX(Кат!$A:$A,MATCH(Прайс!$B2362,Кат!$G:$G,0)),INDEX(Торг!$B:$B,MATCH(Прайс!$B2362,Торг!$H:$H,0))),"")</f>
        <v/>
      </c>
      <c r="G2362" s="67" t="str">
        <f>IFERROR(IFERROR(INDEX(Кат!$B:$B,MATCH(Прайс!$B2362,Кат!$G:$G,0)),INDEX(Торг!$C:$C,MATCH(Прайс!$B2362,Торг!$H:$H,0))),"")</f>
        <v/>
      </c>
      <c r="H2362" s="67" t="str">
        <f>IFERROR(IFERROR(INDEX(Кат!$I:$I,MATCH(Прайс!$B2362,Кат!$G:$G,0)),INDEX(Торг!$I:$I,MATCH(Прайс!$B2362,Торг!$H:$H,0))),"")</f>
        <v/>
      </c>
    </row>
    <row r="2363" spans="1:8" x14ac:dyDescent="0.25">
      <c r="A2363" s="94" t="s">
        <v>8301</v>
      </c>
      <c r="B2363" s="98">
        <v>71369</v>
      </c>
      <c r="C2363" s="98" t="s">
        <v>8302</v>
      </c>
      <c r="D2363" s="96" t="s">
        <v>177</v>
      </c>
      <c r="E2363" s="97">
        <v>200</v>
      </c>
      <c r="F2363" s="67">
        <f>IFERROR(IFERROR(INDEX(Кат!$A:$A,MATCH(Прайс!$B2363,Кат!$G:$G,0)),INDEX(Торг!$B:$B,MATCH(Прайс!$B2363,Торг!$H:$H,0))),"")</f>
        <v>132906</v>
      </c>
      <c r="G2363" s="67">
        <f>IFERROR(IFERROR(INDEX(Кат!$B:$B,MATCH(Прайс!$B2363,Кат!$G:$G,0)),INDEX(Торг!$C:$C,MATCH(Прайс!$B2363,Торг!$H:$H,0))),"")</f>
        <v>51377</v>
      </c>
      <c r="H2363" s="67" t="str">
        <f>IFERROR(IFERROR(INDEX(Кат!$I:$I,MATCH(Прайс!$B2363,Кат!$G:$G,0)),INDEX(Торг!$I:$I,MATCH(Прайс!$B2363,Торг!$H:$H,0))),"")</f>
        <v>кристал авто</v>
      </c>
    </row>
    <row r="2364" spans="1:8" x14ac:dyDescent="0.25">
      <c r="A2364" s="103" t="s">
        <v>3796</v>
      </c>
      <c r="B2364" s="104">
        <v>70007</v>
      </c>
      <c r="C2364" s="104" t="s">
        <v>1224</v>
      </c>
      <c r="D2364" s="105" t="s">
        <v>1126</v>
      </c>
      <c r="E2364" s="113">
        <v>200</v>
      </c>
      <c r="F2364" s="67">
        <f>IFERROR(IFERROR(INDEX(Кат!$A:$A,MATCH(Прайс!$B2364,Кат!$G:$G,0)),INDEX(Торг!$B:$B,MATCH(Прайс!$B2364,Торг!$H:$H,0))),"")</f>
        <v>132910</v>
      </c>
      <c r="G2364" s="67">
        <f>IFERROR(IFERROR(INDEX(Кат!$B:$B,MATCH(Прайс!$B2364,Кат!$G:$G,0)),INDEX(Торг!$C:$C,MATCH(Прайс!$B2364,Торг!$H:$H,0))),"")</f>
        <v>51380</v>
      </c>
      <c r="H2364" s="67" t="str">
        <f>IFERROR(IFERROR(INDEX(Кат!$I:$I,MATCH(Прайс!$B2364,Кат!$G:$G,0)),INDEX(Торг!$I:$I,MATCH(Прайс!$B2364,Торг!$H:$H,0))),"")</f>
        <v>кристал авто</v>
      </c>
    </row>
    <row r="2365" spans="1:8" x14ac:dyDescent="0.25">
      <c r="A2365" s="103" t="s">
        <v>3797</v>
      </c>
      <c r="B2365" s="104">
        <v>70008</v>
      </c>
      <c r="C2365" s="104" t="s">
        <v>1225</v>
      </c>
      <c r="D2365" s="105" t="s">
        <v>1741</v>
      </c>
      <c r="E2365" s="113">
        <v>200</v>
      </c>
      <c r="F2365" s="67">
        <f>IFERROR(IFERROR(INDEX(Кат!$A:$A,MATCH(Прайс!$B2365,Кат!$G:$G,0)),INDEX(Торг!$B:$B,MATCH(Прайс!$B2365,Торг!$H:$H,0))),"")</f>
        <v>132912</v>
      </c>
      <c r="G2365" s="67">
        <f>IFERROR(IFERROR(INDEX(Кат!$B:$B,MATCH(Прайс!$B2365,Кат!$G:$G,0)),INDEX(Торг!$C:$C,MATCH(Прайс!$B2365,Торг!$H:$H,0))),"")</f>
        <v>51381</v>
      </c>
      <c r="H2365" s="67" t="str">
        <f>IFERROR(IFERROR(INDEX(Кат!$I:$I,MATCH(Прайс!$B2365,Кат!$G:$G,0)),INDEX(Торг!$I:$I,MATCH(Прайс!$B2365,Торг!$H:$H,0))),"")</f>
        <v>кристал авто</v>
      </c>
    </row>
    <row r="2366" spans="1:8" x14ac:dyDescent="0.25">
      <c r="A2366" s="103" t="s">
        <v>8303</v>
      </c>
      <c r="B2366" s="104">
        <v>70010</v>
      </c>
      <c r="C2366" s="104" t="s">
        <v>8304</v>
      </c>
      <c r="D2366" s="105" t="s">
        <v>1126</v>
      </c>
      <c r="E2366" s="113">
        <v>200</v>
      </c>
      <c r="F2366" s="67">
        <f>IFERROR(IFERROR(INDEX(Кат!$A:$A,MATCH(Прайс!$B2366,Кат!$G:$G,0)),INDEX(Торг!$B:$B,MATCH(Прайс!$B2366,Торг!$H:$H,0))),"")</f>
        <v>132915</v>
      </c>
      <c r="G2366" s="67">
        <f>IFERROR(IFERROR(INDEX(Кат!$B:$B,MATCH(Прайс!$B2366,Кат!$G:$G,0)),INDEX(Торг!$C:$C,MATCH(Прайс!$B2366,Торг!$H:$H,0))),"")</f>
        <v>51383</v>
      </c>
      <c r="H2366" s="67" t="str">
        <f>IFERROR(IFERROR(INDEX(Кат!$I:$I,MATCH(Прайс!$B2366,Кат!$G:$G,0)),INDEX(Торг!$I:$I,MATCH(Прайс!$B2366,Торг!$H:$H,0))),"")</f>
        <v>кристал авто</v>
      </c>
    </row>
    <row r="2367" spans="1:8" x14ac:dyDescent="0.25">
      <c r="A2367" s="103" t="s">
        <v>3798</v>
      </c>
      <c r="B2367" s="104">
        <v>70012</v>
      </c>
      <c r="C2367" s="104" t="s">
        <v>1226</v>
      </c>
      <c r="D2367" s="105" t="s">
        <v>1741</v>
      </c>
      <c r="E2367" s="113">
        <v>200</v>
      </c>
      <c r="F2367" s="67">
        <f>IFERROR(IFERROR(INDEX(Кат!$A:$A,MATCH(Прайс!$B2367,Кат!$G:$G,0)),INDEX(Торг!$B:$B,MATCH(Прайс!$B2367,Торг!$H:$H,0))),"")</f>
        <v>132917</v>
      </c>
      <c r="G2367" s="67">
        <f>IFERROR(IFERROR(INDEX(Кат!$B:$B,MATCH(Прайс!$B2367,Кат!$G:$G,0)),INDEX(Торг!$C:$C,MATCH(Прайс!$B2367,Торг!$H:$H,0))),"")</f>
        <v>51385</v>
      </c>
      <c r="H2367" s="67" t="str">
        <f>IFERROR(IFERROR(INDEX(Кат!$I:$I,MATCH(Прайс!$B2367,Кат!$G:$G,0)),INDEX(Торг!$I:$I,MATCH(Прайс!$B2367,Торг!$H:$H,0))),"")</f>
        <v>кристал авто</v>
      </c>
    </row>
    <row r="2368" spans="1:8" x14ac:dyDescent="0.25">
      <c r="A2368" s="103" t="s">
        <v>3799</v>
      </c>
      <c r="B2368" s="104">
        <v>71642</v>
      </c>
      <c r="C2368" s="104" t="s">
        <v>1227</v>
      </c>
      <c r="D2368" s="105" t="s">
        <v>177</v>
      </c>
      <c r="E2368" s="113">
        <v>200</v>
      </c>
      <c r="F2368" s="67">
        <f>IFERROR(IFERROR(INDEX(Кат!$A:$A,MATCH(Прайс!$B2368,Кат!$G:$G,0)),INDEX(Торг!$B:$B,MATCH(Прайс!$B2368,Торг!$H:$H,0))),"")</f>
        <v>132921</v>
      </c>
      <c r="G2368" s="67">
        <f>IFERROR(IFERROR(INDEX(Кат!$B:$B,MATCH(Прайс!$B2368,Кат!$G:$G,0)),INDEX(Торг!$C:$C,MATCH(Прайс!$B2368,Торг!$H:$H,0))),"")</f>
        <v>51393</v>
      </c>
      <c r="H2368" s="67" t="str">
        <f>IFERROR(IFERROR(INDEX(Кат!$I:$I,MATCH(Прайс!$B2368,Кат!$G:$G,0)),INDEX(Торг!$I:$I,MATCH(Прайс!$B2368,Торг!$H:$H,0))),"")</f>
        <v>кристал авто</v>
      </c>
    </row>
    <row r="2369" spans="1:8" x14ac:dyDescent="0.25">
      <c r="A2369" s="103" t="s">
        <v>3800</v>
      </c>
      <c r="B2369" s="104">
        <v>70001</v>
      </c>
      <c r="C2369" s="104" t="s">
        <v>1228</v>
      </c>
      <c r="D2369" s="105" t="s">
        <v>1741</v>
      </c>
      <c r="E2369" s="113">
        <v>200</v>
      </c>
      <c r="F2369" s="67">
        <f>IFERROR(IFERROR(INDEX(Кат!$A:$A,MATCH(Прайс!$B2369,Кат!$G:$G,0)),INDEX(Торг!$B:$B,MATCH(Прайс!$B2369,Торг!$H:$H,0))),"")</f>
        <v>132922</v>
      </c>
      <c r="G2369" s="67">
        <f>IFERROR(IFERROR(INDEX(Кат!$B:$B,MATCH(Прайс!$B2369,Кат!$G:$G,0)),INDEX(Торг!$C:$C,MATCH(Прайс!$B2369,Торг!$H:$H,0))),"")</f>
        <v>51379</v>
      </c>
      <c r="H2369" s="67" t="str">
        <f>IFERROR(IFERROR(INDEX(Кат!$I:$I,MATCH(Прайс!$B2369,Кат!$G:$G,0)),INDEX(Торг!$I:$I,MATCH(Прайс!$B2369,Торг!$H:$H,0))),"")</f>
        <v>кристал авто</v>
      </c>
    </row>
    <row r="2370" spans="1:8" x14ac:dyDescent="0.25">
      <c r="A2370" s="103" t="s">
        <v>3801</v>
      </c>
      <c r="B2370" s="104">
        <v>70015</v>
      </c>
      <c r="C2370" s="104" t="s">
        <v>1229</v>
      </c>
      <c r="D2370" s="105" t="s">
        <v>1126</v>
      </c>
      <c r="E2370" s="113">
        <v>200</v>
      </c>
      <c r="F2370" s="67">
        <f>IFERROR(IFERROR(INDEX(Кат!$A:$A,MATCH(Прайс!$B2370,Кат!$G:$G,0)),INDEX(Торг!$B:$B,MATCH(Прайс!$B2370,Торг!$H:$H,0))),"")</f>
        <v>132923</v>
      </c>
      <c r="G2370" s="67">
        <f>IFERROR(IFERROR(INDEX(Кат!$B:$B,MATCH(Прайс!$B2370,Кат!$G:$G,0)),INDEX(Торг!$C:$C,MATCH(Прайс!$B2370,Торг!$H:$H,0))),"")</f>
        <v>51388</v>
      </c>
      <c r="H2370" s="67" t="str">
        <f>IFERROR(IFERROR(INDEX(Кат!$I:$I,MATCH(Прайс!$B2370,Кат!$G:$G,0)),INDEX(Торг!$I:$I,MATCH(Прайс!$B2370,Торг!$H:$H,0))),"")</f>
        <v>кристал авто</v>
      </c>
    </row>
    <row r="2371" spans="1:8" x14ac:dyDescent="0.25">
      <c r="A2371" s="103" t="s">
        <v>3802</v>
      </c>
      <c r="B2371" s="104">
        <v>70017</v>
      </c>
      <c r="C2371" s="104" t="s">
        <v>1230</v>
      </c>
      <c r="D2371" s="105" t="s">
        <v>1126</v>
      </c>
      <c r="E2371" s="113">
        <v>200</v>
      </c>
      <c r="F2371" s="67">
        <f>IFERROR(IFERROR(INDEX(Кат!$A:$A,MATCH(Прайс!$B2371,Кат!$G:$G,0)),INDEX(Торг!$B:$B,MATCH(Прайс!$B2371,Торг!$H:$H,0))),"")</f>
        <v>132918</v>
      </c>
      <c r="G2371" s="67">
        <f>IFERROR(IFERROR(INDEX(Кат!$B:$B,MATCH(Прайс!$B2371,Кат!$G:$G,0)),INDEX(Торг!$C:$C,MATCH(Прайс!$B2371,Торг!$H:$H,0))),"")</f>
        <v>53032</v>
      </c>
      <c r="H2371" s="67" t="str">
        <f>IFERROR(IFERROR(INDEX(Кат!$I:$I,MATCH(Прайс!$B2371,Кат!$G:$G,0)),INDEX(Торг!$I:$I,MATCH(Прайс!$B2371,Торг!$H:$H,0))),"")</f>
        <v>кристал авто</v>
      </c>
    </row>
    <row r="2372" spans="1:8" x14ac:dyDescent="0.25">
      <c r="A2372" s="103" t="s">
        <v>3803</v>
      </c>
      <c r="B2372" s="104">
        <v>70016</v>
      </c>
      <c r="C2372" s="104" t="s">
        <v>1231</v>
      </c>
      <c r="D2372" s="105" t="s">
        <v>1741</v>
      </c>
      <c r="E2372" s="113">
        <v>200</v>
      </c>
      <c r="F2372" s="67">
        <f>IFERROR(IFERROR(INDEX(Кат!$A:$A,MATCH(Прайс!$B2372,Кат!$G:$G,0)),INDEX(Торг!$B:$B,MATCH(Прайс!$B2372,Торг!$H:$H,0))),"")</f>
        <v>132924</v>
      </c>
      <c r="G2372" s="67">
        <f>IFERROR(IFERROR(INDEX(Кат!$B:$B,MATCH(Прайс!$B2372,Кат!$G:$G,0)),INDEX(Торг!$C:$C,MATCH(Прайс!$B2372,Торг!$H:$H,0))),"")</f>
        <v>53034</v>
      </c>
      <c r="H2372" s="67" t="str">
        <f>IFERROR(IFERROR(INDEX(Кат!$I:$I,MATCH(Прайс!$B2372,Кат!$G:$G,0)),INDEX(Торг!$I:$I,MATCH(Прайс!$B2372,Торг!$H:$H,0))),"")</f>
        <v>кристал авто</v>
      </c>
    </row>
    <row r="2373" spans="1:8" x14ac:dyDescent="0.25">
      <c r="A2373" s="103" t="s">
        <v>3804</v>
      </c>
      <c r="B2373" s="104">
        <v>70019</v>
      </c>
      <c r="C2373" s="104" t="s">
        <v>1232</v>
      </c>
      <c r="D2373" s="105" t="s">
        <v>1741</v>
      </c>
      <c r="E2373" s="113">
        <v>200</v>
      </c>
      <c r="F2373" s="67">
        <f>IFERROR(IFERROR(INDEX(Кат!$A:$A,MATCH(Прайс!$B2373,Кат!$G:$G,0)),INDEX(Торг!$B:$B,MATCH(Прайс!$B2373,Торг!$H:$H,0))),"")</f>
        <v>132925</v>
      </c>
      <c r="G2373" s="67">
        <f>IFERROR(IFERROR(INDEX(Кат!$B:$B,MATCH(Прайс!$B2373,Кат!$G:$G,0)),INDEX(Торг!$C:$C,MATCH(Прайс!$B2373,Торг!$H:$H,0))),"")</f>
        <v>51390</v>
      </c>
      <c r="H2373" s="67" t="str">
        <f>IFERROR(IFERROR(INDEX(Кат!$I:$I,MATCH(Прайс!$B2373,Кат!$G:$G,0)),INDEX(Торг!$I:$I,MATCH(Прайс!$B2373,Торг!$H:$H,0))),"")</f>
        <v>кристал авто</v>
      </c>
    </row>
    <row r="2374" spans="1:8" x14ac:dyDescent="0.25">
      <c r="A2374" s="103" t="s">
        <v>3805</v>
      </c>
      <c r="B2374" s="104">
        <v>70011</v>
      </c>
      <c r="C2374" s="104" t="s">
        <v>1233</v>
      </c>
      <c r="D2374" s="105" t="s">
        <v>1741</v>
      </c>
      <c r="E2374" s="113">
        <v>200</v>
      </c>
      <c r="F2374" s="67">
        <f>IFERROR(IFERROR(INDEX(Кат!$A:$A,MATCH(Прайс!$B2374,Кат!$G:$G,0)),INDEX(Торг!$B:$B,MATCH(Прайс!$B2374,Торг!$H:$H,0))),"")</f>
        <v>132927</v>
      </c>
      <c r="G2374" s="67">
        <f>IFERROR(IFERROR(INDEX(Кат!$B:$B,MATCH(Прайс!$B2374,Кат!$G:$G,0)),INDEX(Торг!$C:$C,MATCH(Прайс!$B2374,Торг!$H:$H,0))),"")</f>
        <v>51384</v>
      </c>
      <c r="H2374" s="67" t="str">
        <f>IFERROR(IFERROR(INDEX(Кат!$I:$I,MATCH(Прайс!$B2374,Кат!$G:$G,0)),INDEX(Торг!$I:$I,MATCH(Прайс!$B2374,Торг!$H:$H,0))),"")</f>
        <v>кристал авто</v>
      </c>
    </row>
    <row r="2375" spans="1:8" x14ac:dyDescent="0.25">
      <c r="A2375" s="103" t="s">
        <v>6389</v>
      </c>
      <c r="B2375" s="104">
        <v>70140</v>
      </c>
      <c r="C2375" s="104" t="s">
        <v>6390</v>
      </c>
      <c r="D2375" s="105" t="s">
        <v>160</v>
      </c>
      <c r="E2375" s="113">
        <v>200</v>
      </c>
      <c r="F2375" s="67" t="str">
        <f>IFERROR(IFERROR(INDEX(Кат!$A:$A,MATCH(Прайс!$B2375,Кат!$G:$G,0)),INDEX(Торг!$B:$B,MATCH(Прайс!$B2375,Торг!$H:$H,0))),"")</f>
        <v/>
      </c>
      <c r="G2375" s="67" t="str">
        <f>IFERROR(IFERROR(INDEX(Кат!$B:$B,MATCH(Прайс!$B2375,Кат!$G:$G,0)),INDEX(Торг!$C:$C,MATCH(Прайс!$B2375,Торг!$H:$H,0))),"")</f>
        <v/>
      </c>
      <c r="H2375" s="67" t="str">
        <f>IFERROR(IFERROR(INDEX(Кат!$I:$I,MATCH(Прайс!$B2375,Кат!$G:$G,0)),INDEX(Торг!$I:$I,MATCH(Прайс!$B2375,Торг!$H:$H,0))),"")</f>
        <v/>
      </c>
    </row>
    <row r="2376" spans="1:8" x14ac:dyDescent="0.25">
      <c r="A2376" s="103" t="s">
        <v>6391</v>
      </c>
      <c r="B2376" s="104">
        <v>70141</v>
      </c>
      <c r="C2376" s="104" t="s">
        <v>6392</v>
      </c>
      <c r="D2376" s="105" t="s">
        <v>160</v>
      </c>
      <c r="E2376" s="113">
        <v>200</v>
      </c>
      <c r="F2376" s="67" t="str">
        <f>IFERROR(IFERROR(INDEX(Кат!$A:$A,MATCH(Прайс!$B2376,Кат!$G:$G,0)),INDEX(Торг!$B:$B,MATCH(Прайс!$B2376,Торг!$H:$H,0))),"")</f>
        <v/>
      </c>
      <c r="G2376" s="67" t="str">
        <f>IFERROR(IFERROR(INDEX(Кат!$B:$B,MATCH(Прайс!$B2376,Кат!$G:$G,0)),INDEX(Торг!$C:$C,MATCH(Прайс!$B2376,Торг!$H:$H,0))),"")</f>
        <v/>
      </c>
      <c r="H2376" s="67" t="str">
        <f>IFERROR(IFERROR(INDEX(Кат!$I:$I,MATCH(Прайс!$B2376,Кат!$G:$G,0)),INDEX(Торг!$I:$I,MATCH(Прайс!$B2376,Торг!$H:$H,0))),"")</f>
        <v/>
      </c>
    </row>
    <row r="2377" spans="1:8" x14ac:dyDescent="0.25">
      <c r="A2377" s="103" t="s">
        <v>3806</v>
      </c>
      <c r="B2377" s="104">
        <v>70142</v>
      </c>
      <c r="C2377" s="104" t="s">
        <v>1234</v>
      </c>
      <c r="D2377" s="105" t="s">
        <v>160</v>
      </c>
      <c r="E2377" s="113">
        <v>200</v>
      </c>
      <c r="F2377" s="67" t="str">
        <f>IFERROR(IFERROR(INDEX(Кат!$A:$A,MATCH(Прайс!$B2377,Кат!$G:$G,0)),INDEX(Торг!$B:$B,MATCH(Прайс!$B2377,Торг!$H:$H,0))),"")</f>
        <v/>
      </c>
      <c r="G2377" s="67" t="str">
        <f>IFERROR(IFERROR(INDEX(Кат!$B:$B,MATCH(Прайс!$B2377,Кат!$G:$G,0)),INDEX(Торг!$C:$C,MATCH(Прайс!$B2377,Торг!$H:$H,0))),"")</f>
        <v/>
      </c>
      <c r="H2377" s="67" t="str">
        <f>IFERROR(IFERROR(INDEX(Кат!$I:$I,MATCH(Прайс!$B2377,Кат!$G:$G,0)),INDEX(Торг!$I:$I,MATCH(Прайс!$B2377,Торг!$H:$H,0))),"")</f>
        <v/>
      </c>
    </row>
    <row r="2378" spans="1:8" x14ac:dyDescent="0.25">
      <c r="A2378" s="103" t="s">
        <v>8437</v>
      </c>
      <c r="B2378" s="104">
        <v>70143</v>
      </c>
      <c r="C2378" s="104" t="s">
        <v>8438</v>
      </c>
      <c r="D2378" s="105" t="s">
        <v>160</v>
      </c>
      <c r="E2378" s="113">
        <v>200</v>
      </c>
      <c r="F2378" s="67" t="str">
        <f>IFERROR(IFERROR(INDEX(Кат!$A:$A,MATCH(Прайс!$B2378,Кат!$G:$G,0)),INDEX(Торг!$B:$B,MATCH(Прайс!$B2378,Торг!$H:$H,0))),"")</f>
        <v/>
      </c>
      <c r="G2378" s="67" t="str">
        <f>IFERROR(IFERROR(INDEX(Кат!$B:$B,MATCH(Прайс!$B2378,Кат!$G:$G,0)),INDEX(Торг!$C:$C,MATCH(Прайс!$B2378,Торг!$H:$H,0))),"")</f>
        <v/>
      </c>
      <c r="H2378" s="67" t="str">
        <f>IFERROR(IFERROR(INDEX(Кат!$I:$I,MATCH(Прайс!$B2378,Кат!$G:$G,0)),INDEX(Торг!$I:$I,MATCH(Прайс!$B2378,Торг!$H:$H,0))),"")</f>
        <v/>
      </c>
    </row>
    <row r="2379" spans="1:8" x14ac:dyDescent="0.25">
      <c r="A2379" s="103" t="s">
        <v>5302</v>
      </c>
      <c r="B2379" s="104">
        <v>70144</v>
      </c>
      <c r="C2379" s="104" t="s">
        <v>5303</v>
      </c>
      <c r="D2379" s="105" t="s">
        <v>160</v>
      </c>
      <c r="E2379" s="113">
        <v>200</v>
      </c>
      <c r="F2379" s="67" t="str">
        <f>IFERROR(IFERROR(INDEX(Кат!$A:$A,MATCH(Прайс!$B2379,Кат!$G:$G,0)),INDEX(Торг!$B:$B,MATCH(Прайс!$B2379,Торг!$H:$H,0))),"")</f>
        <v/>
      </c>
      <c r="G2379" s="67" t="str">
        <f>IFERROR(IFERROR(INDEX(Кат!$B:$B,MATCH(Прайс!$B2379,Кат!$G:$G,0)),INDEX(Торг!$C:$C,MATCH(Прайс!$B2379,Торг!$H:$H,0))),"")</f>
        <v/>
      </c>
      <c r="H2379" s="67" t="str">
        <f>IFERROR(IFERROR(INDEX(Кат!$I:$I,MATCH(Прайс!$B2379,Кат!$G:$G,0)),INDEX(Торг!$I:$I,MATCH(Прайс!$B2379,Торг!$H:$H,0))),"")</f>
        <v/>
      </c>
    </row>
    <row r="2380" spans="1:8" x14ac:dyDescent="0.25">
      <c r="A2380" s="103" t="s">
        <v>3807</v>
      </c>
      <c r="B2380" s="104">
        <v>70145</v>
      </c>
      <c r="C2380" s="104" t="s">
        <v>1235</v>
      </c>
      <c r="D2380" s="105" t="s">
        <v>160</v>
      </c>
      <c r="E2380" s="113">
        <v>200</v>
      </c>
      <c r="F2380" s="67" t="str">
        <f>IFERROR(IFERROR(INDEX(Кат!$A:$A,MATCH(Прайс!$B2380,Кат!$G:$G,0)),INDEX(Торг!$B:$B,MATCH(Прайс!$B2380,Торг!$H:$H,0))),"")</f>
        <v/>
      </c>
      <c r="G2380" s="67" t="str">
        <f>IFERROR(IFERROR(INDEX(Кат!$B:$B,MATCH(Прайс!$B2380,Кат!$G:$G,0)),INDEX(Торг!$C:$C,MATCH(Прайс!$B2380,Торг!$H:$H,0))),"")</f>
        <v/>
      </c>
      <c r="H2380" s="67" t="str">
        <f>IFERROR(IFERROR(INDEX(Кат!$I:$I,MATCH(Прайс!$B2380,Кат!$G:$G,0)),INDEX(Торг!$I:$I,MATCH(Прайс!$B2380,Торг!$H:$H,0))),"")</f>
        <v/>
      </c>
    </row>
    <row r="2381" spans="1:8" x14ac:dyDescent="0.25">
      <c r="A2381" s="103" t="s">
        <v>8439</v>
      </c>
      <c r="B2381" s="104">
        <v>70146</v>
      </c>
      <c r="C2381" s="104" t="s">
        <v>8440</v>
      </c>
      <c r="D2381" s="105" t="s">
        <v>160</v>
      </c>
      <c r="E2381" s="113">
        <v>200</v>
      </c>
      <c r="F2381" s="67" t="str">
        <f>IFERROR(IFERROR(INDEX(Кат!$A:$A,MATCH(Прайс!$B2381,Кат!$G:$G,0)),INDEX(Торг!$B:$B,MATCH(Прайс!$B2381,Торг!$H:$H,0))),"")</f>
        <v/>
      </c>
      <c r="G2381" s="67" t="str">
        <f>IFERROR(IFERROR(INDEX(Кат!$B:$B,MATCH(Прайс!$B2381,Кат!$G:$G,0)),INDEX(Торг!$C:$C,MATCH(Прайс!$B2381,Торг!$H:$H,0))),"")</f>
        <v/>
      </c>
      <c r="H2381" s="67" t="str">
        <f>IFERROR(IFERROR(INDEX(Кат!$I:$I,MATCH(Прайс!$B2381,Кат!$G:$G,0)),INDEX(Торг!$I:$I,MATCH(Прайс!$B2381,Торг!$H:$H,0))),"")</f>
        <v/>
      </c>
    </row>
    <row r="2382" spans="1:8" x14ac:dyDescent="0.25">
      <c r="A2382" s="103" t="s">
        <v>3808</v>
      </c>
      <c r="B2382" s="104">
        <v>70147</v>
      </c>
      <c r="C2382" s="104" t="s">
        <v>1236</v>
      </c>
      <c r="D2382" s="105" t="s">
        <v>160</v>
      </c>
      <c r="E2382" s="113">
        <v>200</v>
      </c>
      <c r="F2382" s="67" t="str">
        <f>IFERROR(IFERROR(INDEX(Кат!$A:$A,MATCH(Прайс!$B2382,Кат!$G:$G,0)),INDEX(Торг!$B:$B,MATCH(Прайс!$B2382,Торг!$H:$H,0))),"")</f>
        <v/>
      </c>
      <c r="G2382" s="67" t="str">
        <f>IFERROR(IFERROR(INDEX(Кат!$B:$B,MATCH(Прайс!$B2382,Кат!$G:$G,0)),INDEX(Торг!$C:$C,MATCH(Прайс!$B2382,Торг!$H:$H,0))),"")</f>
        <v/>
      </c>
      <c r="H2382" s="67" t="str">
        <f>IFERROR(IFERROR(INDEX(Кат!$I:$I,MATCH(Прайс!$B2382,Кат!$G:$G,0)),INDEX(Торг!$I:$I,MATCH(Прайс!$B2382,Торг!$H:$H,0))),"")</f>
        <v/>
      </c>
    </row>
    <row r="2383" spans="1:8" x14ac:dyDescent="0.25">
      <c r="A2383" s="103" t="s">
        <v>8441</v>
      </c>
      <c r="B2383" s="104">
        <v>70148</v>
      </c>
      <c r="C2383" s="104" t="s">
        <v>8442</v>
      </c>
      <c r="D2383" s="105" t="s">
        <v>160</v>
      </c>
      <c r="E2383" s="113">
        <v>200</v>
      </c>
      <c r="F2383" s="67" t="str">
        <f>IFERROR(IFERROR(INDEX(Кат!$A:$A,MATCH(Прайс!$B2383,Кат!$G:$G,0)),INDEX(Торг!$B:$B,MATCH(Прайс!$B2383,Торг!$H:$H,0))),"")</f>
        <v/>
      </c>
      <c r="G2383" s="67" t="str">
        <f>IFERROR(IFERROR(INDEX(Кат!$B:$B,MATCH(Прайс!$B2383,Кат!$G:$G,0)),INDEX(Торг!$C:$C,MATCH(Прайс!$B2383,Торг!$H:$H,0))),"")</f>
        <v/>
      </c>
      <c r="H2383" s="67" t="str">
        <f>IFERROR(IFERROR(INDEX(Кат!$I:$I,MATCH(Прайс!$B2383,Кат!$G:$G,0)),INDEX(Торг!$I:$I,MATCH(Прайс!$B2383,Торг!$H:$H,0))),"")</f>
        <v/>
      </c>
    </row>
    <row r="2384" spans="1:8" x14ac:dyDescent="0.25">
      <c r="A2384" s="103" t="s">
        <v>6393</v>
      </c>
      <c r="B2384" s="104">
        <v>70149</v>
      </c>
      <c r="C2384" s="104" t="s">
        <v>6394</v>
      </c>
      <c r="D2384" s="105" t="s">
        <v>160</v>
      </c>
      <c r="E2384" s="113">
        <v>200</v>
      </c>
      <c r="F2384" s="67" t="str">
        <f>IFERROR(IFERROR(INDEX(Кат!$A:$A,MATCH(Прайс!$B2384,Кат!$G:$G,0)),INDEX(Торг!$B:$B,MATCH(Прайс!$B2384,Торг!$H:$H,0))),"")</f>
        <v/>
      </c>
      <c r="G2384" s="67" t="str">
        <f>IFERROR(IFERROR(INDEX(Кат!$B:$B,MATCH(Прайс!$B2384,Кат!$G:$G,0)),INDEX(Торг!$C:$C,MATCH(Прайс!$B2384,Торг!$H:$H,0))),"")</f>
        <v/>
      </c>
      <c r="H2384" s="67" t="str">
        <f>IFERROR(IFERROR(INDEX(Кат!$I:$I,MATCH(Прайс!$B2384,Кат!$G:$G,0)),INDEX(Торг!$I:$I,MATCH(Прайс!$B2384,Торг!$H:$H,0))),"")</f>
        <v/>
      </c>
    </row>
    <row r="2385" spans="1:8" x14ac:dyDescent="0.25">
      <c r="A2385" s="103" t="s">
        <v>8443</v>
      </c>
      <c r="B2385" s="104">
        <v>70150</v>
      </c>
      <c r="C2385" s="104" t="s">
        <v>8444</v>
      </c>
      <c r="D2385" s="105" t="s">
        <v>160</v>
      </c>
      <c r="E2385" s="113">
        <v>200</v>
      </c>
      <c r="F2385" s="67" t="str">
        <f>IFERROR(IFERROR(INDEX(Кат!$A:$A,MATCH(Прайс!$B2385,Кат!$G:$G,0)),INDEX(Торг!$B:$B,MATCH(Прайс!$B2385,Торг!$H:$H,0))),"")</f>
        <v/>
      </c>
      <c r="G2385" s="67" t="str">
        <f>IFERROR(IFERROR(INDEX(Кат!$B:$B,MATCH(Прайс!$B2385,Кат!$G:$G,0)),INDEX(Торг!$C:$C,MATCH(Прайс!$B2385,Торг!$H:$H,0))),"")</f>
        <v/>
      </c>
      <c r="H2385" s="67" t="str">
        <f>IFERROR(IFERROR(INDEX(Кат!$I:$I,MATCH(Прайс!$B2385,Кат!$G:$G,0)),INDEX(Торг!$I:$I,MATCH(Прайс!$B2385,Торг!$H:$H,0))),"")</f>
        <v/>
      </c>
    </row>
    <row r="2386" spans="1:8" x14ac:dyDescent="0.25">
      <c r="A2386" s="103" t="s">
        <v>8445</v>
      </c>
      <c r="B2386" s="104">
        <v>70152</v>
      </c>
      <c r="C2386" s="104" t="s">
        <v>8446</v>
      </c>
      <c r="D2386" s="105" t="s">
        <v>160</v>
      </c>
      <c r="E2386" s="113">
        <v>200</v>
      </c>
      <c r="F2386" s="67" t="str">
        <f>IFERROR(IFERROR(INDEX(Кат!$A:$A,MATCH(Прайс!$B2386,Кат!$G:$G,0)),INDEX(Торг!$B:$B,MATCH(Прайс!$B2386,Торг!$H:$H,0))),"")</f>
        <v/>
      </c>
      <c r="G2386" s="67" t="str">
        <f>IFERROR(IFERROR(INDEX(Кат!$B:$B,MATCH(Прайс!$B2386,Кат!$G:$G,0)),INDEX(Торг!$C:$C,MATCH(Прайс!$B2386,Торг!$H:$H,0))),"")</f>
        <v/>
      </c>
      <c r="H2386" s="67" t="str">
        <f>IFERROR(IFERROR(INDEX(Кат!$I:$I,MATCH(Прайс!$B2386,Кат!$G:$G,0)),INDEX(Торг!$I:$I,MATCH(Прайс!$B2386,Торг!$H:$H,0))),"")</f>
        <v/>
      </c>
    </row>
    <row r="2387" spans="1:8" x14ac:dyDescent="0.25">
      <c r="A2387" s="103" t="s">
        <v>3809</v>
      </c>
      <c r="B2387" s="104">
        <v>70375</v>
      </c>
      <c r="C2387" s="104" t="s">
        <v>1237</v>
      </c>
      <c r="D2387" s="105" t="s">
        <v>161</v>
      </c>
      <c r="E2387" s="113">
        <v>170</v>
      </c>
      <c r="F2387" s="67" t="str">
        <f>IFERROR(IFERROR(INDEX(Кат!$A:$A,MATCH(Прайс!$B2387,Кат!$G:$G,0)),INDEX(Торг!$B:$B,MATCH(Прайс!$B2387,Торг!$H:$H,0))),"")</f>
        <v/>
      </c>
      <c r="G2387" s="67" t="str">
        <f>IFERROR(IFERROR(INDEX(Кат!$B:$B,MATCH(Прайс!$B2387,Кат!$G:$G,0)),INDEX(Торг!$C:$C,MATCH(Прайс!$B2387,Торг!$H:$H,0))),"")</f>
        <v/>
      </c>
      <c r="H2387" s="67" t="str">
        <f>IFERROR(IFERROR(INDEX(Кат!$I:$I,MATCH(Прайс!$B2387,Кат!$G:$G,0)),INDEX(Торг!$I:$I,MATCH(Прайс!$B2387,Торг!$H:$H,0))),"")</f>
        <v/>
      </c>
    </row>
    <row r="2388" spans="1:8" x14ac:dyDescent="0.25">
      <c r="A2388" s="103" t="s">
        <v>3810</v>
      </c>
      <c r="B2388" s="104">
        <v>71051</v>
      </c>
      <c r="C2388" s="104" t="s">
        <v>1238</v>
      </c>
      <c r="D2388" s="105" t="s">
        <v>161</v>
      </c>
      <c r="E2388" s="113">
        <v>170</v>
      </c>
      <c r="F2388" s="67" t="str">
        <f>IFERROR(IFERROR(INDEX(Кат!$A:$A,MATCH(Прайс!$B2388,Кат!$G:$G,0)),INDEX(Торг!$B:$B,MATCH(Прайс!$B2388,Торг!$H:$H,0))),"")</f>
        <v/>
      </c>
      <c r="G2388" s="67" t="str">
        <f>IFERROR(IFERROR(INDEX(Кат!$B:$B,MATCH(Прайс!$B2388,Кат!$G:$G,0)),INDEX(Торг!$C:$C,MATCH(Прайс!$B2388,Торг!$H:$H,0))),"")</f>
        <v/>
      </c>
      <c r="H2388" s="67" t="str">
        <f>IFERROR(IFERROR(INDEX(Кат!$I:$I,MATCH(Прайс!$B2388,Кат!$G:$G,0)),INDEX(Торг!$I:$I,MATCH(Прайс!$B2388,Торг!$H:$H,0))),"")</f>
        <v/>
      </c>
    </row>
    <row r="2389" spans="1:8" x14ac:dyDescent="0.25">
      <c r="A2389" s="103" t="s">
        <v>3811</v>
      </c>
      <c r="B2389" s="104">
        <v>72160</v>
      </c>
      <c r="C2389" s="104" t="s">
        <v>1239</v>
      </c>
      <c r="D2389" s="105" t="s">
        <v>161</v>
      </c>
      <c r="E2389" s="113">
        <v>170</v>
      </c>
      <c r="F2389" s="67" t="str">
        <f>IFERROR(IFERROR(INDEX(Кат!$A:$A,MATCH(Прайс!$B2389,Кат!$G:$G,0)),INDEX(Торг!$B:$B,MATCH(Прайс!$B2389,Торг!$H:$H,0))),"")</f>
        <v/>
      </c>
      <c r="G2389" s="67" t="str">
        <f>IFERROR(IFERROR(INDEX(Кат!$B:$B,MATCH(Прайс!$B2389,Кат!$G:$G,0)),INDEX(Торг!$C:$C,MATCH(Прайс!$B2389,Торг!$H:$H,0))),"")</f>
        <v/>
      </c>
      <c r="H2389" s="67" t="str">
        <f>IFERROR(IFERROR(INDEX(Кат!$I:$I,MATCH(Прайс!$B2389,Кат!$G:$G,0)),INDEX(Торг!$I:$I,MATCH(Прайс!$B2389,Торг!$H:$H,0))),"")</f>
        <v/>
      </c>
    </row>
    <row r="2390" spans="1:8" x14ac:dyDescent="0.25">
      <c r="A2390" s="103" t="s">
        <v>3812</v>
      </c>
      <c r="B2390" s="104">
        <v>71053</v>
      </c>
      <c r="C2390" s="104" t="s">
        <v>1240</v>
      </c>
      <c r="D2390" s="105" t="s">
        <v>161</v>
      </c>
      <c r="E2390" s="113">
        <v>170</v>
      </c>
      <c r="F2390" s="67" t="str">
        <f>IFERROR(IFERROR(INDEX(Кат!$A:$A,MATCH(Прайс!$B2390,Кат!$G:$G,0)),INDEX(Торг!$B:$B,MATCH(Прайс!$B2390,Торг!$H:$H,0))),"")</f>
        <v/>
      </c>
      <c r="G2390" s="67" t="str">
        <f>IFERROR(IFERROR(INDEX(Кат!$B:$B,MATCH(Прайс!$B2390,Кат!$G:$G,0)),INDEX(Торг!$C:$C,MATCH(Прайс!$B2390,Торг!$H:$H,0))),"")</f>
        <v/>
      </c>
      <c r="H2390" s="67" t="str">
        <f>IFERROR(IFERROR(INDEX(Кат!$I:$I,MATCH(Прайс!$B2390,Кат!$G:$G,0)),INDEX(Торг!$I:$I,MATCH(Прайс!$B2390,Торг!$H:$H,0))),"")</f>
        <v/>
      </c>
    </row>
    <row r="2391" spans="1:8" x14ac:dyDescent="0.25">
      <c r="A2391" s="103" t="s">
        <v>6988</v>
      </c>
      <c r="B2391" s="104">
        <v>70376</v>
      </c>
      <c r="C2391" s="104" t="s">
        <v>6989</v>
      </c>
      <c r="D2391" s="105" t="s">
        <v>161</v>
      </c>
      <c r="E2391" s="113">
        <v>170</v>
      </c>
      <c r="F2391" s="67" t="str">
        <f>IFERROR(IFERROR(INDEX(Кат!$A:$A,MATCH(Прайс!$B2391,Кат!$G:$G,0)),INDEX(Торг!$B:$B,MATCH(Прайс!$B2391,Торг!$H:$H,0))),"")</f>
        <v/>
      </c>
      <c r="G2391" s="67" t="str">
        <f>IFERROR(IFERROR(INDEX(Кат!$B:$B,MATCH(Прайс!$B2391,Кат!$G:$G,0)),INDEX(Торг!$C:$C,MATCH(Прайс!$B2391,Торг!$H:$H,0))),"")</f>
        <v/>
      </c>
      <c r="H2391" s="67" t="str">
        <f>IFERROR(IFERROR(INDEX(Кат!$I:$I,MATCH(Прайс!$B2391,Кат!$G:$G,0)),INDEX(Торг!$I:$I,MATCH(Прайс!$B2391,Торг!$H:$H,0))),"")</f>
        <v/>
      </c>
    </row>
    <row r="2392" spans="1:8" x14ac:dyDescent="0.25">
      <c r="A2392" s="103" t="s">
        <v>3813</v>
      </c>
      <c r="B2392" s="104">
        <v>70377</v>
      </c>
      <c r="C2392" s="104" t="s">
        <v>1241</v>
      </c>
      <c r="D2392" s="105" t="s">
        <v>161</v>
      </c>
      <c r="E2392" s="113">
        <v>170</v>
      </c>
      <c r="F2392" s="67" t="str">
        <f>IFERROR(IFERROR(INDEX(Кат!$A:$A,MATCH(Прайс!$B2392,Кат!$G:$G,0)),INDEX(Торг!$B:$B,MATCH(Прайс!$B2392,Торг!$H:$H,0))),"")</f>
        <v/>
      </c>
      <c r="G2392" s="67" t="str">
        <f>IFERROR(IFERROR(INDEX(Кат!$B:$B,MATCH(Прайс!$B2392,Кат!$G:$G,0)),INDEX(Торг!$C:$C,MATCH(Прайс!$B2392,Торг!$H:$H,0))),"")</f>
        <v/>
      </c>
      <c r="H2392" s="67" t="str">
        <f>IFERROR(IFERROR(INDEX(Кат!$I:$I,MATCH(Прайс!$B2392,Кат!$G:$G,0)),INDEX(Торг!$I:$I,MATCH(Прайс!$B2392,Торг!$H:$H,0))),"")</f>
        <v/>
      </c>
    </row>
    <row r="2393" spans="1:8" x14ac:dyDescent="0.25">
      <c r="A2393" s="103" t="s">
        <v>6395</v>
      </c>
      <c r="B2393" s="104">
        <v>70379</v>
      </c>
      <c r="C2393" s="104" t="s">
        <v>6396</v>
      </c>
      <c r="D2393" s="105" t="s">
        <v>161</v>
      </c>
      <c r="E2393" s="113">
        <v>170</v>
      </c>
      <c r="F2393" s="67" t="str">
        <f>IFERROR(IFERROR(INDEX(Кат!$A:$A,MATCH(Прайс!$B2393,Кат!$G:$G,0)),INDEX(Торг!$B:$B,MATCH(Прайс!$B2393,Торг!$H:$H,0))),"")</f>
        <v/>
      </c>
      <c r="G2393" s="67" t="str">
        <f>IFERROR(IFERROR(INDEX(Кат!$B:$B,MATCH(Прайс!$B2393,Кат!$G:$G,0)),INDEX(Торг!$C:$C,MATCH(Прайс!$B2393,Торг!$H:$H,0))),"")</f>
        <v/>
      </c>
      <c r="H2393" s="67" t="str">
        <f>IFERROR(IFERROR(INDEX(Кат!$I:$I,MATCH(Прайс!$B2393,Кат!$G:$G,0)),INDEX(Торг!$I:$I,MATCH(Прайс!$B2393,Торг!$H:$H,0))),"")</f>
        <v/>
      </c>
    </row>
    <row r="2394" spans="1:8" x14ac:dyDescent="0.25">
      <c r="A2394" s="103" t="s">
        <v>3814</v>
      </c>
      <c r="B2394" s="104">
        <v>71052</v>
      </c>
      <c r="C2394" s="104" t="s">
        <v>2134</v>
      </c>
      <c r="D2394" s="105" t="s">
        <v>161</v>
      </c>
      <c r="E2394" s="113">
        <v>170</v>
      </c>
      <c r="F2394" s="67" t="str">
        <f>IFERROR(IFERROR(INDEX(Кат!$A:$A,MATCH(Прайс!$B2394,Кат!$G:$G,0)),INDEX(Торг!$B:$B,MATCH(Прайс!$B2394,Торг!$H:$H,0))),"")</f>
        <v/>
      </c>
      <c r="G2394" s="67" t="str">
        <f>IFERROR(IFERROR(INDEX(Кат!$B:$B,MATCH(Прайс!$B2394,Кат!$G:$G,0)),INDEX(Торг!$C:$C,MATCH(Прайс!$B2394,Торг!$H:$H,0))),"")</f>
        <v/>
      </c>
      <c r="H2394" s="67" t="str">
        <f>IFERROR(IFERROR(INDEX(Кат!$I:$I,MATCH(Прайс!$B2394,Кат!$G:$G,0)),INDEX(Торг!$I:$I,MATCH(Прайс!$B2394,Торг!$H:$H,0))),"")</f>
        <v/>
      </c>
    </row>
    <row r="2395" spans="1:8" x14ac:dyDescent="0.25">
      <c r="A2395" s="103" t="s">
        <v>3815</v>
      </c>
      <c r="B2395" s="104">
        <v>70378</v>
      </c>
      <c r="C2395" s="104" t="s">
        <v>1242</v>
      </c>
      <c r="D2395" s="105" t="s">
        <v>161</v>
      </c>
      <c r="E2395" s="113">
        <v>170</v>
      </c>
      <c r="F2395" s="67" t="str">
        <f>IFERROR(IFERROR(INDEX(Кат!$A:$A,MATCH(Прайс!$B2395,Кат!$G:$G,0)),INDEX(Торг!$B:$B,MATCH(Прайс!$B2395,Торг!$H:$H,0))),"")</f>
        <v/>
      </c>
      <c r="G2395" s="67" t="str">
        <f>IFERROR(IFERROR(INDEX(Кат!$B:$B,MATCH(Прайс!$B2395,Кат!$G:$G,0)),INDEX(Торг!$C:$C,MATCH(Прайс!$B2395,Торг!$H:$H,0))),"")</f>
        <v/>
      </c>
      <c r="H2395" s="67" t="str">
        <f>IFERROR(IFERROR(INDEX(Кат!$I:$I,MATCH(Прайс!$B2395,Кат!$G:$G,0)),INDEX(Торг!$I:$I,MATCH(Прайс!$B2395,Торг!$H:$H,0))),"")</f>
        <v/>
      </c>
    </row>
    <row r="2396" spans="1:8" x14ac:dyDescent="0.25">
      <c r="A2396" s="103" t="s">
        <v>6990</v>
      </c>
      <c r="B2396" s="104">
        <v>70374</v>
      </c>
      <c r="C2396" s="104" t="s">
        <v>6991</v>
      </c>
      <c r="D2396" s="105" t="s">
        <v>161</v>
      </c>
      <c r="E2396" s="113">
        <v>170</v>
      </c>
      <c r="F2396" s="67" t="str">
        <f>IFERROR(IFERROR(INDEX(Кат!$A:$A,MATCH(Прайс!$B2396,Кат!$G:$G,0)),INDEX(Торг!$B:$B,MATCH(Прайс!$B2396,Торг!$H:$H,0))),"")</f>
        <v/>
      </c>
      <c r="G2396" s="67" t="str">
        <f>IFERROR(IFERROR(INDEX(Кат!$B:$B,MATCH(Прайс!$B2396,Кат!$G:$G,0)),INDEX(Торг!$C:$C,MATCH(Прайс!$B2396,Торг!$H:$H,0))),"")</f>
        <v/>
      </c>
      <c r="H2396" s="67" t="str">
        <f>IFERROR(IFERROR(INDEX(Кат!$I:$I,MATCH(Прайс!$B2396,Кат!$G:$G,0)),INDEX(Торг!$I:$I,MATCH(Прайс!$B2396,Торг!$H:$H,0))),"")</f>
        <v/>
      </c>
    </row>
    <row r="2397" spans="1:8" ht="15.75" x14ac:dyDescent="0.25">
      <c r="A2397" s="87"/>
      <c r="B2397" s="88"/>
      <c r="C2397" s="88" t="s">
        <v>1243</v>
      </c>
      <c r="D2397" s="88"/>
      <c r="E2397" s="89"/>
      <c r="F2397" s="67" t="str">
        <f>IFERROR(IFERROR(INDEX(Кат!$A:$A,MATCH(Прайс!$B2397,Кат!$G:$G,0)),INDEX(Торг!$B:$B,MATCH(Прайс!$B2397,Торг!$H:$H,0))),"")</f>
        <v/>
      </c>
      <c r="G2397" s="67" t="str">
        <f>IFERROR(IFERROR(INDEX(Кат!$B:$B,MATCH(Прайс!$B2397,Кат!$G:$G,0)),INDEX(Торг!$C:$C,MATCH(Прайс!$B2397,Торг!$H:$H,0))),"")</f>
        <v/>
      </c>
      <c r="H2397" s="67" t="str">
        <f>IFERROR(IFERROR(INDEX(Кат!$I:$I,MATCH(Прайс!$B2397,Кат!$G:$G,0)),INDEX(Торг!$I:$I,MATCH(Прайс!$B2397,Торг!$H:$H,0))),"")</f>
        <v/>
      </c>
    </row>
    <row r="2398" spans="1:8" ht="15.75" x14ac:dyDescent="0.25">
      <c r="A2398" s="90"/>
      <c r="B2398" s="91"/>
      <c r="C2398" s="92" t="s">
        <v>1244</v>
      </c>
      <c r="D2398" s="91"/>
      <c r="E2398" s="93"/>
      <c r="F2398" s="67" t="str">
        <f>IFERROR(IFERROR(INDEX(Кат!$A:$A,MATCH(Прайс!$B2398,Кат!$G:$G,0)),INDEX(Торг!$B:$B,MATCH(Прайс!$B2398,Торг!$H:$H,0))),"")</f>
        <v/>
      </c>
      <c r="G2398" s="67" t="str">
        <f>IFERROR(IFERROR(INDEX(Кат!$B:$B,MATCH(Прайс!$B2398,Кат!$G:$G,0)),INDEX(Торг!$C:$C,MATCH(Прайс!$B2398,Торг!$H:$H,0))),"")</f>
        <v/>
      </c>
      <c r="H2398" s="67" t="str">
        <f>IFERROR(IFERROR(INDEX(Кат!$I:$I,MATCH(Прайс!$B2398,Кат!$G:$G,0)),INDEX(Торг!$I:$I,MATCH(Прайс!$B2398,Торг!$H:$H,0))),"")</f>
        <v/>
      </c>
    </row>
    <row r="2399" spans="1:8" x14ac:dyDescent="0.25">
      <c r="A2399" s="103" t="s">
        <v>7687</v>
      </c>
      <c r="B2399" s="104">
        <v>80175</v>
      </c>
      <c r="C2399" s="104" t="s">
        <v>7688</v>
      </c>
      <c r="D2399" s="105" t="s">
        <v>190</v>
      </c>
      <c r="E2399" s="106">
        <v>1000</v>
      </c>
      <c r="F2399" s="67" t="str">
        <f>IFERROR(IFERROR(INDEX(Кат!$A:$A,MATCH(Прайс!$B2399,Кат!$G:$G,0)),INDEX(Торг!$B:$B,MATCH(Прайс!$B2399,Торг!$H:$H,0))),"")</f>
        <v/>
      </c>
      <c r="G2399" s="67" t="str">
        <f>IFERROR(IFERROR(INDEX(Кат!$B:$B,MATCH(Прайс!$B2399,Кат!$G:$G,0)),INDEX(Торг!$C:$C,MATCH(Прайс!$B2399,Торг!$H:$H,0))),"")</f>
        <v/>
      </c>
      <c r="H2399" s="67" t="str">
        <f>IFERROR(IFERROR(INDEX(Кат!$I:$I,MATCH(Прайс!$B2399,Кат!$G:$G,0)),INDEX(Торг!$I:$I,MATCH(Прайс!$B2399,Торг!$H:$H,0))),"")</f>
        <v/>
      </c>
    </row>
    <row r="2400" spans="1:8" ht="15.75" x14ac:dyDescent="0.25">
      <c r="A2400" s="90"/>
      <c r="B2400" s="91"/>
      <c r="C2400" s="92" t="s">
        <v>1245</v>
      </c>
      <c r="D2400" s="91"/>
      <c r="E2400" s="93"/>
      <c r="F2400" s="67" t="str">
        <f>IFERROR(IFERROR(INDEX(Кат!$A:$A,MATCH(Прайс!$B2400,Кат!$G:$G,0)),INDEX(Торг!$B:$B,MATCH(Прайс!$B2400,Торг!$H:$H,0))),"")</f>
        <v/>
      </c>
      <c r="G2400" s="67" t="str">
        <f>IFERROR(IFERROR(INDEX(Кат!$B:$B,MATCH(Прайс!$B2400,Кат!$G:$G,0)),INDEX(Торг!$C:$C,MATCH(Прайс!$B2400,Торг!$H:$H,0))),"")</f>
        <v/>
      </c>
      <c r="H2400" s="67" t="str">
        <f>IFERROR(IFERROR(INDEX(Кат!$I:$I,MATCH(Прайс!$B2400,Кат!$G:$G,0)),INDEX(Торг!$I:$I,MATCH(Прайс!$B2400,Торг!$H:$H,0))),"")</f>
        <v/>
      </c>
    </row>
    <row r="2401" spans="1:8" x14ac:dyDescent="0.25">
      <c r="A2401" s="103" t="s">
        <v>3816</v>
      </c>
      <c r="B2401" s="104">
        <v>80013</v>
      </c>
      <c r="C2401" s="104" t="s">
        <v>1246</v>
      </c>
      <c r="D2401" s="105" t="s">
        <v>190</v>
      </c>
      <c r="E2401" s="113">
        <v>50</v>
      </c>
      <c r="F2401" s="67" t="str">
        <f>IFERROR(IFERROR(INDEX(Кат!$A:$A,MATCH(Прайс!$B2401,Кат!$G:$G,0)),INDEX(Торг!$B:$B,MATCH(Прайс!$B2401,Торг!$H:$H,0))),"")</f>
        <v/>
      </c>
      <c r="G2401" s="67" t="str">
        <f>IFERROR(IFERROR(INDEX(Кат!$B:$B,MATCH(Прайс!$B2401,Кат!$G:$G,0)),INDEX(Торг!$C:$C,MATCH(Прайс!$B2401,Торг!$H:$H,0))),"")</f>
        <v/>
      </c>
      <c r="H2401" s="67" t="str">
        <f>IFERROR(IFERROR(INDEX(Кат!$I:$I,MATCH(Прайс!$B2401,Кат!$G:$G,0)),INDEX(Торг!$I:$I,MATCH(Прайс!$B2401,Торг!$H:$H,0))),"")</f>
        <v/>
      </c>
    </row>
    <row r="2402" spans="1:8" x14ac:dyDescent="0.25">
      <c r="A2402" s="103" t="s">
        <v>3817</v>
      </c>
      <c r="B2402" s="104">
        <v>80148</v>
      </c>
      <c r="C2402" s="104" t="s">
        <v>1247</v>
      </c>
      <c r="D2402" s="105" t="s">
        <v>161</v>
      </c>
      <c r="E2402" s="113">
        <v>250</v>
      </c>
      <c r="F2402" s="67" t="str">
        <f>IFERROR(IFERROR(INDEX(Кат!$A:$A,MATCH(Прайс!$B2402,Кат!$G:$G,0)),INDEX(Торг!$B:$B,MATCH(Прайс!$B2402,Торг!$H:$H,0))),"")</f>
        <v/>
      </c>
      <c r="G2402" s="67" t="str">
        <f>IFERROR(IFERROR(INDEX(Кат!$B:$B,MATCH(Прайс!$B2402,Кат!$G:$G,0)),INDEX(Торг!$C:$C,MATCH(Прайс!$B2402,Торг!$H:$H,0))),"")</f>
        <v/>
      </c>
      <c r="H2402" s="67" t="str">
        <f>IFERROR(IFERROR(INDEX(Кат!$I:$I,MATCH(Прайс!$B2402,Кат!$G:$G,0)),INDEX(Торг!$I:$I,MATCH(Прайс!$B2402,Торг!$H:$H,0))),"")</f>
        <v/>
      </c>
    </row>
    <row r="2403" spans="1:8" ht="15.75" x14ac:dyDescent="0.25">
      <c r="A2403" s="87"/>
      <c r="B2403" s="88"/>
      <c r="C2403" s="88" t="s">
        <v>1248</v>
      </c>
      <c r="D2403" s="88"/>
      <c r="E2403" s="89"/>
      <c r="F2403" s="67" t="str">
        <f>IFERROR(IFERROR(INDEX(Кат!$A:$A,MATCH(Прайс!$B2403,Кат!$G:$G,0)),INDEX(Торг!$B:$B,MATCH(Прайс!$B2403,Торг!$H:$H,0))),"")</f>
        <v/>
      </c>
      <c r="G2403" s="67" t="str">
        <f>IFERROR(IFERROR(INDEX(Кат!$B:$B,MATCH(Прайс!$B2403,Кат!$G:$G,0)),INDEX(Торг!$C:$C,MATCH(Прайс!$B2403,Торг!$H:$H,0))),"")</f>
        <v/>
      </c>
      <c r="H2403" s="67" t="str">
        <f>IFERROR(IFERROR(INDEX(Кат!$I:$I,MATCH(Прайс!$B2403,Кат!$G:$G,0)),INDEX(Торг!$I:$I,MATCH(Прайс!$B2403,Торг!$H:$H,0))),"")</f>
        <v/>
      </c>
    </row>
    <row r="2404" spans="1:8" ht="15.75" x14ac:dyDescent="0.25">
      <c r="A2404" s="90"/>
      <c r="B2404" s="91"/>
      <c r="C2404" s="92" t="s">
        <v>1249</v>
      </c>
      <c r="D2404" s="91"/>
      <c r="E2404" s="93"/>
      <c r="F2404" s="67" t="str">
        <f>IFERROR(IFERROR(INDEX(Кат!$A:$A,MATCH(Прайс!$B2404,Кат!$G:$G,0)),INDEX(Торг!$B:$B,MATCH(Прайс!$B2404,Торг!$H:$H,0))),"")</f>
        <v/>
      </c>
      <c r="G2404" s="67" t="str">
        <f>IFERROR(IFERROR(INDEX(Кат!$B:$B,MATCH(Прайс!$B2404,Кат!$G:$G,0)),INDEX(Торг!$C:$C,MATCH(Прайс!$B2404,Торг!$H:$H,0))),"")</f>
        <v/>
      </c>
      <c r="H2404" s="67" t="str">
        <f>IFERROR(IFERROR(INDEX(Кат!$I:$I,MATCH(Прайс!$B2404,Кат!$G:$G,0)),INDEX(Торг!$I:$I,MATCH(Прайс!$B2404,Торг!$H:$H,0))),"")</f>
        <v/>
      </c>
    </row>
    <row r="2405" spans="1:8" x14ac:dyDescent="0.25">
      <c r="A2405" s="94" t="s">
        <v>3818</v>
      </c>
      <c r="B2405" s="98">
        <v>90002</v>
      </c>
      <c r="C2405" s="98" t="s">
        <v>1250</v>
      </c>
      <c r="D2405" s="96" t="s">
        <v>7689</v>
      </c>
      <c r="E2405" s="97">
        <v>95</v>
      </c>
      <c r="F2405" s="67" t="str">
        <f>IFERROR(IFERROR(INDEX(Кат!$A:$A,MATCH(Прайс!$B2405,Кат!$G:$G,0)),INDEX(Торг!$B:$B,MATCH(Прайс!$B2405,Торг!$H:$H,0))),"")</f>
        <v/>
      </c>
      <c r="G2405" s="67" t="str">
        <f>IFERROR(IFERROR(INDEX(Кат!$B:$B,MATCH(Прайс!$B2405,Кат!$G:$G,0)),INDEX(Торг!$C:$C,MATCH(Прайс!$B2405,Торг!$H:$H,0))),"")</f>
        <v/>
      </c>
      <c r="H2405" s="67" t="str">
        <f>IFERROR(IFERROR(INDEX(Кат!$I:$I,MATCH(Прайс!$B2405,Кат!$G:$G,0)),INDEX(Торг!$I:$I,MATCH(Прайс!$B2405,Торг!$H:$H,0))),"")</f>
        <v/>
      </c>
    </row>
    <row r="2406" spans="1:8" x14ac:dyDescent="0.25">
      <c r="A2406" s="94" t="s">
        <v>3819</v>
      </c>
      <c r="B2406" s="98">
        <v>90018</v>
      </c>
      <c r="C2406" s="98" t="s">
        <v>1251</v>
      </c>
      <c r="D2406" s="96" t="s">
        <v>160</v>
      </c>
      <c r="E2406" s="97">
        <v>70</v>
      </c>
      <c r="F2406" s="67" t="str">
        <f>IFERROR(IFERROR(INDEX(Кат!$A:$A,MATCH(Прайс!$B2406,Кат!$G:$G,0)),INDEX(Торг!$B:$B,MATCH(Прайс!$B2406,Торг!$H:$H,0))),"")</f>
        <v/>
      </c>
      <c r="G2406" s="67" t="str">
        <f>IFERROR(IFERROR(INDEX(Кат!$B:$B,MATCH(Прайс!$B2406,Кат!$G:$G,0)),INDEX(Торг!$C:$C,MATCH(Прайс!$B2406,Торг!$H:$H,0))),"")</f>
        <v/>
      </c>
      <c r="H2406" s="67" t="str">
        <f>IFERROR(IFERROR(INDEX(Кат!$I:$I,MATCH(Прайс!$B2406,Кат!$G:$G,0)),INDEX(Торг!$I:$I,MATCH(Прайс!$B2406,Торг!$H:$H,0))),"")</f>
        <v/>
      </c>
    </row>
    <row r="2407" spans="1:8" ht="15.75" x14ac:dyDescent="0.25">
      <c r="A2407" s="90"/>
      <c r="B2407" s="91"/>
      <c r="C2407" s="92" t="s">
        <v>1252</v>
      </c>
      <c r="D2407" s="91"/>
      <c r="E2407" s="93"/>
      <c r="F2407" s="67" t="str">
        <f>IFERROR(IFERROR(INDEX(Кат!$A:$A,MATCH(Прайс!$B2407,Кат!$G:$G,0)),INDEX(Торг!$B:$B,MATCH(Прайс!$B2407,Торг!$H:$H,0))),"")</f>
        <v/>
      </c>
      <c r="G2407" s="67" t="str">
        <f>IFERROR(IFERROR(INDEX(Кат!$B:$B,MATCH(Прайс!$B2407,Кат!$G:$G,0)),INDEX(Торг!$C:$C,MATCH(Прайс!$B2407,Торг!$H:$H,0))),"")</f>
        <v/>
      </c>
      <c r="H2407" s="67" t="str">
        <f>IFERROR(IFERROR(INDEX(Кат!$I:$I,MATCH(Прайс!$B2407,Кат!$G:$G,0)),INDEX(Торг!$I:$I,MATCH(Прайс!$B2407,Торг!$H:$H,0))),"")</f>
        <v/>
      </c>
    </row>
    <row r="2408" spans="1:8" x14ac:dyDescent="0.25">
      <c r="A2408" s="99" t="s">
        <v>3820</v>
      </c>
      <c r="B2408" s="108">
        <v>90004</v>
      </c>
      <c r="C2408" s="108" t="s">
        <v>1253</v>
      </c>
      <c r="D2408" s="101" t="s">
        <v>161</v>
      </c>
      <c r="E2408" s="102">
        <v>95</v>
      </c>
      <c r="F2408" s="67" t="str">
        <f>IFERROR(IFERROR(INDEX(Кат!$A:$A,MATCH(Прайс!$B2408,Кат!$G:$G,0)),INDEX(Торг!$B:$B,MATCH(Прайс!$B2408,Торг!$H:$H,0))),"")</f>
        <v/>
      </c>
      <c r="G2408" s="67" t="str">
        <f>IFERROR(IFERROR(INDEX(Кат!$B:$B,MATCH(Прайс!$B2408,Кат!$G:$G,0)),INDEX(Торг!$C:$C,MATCH(Прайс!$B2408,Торг!$H:$H,0))),"")</f>
        <v/>
      </c>
      <c r="H2408" s="67" t="str">
        <f>IFERROR(IFERROR(INDEX(Кат!$I:$I,MATCH(Прайс!$B2408,Кат!$G:$G,0)),INDEX(Торг!$I:$I,MATCH(Прайс!$B2408,Торг!$H:$H,0))),"")</f>
        <v/>
      </c>
    </row>
    <row r="2409" spans="1:8" x14ac:dyDescent="0.25">
      <c r="A2409" s="99" t="s">
        <v>3821</v>
      </c>
      <c r="B2409" s="108">
        <v>90005</v>
      </c>
      <c r="C2409" s="108" t="s">
        <v>7690</v>
      </c>
      <c r="D2409" s="101" t="s">
        <v>166</v>
      </c>
      <c r="E2409" s="102">
        <v>85</v>
      </c>
      <c r="F2409" s="67" t="str">
        <f>IFERROR(IFERROR(INDEX(Кат!$A:$A,MATCH(Прайс!$B2409,Кат!$G:$G,0)),INDEX(Торг!$B:$B,MATCH(Прайс!$B2409,Торг!$H:$H,0))),"")</f>
        <v/>
      </c>
      <c r="G2409" s="67" t="str">
        <f>IFERROR(IFERROR(INDEX(Кат!$B:$B,MATCH(Прайс!$B2409,Кат!$G:$G,0)),INDEX(Торг!$C:$C,MATCH(Прайс!$B2409,Торг!$H:$H,0))),"")</f>
        <v/>
      </c>
      <c r="H2409" s="67" t="str">
        <f>IFERROR(IFERROR(INDEX(Кат!$I:$I,MATCH(Прайс!$B2409,Кат!$G:$G,0)),INDEX(Торг!$I:$I,MATCH(Прайс!$B2409,Торг!$H:$H,0))),"")</f>
        <v/>
      </c>
    </row>
    <row r="2410" spans="1:8" x14ac:dyDescent="0.25">
      <c r="A2410" s="99" t="s">
        <v>3822</v>
      </c>
      <c r="B2410" s="108">
        <v>90006</v>
      </c>
      <c r="C2410" s="108" t="s">
        <v>1254</v>
      </c>
      <c r="D2410" s="101" t="s">
        <v>216</v>
      </c>
      <c r="E2410" s="102">
        <v>160</v>
      </c>
      <c r="F2410" s="67" t="str">
        <f>IFERROR(IFERROR(INDEX(Кат!$A:$A,MATCH(Прайс!$B2410,Кат!$G:$G,0)),INDEX(Торг!$B:$B,MATCH(Прайс!$B2410,Торг!$H:$H,0))),"")</f>
        <v/>
      </c>
      <c r="G2410" s="67" t="str">
        <f>IFERROR(IFERROR(INDEX(Кат!$B:$B,MATCH(Прайс!$B2410,Кат!$G:$G,0)),INDEX(Торг!$C:$C,MATCH(Прайс!$B2410,Торг!$H:$H,0))),"")</f>
        <v/>
      </c>
      <c r="H2410" s="67" t="str">
        <f>IFERROR(IFERROR(INDEX(Кат!$I:$I,MATCH(Прайс!$B2410,Кат!$G:$G,0)),INDEX(Торг!$I:$I,MATCH(Прайс!$B2410,Торг!$H:$H,0))),"")</f>
        <v/>
      </c>
    </row>
    <row r="2411" spans="1:8" x14ac:dyDescent="0.25">
      <c r="A2411" s="99" t="s">
        <v>3823</v>
      </c>
      <c r="B2411" s="108">
        <v>90014</v>
      </c>
      <c r="C2411" s="108" t="s">
        <v>7691</v>
      </c>
      <c r="D2411" s="101" t="s">
        <v>162</v>
      </c>
      <c r="E2411" s="102">
        <v>160</v>
      </c>
      <c r="F2411" s="67" t="str">
        <f>IFERROR(IFERROR(INDEX(Кат!$A:$A,MATCH(Прайс!$B2411,Кат!$G:$G,0)),INDEX(Торг!$B:$B,MATCH(Прайс!$B2411,Торг!$H:$H,0))),"")</f>
        <v/>
      </c>
      <c r="G2411" s="67" t="str">
        <f>IFERROR(IFERROR(INDEX(Кат!$B:$B,MATCH(Прайс!$B2411,Кат!$G:$G,0)),INDEX(Торг!$C:$C,MATCH(Прайс!$B2411,Торг!$H:$H,0))),"")</f>
        <v/>
      </c>
      <c r="H2411" s="67" t="str">
        <f>IFERROR(IFERROR(INDEX(Кат!$I:$I,MATCH(Прайс!$B2411,Кат!$G:$G,0)),INDEX(Торг!$I:$I,MATCH(Прайс!$B2411,Торг!$H:$H,0))),"")</f>
        <v/>
      </c>
    </row>
    <row r="2412" spans="1:8" x14ac:dyDescent="0.25">
      <c r="A2412" s="94" t="s">
        <v>3824</v>
      </c>
      <c r="B2412" s="98">
        <v>90003</v>
      </c>
      <c r="C2412" s="98" t="s">
        <v>5304</v>
      </c>
      <c r="D2412" s="96" t="s">
        <v>1255</v>
      </c>
      <c r="E2412" s="97">
        <v>160</v>
      </c>
      <c r="F2412" s="67" t="str">
        <f>IFERROR(IFERROR(INDEX(Кат!$A:$A,MATCH(Прайс!$B2412,Кат!$G:$G,0)),INDEX(Торг!$B:$B,MATCH(Прайс!$B2412,Торг!$H:$H,0))),"")</f>
        <v/>
      </c>
      <c r="G2412" s="67" t="str">
        <f>IFERROR(IFERROR(INDEX(Кат!$B:$B,MATCH(Прайс!$B2412,Кат!$G:$G,0)),INDEX(Торг!$C:$C,MATCH(Прайс!$B2412,Торг!$H:$H,0))),"")</f>
        <v/>
      </c>
      <c r="H2412" s="67" t="str">
        <f>IFERROR(IFERROR(INDEX(Кат!$I:$I,MATCH(Прайс!$B2412,Кат!$G:$G,0)),INDEX(Торг!$I:$I,MATCH(Прайс!$B2412,Торг!$H:$H,0))),"")</f>
        <v/>
      </c>
    </row>
    <row r="2413" spans="1:8" x14ac:dyDescent="0.25">
      <c r="A2413" s="99" t="s">
        <v>3825</v>
      </c>
      <c r="B2413" s="108">
        <v>90007</v>
      </c>
      <c r="C2413" s="108" t="s">
        <v>1256</v>
      </c>
      <c r="D2413" s="101" t="s">
        <v>216</v>
      </c>
      <c r="E2413" s="102">
        <v>160</v>
      </c>
      <c r="F2413" s="67" t="str">
        <f>IFERROR(IFERROR(INDEX(Кат!$A:$A,MATCH(Прайс!$B2413,Кат!$G:$G,0)),INDEX(Торг!$B:$B,MATCH(Прайс!$B2413,Торг!$H:$H,0))),"")</f>
        <v/>
      </c>
      <c r="G2413" s="67" t="str">
        <f>IFERROR(IFERROR(INDEX(Кат!$B:$B,MATCH(Прайс!$B2413,Кат!$G:$G,0)),INDEX(Торг!$C:$C,MATCH(Прайс!$B2413,Торг!$H:$H,0))),"")</f>
        <v/>
      </c>
      <c r="H2413" s="67" t="str">
        <f>IFERROR(IFERROR(INDEX(Кат!$I:$I,MATCH(Прайс!$B2413,Кат!$G:$G,0)),INDEX(Торг!$I:$I,MATCH(Прайс!$B2413,Торг!$H:$H,0))),"")</f>
        <v/>
      </c>
    </row>
    <row r="2414" spans="1:8" x14ac:dyDescent="0.25">
      <c r="A2414" s="99" t="s">
        <v>3826</v>
      </c>
      <c r="B2414" s="108">
        <v>90008</v>
      </c>
      <c r="C2414" s="108" t="s">
        <v>1257</v>
      </c>
      <c r="D2414" s="101" t="s">
        <v>216</v>
      </c>
      <c r="E2414" s="102">
        <v>160</v>
      </c>
      <c r="F2414" s="67" t="str">
        <f>IFERROR(IFERROR(INDEX(Кат!$A:$A,MATCH(Прайс!$B2414,Кат!$G:$G,0)),INDEX(Торг!$B:$B,MATCH(Прайс!$B2414,Торг!$H:$H,0))),"")</f>
        <v/>
      </c>
      <c r="G2414" s="67" t="str">
        <f>IFERROR(IFERROR(INDEX(Кат!$B:$B,MATCH(Прайс!$B2414,Кат!$G:$G,0)),INDEX(Торг!$C:$C,MATCH(Прайс!$B2414,Торг!$H:$H,0))),"")</f>
        <v/>
      </c>
      <c r="H2414" s="67" t="str">
        <f>IFERROR(IFERROR(INDEX(Кат!$I:$I,MATCH(Прайс!$B2414,Кат!$G:$G,0)),INDEX(Торг!$I:$I,MATCH(Прайс!$B2414,Торг!$H:$H,0))),"")</f>
        <v/>
      </c>
    </row>
    <row r="2415" spans="1:8" x14ac:dyDescent="0.25">
      <c r="A2415" s="94" t="s">
        <v>3827</v>
      </c>
      <c r="B2415" s="98">
        <v>90009</v>
      </c>
      <c r="C2415" s="98" t="s">
        <v>1258</v>
      </c>
      <c r="D2415" s="96" t="s">
        <v>216</v>
      </c>
      <c r="E2415" s="97">
        <v>180</v>
      </c>
      <c r="F2415" s="67" t="str">
        <f>IFERROR(IFERROR(INDEX(Кат!$A:$A,MATCH(Прайс!$B2415,Кат!$G:$G,0)),INDEX(Торг!$B:$B,MATCH(Прайс!$B2415,Торг!$H:$H,0))),"")</f>
        <v/>
      </c>
      <c r="G2415" s="67" t="str">
        <f>IFERROR(IFERROR(INDEX(Кат!$B:$B,MATCH(Прайс!$B2415,Кат!$G:$G,0)),INDEX(Торг!$C:$C,MATCH(Прайс!$B2415,Торг!$H:$H,0))),"")</f>
        <v/>
      </c>
      <c r="H2415" s="67" t="str">
        <f>IFERROR(IFERROR(INDEX(Кат!$I:$I,MATCH(Прайс!$B2415,Кат!$G:$G,0)),INDEX(Торг!$I:$I,MATCH(Прайс!$B2415,Торг!$H:$H,0))),"")</f>
        <v/>
      </c>
    </row>
    <row r="2416" spans="1:8" ht="15.75" x14ac:dyDescent="0.25">
      <c r="A2416" s="90"/>
      <c r="B2416" s="91"/>
      <c r="C2416" s="92" t="s">
        <v>4930</v>
      </c>
      <c r="D2416" s="91"/>
      <c r="E2416" s="93"/>
      <c r="F2416" s="67" t="str">
        <f>IFERROR(IFERROR(INDEX(Кат!$A:$A,MATCH(Прайс!$B2416,Кат!$G:$G,0)),INDEX(Торг!$B:$B,MATCH(Прайс!$B2416,Торг!$H:$H,0))),"")</f>
        <v/>
      </c>
      <c r="G2416" s="67" t="str">
        <f>IFERROR(IFERROR(INDEX(Кат!$B:$B,MATCH(Прайс!$B2416,Кат!$G:$G,0)),INDEX(Торг!$C:$C,MATCH(Прайс!$B2416,Торг!$H:$H,0))),"")</f>
        <v/>
      </c>
      <c r="H2416" s="67" t="str">
        <f>IFERROR(IFERROR(INDEX(Кат!$I:$I,MATCH(Прайс!$B2416,Кат!$G:$G,0)),INDEX(Торг!$I:$I,MATCH(Прайс!$B2416,Торг!$H:$H,0))),"")</f>
        <v/>
      </c>
    </row>
    <row r="2417" spans="1:8" x14ac:dyDescent="0.25">
      <c r="A2417" s="94" t="s">
        <v>4931</v>
      </c>
      <c r="B2417" s="98">
        <v>90010</v>
      </c>
      <c r="C2417" s="98" t="s">
        <v>4932</v>
      </c>
      <c r="D2417" s="96" t="s">
        <v>433</v>
      </c>
      <c r="E2417" s="107">
        <v>1000</v>
      </c>
      <c r="F2417" s="67" t="str">
        <f>IFERROR(IFERROR(INDEX(Кат!$A:$A,MATCH(Прайс!$B2417,Кат!$G:$G,0)),INDEX(Торг!$B:$B,MATCH(Прайс!$B2417,Торг!$H:$H,0))),"")</f>
        <v/>
      </c>
      <c r="G2417" s="67" t="str">
        <f>IFERROR(IFERROR(INDEX(Кат!$B:$B,MATCH(Прайс!$B2417,Кат!$G:$G,0)),INDEX(Торг!$C:$C,MATCH(Прайс!$B2417,Торг!$H:$H,0))),"")</f>
        <v/>
      </c>
      <c r="H2417" s="67" t="str">
        <f>IFERROR(IFERROR(INDEX(Кат!$I:$I,MATCH(Прайс!$B2417,Кат!$G:$G,0)),INDEX(Торг!$I:$I,MATCH(Прайс!$B2417,Торг!$H:$H,0))),"")</f>
        <v/>
      </c>
    </row>
    <row r="2418" spans="1:8" x14ac:dyDescent="0.25">
      <c r="A2418" s="94" t="s">
        <v>5305</v>
      </c>
      <c r="B2418" s="98">
        <v>90020</v>
      </c>
      <c r="C2418" s="98" t="s">
        <v>5306</v>
      </c>
      <c r="D2418" s="96" t="s">
        <v>582</v>
      </c>
      <c r="E2418" s="107">
        <v>1100</v>
      </c>
      <c r="F2418" s="67" t="str">
        <f>IFERROR(IFERROR(INDEX(Кат!$A:$A,MATCH(Прайс!$B2418,Кат!$G:$G,0)),INDEX(Торг!$B:$B,MATCH(Прайс!$B2418,Торг!$H:$H,0))),"")</f>
        <v/>
      </c>
      <c r="G2418" s="67" t="str">
        <f>IFERROR(IFERROR(INDEX(Кат!$B:$B,MATCH(Прайс!$B2418,Кат!$G:$G,0)),INDEX(Торг!$C:$C,MATCH(Прайс!$B2418,Торг!$H:$H,0))),"")</f>
        <v/>
      </c>
      <c r="H2418" s="67" t="str">
        <f>IFERROR(IFERROR(INDEX(Кат!$I:$I,MATCH(Прайс!$B2418,Кат!$G:$G,0)),INDEX(Торг!$I:$I,MATCH(Прайс!$B2418,Торг!$H:$H,0))),"")</f>
        <v/>
      </c>
    </row>
    <row r="2419" spans="1:8" ht="15.75" x14ac:dyDescent="0.25">
      <c r="A2419" s="90"/>
      <c r="B2419" s="91"/>
      <c r="C2419" s="92" t="s">
        <v>1259</v>
      </c>
      <c r="D2419" s="91"/>
      <c r="E2419" s="93"/>
      <c r="F2419" s="67" t="str">
        <f>IFERROR(IFERROR(INDEX(Кат!$A:$A,MATCH(Прайс!$B2419,Кат!$G:$G,0)),INDEX(Торг!$B:$B,MATCH(Прайс!$B2419,Торг!$H:$H,0))),"")</f>
        <v/>
      </c>
      <c r="G2419" s="67" t="str">
        <f>IFERROR(IFERROR(INDEX(Кат!$B:$B,MATCH(Прайс!$B2419,Кат!$G:$G,0)),INDEX(Торг!$C:$C,MATCH(Прайс!$B2419,Торг!$H:$H,0))),"")</f>
        <v/>
      </c>
      <c r="H2419" s="67" t="str">
        <f>IFERROR(IFERROR(INDEX(Кат!$I:$I,MATCH(Прайс!$B2419,Кат!$G:$G,0)),INDEX(Торг!$I:$I,MATCH(Прайс!$B2419,Торг!$H:$H,0))),"")</f>
        <v/>
      </c>
    </row>
    <row r="2420" spans="1:8" x14ac:dyDescent="0.25">
      <c r="A2420" s="94" t="s">
        <v>3828</v>
      </c>
      <c r="B2420" s="98">
        <v>90017</v>
      </c>
      <c r="C2420" s="98" t="s">
        <v>5453</v>
      </c>
      <c r="D2420" s="96" t="s">
        <v>174</v>
      </c>
      <c r="E2420" s="107">
        <v>1200</v>
      </c>
      <c r="F2420" s="67" t="str">
        <f>IFERROR(IFERROR(INDEX(Кат!$A:$A,MATCH(Прайс!$B2420,Кат!$G:$G,0)),INDEX(Торг!$B:$B,MATCH(Прайс!$B2420,Торг!$H:$H,0))),"")</f>
        <v/>
      </c>
      <c r="G2420" s="67" t="str">
        <f>IFERROR(IFERROR(INDEX(Кат!$B:$B,MATCH(Прайс!$B2420,Кат!$G:$G,0)),INDEX(Торг!$C:$C,MATCH(Прайс!$B2420,Торг!$H:$H,0))),"")</f>
        <v/>
      </c>
      <c r="H2420" s="67" t="str">
        <f>IFERROR(IFERROR(INDEX(Кат!$I:$I,MATCH(Прайс!$B2420,Кат!$G:$G,0)),INDEX(Торг!$I:$I,MATCH(Прайс!$B2420,Торг!$H:$H,0))),"")</f>
        <v/>
      </c>
    </row>
    <row r="2421" spans="1:8" x14ac:dyDescent="0.25">
      <c r="A2421" s="94" t="s">
        <v>3829</v>
      </c>
      <c r="B2421" s="98">
        <v>90016</v>
      </c>
      <c r="C2421" s="98" t="s">
        <v>5454</v>
      </c>
      <c r="D2421" s="96" t="s">
        <v>433</v>
      </c>
      <c r="E2421" s="107">
        <v>1350</v>
      </c>
      <c r="F2421" s="67" t="str">
        <f>IFERROR(IFERROR(INDEX(Кат!$A:$A,MATCH(Прайс!$B2421,Кат!$G:$G,0)),INDEX(Торг!$B:$B,MATCH(Прайс!$B2421,Торг!$H:$H,0))),"")</f>
        <v/>
      </c>
      <c r="G2421" s="67" t="str">
        <f>IFERROR(IFERROR(INDEX(Кат!$B:$B,MATCH(Прайс!$B2421,Кат!$G:$G,0)),INDEX(Торг!$C:$C,MATCH(Прайс!$B2421,Торг!$H:$H,0))),"")</f>
        <v/>
      </c>
      <c r="H2421" s="67" t="str">
        <f>IFERROR(IFERROR(INDEX(Кат!$I:$I,MATCH(Прайс!$B2421,Кат!$G:$G,0)),INDEX(Торг!$I:$I,MATCH(Прайс!$B2421,Торг!$H:$H,0))),"")</f>
        <v/>
      </c>
    </row>
    <row r="2422" spans="1:8" x14ac:dyDescent="0.25">
      <c r="A2422" s="94" t="s">
        <v>8605</v>
      </c>
      <c r="B2422" s="98">
        <v>90013</v>
      </c>
      <c r="C2422" s="98" t="s">
        <v>8606</v>
      </c>
      <c r="D2422" s="96" t="s">
        <v>190</v>
      </c>
      <c r="E2422" s="97">
        <v>600</v>
      </c>
      <c r="F2422" s="67" t="str">
        <f>IFERROR(IFERROR(INDEX(Кат!$A:$A,MATCH(Прайс!$B2422,Кат!$G:$G,0)),INDEX(Торг!$B:$B,MATCH(Прайс!$B2422,Торг!$H:$H,0))),"")</f>
        <v/>
      </c>
      <c r="G2422" s="67" t="str">
        <f>IFERROR(IFERROR(INDEX(Кат!$B:$B,MATCH(Прайс!$B2422,Кат!$G:$G,0)),INDEX(Торг!$C:$C,MATCH(Прайс!$B2422,Торг!$H:$H,0))),"")</f>
        <v/>
      </c>
      <c r="H2422" s="67" t="str">
        <f>IFERROR(IFERROR(INDEX(Кат!$I:$I,MATCH(Прайс!$B2422,Кат!$G:$G,0)),INDEX(Торг!$I:$I,MATCH(Прайс!$B2422,Торг!$H:$H,0))),"")</f>
        <v/>
      </c>
    </row>
    <row r="2423" spans="1:8" x14ac:dyDescent="0.25">
      <c r="A2423" s="94" t="s">
        <v>3830</v>
      </c>
      <c r="B2423" s="98">
        <v>90011</v>
      </c>
      <c r="C2423" s="98" t="s">
        <v>7692</v>
      </c>
      <c r="D2423" s="96" t="s">
        <v>433</v>
      </c>
      <c r="E2423" s="107">
        <v>1050</v>
      </c>
      <c r="F2423" s="67" t="str">
        <f>IFERROR(IFERROR(INDEX(Кат!$A:$A,MATCH(Прайс!$B2423,Кат!$G:$G,0)),INDEX(Торг!$B:$B,MATCH(Прайс!$B2423,Торг!$H:$H,0))),"")</f>
        <v/>
      </c>
      <c r="G2423" s="67" t="str">
        <f>IFERROR(IFERROR(INDEX(Кат!$B:$B,MATCH(Прайс!$B2423,Кат!$G:$G,0)),INDEX(Торг!$C:$C,MATCH(Прайс!$B2423,Торг!$H:$H,0))),"")</f>
        <v/>
      </c>
      <c r="H2423" s="67" t="str">
        <f>IFERROR(IFERROR(INDEX(Кат!$I:$I,MATCH(Прайс!$B2423,Кат!$G:$G,0)),INDEX(Торг!$I:$I,MATCH(Прайс!$B2423,Торг!$H:$H,0))),"")</f>
        <v/>
      </c>
    </row>
    <row r="2424" spans="1:8" x14ac:dyDescent="0.25">
      <c r="A2424" s="94" t="s">
        <v>3831</v>
      </c>
      <c r="B2424" s="98">
        <v>90012</v>
      </c>
      <c r="C2424" s="98" t="s">
        <v>5455</v>
      </c>
      <c r="D2424" s="96" t="s">
        <v>174</v>
      </c>
      <c r="E2424" s="107">
        <v>1100</v>
      </c>
      <c r="F2424" s="67" t="str">
        <f>IFERROR(IFERROR(INDEX(Кат!$A:$A,MATCH(Прайс!$B2424,Кат!$G:$G,0)),INDEX(Торг!$B:$B,MATCH(Прайс!$B2424,Торг!$H:$H,0))),"")</f>
        <v/>
      </c>
      <c r="G2424" s="67" t="str">
        <f>IFERROR(IFERROR(INDEX(Кат!$B:$B,MATCH(Прайс!$B2424,Кат!$G:$G,0)),INDEX(Торг!$C:$C,MATCH(Прайс!$B2424,Торг!$H:$H,0))),"")</f>
        <v/>
      </c>
      <c r="H2424" s="67" t="str">
        <f>IFERROR(IFERROR(INDEX(Кат!$I:$I,MATCH(Прайс!$B2424,Кат!$G:$G,0)),INDEX(Торг!$I:$I,MATCH(Прайс!$B2424,Торг!$H:$H,0))),"")</f>
        <v/>
      </c>
    </row>
    <row r="2425" spans="1:8" x14ac:dyDescent="0.25">
      <c r="A2425" s="94" t="s">
        <v>5307</v>
      </c>
      <c r="B2425" s="98">
        <v>90019</v>
      </c>
      <c r="C2425" s="98" t="s">
        <v>5308</v>
      </c>
      <c r="D2425" s="96" t="s">
        <v>190</v>
      </c>
      <c r="E2425" s="97">
        <v>330</v>
      </c>
      <c r="F2425" s="67" t="str">
        <f>IFERROR(IFERROR(INDEX(Кат!$A:$A,MATCH(Прайс!$B2425,Кат!$G:$G,0)),INDEX(Торг!$B:$B,MATCH(Прайс!$B2425,Торг!$H:$H,0))),"")</f>
        <v/>
      </c>
      <c r="G2425" s="67" t="str">
        <f>IFERROR(IFERROR(INDEX(Кат!$B:$B,MATCH(Прайс!$B2425,Кат!$G:$G,0)),INDEX(Торг!$C:$C,MATCH(Прайс!$B2425,Торг!$H:$H,0))),"")</f>
        <v/>
      </c>
      <c r="H2425" s="67" t="str">
        <f>IFERROR(IFERROR(INDEX(Кат!$I:$I,MATCH(Прайс!$B2425,Кат!$G:$G,0)),INDEX(Торг!$I:$I,MATCH(Прайс!$B2425,Торг!$H:$H,0))),"")</f>
        <v/>
      </c>
    </row>
    <row r="2426" spans="1:8" ht="15.75" x14ac:dyDescent="0.25">
      <c r="A2426" s="87"/>
      <c r="B2426" s="88"/>
      <c r="C2426" s="88" t="s">
        <v>1260</v>
      </c>
      <c r="D2426" s="88"/>
      <c r="E2426" s="89"/>
      <c r="F2426" s="67" t="str">
        <f>IFERROR(IFERROR(INDEX(Кат!$A:$A,MATCH(Прайс!$B2426,Кат!$G:$G,0)),INDEX(Торг!$B:$B,MATCH(Прайс!$B2426,Торг!$H:$H,0))),"")</f>
        <v/>
      </c>
      <c r="G2426" s="67" t="str">
        <f>IFERROR(IFERROR(INDEX(Кат!$B:$B,MATCH(Прайс!$B2426,Кат!$G:$G,0)),INDEX(Торг!$C:$C,MATCH(Прайс!$B2426,Торг!$H:$H,0))),"")</f>
        <v/>
      </c>
      <c r="H2426" s="67" t="str">
        <f>IFERROR(IFERROR(INDEX(Кат!$I:$I,MATCH(Прайс!$B2426,Кат!$G:$G,0)),INDEX(Торг!$I:$I,MATCH(Прайс!$B2426,Торг!$H:$H,0))),"")</f>
        <v/>
      </c>
    </row>
    <row r="2427" spans="1:8" ht="15.75" x14ac:dyDescent="0.25">
      <c r="A2427" s="90"/>
      <c r="B2427" s="91"/>
      <c r="C2427" s="92" t="s">
        <v>1261</v>
      </c>
      <c r="D2427" s="91"/>
      <c r="E2427" s="93"/>
      <c r="F2427" s="67" t="str">
        <f>IFERROR(IFERROR(INDEX(Кат!$A:$A,MATCH(Прайс!$B2427,Кат!$G:$G,0)),INDEX(Торг!$B:$B,MATCH(Прайс!$B2427,Торг!$H:$H,0))),"")</f>
        <v/>
      </c>
      <c r="G2427" s="67" t="str">
        <f>IFERROR(IFERROR(INDEX(Кат!$B:$B,MATCH(Прайс!$B2427,Кат!$G:$G,0)),INDEX(Торг!$C:$C,MATCH(Прайс!$B2427,Торг!$H:$H,0))),"")</f>
        <v/>
      </c>
      <c r="H2427" s="67" t="str">
        <f>IFERROR(IFERROR(INDEX(Кат!$I:$I,MATCH(Прайс!$B2427,Кат!$G:$G,0)),INDEX(Торг!$I:$I,MATCH(Прайс!$B2427,Торг!$H:$H,0))),"")</f>
        <v/>
      </c>
    </row>
    <row r="2428" spans="1:8" x14ac:dyDescent="0.25">
      <c r="A2428" s="94" t="s">
        <v>3832</v>
      </c>
      <c r="B2428" s="98">
        <v>11001</v>
      </c>
      <c r="C2428" s="98" t="s">
        <v>1262</v>
      </c>
      <c r="D2428" s="96" t="s">
        <v>162</v>
      </c>
      <c r="E2428" s="97">
        <v>26</v>
      </c>
      <c r="F2428" s="67" t="str">
        <f>IFERROR(IFERROR(INDEX(Кат!$A:$A,MATCH(Прайс!$B2428,Кат!$G:$G,0)),INDEX(Торг!$B:$B,MATCH(Прайс!$B2428,Торг!$H:$H,0))),"")</f>
        <v/>
      </c>
      <c r="G2428" s="67" t="str">
        <f>IFERROR(IFERROR(INDEX(Кат!$B:$B,MATCH(Прайс!$B2428,Кат!$G:$G,0)),INDEX(Торг!$C:$C,MATCH(Прайс!$B2428,Торг!$H:$H,0))),"")</f>
        <v/>
      </c>
      <c r="H2428" s="67" t="str">
        <f>IFERROR(IFERROR(INDEX(Кат!$I:$I,MATCH(Прайс!$B2428,Кат!$G:$G,0)),INDEX(Торг!$I:$I,MATCH(Прайс!$B2428,Торг!$H:$H,0))),"")</f>
        <v/>
      </c>
    </row>
    <row r="2429" spans="1:8" x14ac:dyDescent="0.25">
      <c r="A2429" s="94" t="s">
        <v>3833</v>
      </c>
      <c r="B2429" s="98">
        <v>11002</v>
      </c>
      <c r="C2429" s="98" t="s">
        <v>1263</v>
      </c>
      <c r="D2429" s="96" t="s">
        <v>162</v>
      </c>
      <c r="E2429" s="97">
        <v>26</v>
      </c>
      <c r="F2429" s="67" t="str">
        <f>IFERROR(IFERROR(INDEX(Кат!$A:$A,MATCH(Прайс!$B2429,Кат!$G:$G,0)),INDEX(Торг!$B:$B,MATCH(Прайс!$B2429,Торг!$H:$H,0))),"")</f>
        <v/>
      </c>
      <c r="G2429" s="67" t="str">
        <f>IFERROR(IFERROR(INDEX(Кат!$B:$B,MATCH(Прайс!$B2429,Кат!$G:$G,0)),INDEX(Торг!$C:$C,MATCH(Прайс!$B2429,Торг!$H:$H,0))),"")</f>
        <v/>
      </c>
      <c r="H2429" s="67" t="str">
        <f>IFERROR(IFERROR(INDEX(Кат!$I:$I,MATCH(Прайс!$B2429,Кат!$G:$G,0)),INDEX(Торг!$I:$I,MATCH(Прайс!$B2429,Торг!$H:$H,0))),"")</f>
        <v/>
      </c>
    </row>
    <row r="2430" spans="1:8" x14ac:dyDescent="0.25">
      <c r="A2430" s="94" t="s">
        <v>3834</v>
      </c>
      <c r="B2430" s="98">
        <v>11003</v>
      </c>
      <c r="C2430" s="98" t="s">
        <v>1264</v>
      </c>
      <c r="D2430" s="96" t="s">
        <v>162</v>
      </c>
      <c r="E2430" s="97">
        <v>26</v>
      </c>
      <c r="F2430" s="67" t="str">
        <f>IFERROR(IFERROR(INDEX(Кат!$A:$A,MATCH(Прайс!$B2430,Кат!$G:$G,0)),INDEX(Торг!$B:$B,MATCH(Прайс!$B2430,Торг!$H:$H,0))),"")</f>
        <v/>
      </c>
      <c r="G2430" s="67" t="str">
        <f>IFERROR(IFERROR(INDEX(Кат!$B:$B,MATCH(Прайс!$B2430,Кат!$G:$G,0)),INDEX(Торг!$C:$C,MATCH(Прайс!$B2430,Торг!$H:$H,0))),"")</f>
        <v/>
      </c>
      <c r="H2430" s="67" t="str">
        <f>IFERROR(IFERROR(INDEX(Кат!$I:$I,MATCH(Прайс!$B2430,Кат!$G:$G,0)),INDEX(Торг!$I:$I,MATCH(Прайс!$B2430,Торг!$H:$H,0))),"")</f>
        <v/>
      </c>
    </row>
    <row r="2431" spans="1:8" x14ac:dyDescent="0.25">
      <c r="A2431" s="94" t="s">
        <v>3835</v>
      </c>
      <c r="B2431" s="98">
        <v>11004</v>
      </c>
      <c r="C2431" s="98" t="s">
        <v>1265</v>
      </c>
      <c r="D2431" s="96" t="s">
        <v>162</v>
      </c>
      <c r="E2431" s="97">
        <v>26</v>
      </c>
      <c r="F2431" s="67" t="str">
        <f>IFERROR(IFERROR(INDEX(Кат!$A:$A,MATCH(Прайс!$B2431,Кат!$G:$G,0)),INDEX(Торг!$B:$B,MATCH(Прайс!$B2431,Торг!$H:$H,0))),"")</f>
        <v/>
      </c>
      <c r="G2431" s="67" t="str">
        <f>IFERROR(IFERROR(INDEX(Кат!$B:$B,MATCH(Прайс!$B2431,Кат!$G:$G,0)),INDEX(Торг!$C:$C,MATCH(Прайс!$B2431,Торг!$H:$H,0))),"")</f>
        <v/>
      </c>
      <c r="H2431" s="67" t="str">
        <f>IFERROR(IFERROR(INDEX(Кат!$I:$I,MATCH(Прайс!$B2431,Кат!$G:$G,0)),INDEX(Торг!$I:$I,MATCH(Прайс!$B2431,Торг!$H:$H,0))),"")</f>
        <v/>
      </c>
    </row>
    <row r="2432" spans="1:8" x14ac:dyDescent="0.25">
      <c r="A2432" s="94" t="s">
        <v>3836</v>
      </c>
      <c r="B2432" s="98">
        <v>11031</v>
      </c>
      <c r="C2432" s="98" t="s">
        <v>1266</v>
      </c>
      <c r="D2432" s="96" t="s">
        <v>162</v>
      </c>
      <c r="E2432" s="97">
        <v>26</v>
      </c>
      <c r="F2432" s="67" t="str">
        <f>IFERROR(IFERROR(INDEX(Кат!$A:$A,MATCH(Прайс!$B2432,Кат!$G:$G,0)),INDEX(Торг!$B:$B,MATCH(Прайс!$B2432,Торг!$H:$H,0))),"")</f>
        <v/>
      </c>
      <c r="G2432" s="67" t="str">
        <f>IFERROR(IFERROR(INDEX(Кат!$B:$B,MATCH(Прайс!$B2432,Кат!$G:$G,0)),INDEX(Торг!$C:$C,MATCH(Прайс!$B2432,Торг!$H:$H,0))),"")</f>
        <v/>
      </c>
      <c r="H2432" s="67" t="str">
        <f>IFERROR(IFERROR(INDEX(Кат!$I:$I,MATCH(Прайс!$B2432,Кат!$G:$G,0)),INDEX(Торг!$I:$I,MATCH(Прайс!$B2432,Торг!$H:$H,0))),"")</f>
        <v/>
      </c>
    </row>
    <row r="2433" spans="1:8" x14ac:dyDescent="0.25">
      <c r="A2433" s="94" t="s">
        <v>3837</v>
      </c>
      <c r="B2433" s="98">
        <v>11005</v>
      </c>
      <c r="C2433" s="98" t="s">
        <v>1267</v>
      </c>
      <c r="D2433" s="96" t="s">
        <v>162</v>
      </c>
      <c r="E2433" s="97">
        <v>26</v>
      </c>
      <c r="F2433" s="67" t="str">
        <f>IFERROR(IFERROR(INDEX(Кат!$A:$A,MATCH(Прайс!$B2433,Кат!$G:$G,0)),INDEX(Торг!$B:$B,MATCH(Прайс!$B2433,Торг!$H:$H,0))),"")</f>
        <v/>
      </c>
      <c r="G2433" s="67" t="str">
        <f>IFERROR(IFERROR(INDEX(Кат!$B:$B,MATCH(Прайс!$B2433,Кат!$G:$G,0)),INDEX(Торг!$C:$C,MATCH(Прайс!$B2433,Торг!$H:$H,0))),"")</f>
        <v/>
      </c>
      <c r="H2433" s="67" t="str">
        <f>IFERROR(IFERROR(INDEX(Кат!$I:$I,MATCH(Прайс!$B2433,Кат!$G:$G,0)),INDEX(Торг!$I:$I,MATCH(Прайс!$B2433,Торг!$H:$H,0))),"")</f>
        <v/>
      </c>
    </row>
    <row r="2434" spans="1:8" x14ac:dyDescent="0.25">
      <c r="A2434" s="94" t="s">
        <v>3838</v>
      </c>
      <c r="B2434" s="98">
        <v>11006</v>
      </c>
      <c r="C2434" s="98" t="s">
        <v>1268</v>
      </c>
      <c r="D2434" s="96" t="s">
        <v>162</v>
      </c>
      <c r="E2434" s="97">
        <v>26</v>
      </c>
      <c r="F2434" s="67" t="str">
        <f>IFERROR(IFERROR(INDEX(Кат!$A:$A,MATCH(Прайс!$B2434,Кат!$G:$G,0)),INDEX(Торг!$B:$B,MATCH(Прайс!$B2434,Торг!$H:$H,0))),"")</f>
        <v/>
      </c>
      <c r="G2434" s="67" t="str">
        <f>IFERROR(IFERROR(INDEX(Кат!$B:$B,MATCH(Прайс!$B2434,Кат!$G:$G,0)),INDEX(Торг!$C:$C,MATCH(Прайс!$B2434,Торг!$H:$H,0))),"")</f>
        <v/>
      </c>
      <c r="H2434" s="67" t="str">
        <f>IFERROR(IFERROR(INDEX(Кат!$I:$I,MATCH(Прайс!$B2434,Кат!$G:$G,0)),INDEX(Торг!$I:$I,MATCH(Прайс!$B2434,Торг!$H:$H,0))),"")</f>
        <v/>
      </c>
    </row>
    <row r="2435" spans="1:8" x14ac:dyDescent="0.25">
      <c r="A2435" s="103" t="s">
        <v>3839</v>
      </c>
      <c r="B2435" s="104">
        <v>11032</v>
      </c>
      <c r="C2435" s="104" t="s">
        <v>1269</v>
      </c>
      <c r="D2435" s="105" t="s">
        <v>162</v>
      </c>
      <c r="E2435" s="113">
        <v>21</v>
      </c>
      <c r="F2435" s="67" t="str">
        <f>IFERROR(IFERROR(INDEX(Кат!$A:$A,MATCH(Прайс!$B2435,Кат!$G:$G,0)),INDEX(Торг!$B:$B,MATCH(Прайс!$B2435,Торг!$H:$H,0))),"")</f>
        <v/>
      </c>
      <c r="G2435" s="67" t="str">
        <f>IFERROR(IFERROR(INDEX(Кат!$B:$B,MATCH(Прайс!$B2435,Кат!$G:$G,0)),INDEX(Торг!$C:$C,MATCH(Прайс!$B2435,Торг!$H:$H,0))),"")</f>
        <v/>
      </c>
      <c r="H2435" s="67" t="str">
        <f>IFERROR(IFERROR(INDEX(Кат!$I:$I,MATCH(Прайс!$B2435,Кат!$G:$G,0)),INDEX(Торг!$I:$I,MATCH(Прайс!$B2435,Торг!$H:$H,0))),"")</f>
        <v/>
      </c>
    </row>
    <row r="2436" spans="1:8" x14ac:dyDescent="0.25">
      <c r="A2436" s="94" t="s">
        <v>5939</v>
      </c>
      <c r="B2436" s="98">
        <v>11034</v>
      </c>
      <c r="C2436" s="98" t="s">
        <v>5940</v>
      </c>
      <c r="D2436" s="96" t="s">
        <v>162</v>
      </c>
      <c r="E2436" s="97">
        <v>27</v>
      </c>
      <c r="F2436" s="67" t="str">
        <f>IFERROR(IFERROR(INDEX(Кат!$A:$A,MATCH(Прайс!$B2436,Кат!$G:$G,0)),INDEX(Торг!$B:$B,MATCH(Прайс!$B2436,Торг!$H:$H,0))),"")</f>
        <v/>
      </c>
      <c r="G2436" s="67" t="str">
        <f>IFERROR(IFERROR(INDEX(Кат!$B:$B,MATCH(Прайс!$B2436,Кат!$G:$G,0)),INDEX(Торг!$C:$C,MATCH(Прайс!$B2436,Торг!$H:$H,0))),"")</f>
        <v/>
      </c>
      <c r="H2436" s="67" t="str">
        <f>IFERROR(IFERROR(INDEX(Кат!$I:$I,MATCH(Прайс!$B2436,Кат!$G:$G,0)),INDEX(Торг!$I:$I,MATCH(Прайс!$B2436,Торг!$H:$H,0))),"")</f>
        <v/>
      </c>
    </row>
    <row r="2437" spans="1:8" x14ac:dyDescent="0.25">
      <c r="A2437" s="94" t="s">
        <v>3840</v>
      </c>
      <c r="B2437" s="98">
        <v>11014</v>
      </c>
      <c r="C2437" s="98" t="s">
        <v>1270</v>
      </c>
      <c r="D2437" s="96" t="s">
        <v>162</v>
      </c>
      <c r="E2437" s="97">
        <v>35</v>
      </c>
      <c r="F2437" s="67" t="str">
        <f>IFERROR(IFERROR(INDEX(Кат!$A:$A,MATCH(Прайс!$B2437,Кат!$G:$G,0)),INDEX(Торг!$B:$B,MATCH(Прайс!$B2437,Торг!$H:$H,0))),"")</f>
        <v/>
      </c>
      <c r="G2437" s="67" t="str">
        <f>IFERROR(IFERROR(INDEX(Кат!$B:$B,MATCH(Прайс!$B2437,Кат!$G:$G,0)),INDEX(Торг!$C:$C,MATCH(Прайс!$B2437,Торг!$H:$H,0))),"")</f>
        <v/>
      </c>
      <c r="H2437" s="67" t="str">
        <f>IFERROR(IFERROR(INDEX(Кат!$I:$I,MATCH(Прайс!$B2437,Кат!$G:$G,0)),INDEX(Торг!$I:$I,MATCH(Прайс!$B2437,Торг!$H:$H,0))),"")</f>
        <v/>
      </c>
    </row>
    <row r="2438" spans="1:8" x14ac:dyDescent="0.25">
      <c r="A2438" s="94" t="s">
        <v>5309</v>
      </c>
      <c r="B2438" s="98">
        <v>11015</v>
      </c>
      <c r="C2438" s="98" t="s">
        <v>5310</v>
      </c>
      <c r="D2438" s="96" t="s">
        <v>162</v>
      </c>
      <c r="E2438" s="97">
        <v>40</v>
      </c>
      <c r="F2438" s="67" t="str">
        <f>IFERROR(IFERROR(INDEX(Кат!$A:$A,MATCH(Прайс!$B2438,Кат!$G:$G,0)),INDEX(Торг!$B:$B,MATCH(Прайс!$B2438,Торг!$H:$H,0))),"")</f>
        <v/>
      </c>
      <c r="G2438" s="67" t="str">
        <f>IFERROR(IFERROR(INDEX(Кат!$B:$B,MATCH(Прайс!$B2438,Кат!$G:$G,0)),INDEX(Торг!$C:$C,MATCH(Прайс!$B2438,Торг!$H:$H,0))),"")</f>
        <v/>
      </c>
      <c r="H2438" s="67" t="str">
        <f>IFERROR(IFERROR(INDEX(Кат!$I:$I,MATCH(Прайс!$B2438,Кат!$G:$G,0)),INDEX(Торг!$I:$I,MATCH(Прайс!$B2438,Торг!$H:$H,0))),"")</f>
        <v/>
      </c>
    </row>
    <row r="2439" spans="1:8" x14ac:dyDescent="0.25">
      <c r="A2439" s="94" t="s">
        <v>5311</v>
      </c>
      <c r="B2439" s="98">
        <v>11016</v>
      </c>
      <c r="C2439" s="98" t="s">
        <v>5312</v>
      </c>
      <c r="D2439" s="96" t="s">
        <v>162</v>
      </c>
      <c r="E2439" s="97">
        <v>40</v>
      </c>
      <c r="F2439" s="67" t="str">
        <f>IFERROR(IFERROR(INDEX(Кат!$A:$A,MATCH(Прайс!$B2439,Кат!$G:$G,0)),INDEX(Торг!$B:$B,MATCH(Прайс!$B2439,Торг!$H:$H,0))),"")</f>
        <v/>
      </c>
      <c r="G2439" s="67" t="str">
        <f>IFERROR(IFERROR(INDEX(Кат!$B:$B,MATCH(Прайс!$B2439,Кат!$G:$G,0)),INDEX(Торг!$C:$C,MATCH(Прайс!$B2439,Торг!$H:$H,0))),"")</f>
        <v/>
      </c>
      <c r="H2439" s="67" t="str">
        <f>IFERROR(IFERROR(INDEX(Кат!$I:$I,MATCH(Прайс!$B2439,Кат!$G:$G,0)),INDEX(Торг!$I:$I,MATCH(Прайс!$B2439,Торг!$H:$H,0))),"")</f>
        <v/>
      </c>
    </row>
    <row r="2440" spans="1:8" x14ac:dyDescent="0.25">
      <c r="A2440" s="94" t="s">
        <v>5313</v>
      </c>
      <c r="B2440" s="98">
        <v>11036</v>
      </c>
      <c r="C2440" s="98" t="s">
        <v>5314</v>
      </c>
      <c r="D2440" s="96" t="s">
        <v>162</v>
      </c>
      <c r="E2440" s="97">
        <v>40</v>
      </c>
      <c r="F2440" s="67" t="str">
        <f>IFERROR(IFERROR(INDEX(Кат!$A:$A,MATCH(Прайс!$B2440,Кат!$G:$G,0)),INDEX(Торг!$B:$B,MATCH(Прайс!$B2440,Торг!$H:$H,0))),"")</f>
        <v/>
      </c>
      <c r="G2440" s="67" t="str">
        <f>IFERROR(IFERROR(INDEX(Кат!$B:$B,MATCH(Прайс!$B2440,Кат!$G:$G,0)),INDEX(Торг!$C:$C,MATCH(Прайс!$B2440,Торг!$H:$H,0))),"")</f>
        <v/>
      </c>
      <c r="H2440" s="67" t="str">
        <f>IFERROR(IFERROR(INDEX(Кат!$I:$I,MATCH(Прайс!$B2440,Кат!$G:$G,0)),INDEX(Торг!$I:$I,MATCH(Прайс!$B2440,Торг!$H:$H,0))),"")</f>
        <v/>
      </c>
    </row>
    <row r="2441" spans="1:8" x14ac:dyDescent="0.25">
      <c r="A2441" s="94" t="s">
        <v>6992</v>
      </c>
      <c r="B2441" s="98">
        <v>11037</v>
      </c>
      <c r="C2441" s="98" t="s">
        <v>6993</v>
      </c>
      <c r="D2441" s="96" t="s">
        <v>284</v>
      </c>
      <c r="E2441" s="97">
        <v>75</v>
      </c>
      <c r="F2441" s="67" t="str">
        <f>IFERROR(IFERROR(INDEX(Кат!$A:$A,MATCH(Прайс!$B2441,Кат!$G:$G,0)),INDEX(Торг!$B:$B,MATCH(Прайс!$B2441,Торг!$H:$H,0))),"")</f>
        <v/>
      </c>
      <c r="G2441" s="67" t="str">
        <f>IFERROR(IFERROR(INDEX(Кат!$B:$B,MATCH(Прайс!$B2441,Кат!$G:$G,0)),INDEX(Торг!$C:$C,MATCH(Прайс!$B2441,Торг!$H:$H,0))),"")</f>
        <v/>
      </c>
      <c r="H2441" s="67" t="str">
        <f>IFERROR(IFERROR(INDEX(Кат!$I:$I,MATCH(Прайс!$B2441,Кат!$G:$G,0)),INDEX(Торг!$I:$I,MATCH(Прайс!$B2441,Торг!$H:$H,0))),"")</f>
        <v/>
      </c>
    </row>
    <row r="2442" spans="1:8" x14ac:dyDescent="0.25">
      <c r="A2442" s="94" t="s">
        <v>3841</v>
      </c>
      <c r="B2442" s="98">
        <v>11019</v>
      </c>
      <c r="C2442" s="98" t="s">
        <v>1271</v>
      </c>
      <c r="D2442" s="96" t="s">
        <v>162</v>
      </c>
      <c r="E2442" s="97">
        <v>80</v>
      </c>
      <c r="F2442" s="67" t="str">
        <f>IFERROR(IFERROR(INDEX(Кат!$A:$A,MATCH(Прайс!$B2442,Кат!$G:$G,0)),INDEX(Торг!$B:$B,MATCH(Прайс!$B2442,Торг!$H:$H,0))),"")</f>
        <v/>
      </c>
      <c r="G2442" s="67" t="str">
        <f>IFERROR(IFERROR(INDEX(Кат!$B:$B,MATCH(Прайс!$B2442,Кат!$G:$G,0)),INDEX(Торг!$C:$C,MATCH(Прайс!$B2442,Торг!$H:$H,0))),"")</f>
        <v/>
      </c>
      <c r="H2442" s="67" t="str">
        <f>IFERROR(IFERROR(INDEX(Кат!$I:$I,MATCH(Прайс!$B2442,Кат!$G:$G,0)),INDEX(Торг!$I:$I,MATCH(Прайс!$B2442,Торг!$H:$H,0))),"")</f>
        <v/>
      </c>
    </row>
    <row r="2443" spans="1:8" x14ac:dyDescent="0.25">
      <c r="A2443" s="94" t="s">
        <v>6397</v>
      </c>
      <c r="B2443" s="98">
        <v>11020</v>
      </c>
      <c r="C2443" s="98" t="s">
        <v>6398</v>
      </c>
      <c r="D2443" s="96" t="s">
        <v>162</v>
      </c>
      <c r="E2443" s="97">
        <v>80</v>
      </c>
      <c r="F2443" s="67" t="str">
        <f>IFERROR(IFERROR(INDEX(Кат!$A:$A,MATCH(Прайс!$B2443,Кат!$G:$G,0)),INDEX(Торг!$B:$B,MATCH(Прайс!$B2443,Торг!$H:$H,0))),"")</f>
        <v/>
      </c>
      <c r="G2443" s="67" t="str">
        <f>IFERROR(IFERROR(INDEX(Кат!$B:$B,MATCH(Прайс!$B2443,Кат!$G:$G,0)),INDEX(Торг!$C:$C,MATCH(Прайс!$B2443,Торг!$H:$H,0))),"")</f>
        <v/>
      </c>
      <c r="H2443" s="67" t="str">
        <f>IFERROR(IFERROR(INDEX(Кат!$I:$I,MATCH(Прайс!$B2443,Кат!$G:$G,0)),INDEX(Торг!$I:$I,MATCH(Прайс!$B2443,Торг!$H:$H,0))),"")</f>
        <v/>
      </c>
    </row>
    <row r="2444" spans="1:8" x14ac:dyDescent="0.25">
      <c r="A2444" s="94" t="s">
        <v>4933</v>
      </c>
      <c r="B2444" s="98">
        <v>11021</v>
      </c>
      <c r="C2444" s="98" t="s">
        <v>4934</v>
      </c>
      <c r="D2444" s="96" t="s">
        <v>162</v>
      </c>
      <c r="E2444" s="97">
        <v>80</v>
      </c>
      <c r="F2444" s="67" t="str">
        <f>IFERROR(IFERROR(INDEX(Кат!$A:$A,MATCH(Прайс!$B2444,Кат!$G:$G,0)),INDEX(Торг!$B:$B,MATCH(Прайс!$B2444,Торг!$H:$H,0))),"")</f>
        <v/>
      </c>
      <c r="G2444" s="67" t="str">
        <f>IFERROR(IFERROR(INDEX(Кат!$B:$B,MATCH(Прайс!$B2444,Кат!$G:$G,0)),INDEX(Торг!$C:$C,MATCH(Прайс!$B2444,Торг!$H:$H,0))),"")</f>
        <v/>
      </c>
      <c r="H2444" s="67" t="str">
        <f>IFERROR(IFERROR(INDEX(Кат!$I:$I,MATCH(Прайс!$B2444,Кат!$G:$G,0)),INDEX(Торг!$I:$I,MATCH(Прайс!$B2444,Торг!$H:$H,0))),"")</f>
        <v/>
      </c>
    </row>
    <row r="2445" spans="1:8" x14ac:dyDescent="0.25">
      <c r="A2445" s="94" t="s">
        <v>3842</v>
      </c>
      <c r="B2445" s="98">
        <v>11022</v>
      </c>
      <c r="C2445" s="98" t="s">
        <v>1272</v>
      </c>
      <c r="D2445" s="96" t="s">
        <v>162</v>
      </c>
      <c r="E2445" s="97">
        <v>80</v>
      </c>
      <c r="F2445" s="67" t="str">
        <f>IFERROR(IFERROR(INDEX(Кат!$A:$A,MATCH(Прайс!$B2445,Кат!$G:$G,0)),INDEX(Торг!$B:$B,MATCH(Прайс!$B2445,Торг!$H:$H,0))),"")</f>
        <v/>
      </c>
      <c r="G2445" s="67" t="str">
        <f>IFERROR(IFERROR(INDEX(Кат!$B:$B,MATCH(Прайс!$B2445,Кат!$G:$G,0)),INDEX(Торг!$C:$C,MATCH(Прайс!$B2445,Торг!$H:$H,0))),"")</f>
        <v/>
      </c>
      <c r="H2445" s="67" t="str">
        <f>IFERROR(IFERROR(INDEX(Кат!$I:$I,MATCH(Прайс!$B2445,Кат!$G:$G,0)),INDEX(Торг!$I:$I,MATCH(Прайс!$B2445,Торг!$H:$H,0))),"")</f>
        <v/>
      </c>
    </row>
    <row r="2446" spans="1:8" x14ac:dyDescent="0.25">
      <c r="A2446" s="94" t="s">
        <v>3843</v>
      </c>
      <c r="B2446" s="98">
        <v>11023</v>
      </c>
      <c r="C2446" s="98" t="s">
        <v>1273</v>
      </c>
      <c r="D2446" s="96" t="s">
        <v>162</v>
      </c>
      <c r="E2446" s="97">
        <v>80</v>
      </c>
      <c r="F2446" s="67" t="str">
        <f>IFERROR(IFERROR(INDEX(Кат!$A:$A,MATCH(Прайс!$B2446,Кат!$G:$G,0)),INDEX(Торг!$B:$B,MATCH(Прайс!$B2446,Торг!$H:$H,0))),"")</f>
        <v/>
      </c>
      <c r="G2446" s="67" t="str">
        <f>IFERROR(IFERROR(INDEX(Кат!$B:$B,MATCH(Прайс!$B2446,Кат!$G:$G,0)),INDEX(Торг!$C:$C,MATCH(Прайс!$B2446,Торг!$H:$H,0))),"")</f>
        <v/>
      </c>
      <c r="H2446" s="67" t="str">
        <f>IFERROR(IFERROR(INDEX(Кат!$I:$I,MATCH(Прайс!$B2446,Кат!$G:$G,0)),INDEX(Торг!$I:$I,MATCH(Прайс!$B2446,Торг!$H:$H,0))),"")</f>
        <v/>
      </c>
    </row>
    <row r="2447" spans="1:8" x14ac:dyDescent="0.25">
      <c r="A2447" s="94" t="s">
        <v>3844</v>
      </c>
      <c r="B2447" s="98">
        <v>11024</v>
      </c>
      <c r="C2447" s="98" t="s">
        <v>1274</v>
      </c>
      <c r="D2447" s="96" t="s">
        <v>1275</v>
      </c>
      <c r="E2447" s="97">
        <v>80</v>
      </c>
      <c r="F2447" s="67" t="str">
        <f>IFERROR(IFERROR(INDEX(Кат!$A:$A,MATCH(Прайс!$B2447,Кат!$G:$G,0)),INDEX(Торг!$B:$B,MATCH(Прайс!$B2447,Торг!$H:$H,0))),"")</f>
        <v/>
      </c>
      <c r="G2447" s="67" t="str">
        <f>IFERROR(IFERROR(INDEX(Кат!$B:$B,MATCH(Прайс!$B2447,Кат!$G:$G,0)),INDEX(Торг!$C:$C,MATCH(Прайс!$B2447,Торг!$H:$H,0))),"")</f>
        <v/>
      </c>
      <c r="H2447" s="67" t="str">
        <f>IFERROR(IFERROR(INDEX(Кат!$I:$I,MATCH(Прайс!$B2447,Кат!$G:$G,0)),INDEX(Торг!$I:$I,MATCH(Прайс!$B2447,Торг!$H:$H,0))),"")</f>
        <v/>
      </c>
    </row>
    <row r="2448" spans="1:8" x14ac:dyDescent="0.25">
      <c r="A2448" s="94" t="s">
        <v>8447</v>
      </c>
      <c r="B2448" s="98">
        <v>11025</v>
      </c>
      <c r="C2448" s="98" t="s">
        <v>8448</v>
      </c>
      <c r="D2448" s="96" t="s">
        <v>8449</v>
      </c>
      <c r="E2448" s="97">
        <v>80</v>
      </c>
      <c r="F2448" s="67" t="str">
        <f>IFERROR(IFERROR(INDEX(Кат!$A:$A,MATCH(Прайс!$B2448,Кат!$G:$G,0)),INDEX(Торг!$B:$B,MATCH(Прайс!$B2448,Торг!$H:$H,0))),"")</f>
        <v/>
      </c>
      <c r="G2448" s="67" t="str">
        <f>IFERROR(IFERROR(INDEX(Кат!$B:$B,MATCH(Прайс!$B2448,Кат!$G:$G,0)),INDEX(Торг!$C:$C,MATCH(Прайс!$B2448,Торг!$H:$H,0))),"")</f>
        <v/>
      </c>
      <c r="H2448" s="67" t="str">
        <f>IFERROR(IFERROR(INDEX(Кат!$I:$I,MATCH(Прайс!$B2448,Кат!$G:$G,0)),INDEX(Торг!$I:$I,MATCH(Прайс!$B2448,Торг!$H:$H,0))),"")</f>
        <v/>
      </c>
    </row>
    <row r="2449" spans="1:8" x14ac:dyDescent="0.25">
      <c r="A2449" s="94" t="s">
        <v>3845</v>
      </c>
      <c r="B2449" s="98">
        <v>11026</v>
      </c>
      <c r="C2449" s="98" t="s">
        <v>1276</v>
      </c>
      <c r="D2449" s="96" t="s">
        <v>162</v>
      </c>
      <c r="E2449" s="97">
        <v>23</v>
      </c>
      <c r="F2449" s="67" t="str">
        <f>IFERROR(IFERROR(INDEX(Кат!$A:$A,MATCH(Прайс!$B2449,Кат!$G:$G,0)),INDEX(Торг!$B:$B,MATCH(Прайс!$B2449,Торг!$H:$H,0))),"")</f>
        <v/>
      </c>
      <c r="G2449" s="67" t="str">
        <f>IFERROR(IFERROR(INDEX(Кат!$B:$B,MATCH(Прайс!$B2449,Кат!$G:$G,0)),INDEX(Торг!$C:$C,MATCH(Прайс!$B2449,Торг!$H:$H,0))),"")</f>
        <v/>
      </c>
      <c r="H2449" s="67" t="str">
        <f>IFERROR(IFERROR(INDEX(Кат!$I:$I,MATCH(Прайс!$B2449,Кат!$G:$G,0)),INDEX(Торг!$I:$I,MATCH(Прайс!$B2449,Торг!$H:$H,0))),"")</f>
        <v/>
      </c>
    </row>
    <row r="2450" spans="1:8" x14ac:dyDescent="0.25">
      <c r="A2450" s="94" t="s">
        <v>3846</v>
      </c>
      <c r="B2450" s="98">
        <v>11027</v>
      </c>
      <c r="C2450" s="98" t="s">
        <v>1277</v>
      </c>
      <c r="D2450" s="96" t="s">
        <v>162</v>
      </c>
      <c r="E2450" s="97">
        <v>23</v>
      </c>
      <c r="F2450" s="67" t="str">
        <f>IFERROR(IFERROR(INDEX(Кат!$A:$A,MATCH(Прайс!$B2450,Кат!$G:$G,0)),INDEX(Торг!$B:$B,MATCH(Прайс!$B2450,Торг!$H:$H,0))),"")</f>
        <v/>
      </c>
      <c r="G2450" s="67" t="str">
        <f>IFERROR(IFERROR(INDEX(Кат!$B:$B,MATCH(Прайс!$B2450,Кат!$G:$G,0)),INDEX(Торг!$C:$C,MATCH(Прайс!$B2450,Торг!$H:$H,0))),"")</f>
        <v/>
      </c>
      <c r="H2450" s="67" t="str">
        <f>IFERROR(IFERROR(INDEX(Кат!$I:$I,MATCH(Прайс!$B2450,Кат!$G:$G,0)),INDEX(Торг!$I:$I,MATCH(Прайс!$B2450,Торг!$H:$H,0))),"")</f>
        <v/>
      </c>
    </row>
    <row r="2451" spans="1:8" x14ac:dyDescent="0.25">
      <c r="A2451" s="94" t="s">
        <v>3847</v>
      </c>
      <c r="B2451" s="98">
        <v>11028</v>
      </c>
      <c r="C2451" s="98" t="s">
        <v>1278</v>
      </c>
      <c r="D2451" s="96" t="s">
        <v>162</v>
      </c>
      <c r="E2451" s="97">
        <v>37</v>
      </c>
      <c r="F2451" s="67" t="str">
        <f>IFERROR(IFERROR(INDEX(Кат!$A:$A,MATCH(Прайс!$B2451,Кат!$G:$G,0)),INDEX(Торг!$B:$B,MATCH(Прайс!$B2451,Торг!$H:$H,0))),"")</f>
        <v/>
      </c>
      <c r="G2451" s="67" t="str">
        <f>IFERROR(IFERROR(INDEX(Кат!$B:$B,MATCH(Прайс!$B2451,Кат!$G:$G,0)),INDEX(Торг!$C:$C,MATCH(Прайс!$B2451,Торг!$H:$H,0))),"")</f>
        <v/>
      </c>
      <c r="H2451" s="67" t="str">
        <f>IFERROR(IFERROR(INDEX(Кат!$I:$I,MATCH(Прайс!$B2451,Кат!$G:$G,0)),INDEX(Торг!$I:$I,MATCH(Прайс!$B2451,Торг!$H:$H,0))),"")</f>
        <v/>
      </c>
    </row>
    <row r="2452" spans="1:8" x14ac:dyDescent="0.25">
      <c r="A2452" s="94" t="s">
        <v>5941</v>
      </c>
      <c r="B2452" s="98">
        <v>11029</v>
      </c>
      <c r="C2452" s="98" t="s">
        <v>5942</v>
      </c>
      <c r="D2452" s="96" t="s">
        <v>162</v>
      </c>
      <c r="E2452" s="97">
        <v>37</v>
      </c>
      <c r="F2452" s="67" t="str">
        <f>IFERROR(IFERROR(INDEX(Кат!$A:$A,MATCH(Прайс!$B2452,Кат!$G:$G,0)),INDEX(Торг!$B:$B,MATCH(Прайс!$B2452,Торг!$H:$H,0))),"")</f>
        <v/>
      </c>
      <c r="G2452" s="67" t="str">
        <f>IFERROR(IFERROR(INDEX(Кат!$B:$B,MATCH(Прайс!$B2452,Кат!$G:$G,0)),INDEX(Торг!$C:$C,MATCH(Прайс!$B2452,Торг!$H:$H,0))),"")</f>
        <v/>
      </c>
      <c r="H2452" s="67" t="str">
        <f>IFERROR(IFERROR(INDEX(Кат!$I:$I,MATCH(Прайс!$B2452,Кат!$G:$G,0)),INDEX(Торг!$I:$I,MATCH(Прайс!$B2452,Торг!$H:$H,0))),"")</f>
        <v/>
      </c>
    </row>
    <row r="2453" spans="1:8" x14ac:dyDescent="0.25">
      <c r="A2453" s="94" t="s">
        <v>3848</v>
      </c>
      <c r="B2453" s="98">
        <v>11030</v>
      </c>
      <c r="C2453" s="98" t="s">
        <v>8450</v>
      </c>
      <c r="D2453" s="96" t="s">
        <v>265</v>
      </c>
      <c r="E2453" s="97">
        <v>27</v>
      </c>
      <c r="F2453" s="67" t="str">
        <f>IFERROR(IFERROR(INDEX(Кат!$A:$A,MATCH(Прайс!$B2453,Кат!$G:$G,0)),INDEX(Торг!$B:$B,MATCH(Прайс!$B2453,Торг!$H:$H,0))),"")</f>
        <v/>
      </c>
      <c r="G2453" s="67" t="str">
        <f>IFERROR(IFERROR(INDEX(Кат!$B:$B,MATCH(Прайс!$B2453,Кат!$G:$G,0)),INDEX(Торг!$C:$C,MATCH(Прайс!$B2453,Торг!$H:$H,0))),"")</f>
        <v/>
      </c>
      <c r="H2453" s="67" t="str">
        <f>IFERROR(IFERROR(INDEX(Кат!$I:$I,MATCH(Прайс!$B2453,Кат!$G:$G,0)),INDEX(Торг!$I:$I,MATCH(Прайс!$B2453,Торг!$H:$H,0))),"")</f>
        <v/>
      </c>
    </row>
    <row r="2454" spans="1:8" ht="15.75" x14ac:dyDescent="0.25">
      <c r="A2454" s="87"/>
      <c r="B2454" s="88"/>
      <c r="C2454" s="88" t="s">
        <v>1279</v>
      </c>
      <c r="D2454" s="88"/>
      <c r="E2454" s="89"/>
      <c r="F2454" s="67" t="str">
        <f>IFERROR(IFERROR(INDEX(Кат!$A:$A,MATCH(Прайс!$B2454,Кат!$G:$G,0)),INDEX(Торг!$B:$B,MATCH(Прайс!$B2454,Торг!$H:$H,0))),"")</f>
        <v/>
      </c>
      <c r="G2454" s="67" t="str">
        <f>IFERROR(IFERROR(INDEX(Кат!$B:$B,MATCH(Прайс!$B2454,Кат!$G:$G,0)),INDEX(Торг!$C:$C,MATCH(Прайс!$B2454,Торг!$H:$H,0))),"")</f>
        <v/>
      </c>
      <c r="H2454" s="67" t="str">
        <f>IFERROR(IFERROR(INDEX(Кат!$I:$I,MATCH(Прайс!$B2454,Кат!$G:$G,0)),INDEX(Торг!$I:$I,MATCH(Прайс!$B2454,Торг!$H:$H,0))),"")</f>
        <v/>
      </c>
    </row>
    <row r="2455" spans="1:8" ht="15.75" x14ac:dyDescent="0.25">
      <c r="A2455" s="90"/>
      <c r="B2455" s="91"/>
      <c r="C2455" s="92" t="s">
        <v>1280</v>
      </c>
      <c r="D2455" s="91"/>
      <c r="E2455" s="93"/>
      <c r="F2455" s="67" t="str">
        <f>IFERROR(IFERROR(INDEX(Кат!$A:$A,MATCH(Прайс!$B2455,Кат!$G:$G,0)),INDEX(Торг!$B:$B,MATCH(Прайс!$B2455,Торг!$H:$H,0))),"")</f>
        <v/>
      </c>
      <c r="G2455" s="67" t="str">
        <f>IFERROR(IFERROR(INDEX(Кат!$B:$B,MATCH(Прайс!$B2455,Кат!$G:$G,0)),INDEX(Торг!$C:$C,MATCH(Прайс!$B2455,Торг!$H:$H,0))),"")</f>
        <v/>
      </c>
      <c r="H2455" s="67" t="str">
        <f>IFERROR(IFERROR(INDEX(Кат!$I:$I,MATCH(Прайс!$B2455,Кат!$G:$G,0)),INDEX(Торг!$I:$I,MATCH(Прайс!$B2455,Торг!$H:$H,0))),"")</f>
        <v/>
      </c>
    </row>
    <row r="2456" spans="1:8" x14ac:dyDescent="0.25">
      <c r="A2456" s="94" t="s">
        <v>3849</v>
      </c>
      <c r="B2456" s="98">
        <v>50018</v>
      </c>
      <c r="C2456" s="98" t="s">
        <v>1282</v>
      </c>
      <c r="D2456" s="96" t="s">
        <v>190</v>
      </c>
      <c r="E2456" s="97">
        <v>85</v>
      </c>
      <c r="F2456" s="67" t="str">
        <f>IFERROR(IFERROR(INDEX(Кат!$A:$A,MATCH(Прайс!$B2456,Кат!$G:$G,0)),INDEX(Торг!$B:$B,MATCH(Прайс!$B2456,Торг!$H:$H,0))),"")</f>
        <v/>
      </c>
      <c r="G2456" s="67" t="str">
        <f>IFERROR(IFERROR(INDEX(Кат!$B:$B,MATCH(Прайс!$B2456,Кат!$G:$G,0)),INDEX(Торг!$C:$C,MATCH(Прайс!$B2456,Торг!$H:$H,0))),"")</f>
        <v/>
      </c>
      <c r="H2456" s="67" t="str">
        <f>IFERROR(IFERROR(INDEX(Кат!$I:$I,MATCH(Прайс!$B2456,Кат!$G:$G,0)),INDEX(Торг!$I:$I,MATCH(Прайс!$B2456,Торг!$H:$H,0))),"")</f>
        <v/>
      </c>
    </row>
    <row r="2457" spans="1:8" x14ac:dyDescent="0.25">
      <c r="A2457" s="94" t="s">
        <v>3850</v>
      </c>
      <c r="B2457" s="98">
        <v>50576</v>
      </c>
      <c r="C2457" s="98" t="s">
        <v>1283</v>
      </c>
      <c r="D2457" s="96" t="s">
        <v>190</v>
      </c>
      <c r="E2457" s="97">
        <v>310</v>
      </c>
      <c r="F2457" s="67" t="str">
        <f>IFERROR(IFERROR(INDEX(Кат!$A:$A,MATCH(Прайс!$B2457,Кат!$G:$G,0)),INDEX(Торг!$B:$B,MATCH(Прайс!$B2457,Торг!$H:$H,0))),"")</f>
        <v/>
      </c>
      <c r="G2457" s="67" t="str">
        <f>IFERROR(IFERROR(INDEX(Кат!$B:$B,MATCH(Прайс!$B2457,Кат!$G:$G,0)),INDEX(Торг!$C:$C,MATCH(Прайс!$B2457,Торг!$H:$H,0))),"")</f>
        <v/>
      </c>
      <c r="H2457" s="67" t="str">
        <f>IFERROR(IFERROR(INDEX(Кат!$I:$I,MATCH(Прайс!$B2457,Кат!$G:$G,0)),INDEX(Торг!$I:$I,MATCH(Прайс!$B2457,Торг!$H:$H,0))),"")</f>
        <v/>
      </c>
    </row>
    <row r="2458" spans="1:8" x14ac:dyDescent="0.25">
      <c r="A2458" s="94" t="s">
        <v>3851</v>
      </c>
      <c r="B2458" s="98">
        <v>50020</v>
      </c>
      <c r="C2458" s="98" t="s">
        <v>1284</v>
      </c>
      <c r="D2458" s="96" t="s">
        <v>1285</v>
      </c>
      <c r="E2458" s="97">
        <v>70</v>
      </c>
      <c r="F2458" s="67" t="str">
        <f>IFERROR(IFERROR(INDEX(Кат!$A:$A,MATCH(Прайс!$B2458,Кат!$G:$G,0)),INDEX(Торг!$B:$B,MATCH(Прайс!$B2458,Торг!$H:$H,0))),"")</f>
        <v/>
      </c>
      <c r="G2458" s="67" t="str">
        <f>IFERROR(IFERROR(INDEX(Кат!$B:$B,MATCH(Прайс!$B2458,Кат!$G:$G,0)),INDEX(Торг!$C:$C,MATCH(Прайс!$B2458,Торг!$H:$H,0))),"")</f>
        <v/>
      </c>
      <c r="H2458" s="67" t="str">
        <f>IFERROR(IFERROR(INDEX(Кат!$I:$I,MATCH(Прайс!$B2458,Кат!$G:$G,0)),INDEX(Торг!$I:$I,MATCH(Прайс!$B2458,Торг!$H:$H,0))),"")</f>
        <v/>
      </c>
    </row>
    <row r="2459" spans="1:8" ht="15.75" x14ac:dyDescent="0.25">
      <c r="A2459" s="90"/>
      <c r="B2459" s="91"/>
      <c r="C2459" s="92" t="s">
        <v>1286</v>
      </c>
      <c r="D2459" s="91"/>
      <c r="E2459" s="93"/>
      <c r="F2459" s="67" t="str">
        <f>IFERROR(IFERROR(INDEX(Кат!$A:$A,MATCH(Прайс!$B2459,Кат!$G:$G,0)),INDEX(Торг!$B:$B,MATCH(Прайс!$B2459,Торг!$H:$H,0))),"")</f>
        <v/>
      </c>
      <c r="G2459" s="67" t="str">
        <f>IFERROR(IFERROR(INDEX(Кат!$B:$B,MATCH(Прайс!$B2459,Кат!$G:$G,0)),INDEX(Торг!$C:$C,MATCH(Прайс!$B2459,Торг!$H:$H,0))),"")</f>
        <v/>
      </c>
      <c r="H2459" s="67" t="str">
        <f>IFERROR(IFERROR(INDEX(Кат!$I:$I,MATCH(Прайс!$B2459,Кат!$G:$G,0)),INDEX(Торг!$I:$I,MATCH(Прайс!$B2459,Торг!$H:$H,0))),"")</f>
        <v/>
      </c>
    </row>
    <row r="2460" spans="1:8" x14ac:dyDescent="0.25">
      <c r="A2460" s="94" t="s">
        <v>3852</v>
      </c>
      <c r="B2460" s="98">
        <v>12001</v>
      </c>
      <c r="C2460" s="98" t="s">
        <v>1287</v>
      </c>
      <c r="D2460" s="96" t="s">
        <v>1288</v>
      </c>
      <c r="E2460" s="97">
        <v>35</v>
      </c>
      <c r="F2460" s="67" t="str">
        <f>IFERROR(IFERROR(INDEX(Кат!$A:$A,MATCH(Прайс!$B2460,Кат!$G:$G,0)),INDEX(Торг!$B:$B,MATCH(Прайс!$B2460,Торг!$H:$H,0))),"")</f>
        <v/>
      </c>
      <c r="G2460" s="67" t="str">
        <f>IFERROR(IFERROR(INDEX(Кат!$B:$B,MATCH(Прайс!$B2460,Кат!$G:$G,0)),INDEX(Торг!$C:$C,MATCH(Прайс!$B2460,Торг!$H:$H,0))),"")</f>
        <v/>
      </c>
      <c r="H2460" s="67" t="str">
        <f>IFERROR(IFERROR(INDEX(Кат!$I:$I,MATCH(Прайс!$B2460,Кат!$G:$G,0)),INDEX(Торг!$I:$I,MATCH(Прайс!$B2460,Торг!$H:$H,0))),"")</f>
        <v/>
      </c>
    </row>
    <row r="2461" spans="1:8" x14ac:dyDescent="0.25">
      <c r="A2461" s="94" t="s">
        <v>7693</v>
      </c>
      <c r="B2461" s="98">
        <v>12002</v>
      </c>
      <c r="C2461" s="98" t="s">
        <v>7694</v>
      </c>
      <c r="D2461" s="96" t="s">
        <v>1288</v>
      </c>
      <c r="E2461" s="97">
        <v>50</v>
      </c>
      <c r="F2461" s="67" t="str">
        <f>IFERROR(IFERROR(INDEX(Кат!$A:$A,MATCH(Прайс!$B2461,Кат!$G:$G,0)),INDEX(Торг!$B:$B,MATCH(Прайс!$B2461,Торг!$H:$H,0))),"")</f>
        <v/>
      </c>
      <c r="G2461" s="67" t="str">
        <f>IFERROR(IFERROR(INDEX(Кат!$B:$B,MATCH(Прайс!$B2461,Кат!$G:$G,0)),INDEX(Торг!$C:$C,MATCH(Прайс!$B2461,Торг!$H:$H,0))),"")</f>
        <v/>
      </c>
      <c r="H2461" s="67" t="str">
        <f>IFERROR(IFERROR(INDEX(Кат!$I:$I,MATCH(Прайс!$B2461,Кат!$G:$G,0)),INDEX(Торг!$I:$I,MATCH(Прайс!$B2461,Торг!$H:$H,0))),"")</f>
        <v/>
      </c>
    </row>
    <row r="2462" spans="1:8" ht="15.75" x14ac:dyDescent="0.25">
      <c r="A2462" s="90"/>
      <c r="B2462" s="91"/>
      <c r="C2462" s="92" t="s">
        <v>1289</v>
      </c>
      <c r="D2462" s="91"/>
      <c r="E2462" s="93"/>
      <c r="F2462" s="67" t="str">
        <f>IFERROR(IFERROR(INDEX(Кат!$A:$A,MATCH(Прайс!$B2462,Кат!$G:$G,0)),INDEX(Торг!$B:$B,MATCH(Прайс!$B2462,Торг!$H:$H,0))),"")</f>
        <v/>
      </c>
      <c r="G2462" s="67" t="str">
        <f>IFERROR(IFERROR(INDEX(Кат!$B:$B,MATCH(Прайс!$B2462,Кат!$G:$G,0)),INDEX(Торг!$C:$C,MATCH(Прайс!$B2462,Торг!$H:$H,0))),"")</f>
        <v/>
      </c>
      <c r="H2462" s="67" t="str">
        <f>IFERROR(IFERROR(INDEX(Кат!$I:$I,MATCH(Прайс!$B2462,Кат!$G:$G,0)),INDEX(Торг!$I:$I,MATCH(Прайс!$B2462,Торг!$H:$H,0))),"")</f>
        <v/>
      </c>
    </row>
    <row r="2463" spans="1:8" x14ac:dyDescent="0.25">
      <c r="A2463" s="94" t="s">
        <v>3853</v>
      </c>
      <c r="B2463" s="98">
        <v>12006</v>
      </c>
      <c r="C2463" s="98" t="s">
        <v>1290</v>
      </c>
      <c r="D2463" s="96" t="s">
        <v>176</v>
      </c>
      <c r="E2463" s="107">
        <v>2950</v>
      </c>
      <c r="F2463" s="67" t="str">
        <f>IFERROR(IFERROR(INDEX(Кат!$A:$A,MATCH(Прайс!$B2463,Кат!$G:$G,0)),INDEX(Торг!$B:$B,MATCH(Прайс!$B2463,Торг!$H:$H,0))),"")</f>
        <v/>
      </c>
      <c r="G2463" s="67" t="str">
        <f>IFERROR(IFERROR(INDEX(Кат!$B:$B,MATCH(Прайс!$B2463,Кат!$G:$G,0)),INDEX(Торг!$C:$C,MATCH(Прайс!$B2463,Торг!$H:$H,0))),"")</f>
        <v/>
      </c>
      <c r="H2463" s="67" t="str">
        <f>IFERROR(IFERROR(INDEX(Кат!$I:$I,MATCH(Прайс!$B2463,Кат!$G:$G,0)),INDEX(Торг!$I:$I,MATCH(Прайс!$B2463,Торг!$H:$H,0))),"")</f>
        <v/>
      </c>
    </row>
    <row r="2464" spans="1:8" x14ac:dyDescent="0.25">
      <c r="A2464" s="94" t="s">
        <v>3854</v>
      </c>
      <c r="B2464" s="98">
        <v>12007</v>
      </c>
      <c r="C2464" s="98" t="s">
        <v>1291</v>
      </c>
      <c r="D2464" s="96" t="s">
        <v>176</v>
      </c>
      <c r="E2464" s="107">
        <v>4200</v>
      </c>
      <c r="F2464" s="67" t="str">
        <f>IFERROR(IFERROR(INDEX(Кат!$A:$A,MATCH(Прайс!$B2464,Кат!$G:$G,0)),INDEX(Торг!$B:$B,MATCH(Прайс!$B2464,Торг!$H:$H,0))),"")</f>
        <v/>
      </c>
      <c r="G2464" s="67" t="str">
        <f>IFERROR(IFERROR(INDEX(Кат!$B:$B,MATCH(Прайс!$B2464,Кат!$G:$G,0)),INDEX(Торг!$C:$C,MATCH(Прайс!$B2464,Торг!$H:$H,0))),"")</f>
        <v/>
      </c>
      <c r="H2464" s="67" t="str">
        <f>IFERROR(IFERROR(INDEX(Кат!$I:$I,MATCH(Прайс!$B2464,Кат!$G:$G,0)),INDEX(Торг!$I:$I,MATCH(Прайс!$B2464,Торг!$H:$H,0))),"")</f>
        <v/>
      </c>
    </row>
    <row r="2465" spans="1:8" x14ac:dyDescent="0.25">
      <c r="A2465" s="94" t="s">
        <v>6994</v>
      </c>
      <c r="B2465" s="98">
        <v>12004</v>
      </c>
      <c r="C2465" s="98" t="s">
        <v>6995</v>
      </c>
      <c r="D2465" s="96" t="s">
        <v>176</v>
      </c>
      <c r="E2465" s="107">
        <v>2200</v>
      </c>
      <c r="F2465" s="67" t="str">
        <f>IFERROR(IFERROR(INDEX(Кат!$A:$A,MATCH(Прайс!$B2465,Кат!$G:$G,0)),INDEX(Торг!$B:$B,MATCH(Прайс!$B2465,Торг!$H:$H,0))),"")</f>
        <v/>
      </c>
      <c r="G2465" s="67" t="str">
        <f>IFERROR(IFERROR(INDEX(Кат!$B:$B,MATCH(Прайс!$B2465,Кат!$G:$G,0)),INDEX(Торг!$C:$C,MATCH(Прайс!$B2465,Торг!$H:$H,0))),"")</f>
        <v/>
      </c>
      <c r="H2465" s="67" t="str">
        <f>IFERROR(IFERROR(INDEX(Кат!$I:$I,MATCH(Прайс!$B2465,Кат!$G:$G,0)),INDEX(Торг!$I:$I,MATCH(Прайс!$B2465,Торг!$H:$H,0))),"")</f>
        <v/>
      </c>
    </row>
    <row r="2466" spans="1:8" x14ac:dyDescent="0.25">
      <c r="A2466" s="94" t="s">
        <v>3855</v>
      </c>
      <c r="B2466" s="98">
        <v>12005</v>
      </c>
      <c r="C2466" s="98" t="s">
        <v>1292</v>
      </c>
      <c r="D2466" s="96" t="s">
        <v>176</v>
      </c>
      <c r="E2466" s="107">
        <v>2100</v>
      </c>
      <c r="F2466" s="67" t="str">
        <f>IFERROR(IFERROR(INDEX(Кат!$A:$A,MATCH(Прайс!$B2466,Кат!$G:$G,0)),INDEX(Торг!$B:$B,MATCH(Прайс!$B2466,Торг!$H:$H,0))),"")</f>
        <v/>
      </c>
      <c r="G2466" s="67" t="str">
        <f>IFERROR(IFERROR(INDEX(Кат!$B:$B,MATCH(Прайс!$B2466,Кат!$G:$G,0)),INDEX(Торг!$C:$C,MATCH(Прайс!$B2466,Торг!$H:$H,0))),"")</f>
        <v/>
      </c>
      <c r="H2466" s="67" t="str">
        <f>IFERROR(IFERROR(INDEX(Кат!$I:$I,MATCH(Прайс!$B2466,Кат!$G:$G,0)),INDEX(Торг!$I:$I,MATCH(Прайс!$B2466,Торг!$H:$H,0))),"")</f>
        <v/>
      </c>
    </row>
    <row r="2467" spans="1:8" ht="15.75" x14ac:dyDescent="0.25">
      <c r="A2467" s="90"/>
      <c r="B2467" s="91"/>
      <c r="C2467" s="92" t="s">
        <v>1293</v>
      </c>
      <c r="D2467" s="91"/>
      <c r="E2467" s="93"/>
      <c r="F2467" s="67" t="str">
        <f>IFERROR(IFERROR(INDEX(Кат!$A:$A,MATCH(Прайс!$B2467,Кат!$G:$G,0)),INDEX(Торг!$B:$B,MATCH(Прайс!$B2467,Торг!$H:$H,0))),"")</f>
        <v/>
      </c>
      <c r="G2467" s="67" t="str">
        <f>IFERROR(IFERROR(INDEX(Кат!$B:$B,MATCH(Прайс!$B2467,Кат!$G:$G,0)),INDEX(Торг!$C:$C,MATCH(Прайс!$B2467,Торг!$H:$H,0))),"")</f>
        <v/>
      </c>
      <c r="H2467" s="67" t="str">
        <f>IFERROR(IFERROR(INDEX(Кат!$I:$I,MATCH(Прайс!$B2467,Кат!$G:$G,0)),INDEX(Торг!$I:$I,MATCH(Прайс!$B2467,Торг!$H:$H,0))),"")</f>
        <v/>
      </c>
    </row>
    <row r="2468" spans="1:8" x14ac:dyDescent="0.25">
      <c r="A2468" s="94" t="s">
        <v>7695</v>
      </c>
      <c r="B2468" s="98">
        <v>12008</v>
      </c>
      <c r="C2468" s="98" t="s">
        <v>7696</v>
      </c>
      <c r="D2468" s="96" t="s">
        <v>582</v>
      </c>
      <c r="E2468" s="97">
        <v>100</v>
      </c>
      <c r="F2468" s="67" t="str">
        <f>IFERROR(IFERROR(INDEX(Кат!$A:$A,MATCH(Прайс!$B2468,Кат!$G:$G,0)),INDEX(Торг!$B:$B,MATCH(Прайс!$B2468,Торг!$H:$H,0))),"")</f>
        <v/>
      </c>
      <c r="G2468" s="67" t="str">
        <f>IFERROR(IFERROR(INDEX(Кат!$B:$B,MATCH(Прайс!$B2468,Кат!$G:$G,0)),INDEX(Торг!$C:$C,MATCH(Прайс!$B2468,Торг!$H:$H,0))),"")</f>
        <v/>
      </c>
      <c r="H2468" s="67" t="str">
        <f>IFERROR(IFERROR(INDEX(Кат!$I:$I,MATCH(Прайс!$B2468,Кат!$G:$G,0)),INDEX(Торг!$I:$I,MATCH(Прайс!$B2468,Торг!$H:$H,0))),"")</f>
        <v/>
      </c>
    </row>
    <row r="2469" spans="1:8" x14ac:dyDescent="0.25">
      <c r="A2469" s="94" t="s">
        <v>3856</v>
      </c>
      <c r="B2469" s="98">
        <v>12009</v>
      </c>
      <c r="C2469" s="98" t="s">
        <v>1294</v>
      </c>
      <c r="D2469" s="96" t="s">
        <v>582</v>
      </c>
      <c r="E2469" s="97">
        <v>200</v>
      </c>
      <c r="F2469" s="67" t="str">
        <f>IFERROR(IFERROR(INDEX(Кат!$A:$A,MATCH(Прайс!$B2469,Кат!$G:$G,0)),INDEX(Торг!$B:$B,MATCH(Прайс!$B2469,Торг!$H:$H,0))),"")</f>
        <v/>
      </c>
      <c r="G2469" s="67" t="str">
        <f>IFERROR(IFERROR(INDEX(Кат!$B:$B,MATCH(Прайс!$B2469,Кат!$G:$G,0)),INDEX(Торг!$C:$C,MATCH(Прайс!$B2469,Торг!$H:$H,0))),"")</f>
        <v/>
      </c>
      <c r="H2469" s="67" t="str">
        <f>IFERROR(IFERROR(INDEX(Кат!$I:$I,MATCH(Прайс!$B2469,Кат!$G:$G,0)),INDEX(Торг!$I:$I,MATCH(Прайс!$B2469,Торг!$H:$H,0))),"")</f>
        <v/>
      </c>
    </row>
    <row r="2470" spans="1:8" x14ac:dyDescent="0.25">
      <c r="A2470" s="94" t="s">
        <v>3857</v>
      </c>
      <c r="B2470" s="98">
        <v>12114</v>
      </c>
      <c r="C2470" s="98" t="s">
        <v>6399</v>
      </c>
      <c r="D2470" s="96" t="s">
        <v>582</v>
      </c>
      <c r="E2470" s="97">
        <v>85</v>
      </c>
      <c r="F2470" s="67" t="str">
        <f>IFERROR(IFERROR(INDEX(Кат!$A:$A,MATCH(Прайс!$B2470,Кат!$G:$G,0)),INDEX(Торг!$B:$B,MATCH(Прайс!$B2470,Торг!$H:$H,0))),"")</f>
        <v/>
      </c>
      <c r="G2470" s="67" t="str">
        <f>IFERROR(IFERROR(INDEX(Кат!$B:$B,MATCH(Прайс!$B2470,Кат!$G:$G,0)),INDEX(Торг!$C:$C,MATCH(Прайс!$B2470,Торг!$H:$H,0))),"")</f>
        <v/>
      </c>
      <c r="H2470" s="67" t="str">
        <f>IFERROR(IFERROR(INDEX(Кат!$I:$I,MATCH(Прайс!$B2470,Кат!$G:$G,0)),INDEX(Торг!$I:$I,MATCH(Прайс!$B2470,Торг!$H:$H,0))),"")</f>
        <v/>
      </c>
    </row>
    <row r="2471" spans="1:8" x14ac:dyDescent="0.25">
      <c r="A2471" s="94" t="s">
        <v>3858</v>
      </c>
      <c r="B2471" s="98">
        <v>12125</v>
      </c>
      <c r="C2471" s="98" t="s">
        <v>1295</v>
      </c>
      <c r="D2471" s="96" t="s">
        <v>190</v>
      </c>
      <c r="E2471" s="97">
        <v>110</v>
      </c>
      <c r="F2471" s="67" t="str">
        <f>IFERROR(IFERROR(INDEX(Кат!$A:$A,MATCH(Прайс!$B2471,Кат!$G:$G,0)),INDEX(Торг!$B:$B,MATCH(Прайс!$B2471,Торг!$H:$H,0))),"")</f>
        <v/>
      </c>
      <c r="G2471" s="67" t="str">
        <f>IFERROR(IFERROR(INDEX(Кат!$B:$B,MATCH(Прайс!$B2471,Кат!$G:$G,0)),INDEX(Торг!$C:$C,MATCH(Прайс!$B2471,Торг!$H:$H,0))),"")</f>
        <v/>
      </c>
      <c r="H2471" s="67" t="str">
        <f>IFERROR(IFERROR(INDEX(Кат!$I:$I,MATCH(Прайс!$B2471,Кат!$G:$G,0)),INDEX(Торг!$I:$I,MATCH(Прайс!$B2471,Торг!$H:$H,0))),"")</f>
        <v/>
      </c>
    </row>
    <row r="2472" spans="1:8" x14ac:dyDescent="0.25">
      <c r="A2472" s="94" t="s">
        <v>3859</v>
      </c>
      <c r="B2472" s="98">
        <v>12124</v>
      </c>
      <c r="C2472" s="98" t="s">
        <v>1296</v>
      </c>
      <c r="D2472" s="96" t="s">
        <v>582</v>
      </c>
      <c r="E2472" s="97">
        <v>180</v>
      </c>
      <c r="F2472" s="67" t="str">
        <f>IFERROR(IFERROR(INDEX(Кат!$A:$A,MATCH(Прайс!$B2472,Кат!$G:$G,0)),INDEX(Торг!$B:$B,MATCH(Прайс!$B2472,Торг!$H:$H,0))),"")</f>
        <v/>
      </c>
      <c r="G2472" s="67" t="str">
        <f>IFERROR(IFERROR(INDEX(Кат!$B:$B,MATCH(Прайс!$B2472,Кат!$G:$G,0)),INDEX(Торг!$C:$C,MATCH(Прайс!$B2472,Торг!$H:$H,0))),"")</f>
        <v/>
      </c>
      <c r="H2472" s="67" t="str">
        <f>IFERROR(IFERROR(INDEX(Кат!$I:$I,MATCH(Прайс!$B2472,Кат!$G:$G,0)),INDEX(Торг!$I:$I,MATCH(Прайс!$B2472,Торг!$H:$H,0))),"")</f>
        <v/>
      </c>
    </row>
    <row r="2473" spans="1:8" x14ac:dyDescent="0.25">
      <c r="A2473" s="94" t="s">
        <v>6996</v>
      </c>
      <c r="B2473" s="98">
        <v>12126</v>
      </c>
      <c r="C2473" s="98" t="s">
        <v>6997</v>
      </c>
      <c r="D2473" s="96" t="s">
        <v>582</v>
      </c>
      <c r="E2473" s="97">
        <v>130</v>
      </c>
      <c r="F2473" s="67" t="str">
        <f>IFERROR(IFERROR(INDEX(Кат!$A:$A,MATCH(Прайс!$B2473,Кат!$G:$G,0)),INDEX(Торг!$B:$B,MATCH(Прайс!$B2473,Торг!$H:$H,0))),"")</f>
        <v/>
      </c>
      <c r="G2473" s="67" t="str">
        <f>IFERROR(IFERROR(INDEX(Кат!$B:$B,MATCH(Прайс!$B2473,Кат!$G:$G,0)),INDEX(Торг!$C:$C,MATCH(Прайс!$B2473,Торг!$H:$H,0))),"")</f>
        <v/>
      </c>
      <c r="H2473" s="67" t="str">
        <f>IFERROR(IFERROR(INDEX(Кат!$I:$I,MATCH(Прайс!$B2473,Кат!$G:$G,0)),INDEX(Торг!$I:$I,MATCH(Прайс!$B2473,Торг!$H:$H,0))),"")</f>
        <v/>
      </c>
    </row>
    <row r="2474" spans="1:8" ht="15.75" x14ac:dyDescent="0.25">
      <c r="A2474" s="90"/>
      <c r="B2474" s="91"/>
      <c r="C2474" s="92" t="s">
        <v>1297</v>
      </c>
      <c r="D2474" s="91"/>
      <c r="E2474" s="93"/>
      <c r="F2474" s="67" t="str">
        <f>IFERROR(IFERROR(INDEX(Кат!$A:$A,MATCH(Прайс!$B2474,Кат!$G:$G,0)),INDEX(Торг!$B:$B,MATCH(Прайс!$B2474,Торг!$H:$H,0))),"")</f>
        <v/>
      </c>
      <c r="G2474" s="67" t="str">
        <f>IFERROR(IFERROR(INDEX(Кат!$B:$B,MATCH(Прайс!$B2474,Кат!$G:$G,0)),INDEX(Торг!$C:$C,MATCH(Прайс!$B2474,Торг!$H:$H,0))),"")</f>
        <v/>
      </c>
      <c r="H2474" s="67" t="str">
        <f>IFERROR(IFERROR(INDEX(Кат!$I:$I,MATCH(Прайс!$B2474,Кат!$G:$G,0)),INDEX(Торг!$I:$I,MATCH(Прайс!$B2474,Торг!$H:$H,0))),"")</f>
        <v/>
      </c>
    </row>
    <row r="2475" spans="1:8" x14ac:dyDescent="0.25">
      <c r="A2475" s="94" t="s">
        <v>3860</v>
      </c>
      <c r="B2475" s="98">
        <v>12010</v>
      </c>
      <c r="C2475" s="98" t="s">
        <v>7697</v>
      </c>
      <c r="D2475" s="96" t="s">
        <v>161</v>
      </c>
      <c r="E2475" s="97">
        <v>280</v>
      </c>
      <c r="F2475" s="67" t="str">
        <f>IFERROR(IFERROR(INDEX(Кат!$A:$A,MATCH(Прайс!$B2475,Кат!$G:$G,0)),INDEX(Торг!$B:$B,MATCH(Прайс!$B2475,Торг!$H:$H,0))),"")</f>
        <v/>
      </c>
      <c r="G2475" s="67" t="str">
        <f>IFERROR(IFERROR(INDEX(Кат!$B:$B,MATCH(Прайс!$B2475,Кат!$G:$G,0)),INDEX(Торг!$C:$C,MATCH(Прайс!$B2475,Торг!$H:$H,0))),"")</f>
        <v/>
      </c>
      <c r="H2475" s="67" t="str">
        <f>IFERROR(IFERROR(INDEX(Кат!$I:$I,MATCH(Прайс!$B2475,Кат!$G:$G,0)),INDEX(Торг!$I:$I,MATCH(Прайс!$B2475,Торг!$H:$H,0))),"")</f>
        <v/>
      </c>
    </row>
    <row r="2476" spans="1:8" x14ac:dyDescent="0.25">
      <c r="A2476" s="94" t="s">
        <v>3861</v>
      </c>
      <c r="B2476" s="98">
        <v>12011</v>
      </c>
      <c r="C2476" s="98" t="s">
        <v>1298</v>
      </c>
      <c r="D2476" s="96" t="s">
        <v>161</v>
      </c>
      <c r="E2476" s="97">
        <v>350</v>
      </c>
      <c r="F2476" s="67" t="str">
        <f>IFERROR(IFERROR(INDEX(Кат!$A:$A,MATCH(Прайс!$B2476,Кат!$G:$G,0)),INDEX(Торг!$B:$B,MATCH(Прайс!$B2476,Торг!$H:$H,0))),"")</f>
        <v/>
      </c>
      <c r="G2476" s="67" t="str">
        <f>IFERROR(IFERROR(INDEX(Кат!$B:$B,MATCH(Прайс!$B2476,Кат!$G:$G,0)),INDEX(Торг!$C:$C,MATCH(Прайс!$B2476,Торг!$H:$H,0))),"")</f>
        <v/>
      </c>
      <c r="H2476" s="67" t="str">
        <f>IFERROR(IFERROR(INDEX(Кат!$I:$I,MATCH(Прайс!$B2476,Кат!$G:$G,0)),INDEX(Торг!$I:$I,MATCH(Прайс!$B2476,Торг!$H:$H,0))),"")</f>
        <v/>
      </c>
    </row>
    <row r="2477" spans="1:8" x14ac:dyDescent="0.25">
      <c r="A2477" s="94" t="s">
        <v>3862</v>
      </c>
      <c r="B2477" s="98">
        <v>12121</v>
      </c>
      <c r="C2477" s="98" t="s">
        <v>1299</v>
      </c>
      <c r="D2477" s="96" t="s">
        <v>190</v>
      </c>
      <c r="E2477" s="97">
        <v>380</v>
      </c>
      <c r="F2477" s="67" t="str">
        <f>IFERROR(IFERROR(INDEX(Кат!$A:$A,MATCH(Прайс!$B2477,Кат!$G:$G,0)),INDEX(Торг!$B:$B,MATCH(Прайс!$B2477,Торг!$H:$H,0))),"")</f>
        <v/>
      </c>
      <c r="G2477" s="67" t="str">
        <f>IFERROR(IFERROR(INDEX(Кат!$B:$B,MATCH(Прайс!$B2477,Кат!$G:$G,0)),INDEX(Торг!$C:$C,MATCH(Прайс!$B2477,Торг!$H:$H,0))),"")</f>
        <v/>
      </c>
      <c r="H2477" s="67" t="str">
        <f>IFERROR(IFERROR(INDEX(Кат!$I:$I,MATCH(Прайс!$B2477,Кат!$G:$G,0)),INDEX(Торг!$I:$I,MATCH(Прайс!$B2477,Торг!$H:$H,0))),"")</f>
        <v/>
      </c>
    </row>
    <row r="2478" spans="1:8" x14ac:dyDescent="0.25">
      <c r="A2478" s="94" t="s">
        <v>3863</v>
      </c>
      <c r="B2478" s="98">
        <v>12122</v>
      </c>
      <c r="C2478" s="98" t="s">
        <v>1300</v>
      </c>
      <c r="D2478" s="96" t="s">
        <v>190</v>
      </c>
      <c r="E2478" s="97">
        <v>380</v>
      </c>
      <c r="F2478" s="67" t="str">
        <f>IFERROR(IFERROR(INDEX(Кат!$A:$A,MATCH(Прайс!$B2478,Кат!$G:$G,0)),INDEX(Торг!$B:$B,MATCH(Прайс!$B2478,Торг!$H:$H,0))),"")</f>
        <v/>
      </c>
      <c r="G2478" s="67" t="str">
        <f>IFERROR(IFERROR(INDEX(Кат!$B:$B,MATCH(Прайс!$B2478,Кат!$G:$G,0)),INDEX(Торг!$C:$C,MATCH(Прайс!$B2478,Торг!$H:$H,0))),"")</f>
        <v/>
      </c>
      <c r="H2478" s="67" t="str">
        <f>IFERROR(IFERROR(INDEX(Кат!$I:$I,MATCH(Прайс!$B2478,Кат!$G:$G,0)),INDEX(Торг!$I:$I,MATCH(Прайс!$B2478,Торг!$H:$H,0))),"")</f>
        <v/>
      </c>
    </row>
    <row r="2479" spans="1:8" x14ac:dyDescent="0.25">
      <c r="A2479" s="94" t="s">
        <v>3864</v>
      </c>
      <c r="B2479" s="98">
        <v>12123</v>
      </c>
      <c r="C2479" s="98" t="s">
        <v>7698</v>
      </c>
      <c r="D2479" s="96" t="s">
        <v>159</v>
      </c>
      <c r="E2479" s="97">
        <v>380</v>
      </c>
      <c r="F2479" s="67" t="str">
        <f>IFERROR(IFERROR(INDEX(Кат!$A:$A,MATCH(Прайс!$B2479,Кат!$G:$G,0)),INDEX(Торг!$B:$B,MATCH(Прайс!$B2479,Торг!$H:$H,0))),"")</f>
        <v/>
      </c>
      <c r="G2479" s="67" t="str">
        <f>IFERROR(IFERROR(INDEX(Кат!$B:$B,MATCH(Прайс!$B2479,Кат!$G:$G,0)),INDEX(Торг!$C:$C,MATCH(Прайс!$B2479,Торг!$H:$H,0))),"")</f>
        <v/>
      </c>
      <c r="H2479" s="67" t="str">
        <f>IFERROR(IFERROR(INDEX(Кат!$I:$I,MATCH(Прайс!$B2479,Кат!$G:$G,0)),INDEX(Торг!$I:$I,MATCH(Прайс!$B2479,Торг!$H:$H,0))),"")</f>
        <v/>
      </c>
    </row>
    <row r="2480" spans="1:8" x14ac:dyDescent="0.25">
      <c r="A2480" s="94" t="s">
        <v>3865</v>
      </c>
      <c r="B2480" s="98">
        <v>12013</v>
      </c>
      <c r="C2480" s="98" t="s">
        <v>1301</v>
      </c>
      <c r="D2480" s="96" t="s">
        <v>190</v>
      </c>
      <c r="E2480" s="97">
        <v>150</v>
      </c>
      <c r="F2480" s="67" t="str">
        <f>IFERROR(IFERROR(INDEX(Кат!$A:$A,MATCH(Прайс!$B2480,Кат!$G:$G,0)),INDEX(Торг!$B:$B,MATCH(Прайс!$B2480,Торг!$H:$H,0))),"")</f>
        <v/>
      </c>
      <c r="G2480" s="67" t="str">
        <f>IFERROR(IFERROR(INDEX(Кат!$B:$B,MATCH(Прайс!$B2480,Кат!$G:$G,0)),INDEX(Торг!$C:$C,MATCH(Прайс!$B2480,Торг!$H:$H,0))),"")</f>
        <v/>
      </c>
      <c r="H2480" s="67" t="str">
        <f>IFERROR(IFERROR(INDEX(Кат!$I:$I,MATCH(Прайс!$B2480,Кат!$G:$G,0)),INDEX(Торг!$I:$I,MATCH(Прайс!$B2480,Торг!$H:$H,0))),"")</f>
        <v/>
      </c>
    </row>
    <row r="2481" spans="1:8" x14ac:dyDescent="0.25">
      <c r="A2481" s="94" t="s">
        <v>3866</v>
      </c>
      <c r="B2481" s="98">
        <v>12014</v>
      </c>
      <c r="C2481" s="98" t="s">
        <v>1302</v>
      </c>
      <c r="D2481" s="96" t="s">
        <v>190</v>
      </c>
      <c r="E2481" s="97">
        <v>165</v>
      </c>
      <c r="F2481" s="67" t="str">
        <f>IFERROR(IFERROR(INDEX(Кат!$A:$A,MATCH(Прайс!$B2481,Кат!$G:$G,0)),INDEX(Торг!$B:$B,MATCH(Прайс!$B2481,Торг!$H:$H,0))),"")</f>
        <v/>
      </c>
      <c r="G2481" s="67" t="str">
        <f>IFERROR(IFERROR(INDEX(Кат!$B:$B,MATCH(Прайс!$B2481,Кат!$G:$G,0)),INDEX(Торг!$C:$C,MATCH(Прайс!$B2481,Торг!$H:$H,0))),"")</f>
        <v/>
      </c>
      <c r="H2481" s="67" t="str">
        <f>IFERROR(IFERROR(INDEX(Кат!$I:$I,MATCH(Прайс!$B2481,Кат!$G:$G,0)),INDEX(Торг!$I:$I,MATCH(Прайс!$B2481,Торг!$H:$H,0))),"")</f>
        <v/>
      </c>
    </row>
    <row r="2482" spans="1:8" x14ac:dyDescent="0.25">
      <c r="A2482" s="94" t="s">
        <v>3867</v>
      </c>
      <c r="B2482" s="98">
        <v>12015</v>
      </c>
      <c r="C2482" s="98" t="s">
        <v>1303</v>
      </c>
      <c r="D2482" s="96" t="s">
        <v>190</v>
      </c>
      <c r="E2482" s="97">
        <v>165</v>
      </c>
      <c r="F2482" s="67" t="str">
        <f>IFERROR(IFERROR(INDEX(Кат!$A:$A,MATCH(Прайс!$B2482,Кат!$G:$G,0)),INDEX(Торг!$B:$B,MATCH(Прайс!$B2482,Торг!$H:$H,0))),"")</f>
        <v/>
      </c>
      <c r="G2482" s="67" t="str">
        <f>IFERROR(IFERROR(INDEX(Кат!$B:$B,MATCH(Прайс!$B2482,Кат!$G:$G,0)),INDEX(Торг!$C:$C,MATCH(Прайс!$B2482,Торг!$H:$H,0))),"")</f>
        <v/>
      </c>
      <c r="H2482" s="67" t="str">
        <f>IFERROR(IFERROR(INDEX(Кат!$I:$I,MATCH(Прайс!$B2482,Кат!$G:$G,0)),INDEX(Торг!$I:$I,MATCH(Прайс!$B2482,Торг!$H:$H,0))),"")</f>
        <v/>
      </c>
    </row>
    <row r="2483" spans="1:8" x14ac:dyDescent="0.25">
      <c r="A2483" s="94" t="s">
        <v>3868</v>
      </c>
      <c r="B2483" s="98">
        <v>12012</v>
      </c>
      <c r="C2483" s="98" t="s">
        <v>1304</v>
      </c>
      <c r="D2483" s="96" t="s">
        <v>190</v>
      </c>
      <c r="E2483" s="97">
        <v>130</v>
      </c>
      <c r="F2483" s="67" t="str">
        <f>IFERROR(IFERROR(INDEX(Кат!$A:$A,MATCH(Прайс!$B2483,Кат!$G:$G,0)),INDEX(Торг!$B:$B,MATCH(Прайс!$B2483,Торг!$H:$H,0))),"")</f>
        <v/>
      </c>
      <c r="G2483" s="67" t="str">
        <f>IFERROR(IFERROR(INDEX(Кат!$B:$B,MATCH(Прайс!$B2483,Кат!$G:$G,0)),INDEX(Торг!$C:$C,MATCH(Прайс!$B2483,Торг!$H:$H,0))),"")</f>
        <v/>
      </c>
      <c r="H2483" s="67" t="str">
        <f>IFERROR(IFERROR(INDEX(Кат!$I:$I,MATCH(Прайс!$B2483,Кат!$G:$G,0)),INDEX(Торг!$I:$I,MATCH(Прайс!$B2483,Торг!$H:$H,0))),"")</f>
        <v/>
      </c>
    </row>
    <row r="2484" spans="1:8" x14ac:dyDescent="0.25">
      <c r="A2484" s="94" t="s">
        <v>3869</v>
      </c>
      <c r="B2484" s="98">
        <v>12018</v>
      </c>
      <c r="C2484" s="98" t="s">
        <v>1305</v>
      </c>
      <c r="D2484" s="96" t="s">
        <v>190</v>
      </c>
      <c r="E2484" s="97">
        <v>110</v>
      </c>
      <c r="F2484" s="67" t="str">
        <f>IFERROR(IFERROR(INDEX(Кат!$A:$A,MATCH(Прайс!$B2484,Кат!$G:$G,0)),INDEX(Торг!$B:$B,MATCH(Прайс!$B2484,Торг!$H:$H,0))),"")</f>
        <v/>
      </c>
      <c r="G2484" s="67" t="str">
        <f>IFERROR(IFERROR(INDEX(Кат!$B:$B,MATCH(Прайс!$B2484,Кат!$G:$G,0)),INDEX(Торг!$C:$C,MATCH(Прайс!$B2484,Торг!$H:$H,0))),"")</f>
        <v/>
      </c>
      <c r="H2484" s="67" t="str">
        <f>IFERROR(IFERROR(INDEX(Кат!$I:$I,MATCH(Прайс!$B2484,Кат!$G:$G,0)),INDEX(Торг!$I:$I,MATCH(Прайс!$B2484,Торг!$H:$H,0))),"")</f>
        <v/>
      </c>
    </row>
    <row r="2485" spans="1:8" x14ac:dyDescent="0.25">
      <c r="A2485" s="94" t="s">
        <v>3870</v>
      </c>
      <c r="B2485" s="98">
        <v>12019</v>
      </c>
      <c r="C2485" s="98" t="s">
        <v>1306</v>
      </c>
      <c r="D2485" s="96" t="s">
        <v>190</v>
      </c>
      <c r="E2485" s="97">
        <v>110</v>
      </c>
      <c r="F2485" s="67" t="str">
        <f>IFERROR(IFERROR(INDEX(Кат!$A:$A,MATCH(Прайс!$B2485,Кат!$G:$G,0)),INDEX(Торг!$B:$B,MATCH(Прайс!$B2485,Торг!$H:$H,0))),"")</f>
        <v/>
      </c>
      <c r="G2485" s="67" t="str">
        <f>IFERROR(IFERROR(INDEX(Кат!$B:$B,MATCH(Прайс!$B2485,Кат!$G:$G,0)),INDEX(Торг!$C:$C,MATCH(Прайс!$B2485,Торг!$H:$H,0))),"")</f>
        <v/>
      </c>
      <c r="H2485" s="67" t="str">
        <f>IFERROR(IFERROR(INDEX(Кат!$I:$I,MATCH(Прайс!$B2485,Кат!$G:$G,0)),INDEX(Торг!$I:$I,MATCH(Прайс!$B2485,Торг!$H:$H,0))),"")</f>
        <v/>
      </c>
    </row>
    <row r="2486" spans="1:8" x14ac:dyDescent="0.25">
      <c r="A2486" s="94" t="s">
        <v>7699</v>
      </c>
      <c r="B2486" s="98">
        <v>12017</v>
      </c>
      <c r="C2486" s="98" t="s">
        <v>7700</v>
      </c>
      <c r="D2486" s="96" t="s">
        <v>190</v>
      </c>
      <c r="E2486" s="97">
        <v>100</v>
      </c>
      <c r="F2486" s="67" t="str">
        <f>IFERROR(IFERROR(INDEX(Кат!$A:$A,MATCH(Прайс!$B2486,Кат!$G:$G,0)),INDEX(Торг!$B:$B,MATCH(Прайс!$B2486,Торг!$H:$H,0))),"")</f>
        <v/>
      </c>
      <c r="G2486" s="67" t="str">
        <f>IFERROR(IFERROR(INDEX(Кат!$B:$B,MATCH(Прайс!$B2486,Кат!$G:$G,0)),INDEX(Торг!$C:$C,MATCH(Прайс!$B2486,Торг!$H:$H,0))),"")</f>
        <v/>
      </c>
      <c r="H2486" s="67" t="str">
        <f>IFERROR(IFERROR(INDEX(Кат!$I:$I,MATCH(Прайс!$B2486,Кат!$G:$G,0)),INDEX(Торг!$I:$I,MATCH(Прайс!$B2486,Торг!$H:$H,0))),"")</f>
        <v/>
      </c>
    </row>
    <row r="2487" spans="1:8" x14ac:dyDescent="0.25">
      <c r="A2487" s="94" t="s">
        <v>3871</v>
      </c>
      <c r="B2487" s="98">
        <v>12020</v>
      </c>
      <c r="C2487" s="98" t="s">
        <v>1307</v>
      </c>
      <c r="D2487" s="96" t="s">
        <v>190</v>
      </c>
      <c r="E2487" s="97">
        <v>65</v>
      </c>
      <c r="F2487" s="67" t="str">
        <f>IFERROR(IFERROR(INDEX(Кат!$A:$A,MATCH(Прайс!$B2487,Кат!$G:$G,0)),INDEX(Торг!$B:$B,MATCH(Прайс!$B2487,Торг!$H:$H,0))),"")</f>
        <v/>
      </c>
      <c r="G2487" s="67" t="str">
        <f>IFERROR(IFERROR(INDEX(Кат!$B:$B,MATCH(Прайс!$B2487,Кат!$G:$G,0)),INDEX(Торг!$C:$C,MATCH(Прайс!$B2487,Торг!$H:$H,0))),"")</f>
        <v/>
      </c>
      <c r="H2487" s="67" t="str">
        <f>IFERROR(IFERROR(INDEX(Кат!$I:$I,MATCH(Прайс!$B2487,Кат!$G:$G,0)),INDEX(Торг!$I:$I,MATCH(Прайс!$B2487,Торг!$H:$H,0))),"")</f>
        <v/>
      </c>
    </row>
    <row r="2488" spans="1:8" x14ac:dyDescent="0.25">
      <c r="A2488" s="94" t="s">
        <v>3872</v>
      </c>
      <c r="B2488" s="98">
        <v>12021</v>
      </c>
      <c r="C2488" s="98" t="s">
        <v>1308</v>
      </c>
      <c r="D2488" s="96" t="s">
        <v>1309</v>
      </c>
      <c r="E2488" s="97">
        <v>65</v>
      </c>
      <c r="F2488" s="67" t="str">
        <f>IFERROR(IFERROR(INDEX(Кат!$A:$A,MATCH(Прайс!$B2488,Кат!$G:$G,0)),INDEX(Торг!$B:$B,MATCH(Прайс!$B2488,Торг!$H:$H,0))),"")</f>
        <v/>
      </c>
      <c r="G2488" s="67" t="str">
        <f>IFERROR(IFERROR(INDEX(Кат!$B:$B,MATCH(Прайс!$B2488,Кат!$G:$G,0)),INDEX(Торг!$C:$C,MATCH(Прайс!$B2488,Торг!$H:$H,0))),"")</f>
        <v/>
      </c>
      <c r="H2488" s="67" t="str">
        <f>IFERROR(IFERROR(INDEX(Кат!$I:$I,MATCH(Прайс!$B2488,Кат!$G:$G,0)),INDEX(Торг!$I:$I,MATCH(Прайс!$B2488,Торг!$H:$H,0))),"")</f>
        <v/>
      </c>
    </row>
    <row r="2489" spans="1:8" x14ac:dyDescent="0.25">
      <c r="A2489" s="94" t="s">
        <v>3873</v>
      </c>
      <c r="B2489" s="98">
        <v>12022</v>
      </c>
      <c r="C2489" s="98" t="s">
        <v>1310</v>
      </c>
      <c r="D2489" s="96" t="s">
        <v>1309</v>
      </c>
      <c r="E2489" s="97">
        <v>65</v>
      </c>
      <c r="F2489" s="67" t="str">
        <f>IFERROR(IFERROR(INDEX(Кат!$A:$A,MATCH(Прайс!$B2489,Кат!$G:$G,0)),INDEX(Торг!$B:$B,MATCH(Прайс!$B2489,Торг!$H:$H,0))),"")</f>
        <v/>
      </c>
      <c r="G2489" s="67" t="str">
        <f>IFERROR(IFERROR(INDEX(Кат!$B:$B,MATCH(Прайс!$B2489,Кат!$G:$G,0)),INDEX(Торг!$C:$C,MATCH(Прайс!$B2489,Торг!$H:$H,0))),"")</f>
        <v/>
      </c>
      <c r="H2489" s="67" t="str">
        <f>IFERROR(IFERROR(INDEX(Кат!$I:$I,MATCH(Прайс!$B2489,Кат!$G:$G,0)),INDEX(Торг!$I:$I,MATCH(Прайс!$B2489,Торг!$H:$H,0))),"")</f>
        <v/>
      </c>
    </row>
    <row r="2490" spans="1:8" x14ac:dyDescent="0.25">
      <c r="A2490" s="94" t="s">
        <v>3874</v>
      </c>
      <c r="B2490" s="98">
        <v>12023</v>
      </c>
      <c r="C2490" s="98" t="s">
        <v>1311</v>
      </c>
      <c r="D2490" s="96" t="s">
        <v>1312</v>
      </c>
      <c r="E2490" s="97">
        <v>65</v>
      </c>
      <c r="F2490" s="67" t="str">
        <f>IFERROR(IFERROR(INDEX(Кат!$A:$A,MATCH(Прайс!$B2490,Кат!$G:$G,0)),INDEX(Торг!$B:$B,MATCH(Прайс!$B2490,Торг!$H:$H,0))),"")</f>
        <v/>
      </c>
      <c r="G2490" s="67" t="str">
        <f>IFERROR(IFERROR(INDEX(Кат!$B:$B,MATCH(Прайс!$B2490,Кат!$G:$G,0)),INDEX(Торг!$C:$C,MATCH(Прайс!$B2490,Торг!$H:$H,0))),"")</f>
        <v/>
      </c>
      <c r="H2490" s="67" t="str">
        <f>IFERROR(IFERROR(INDEX(Кат!$I:$I,MATCH(Прайс!$B2490,Кат!$G:$G,0)),INDEX(Торг!$I:$I,MATCH(Прайс!$B2490,Торг!$H:$H,0))),"")</f>
        <v/>
      </c>
    </row>
    <row r="2491" spans="1:8" x14ac:dyDescent="0.25">
      <c r="A2491" s="94" t="s">
        <v>8451</v>
      </c>
      <c r="B2491" s="98">
        <v>12029</v>
      </c>
      <c r="C2491" s="98" t="s">
        <v>8452</v>
      </c>
      <c r="D2491" s="96" t="s">
        <v>284</v>
      </c>
      <c r="E2491" s="97">
        <v>80</v>
      </c>
      <c r="F2491" s="67" t="str">
        <f>IFERROR(IFERROR(INDEX(Кат!$A:$A,MATCH(Прайс!$B2491,Кат!$G:$G,0)),INDEX(Торг!$B:$B,MATCH(Прайс!$B2491,Торг!$H:$H,0))),"")</f>
        <v/>
      </c>
      <c r="G2491" s="67" t="str">
        <f>IFERROR(IFERROR(INDEX(Кат!$B:$B,MATCH(Прайс!$B2491,Кат!$G:$G,0)),INDEX(Торг!$C:$C,MATCH(Прайс!$B2491,Торг!$H:$H,0))),"")</f>
        <v/>
      </c>
      <c r="H2491" s="67" t="str">
        <f>IFERROR(IFERROR(INDEX(Кат!$I:$I,MATCH(Прайс!$B2491,Кат!$G:$G,0)),INDEX(Торг!$I:$I,MATCH(Прайс!$B2491,Торг!$H:$H,0))),"")</f>
        <v/>
      </c>
    </row>
    <row r="2492" spans="1:8" x14ac:dyDescent="0.25">
      <c r="A2492" s="94" t="s">
        <v>3875</v>
      </c>
      <c r="B2492" s="98">
        <v>12030</v>
      </c>
      <c r="C2492" s="98" t="s">
        <v>1313</v>
      </c>
      <c r="D2492" s="96" t="s">
        <v>284</v>
      </c>
      <c r="E2492" s="97">
        <v>80</v>
      </c>
      <c r="F2492" s="67" t="str">
        <f>IFERROR(IFERROR(INDEX(Кат!$A:$A,MATCH(Прайс!$B2492,Кат!$G:$G,0)),INDEX(Торг!$B:$B,MATCH(Прайс!$B2492,Торг!$H:$H,0))),"")</f>
        <v/>
      </c>
      <c r="G2492" s="67" t="str">
        <f>IFERROR(IFERROR(INDEX(Кат!$B:$B,MATCH(Прайс!$B2492,Кат!$G:$G,0)),INDEX(Торг!$C:$C,MATCH(Прайс!$B2492,Торг!$H:$H,0))),"")</f>
        <v/>
      </c>
      <c r="H2492" s="67" t="str">
        <f>IFERROR(IFERROR(INDEX(Кат!$I:$I,MATCH(Прайс!$B2492,Кат!$G:$G,0)),INDEX(Торг!$I:$I,MATCH(Прайс!$B2492,Торг!$H:$H,0))),"")</f>
        <v/>
      </c>
    </row>
    <row r="2493" spans="1:8" x14ac:dyDescent="0.25">
      <c r="A2493" s="94" t="s">
        <v>3876</v>
      </c>
      <c r="B2493" s="98">
        <v>12031</v>
      </c>
      <c r="C2493" s="98" t="s">
        <v>1314</v>
      </c>
      <c r="D2493" s="96" t="s">
        <v>284</v>
      </c>
      <c r="E2493" s="97">
        <v>80</v>
      </c>
      <c r="F2493" s="67" t="str">
        <f>IFERROR(IFERROR(INDEX(Кат!$A:$A,MATCH(Прайс!$B2493,Кат!$G:$G,0)),INDEX(Торг!$B:$B,MATCH(Прайс!$B2493,Торг!$H:$H,0))),"")</f>
        <v/>
      </c>
      <c r="G2493" s="67" t="str">
        <f>IFERROR(IFERROR(INDEX(Кат!$B:$B,MATCH(Прайс!$B2493,Кат!$G:$G,0)),INDEX(Торг!$C:$C,MATCH(Прайс!$B2493,Торг!$H:$H,0))),"")</f>
        <v/>
      </c>
      <c r="H2493" s="67" t="str">
        <f>IFERROR(IFERROR(INDEX(Кат!$I:$I,MATCH(Прайс!$B2493,Кат!$G:$G,0)),INDEX(Торг!$I:$I,MATCH(Прайс!$B2493,Торг!$H:$H,0))),"")</f>
        <v/>
      </c>
    </row>
    <row r="2494" spans="1:8" x14ac:dyDescent="0.25">
      <c r="A2494" s="94" t="s">
        <v>3877</v>
      </c>
      <c r="B2494" s="98">
        <v>12024</v>
      </c>
      <c r="C2494" s="98" t="s">
        <v>1315</v>
      </c>
      <c r="D2494" s="96" t="s">
        <v>284</v>
      </c>
      <c r="E2494" s="97">
        <v>80</v>
      </c>
      <c r="F2494" s="67" t="str">
        <f>IFERROR(IFERROR(INDEX(Кат!$A:$A,MATCH(Прайс!$B2494,Кат!$G:$G,0)),INDEX(Торг!$B:$B,MATCH(Прайс!$B2494,Торг!$H:$H,0))),"")</f>
        <v/>
      </c>
      <c r="G2494" s="67" t="str">
        <f>IFERROR(IFERROR(INDEX(Кат!$B:$B,MATCH(Прайс!$B2494,Кат!$G:$G,0)),INDEX(Торг!$C:$C,MATCH(Прайс!$B2494,Торг!$H:$H,0))),"")</f>
        <v/>
      </c>
      <c r="H2494" s="67" t="str">
        <f>IFERROR(IFERROR(INDEX(Кат!$I:$I,MATCH(Прайс!$B2494,Кат!$G:$G,0)),INDEX(Торг!$I:$I,MATCH(Прайс!$B2494,Торг!$H:$H,0))),"")</f>
        <v/>
      </c>
    </row>
    <row r="2495" spans="1:8" x14ac:dyDescent="0.25">
      <c r="A2495" s="94" t="s">
        <v>8453</v>
      </c>
      <c r="B2495" s="98">
        <v>12025</v>
      </c>
      <c r="C2495" s="98" t="s">
        <v>8454</v>
      </c>
      <c r="D2495" s="96" t="s">
        <v>284</v>
      </c>
      <c r="E2495" s="97">
        <v>80</v>
      </c>
      <c r="F2495" s="67" t="str">
        <f>IFERROR(IFERROR(INDEX(Кат!$A:$A,MATCH(Прайс!$B2495,Кат!$G:$G,0)),INDEX(Торг!$B:$B,MATCH(Прайс!$B2495,Торг!$H:$H,0))),"")</f>
        <v/>
      </c>
      <c r="G2495" s="67" t="str">
        <f>IFERROR(IFERROR(INDEX(Кат!$B:$B,MATCH(Прайс!$B2495,Кат!$G:$G,0)),INDEX(Торг!$C:$C,MATCH(Прайс!$B2495,Торг!$H:$H,0))),"")</f>
        <v/>
      </c>
      <c r="H2495" s="67" t="str">
        <f>IFERROR(IFERROR(INDEX(Кат!$I:$I,MATCH(Прайс!$B2495,Кат!$G:$G,0)),INDEX(Торг!$I:$I,MATCH(Прайс!$B2495,Торг!$H:$H,0))),"")</f>
        <v/>
      </c>
    </row>
    <row r="2496" spans="1:8" x14ac:dyDescent="0.25">
      <c r="A2496" s="94" t="s">
        <v>3878</v>
      </c>
      <c r="B2496" s="98">
        <v>12026</v>
      </c>
      <c r="C2496" s="98" t="s">
        <v>1316</v>
      </c>
      <c r="D2496" s="96" t="s">
        <v>284</v>
      </c>
      <c r="E2496" s="97">
        <v>80</v>
      </c>
      <c r="F2496" s="67" t="str">
        <f>IFERROR(IFERROR(INDEX(Кат!$A:$A,MATCH(Прайс!$B2496,Кат!$G:$G,0)),INDEX(Торг!$B:$B,MATCH(Прайс!$B2496,Торг!$H:$H,0))),"")</f>
        <v/>
      </c>
      <c r="G2496" s="67" t="str">
        <f>IFERROR(IFERROR(INDEX(Кат!$B:$B,MATCH(Прайс!$B2496,Кат!$G:$G,0)),INDEX(Торг!$C:$C,MATCH(Прайс!$B2496,Торг!$H:$H,0))),"")</f>
        <v/>
      </c>
      <c r="H2496" s="67" t="str">
        <f>IFERROR(IFERROR(INDEX(Кат!$I:$I,MATCH(Прайс!$B2496,Кат!$G:$G,0)),INDEX(Торг!$I:$I,MATCH(Прайс!$B2496,Торг!$H:$H,0))),"")</f>
        <v/>
      </c>
    </row>
    <row r="2497" spans="1:8" x14ac:dyDescent="0.25">
      <c r="A2497" s="94" t="s">
        <v>3879</v>
      </c>
      <c r="B2497" s="98">
        <v>12027</v>
      </c>
      <c r="C2497" s="98" t="s">
        <v>1317</v>
      </c>
      <c r="D2497" s="96" t="s">
        <v>284</v>
      </c>
      <c r="E2497" s="97">
        <v>80</v>
      </c>
      <c r="F2497" s="67" t="str">
        <f>IFERROR(IFERROR(INDEX(Кат!$A:$A,MATCH(Прайс!$B2497,Кат!$G:$G,0)),INDEX(Торг!$B:$B,MATCH(Прайс!$B2497,Торг!$H:$H,0))),"")</f>
        <v/>
      </c>
      <c r="G2497" s="67" t="str">
        <f>IFERROR(IFERROR(INDEX(Кат!$B:$B,MATCH(Прайс!$B2497,Кат!$G:$G,0)),INDEX(Торг!$C:$C,MATCH(Прайс!$B2497,Торг!$H:$H,0))),"")</f>
        <v/>
      </c>
      <c r="H2497" s="67" t="str">
        <f>IFERROR(IFERROR(INDEX(Кат!$I:$I,MATCH(Прайс!$B2497,Кат!$G:$G,0)),INDEX(Торг!$I:$I,MATCH(Прайс!$B2497,Торг!$H:$H,0))),"")</f>
        <v/>
      </c>
    </row>
    <row r="2498" spans="1:8" x14ac:dyDescent="0.25">
      <c r="A2498" s="94" t="s">
        <v>3880</v>
      </c>
      <c r="B2498" s="98">
        <v>12028</v>
      </c>
      <c r="C2498" s="98" t="s">
        <v>1318</v>
      </c>
      <c r="D2498" s="96" t="s">
        <v>284</v>
      </c>
      <c r="E2498" s="97">
        <v>80</v>
      </c>
      <c r="F2498" s="67" t="str">
        <f>IFERROR(IFERROR(INDEX(Кат!$A:$A,MATCH(Прайс!$B2498,Кат!$G:$G,0)),INDEX(Торг!$B:$B,MATCH(Прайс!$B2498,Торг!$H:$H,0))),"")</f>
        <v/>
      </c>
      <c r="G2498" s="67" t="str">
        <f>IFERROR(IFERROR(INDEX(Кат!$B:$B,MATCH(Прайс!$B2498,Кат!$G:$G,0)),INDEX(Торг!$C:$C,MATCH(Прайс!$B2498,Торг!$H:$H,0))),"")</f>
        <v/>
      </c>
      <c r="H2498" s="67" t="str">
        <f>IFERROR(IFERROR(INDEX(Кат!$I:$I,MATCH(Прайс!$B2498,Кат!$G:$G,0)),INDEX(Торг!$I:$I,MATCH(Прайс!$B2498,Торг!$H:$H,0))),"")</f>
        <v/>
      </c>
    </row>
    <row r="2499" spans="1:8" x14ac:dyDescent="0.25">
      <c r="A2499" s="94" t="s">
        <v>5943</v>
      </c>
      <c r="B2499" s="98">
        <v>12034</v>
      </c>
      <c r="C2499" s="98" t="s">
        <v>5944</v>
      </c>
      <c r="D2499" s="96" t="s">
        <v>1275</v>
      </c>
      <c r="E2499" s="97">
        <v>40</v>
      </c>
      <c r="F2499" s="67" t="str">
        <f>IFERROR(IFERROR(INDEX(Кат!$A:$A,MATCH(Прайс!$B2499,Кат!$G:$G,0)),INDEX(Торг!$B:$B,MATCH(Прайс!$B2499,Торг!$H:$H,0))),"")</f>
        <v/>
      </c>
      <c r="G2499" s="67" t="str">
        <f>IFERROR(IFERROR(INDEX(Кат!$B:$B,MATCH(Прайс!$B2499,Кат!$G:$G,0)),INDEX(Торг!$C:$C,MATCH(Прайс!$B2499,Торг!$H:$H,0))),"")</f>
        <v/>
      </c>
      <c r="H2499" s="67" t="str">
        <f>IFERROR(IFERROR(INDEX(Кат!$I:$I,MATCH(Прайс!$B2499,Кат!$G:$G,0)),INDEX(Торг!$I:$I,MATCH(Прайс!$B2499,Торг!$H:$H,0))),"")</f>
        <v/>
      </c>
    </row>
    <row r="2500" spans="1:8" x14ac:dyDescent="0.25">
      <c r="A2500" s="99" t="s">
        <v>3881</v>
      </c>
      <c r="B2500" s="108">
        <v>12108</v>
      </c>
      <c r="C2500" s="108" t="s">
        <v>1319</v>
      </c>
      <c r="D2500" s="101" t="s">
        <v>190</v>
      </c>
      <c r="E2500" s="102">
        <v>40</v>
      </c>
      <c r="F2500" s="67" t="str">
        <f>IFERROR(IFERROR(INDEX(Кат!$A:$A,MATCH(Прайс!$B2500,Кат!$G:$G,0)),INDEX(Торг!$B:$B,MATCH(Прайс!$B2500,Торг!$H:$H,0))),"")</f>
        <v/>
      </c>
      <c r="G2500" s="67" t="str">
        <f>IFERROR(IFERROR(INDEX(Кат!$B:$B,MATCH(Прайс!$B2500,Кат!$G:$G,0)),INDEX(Торг!$C:$C,MATCH(Прайс!$B2500,Торг!$H:$H,0))),"")</f>
        <v/>
      </c>
      <c r="H2500" s="67" t="str">
        <f>IFERROR(IFERROR(INDEX(Кат!$I:$I,MATCH(Прайс!$B2500,Кат!$G:$G,0)),INDEX(Торг!$I:$I,MATCH(Прайс!$B2500,Торг!$H:$H,0))),"")</f>
        <v/>
      </c>
    </row>
    <row r="2501" spans="1:8" x14ac:dyDescent="0.25">
      <c r="A2501" s="94" t="s">
        <v>3882</v>
      </c>
      <c r="B2501" s="98">
        <v>12035</v>
      </c>
      <c r="C2501" s="98" t="s">
        <v>1320</v>
      </c>
      <c r="D2501" s="96" t="s">
        <v>1275</v>
      </c>
      <c r="E2501" s="97">
        <v>40</v>
      </c>
      <c r="F2501" s="67" t="str">
        <f>IFERROR(IFERROR(INDEX(Кат!$A:$A,MATCH(Прайс!$B2501,Кат!$G:$G,0)),INDEX(Торг!$B:$B,MATCH(Прайс!$B2501,Торг!$H:$H,0))),"")</f>
        <v/>
      </c>
      <c r="G2501" s="67" t="str">
        <f>IFERROR(IFERROR(INDEX(Кат!$B:$B,MATCH(Прайс!$B2501,Кат!$G:$G,0)),INDEX(Торг!$C:$C,MATCH(Прайс!$B2501,Торг!$H:$H,0))),"")</f>
        <v/>
      </c>
      <c r="H2501" s="67" t="str">
        <f>IFERROR(IFERROR(INDEX(Кат!$I:$I,MATCH(Прайс!$B2501,Кат!$G:$G,0)),INDEX(Торг!$I:$I,MATCH(Прайс!$B2501,Торг!$H:$H,0))),"")</f>
        <v/>
      </c>
    </row>
    <row r="2502" spans="1:8" x14ac:dyDescent="0.25">
      <c r="A2502" s="94" t="s">
        <v>3883</v>
      </c>
      <c r="B2502" s="98">
        <v>12113</v>
      </c>
      <c r="C2502" s="98" t="s">
        <v>1321</v>
      </c>
      <c r="D2502" s="96" t="s">
        <v>1281</v>
      </c>
      <c r="E2502" s="97">
        <v>70</v>
      </c>
      <c r="F2502" s="67" t="str">
        <f>IFERROR(IFERROR(INDEX(Кат!$A:$A,MATCH(Прайс!$B2502,Кат!$G:$G,0)),INDEX(Торг!$B:$B,MATCH(Прайс!$B2502,Торг!$H:$H,0))),"")</f>
        <v/>
      </c>
      <c r="G2502" s="67" t="str">
        <f>IFERROR(IFERROR(INDEX(Кат!$B:$B,MATCH(Прайс!$B2502,Кат!$G:$G,0)),INDEX(Торг!$C:$C,MATCH(Прайс!$B2502,Торг!$H:$H,0))),"")</f>
        <v/>
      </c>
      <c r="H2502" s="67" t="str">
        <f>IFERROR(IFERROR(INDEX(Кат!$I:$I,MATCH(Прайс!$B2502,Кат!$G:$G,0)),INDEX(Торг!$I:$I,MATCH(Прайс!$B2502,Торг!$H:$H,0))),"")</f>
        <v/>
      </c>
    </row>
    <row r="2503" spans="1:8" x14ac:dyDescent="0.25">
      <c r="A2503" s="94" t="s">
        <v>3884</v>
      </c>
      <c r="B2503" s="98">
        <v>12036</v>
      </c>
      <c r="C2503" s="98" t="s">
        <v>1322</v>
      </c>
      <c r="D2503" s="96" t="s">
        <v>1323</v>
      </c>
      <c r="E2503" s="97">
        <v>170</v>
      </c>
      <c r="F2503" s="67" t="str">
        <f>IFERROR(IFERROR(INDEX(Кат!$A:$A,MATCH(Прайс!$B2503,Кат!$G:$G,0)),INDEX(Торг!$B:$B,MATCH(Прайс!$B2503,Торг!$H:$H,0))),"")</f>
        <v/>
      </c>
      <c r="G2503" s="67" t="str">
        <f>IFERROR(IFERROR(INDEX(Кат!$B:$B,MATCH(Прайс!$B2503,Кат!$G:$G,0)),INDEX(Торг!$C:$C,MATCH(Прайс!$B2503,Торг!$H:$H,0))),"")</f>
        <v/>
      </c>
      <c r="H2503" s="67" t="str">
        <f>IFERROR(IFERROR(INDEX(Кат!$I:$I,MATCH(Прайс!$B2503,Кат!$G:$G,0)),INDEX(Торг!$I:$I,MATCH(Прайс!$B2503,Торг!$H:$H,0))),"")</f>
        <v/>
      </c>
    </row>
    <row r="2504" spans="1:8" x14ac:dyDescent="0.25">
      <c r="A2504" s="94" t="s">
        <v>5945</v>
      </c>
      <c r="B2504" s="98">
        <v>12033</v>
      </c>
      <c r="C2504" s="98" t="s">
        <v>5946</v>
      </c>
      <c r="D2504" s="96" t="s">
        <v>1324</v>
      </c>
      <c r="E2504" s="97">
        <v>30</v>
      </c>
      <c r="F2504" s="67" t="str">
        <f>IFERROR(IFERROR(INDEX(Кат!$A:$A,MATCH(Прайс!$B2504,Кат!$G:$G,0)),INDEX(Торг!$B:$B,MATCH(Прайс!$B2504,Торг!$H:$H,0))),"")</f>
        <v/>
      </c>
      <c r="G2504" s="67" t="str">
        <f>IFERROR(IFERROR(INDEX(Кат!$B:$B,MATCH(Прайс!$B2504,Кат!$G:$G,0)),INDEX(Торг!$C:$C,MATCH(Прайс!$B2504,Торг!$H:$H,0))),"")</f>
        <v/>
      </c>
      <c r="H2504" s="67" t="str">
        <f>IFERROR(IFERROR(INDEX(Кат!$I:$I,MATCH(Прайс!$B2504,Кат!$G:$G,0)),INDEX(Торг!$I:$I,MATCH(Прайс!$B2504,Торг!$H:$H,0))),"")</f>
        <v/>
      </c>
    </row>
    <row r="2505" spans="1:8" x14ac:dyDescent="0.25">
      <c r="A2505" s="94" t="s">
        <v>3885</v>
      </c>
      <c r="B2505" s="98">
        <v>12038</v>
      </c>
      <c r="C2505" s="98" t="s">
        <v>1325</v>
      </c>
      <c r="D2505" s="96" t="s">
        <v>361</v>
      </c>
      <c r="E2505" s="97">
        <v>440</v>
      </c>
      <c r="F2505" s="67" t="str">
        <f>IFERROR(IFERROR(INDEX(Кат!$A:$A,MATCH(Прайс!$B2505,Кат!$G:$G,0)),INDEX(Торг!$B:$B,MATCH(Прайс!$B2505,Торг!$H:$H,0))),"")</f>
        <v/>
      </c>
      <c r="G2505" s="67" t="str">
        <f>IFERROR(IFERROR(INDEX(Кат!$B:$B,MATCH(Прайс!$B2505,Кат!$G:$G,0)),INDEX(Торг!$C:$C,MATCH(Прайс!$B2505,Торг!$H:$H,0))),"")</f>
        <v/>
      </c>
      <c r="H2505" s="67" t="str">
        <f>IFERROR(IFERROR(INDEX(Кат!$I:$I,MATCH(Прайс!$B2505,Кат!$G:$G,0)),INDEX(Торг!$I:$I,MATCH(Прайс!$B2505,Торг!$H:$H,0))),"")</f>
        <v/>
      </c>
    </row>
    <row r="2506" spans="1:8" x14ac:dyDescent="0.25">
      <c r="A2506" s="94" t="s">
        <v>3886</v>
      </c>
      <c r="B2506" s="98">
        <v>12037</v>
      </c>
      <c r="C2506" s="98" t="s">
        <v>1326</v>
      </c>
      <c r="D2506" s="96" t="s">
        <v>177</v>
      </c>
      <c r="E2506" s="97">
        <v>470</v>
      </c>
      <c r="F2506" s="67" t="str">
        <f>IFERROR(IFERROR(INDEX(Кат!$A:$A,MATCH(Прайс!$B2506,Кат!$G:$G,0)),INDEX(Торг!$B:$B,MATCH(Прайс!$B2506,Торг!$H:$H,0))),"")</f>
        <v/>
      </c>
      <c r="G2506" s="67" t="str">
        <f>IFERROR(IFERROR(INDEX(Кат!$B:$B,MATCH(Прайс!$B2506,Кат!$G:$G,0)),INDEX(Торг!$C:$C,MATCH(Прайс!$B2506,Торг!$H:$H,0))),"")</f>
        <v/>
      </c>
      <c r="H2506" s="67" t="str">
        <f>IFERROR(IFERROR(INDEX(Кат!$I:$I,MATCH(Прайс!$B2506,Кат!$G:$G,0)),INDEX(Торг!$I:$I,MATCH(Прайс!$B2506,Торг!$H:$H,0))),"")</f>
        <v/>
      </c>
    </row>
    <row r="2507" spans="1:8" x14ac:dyDescent="0.25">
      <c r="A2507" s="94" t="s">
        <v>3887</v>
      </c>
      <c r="B2507" s="98">
        <v>12039</v>
      </c>
      <c r="C2507" s="98" t="s">
        <v>1327</v>
      </c>
      <c r="D2507" s="96" t="s">
        <v>177</v>
      </c>
      <c r="E2507" s="97">
        <v>650</v>
      </c>
      <c r="F2507" s="67" t="str">
        <f>IFERROR(IFERROR(INDEX(Кат!$A:$A,MATCH(Прайс!$B2507,Кат!$G:$G,0)),INDEX(Торг!$B:$B,MATCH(Прайс!$B2507,Торг!$H:$H,0))),"")</f>
        <v/>
      </c>
      <c r="G2507" s="67" t="str">
        <f>IFERROR(IFERROR(INDEX(Кат!$B:$B,MATCH(Прайс!$B2507,Кат!$G:$G,0)),INDEX(Торг!$C:$C,MATCH(Прайс!$B2507,Торг!$H:$H,0))),"")</f>
        <v/>
      </c>
      <c r="H2507" s="67" t="str">
        <f>IFERROR(IFERROR(INDEX(Кат!$I:$I,MATCH(Прайс!$B2507,Кат!$G:$G,0)),INDEX(Торг!$I:$I,MATCH(Прайс!$B2507,Торг!$H:$H,0))),"")</f>
        <v/>
      </c>
    </row>
    <row r="2508" spans="1:8" x14ac:dyDescent="0.25">
      <c r="A2508" s="94" t="s">
        <v>3888</v>
      </c>
      <c r="B2508" s="98">
        <v>12054</v>
      </c>
      <c r="C2508" s="98" t="s">
        <v>1328</v>
      </c>
      <c r="D2508" s="96" t="s">
        <v>1329</v>
      </c>
      <c r="E2508" s="97">
        <v>145</v>
      </c>
      <c r="F2508" s="67" t="str">
        <f>IFERROR(IFERROR(INDEX(Кат!$A:$A,MATCH(Прайс!$B2508,Кат!$G:$G,0)),INDEX(Торг!$B:$B,MATCH(Прайс!$B2508,Торг!$H:$H,0))),"")</f>
        <v/>
      </c>
      <c r="G2508" s="67" t="str">
        <f>IFERROR(IFERROR(INDEX(Кат!$B:$B,MATCH(Прайс!$B2508,Кат!$G:$G,0)),INDEX(Торг!$C:$C,MATCH(Прайс!$B2508,Торг!$H:$H,0))),"")</f>
        <v/>
      </c>
      <c r="H2508" s="67" t="str">
        <f>IFERROR(IFERROR(INDEX(Кат!$I:$I,MATCH(Прайс!$B2508,Кат!$G:$G,0)),INDEX(Торг!$I:$I,MATCH(Прайс!$B2508,Торг!$H:$H,0))),"")</f>
        <v/>
      </c>
    </row>
    <row r="2509" spans="1:8" x14ac:dyDescent="0.25">
      <c r="A2509" s="94" t="s">
        <v>3889</v>
      </c>
      <c r="B2509" s="98">
        <v>12052</v>
      </c>
      <c r="C2509" s="98" t="s">
        <v>1330</v>
      </c>
      <c r="D2509" s="96" t="s">
        <v>1331</v>
      </c>
      <c r="E2509" s="97">
        <v>115</v>
      </c>
      <c r="F2509" s="67" t="str">
        <f>IFERROR(IFERROR(INDEX(Кат!$A:$A,MATCH(Прайс!$B2509,Кат!$G:$G,0)),INDEX(Торг!$B:$B,MATCH(Прайс!$B2509,Торг!$H:$H,0))),"")</f>
        <v/>
      </c>
      <c r="G2509" s="67" t="str">
        <f>IFERROR(IFERROR(INDEX(Кат!$B:$B,MATCH(Прайс!$B2509,Кат!$G:$G,0)),INDEX(Торг!$C:$C,MATCH(Прайс!$B2509,Торг!$H:$H,0))),"")</f>
        <v/>
      </c>
      <c r="H2509" s="67" t="str">
        <f>IFERROR(IFERROR(INDEX(Кат!$I:$I,MATCH(Прайс!$B2509,Кат!$G:$G,0)),INDEX(Торг!$I:$I,MATCH(Прайс!$B2509,Торг!$H:$H,0))),"")</f>
        <v/>
      </c>
    </row>
    <row r="2510" spans="1:8" x14ac:dyDescent="0.25">
      <c r="A2510" s="94" t="s">
        <v>3890</v>
      </c>
      <c r="B2510" s="98">
        <v>12053</v>
      </c>
      <c r="C2510" s="98" t="s">
        <v>1332</v>
      </c>
      <c r="D2510" s="96" t="s">
        <v>1333</v>
      </c>
      <c r="E2510" s="97">
        <v>130</v>
      </c>
      <c r="F2510" s="67" t="str">
        <f>IFERROR(IFERROR(INDEX(Кат!$A:$A,MATCH(Прайс!$B2510,Кат!$G:$G,0)),INDEX(Торг!$B:$B,MATCH(Прайс!$B2510,Торг!$H:$H,0))),"")</f>
        <v/>
      </c>
      <c r="G2510" s="67" t="str">
        <f>IFERROR(IFERROR(INDEX(Кат!$B:$B,MATCH(Прайс!$B2510,Кат!$G:$G,0)),INDEX(Торг!$C:$C,MATCH(Прайс!$B2510,Торг!$H:$H,0))),"")</f>
        <v/>
      </c>
      <c r="H2510" s="67" t="str">
        <f>IFERROR(IFERROR(INDEX(Кат!$I:$I,MATCH(Прайс!$B2510,Кат!$G:$G,0)),INDEX(Торг!$I:$I,MATCH(Прайс!$B2510,Торг!$H:$H,0))),"")</f>
        <v/>
      </c>
    </row>
    <row r="2511" spans="1:8" x14ac:dyDescent="0.25">
      <c r="A2511" s="94" t="s">
        <v>3891</v>
      </c>
      <c r="B2511" s="98">
        <v>12057</v>
      </c>
      <c r="C2511" s="98" t="s">
        <v>1334</v>
      </c>
      <c r="D2511" s="96" t="s">
        <v>1333</v>
      </c>
      <c r="E2511" s="97">
        <v>140</v>
      </c>
      <c r="F2511" s="67" t="str">
        <f>IFERROR(IFERROR(INDEX(Кат!$A:$A,MATCH(Прайс!$B2511,Кат!$G:$G,0)),INDEX(Торг!$B:$B,MATCH(Прайс!$B2511,Торг!$H:$H,0))),"")</f>
        <v/>
      </c>
      <c r="G2511" s="67" t="str">
        <f>IFERROR(IFERROR(INDEX(Кат!$B:$B,MATCH(Прайс!$B2511,Кат!$G:$G,0)),INDEX(Торг!$C:$C,MATCH(Прайс!$B2511,Торг!$H:$H,0))),"")</f>
        <v/>
      </c>
      <c r="H2511" s="67" t="str">
        <f>IFERROR(IFERROR(INDEX(Кат!$I:$I,MATCH(Прайс!$B2511,Кат!$G:$G,0)),INDEX(Торг!$I:$I,MATCH(Прайс!$B2511,Торг!$H:$H,0))),"")</f>
        <v/>
      </c>
    </row>
    <row r="2512" spans="1:8" x14ac:dyDescent="0.25">
      <c r="A2512" s="94" t="s">
        <v>3892</v>
      </c>
      <c r="B2512" s="98">
        <v>12055</v>
      </c>
      <c r="C2512" s="98" t="s">
        <v>1335</v>
      </c>
      <c r="D2512" s="96" t="s">
        <v>1336</v>
      </c>
      <c r="E2512" s="97">
        <v>105</v>
      </c>
      <c r="F2512" s="67" t="str">
        <f>IFERROR(IFERROR(INDEX(Кат!$A:$A,MATCH(Прайс!$B2512,Кат!$G:$G,0)),INDEX(Торг!$B:$B,MATCH(Прайс!$B2512,Торг!$H:$H,0))),"")</f>
        <v/>
      </c>
      <c r="G2512" s="67" t="str">
        <f>IFERROR(IFERROR(INDEX(Кат!$B:$B,MATCH(Прайс!$B2512,Кат!$G:$G,0)),INDEX(Торг!$C:$C,MATCH(Прайс!$B2512,Торг!$H:$H,0))),"")</f>
        <v/>
      </c>
      <c r="H2512" s="67" t="str">
        <f>IFERROR(IFERROR(INDEX(Кат!$I:$I,MATCH(Прайс!$B2512,Кат!$G:$G,0)),INDEX(Торг!$I:$I,MATCH(Прайс!$B2512,Торг!$H:$H,0))),"")</f>
        <v/>
      </c>
    </row>
    <row r="2513" spans="1:8" x14ac:dyDescent="0.25">
      <c r="A2513" s="94" t="s">
        <v>3893</v>
      </c>
      <c r="B2513" s="98">
        <v>12056</v>
      </c>
      <c r="C2513" s="98" t="s">
        <v>1337</v>
      </c>
      <c r="D2513" s="96" t="s">
        <v>1333</v>
      </c>
      <c r="E2513" s="97">
        <v>120</v>
      </c>
      <c r="F2513" s="67" t="str">
        <f>IFERROR(IFERROR(INDEX(Кат!$A:$A,MATCH(Прайс!$B2513,Кат!$G:$G,0)),INDEX(Торг!$B:$B,MATCH(Прайс!$B2513,Торг!$H:$H,0))),"")</f>
        <v/>
      </c>
      <c r="G2513" s="67" t="str">
        <f>IFERROR(IFERROR(INDEX(Кат!$B:$B,MATCH(Прайс!$B2513,Кат!$G:$G,0)),INDEX(Торг!$C:$C,MATCH(Прайс!$B2513,Торг!$H:$H,0))),"")</f>
        <v/>
      </c>
      <c r="H2513" s="67" t="str">
        <f>IFERROR(IFERROR(INDEX(Кат!$I:$I,MATCH(Прайс!$B2513,Кат!$G:$G,0)),INDEX(Торг!$I:$I,MATCH(Прайс!$B2513,Торг!$H:$H,0))),"")</f>
        <v/>
      </c>
    </row>
    <row r="2514" spans="1:8" ht="15.75" x14ac:dyDescent="0.25">
      <c r="A2514" s="90"/>
      <c r="B2514" s="91"/>
      <c r="C2514" s="92" t="s">
        <v>1338</v>
      </c>
      <c r="D2514" s="91"/>
      <c r="E2514" s="93"/>
      <c r="F2514" s="67" t="str">
        <f>IFERROR(IFERROR(INDEX(Кат!$A:$A,MATCH(Прайс!$B2514,Кат!$G:$G,0)),INDEX(Торг!$B:$B,MATCH(Прайс!$B2514,Торг!$H:$H,0))),"")</f>
        <v/>
      </c>
      <c r="G2514" s="67" t="str">
        <f>IFERROR(IFERROR(INDEX(Кат!$B:$B,MATCH(Прайс!$B2514,Кат!$G:$G,0)),INDEX(Торг!$C:$C,MATCH(Прайс!$B2514,Торг!$H:$H,0))),"")</f>
        <v/>
      </c>
      <c r="H2514" s="67" t="str">
        <f>IFERROR(IFERROR(INDEX(Кат!$I:$I,MATCH(Прайс!$B2514,Кат!$G:$G,0)),INDEX(Торг!$I:$I,MATCH(Прайс!$B2514,Торг!$H:$H,0))),"")</f>
        <v/>
      </c>
    </row>
    <row r="2515" spans="1:8" x14ac:dyDescent="0.25">
      <c r="A2515" s="94" t="s">
        <v>3894</v>
      </c>
      <c r="B2515" s="98">
        <v>12117</v>
      </c>
      <c r="C2515" s="98" t="s">
        <v>1338</v>
      </c>
      <c r="D2515" s="96" t="s">
        <v>190</v>
      </c>
      <c r="E2515" s="97">
        <v>20</v>
      </c>
      <c r="F2515" s="67" t="str">
        <f>IFERROR(IFERROR(INDEX(Кат!$A:$A,MATCH(Прайс!$B2515,Кат!$G:$G,0)),INDEX(Торг!$B:$B,MATCH(Прайс!$B2515,Торг!$H:$H,0))),"")</f>
        <v/>
      </c>
      <c r="G2515" s="67" t="str">
        <f>IFERROR(IFERROR(INDEX(Кат!$B:$B,MATCH(Прайс!$B2515,Кат!$G:$G,0)),INDEX(Торг!$C:$C,MATCH(Прайс!$B2515,Торг!$H:$H,0))),"")</f>
        <v/>
      </c>
      <c r="H2515" s="67" t="str">
        <f>IFERROR(IFERROR(INDEX(Кат!$I:$I,MATCH(Прайс!$B2515,Кат!$G:$G,0)),INDEX(Торг!$I:$I,MATCH(Прайс!$B2515,Торг!$H:$H,0))),"")</f>
        <v/>
      </c>
    </row>
    <row r="2516" spans="1:8" x14ac:dyDescent="0.25">
      <c r="A2516" s="94" t="s">
        <v>3895</v>
      </c>
      <c r="B2516" s="98">
        <v>12116</v>
      </c>
      <c r="C2516" s="98" t="s">
        <v>3896</v>
      </c>
      <c r="D2516" s="96" t="s">
        <v>190</v>
      </c>
      <c r="E2516" s="97">
        <v>75</v>
      </c>
      <c r="F2516" s="67" t="str">
        <f>IFERROR(IFERROR(INDEX(Кат!$A:$A,MATCH(Прайс!$B2516,Кат!$G:$G,0)),INDEX(Торг!$B:$B,MATCH(Прайс!$B2516,Торг!$H:$H,0))),"")</f>
        <v/>
      </c>
      <c r="G2516" s="67" t="str">
        <f>IFERROR(IFERROR(INDEX(Кат!$B:$B,MATCH(Прайс!$B2516,Кат!$G:$G,0)),INDEX(Торг!$C:$C,MATCH(Прайс!$B2516,Торг!$H:$H,0))),"")</f>
        <v/>
      </c>
      <c r="H2516" s="67" t="str">
        <f>IFERROR(IFERROR(INDEX(Кат!$I:$I,MATCH(Прайс!$B2516,Кат!$G:$G,0)),INDEX(Торг!$I:$I,MATCH(Прайс!$B2516,Торг!$H:$H,0))),"")</f>
        <v/>
      </c>
    </row>
    <row r="2517" spans="1:8" x14ac:dyDescent="0.25">
      <c r="A2517" s="94" t="s">
        <v>4935</v>
      </c>
      <c r="B2517" s="98">
        <v>12115</v>
      </c>
      <c r="C2517" s="98" t="s">
        <v>4936</v>
      </c>
      <c r="D2517" s="96" t="s">
        <v>190</v>
      </c>
      <c r="E2517" s="97">
        <v>100</v>
      </c>
      <c r="F2517" s="67" t="str">
        <f>IFERROR(IFERROR(INDEX(Кат!$A:$A,MATCH(Прайс!$B2517,Кат!$G:$G,0)),INDEX(Торг!$B:$B,MATCH(Прайс!$B2517,Торг!$H:$H,0))),"")</f>
        <v/>
      </c>
      <c r="G2517" s="67" t="str">
        <f>IFERROR(IFERROR(INDEX(Кат!$B:$B,MATCH(Прайс!$B2517,Кат!$G:$G,0)),INDEX(Торг!$C:$C,MATCH(Прайс!$B2517,Торг!$H:$H,0))),"")</f>
        <v/>
      </c>
      <c r="H2517" s="67" t="str">
        <f>IFERROR(IFERROR(INDEX(Кат!$I:$I,MATCH(Прайс!$B2517,Кат!$G:$G,0)),INDEX(Торг!$I:$I,MATCH(Прайс!$B2517,Торг!$H:$H,0))),"")</f>
        <v/>
      </c>
    </row>
    <row r="2518" spans="1:8" ht="15.75" x14ac:dyDescent="0.25">
      <c r="A2518" s="90"/>
      <c r="B2518" s="91"/>
      <c r="C2518" s="92" t="s">
        <v>1339</v>
      </c>
      <c r="D2518" s="91"/>
      <c r="E2518" s="93"/>
      <c r="F2518" s="67" t="str">
        <f>IFERROR(IFERROR(INDEX(Кат!$A:$A,MATCH(Прайс!$B2518,Кат!$G:$G,0)),INDEX(Торг!$B:$B,MATCH(Прайс!$B2518,Торг!$H:$H,0))),"")</f>
        <v/>
      </c>
      <c r="G2518" s="67" t="str">
        <f>IFERROR(IFERROR(INDEX(Кат!$B:$B,MATCH(Прайс!$B2518,Кат!$G:$G,0)),INDEX(Торг!$C:$C,MATCH(Прайс!$B2518,Торг!$H:$H,0))),"")</f>
        <v/>
      </c>
      <c r="H2518" s="67" t="str">
        <f>IFERROR(IFERROR(INDEX(Кат!$I:$I,MATCH(Прайс!$B2518,Кат!$G:$G,0)),INDEX(Торг!$I:$I,MATCH(Прайс!$B2518,Торг!$H:$H,0))),"")</f>
        <v/>
      </c>
    </row>
    <row r="2519" spans="1:8" x14ac:dyDescent="0.25">
      <c r="A2519" s="94" t="s">
        <v>3897</v>
      </c>
      <c r="B2519" s="98">
        <v>12068</v>
      </c>
      <c r="C2519" s="98" t="s">
        <v>1340</v>
      </c>
      <c r="D2519" s="96" t="s">
        <v>159</v>
      </c>
      <c r="E2519" s="97">
        <v>250</v>
      </c>
      <c r="F2519" s="67" t="str">
        <f>IFERROR(IFERROR(INDEX(Кат!$A:$A,MATCH(Прайс!$B2519,Кат!$G:$G,0)),INDEX(Торг!$B:$B,MATCH(Прайс!$B2519,Торг!$H:$H,0))),"")</f>
        <v/>
      </c>
      <c r="G2519" s="67" t="str">
        <f>IFERROR(IFERROR(INDEX(Кат!$B:$B,MATCH(Прайс!$B2519,Кат!$G:$G,0)),INDEX(Торг!$C:$C,MATCH(Прайс!$B2519,Торг!$H:$H,0))),"")</f>
        <v/>
      </c>
      <c r="H2519" s="67" t="str">
        <f>IFERROR(IFERROR(INDEX(Кат!$I:$I,MATCH(Прайс!$B2519,Кат!$G:$G,0)),INDEX(Торг!$I:$I,MATCH(Прайс!$B2519,Торг!$H:$H,0))),"")</f>
        <v/>
      </c>
    </row>
    <row r="2520" spans="1:8" ht="15.75" x14ac:dyDescent="0.25">
      <c r="A2520" s="90"/>
      <c r="B2520" s="91"/>
      <c r="C2520" s="92" t="s">
        <v>1341</v>
      </c>
      <c r="D2520" s="91"/>
      <c r="E2520" s="93"/>
      <c r="F2520" s="67" t="str">
        <f>IFERROR(IFERROR(INDEX(Кат!$A:$A,MATCH(Прайс!$B2520,Кат!$G:$G,0)),INDEX(Торг!$B:$B,MATCH(Прайс!$B2520,Торг!$H:$H,0))),"")</f>
        <v/>
      </c>
      <c r="G2520" s="67" t="str">
        <f>IFERROR(IFERROR(INDEX(Кат!$B:$B,MATCH(Прайс!$B2520,Кат!$G:$G,0)),INDEX(Торг!$C:$C,MATCH(Прайс!$B2520,Торг!$H:$H,0))),"")</f>
        <v/>
      </c>
      <c r="H2520" s="67" t="str">
        <f>IFERROR(IFERROR(INDEX(Кат!$I:$I,MATCH(Прайс!$B2520,Кат!$G:$G,0)),INDEX(Торг!$I:$I,MATCH(Прайс!$B2520,Торг!$H:$H,0))),"")</f>
        <v/>
      </c>
    </row>
    <row r="2521" spans="1:8" x14ac:dyDescent="0.25">
      <c r="A2521" s="103" t="s">
        <v>5947</v>
      </c>
      <c r="B2521" s="104">
        <v>12147</v>
      </c>
      <c r="C2521" s="104" t="s">
        <v>5948</v>
      </c>
      <c r="D2521" s="105" t="s">
        <v>582</v>
      </c>
      <c r="E2521" s="113">
        <v>900</v>
      </c>
      <c r="F2521" s="67" t="str">
        <f>IFERROR(IFERROR(INDEX(Кат!$A:$A,MATCH(Прайс!$B2521,Кат!$G:$G,0)),INDEX(Торг!$B:$B,MATCH(Прайс!$B2521,Торг!$H:$H,0))),"")</f>
        <v/>
      </c>
      <c r="G2521" s="67" t="str">
        <f>IFERROR(IFERROR(INDEX(Кат!$B:$B,MATCH(Прайс!$B2521,Кат!$G:$G,0)),INDEX(Торг!$C:$C,MATCH(Прайс!$B2521,Торг!$H:$H,0))),"")</f>
        <v/>
      </c>
      <c r="H2521" s="67" t="str">
        <f>IFERROR(IFERROR(INDEX(Кат!$I:$I,MATCH(Прайс!$B2521,Кат!$G:$G,0)),INDEX(Торг!$I:$I,MATCH(Прайс!$B2521,Торг!$H:$H,0))),"")</f>
        <v/>
      </c>
    </row>
    <row r="2522" spans="1:8" x14ac:dyDescent="0.25">
      <c r="A2522" s="94" t="s">
        <v>3898</v>
      </c>
      <c r="B2522" s="98">
        <v>12042</v>
      </c>
      <c r="C2522" s="98" t="s">
        <v>3899</v>
      </c>
      <c r="D2522" s="96" t="s">
        <v>161</v>
      </c>
      <c r="E2522" s="97">
        <v>380</v>
      </c>
      <c r="F2522" s="67" t="str">
        <f>IFERROR(IFERROR(INDEX(Кат!$A:$A,MATCH(Прайс!$B2522,Кат!$G:$G,0)),INDEX(Торг!$B:$B,MATCH(Прайс!$B2522,Торг!$H:$H,0))),"")</f>
        <v/>
      </c>
      <c r="G2522" s="67" t="str">
        <f>IFERROR(IFERROR(INDEX(Кат!$B:$B,MATCH(Прайс!$B2522,Кат!$G:$G,0)),INDEX(Торг!$C:$C,MATCH(Прайс!$B2522,Торг!$H:$H,0))),"")</f>
        <v/>
      </c>
      <c r="H2522" s="67" t="str">
        <f>IFERROR(IFERROR(INDEX(Кат!$I:$I,MATCH(Прайс!$B2522,Кат!$G:$G,0)),INDEX(Торг!$I:$I,MATCH(Прайс!$B2522,Торг!$H:$H,0))),"")</f>
        <v/>
      </c>
    </row>
    <row r="2523" spans="1:8" x14ac:dyDescent="0.25">
      <c r="A2523" s="103" t="s">
        <v>3900</v>
      </c>
      <c r="B2523" s="104">
        <v>12043</v>
      </c>
      <c r="C2523" s="104" t="s">
        <v>7701</v>
      </c>
      <c r="D2523" s="105" t="s">
        <v>161</v>
      </c>
      <c r="E2523" s="113">
        <v>360</v>
      </c>
      <c r="F2523" s="67" t="str">
        <f>IFERROR(IFERROR(INDEX(Кат!$A:$A,MATCH(Прайс!$B2523,Кат!$G:$G,0)),INDEX(Торг!$B:$B,MATCH(Прайс!$B2523,Торг!$H:$H,0))),"")</f>
        <v/>
      </c>
      <c r="G2523" s="67" t="str">
        <f>IFERROR(IFERROR(INDEX(Кат!$B:$B,MATCH(Прайс!$B2523,Кат!$G:$G,0)),INDEX(Торг!$C:$C,MATCH(Прайс!$B2523,Торг!$H:$H,0))),"")</f>
        <v/>
      </c>
      <c r="H2523" s="67" t="str">
        <f>IFERROR(IFERROR(INDEX(Кат!$I:$I,MATCH(Прайс!$B2523,Кат!$G:$G,0)),INDEX(Торг!$I:$I,MATCH(Прайс!$B2523,Торг!$H:$H,0))),"")</f>
        <v/>
      </c>
    </row>
    <row r="2524" spans="1:8" x14ac:dyDescent="0.25">
      <c r="A2524" s="103" t="s">
        <v>5315</v>
      </c>
      <c r="B2524" s="104">
        <v>12145</v>
      </c>
      <c r="C2524" s="104" t="s">
        <v>5316</v>
      </c>
      <c r="D2524" s="105" t="s">
        <v>582</v>
      </c>
      <c r="E2524" s="113">
        <v>380</v>
      </c>
      <c r="F2524" s="67" t="str">
        <f>IFERROR(IFERROR(INDEX(Кат!$A:$A,MATCH(Прайс!$B2524,Кат!$G:$G,0)),INDEX(Торг!$B:$B,MATCH(Прайс!$B2524,Торг!$H:$H,0))),"")</f>
        <v/>
      </c>
      <c r="G2524" s="67" t="str">
        <f>IFERROR(IFERROR(INDEX(Кат!$B:$B,MATCH(Прайс!$B2524,Кат!$G:$G,0)),INDEX(Торг!$C:$C,MATCH(Прайс!$B2524,Торг!$H:$H,0))),"")</f>
        <v/>
      </c>
      <c r="H2524" s="67" t="str">
        <f>IFERROR(IFERROR(INDEX(Кат!$I:$I,MATCH(Прайс!$B2524,Кат!$G:$G,0)),INDEX(Торг!$I:$I,MATCH(Прайс!$B2524,Торг!$H:$H,0))),"")</f>
        <v/>
      </c>
    </row>
    <row r="2525" spans="1:8" x14ac:dyDescent="0.25">
      <c r="A2525" s="94" t="s">
        <v>3901</v>
      </c>
      <c r="B2525" s="98">
        <v>12058</v>
      </c>
      <c r="C2525" s="98" t="s">
        <v>1342</v>
      </c>
      <c r="D2525" s="96" t="s">
        <v>161</v>
      </c>
      <c r="E2525" s="97">
        <v>350</v>
      </c>
      <c r="F2525" s="67" t="str">
        <f>IFERROR(IFERROR(INDEX(Кат!$A:$A,MATCH(Прайс!$B2525,Кат!$G:$G,0)),INDEX(Торг!$B:$B,MATCH(Прайс!$B2525,Торг!$H:$H,0))),"")</f>
        <v/>
      </c>
      <c r="G2525" s="67" t="str">
        <f>IFERROR(IFERROR(INDEX(Кат!$B:$B,MATCH(Прайс!$B2525,Кат!$G:$G,0)),INDEX(Торг!$C:$C,MATCH(Прайс!$B2525,Торг!$H:$H,0))),"")</f>
        <v/>
      </c>
      <c r="H2525" s="67" t="str">
        <f>IFERROR(IFERROR(INDEX(Кат!$I:$I,MATCH(Прайс!$B2525,Кат!$G:$G,0)),INDEX(Торг!$I:$I,MATCH(Прайс!$B2525,Торг!$H:$H,0))),"")</f>
        <v/>
      </c>
    </row>
    <row r="2526" spans="1:8" x14ac:dyDescent="0.25">
      <c r="A2526" s="103" t="s">
        <v>3902</v>
      </c>
      <c r="B2526" s="104">
        <v>13052</v>
      </c>
      <c r="C2526" s="104" t="s">
        <v>3903</v>
      </c>
      <c r="D2526" s="105" t="s">
        <v>582</v>
      </c>
      <c r="E2526" s="106">
        <v>4000</v>
      </c>
      <c r="F2526" s="67" t="str">
        <f>IFERROR(IFERROR(INDEX(Кат!$A:$A,MATCH(Прайс!$B2526,Кат!$G:$G,0)),INDEX(Торг!$B:$B,MATCH(Прайс!$B2526,Торг!$H:$H,0))),"")</f>
        <v/>
      </c>
      <c r="G2526" s="67" t="str">
        <f>IFERROR(IFERROR(INDEX(Кат!$B:$B,MATCH(Прайс!$B2526,Кат!$G:$G,0)),INDEX(Торг!$C:$C,MATCH(Прайс!$B2526,Торг!$H:$H,0))),"")</f>
        <v/>
      </c>
      <c r="H2526" s="67" t="str">
        <f>IFERROR(IFERROR(INDEX(Кат!$I:$I,MATCH(Прайс!$B2526,Кат!$G:$G,0)),INDEX(Торг!$I:$I,MATCH(Прайс!$B2526,Торг!$H:$H,0))),"")</f>
        <v/>
      </c>
    </row>
    <row r="2527" spans="1:8" x14ac:dyDescent="0.25">
      <c r="A2527" s="103" t="s">
        <v>3904</v>
      </c>
      <c r="B2527" s="104">
        <v>12136</v>
      </c>
      <c r="C2527" s="104" t="s">
        <v>1343</v>
      </c>
      <c r="D2527" s="105" t="s">
        <v>582</v>
      </c>
      <c r="E2527" s="113">
        <v>800</v>
      </c>
      <c r="F2527" s="67" t="str">
        <f>IFERROR(IFERROR(INDEX(Кат!$A:$A,MATCH(Прайс!$B2527,Кат!$G:$G,0)),INDEX(Торг!$B:$B,MATCH(Прайс!$B2527,Торг!$H:$H,0))),"")</f>
        <v/>
      </c>
      <c r="G2527" s="67" t="str">
        <f>IFERROR(IFERROR(INDEX(Кат!$B:$B,MATCH(Прайс!$B2527,Кат!$G:$G,0)),INDEX(Торг!$C:$C,MATCH(Прайс!$B2527,Торг!$H:$H,0))),"")</f>
        <v/>
      </c>
      <c r="H2527" s="67" t="str">
        <f>IFERROR(IFERROR(INDEX(Кат!$I:$I,MATCH(Прайс!$B2527,Кат!$G:$G,0)),INDEX(Торг!$I:$I,MATCH(Прайс!$B2527,Торг!$H:$H,0))),"")</f>
        <v/>
      </c>
    </row>
    <row r="2528" spans="1:8" x14ac:dyDescent="0.25">
      <c r="A2528" s="103" t="s">
        <v>3905</v>
      </c>
      <c r="B2528" s="104">
        <v>12137</v>
      </c>
      <c r="C2528" s="104" t="s">
        <v>1344</v>
      </c>
      <c r="D2528" s="105" t="s">
        <v>582</v>
      </c>
      <c r="E2528" s="106">
        <v>1850</v>
      </c>
      <c r="F2528" s="67" t="str">
        <f>IFERROR(IFERROR(INDEX(Кат!$A:$A,MATCH(Прайс!$B2528,Кат!$G:$G,0)),INDEX(Торг!$B:$B,MATCH(Прайс!$B2528,Торг!$H:$H,0))),"")</f>
        <v/>
      </c>
      <c r="G2528" s="67" t="str">
        <f>IFERROR(IFERROR(INDEX(Кат!$B:$B,MATCH(Прайс!$B2528,Кат!$G:$G,0)),INDEX(Торг!$C:$C,MATCH(Прайс!$B2528,Торг!$H:$H,0))),"")</f>
        <v/>
      </c>
      <c r="H2528" s="67" t="str">
        <f>IFERROR(IFERROR(INDEX(Кат!$I:$I,MATCH(Прайс!$B2528,Кат!$G:$G,0)),INDEX(Торг!$I:$I,MATCH(Прайс!$B2528,Торг!$H:$H,0))),"")</f>
        <v/>
      </c>
    </row>
    <row r="2529" spans="1:8" x14ac:dyDescent="0.25">
      <c r="A2529" s="103" t="s">
        <v>7702</v>
      </c>
      <c r="B2529" s="104">
        <v>12133</v>
      </c>
      <c r="C2529" s="104" t="s">
        <v>7703</v>
      </c>
      <c r="D2529" s="105" t="s">
        <v>176</v>
      </c>
      <c r="E2529" s="106">
        <v>3300</v>
      </c>
      <c r="F2529" s="67" t="str">
        <f>IFERROR(IFERROR(INDEX(Кат!$A:$A,MATCH(Прайс!$B2529,Кат!$G:$G,0)),INDEX(Торг!$B:$B,MATCH(Прайс!$B2529,Торг!$H:$H,0))),"")</f>
        <v/>
      </c>
      <c r="G2529" s="67" t="str">
        <f>IFERROR(IFERROR(INDEX(Кат!$B:$B,MATCH(Прайс!$B2529,Кат!$G:$G,0)),INDEX(Торг!$C:$C,MATCH(Прайс!$B2529,Торг!$H:$H,0))),"")</f>
        <v/>
      </c>
      <c r="H2529" s="67" t="str">
        <f>IFERROR(IFERROR(INDEX(Кат!$I:$I,MATCH(Прайс!$B2529,Кат!$G:$G,0)),INDEX(Торг!$I:$I,MATCH(Прайс!$B2529,Торг!$H:$H,0))),"")</f>
        <v/>
      </c>
    </row>
    <row r="2530" spans="1:8" x14ac:dyDescent="0.25">
      <c r="A2530" s="103" t="s">
        <v>7704</v>
      </c>
      <c r="B2530" s="104">
        <v>12134</v>
      </c>
      <c r="C2530" s="104" t="s">
        <v>7705</v>
      </c>
      <c r="D2530" s="105" t="s">
        <v>582</v>
      </c>
      <c r="E2530" s="106">
        <v>3000</v>
      </c>
      <c r="F2530" s="67" t="str">
        <f>IFERROR(IFERROR(INDEX(Кат!$A:$A,MATCH(Прайс!$B2530,Кат!$G:$G,0)),INDEX(Торг!$B:$B,MATCH(Прайс!$B2530,Торг!$H:$H,0))),"")</f>
        <v/>
      </c>
      <c r="G2530" s="67" t="str">
        <f>IFERROR(IFERROR(INDEX(Кат!$B:$B,MATCH(Прайс!$B2530,Кат!$G:$G,0)),INDEX(Торг!$C:$C,MATCH(Прайс!$B2530,Торг!$H:$H,0))),"")</f>
        <v/>
      </c>
      <c r="H2530" s="67" t="str">
        <f>IFERROR(IFERROR(INDEX(Кат!$I:$I,MATCH(Прайс!$B2530,Кат!$G:$G,0)),INDEX(Торг!$I:$I,MATCH(Прайс!$B2530,Торг!$H:$H,0))),"")</f>
        <v/>
      </c>
    </row>
    <row r="2531" spans="1:8" x14ac:dyDescent="0.25">
      <c r="A2531" s="103" t="s">
        <v>3906</v>
      </c>
      <c r="B2531" s="104">
        <v>12138</v>
      </c>
      <c r="C2531" s="104" t="s">
        <v>1345</v>
      </c>
      <c r="D2531" s="105" t="s">
        <v>582</v>
      </c>
      <c r="E2531" s="106">
        <v>2300</v>
      </c>
      <c r="F2531" s="67" t="str">
        <f>IFERROR(IFERROR(INDEX(Кат!$A:$A,MATCH(Прайс!$B2531,Кат!$G:$G,0)),INDEX(Торг!$B:$B,MATCH(Прайс!$B2531,Торг!$H:$H,0))),"")</f>
        <v/>
      </c>
      <c r="G2531" s="67" t="str">
        <f>IFERROR(IFERROR(INDEX(Кат!$B:$B,MATCH(Прайс!$B2531,Кат!$G:$G,0)),INDEX(Торг!$C:$C,MATCH(Прайс!$B2531,Торг!$H:$H,0))),"")</f>
        <v/>
      </c>
      <c r="H2531" s="67" t="str">
        <f>IFERROR(IFERROR(INDEX(Кат!$I:$I,MATCH(Прайс!$B2531,Кат!$G:$G,0)),INDEX(Торг!$I:$I,MATCH(Прайс!$B2531,Торг!$H:$H,0))),"")</f>
        <v/>
      </c>
    </row>
    <row r="2532" spans="1:8" x14ac:dyDescent="0.25">
      <c r="A2532" s="103" t="s">
        <v>7706</v>
      </c>
      <c r="B2532" s="104">
        <v>12150</v>
      </c>
      <c r="C2532" s="104" t="s">
        <v>7707</v>
      </c>
      <c r="D2532" s="105" t="s">
        <v>190</v>
      </c>
      <c r="E2532" s="113">
        <v>210</v>
      </c>
      <c r="F2532" s="67" t="str">
        <f>IFERROR(IFERROR(INDEX(Кат!$A:$A,MATCH(Прайс!$B2532,Кат!$G:$G,0)),INDEX(Торг!$B:$B,MATCH(Прайс!$B2532,Торг!$H:$H,0))),"")</f>
        <v/>
      </c>
      <c r="G2532" s="67" t="str">
        <f>IFERROR(IFERROR(INDEX(Кат!$B:$B,MATCH(Прайс!$B2532,Кат!$G:$G,0)),INDEX(Торг!$C:$C,MATCH(Прайс!$B2532,Торг!$H:$H,0))),"")</f>
        <v/>
      </c>
      <c r="H2532" s="67" t="str">
        <f>IFERROR(IFERROR(INDEX(Кат!$I:$I,MATCH(Прайс!$B2532,Кат!$G:$G,0)),INDEX(Торг!$I:$I,MATCH(Прайс!$B2532,Торг!$H:$H,0))),"")</f>
        <v/>
      </c>
    </row>
    <row r="2533" spans="1:8" x14ac:dyDescent="0.25">
      <c r="A2533" s="94" t="s">
        <v>5456</v>
      </c>
      <c r="B2533" s="98">
        <v>12059</v>
      </c>
      <c r="C2533" s="98" t="s">
        <v>5457</v>
      </c>
      <c r="D2533" s="96" t="s">
        <v>1200</v>
      </c>
      <c r="E2533" s="97">
        <v>75</v>
      </c>
      <c r="F2533" s="67" t="str">
        <f>IFERROR(IFERROR(INDEX(Кат!$A:$A,MATCH(Прайс!$B2533,Кат!$G:$G,0)),INDEX(Торг!$B:$B,MATCH(Прайс!$B2533,Торг!$H:$H,0))),"")</f>
        <v/>
      </c>
      <c r="G2533" s="67" t="str">
        <f>IFERROR(IFERROR(INDEX(Кат!$B:$B,MATCH(Прайс!$B2533,Кат!$G:$G,0)),INDEX(Торг!$C:$C,MATCH(Прайс!$B2533,Торг!$H:$H,0))),"")</f>
        <v/>
      </c>
      <c r="H2533" s="67" t="str">
        <f>IFERROR(IFERROR(INDEX(Кат!$I:$I,MATCH(Прайс!$B2533,Кат!$G:$G,0)),INDEX(Торг!$I:$I,MATCH(Прайс!$B2533,Торг!$H:$H,0))),"")</f>
        <v/>
      </c>
    </row>
    <row r="2534" spans="1:8" x14ac:dyDescent="0.25">
      <c r="A2534" s="94" t="s">
        <v>3907</v>
      </c>
      <c r="B2534" s="98">
        <v>12064</v>
      </c>
      <c r="C2534" s="98" t="s">
        <v>7708</v>
      </c>
      <c r="D2534" s="96" t="s">
        <v>361</v>
      </c>
      <c r="E2534" s="97">
        <v>350</v>
      </c>
      <c r="F2534" s="67" t="str">
        <f>IFERROR(IFERROR(INDEX(Кат!$A:$A,MATCH(Прайс!$B2534,Кат!$G:$G,0)),INDEX(Торг!$B:$B,MATCH(Прайс!$B2534,Торг!$H:$H,0))),"")</f>
        <v/>
      </c>
      <c r="G2534" s="67" t="str">
        <f>IFERROR(IFERROR(INDEX(Кат!$B:$B,MATCH(Прайс!$B2534,Кат!$G:$G,0)),INDEX(Торг!$C:$C,MATCH(Прайс!$B2534,Торг!$H:$H,0))),"")</f>
        <v/>
      </c>
      <c r="H2534" s="67" t="str">
        <f>IFERROR(IFERROR(INDEX(Кат!$I:$I,MATCH(Прайс!$B2534,Кат!$G:$G,0)),INDEX(Торг!$I:$I,MATCH(Прайс!$B2534,Торг!$H:$H,0))),"")</f>
        <v/>
      </c>
    </row>
    <row r="2535" spans="1:8" x14ac:dyDescent="0.25">
      <c r="A2535" s="94" t="s">
        <v>6400</v>
      </c>
      <c r="B2535" s="98">
        <v>12066</v>
      </c>
      <c r="C2535" s="98" t="s">
        <v>6401</v>
      </c>
      <c r="D2535" s="96" t="s">
        <v>361</v>
      </c>
      <c r="E2535" s="97">
        <v>220</v>
      </c>
      <c r="F2535" s="67" t="str">
        <f>IFERROR(IFERROR(INDEX(Кат!$A:$A,MATCH(Прайс!$B2535,Кат!$G:$G,0)),INDEX(Торг!$B:$B,MATCH(Прайс!$B2535,Торг!$H:$H,0))),"")</f>
        <v/>
      </c>
      <c r="G2535" s="67" t="str">
        <f>IFERROR(IFERROR(INDEX(Кат!$B:$B,MATCH(Прайс!$B2535,Кат!$G:$G,0)),INDEX(Торг!$C:$C,MATCH(Прайс!$B2535,Торг!$H:$H,0))),"")</f>
        <v/>
      </c>
      <c r="H2535" s="67" t="str">
        <f>IFERROR(IFERROR(INDEX(Кат!$I:$I,MATCH(Прайс!$B2535,Кат!$G:$G,0)),INDEX(Торг!$I:$I,MATCH(Прайс!$B2535,Торг!$H:$H,0))),"")</f>
        <v/>
      </c>
    </row>
    <row r="2536" spans="1:8" x14ac:dyDescent="0.25">
      <c r="A2536" s="94" t="s">
        <v>3908</v>
      </c>
      <c r="B2536" s="98">
        <v>12067</v>
      </c>
      <c r="C2536" s="98" t="s">
        <v>1346</v>
      </c>
      <c r="D2536" s="96" t="s">
        <v>361</v>
      </c>
      <c r="E2536" s="97">
        <v>380</v>
      </c>
      <c r="F2536" s="67" t="str">
        <f>IFERROR(IFERROR(INDEX(Кат!$A:$A,MATCH(Прайс!$B2536,Кат!$G:$G,0)),INDEX(Торг!$B:$B,MATCH(Прайс!$B2536,Торг!$H:$H,0))),"")</f>
        <v/>
      </c>
      <c r="G2536" s="67" t="str">
        <f>IFERROR(IFERROR(INDEX(Кат!$B:$B,MATCH(Прайс!$B2536,Кат!$G:$G,0)),INDEX(Торг!$C:$C,MATCH(Прайс!$B2536,Торг!$H:$H,0))),"")</f>
        <v/>
      </c>
      <c r="H2536" s="67" t="str">
        <f>IFERROR(IFERROR(INDEX(Кат!$I:$I,MATCH(Прайс!$B2536,Кат!$G:$G,0)),INDEX(Торг!$I:$I,MATCH(Прайс!$B2536,Торг!$H:$H,0))),"")</f>
        <v/>
      </c>
    </row>
    <row r="2537" spans="1:8" x14ac:dyDescent="0.25">
      <c r="A2537" s="94" t="s">
        <v>3909</v>
      </c>
      <c r="B2537" s="98">
        <v>12071</v>
      </c>
      <c r="C2537" s="98" t="s">
        <v>7709</v>
      </c>
      <c r="D2537" s="96" t="s">
        <v>177</v>
      </c>
      <c r="E2537" s="97">
        <v>20</v>
      </c>
      <c r="F2537" s="67" t="str">
        <f>IFERROR(IFERROR(INDEX(Кат!$A:$A,MATCH(Прайс!$B2537,Кат!$G:$G,0)),INDEX(Торг!$B:$B,MATCH(Прайс!$B2537,Торг!$H:$H,0))),"")</f>
        <v/>
      </c>
      <c r="G2537" s="67" t="str">
        <f>IFERROR(IFERROR(INDEX(Кат!$B:$B,MATCH(Прайс!$B2537,Кат!$G:$G,0)),INDEX(Торг!$C:$C,MATCH(Прайс!$B2537,Торг!$H:$H,0))),"")</f>
        <v/>
      </c>
      <c r="H2537" s="67" t="str">
        <f>IFERROR(IFERROR(INDEX(Кат!$I:$I,MATCH(Прайс!$B2537,Кат!$G:$G,0)),INDEX(Торг!$I:$I,MATCH(Прайс!$B2537,Торг!$H:$H,0))),"")</f>
        <v/>
      </c>
    </row>
    <row r="2538" spans="1:8" x14ac:dyDescent="0.25">
      <c r="A2538" s="94" t="s">
        <v>3910</v>
      </c>
      <c r="B2538" s="98">
        <v>12072</v>
      </c>
      <c r="C2538" s="98" t="s">
        <v>7710</v>
      </c>
      <c r="D2538" s="96" t="s">
        <v>166</v>
      </c>
      <c r="E2538" s="97">
        <v>18</v>
      </c>
      <c r="F2538" s="67" t="str">
        <f>IFERROR(IFERROR(INDEX(Кат!$A:$A,MATCH(Прайс!$B2538,Кат!$G:$G,0)),INDEX(Торг!$B:$B,MATCH(Прайс!$B2538,Торг!$H:$H,0))),"")</f>
        <v/>
      </c>
      <c r="G2538" s="67" t="str">
        <f>IFERROR(IFERROR(INDEX(Кат!$B:$B,MATCH(Прайс!$B2538,Кат!$G:$G,0)),INDEX(Торг!$C:$C,MATCH(Прайс!$B2538,Торг!$H:$H,0))),"")</f>
        <v/>
      </c>
      <c r="H2538" s="67" t="str">
        <f>IFERROR(IFERROR(INDEX(Кат!$I:$I,MATCH(Прайс!$B2538,Кат!$G:$G,0)),INDEX(Торг!$I:$I,MATCH(Прайс!$B2538,Торг!$H:$H,0))),"")</f>
        <v/>
      </c>
    </row>
    <row r="2539" spans="1:8" x14ac:dyDescent="0.25">
      <c r="A2539" s="94" t="s">
        <v>3911</v>
      </c>
      <c r="B2539" s="98">
        <v>12073</v>
      </c>
      <c r="C2539" s="98" t="s">
        <v>5317</v>
      </c>
      <c r="D2539" s="96" t="s">
        <v>1347</v>
      </c>
      <c r="E2539" s="97">
        <v>18</v>
      </c>
      <c r="F2539" s="67" t="str">
        <f>IFERROR(IFERROR(INDEX(Кат!$A:$A,MATCH(Прайс!$B2539,Кат!$G:$G,0)),INDEX(Торг!$B:$B,MATCH(Прайс!$B2539,Торг!$H:$H,0))),"")</f>
        <v/>
      </c>
      <c r="G2539" s="67" t="str">
        <f>IFERROR(IFERROR(INDEX(Кат!$B:$B,MATCH(Прайс!$B2539,Кат!$G:$G,0)),INDEX(Торг!$C:$C,MATCH(Прайс!$B2539,Торг!$H:$H,0))),"")</f>
        <v/>
      </c>
      <c r="H2539" s="67" t="str">
        <f>IFERROR(IFERROR(INDEX(Кат!$I:$I,MATCH(Прайс!$B2539,Кат!$G:$G,0)),INDEX(Торг!$I:$I,MATCH(Прайс!$B2539,Торг!$H:$H,0))),"")</f>
        <v/>
      </c>
    </row>
    <row r="2540" spans="1:8" x14ac:dyDescent="0.25">
      <c r="A2540" s="94" t="s">
        <v>3912</v>
      </c>
      <c r="B2540" s="98">
        <v>12074</v>
      </c>
      <c r="C2540" s="98" t="s">
        <v>1348</v>
      </c>
      <c r="D2540" s="96" t="s">
        <v>361</v>
      </c>
      <c r="E2540" s="97">
        <v>18</v>
      </c>
      <c r="F2540" s="67" t="str">
        <f>IFERROR(IFERROR(INDEX(Кат!$A:$A,MATCH(Прайс!$B2540,Кат!$G:$G,0)),INDEX(Торг!$B:$B,MATCH(Прайс!$B2540,Торг!$H:$H,0))),"")</f>
        <v/>
      </c>
      <c r="G2540" s="67" t="str">
        <f>IFERROR(IFERROR(INDEX(Кат!$B:$B,MATCH(Прайс!$B2540,Кат!$G:$G,0)),INDEX(Торг!$C:$C,MATCH(Прайс!$B2540,Торг!$H:$H,0))),"")</f>
        <v/>
      </c>
      <c r="H2540" s="67" t="str">
        <f>IFERROR(IFERROR(INDEX(Кат!$I:$I,MATCH(Прайс!$B2540,Кат!$G:$G,0)),INDEX(Торг!$I:$I,MATCH(Прайс!$B2540,Торг!$H:$H,0))),"")</f>
        <v/>
      </c>
    </row>
    <row r="2541" spans="1:8" x14ac:dyDescent="0.25">
      <c r="A2541" s="94" t="s">
        <v>3913</v>
      </c>
      <c r="B2541" s="98">
        <v>12075</v>
      </c>
      <c r="C2541" s="98" t="s">
        <v>1349</v>
      </c>
      <c r="D2541" s="96" t="s">
        <v>160</v>
      </c>
      <c r="E2541" s="97">
        <v>75</v>
      </c>
      <c r="F2541" s="67" t="str">
        <f>IFERROR(IFERROR(INDEX(Кат!$A:$A,MATCH(Прайс!$B2541,Кат!$G:$G,0)),INDEX(Торг!$B:$B,MATCH(Прайс!$B2541,Торг!$H:$H,0))),"")</f>
        <v/>
      </c>
      <c r="G2541" s="67" t="str">
        <f>IFERROR(IFERROR(INDEX(Кат!$B:$B,MATCH(Прайс!$B2541,Кат!$G:$G,0)),INDEX(Торг!$C:$C,MATCH(Прайс!$B2541,Торг!$H:$H,0))),"")</f>
        <v/>
      </c>
      <c r="H2541" s="67" t="str">
        <f>IFERROR(IFERROR(INDEX(Кат!$I:$I,MATCH(Прайс!$B2541,Кат!$G:$G,0)),INDEX(Торг!$I:$I,MATCH(Прайс!$B2541,Торг!$H:$H,0))),"")</f>
        <v/>
      </c>
    </row>
    <row r="2542" spans="1:8" x14ac:dyDescent="0.25">
      <c r="A2542" s="99" t="s">
        <v>6402</v>
      </c>
      <c r="B2542" s="108">
        <v>12109</v>
      </c>
      <c r="C2542" s="108" t="s">
        <v>6403</v>
      </c>
      <c r="D2542" s="101" t="s">
        <v>160</v>
      </c>
      <c r="E2542" s="102">
        <v>40</v>
      </c>
      <c r="F2542" s="67" t="str">
        <f>IFERROR(IFERROR(INDEX(Кат!$A:$A,MATCH(Прайс!$B2542,Кат!$G:$G,0)),INDEX(Торг!$B:$B,MATCH(Прайс!$B2542,Торг!$H:$H,0))),"")</f>
        <v/>
      </c>
      <c r="G2542" s="67" t="str">
        <f>IFERROR(IFERROR(INDEX(Кат!$B:$B,MATCH(Прайс!$B2542,Кат!$G:$G,0)),INDEX(Торг!$C:$C,MATCH(Прайс!$B2542,Торг!$H:$H,0))),"")</f>
        <v/>
      </c>
      <c r="H2542" s="67" t="str">
        <f>IFERROR(IFERROR(INDEX(Кат!$I:$I,MATCH(Прайс!$B2542,Кат!$G:$G,0)),INDEX(Торг!$I:$I,MATCH(Прайс!$B2542,Торг!$H:$H,0))),"")</f>
        <v/>
      </c>
    </row>
    <row r="2543" spans="1:8" x14ac:dyDescent="0.25">
      <c r="A2543" s="94" t="s">
        <v>5949</v>
      </c>
      <c r="B2543" s="98">
        <v>12146</v>
      </c>
      <c r="C2543" s="98" t="s">
        <v>5950</v>
      </c>
      <c r="D2543" s="96" t="s">
        <v>160</v>
      </c>
      <c r="E2543" s="97">
        <v>40</v>
      </c>
      <c r="F2543" s="67" t="str">
        <f>IFERROR(IFERROR(INDEX(Кат!$A:$A,MATCH(Прайс!$B2543,Кат!$G:$G,0)),INDEX(Торг!$B:$B,MATCH(Прайс!$B2543,Торг!$H:$H,0))),"")</f>
        <v/>
      </c>
      <c r="G2543" s="67" t="str">
        <f>IFERROR(IFERROR(INDEX(Кат!$B:$B,MATCH(Прайс!$B2543,Кат!$G:$G,0)),INDEX(Торг!$C:$C,MATCH(Прайс!$B2543,Торг!$H:$H,0))),"")</f>
        <v/>
      </c>
      <c r="H2543" s="67" t="str">
        <f>IFERROR(IFERROR(INDEX(Кат!$I:$I,MATCH(Прайс!$B2543,Кат!$G:$G,0)),INDEX(Торг!$I:$I,MATCH(Прайс!$B2543,Торг!$H:$H,0))),"")</f>
        <v/>
      </c>
    </row>
    <row r="2544" spans="1:8" x14ac:dyDescent="0.25">
      <c r="A2544" s="94" t="s">
        <v>3914</v>
      </c>
      <c r="B2544" s="98">
        <v>12076</v>
      </c>
      <c r="C2544" s="98" t="s">
        <v>6998</v>
      </c>
      <c r="D2544" s="96" t="s">
        <v>160</v>
      </c>
      <c r="E2544" s="97">
        <v>55</v>
      </c>
      <c r="F2544" s="67" t="str">
        <f>IFERROR(IFERROR(INDEX(Кат!$A:$A,MATCH(Прайс!$B2544,Кат!$G:$G,0)),INDEX(Торг!$B:$B,MATCH(Прайс!$B2544,Торг!$H:$H,0))),"")</f>
        <v/>
      </c>
      <c r="G2544" s="67" t="str">
        <f>IFERROR(IFERROR(INDEX(Кат!$B:$B,MATCH(Прайс!$B2544,Кат!$G:$G,0)),INDEX(Торг!$C:$C,MATCH(Прайс!$B2544,Торг!$H:$H,0))),"")</f>
        <v/>
      </c>
      <c r="H2544" s="67" t="str">
        <f>IFERROR(IFERROR(INDEX(Кат!$I:$I,MATCH(Прайс!$B2544,Кат!$G:$G,0)),INDEX(Торг!$I:$I,MATCH(Прайс!$B2544,Торг!$H:$H,0))),"")</f>
        <v/>
      </c>
    </row>
    <row r="2545" spans="1:8" x14ac:dyDescent="0.25">
      <c r="A2545" s="94" t="s">
        <v>3915</v>
      </c>
      <c r="B2545" s="98">
        <v>12077</v>
      </c>
      <c r="C2545" s="98" t="s">
        <v>1350</v>
      </c>
      <c r="D2545" s="96" t="s">
        <v>160</v>
      </c>
      <c r="E2545" s="97">
        <v>80</v>
      </c>
      <c r="F2545" s="67" t="str">
        <f>IFERROR(IFERROR(INDEX(Кат!$A:$A,MATCH(Прайс!$B2545,Кат!$G:$G,0)),INDEX(Торг!$B:$B,MATCH(Прайс!$B2545,Торг!$H:$H,0))),"")</f>
        <v/>
      </c>
      <c r="G2545" s="67" t="str">
        <f>IFERROR(IFERROR(INDEX(Кат!$B:$B,MATCH(Прайс!$B2545,Кат!$G:$G,0)),INDEX(Торг!$C:$C,MATCH(Прайс!$B2545,Торг!$H:$H,0))),"")</f>
        <v/>
      </c>
      <c r="H2545" s="67" t="str">
        <f>IFERROR(IFERROR(INDEX(Кат!$I:$I,MATCH(Прайс!$B2545,Кат!$G:$G,0)),INDEX(Торг!$I:$I,MATCH(Прайс!$B2545,Торг!$H:$H,0))),"")</f>
        <v/>
      </c>
    </row>
    <row r="2546" spans="1:8" x14ac:dyDescent="0.25">
      <c r="A2546" s="94" t="s">
        <v>3916</v>
      </c>
      <c r="B2546" s="98">
        <v>12069</v>
      </c>
      <c r="C2546" s="98" t="s">
        <v>1351</v>
      </c>
      <c r="D2546" s="96" t="s">
        <v>216</v>
      </c>
      <c r="E2546" s="97">
        <v>26</v>
      </c>
      <c r="F2546" s="67" t="str">
        <f>IFERROR(IFERROR(INDEX(Кат!$A:$A,MATCH(Прайс!$B2546,Кат!$G:$G,0)),INDEX(Торг!$B:$B,MATCH(Прайс!$B2546,Торг!$H:$H,0))),"")</f>
        <v/>
      </c>
      <c r="G2546" s="67" t="str">
        <f>IFERROR(IFERROR(INDEX(Кат!$B:$B,MATCH(Прайс!$B2546,Кат!$G:$G,0)),INDEX(Торг!$C:$C,MATCH(Прайс!$B2546,Торг!$H:$H,0))),"")</f>
        <v/>
      </c>
      <c r="H2546" s="67" t="str">
        <f>IFERROR(IFERROR(INDEX(Кат!$I:$I,MATCH(Прайс!$B2546,Кат!$G:$G,0)),INDEX(Торг!$I:$I,MATCH(Прайс!$B2546,Торг!$H:$H,0))),"")</f>
        <v/>
      </c>
    </row>
    <row r="2547" spans="1:8" x14ac:dyDescent="0.25">
      <c r="A2547" s="94" t="s">
        <v>3917</v>
      </c>
      <c r="B2547" s="98">
        <v>12070</v>
      </c>
      <c r="C2547" s="98" t="s">
        <v>1352</v>
      </c>
      <c r="D2547" s="96" t="s">
        <v>162</v>
      </c>
      <c r="E2547" s="97">
        <v>100</v>
      </c>
      <c r="F2547" s="67" t="str">
        <f>IFERROR(IFERROR(INDEX(Кат!$A:$A,MATCH(Прайс!$B2547,Кат!$G:$G,0)),INDEX(Торг!$B:$B,MATCH(Прайс!$B2547,Торг!$H:$H,0))),"")</f>
        <v/>
      </c>
      <c r="G2547" s="67" t="str">
        <f>IFERROR(IFERROR(INDEX(Кат!$B:$B,MATCH(Прайс!$B2547,Кат!$G:$G,0)),INDEX(Торг!$C:$C,MATCH(Прайс!$B2547,Торг!$H:$H,0))),"")</f>
        <v/>
      </c>
      <c r="H2547" s="67" t="str">
        <f>IFERROR(IFERROR(INDEX(Кат!$I:$I,MATCH(Прайс!$B2547,Кат!$G:$G,0)),INDEX(Торг!$I:$I,MATCH(Прайс!$B2547,Торг!$H:$H,0))),"")</f>
        <v/>
      </c>
    </row>
    <row r="2548" spans="1:8" x14ac:dyDescent="0.25">
      <c r="A2548" s="94" t="s">
        <v>3918</v>
      </c>
      <c r="B2548" s="98">
        <v>12142</v>
      </c>
      <c r="C2548" s="98" t="s">
        <v>1353</v>
      </c>
      <c r="D2548" s="96" t="s">
        <v>190</v>
      </c>
      <c r="E2548" s="97">
        <v>115</v>
      </c>
      <c r="F2548" s="67" t="str">
        <f>IFERROR(IFERROR(INDEX(Кат!$A:$A,MATCH(Прайс!$B2548,Кат!$G:$G,0)),INDEX(Торг!$B:$B,MATCH(Прайс!$B2548,Торг!$H:$H,0))),"")</f>
        <v/>
      </c>
      <c r="G2548" s="67" t="str">
        <f>IFERROR(IFERROR(INDEX(Кат!$B:$B,MATCH(Прайс!$B2548,Кат!$G:$G,0)),INDEX(Торг!$C:$C,MATCH(Прайс!$B2548,Торг!$H:$H,0))),"")</f>
        <v/>
      </c>
      <c r="H2548" s="67" t="str">
        <f>IFERROR(IFERROR(INDEX(Кат!$I:$I,MATCH(Прайс!$B2548,Кат!$G:$G,0)),INDEX(Торг!$I:$I,MATCH(Прайс!$B2548,Торг!$H:$H,0))),"")</f>
        <v/>
      </c>
    </row>
    <row r="2549" spans="1:8" x14ac:dyDescent="0.25">
      <c r="A2549" s="94" t="s">
        <v>3919</v>
      </c>
      <c r="B2549" s="98">
        <v>12080</v>
      </c>
      <c r="C2549" s="98" t="s">
        <v>1354</v>
      </c>
      <c r="D2549" s="96" t="s">
        <v>177</v>
      </c>
      <c r="E2549" s="97">
        <v>45</v>
      </c>
      <c r="F2549" s="67" t="str">
        <f>IFERROR(IFERROR(INDEX(Кат!$A:$A,MATCH(Прайс!$B2549,Кат!$G:$G,0)),INDEX(Торг!$B:$B,MATCH(Прайс!$B2549,Торг!$H:$H,0))),"")</f>
        <v/>
      </c>
      <c r="G2549" s="67" t="str">
        <f>IFERROR(IFERROR(INDEX(Кат!$B:$B,MATCH(Прайс!$B2549,Кат!$G:$G,0)),INDEX(Торг!$C:$C,MATCH(Прайс!$B2549,Торг!$H:$H,0))),"")</f>
        <v/>
      </c>
      <c r="H2549" s="67" t="str">
        <f>IFERROR(IFERROR(INDEX(Кат!$I:$I,MATCH(Прайс!$B2549,Кат!$G:$G,0)),INDEX(Торг!$I:$I,MATCH(Прайс!$B2549,Торг!$H:$H,0))),"")</f>
        <v/>
      </c>
    </row>
    <row r="2550" spans="1:8" x14ac:dyDescent="0.25">
      <c r="A2550" s="94" t="s">
        <v>3920</v>
      </c>
      <c r="B2550" s="98">
        <v>12081</v>
      </c>
      <c r="C2550" s="98" t="s">
        <v>5318</v>
      </c>
      <c r="D2550" s="96" t="s">
        <v>480</v>
      </c>
      <c r="E2550" s="97">
        <v>38</v>
      </c>
      <c r="F2550" s="67" t="str">
        <f>IFERROR(IFERROR(INDEX(Кат!$A:$A,MATCH(Прайс!$B2550,Кат!$G:$G,0)),INDEX(Торг!$B:$B,MATCH(Прайс!$B2550,Торг!$H:$H,0))),"")</f>
        <v/>
      </c>
      <c r="G2550" s="67" t="str">
        <f>IFERROR(IFERROR(INDEX(Кат!$B:$B,MATCH(Прайс!$B2550,Кат!$G:$G,0)),INDEX(Торг!$C:$C,MATCH(Прайс!$B2550,Торг!$H:$H,0))),"")</f>
        <v/>
      </c>
      <c r="H2550" s="67" t="str">
        <f>IFERROR(IFERROR(INDEX(Кат!$I:$I,MATCH(Прайс!$B2550,Кат!$G:$G,0)),INDEX(Торг!$I:$I,MATCH(Прайс!$B2550,Торг!$H:$H,0))),"")</f>
        <v/>
      </c>
    </row>
    <row r="2551" spans="1:8" x14ac:dyDescent="0.25">
      <c r="A2551" s="94" t="s">
        <v>3921</v>
      </c>
      <c r="B2551" s="98">
        <v>12119</v>
      </c>
      <c r="C2551" s="98" t="s">
        <v>7711</v>
      </c>
      <c r="D2551" s="96" t="s">
        <v>160</v>
      </c>
      <c r="E2551" s="97">
        <v>75</v>
      </c>
      <c r="F2551" s="67" t="str">
        <f>IFERROR(IFERROR(INDEX(Кат!$A:$A,MATCH(Прайс!$B2551,Кат!$G:$G,0)),INDEX(Торг!$B:$B,MATCH(Прайс!$B2551,Торг!$H:$H,0))),"")</f>
        <v/>
      </c>
      <c r="G2551" s="67" t="str">
        <f>IFERROR(IFERROR(INDEX(Кат!$B:$B,MATCH(Прайс!$B2551,Кат!$G:$G,0)),INDEX(Торг!$C:$C,MATCH(Прайс!$B2551,Торг!$H:$H,0))),"")</f>
        <v/>
      </c>
      <c r="H2551" s="67" t="str">
        <f>IFERROR(IFERROR(INDEX(Кат!$I:$I,MATCH(Прайс!$B2551,Кат!$G:$G,0)),INDEX(Торг!$I:$I,MATCH(Прайс!$B2551,Торг!$H:$H,0))),"")</f>
        <v/>
      </c>
    </row>
    <row r="2552" spans="1:8" x14ac:dyDescent="0.25">
      <c r="A2552" s="94" t="s">
        <v>3922</v>
      </c>
      <c r="B2552" s="98">
        <v>12118</v>
      </c>
      <c r="C2552" s="98" t="s">
        <v>1355</v>
      </c>
      <c r="D2552" s="96" t="s">
        <v>160</v>
      </c>
      <c r="E2552" s="97">
        <v>100</v>
      </c>
      <c r="F2552" s="67" t="str">
        <f>IFERROR(IFERROR(INDEX(Кат!$A:$A,MATCH(Прайс!$B2552,Кат!$G:$G,0)),INDEX(Торг!$B:$B,MATCH(Прайс!$B2552,Торг!$H:$H,0))),"")</f>
        <v/>
      </c>
      <c r="G2552" s="67" t="str">
        <f>IFERROR(IFERROR(INDEX(Кат!$B:$B,MATCH(Прайс!$B2552,Кат!$G:$G,0)),INDEX(Торг!$C:$C,MATCH(Прайс!$B2552,Торг!$H:$H,0))),"")</f>
        <v/>
      </c>
      <c r="H2552" s="67" t="str">
        <f>IFERROR(IFERROR(INDEX(Кат!$I:$I,MATCH(Прайс!$B2552,Кат!$G:$G,0)),INDEX(Торг!$I:$I,MATCH(Прайс!$B2552,Торг!$H:$H,0))),"")</f>
        <v/>
      </c>
    </row>
    <row r="2553" spans="1:8" x14ac:dyDescent="0.25">
      <c r="A2553" s="99" t="s">
        <v>3923</v>
      </c>
      <c r="B2553" s="108">
        <v>12120</v>
      </c>
      <c r="C2553" s="108" t="s">
        <v>1356</v>
      </c>
      <c r="D2553" s="101" t="s">
        <v>160</v>
      </c>
      <c r="E2553" s="102">
        <v>120</v>
      </c>
      <c r="F2553" s="67" t="str">
        <f>IFERROR(IFERROR(INDEX(Кат!$A:$A,MATCH(Прайс!$B2553,Кат!$G:$G,0)),INDEX(Торг!$B:$B,MATCH(Прайс!$B2553,Торг!$H:$H,0))),"")</f>
        <v/>
      </c>
      <c r="G2553" s="67" t="str">
        <f>IFERROR(IFERROR(INDEX(Кат!$B:$B,MATCH(Прайс!$B2553,Кат!$G:$G,0)),INDEX(Торг!$C:$C,MATCH(Прайс!$B2553,Торг!$H:$H,0))),"")</f>
        <v/>
      </c>
      <c r="H2553" s="67" t="str">
        <f>IFERROR(IFERROR(INDEX(Кат!$I:$I,MATCH(Прайс!$B2553,Кат!$G:$G,0)),INDEX(Торг!$I:$I,MATCH(Прайс!$B2553,Торг!$H:$H,0))),"")</f>
        <v/>
      </c>
    </row>
    <row r="2554" spans="1:8" x14ac:dyDescent="0.25">
      <c r="A2554" s="94" t="s">
        <v>3924</v>
      </c>
      <c r="B2554" s="98">
        <v>12084</v>
      </c>
      <c r="C2554" s="98" t="s">
        <v>7712</v>
      </c>
      <c r="D2554" s="96" t="s">
        <v>480</v>
      </c>
      <c r="E2554" s="97">
        <v>400</v>
      </c>
      <c r="F2554" s="67" t="str">
        <f>IFERROR(IFERROR(INDEX(Кат!$A:$A,MATCH(Прайс!$B2554,Кат!$G:$G,0)),INDEX(Торг!$B:$B,MATCH(Прайс!$B2554,Торг!$H:$H,0))),"")</f>
        <v/>
      </c>
      <c r="G2554" s="67" t="str">
        <f>IFERROR(IFERROR(INDEX(Кат!$B:$B,MATCH(Прайс!$B2554,Кат!$G:$G,0)),INDEX(Торг!$C:$C,MATCH(Прайс!$B2554,Торг!$H:$H,0))),"")</f>
        <v/>
      </c>
      <c r="H2554" s="67" t="str">
        <f>IFERROR(IFERROR(INDEX(Кат!$I:$I,MATCH(Прайс!$B2554,Кат!$G:$G,0)),INDEX(Торг!$I:$I,MATCH(Прайс!$B2554,Торг!$H:$H,0))),"")</f>
        <v/>
      </c>
    </row>
    <row r="2555" spans="1:8" x14ac:dyDescent="0.25">
      <c r="A2555" s="94" t="s">
        <v>3925</v>
      </c>
      <c r="B2555" s="98">
        <v>12078</v>
      </c>
      <c r="C2555" s="98" t="s">
        <v>5319</v>
      </c>
      <c r="D2555" s="96" t="s">
        <v>160</v>
      </c>
      <c r="E2555" s="97">
        <v>60</v>
      </c>
      <c r="F2555" s="67" t="str">
        <f>IFERROR(IFERROR(INDEX(Кат!$A:$A,MATCH(Прайс!$B2555,Кат!$G:$G,0)),INDEX(Торг!$B:$B,MATCH(Прайс!$B2555,Торг!$H:$H,0))),"")</f>
        <v/>
      </c>
      <c r="G2555" s="67" t="str">
        <f>IFERROR(IFERROR(INDEX(Кат!$B:$B,MATCH(Прайс!$B2555,Кат!$G:$G,0)),INDEX(Торг!$C:$C,MATCH(Прайс!$B2555,Торг!$H:$H,0))),"")</f>
        <v/>
      </c>
      <c r="H2555" s="67" t="str">
        <f>IFERROR(IFERROR(INDEX(Кат!$I:$I,MATCH(Прайс!$B2555,Кат!$G:$G,0)),INDEX(Торг!$I:$I,MATCH(Прайс!$B2555,Торг!$H:$H,0))),"")</f>
        <v/>
      </c>
    </row>
    <row r="2556" spans="1:8" x14ac:dyDescent="0.25">
      <c r="A2556" s="94" t="s">
        <v>3926</v>
      </c>
      <c r="B2556" s="98">
        <v>12127</v>
      </c>
      <c r="C2556" s="98" t="s">
        <v>1357</v>
      </c>
      <c r="D2556" s="96" t="s">
        <v>159</v>
      </c>
      <c r="E2556" s="97">
        <v>310</v>
      </c>
      <c r="F2556" s="67" t="str">
        <f>IFERROR(IFERROR(INDEX(Кат!$A:$A,MATCH(Прайс!$B2556,Кат!$G:$G,0)),INDEX(Торг!$B:$B,MATCH(Прайс!$B2556,Торг!$H:$H,0))),"")</f>
        <v/>
      </c>
      <c r="G2556" s="67" t="str">
        <f>IFERROR(IFERROR(INDEX(Кат!$B:$B,MATCH(Прайс!$B2556,Кат!$G:$G,0)),INDEX(Торг!$C:$C,MATCH(Прайс!$B2556,Торг!$H:$H,0))),"")</f>
        <v/>
      </c>
      <c r="H2556" s="67" t="str">
        <f>IFERROR(IFERROR(INDEX(Кат!$I:$I,MATCH(Прайс!$B2556,Кат!$G:$G,0)),INDEX(Торг!$I:$I,MATCH(Прайс!$B2556,Торг!$H:$H,0))),"")</f>
        <v/>
      </c>
    </row>
    <row r="2557" spans="1:8" ht="15.75" x14ac:dyDescent="0.25">
      <c r="A2557" s="90"/>
      <c r="B2557" s="91"/>
      <c r="C2557" s="92" t="s">
        <v>1358</v>
      </c>
      <c r="D2557" s="91"/>
      <c r="E2557" s="93"/>
      <c r="F2557" s="67" t="str">
        <f>IFERROR(IFERROR(INDEX(Кат!$A:$A,MATCH(Прайс!$B2557,Кат!$G:$G,0)),INDEX(Торг!$B:$B,MATCH(Прайс!$B2557,Торг!$H:$H,0))),"")</f>
        <v/>
      </c>
      <c r="G2557" s="67" t="str">
        <f>IFERROR(IFERROR(INDEX(Кат!$B:$B,MATCH(Прайс!$B2557,Кат!$G:$G,0)),INDEX(Торг!$C:$C,MATCH(Прайс!$B2557,Торг!$H:$H,0))),"")</f>
        <v/>
      </c>
      <c r="H2557" s="67" t="str">
        <f>IFERROR(IFERROR(INDEX(Кат!$I:$I,MATCH(Прайс!$B2557,Кат!$G:$G,0)),INDEX(Торг!$I:$I,MATCH(Прайс!$B2557,Торг!$H:$H,0))),"")</f>
        <v/>
      </c>
    </row>
    <row r="2558" spans="1:8" x14ac:dyDescent="0.25">
      <c r="A2558" s="94" t="s">
        <v>3927</v>
      </c>
      <c r="B2558" s="98">
        <v>12085</v>
      </c>
      <c r="C2558" s="98" t="s">
        <v>1359</v>
      </c>
      <c r="D2558" s="96" t="s">
        <v>1360</v>
      </c>
      <c r="E2558" s="97">
        <v>100</v>
      </c>
      <c r="F2558" s="67" t="str">
        <f>IFERROR(IFERROR(INDEX(Кат!$A:$A,MATCH(Прайс!$B2558,Кат!$G:$G,0)),INDEX(Торг!$B:$B,MATCH(Прайс!$B2558,Торг!$H:$H,0))),"")</f>
        <v/>
      </c>
      <c r="G2558" s="67" t="str">
        <f>IFERROR(IFERROR(INDEX(Кат!$B:$B,MATCH(Прайс!$B2558,Кат!$G:$G,0)),INDEX(Торг!$C:$C,MATCH(Прайс!$B2558,Торг!$H:$H,0))),"")</f>
        <v/>
      </c>
      <c r="H2558" s="67" t="str">
        <f>IFERROR(IFERROR(INDEX(Кат!$I:$I,MATCH(Прайс!$B2558,Кат!$G:$G,0)),INDEX(Торг!$I:$I,MATCH(Прайс!$B2558,Торг!$H:$H,0))),"")</f>
        <v/>
      </c>
    </row>
    <row r="2559" spans="1:8" x14ac:dyDescent="0.25">
      <c r="A2559" s="94" t="s">
        <v>6404</v>
      </c>
      <c r="B2559" s="98">
        <v>12088</v>
      </c>
      <c r="C2559" s="98" t="s">
        <v>6405</v>
      </c>
      <c r="D2559" s="96" t="s">
        <v>361</v>
      </c>
      <c r="E2559" s="97">
        <v>115</v>
      </c>
      <c r="F2559" s="67" t="str">
        <f>IFERROR(IFERROR(INDEX(Кат!$A:$A,MATCH(Прайс!$B2559,Кат!$G:$G,0)),INDEX(Торг!$B:$B,MATCH(Прайс!$B2559,Торг!$H:$H,0))),"")</f>
        <v/>
      </c>
      <c r="G2559" s="67" t="str">
        <f>IFERROR(IFERROR(INDEX(Кат!$B:$B,MATCH(Прайс!$B2559,Кат!$G:$G,0)),INDEX(Торг!$C:$C,MATCH(Прайс!$B2559,Торг!$H:$H,0))),"")</f>
        <v/>
      </c>
      <c r="H2559" s="67" t="str">
        <f>IFERROR(IFERROR(INDEX(Кат!$I:$I,MATCH(Прайс!$B2559,Кат!$G:$G,0)),INDEX(Торг!$I:$I,MATCH(Прайс!$B2559,Торг!$H:$H,0))),"")</f>
        <v/>
      </c>
    </row>
    <row r="2560" spans="1:8" x14ac:dyDescent="0.25">
      <c r="A2560" s="94" t="s">
        <v>3928</v>
      </c>
      <c r="B2560" s="98">
        <v>12086</v>
      </c>
      <c r="C2560" s="98" t="s">
        <v>1361</v>
      </c>
      <c r="D2560" s="96" t="s">
        <v>1360</v>
      </c>
      <c r="E2560" s="97">
        <v>85</v>
      </c>
      <c r="F2560" s="67" t="str">
        <f>IFERROR(IFERROR(INDEX(Кат!$A:$A,MATCH(Прайс!$B2560,Кат!$G:$G,0)),INDEX(Торг!$B:$B,MATCH(Прайс!$B2560,Торг!$H:$H,0))),"")</f>
        <v/>
      </c>
      <c r="G2560" s="67" t="str">
        <f>IFERROR(IFERROR(INDEX(Кат!$B:$B,MATCH(Прайс!$B2560,Кат!$G:$G,0)),INDEX(Торг!$C:$C,MATCH(Прайс!$B2560,Торг!$H:$H,0))),"")</f>
        <v/>
      </c>
      <c r="H2560" s="67" t="str">
        <f>IFERROR(IFERROR(INDEX(Кат!$I:$I,MATCH(Прайс!$B2560,Кат!$G:$G,0)),INDEX(Торг!$I:$I,MATCH(Прайс!$B2560,Торг!$H:$H,0))),"")</f>
        <v/>
      </c>
    </row>
    <row r="2561" spans="1:8" x14ac:dyDescent="0.25">
      <c r="A2561" s="94" t="s">
        <v>3929</v>
      </c>
      <c r="B2561" s="98">
        <v>12087</v>
      </c>
      <c r="C2561" s="98" t="s">
        <v>1362</v>
      </c>
      <c r="D2561" s="96" t="s">
        <v>1360</v>
      </c>
      <c r="E2561" s="97">
        <v>95</v>
      </c>
      <c r="F2561" s="67" t="str">
        <f>IFERROR(IFERROR(INDEX(Кат!$A:$A,MATCH(Прайс!$B2561,Кат!$G:$G,0)),INDEX(Торг!$B:$B,MATCH(Прайс!$B2561,Торг!$H:$H,0))),"")</f>
        <v/>
      </c>
      <c r="G2561" s="67" t="str">
        <f>IFERROR(IFERROR(INDEX(Кат!$B:$B,MATCH(Прайс!$B2561,Кат!$G:$G,0)),INDEX(Торг!$C:$C,MATCH(Прайс!$B2561,Торг!$H:$H,0))),"")</f>
        <v/>
      </c>
      <c r="H2561" s="67" t="str">
        <f>IFERROR(IFERROR(INDEX(Кат!$I:$I,MATCH(Прайс!$B2561,Кат!$G:$G,0)),INDEX(Торг!$I:$I,MATCH(Прайс!$B2561,Торг!$H:$H,0))),"")</f>
        <v/>
      </c>
    </row>
    <row r="2562" spans="1:8" ht="15.75" x14ac:dyDescent="0.25">
      <c r="A2562" s="90"/>
      <c r="B2562" s="91"/>
      <c r="C2562" s="92" t="s">
        <v>1363</v>
      </c>
      <c r="D2562" s="91"/>
      <c r="E2562" s="93"/>
      <c r="F2562" s="67" t="str">
        <f>IFERROR(IFERROR(INDEX(Кат!$A:$A,MATCH(Прайс!$B2562,Кат!$G:$G,0)),INDEX(Торг!$B:$B,MATCH(Прайс!$B2562,Торг!$H:$H,0))),"")</f>
        <v/>
      </c>
      <c r="G2562" s="67" t="str">
        <f>IFERROR(IFERROR(INDEX(Кат!$B:$B,MATCH(Прайс!$B2562,Кат!$G:$G,0)),INDEX(Торг!$C:$C,MATCH(Прайс!$B2562,Торг!$H:$H,0))),"")</f>
        <v/>
      </c>
      <c r="H2562" s="67" t="str">
        <f>IFERROR(IFERROR(INDEX(Кат!$I:$I,MATCH(Прайс!$B2562,Кат!$G:$G,0)),INDEX(Торг!$I:$I,MATCH(Прайс!$B2562,Торг!$H:$H,0))),"")</f>
        <v/>
      </c>
    </row>
    <row r="2563" spans="1:8" x14ac:dyDescent="0.25">
      <c r="A2563" s="94" t="s">
        <v>3930</v>
      </c>
      <c r="B2563" s="98">
        <v>12093</v>
      </c>
      <c r="C2563" s="98" t="s">
        <v>1363</v>
      </c>
      <c r="D2563" s="96" t="s">
        <v>1288</v>
      </c>
      <c r="E2563" s="97">
        <v>35</v>
      </c>
      <c r="F2563" s="67" t="str">
        <f>IFERROR(IFERROR(INDEX(Кат!$A:$A,MATCH(Прайс!$B2563,Кат!$G:$G,0)),INDEX(Торг!$B:$B,MATCH(Прайс!$B2563,Торг!$H:$H,0))),"")</f>
        <v/>
      </c>
      <c r="G2563" s="67" t="str">
        <f>IFERROR(IFERROR(INDEX(Кат!$B:$B,MATCH(Прайс!$B2563,Кат!$G:$G,0)),INDEX(Торг!$C:$C,MATCH(Прайс!$B2563,Торг!$H:$H,0))),"")</f>
        <v/>
      </c>
      <c r="H2563" s="67" t="str">
        <f>IFERROR(IFERROR(INDEX(Кат!$I:$I,MATCH(Прайс!$B2563,Кат!$G:$G,0)),INDEX(Торг!$I:$I,MATCH(Прайс!$B2563,Торг!$H:$H,0))),"")</f>
        <v/>
      </c>
    </row>
    <row r="2564" spans="1:8" x14ac:dyDescent="0.25">
      <c r="A2564" s="94" t="s">
        <v>3931</v>
      </c>
      <c r="B2564" s="98">
        <v>12095</v>
      </c>
      <c r="C2564" s="98" t="s">
        <v>1364</v>
      </c>
      <c r="D2564" s="96" t="s">
        <v>1288</v>
      </c>
      <c r="E2564" s="97">
        <v>50</v>
      </c>
      <c r="F2564" s="67" t="str">
        <f>IFERROR(IFERROR(INDEX(Кат!$A:$A,MATCH(Прайс!$B2564,Кат!$G:$G,0)),INDEX(Торг!$B:$B,MATCH(Прайс!$B2564,Торг!$H:$H,0))),"")</f>
        <v/>
      </c>
      <c r="G2564" s="67" t="str">
        <f>IFERROR(IFERROR(INDEX(Кат!$B:$B,MATCH(Прайс!$B2564,Кат!$G:$G,0)),INDEX(Торг!$C:$C,MATCH(Прайс!$B2564,Торг!$H:$H,0))),"")</f>
        <v/>
      </c>
      <c r="H2564" s="67" t="str">
        <f>IFERROR(IFERROR(INDEX(Кат!$I:$I,MATCH(Прайс!$B2564,Кат!$G:$G,0)),INDEX(Торг!$I:$I,MATCH(Прайс!$B2564,Торг!$H:$H,0))),"")</f>
        <v/>
      </c>
    </row>
    <row r="2565" spans="1:8" ht="15.75" x14ac:dyDescent="0.25">
      <c r="A2565" s="90"/>
      <c r="B2565" s="91"/>
      <c r="C2565" s="92" t="s">
        <v>6406</v>
      </c>
      <c r="D2565" s="91"/>
      <c r="E2565" s="93"/>
      <c r="F2565" s="67" t="str">
        <f>IFERROR(IFERROR(INDEX(Кат!$A:$A,MATCH(Прайс!$B2565,Кат!$G:$G,0)),INDEX(Торг!$B:$B,MATCH(Прайс!$B2565,Торг!$H:$H,0))),"")</f>
        <v/>
      </c>
      <c r="G2565" s="67" t="str">
        <f>IFERROR(IFERROR(INDEX(Кат!$B:$B,MATCH(Прайс!$B2565,Кат!$G:$G,0)),INDEX(Торг!$C:$C,MATCH(Прайс!$B2565,Торг!$H:$H,0))),"")</f>
        <v/>
      </c>
      <c r="H2565" s="67" t="str">
        <f>IFERROR(IFERROR(INDEX(Кат!$I:$I,MATCH(Прайс!$B2565,Кат!$G:$G,0)),INDEX(Торг!$I:$I,MATCH(Прайс!$B2565,Торг!$H:$H,0))),"")</f>
        <v/>
      </c>
    </row>
    <row r="2566" spans="1:8" x14ac:dyDescent="0.25">
      <c r="A2566" s="99" t="s">
        <v>6407</v>
      </c>
      <c r="B2566" s="108">
        <v>12148</v>
      </c>
      <c r="C2566" s="108" t="s">
        <v>6408</v>
      </c>
      <c r="D2566" s="101" t="s">
        <v>582</v>
      </c>
      <c r="E2566" s="102">
        <v>60</v>
      </c>
      <c r="F2566" s="67" t="str">
        <f>IFERROR(IFERROR(INDEX(Кат!$A:$A,MATCH(Прайс!$B2566,Кат!$G:$G,0)),INDEX(Торг!$B:$B,MATCH(Прайс!$B2566,Торг!$H:$H,0))),"")</f>
        <v/>
      </c>
      <c r="G2566" s="67" t="str">
        <f>IFERROR(IFERROR(INDEX(Кат!$B:$B,MATCH(Прайс!$B2566,Кат!$G:$G,0)),INDEX(Торг!$C:$C,MATCH(Прайс!$B2566,Торг!$H:$H,0))),"")</f>
        <v/>
      </c>
      <c r="H2566" s="67" t="str">
        <f>IFERROR(IFERROR(INDEX(Кат!$I:$I,MATCH(Прайс!$B2566,Кат!$G:$G,0)),INDEX(Торг!$I:$I,MATCH(Прайс!$B2566,Торг!$H:$H,0))),"")</f>
        <v/>
      </c>
    </row>
    <row r="2567" spans="1:8" ht="15.75" x14ac:dyDescent="0.25">
      <c r="A2567" s="90"/>
      <c r="B2567" s="91"/>
      <c r="C2567" s="92" t="s">
        <v>1365</v>
      </c>
      <c r="D2567" s="91"/>
      <c r="E2567" s="93"/>
      <c r="F2567" s="67" t="str">
        <f>IFERROR(IFERROR(INDEX(Кат!$A:$A,MATCH(Прайс!$B2567,Кат!$G:$G,0)),INDEX(Торг!$B:$B,MATCH(Прайс!$B2567,Торг!$H:$H,0))),"")</f>
        <v/>
      </c>
      <c r="G2567" s="67" t="str">
        <f>IFERROR(IFERROR(INDEX(Кат!$B:$B,MATCH(Прайс!$B2567,Кат!$G:$G,0)),INDEX(Торг!$C:$C,MATCH(Прайс!$B2567,Торг!$H:$H,0))),"")</f>
        <v/>
      </c>
      <c r="H2567" s="67" t="str">
        <f>IFERROR(IFERROR(INDEX(Кат!$I:$I,MATCH(Прайс!$B2567,Кат!$G:$G,0)),INDEX(Торг!$I:$I,MATCH(Прайс!$B2567,Торг!$H:$H,0))),"")</f>
        <v/>
      </c>
    </row>
    <row r="2568" spans="1:8" x14ac:dyDescent="0.25">
      <c r="A2568" s="94" t="s">
        <v>3932</v>
      </c>
      <c r="B2568" s="98">
        <v>12099</v>
      </c>
      <c r="C2568" s="98" t="s">
        <v>1366</v>
      </c>
      <c r="D2568" s="96" t="s">
        <v>161</v>
      </c>
      <c r="E2568" s="97">
        <v>450</v>
      </c>
      <c r="F2568" s="67" t="str">
        <f>IFERROR(IFERROR(INDEX(Кат!$A:$A,MATCH(Прайс!$B2568,Кат!$G:$G,0)),INDEX(Торг!$B:$B,MATCH(Прайс!$B2568,Торг!$H:$H,0))),"")</f>
        <v/>
      </c>
      <c r="G2568" s="67" t="str">
        <f>IFERROR(IFERROR(INDEX(Кат!$B:$B,MATCH(Прайс!$B2568,Кат!$G:$G,0)),INDEX(Торг!$C:$C,MATCH(Прайс!$B2568,Торг!$H:$H,0))),"")</f>
        <v/>
      </c>
      <c r="H2568" s="67" t="str">
        <f>IFERROR(IFERROR(INDEX(Кат!$I:$I,MATCH(Прайс!$B2568,Кат!$G:$G,0)),INDEX(Торг!$I:$I,MATCH(Прайс!$B2568,Торг!$H:$H,0))),"")</f>
        <v/>
      </c>
    </row>
    <row r="2569" spans="1:8" x14ac:dyDescent="0.25">
      <c r="A2569" s="94" t="s">
        <v>3933</v>
      </c>
      <c r="B2569" s="98">
        <v>12100</v>
      </c>
      <c r="C2569" s="98" t="s">
        <v>1367</v>
      </c>
      <c r="D2569" s="96" t="s">
        <v>161</v>
      </c>
      <c r="E2569" s="97">
        <v>650</v>
      </c>
      <c r="F2569" s="67" t="str">
        <f>IFERROR(IFERROR(INDEX(Кат!$A:$A,MATCH(Прайс!$B2569,Кат!$G:$G,0)),INDEX(Торг!$B:$B,MATCH(Прайс!$B2569,Торг!$H:$H,0))),"")</f>
        <v/>
      </c>
      <c r="G2569" s="67" t="str">
        <f>IFERROR(IFERROR(INDEX(Кат!$B:$B,MATCH(Прайс!$B2569,Кат!$G:$G,0)),INDEX(Торг!$C:$C,MATCH(Прайс!$B2569,Торг!$H:$H,0))),"")</f>
        <v/>
      </c>
      <c r="H2569" s="67" t="str">
        <f>IFERROR(IFERROR(INDEX(Кат!$I:$I,MATCH(Прайс!$B2569,Кат!$G:$G,0)),INDEX(Торг!$I:$I,MATCH(Прайс!$B2569,Торг!$H:$H,0))),"")</f>
        <v/>
      </c>
    </row>
    <row r="2570" spans="1:8" x14ac:dyDescent="0.25">
      <c r="A2570" s="94" t="s">
        <v>3934</v>
      </c>
      <c r="B2570" s="98">
        <v>12096</v>
      </c>
      <c r="C2570" s="98" t="s">
        <v>1368</v>
      </c>
      <c r="D2570" s="96" t="s">
        <v>166</v>
      </c>
      <c r="E2570" s="97">
        <v>90</v>
      </c>
      <c r="F2570" s="67" t="str">
        <f>IFERROR(IFERROR(INDEX(Кат!$A:$A,MATCH(Прайс!$B2570,Кат!$G:$G,0)),INDEX(Торг!$B:$B,MATCH(Прайс!$B2570,Торг!$H:$H,0))),"")</f>
        <v/>
      </c>
      <c r="G2570" s="67" t="str">
        <f>IFERROR(IFERROR(INDEX(Кат!$B:$B,MATCH(Прайс!$B2570,Кат!$G:$G,0)),INDEX(Торг!$C:$C,MATCH(Прайс!$B2570,Торг!$H:$H,0))),"")</f>
        <v/>
      </c>
      <c r="H2570" s="67" t="str">
        <f>IFERROR(IFERROR(INDEX(Кат!$I:$I,MATCH(Прайс!$B2570,Кат!$G:$G,0)),INDEX(Торг!$I:$I,MATCH(Прайс!$B2570,Торг!$H:$H,0))),"")</f>
        <v/>
      </c>
    </row>
    <row r="2571" spans="1:8" x14ac:dyDescent="0.25">
      <c r="A2571" s="94" t="s">
        <v>3935</v>
      </c>
      <c r="B2571" s="98">
        <v>12097</v>
      </c>
      <c r="C2571" s="98" t="s">
        <v>1369</v>
      </c>
      <c r="D2571" s="96" t="s">
        <v>161</v>
      </c>
      <c r="E2571" s="97">
        <v>450</v>
      </c>
      <c r="F2571" s="67" t="str">
        <f>IFERROR(IFERROR(INDEX(Кат!$A:$A,MATCH(Прайс!$B2571,Кат!$G:$G,0)),INDEX(Торг!$B:$B,MATCH(Прайс!$B2571,Торг!$H:$H,0))),"")</f>
        <v/>
      </c>
      <c r="G2571" s="67" t="str">
        <f>IFERROR(IFERROR(INDEX(Кат!$B:$B,MATCH(Прайс!$B2571,Кат!$G:$G,0)),INDEX(Торг!$C:$C,MATCH(Прайс!$B2571,Торг!$H:$H,0))),"")</f>
        <v/>
      </c>
      <c r="H2571" s="67" t="str">
        <f>IFERROR(IFERROR(INDEX(Кат!$I:$I,MATCH(Прайс!$B2571,Кат!$G:$G,0)),INDEX(Торг!$I:$I,MATCH(Прайс!$B2571,Торг!$H:$H,0))),"")</f>
        <v/>
      </c>
    </row>
    <row r="2572" spans="1:8" x14ac:dyDescent="0.25">
      <c r="A2572" s="94" t="s">
        <v>3936</v>
      </c>
      <c r="B2572" s="98">
        <v>12098</v>
      </c>
      <c r="C2572" s="98" t="s">
        <v>1370</v>
      </c>
      <c r="D2572" s="96" t="s">
        <v>161</v>
      </c>
      <c r="E2572" s="97">
        <v>500</v>
      </c>
      <c r="F2572" s="67" t="str">
        <f>IFERROR(IFERROR(INDEX(Кат!$A:$A,MATCH(Прайс!$B2572,Кат!$G:$G,0)),INDEX(Торг!$B:$B,MATCH(Прайс!$B2572,Торг!$H:$H,0))),"")</f>
        <v/>
      </c>
      <c r="G2572" s="67" t="str">
        <f>IFERROR(IFERROR(INDEX(Кат!$B:$B,MATCH(Прайс!$B2572,Кат!$G:$G,0)),INDEX(Торг!$C:$C,MATCH(Прайс!$B2572,Торг!$H:$H,0))),"")</f>
        <v/>
      </c>
      <c r="H2572" s="67" t="str">
        <f>IFERROR(IFERROR(INDEX(Кат!$I:$I,MATCH(Прайс!$B2572,Кат!$G:$G,0)),INDEX(Торг!$I:$I,MATCH(Прайс!$B2572,Торг!$H:$H,0))),"")</f>
        <v/>
      </c>
    </row>
    <row r="2573" spans="1:8" ht="15.75" x14ac:dyDescent="0.25">
      <c r="A2573" s="90"/>
      <c r="B2573" s="91"/>
      <c r="C2573" s="92" t="s">
        <v>1371</v>
      </c>
      <c r="D2573" s="91"/>
      <c r="E2573" s="93"/>
      <c r="F2573" s="67" t="str">
        <f>IFERROR(IFERROR(INDEX(Кат!$A:$A,MATCH(Прайс!$B2573,Кат!$G:$G,0)),INDEX(Торг!$B:$B,MATCH(Прайс!$B2573,Торг!$H:$H,0))),"")</f>
        <v/>
      </c>
      <c r="G2573" s="67" t="str">
        <f>IFERROR(IFERROR(INDEX(Кат!$B:$B,MATCH(Прайс!$B2573,Кат!$G:$G,0)),INDEX(Торг!$C:$C,MATCH(Прайс!$B2573,Торг!$H:$H,0))),"")</f>
        <v/>
      </c>
      <c r="H2573" s="67" t="str">
        <f>IFERROR(IFERROR(INDEX(Кат!$I:$I,MATCH(Прайс!$B2573,Кат!$G:$G,0)),INDEX(Торг!$I:$I,MATCH(Прайс!$B2573,Торг!$H:$H,0))),"")</f>
        <v/>
      </c>
    </row>
    <row r="2574" spans="1:8" x14ac:dyDescent="0.25">
      <c r="A2574" s="94" t="s">
        <v>3937</v>
      </c>
      <c r="B2574" s="98">
        <v>12101</v>
      </c>
      <c r="C2574" s="98" t="s">
        <v>1372</v>
      </c>
      <c r="D2574" s="96" t="s">
        <v>177</v>
      </c>
      <c r="E2574" s="97">
        <v>40</v>
      </c>
      <c r="F2574" s="67" t="str">
        <f>IFERROR(IFERROR(INDEX(Кат!$A:$A,MATCH(Прайс!$B2574,Кат!$G:$G,0)),INDEX(Торг!$B:$B,MATCH(Прайс!$B2574,Торг!$H:$H,0))),"")</f>
        <v/>
      </c>
      <c r="G2574" s="67" t="str">
        <f>IFERROR(IFERROR(INDEX(Кат!$B:$B,MATCH(Прайс!$B2574,Кат!$G:$G,0)),INDEX(Торг!$C:$C,MATCH(Прайс!$B2574,Торг!$H:$H,0))),"")</f>
        <v/>
      </c>
      <c r="H2574" s="67" t="str">
        <f>IFERROR(IFERROR(INDEX(Кат!$I:$I,MATCH(Прайс!$B2574,Кат!$G:$G,0)),INDEX(Торг!$I:$I,MATCH(Прайс!$B2574,Торг!$H:$H,0))),"")</f>
        <v/>
      </c>
    </row>
    <row r="2575" spans="1:8" x14ac:dyDescent="0.25">
      <c r="A2575" s="94" t="s">
        <v>3938</v>
      </c>
      <c r="B2575" s="98">
        <v>12103</v>
      </c>
      <c r="C2575" s="98" t="s">
        <v>1373</v>
      </c>
      <c r="D2575" s="96" t="s">
        <v>582</v>
      </c>
      <c r="E2575" s="97">
        <v>65</v>
      </c>
      <c r="F2575" s="67" t="str">
        <f>IFERROR(IFERROR(INDEX(Кат!$A:$A,MATCH(Прайс!$B2575,Кат!$G:$G,0)),INDEX(Торг!$B:$B,MATCH(Прайс!$B2575,Торг!$H:$H,0))),"")</f>
        <v/>
      </c>
      <c r="G2575" s="67" t="str">
        <f>IFERROR(IFERROR(INDEX(Кат!$B:$B,MATCH(Прайс!$B2575,Кат!$G:$G,0)),INDEX(Торг!$C:$C,MATCH(Прайс!$B2575,Торг!$H:$H,0))),"")</f>
        <v/>
      </c>
      <c r="H2575" s="67" t="str">
        <f>IFERROR(IFERROR(INDEX(Кат!$I:$I,MATCH(Прайс!$B2575,Кат!$G:$G,0)),INDEX(Торг!$I:$I,MATCH(Прайс!$B2575,Торг!$H:$H,0))),"")</f>
        <v/>
      </c>
    </row>
    <row r="2576" spans="1:8" ht="15.75" x14ac:dyDescent="0.25">
      <c r="A2576" s="90"/>
      <c r="B2576" s="91"/>
      <c r="C2576" s="92" t="s">
        <v>1374</v>
      </c>
      <c r="D2576" s="91"/>
      <c r="E2576" s="93"/>
      <c r="F2576" s="67" t="str">
        <f>IFERROR(IFERROR(INDEX(Кат!$A:$A,MATCH(Прайс!$B2576,Кат!$G:$G,0)),INDEX(Торг!$B:$B,MATCH(Прайс!$B2576,Торг!$H:$H,0))),"")</f>
        <v/>
      </c>
      <c r="G2576" s="67" t="str">
        <f>IFERROR(IFERROR(INDEX(Кат!$B:$B,MATCH(Прайс!$B2576,Кат!$G:$G,0)),INDEX(Торг!$C:$C,MATCH(Прайс!$B2576,Торг!$H:$H,0))),"")</f>
        <v/>
      </c>
      <c r="H2576" s="67" t="str">
        <f>IFERROR(IFERROR(INDEX(Кат!$I:$I,MATCH(Прайс!$B2576,Кат!$G:$G,0)),INDEX(Торг!$I:$I,MATCH(Прайс!$B2576,Торг!$H:$H,0))),"")</f>
        <v/>
      </c>
    </row>
    <row r="2577" spans="1:8" x14ac:dyDescent="0.25">
      <c r="A2577" s="94" t="s">
        <v>3939</v>
      </c>
      <c r="B2577" s="95">
        <v>12128</v>
      </c>
      <c r="C2577" s="95" t="s">
        <v>5320</v>
      </c>
      <c r="D2577" s="96" t="s">
        <v>1323</v>
      </c>
      <c r="E2577" s="97">
        <v>135</v>
      </c>
      <c r="F2577" s="67" t="str">
        <f>IFERROR(IFERROR(INDEX(Кат!$A:$A,MATCH(Прайс!$B2577,Кат!$G:$G,0)),INDEX(Торг!$B:$B,MATCH(Прайс!$B2577,Торг!$H:$H,0))),"")</f>
        <v/>
      </c>
      <c r="G2577" s="67" t="str">
        <f>IFERROR(IFERROR(INDEX(Кат!$B:$B,MATCH(Прайс!$B2577,Кат!$G:$G,0)),INDEX(Торг!$C:$C,MATCH(Прайс!$B2577,Торг!$H:$H,0))),"")</f>
        <v/>
      </c>
      <c r="H2577" s="67" t="str">
        <f>IFERROR(IFERROR(INDEX(Кат!$I:$I,MATCH(Прайс!$B2577,Кат!$G:$G,0)),INDEX(Торг!$I:$I,MATCH(Прайс!$B2577,Торг!$H:$H,0))),"")</f>
        <v/>
      </c>
    </row>
    <row r="2578" spans="1:8" x14ac:dyDescent="0.25">
      <c r="A2578" s="94" t="s">
        <v>3940</v>
      </c>
      <c r="B2578" s="95">
        <v>12102</v>
      </c>
      <c r="C2578" s="95" t="s">
        <v>5321</v>
      </c>
      <c r="D2578" s="96" t="s">
        <v>1375</v>
      </c>
      <c r="E2578" s="97">
        <v>95</v>
      </c>
      <c r="F2578" s="67" t="str">
        <f>IFERROR(IFERROR(INDEX(Кат!$A:$A,MATCH(Прайс!$B2578,Кат!$G:$G,0)),INDEX(Торг!$B:$B,MATCH(Прайс!$B2578,Торг!$H:$H,0))),"")</f>
        <v/>
      </c>
      <c r="G2578" s="67" t="str">
        <f>IFERROR(IFERROR(INDEX(Кат!$B:$B,MATCH(Прайс!$B2578,Кат!$G:$G,0)),INDEX(Торг!$C:$C,MATCH(Прайс!$B2578,Торг!$H:$H,0))),"")</f>
        <v/>
      </c>
      <c r="H2578" s="67" t="str">
        <f>IFERROR(IFERROR(INDEX(Кат!$I:$I,MATCH(Прайс!$B2578,Кат!$G:$G,0)),INDEX(Торг!$I:$I,MATCH(Прайс!$B2578,Торг!$H:$H,0))),"")</f>
        <v/>
      </c>
    </row>
    <row r="2579" spans="1:8" ht="15.75" x14ac:dyDescent="0.25">
      <c r="A2579" s="87"/>
      <c r="B2579" s="88"/>
      <c r="C2579" s="88" t="s">
        <v>1376</v>
      </c>
      <c r="D2579" s="88"/>
      <c r="E2579" s="89"/>
      <c r="F2579" s="67" t="str">
        <f>IFERROR(IFERROR(INDEX(Кат!$A:$A,MATCH(Прайс!$B2579,Кат!$G:$G,0)),INDEX(Торг!$B:$B,MATCH(Прайс!$B2579,Торг!$H:$H,0))),"")</f>
        <v/>
      </c>
      <c r="G2579" s="67" t="str">
        <f>IFERROR(IFERROR(INDEX(Кат!$B:$B,MATCH(Прайс!$B2579,Кат!$G:$G,0)),INDEX(Торг!$C:$C,MATCH(Прайс!$B2579,Торг!$H:$H,0))),"")</f>
        <v/>
      </c>
      <c r="H2579" s="67" t="str">
        <f>IFERROR(IFERROR(INDEX(Кат!$I:$I,MATCH(Прайс!$B2579,Кат!$G:$G,0)),INDEX(Торг!$I:$I,MATCH(Прайс!$B2579,Торг!$H:$H,0))),"")</f>
        <v/>
      </c>
    </row>
    <row r="2580" spans="1:8" ht="15.75" x14ac:dyDescent="0.25">
      <c r="A2580" s="90"/>
      <c r="B2580" s="91"/>
      <c r="C2580" s="92" t="s">
        <v>1376</v>
      </c>
      <c r="D2580" s="91"/>
      <c r="E2580" s="93"/>
      <c r="F2580" s="67" t="str">
        <f>IFERROR(IFERROR(INDEX(Кат!$A:$A,MATCH(Прайс!$B2580,Кат!$G:$G,0)),INDEX(Торг!$B:$B,MATCH(Прайс!$B2580,Торг!$H:$H,0))),"")</f>
        <v/>
      </c>
      <c r="G2580" s="67" t="str">
        <f>IFERROR(IFERROR(INDEX(Кат!$B:$B,MATCH(Прайс!$B2580,Кат!$G:$G,0)),INDEX(Торг!$C:$C,MATCH(Прайс!$B2580,Торг!$H:$H,0))),"")</f>
        <v/>
      </c>
      <c r="H2580" s="67" t="str">
        <f>IFERROR(IFERROR(INDEX(Кат!$I:$I,MATCH(Прайс!$B2580,Кат!$G:$G,0)),INDEX(Торг!$I:$I,MATCH(Прайс!$B2580,Торг!$H:$H,0))),"")</f>
        <v/>
      </c>
    </row>
    <row r="2581" spans="1:8" x14ac:dyDescent="0.25">
      <c r="A2581" s="94" t="s">
        <v>3941</v>
      </c>
      <c r="B2581" s="98">
        <v>13041</v>
      </c>
      <c r="C2581" s="98" t="s">
        <v>7713</v>
      </c>
      <c r="D2581" s="96" t="s">
        <v>433</v>
      </c>
      <c r="E2581" s="97">
        <v>720</v>
      </c>
      <c r="F2581" s="67">
        <f>IFERROR(IFERROR(INDEX(Кат!$A:$A,MATCH(Прайс!$B2581,Кат!$G:$G,0)),INDEX(Торг!$B:$B,MATCH(Прайс!$B2581,Торг!$H:$H,0))),"")</f>
        <v>131501</v>
      </c>
      <c r="G2581" s="67">
        <f>IFERROR(IFERROR(INDEX(Кат!$B:$B,MATCH(Прайс!$B2581,Кат!$G:$G,0)),INDEX(Торг!$C:$C,MATCH(Прайс!$B2581,Торг!$H:$H,0))),"")</f>
        <v>5534</v>
      </c>
      <c r="H2581" s="67" t="str">
        <f>IFERROR(IFERROR(INDEX(Кат!$I:$I,MATCH(Прайс!$B2581,Кат!$G:$G,0)),INDEX(Торг!$I:$I,MATCH(Прайс!$B2581,Торг!$H:$H,0))),"")</f>
        <v>кристал авто</v>
      </c>
    </row>
    <row r="2582" spans="1:8" x14ac:dyDescent="0.25">
      <c r="A2582" s="94" t="s">
        <v>3942</v>
      </c>
      <c r="B2582" s="98">
        <v>13048</v>
      </c>
      <c r="C2582" s="98" t="s">
        <v>1377</v>
      </c>
      <c r="D2582" s="96" t="s">
        <v>433</v>
      </c>
      <c r="E2582" s="107">
        <v>1650</v>
      </c>
      <c r="F2582" s="67" t="str">
        <f>IFERROR(IFERROR(INDEX(Кат!$A:$A,MATCH(Прайс!$B2582,Кат!$G:$G,0)),INDEX(Торг!$B:$B,MATCH(Прайс!$B2582,Торг!$H:$H,0))),"")</f>
        <v/>
      </c>
      <c r="G2582" s="67" t="str">
        <f>IFERROR(IFERROR(INDEX(Кат!$B:$B,MATCH(Прайс!$B2582,Кат!$G:$G,0)),INDEX(Торг!$C:$C,MATCH(Прайс!$B2582,Торг!$H:$H,0))),"")</f>
        <v/>
      </c>
      <c r="H2582" s="67" t="str">
        <f>IFERROR(IFERROR(INDEX(Кат!$I:$I,MATCH(Прайс!$B2582,Кат!$G:$G,0)),INDEX(Торг!$I:$I,MATCH(Прайс!$B2582,Торг!$H:$H,0))),"")</f>
        <v/>
      </c>
    </row>
    <row r="2583" spans="1:8" x14ac:dyDescent="0.25">
      <c r="A2583" s="103" t="s">
        <v>7714</v>
      </c>
      <c r="B2583" s="104">
        <v>13063</v>
      </c>
      <c r="C2583" s="104" t="s">
        <v>7715</v>
      </c>
      <c r="D2583" s="105" t="s">
        <v>174</v>
      </c>
      <c r="E2583" s="106">
        <v>2000</v>
      </c>
      <c r="F2583" s="67" t="str">
        <f>IFERROR(IFERROR(INDEX(Кат!$A:$A,MATCH(Прайс!$B2583,Кат!$G:$G,0)),INDEX(Торг!$B:$B,MATCH(Прайс!$B2583,Торг!$H:$H,0))),"")</f>
        <v/>
      </c>
      <c r="G2583" s="67" t="str">
        <f>IFERROR(IFERROR(INDEX(Кат!$B:$B,MATCH(Прайс!$B2583,Кат!$G:$G,0)),INDEX(Торг!$C:$C,MATCH(Прайс!$B2583,Торг!$H:$H,0))),"")</f>
        <v/>
      </c>
      <c r="H2583" s="67" t="str">
        <f>IFERROR(IFERROR(INDEX(Кат!$I:$I,MATCH(Прайс!$B2583,Кат!$G:$G,0)),INDEX(Торг!$I:$I,MATCH(Прайс!$B2583,Торг!$H:$H,0))),"")</f>
        <v/>
      </c>
    </row>
    <row r="2584" spans="1:8" x14ac:dyDescent="0.25">
      <c r="A2584" s="94" t="s">
        <v>6999</v>
      </c>
      <c r="B2584" s="98">
        <v>13055</v>
      </c>
      <c r="C2584" s="98" t="s">
        <v>7000</v>
      </c>
      <c r="D2584" s="96" t="s">
        <v>433</v>
      </c>
      <c r="E2584" s="107">
        <v>1900</v>
      </c>
      <c r="F2584" s="67" t="str">
        <f>IFERROR(IFERROR(INDEX(Кат!$A:$A,MATCH(Прайс!$B2584,Кат!$G:$G,0)),INDEX(Торг!$B:$B,MATCH(Прайс!$B2584,Торг!$H:$H,0))),"")</f>
        <v/>
      </c>
      <c r="G2584" s="67" t="str">
        <f>IFERROR(IFERROR(INDEX(Кат!$B:$B,MATCH(Прайс!$B2584,Кат!$G:$G,0)),INDEX(Торг!$C:$C,MATCH(Прайс!$B2584,Торг!$H:$H,0))),"")</f>
        <v/>
      </c>
      <c r="H2584" s="67" t="str">
        <f>IFERROR(IFERROR(INDEX(Кат!$I:$I,MATCH(Прайс!$B2584,Кат!$G:$G,0)),INDEX(Торг!$I:$I,MATCH(Прайс!$B2584,Торг!$H:$H,0))),"")</f>
        <v/>
      </c>
    </row>
    <row r="2585" spans="1:8" x14ac:dyDescent="0.25">
      <c r="A2585" s="103" t="s">
        <v>3943</v>
      </c>
      <c r="B2585" s="104">
        <v>13037</v>
      </c>
      <c r="C2585" s="104" t="s">
        <v>1378</v>
      </c>
      <c r="D2585" s="105" t="s">
        <v>162</v>
      </c>
      <c r="E2585" s="106">
        <v>2100</v>
      </c>
      <c r="F2585" s="67" t="str">
        <f>IFERROR(IFERROR(INDEX(Кат!$A:$A,MATCH(Прайс!$B2585,Кат!$G:$G,0)),INDEX(Торг!$B:$B,MATCH(Прайс!$B2585,Торг!$H:$H,0))),"")</f>
        <v/>
      </c>
      <c r="G2585" s="67" t="str">
        <f>IFERROR(IFERROR(INDEX(Кат!$B:$B,MATCH(Прайс!$B2585,Кат!$G:$G,0)),INDEX(Торг!$C:$C,MATCH(Прайс!$B2585,Торг!$H:$H,0))),"")</f>
        <v/>
      </c>
      <c r="H2585" s="67" t="str">
        <f>IFERROR(IFERROR(INDEX(Кат!$I:$I,MATCH(Прайс!$B2585,Кат!$G:$G,0)),INDEX(Торг!$I:$I,MATCH(Прайс!$B2585,Торг!$H:$H,0))),"")</f>
        <v/>
      </c>
    </row>
    <row r="2586" spans="1:8" x14ac:dyDescent="0.25">
      <c r="A2586" s="103" t="s">
        <v>5322</v>
      </c>
      <c r="B2586" s="104">
        <v>13053</v>
      </c>
      <c r="C2586" s="104" t="s">
        <v>5323</v>
      </c>
      <c r="D2586" s="105" t="s">
        <v>174</v>
      </c>
      <c r="E2586" s="106">
        <v>2900</v>
      </c>
      <c r="F2586" s="67" t="str">
        <f>IFERROR(IFERROR(INDEX(Кат!$A:$A,MATCH(Прайс!$B2586,Кат!$G:$G,0)),INDEX(Торг!$B:$B,MATCH(Прайс!$B2586,Торг!$H:$H,0))),"")</f>
        <v/>
      </c>
      <c r="G2586" s="67" t="str">
        <f>IFERROR(IFERROR(INDEX(Кат!$B:$B,MATCH(Прайс!$B2586,Кат!$G:$G,0)),INDEX(Торг!$C:$C,MATCH(Прайс!$B2586,Торг!$H:$H,0))),"")</f>
        <v/>
      </c>
      <c r="H2586" s="67" t="str">
        <f>IFERROR(IFERROR(INDEX(Кат!$I:$I,MATCH(Прайс!$B2586,Кат!$G:$G,0)),INDEX(Торг!$I:$I,MATCH(Прайс!$B2586,Торг!$H:$H,0))),"")</f>
        <v/>
      </c>
    </row>
    <row r="2587" spans="1:8" x14ac:dyDescent="0.25">
      <c r="A2587" s="103" t="s">
        <v>3944</v>
      </c>
      <c r="B2587" s="104">
        <v>13006</v>
      </c>
      <c r="C2587" s="104" t="s">
        <v>1379</v>
      </c>
      <c r="D2587" s="105" t="s">
        <v>174</v>
      </c>
      <c r="E2587" s="106">
        <v>3550</v>
      </c>
      <c r="F2587" s="67" t="str">
        <f>IFERROR(IFERROR(INDEX(Кат!$A:$A,MATCH(Прайс!$B2587,Кат!$G:$G,0)),INDEX(Торг!$B:$B,MATCH(Прайс!$B2587,Торг!$H:$H,0))),"")</f>
        <v/>
      </c>
      <c r="G2587" s="67" t="str">
        <f>IFERROR(IFERROR(INDEX(Кат!$B:$B,MATCH(Прайс!$B2587,Кат!$G:$G,0)),INDEX(Торг!$C:$C,MATCH(Прайс!$B2587,Торг!$H:$H,0))),"")</f>
        <v/>
      </c>
      <c r="H2587" s="67" t="str">
        <f>IFERROR(IFERROR(INDEX(Кат!$I:$I,MATCH(Прайс!$B2587,Кат!$G:$G,0)),INDEX(Торг!$I:$I,MATCH(Прайс!$B2587,Торг!$H:$H,0))),"")</f>
        <v/>
      </c>
    </row>
    <row r="2588" spans="1:8" x14ac:dyDescent="0.25">
      <c r="A2588" s="103" t="s">
        <v>3945</v>
      </c>
      <c r="B2588" s="104">
        <v>13007</v>
      </c>
      <c r="C2588" s="104" t="s">
        <v>1380</v>
      </c>
      <c r="D2588" s="105" t="s">
        <v>375</v>
      </c>
      <c r="E2588" s="106">
        <v>3900</v>
      </c>
      <c r="F2588" s="67" t="str">
        <f>IFERROR(IFERROR(INDEX(Кат!$A:$A,MATCH(Прайс!$B2588,Кат!$G:$G,0)),INDEX(Торг!$B:$B,MATCH(Прайс!$B2588,Торг!$H:$H,0))),"")</f>
        <v/>
      </c>
      <c r="G2588" s="67" t="str">
        <f>IFERROR(IFERROR(INDEX(Кат!$B:$B,MATCH(Прайс!$B2588,Кат!$G:$G,0)),INDEX(Торг!$C:$C,MATCH(Прайс!$B2588,Торг!$H:$H,0))),"")</f>
        <v/>
      </c>
      <c r="H2588" s="67" t="str">
        <f>IFERROR(IFERROR(INDEX(Кат!$I:$I,MATCH(Прайс!$B2588,Кат!$G:$G,0)),INDEX(Торг!$I:$I,MATCH(Прайс!$B2588,Торг!$H:$H,0))),"")</f>
        <v/>
      </c>
    </row>
    <row r="2589" spans="1:8" x14ac:dyDescent="0.25">
      <c r="A2589" s="103" t="s">
        <v>3946</v>
      </c>
      <c r="B2589" s="104">
        <v>13001</v>
      </c>
      <c r="C2589" s="104" t="s">
        <v>1381</v>
      </c>
      <c r="D2589" s="105" t="s">
        <v>433</v>
      </c>
      <c r="E2589" s="106">
        <v>1650</v>
      </c>
      <c r="F2589" s="67" t="str">
        <f>IFERROR(IFERROR(INDEX(Кат!$A:$A,MATCH(Прайс!$B2589,Кат!$G:$G,0)),INDEX(Торг!$B:$B,MATCH(Прайс!$B2589,Торг!$H:$H,0))),"")</f>
        <v/>
      </c>
      <c r="G2589" s="67" t="str">
        <f>IFERROR(IFERROR(INDEX(Кат!$B:$B,MATCH(Прайс!$B2589,Кат!$G:$G,0)),INDEX(Торг!$C:$C,MATCH(Прайс!$B2589,Торг!$H:$H,0))),"")</f>
        <v/>
      </c>
      <c r="H2589" s="67" t="str">
        <f>IFERROR(IFERROR(INDEX(Кат!$I:$I,MATCH(Прайс!$B2589,Кат!$G:$G,0)),INDEX(Торг!$I:$I,MATCH(Прайс!$B2589,Торг!$H:$H,0))),"")</f>
        <v/>
      </c>
    </row>
    <row r="2590" spans="1:8" x14ac:dyDescent="0.25">
      <c r="A2590" s="103" t="s">
        <v>3947</v>
      </c>
      <c r="B2590" s="104">
        <v>13002</v>
      </c>
      <c r="C2590" s="104" t="s">
        <v>1382</v>
      </c>
      <c r="D2590" s="105" t="s">
        <v>433</v>
      </c>
      <c r="E2590" s="106">
        <v>3500</v>
      </c>
      <c r="F2590" s="67" t="str">
        <f>IFERROR(IFERROR(INDEX(Кат!$A:$A,MATCH(Прайс!$B2590,Кат!$G:$G,0)),INDEX(Торг!$B:$B,MATCH(Прайс!$B2590,Торг!$H:$H,0))),"")</f>
        <v/>
      </c>
      <c r="G2590" s="67" t="str">
        <f>IFERROR(IFERROR(INDEX(Кат!$B:$B,MATCH(Прайс!$B2590,Кат!$G:$G,0)),INDEX(Торг!$C:$C,MATCH(Прайс!$B2590,Торг!$H:$H,0))),"")</f>
        <v/>
      </c>
      <c r="H2590" s="67" t="str">
        <f>IFERROR(IFERROR(INDEX(Кат!$I:$I,MATCH(Прайс!$B2590,Кат!$G:$G,0)),INDEX(Торг!$I:$I,MATCH(Прайс!$B2590,Торг!$H:$H,0))),"")</f>
        <v/>
      </c>
    </row>
    <row r="2591" spans="1:8" x14ac:dyDescent="0.25">
      <c r="A2591" s="103" t="s">
        <v>3948</v>
      </c>
      <c r="B2591" s="104">
        <v>13003</v>
      </c>
      <c r="C2591" s="104" t="s">
        <v>1383</v>
      </c>
      <c r="D2591" s="105" t="s">
        <v>174</v>
      </c>
      <c r="E2591" s="106">
        <v>3200</v>
      </c>
      <c r="F2591" s="67" t="str">
        <f>IFERROR(IFERROR(INDEX(Кат!$A:$A,MATCH(Прайс!$B2591,Кат!$G:$G,0)),INDEX(Торг!$B:$B,MATCH(Прайс!$B2591,Торг!$H:$H,0))),"")</f>
        <v/>
      </c>
      <c r="G2591" s="67" t="str">
        <f>IFERROR(IFERROR(INDEX(Кат!$B:$B,MATCH(Прайс!$B2591,Кат!$G:$G,0)),INDEX(Торг!$C:$C,MATCH(Прайс!$B2591,Торг!$H:$H,0))),"")</f>
        <v/>
      </c>
      <c r="H2591" s="67" t="str">
        <f>IFERROR(IFERROR(INDEX(Кат!$I:$I,MATCH(Прайс!$B2591,Кат!$G:$G,0)),INDEX(Торг!$I:$I,MATCH(Прайс!$B2591,Торг!$H:$H,0))),"")</f>
        <v/>
      </c>
    </row>
    <row r="2592" spans="1:8" x14ac:dyDescent="0.25">
      <c r="A2592" s="103" t="s">
        <v>5951</v>
      </c>
      <c r="B2592" s="104">
        <v>13004</v>
      </c>
      <c r="C2592" s="104" t="s">
        <v>5952</v>
      </c>
      <c r="D2592" s="105" t="s">
        <v>174</v>
      </c>
      <c r="E2592" s="106">
        <v>3500</v>
      </c>
      <c r="F2592" s="67" t="str">
        <f>IFERROR(IFERROR(INDEX(Кат!$A:$A,MATCH(Прайс!$B2592,Кат!$G:$G,0)),INDEX(Торг!$B:$B,MATCH(Прайс!$B2592,Торг!$H:$H,0))),"")</f>
        <v/>
      </c>
      <c r="G2592" s="67" t="str">
        <f>IFERROR(IFERROR(INDEX(Кат!$B:$B,MATCH(Прайс!$B2592,Кат!$G:$G,0)),INDEX(Торг!$C:$C,MATCH(Прайс!$B2592,Торг!$H:$H,0))),"")</f>
        <v/>
      </c>
      <c r="H2592" s="67" t="str">
        <f>IFERROR(IFERROR(INDEX(Кат!$I:$I,MATCH(Прайс!$B2592,Кат!$G:$G,0)),INDEX(Торг!$I:$I,MATCH(Прайс!$B2592,Торг!$H:$H,0))),"")</f>
        <v/>
      </c>
    </row>
    <row r="2593" spans="1:8" x14ac:dyDescent="0.25">
      <c r="A2593" s="109" t="s">
        <v>8607</v>
      </c>
      <c r="B2593" s="110">
        <v>13085</v>
      </c>
      <c r="C2593" s="110" t="s">
        <v>8608</v>
      </c>
      <c r="D2593" s="111" t="s">
        <v>160</v>
      </c>
      <c r="E2593" s="115">
        <v>1650</v>
      </c>
      <c r="F2593" s="67" t="str">
        <f>IFERROR(IFERROR(INDEX(Кат!$A:$A,MATCH(Прайс!$B2593,Кат!$G:$G,0)),INDEX(Торг!$B:$B,MATCH(Прайс!$B2593,Торг!$H:$H,0))),"")</f>
        <v/>
      </c>
      <c r="G2593" s="67" t="str">
        <f>IFERROR(IFERROR(INDEX(Кат!$B:$B,MATCH(Прайс!$B2593,Кат!$G:$G,0)),INDEX(Торг!$C:$C,MATCH(Прайс!$B2593,Торг!$H:$H,0))),"")</f>
        <v/>
      </c>
      <c r="H2593" s="67" t="str">
        <f>IFERROR(IFERROR(INDEX(Кат!$I:$I,MATCH(Прайс!$B2593,Кат!$G:$G,0)),INDEX(Торг!$I:$I,MATCH(Прайс!$B2593,Торг!$H:$H,0))),"")</f>
        <v/>
      </c>
    </row>
    <row r="2594" spans="1:8" x14ac:dyDescent="0.25">
      <c r="A2594" s="109" t="s">
        <v>8609</v>
      </c>
      <c r="B2594" s="110">
        <v>13084</v>
      </c>
      <c r="C2594" s="110" t="s">
        <v>8610</v>
      </c>
      <c r="D2594" s="111" t="s">
        <v>160</v>
      </c>
      <c r="E2594" s="115">
        <v>1600</v>
      </c>
      <c r="F2594" s="67" t="str">
        <f>IFERROR(IFERROR(INDEX(Кат!$A:$A,MATCH(Прайс!$B2594,Кат!$G:$G,0)),INDEX(Торг!$B:$B,MATCH(Прайс!$B2594,Торг!$H:$H,0))),"")</f>
        <v/>
      </c>
      <c r="G2594" s="67" t="str">
        <f>IFERROR(IFERROR(INDEX(Кат!$B:$B,MATCH(Прайс!$B2594,Кат!$G:$G,0)),INDEX(Торг!$C:$C,MATCH(Прайс!$B2594,Торг!$H:$H,0))),"")</f>
        <v/>
      </c>
      <c r="H2594" s="67" t="str">
        <f>IFERROR(IFERROR(INDEX(Кат!$I:$I,MATCH(Прайс!$B2594,Кат!$G:$G,0)),INDEX(Торг!$I:$I,MATCH(Прайс!$B2594,Торг!$H:$H,0))),"")</f>
        <v/>
      </c>
    </row>
    <row r="2595" spans="1:8" x14ac:dyDescent="0.25">
      <c r="A2595" s="94" t="s">
        <v>5324</v>
      </c>
      <c r="B2595" s="98">
        <v>13021</v>
      </c>
      <c r="C2595" s="98" t="s">
        <v>7716</v>
      </c>
      <c r="D2595" s="96" t="s">
        <v>174</v>
      </c>
      <c r="E2595" s="107">
        <v>1400</v>
      </c>
      <c r="F2595" s="67" t="str">
        <f>IFERROR(IFERROR(INDEX(Кат!$A:$A,MATCH(Прайс!$B2595,Кат!$G:$G,0)),INDEX(Торг!$B:$B,MATCH(Прайс!$B2595,Торг!$H:$H,0))),"")</f>
        <v/>
      </c>
      <c r="G2595" s="67" t="str">
        <f>IFERROR(IFERROR(INDEX(Кат!$B:$B,MATCH(Прайс!$B2595,Кат!$G:$G,0)),INDEX(Торг!$C:$C,MATCH(Прайс!$B2595,Торг!$H:$H,0))),"")</f>
        <v/>
      </c>
      <c r="H2595" s="67" t="str">
        <f>IFERROR(IFERROR(INDEX(Кат!$I:$I,MATCH(Прайс!$B2595,Кат!$G:$G,0)),INDEX(Торг!$I:$I,MATCH(Прайс!$B2595,Торг!$H:$H,0))),"")</f>
        <v/>
      </c>
    </row>
    <row r="2596" spans="1:8" x14ac:dyDescent="0.25">
      <c r="A2596" s="94" t="s">
        <v>7001</v>
      </c>
      <c r="B2596" s="98">
        <v>13022</v>
      </c>
      <c r="C2596" s="98" t="s">
        <v>7717</v>
      </c>
      <c r="D2596" s="96" t="s">
        <v>174</v>
      </c>
      <c r="E2596" s="107">
        <v>1600</v>
      </c>
      <c r="F2596" s="67" t="str">
        <f>IFERROR(IFERROR(INDEX(Кат!$A:$A,MATCH(Прайс!$B2596,Кат!$G:$G,0)),INDEX(Торг!$B:$B,MATCH(Прайс!$B2596,Торг!$H:$H,0))),"")</f>
        <v/>
      </c>
      <c r="G2596" s="67" t="str">
        <f>IFERROR(IFERROR(INDEX(Кат!$B:$B,MATCH(Прайс!$B2596,Кат!$G:$G,0)),INDEX(Торг!$C:$C,MATCH(Прайс!$B2596,Торг!$H:$H,0))),"")</f>
        <v/>
      </c>
      <c r="H2596" s="67" t="str">
        <f>IFERROR(IFERROR(INDEX(Кат!$I:$I,MATCH(Прайс!$B2596,Кат!$G:$G,0)),INDEX(Торг!$I:$I,MATCH(Прайс!$B2596,Торг!$H:$H,0))),"")</f>
        <v/>
      </c>
    </row>
    <row r="2597" spans="1:8" x14ac:dyDescent="0.25">
      <c r="A2597" s="109" t="s">
        <v>8305</v>
      </c>
      <c r="B2597" s="110">
        <v>13083</v>
      </c>
      <c r="C2597" s="110" t="s">
        <v>8306</v>
      </c>
      <c r="D2597" s="111" t="s">
        <v>174</v>
      </c>
      <c r="E2597" s="115">
        <v>1900</v>
      </c>
      <c r="F2597" s="67" t="str">
        <f>IFERROR(IFERROR(INDEX(Кат!$A:$A,MATCH(Прайс!$B2597,Кат!$G:$G,0)),INDEX(Торг!$B:$B,MATCH(Прайс!$B2597,Торг!$H:$H,0))),"")</f>
        <v/>
      </c>
      <c r="G2597" s="67" t="str">
        <f>IFERROR(IFERROR(INDEX(Кат!$B:$B,MATCH(Прайс!$B2597,Кат!$G:$G,0)),INDEX(Торг!$C:$C,MATCH(Прайс!$B2597,Торг!$H:$H,0))),"")</f>
        <v/>
      </c>
      <c r="H2597" s="67" t="str">
        <f>IFERROR(IFERROR(INDEX(Кат!$I:$I,MATCH(Прайс!$B2597,Кат!$G:$G,0)),INDEX(Торг!$I:$I,MATCH(Прайс!$B2597,Торг!$H:$H,0))),"")</f>
        <v/>
      </c>
    </row>
    <row r="2598" spans="1:8" x14ac:dyDescent="0.25">
      <c r="A2598" s="94" t="s">
        <v>3949</v>
      </c>
      <c r="B2598" s="98">
        <v>13043</v>
      </c>
      <c r="C2598" s="98" t="s">
        <v>7718</v>
      </c>
      <c r="D2598" s="96" t="s">
        <v>433</v>
      </c>
      <c r="E2598" s="97">
        <v>800</v>
      </c>
      <c r="F2598" s="67" t="str">
        <f>IFERROR(IFERROR(INDEX(Кат!$A:$A,MATCH(Прайс!$B2598,Кат!$G:$G,0)),INDEX(Торг!$B:$B,MATCH(Прайс!$B2598,Торг!$H:$H,0))),"")</f>
        <v/>
      </c>
      <c r="G2598" s="67" t="str">
        <f>IFERROR(IFERROR(INDEX(Кат!$B:$B,MATCH(Прайс!$B2598,Кат!$G:$G,0)),INDEX(Торг!$C:$C,MATCH(Прайс!$B2598,Торг!$H:$H,0))),"")</f>
        <v/>
      </c>
      <c r="H2598" s="67" t="str">
        <f>IFERROR(IFERROR(INDEX(Кат!$I:$I,MATCH(Прайс!$B2598,Кат!$G:$G,0)),INDEX(Торг!$I:$I,MATCH(Прайс!$B2598,Торг!$H:$H,0))),"")</f>
        <v/>
      </c>
    </row>
    <row r="2599" spans="1:8" x14ac:dyDescent="0.25">
      <c r="A2599" s="94" t="s">
        <v>3950</v>
      </c>
      <c r="B2599" s="98">
        <v>13023</v>
      </c>
      <c r="C2599" s="98" t="s">
        <v>7719</v>
      </c>
      <c r="D2599" s="96" t="s">
        <v>433</v>
      </c>
      <c r="E2599" s="107">
        <v>1250</v>
      </c>
      <c r="F2599" s="67" t="str">
        <f>IFERROR(IFERROR(INDEX(Кат!$A:$A,MATCH(Прайс!$B2599,Кат!$G:$G,0)),INDEX(Торг!$B:$B,MATCH(Прайс!$B2599,Торг!$H:$H,0))),"")</f>
        <v/>
      </c>
      <c r="G2599" s="67" t="str">
        <f>IFERROR(IFERROR(INDEX(Кат!$B:$B,MATCH(Прайс!$B2599,Кат!$G:$G,0)),INDEX(Торг!$C:$C,MATCH(Прайс!$B2599,Торг!$H:$H,0))),"")</f>
        <v/>
      </c>
      <c r="H2599" s="67" t="str">
        <f>IFERROR(IFERROR(INDEX(Кат!$I:$I,MATCH(Прайс!$B2599,Кат!$G:$G,0)),INDEX(Торг!$I:$I,MATCH(Прайс!$B2599,Торг!$H:$H,0))),"")</f>
        <v/>
      </c>
    </row>
    <row r="2600" spans="1:8" x14ac:dyDescent="0.25">
      <c r="A2600" s="94" t="s">
        <v>3951</v>
      </c>
      <c r="B2600" s="98">
        <v>13024</v>
      </c>
      <c r="C2600" s="98" t="s">
        <v>7720</v>
      </c>
      <c r="D2600" s="96" t="s">
        <v>433</v>
      </c>
      <c r="E2600" s="107">
        <v>1400</v>
      </c>
      <c r="F2600" s="67" t="str">
        <f>IFERROR(IFERROR(INDEX(Кат!$A:$A,MATCH(Прайс!$B2600,Кат!$G:$G,0)),INDEX(Торг!$B:$B,MATCH(Прайс!$B2600,Торг!$H:$H,0))),"")</f>
        <v/>
      </c>
      <c r="G2600" s="67" t="str">
        <f>IFERROR(IFERROR(INDEX(Кат!$B:$B,MATCH(Прайс!$B2600,Кат!$G:$G,0)),INDEX(Торг!$C:$C,MATCH(Прайс!$B2600,Торг!$H:$H,0))),"")</f>
        <v/>
      </c>
      <c r="H2600" s="67" t="str">
        <f>IFERROR(IFERROR(INDEX(Кат!$I:$I,MATCH(Прайс!$B2600,Кат!$G:$G,0)),INDEX(Торг!$I:$I,MATCH(Прайс!$B2600,Торг!$H:$H,0))),"")</f>
        <v/>
      </c>
    </row>
    <row r="2601" spans="1:8" x14ac:dyDescent="0.25">
      <c r="A2601" s="94" t="s">
        <v>7721</v>
      </c>
      <c r="B2601" s="98">
        <v>13056</v>
      </c>
      <c r="C2601" s="98" t="s">
        <v>7722</v>
      </c>
      <c r="D2601" s="96" t="s">
        <v>433</v>
      </c>
      <c r="E2601" s="107">
        <v>1300</v>
      </c>
      <c r="F2601" s="67" t="str">
        <f>IFERROR(IFERROR(INDEX(Кат!$A:$A,MATCH(Прайс!$B2601,Кат!$G:$G,0)),INDEX(Торг!$B:$B,MATCH(Прайс!$B2601,Торг!$H:$H,0))),"")</f>
        <v/>
      </c>
      <c r="G2601" s="67" t="str">
        <f>IFERROR(IFERROR(INDEX(Кат!$B:$B,MATCH(Прайс!$B2601,Кат!$G:$G,0)),INDEX(Торг!$C:$C,MATCH(Прайс!$B2601,Торг!$H:$H,0))),"")</f>
        <v/>
      </c>
      <c r="H2601" s="67" t="str">
        <f>IFERROR(IFERROR(INDEX(Кат!$I:$I,MATCH(Прайс!$B2601,Кат!$G:$G,0)),INDEX(Торг!$I:$I,MATCH(Прайс!$B2601,Торг!$H:$H,0))),"")</f>
        <v/>
      </c>
    </row>
    <row r="2602" spans="1:8" x14ac:dyDescent="0.25">
      <c r="A2602" s="94" t="s">
        <v>3952</v>
      </c>
      <c r="B2602" s="98">
        <v>13026</v>
      </c>
      <c r="C2602" s="98" t="s">
        <v>7723</v>
      </c>
      <c r="D2602" s="96" t="s">
        <v>174</v>
      </c>
      <c r="E2602" s="107">
        <v>1850</v>
      </c>
      <c r="F2602" s="67" t="str">
        <f>IFERROR(IFERROR(INDEX(Кат!$A:$A,MATCH(Прайс!$B2602,Кат!$G:$G,0)),INDEX(Торг!$B:$B,MATCH(Прайс!$B2602,Торг!$H:$H,0))),"")</f>
        <v/>
      </c>
      <c r="G2602" s="67" t="str">
        <f>IFERROR(IFERROR(INDEX(Кат!$B:$B,MATCH(Прайс!$B2602,Кат!$G:$G,0)),INDEX(Торг!$C:$C,MATCH(Прайс!$B2602,Торг!$H:$H,0))),"")</f>
        <v/>
      </c>
      <c r="H2602" s="67" t="str">
        <f>IFERROR(IFERROR(INDEX(Кат!$I:$I,MATCH(Прайс!$B2602,Кат!$G:$G,0)),INDEX(Торг!$I:$I,MATCH(Прайс!$B2602,Торг!$H:$H,0))),"")</f>
        <v/>
      </c>
    </row>
    <row r="2603" spans="1:8" x14ac:dyDescent="0.25">
      <c r="A2603" s="94" t="s">
        <v>3953</v>
      </c>
      <c r="B2603" s="98">
        <v>13016</v>
      </c>
      <c r="C2603" s="98" t="s">
        <v>7724</v>
      </c>
      <c r="D2603" s="96" t="s">
        <v>433</v>
      </c>
      <c r="E2603" s="107">
        <v>1800</v>
      </c>
      <c r="F2603" s="67" t="str">
        <f>IFERROR(IFERROR(INDEX(Кат!$A:$A,MATCH(Прайс!$B2603,Кат!$G:$G,0)),INDEX(Торг!$B:$B,MATCH(Прайс!$B2603,Торг!$H:$H,0))),"")</f>
        <v/>
      </c>
      <c r="G2603" s="67" t="str">
        <f>IFERROR(IFERROR(INDEX(Кат!$B:$B,MATCH(Прайс!$B2603,Кат!$G:$G,0)),INDEX(Торг!$C:$C,MATCH(Прайс!$B2603,Торг!$H:$H,0))),"")</f>
        <v/>
      </c>
      <c r="H2603" s="67" t="str">
        <f>IFERROR(IFERROR(INDEX(Кат!$I:$I,MATCH(Прайс!$B2603,Кат!$G:$G,0)),INDEX(Торг!$I:$I,MATCH(Прайс!$B2603,Торг!$H:$H,0))),"")</f>
        <v/>
      </c>
    </row>
    <row r="2604" spans="1:8" x14ac:dyDescent="0.25">
      <c r="A2604" s="94" t="s">
        <v>7725</v>
      </c>
      <c r="B2604" s="98">
        <v>13027</v>
      </c>
      <c r="C2604" s="98" t="s">
        <v>7726</v>
      </c>
      <c r="D2604" s="96" t="s">
        <v>433</v>
      </c>
      <c r="E2604" s="107">
        <v>1850</v>
      </c>
      <c r="F2604" s="67" t="str">
        <f>IFERROR(IFERROR(INDEX(Кат!$A:$A,MATCH(Прайс!$B2604,Кат!$G:$G,0)),INDEX(Торг!$B:$B,MATCH(Прайс!$B2604,Торг!$H:$H,0))),"")</f>
        <v/>
      </c>
      <c r="G2604" s="67" t="str">
        <f>IFERROR(IFERROR(INDEX(Кат!$B:$B,MATCH(Прайс!$B2604,Кат!$G:$G,0)),INDEX(Торг!$C:$C,MATCH(Прайс!$B2604,Торг!$H:$H,0))),"")</f>
        <v/>
      </c>
      <c r="H2604" s="67" t="str">
        <f>IFERROR(IFERROR(INDEX(Кат!$I:$I,MATCH(Прайс!$B2604,Кат!$G:$G,0)),INDEX(Торг!$I:$I,MATCH(Прайс!$B2604,Торг!$H:$H,0))),"")</f>
        <v/>
      </c>
    </row>
    <row r="2605" spans="1:8" x14ac:dyDescent="0.25">
      <c r="A2605" s="94" t="s">
        <v>3954</v>
      </c>
      <c r="B2605" s="98">
        <v>13028</v>
      </c>
      <c r="C2605" s="98" t="s">
        <v>8611</v>
      </c>
      <c r="D2605" s="96" t="s">
        <v>433</v>
      </c>
      <c r="E2605" s="107">
        <v>1850</v>
      </c>
      <c r="F2605" s="67" t="str">
        <f>IFERROR(IFERROR(INDEX(Кат!$A:$A,MATCH(Прайс!$B2605,Кат!$G:$G,0)),INDEX(Торг!$B:$B,MATCH(Прайс!$B2605,Торг!$H:$H,0))),"")</f>
        <v/>
      </c>
      <c r="G2605" s="67" t="str">
        <f>IFERROR(IFERROR(INDEX(Кат!$B:$B,MATCH(Прайс!$B2605,Кат!$G:$G,0)),INDEX(Торг!$C:$C,MATCH(Прайс!$B2605,Торг!$H:$H,0))),"")</f>
        <v/>
      </c>
      <c r="H2605" s="67" t="str">
        <f>IFERROR(IFERROR(INDEX(Кат!$I:$I,MATCH(Прайс!$B2605,Кат!$G:$G,0)),INDEX(Торг!$I:$I,MATCH(Прайс!$B2605,Торг!$H:$H,0))),"")</f>
        <v/>
      </c>
    </row>
    <row r="2606" spans="1:8" x14ac:dyDescent="0.25">
      <c r="A2606" s="94" t="s">
        <v>3955</v>
      </c>
      <c r="B2606" s="98">
        <v>13029</v>
      </c>
      <c r="C2606" s="98" t="s">
        <v>7727</v>
      </c>
      <c r="D2606" s="96" t="s">
        <v>174</v>
      </c>
      <c r="E2606" s="107">
        <v>1950</v>
      </c>
      <c r="F2606" s="67" t="str">
        <f>IFERROR(IFERROR(INDEX(Кат!$A:$A,MATCH(Прайс!$B2606,Кат!$G:$G,0)),INDEX(Торг!$B:$B,MATCH(Прайс!$B2606,Торг!$H:$H,0))),"")</f>
        <v/>
      </c>
      <c r="G2606" s="67" t="str">
        <f>IFERROR(IFERROR(INDEX(Кат!$B:$B,MATCH(Прайс!$B2606,Кат!$G:$G,0)),INDEX(Торг!$C:$C,MATCH(Прайс!$B2606,Торг!$H:$H,0))),"")</f>
        <v/>
      </c>
      <c r="H2606" s="67" t="str">
        <f>IFERROR(IFERROR(INDEX(Кат!$I:$I,MATCH(Прайс!$B2606,Кат!$G:$G,0)),INDEX(Торг!$I:$I,MATCH(Прайс!$B2606,Торг!$H:$H,0))),"")</f>
        <v/>
      </c>
    </row>
    <row r="2607" spans="1:8" x14ac:dyDescent="0.25">
      <c r="A2607" s="94" t="s">
        <v>7728</v>
      </c>
      <c r="B2607" s="98">
        <v>13061</v>
      </c>
      <c r="C2607" s="98" t="s">
        <v>7729</v>
      </c>
      <c r="D2607" s="96" t="s">
        <v>174</v>
      </c>
      <c r="E2607" s="107">
        <v>2000</v>
      </c>
      <c r="F2607" s="67" t="str">
        <f>IFERROR(IFERROR(INDEX(Кат!$A:$A,MATCH(Прайс!$B2607,Кат!$G:$G,0)),INDEX(Торг!$B:$B,MATCH(Прайс!$B2607,Торг!$H:$H,0))),"")</f>
        <v/>
      </c>
      <c r="G2607" s="67" t="str">
        <f>IFERROR(IFERROR(INDEX(Кат!$B:$B,MATCH(Прайс!$B2607,Кат!$G:$G,0)),INDEX(Торг!$C:$C,MATCH(Прайс!$B2607,Торг!$H:$H,0))),"")</f>
        <v/>
      </c>
      <c r="H2607" s="67" t="str">
        <f>IFERROR(IFERROR(INDEX(Кат!$I:$I,MATCH(Прайс!$B2607,Кат!$G:$G,0)),INDEX(Торг!$I:$I,MATCH(Прайс!$B2607,Торг!$H:$H,0))),"")</f>
        <v/>
      </c>
    </row>
    <row r="2608" spans="1:8" x14ac:dyDescent="0.25">
      <c r="A2608" s="94" t="s">
        <v>3956</v>
      </c>
      <c r="B2608" s="98">
        <v>13045</v>
      </c>
      <c r="C2608" s="98" t="s">
        <v>8612</v>
      </c>
      <c r="D2608" s="96" t="s">
        <v>582</v>
      </c>
      <c r="E2608" s="107">
        <v>1550</v>
      </c>
      <c r="F2608" s="67" t="str">
        <f>IFERROR(IFERROR(INDEX(Кат!$A:$A,MATCH(Прайс!$B2608,Кат!$G:$G,0)),INDEX(Торг!$B:$B,MATCH(Прайс!$B2608,Торг!$H:$H,0))),"")</f>
        <v/>
      </c>
      <c r="G2608" s="67" t="str">
        <f>IFERROR(IFERROR(INDEX(Кат!$B:$B,MATCH(Прайс!$B2608,Кат!$G:$G,0)),INDEX(Торг!$C:$C,MATCH(Прайс!$B2608,Торг!$H:$H,0))),"")</f>
        <v/>
      </c>
      <c r="H2608" s="67" t="str">
        <f>IFERROR(IFERROR(INDEX(Кат!$I:$I,MATCH(Прайс!$B2608,Кат!$G:$G,0)),INDEX(Торг!$I:$I,MATCH(Прайс!$B2608,Торг!$H:$H,0))),"")</f>
        <v/>
      </c>
    </row>
    <row r="2609" spans="1:8" x14ac:dyDescent="0.25">
      <c r="A2609" s="94" t="s">
        <v>7730</v>
      </c>
      <c r="B2609" s="98">
        <v>13057</v>
      </c>
      <c r="C2609" s="98" t="s">
        <v>7731</v>
      </c>
      <c r="D2609" s="96" t="s">
        <v>342</v>
      </c>
      <c r="E2609" s="107">
        <v>4300</v>
      </c>
      <c r="F2609" s="67" t="str">
        <f>IFERROR(IFERROR(INDEX(Кат!$A:$A,MATCH(Прайс!$B2609,Кат!$G:$G,0)),INDEX(Торг!$B:$B,MATCH(Прайс!$B2609,Торг!$H:$H,0))),"")</f>
        <v/>
      </c>
      <c r="G2609" s="67" t="str">
        <f>IFERROR(IFERROR(INDEX(Кат!$B:$B,MATCH(Прайс!$B2609,Кат!$G:$G,0)),INDEX(Торг!$C:$C,MATCH(Прайс!$B2609,Торг!$H:$H,0))),"")</f>
        <v/>
      </c>
      <c r="H2609" s="67" t="str">
        <f>IFERROR(IFERROR(INDEX(Кат!$I:$I,MATCH(Прайс!$B2609,Кат!$G:$G,0)),INDEX(Торг!$I:$I,MATCH(Прайс!$B2609,Торг!$H:$H,0))),"")</f>
        <v/>
      </c>
    </row>
    <row r="2610" spans="1:8" x14ac:dyDescent="0.25">
      <c r="A2610" s="94" t="s">
        <v>7732</v>
      </c>
      <c r="B2610" s="98">
        <v>13058</v>
      </c>
      <c r="C2610" s="98" t="s">
        <v>7733</v>
      </c>
      <c r="D2610" s="96" t="s">
        <v>433</v>
      </c>
      <c r="E2610" s="107">
        <v>1950</v>
      </c>
      <c r="F2610" s="67" t="str">
        <f>IFERROR(IFERROR(INDEX(Кат!$A:$A,MATCH(Прайс!$B2610,Кат!$G:$G,0)),INDEX(Торг!$B:$B,MATCH(Прайс!$B2610,Торг!$H:$H,0))),"")</f>
        <v/>
      </c>
      <c r="G2610" s="67" t="str">
        <f>IFERROR(IFERROR(INDEX(Кат!$B:$B,MATCH(Прайс!$B2610,Кат!$G:$G,0)),INDEX(Торг!$C:$C,MATCH(Прайс!$B2610,Торг!$H:$H,0))),"")</f>
        <v/>
      </c>
      <c r="H2610" s="67" t="str">
        <f>IFERROR(IFERROR(INDEX(Кат!$I:$I,MATCH(Прайс!$B2610,Кат!$G:$G,0)),INDEX(Торг!$I:$I,MATCH(Прайс!$B2610,Торг!$H:$H,0))),"")</f>
        <v/>
      </c>
    </row>
    <row r="2611" spans="1:8" x14ac:dyDescent="0.25">
      <c r="A2611" s="94" t="s">
        <v>3957</v>
      </c>
      <c r="B2611" s="98">
        <v>13044</v>
      </c>
      <c r="C2611" s="98" t="s">
        <v>7734</v>
      </c>
      <c r="D2611" s="96" t="s">
        <v>375</v>
      </c>
      <c r="E2611" s="107">
        <v>2200</v>
      </c>
      <c r="F2611" s="67" t="str">
        <f>IFERROR(IFERROR(INDEX(Кат!$A:$A,MATCH(Прайс!$B2611,Кат!$G:$G,0)),INDEX(Торг!$B:$B,MATCH(Прайс!$B2611,Торг!$H:$H,0))),"")</f>
        <v/>
      </c>
      <c r="G2611" s="67" t="str">
        <f>IFERROR(IFERROR(INDEX(Кат!$B:$B,MATCH(Прайс!$B2611,Кат!$G:$G,0)),INDEX(Торг!$C:$C,MATCH(Прайс!$B2611,Торг!$H:$H,0))),"")</f>
        <v/>
      </c>
      <c r="H2611" s="67" t="str">
        <f>IFERROR(IFERROR(INDEX(Кат!$I:$I,MATCH(Прайс!$B2611,Кат!$G:$G,0)),INDEX(Торг!$I:$I,MATCH(Прайс!$B2611,Торг!$H:$H,0))),"")</f>
        <v/>
      </c>
    </row>
    <row r="2612" spans="1:8" x14ac:dyDescent="0.25">
      <c r="A2612" s="94" t="s">
        <v>3958</v>
      </c>
      <c r="B2612" s="98">
        <v>13040</v>
      </c>
      <c r="C2612" s="98" t="s">
        <v>7735</v>
      </c>
      <c r="D2612" s="96" t="s">
        <v>174</v>
      </c>
      <c r="E2612" s="107">
        <v>2200</v>
      </c>
      <c r="F2612" s="67" t="str">
        <f>IFERROR(IFERROR(INDEX(Кат!$A:$A,MATCH(Прайс!$B2612,Кат!$G:$G,0)),INDEX(Торг!$B:$B,MATCH(Прайс!$B2612,Торг!$H:$H,0))),"")</f>
        <v/>
      </c>
      <c r="G2612" s="67" t="str">
        <f>IFERROR(IFERROR(INDEX(Кат!$B:$B,MATCH(Прайс!$B2612,Кат!$G:$G,0)),INDEX(Торг!$C:$C,MATCH(Прайс!$B2612,Торг!$H:$H,0))),"")</f>
        <v/>
      </c>
      <c r="H2612" s="67" t="str">
        <f>IFERROR(IFERROR(INDEX(Кат!$I:$I,MATCH(Прайс!$B2612,Кат!$G:$G,0)),INDEX(Торг!$I:$I,MATCH(Прайс!$B2612,Торг!$H:$H,0))),"")</f>
        <v/>
      </c>
    </row>
    <row r="2613" spans="1:8" x14ac:dyDescent="0.25">
      <c r="A2613" s="94" t="s">
        <v>3959</v>
      </c>
      <c r="B2613" s="98">
        <v>13031</v>
      </c>
      <c r="C2613" s="98" t="s">
        <v>7736</v>
      </c>
      <c r="D2613" s="96" t="s">
        <v>375</v>
      </c>
      <c r="E2613" s="107">
        <v>2800</v>
      </c>
      <c r="F2613" s="67" t="str">
        <f>IFERROR(IFERROR(INDEX(Кат!$A:$A,MATCH(Прайс!$B2613,Кат!$G:$G,0)),INDEX(Торг!$B:$B,MATCH(Прайс!$B2613,Торг!$H:$H,0))),"")</f>
        <v/>
      </c>
      <c r="G2613" s="67" t="str">
        <f>IFERROR(IFERROR(INDEX(Кат!$B:$B,MATCH(Прайс!$B2613,Кат!$G:$G,0)),INDEX(Торг!$C:$C,MATCH(Прайс!$B2613,Торг!$H:$H,0))),"")</f>
        <v/>
      </c>
      <c r="H2613" s="67" t="str">
        <f>IFERROR(IFERROR(INDEX(Кат!$I:$I,MATCH(Прайс!$B2613,Кат!$G:$G,0)),INDEX(Торг!$I:$I,MATCH(Прайс!$B2613,Торг!$H:$H,0))),"")</f>
        <v/>
      </c>
    </row>
    <row r="2614" spans="1:8" x14ac:dyDescent="0.25">
      <c r="A2614" s="94" t="s">
        <v>6409</v>
      </c>
      <c r="B2614" s="98">
        <v>13018</v>
      </c>
      <c r="C2614" s="98" t="s">
        <v>7737</v>
      </c>
      <c r="D2614" s="96" t="s">
        <v>375</v>
      </c>
      <c r="E2614" s="107">
        <v>2950</v>
      </c>
      <c r="F2614" s="67" t="str">
        <f>IFERROR(IFERROR(INDEX(Кат!$A:$A,MATCH(Прайс!$B2614,Кат!$G:$G,0)),INDEX(Торг!$B:$B,MATCH(Прайс!$B2614,Торг!$H:$H,0))),"")</f>
        <v/>
      </c>
      <c r="G2614" s="67" t="str">
        <f>IFERROR(IFERROR(INDEX(Кат!$B:$B,MATCH(Прайс!$B2614,Кат!$G:$G,0)),INDEX(Торг!$C:$C,MATCH(Прайс!$B2614,Торг!$H:$H,0))),"")</f>
        <v/>
      </c>
      <c r="H2614" s="67" t="str">
        <f>IFERROR(IFERROR(INDEX(Кат!$I:$I,MATCH(Прайс!$B2614,Кат!$G:$G,0)),INDEX(Торг!$I:$I,MATCH(Прайс!$B2614,Торг!$H:$H,0))),"")</f>
        <v/>
      </c>
    </row>
    <row r="2615" spans="1:8" x14ac:dyDescent="0.25">
      <c r="A2615" s="94" t="s">
        <v>3960</v>
      </c>
      <c r="B2615" s="98">
        <v>13019</v>
      </c>
      <c r="C2615" s="98" t="s">
        <v>7738</v>
      </c>
      <c r="D2615" s="96" t="s">
        <v>375</v>
      </c>
      <c r="E2615" s="107">
        <v>2650</v>
      </c>
      <c r="F2615" s="67" t="str">
        <f>IFERROR(IFERROR(INDEX(Кат!$A:$A,MATCH(Прайс!$B2615,Кат!$G:$G,0)),INDEX(Торг!$B:$B,MATCH(Прайс!$B2615,Торг!$H:$H,0))),"")</f>
        <v/>
      </c>
      <c r="G2615" s="67" t="str">
        <f>IFERROR(IFERROR(INDEX(Кат!$B:$B,MATCH(Прайс!$B2615,Кат!$G:$G,0)),INDEX(Торг!$C:$C,MATCH(Прайс!$B2615,Торг!$H:$H,0))),"")</f>
        <v/>
      </c>
      <c r="H2615" s="67" t="str">
        <f>IFERROR(IFERROR(INDEX(Кат!$I:$I,MATCH(Прайс!$B2615,Кат!$G:$G,0)),INDEX(Торг!$I:$I,MATCH(Прайс!$B2615,Торг!$H:$H,0))),"")</f>
        <v/>
      </c>
    </row>
    <row r="2616" spans="1:8" x14ac:dyDescent="0.25">
      <c r="A2616" s="109" t="s">
        <v>8613</v>
      </c>
      <c r="B2616" s="110">
        <v>13086</v>
      </c>
      <c r="C2616" s="110" t="s">
        <v>8614</v>
      </c>
      <c r="D2616" s="111" t="s">
        <v>375</v>
      </c>
      <c r="E2616" s="115">
        <v>1800</v>
      </c>
      <c r="F2616" s="67" t="str">
        <f>IFERROR(IFERROR(INDEX(Кат!$A:$A,MATCH(Прайс!$B2616,Кат!$G:$G,0)),INDEX(Торг!$B:$B,MATCH(Прайс!$B2616,Торг!$H:$H,0))),"")</f>
        <v/>
      </c>
      <c r="G2616" s="67" t="str">
        <f>IFERROR(IFERROR(INDEX(Кат!$B:$B,MATCH(Прайс!$B2616,Кат!$G:$G,0)),INDEX(Торг!$C:$C,MATCH(Прайс!$B2616,Торг!$H:$H,0))),"")</f>
        <v/>
      </c>
      <c r="H2616" s="67" t="str">
        <f>IFERROR(IFERROR(INDEX(Кат!$I:$I,MATCH(Прайс!$B2616,Кат!$G:$G,0)),INDEX(Торг!$I:$I,MATCH(Прайс!$B2616,Торг!$H:$H,0))),"")</f>
        <v/>
      </c>
    </row>
    <row r="2617" spans="1:8" x14ac:dyDescent="0.25">
      <c r="A2617" s="94" t="s">
        <v>8615</v>
      </c>
      <c r="B2617" s="95">
        <v>13062</v>
      </c>
      <c r="C2617" s="95" t="s">
        <v>8616</v>
      </c>
      <c r="D2617" s="96" t="s">
        <v>433</v>
      </c>
      <c r="E2617" s="97">
        <v>700</v>
      </c>
      <c r="F2617" s="67" t="str">
        <f>IFERROR(IFERROR(INDEX(Кат!$A:$A,MATCH(Прайс!$B2617,Кат!$G:$G,0)),INDEX(Торг!$B:$B,MATCH(Прайс!$B2617,Торг!$H:$H,0))),"")</f>
        <v/>
      </c>
      <c r="G2617" s="67" t="str">
        <f>IFERROR(IFERROR(INDEX(Кат!$B:$B,MATCH(Прайс!$B2617,Кат!$G:$G,0)),INDEX(Торг!$C:$C,MATCH(Прайс!$B2617,Торг!$H:$H,0))),"")</f>
        <v/>
      </c>
      <c r="H2617" s="67" t="str">
        <f>IFERROR(IFERROR(INDEX(Кат!$I:$I,MATCH(Прайс!$B2617,Кат!$G:$G,0)),INDEX(Торг!$I:$I,MATCH(Прайс!$B2617,Торг!$H:$H,0))),"")</f>
        <v/>
      </c>
    </row>
    <row r="2618" spans="1:8" x14ac:dyDescent="0.25">
      <c r="A2618" s="94" t="s">
        <v>3961</v>
      </c>
      <c r="B2618" s="98">
        <v>13035</v>
      </c>
      <c r="C2618" s="98" t="s">
        <v>1384</v>
      </c>
      <c r="D2618" s="96" t="s">
        <v>433</v>
      </c>
      <c r="E2618" s="97">
        <v>800</v>
      </c>
      <c r="F2618" s="67" t="str">
        <f>IFERROR(IFERROR(INDEX(Кат!$A:$A,MATCH(Прайс!$B2618,Кат!$G:$G,0)),INDEX(Торг!$B:$B,MATCH(Прайс!$B2618,Торг!$H:$H,0))),"")</f>
        <v/>
      </c>
      <c r="G2618" s="67" t="str">
        <f>IFERROR(IFERROR(INDEX(Кат!$B:$B,MATCH(Прайс!$B2618,Кат!$G:$G,0)),INDEX(Торг!$C:$C,MATCH(Прайс!$B2618,Торг!$H:$H,0))),"")</f>
        <v/>
      </c>
      <c r="H2618" s="67" t="str">
        <f>IFERROR(IFERROR(INDEX(Кат!$I:$I,MATCH(Прайс!$B2618,Кат!$G:$G,0)),INDEX(Торг!$I:$I,MATCH(Прайс!$B2618,Торг!$H:$H,0))),"")</f>
        <v/>
      </c>
    </row>
    <row r="2619" spans="1:8" x14ac:dyDescent="0.25">
      <c r="A2619" s="94" t="s">
        <v>8617</v>
      </c>
      <c r="B2619" s="98">
        <v>13010</v>
      </c>
      <c r="C2619" s="98" t="s">
        <v>8618</v>
      </c>
      <c r="D2619" s="96" t="s">
        <v>433</v>
      </c>
      <c r="E2619" s="107">
        <v>1850</v>
      </c>
      <c r="F2619" s="67" t="str">
        <f>IFERROR(IFERROR(INDEX(Кат!$A:$A,MATCH(Прайс!$B2619,Кат!$G:$G,0)),INDEX(Торг!$B:$B,MATCH(Прайс!$B2619,Торг!$H:$H,0))),"")</f>
        <v/>
      </c>
      <c r="G2619" s="67" t="str">
        <f>IFERROR(IFERROR(INDEX(Кат!$B:$B,MATCH(Прайс!$B2619,Кат!$G:$G,0)),INDEX(Торг!$C:$C,MATCH(Прайс!$B2619,Торг!$H:$H,0))),"")</f>
        <v/>
      </c>
      <c r="H2619" s="67" t="str">
        <f>IFERROR(IFERROR(INDEX(Кат!$I:$I,MATCH(Прайс!$B2619,Кат!$G:$G,0)),INDEX(Торг!$I:$I,MATCH(Прайс!$B2619,Торг!$H:$H,0))),"")</f>
        <v/>
      </c>
    </row>
    <row r="2620" spans="1:8" x14ac:dyDescent="0.25">
      <c r="A2620" s="94" t="s">
        <v>3962</v>
      </c>
      <c r="B2620" s="98">
        <v>13011</v>
      </c>
      <c r="C2620" s="98" t="s">
        <v>4937</v>
      </c>
      <c r="D2620" s="96" t="s">
        <v>433</v>
      </c>
      <c r="E2620" s="107">
        <v>1050</v>
      </c>
      <c r="F2620" s="67" t="str">
        <f>IFERROR(IFERROR(INDEX(Кат!$A:$A,MATCH(Прайс!$B2620,Кат!$G:$G,0)),INDEX(Торг!$B:$B,MATCH(Прайс!$B2620,Торг!$H:$H,0))),"")</f>
        <v/>
      </c>
      <c r="G2620" s="67" t="str">
        <f>IFERROR(IFERROR(INDEX(Кат!$B:$B,MATCH(Прайс!$B2620,Кат!$G:$G,0)),INDEX(Торг!$C:$C,MATCH(Прайс!$B2620,Торг!$H:$H,0))),"")</f>
        <v/>
      </c>
      <c r="H2620" s="67" t="str">
        <f>IFERROR(IFERROR(INDEX(Кат!$I:$I,MATCH(Прайс!$B2620,Кат!$G:$G,0)),INDEX(Торг!$I:$I,MATCH(Прайс!$B2620,Торг!$H:$H,0))),"")</f>
        <v/>
      </c>
    </row>
    <row r="2621" spans="1:8" x14ac:dyDescent="0.25">
      <c r="A2621" s="94" t="s">
        <v>5953</v>
      </c>
      <c r="B2621" s="98">
        <v>13012</v>
      </c>
      <c r="C2621" s="98" t="s">
        <v>5954</v>
      </c>
      <c r="D2621" s="96" t="s">
        <v>174</v>
      </c>
      <c r="E2621" s="107">
        <v>1500</v>
      </c>
      <c r="F2621" s="67" t="str">
        <f>IFERROR(IFERROR(INDEX(Кат!$A:$A,MATCH(Прайс!$B2621,Кат!$G:$G,0)),INDEX(Торг!$B:$B,MATCH(Прайс!$B2621,Торг!$H:$H,0))),"")</f>
        <v/>
      </c>
      <c r="G2621" s="67" t="str">
        <f>IFERROR(IFERROR(INDEX(Кат!$B:$B,MATCH(Прайс!$B2621,Кат!$G:$G,0)),INDEX(Торг!$C:$C,MATCH(Прайс!$B2621,Торг!$H:$H,0))),"")</f>
        <v/>
      </c>
      <c r="H2621" s="67" t="str">
        <f>IFERROR(IFERROR(INDEX(Кат!$I:$I,MATCH(Прайс!$B2621,Кат!$G:$G,0)),INDEX(Торг!$I:$I,MATCH(Прайс!$B2621,Торг!$H:$H,0))),"")</f>
        <v/>
      </c>
    </row>
    <row r="2622" spans="1:8" x14ac:dyDescent="0.25">
      <c r="A2622" s="94" t="s">
        <v>3963</v>
      </c>
      <c r="B2622" s="98">
        <v>13013</v>
      </c>
      <c r="C2622" s="98" t="s">
        <v>4938</v>
      </c>
      <c r="D2622" s="96" t="s">
        <v>174</v>
      </c>
      <c r="E2622" s="107">
        <v>2250</v>
      </c>
      <c r="F2622" s="67" t="str">
        <f>IFERROR(IFERROR(INDEX(Кат!$A:$A,MATCH(Прайс!$B2622,Кат!$G:$G,0)),INDEX(Торг!$B:$B,MATCH(Прайс!$B2622,Торг!$H:$H,0))),"")</f>
        <v/>
      </c>
      <c r="G2622" s="67" t="str">
        <f>IFERROR(IFERROR(INDEX(Кат!$B:$B,MATCH(Прайс!$B2622,Кат!$G:$G,0)),INDEX(Торг!$C:$C,MATCH(Прайс!$B2622,Торг!$H:$H,0))),"")</f>
        <v/>
      </c>
      <c r="H2622" s="67" t="str">
        <f>IFERROR(IFERROR(INDEX(Кат!$I:$I,MATCH(Прайс!$B2622,Кат!$G:$G,0)),INDEX(Торг!$I:$I,MATCH(Прайс!$B2622,Торг!$H:$H,0))),"")</f>
        <v/>
      </c>
    </row>
    <row r="2623" spans="1:8" x14ac:dyDescent="0.25">
      <c r="A2623" s="94" t="s">
        <v>3964</v>
      </c>
      <c r="B2623" s="98">
        <v>13039</v>
      </c>
      <c r="C2623" s="98" t="s">
        <v>7002</v>
      </c>
      <c r="D2623" s="96" t="s">
        <v>433</v>
      </c>
      <c r="E2623" s="107">
        <v>1700</v>
      </c>
      <c r="F2623" s="67" t="str">
        <f>IFERROR(IFERROR(INDEX(Кат!$A:$A,MATCH(Прайс!$B2623,Кат!$G:$G,0)),INDEX(Торг!$B:$B,MATCH(Прайс!$B2623,Торг!$H:$H,0))),"")</f>
        <v/>
      </c>
      <c r="G2623" s="67" t="str">
        <f>IFERROR(IFERROR(INDEX(Кат!$B:$B,MATCH(Прайс!$B2623,Кат!$G:$G,0)),INDEX(Торг!$C:$C,MATCH(Прайс!$B2623,Торг!$H:$H,0))),"")</f>
        <v/>
      </c>
      <c r="H2623" s="67" t="str">
        <f>IFERROR(IFERROR(INDEX(Кат!$I:$I,MATCH(Прайс!$B2623,Кат!$G:$G,0)),INDEX(Торг!$I:$I,MATCH(Прайс!$B2623,Торг!$H:$H,0))),"")</f>
        <v/>
      </c>
    </row>
    <row r="2624" spans="1:8" x14ac:dyDescent="0.25">
      <c r="A2624" s="94" t="s">
        <v>3965</v>
      </c>
      <c r="B2624" s="98">
        <v>13036</v>
      </c>
      <c r="C2624" s="98" t="s">
        <v>7739</v>
      </c>
      <c r="D2624" s="96" t="s">
        <v>375</v>
      </c>
      <c r="E2624" s="107">
        <v>2950</v>
      </c>
      <c r="F2624" s="67" t="str">
        <f>IFERROR(IFERROR(INDEX(Кат!$A:$A,MATCH(Прайс!$B2624,Кат!$G:$G,0)),INDEX(Торг!$B:$B,MATCH(Прайс!$B2624,Торг!$H:$H,0))),"")</f>
        <v/>
      </c>
      <c r="G2624" s="67" t="str">
        <f>IFERROR(IFERROR(INDEX(Кат!$B:$B,MATCH(Прайс!$B2624,Кат!$G:$G,0)),INDEX(Торг!$C:$C,MATCH(Прайс!$B2624,Торг!$H:$H,0))),"")</f>
        <v/>
      </c>
      <c r="H2624" s="67" t="str">
        <f>IFERROR(IFERROR(INDEX(Кат!$I:$I,MATCH(Прайс!$B2624,Кат!$G:$G,0)),INDEX(Торг!$I:$I,MATCH(Прайс!$B2624,Торг!$H:$H,0))),"")</f>
        <v/>
      </c>
    </row>
    <row r="2625" spans="1:8" x14ac:dyDescent="0.25">
      <c r="A2625" s="94" t="s">
        <v>3966</v>
      </c>
      <c r="B2625" s="98">
        <v>13038</v>
      </c>
      <c r="C2625" s="98" t="s">
        <v>7740</v>
      </c>
      <c r="D2625" s="96" t="s">
        <v>375</v>
      </c>
      <c r="E2625" s="107">
        <v>2200</v>
      </c>
      <c r="F2625" s="67" t="str">
        <f>IFERROR(IFERROR(INDEX(Кат!$A:$A,MATCH(Прайс!$B2625,Кат!$G:$G,0)),INDEX(Торг!$B:$B,MATCH(Прайс!$B2625,Торг!$H:$H,0))),"")</f>
        <v/>
      </c>
      <c r="G2625" s="67" t="str">
        <f>IFERROR(IFERROR(INDEX(Кат!$B:$B,MATCH(Прайс!$B2625,Кат!$G:$G,0)),INDEX(Торг!$C:$C,MATCH(Прайс!$B2625,Торг!$H:$H,0))),"")</f>
        <v/>
      </c>
      <c r="H2625" s="67" t="str">
        <f>IFERROR(IFERROR(INDEX(Кат!$I:$I,MATCH(Прайс!$B2625,Кат!$G:$G,0)),INDEX(Торг!$I:$I,MATCH(Прайс!$B2625,Торг!$H:$H,0))),"")</f>
        <v/>
      </c>
    </row>
    <row r="2626" spans="1:8" x14ac:dyDescent="0.25">
      <c r="A2626" s="94" t="s">
        <v>7741</v>
      </c>
      <c r="B2626" s="98">
        <v>13059</v>
      </c>
      <c r="C2626" s="98" t="s">
        <v>7742</v>
      </c>
      <c r="D2626" s="96" t="s">
        <v>174</v>
      </c>
      <c r="E2626" s="107">
        <v>2000</v>
      </c>
      <c r="F2626" s="67" t="str">
        <f>IFERROR(IFERROR(INDEX(Кат!$A:$A,MATCH(Прайс!$B2626,Кат!$G:$G,0)),INDEX(Торг!$B:$B,MATCH(Прайс!$B2626,Торг!$H:$H,0))),"")</f>
        <v/>
      </c>
      <c r="G2626" s="67" t="str">
        <f>IFERROR(IFERROR(INDEX(Кат!$B:$B,MATCH(Прайс!$B2626,Кат!$G:$G,0)),INDEX(Торг!$C:$C,MATCH(Прайс!$B2626,Торг!$H:$H,0))),"")</f>
        <v/>
      </c>
      <c r="H2626" s="67" t="str">
        <f>IFERROR(IFERROR(INDEX(Кат!$I:$I,MATCH(Прайс!$B2626,Кат!$G:$G,0)),INDEX(Торг!$I:$I,MATCH(Прайс!$B2626,Торг!$H:$H,0))),"")</f>
        <v/>
      </c>
    </row>
    <row r="2627" spans="1:8" x14ac:dyDescent="0.25">
      <c r="A2627" s="94" t="s">
        <v>7743</v>
      </c>
      <c r="B2627" s="98">
        <v>13060</v>
      </c>
      <c r="C2627" s="98" t="s">
        <v>7744</v>
      </c>
      <c r="D2627" s="96" t="s">
        <v>375</v>
      </c>
      <c r="E2627" s="107">
        <v>2700</v>
      </c>
      <c r="F2627" s="67" t="str">
        <f>IFERROR(IFERROR(INDEX(Кат!$A:$A,MATCH(Прайс!$B2627,Кат!$G:$G,0)),INDEX(Торг!$B:$B,MATCH(Прайс!$B2627,Торг!$H:$H,0))),"")</f>
        <v/>
      </c>
      <c r="G2627" s="67" t="str">
        <f>IFERROR(IFERROR(INDEX(Кат!$B:$B,MATCH(Прайс!$B2627,Кат!$G:$G,0)),INDEX(Торг!$C:$C,MATCH(Прайс!$B2627,Торг!$H:$H,0))),"")</f>
        <v/>
      </c>
      <c r="H2627" s="67" t="str">
        <f>IFERROR(IFERROR(INDEX(Кат!$I:$I,MATCH(Прайс!$B2627,Кат!$G:$G,0)),INDEX(Торг!$I:$I,MATCH(Прайс!$B2627,Торг!$H:$H,0))),"")</f>
        <v/>
      </c>
    </row>
    <row r="2628" spans="1:8" x14ac:dyDescent="0.25">
      <c r="A2628" s="94" t="s">
        <v>6410</v>
      </c>
      <c r="B2628" s="98">
        <v>13051</v>
      </c>
      <c r="C2628" s="98" t="s">
        <v>7745</v>
      </c>
      <c r="D2628" s="96" t="s">
        <v>375</v>
      </c>
      <c r="E2628" s="107">
        <v>2700</v>
      </c>
      <c r="F2628" s="67" t="str">
        <f>IFERROR(IFERROR(INDEX(Кат!$A:$A,MATCH(Прайс!$B2628,Кат!$G:$G,0)),INDEX(Торг!$B:$B,MATCH(Прайс!$B2628,Торг!$H:$H,0))),"")</f>
        <v/>
      </c>
      <c r="G2628" s="67" t="str">
        <f>IFERROR(IFERROR(INDEX(Кат!$B:$B,MATCH(Прайс!$B2628,Кат!$G:$G,0)),INDEX(Торг!$C:$C,MATCH(Прайс!$B2628,Торг!$H:$H,0))),"")</f>
        <v/>
      </c>
      <c r="H2628" s="67" t="str">
        <f>IFERROR(IFERROR(INDEX(Кат!$I:$I,MATCH(Прайс!$B2628,Кат!$G:$G,0)),INDEX(Торг!$I:$I,MATCH(Прайс!$B2628,Торг!$H:$H,0))),"")</f>
        <v/>
      </c>
    </row>
    <row r="2629" spans="1:8" x14ac:dyDescent="0.25">
      <c r="A2629" s="94" t="s">
        <v>3967</v>
      </c>
      <c r="B2629" s="98">
        <v>13015</v>
      </c>
      <c r="C2629" s="98" t="s">
        <v>7746</v>
      </c>
      <c r="D2629" s="96" t="s">
        <v>7747</v>
      </c>
      <c r="E2629" s="107">
        <v>2200</v>
      </c>
      <c r="F2629" s="67" t="str">
        <f>IFERROR(IFERROR(INDEX(Кат!$A:$A,MATCH(Прайс!$B2629,Кат!$G:$G,0)),INDEX(Торг!$B:$B,MATCH(Прайс!$B2629,Торг!$H:$H,0))),"")</f>
        <v/>
      </c>
      <c r="G2629" s="67" t="str">
        <f>IFERROR(IFERROR(INDEX(Кат!$B:$B,MATCH(Прайс!$B2629,Кат!$G:$G,0)),INDEX(Торг!$C:$C,MATCH(Прайс!$B2629,Торг!$H:$H,0))),"")</f>
        <v/>
      </c>
      <c r="H2629" s="67" t="str">
        <f>IFERROR(IFERROR(INDEX(Кат!$I:$I,MATCH(Прайс!$B2629,Кат!$G:$G,0)),INDEX(Торг!$I:$I,MATCH(Прайс!$B2629,Торг!$H:$H,0))),"")</f>
        <v/>
      </c>
    </row>
    <row r="2630" spans="1:8" x14ac:dyDescent="0.25">
      <c r="A2630" s="94" t="s">
        <v>7003</v>
      </c>
      <c r="B2630" s="98">
        <v>13054</v>
      </c>
      <c r="C2630" s="98" t="s">
        <v>7004</v>
      </c>
      <c r="D2630" s="96" t="s">
        <v>174</v>
      </c>
      <c r="E2630" s="107">
        <v>1900</v>
      </c>
      <c r="F2630" s="67" t="str">
        <f>IFERROR(IFERROR(INDEX(Кат!$A:$A,MATCH(Прайс!$B2630,Кат!$G:$G,0)),INDEX(Торг!$B:$B,MATCH(Прайс!$B2630,Торг!$H:$H,0))),"")</f>
        <v/>
      </c>
      <c r="G2630" s="67" t="str">
        <f>IFERROR(IFERROR(INDEX(Кат!$B:$B,MATCH(Прайс!$B2630,Кат!$G:$G,0)),INDEX(Торг!$C:$C,MATCH(Прайс!$B2630,Торг!$H:$H,0))),"")</f>
        <v/>
      </c>
      <c r="H2630" s="67" t="str">
        <f>IFERROR(IFERROR(INDEX(Кат!$I:$I,MATCH(Прайс!$B2630,Кат!$G:$G,0)),INDEX(Торг!$I:$I,MATCH(Прайс!$B2630,Торг!$H:$H,0))),"")</f>
        <v/>
      </c>
    </row>
    <row r="2631" spans="1:8" ht="15.75" x14ac:dyDescent="0.25">
      <c r="A2631" s="87"/>
      <c r="B2631" s="88"/>
      <c r="C2631" s="88" t="s">
        <v>1385</v>
      </c>
      <c r="D2631" s="88"/>
      <c r="E2631" s="89"/>
      <c r="F2631" s="67" t="str">
        <f>IFERROR(IFERROR(INDEX(Кат!$A:$A,MATCH(Прайс!$B2631,Кат!$G:$G,0)),INDEX(Торг!$B:$B,MATCH(Прайс!$B2631,Торг!$H:$H,0))),"")</f>
        <v/>
      </c>
      <c r="G2631" s="67" t="str">
        <f>IFERROR(IFERROR(INDEX(Кат!$B:$B,MATCH(Прайс!$B2631,Кат!$G:$G,0)),INDEX(Торг!$C:$C,MATCH(Прайс!$B2631,Торг!$H:$H,0))),"")</f>
        <v/>
      </c>
      <c r="H2631" s="67" t="str">
        <f>IFERROR(IFERROR(INDEX(Кат!$I:$I,MATCH(Прайс!$B2631,Кат!$G:$G,0)),INDEX(Торг!$I:$I,MATCH(Прайс!$B2631,Торг!$H:$H,0))),"")</f>
        <v/>
      </c>
    </row>
    <row r="2632" spans="1:8" ht="15.75" x14ac:dyDescent="0.25">
      <c r="A2632" s="90"/>
      <c r="B2632" s="91"/>
      <c r="C2632" s="92" t="s">
        <v>1386</v>
      </c>
      <c r="D2632" s="91"/>
      <c r="E2632" s="93"/>
      <c r="F2632" s="67" t="str">
        <f>IFERROR(IFERROR(INDEX(Кат!$A:$A,MATCH(Прайс!$B2632,Кат!$G:$G,0)),INDEX(Торг!$B:$B,MATCH(Прайс!$B2632,Торг!$H:$H,0))),"")</f>
        <v/>
      </c>
      <c r="G2632" s="67" t="str">
        <f>IFERROR(IFERROR(INDEX(Кат!$B:$B,MATCH(Прайс!$B2632,Кат!$G:$G,0)),INDEX(Торг!$C:$C,MATCH(Прайс!$B2632,Торг!$H:$H,0))),"")</f>
        <v/>
      </c>
      <c r="H2632" s="67" t="str">
        <f>IFERROR(IFERROR(INDEX(Кат!$I:$I,MATCH(Прайс!$B2632,Кат!$G:$G,0)),INDEX(Торг!$I:$I,MATCH(Прайс!$B2632,Торг!$H:$H,0))),"")</f>
        <v/>
      </c>
    </row>
    <row r="2633" spans="1:8" x14ac:dyDescent="0.25">
      <c r="A2633" s="94" t="s">
        <v>3968</v>
      </c>
      <c r="B2633" s="98">
        <v>14038</v>
      </c>
      <c r="C2633" s="98" t="s">
        <v>1387</v>
      </c>
      <c r="D2633" s="96" t="s">
        <v>337</v>
      </c>
      <c r="E2633" s="97">
        <v>100</v>
      </c>
      <c r="F2633" s="67" t="str">
        <f>IFERROR(IFERROR(INDEX(Кат!$A:$A,MATCH(Прайс!$B2633,Кат!$G:$G,0)),INDEX(Торг!$B:$B,MATCH(Прайс!$B2633,Торг!$H:$H,0))),"")</f>
        <v/>
      </c>
      <c r="G2633" s="67" t="str">
        <f>IFERROR(IFERROR(INDEX(Кат!$B:$B,MATCH(Прайс!$B2633,Кат!$G:$G,0)),INDEX(Торг!$C:$C,MATCH(Прайс!$B2633,Торг!$H:$H,0))),"")</f>
        <v/>
      </c>
      <c r="H2633" s="67" t="str">
        <f>IFERROR(IFERROR(INDEX(Кат!$I:$I,MATCH(Прайс!$B2633,Кат!$G:$G,0)),INDEX(Торг!$I:$I,MATCH(Прайс!$B2633,Торг!$H:$H,0))),"")</f>
        <v/>
      </c>
    </row>
    <row r="2634" spans="1:8" x14ac:dyDescent="0.25">
      <c r="A2634" s="94" t="s">
        <v>3969</v>
      </c>
      <c r="B2634" s="98">
        <v>14002</v>
      </c>
      <c r="C2634" s="98" t="s">
        <v>7748</v>
      </c>
      <c r="D2634" s="96" t="s">
        <v>174</v>
      </c>
      <c r="E2634" s="97">
        <v>205</v>
      </c>
      <c r="F2634" s="67" t="str">
        <f>IFERROR(IFERROR(INDEX(Кат!$A:$A,MATCH(Прайс!$B2634,Кат!$G:$G,0)),INDEX(Торг!$B:$B,MATCH(Прайс!$B2634,Торг!$H:$H,0))),"")</f>
        <v/>
      </c>
      <c r="G2634" s="67" t="str">
        <f>IFERROR(IFERROR(INDEX(Кат!$B:$B,MATCH(Прайс!$B2634,Кат!$G:$G,0)),INDEX(Торг!$C:$C,MATCH(Прайс!$B2634,Торг!$H:$H,0))),"")</f>
        <v/>
      </c>
      <c r="H2634" s="67" t="str">
        <f>IFERROR(IFERROR(INDEX(Кат!$I:$I,MATCH(Прайс!$B2634,Кат!$G:$G,0)),INDEX(Торг!$I:$I,MATCH(Прайс!$B2634,Торг!$H:$H,0))),"")</f>
        <v/>
      </c>
    </row>
    <row r="2635" spans="1:8" x14ac:dyDescent="0.25">
      <c r="A2635" s="94" t="s">
        <v>3970</v>
      </c>
      <c r="B2635" s="98">
        <v>14004</v>
      </c>
      <c r="C2635" s="98" t="s">
        <v>7749</v>
      </c>
      <c r="D2635" s="96" t="s">
        <v>166</v>
      </c>
      <c r="E2635" s="97">
        <v>370</v>
      </c>
      <c r="F2635" s="67" t="str">
        <f>IFERROR(IFERROR(INDEX(Кат!$A:$A,MATCH(Прайс!$B2635,Кат!$G:$G,0)),INDEX(Торг!$B:$B,MATCH(Прайс!$B2635,Торг!$H:$H,0))),"")</f>
        <v/>
      </c>
      <c r="G2635" s="67" t="str">
        <f>IFERROR(IFERROR(INDEX(Кат!$B:$B,MATCH(Прайс!$B2635,Кат!$G:$G,0)),INDEX(Торг!$C:$C,MATCH(Прайс!$B2635,Торг!$H:$H,0))),"")</f>
        <v/>
      </c>
      <c r="H2635" s="67" t="str">
        <f>IFERROR(IFERROR(INDEX(Кат!$I:$I,MATCH(Прайс!$B2635,Кат!$G:$G,0)),INDEX(Торг!$I:$I,MATCH(Прайс!$B2635,Торг!$H:$H,0))),"")</f>
        <v/>
      </c>
    </row>
    <row r="2636" spans="1:8" x14ac:dyDescent="0.25">
      <c r="A2636" s="94" t="s">
        <v>3971</v>
      </c>
      <c r="B2636" s="98">
        <v>14005</v>
      </c>
      <c r="C2636" s="98" t="s">
        <v>1388</v>
      </c>
      <c r="D2636" s="96" t="s">
        <v>166</v>
      </c>
      <c r="E2636" s="97">
        <v>360</v>
      </c>
      <c r="F2636" s="67" t="str">
        <f>IFERROR(IFERROR(INDEX(Кат!$A:$A,MATCH(Прайс!$B2636,Кат!$G:$G,0)),INDEX(Торг!$B:$B,MATCH(Прайс!$B2636,Торг!$H:$H,0))),"")</f>
        <v/>
      </c>
      <c r="G2636" s="67" t="str">
        <f>IFERROR(IFERROR(INDEX(Кат!$B:$B,MATCH(Прайс!$B2636,Кат!$G:$G,0)),INDEX(Торг!$C:$C,MATCH(Прайс!$B2636,Торг!$H:$H,0))),"")</f>
        <v/>
      </c>
      <c r="H2636" s="67" t="str">
        <f>IFERROR(IFERROR(INDEX(Кат!$I:$I,MATCH(Прайс!$B2636,Кат!$G:$G,0)),INDEX(Торг!$I:$I,MATCH(Прайс!$B2636,Торг!$H:$H,0))),"")</f>
        <v/>
      </c>
    </row>
    <row r="2637" spans="1:8" x14ac:dyDescent="0.25">
      <c r="A2637" s="94" t="s">
        <v>3972</v>
      </c>
      <c r="B2637" s="98">
        <v>14041</v>
      </c>
      <c r="C2637" s="98" t="s">
        <v>5325</v>
      </c>
      <c r="D2637" s="96" t="s">
        <v>166</v>
      </c>
      <c r="E2637" s="97">
        <v>90</v>
      </c>
      <c r="F2637" s="67" t="str">
        <f>IFERROR(IFERROR(INDEX(Кат!$A:$A,MATCH(Прайс!$B2637,Кат!$G:$G,0)),INDEX(Торг!$B:$B,MATCH(Прайс!$B2637,Торг!$H:$H,0))),"")</f>
        <v/>
      </c>
      <c r="G2637" s="67" t="str">
        <f>IFERROR(IFERROR(INDEX(Кат!$B:$B,MATCH(Прайс!$B2637,Кат!$G:$G,0)),INDEX(Торг!$C:$C,MATCH(Прайс!$B2637,Торг!$H:$H,0))),"")</f>
        <v/>
      </c>
      <c r="H2637" s="67" t="str">
        <f>IFERROR(IFERROR(INDEX(Кат!$I:$I,MATCH(Прайс!$B2637,Кат!$G:$G,0)),INDEX(Торг!$I:$I,MATCH(Прайс!$B2637,Торг!$H:$H,0))),"")</f>
        <v/>
      </c>
    </row>
    <row r="2638" spans="1:8" x14ac:dyDescent="0.25">
      <c r="A2638" s="94" t="s">
        <v>8619</v>
      </c>
      <c r="B2638" s="98">
        <v>14007</v>
      </c>
      <c r="C2638" s="98" t="s">
        <v>8620</v>
      </c>
      <c r="D2638" s="96" t="s">
        <v>8621</v>
      </c>
      <c r="E2638" s="97">
        <v>160</v>
      </c>
      <c r="F2638" s="67">
        <f>IFERROR(IFERROR(INDEX(Кат!$A:$A,MATCH(Прайс!$B2638,Кат!$G:$G,0)),INDEX(Торг!$B:$B,MATCH(Прайс!$B2638,Торг!$H:$H,0))),"")</f>
        <v>132875</v>
      </c>
      <c r="G2638" s="67">
        <f>IFERROR(IFERROR(INDEX(Кат!$B:$B,MATCH(Прайс!$B2638,Кат!$G:$G,0)),INDEX(Торг!$C:$C,MATCH(Прайс!$B2638,Торг!$H:$H,0))),"")</f>
        <v>8782</v>
      </c>
      <c r="H2638" s="67" t="str">
        <f>IFERROR(IFERROR(INDEX(Кат!$I:$I,MATCH(Прайс!$B2638,Кат!$G:$G,0)),INDEX(Торг!$I:$I,MATCH(Прайс!$B2638,Торг!$H:$H,0))),"")</f>
        <v>кристал авто</v>
      </c>
    </row>
    <row r="2639" spans="1:8" x14ac:dyDescent="0.25">
      <c r="A2639" s="94" t="s">
        <v>3973</v>
      </c>
      <c r="B2639" s="98">
        <v>14025</v>
      </c>
      <c r="C2639" s="98" t="s">
        <v>1389</v>
      </c>
      <c r="D2639" s="96" t="s">
        <v>337</v>
      </c>
      <c r="E2639" s="97">
        <v>80</v>
      </c>
      <c r="F2639" s="67" t="str">
        <f>IFERROR(IFERROR(INDEX(Кат!$A:$A,MATCH(Прайс!$B2639,Кат!$G:$G,0)),INDEX(Торг!$B:$B,MATCH(Прайс!$B2639,Торг!$H:$H,0))),"")</f>
        <v/>
      </c>
      <c r="G2639" s="67" t="str">
        <f>IFERROR(IFERROR(INDEX(Кат!$B:$B,MATCH(Прайс!$B2639,Кат!$G:$G,0)),INDEX(Торг!$C:$C,MATCH(Прайс!$B2639,Торг!$H:$H,0))),"")</f>
        <v/>
      </c>
      <c r="H2639" s="67" t="str">
        <f>IFERROR(IFERROR(INDEX(Кат!$I:$I,MATCH(Прайс!$B2639,Кат!$G:$G,0)),INDEX(Торг!$I:$I,MATCH(Прайс!$B2639,Торг!$H:$H,0))),"")</f>
        <v/>
      </c>
    </row>
    <row r="2640" spans="1:8" x14ac:dyDescent="0.25">
      <c r="A2640" s="94" t="s">
        <v>3974</v>
      </c>
      <c r="B2640" s="98">
        <v>14040</v>
      </c>
      <c r="C2640" s="98" t="s">
        <v>5955</v>
      </c>
      <c r="D2640" s="96" t="s">
        <v>398</v>
      </c>
      <c r="E2640" s="97">
        <v>400</v>
      </c>
      <c r="F2640" s="67" t="str">
        <f>IFERROR(IFERROR(INDEX(Кат!$A:$A,MATCH(Прайс!$B2640,Кат!$G:$G,0)),INDEX(Торг!$B:$B,MATCH(Прайс!$B2640,Торг!$H:$H,0))),"")</f>
        <v/>
      </c>
      <c r="G2640" s="67" t="str">
        <f>IFERROR(IFERROR(INDEX(Кат!$B:$B,MATCH(Прайс!$B2640,Кат!$G:$G,0)),INDEX(Торг!$C:$C,MATCH(Прайс!$B2640,Торг!$H:$H,0))),"")</f>
        <v/>
      </c>
      <c r="H2640" s="67" t="str">
        <f>IFERROR(IFERROR(INDEX(Кат!$I:$I,MATCH(Прайс!$B2640,Кат!$G:$G,0)),INDEX(Торг!$I:$I,MATCH(Прайс!$B2640,Торг!$H:$H,0))),"")</f>
        <v/>
      </c>
    </row>
    <row r="2641" spans="1:8" x14ac:dyDescent="0.25">
      <c r="A2641" s="94" t="s">
        <v>3975</v>
      </c>
      <c r="B2641" s="98">
        <v>14009</v>
      </c>
      <c r="C2641" s="98" t="s">
        <v>1390</v>
      </c>
      <c r="D2641" s="96" t="s">
        <v>398</v>
      </c>
      <c r="E2641" s="97">
        <v>260</v>
      </c>
      <c r="F2641" s="67" t="str">
        <f>IFERROR(IFERROR(INDEX(Кат!$A:$A,MATCH(Прайс!$B2641,Кат!$G:$G,0)),INDEX(Торг!$B:$B,MATCH(Прайс!$B2641,Торг!$H:$H,0))),"")</f>
        <v/>
      </c>
      <c r="G2641" s="67" t="str">
        <f>IFERROR(IFERROR(INDEX(Кат!$B:$B,MATCH(Прайс!$B2641,Кат!$G:$G,0)),INDEX(Торг!$C:$C,MATCH(Прайс!$B2641,Торг!$H:$H,0))),"")</f>
        <v/>
      </c>
      <c r="H2641" s="67" t="str">
        <f>IFERROR(IFERROR(INDEX(Кат!$I:$I,MATCH(Прайс!$B2641,Кат!$G:$G,0)),INDEX(Торг!$I:$I,MATCH(Прайс!$B2641,Торг!$H:$H,0))),"")</f>
        <v/>
      </c>
    </row>
    <row r="2642" spans="1:8" x14ac:dyDescent="0.25">
      <c r="A2642" s="94" t="s">
        <v>3976</v>
      </c>
      <c r="B2642" s="98">
        <v>14043</v>
      </c>
      <c r="C2642" s="98" t="s">
        <v>1391</v>
      </c>
      <c r="D2642" s="96" t="s">
        <v>398</v>
      </c>
      <c r="E2642" s="97">
        <v>300</v>
      </c>
      <c r="F2642" s="67" t="str">
        <f>IFERROR(IFERROR(INDEX(Кат!$A:$A,MATCH(Прайс!$B2642,Кат!$G:$G,0)),INDEX(Торг!$B:$B,MATCH(Прайс!$B2642,Торг!$H:$H,0))),"")</f>
        <v/>
      </c>
      <c r="G2642" s="67" t="str">
        <f>IFERROR(IFERROR(INDEX(Кат!$B:$B,MATCH(Прайс!$B2642,Кат!$G:$G,0)),INDEX(Торг!$C:$C,MATCH(Прайс!$B2642,Торг!$H:$H,0))),"")</f>
        <v/>
      </c>
      <c r="H2642" s="67" t="str">
        <f>IFERROR(IFERROR(INDEX(Кат!$I:$I,MATCH(Прайс!$B2642,Кат!$G:$G,0)),INDEX(Торг!$I:$I,MATCH(Прайс!$B2642,Торг!$H:$H,0))),"")</f>
        <v/>
      </c>
    </row>
    <row r="2643" spans="1:8" ht="15.75" x14ac:dyDescent="0.25">
      <c r="A2643" s="90"/>
      <c r="B2643" s="91"/>
      <c r="C2643" s="92" t="s">
        <v>1392</v>
      </c>
      <c r="D2643" s="91"/>
      <c r="E2643" s="93"/>
      <c r="F2643" s="67" t="str">
        <f>IFERROR(IFERROR(INDEX(Кат!$A:$A,MATCH(Прайс!$B2643,Кат!$G:$G,0)),INDEX(Торг!$B:$B,MATCH(Прайс!$B2643,Торг!$H:$H,0))),"")</f>
        <v/>
      </c>
      <c r="G2643" s="67" t="str">
        <f>IFERROR(IFERROR(INDEX(Кат!$B:$B,MATCH(Прайс!$B2643,Кат!$G:$G,0)),INDEX(Торг!$C:$C,MATCH(Прайс!$B2643,Торг!$H:$H,0))),"")</f>
        <v/>
      </c>
      <c r="H2643" s="67" t="str">
        <f>IFERROR(IFERROR(INDEX(Кат!$I:$I,MATCH(Прайс!$B2643,Кат!$G:$G,0)),INDEX(Торг!$I:$I,MATCH(Прайс!$B2643,Торг!$H:$H,0))),"")</f>
        <v/>
      </c>
    </row>
    <row r="2644" spans="1:8" x14ac:dyDescent="0.25">
      <c r="A2644" s="94" t="s">
        <v>3977</v>
      </c>
      <c r="B2644" s="98">
        <v>14010</v>
      </c>
      <c r="C2644" s="98" t="s">
        <v>6411</v>
      </c>
      <c r="D2644" s="96" t="s">
        <v>5326</v>
      </c>
      <c r="E2644" s="97">
        <v>25</v>
      </c>
      <c r="F2644" s="67" t="str">
        <f>IFERROR(IFERROR(INDEX(Кат!$A:$A,MATCH(Прайс!$B2644,Кат!$G:$G,0)),INDEX(Торг!$B:$B,MATCH(Прайс!$B2644,Торг!$H:$H,0))),"")</f>
        <v/>
      </c>
      <c r="G2644" s="67" t="str">
        <f>IFERROR(IFERROR(INDEX(Кат!$B:$B,MATCH(Прайс!$B2644,Кат!$G:$G,0)),INDEX(Торг!$C:$C,MATCH(Прайс!$B2644,Торг!$H:$H,0))),"")</f>
        <v/>
      </c>
      <c r="H2644" s="67" t="str">
        <f>IFERROR(IFERROR(INDEX(Кат!$I:$I,MATCH(Прайс!$B2644,Кат!$G:$G,0)),INDEX(Торг!$I:$I,MATCH(Прайс!$B2644,Торг!$H:$H,0))),"")</f>
        <v/>
      </c>
    </row>
    <row r="2645" spans="1:8" ht="15.75" x14ac:dyDescent="0.25">
      <c r="A2645" s="90"/>
      <c r="B2645" s="91"/>
      <c r="C2645" s="92" t="s">
        <v>1393</v>
      </c>
      <c r="D2645" s="91"/>
      <c r="E2645" s="93"/>
      <c r="F2645" s="67" t="str">
        <f>IFERROR(IFERROR(INDEX(Кат!$A:$A,MATCH(Прайс!$B2645,Кат!$G:$G,0)),INDEX(Торг!$B:$B,MATCH(Прайс!$B2645,Торг!$H:$H,0))),"")</f>
        <v/>
      </c>
      <c r="G2645" s="67" t="str">
        <f>IFERROR(IFERROR(INDEX(Кат!$B:$B,MATCH(Прайс!$B2645,Кат!$G:$G,0)),INDEX(Торг!$C:$C,MATCH(Прайс!$B2645,Торг!$H:$H,0))),"")</f>
        <v/>
      </c>
      <c r="H2645" s="67" t="str">
        <f>IFERROR(IFERROR(INDEX(Кат!$I:$I,MATCH(Прайс!$B2645,Кат!$G:$G,0)),INDEX(Торг!$I:$I,MATCH(Прайс!$B2645,Торг!$H:$H,0))),"")</f>
        <v/>
      </c>
    </row>
    <row r="2646" spans="1:8" x14ac:dyDescent="0.25">
      <c r="A2646" s="99" t="s">
        <v>3978</v>
      </c>
      <c r="B2646" s="108">
        <v>14029</v>
      </c>
      <c r="C2646" s="108" t="s">
        <v>1394</v>
      </c>
      <c r="D2646" s="101" t="s">
        <v>284</v>
      </c>
      <c r="E2646" s="102">
        <v>100</v>
      </c>
      <c r="F2646" s="67" t="str">
        <f>IFERROR(IFERROR(INDEX(Кат!$A:$A,MATCH(Прайс!$B2646,Кат!$G:$G,0)),INDEX(Торг!$B:$B,MATCH(Прайс!$B2646,Торг!$H:$H,0))),"")</f>
        <v/>
      </c>
      <c r="G2646" s="67" t="str">
        <f>IFERROR(IFERROR(INDEX(Кат!$B:$B,MATCH(Прайс!$B2646,Кат!$G:$G,0)),INDEX(Торг!$C:$C,MATCH(Прайс!$B2646,Торг!$H:$H,0))),"")</f>
        <v/>
      </c>
      <c r="H2646" s="67" t="str">
        <f>IFERROR(IFERROR(INDEX(Кат!$I:$I,MATCH(Прайс!$B2646,Кат!$G:$G,0)),INDEX(Торг!$I:$I,MATCH(Прайс!$B2646,Торг!$H:$H,0))),"")</f>
        <v/>
      </c>
    </row>
    <row r="2647" spans="1:8" x14ac:dyDescent="0.25">
      <c r="A2647" s="99" t="s">
        <v>3979</v>
      </c>
      <c r="B2647" s="108">
        <v>14012</v>
      </c>
      <c r="C2647" s="108" t="s">
        <v>2135</v>
      </c>
      <c r="D2647" s="101" t="s">
        <v>1604</v>
      </c>
      <c r="E2647" s="102">
        <v>90</v>
      </c>
      <c r="F2647" s="67" t="str">
        <f>IFERROR(IFERROR(INDEX(Кат!$A:$A,MATCH(Прайс!$B2647,Кат!$G:$G,0)),INDEX(Торг!$B:$B,MATCH(Прайс!$B2647,Торг!$H:$H,0))),"")</f>
        <v/>
      </c>
      <c r="G2647" s="67" t="str">
        <f>IFERROR(IFERROR(INDEX(Кат!$B:$B,MATCH(Прайс!$B2647,Кат!$G:$G,0)),INDEX(Торг!$C:$C,MATCH(Прайс!$B2647,Торг!$H:$H,0))),"")</f>
        <v/>
      </c>
      <c r="H2647" s="67" t="str">
        <f>IFERROR(IFERROR(INDEX(Кат!$I:$I,MATCH(Прайс!$B2647,Кат!$G:$G,0)),INDEX(Торг!$I:$I,MATCH(Прайс!$B2647,Торг!$H:$H,0))),"")</f>
        <v/>
      </c>
    </row>
    <row r="2648" spans="1:8" ht="15.75" x14ac:dyDescent="0.25">
      <c r="A2648" s="90"/>
      <c r="B2648" s="91"/>
      <c r="C2648" s="92" t="s">
        <v>1395</v>
      </c>
      <c r="D2648" s="91"/>
      <c r="E2648" s="93"/>
      <c r="F2648" s="67" t="str">
        <f>IFERROR(IFERROR(INDEX(Кат!$A:$A,MATCH(Прайс!$B2648,Кат!$G:$G,0)),INDEX(Торг!$B:$B,MATCH(Прайс!$B2648,Торг!$H:$H,0))),"")</f>
        <v/>
      </c>
      <c r="G2648" s="67" t="str">
        <f>IFERROR(IFERROR(INDEX(Кат!$B:$B,MATCH(Прайс!$B2648,Кат!$G:$G,0)),INDEX(Торг!$C:$C,MATCH(Прайс!$B2648,Торг!$H:$H,0))),"")</f>
        <v/>
      </c>
      <c r="H2648" s="67" t="str">
        <f>IFERROR(IFERROR(INDEX(Кат!$I:$I,MATCH(Прайс!$B2648,Кат!$G:$G,0)),INDEX(Торг!$I:$I,MATCH(Прайс!$B2648,Торг!$H:$H,0))),"")</f>
        <v/>
      </c>
    </row>
    <row r="2649" spans="1:8" x14ac:dyDescent="0.25">
      <c r="A2649" s="94" t="s">
        <v>3980</v>
      </c>
      <c r="B2649" s="95">
        <v>14014</v>
      </c>
      <c r="C2649" s="95" t="s">
        <v>5327</v>
      </c>
      <c r="D2649" s="96" t="s">
        <v>159</v>
      </c>
      <c r="E2649" s="97">
        <v>95</v>
      </c>
      <c r="F2649" s="67" t="str">
        <f>IFERROR(IFERROR(INDEX(Кат!$A:$A,MATCH(Прайс!$B2649,Кат!$G:$G,0)),INDEX(Торг!$B:$B,MATCH(Прайс!$B2649,Торг!$H:$H,0))),"")</f>
        <v/>
      </c>
      <c r="G2649" s="67" t="str">
        <f>IFERROR(IFERROR(INDEX(Кат!$B:$B,MATCH(Прайс!$B2649,Кат!$G:$G,0)),INDEX(Торг!$C:$C,MATCH(Прайс!$B2649,Торг!$H:$H,0))),"")</f>
        <v/>
      </c>
      <c r="H2649" s="67" t="str">
        <f>IFERROR(IFERROR(INDEX(Кат!$I:$I,MATCH(Прайс!$B2649,Кат!$G:$G,0)),INDEX(Торг!$I:$I,MATCH(Прайс!$B2649,Торг!$H:$H,0))),"")</f>
        <v/>
      </c>
    </row>
    <row r="2650" spans="1:8" x14ac:dyDescent="0.25">
      <c r="A2650" s="94" t="s">
        <v>7005</v>
      </c>
      <c r="B2650" s="95">
        <v>14015</v>
      </c>
      <c r="C2650" s="95" t="s">
        <v>7006</v>
      </c>
      <c r="D2650" s="96" t="s">
        <v>159</v>
      </c>
      <c r="E2650" s="97">
        <v>135</v>
      </c>
      <c r="F2650" s="67" t="str">
        <f>IFERROR(IFERROR(INDEX(Кат!$A:$A,MATCH(Прайс!$B2650,Кат!$G:$G,0)),INDEX(Торг!$B:$B,MATCH(Прайс!$B2650,Торг!$H:$H,0))),"")</f>
        <v/>
      </c>
      <c r="G2650" s="67" t="str">
        <f>IFERROR(IFERROR(INDEX(Кат!$B:$B,MATCH(Прайс!$B2650,Кат!$G:$G,0)),INDEX(Торг!$C:$C,MATCH(Прайс!$B2650,Торг!$H:$H,0))),"")</f>
        <v/>
      </c>
      <c r="H2650" s="67" t="str">
        <f>IFERROR(IFERROR(INDEX(Кат!$I:$I,MATCH(Прайс!$B2650,Кат!$G:$G,0)),INDEX(Торг!$I:$I,MATCH(Прайс!$B2650,Торг!$H:$H,0))),"")</f>
        <v/>
      </c>
    </row>
    <row r="2651" spans="1:8" x14ac:dyDescent="0.25">
      <c r="A2651" s="94" t="s">
        <v>3981</v>
      </c>
      <c r="B2651" s="98">
        <v>14013</v>
      </c>
      <c r="C2651" s="98" t="s">
        <v>7750</v>
      </c>
      <c r="D2651" s="96" t="s">
        <v>398</v>
      </c>
      <c r="E2651" s="97">
        <v>230</v>
      </c>
      <c r="F2651" s="67" t="str">
        <f>IFERROR(IFERROR(INDEX(Кат!$A:$A,MATCH(Прайс!$B2651,Кат!$G:$G,0)),INDEX(Торг!$B:$B,MATCH(Прайс!$B2651,Торг!$H:$H,0))),"")</f>
        <v/>
      </c>
      <c r="G2651" s="67" t="str">
        <f>IFERROR(IFERROR(INDEX(Кат!$B:$B,MATCH(Прайс!$B2651,Кат!$G:$G,0)),INDEX(Торг!$C:$C,MATCH(Прайс!$B2651,Торг!$H:$H,0))),"")</f>
        <v/>
      </c>
      <c r="H2651" s="67" t="str">
        <f>IFERROR(IFERROR(INDEX(Кат!$I:$I,MATCH(Прайс!$B2651,Кат!$G:$G,0)),INDEX(Торг!$I:$I,MATCH(Прайс!$B2651,Торг!$H:$H,0))),"")</f>
        <v/>
      </c>
    </row>
    <row r="2652" spans="1:8" x14ac:dyDescent="0.25">
      <c r="A2652" s="94" t="s">
        <v>3982</v>
      </c>
      <c r="B2652" s="98">
        <v>14016</v>
      </c>
      <c r="C2652" s="98" t="s">
        <v>1396</v>
      </c>
      <c r="D2652" s="96" t="s">
        <v>161</v>
      </c>
      <c r="E2652" s="97">
        <v>195</v>
      </c>
      <c r="F2652" s="67">
        <f>IFERROR(IFERROR(INDEX(Кат!$A:$A,MATCH(Прайс!$B2652,Кат!$G:$G,0)),INDEX(Торг!$B:$B,MATCH(Прайс!$B2652,Торг!$H:$H,0))),"")</f>
        <v>153010</v>
      </c>
      <c r="G2652" s="67">
        <f>IFERROR(IFERROR(INDEX(Кат!$B:$B,MATCH(Прайс!$B2652,Кат!$G:$G,0)),INDEX(Торг!$C:$C,MATCH(Прайс!$B2652,Торг!$H:$H,0))),"")</f>
        <v>8770</v>
      </c>
      <c r="H2652" s="67" t="str">
        <f>IFERROR(IFERROR(INDEX(Кат!$I:$I,MATCH(Прайс!$B2652,Кат!$G:$G,0)),INDEX(Торг!$I:$I,MATCH(Прайс!$B2652,Торг!$H:$H,0))),"")</f>
        <v>кристал авто</v>
      </c>
    </row>
    <row r="2653" spans="1:8" x14ac:dyDescent="0.25">
      <c r="A2653" s="94" t="s">
        <v>3983</v>
      </c>
      <c r="B2653" s="98">
        <v>14033</v>
      </c>
      <c r="C2653" s="98" t="s">
        <v>1397</v>
      </c>
      <c r="D2653" s="96" t="s">
        <v>159</v>
      </c>
      <c r="E2653" s="97">
        <v>85</v>
      </c>
      <c r="F2653" s="67" t="str">
        <f>IFERROR(IFERROR(INDEX(Кат!$A:$A,MATCH(Прайс!$B2653,Кат!$G:$G,0)),INDEX(Торг!$B:$B,MATCH(Прайс!$B2653,Торг!$H:$H,0))),"")</f>
        <v/>
      </c>
      <c r="G2653" s="67" t="str">
        <f>IFERROR(IFERROR(INDEX(Кат!$B:$B,MATCH(Прайс!$B2653,Кат!$G:$G,0)),INDEX(Торг!$C:$C,MATCH(Прайс!$B2653,Торг!$H:$H,0))),"")</f>
        <v/>
      </c>
      <c r="H2653" s="67" t="str">
        <f>IFERROR(IFERROR(INDEX(Кат!$I:$I,MATCH(Прайс!$B2653,Кат!$G:$G,0)),INDEX(Торг!$I:$I,MATCH(Прайс!$B2653,Торг!$H:$H,0))),"")</f>
        <v/>
      </c>
    </row>
    <row r="2654" spans="1:8" x14ac:dyDescent="0.25">
      <c r="A2654" s="94" t="s">
        <v>7751</v>
      </c>
      <c r="B2654" s="98">
        <v>14036</v>
      </c>
      <c r="C2654" s="98" t="s">
        <v>7752</v>
      </c>
      <c r="D2654" s="96" t="s">
        <v>190</v>
      </c>
      <c r="E2654" s="97">
        <v>500</v>
      </c>
      <c r="F2654" s="67" t="str">
        <f>IFERROR(IFERROR(INDEX(Кат!$A:$A,MATCH(Прайс!$B2654,Кат!$G:$G,0)),INDEX(Торг!$B:$B,MATCH(Прайс!$B2654,Торг!$H:$H,0))),"")</f>
        <v/>
      </c>
      <c r="G2654" s="67" t="str">
        <f>IFERROR(IFERROR(INDEX(Кат!$B:$B,MATCH(Прайс!$B2654,Кат!$G:$G,0)),INDEX(Торг!$C:$C,MATCH(Прайс!$B2654,Торг!$H:$H,0))),"")</f>
        <v/>
      </c>
      <c r="H2654" s="67" t="str">
        <f>IFERROR(IFERROR(INDEX(Кат!$I:$I,MATCH(Прайс!$B2654,Кат!$G:$G,0)),INDEX(Торг!$I:$I,MATCH(Прайс!$B2654,Торг!$H:$H,0))),"")</f>
        <v/>
      </c>
    </row>
    <row r="2655" spans="1:8" ht="15.75" x14ac:dyDescent="0.25">
      <c r="A2655" s="90"/>
      <c r="B2655" s="91"/>
      <c r="C2655" s="92" t="s">
        <v>1398</v>
      </c>
      <c r="D2655" s="91"/>
      <c r="E2655" s="93"/>
      <c r="F2655" s="67" t="str">
        <f>IFERROR(IFERROR(INDEX(Кат!$A:$A,MATCH(Прайс!$B2655,Кат!$G:$G,0)),INDEX(Торг!$B:$B,MATCH(Прайс!$B2655,Торг!$H:$H,0))),"")</f>
        <v/>
      </c>
      <c r="G2655" s="67" t="str">
        <f>IFERROR(IFERROR(INDEX(Кат!$B:$B,MATCH(Прайс!$B2655,Кат!$G:$G,0)),INDEX(Торг!$C:$C,MATCH(Прайс!$B2655,Торг!$H:$H,0))),"")</f>
        <v/>
      </c>
      <c r="H2655" s="67" t="str">
        <f>IFERROR(IFERROR(INDEX(Кат!$I:$I,MATCH(Прайс!$B2655,Кат!$G:$G,0)),INDEX(Торг!$I:$I,MATCH(Прайс!$B2655,Торг!$H:$H,0))),"")</f>
        <v/>
      </c>
    </row>
    <row r="2656" spans="1:8" x14ac:dyDescent="0.25">
      <c r="A2656" s="94" t="s">
        <v>3984</v>
      </c>
      <c r="B2656" s="98">
        <v>14018</v>
      </c>
      <c r="C2656" s="98" t="s">
        <v>1399</v>
      </c>
      <c r="D2656" s="96" t="s">
        <v>161</v>
      </c>
      <c r="E2656" s="97">
        <v>115</v>
      </c>
      <c r="F2656" s="67" t="str">
        <f>IFERROR(IFERROR(INDEX(Кат!$A:$A,MATCH(Прайс!$B2656,Кат!$G:$G,0)),INDEX(Торг!$B:$B,MATCH(Прайс!$B2656,Торг!$H:$H,0))),"")</f>
        <v/>
      </c>
      <c r="G2656" s="67" t="str">
        <f>IFERROR(IFERROR(INDEX(Кат!$B:$B,MATCH(Прайс!$B2656,Кат!$G:$G,0)),INDEX(Торг!$C:$C,MATCH(Прайс!$B2656,Торг!$H:$H,0))),"")</f>
        <v/>
      </c>
      <c r="H2656" s="67" t="str">
        <f>IFERROR(IFERROR(INDEX(Кат!$I:$I,MATCH(Прайс!$B2656,Кат!$G:$G,0)),INDEX(Торг!$I:$I,MATCH(Прайс!$B2656,Торг!$H:$H,0))),"")</f>
        <v/>
      </c>
    </row>
    <row r="2657" spans="1:8" x14ac:dyDescent="0.25">
      <c r="A2657" s="94" t="s">
        <v>3985</v>
      </c>
      <c r="B2657" s="98">
        <v>14034</v>
      </c>
      <c r="C2657" s="98" t="s">
        <v>1400</v>
      </c>
      <c r="D2657" s="96" t="s">
        <v>174</v>
      </c>
      <c r="E2657" s="97">
        <v>300</v>
      </c>
      <c r="F2657" s="67">
        <f>IFERROR(IFERROR(INDEX(Кат!$A:$A,MATCH(Прайс!$B2657,Кат!$G:$G,0)),INDEX(Торг!$B:$B,MATCH(Прайс!$B2657,Торг!$H:$H,0))),"")</f>
        <v>181292</v>
      </c>
      <c r="G2657" s="67">
        <f>IFERROR(IFERROR(INDEX(Кат!$B:$B,MATCH(Прайс!$B2657,Кат!$G:$G,0)),INDEX(Торг!$C:$C,MATCH(Прайс!$B2657,Торг!$H:$H,0))),"")</f>
        <v>54347</v>
      </c>
      <c r="H2657" s="67" t="str">
        <f>IFERROR(IFERROR(INDEX(Кат!$I:$I,MATCH(Прайс!$B2657,Кат!$G:$G,0)),INDEX(Торг!$I:$I,MATCH(Прайс!$B2657,Торг!$H:$H,0))),"")</f>
        <v>кристал авто</v>
      </c>
    </row>
    <row r="2658" spans="1:8" x14ac:dyDescent="0.25">
      <c r="A2658" s="94" t="s">
        <v>3986</v>
      </c>
      <c r="B2658" s="98">
        <v>14019</v>
      </c>
      <c r="C2658" s="98" t="s">
        <v>1401</v>
      </c>
      <c r="D2658" s="96" t="s">
        <v>337</v>
      </c>
      <c r="E2658" s="97">
        <v>80</v>
      </c>
      <c r="F2658" s="67">
        <f>IFERROR(IFERROR(INDEX(Кат!$A:$A,MATCH(Прайс!$B2658,Кат!$G:$G,0)),INDEX(Торг!$B:$B,MATCH(Прайс!$B2658,Торг!$H:$H,0))),"")</f>
        <v>181289</v>
      </c>
      <c r="G2658" s="67">
        <f>IFERROR(IFERROR(INDEX(Кат!$B:$B,MATCH(Прайс!$B2658,Кат!$G:$G,0)),INDEX(Торг!$C:$C,MATCH(Прайс!$B2658,Торг!$H:$H,0))),"")</f>
        <v>54391</v>
      </c>
      <c r="H2658" s="67" t="str">
        <f>IFERROR(IFERROR(INDEX(Кат!$I:$I,MATCH(Прайс!$B2658,Кат!$G:$G,0)),INDEX(Торг!$I:$I,MATCH(Прайс!$B2658,Торг!$H:$H,0))),"")</f>
        <v>кристал авто</v>
      </c>
    </row>
    <row r="2659" spans="1:8" x14ac:dyDescent="0.25">
      <c r="A2659" s="94" t="s">
        <v>3987</v>
      </c>
      <c r="B2659" s="98">
        <v>14022</v>
      </c>
      <c r="C2659" s="98" t="s">
        <v>1402</v>
      </c>
      <c r="D2659" s="96" t="s">
        <v>375</v>
      </c>
      <c r="E2659" s="97">
        <v>490</v>
      </c>
      <c r="F2659" s="67" t="str">
        <f>IFERROR(IFERROR(INDEX(Кат!$A:$A,MATCH(Прайс!$B2659,Кат!$G:$G,0)),INDEX(Торг!$B:$B,MATCH(Прайс!$B2659,Торг!$H:$H,0))),"")</f>
        <v/>
      </c>
      <c r="G2659" s="67" t="str">
        <f>IFERROR(IFERROR(INDEX(Кат!$B:$B,MATCH(Прайс!$B2659,Кат!$G:$G,0)),INDEX(Торг!$C:$C,MATCH(Прайс!$B2659,Торг!$H:$H,0))),"")</f>
        <v/>
      </c>
      <c r="H2659" s="67" t="str">
        <f>IFERROR(IFERROR(INDEX(Кат!$I:$I,MATCH(Прайс!$B2659,Кат!$G:$G,0)),INDEX(Торг!$I:$I,MATCH(Прайс!$B2659,Торг!$H:$H,0))),"")</f>
        <v/>
      </c>
    </row>
    <row r="2660" spans="1:8" x14ac:dyDescent="0.25">
      <c r="A2660" s="94" t="s">
        <v>3988</v>
      </c>
      <c r="B2660" s="98">
        <v>14023</v>
      </c>
      <c r="C2660" s="98" t="s">
        <v>1403</v>
      </c>
      <c r="D2660" s="96" t="s">
        <v>175</v>
      </c>
      <c r="E2660" s="97">
        <v>560</v>
      </c>
      <c r="F2660" s="67" t="str">
        <f>IFERROR(IFERROR(INDEX(Кат!$A:$A,MATCH(Прайс!$B2660,Кат!$G:$G,0)),INDEX(Торг!$B:$B,MATCH(Прайс!$B2660,Торг!$H:$H,0))),"")</f>
        <v/>
      </c>
      <c r="G2660" s="67" t="str">
        <f>IFERROR(IFERROR(INDEX(Кат!$B:$B,MATCH(Прайс!$B2660,Кат!$G:$G,0)),INDEX(Торг!$C:$C,MATCH(Прайс!$B2660,Торг!$H:$H,0))),"")</f>
        <v/>
      </c>
      <c r="H2660" s="67" t="str">
        <f>IFERROR(IFERROR(INDEX(Кат!$I:$I,MATCH(Прайс!$B2660,Кат!$G:$G,0)),INDEX(Торг!$I:$I,MATCH(Прайс!$B2660,Торг!$H:$H,0))),"")</f>
        <v/>
      </c>
    </row>
    <row r="2661" spans="1:8" ht="15.75" x14ac:dyDescent="0.25">
      <c r="A2661" s="90"/>
      <c r="B2661" s="91"/>
      <c r="C2661" s="92" t="s">
        <v>1404</v>
      </c>
      <c r="D2661" s="91"/>
      <c r="E2661" s="93"/>
      <c r="F2661" s="67" t="str">
        <f>IFERROR(IFERROR(INDEX(Кат!$A:$A,MATCH(Прайс!$B2661,Кат!$G:$G,0)),INDEX(Торг!$B:$B,MATCH(Прайс!$B2661,Торг!$H:$H,0))),"")</f>
        <v/>
      </c>
      <c r="G2661" s="67" t="str">
        <f>IFERROR(IFERROR(INDEX(Кат!$B:$B,MATCH(Прайс!$B2661,Кат!$G:$G,0)),INDEX(Торг!$C:$C,MATCH(Прайс!$B2661,Торг!$H:$H,0))),"")</f>
        <v/>
      </c>
      <c r="H2661" s="67" t="str">
        <f>IFERROR(IFERROR(INDEX(Кат!$I:$I,MATCH(Прайс!$B2661,Кат!$G:$G,0)),INDEX(Торг!$I:$I,MATCH(Прайс!$B2661,Торг!$H:$H,0))),"")</f>
        <v/>
      </c>
    </row>
    <row r="2662" spans="1:8" x14ac:dyDescent="0.25">
      <c r="A2662" s="94" t="s">
        <v>3989</v>
      </c>
      <c r="B2662" s="98">
        <v>14024</v>
      </c>
      <c r="C2662" s="98" t="s">
        <v>7007</v>
      </c>
      <c r="D2662" s="96" t="s">
        <v>480</v>
      </c>
      <c r="E2662" s="97">
        <v>120</v>
      </c>
      <c r="F2662" s="67" t="str">
        <f>IFERROR(IFERROR(INDEX(Кат!$A:$A,MATCH(Прайс!$B2662,Кат!$G:$G,0)),INDEX(Торг!$B:$B,MATCH(Прайс!$B2662,Торг!$H:$H,0))),"")</f>
        <v/>
      </c>
      <c r="G2662" s="67" t="str">
        <f>IFERROR(IFERROR(INDEX(Кат!$B:$B,MATCH(Прайс!$B2662,Кат!$G:$G,0)),INDEX(Торг!$C:$C,MATCH(Прайс!$B2662,Торг!$H:$H,0))),"")</f>
        <v/>
      </c>
      <c r="H2662" s="67" t="str">
        <f>IFERROR(IFERROR(INDEX(Кат!$I:$I,MATCH(Прайс!$B2662,Кат!$G:$G,0)),INDEX(Торг!$I:$I,MATCH(Прайс!$B2662,Торг!$H:$H,0))),"")</f>
        <v/>
      </c>
    </row>
    <row r="2663" spans="1:8" ht="15.75" x14ac:dyDescent="0.25">
      <c r="A2663" s="90"/>
      <c r="B2663" s="91"/>
      <c r="C2663" s="92" t="s">
        <v>1405</v>
      </c>
      <c r="D2663" s="91"/>
      <c r="E2663" s="93"/>
      <c r="F2663" s="67" t="str">
        <f>IFERROR(IFERROR(INDEX(Кат!$A:$A,MATCH(Прайс!$B2663,Кат!$G:$G,0)),INDEX(Торг!$B:$B,MATCH(Прайс!$B2663,Торг!$H:$H,0))),"")</f>
        <v/>
      </c>
      <c r="G2663" s="67" t="str">
        <f>IFERROR(IFERROR(INDEX(Кат!$B:$B,MATCH(Прайс!$B2663,Кат!$G:$G,0)),INDEX(Торг!$C:$C,MATCH(Прайс!$B2663,Торг!$H:$H,0))),"")</f>
        <v/>
      </c>
      <c r="H2663" s="67" t="str">
        <f>IFERROR(IFERROR(INDEX(Кат!$I:$I,MATCH(Прайс!$B2663,Кат!$G:$G,0)),INDEX(Торг!$I:$I,MATCH(Прайс!$B2663,Торг!$H:$H,0))),"")</f>
        <v/>
      </c>
    </row>
    <row r="2664" spans="1:8" x14ac:dyDescent="0.25">
      <c r="A2664" s="99" t="s">
        <v>3990</v>
      </c>
      <c r="B2664" s="108">
        <v>22020</v>
      </c>
      <c r="C2664" s="108" t="s">
        <v>1406</v>
      </c>
      <c r="D2664" s="101" t="s">
        <v>165</v>
      </c>
      <c r="E2664" s="102">
        <v>240</v>
      </c>
      <c r="F2664" s="67" t="str">
        <f>IFERROR(IFERROR(INDEX(Кат!$A:$A,MATCH(Прайс!$B2664,Кат!$G:$G,0)),INDEX(Торг!$B:$B,MATCH(Прайс!$B2664,Торг!$H:$H,0))),"")</f>
        <v/>
      </c>
      <c r="G2664" s="67" t="str">
        <f>IFERROR(IFERROR(INDEX(Кат!$B:$B,MATCH(Прайс!$B2664,Кат!$G:$G,0)),INDEX(Торг!$C:$C,MATCH(Прайс!$B2664,Торг!$H:$H,0))),"")</f>
        <v/>
      </c>
      <c r="H2664" s="67" t="str">
        <f>IFERROR(IFERROR(INDEX(Кат!$I:$I,MATCH(Прайс!$B2664,Кат!$G:$G,0)),INDEX(Торг!$I:$I,MATCH(Прайс!$B2664,Торг!$H:$H,0))),"")</f>
        <v/>
      </c>
    </row>
    <row r="2665" spans="1:8" x14ac:dyDescent="0.25">
      <c r="A2665" s="99" t="s">
        <v>3991</v>
      </c>
      <c r="B2665" s="108">
        <v>22016</v>
      </c>
      <c r="C2665" s="108" t="s">
        <v>1407</v>
      </c>
      <c r="D2665" s="101" t="s">
        <v>1408</v>
      </c>
      <c r="E2665" s="102">
        <v>320</v>
      </c>
      <c r="F2665" s="67" t="str">
        <f>IFERROR(IFERROR(INDEX(Кат!$A:$A,MATCH(Прайс!$B2665,Кат!$G:$G,0)),INDEX(Торг!$B:$B,MATCH(Прайс!$B2665,Торг!$H:$H,0))),"")</f>
        <v/>
      </c>
      <c r="G2665" s="67" t="str">
        <f>IFERROR(IFERROR(INDEX(Кат!$B:$B,MATCH(Прайс!$B2665,Кат!$G:$G,0)),INDEX(Торг!$C:$C,MATCH(Прайс!$B2665,Торг!$H:$H,0))),"")</f>
        <v/>
      </c>
      <c r="H2665" s="67" t="str">
        <f>IFERROR(IFERROR(INDEX(Кат!$I:$I,MATCH(Прайс!$B2665,Кат!$G:$G,0)),INDEX(Торг!$I:$I,MATCH(Прайс!$B2665,Торг!$H:$H,0))),"")</f>
        <v/>
      </c>
    </row>
    <row r="2666" spans="1:8" x14ac:dyDescent="0.25">
      <c r="A2666" s="99" t="s">
        <v>3992</v>
      </c>
      <c r="B2666" s="108">
        <v>22059</v>
      </c>
      <c r="C2666" s="108" t="s">
        <v>2136</v>
      </c>
      <c r="D2666" s="101" t="s">
        <v>159</v>
      </c>
      <c r="E2666" s="102">
        <v>210</v>
      </c>
      <c r="F2666" s="67" t="str">
        <f>IFERROR(IFERROR(INDEX(Кат!$A:$A,MATCH(Прайс!$B2666,Кат!$G:$G,0)),INDEX(Торг!$B:$B,MATCH(Прайс!$B2666,Торг!$H:$H,0))),"")</f>
        <v/>
      </c>
      <c r="G2666" s="67" t="str">
        <f>IFERROR(IFERROR(INDEX(Кат!$B:$B,MATCH(Прайс!$B2666,Кат!$G:$G,0)),INDEX(Торг!$C:$C,MATCH(Прайс!$B2666,Торг!$H:$H,0))),"")</f>
        <v/>
      </c>
      <c r="H2666" s="67" t="str">
        <f>IFERROR(IFERROR(INDEX(Кат!$I:$I,MATCH(Прайс!$B2666,Кат!$G:$G,0)),INDEX(Торг!$I:$I,MATCH(Прайс!$B2666,Торг!$H:$H,0))),"")</f>
        <v/>
      </c>
    </row>
    <row r="2667" spans="1:8" x14ac:dyDescent="0.25">
      <c r="A2667" s="99" t="s">
        <v>3993</v>
      </c>
      <c r="B2667" s="108">
        <v>22021</v>
      </c>
      <c r="C2667" s="108" t="s">
        <v>1409</v>
      </c>
      <c r="D2667" s="101" t="s">
        <v>165</v>
      </c>
      <c r="E2667" s="102">
        <v>230</v>
      </c>
      <c r="F2667" s="67" t="str">
        <f>IFERROR(IFERROR(INDEX(Кат!$A:$A,MATCH(Прайс!$B2667,Кат!$G:$G,0)),INDEX(Торг!$B:$B,MATCH(Прайс!$B2667,Торг!$H:$H,0))),"")</f>
        <v/>
      </c>
      <c r="G2667" s="67" t="str">
        <f>IFERROR(IFERROR(INDEX(Кат!$B:$B,MATCH(Прайс!$B2667,Кат!$G:$G,0)),INDEX(Торг!$C:$C,MATCH(Прайс!$B2667,Торг!$H:$H,0))),"")</f>
        <v/>
      </c>
      <c r="H2667" s="67" t="str">
        <f>IFERROR(IFERROR(INDEX(Кат!$I:$I,MATCH(Прайс!$B2667,Кат!$G:$G,0)),INDEX(Торг!$I:$I,MATCH(Прайс!$B2667,Торг!$H:$H,0))),"")</f>
        <v/>
      </c>
    </row>
    <row r="2668" spans="1:8" x14ac:dyDescent="0.25">
      <c r="A2668" s="99" t="s">
        <v>3994</v>
      </c>
      <c r="B2668" s="108">
        <v>22017</v>
      </c>
      <c r="C2668" s="108" t="s">
        <v>1410</v>
      </c>
      <c r="D2668" s="101" t="s">
        <v>633</v>
      </c>
      <c r="E2668" s="102">
        <v>380</v>
      </c>
      <c r="F2668" s="67" t="str">
        <f>IFERROR(IFERROR(INDEX(Кат!$A:$A,MATCH(Прайс!$B2668,Кат!$G:$G,0)),INDEX(Торг!$B:$B,MATCH(Прайс!$B2668,Торг!$H:$H,0))),"")</f>
        <v/>
      </c>
      <c r="G2668" s="67" t="str">
        <f>IFERROR(IFERROR(INDEX(Кат!$B:$B,MATCH(Прайс!$B2668,Кат!$G:$G,0)),INDEX(Торг!$C:$C,MATCH(Прайс!$B2668,Торг!$H:$H,0))),"")</f>
        <v/>
      </c>
      <c r="H2668" s="67" t="str">
        <f>IFERROR(IFERROR(INDEX(Кат!$I:$I,MATCH(Прайс!$B2668,Кат!$G:$G,0)),INDEX(Торг!$I:$I,MATCH(Прайс!$B2668,Торг!$H:$H,0))),"")</f>
        <v/>
      </c>
    </row>
    <row r="2669" spans="1:8" x14ac:dyDescent="0.25">
      <c r="A2669" s="99" t="s">
        <v>3995</v>
      </c>
      <c r="B2669" s="108">
        <v>22023</v>
      </c>
      <c r="C2669" s="108" t="s">
        <v>1411</v>
      </c>
      <c r="D2669" s="101" t="s">
        <v>1412</v>
      </c>
      <c r="E2669" s="102">
        <v>340</v>
      </c>
      <c r="F2669" s="67" t="str">
        <f>IFERROR(IFERROR(INDEX(Кат!$A:$A,MATCH(Прайс!$B2669,Кат!$G:$G,0)),INDEX(Торг!$B:$B,MATCH(Прайс!$B2669,Торг!$H:$H,0))),"")</f>
        <v/>
      </c>
      <c r="G2669" s="67" t="str">
        <f>IFERROR(IFERROR(INDEX(Кат!$B:$B,MATCH(Прайс!$B2669,Кат!$G:$G,0)),INDEX(Торг!$C:$C,MATCH(Прайс!$B2669,Торг!$H:$H,0))),"")</f>
        <v/>
      </c>
      <c r="H2669" s="67" t="str">
        <f>IFERROR(IFERROR(INDEX(Кат!$I:$I,MATCH(Прайс!$B2669,Кат!$G:$G,0)),INDEX(Торг!$I:$I,MATCH(Прайс!$B2669,Торг!$H:$H,0))),"")</f>
        <v/>
      </c>
    </row>
    <row r="2670" spans="1:8" x14ac:dyDescent="0.25">
      <c r="A2670" s="99" t="s">
        <v>3996</v>
      </c>
      <c r="B2670" s="108">
        <v>22024</v>
      </c>
      <c r="C2670" s="108" t="s">
        <v>1413</v>
      </c>
      <c r="D2670" s="101" t="s">
        <v>1412</v>
      </c>
      <c r="E2670" s="102">
        <v>350</v>
      </c>
      <c r="F2670" s="67" t="str">
        <f>IFERROR(IFERROR(INDEX(Кат!$A:$A,MATCH(Прайс!$B2670,Кат!$G:$G,0)),INDEX(Торг!$B:$B,MATCH(Прайс!$B2670,Торг!$H:$H,0))),"")</f>
        <v/>
      </c>
      <c r="G2670" s="67" t="str">
        <f>IFERROR(IFERROR(INDEX(Кат!$B:$B,MATCH(Прайс!$B2670,Кат!$G:$G,0)),INDEX(Торг!$C:$C,MATCH(Прайс!$B2670,Торг!$H:$H,0))),"")</f>
        <v/>
      </c>
      <c r="H2670" s="67" t="str">
        <f>IFERROR(IFERROR(INDEX(Кат!$I:$I,MATCH(Прайс!$B2670,Кат!$G:$G,0)),INDEX(Торг!$I:$I,MATCH(Прайс!$B2670,Торг!$H:$H,0))),"")</f>
        <v/>
      </c>
    </row>
    <row r="2671" spans="1:8" x14ac:dyDescent="0.25">
      <c r="A2671" s="99" t="s">
        <v>3997</v>
      </c>
      <c r="B2671" s="108">
        <v>22018</v>
      </c>
      <c r="C2671" s="108" t="s">
        <v>1414</v>
      </c>
      <c r="D2671" s="101" t="s">
        <v>633</v>
      </c>
      <c r="E2671" s="102">
        <v>470</v>
      </c>
      <c r="F2671" s="67" t="str">
        <f>IFERROR(IFERROR(INDEX(Кат!$A:$A,MATCH(Прайс!$B2671,Кат!$G:$G,0)),INDEX(Торг!$B:$B,MATCH(Прайс!$B2671,Торг!$H:$H,0))),"")</f>
        <v/>
      </c>
      <c r="G2671" s="67" t="str">
        <f>IFERROR(IFERROR(INDEX(Кат!$B:$B,MATCH(Прайс!$B2671,Кат!$G:$G,0)),INDEX(Торг!$C:$C,MATCH(Прайс!$B2671,Торг!$H:$H,0))),"")</f>
        <v/>
      </c>
      <c r="H2671" s="67" t="str">
        <f>IFERROR(IFERROR(INDEX(Кат!$I:$I,MATCH(Прайс!$B2671,Кат!$G:$G,0)),INDEX(Торг!$I:$I,MATCH(Прайс!$B2671,Торг!$H:$H,0))),"")</f>
        <v/>
      </c>
    </row>
    <row r="2672" spans="1:8" x14ac:dyDescent="0.25">
      <c r="A2672" s="99" t="s">
        <v>3998</v>
      </c>
      <c r="B2672" s="108">
        <v>22047</v>
      </c>
      <c r="C2672" s="108" t="s">
        <v>1415</v>
      </c>
      <c r="D2672" s="101" t="s">
        <v>177</v>
      </c>
      <c r="E2672" s="102">
        <v>310</v>
      </c>
      <c r="F2672" s="67" t="str">
        <f>IFERROR(IFERROR(INDEX(Кат!$A:$A,MATCH(Прайс!$B2672,Кат!$G:$G,0)),INDEX(Торг!$B:$B,MATCH(Прайс!$B2672,Торг!$H:$H,0))),"")</f>
        <v/>
      </c>
      <c r="G2672" s="67" t="str">
        <f>IFERROR(IFERROR(INDEX(Кат!$B:$B,MATCH(Прайс!$B2672,Кат!$G:$G,0)),INDEX(Торг!$C:$C,MATCH(Прайс!$B2672,Торг!$H:$H,0))),"")</f>
        <v/>
      </c>
      <c r="H2672" s="67" t="str">
        <f>IFERROR(IFERROR(INDEX(Кат!$I:$I,MATCH(Прайс!$B2672,Кат!$G:$G,0)),INDEX(Торг!$I:$I,MATCH(Прайс!$B2672,Торг!$H:$H,0))),"")</f>
        <v/>
      </c>
    </row>
    <row r="2673" spans="1:8" x14ac:dyDescent="0.25">
      <c r="A2673" s="99" t="s">
        <v>3999</v>
      </c>
      <c r="B2673" s="108">
        <v>22048</v>
      </c>
      <c r="C2673" s="108" t="s">
        <v>1416</v>
      </c>
      <c r="D2673" s="101" t="s">
        <v>177</v>
      </c>
      <c r="E2673" s="102">
        <v>340</v>
      </c>
      <c r="F2673" s="67" t="str">
        <f>IFERROR(IFERROR(INDEX(Кат!$A:$A,MATCH(Прайс!$B2673,Кат!$G:$G,0)),INDEX(Торг!$B:$B,MATCH(Прайс!$B2673,Торг!$H:$H,0))),"")</f>
        <v/>
      </c>
      <c r="G2673" s="67" t="str">
        <f>IFERROR(IFERROR(INDEX(Кат!$B:$B,MATCH(Прайс!$B2673,Кат!$G:$G,0)),INDEX(Торг!$C:$C,MATCH(Прайс!$B2673,Торг!$H:$H,0))),"")</f>
        <v/>
      </c>
      <c r="H2673" s="67" t="str">
        <f>IFERROR(IFERROR(INDEX(Кат!$I:$I,MATCH(Прайс!$B2673,Кат!$G:$G,0)),INDEX(Торг!$I:$I,MATCH(Прайс!$B2673,Торг!$H:$H,0))),"")</f>
        <v/>
      </c>
    </row>
    <row r="2674" spans="1:8" x14ac:dyDescent="0.25">
      <c r="A2674" s="99" t="s">
        <v>4000</v>
      </c>
      <c r="B2674" s="108">
        <v>22049</v>
      </c>
      <c r="C2674" s="108" t="s">
        <v>1417</v>
      </c>
      <c r="D2674" s="101" t="s">
        <v>177</v>
      </c>
      <c r="E2674" s="102">
        <v>410</v>
      </c>
      <c r="F2674" s="67" t="str">
        <f>IFERROR(IFERROR(INDEX(Кат!$A:$A,MATCH(Прайс!$B2674,Кат!$G:$G,0)),INDEX(Торг!$B:$B,MATCH(Прайс!$B2674,Торг!$H:$H,0))),"")</f>
        <v/>
      </c>
      <c r="G2674" s="67" t="str">
        <f>IFERROR(IFERROR(INDEX(Кат!$B:$B,MATCH(Прайс!$B2674,Кат!$G:$G,0)),INDEX(Торг!$C:$C,MATCH(Прайс!$B2674,Торг!$H:$H,0))),"")</f>
        <v/>
      </c>
      <c r="H2674" s="67" t="str">
        <f>IFERROR(IFERROR(INDEX(Кат!$I:$I,MATCH(Прайс!$B2674,Кат!$G:$G,0)),INDEX(Торг!$I:$I,MATCH(Прайс!$B2674,Торг!$H:$H,0))),"")</f>
        <v/>
      </c>
    </row>
    <row r="2675" spans="1:8" x14ac:dyDescent="0.25">
      <c r="A2675" s="99" t="s">
        <v>4001</v>
      </c>
      <c r="B2675" s="108">
        <v>22044</v>
      </c>
      <c r="C2675" s="108" t="s">
        <v>7753</v>
      </c>
      <c r="D2675" s="101" t="s">
        <v>159</v>
      </c>
      <c r="E2675" s="102">
        <v>190</v>
      </c>
      <c r="F2675" s="67" t="str">
        <f>IFERROR(IFERROR(INDEX(Кат!$A:$A,MATCH(Прайс!$B2675,Кат!$G:$G,0)),INDEX(Торг!$B:$B,MATCH(Прайс!$B2675,Торг!$H:$H,0))),"")</f>
        <v/>
      </c>
      <c r="G2675" s="67" t="str">
        <f>IFERROR(IFERROR(INDEX(Кат!$B:$B,MATCH(Прайс!$B2675,Кат!$G:$G,0)),INDEX(Торг!$C:$C,MATCH(Прайс!$B2675,Торг!$H:$H,0))),"")</f>
        <v/>
      </c>
      <c r="H2675" s="67" t="str">
        <f>IFERROR(IFERROR(INDEX(Кат!$I:$I,MATCH(Прайс!$B2675,Кат!$G:$G,0)),INDEX(Торг!$I:$I,MATCH(Прайс!$B2675,Торг!$H:$H,0))),"")</f>
        <v/>
      </c>
    </row>
    <row r="2676" spans="1:8" x14ac:dyDescent="0.25">
      <c r="A2676" s="99" t="s">
        <v>4002</v>
      </c>
      <c r="B2676" s="108">
        <v>22045</v>
      </c>
      <c r="C2676" s="108" t="s">
        <v>1418</v>
      </c>
      <c r="D2676" s="101" t="s">
        <v>166</v>
      </c>
      <c r="E2676" s="102">
        <v>230</v>
      </c>
      <c r="F2676" s="67" t="str">
        <f>IFERROR(IFERROR(INDEX(Кат!$A:$A,MATCH(Прайс!$B2676,Кат!$G:$G,0)),INDEX(Торг!$B:$B,MATCH(Прайс!$B2676,Торг!$H:$H,0))),"")</f>
        <v/>
      </c>
      <c r="G2676" s="67" t="str">
        <f>IFERROR(IFERROR(INDEX(Кат!$B:$B,MATCH(Прайс!$B2676,Кат!$G:$G,0)),INDEX(Торг!$C:$C,MATCH(Прайс!$B2676,Торг!$H:$H,0))),"")</f>
        <v/>
      </c>
      <c r="H2676" s="67" t="str">
        <f>IFERROR(IFERROR(INDEX(Кат!$I:$I,MATCH(Прайс!$B2676,Кат!$G:$G,0)),INDEX(Торг!$I:$I,MATCH(Прайс!$B2676,Торг!$H:$H,0))),"")</f>
        <v/>
      </c>
    </row>
    <row r="2677" spans="1:8" x14ac:dyDescent="0.25">
      <c r="A2677" s="99" t="s">
        <v>4003</v>
      </c>
      <c r="B2677" s="108">
        <v>22046</v>
      </c>
      <c r="C2677" s="108" t="s">
        <v>1419</v>
      </c>
      <c r="D2677" s="101" t="s">
        <v>166</v>
      </c>
      <c r="E2677" s="102">
        <v>280</v>
      </c>
      <c r="F2677" s="67" t="str">
        <f>IFERROR(IFERROR(INDEX(Кат!$A:$A,MATCH(Прайс!$B2677,Кат!$G:$G,0)),INDEX(Торг!$B:$B,MATCH(Прайс!$B2677,Торг!$H:$H,0))),"")</f>
        <v/>
      </c>
      <c r="G2677" s="67" t="str">
        <f>IFERROR(IFERROR(INDEX(Кат!$B:$B,MATCH(Прайс!$B2677,Кат!$G:$G,0)),INDEX(Торг!$C:$C,MATCH(Прайс!$B2677,Торг!$H:$H,0))),"")</f>
        <v/>
      </c>
      <c r="H2677" s="67" t="str">
        <f>IFERROR(IFERROR(INDEX(Кат!$I:$I,MATCH(Прайс!$B2677,Кат!$G:$G,0)),INDEX(Торг!$I:$I,MATCH(Прайс!$B2677,Торг!$H:$H,0))),"")</f>
        <v/>
      </c>
    </row>
    <row r="2678" spans="1:8" x14ac:dyDescent="0.25">
      <c r="A2678" s="99" t="s">
        <v>5956</v>
      </c>
      <c r="B2678" s="108">
        <v>22060</v>
      </c>
      <c r="C2678" s="108" t="s">
        <v>5957</v>
      </c>
      <c r="D2678" s="101" t="s">
        <v>190</v>
      </c>
      <c r="E2678" s="102">
        <v>70</v>
      </c>
      <c r="F2678" s="67" t="str">
        <f>IFERROR(IFERROR(INDEX(Кат!$A:$A,MATCH(Прайс!$B2678,Кат!$G:$G,0)),INDEX(Торг!$B:$B,MATCH(Прайс!$B2678,Торг!$H:$H,0))),"")</f>
        <v/>
      </c>
      <c r="G2678" s="67" t="str">
        <f>IFERROR(IFERROR(INDEX(Кат!$B:$B,MATCH(Прайс!$B2678,Кат!$G:$G,0)),INDEX(Торг!$C:$C,MATCH(Прайс!$B2678,Торг!$H:$H,0))),"")</f>
        <v/>
      </c>
      <c r="H2678" s="67" t="str">
        <f>IFERROR(IFERROR(INDEX(Кат!$I:$I,MATCH(Прайс!$B2678,Кат!$G:$G,0)),INDEX(Торг!$I:$I,MATCH(Прайс!$B2678,Торг!$H:$H,0))),"")</f>
        <v/>
      </c>
    </row>
    <row r="2679" spans="1:8" x14ac:dyDescent="0.25">
      <c r="A2679" s="99" t="s">
        <v>4004</v>
      </c>
      <c r="B2679" s="108">
        <v>22025</v>
      </c>
      <c r="C2679" s="108" t="s">
        <v>1420</v>
      </c>
      <c r="D2679" s="101" t="s">
        <v>648</v>
      </c>
      <c r="E2679" s="102">
        <v>410</v>
      </c>
      <c r="F2679" s="67" t="str">
        <f>IFERROR(IFERROR(INDEX(Кат!$A:$A,MATCH(Прайс!$B2679,Кат!$G:$G,0)),INDEX(Торг!$B:$B,MATCH(Прайс!$B2679,Торг!$H:$H,0))),"")</f>
        <v/>
      </c>
      <c r="G2679" s="67" t="str">
        <f>IFERROR(IFERROR(INDEX(Кат!$B:$B,MATCH(Прайс!$B2679,Кат!$G:$G,0)),INDEX(Торг!$C:$C,MATCH(Прайс!$B2679,Торг!$H:$H,0))),"")</f>
        <v/>
      </c>
      <c r="H2679" s="67" t="str">
        <f>IFERROR(IFERROR(INDEX(Кат!$I:$I,MATCH(Прайс!$B2679,Кат!$G:$G,0)),INDEX(Торг!$I:$I,MATCH(Прайс!$B2679,Торг!$H:$H,0))),"")</f>
        <v/>
      </c>
    </row>
    <row r="2680" spans="1:8" x14ac:dyDescent="0.25">
      <c r="A2680" s="99" t="s">
        <v>4005</v>
      </c>
      <c r="B2680" s="108">
        <v>22026</v>
      </c>
      <c r="C2680" s="108" t="s">
        <v>1421</v>
      </c>
      <c r="D2680" s="101" t="s">
        <v>161</v>
      </c>
      <c r="E2680" s="102">
        <v>560</v>
      </c>
      <c r="F2680" s="67" t="str">
        <f>IFERROR(IFERROR(INDEX(Кат!$A:$A,MATCH(Прайс!$B2680,Кат!$G:$G,0)),INDEX(Торг!$B:$B,MATCH(Прайс!$B2680,Торг!$H:$H,0))),"")</f>
        <v/>
      </c>
      <c r="G2680" s="67" t="str">
        <f>IFERROR(IFERROR(INDEX(Кат!$B:$B,MATCH(Прайс!$B2680,Кат!$G:$G,0)),INDEX(Торг!$C:$C,MATCH(Прайс!$B2680,Торг!$H:$H,0))),"")</f>
        <v/>
      </c>
      <c r="H2680" s="67" t="str">
        <f>IFERROR(IFERROR(INDEX(Кат!$I:$I,MATCH(Прайс!$B2680,Кат!$G:$G,0)),INDEX(Торг!$I:$I,MATCH(Прайс!$B2680,Торг!$H:$H,0))),"")</f>
        <v/>
      </c>
    </row>
    <row r="2681" spans="1:8" x14ac:dyDescent="0.25">
      <c r="A2681" s="99" t="s">
        <v>4006</v>
      </c>
      <c r="B2681" s="108">
        <v>22019</v>
      </c>
      <c r="C2681" s="108" t="s">
        <v>1422</v>
      </c>
      <c r="D2681" s="101" t="s">
        <v>190</v>
      </c>
      <c r="E2681" s="102">
        <v>180</v>
      </c>
      <c r="F2681" s="67" t="str">
        <f>IFERROR(IFERROR(INDEX(Кат!$A:$A,MATCH(Прайс!$B2681,Кат!$G:$G,0)),INDEX(Торг!$B:$B,MATCH(Прайс!$B2681,Торг!$H:$H,0))),"")</f>
        <v/>
      </c>
      <c r="G2681" s="67" t="str">
        <f>IFERROR(IFERROR(INDEX(Кат!$B:$B,MATCH(Прайс!$B2681,Кат!$G:$G,0)),INDEX(Торг!$C:$C,MATCH(Прайс!$B2681,Торг!$H:$H,0))),"")</f>
        <v/>
      </c>
      <c r="H2681" s="67" t="str">
        <f>IFERROR(IFERROR(INDEX(Кат!$I:$I,MATCH(Прайс!$B2681,Кат!$G:$G,0)),INDEX(Торг!$I:$I,MATCH(Прайс!$B2681,Торг!$H:$H,0))),"")</f>
        <v/>
      </c>
    </row>
    <row r="2682" spans="1:8" x14ac:dyDescent="0.25">
      <c r="A2682" s="99" t="s">
        <v>4007</v>
      </c>
      <c r="B2682" s="108">
        <v>22040</v>
      </c>
      <c r="C2682" s="108" t="s">
        <v>1423</v>
      </c>
      <c r="D2682" s="101" t="s">
        <v>1424</v>
      </c>
      <c r="E2682" s="102">
        <v>680</v>
      </c>
      <c r="F2682" s="67" t="str">
        <f>IFERROR(IFERROR(INDEX(Кат!$A:$A,MATCH(Прайс!$B2682,Кат!$G:$G,0)),INDEX(Торг!$B:$B,MATCH(Прайс!$B2682,Торг!$H:$H,0))),"")</f>
        <v/>
      </c>
      <c r="G2682" s="67" t="str">
        <f>IFERROR(IFERROR(INDEX(Кат!$B:$B,MATCH(Прайс!$B2682,Кат!$G:$G,0)),INDEX(Торг!$C:$C,MATCH(Прайс!$B2682,Торг!$H:$H,0))),"")</f>
        <v/>
      </c>
      <c r="H2682" s="67" t="str">
        <f>IFERROR(IFERROR(INDEX(Кат!$I:$I,MATCH(Прайс!$B2682,Кат!$G:$G,0)),INDEX(Торг!$I:$I,MATCH(Прайс!$B2682,Торг!$H:$H,0))),"")</f>
        <v/>
      </c>
    </row>
    <row r="2683" spans="1:8" x14ac:dyDescent="0.25">
      <c r="A2683" s="99" t="s">
        <v>4008</v>
      </c>
      <c r="B2683" s="108">
        <v>22036</v>
      </c>
      <c r="C2683" s="108" t="s">
        <v>1425</v>
      </c>
      <c r="D2683" s="101" t="s">
        <v>1424</v>
      </c>
      <c r="E2683" s="102">
        <v>780</v>
      </c>
      <c r="F2683" s="67" t="str">
        <f>IFERROR(IFERROR(INDEX(Кат!$A:$A,MATCH(Прайс!$B2683,Кат!$G:$G,0)),INDEX(Торг!$B:$B,MATCH(Прайс!$B2683,Торг!$H:$H,0))),"")</f>
        <v/>
      </c>
      <c r="G2683" s="67" t="str">
        <f>IFERROR(IFERROR(INDEX(Кат!$B:$B,MATCH(Прайс!$B2683,Кат!$G:$G,0)),INDEX(Торг!$C:$C,MATCH(Прайс!$B2683,Торг!$H:$H,0))),"")</f>
        <v/>
      </c>
      <c r="H2683" s="67" t="str">
        <f>IFERROR(IFERROR(INDEX(Кат!$I:$I,MATCH(Прайс!$B2683,Кат!$G:$G,0)),INDEX(Торг!$I:$I,MATCH(Прайс!$B2683,Торг!$H:$H,0))),"")</f>
        <v/>
      </c>
    </row>
    <row r="2684" spans="1:8" x14ac:dyDescent="0.25">
      <c r="A2684" s="99" t="s">
        <v>4009</v>
      </c>
      <c r="B2684" s="108">
        <v>22041</v>
      </c>
      <c r="C2684" s="108" t="s">
        <v>1426</v>
      </c>
      <c r="D2684" s="101" t="s">
        <v>1424</v>
      </c>
      <c r="E2684" s="102">
        <v>730</v>
      </c>
      <c r="F2684" s="67" t="str">
        <f>IFERROR(IFERROR(INDEX(Кат!$A:$A,MATCH(Прайс!$B2684,Кат!$G:$G,0)),INDEX(Торг!$B:$B,MATCH(Прайс!$B2684,Торг!$H:$H,0))),"")</f>
        <v/>
      </c>
      <c r="G2684" s="67" t="str">
        <f>IFERROR(IFERROR(INDEX(Кат!$B:$B,MATCH(Прайс!$B2684,Кат!$G:$G,0)),INDEX(Торг!$C:$C,MATCH(Прайс!$B2684,Торг!$H:$H,0))),"")</f>
        <v/>
      </c>
      <c r="H2684" s="67" t="str">
        <f>IFERROR(IFERROR(INDEX(Кат!$I:$I,MATCH(Прайс!$B2684,Кат!$G:$G,0)),INDEX(Торг!$I:$I,MATCH(Прайс!$B2684,Торг!$H:$H,0))),"")</f>
        <v/>
      </c>
    </row>
    <row r="2685" spans="1:8" x14ac:dyDescent="0.25">
      <c r="A2685" s="99" t="s">
        <v>4010</v>
      </c>
      <c r="B2685" s="108">
        <v>22037</v>
      </c>
      <c r="C2685" s="108" t="s">
        <v>1427</v>
      </c>
      <c r="D2685" s="101" t="s">
        <v>1424</v>
      </c>
      <c r="E2685" s="102">
        <v>900</v>
      </c>
      <c r="F2685" s="67" t="str">
        <f>IFERROR(IFERROR(INDEX(Кат!$A:$A,MATCH(Прайс!$B2685,Кат!$G:$G,0)),INDEX(Торг!$B:$B,MATCH(Прайс!$B2685,Торг!$H:$H,0))),"")</f>
        <v/>
      </c>
      <c r="G2685" s="67" t="str">
        <f>IFERROR(IFERROR(INDEX(Кат!$B:$B,MATCH(Прайс!$B2685,Кат!$G:$G,0)),INDEX(Торг!$C:$C,MATCH(Прайс!$B2685,Торг!$H:$H,0))),"")</f>
        <v/>
      </c>
      <c r="H2685" s="67" t="str">
        <f>IFERROR(IFERROR(INDEX(Кат!$I:$I,MATCH(Прайс!$B2685,Кат!$G:$G,0)),INDEX(Торг!$I:$I,MATCH(Прайс!$B2685,Торг!$H:$H,0))),"")</f>
        <v/>
      </c>
    </row>
    <row r="2686" spans="1:8" x14ac:dyDescent="0.25">
      <c r="A2686" s="99" t="s">
        <v>4011</v>
      </c>
      <c r="B2686" s="108">
        <v>22034</v>
      </c>
      <c r="C2686" s="108" t="s">
        <v>1428</v>
      </c>
      <c r="D2686" s="101" t="s">
        <v>361</v>
      </c>
      <c r="E2686" s="102">
        <v>420</v>
      </c>
      <c r="F2686" s="67" t="str">
        <f>IFERROR(IFERROR(INDEX(Кат!$A:$A,MATCH(Прайс!$B2686,Кат!$G:$G,0)),INDEX(Торг!$B:$B,MATCH(Прайс!$B2686,Торг!$H:$H,0))),"")</f>
        <v/>
      </c>
      <c r="G2686" s="67" t="str">
        <f>IFERROR(IFERROR(INDEX(Кат!$B:$B,MATCH(Прайс!$B2686,Кат!$G:$G,0)),INDEX(Торг!$C:$C,MATCH(Прайс!$B2686,Торг!$H:$H,0))),"")</f>
        <v/>
      </c>
      <c r="H2686" s="67" t="str">
        <f>IFERROR(IFERROR(INDEX(Кат!$I:$I,MATCH(Прайс!$B2686,Кат!$G:$G,0)),INDEX(Торг!$I:$I,MATCH(Прайс!$B2686,Торг!$H:$H,0))),"")</f>
        <v/>
      </c>
    </row>
    <row r="2687" spans="1:8" x14ac:dyDescent="0.25">
      <c r="A2687" s="99" t="s">
        <v>4012</v>
      </c>
      <c r="B2687" s="108">
        <v>22039</v>
      </c>
      <c r="C2687" s="108" t="s">
        <v>1429</v>
      </c>
      <c r="D2687" s="101" t="s">
        <v>648</v>
      </c>
      <c r="E2687" s="102">
        <v>570</v>
      </c>
      <c r="F2687" s="67" t="str">
        <f>IFERROR(IFERROR(INDEX(Кат!$A:$A,MATCH(Прайс!$B2687,Кат!$G:$G,0)),INDEX(Торг!$B:$B,MATCH(Прайс!$B2687,Торг!$H:$H,0))),"")</f>
        <v/>
      </c>
      <c r="G2687" s="67" t="str">
        <f>IFERROR(IFERROR(INDEX(Кат!$B:$B,MATCH(Прайс!$B2687,Кат!$G:$G,0)),INDEX(Торг!$C:$C,MATCH(Прайс!$B2687,Торг!$H:$H,0))),"")</f>
        <v/>
      </c>
      <c r="H2687" s="67" t="str">
        <f>IFERROR(IFERROR(INDEX(Кат!$I:$I,MATCH(Прайс!$B2687,Кат!$G:$G,0)),INDEX(Торг!$I:$I,MATCH(Прайс!$B2687,Торг!$H:$H,0))),"")</f>
        <v/>
      </c>
    </row>
    <row r="2688" spans="1:8" x14ac:dyDescent="0.25">
      <c r="A2688" s="94" t="s">
        <v>7754</v>
      </c>
      <c r="B2688" s="98">
        <v>22061</v>
      </c>
      <c r="C2688" s="98" t="s">
        <v>7755</v>
      </c>
      <c r="D2688" s="96" t="s">
        <v>190</v>
      </c>
      <c r="E2688" s="97">
        <v>120</v>
      </c>
      <c r="F2688" s="67" t="str">
        <f>IFERROR(IFERROR(INDEX(Кат!$A:$A,MATCH(Прайс!$B2688,Кат!$G:$G,0)),INDEX(Торг!$B:$B,MATCH(Прайс!$B2688,Торг!$H:$H,0))),"")</f>
        <v/>
      </c>
      <c r="G2688" s="67" t="str">
        <f>IFERROR(IFERROR(INDEX(Кат!$B:$B,MATCH(Прайс!$B2688,Кат!$G:$G,0)),INDEX(Торг!$C:$C,MATCH(Прайс!$B2688,Торг!$H:$H,0))),"")</f>
        <v/>
      </c>
      <c r="H2688" s="67" t="str">
        <f>IFERROR(IFERROR(INDEX(Кат!$I:$I,MATCH(Прайс!$B2688,Кат!$G:$G,0)),INDEX(Торг!$I:$I,MATCH(Прайс!$B2688,Торг!$H:$H,0))),"")</f>
        <v/>
      </c>
    </row>
    <row r="2689" spans="1:8" x14ac:dyDescent="0.25">
      <c r="A2689" s="99" t="s">
        <v>4013</v>
      </c>
      <c r="B2689" s="108">
        <v>22057</v>
      </c>
      <c r="C2689" s="108" t="s">
        <v>1430</v>
      </c>
      <c r="D2689" s="101" t="s">
        <v>582</v>
      </c>
      <c r="E2689" s="114">
        <v>2700</v>
      </c>
      <c r="F2689" s="67" t="str">
        <f>IFERROR(IFERROR(INDEX(Кат!$A:$A,MATCH(Прайс!$B2689,Кат!$G:$G,0)),INDEX(Торг!$B:$B,MATCH(Прайс!$B2689,Торг!$H:$H,0))),"")</f>
        <v/>
      </c>
      <c r="G2689" s="67" t="str">
        <f>IFERROR(IFERROR(INDEX(Кат!$B:$B,MATCH(Прайс!$B2689,Кат!$G:$G,0)),INDEX(Торг!$C:$C,MATCH(Прайс!$B2689,Торг!$H:$H,0))),"")</f>
        <v/>
      </c>
      <c r="H2689" s="67" t="str">
        <f>IFERROR(IFERROR(INDEX(Кат!$I:$I,MATCH(Прайс!$B2689,Кат!$G:$G,0)),INDEX(Торг!$I:$I,MATCH(Прайс!$B2689,Торг!$H:$H,0))),"")</f>
        <v/>
      </c>
    </row>
    <row r="2690" spans="1:8" ht="15.75" x14ac:dyDescent="0.25">
      <c r="A2690" s="90"/>
      <c r="B2690" s="91"/>
      <c r="C2690" s="92" t="s">
        <v>1431</v>
      </c>
      <c r="D2690" s="91"/>
      <c r="E2690" s="93"/>
      <c r="F2690" s="67" t="str">
        <f>IFERROR(IFERROR(INDEX(Кат!$A:$A,MATCH(Прайс!$B2690,Кат!$G:$G,0)),INDEX(Торг!$B:$B,MATCH(Прайс!$B2690,Торг!$H:$H,0))),"")</f>
        <v/>
      </c>
      <c r="G2690" s="67" t="str">
        <f>IFERROR(IFERROR(INDEX(Кат!$B:$B,MATCH(Прайс!$B2690,Кат!$G:$G,0)),INDEX(Торг!$C:$C,MATCH(Прайс!$B2690,Торг!$H:$H,0))),"")</f>
        <v/>
      </c>
      <c r="H2690" s="67" t="str">
        <f>IFERROR(IFERROR(INDEX(Кат!$I:$I,MATCH(Прайс!$B2690,Кат!$G:$G,0)),INDEX(Торг!$I:$I,MATCH(Прайс!$B2690,Торг!$H:$H,0))),"")</f>
        <v/>
      </c>
    </row>
    <row r="2691" spans="1:8" x14ac:dyDescent="0.25">
      <c r="A2691" s="94" t="s">
        <v>4014</v>
      </c>
      <c r="B2691" s="98">
        <v>14042</v>
      </c>
      <c r="C2691" s="98" t="s">
        <v>1432</v>
      </c>
      <c r="D2691" s="96" t="s">
        <v>166</v>
      </c>
      <c r="E2691" s="97">
        <v>100</v>
      </c>
      <c r="F2691" s="67" t="str">
        <f>IFERROR(IFERROR(INDEX(Кат!$A:$A,MATCH(Прайс!$B2691,Кат!$G:$G,0)),INDEX(Торг!$B:$B,MATCH(Прайс!$B2691,Торг!$H:$H,0))),"")</f>
        <v/>
      </c>
      <c r="G2691" s="67" t="str">
        <f>IFERROR(IFERROR(INDEX(Кат!$B:$B,MATCH(Прайс!$B2691,Кат!$G:$G,0)),INDEX(Торг!$C:$C,MATCH(Прайс!$B2691,Торг!$H:$H,0))),"")</f>
        <v/>
      </c>
      <c r="H2691" s="67" t="str">
        <f>IFERROR(IFERROR(INDEX(Кат!$I:$I,MATCH(Прайс!$B2691,Кат!$G:$G,0)),INDEX(Торг!$I:$I,MATCH(Прайс!$B2691,Торг!$H:$H,0))),"")</f>
        <v/>
      </c>
    </row>
    <row r="2692" spans="1:8" ht="15.75" x14ac:dyDescent="0.25">
      <c r="A2692" s="87"/>
      <c r="B2692" s="88"/>
      <c r="C2692" s="88" t="s">
        <v>1433</v>
      </c>
      <c r="D2692" s="88"/>
      <c r="E2692" s="89"/>
      <c r="F2692" s="67" t="str">
        <f>IFERROR(IFERROR(INDEX(Кат!$A:$A,MATCH(Прайс!$B2692,Кат!$G:$G,0)),INDEX(Торг!$B:$B,MATCH(Прайс!$B2692,Торг!$H:$H,0))),"")</f>
        <v/>
      </c>
      <c r="G2692" s="67" t="str">
        <f>IFERROR(IFERROR(INDEX(Кат!$B:$B,MATCH(Прайс!$B2692,Кат!$G:$G,0)),INDEX(Торг!$C:$C,MATCH(Прайс!$B2692,Торг!$H:$H,0))),"")</f>
        <v/>
      </c>
      <c r="H2692" s="67" t="str">
        <f>IFERROR(IFERROR(INDEX(Кат!$I:$I,MATCH(Прайс!$B2692,Кат!$G:$G,0)),INDEX(Торг!$I:$I,MATCH(Прайс!$B2692,Торг!$H:$H,0))),"")</f>
        <v/>
      </c>
    </row>
    <row r="2693" spans="1:8" ht="15.75" x14ac:dyDescent="0.25">
      <c r="A2693" s="90"/>
      <c r="B2693" s="91"/>
      <c r="C2693" s="92" t="s">
        <v>1433</v>
      </c>
      <c r="D2693" s="91"/>
      <c r="E2693" s="93"/>
      <c r="F2693" s="67" t="str">
        <f>IFERROR(IFERROR(INDEX(Кат!$A:$A,MATCH(Прайс!$B2693,Кат!$G:$G,0)),INDEX(Торг!$B:$B,MATCH(Прайс!$B2693,Торг!$H:$H,0))),"")</f>
        <v/>
      </c>
      <c r="G2693" s="67" t="str">
        <f>IFERROR(IFERROR(INDEX(Кат!$B:$B,MATCH(Прайс!$B2693,Кат!$G:$G,0)),INDEX(Торг!$C:$C,MATCH(Прайс!$B2693,Торг!$H:$H,0))),"")</f>
        <v/>
      </c>
      <c r="H2693" s="67" t="str">
        <f>IFERROR(IFERROR(INDEX(Кат!$I:$I,MATCH(Прайс!$B2693,Кат!$G:$G,0)),INDEX(Торг!$I:$I,MATCH(Прайс!$B2693,Торг!$H:$H,0))),"")</f>
        <v/>
      </c>
    </row>
    <row r="2694" spans="1:8" x14ac:dyDescent="0.25">
      <c r="A2694" s="94" t="s">
        <v>4015</v>
      </c>
      <c r="B2694" s="98">
        <v>15001</v>
      </c>
      <c r="C2694" s="98" t="s">
        <v>1434</v>
      </c>
      <c r="D2694" s="96" t="s">
        <v>190</v>
      </c>
      <c r="E2694" s="97">
        <v>12</v>
      </c>
      <c r="F2694" s="67" t="str">
        <f>IFERROR(IFERROR(INDEX(Кат!$A:$A,MATCH(Прайс!$B2694,Кат!$G:$G,0)),INDEX(Торг!$B:$B,MATCH(Прайс!$B2694,Торг!$H:$H,0))),"")</f>
        <v/>
      </c>
      <c r="G2694" s="67" t="str">
        <f>IFERROR(IFERROR(INDEX(Кат!$B:$B,MATCH(Прайс!$B2694,Кат!$G:$G,0)),INDEX(Торг!$C:$C,MATCH(Прайс!$B2694,Торг!$H:$H,0))),"")</f>
        <v/>
      </c>
      <c r="H2694" s="67" t="str">
        <f>IFERROR(IFERROR(INDEX(Кат!$I:$I,MATCH(Прайс!$B2694,Кат!$G:$G,0)),INDEX(Торг!$I:$I,MATCH(Прайс!$B2694,Торг!$H:$H,0))),"")</f>
        <v/>
      </c>
    </row>
    <row r="2695" spans="1:8" x14ac:dyDescent="0.25">
      <c r="A2695" s="94" t="s">
        <v>4019</v>
      </c>
      <c r="B2695" s="98">
        <v>15005</v>
      </c>
      <c r="C2695" s="98" t="s">
        <v>8455</v>
      </c>
      <c r="D2695" s="96" t="s">
        <v>190</v>
      </c>
      <c r="E2695" s="97">
        <v>18</v>
      </c>
      <c r="F2695" s="67" t="str">
        <f>IFERROR(IFERROR(INDEX(Кат!$A:$A,MATCH(Прайс!$B2695,Кат!$G:$G,0)),INDEX(Торг!$B:$B,MATCH(Прайс!$B2695,Торг!$H:$H,0))),"")</f>
        <v/>
      </c>
      <c r="G2695" s="67" t="str">
        <f>IFERROR(IFERROR(INDEX(Кат!$B:$B,MATCH(Прайс!$B2695,Кат!$G:$G,0)),INDEX(Торг!$C:$C,MATCH(Прайс!$B2695,Торг!$H:$H,0))),"")</f>
        <v/>
      </c>
      <c r="H2695" s="67" t="str">
        <f>IFERROR(IFERROR(INDEX(Кат!$I:$I,MATCH(Прайс!$B2695,Кат!$G:$G,0)),INDEX(Торг!$I:$I,MATCH(Прайс!$B2695,Торг!$H:$H,0))),"")</f>
        <v/>
      </c>
    </row>
    <row r="2696" spans="1:8" x14ac:dyDescent="0.25">
      <c r="A2696" s="94" t="s">
        <v>4016</v>
      </c>
      <c r="B2696" s="98">
        <v>15002</v>
      </c>
      <c r="C2696" s="98" t="s">
        <v>1435</v>
      </c>
      <c r="D2696" s="96" t="s">
        <v>190</v>
      </c>
      <c r="E2696" s="97">
        <v>12</v>
      </c>
      <c r="F2696" s="67" t="str">
        <f>IFERROR(IFERROR(INDEX(Кат!$A:$A,MATCH(Прайс!$B2696,Кат!$G:$G,0)),INDEX(Торг!$B:$B,MATCH(Прайс!$B2696,Торг!$H:$H,0))),"")</f>
        <v/>
      </c>
      <c r="G2696" s="67" t="str">
        <f>IFERROR(IFERROR(INDEX(Кат!$B:$B,MATCH(Прайс!$B2696,Кат!$G:$G,0)),INDEX(Торг!$C:$C,MATCH(Прайс!$B2696,Торг!$H:$H,0))),"")</f>
        <v/>
      </c>
      <c r="H2696" s="67" t="str">
        <f>IFERROR(IFERROR(INDEX(Кат!$I:$I,MATCH(Прайс!$B2696,Кат!$G:$G,0)),INDEX(Торг!$I:$I,MATCH(Прайс!$B2696,Торг!$H:$H,0))),"")</f>
        <v/>
      </c>
    </row>
    <row r="2697" spans="1:8" x14ac:dyDescent="0.25">
      <c r="A2697" s="94" t="s">
        <v>4017</v>
      </c>
      <c r="B2697" s="98">
        <v>15003</v>
      </c>
      <c r="C2697" s="98" t="s">
        <v>1436</v>
      </c>
      <c r="D2697" s="96" t="s">
        <v>190</v>
      </c>
      <c r="E2697" s="97">
        <v>14</v>
      </c>
      <c r="F2697" s="67">
        <f>IFERROR(IFERROR(INDEX(Кат!$A:$A,MATCH(Прайс!$B2697,Кат!$G:$G,0)),INDEX(Торг!$B:$B,MATCH(Прайс!$B2697,Торг!$H:$H,0))),"")</f>
        <v>171024</v>
      </c>
      <c r="G2697" s="67">
        <f>IFERROR(IFERROR(INDEX(Кат!$B:$B,MATCH(Прайс!$B2697,Кат!$G:$G,0)),INDEX(Торг!$C:$C,MATCH(Прайс!$B2697,Торг!$H:$H,0))),"")</f>
        <v>11040</v>
      </c>
      <c r="H2697" s="67" t="str">
        <f>IFERROR(IFERROR(INDEX(Кат!$I:$I,MATCH(Прайс!$B2697,Кат!$G:$G,0)),INDEX(Торг!$I:$I,MATCH(Прайс!$B2697,Торг!$H:$H,0))),"")</f>
        <v>кристал авто</v>
      </c>
    </row>
    <row r="2698" spans="1:8" x14ac:dyDescent="0.25">
      <c r="A2698" s="94" t="s">
        <v>4018</v>
      </c>
      <c r="B2698" s="98">
        <v>15006</v>
      </c>
      <c r="C2698" s="98" t="s">
        <v>1437</v>
      </c>
      <c r="D2698" s="96" t="s">
        <v>190</v>
      </c>
      <c r="E2698" s="97">
        <v>9</v>
      </c>
      <c r="F2698" s="67" t="str">
        <f>IFERROR(IFERROR(INDEX(Кат!$A:$A,MATCH(Прайс!$B2698,Кат!$G:$G,0)),INDEX(Торг!$B:$B,MATCH(Прайс!$B2698,Торг!$H:$H,0))),"")</f>
        <v/>
      </c>
      <c r="G2698" s="67" t="str">
        <f>IFERROR(IFERROR(INDEX(Кат!$B:$B,MATCH(Прайс!$B2698,Кат!$G:$G,0)),INDEX(Торг!$C:$C,MATCH(Прайс!$B2698,Торг!$H:$H,0))),"")</f>
        <v/>
      </c>
      <c r="H2698" s="67" t="str">
        <f>IFERROR(IFERROR(INDEX(Кат!$I:$I,MATCH(Прайс!$B2698,Кат!$G:$G,0)),INDEX(Торг!$I:$I,MATCH(Прайс!$B2698,Торг!$H:$H,0))),"")</f>
        <v/>
      </c>
    </row>
    <row r="2699" spans="1:8" ht="15.75" x14ac:dyDescent="0.25">
      <c r="A2699" s="87"/>
      <c r="B2699" s="88"/>
      <c r="C2699" s="88" t="s">
        <v>1438</v>
      </c>
      <c r="D2699" s="88"/>
      <c r="E2699" s="89"/>
      <c r="F2699" s="67" t="str">
        <f>IFERROR(IFERROR(INDEX(Кат!$A:$A,MATCH(Прайс!$B2699,Кат!$G:$G,0)),INDEX(Торг!$B:$B,MATCH(Прайс!$B2699,Торг!$H:$H,0))),"")</f>
        <v/>
      </c>
      <c r="G2699" s="67" t="str">
        <f>IFERROR(IFERROR(INDEX(Кат!$B:$B,MATCH(Прайс!$B2699,Кат!$G:$G,0)),INDEX(Торг!$C:$C,MATCH(Прайс!$B2699,Торг!$H:$H,0))),"")</f>
        <v/>
      </c>
      <c r="H2699" s="67" t="str">
        <f>IFERROR(IFERROR(INDEX(Кат!$I:$I,MATCH(Прайс!$B2699,Кат!$G:$G,0)),INDEX(Торг!$I:$I,MATCH(Прайс!$B2699,Торг!$H:$H,0))),"")</f>
        <v/>
      </c>
    </row>
    <row r="2700" spans="1:8" x14ac:dyDescent="0.25">
      <c r="A2700" s="94" t="s">
        <v>4020</v>
      </c>
      <c r="B2700" s="98">
        <v>50308</v>
      </c>
      <c r="C2700" s="98" t="s">
        <v>1439</v>
      </c>
      <c r="D2700" s="96" t="s">
        <v>284</v>
      </c>
      <c r="E2700" s="97">
        <v>55</v>
      </c>
      <c r="F2700" s="67" t="str">
        <f>IFERROR(IFERROR(INDEX(Кат!$A:$A,MATCH(Прайс!$B2700,Кат!$G:$G,0)),INDEX(Торг!$B:$B,MATCH(Прайс!$B2700,Торг!$H:$H,0))),"")</f>
        <v/>
      </c>
      <c r="G2700" s="67" t="str">
        <f>IFERROR(IFERROR(INDEX(Кат!$B:$B,MATCH(Прайс!$B2700,Кат!$G:$G,0)),INDEX(Торг!$C:$C,MATCH(Прайс!$B2700,Торг!$H:$H,0))),"")</f>
        <v/>
      </c>
      <c r="H2700" s="67" t="str">
        <f>IFERROR(IFERROR(INDEX(Кат!$I:$I,MATCH(Прайс!$B2700,Кат!$G:$G,0)),INDEX(Торг!$I:$I,MATCH(Прайс!$B2700,Торг!$H:$H,0))),"")</f>
        <v/>
      </c>
    </row>
    <row r="2701" spans="1:8" x14ac:dyDescent="0.25">
      <c r="A2701" s="94" t="s">
        <v>4021</v>
      </c>
      <c r="B2701" s="98">
        <v>50309</v>
      </c>
      <c r="C2701" s="98" t="s">
        <v>1440</v>
      </c>
      <c r="D2701" s="96" t="s">
        <v>284</v>
      </c>
      <c r="E2701" s="97">
        <v>55</v>
      </c>
      <c r="F2701" s="67" t="str">
        <f>IFERROR(IFERROR(INDEX(Кат!$A:$A,MATCH(Прайс!$B2701,Кат!$G:$G,0)),INDEX(Торг!$B:$B,MATCH(Прайс!$B2701,Торг!$H:$H,0))),"")</f>
        <v/>
      </c>
      <c r="G2701" s="67" t="str">
        <f>IFERROR(IFERROR(INDEX(Кат!$B:$B,MATCH(Прайс!$B2701,Кат!$G:$G,0)),INDEX(Торг!$C:$C,MATCH(Прайс!$B2701,Торг!$H:$H,0))),"")</f>
        <v/>
      </c>
      <c r="H2701" s="67" t="str">
        <f>IFERROR(IFERROR(INDEX(Кат!$I:$I,MATCH(Прайс!$B2701,Кат!$G:$G,0)),INDEX(Торг!$I:$I,MATCH(Прайс!$B2701,Торг!$H:$H,0))),"")</f>
        <v/>
      </c>
    </row>
    <row r="2702" spans="1:8" ht="15.75" x14ac:dyDescent="0.25">
      <c r="A2702" s="87"/>
      <c r="B2702" s="88"/>
      <c r="C2702" s="88" t="s">
        <v>1441</v>
      </c>
      <c r="D2702" s="88"/>
      <c r="E2702" s="89"/>
      <c r="F2702" s="67" t="str">
        <f>IFERROR(IFERROR(INDEX(Кат!$A:$A,MATCH(Прайс!$B2702,Кат!$G:$G,0)),INDEX(Торг!$B:$B,MATCH(Прайс!$B2702,Торг!$H:$H,0))),"")</f>
        <v/>
      </c>
      <c r="G2702" s="67" t="str">
        <f>IFERROR(IFERROR(INDEX(Кат!$B:$B,MATCH(Прайс!$B2702,Кат!$G:$G,0)),INDEX(Торг!$C:$C,MATCH(Прайс!$B2702,Торг!$H:$H,0))),"")</f>
        <v/>
      </c>
      <c r="H2702" s="67" t="str">
        <f>IFERROR(IFERROR(INDEX(Кат!$I:$I,MATCH(Прайс!$B2702,Кат!$G:$G,0)),INDEX(Торг!$I:$I,MATCH(Прайс!$B2702,Торг!$H:$H,0))),"")</f>
        <v/>
      </c>
    </row>
    <row r="2703" spans="1:8" ht="15.75" x14ac:dyDescent="0.25">
      <c r="A2703" s="90"/>
      <c r="B2703" s="91"/>
      <c r="C2703" s="92" t="s">
        <v>1442</v>
      </c>
      <c r="D2703" s="91"/>
      <c r="E2703" s="93"/>
      <c r="F2703" s="67" t="str">
        <f>IFERROR(IFERROR(INDEX(Кат!$A:$A,MATCH(Прайс!$B2703,Кат!$G:$G,0)),INDEX(Торг!$B:$B,MATCH(Прайс!$B2703,Торг!$H:$H,0))),"")</f>
        <v/>
      </c>
      <c r="G2703" s="67" t="str">
        <f>IFERROR(IFERROR(INDEX(Кат!$B:$B,MATCH(Прайс!$B2703,Кат!$G:$G,0)),INDEX(Торг!$C:$C,MATCH(Прайс!$B2703,Торг!$H:$H,0))),"")</f>
        <v/>
      </c>
      <c r="H2703" s="67" t="str">
        <f>IFERROR(IFERROR(INDEX(Кат!$I:$I,MATCH(Прайс!$B2703,Кат!$G:$G,0)),INDEX(Торг!$I:$I,MATCH(Прайс!$B2703,Торг!$H:$H,0))),"")</f>
        <v/>
      </c>
    </row>
    <row r="2704" spans="1:8" x14ac:dyDescent="0.25">
      <c r="A2704" s="94" t="s">
        <v>4022</v>
      </c>
      <c r="B2704" s="98">
        <v>16023</v>
      </c>
      <c r="C2704" s="98" t="s">
        <v>1443</v>
      </c>
      <c r="D2704" s="96" t="s">
        <v>330</v>
      </c>
      <c r="E2704" s="97">
        <v>120</v>
      </c>
      <c r="F2704" s="67" t="str">
        <f>IFERROR(IFERROR(INDEX(Кат!$A:$A,MATCH(Прайс!$B2704,Кат!$G:$G,0)),INDEX(Торг!$B:$B,MATCH(Прайс!$B2704,Торг!$H:$H,0))),"")</f>
        <v/>
      </c>
      <c r="G2704" s="67" t="str">
        <f>IFERROR(IFERROR(INDEX(Кат!$B:$B,MATCH(Прайс!$B2704,Кат!$G:$G,0)),INDEX(Торг!$C:$C,MATCH(Прайс!$B2704,Торг!$H:$H,0))),"")</f>
        <v/>
      </c>
      <c r="H2704" s="67" t="str">
        <f>IFERROR(IFERROR(INDEX(Кат!$I:$I,MATCH(Прайс!$B2704,Кат!$G:$G,0)),INDEX(Торг!$I:$I,MATCH(Прайс!$B2704,Торг!$H:$H,0))),"")</f>
        <v/>
      </c>
    </row>
    <row r="2705" spans="1:8" x14ac:dyDescent="0.25">
      <c r="A2705" s="94" t="s">
        <v>4023</v>
      </c>
      <c r="B2705" s="98">
        <v>16020</v>
      </c>
      <c r="C2705" s="98" t="s">
        <v>1444</v>
      </c>
      <c r="D2705" s="96" t="s">
        <v>330</v>
      </c>
      <c r="E2705" s="97">
        <v>75</v>
      </c>
      <c r="F2705" s="67" t="str">
        <f>IFERROR(IFERROR(INDEX(Кат!$A:$A,MATCH(Прайс!$B2705,Кат!$G:$G,0)),INDEX(Торг!$B:$B,MATCH(Прайс!$B2705,Торг!$H:$H,0))),"")</f>
        <v/>
      </c>
      <c r="G2705" s="67" t="str">
        <f>IFERROR(IFERROR(INDEX(Кат!$B:$B,MATCH(Прайс!$B2705,Кат!$G:$G,0)),INDEX(Торг!$C:$C,MATCH(Прайс!$B2705,Торг!$H:$H,0))),"")</f>
        <v/>
      </c>
      <c r="H2705" s="67" t="str">
        <f>IFERROR(IFERROR(INDEX(Кат!$I:$I,MATCH(Прайс!$B2705,Кат!$G:$G,0)),INDEX(Торг!$I:$I,MATCH(Прайс!$B2705,Торг!$H:$H,0))),"")</f>
        <v/>
      </c>
    </row>
    <row r="2706" spans="1:8" x14ac:dyDescent="0.25">
      <c r="A2706" s="94" t="s">
        <v>4024</v>
      </c>
      <c r="B2706" s="98">
        <v>16021</v>
      </c>
      <c r="C2706" s="98" t="s">
        <v>1445</v>
      </c>
      <c r="D2706" s="96" t="s">
        <v>174</v>
      </c>
      <c r="E2706" s="97">
        <v>150</v>
      </c>
      <c r="F2706" s="67" t="str">
        <f>IFERROR(IFERROR(INDEX(Кат!$A:$A,MATCH(Прайс!$B2706,Кат!$G:$G,0)),INDEX(Торг!$B:$B,MATCH(Прайс!$B2706,Торг!$H:$H,0))),"")</f>
        <v/>
      </c>
      <c r="G2706" s="67" t="str">
        <f>IFERROR(IFERROR(INDEX(Кат!$B:$B,MATCH(Прайс!$B2706,Кат!$G:$G,0)),INDEX(Торг!$C:$C,MATCH(Прайс!$B2706,Торг!$H:$H,0))),"")</f>
        <v/>
      </c>
      <c r="H2706" s="67" t="str">
        <f>IFERROR(IFERROR(INDEX(Кат!$I:$I,MATCH(Прайс!$B2706,Кат!$G:$G,0)),INDEX(Торг!$I:$I,MATCH(Прайс!$B2706,Торг!$H:$H,0))),"")</f>
        <v/>
      </c>
    </row>
    <row r="2707" spans="1:8" x14ac:dyDescent="0.25">
      <c r="A2707" s="94" t="s">
        <v>4025</v>
      </c>
      <c r="B2707" s="98">
        <v>16022</v>
      </c>
      <c r="C2707" s="98" t="s">
        <v>1446</v>
      </c>
      <c r="D2707" s="96" t="s">
        <v>7756</v>
      </c>
      <c r="E2707" s="97">
        <v>190</v>
      </c>
      <c r="F2707" s="67" t="str">
        <f>IFERROR(IFERROR(INDEX(Кат!$A:$A,MATCH(Прайс!$B2707,Кат!$G:$G,0)),INDEX(Торг!$B:$B,MATCH(Прайс!$B2707,Торг!$H:$H,0))),"")</f>
        <v/>
      </c>
      <c r="G2707" s="67" t="str">
        <f>IFERROR(IFERROR(INDEX(Кат!$B:$B,MATCH(Прайс!$B2707,Кат!$G:$G,0)),INDEX(Торг!$C:$C,MATCH(Прайс!$B2707,Торг!$H:$H,0))),"")</f>
        <v/>
      </c>
      <c r="H2707" s="67" t="str">
        <f>IFERROR(IFERROR(INDEX(Кат!$I:$I,MATCH(Прайс!$B2707,Кат!$G:$G,0)),INDEX(Торг!$I:$I,MATCH(Прайс!$B2707,Торг!$H:$H,0))),"")</f>
        <v/>
      </c>
    </row>
    <row r="2708" spans="1:8" x14ac:dyDescent="0.25">
      <c r="A2708" s="94" t="s">
        <v>4026</v>
      </c>
      <c r="B2708" s="98">
        <v>16008</v>
      </c>
      <c r="C2708" s="98" t="s">
        <v>1447</v>
      </c>
      <c r="D2708" s="96" t="s">
        <v>161</v>
      </c>
      <c r="E2708" s="97">
        <v>45</v>
      </c>
      <c r="F2708" s="67" t="str">
        <f>IFERROR(IFERROR(INDEX(Кат!$A:$A,MATCH(Прайс!$B2708,Кат!$G:$G,0)),INDEX(Торг!$B:$B,MATCH(Прайс!$B2708,Торг!$H:$H,0))),"")</f>
        <v/>
      </c>
      <c r="G2708" s="67" t="str">
        <f>IFERROR(IFERROR(INDEX(Кат!$B:$B,MATCH(Прайс!$B2708,Кат!$G:$G,0)),INDEX(Торг!$C:$C,MATCH(Прайс!$B2708,Торг!$H:$H,0))),"")</f>
        <v/>
      </c>
      <c r="H2708" s="67" t="str">
        <f>IFERROR(IFERROR(INDEX(Кат!$I:$I,MATCH(Прайс!$B2708,Кат!$G:$G,0)),INDEX(Торг!$I:$I,MATCH(Прайс!$B2708,Торг!$H:$H,0))),"")</f>
        <v/>
      </c>
    </row>
    <row r="2709" spans="1:8" x14ac:dyDescent="0.25">
      <c r="A2709" s="94" t="s">
        <v>4027</v>
      </c>
      <c r="B2709" s="98">
        <v>16009</v>
      </c>
      <c r="C2709" s="98" t="s">
        <v>1448</v>
      </c>
      <c r="D2709" s="96" t="s">
        <v>337</v>
      </c>
      <c r="E2709" s="97">
        <v>65</v>
      </c>
      <c r="F2709" s="67" t="str">
        <f>IFERROR(IFERROR(INDEX(Кат!$A:$A,MATCH(Прайс!$B2709,Кат!$G:$G,0)),INDEX(Торг!$B:$B,MATCH(Прайс!$B2709,Торг!$H:$H,0))),"")</f>
        <v/>
      </c>
      <c r="G2709" s="67" t="str">
        <f>IFERROR(IFERROR(INDEX(Кат!$B:$B,MATCH(Прайс!$B2709,Кат!$G:$G,0)),INDEX(Торг!$C:$C,MATCH(Прайс!$B2709,Торг!$H:$H,0))),"")</f>
        <v/>
      </c>
      <c r="H2709" s="67" t="str">
        <f>IFERROR(IFERROR(INDEX(Кат!$I:$I,MATCH(Прайс!$B2709,Кат!$G:$G,0)),INDEX(Торг!$I:$I,MATCH(Прайс!$B2709,Торг!$H:$H,0))),"")</f>
        <v/>
      </c>
    </row>
    <row r="2710" spans="1:8" x14ac:dyDescent="0.25">
      <c r="A2710" s="94" t="s">
        <v>4028</v>
      </c>
      <c r="B2710" s="98">
        <v>16010</v>
      </c>
      <c r="C2710" s="98" t="s">
        <v>1449</v>
      </c>
      <c r="D2710" s="96" t="s">
        <v>797</v>
      </c>
      <c r="E2710" s="97">
        <v>75</v>
      </c>
      <c r="F2710" s="67" t="str">
        <f>IFERROR(IFERROR(INDEX(Кат!$A:$A,MATCH(Прайс!$B2710,Кат!$G:$G,0)),INDEX(Торг!$B:$B,MATCH(Прайс!$B2710,Торг!$H:$H,0))),"")</f>
        <v/>
      </c>
      <c r="G2710" s="67" t="str">
        <f>IFERROR(IFERROR(INDEX(Кат!$B:$B,MATCH(Прайс!$B2710,Кат!$G:$G,0)),INDEX(Торг!$C:$C,MATCH(Прайс!$B2710,Торг!$H:$H,0))),"")</f>
        <v/>
      </c>
      <c r="H2710" s="67" t="str">
        <f>IFERROR(IFERROR(INDEX(Кат!$I:$I,MATCH(Прайс!$B2710,Кат!$G:$G,0)),INDEX(Торг!$I:$I,MATCH(Прайс!$B2710,Торг!$H:$H,0))),"")</f>
        <v/>
      </c>
    </row>
    <row r="2711" spans="1:8" x14ac:dyDescent="0.25">
      <c r="A2711" s="94" t="s">
        <v>4029</v>
      </c>
      <c r="B2711" s="98">
        <v>16011</v>
      </c>
      <c r="C2711" s="98" t="s">
        <v>1450</v>
      </c>
      <c r="D2711" s="96" t="s">
        <v>160</v>
      </c>
      <c r="E2711" s="97">
        <v>80</v>
      </c>
      <c r="F2711" s="67" t="str">
        <f>IFERROR(IFERROR(INDEX(Кат!$A:$A,MATCH(Прайс!$B2711,Кат!$G:$G,0)),INDEX(Торг!$B:$B,MATCH(Прайс!$B2711,Торг!$H:$H,0))),"")</f>
        <v/>
      </c>
      <c r="G2711" s="67" t="str">
        <f>IFERROR(IFERROR(INDEX(Кат!$B:$B,MATCH(Прайс!$B2711,Кат!$G:$G,0)),INDEX(Торг!$C:$C,MATCH(Прайс!$B2711,Торг!$H:$H,0))),"")</f>
        <v/>
      </c>
      <c r="H2711" s="67" t="str">
        <f>IFERROR(IFERROR(INDEX(Кат!$I:$I,MATCH(Прайс!$B2711,Кат!$G:$G,0)),INDEX(Торг!$I:$I,MATCH(Прайс!$B2711,Торг!$H:$H,0))),"")</f>
        <v/>
      </c>
    </row>
    <row r="2712" spans="1:8" x14ac:dyDescent="0.25">
      <c r="A2712" s="94" t="s">
        <v>4030</v>
      </c>
      <c r="B2712" s="98">
        <v>16012</v>
      </c>
      <c r="C2712" s="98" t="s">
        <v>1451</v>
      </c>
      <c r="D2712" s="96" t="s">
        <v>162</v>
      </c>
      <c r="E2712" s="97">
        <v>85</v>
      </c>
      <c r="F2712" s="67" t="str">
        <f>IFERROR(IFERROR(INDEX(Кат!$A:$A,MATCH(Прайс!$B2712,Кат!$G:$G,0)),INDEX(Торг!$B:$B,MATCH(Прайс!$B2712,Торг!$H:$H,0))),"")</f>
        <v/>
      </c>
      <c r="G2712" s="67" t="str">
        <f>IFERROR(IFERROR(INDEX(Кат!$B:$B,MATCH(Прайс!$B2712,Кат!$G:$G,0)),INDEX(Торг!$C:$C,MATCH(Прайс!$B2712,Торг!$H:$H,0))),"")</f>
        <v/>
      </c>
      <c r="H2712" s="67" t="str">
        <f>IFERROR(IFERROR(INDEX(Кат!$I:$I,MATCH(Прайс!$B2712,Кат!$G:$G,0)),INDEX(Торг!$I:$I,MATCH(Прайс!$B2712,Торг!$H:$H,0))),"")</f>
        <v/>
      </c>
    </row>
    <row r="2713" spans="1:8" x14ac:dyDescent="0.25">
      <c r="A2713" s="94" t="s">
        <v>4031</v>
      </c>
      <c r="B2713" s="98">
        <v>16013</v>
      </c>
      <c r="C2713" s="98" t="s">
        <v>1452</v>
      </c>
      <c r="D2713" s="96" t="s">
        <v>433</v>
      </c>
      <c r="E2713" s="97">
        <v>100</v>
      </c>
      <c r="F2713" s="67" t="str">
        <f>IFERROR(IFERROR(INDEX(Кат!$A:$A,MATCH(Прайс!$B2713,Кат!$G:$G,0)),INDEX(Торг!$B:$B,MATCH(Прайс!$B2713,Торг!$H:$H,0))),"")</f>
        <v/>
      </c>
      <c r="G2713" s="67" t="str">
        <f>IFERROR(IFERROR(INDEX(Кат!$B:$B,MATCH(Прайс!$B2713,Кат!$G:$G,0)),INDEX(Торг!$C:$C,MATCH(Прайс!$B2713,Торг!$H:$H,0))),"")</f>
        <v/>
      </c>
      <c r="H2713" s="67" t="str">
        <f>IFERROR(IFERROR(INDEX(Кат!$I:$I,MATCH(Прайс!$B2713,Кат!$G:$G,0)),INDEX(Торг!$I:$I,MATCH(Прайс!$B2713,Торг!$H:$H,0))),"")</f>
        <v/>
      </c>
    </row>
    <row r="2714" spans="1:8" x14ac:dyDescent="0.25">
      <c r="A2714" s="94" t="s">
        <v>4032</v>
      </c>
      <c r="B2714" s="98">
        <v>16014</v>
      </c>
      <c r="C2714" s="98" t="s">
        <v>1453</v>
      </c>
      <c r="D2714" s="96" t="s">
        <v>174</v>
      </c>
      <c r="E2714" s="97">
        <v>120</v>
      </c>
      <c r="F2714" s="67" t="str">
        <f>IFERROR(IFERROR(INDEX(Кат!$A:$A,MATCH(Прайс!$B2714,Кат!$G:$G,0)),INDEX(Торг!$B:$B,MATCH(Прайс!$B2714,Торг!$H:$H,0))),"")</f>
        <v/>
      </c>
      <c r="G2714" s="67" t="str">
        <f>IFERROR(IFERROR(INDEX(Кат!$B:$B,MATCH(Прайс!$B2714,Кат!$G:$G,0)),INDEX(Торг!$C:$C,MATCH(Прайс!$B2714,Торг!$H:$H,0))),"")</f>
        <v/>
      </c>
      <c r="H2714" s="67" t="str">
        <f>IFERROR(IFERROR(INDEX(Кат!$I:$I,MATCH(Прайс!$B2714,Кат!$G:$G,0)),INDEX(Торг!$I:$I,MATCH(Прайс!$B2714,Торг!$H:$H,0))),"")</f>
        <v/>
      </c>
    </row>
    <row r="2715" spans="1:8" x14ac:dyDescent="0.25">
      <c r="A2715" s="94" t="s">
        <v>4033</v>
      </c>
      <c r="B2715" s="98">
        <v>16001</v>
      </c>
      <c r="C2715" s="98" t="s">
        <v>4034</v>
      </c>
      <c r="D2715" s="96" t="s">
        <v>574</v>
      </c>
      <c r="E2715" s="97">
        <v>40</v>
      </c>
      <c r="F2715" s="67" t="str">
        <f>IFERROR(IFERROR(INDEX(Кат!$A:$A,MATCH(Прайс!$B2715,Кат!$G:$G,0)),INDEX(Торг!$B:$B,MATCH(Прайс!$B2715,Торг!$H:$H,0))),"")</f>
        <v/>
      </c>
      <c r="G2715" s="67" t="str">
        <f>IFERROR(IFERROR(INDEX(Кат!$B:$B,MATCH(Прайс!$B2715,Кат!$G:$G,0)),INDEX(Торг!$C:$C,MATCH(Прайс!$B2715,Торг!$H:$H,0))),"")</f>
        <v/>
      </c>
      <c r="H2715" s="67" t="str">
        <f>IFERROR(IFERROR(INDEX(Кат!$I:$I,MATCH(Прайс!$B2715,Кат!$G:$G,0)),INDEX(Торг!$I:$I,MATCH(Прайс!$B2715,Торг!$H:$H,0))),"")</f>
        <v/>
      </c>
    </row>
    <row r="2716" spans="1:8" x14ac:dyDescent="0.25">
      <c r="A2716" s="94" t="s">
        <v>4035</v>
      </c>
      <c r="B2716" s="98">
        <v>16002</v>
      </c>
      <c r="C2716" s="98" t="s">
        <v>4036</v>
      </c>
      <c r="D2716" s="96" t="s">
        <v>574</v>
      </c>
      <c r="E2716" s="97">
        <v>45</v>
      </c>
      <c r="F2716" s="67" t="str">
        <f>IFERROR(IFERROR(INDEX(Кат!$A:$A,MATCH(Прайс!$B2716,Кат!$G:$G,0)),INDEX(Торг!$B:$B,MATCH(Прайс!$B2716,Торг!$H:$H,0))),"")</f>
        <v/>
      </c>
      <c r="G2716" s="67" t="str">
        <f>IFERROR(IFERROR(INDEX(Кат!$B:$B,MATCH(Прайс!$B2716,Кат!$G:$G,0)),INDEX(Торг!$C:$C,MATCH(Прайс!$B2716,Торг!$H:$H,0))),"")</f>
        <v/>
      </c>
      <c r="H2716" s="67" t="str">
        <f>IFERROR(IFERROR(INDEX(Кат!$I:$I,MATCH(Прайс!$B2716,Кат!$G:$G,0)),INDEX(Торг!$I:$I,MATCH(Прайс!$B2716,Торг!$H:$H,0))),"")</f>
        <v/>
      </c>
    </row>
    <row r="2717" spans="1:8" x14ac:dyDescent="0.25">
      <c r="A2717" s="94" t="s">
        <v>4037</v>
      </c>
      <c r="B2717" s="98">
        <v>16003</v>
      </c>
      <c r="C2717" s="98" t="s">
        <v>4038</v>
      </c>
      <c r="D2717" s="96" t="s">
        <v>574</v>
      </c>
      <c r="E2717" s="97">
        <v>50</v>
      </c>
      <c r="F2717" s="67" t="str">
        <f>IFERROR(IFERROR(INDEX(Кат!$A:$A,MATCH(Прайс!$B2717,Кат!$G:$G,0)),INDEX(Торг!$B:$B,MATCH(Прайс!$B2717,Торг!$H:$H,0))),"")</f>
        <v/>
      </c>
      <c r="G2717" s="67" t="str">
        <f>IFERROR(IFERROR(INDEX(Кат!$B:$B,MATCH(Прайс!$B2717,Кат!$G:$G,0)),INDEX(Торг!$C:$C,MATCH(Прайс!$B2717,Торг!$H:$H,0))),"")</f>
        <v/>
      </c>
      <c r="H2717" s="67" t="str">
        <f>IFERROR(IFERROR(INDEX(Кат!$I:$I,MATCH(Прайс!$B2717,Кат!$G:$G,0)),INDEX(Торг!$I:$I,MATCH(Прайс!$B2717,Торг!$H:$H,0))),"")</f>
        <v/>
      </c>
    </row>
    <row r="2718" spans="1:8" x14ac:dyDescent="0.25">
      <c r="A2718" s="94" t="s">
        <v>4039</v>
      </c>
      <c r="B2718" s="98">
        <v>16004</v>
      </c>
      <c r="C2718" s="98" t="s">
        <v>1454</v>
      </c>
      <c r="D2718" s="96" t="s">
        <v>574</v>
      </c>
      <c r="E2718" s="97">
        <v>60</v>
      </c>
      <c r="F2718" s="67" t="str">
        <f>IFERROR(IFERROR(INDEX(Кат!$A:$A,MATCH(Прайс!$B2718,Кат!$G:$G,0)),INDEX(Торг!$B:$B,MATCH(Прайс!$B2718,Торг!$H:$H,0))),"")</f>
        <v/>
      </c>
      <c r="G2718" s="67" t="str">
        <f>IFERROR(IFERROR(INDEX(Кат!$B:$B,MATCH(Прайс!$B2718,Кат!$G:$G,0)),INDEX(Торг!$C:$C,MATCH(Прайс!$B2718,Торг!$H:$H,0))),"")</f>
        <v/>
      </c>
      <c r="H2718" s="67" t="str">
        <f>IFERROR(IFERROR(INDEX(Кат!$I:$I,MATCH(Прайс!$B2718,Кат!$G:$G,0)),INDEX(Торг!$I:$I,MATCH(Прайс!$B2718,Торг!$H:$H,0))),"")</f>
        <v/>
      </c>
    </row>
    <row r="2719" spans="1:8" x14ac:dyDescent="0.25">
      <c r="A2719" s="94" t="s">
        <v>4040</v>
      </c>
      <c r="B2719" s="98">
        <v>16015</v>
      </c>
      <c r="C2719" s="98" t="s">
        <v>1455</v>
      </c>
      <c r="D2719" s="96" t="s">
        <v>1456</v>
      </c>
      <c r="E2719" s="97">
        <v>22</v>
      </c>
      <c r="F2719" s="67" t="str">
        <f>IFERROR(IFERROR(INDEX(Кат!$A:$A,MATCH(Прайс!$B2719,Кат!$G:$G,0)),INDEX(Торг!$B:$B,MATCH(Прайс!$B2719,Торг!$H:$H,0))),"")</f>
        <v/>
      </c>
      <c r="G2719" s="67" t="str">
        <f>IFERROR(IFERROR(INDEX(Кат!$B:$B,MATCH(Прайс!$B2719,Кат!$G:$G,0)),INDEX(Торг!$C:$C,MATCH(Прайс!$B2719,Торг!$H:$H,0))),"")</f>
        <v/>
      </c>
      <c r="H2719" s="67" t="str">
        <f>IFERROR(IFERROR(INDEX(Кат!$I:$I,MATCH(Прайс!$B2719,Кат!$G:$G,0)),INDEX(Торг!$I:$I,MATCH(Прайс!$B2719,Торг!$H:$H,0))),"")</f>
        <v/>
      </c>
    </row>
    <row r="2720" spans="1:8" x14ac:dyDescent="0.25">
      <c r="A2720" s="94" t="s">
        <v>4041</v>
      </c>
      <c r="B2720" s="98">
        <v>16005</v>
      </c>
      <c r="C2720" s="98" t="s">
        <v>8456</v>
      </c>
      <c r="D2720" s="96" t="s">
        <v>574</v>
      </c>
      <c r="E2720" s="97">
        <v>70</v>
      </c>
      <c r="F2720" s="67" t="str">
        <f>IFERROR(IFERROR(INDEX(Кат!$A:$A,MATCH(Прайс!$B2720,Кат!$G:$G,0)),INDEX(Торг!$B:$B,MATCH(Прайс!$B2720,Торг!$H:$H,0))),"")</f>
        <v/>
      </c>
      <c r="G2720" s="67" t="str">
        <f>IFERROR(IFERROR(INDEX(Кат!$B:$B,MATCH(Прайс!$B2720,Кат!$G:$G,0)),INDEX(Торг!$C:$C,MATCH(Прайс!$B2720,Торг!$H:$H,0))),"")</f>
        <v/>
      </c>
      <c r="H2720" s="67" t="str">
        <f>IFERROR(IFERROR(INDEX(Кат!$I:$I,MATCH(Прайс!$B2720,Кат!$G:$G,0)),INDEX(Торг!$I:$I,MATCH(Прайс!$B2720,Торг!$H:$H,0))),"")</f>
        <v/>
      </c>
    </row>
    <row r="2721" spans="1:8" x14ac:dyDescent="0.25">
      <c r="A2721" s="94" t="s">
        <v>4042</v>
      </c>
      <c r="B2721" s="98">
        <v>16006</v>
      </c>
      <c r="C2721" s="98" t="s">
        <v>1457</v>
      </c>
      <c r="D2721" s="96" t="s">
        <v>574</v>
      </c>
      <c r="E2721" s="97">
        <v>100</v>
      </c>
      <c r="F2721" s="67" t="str">
        <f>IFERROR(IFERROR(INDEX(Кат!$A:$A,MATCH(Прайс!$B2721,Кат!$G:$G,0)),INDEX(Торг!$B:$B,MATCH(Прайс!$B2721,Торг!$H:$H,0))),"")</f>
        <v/>
      </c>
      <c r="G2721" s="67" t="str">
        <f>IFERROR(IFERROR(INDEX(Кат!$B:$B,MATCH(Прайс!$B2721,Кат!$G:$G,0)),INDEX(Торг!$C:$C,MATCH(Прайс!$B2721,Торг!$H:$H,0))),"")</f>
        <v/>
      </c>
      <c r="H2721" s="67" t="str">
        <f>IFERROR(IFERROR(INDEX(Кат!$I:$I,MATCH(Прайс!$B2721,Кат!$G:$G,0)),INDEX(Торг!$I:$I,MATCH(Прайс!$B2721,Торг!$H:$H,0))),"")</f>
        <v/>
      </c>
    </row>
    <row r="2722" spans="1:8" x14ac:dyDescent="0.25">
      <c r="A2722" s="94" t="s">
        <v>4043</v>
      </c>
      <c r="B2722" s="98">
        <v>16016</v>
      </c>
      <c r="C2722" s="98" t="s">
        <v>1458</v>
      </c>
      <c r="D2722" s="96" t="s">
        <v>1324</v>
      </c>
      <c r="E2722" s="97">
        <v>35</v>
      </c>
      <c r="F2722" s="67" t="str">
        <f>IFERROR(IFERROR(INDEX(Кат!$A:$A,MATCH(Прайс!$B2722,Кат!$G:$G,0)),INDEX(Торг!$B:$B,MATCH(Прайс!$B2722,Торг!$H:$H,0))),"")</f>
        <v/>
      </c>
      <c r="G2722" s="67" t="str">
        <f>IFERROR(IFERROR(INDEX(Кат!$B:$B,MATCH(Прайс!$B2722,Кат!$G:$G,0)),INDEX(Торг!$C:$C,MATCH(Прайс!$B2722,Торг!$H:$H,0))),"")</f>
        <v/>
      </c>
      <c r="H2722" s="67" t="str">
        <f>IFERROR(IFERROR(INDEX(Кат!$I:$I,MATCH(Прайс!$B2722,Кат!$G:$G,0)),INDEX(Торг!$I:$I,MATCH(Прайс!$B2722,Торг!$H:$H,0))),"")</f>
        <v/>
      </c>
    </row>
    <row r="2723" spans="1:8" x14ac:dyDescent="0.25">
      <c r="A2723" s="94" t="s">
        <v>6412</v>
      </c>
      <c r="B2723" s="98">
        <v>16007</v>
      </c>
      <c r="C2723" s="98" t="s">
        <v>6413</v>
      </c>
      <c r="D2723" s="96" t="s">
        <v>574</v>
      </c>
      <c r="E2723" s="97">
        <v>130</v>
      </c>
      <c r="F2723" s="67" t="str">
        <f>IFERROR(IFERROR(INDEX(Кат!$A:$A,MATCH(Прайс!$B2723,Кат!$G:$G,0)),INDEX(Торг!$B:$B,MATCH(Прайс!$B2723,Торг!$H:$H,0))),"")</f>
        <v/>
      </c>
      <c r="G2723" s="67" t="str">
        <f>IFERROR(IFERROR(INDEX(Кат!$B:$B,MATCH(Прайс!$B2723,Кат!$G:$G,0)),INDEX(Торг!$C:$C,MATCH(Прайс!$B2723,Торг!$H:$H,0))),"")</f>
        <v/>
      </c>
      <c r="H2723" s="67" t="str">
        <f>IFERROR(IFERROR(INDEX(Кат!$I:$I,MATCH(Прайс!$B2723,Кат!$G:$G,0)),INDEX(Торг!$I:$I,MATCH(Прайс!$B2723,Торг!$H:$H,0))),"")</f>
        <v/>
      </c>
    </row>
    <row r="2724" spans="1:8" x14ac:dyDescent="0.25">
      <c r="A2724" s="94" t="s">
        <v>4044</v>
      </c>
      <c r="B2724" s="98">
        <v>16017</v>
      </c>
      <c r="C2724" s="98" t="s">
        <v>1459</v>
      </c>
      <c r="D2724" s="96" t="s">
        <v>284</v>
      </c>
      <c r="E2724" s="97">
        <v>47</v>
      </c>
      <c r="F2724" s="67" t="str">
        <f>IFERROR(IFERROR(INDEX(Кат!$A:$A,MATCH(Прайс!$B2724,Кат!$G:$G,0)),INDEX(Торг!$B:$B,MATCH(Прайс!$B2724,Торг!$H:$H,0))),"")</f>
        <v/>
      </c>
      <c r="G2724" s="67" t="str">
        <f>IFERROR(IFERROR(INDEX(Кат!$B:$B,MATCH(Прайс!$B2724,Кат!$G:$G,0)),INDEX(Торг!$C:$C,MATCH(Прайс!$B2724,Торг!$H:$H,0))),"")</f>
        <v/>
      </c>
      <c r="H2724" s="67" t="str">
        <f>IFERROR(IFERROR(INDEX(Кат!$I:$I,MATCH(Прайс!$B2724,Кат!$G:$G,0)),INDEX(Торг!$I:$I,MATCH(Прайс!$B2724,Торг!$H:$H,0))),"")</f>
        <v/>
      </c>
    </row>
    <row r="2725" spans="1:8" x14ac:dyDescent="0.25">
      <c r="A2725" s="94" t="s">
        <v>4045</v>
      </c>
      <c r="B2725" s="98">
        <v>16018</v>
      </c>
      <c r="C2725" s="98" t="s">
        <v>1460</v>
      </c>
      <c r="D2725" s="96" t="s">
        <v>284</v>
      </c>
      <c r="E2725" s="97">
        <v>60</v>
      </c>
      <c r="F2725" s="67" t="str">
        <f>IFERROR(IFERROR(INDEX(Кат!$A:$A,MATCH(Прайс!$B2725,Кат!$G:$G,0)),INDEX(Торг!$B:$B,MATCH(Прайс!$B2725,Торг!$H:$H,0))),"")</f>
        <v/>
      </c>
      <c r="G2725" s="67" t="str">
        <f>IFERROR(IFERROR(INDEX(Кат!$B:$B,MATCH(Прайс!$B2725,Кат!$G:$G,0)),INDEX(Торг!$C:$C,MATCH(Прайс!$B2725,Торг!$H:$H,0))),"")</f>
        <v/>
      </c>
      <c r="H2725" s="67" t="str">
        <f>IFERROR(IFERROR(INDEX(Кат!$I:$I,MATCH(Прайс!$B2725,Кат!$G:$G,0)),INDEX(Торг!$I:$I,MATCH(Прайс!$B2725,Торг!$H:$H,0))),"")</f>
        <v/>
      </c>
    </row>
    <row r="2726" spans="1:8" x14ac:dyDescent="0.25">
      <c r="A2726" s="94" t="s">
        <v>4046</v>
      </c>
      <c r="B2726" s="98">
        <v>16019</v>
      </c>
      <c r="C2726" s="98" t="s">
        <v>1461</v>
      </c>
      <c r="D2726" s="96" t="s">
        <v>1161</v>
      </c>
      <c r="E2726" s="97">
        <v>75</v>
      </c>
      <c r="F2726" s="67" t="str">
        <f>IFERROR(IFERROR(INDEX(Кат!$A:$A,MATCH(Прайс!$B2726,Кат!$G:$G,0)),INDEX(Торг!$B:$B,MATCH(Прайс!$B2726,Торг!$H:$H,0))),"")</f>
        <v/>
      </c>
      <c r="G2726" s="67" t="str">
        <f>IFERROR(IFERROR(INDEX(Кат!$B:$B,MATCH(Прайс!$B2726,Кат!$G:$G,0)),INDEX(Торг!$C:$C,MATCH(Прайс!$B2726,Торг!$H:$H,0))),"")</f>
        <v/>
      </c>
      <c r="H2726" s="67" t="str">
        <f>IFERROR(IFERROR(INDEX(Кат!$I:$I,MATCH(Прайс!$B2726,Кат!$G:$G,0)),INDEX(Торг!$I:$I,MATCH(Прайс!$B2726,Торг!$H:$H,0))),"")</f>
        <v/>
      </c>
    </row>
    <row r="2727" spans="1:8" x14ac:dyDescent="0.25">
      <c r="A2727" s="94" t="s">
        <v>4047</v>
      </c>
      <c r="B2727" s="98">
        <v>16028</v>
      </c>
      <c r="C2727" s="98" t="s">
        <v>4048</v>
      </c>
      <c r="D2727" s="96" t="s">
        <v>160</v>
      </c>
      <c r="E2727" s="97">
        <v>80</v>
      </c>
      <c r="F2727" s="67" t="str">
        <f>IFERROR(IFERROR(INDEX(Кат!$A:$A,MATCH(Прайс!$B2727,Кат!$G:$G,0)),INDEX(Торг!$B:$B,MATCH(Прайс!$B2727,Торг!$H:$H,0))),"")</f>
        <v/>
      </c>
      <c r="G2727" s="67" t="str">
        <f>IFERROR(IFERROR(INDEX(Кат!$B:$B,MATCH(Прайс!$B2727,Кат!$G:$G,0)),INDEX(Торг!$C:$C,MATCH(Прайс!$B2727,Торг!$H:$H,0))),"")</f>
        <v/>
      </c>
      <c r="H2727" s="67" t="str">
        <f>IFERROR(IFERROR(INDEX(Кат!$I:$I,MATCH(Прайс!$B2727,Кат!$G:$G,0)),INDEX(Торг!$I:$I,MATCH(Прайс!$B2727,Торг!$H:$H,0))),"")</f>
        <v/>
      </c>
    </row>
    <row r="2728" spans="1:8" x14ac:dyDescent="0.25">
      <c r="A2728" s="94" t="s">
        <v>4049</v>
      </c>
      <c r="B2728" s="98">
        <v>16029</v>
      </c>
      <c r="C2728" s="98" t="s">
        <v>4050</v>
      </c>
      <c r="D2728" s="96" t="s">
        <v>162</v>
      </c>
      <c r="E2728" s="97">
        <v>90</v>
      </c>
      <c r="F2728" s="67" t="str">
        <f>IFERROR(IFERROR(INDEX(Кат!$A:$A,MATCH(Прайс!$B2728,Кат!$G:$G,0)),INDEX(Торг!$B:$B,MATCH(Прайс!$B2728,Торг!$H:$H,0))),"")</f>
        <v/>
      </c>
      <c r="G2728" s="67" t="str">
        <f>IFERROR(IFERROR(INDEX(Кат!$B:$B,MATCH(Прайс!$B2728,Кат!$G:$G,0)),INDEX(Торг!$C:$C,MATCH(Прайс!$B2728,Торг!$H:$H,0))),"")</f>
        <v/>
      </c>
      <c r="H2728" s="67" t="str">
        <f>IFERROR(IFERROR(INDEX(Кат!$I:$I,MATCH(Прайс!$B2728,Кат!$G:$G,0)),INDEX(Торг!$I:$I,MATCH(Прайс!$B2728,Торг!$H:$H,0))),"")</f>
        <v/>
      </c>
    </row>
    <row r="2729" spans="1:8" x14ac:dyDescent="0.25">
      <c r="A2729" s="94" t="s">
        <v>4051</v>
      </c>
      <c r="B2729" s="98">
        <v>16030</v>
      </c>
      <c r="C2729" s="98" t="s">
        <v>4052</v>
      </c>
      <c r="D2729" s="96" t="s">
        <v>433</v>
      </c>
      <c r="E2729" s="97">
        <v>120</v>
      </c>
      <c r="F2729" s="67" t="str">
        <f>IFERROR(IFERROR(INDEX(Кат!$A:$A,MATCH(Прайс!$B2729,Кат!$G:$G,0)),INDEX(Торг!$B:$B,MATCH(Прайс!$B2729,Торг!$H:$H,0))),"")</f>
        <v/>
      </c>
      <c r="G2729" s="67" t="str">
        <f>IFERROR(IFERROR(INDEX(Кат!$B:$B,MATCH(Прайс!$B2729,Кат!$G:$G,0)),INDEX(Торг!$C:$C,MATCH(Прайс!$B2729,Торг!$H:$H,0))),"")</f>
        <v/>
      </c>
      <c r="H2729" s="67" t="str">
        <f>IFERROR(IFERROR(INDEX(Кат!$I:$I,MATCH(Прайс!$B2729,Кат!$G:$G,0)),INDEX(Торг!$I:$I,MATCH(Прайс!$B2729,Торг!$H:$H,0))),"")</f>
        <v/>
      </c>
    </row>
    <row r="2730" spans="1:8" x14ac:dyDescent="0.25">
      <c r="A2730" s="94" t="s">
        <v>4053</v>
      </c>
      <c r="B2730" s="98">
        <v>16031</v>
      </c>
      <c r="C2730" s="98" t="s">
        <v>4054</v>
      </c>
      <c r="D2730" s="96" t="s">
        <v>174</v>
      </c>
      <c r="E2730" s="97">
        <v>150</v>
      </c>
      <c r="F2730" s="67" t="str">
        <f>IFERROR(IFERROR(INDEX(Кат!$A:$A,MATCH(Прайс!$B2730,Кат!$G:$G,0)),INDEX(Торг!$B:$B,MATCH(Прайс!$B2730,Торг!$H:$H,0))),"")</f>
        <v/>
      </c>
      <c r="G2730" s="67" t="str">
        <f>IFERROR(IFERROR(INDEX(Кат!$B:$B,MATCH(Прайс!$B2730,Кат!$G:$G,0)),INDEX(Торг!$C:$C,MATCH(Прайс!$B2730,Торг!$H:$H,0))),"")</f>
        <v/>
      </c>
      <c r="H2730" s="67" t="str">
        <f>IFERROR(IFERROR(INDEX(Кат!$I:$I,MATCH(Прайс!$B2730,Кат!$G:$G,0)),INDEX(Торг!$I:$I,MATCH(Прайс!$B2730,Торг!$H:$H,0))),"")</f>
        <v/>
      </c>
    </row>
    <row r="2731" spans="1:8" x14ac:dyDescent="0.25">
      <c r="A2731" s="94" t="s">
        <v>4055</v>
      </c>
      <c r="B2731" s="98">
        <v>16032</v>
      </c>
      <c r="C2731" s="98" t="s">
        <v>4056</v>
      </c>
      <c r="D2731" s="96" t="s">
        <v>174</v>
      </c>
      <c r="E2731" s="97">
        <v>230</v>
      </c>
      <c r="F2731" s="67" t="str">
        <f>IFERROR(IFERROR(INDEX(Кат!$A:$A,MATCH(Прайс!$B2731,Кат!$G:$G,0)),INDEX(Торг!$B:$B,MATCH(Прайс!$B2731,Торг!$H:$H,0))),"")</f>
        <v/>
      </c>
      <c r="G2731" s="67" t="str">
        <f>IFERROR(IFERROR(INDEX(Кат!$B:$B,MATCH(Прайс!$B2731,Кат!$G:$G,0)),INDEX(Торг!$C:$C,MATCH(Прайс!$B2731,Торг!$H:$H,0))),"")</f>
        <v/>
      </c>
      <c r="H2731" s="67" t="str">
        <f>IFERROR(IFERROR(INDEX(Кат!$I:$I,MATCH(Прайс!$B2731,Кат!$G:$G,0)),INDEX(Торг!$I:$I,MATCH(Прайс!$B2731,Торг!$H:$H,0))),"")</f>
        <v/>
      </c>
    </row>
    <row r="2732" spans="1:8" x14ac:dyDescent="0.25">
      <c r="A2732" s="94" t="s">
        <v>5958</v>
      </c>
      <c r="B2732" s="98">
        <v>16025</v>
      </c>
      <c r="C2732" s="98" t="s">
        <v>5959</v>
      </c>
      <c r="D2732" s="96" t="s">
        <v>161</v>
      </c>
      <c r="E2732" s="97">
        <v>50</v>
      </c>
      <c r="F2732" s="67" t="str">
        <f>IFERROR(IFERROR(INDEX(Кат!$A:$A,MATCH(Прайс!$B2732,Кат!$G:$G,0)),INDEX(Торг!$B:$B,MATCH(Прайс!$B2732,Торг!$H:$H,0))),"")</f>
        <v/>
      </c>
      <c r="G2732" s="67" t="str">
        <f>IFERROR(IFERROR(INDEX(Кат!$B:$B,MATCH(Прайс!$B2732,Кат!$G:$G,0)),INDEX(Торг!$C:$C,MATCH(Прайс!$B2732,Торг!$H:$H,0))),"")</f>
        <v/>
      </c>
      <c r="H2732" s="67" t="str">
        <f>IFERROR(IFERROR(INDEX(Кат!$I:$I,MATCH(Прайс!$B2732,Кат!$G:$G,0)),INDEX(Торг!$I:$I,MATCH(Прайс!$B2732,Торг!$H:$H,0))),"")</f>
        <v/>
      </c>
    </row>
    <row r="2733" spans="1:8" x14ac:dyDescent="0.25">
      <c r="A2733" s="94" t="s">
        <v>4057</v>
      </c>
      <c r="B2733" s="98">
        <v>16026</v>
      </c>
      <c r="C2733" s="98" t="s">
        <v>4058</v>
      </c>
      <c r="D2733" s="96" t="s">
        <v>337</v>
      </c>
      <c r="E2733" s="97">
        <v>65</v>
      </c>
      <c r="F2733" s="67" t="str">
        <f>IFERROR(IFERROR(INDEX(Кат!$A:$A,MATCH(Прайс!$B2733,Кат!$G:$G,0)),INDEX(Торг!$B:$B,MATCH(Прайс!$B2733,Торг!$H:$H,0))),"")</f>
        <v/>
      </c>
      <c r="G2733" s="67" t="str">
        <f>IFERROR(IFERROR(INDEX(Кат!$B:$B,MATCH(Прайс!$B2733,Кат!$G:$G,0)),INDEX(Торг!$C:$C,MATCH(Прайс!$B2733,Торг!$H:$H,0))),"")</f>
        <v/>
      </c>
      <c r="H2733" s="67" t="str">
        <f>IFERROR(IFERROR(INDEX(Кат!$I:$I,MATCH(Прайс!$B2733,Кат!$G:$G,0)),INDEX(Торг!$I:$I,MATCH(Прайс!$B2733,Торг!$H:$H,0))),"")</f>
        <v/>
      </c>
    </row>
    <row r="2734" spans="1:8" x14ac:dyDescent="0.25">
      <c r="A2734" s="94" t="s">
        <v>4059</v>
      </c>
      <c r="B2734" s="98">
        <v>16027</v>
      </c>
      <c r="C2734" s="98" t="s">
        <v>4060</v>
      </c>
      <c r="D2734" s="96" t="s">
        <v>797</v>
      </c>
      <c r="E2734" s="97">
        <v>75</v>
      </c>
      <c r="F2734" s="67" t="str">
        <f>IFERROR(IFERROR(INDEX(Кат!$A:$A,MATCH(Прайс!$B2734,Кат!$G:$G,0)),INDEX(Торг!$B:$B,MATCH(Прайс!$B2734,Торг!$H:$H,0))),"")</f>
        <v/>
      </c>
      <c r="G2734" s="67" t="str">
        <f>IFERROR(IFERROR(INDEX(Кат!$B:$B,MATCH(Прайс!$B2734,Кат!$G:$G,0)),INDEX(Торг!$C:$C,MATCH(Прайс!$B2734,Торг!$H:$H,0))),"")</f>
        <v/>
      </c>
      <c r="H2734" s="67" t="str">
        <f>IFERROR(IFERROR(INDEX(Кат!$I:$I,MATCH(Прайс!$B2734,Кат!$G:$G,0)),INDEX(Торг!$I:$I,MATCH(Прайс!$B2734,Торг!$H:$H,0))),"")</f>
        <v/>
      </c>
    </row>
    <row r="2735" spans="1:8" ht="15.75" x14ac:dyDescent="0.25">
      <c r="A2735" s="87"/>
      <c r="B2735" s="88"/>
      <c r="C2735" s="88" t="s">
        <v>1462</v>
      </c>
      <c r="D2735" s="88"/>
      <c r="E2735" s="89"/>
      <c r="F2735" s="67" t="str">
        <f>IFERROR(IFERROR(INDEX(Кат!$A:$A,MATCH(Прайс!$B2735,Кат!$G:$G,0)),INDEX(Торг!$B:$B,MATCH(Прайс!$B2735,Торг!$H:$H,0))),"")</f>
        <v/>
      </c>
      <c r="G2735" s="67" t="str">
        <f>IFERROR(IFERROR(INDEX(Кат!$B:$B,MATCH(Прайс!$B2735,Кат!$G:$G,0)),INDEX(Торг!$C:$C,MATCH(Прайс!$B2735,Торг!$H:$H,0))),"")</f>
        <v/>
      </c>
      <c r="H2735" s="67" t="str">
        <f>IFERROR(IFERROR(INDEX(Кат!$I:$I,MATCH(Прайс!$B2735,Кат!$G:$G,0)),INDEX(Торг!$I:$I,MATCH(Прайс!$B2735,Торг!$H:$H,0))),"")</f>
        <v/>
      </c>
    </row>
    <row r="2736" spans="1:8" ht="15.75" x14ac:dyDescent="0.25">
      <c r="A2736" s="90"/>
      <c r="B2736" s="91"/>
      <c r="C2736" s="92" t="s">
        <v>1463</v>
      </c>
      <c r="D2736" s="91"/>
      <c r="E2736" s="93"/>
      <c r="F2736" s="67" t="str">
        <f>IFERROR(IFERROR(INDEX(Кат!$A:$A,MATCH(Прайс!$B2736,Кат!$G:$G,0)),INDEX(Торг!$B:$B,MATCH(Прайс!$B2736,Торг!$H:$H,0))),"")</f>
        <v/>
      </c>
      <c r="G2736" s="67" t="str">
        <f>IFERROR(IFERROR(INDEX(Кат!$B:$B,MATCH(Прайс!$B2736,Кат!$G:$G,0)),INDEX(Торг!$C:$C,MATCH(Прайс!$B2736,Торг!$H:$H,0))),"")</f>
        <v/>
      </c>
      <c r="H2736" s="67" t="str">
        <f>IFERROR(IFERROR(INDEX(Кат!$I:$I,MATCH(Прайс!$B2736,Кат!$G:$G,0)),INDEX(Торг!$I:$I,MATCH(Прайс!$B2736,Торг!$H:$H,0))),"")</f>
        <v/>
      </c>
    </row>
    <row r="2737" spans="1:8" x14ac:dyDescent="0.25">
      <c r="A2737" s="99" t="s">
        <v>4061</v>
      </c>
      <c r="B2737" s="108">
        <v>17001</v>
      </c>
      <c r="C2737" s="108" t="s">
        <v>1464</v>
      </c>
      <c r="D2737" s="101" t="s">
        <v>361</v>
      </c>
      <c r="E2737" s="102">
        <v>220</v>
      </c>
      <c r="F2737" s="67" t="str">
        <f>IFERROR(IFERROR(INDEX(Кат!$A:$A,MATCH(Прайс!$B2737,Кат!$G:$G,0)),INDEX(Торг!$B:$B,MATCH(Прайс!$B2737,Торг!$H:$H,0))),"")</f>
        <v/>
      </c>
      <c r="G2737" s="67" t="str">
        <f>IFERROR(IFERROR(INDEX(Кат!$B:$B,MATCH(Прайс!$B2737,Кат!$G:$G,0)),INDEX(Торг!$C:$C,MATCH(Прайс!$B2737,Торг!$H:$H,0))),"")</f>
        <v/>
      </c>
      <c r="H2737" s="67" t="str">
        <f>IFERROR(IFERROR(INDEX(Кат!$I:$I,MATCH(Прайс!$B2737,Кат!$G:$G,0)),INDEX(Торг!$I:$I,MATCH(Прайс!$B2737,Торг!$H:$H,0))),"")</f>
        <v/>
      </c>
    </row>
    <row r="2738" spans="1:8" ht="15.75" x14ac:dyDescent="0.25">
      <c r="A2738" s="90"/>
      <c r="B2738" s="91"/>
      <c r="C2738" s="92" t="s">
        <v>1465</v>
      </c>
      <c r="D2738" s="91"/>
      <c r="E2738" s="93"/>
      <c r="F2738" s="67" t="str">
        <f>IFERROR(IFERROR(INDEX(Кат!$A:$A,MATCH(Прайс!$B2738,Кат!$G:$G,0)),INDEX(Торг!$B:$B,MATCH(Прайс!$B2738,Торг!$H:$H,0))),"")</f>
        <v/>
      </c>
      <c r="G2738" s="67" t="str">
        <f>IFERROR(IFERROR(INDEX(Кат!$B:$B,MATCH(Прайс!$B2738,Кат!$G:$G,0)),INDEX(Торг!$C:$C,MATCH(Прайс!$B2738,Торг!$H:$H,0))),"")</f>
        <v/>
      </c>
      <c r="H2738" s="67" t="str">
        <f>IFERROR(IFERROR(INDEX(Кат!$I:$I,MATCH(Прайс!$B2738,Кат!$G:$G,0)),INDEX(Торг!$I:$I,MATCH(Прайс!$B2738,Торг!$H:$H,0))),"")</f>
        <v/>
      </c>
    </row>
    <row r="2739" spans="1:8" x14ac:dyDescent="0.25">
      <c r="A2739" s="109" t="s">
        <v>8309</v>
      </c>
      <c r="B2739" s="110">
        <v>17033</v>
      </c>
      <c r="C2739" s="110" t="s">
        <v>8310</v>
      </c>
      <c r="D2739" s="111" t="s">
        <v>176</v>
      </c>
      <c r="E2739" s="112">
        <v>350</v>
      </c>
      <c r="F2739" s="67" t="str">
        <f>IFERROR(IFERROR(INDEX(Кат!$A:$A,MATCH(Прайс!$B2739,Кат!$G:$G,0)),INDEX(Торг!$B:$B,MATCH(Прайс!$B2739,Торг!$H:$H,0))),"")</f>
        <v/>
      </c>
      <c r="G2739" s="67" t="str">
        <f>IFERROR(IFERROR(INDEX(Кат!$B:$B,MATCH(Прайс!$B2739,Кат!$G:$G,0)),INDEX(Торг!$C:$C,MATCH(Прайс!$B2739,Торг!$H:$H,0))),"")</f>
        <v/>
      </c>
      <c r="H2739" s="67" t="str">
        <f>IFERROR(IFERROR(INDEX(Кат!$I:$I,MATCH(Прайс!$B2739,Кат!$G:$G,0)),INDEX(Торг!$I:$I,MATCH(Прайс!$B2739,Торг!$H:$H,0))),"")</f>
        <v/>
      </c>
    </row>
    <row r="2740" spans="1:8" x14ac:dyDescent="0.25">
      <c r="A2740" s="94" t="s">
        <v>8457</v>
      </c>
      <c r="B2740" s="98">
        <v>17024</v>
      </c>
      <c r="C2740" s="98" t="s">
        <v>8458</v>
      </c>
      <c r="D2740" s="96" t="s">
        <v>159</v>
      </c>
      <c r="E2740" s="97">
        <v>180</v>
      </c>
      <c r="F2740" s="67" t="str">
        <f>IFERROR(IFERROR(INDEX(Кат!$A:$A,MATCH(Прайс!$B2740,Кат!$G:$G,0)),INDEX(Торг!$B:$B,MATCH(Прайс!$B2740,Торг!$H:$H,0))),"")</f>
        <v/>
      </c>
      <c r="G2740" s="67" t="str">
        <f>IFERROR(IFERROR(INDEX(Кат!$B:$B,MATCH(Прайс!$B2740,Кат!$G:$G,0)),INDEX(Торг!$C:$C,MATCH(Прайс!$B2740,Торг!$H:$H,0))),"")</f>
        <v/>
      </c>
      <c r="H2740" s="67" t="str">
        <f>IFERROR(IFERROR(INDEX(Кат!$I:$I,MATCH(Прайс!$B2740,Кат!$G:$G,0)),INDEX(Торг!$I:$I,MATCH(Прайс!$B2740,Торг!$H:$H,0))),"")</f>
        <v/>
      </c>
    </row>
    <row r="2741" spans="1:8" x14ac:dyDescent="0.25">
      <c r="A2741" s="94" t="s">
        <v>4062</v>
      </c>
      <c r="B2741" s="98">
        <v>17002</v>
      </c>
      <c r="C2741" s="98" t="s">
        <v>1466</v>
      </c>
      <c r="D2741" s="96" t="s">
        <v>159</v>
      </c>
      <c r="E2741" s="97">
        <v>140</v>
      </c>
      <c r="F2741" s="67">
        <f>IFERROR(IFERROR(INDEX(Кат!$A:$A,MATCH(Прайс!$B2741,Кат!$G:$G,0)),INDEX(Торг!$B:$B,MATCH(Прайс!$B2741,Торг!$H:$H,0))),"")</f>
        <v>226519</v>
      </c>
      <c r="G2741" s="67">
        <f>IFERROR(IFERROR(INDEX(Кат!$B:$B,MATCH(Прайс!$B2741,Кат!$G:$G,0)),INDEX(Торг!$C:$C,MATCH(Прайс!$B2741,Торг!$H:$H,0))),"")</f>
        <v>8909</v>
      </c>
      <c r="H2741" s="67" t="str">
        <f>IFERROR(IFERROR(INDEX(Кат!$I:$I,MATCH(Прайс!$B2741,Кат!$G:$G,0)),INDEX(Торг!$I:$I,MATCH(Прайс!$B2741,Торг!$H:$H,0))),"")</f>
        <v>кристал авто</v>
      </c>
    </row>
    <row r="2742" spans="1:8" x14ac:dyDescent="0.25">
      <c r="A2742" s="94" t="s">
        <v>4063</v>
      </c>
      <c r="B2742" s="98">
        <v>17004</v>
      </c>
      <c r="C2742" s="98" t="s">
        <v>1467</v>
      </c>
      <c r="D2742" s="96" t="s">
        <v>159</v>
      </c>
      <c r="E2742" s="97">
        <v>180</v>
      </c>
      <c r="F2742" s="67" t="str">
        <f>IFERROR(IFERROR(INDEX(Кат!$A:$A,MATCH(Прайс!$B2742,Кат!$G:$G,0)),INDEX(Торг!$B:$B,MATCH(Прайс!$B2742,Торг!$H:$H,0))),"")</f>
        <v/>
      </c>
      <c r="G2742" s="67" t="str">
        <f>IFERROR(IFERROR(INDEX(Кат!$B:$B,MATCH(Прайс!$B2742,Кат!$G:$G,0)),INDEX(Торг!$C:$C,MATCH(Прайс!$B2742,Торг!$H:$H,0))),"")</f>
        <v/>
      </c>
      <c r="H2742" s="67" t="str">
        <f>IFERROR(IFERROR(INDEX(Кат!$I:$I,MATCH(Прайс!$B2742,Кат!$G:$G,0)),INDEX(Торг!$I:$I,MATCH(Прайс!$B2742,Торг!$H:$H,0))),"")</f>
        <v/>
      </c>
    </row>
    <row r="2743" spans="1:8" x14ac:dyDescent="0.25">
      <c r="A2743" s="94" t="s">
        <v>5458</v>
      </c>
      <c r="B2743" s="98">
        <v>17003</v>
      </c>
      <c r="C2743" s="98" t="s">
        <v>8459</v>
      </c>
      <c r="D2743" s="96" t="s">
        <v>159</v>
      </c>
      <c r="E2743" s="97">
        <v>160</v>
      </c>
      <c r="F2743" s="67">
        <f>IFERROR(IFERROR(INDEX(Кат!$A:$A,MATCH(Прайс!$B2743,Кат!$G:$G,0)),INDEX(Торг!$B:$B,MATCH(Прайс!$B2743,Торг!$H:$H,0))),"")</f>
        <v>226520</v>
      </c>
      <c r="G2743" s="67">
        <f>IFERROR(IFERROR(INDEX(Кат!$B:$B,MATCH(Прайс!$B2743,Кат!$G:$G,0)),INDEX(Торг!$C:$C,MATCH(Прайс!$B2743,Торг!$H:$H,0))),"")</f>
        <v>8910</v>
      </c>
      <c r="H2743" s="67" t="str">
        <f>IFERROR(IFERROR(INDEX(Кат!$I:$I,MATCH(Прайс!$B2743,Кат!$G:$G,0)),INDEX(Торг!$I:$I,MATCH(Прайс!$B2743,Торг!$H:$H,0))),"")</f>
        <v>кристал авто</v>
      </c>
    </row>
    <row r="2744" spans="1:8" x14ac:dyDescent="0.25">
      <c r="A2744" s="94" t="s">
        <v>7757</v>
      </c>
      <c r="B2744" s="98">
        <v>17025</v>
      </c>
      <c r="C2744" s="98" t="s">
        <v>7758</v>
      </c>
      <c r="D2744" s="96" t="s">
        <v>159</v>
      </c>
      <c r="E2744" s="97">
        <v>410</v>
      </c>
      <c r="F2744" s="67" t="str">
        <f>IFERROR(IFERROR(INDEX(Кат!$A:$A,MATCH(Прайс!$B2744,Кат!$G:$G,0)),INDEX(Торг!$B:$B,MATCH(Прайс!$B2744,Торг!$H:$H,0))),"")</f>
        <v/>
      </c>
      <c r="G2744" s="67" t="str">
        <f>IFERROR(IFERROR(INDEX(Кат!$B:$B,MATCH(Прайс!$B2744,Кат!$G:$G,0)),INDEX(Торг!$C:$C,MATCH(Прайс!$B2744,Торг!$H:$H,0))),"")</f>
        <v/>
      </c>
      <c r="H2744" s="67" t="str">
        <f>IFERROR(IFERROR(INDEX(Кат!$I:$I,MATCH(Прайс!$B2744,Кат!$G:$G,0)),INDEX(Торг!$I:$I,MATCH(Прайс!$B2744,Торг!$H:$H,0))),"")</f>
        <v/>
      </c>
    </row>
    <row r="2745" spans="1:8" x14ac:dyDescent="0.25">
      <c r="A2745" s="94" t="s">
        <v>7759</v>
      </c>
      <c r="B2745" s="98">
        <v>17026</v>
      </c>
      <c r="C2745" s="98" t="s">
        <v>7760</v>
      </c>
      <c r="D2745" s="96" t="s">
        <v>159</v>
      </c>
      <c r="E2745" s="97">
        <v>420</v>
      </c>
      <c r="F2745" s="67" t="str">
        <f>IFERROR(IFERROR(INDEX(Кат!$A:$A,MATCH(Прайс!$B2745,Кат!$G:$G,0)),INDEX(Торг!$B:$B,MATCH(Прайс!$B2745,Торг!$H:$H,0))),"")</f>
        <v/>
      </c>
      <c r="G2745" s="67" t="str">
        <f>IFERROR(IFERROR(INDEX(Кат!$B:$B,MATCH(Прайс!$B2745,Кат!$G:$G,0)),INDEX(Торг!$C:$C,MATCH(Прайс!$B2745,Торг!$H:$H,0))),"")</f>
        <v/>
      </c>
      <c r="H2745" s="67" t="str">
        <f>IFERROR(IFERROR(INDEX(Кат!$I:$I,MATCH(Прайс!$B2745,Кат!$G:$G,0)),INDEX(Торг!$I:$I,MATCH(Прайс!$B2745,Торг!$H:$H,0))),"")</f>
        <v/>
      </c>
    </row>
    <row r="2746" spans="1:8" x14ac:dyDescent="0.25">
      <c r="A2746" s="99" t="s">
        <v>4064</v>
      </c>
      <c r="B2746" s="108">
        <v>17005</v>
      </c>
      <c r="C2746" s="108" t="s">
        <v>1468</v>
      </c>
      <c r="D2746" s="101" t="s">
        <v>161</v>
      </c>
      <c r="E2746" s="102">
        <v>500</v>
      </c>
      <c r="F2746" s="67" t="str">
        <f>IFERROR(IFERROR(INDEX(Кат!$A:$A,MATCH(Прайс!$B2746,Кат!$G:$G,0)),INDEX(Торг!$B:$B,MATCH(Прайс!$B2746,Торг!$H:$H,0))),"")</f>
        <v/>
      </c>
      <c r="G2746" s="67" t="str">
        <f>IFERROR(IFERROR(INDEX(Кат!$B:$B,MATCH(Прайс!$B2746,Кат!$G:$G,0)),INDEX(Торг!$C:$C,MATCH(Прайс!$B2746,Торг!$H:$H,0))),"")</f>
        <v/>
      </c>
      <c r="H2746" s="67" t="str">
        <f>IFERROR(IFERROR(INDEX(Кат!$I:$I,MATCH(Прайс!$B2746,Кат!$G:$G,0)),INDEX(Торг!$I:$I,MATCH(Прайс!$B2746,Торг!$H:$H,0))),"")</f>
        <v/>
      </c>
    </row>
    <row r="2747" spans="1:8" x14ac:dyDescent="0.25">
      <c r="A2747" s="99" t="s">
        <v>4065</v>
      </c>
      <c r="B2747" s="108">
        <v>17008</v>
      </c>
      <c r="C2747" s="108" t="s">
        <v>4066</v>
      </c>
      <c r="D2747" s="101" t="s">
        <v>161</v>
      </c>
      <c r="E2747" s="102">
        <v>500</v>
      </c>
      <c r="F2747" s="67" t="str">
        <f>IFERROR(IFERROR(INDEX(Кат!$A:$A,MATCH(Прайс!$B2747,Кат!$G:$G,0)),INDEX(Торг!$B:$B,MATCH(Прайс!$B2747,Торг!$H:$H,0))),"")</f>
        <v/>
      </c>
      <c r="G2747" s="67" t="str">
        <f>IFERROR(IFERROR(INDEX(Кат!$B:$B,MATCH(Прайс!$B2747,Кат!$G:$G,0)),INDEX(Торг!$C:$C,MATCH(Прайс!$B2747,Торг!$H:$H,0))),"")</f>
        <v/>
      </c>
      <c r="H2747" s="67" t="str">
        <f>IFERROR(IFERROR(INDEX(Кат!$I:$I,MATCH(Прайс!$B2747,Кат!$G:$G,0)),INDEX(Торг!$I:$I,MATCH(Прайс!$B2747,Торг!$H:$H,0))),"")</f>
        <v/>
      </c>
    </row>
    <row r="2748" spans="1:8" x14ac:dyDescent="0.25">
      <c r="A2748" s="99" t="s">
        <v>6414</v>
      </c>
      <c r="B2748" s="108">
        <v>17014</v>
      </c>
      <c r="C2748" s="108" t="s">
        <v>8460</v>
      </c>
      <c r="D2748" s="101" t="s">
        <v>159</v>
      </c>
      <c r="E2748" s="102">
        <v>80</v>
      </c>
      <c r="F2748" s="67" t="str">
        <f>IFERROR(IFERROR(INDEX(Кат!$A:$A,MATCH(Прайс!$B2748,Кат!$G:$G,0)),INDEX(Торг!$B:$B,MATCH(Прайс!$B2748,Торг!$H:$H,0))),"")</f>
        <v/>
      </c>
      <c r="G2748" s="67" t="str">
        <f>IFERROR(IFERROR(INDEX(Кат!$B:$B,MATCH(Прайс!$B2748,Кат!$G:$G,0)),INDEX(Торг!$C:$C,MATCH(Прайс!$B2748,Торг!$H:$H,0))),"")</f>
        <v/>
      </c>
      <c r="H2748" s="67" t="str">
        <f>IFERROR(IFERROR(INDEX(Кат!$I:$I,MATCH(Прайс!$B2748,Кат!$G:$G,0)),INDEX(Торг!$I:$I,MATCH(Прайс!$B2748,Торг!$H:$H,0))),"")</f>
        <v/>
      </c>
    </row>
    <row r="2749" spans="1:8" x14ac:dyDescent="0.25">
      <c r="A2749" s="99" t="s">
        <v>8461</v>
      </c>
      <c r="B2749" s="108">
        <v>17015</v>
      </c>
      <c r="C2749" s="108" t="s">
        <v>8462</v>
      </c>
      <c r="D2749" s="101" t="s">
        <v>159</v>
      </c>
      <c r="E2749" s="102">
        <v>90</v>
      </c>
      <c r="F2749" s="67" t="str">
        <f>IFERROR(IFERROR(INDEX(Кат!$A:$A,MATCH(Прайс!$B2749,Кат!$G:$G,0)),INDEX(Торг!$B:$B,MATCH(Прайс!$B2749,Торг!$H:$H,0))),"")</f>
        <v/>
      </c>
      <c r="G2749" s="67" t="str">
        <f>IFERROR(IFERROR(INDEX(Кат!$B:$B,MATCH(Прайс!$B2749,Кат!$G:$G,0)),INDEX(Торг!$C:$C,MATCH(Прайс!$B2749,Торг!$H:$H,0))),"")</f>
        <v/>
      </c>
      <c r="H2749" s="67" t="str">
        <f>IFERROR(IFERROR(INDEX(Кат!$I:$I,MATCH(Прайс!$B2749,Кат!$G:$G,0)),INDEX(Торг!$I:$I,MATCH(Прайс!$B2749,Торг!$H:$H,0))),"")</f>
        <v/>
      </c>
    </row>
    <row r="2750" spans="1:8" x14ac:dyDescent="0.25">
      <c r="A2750" s="99" t="s">
        <v>5459</v>
      </c>
      <c r="B2750" s="108">
        <v>17016</v>
      </c>
      <c r="C2750" s="108" t="s">
        <v>5460</v>
      </c>
      <c r="D2750" s="101" t="s">
        <v>190</v>
      </c>
      <c r="E2750" s="102">
        <v>95</v>
      </c>
      <c r="F2750" s="67" t="str">
        <f>IFERROR(IFERROR(INDEX(Кат!$A:$A,MATCH(Прайс!$B2750,Кат!$G:$G,0)),INDEX(Торг!$B:$B,MATCH(Прайс!$B2750,Торг!$H:$H,0))),"")</f>
        <v/>
      </c>
      <c r="G2750" s="67" t="str">
        <f>IFERROR(IFERROR(INDEX(Кат!$B:$B,MATCH(Прайс!$B2750,Кат!$G:$G,0)),INDEX(Торг!$C:$C,MATCH(Прайс!$B2750,Торг!$H:$H,0))),"")</f>
        <v/>
      </c>
      <c r="H2750" s="67" t="str">
        <f>IFERROR(IFERROR(INDEX(Кат!$I:$I,MATCH(Прайс!$B2750,Кат!$G:$G,0)),INDEX(Торг!$I:$I,MATCH(Прайс!$B2750,Торг!$H:$H,0))),"")</f>
        <v/>
      </c>
    </row>
    <row r="2751" spans="1:8" x14ac:dyDescent="0.25">
      <c r="A2751" s="99" t="s">
        <v>4067</v>
      </c>
      <c r="B2751" s="108">
        <v>17021</v>
      </c>
      <c r="C2751" s="108" t="s">
        <v>1469</v>
      </c>
      <c r="D2751" s="101" t="s">
        <v>161</v>
      </c>
      <c r="E2751" s="102">
        <v>290</v>
      </c>
      <c r="F2751" s="67" t="str">
        <f>IFERROR(IFERROR(INDEX(Кат!$A:$A,MATCH(Прайс!$B2751,Кат!$G:$G,0)),INDEX(Торг!$B:$B,MATCH(Прайс!$B2751,Торг!$H:$H,0))),"")</f>
        <v/>
      </c>
      <c r="G2751" s="67" t="str">
        <f>IFERROR(IFERROR(INDEX(Кат!$B:$B,MATCH(Прайс!$B2751,Кат!$G:$G,0)),INDEX(Торг!$C:$C,MATCH(Прайс!$B2751,Торг!$H:$H,0))),"")</f>
        <v/>
      </c>
      <c r="H2751" s="67" t="str">
        <f>IFERROR(IFERROR(INDEX(Кат!$I:$I,MATCH(Прайс!$B2751,Кат!$G:$G,0)),INDEX(Торг!$I:$I,MATCH(Прайс!$B2751,Торг!$H:$H,0))),"")</f>
        <v/>
      </c>
    </row>
    <row r="2752" spans="1:8" x14ac:dyDescent="0.25">
      <c r="A2752" s="99" t="s">
        <v>4068</v>
      </c>
      <c r="B2752" s="108">
        <v>17022</v>
      </c>
      <c r="C2752" s="108" t="s">
        <v>1470</v>
      </c>
      <c r="D2752" s="101" t="s">
        <v>161</v>
      </c>
      <c r="E2752" s="102">
        <v>290</v>
      </c>
      <c r="F2752" s="67" t="str">
        <f>IFERROR(IFERROR(INDEX(Кат!$A:$A,MATCH(Прайс!$B2752,Кат!$G:$G,0)),INDEX(Торг!$B:$B,MATCH(Прайс!$B2752,Торг!$H:$H,0))),"")</f>
        <v/>
      </c>
      <c r="G2752" s="67" t="str">
        <f>IFERROR(IFERROR(INDEX(Кат!$B:$B,MATCH(Прайс!$B2752,Кат!$G:$G,0)),INDEX(Торг!$C:$C,MATCH(Прайс!$B2752,Торг!$H:$H,0))),"")</f>
        <v/>
      </c>
      <c r="H2752" s="67" t="str">
        <f>IFERROR(IFERROR(INDEX(Кат!$I:$I,MATCH(Прайс!$B2752,Кат!$G:$G,0)),INDEX(Торг!$I:$I,MATCH(Прайс!$B2752,Торг!$H:$H,0))),"")</f>
        <v/>
      </c>
    </row>
    <row r="2753" spans="1:8" x14ac:dyDescent="0.25">
      <c r="A2753" s="99" t="s">
        <v>4069</v>
      </c>
      <c r="B2753" s="108">
        <v>17020</v>
      </c>
      <c r="C2753" s="108" t="s">
        <v>1471</v>
      </c>
      <c r="D2753" s="101" t="s">
        <v>161</v>
      </c>
      <c r="E2753" s="102">
        <v>290</v>
      </c>
      <c r="F2753" s="67" t="str">
        <f>IFERROR(IFERROR(INDEX(Кат!$A:$A,MATCH(Прайс!$B2753,Кат!$G:$G,0)),INDEX(Торг!$B:$B,MATCH(Прайс!$B2753,Торг!$H:$H,0))),"")</f>
        <v/>
      </c>
      <c r="G2753" s="67" t="str">
        <f>IFERROR(IFERROR(INDEX(Кат!$B:$B,MATCH(Прайс!$B2753,Кат!$G:$G,0)),INDEX(Торг!$C:$C,MATCH(Прайс!$B2753,Торг!$H:$H,0))),"")</f>
        <v/>
      </c>
      <c r="H2753" s="67" t="str">
        <f>IFERROR(IFERROR(INDEX(Кат!$I:$I,MATCH(Прайс!$B2753,Кат!$G:$G,0)),INDEX(Торг!$I:$I,MATCH(Прайс!$B2753,Торг!$H:$H,0))),"")</f>
        <v/>
      </c>
    </row>
    <row r="2754" spans="1:8" ht="15.75" x14ac:dyDescent="0.25">
      <c r="A2754" s="87"/>
      <c r="B2754" s="88"/>
      <c r="C2754" s="88" t="s">
        <v>1472</v>
      </c>
      <c r="D2754" s="88"/>
      <c r="E2754" s="89"/>
      <c r="F2754" s="67" t="str">
        <f>IFERROR(IFERROR(INDEX(Кат!$A:$A,MATCH(Прайс!$B2754,Кат!$G:$G,0)),INDEX(Торг!$B:$B,MATCH(Прайс!$B2754,Торг!$H:$H,0))),"")</f>
        <v/>
      </c>
      <c r="G2754" s="67" t="str">
        <f>IFERROR(IFERROR(INDEX(Кат!$B:$B,MATCH(Прайс!$B2754,Кат!$G:$G,0)),INDEX(Торг!$C:$C,MATCH(Прайс!$B2754,Торг!$H:$H,0))),"")</f>
        <v/>
      </c>
      <c r="H2754" s="67" t="str">
        <f>IFERROR(IFERROR(INDEX(Кат!$I:$I,MATCH(Прайс!$B2754,Кат!$G:$G,0)),INDEX(Торг!$I:$I,MATCH(Прайс!$B2754,Торг!$H:$H,0))),"")</f>
        <v/>
      </c>
    </row>
    <row r="2755" spans="1:8" ht="15.75" x14ac:dyDescent="0.25">
      <c r="A2755" s="90"/>
      <c r="B2755" s="91"/>
      <c r="C2755" s="92" t="s">
        <v>1473</v>
      </c>
      <c r="D2755" s="91"/>
      <c r="E2755" s="93"/>
      <c r="F2755" s="67" t="str">
        <f>IFERROR(IFERROR(INDEX(Кат!$A:$A,MATCH(Прайс!$B2755,Кат!$G:$G,0)),INDEX(Торг!$B:$B,MATCH(Прайс!$B2755,Торг!$H:$H,0))),"")</f>
        <v/>
      </c>
      <c r="G2755" s="67" t="str">
        <f>IFERROR(IFERROR(INDEX(Кат!$B:$B,MATCH(Прайс!$B2755,Кат!$G:$G,0)),INDEX(Торг!$C:$C,MATCH(Прайс!$B2755,Торг!$H:$H,0))),"")</f>
        <v/>
      </c>
      <c r="H2755" s="67" t="str">
        <f>IFERROR(IFERROR(INDEX(Кат!$I:$I,MATCH(Прайс!$B2755,Кат!$G:$G,0)),INDEX(Торг!$I:$I,MATCH(Прайс!$B2755,Торг!$H:$H,0))),"")</f>
        <v/>
      </c>
    </row>
    <row r="2756" spans="1:8" x14ac:dyDescent="0.25">
      <c r="A2756" s="94" t="s">
        <v>4070</v>
      </c>
      <c r="B2756" s="98">
        <v>18020</v>
      </c>
      <c r="C2756" s="98" t="s">
        <v>7761</v>
      </c>
      <c r="D2756" s="96" t="s">
        <v>161</v>
      </c>
      <c r="E2756" s="97">
        <v>40</v>
      </c>
      <c r="F2756" s="67" t="str">
        <f>IFERROR(IFERROR(INDEX(Кат!$A:$A,MATCH(Прайс!$B2756,Кат!$G:$G,0)),INDEX(Торг!$B:$B,MATCH(Прайс!$B2756,Торг!$H:$H,0))),"")</f>
        <v/>
      </c>
      <c r="G2756" s="67" t="str">
        <f>IFERROR(IFERROR(INDEX(Кат!$B:$B,MATCH(Прайс!$B2756,Кат!$G:$G,0)),INDEX(Торг!$C:$C,MATCH(Прайс!$B2756,Торг!$H:$H,0))),"")</f>
        <v/>
      </c>
      <c r="H2756" s="67" t="str">
        <f>IFERROR(IFERROR(INDEX(Кат!$I:$I,MATCH(Прайс!$B2756,Кат!$G:$G,0)),INDEX(Торг!$I:$I,MATCH(Прайс!$B2756,Торг!$H:$H,0))),"")</f>
        <v/>
      </c>
    </row>
    <row r="2757" spans="1:8" x14ac:dyDescent="0.25">
      <c r="A2757" s="94" t="s">
        <v>4071</v>
      </c>
      <c r="B2757" s="95">
        <v>18022</v>
      </c>
      <c r="C2757" s="95" t="s">
        <v>4072</v>
      </c>
      <c r="D2757" s="96" t="s">
        <v>361</v>
      </c>
      <c r="E2757" s="97">
        <v>160</v>
      </c>
      <c r="F2757" s="67" t="str">
        <f>IFERROR(IFERROR(INDEX(Кат!$A:$A,MATCH(Прайс!$B2757,Кат!$G:$G,0)),INDEX(Торг!$B:$B,MATCH(Прайс!$B2757,Торг!$H:$H,0))),"")</f>
        <v/>
      </c>
      <c r="G2757" s="67" t="str">
        <f>IFERROR(IFERROR(INDEX(Кат!$B:$B,MATCH(Прайс!$B2757,Кат!$G:$G,0)),INDEX(Торг!$C:$C,MATCH(Прайс!$B2757,Торг!$H:$H,0))),"")</f>
        <v/>
      </c>
      <c r="H2757" s="67" t="str">
        <f>IFERROR(IFERROR(INDEX(Кат!$I:$I,MATCH(Прайс!$B2757,Кат!$G:$G,0)),INDEX(Торг!$I:$I,MATCH(Прайс!$B2757,Торг!$H:$H,0))),"")</f>
        <v/>
      </c>
    </row>
    <row r="2758" spans="1:8" x14ac:dyDescent="0.25">
      <c r="A2758" s="94" t="s">
        <v>4073</v>
      </c>
      <c r="B2758" s="95">
        <v>18023</v>
      </c>
      <c r="C2758" s="95" t="s">
        <v>7008</v>
      </c>
      <c r="D2758" s="96" t="s">
        <v>633</v>
      </c>
      <c r="E2758" s="97">
        <v>400</v>
      </c>
      <c r="F2758" s="67" t="str">
        <f>IFERROR(IFERROR(INDEX(Кат!$A:$A,MATCH(Прайс!$B2758,Кат!$G:$G,0)),INDEX(Торг!$B:$B,MATCH(Прайс!$B2758,Торг!$H:$H,0))),"")</f>
        <v/>
      </c>
      <c r="G2758" s="67" t="str">
        <f>IFERROR(IFERROR(INDEX(Кат!$B:$B,MATCH(Прайс!$B2758,Кат!$G:$G,0)),INDEX(Торг!$C:$C,MATCH(Прайс!$B2758,Торг!$H:$H,0))),"")</f>
        <v/>
      </c>
      <c r="H2758" s="67" t="str">
        <f>IFERROR(IFERROR(INDEX(Кат!$I:$I,MATCH(Прайс!$B2758,Кат!$G:$G,0)),INDEX(Торг!$I:$I,MATCH(Прайс!$B2758,Торг!$H:$H,0))),"")</f>
        <v/>
      </c>
    </row>
    <row r="2759" spans="1:8" x14ac:dyDescent="0.25">
      <c r="A2759" s="94" t="s">
        <v>7009</v>
      </c>
      <c r="B2759" s="98">
        <v>18039</v>
      </c>
      <c r="C2759" s="98" t="s">
        <v>7010</v>
      </c>
      <c r="D2759" s="96" t="s">
        <v>161</v>
      </c>
      <c r="E2759" s="97">
        <v>400</v>
      </c>
      <c r="F2759" s="67" t="str">
        <f>IFERROR(IFERROR(INDEX(Кат!$A:$A,MATCH(Прайс!$B2759,Кат!$G:$G,0)),INDEX(Торг!$B:$B,MATCH(Прайс!$B2759,Торг!$H:$H,0))),"")</f>
        <v/>
      </c>
      <c r="G2759" s="67" t="str">
        <f>IFERROR(IFERROR(INDEX(Кат!$B:$B,MATCH(Прайс!$B2759,Кат!$G:$G,0)),INDEX(Торг!$C:$C,MATCH(Прайс!$B2759,Торг!$H:$H,0))),"")</f>
        <v/>
      </c>
      <c r="H2759" s="67" t="str">
        <f>IFERROR(IFERROR(INDEX(Кат!$I:$I,MATCH(Прайс!$B2759,Кат!$G:$G,0)),INDEX(Торг!$I:$I,MATCH(Прайс!$B2759,Торг!$H:$H,0))),"")</f>
        <v/>
      </c>
    </row>
    <row r="2760" spans="1:8" x14ac:dyDescent="0.25">
      <c r="A2760" s="94" t="s">
        <v>4074</v>
      </c>
      <c r="B2760" s="95">
        <v>18024</v>
      </c>
      <c r="C2760" s="95" t="s">
        <v>7011</v>
      </c>
      <c r="D2760" s="96" t="s">
        <v>162</v>
      </c>
      <c r="E2760" s="97">
        <v>440</v>
      </c>
      <c r="F2760" s="67" t="str">
        <f>IFERROR(IFERROR(INDEX(Кат!$A:$A,MATCH(Прайс!$B2760,Кат!$G:$G,0)),INDEX(Торг!$B:$B,MATCH(Прайс!$B2760,Торг!$H:$H,0))),"")</f>
        <v/>
      </c>
      <c r="G2760" s="67" t="str">
        <f>IFERROR(IFERROR(INDEX(Кат!$B:$B,MATCH(Прайс!$B2760,Кат!$G:$G,0)),INDEX(Торг!$C:$C,MATCH(Прайс!$B2760,Торг!$H:$H,0))),"")</f>
        <v/>
      </c>
      <c r="H2760" s="67" t="str">
        <f>IFERROR(IFERROR(INDEX(Кат!$I:$I,MATCH(Прайс!$B2760,Кат!$G:$G,0)),INDEX(Торг!$I:$I,MATCH(Прайс!$B2760,Торг!$H:$H,0))),"")</f>
        <v/>
      </c>
    </row>
    <row r="2761" spans="1:8" x14ac:dyDescent="0.25">
      <c r="A2761" s="94" t="s">
        <v>4075</v>
      </c>
      <c r="B2761" s="98">
        <v>18021</v>
      </c>
      <c r="C2761" s="98" t="s">
        <v>1474</v>
      </c>
      <c r="D2761" s="96" t="s">
        <v>361</v>
      </c>
      <c r="E2761" s="97">
        <v>200</v>
      </c>
      <c r="F2761" s="67" t="str">
        <f>IFERROR(IFERROR(INDEX(Кат!$A:$A,MATCH(Прайс!$B2761,Кат!$G:$G,0)),INDEX(Торг!$B:$B,MATCH(Прайс!$B2761,Торг!$H:$H,0))),"")</f>
        <v/>
      </c>
      <c r="G2761" s="67" t="str">
        <f>IFERROR(IFERROR(INDEX(Кат!$B:$B,MATCH(Прайс!$B2761,Кат!$G:$G,0)),INDEX(Торг!$C:$C,MATCH(Прайс!$B2761,Торг!$H:$H,0))),"")</f>
        <v/>
      </c>
      <c r="H2761" s="67" t="str">
        <f>IFERROR(IFERROR(INDEX(Кат!$I:$I,MATCH(Прайс!$B2761,Кат!$G:$G,0)),INDEX(Торг!$I:$I,MATCH(Прайс!$B2761,Торг!$H:$H,0))),"")</f>
        <v/>
      </c>
    </row>
    <row r="2762" spans="1:8" x14ac:dyDescent="0.25">
      <c r="A2762" s="94" t="s">
        <v>4076</v>
      </c>
      <c r="B2762" s="98">
        <v>18025</v>
      </c>
      <c r="C2762" s="98" t="s">
        <v>4077</v>
      </c>
      <c r="D2762" s="96" t="s">
        <v>162</v>
      </c>
      <c r="E2762" s="97">
        <v>470</v>
      </c>
      <c r="F2762" s="67" t="str">
        <f>IFERROR(IFERROR(INDEX(Кат!$A:$A,MATCH(Прайс!$B2762,Кат!$G:$G,0)),INDEX(Торг!$B:$B,MATCH(Прайс!$B2762,Торг!$H:$H,0))),"")</f>
        <v/>
      </c>
      <c r="G2762" s="67" t="str">
        <f>IFERROR(IFERROR(INDEX(Кат!$B:$B,MATCH(Прайс!$B2762,Кат!$G:$G,0)),INDEX(Торг!$C:$C,MATCH(Прайс!$B2762,Торг!$H:$H,0))),"")</f>
        <v/>
      </c>
      <c r="H2762" s="67" t="str">
        <f>IFERROR(IFERROR(INDEX(Кат!$I:$I,MATCH(Прайс!$B2762,Кат!$G:$G,0)),INDEX(Торг!$I:$I,MATCH(Прайс!$B2762,Торг!$H:$H,0))),"")</f>
        <v/>
      </c>
    </row>
    <row r="2763" spans="1:8" x14ac:dyDescent="0.25">
      <c r="A2763" s="94" t="s">
        <v>4078</v>
      </c>
      <c r="B2763" s="98">
        <v>18026</v>
      </c>
      <c r="C2763" s="98" t="s">
        <v>4079</v>
      </c>
      <c r="D2763" s="96" t="s">
        <v>162</v>
      </c>
      <c r="E2763" s="97">
        <v>490</v>
      </c>
      <c r="F2763" s="67" t="str">
        <f>IFERROR(IFERROR(INDEX(Кат!$A:$A,MATCH(Прайс!$B2763,Кат!$G:$G,0)),INDEX(Торг!$B:$B,MATCH(Прайс!$B2763,Торг!$H:$H,0))),"")</f>
        <v/>
      </c>
      <c r="G2763" s="67" t="str">
        <f>IFERROR(IFERROR(INDEX(Кат!$B:$B,MATCH(Прайс!$B2763,Кат!$G:$G,0)),INDEX(Торг!$C:$C,MATCH(Прайс!$B2763,Торг!$H:$H,0))),"")</f>
        <v/>
      </c>
      <c r="H2763" s="67" t="str">
        <f>IFERROR(IFERROR(INDEX(Кат!$I:$I,MATCH(Прайс!$B2763,Кат!$G:$G,0)),INDEX(Торг!$I:$I,MATCH(Прайс!$B2763,Торг!$H:$H,0))),"")</f>
        <v/>
      </c>
    </row>
    <row r="2764" spans="1:8" x14ac:dyDescent="0.25">
      <c r="A2764" s="103" t="s">
        <v>5960</v>
      </c>
      <c r="B2764" s="104">
        <v>18029</v>
      </c>
      <c r="C2764" s="104" t="s">
        <v>5961</v>
      </c>
      <c r="D2764" s="105" t="s">
        <v>160</v>
      </c>
      <c r="E2764" s="106">
        <v>1550</v>
      </c>
      <c r="F2764" s="67" t="str">
        <f>IFERROR(IFERROR(INDEX(Кат!$A:$A,MATCH(Прайс!$B2764,Кат!$G:$G,0)),INDEX(Торг!$B:$B,MATCH(Прайс!$B2764,Торг!$H:$H,0))),"")</f>
        <v/>
      </c>
      <c r="G2764" s="67" t="str">
        <f>IFERROR(IFERROR(INDEX(Кат!$B:$B,MATCH(Прайс!$B2764,Кат!$G:$G,0)),INDEX(Торг!$C:$C,MATCH(Прайс!$B2764,Торг!$H:$H,0))),"")</f>
        <v/>
      </c>
      <c r="H2764" s="67" t="str">
        <f>IFERROR(IFERROR(INDEX(Кат!$I:$I,MATCH(Прайс!$B2764,Кат!$G:$G,0)),INDEX(Торг!$I:$I,MATCH(Прайс!$B2764,Торг!$H:$H,0))),"")</f>
        <v/>
      </c>
    </row>
    <row r="2765" spans="1:8" x14ac:dyDescent="0.25">
      <c r="A2765" s="103" t="s">
        <v>4080</v>
      </c>
      <c r="B2765" s="104">
        <v>18033</v>
      </c>
      <c r="C2765" s="104" t="s">
        <v>1475</v>
      </c>
      <c r="D2765" s="105" t="s">
        <v>433</v>
      </c>
      <c r="E2765" s="106">
        <v>1900</v>
      </c>
      <c r="F2765" s="67" t="str">
        <f>IFERROR(IFERROR(INDEX(Кат!$A:$A,MATCH(Прайс!$B2765,Кат!$G:$G,0)),INDEX(Торг!$B:$B,MATCH(Прайс!$B2765,Торг!$H:$H,0))),"")</f>
        <v/>
      </c>
      <c r="G2765" s="67" t="str">
        <f>IFERROR(IFERROR(INDEX(Кат!$B:$B,MATCH(Прайс!$B2765,Кат!$G:$G,0)),INDEX(Торг!$C:$C,MATCH(Прайс!$B2765,Торг!$H:$H,0))),"")</f>
        <v/>
      </c>
      <c r="H2765" s="67" t="str">
        <f>IFERROR(IFERROR(INDEX(Кат!$I:$I,MATCH(Прайс!$B2765,Кат!$G:$G,0)),INDEX(Торг!$I:$I,MATCH(Прайс!$B2765,Торг!$H:$H,0))),"")</f>
        <v/>
      </c>
    </row>
    <row r="2766" spans="1:8" x14ac:dyDescent="0.25">
      <c r="A2766" s="103" t="s">
        <v>5962</v>
      </c>
      <c r="B2766" s="104">
        <v>18034</v>
      </c>
      <c r="C2766" s="104" t="s">
        <v>5963</v>
      </c>
      <c r="D2766" s="105" t="s">
        <v>433</v>
      </c>
      <c r="E2766" s="106">
        <v>2000</v>
      </c>
      <c r="F2766" s="67" t="str">
        <f>IFERROR(IFERROR(INDEX(Кат!$A:$A,MATCH(Прайс!$B2766,Кат!$G:$G,0)),INDEX(Торг!$B:$B,MATCH(Прайс!$B2766,Торг!$H:$H,0))),"")</f>
        <v/>
      </c>
      <c r="G2766" s="67" t="str">
        <f>IFERROR(IFERROR(INDEX(Кат!$B:$B,MATCH(Прайс!$B2766,Кат!$G:$G,0)),INDEX(Торг!$C:$C,MATCH(Прайс!$B2766,Торг!$H:$H,0))),"")</f>
        <v/>
      </c>
      <c r="H2766" s="67" t="str">
        <f>IFERROR(IFERROR(INDEX(Кат!$I:$I,MATCH(Прайс!$B2766,Кат!$G:$G,0)),INDEX(Торг!$I:$I,MATCH(Прайс!$B2766,Торг!$H:$H,0))),"")</f>
        <v/>
      </c>
    </row>
    <row r="2767" spans="1:8" x14ac:dyDescent="0.25">
      <c r="A2767" s="103" t="s">
        <v>5964</v>
      </c>
      <c r="B2767" s="104">
        <v>18031</v>
      </c>
      <c r="C2767" s="104" t="s">
        <v>5965</v>
      </c>
      <c r="D2767" s="105" t="s">
        <v>433</v>
      </c>
      <c r="E2767" s="106">
        <v>1800</v>
      </c>
      <c r="F2767" s="67" t="str">
        <f>IFERROR(IFERROR(INDEX(Кат!$A:$A,MATCH(Прайс!$B2767,Кат!$G:$G,0)),INDEX(Торг!$B:$B,MATCH(Прайс!$B2767,Торг!$H:$H,0))),"")</f>
        <v/>
      </c>
      <c r="G2767" s="67" t="str">
        <f>IFERROR(IFERROR(INDEX(Кат!$B:$B,MATCH(Прайс!$B2767,Кат!$G:$G,0)),INDEX(Торг!$C:$C,MATCH(Прайс!$B2767,Торг!$H:$H,0))),"")</f>
        <v/>
      </c>
      <c r="H2767" s="67" t="str">
        <f>IFERROR(IFERROR(INDEX(Кат!$I:$I,MATCH(Прайс!$B2767,Кат!$G:$G,0)),INDEX(Торг!$I:$I,MATCH(Прайс!$B2767,Торг!$H:$H,0))),"")</f>
        <v/>
      </c>
    </row>
    <row r="2768" spans="1:8" x14ac:dyDescent="0.25">
      <c r="A2768" s="103" t="s">
        <v>5966</v>
      </c>
      <c r="B2768" s="104">
        <v>18032</v>
      </c>
      <c r="C2768" s="104" t="s">
        <v>5967</v>
      </c>
      <c r="D2768" s="105" t="s">
        <v>433</v>
      </c>
      <c r="E2768" s="106">
        <v>1850</v>
      </c>
      <c r="F2768" s="67" t="str">
        <f>IFERROR(IFERROR(INDEX(Кат!$A:$A,MATCH(Прайс!$B2768,Кат!$G:$G,0)),INDEX(Торг!$B:$B,MATCH(Прайс!$B2768,Торг!$H:$H,0))),"")</f>
        <v/>
      </c>
      <c r="G2768" s="67" t="str">
        <f>IFERROR(IFERROR(INDEX(Кат!$B:$B,MATCH(Прайс!$B2768,Кат!$G:$G,0)),INDEX(Торг!$C:$C,MATCH(Прайс!$B2768,Торг!$H:$H,0))),"")</f>
        <v/>
      </c>
      <c r="H2768" s="67" t="str">
        <f>IFERROR(IFERROR(INDEX(Кат!$I:$I,MATCH(Прайс!$B2768,Кат!$G:$G,0)),INDEX(Торг!$I:$I,MATCH(Прайс!$B2768,Торг!$H:$H,0))),"")</f>
        <v/>
      </c>
    </row>
    <row r="2769" spans="1:8" x14ac:dyDescent="0.25">
      <c r="A2769" s="103" t="s">
        <v>4081</v>
      </c>
      <c r="B2769" s="104">
        <v>18035</v>
      </c>
      <c r="C2769" s="104" t="s">
        <v>2137</v>
      </c>
      <c r="D2769" s="105" t="s">
        <v>433</v>
      </c>
      <c r="E2769" s="106">
        <v>2450</v>
      </c>
      <c r="F2769" s="67" t="str">
        <f>IFERROR(IFERROR(INDEX(Кат!$A:$A,MATCH(Прайс!$B2769,Кат!$G:$G,0)),INDEX(Торг!$B:$B,MATCH(Прайс!$B2769,Торг!$H:$H,0))),"")</f>
        <v/>
      </c>
      <c r="G2769" s="67" t="str">
        <f>IFERROR(IFERROR(INDEX(Кат!$B:$B,MATCH(Прайс!$B2769,Кат!$G:$G,0)),INDEX(Торг!$C:$C,MATCH(Прайс!$B2769,Торг!$H:$H,0))),"")</f>
        <v/>
      </c>
      <c r="H2769" s="67" t="str">
        <f>IFERROR(IFERROR(INDEX(Кат!$I:$I,MATCH(Прайс!$B2769,Кат!$G:$G,0)),INDEX(Торг!$I:$I,MATCH(Прайс!$B2769,Торг!$H:$H,0))),"")</f>
        <v/>
      </c>
    </row>
    <row r="2770" spans="1:8" x14ac:dyDescent="0.25">
      <c r="A2770" s="103" t="s">
        <v>4082</v>
      </c>
      <c r="B2770" s="104">
        <v>18036</v>
      </c>
      <c r="C2770" s="104" t="s">
        <v>1476</v>
      </c>
      <c r="D2770" s="105" t="s">
        <v>433</v>
      </c>
      <c r="E2770" s="106">
        <v>2550</v>
      </c>
      <c r="F2770" s="67" t="str">
        <f>IFERROR(IFERROR(INDEX(Кат!$A:$A,MATCH(Прайс!$B2770,Кат!$G:$G,0)),INDEX(Торг!$B:$B,MATCH(Прайс!$B2770,Торг!$H:$H,0))),"")</f>
        <v/>
      </c>
      <c r="G2770" s="67" t="str">
        <f>IFERROR(IFERROR(INDEX(Кат!$B:$B,MATCH(Прайс!$B2770,Кат!$G:$G,0)),INDEX(Торг!$C:$C,MATCH(Прайс!$B2770,Торг!$H:$H,0))),"")</f>
        <v/>
      </c>
      <c r="H2770" s="67" t="str">
        <f>IFERROR(IFERROR(INDEX(Кат!$I:$I,MATCH(Прайс!$B2770,Кат!$G:$G,0)),INDEX(Торг!$I:$I,MATCH(Прайс!$B2770,Торг!$H:$H,0))),"")</f>
        <v/>
      </c>
    </row>
    <row r="2771" spans="1:8" x14ac:dyDescent="0.25">
      <c r="A2771" s="103" t="s">
        <v>4083</v>
      </c>
      <c r="B2771" s="104">
        <v>18037</v>
      </c>
      <c r="C2771" s="104" t="s">
        <v>1477</v>
      </c>
      <c r="D2771" s="105" t="s">
        <v>433</v>
      </c>
      <c r="E2771" s="106">
        <v>2700</v>
      </c>
      <c r="F2771" s="67" t="str">
        <f>IFERROR(IFERROR(INDEX(Кат!$A:$A,MATCH(Прайс!$B2771,Кат!$G:$G,0)),INDEX(Торг!$B:$B,MATCH(Прайс!$B2771,Торг!$H:$H,0))),"")</f>
        <v/>
      </c>
      <c r="G2771" s="67" t="str">
        <f>IFERROR(IFERROR(INDEX(Кат!$B:$B,MATCH(Прайс!$B2771,Кат!$G:$G,0)),INDEX(Торг!$C:$C,MATCH(Прайс!$B2771,Торг!$H:$H,0))),"")</f>
        <v/>
      </c>
      <c r="H2771" s="67" t="str">
        <f>IFERROR(IFERROR(INDEX(Кат!$I:$I,MATCH(Прайс!$B2771,Кат!$G:$G,0)),INDEX(Торг!$I:$I,MATCH(Прайс!$B2771,Торг!$H:$H,0))),"")</f>
        <v/>
      </c>
    </row>
    <row r="2772" spans="1:8" x14ac:dyDescent="0.25">
      <c r="A2772" s="103" t="s">
        <v>4084</v>
      </c>
      <c r="B2772" s="104">
        <v>18038</v>
      </c>
      <c r="C2772" s="104" t="s">
        <v>1478</v>
      </c>
      <c r="D2772" s="105" t="s">
        <v>433</v>
      </c>
      <c r="E2772" s="106">
        <v>2650</v>
      </c>
      <c r="F2772" s="67" t="str">
        <f>IFERROR(IFERROR(INDEX(Кат!$A:$A,MATCH(Прайс!$B2772,Кат!$G:$G,0)),INDEX(Торг!$B:$B,MATCH(Прайс!$B2772,Торг!$H:$H,0))),"")</f>
        <v/>
      </c>
      <c r="G2772" s="67" t="str">
        <f>IFERROR(IFERROR(INDEX(Кат!$B:$B,MATCH(Прайс!$B2772,Кат!$G:$G,0)),INDEX(Торг!$C:$C,MATCH(Прайс!$B2772,Торг!$H:$H,0))),"")</f>
        <v/>
      </c>
      <c r="H2772" s="67" t="str">
        <f>IFERROR(IFERROR(INDEX(Кат!$I:$I,MATCH(Прайс!$B2772,Кат!$G:$G,0)),INDEX(Торг!$I:$I,MATCH(Прайс!$B2772,Торг!$H:$H,0))),"")</f>
        <v/>
      </c>
    </row>
    <row r="2773" spans="1:8" ht="15.75" x14ac:dyDescent="0.25">
      <c r="A2773" s="87"/>
      <c r="B2773" s="88"/>
      <c r="C2773" s="88" t="s">
        <v>1479</v>
      </c>
      <c r="D2773" s="88"/>
      <c r="E2773" s="89"/>
      <c r="F2773" s="67" t="str">
        <f>IFERROR(IFERROR(INDEX(Кат!$A:$A,MATCH(Прайс!$B2773,Кат!$G:$G,0)),INDEX(Торг!$B:$B,MATCH(Прайс!$B2773,Торг!$H:$H,0))),"")</f>
        <v/>
      </c>
      <c r="G2773" s="67" t="str">
        <f>IFERROR(IFERROR(INDEX(Кат!$B:$B,MATCH(Прайс!$B2773,Кат!$G:$G,0)),INDEX(Торг!$C:$C,MATCH(Прайс!$B2773,Торг!$H:$H,0))),"")</f>
        <v/>
      </c>
      <c r="H2773" s="67" t="str">
        <f>IFERROR(IFERROR(INDEX(Кат!$I:$I,MATCH(Прайс!$B2773,Кат!$G:$G,0)),INDEX(Торг!$I:$I,MATCH(Прайс!$B2773,Торг!$H:$H,0))),"")</f>
        <v/>
      </c>
    </row>
    <row r="2774" spans="1:8" ht="15.75" x14ac:dyDescent="0.25">
      <c r="A2774" s="90"/>
      <c r="B2774" s="91"/>
      <c r="C2774" s="92" t="s">
        <v>1480</v>
      </c>
      <c r="D2774" s="91"/>
      <c r="E2774" s="93"/>
      <c r="F2774" s="67" t="str">
        <f>IFERROR(IFERROR(INDEX(Кат!$A:$A,MATCH(Прайс!$B2774,Кат!$G:$G,0)),INDEX(Торг!$B:$B,MATCH(Прайс!$B2774,Торг!$H:$H,0))),"")</f>
        <v/>
      </c>
      <c r="G2774" s="67" t="str">
        <f>IFERROR(IFERROR(INDEX(Кат!$B:$B,MATCH(Прайс!$B2774,Кат!$G:$G,0)),INDEX(Торг!$C:$C,MATCH(Прайс!$B2774,Торг!$H:$H,0))),"")</f>
        <v/>
      </c>
      <c r="H2774" s="67" t="str">
        <f>IFERROR(IFERROR(INDEX(Кат!$I:$I,MATCH(Прайс!$B2774,Кат!$G:$G,0)),INDEX(Торг!$I:$I,MATCH(Прайс!$B2774,Торг!$H:$H,0))),"")</f>
        <v/>
      </c>
    </row>
    <row r="2775" spans="1:8" x14ac:dyDescent="0.25">
      <c r="A2775" s="94" t="s">
        <v>5968</v>
      </c>
      <c r="B2775" s="98">
        <v>19123</v>
      </c>
      <c r="C2775" s="98" t="s">
        <v>5969</v>
      </c>
      <c r="D2775" s="96" t="s">
        <v>582</v>
      </c>
      <c r="E2775" s="97">
        <v>750</v>
      </c>
      <c r="F2775" s="67" t="str">
        <f>IFERROR(IFERROR(INDEX(Кат!$A:$A,MATCH(Прайс!$B2775,Кат!$G:$G,0)),INDEX(Торг!$B:$B,MATCH(Прайс!$B2775,Торг!$H:$H,0))),"")</f>
        <v/>
      </c>
      <c r="G2775" s="67" t="str">
        <f>IFERROR(IFERROR(INDEX(Кат!$B:$B,MATCH(Прайс!$B2775,Кат!$G:$G,0)),INDEX(Торг!$C:$C,MATCH(Прайс!$B2775,Торг!$H:$H,0))),"")</f>
        <v/>
      </c>
      <c r="H2775" s="67" t="str">
        <f>IFERROR(IFERROR(INDEX(Кат!$I:$I,MATCH(Прайс!$B2775,Кат!$G:$G,0)),INDEX(Торг!$I:$I,MATCH(Прайс!$B2775,Торг!$H:$H,0))),"")</f>
        <v/>
      </c>
    </row>
    <row r="2776" spans="1:8" x14ac:dyDescent="0.25">
      <c r="A2776" s="94" t="s">
        <v>5970</v>
      </c>
      <c r="B2776" s="98">
        <v>19001</v>
      </c>
      <c r="C2776" s="98" t="s">
        <v>5971</v>
      </c>
      <c r="D2776" s="96" t="s">
        <v>582</v>
      </c>
      <c r="E2776" s="97">
        <v>750</v>
      </c>
      <c r="F2776" s="67" t="str">
        <f>IFERROR(IFERROR(INDEX(Кат!$A:$A,MATCH(Прайс!$B2776,Кат!$G:$G,0)),INDEX(Торг!$B:$B,MATCH(Прайс!$B2776,Торг!$H:$H,0))),"")</f>
        <v/>
      </c>
      <c r="G2776" s="67" t="str">
        <f>IFERROR(IFERROR(INDEX(Кат!$B:$B,MATCH(Прайс!$B2776,Кат!$G:$G,0)),INDEX(Торг!$C:$C,MATCH(Прайс!$B2776,Торг!$H:$H,0))),"")</f>
        <v/>
      </c>
      <c r="H2776" s="67" t="str">
        <f>IFERROR(IFERROR(INDEX(Кат!$I:$I,MATCH(Прайс!$B2776,Кат!$G:$G,0)),INDEX(Торг!$I:$I,MATCH(Прайс!$B2776,Торг!$H:$H,0))),"")</f>
        <v/>
      </c>
    </row>
    <row r="2777" spans="1:8" x14ac:dyDescent="0.25">
      <c r="A2777" s="94" t="s">
        <v>5972</v>
      </c>
      <c r="B2777" s="98">
        <v>19124</v>
      </c>
      <c r="C2777" s="98" t="s">
        <v>5973</v>
      </c>
      <c r="D2777" s="96" t="s">
        <v>582</v>
      </c>
      <c r="E2777" s="97">
        <v>750</v>
      </c>
      <c r="F2777" s="67" t="str">
        <f>IFERROR(IFERROR(INDEX(Кат!$A:$A,MATCH(Прайс!$B2777,Кат!$G:$G,0)),INDEX(Торг!$B:$B,MATCH(Прайс!$B2777,Торг!$H:$H,0))),"")</f>
        <v/>
      </c>
      <c r="G2777" s="67" t="str">
        <f>IFERROR(IFERROR(INDEX(Кат!$B:$B,MATCH(Прайс!$B2777,Кат!$G:$G,0)),INDEX(Торг!$C:$C,MATCH(Прайс!$B2777,Торг!$H:$H,0))),"")</f>
        <v/>
      </c>
      <c r="H2777" s="67" t="str">
        <f>IFERROR(IFERROR(INDEX(Кат!$I:$I,MATCH(Прайс!$B2777,Кат!$G:$G,0)),INDEX(Торг!$I:$I,MATCH(Прайс!$B2777,Торг!$H:$H,0))),"")</f>
        <v/>
      </c>
    </row>
    <row r="2778" spans="1:8" x14ac:dyDescent="0.25">
      <c r="A2778" s="94" t="s">
        <v>5974</v>
      </c>
      <c r="B2778" s="98">
        <v>19122</v>
      </c>
      <c r="C2778" s="98" t="s">
        <v>5975</v>
      </c>
      <c r="D2778" s="96" t="s">
        <v>582</v>
      </c>
      <c r="E2778" s="97">
        <v>750</v>
      </c>
      <c r="F2778" s="67" t="str">
        <f>IFERROR(IFERROR(INDEX(Кат!$A:$A,MATCH(Прайс!$B2778,Кат!$G:$G,0)),INDEX(Торг!$B:$B,MATCH(Прайс!$B2778,Торг!$H:$H,0))),"")</f>
        <v/>
      </c>
      <c r="G2778" s="67" t="str">
        <f>IFERROR(IFERROR(INDEX(Кат!$B:$B,MATCH(Прайс!$B2778,Кат!$G:$G,0)),INDEX(Торг!$C:$C,MATCH(Прайс!$B2778,Торг!$H:$H,0))),"")</f>
        <v/>
      </c>
      <c r="H2778" s="67" t="str">
        <f>IFERROR(IFERROR(INDEX(Кат!$I:$I,MATCH(Прайс!$B2778,Кат!$G:$G,0)),INDEX(Торг!$I:$I,MATCH(Прайс!$B2778,Торг!$H:$H,0))),"")</f>
        <v/>
      </c>
    </row>
    <row r="2779" spans="1:8" x14ac:dyDescent="0.25">
      <c r="A2779" s="94" t="s">
        <v>4085</v>
      </c>
      <c r="B2779" s="98">
        <v>19058</v>
      </c>
      <c r="C2779" s="98" t="s">
        <v>1481</v>
      </c>
      <c r="D2779" s="96" t="s">
        <v>582</v>
      </c>
      <c r="E2779" s="97">
        <v>750</v>
      </c>
      <c r="F2779" s="67" t="str">
        <f>IFERROR(IFERROR(INDEX(Кат!$A:$A,MATCH(Прайс!$B2779,Кат!$G:$G,0)),INDEX(Торг!$B:$B,MATCH(Прайс!$B2779,Торг!$H:$H,0))),"")</f>
        <v/>
      </c>
      <c r="G2779" s="67" t="str">
        <f>IFERROR(IFERROR(INDEX(Кат!$B:$B,MATCH(Прайс!$B2779,Кат!$G:$G,0)),INDEX(Торг!$C:$C,MATCH(Прайс!$B2779,Торг!$H:$H,0))),"")</f>
        <v/>
      </c>
      <c r="H2779" s="67" t="str">
        <f>IFERROR(IFERROR(INDEX(Кат!$I:$I,MATCH(Прайс!$B2779,Кат!$G:$G,0)),INDEX(Торг!$I:$I,MATCH(Прайс!$B2779,Торг!$H:$H,0))),"")</f>
        <v/>
      </c>
    </row>
    <row r="2780" spans="1:8" x14ac:dyDescent="0.25">
      <c r="A2780" s="94" t="s">
        <v>4086</v>
      </c>
      <c r="B2780" s="98">
        <v>19057</v>
      </c>
      <c r="C2780" s="98" t="s">
        <v>1482</v>
      </c>
      <c r="D2780" s="96" t="s">
        <v>582</v>
      </c>
      <c r="E2780" s="97">
        <v>750</v>
      </c>
      <c r="F2780" s="67" t="str">
        <f>IFERROR(IFERROR(INDEX(Кат!$A:$A,MATCH(Прайс!$B2780,Кат!$G:$G,0)),INDEX(Торг!$B:$B,MATCH(Прайс!$B2780,Торг!$H:$H,0))),"")</f>
        <v/>
      </c>
      <c r="G2780" s="67" t="str">
        <f>IFERROR(IFERROR(INDEX(Кат!$B:$B,MATCH(Прайс!$B2780,Кат!$G:$G,0)),INDEX(Торг!$C:$C,MATCH(Прайс!$B2780,Торг!$H:$H,0))),"")</f>
        <v/>
      </c>
      <c r="H2780" s="67" t="str">
        <f>IFERROR(IFERROR(INDEX(Кат!$I:$I,MATCH(Прайс!$B2780,Кат!$G:$G,0)),INDEX(Торг!$I:$I,MATCH(Прайс!$B2780,Торг!$H:$H,0))),"")</f>
        <v/>
      </c>
    </row>
    <row r="2781" spans="1:8" x14ac:dyDescent="0.25">
      <c r="A2781" s="94" t="s">
        <v>6415</v>
      </c>
      <c r="B2781" s="98">
        <v>19059</v>
      </c>
      <c r="C2781" s="98" t="s">
        <v>6416</v>
      </c>
      <c r="D2781" s="96" t="s">
        <v>582</v>
      </c>
      <c r="E2781" s="97">
        <v>750</v>
      </c>
      <c r="F2781" s="67" t="str">
        <f>IFERROR(IFERROR(INDEX(Кат!$A:$A,MATCH(Прайс!$B2781,Кат!$G:$G,0)),INDEX(Торг!$B:$B,MATCH(Прайс!$B2781,Торг!$H:$H,0))),"")</f>
        <v/>
      </c>
      <c r="G2781" s="67" t="str">
        <f>IFERROR(IFERROR(INDEX(Кат!$B:$B,MATCH(Прайс!$B2781,Кат!$G:$G,0)),INDEX(Торг!$C:$C,MATCH(Прайс!$B2781,Торг!$H:$H,0))),"")</f>
        <v/>
      </c>
      <c r="H2781" s="67" t="str">
        <f>IFERROR(IFERROR(INDEX(Кат!$I:$I,MATCH(Прайс!$B2781,Кат!$G:$G,0)),INDEX(Торг!$I:$I,MATCH(Прайс!$B2781,Торг!$H:$H,0))),"")</f>
        <v/>
      </c>
    </row>
    <row r="2782" spans="1:8" x14ac:dyDescent="0.25">
      <c r="A2782" s="94" t="s">
        <v>6417</v>
      </c>
      <c r="B2782" s="98">
        <v>19002</v>
      </c>
      <c r="C2782" s="98" t="s">
        <v>6418</v>
      </c>
      <c r="D2782" s="96" t="s">
        <v>582</v>
      </c>
      <c r="E2782" s="97">
        <v>750</v>
      </c>
      <c r="F2782" s="67" t="str">
        <f>IFERROR(IFERROR(INDEX(Кат!$A:$A,MATCH(Прайс!$B2782,Кат!$G:$G,0)),INDEX(Торг!$B:$B,MATCH(Прайс!$B2782,Торг!$H:$H,0))),"")</f>
        <v/>
      </c>
      <c r="G2782" s="67" t="str">
        <f>IFERROR(IFERROR(INDEX(Кат!$B:$B,MATCH(Прайс!$B2782,Кат!$G:$G,0)),INDEX(Торг!$C:$C,MATCH(Прайс!$B2782,Торг!$H:$H,0))),"")</f>
        <v/>
      </c>
      <c r="H2782" s="67" t="str">
        <f>IFERROR(IFERROR(INDEX(Кат!$I:$I,MATCH(Прайс!$B2782,Кат!$G:$G,0)),INDEX(Торг!$I:$I,MATCH(Прайс!$B2782,Торг!$H:$H,0))),"")</f>
        <v/>
      </c>
    </row>
    <row r="2783" spans="1:8" x14ac:dyDescent="0.25">
      <c r="A2783" s="94" t="s">
        <v>6419</v>
      </c>
      <c r="B2783" s="98">
        <v>19003</v>
      </c>
      <c r="C2783" s="98" t="s">
        <v>6420</v>
      </c>
      <c r="D2783" s="96" t="s">
        <v>582</v>
      </c>
      <c r="E2783" s="97">
        <v>750</v>
      </c>
      <c r="F2783" s="67" t="str">
        <f>IFERROR(IFERROR(INDEX(Кат!$A:$A,MATCH(Прайс!$B2783,Кат!$G:$G,0)),INDEX(Торг!$B:$B,MATCH(Прайс!$B2783,Торг!$H:$H,0))),"")</f>
        <v/>
      </c>
      <c r="G2783" s="67" t="str">
        <f>IFERROR(IFERROR(INDEX(Кат!$B:$B,MATCH(Прайс!$B2783,Кат!$G:$G,0)),INDEX(Торг!$C:$C,MATCH(Прайс!$B2783,Торг!$H:$H,0))),"")</f>
        <v/>
      </c>
      <c r="H2783" s="67" t="str">
        <f>IFERROR(IFERROR(INDEX(Кат!$I:$I,MATCH(Прайс!$B2783,Кат!$G:$G,0)),INDEX(Торг!$I:$I,MATCH(Прайс!$B2783,Торг!$H:$H,0))),"")</f>
        <v/>
      </c>
    </row>
    <row r="2784" spans="1:8" x14ac:dyDescent="0.25">
      <c r="A2784" s="94" t="s">
        <v>6421</v>
      </c>
      <c r="B2784" s="98">
        <v>19126</v>
      </c>
      <c r="C2784" s="98" t="s">
        <v>6422</v>
      </c>
      <c r="D2784" s="96" t="s">
        <v>582</v>
      </c>
      <c r="E2784" s="97">
        <v>750</v>
      </c>
      <c r="F2784" s="67" t="str">
        <f>IFERROR(IFERROR(INDEX(Кат!$A:$A,MATCH(Прайс!$B2784,Кат!$G:$G,0)),INDEX(Торг!$B:$B,MATCH(Прайс!$B2784,Торг!$H:$H,0))),"")</f>
        <v/>
      </c>
      <c r="G2784" s="67" t="str">
        <f>IFERROR(IFERROR(INDEX(Кат!$B:$B,MATCH(Прайс!$B2784,Кат!$G:$G,0)),INDEX(Торг!$C:$C,MATCH(Прайс!$B2784,Торг!$H:$H,0))),"")</f>
        <v/>
      </c>
      <c r="H2784" s="67" t="str">
        <f>IFERROR(IFERROR(INDEX(Кат!$I:$I,MATCH(Прайс!$B2784,Кат!$G:$G,0)),INDEX(Торг!$I:$I,MATCH(Прайс!$B2784,Торг!$H:$H,0))),"")</f>
        <v/>
      </c>
    </row>
    <row r="2785" spans="1:8" x14ac:dyDescent="0.25">
      <c r="A2785" s="94" t="s">
        <v>4939</v>
      </c>
      <c r="B2785" s="98">
        <v>19061</v>
      </c>
      <c r="C2785" s="98" t="s">
        <v>4940</v>
      </c>
      <c r="D2785" s="96" t="s">
        <v>190</v>
      </c>
      <c r="E2785" s="97">
        <v>210</v>
      </c>
      <c r="F2785" s="67" t="str">
        <f>IFERROR(IFERROR(INDEX(Кат!$A:$A,MATCH(Прайс!$B2785,Кат!$G:$G,0)),INDEX(Торг!$B:$B,MATCH(Прайс!$B2785,Торг!$H:$H,0))),"")</f>
        <v/>
      </c>
      <c r="G2785" s="67" t="str">
        <f>IFERROR(IFERROR(INDEX(Кат!$B:$B,MATCH(Прайс!$B2785,Кат!$G:$G,0)),INDEX(Торг!$C:$C,MATCH(Прайс!$B2785,Торг!$H:$H,0))),"")</f>
        <v/>
      </c>
      <c r="H2785" s="67" t="str">
        <f>IFERROR(IFERROR(INDEX(Кат!$I:$I,MATCH(Прайс!$B2785,Кат!$G:$G,0)),INDEX(Торг!$I:$I,MATCH(Прайс!$B2785,Торг!$H:$H,0))),"")</f>
        <v/>
      </c>
    </row>
    <row r="2786" spans="1:8" x14ac:dyDescent="0.25">
      <c r="A2786" s="94" t="s">
        <v>4087</v>
      </c>
      <c r="B2786" s="98">
        <v>19056</v>
      </c>
      <c r="C2786" s="98" t="s">
        <v>1483</v>
      </c>
      <c r="D2786" s="96" t="s">
        <v>190</v>
      </c>
      <c r="E2786" s="97">
        <v>500</v>
      </c>
      <c r="F2786" s="67" t="str">
        <f>IFERROR(IFERROR(INDEX(Кат!$A:$A,MATCH(Прайс!$B2786,Кат!$G:$G,0)),INDEX(Торг!$B:$B,MATCH(Прайс!$B2786,Торг!$H:$H,0))),"")</f>
        <v/>
      </c>
      <c r="G2786" s="67" t="str">
        <f>IFERROR(IFERROR(INDEX(Кат!$B:$B,MATCH(Прайс!$B2786,Кат!$G:$G,0)),INDEX(Торг!$C:$C,MATCH(Прайс!$B2786,Торг!$H:$H,0))),"")</f>
        <v/>
      </c>
      <c r="H2786" s="67" t="str">
        <f>IFERROR(IFERROR(INDEX(Кат!$I:$I,MATCH(Прайс!$B2786,Кат!$G:$G,0)),INDEX(Торг!$I:$I,MATCH(Прайс!$B2786,Торг!$H:$H,0))),"")</f>
        <v/>
      </c>
    </row>
    <row r="2787" spans="1:8" x14ac:dyDescent="0.25">
      <c r="A2787" s="94" t="s">
        <v>5461</v>
      </c>
      <c r="B2787" s="98">
        <v>19060</v>
      </c>
      <c r="C2787" s="98" t="s">
        <v>5462</v>
      </c>
      <c r="D2787" s="96" t="s">
        <v>190</v>
      </c>
      <c r="E2787" s="97">
        <v>210</v>
      </c>
      <c r="F2787" s="67" t="str">
        <f>IFERROR(IFERROR(INDEX(Кат!$A:$A,MATCH(Прайс!$B2787,Кат!$G:$G,0)),INDEX(Торг!$B:$B,MATCH(Прайс!$B2787,Торг!$H:$H,0))),"")</f>
        <v/>
      </c>
      <c r="G2787" s="67" t="str">
        <f>IFERROR(IFERROR(INDEX(Кат!$B:$B,MATCH(Прайс!$B2787,Кат!$G:$G,0)),INDEX(Торг!$C:$C,MATCH(Прайс!$B2787,Торг!$H:$H,0))),"")</f>
        <v/>
      </c>
      <c r="H2787" s="67" t="str">
        <f>IFERROR(IFERROR(INDEX(Кат!$I:$I,MATCH(Прайс!$B2787,Кат!$G:$G,0)),INDEX(Торг!$I:$I,MATCH(Прайс!$B2787,Торг!$H:$H,0))),"")</f>
        <v/>
      </c>
    </row>
    <row r="2788" spans="1:8" ht="15.75" x14ac:dyDescent="0.25">
      <c r="A2788" s="90"/>
      <c r="B2788" s="91"/>
      <c r="C2788" s="92" t="s">
        <v>1484</v>
      </c>
      <c r="D2788" s="91"/>
      <c r="E2788" s="93"/>
      <c r="F2788" s="67" t="str">
        <f>IFERROR(IFERROR(INDEX(Кат!$A:$A,MATCH(Прайс!$B2788,Кат!$G:$G,0)),INDEX(Торг!$B:$B,MATCH(Прайс!$B2788,Торг!$H:$H,0))),"")</f>
        <v/>
      </c>
      <c r="G2788" s="67" t="str">
        <f>IFERROR(IFERROR(INDEX(Кат!$B:$B,MATCH(Прайс!$B2788,Кат!$G:$G,0)),INDEX(Торг!$C:$C,MATCH(Прайс!$B2788,Торг!$H:$H,0))),"")</f>
        <v/>
      </c>
      <c r="H2788" s="67" t="str">
        <f>IFERROR(IFERROR(INDEX(Кат!$I:$I,MATCH(Прайс!$B2788,Кат!$G:$G,0)),INDEX(Торг!$I:$I,MATCH(Прайс!$B2788,Торг!$H:$H,0))),"")</f>
        <v/>
      </c>
    </row>
    <row r="2789" spans="1:8" x14ac:dyDescent="0.25">
      <c r="A2789" s="94" t="s">
        <v>4088</v>
      </c>
      <c r="B2789" s="98">
        <v>19092</v>
      </c>
      <c r="C2789" s="98" t="s">
        <v>6423</v>
      </c>
      <c r="D2789" s="96" t="s">
        <v>364</v>
      </c>
      <c r="E2789" s="97">
        <v>130</v>
      </c>
      <c r="F2789" s="67" t="str">
        <f>IFERROR(IFERROR(INDEX(Кат!$A:$A,MATCH(Прайс!$B2789,Кат!$G:$G,0)),INDEX(Торг!$B:$B,MATCH(Прайс!$B2789,Торг!$H:$H,0))),"")</f>
        <v/>
      </c>
      <c r="G2789" s="67" t="str">
        <f>IFERROR(IFERROR(INDEX(Кат!$B:$B,MATCH(Прайс!$B2789,Кат!$G:$G,0)),INDEX(Торг!$C:$C,MATCH(Прайс!$B2789,Торг!$H:$H,0))),"")</f>
        <v/>
      </c>
      <c r="H2789" s="67" t="str">
        <f>IFERROR(IFERROR(INDEX(Кат!$I:$I,MATCH(Прайс!$B2789,Кат!$G:$G,0)),INDEX(Торг!$I:$I,MATCH(Прайс!$B2789,Торг!$H:$H,0))),"")</f>
        <v/>
      </c>
    </row>
    <row r="2790" spans="1:8" x14ac:dyDescent="0.25">
      <c r="A2790" s="94" t="s">
        <v>4089</v>
      </c>
      <c r="B2790" s="98">
        <v>19113</v>
      </c>
      <c r="C2790" s="98" t="s">
        <v>5328</v>
      </c>
      <c r="D2790" s="96" t="s">
        <v>160</v>
      </c>
      <c r="E2790" s="97">
        <v>150</v>
      </c>
      <c r="F2790" s="67" t="str">
        <f>IFERROR(IFERROR(INDEX(Кат!$A:$A,MATCH(Прайс!$B2790,Кат!$G:$G,0)),INDEX(Торг!$B:$B,MATCH(Прайс!$B2790,Торг!$H:$H,0))),"")</f>
        <v/>
      </c>
      <c r="G2790" s="67" t="str">
        <f>IFERROR(IFERROR(INDEX(Кат!$B:$B,MATCH(Прайс!$B2790,Кат!$G:$G,0)),INDEX(Торг!$C:$C,MATCH(Прайс!$B2790,Торг!$H:$H,0))),"")</f>
        <v/>
      </c>
      <c r="H2790" s="67" t="str">
        <f>IFERROR(IFERROR(INDEX(Кат!$I:$I,MATCH(Прайс!$B2790,Кат!$G:$G,0)),INDEX(Торг!$I:$I,MATCH(Прайс!$B2790,Торг!$H:$H,0))),"")</f>
        <v/>
      </c>
    </row>
    <row r="2791" spans="1:8" x14ac:dyDescent="0.25">
      <c r="A2791" s="109" t="s">
        <v>8311</v>
      </c>
      <c r="B2791" s="110">
        <v>19151</v>
      </c>
      <c r="C2791" s="110" t="s">
        <v>8622</v>
      </c>
      <c r="D2791" s="111" t="s">
        <v>271</v>
      </c>
      <c r="E2791" s="112">
        <v>130</v>
      </c>
      <c r="F2791" s="67" t="str">
        <f>IFERROR(IFERROR(INDEX(Кат!$A:$A,MATCH(Прайс!$B2791,Кат!$G:$G,0)),INDEX(Торг!$B:$B,MATCH(Прайс!$B2791,Торг!$H:$H,0))),"")</f>
        <v/>
      </c>
      <c r="G2791" s="67" t="str">
        <f>IFERROR(IFERROR(INDEX(Кат!$B:$B,MATCH(Прайс!$B2791,Кат!$G:$G,0)),INDEX(Торг!$C:$C,MATCH(Прайс!$B2791,Торг!$H:$H,0))),"")</f>
        <v/>
      </c>
      <c r="H2791" s="67" t="str">
        <f>IFERROR(IFERROR(INDEX(Кат!$I:$I,MATCH(Прайс!$B2791,Кат!$G:$G,0)),INDEX(Торг!$I:$I,MATCH(Прайс!$B2791,Торг!$H:$H,0))),"")</f>
        <v/>
      </c>
    </row>
    <row r="2792" spans="1:8" x14ac:dyDescent="0.25">
      <c r="A2792" s="94" t="s">
        <v>4090</v>
      </c>
      <c r="B2792" s="98">
        <v>19116</v>
      </c>
      <c r="C2792" s="98" t="s">
        <v>1485</v>
      </c>
      <c r="D2792" s="96" t="s">
        <v>177</v>
      </c>
      <c r="E2792" s="97">
        <v>160</v>
      </c>
      <c r="F2792" s="67" t="str">
        <f>IFERROR(IFERROR(INDEX(Кат!$A:$A,MATCH(Прайс!$B2792,Кат!$G:$G,0)),INDEX(Торг!$B:$B,MATCH(Прайс!$B2792,Торг!$H:$H,0))),"")</f>
        <v/>
      </c>
      <c r="G2792" s="67" t="str">
        <f>IFERROR(IFERROR(INDEX(Кат!$B:$B,MATCH(Прайс!$B2792,Кат!$G:$G,0)),INDEX(Торг!$C:$C,MATCH(Прайс!$B2792,Торг!$H:$H,0))),"")</f>
        <v/>
      </c>
      <c r="H2792" s="67" t="str">
        <f>IFERROR(IFERROR(INDEX(Кат!$I:$I,MATCH(Прайс!$B2792,Кат!$G:$G,0)),INDEX(Торг!$I:$I,MATCH(Прайс!$B2792,Торг!$H:$H,0))),"")</f>
        <v/>
      </c>
    </row>
    <row r="2793" spans="1:8" ht="15.75" x14ac:dyDescent="0.25">
      <c r="A2793" s="90"/>
      <c r="B2793" s="91"/>
      <c r="C2793" s="92" t="s">
        <v>1486</v>
      </c>
      <c r="D2793" s="91"/>
      <c r="E2793" s="93"/>
      <c r="F2793" s="67" t="str">
        <f>IFERROR(IFERROR(INDEX(Кат!$A:$A,MATCH(Прайс!$B2793,Кат!$G:$G,0)),INDEX(Торг!$B:$B,MATCH(Прайс!$B2793,Торг!$H:$H,0))),"")</f>
        <v/>
      </c>
      <c r="G2793" s="67" t="str">
        <f>IFERROR(IFERROR(INDEX(Кат!$B:$B,MATCH(Прайс!$B2793,Кат!$G:$G,0)),INDEX(Торг!$C:$C,MATCH(Прайс!$B2793,Торг!$H:$H,0))),"")</f>
        <v/>
      </c>
      <c r="H2793" s="67" t="str">
        <f>IFERROR(IFERROR(INDEX(Кат!$I:$I,MATCH(Прайс!$B2793,Кат!$G:$G,0)),INDEX(Торг!$I:$I,MATCH(Прайс!$B2793,Торг!$H:$H,0))),"")</f>
        <v/>
      </c>
    </row>
    <row r="2794" spans="1:8" x14ac:dyDescent="0.25">
      <c r="A2794" s="94" t="s">
        <v>7012</v>
      </c>
      <c r="B2794" s="98">
        <v>19129</v>
      </c>
      <c r="C2794" s="98" t="s">
        <v>8463</v>
      </c>
      <c r="D2794" s="96" t="s">
        <v>176</v>
      </c>
      <c r="E2794" s="107">
        <v>1000</v>
      </c>
      <c r="F2794" s="67" t="str">
        <f>IFERROR(IFERROR(INDEX(Кат!$A:$A,MATCH(Прайс!$B2794,Кат!$G:$G,0)),INDEX(Торг!$B:$B,MATCH(Прайс!$B2794,Торг!$H:$H,0))),"")</f>
        <v/>
      </c>
      <c r="G2794" s="67" t="str">
        <f>IFERROR(IFERROR(INDEX(Кат!$B:$B,MATCH(Прайс!$B2794,Кат!$G:$G,0)),INDEX(Торг!$C:$C,MATCH(Прайс!$B2794,Торг!$H:$H,0))),"")</f>
        <v/>
      </c>
      <c r="H2794" s="67" t="str">
        <f>IFERROR(IFERROR(INDEX(Кат!$I:$I,MATCH(Прайс!$B2794,Кат!$G:$G,0)),INDEX(Торг!$I:$I,MATCH(Прайс!$B2794,Торг!$H:$H,0))),"")</f>
        <v/>
      </c>
    </row>
    <row r="2795" spans="1:8" x14ac:dyDescent="0.25">
      <c r="A2795" s="94" t="s">
        <v>7013</v>
      </c>
      <c r="B2795" s="98">
        <v>19130</v>
      </c>
      <c r="C2795" s="98" t="s">
        <v>7014</v>
      </c>
      <c r="D2795" s="96" t="s">
        <v>190</v>
      </c>
      <c r="E2795" s="97">
        <v>650</v>
      </c>
      <c r="F2795" s="67" t="str">
        <f>IFERROR(IFERROR(INDEX(Кат!$A:$A,MATCH(Прайс!$B2795,Кат!$G:$G,0)),INDEX(Торг!$B:$B,MATCH(Прайс!$B2795,Торг!$H:$H,0))),"")</f>
        <v/>
      </c>
      <c r="G2795" s="67" t="str">
        <f>IFERROR(IFERROR(INDEX(Кат!$B:$B,MATCH(Прайс!$B2795,Кат!$G:$G,0)),INDEX(Торг!$C:$C,MATCH(Прайс!$B2795,Торг!$H:$H,0))),"")</f>
        <v/>
      </c>
      <c r="H2795" s="67" t="str">
        <f>IFERROR(IFERROR(INDEX(Кат!$I:$I,MATCH(Прайс!$B2795,Кат!$G:$G,0)),INDEX(Торг!$I:$I,MATCH(Прайс!$B2795,Торг!$H:$H,0))),"")</f>
        <v/>
      </c>
    </row>
    <row r="2796" spans="1:8" x14ac:dyDescent="0.25">
      <c r="A2796" s="103" t="s">
        <v>7762</v>
      </c>
      <c r="B2796" s="104">
        <v>19136</v>
      </c>
      <c r="C2796" s="104" t="s">
        <v>7763</v>
      </c>
      <c r="D2796" s="105" t="s">
        <v>190</v>
      </c>
      <c r="E2796" s="113">
        <v>700</v>
      </c>
      <c r="F2796" s="67" t="str">
        <f>IFERROR(IFERROR(INDEX(Кат!$A:$A,MATCH(Прайс!$B2796,Кат!$G:$G,0)),INDEX(Торг!$B:$B,MATCH(Прайс!$B2796,Торг!$H:$H,0))),"")</f>
        <v/>
      </c>
      <c r="G2796" s="67" t="str">
        <f>IFERROR(IFERROR(INDEX(Кат!$B:$B,MATCH(Прайс!$B2796,Кат!$G:$G,0)),INDEX(Торг!$C:$C,MATCH(Прайс!$B2796,Торг!$H:$H,0))),"")</f>
        <v/>
      </c>
      <c r="H2796" s="67" t="str">
        <f>IFERROR(IFERROR(INDEX(Кат!$I:$I,MATCH(Прайс!$B2796,Кат!$G:$G,0)),INDEX(Торг!$I:$I,MATCH(Прайс!$B2796,Торг!$H:$H,0))),"")</f>
        <v/>
      </c>
    </row>
    <row r="2797" spans="1:8" x14ac:dyDescent="0.25">
      <c r="A2797" s="94" t="s">
        <v>7764</v>
      </c>
      <c r="B2797" s="98">
        <v>19137</v>
      </c>
      <c r="C2797" s="98" t="s">
        <v>8464</v>
      </c>
      <c r="D2797" s="96" t="s">
        <v>190</v>
      </c>
      <c r="E2797" s="97">
        <v>450</v>
      </c>
      <c r="F2797" s="67" t="str">
        <f>IFERROR(IFERROR(INDEX(Кат!$A:$A,MATCH(Прайс!$B2797,Кат!$G:$G,0)),INDEX(Торг!$B:$B,MATCH(Прайс!$B2797,Торг!$H:$H,0))),"")</f>
        <v/>
      </c>
      <c r="G2797" s="67" t="str">
        <f>IFERROR(IFERROR(INDEX(Кат!$B:$B,MATCH(Прайс!$B2797,Кат!$G:$G,0)),INDEX(Торг!$C:$C,MATCH(Прайс!$B2797,Торг!$H:$H,0))),"")</f>
        <v/>
      </c>
      <c r="H2797" s="67" t="str">
        <f>IFERROR(IFERROR(INDEX(Кат!$I:$I,MATCH(Прайс!$B2797,Кат!$G:$G,0)),INDEX(Торг!$I:$I,MATCH(Прайс!$B2797,Торг!$H:$H,0))),"")</f>
        <v/>
      </c>
    </row>
    <row r="2798" spans="1:8" x14ac:dyDescent="0.25">
      <c r="A2798" s="94" t="s">
        <v>5463</v>
      </c>
      <c r="B2798" s="98">
        <v>19120</v>
      </c>
      <c r="C2798" s="98" t="s">
        <v>7765</v>
      </c>
      <c r="D2798" s="96" t="s">
        <v>190</v>
      </c>
      <c r="E2798" s="97">
        <v>800</v>
      </c>
      <c r="F2798" s="67" t="str">
        <f>IFERROR(IFERROR(INDEX(Кат!$A:$A,MATCH(Прайс!$B2798,Кат!$G:$G,0)),INDEX(Торг!$B:$B,MATCH(Прайс!$B2798,Торг!$H:$H,0))),"")</f>
        <v/>
      </c>
      <c r="G2798" s="67" t="str">
        <f>IFERROR(IFERROR(INDEX(Кат!$B:$B,MATCH(Прайс!$B2798,Кат!$G:$G,0)),INDEX(Торг!$C:$C,MATCH(Прайс!$B2798,Торг!$H:$H,0))),"")</f>
        <v/>
      </c>
      <c r="H2798" s="67" t="str">
        <f>IFERROR(IFERROR(INDEX(Кат!$I:$I,MATCH(Прайс!$B2798,Кат!$G:$G,0)),INDEX(Торг!$I:$I,MATCH(Прайс!$B2798,Торг!$H:$H,0))),"")</f>
        <v/>
      </c>
    </row>
    <row r="2799" spans="1:8" x14ac:dyDescent="0.25">
      <c r="A2799" s="94" t="s">
        <v>7766</v>
      </c>
      <c r="B2799" s="98">
        <v>19135</v>
      </c>
      <c r="C2799" s="98" t="s">
        <v>7767</v>
      </c>
      <c r="D2799" s="96" t="s">
        <v>190</v>
      </c>
      <c r="E2799" s="97">
        <v>800</v>
      </c>
      <c r="F2799" s="67" t="str">
        <f>IFERROR(IFERROR(INDEX(Кат!$A:$A,MATCH(Прайс!$B2799,Кат!$G:$G,0)),INDEX(Торг!$B:$B,MATCH(Прайс!$B2799,Торг!$H:$H,0))),"")</f>
        <v/>
      </c>
      <c r="G2799" s="67" t="str">
        <f>IFERROR(IFERROR(INDEX(Кат!$B:$B,MATCH(Прайс!$B2799,Кат!$G:$G,0)),INDEX(Торг!$C:$C,MATCH(Прайс!$B2799,Торг!$H:$H,0))),"")</f>
        <v/>
      </c>
      <c r="H2799" s="67" t="str">
        <f>IFERROR(IFERROR(INDEX(Кат!$I:$I,MATCH(Прайс!$B2799,Кат!$G:$G,0)),INDEX(Торг!$I:$I,MATCH(Прайс!$B2799,Торг!$H:$H,0))),"")</f>
        <v/>
      </c>
    </row>
    <row r="2800" spans="1:8" ht="15.75" x14ac:dyDescent="0.25">
      <c r="A2800" s="90"/>
      <c r="B2800" s="91"/>
      <c r="C2800" s="92" t="s">
        <v>1487</v>
      </c>
      <c r="D2800" s="91"/>
      <c r="E2800" s="93"/>
      <c r="F2800" s="67" t="str">
        <f>IFERROR(IFERROR(INDEX(Кат!$A:$A,MATCH(Прайс!$B2800,Кат!$G:$G,0)),INDEX(Торг!$B:$B,MATCH(Прайс!$B2800,Торг!$H:$H,0))),"")</f>
        <v/>
      </c>
      <c r="G2800" s="67" t="str">
        <f>IFERROR(IFERROR(INDEX(Кат!$B:$B,MATCH(Прайс!$B2800,Кат!$G:$G,0)),INDEX(Торг!$C:$C,MATCH(Прайс!$B2800,Торг!$H:$H,0))),"")</f>
        <v/>
      </c>
      <c r="H2800" s="67" t="str">
        <f>IFERROR(IFERROR(INDEX(Кат!$I:$I,MATCH(Прайс!$B2800,Кат!$G:$G,0)),INDEX(Торг!$I:$I,MATCH(Прайс!$B2800,Торг!$H:$H,0))),"")</f>
        <v/>
      </c>
    </row>
    <row r="2801" spans="1:8" x14ac:dyDescent="0.25">
      <c r="A2801" s="94" t="s">
        <v>4091</v>
      </c>
      <c r="B2801" s="98">
        <v>19037</v>
      </c>
      <c r="C2801" s="98" t="s">
        <v>1488</v>
      </c>
      <c r="D2801" s="96" t="s">
        <v>190</v>
      </c>
      <c r="E2801" s="97">
        <v>210</v>
      </c>
      <c r="F2801" s="67" t="str">
        <f>IFERROR(IFERROR(INDEX(Кат!$A:$A,MATCH(Прайс!$B2801,Кат!$G:$G,0)),INDEX(Торг!$B:$B,MATCH(Прайс!$B2801,Торг!$H:$H,0))),"")</f>
        <v/>
      </c>
      <c r="G2801" s="67" t="str">
        <f>IFERROR(IFERROR(INDEX(Кат!$B:$B,MATCH(Прайс!$B2801,Кат!$G:$G,0)),INDEX(Торг!$C:$C,MATCH(Прайс!$B2801,Торг!$H:$H,0))),"")</f>
        <v/>
      </c>
      <c r="H2801" s="67" t="str">
        <f>IFERROR(IFERROR(INDEX(Кат!$I:$I,MATCH(Прайс!$B2801,Кат!$G:$G,0)),INDEX(Торг!$I:$I,MATCH(Прайс!$B2801,Торг!$H:$H,0))),"")</f>
        <v/>
      </c>
    </row>
    <row r="2802" spans="1:8" x14ac:dyDescent="0.25">
      <c r="A2802" s="94" t="s">
        <v>4092</v>
      </c>
      <c r="B2802" s="98">
        <v>19036</v>
      </c>
      <c r="C2802" s="98" t="s">
        <v>1489</v>
      </c>
      <c r="D2802" s="96" t="s">
        <v>190</v>
      </c>
      <c r="E2802" s="97">
        <v>120</v>
      </c>
      <c r="F2802" s="67" t="str">
        <f>IFERROR(IFERROR(INDEX(Кат!$A:$A,MATCH(Прайс!$B2802,Кат!$G:$G,0)),INDEX(Торг!$B:$B,MATCH(Прайс!$B2802,Торг!$H:$H,0))),"")</f>
        <v/>
      </c>
      <c r="G2802" s="67" t="str">
        <f>IFERROR(IFERROR(INDEX(Кат!$B:$B,MATCH(Прайс!$B2802,Кат!$G:$G,0)),INDEX(Торг!$C:$C,MATCH(Прайс!$B2802,Торг!$H:$H,0))),"")</f>
        <v/>
      </c>
      <c r="H2802" s="67" t="str">
        <f>IFERROR(IFERROR(INDEX(Кат!$I:$I,MATCH(Прайс!$B2802,Кат!$G:$G,0)),INDEX(Торг!$I:$I,MATCH(Прайс!$B2802,Торг!$H:$H,0))),"")</f>
        <v/>
      </c>
    </row>
    <row r="2803" spans="1:8" x14ac:dyDescent="0.25">
      <c r="A2803" s="94" t="s">
        <v>7015</v>
      </c>
      <c r="B2803" s="98">
        <v>19038</v>
      </c>
      <c r="C2803" s="98" t="s">
        <v>7016</v>
      </c>
      <c r="D2803" s="96" t="s">
        <v>190</v>
      </c>
      <c r="E2803" s="97">
        <v>150</v>
      </c>
      <c r="F2803" s="67" t="str">
        <f>IFERROR(IFERROR(INDEX(Кат!$A:$A,MATCH(Прайс!$B2803,Кат!$G:$G,0)),INDEX(Торг!$B:$B,MATCH(Прайс!$B2803,Торг!$H:$H,0))),"")</f>
        <v/>
      </c>
      <c r="G2803" s="67" t="str">
        <f>IFERROR(IFERROR(INDEX(Кат!$B:$B,MATCH(Прайс!$B2803,Кат!$G:$G,0)),INDEX(Торг!$C:$C,MATCH(Прайс!$B2803,Торг!$H:$H,0))),"")</f>
        <v/>
      </c>
      <c r="H2803" s="67" t="str">
        <f>IFERROR(IFERROR(INDEX(Кат!$I:$I,MATCH(Прайс!$B2803,Кат!$G:$G,0)),INDEX(Торг!$I:$I,MATCH(Прайс!$B2803,Торг!$H:$H,0))),"")</f>
        <v/>
      </c>
    </row>
    <row r="2804" spans="1:8" ht="15.75" x14ac:dyDescent="0.25">
      <c r="A2804" s="90"/>
      <c r="B2804" s="91"/>
      <c r="C2804" s="92" t="s">
        <v>1490</v>
      </c>
      <c r="D2804" s="91"/>
      <c r="E2804" s="93"/>
      <c r="F2804" s="67" t="str">
        <f>IFERROR(IFERROR(INDEX(Кат!$A:$A,MATCH(Прайс!$B2804,Кат!$G:$G,0)),INDEX(Торг!$B:$B,MATCH(Прайс!$B2804,Торг!$H:$H,0))),"")</f>
        <v/>
      </c>
      <c r="G2804" s="67" t="str">
        <f>IFERROR(IFERROR(INDEX(Кат!$B:$B,MATCH(Прайс!$B2804,Кат!$G:$G,0)),INDEX(Торг!$C:$C,MATCH(Прайс!$B2804,Торг!$H:$H,0))),"")</f>
        <v/>
      </c>
      <c r="H2804" s="67" t="str">
        <f>IFERROR(IFERROR(INDEX(Кат!$I:$I,MATCH(Прайс!$B2804,Кат!$G:$G,0)),INDEX(Торг!$I:$I,MATCH(Прайс!$B2804,Торг!$H:$H,0))),"")</f>
        <v/>
      </c>
    </row>
    <row r="2805" spans="1:8" x14ac:dyDescent="0.25">
      <c r="A2805" s="103" t="s">
        <v>4093</v>
      </c>
      <c r="B2805" s="104">
        <v>19043</v>
      </c>
      <c r="C2805" s="104" t="s">
        <v>1491</v>
      </c>
      <c r="D2805" s="105" t="s">
        <v>160</v>
      </c>
      <c r="E2805" s="113">
        <v>20</v>
      </c>
      <c r="F2805" s="67" t="str">
        <f>IFERROR(IFERROR(INDEX(Кат!$A:$A,MATCH(Прайс!$B2805,Кат!$G:$G,0)),INDEX(Торг!$B:$B,MATCH(Прайс!$B2805,Торг!$H:$H,0))),"")</f>
        <v/>
      </c>
      <c r="G2805" s="67" t="str">
        <f>IFERROR(IFERROR(INDEX(Кат!$B:$B,MATCH(Прайс!$B2805,Кат!$G:$G,0)),INDEX(Торг!$C:$C,MATCH(Прайс!$B2805,Торг!$H:$H,0))),"")</f>
        <v/>
      </c>
      <c r="H2805" s="67" t="str">
        <f>IFERROR(IFERROR(INDEX(Кат!$I:$I,MATCH(Прайс!$B2805,Кат!$G:$G,0)),INDEX(Торг!$I:$I,MATCH(Прайс!$B2805,Торг!$H:$H,0))),"")</f>
        <v/>
      </c>
    </row>
    <row r="2806" spans="1:8" ht="15.75" x14ac:dyDescent="0.25">
      <c r="A2806" s="87"/>
      <c r="B2806" s="88"/>
      <c r="C2806" s="88" t="s">
        <v>1492</v>
      </c>
      <c r="D2806" s="88"/>
      <c r="E2806" s="89"/>
      <c r="F2806" s="67" t="str">
        <f>IFERROR(IFERROR(INDEX(Кат!$A:$A,MATCH(Прайс!$B2806,Кат!$G:$G,0)),INDEX(Торг!$B:$B,MATCH(Прайс!$B2806,Торг!$H:$H,0))),"")</f>
        <v/>
      </c>
      <c r="G2806" s="67" t="str">
        <f>IFERROR(IFERROR(INDEX(Кат!$B:$B,MATCH(Прайс!$B2806,Кат!$G:$G,0)),INDEX(Торг!$C:$C,MATCH(Прайс!$B2806,Торг!$H:$H,0))),"")</f>
        <v/>
      </c>
      <c r="H2806" s="67" t="str">
        <f>IFERROR(IFERROR(INDEX(Кат!$I:$I,MATCH(Прайс!$B2806,Кат!$G:$G,0)),INDEX(Торг!$I:$I,MATCH(Прайс!$B2806,Торг!$H:$H,0))),"")</f>
        <v/>
      </c>
    </row>
    <row r="2807" spans="1:8" ht="15.75" x14ac:dyDescent="0.25">
      <c r="A2807" s="90"/>
      <c r="B2807" s="91"/>
      <c r="C2807" s="92" t="s">
        <v>1493</v>
      </c>
      <c r="D2807" s="91"/>
      <c r="E2807" s="93"/>
      <c r="F2807" s="67" t="str">
        <f>IFERROR(IFERROR(INDEX(Кат!$A:$A,MATCH(Прайс!$B2807,Кат!$G:$G,0)),INDEX(Торг!$B:$B,MATCH(Прайс!$B2807,Торг!$H:$H,0))),"")</f>
        <v/>
      </c>
      <c r="G2807" s="67" t="str">
        <f>IFERROR(IFERROR(INDEX(Кат!$B:$B,MATCH(Прайс!$B2807,Кат!$G:$G,0)),INDEX(Торг!$C:$C,MATCH(Прайс!$B2807,Торг!$H:$H,0))),"")</f>
        <v/>
      </c>
      <c r="H2807" s="67" t="str">
        <f>IFERROR(IFERROR(INDEX(Кат!$I:$I,MATCH(Прайс!$B2807,Кат!$G:$G,0)),INDEX(Торг!$I:$I,MATCH(Прайс!$B2807,Торг!$H:$H,0))),"")</f>
        <v/>
      </c>
    </row>
    <row r="2808" spans="1:8" x14ac:dyDescent="0.25">
      <c r="A2808" s="99" t="s">
        <v>4094</v>
      </c>
      <c r="B2808" s="108">
        <v>21001</v>
      </c>
      <c r="C2808" s="108" t="s">
        <v>1494</v>
      </c>
      <c r="D2808" s="101" t="s">
        <v>161</v>
      </c>
      <c r="E2808" s="102">
        <v>460</v>
      </c>
      <c r="F2808" s="67">
        <f>IFERROR(IFERROR(INDEX(Кат!$A:$A,MATCH(Прайс!$B2808,Кат!$G:$G,0)),INDEX(Торг!$B:$B,MATCH(Прайс!$B2808,Торг!$H:$H,0))),"")</f>
        <v>193986</v>
      </c>
      <c r="G2808" s="67">
        <f>IFERROR(IFERROR(INDEX(Кат!$B:$B,MATCH(Прайс!$B2808,Кат!$G:$G,0)),INDEX(Торг!$C:$C,MATCH(Прайс!$B2808,Торг!$H:$H,0))),"")</f>
        <v>9043</v>
      </c>
      <c r="H2808" s="67" t="str">
        <f>IFERROR(IFERROR(INDEX(Кат!$I:$I,MATCH(Прайс!$B2808,Кат!$G:$G,0)),INDEX(Торг!$I:$I,MATCH(Прайс!$B2808,Торг!$H:$H,0))),"")</f>
        <v>кристал авто</v>
      </c>
    </row>
    <row r="2809" spans="1:8" x14ac:dyDescent="0.25">
      <c r="A2809" s="99" t="s">
        <v>4095</v>
      </c>
      <c r="B2809" s="108">
        <v>21008</v>
      </c>
      <c r="C2809" s="108" t="s">
        <v>1495</v>
      </c>
      <c r="D2809" s="101" t="s">
        <v>161</v>
      </c>
      <c r="E2809" s="102">
        <v>590</v>
      </c>
      <c r="F2809" s="67">
        <f>IFERROR(IFERROR(INDEX(Кат!$A:$A,MATCH(Прайс!$B2809,Кат!$G:$G,0)),INDEX(Торг!$B:$B,MATCH(Прайс!$B2809,Торг!$H:$H,0))),"")</f>
        <v>193987</v>
      </c>
      <c r="G2809" s="67">
        <f>IFERROR(IFERROR(INDEX(Кат!$B:$B,MATCH(Прайс!$B2809,Кат!$G:$G,0)),INDEX(Торг!$C:$C,MATCH(Прайс!$B2809,Торг!$H:$H,0))),"")</f>
        <v>9046</v>
      </c>
      <c r="H2809" s="67" t="str">
        <f>IFERROR(IFERROR(INDEX(Кат!$I:$I,MATCH(Прайс!$B2809,Кат!$G:$G,0)),INDEX(Торг!$I:$I,MATCH(Прайс!$B2809,Торг!$H:$H,0))),"")</f>
        <v>кристал авто</v>
      </c>
    </row>
    <row r="2810" spans="1:8" x14ac:dyDescent="0.25">
      <c r="A2810" s="99" t="s">
        <v>4096</v>
      </c>
      <c r="B2810" s="108">
        <v>21002</v>
      </c>
      <c r="C2810" s="108" t="s">
        <v>1496</v>
      </c>
      <c r="D2810" s="101" t="s">
        <v>161</v>
      </c>
      <c r="E2810" s="102">
        <v>460</v>
      </c>
      <c r="F2810" s="67" t="str">
        <f>IFERROR(IFERROR(INDEX(Кат!$A:$A,MATCH(Прайс!$B2810,Кат!$G:$G,0)),INDEX(Торг!$B:$B,MATCH(Прайс!$B2810,Торг!$H:$H,0))),"")</f>
        <v/>
      </c>
      <c r="G2810" s="67" t="str">
        <f>IFERROR(IFERROR(INDEX(Кат!$B:$B,MATCH(Прайс!$B2810,Кат!$G:$G,0)),INDEX(Торг!$C:$C,MATCH(Прайс!$B2810,Торг!$H:$H,0))),"")</f>
        <v/>
      </c>
      <c r="H2810" s="67" t="str">
        <f>IFERROR(IFERROR(INDEX(Кат!$I:$I,MATCH(Прайс!$B2810,Кат!$G:$G,0)),INDEX(Торг!$I:$I,MATCH(Прайс!$B2810,Торг!$H:$H,0))),"")</f>
        <v/>
      </c>
    </row>
    <row r="2811" spans="1:8" x14ac:dyDescent="0.25">
      <c r="A2811" s="99" t="s">
        <v>4097</v>
      </c>
      <c r="B2811" s="108">
        <v>21009</v>
      </c>
      <c r="C2811" s="108" t="s">
        <v>1497</v>
      </c>
      <c r="D2811" s="101" t="s">
        <v>161</v>
      </c>
      <c r="E2811" s="102">
        <v>590</v>
      </c>
      <c r="F2811" s="67" t="str">
        <f>IFERROR(IFERROR(INDEX(Кат!$A:$A,MATCH(Прайс!$B2811,Кат!$G:$G,0)),INDEX(Торг!$B:$B,MATCH(Прайс!$B2811,Торг!$H:$H,0))),"")</f>
        <v/>
      </c>
      <c r="G2811" s="67" t="str">
        <f>IFERROR(IFERROR(INDEX(Кат!$B:$B,MATCH(Прайс!$B2811,Кат!$G:$G,0)),INDEX(Торг!$C:$C,MATCH(Прайс!$B2811,Торг!$H:$H,0))),"")</f>
        <v/>
      </c>
      <c r="H2811" s="67" t="str">
        <f>IFERROR(IFERROR(INDEX(Кат!$I:$I,MATCH(Прайс!$B2811,Кат!$G:$G,0)),INDEX(Торг!$I:$I,MATCH(Прайс!$B2811,Торг!$H:$H,0))),"")</f>
        <v/>
      </c>
    </row>
    <row r="2812" spans="1:8" x14ac:dyDescent="0.25">
      <c r="A2812" s="99" t="s">
        <v>4098</v>
      </c>
      <c r="B2812" s="108">
        <v>21003</v>
      </c>
      <c r="C2812" s="108" t="s">
        <v>1498</v>
      </c>
      <c r="D2812" s="101" t="s">
        <v>161</v>
      </c>
      <c r="E2812" s="102">
        <v>460</v>
      </c>
      <c r="F2812" s="67" t="str">
        <f>IFERROR(IFERROR(INDEX(Кат!$A:$A,MATCH(Прайс!$B2812,Кат!$G:$G,0)),INDEX(Торг!$B:$B,MATCH(Прайс!$B2812,Торг!$H:$H,0))),"")</f>
        <v/>
      </c>
      <c r="G2812" s="67" t="str">
        <f>IFERROR(IFERROR(INDEX(Кат!$B:$B,MATCH(Прайс!$B2812,Кат!$G:$G,0)),INDEX(Торг!$C:$C,MATCH(Прайс!$B2812,Торг!$H:$H,0))),"")</f>
        <v/>
      </c>
      <c r="H2812" s="67" t="str">
        <f>IFERROR(IFERROR(INDEX(Кат!$I:$I,MATCH(Прайс!$B2812,Кат!$G:$G,0)),INDEX(Торг!$I:$I,MATCH(Прайс!$B2812,Торг!$H:$H,0))),"")</f>
        <v/>
      </c>
    </row>
    <row r="2813" spans="1:8" x14ac:dyDescent="0.25">
      <c r="A2813" s="99" t="s">
        <v>4099</v>
      </c>
      <c r="B2813" s="108">
        <v>21010</v>
      </c>
      <c r="C2813" s="108" t="s">
        <v>1499</v>
      </c>
      <c r="D2813" s="101" t="s">
        <v>161</v>
      </c>
      <c r="E2813" s="102">
        <v>590</v>
      </c>
      <c r="F2813" s="67" t="str">
        <f>IFERROR(IFERROR(INDEX(Кат!$A:$A,MATCH(Прайс!$B2813,Кат!$G:$G,0)),INDEX(Торг!$B:$B,MATCH(Прайс!$B2813,Торг!$H:$H,0))),"")</f>
        <v/>
      </c>
      <c r="G2813" s="67" t="str">
        <f>IFERROR(IFERROR(INDEX(Кат!$B:$B,MATCH(Прайс!$B2813,Кат!$G:$G,0)),INDEX(Торг!$C:$C,MATCH(Прайс!$B2813,Торг!$H:$H,0))),"")</f>
        <v/>
      </c>
      <c r="H2813" s="67" t="str">
        <f>IFERROR(IFERROR(INDEX(Кат!$I:$I,MATCH(Прайс!$B2813,Кат!$G:$G,0)),INDEX(Торг!$I:$I,MATCH(Прайс!$B2813,Торг!$H:$H,0))),"")</f>
        <v/>
      </c>
    </row>
    <row r="2814" spans="1:8" x14ac:dyDescent="0.25">
      <c r="A2814" s="99" t="s">
        <v>4100</v>
      </c>
      <c r="B2814" s="108">
        <v>21004</v>
      </c>
      <c r="C2814" s="108" t="s">
        <v>1500</v>
      </c>
      <c r="D2814" s="101" t="s">
        <v>161</v>
      </c>
      <c r="E2814" s="102">
        <v>460</v>
      </c>
      <c r="F2814" s="67" t="str">
        <f>IFERROR(IFERROR(INDEX(Кат!$A:$A,MATCH(Прайс!$B2814,Кат!$G:$G,0)),INDEX(Торг!$B:$B,MATCH(Прайс!$B2814,Торг!$H:$H,0))),"")</f>
        <v/>
      </c>
      <c r="G2814" s="67" t="str">
        <f>IFERROR(IFERROR(INDEX(Кат!$B:$B,MATCH(Прайс!$B2814,Кат!$G:$G,0)),INDEX(Торг!$C:$C,MATCH(Прайс!$B2814,Торг!$H:$H,0))),"")</f>
        <v/>
      </c>
      <c r="H2814" s="67" t="str">
        <f>IFERROR(IFERROR(INDEX(Кат!$I:$I,MATCH(Прайс!$B2814,Кат!$G:$G,0)),INDEX(Торг!$I:$I,MATCH(Прайс!$B2814,Торг!$H:$H,0))),"")</f>
        <v/>
      </c>
    </row>
    <row r="2815" spans="1:8" x14ac:dyDescent="0.25">
      <c r="A2815" s="99" t="s">
        <v>4101</v>
      </c>
      <c r="B2815" s="108">
        <v>21011</v>
      </c>
      <c r="C2815" s="108" t="s">
        <v>1501</v>
      </c>
      <c r="D2815" s="101" t="s">
        <v>161</v>
      </c>
      <c r="E2815" s="102">
        <v>590</v>
      </c>
      <c r="F2815" s="67" t="str">
        <f>IFERROR(IFERROR(INDEX(Кат!$A:$A,MATCH(Прайс!$B2815,Кат!$G:$G,0)),INDEX(Торг!$B:$B,MATCH(Прайс!$B2815,Торг!$H:$H,0))),"")</f>
        <v/>
      </c>
      <c r="G2815" s="67" t="str">
        <f>IFERROR(IFERROR(INDEX(Кат!$B:$B,MATCH(Прайс!$B2815,Кат!$G:$G,0)),INDEX(Торг!$C:$C,MATCH(Прайс!$B2815,Торг!$H:$H,0))),"")</f>
        <v/>
      </c>
      <c r="H2815" s="67" t="str">
        <f>IFERROR(IFERROR(INDEX(Кат!$I:$I,MATCH(Прайс!$B2815,Кат!$G:$G,0)),INDEX(Торг!$I:$I,MATCH(Прайс!$B2815,Торг!$H:$H,0))),"")</f>
        <v/>
      </c>
    </row>
    <row r="2816" spans="1:8" x14ac:dyDescent="0.25">
      <c r="A2816" s="99" t="s">
        <v>4102</v>
      </c>
      <c r="B2816" s="108">
        <v>21005</v>
      </c>
      <c r="C2816" s="108" t="s">
        <v>1502</v>
      </c>
      <c r="D2816" s="101" t="s">
        <v>161</v>
      </c>
      <c r="E2816" s="102">
        <v>460</v>
      </c>
      <c r="F2816" s="67" t="str">
        <f>IFERROR(IFERROR(INDEX(Кат!$A:$A,MATCH(Прайс!$B2816,Кат!$G:$G,0)),INDEX(Торг!$B:$B,MATCH(Прайс!$B2816,Торг!$H:$H,0))),"")</f>
        <v/>
      </c>
      <c r="G2816" s="67" t="str">
        <f>IFERROR(IFERROR(INDEX(Кат!$B:$B,MATCH(Прайс!$B2816,Кат!$G:$G,0)),INDEX(Торг!$C:$C,MATCH(Прайс!$B2816,Торг!$H:$H,0))),"")</f>
        <v/>
      </c>
      <c r="H2816" s="67" t="str">
        <f>IFERROR(IFERROR(INDEX(Кат!$I:$I,MATCH(Прайс!$B2816,Кат!$G:$G,0)),INDEX(Торг!$I:$I,MATCH(Прайс!$B2816,Торг!$H:$H,0))),"")</f>
        <v/>
      </c>
    </row>
    <row r="2817" spans="1:8" x14ac:dyDescent="0.25">
      <c r="A2817" s="99" t="s">
        <v>5976</v>
      </c>
      <c r="B2817" s="108">
        <v>21012</v>
      </c>
      <c r="C2817" s="108" t="s">
        <v>5977</v>
      </c>
      <c r="D2817" s="101" t="s">
        <v>161</v>
      </c>
      <c r="E2817" s="102">
        <v>590</v>
      </c>
      <c r="F2817" s="67" t="str">
        <f>IFERROR(IFERROR(INDEX(Кат!$A:$A,MATCH(Прайс!$B2817,Кат!$G:$G,0)),INDEX(Торг!$B:$B,MATCH(Прайс!$B2817,Торг!$H:$H,0))),"")</f>
        <v/>
      </c>
      <c r="G2817" s="67" t="str">
        <f>IFERROR(IFERROR(INDEX(Кат!$B:$B,MATCH(Прайс!$B2817,Кат!$G:$G,0)),INDEX(Торг!$C:$C,MATCH(Прайс!$B2817,Торг!$H:$H,0))),"")</f>
        <v/>
      </c>
      <c r="H2817" s="67" t="str">
        <f>IFERROR(IFERROR(INDEX(Кат!$I:$I,MATCH(Прайс!$B2817,Кат!$G:$G,0)),INDEX(Торг!$I:$I,MATCH(Прайс!$B2817,Торг!$H:$H,0))),"")</f>
        <v/>
      </c>
    </row>
    <row r="2818" spans="1:8" x14ac:dyDescent="0.25">
      <c r="A2818" s="99" t="s">
        <v>4103</v>
      </c>
      <c r="B2818" s="108">
        <v>21006</v>
      </c>
      <c r="C2818" s="108" t="s">
        <v>1503</v>
      </c>
      <c r="D2818" s="101" t="s">
        <v>161</v>
      </c>
      <c r="E2818" s="102">
        <v>460</v>
      </c>
      <c r="F2818" s="67" t="str">
        <f>IFERROR(IFERROR(INDEX(Кат!$A:$A,MATCH(Прайс!$B2818,Кат!$G:$G,0)),INDEX(Торг!$B:$B,MATCH(Прайс!$B2818,Торг!$H:$H,0))),"")</f>
        <v/>
      </c>
      <c r="G2818" s="67" t="str">
        <f>IFERROR(IFERROR(INDEX(Кат!$B:$B,MATCH(Прайс!$B2818,Кат!$G:$G,0)),INDEX(Торг!$C:$C,MATCH(Прайс!$B2818,Торг!$H:$H,0))),"")</f>
        <v/>
      </c>
      <c r="H2818" s="67" t="str">
        <f>IFERROR(IFERROR(INDEX(Кат!$I:$I,MATCH(Прайс!$B2818,Кат!$G:$G,0)),INDEX(Торг!$I:$I,MATCH(Прайс!$B2818,Торг!$H:$H,0))),"")</f>
        <v/>
      </c>
    </row>
    <row r="2819" spans="1:8" x14ac:dyDescent="0.25">
      <c r="A2819" s="99" t="s">
        <v>4104</v>
      </c>
      <c r="B2819" s="108">
        <v>21013</v>
      </c>
      <c r="C2819" s="108" t="s">
        <v>1504</v>
      </c>
      <c r="D2819" s="101" t="s">
        <v>161</v>
      </c>
      <c r="E2819" s="102">
        <v>590</v>
      </c>
      <c r="F2819" s="67" t="str">
        <f>IFERROR(IFERROR(INDEX(Кат!$A:$A,MATCH(Прайс!$B2819,Кат!$G:$G,0)),INDEX(Торг!$B:$B,MATCH(Прайс!$B2819,Торг!$H:$H,0))),"")</f>
        <v/>
      </c>
      <c r="G2819" s="67" t="str">
        <f>IFERROR(IFERROR(INDEX(Кат!$B:$B,MATCH(Прайс!$B2819,Кат!$G:$G,0)),INDEX(Торг!$C:$C,MATCH(Прайс!$B2819,Торг!$H:$H,0))),"")</f>
        <v/>
      </c>
      <c r="H2819" s="67" t="str">
        <f>IFERROR(IFERROR(INDEX(Кат!$I:$I,MATCH(Прайс!$B2819,Кат!$G:$G,0)),INDEX(Торг!$I:$I,MATCH(Прайс!$B2819,Торг!$H:$H,0))),"")</f>
        <v/>
      </c>
    </row>
    <row r="2820" spans="1:8" x14ac:dyDescent="0.25">
      <c r="A2820" s="99" t="s">
        <v>4105</v>
      </c>
      <c r="B2820" s="108">
        <v>21007</v>
      </c>
      <c r="C2820" s="108" t="s">
        <v>1505</v>
      </c>
      <c r="D2820" s="101" t="s">
        <v>161</v>
      </c>
      <c r="E2820" s="102">
        <v>460</v>
      </c>
      <c r="F2820" s="67" t="str">
        <f>IFERROR(IFERROR(INDEX(Кат!$A:$A,MATCH(Прайс!$B2820,Кат!$G:$G,0)),INDEX(Торг!$B:$B,MATCH(Прайс!$B2820,Торг!$H:$H,0))),"")</f>
        <v/>
      </c>
      <c r="G2820" s="67" t="str">
        <f>IFERROR(IFERROR(INDEX(Кат!$B:$B,MATCH(Прайс!$B2820,Кат!$G:$G,0)),INDEX(Торг!$C:$C,MATCH(Прайс!$B2820,Торг!$H:$H,0))),"")</f>
        <v/>
      </c>
      <c r="H2820" s="67" t="str">
        <f>IFERROR(IFERROR(INDEX(Кат!$I:$I,MATCH(Прайс!$B2820,Кат!$G:$G,0)),INDEX(Торг!$I:$I,MATCH(Прайс!$B2820,Торг!$H:$H,0))),"")</f>
        <v/>
      </c>
    </row>
    <row r="2821" spans="1:8" x14ac:dyDescent="0.25">
      <c r="A2821" s="99" t="s">
        <v>4106</v>
      </c>
      <c r="B2821" s="108">
        <v>21014</v>
      </c>
      <c r="C2821" s="108" t="s">
        <v>1506</v>
      </c>
      <c r="D2821" s="101" t="s">
        <v>161</v>
      </c>
      <c r="E2821" s="102">
        <v>590</v>
      </c>
      <c r="F2821" s="67" t="str">
        <f>IFERROR(IFERROR(INDEX(Кат!$A:$A,MATCH(Прайс!$B2821,Кат!$G:$G,0)),INDEX(Торг!$B:$B,MATCH(Прайс!$B2821,Торг!$H:$H,0))),"")</f>
        <v/>
      </c>
      <c r="G2821" s="67" t="str">
        <f>IFERROR(IFERROR(INDEX(Кат!$B:$B,MATCH(Прайс!$B2821,Кат!$G:$G,0)),INDEX(Торг!$C:$C,MATCH(Прайс!$B2821,Торг!$H:$H,0))),"")</f>
        <v/>
      </c>
      <c r="H2821" s="67" t="str">
        <f>IFERROR(IFERROR(INDEX(Кат!$I:$I,MATCH(Прайс!$B2821,Кат!$G:$G,0)),INDEX(Торг!$I:$I,MATCH(Прайс!$B2821,Торг!$H:$H,0))),"")</f>
        <v/>
      </c>
    </row>
    <row r="2822" spans="1:8" x14ac:dyDescent="0.25">
      <c r="A2822" s="99" t="s">
        <v>5978</v>
      </c>
      <c r="B2822" s="108">
        <v>21046</v>
      </c>
      <c r="C2822" s="108" t="s">
        <v>5979</v>
      </c>
      <c r="D2822" s="101" t="s">
        <v>161</v>
      </c>
      <c r="E2822" s="102">
        <v>460</v>
      </c>
      <c r="F2822" s="67" t="str">
        <f>IFERROR(IFERROR(INDEX(Кат!$A:$A,MATCH(Прайс!$B2822,Кат!$G:$G,0)),INDEX(Торг!$B:$B,MATCH(Прайс!$B2822,Торг!$H:$H,0))),"")</f>
        <v/>
      </c>
      <c r="G2822" s="67" t="str">
        <f>IFERROR(IFERROR(INDEX(Кат!$B:$B,MATCH(Прайс!$B2822,Кат!$G:$G,0)),INDEX(Торг!$C:$C,MATCH(Прайс!$B2822,Торг!$H:$H,0))),"")</f>
        <v/>
      </c>
      <c r="H2822" s="67" t="str">
        <f>IFERROR(IFERROR(INDEX(Кат!$I:$I,MATCH(Прайс!$B2822,Кат!$G:$G,0)),INDEX(Торг!$I:$I,MATCH(Прайс!$B2822,Торг!$H:$H,0))),"")</f>
        <v/>
      </c>
    </row>
    <row r="2823" spans="1:8" x14ac:dyDescent="0.25">
      <c r="A2823" s="99" t="s">
        <v>5980</v>
      </c>
      <c r="B2823" s="108">
        <v>21047</v>
      </c>
      <c r="C2823" s="108" t="s">
        <v>5981</v>
      </c>
      <c r="D2823" s="101" t="s">
        <v>161</v>
      </c>
      <c r="E2823" s="102">
        <v>590</v>
      </c>
      <c r="F2823" s="67" t="str">
        <f>IFERROR(IFERROR(INDEX(Кат!$A:$A,MATCH(Прайс!$B2823,Кат!$G:$G,0)),INDEX(Торг!$B:$B,MATCH(Прайс!$B2823,Торг!$H:$H,0))),"")</f>
        <v/>
      </c>
      <c r="G2823" s="67" t="str">
        <f>IFERROR(IFERROR(INDEX(Кат!$B:$B,MATCH(Прайс!$B2823,Кат!$G:$G,0)),INDEX(Торг!$C:$C,MATCH(Прайс!$B2823,Торг!$H:$H,0))),"")</f>
        <v/>
      </c>
      <c r="H2823" s="67" t="str">
        <f>IFERROR(IFERROR(INDEX(Кат!$I:$I,MATCH(Прайс!$B2823,Кат!$G:$G,0)),INDEX(Торг!$I:$I,MATCH(Прайс!$B2823,Торг!$H:$H,0))),"")</f>
        <v/>
      </c>
    </row>
    <row r="2824" spans="1:8" x14ac:dyDescent="0.25">
      <c r="A2824" s="99" t="s">
        <v>7768</v>
      </c>
      <c r="B2824" s="108">
        <v>21057</v>
      </c>
      <c r="C2824" s="108" t="s">
        <v>7769</v>
      </c>
      <c r="D2824" s="101" t="s">
        <v>161</v>
      </c>
      <c r="E2824" s="102">
        <v>460</v>
      </c>
      <c r="F2824" s="67" t="str">
        <f>IFERROR(IFERROR(INDEX(Кат!$A:$A,MATCH(Прайс!$B2824,Кат!$G:$G,0)),INDEX(Торг!$B:$B,MATCH(Прайс!$B2824,Торг!$H:$H,0))),"")</f>
        <v/>
      </c>
      <c r="G2824" s="67" t="str">
        <f>IFERROR(IFERROR(INDEX(Кат!$B:$B,MATCH(Прайс!$B2824,Кат!$G:$G,0)),INDEX(Торг!$C:$C,MATCH(Прайс!$B2824,Торг!$H:$H,0))),"")</f>
        <v/>
      </c>
      <c r="H2824" s="67" t="str">
        <f>IFERROR(IFERROR(INDEX(Кат!$I:$I,MATCH(Прайс!$B2824,Кат!$G:$G,0)),INDEX(Торг!$I:$I,MATCH(Прайс!$B2824,Торг!$H:$H,0))),"")</f>
        <v/>
      </c>
    </row>
    <row r="2825" spans="1:8" x14ac:dyDescent="0.25">
      <c r="A2825" s="99" t="s">
        <v>7770</v>
      </c>
      <c r="B2825" s="108">
        <v>21060</v>
      </c>
      <c r="C2825" s="108" t="s">
        <v>7771</v>
      </c>
      <c r="D2825" s="101" t="s">
        <v>161</v>
      </c>
      <c r="E2825" s="102">
        <v>590</v>
      </c>
      <c r="F2825" s="67" t="str">
        <f>IFERROR(IFERROR(INDEX(Кат!$A:$A,MATCH(Прайс!$B2825,Кат!$G:$G,0)),INDEX(Торг!$B:$B,MATCH(Прайс!$B2825,Торг!$H:$H,0))),"")</f>
        <v/>
      </c>
      <c r="G2825" s="67" t="str">
        <f>IFERROR(IFERROR(INDEX(Кат!$B:$B,MATCH(Прайс!$B2825,Кат!$G:$G,0)),INDEX(Торг!$C:$C,MATCH(Прайс!$B2825,Торг!$H:$H,0))),"")</f>
        <v/>
      </c>
      <c r="H2825" s="67" t="str">
        <f>IFERROR(IFERROR(INDEX(Кат!$I:$I,MATCH(Прайс!$B2825,Кат!$G:$G,0)),INDEX(Торг!$I:$I,MATCH(Прайс!$B2825,Торг!$H:$H,0))),"")</f>
        <v/>
      </c>
    </row>
    <row r="2826" spans="1:8" x14ac:dyDescent="0.25">
      <c r="A2826" s="94" t="s">
        <v>4107</v>
      </c>
      <c r="B2826" s="98">
        <v>21015</v>
      </c>
      <c r="C2826" s="98" t="s">
        <v>2138</v>
      </c>
      <c r="D2826" s="96" t="s">
        <v>1507</v>
      </c>
      <c r="E2826" s="97">
        <v>120</v>
      </c>
      <c r="F2826" s="67" t="str">
        <f>IFERROR(IFERROR(INDEX(Кат!$A:$A,MATCH(Прайс!$B2826,Кат!$G:$G,0)),INDEX(Торг!$B:$B,MATCH(Прайс!$B2826,Торг!$H:$H,0))),"")</f>
        <v/>
      </c>
      <c r="G2826" s="67" t="str">
        <f>IFERROR(IFERROR(INDEX(Кат!$B:$B,MATCH(Прайс!$B2826,Кат!$G:$G,0)),INDEX(Торг!$C:$C,MATCH(Прайс!$B2826,Торг!$H:$H,0))),"")</f>
        <v/>
      </c>
      <c r="H2826" s="67" t="str">
        <f>IFERROR(IFERROR(INDEX(Кат!$I:$I,MATCH(Прайс!$B2826,Кат!$G:$G,0)),INDEX(Торг!$I:$I,MATCH(Прайс!$B2826,Торг!$H:$H,0))),"")</f>
        <v/>
      </c>
    </row>
    <row r="2827" spans="1:8" x14ac:dyDescent="0.25">
      <c r="A2827" s="94" t="s">
        <v>4108</v>
      </c>
      <c r="B2827" s="98">
        <v>21020</v>
      </c>
      <c r="C2827" s="98" t="s">
        <v>1508</v>
      </c>
      <c r="D2827" s="96" t="s">
        <v>1509</v>
      </c>
      <c r="E2827" s="97">
        <v>180</v>
      </c>
      <c r="F2827" s="67" t="str">
        <f>IFERROR(IFERROR(INDEX(Кат!$A:$A,MATCH(Прайс!$B2827,Кат!$G:$G,0)),INDEX(Торг!$B:$B,MATCH(Прайс!$B2827,Торг!$H:$H,0))),"")</f>
        <v/>
      </c>
      <c r="G2827" s="67" t="str">
        <f>IFERROR(IFERROR(INDEX(Кат!$B:$B,MATCH(Прайс!$B2827,Кат!$G:$G,0)),INDEX(Торг!$C:$C,MATCH(Прайс!$B2827,Торг!$H:$H,0))),"")</f>
        <v/>
      </c>
      <c r="H2827" s="67" t="str">
        <f>IFERROR(IFERROR(INDEX(Кат!$I:$I,MATCH(Прайс!$B2827,Кат!$G:$G,0)),INDEX(Торг!$I:$I,MATCH(Прайс!$B2827,Торг!$H:$H,0))),"")</f>
        <v/>
      </c>
    </row>
    <row r="2828" spans="1:8" x14ac:dyDescent="0.25">
      <c r="A2828" s="94" t="s">
        <v>4109</v>
      </c>
      <c r="B2828" s="98">
        <v>21016</v>
      </c>
      <c r="C2828" s="98" t="s">
        <v>1510</v>
      </c>
      <c r="D2828" s="96" t="s">
        <v>1507</v>
      </c>
      <c r="E2828" s="97">
        <v>120</v>
      </c>
      <c r="F2828" s="67" t="str">
        <f>IFERROR(IFERROR(INDEX(Кат!$A:$A,MATCH(Прайс!$B2828,Кат!$G:$G,0)),INDEX(Торг!$B:$B,MATCH(Прайс!$B2828,Торг!$H:$H,0))),"")</f>
        <v/>
      </c>
      <c r="G2828" s="67" t="str">
        <f>IFERROR(IFERROR(INDEX(Кат!$B:$B,MATCH(Прайс!$B2828,Кат!$G:$G,0)),INDEX(Торг!$C:$C,MATCH(Прайс!$B2828,Торг!$H:$H,0))),"")</f>
        <v/>
      </c>
      <c r="H2828" s="67" t="str">
        <f>IFERROR(IFERROR(INDEX(Кат!$I:$I,MATCH(Прайс!$B2828,Кат!$G:$G,0)),INDEX(Торг!$I:$I,MATCH(Прайс!$B2828,Торг!$H:$H,0))),"")</f>
        <v/>
      </c>
    </row>
    <row r="2829" spans="1:8" x14ac:dyDescent="0.25">
      <c r="A2829" s="94" t="s">
        <v>4110</v>
      </c>
      <c r="B2829" s="98">
        <v>21021</v>
      </c>
      <c r="C2829" s="98" t="s">
        <v>1511</v>
      </c>
      <c r="D2829" s="96" t="s">
        <v>1509</v>
      </c>
      <c r="E2829" s="97">
        <v>180</v>
      </c>
      <c r="F2829" s="67" t="str">
        <f>IFERROR(IFERROR(INDEX(Кат!$A:$A,MATCH(Прайс!$B2829,Кат!$G:$G,0)),INDEX(Торг!$B:$B,MATCH(Прайс!$B2829,Торг!$H:$H,0))),"")</f>
        <v/>
      </c>
      <c r="G2829" s="67" t="str">
        <f>IFERROR(IFERROR(INDEX(Кат!$B:$B,MATCH(Прайс!$B2829,Кат!$G:$G,0)),INDEX(Торг!$C:$C,MATCH(Прайс!$B2829,Торг!$H:$H,0))),"")</f>
        <v/>
      </c>
      <c r="H2829" s="67" t="str">
        <f>IFERROR(IFERROR(INDEX(Кат!$I:$I,MATCH(Прайс!$B2829,Кат!$G:$G,0)),INDEX(Торг!$I:$I,MATCH(Прайс!$B2829,Торг!$H:$H,0))),"")</f>
        <v/>
      </c>
    </row>
    <row r="2830" spans="1:8" x14ac:dyDescent="0.25">
      <c r="A2830" s="94" t="s">
        <v>7772</v>
      </c>
      <c r="B2830" s="98">
        <v>21017</v>
      </c>
      <c r="C2830" s="98" t="s">
        <v>7773</v>
      </c>
      <c r="D2830" s="96" t="s">
        <v>1507</v>
      </c>
      <c r="E2830" s="97">
        <v>120</v>
      </c>
      <c r="F2830" s="67" t="str">
        <f>IFERROR(IFERROR(INDEX(Кат!$A:$A,MATCH(Прайс!$B2830,Кат!$G:$G,0)),INDEX(Торг!$B:$B,MATCH(Прайс!$B2830,Торг!$H:$H,0))),"")</f>
        <v/>
      </c>
      <c r="G2830" s="67" t="str">
        <f>IFERROR(IFERROR(INDEX(Кат!$B:$B,MATCH(Прайс!$B2830,Кат!$G:$G,0)),INDEX(Торг!$C:$C,MATCH(Прайс!$B2830,Торг!$H:$H,0))),"")</f>
        <v/>
      </c>
      <c r="H2830" s="67" t="str">
        <f>IFERROR(IFERROR(INDEX(Кат!$I:$I,MATCH(Прайс!$B2830,Кат!$G:$G,0)),INDEX(Торг!$I:$I,MATCH(Прайс!$B2830,Торг!$H:$H,0))),"")</f>
        <v/>
      </c>
    </row>
    <row r="2831" spans="1:8" x14ac:dyDescent="0.25">
      <c r="A2831" s="94" t="s">
        <v>7774</v>
      </c>
      <c r="B2831" s="98">
        <v>21022</v>
      </c>
      <c r="C2831" s="98" t="s">
        <v>7775</v>
      </c>
      <c r="D2831" s="96" t="s">
        <v>1509</v>
      </c>
      <c r="E2831" s="97">
        <v>180</v>
      </c>
      <c r="F2831" s="67" t="str">
        <f>IFERROR(IFERROR(INDEX(Кат!$A:$A,MATCH(Прайс!$B2831,Кат!$G:$G,0)),INDEX(Торг!$B:$B,MATCH(Прайс!$B2831,Торг!$H:$H,0))),"")</f>
        <v/>
      </c>
      <c r="G2831" s="67" t="str">
        <f>IFERROR(IFERROR(INDEX(Кат!$B:$B,MATCH(Прайс!$B2831,Кат!$G:$G,0)),INDEX(Торг!$C:$C,MATCH(Прайс!$B2831,Торг!$H:$H,0))),"")</f>
        <v/>
      </c>
      <c r="H2831" s="67" t="str">
        <f>IFERROR(IFERROR(INDEX(Кат!$I:$I,MATCH(Прайс!$B2831,Кат!$G:$G,0)),INDEX(Торг!$I:$I,MATCH(Прайс!$B2831,Торг!$H:$H,0))),"")</f>
        <v/>
      </c>
    </row>
    <row r="2832" spans="1:8" x14ac:dyDescent="0.25">
      <c r="A2832" s="94" t="s">
        <v>4111</v>
      </c>
      <c r="B2832" s="98">
        <v>21018</v>
      </c>
      <c r="C2832" s="98" t="s">
        <v>2139</v>
      </c>
      <c r="D2832" s="96" t="s">
        <v>1507</v>
      </c>
      <c r="E2832" s="97">
        <v>120</v>
      </c>
      <c r="F2832" s="67" t="str">
        <f>IFERROR(IFERROR(INDEX(Кат!$A:$A,MATCH(Прайс!$B2832,Кат!$G:$G,0)),INDEX(Торг!$B:$B,MATCH(Прайс!$B2832,Торг!$H:$H,0))),"")</f>
        <v/>
      </c>
      <c r="G2832" s="67" t="str">
        <f>IFERROR(IFERROR(INDEX(Кат!$B:$B,MATCH(Прайс!$B2832,Кат!$G:$G,0)),INDEX(Торг!$C:$C,MATCH(Прайс!$B2832,Торг!$H:$H,0))),"")</f>
        <v/>
      </c>
      <c r="H2832" s="67" t="str">
        <f>IFERROR(IFERROR(INDEX(Кат!$I:$I,MATCH(Прайс!$B2832,Кат!$G:$G,0)),INDEX(Торг!$I:$I,MATCH(Прайс!$B2832,Торг!$H:$H,0))),"")</f>
        <v/>
      </c>
    </row>
    <row r="2833" spans="1:8" x14ac:dyDescent="0.25">
      <c r="A2833" s="94" t="s">
        <v>4112</v>
      </c>
      <c r="B2833" s="98">
        <v>21023</v>
      </c>
      <c r="C2833" s="98" t="s">
        <v>1512</v>
      </c>
      <c r="D2833" s="96" t="s">
        <v>1509</v>
      </c>
      <c r="E2833" s="97">
        <v>180</v>
      </c>
      <c r="F2833" s="67" t="str">
        <f>IFERROR(IFERROR(INDEX(Кат!$A:$A,MATCH(Прайс!$B2833,Кат!$G:$G,0)),INDEX(Торг!$B:$B,MATCH(Прайс!$B2833,Торг!$H:$H,0))),"")</f>
        <v/>
      </c>
      <c r="G2833" s="67" t="str">
        <f>IFERROR(IFERROR(INDEX(Кат!$B:$B,MATCH(Прайс!$B2833,Кат!$G:$G,0)),INDEX(Торг!$C:$C,MATCH(Прайс!$B2833,Торг!$H:$H,0))),"")</f>
        <v/>
      </c>
      <c r="H2833" s="67" t="str">
        <f>IFERROR(IFERROR(INDEX(Кат!$I:$I,MATCH(Прайс!$B2833,Кат!$G:$G,0)),INDEX(Торг!$I:$I,MATCH(Прайс!$B2833,Торг!$H:$H,0))),"")</f>
        <v/>
      </c>
    </row>
    <row r="2834" spans="1:8" x14ac:dyDescent="0.25">
      <c r="A2834" s="94" t="s">
        <v>4113</v>
      </c>
      <c r="B2834" s="98">
        <v>21051</v>
      </c>
      <c r="C2834" s="98" t="s">
        <v>1513</v>
      </c>
      <c r="D2834" s="96" t="s">
        <v>1507</v>
      </c>
      <c r="E2834" s="97">
        <v>120</v>
      </c>
      <c r="F2834" s="67" t="str">
        <f>IFERROR(IFERROR(INDEX(Кат!$A:$A,MATCH(Прайс!$B2834,Кат!$G:$G,0)),INDEX(Торг!$B:$B,MATCH(Прайс!$B2834,Торг!$H:$H,0))),"")</f>
        <v/>
      </c>
      <c r="G2834" s="67" t="str">
        <f>IFERROR(IFERROR(INDEX(Кат!$B:$B,MATCH(Прайс!$B2834,Кат!$G:$G,0)),INDEX(Торг!$C:$C,MATCH(Прайс!$B2834,Торг!$H:$H,0))),"")</f>
        <v/>
      </c>
      <c r="H2834" s="67" t="str">
        <f>IFERROR(IFERROR(INDEX(Кат!$I:$I,MATCH(Прайс!$B2834,Кат!$G:$G,0)),INDEX(Торг!$I:$I,MATCH(Прайс!$B2834,Торг!$H:$H,0))),"")</f>
        <v/>
      </c>
    </row>
    <row r="2835" spans="1:8" x14ac:dyDescent="0.25">
      <c r="A2835" s="94" t="s">
        <v>4114</v>
      </c>
      <c r="B2835" s="98">
        <v>21048</v>
      </c>
      <c r="C2835" s="98" t="s">
        <v>4115</v>
      </c>
      <c r="D2835" s="96" t="s">
        <v>1509</v>
      </c>
      <c r="E2835" s="97">
        <v>180</v>
      </c>
      <c r="F2835" s="67" t="str">
        <f>IFERROR(IFERROR(INDEX(Кат!$A:$A,MATCH(Прайс!$B2835,Кат!$G:$G,0)),INDEX(Торг!$B:$B,MATCH(Прайс!$B2835,Торг!$H:$H,0))),"")</f>
        <v/>
      </c>
      <c r="G2835" s="67" t="str">
        <f>IFERROR(IFERROR(INDEX(Кат!$B:$B,MATCH(Прайс!$B2835,Кат!$G:$G,0)),INDEX(Торг!$C:$C,MATCH(Прайс!$B2835,Торг!$H:$H,0))),"")</f>
        <v/>
      </c>
      <c r="H2835" s="67" t="str">
        <f>IFERROR(IFERROR(INDEX(Кат!$I:$I,MATCH(Прайс!$B2835,Кат!$G:$G,0)),INDEX(Торг!$I:$I,MATCH(Прайс!$B2835,Торг!$H:$H,0))),"")</f>
        <v/>
      </c>
    </row>
    <row r="2836" spans="1:8" x14ac:dyDescent="0.25">
      <c r="A2836" s="94" t="s">
        <v>4116</v>
      </c>
      <c r="B2836" s="98">
        <v>21019</v>
      </c>
      <c r="C2836" s="98" t="s">
        <v>1514</v>
      </c>
      <c r="D2836" s="96" t="s">
        <v>1507</v>
      </c>
      <c r="E2836" s="97">
        <v>140</v>
      </c>
      <c r="F2836" s="67" t="str">
        <f>IFERROR(IFERROR(INDEX(Кат!$A:$A,MATCH(Прайс!$B2836,Кат!$G:$G,0)),INDEX(Торг!$B:$B,MATCH(Прайс!$B2836,Торг!$H:$H,0))),"")</f>
        <v/>
      </c>
      <c r="G2836" s="67" t="str">
        <f>IFERROR(IFERROR(INDEX(Кат!$B:$B,MATCH(Прайс!$B2836,Кат!$G:$G,0)),INDEX(Торг!$C:$C,MATCH(Прайс!$B2836,Торг!$H:$H,0))),"")</f>
        <v/>
      </c>
      <c r="H2836" s="67" t="str">
        <f>IFERROR(IFERROR(INDEX(Кат!$I:$I,MATCH(Прайс!$B2836,Кат!$G:$G,0)),INDEX(Торг!$I:$I,MATCH(Прайс!$B2836,Торг!$H:$H,0))),"")</f>
        <v/>
      </c>
    </row>
    <row r="2837" spans="1:8" x14ac:dyDescent="0.25">
      <c r="A2837" s="94" t="s">
        <v>4117</v>
      </c>
      <c r="B2837" s="98">
        <v>21024</v>
      </c>
      <c r="C2837" s="98" t="s">
        <v>1515</v>
      </c>
      <c r="D2837" s="96" t="s">
        <v>1509</v>
      </c>
      <c r="E2837" s="97">
        <v>200</v>
      </c>
      <c r="F2837" s="67" t="str">
        <f>IFERROR(IFERROR(INDEX(Кат!$A:$A,MATCH(Прайс!$B2837,Кат!$G:$G,0)),INDEX(Торг!$B:$B,MATCH(Прайс!$B2837,Торг!$H:$H,0))),"")</f>
        <v/>
      </c>
      <c r="G2837" s="67" t="str">
        <f>IFERROR(IFERROR(INDEX(Кат!$B:$B,MATCH(Прайс!$B2837,Кат!$G:$G,0)),INDEX(Торг!$C:$C,MATCH(Прайс!$B2837,Торг!$H:$H,0))),"")</f>
        <v/>
      </c>
      <c r="H2837" s="67" t="str">
        <f>IFERROR(IFERROR(INDEX(Кат!$I:$I,MATCH(Прайс!$B2837,Кат!$G:$G,0)),INDEX(Торг!$I:$I,MATCH(Прайс!$B2837,Торг!$H:$H,0))),"")</f>
        <v/>
      </c>
    </row>
    <row r="2838" spans="1:8" x14ac:dyDescent="0.25">
      <c r="A2838" s="94" t="s">
        <v>5464</v>
      </c>
      <c r="B2838" s="98">
        <v>21026</v>
      </c>
      <c r="C2838" s="98" t="s">
        <v>5465</v>
      </c>
      <c r="D2838" s="96" t="s">
        <v>161</v>
      </c>
      <c r="E2838" s="97">
        <v>450</v>
      </c>
      <c r="F2838" s="67" t="str">
        <f>IFERROR(IFERROR(INDEX(Кат!$A:$A,MATCH(Прайс!$B2838,Кат!$G:$G,0)),INDEX(Торг!$B:$B,MATCH(Прайс!$B2838,Торг!$H:$H,0))),"")</f>
        <v/>
      </c>
      <c r="G2838" s="67" t="str">
        <f>IFERROR(IFERROR(INDEX(Кат!$B:$B,MATCH(Прайс!$B2838,Кат!$G:$G,0)),INDEX(Торг!$C:$C,MATCH(Прайс!$B2838,Торг!$H:$H,0))),"")</f>
        <v/>
      </c>
      <c r="H2838" s="67" t="str">
        <f>IFERROR(IFERROR(INDEX(Кат!$I:$I,MATCH(Прайс!$B2838,Кат!$G:$G,0)),INDEX(Торг!$I:$I,MATCH(Прайс!$B2838,Торг!$H:$H,0))),"")</f>
        <v/>
      </c>
    </row>
    <row r="2839" spans="1:8" x14ac:dyDescent="0.25">
      <c r="A2839" s="94" t="s">
        <v>5982</v>
      </c>
      <c r="B2839" s="98">
        <v>21034</v>
      </c>
      <c r="C2839" s="98" t="s">
        <v>5983</v>
      </c>
      <c r="D2839" s="96" t="s">
        <v>161</v>
      </c>
      <c r="E2839" s="97">
        <v>590</v>
      </c>
      <c r="F2839" s="67" t="str">
        <f>IFERROR(IFERROR(INDEX(Кат!$A:$A,MATCH(Прайс!$B2839,Кат!$G:$G,0)),INDEX(Торг!$B:$B,MATCH(Прайс!$B2839,Торг!$H:$H,0))),"")</f>
        <v/>
      </c>
      <c r="G2839" s="67" t="str">
        <f>IFERROR(IFERROR(INDEX(Кат!$B:$B,MATCH(Прайс!$B2839,Кат!$G:$G,0)),INDEX(Торг!$C:$C,MATCH(Прайс!$B2839,Торг!$H:$H,0))),"")</f>
        <v/>
      </c>
      <c r="H2839" s="67" t="str">
        <f>IFERROR(IFERROR(INDEX(Кат!$I:$I,MATCH(Прайс!$B2839,Кат!$G:$G,0)),INDEX(Торг!$I:$I,MATCH(Прайс!$B2839,Торг!$H:$H,0))),"")</f>
        <v/>
      </c>
    </row>
    <row r="2840" spans="1:8" x14ac:dyDescent="0.25">
      <c r="A2840" s="94" t="s">
        <v>4118</v>
      </c>
      <c r="B2840" s="98">
        <v>21027</v>
      </c>
      <c r="C2840" s="98" t="s">
        <v>7776</v>
      </c>
      <c r="D2840" s="96" t="s">
        <v>161</v>
      </c>
      <c r="E2840" s="97">
        <v>450</v>
      </c>
      <c r="F2840" s="67" t="str">
        <f>IFERROR(IFERROR(INDEX(Кат!$A:$A,MATCH(Прайс!$B2840,Кат!$G:$G,0)),INDEX(Торг!$B:$B,MATCH(Прайс!$B2840,Торг!$H:$H,0))),"")</f>
        <v/>
      </c>
      <c r="G2840" s="67" t="str">
        <f>IFERROR(IFERROR(INDEX(Кат!$B:$B,MATCH(Прайс!$B2840,Кат!$G:$G,0)),INDEX(Торг!$C:$C,MATCH(Прайс!$B2840,Торг!$H:$H,0))),"")</f>
        <v/>
      </c>
      <c r="H2840" s="67" t="str">
        <f>IFERROR(IFERROR(INDEX(Кат!$I:$I,MATCH(Прайс!$B2840,Кат!$G:$G,0)),INDEX(Торг!$I:$I,MATCH(Прайс!$B2840,Торг!$H:$H,0))),"")</f>
        <v/>
      </c>
    </row>
    <row r="2841" spans="1:8" x14ac:dyDescent="0.25">
      <c r="A2841" s="94" t="s">
        <v>4119</v>
      </c>
      <c r="B2841" s="98">
        <v>21035</v>
      </c>
      <c r="C2841" s="98" t="s">
        <v>7777</v>
      </c>
      <c r="D2841" s="96" t="s">
        <v>161</v>
      </c>
      <c r="E2841" s="97">
        <v>590</v>
      </c>
      <c r="F2841" s="67" t="str">
        <f>IFERROR(IFERROR(INDEX(Кат!$A:$A,MATCH(Прайс!$B2841,Кат!$G:$G,0)),INDEX(Торг!$B:$B,MATCH(Прайс!$B2841,Торг!$H:$H,0))),"")</f>
        <v/>
      </c>
      <c r="G2841" s="67" t="str">
        <f>IFERROR(IFERROR(INDEX(Кат!$B:$B,MATCH(Прайс!$B2841,Кат!$G:$G,0)),INDEX(Торг!$C:$C,MATCH(Прайс!$B2841,Торг!$H:$H,0))),"")</f>
        <v/>
      </c>
      <c r="H2841" s="67" t="str">
        <f>IFERROR(IFERROR(INDEX(Кат!$I:$I,MATCH(Прайс!$B2841,Кат!$G:$G,0)),INDEX(Торг!$I:$I,MATCH(Прайс!$B2841,Торг!$H:$H,0))),"")</f>
        <v/>
      </c>
    </row>
    <row r="2842" spans="1:8" x14ac:dyDescent="0.25">
      <c r="A2842" s="94" t="s">
        <v>4120</v>
      </c>
      <c r="B2842" s="98">
        <v>21028</v>
      </c>
      <c r="C2842" s="98" t="s">
        <v>7778</v>
      </c>
      <c r="D2842" s="96" t="s">
        <v>161</v>
      </c>
      <c r="E2842" s="97">
        <v>450</v>
      </c>
      <c r="F2842" s="67" t="str">
        <f>IFERROR(IFERROR(INDEX(Кат!$A:$A,MATCH(Прайс!$B2842,Кат!$G:$G,0)),INDEX(Торг!$B:$B,MATCH(Прайс!$B2842,Торг!$H:$H,0))),"")</f>
        <v/>
      </c>
      <c r="G2842" s="67" t="str">
        <f>IFERROR(IFERROR(INDEX(Кат!$B:$B,MATCH(Прайс!$B2842,Кат!$G:$G,0)),INDEX(Торг!$C:$C,MATCH(Прайс!$B2842,Торг!$H:$H,0))),"")</f>
        <v/>
      </c>
      <c r="H2842" s="67" t="str">
        <f>IFERROR(IFERROR(INDEX(Кат!$I:$I,MATCH(Прайс!$B2842,Кат!$G:$G,0)),INDEX(Торг!$I:$I,MATCH(Прайс!$B2842,Торг!$H:$H,0))),"")</f>
        <v/>
      </c>
    </row>
    <row r="2843" spans="1:8" x14ac:dyDescent="0.25">
      <c r="A2843" s="94" t="s">
        <v>4121</v>
      </c>
      <c r="B2843" s="98">
        <v>21036</v>
      </c>
      <c r="C2843" s="98" t="s">
        <v>7779</v>
      </c>
      <c r="D2843" s="96" t="s">
        <v>161</v>
      </c>
      <c r="E2843" s="97">
        <v>590</v>
      </c>
      <c r="F2843" s="67" t="str">
        <f>IFERROR(IFERROR(INDEX(Кат!$A:$A,MATCH(Прайс!$B2843,Кат!$G:$G,0)),INDEX(Торг!$B:$B,MATCH(Прайс!$B2843,Торг!$H:$H,0))),"")</f>
        <v/>
      </c>
      <c r="G2843" s="67" t="str">
        <f>IFERROR(IFERROR(INDEX(Кат!$B:$B,MATCH(Прайс!$B2843,Кат!$G:$G,0)),INDEX(Торг!$C:$C,MATCH(Прайс!$B2843,Торг!$H:$H,0))),"")</f>
        <v/>
      </c>
      <c r="H2843" s="67" t="str">
        <f>IFERROR(IFERROR(INDEX(Кат!$I:$I,MATCH(Прайс!$B2843,Кат!$G:$G,0)),INDEX(Торг!$I:$I,MATCH(Прайс!$B2843,Торг!$H:$H,0))),"")</f>
        <v/>
      </c>
    </row>
    <row r="2844" spans="1:8" x14ac:dyDescent="0.25">
      <c r="A2844" s="94" t="s">
        <v>4122</v>
      </c>
      <c r="B2844" s="98">
        <v>21029</v>
      </c>
      <c r="C2844" s="98" t="s">
        <v>7780</v>
      </c>
      <c r="D2844" s="96" t="s">
        <v>161</v>
      </c>
      <c r="E2844" s="97">
        <v>450</v>
      </c>
      <c r="F2844" s="67" t="str">
        <f>IFERROR(IFERROR(INDEX(Кат!$A:$A,MATCH(Прайс!$B2844,Кат!$G:$G,0)),INDEX(Торг!$B:$B,MATCH(Прайс!$B2844,Торг!$H:$H,0))),"")</f>
        <v/>
      </c>
      <c r="G2844" s="67" t="str">
        <f>IFERROR(IFERROR(INDEX(Кат!$B:$B,MATCH(Прайс!$B2844,Кат!$G:$G,0)),INDEX(Торг!$C:$C,MATCH(Прайс!$B2844,Торг!$H:$H,0))),"")</f>
        <v/>
      </c>
      <c r="H2844" s="67" t="str">
        <f>IFERROR(IFERROR(INDEX(Кат!$I:$I,MATCH(Прайс!$B2844,Кат!$G:$G,0)),INDEX(Торг!$I:$I,MATCH(Прайс!$B2844,Торг!$H:$H,0))),"")</f>
        <v/>
      </c>
    </row>
    <row r="2845" spans="1:8" x14ac:dyDescent="0.25">
      <c r="A2845" s="94" t="s">
        <v>4123</v>
      </c>
      <c r="B2845" s="98">
        <v>21037</v>
      </c>
      <c r="C2845" s="98" t="s">
        <v>7781</v>
      </c>
      <c r="D2845" s="96" t="s">
        <v>161</v>
      </c>
      <c r="E2845" s="97">
        <v>590</v>
      </c>
      <c r="F2845" s="67" t="str">
        <f>IFERROR(IFERROR(INDEX(Кат!$A:$A,MATCH(Прайс!$B2845,Кат!$G:$G,0)),INDEX(Торг!$B:$B,MATCH(Прайс!$B2845,Торг!$H:$H,0))),"")</f>
        <v/>
      </c>
      <c r="G2845" s="67" t="str">
        <f>IFERROR(IFERROR(INDEX(Кат!$B:$B,MATCH(Прайс!$B2845,Кат!$G:$G,0)),INDEX(Торг!$C:$C,MATCH(Прайс!$B2845,Торг!$H:$H,0))),"")</f>
        <v/>
      </c>
      <c r="H2845" s="67" t="str">
        <f>IFERROR(IFERROR(INDEX(Кат!$I:$I,MATCH(Прайс!$B2845,Кат!$G:$G,0)),INDEX(Торг!$I:$I,MATCH(Прайс!$B2845,Торг!$H:$H,0))),"")</f>
        <v/>
      </c>
    </row>
    <row r="2846" spans="1:8" x14ac:dyDescent="0.25">
      <c r="A2846" s="94" t="s">
        <v>4124</v>
      </c>
      <c r="B2846" s="98">
        <v>21030</v>
      </c>
      <c r="C2846" s="98" t="s">
        <v>1516</v>
      </c>
      <c r="D2846" s="96" t="s">
        <v>161</v>
      </c>
      <c r="E2846" s="97">
        <v>450</v>
      </c>
      <c r="F2846" s="67" t="str">
        <f>IFERROR(IFERROR(INDEX(Кат!$A:$A,MATCH(Прайс!$B2846,Кат!$G:$G,0)),INDEX(Торг!$B:$B,MATCH(Прайс!$B2846,Торг!$H:$H,0))),"")</f>
        <v/>
      </c>
      <c r="G2846" s="67" t="str">
        <f>IFERROR(IFERROR(INDEX(Кат!$B:$B,MATCH(Прайс!$B2846,Кат!$G:$G,0)),INDEX(Торг!$C:$C,MATCH(Прайс!$B2846,Торг!$H:$H,0))),"")</f>
        <v/>
      </c>
      <c r="H2846" s="67" t="str">
        <f>IFERROR(IFERROR(INDEX(Кат!$I:$I,MATCH(Прайс!$B2846,Кат!$G:$G,0)),INDEX(Торг!$I:$I,MATCH(Прайс!$B2846,Торг!$H:$H,0))),"")</f>
        <v/>
      </c>
    </row>
    <row r="2847" spans="1:8" x14ac:dyDescent="0.25">
      <c r="A2847" s="94" t="s">
        <v>4125</v>
      </c>
      <c r="B2847" s="98">
        <v>21038</v>
      </c>
      <c r="C2847" s="98" t="s">
        <v>7782</v>
      </c>
      <c r="D2847" s="96" t="s">
        <v>161</v>
      </c>
      <c r="E2847" s="97">
        <v>590</v>
      </c>
      <c r="F2847" s="67" t="str">
        <f>IFERROR(IFERROR(INDEX(Кат!$A:$A,MATCH(Прайс!$B2847,Кат!$G:$G,0)),INDEX(Торг!$B:$B,MATCH(Прайс!$B2847,Торг!$H:$H,0))),"")</f>
        <v/>
      </c>
      <c r="G2847" s="67" t="str">
        <f>IFERROR(IFERROR(INDEX(Кат!$B:$B,MATCH(Прайс!$B2847,Кат!$G:$G,0)),INDEX(Торг!$C:$C,MATCH(Прайс!$B2847,Торг!$H:$H,0))),"")</f>
        <v/>
      </c>
      <c r="H2847" s="67" t="str">
        <f>IFERROR(IFERROR(INDEX(Кат!$I:$I,MATCH(Прайс!$B2847,Кат!$G:$G,0)),INDEX(Торг!$I:$I,MATCH(Прайс!$B2847,Торг!$H:$H,0))),"")</f>
        <v/>
      </c>
    </row>
    <row r="2848" spans="1:8" x14ac:dyDescent="0.25">
      <c r="A2848" s="94" t="s">
        <v>5329</v>
      </c>
      <c r="B2848" s="98">
        <v>21031</v>
      </c>
      <c r="C2848" s="98" t="s">
        <v>5330</v>
      </c>
      <c r="D2848" s="96" t="s">
        <v>161</v>
      </c>
      <c r="E2848" s="97">
        <v>450</v>
      </c>
      <c r="F2848" s="67" t="str">
        <f>IFERROR(IFERROR(INDEX(Кат!$A:$A,MATCH(Прайс!$B2848,Кат!$G:$G,0)),INDEX(Торг!$B:$B,MATCH(Прайс!$B2848,Торг!$H:$H,0))),"")</f>
        <v/>
      </c>
      <c r="G2848" s="67" t="str">
        <f>IFERROR(IFERROR(INDEX(Кат!$B:$B,MATCH(Прайс!$B2848,Кат!$G:$G,0)),INDEX(Торг!$C:$C,MATCH(Прайс!$B2848,Торг!$H:$H,0))),"")</f>
        <v/>
      </c>
      <c r="H2848" s="67" t="str">
        <f>IFERROR(IFERROR(INDEX(Кат!$I:$I,MATCH(Прайс!$B2848,Кат!$G:$G,0)),INDEX(Торг!$I:$I,MATCH(Прайс!$B2848,Торг!$H:$H,0))),"")</f>
        <v/>
      </c>
    </row>
    <row r="2849" spans="1:8" x14ac:dyDescent="0.25">
      <c r="A2849" s="94" t="s">
        <v>4941</v>
      </c>
      <c r="B2849" s="98">
        <v>21039</v>
      </c>
      <c r="C2849" s="98" t="s">
        <v>4942</v>
      </c>
      <c r="D2849" s="96" t="s">
        <v>161</v>
      </c>
      <c r="E2849" s="97">
        <v>590</v>
      </c>
      <c r="F2849" s="67" t="str">
        <f>IFERROR(IFERROR(INDEX(Кат!$A:$A,MATCH(Прайс!$B2849,Кат!$G:$G,0)),INDEX(Торг!$B:$B,MATCH(Прайс!$B2849,Торг!$H:$H,0))),"")</f>
        <v/>
      </c>
      <c r="G2849" s="67" t="str">
        <f>IFERROR(IFERROR(INDEX(Кат!$B:$B,MATCH(Прайс!$B2849,Кат!$G:$G,0)),INDEX(Торг!$C:$C,MATCH(Прайс!$B2849,Торг!$H:$H,0))),"")</f>
        <v/>
      </c>
      <c r="H2849" s="67" t="str">
        <f>IFERROR(IFERROR(INDEX(Кат!$I:$I,MATCH(Прайс!$B2849,Кат!$G:$G,0)),INDEX(Торг!$I:$I,MATCH(Прайс!$B2849,Торг!$H:$H,0))),"")</f>
        <v/>
      </c>
    </row>
    <row r="2850" spans="1:8" x14ac:dyDescent="0.25">
      <c r="A2850" s="94" t="s">
        <v>4126</v>
      </c>
      <c r="B2850" s="98">
        <v>21032</v>
      </c>
      <c r="C2850" s="98" t="s">
        <v>7783</v>
      </c>
      <c r="D2850" s="96" t="s">
        <v>161</v>
      </c>
      <c r="E2850" s="97">
        <v>450</v>
      </c>
      <c r="F2850" s="67" t="str">
        <f>IFERROR(IFERROR(INDEX(Кат!$A:$A,MATCH(Прайс!$B2850,Кат!$G:$G,0)),INDEX(Торг!$B:$B,MATCH(Прайс!$B2850,Торг!$H:$H,0))),"")</f>
        <v/>
      </c>
      <c r="G2850" s="67" t="str">
        <f>IFERROR(IFERROR(INDEX(Кат!$B:$B,MATCH(Прайс!$B2850,Кат!$G:$G,0)),INDEX(Торг!$C:$C,MATCH(Прайс!$B2850,Торг!$H:$H,0))),"")</f>
        <v/>
      </c>
      <c r="H2850" s="67" t="str">
        <f>IFERROR(IFERROR(INDEX(Кат!$I:$I,MATCH(Прайс!$B2850,Кат!$G:$G,0)),INDEX(Торг!$I:$I,MATCH(Прайс!$B2850,Торг!$H:$H,0))),"")</f>
        <v/>
      </c>
    </row>
    <row r="2851" spans="1:8" x14ac:dyDescent="0.25">
      <c r="A2851" s="94" t="s">
        <v>4127</v>
      </c>
      <c r="B2851" s="98">
        <v>21040</v>
      </c>
      <c r="C2851" s="98" t="s">
        <v>7784</v>
      </c>
      <c r="D2851" s="96" t="s">
        <v>161</v>
      </c>
      <c r="E2851" s="97">
        <v>590</v>
      </c>
      <c r="F2851" s="67" t="str">
        <f>IFERROR(IFERROR(INDEX(Кат!$A:$A,MATCH(Прайс!$B2851,Кат!$G:$G,0)),INDEX(Торг!$B:$B,MATCH(Прайс!$B2851,Торг!$H:$H,0))),"")</f>
        <v/>
      </c>
      <c r="G2851" s="67" t="str">
        <f>IFERROR(IFERROR(INDEX(Кат!$B:$B,MATCH(Прайс!$B2851,Кат!$G:$G,0)),INDEX(Торг!$C:$C,MATCH(Прайс!$B2851,Торг!$H:$H,0))),"")</f>
        <v/>
      </c>
      <c r="H2851" s="67" t="str">
        <f>IFERROR(IFERROR(INDEX(Кат!$I:$I,MATCH(Прайс!$B2851,Кат!$G:$G,0)),INDEX(Торг!$I:$I,MATCH(Прайс!$B2851,Торг!$H:$H,0))),"")</f>
        <v/>
      </c>
    </row>
    <row r="2852" spans="1:8" x14ac:dyDescent="0.25">
      <c r="A2852" s="94" t="s">
        <v>4128</v>
      </c>
      <c r="B2852" s="98">
        <v>21044</v>
      </c>
      <c r="C2852" s="98" t="s">
        <v>1517</v>
      </c>
      <c r="D2852" s="96" t="s">
        <v>161</v>
      </c>
      <c r="E2852" s="97">
        <v>450</v>
      </c>
      <c r="F2852" s="67" t="str">
        <f>IFERROR(IFERROR(INDEX(Кат!$A:$A,MATCH(Прайс!$B2852,Кат!$G:$G,0)),INDEX(Торг!$B:$B,MATCH(Прайс!$B2852,Торг!$H:$H,0))),"")</f>
        <v/>
      </c>
      <c r="G2852" s="67" t="str">
        <f>IFERROR(IFERROR(INDEX(Кат!$B:$B,MATCH(Прайс!$B2852,Кат!$G:$G,0)),INDEX(Торг!$C:$C,MATCH(Прайс!$B2852,Торг!$H:$H,0))),"")</f>
        <v/>
      </c>
      <c r="H2852" s="67" t="str">
        <f>IFERROR(IFERROR(INDEX(Кат!$I:$I,MATCH(Прайс!$B2852,Кат!$G:$G,0)),INDEX(Торг!$I:$I,MATCH(Прайс!$B2852,Торг!$H:$H,0))),"")</f>
        <v/>
      </c>
    </row>
    <row r="2853" spans="1:8" x14ac:dyDescent="0.25">
      <c r="A2853" s="94" t="s">
        <v>4129</v>
      </c>
      <c r="B2853" s="98">
        <v>21045</v>
      </c>
      <c r="C2853" s="98" t="s">
        <v>1518</v>
      </c>
      <c r="D2853" s="96" t="s">
        <v>161</v>
      </c>
      <c r="E2853" s="97">
        <v>590</v>
      </c>
      <c r="F2853" s="67" t="str">
        <f>IFERROR(IFERROR(INDEX(Кат!$A:$A,MATCH(Прайс!$B2853,Кат!$G:$G,0)),INDEX(Торг!$B:$B,MATCH(Прайс!$B2853,Торг!$H:$H,0))),"")</f>
        <v/>
      </c>
      <c r="G2853" s="67" t="str">
        <f>IFERROR(IFERROR(INDEX(Кат!$B:$B,MATCH(Прайс!$B2853,Кат!$G:$G,0)),INDEX(Торг!$C:$C,MATCH(Прайс!$B2853,Торг!$H:$H,0))),"")</f>
        <v/>
      </c>
      <c r="H2853" s="67" t="str">
        <f>IFERROR(IFERROR(INDEX(Кат!$I:$I,MATCH(Прайс!$B2853,Кат!$G:$G,0)),INDEX(Торг!$I:$I,MATCH(Прайс!$B2853,Торг!$H:$H,0))),"")</f>
        <v/>
      </c>
    </row>
    <row r="2854" spans="1:8" x14ac:dyDescent="0.25">
      <c r="A2854" s="94" t="s">
        <v>4130</v>
      </c>
      <c r="B2854" s="98">
        <v>21042</v>
      </c>
      <c r="C2854" s="98" t="s">
        <v>1519</v>
      </c>
      <c r="D2854" s="96" t="s">
        <v>161</v>
      </c>
      <c r="E2854" s="97">
        <v>450</v>
      </c>
      <c r="F2854" s="67" t="str">
        <f>IFERROR(IFERROR(INDEX(Кат!$A:$A,MATCH(Прайс!$B2854,Кат!$G:$G,0)),INDEX(Торг!$B:$B,MATCH(Прайс!$B2854,Торг!$H:$H,0))),"")</f>
        <v/>
      </c>
      <c r="G2854" s="67" t="str">
        <f>IFERROR(IFERROR(INDEX(Кат!$B:$B,MATCH(Прайс!$B2854,Кат!$G:$G,0)),INDEX(Торг!$C:$C,MATCH(Прайс!$B2854,Торг!$H:$H,0))),"")</f>
        <v/>
      </c>
      <c r="H2854" s="67" t="str">
        <f>IFERROR(IFERROR(INDEX(Кат!$I:$I,MATCH(Прайс!$B2854,Кат!$G:$G,0)),INDEX(Торг!$I:$I,MATCH(Прайс!$B2854,Торг!$H:$H,0))),"")</f>
        <v/>
      </c>
    </row>
    <row r="2855" spans="1:8" x14ac:dyDescent="0.25">
      <c r="A2855" s="94" t="s">
        <v>4131</v>
      </c>
      <c r="B2855" s="98">
        <v>21043</v>
      </c>
      <c r="C2855" s="98" t="s">
        <v>1520</v>
      </c>
      <c r="D2855" s="96" t="s">
        <v>161</v>
      </c>
      <c r="E2855" s="97">
        <v>590</v>
      </c>
      <c r="F2855" s="67" t="str">
        <f>IFERROR(IFERROR(INDEX(Кат!$A:$A,MATCH(Прайс!$B2855,Кат!$G:$G,0)),INDEX(Торг!$B:$B,MATCH(Прайс!$B2855,Торг!$H:$H,0))),"")</f>
        <v/>
      </c>
      <c r="G2855" s="67" t="str">
        <f>IFERROR(IFERROR(INDEX(Кат!$B:$B,MATCH(Прайс!$B2855,Кат!$G:$G,0)),INDEX(Торг!$C:$C,MATCH(Прайс!$B2855,Торг!$H:$H,0))),"")</f>
        <v/>
      </c>
      <c r="H2855" s="67" t="str">
        <f>IFERROR(IFERROR(INDEX(Кат!$I:$I,MATCH(Прайс!$B2855,Кат!$G:$G,0)),INDEX(Торг!$I:$I,MATCH(Прайс!$B2855,Торг!$H:$H,0))),"")</f>
        <v/>
      </c>
    </row>
    <row r="2856" spans="1:8" x14ac:dyDescent="0.25">
      <c r="A2856" s="94" t="s">
        <v>4132</v>
      </c>
      <c r="B2856" s="98">
        <v>21054</v>
      </c>
      <c r="C2856" s="98" t="s">
        <v>1521</v>
      </c>
      <c r="D2856" s="96" t="s">
        <v>161</v>
      </c>
      <c r="E2856" s="97">
        <v>450</v>
      </c>
      <c r="F2856" s="67" t="str">
        <f>IFERROR(IFERROR(INDEX(Кат!$A:$A,MATCH(Прайс!$B2856,Кат!$G:$G,0)),INDEX(Торг!$B:$B,MATCH(Прайс!$B2856,Торг!$H:$H,0))),"")</f>
        <v/>
      </c>
      <c r="G2856" s="67" t="str">
        <f>IFERROR(IFERROR(INDEX(Кат!$B:$B,MATCH(Прайс!$B2856,Кат!$G:$G,0)),INDEX(Торг!$C:$C,MATCH(Прайс!$B2856,Торг!$H:$H,0))),"")</f>
        <v/>
      </c>
      <c r="H2856" s="67" t="str">
        <f>IFERROR(IFERROR(INDEX(Кат!$I:$I,MATCH(Прайс!$B2856,Кат!$G:$G,0)),INDEX(Торг!$I:$I,MATCH(Прайс!$B2856,Торг!$H:$H,0))),"")</f>
        <v/>
      </c>
    </row>
    <row r="2857" spans="1:8" x14ac:dyDescent="0.25">
      <c r="A2857" s="94" t="s">
        <v>4133</v>
      </c>
      <c r="B2857" s="98">
        <v>21049</v>
      </c>
      <c r="C2857" s="98" t="s">
        <v>1522</v>
      </c>
      <c r="D2857" s="96" t="s">
        <v>161</v>
      </c>
      <c r="E2857" s="97">
        <v>590</v>
      </c>
      <c r="F2857" s="67" t="str">
        <f>IFERROR(IFERROR(INDEX(Кат!$A:$A,MATCH(Прайс!$B2857,Кат!$G:$G,0)),INDEX(Торг!$B:$B,MATCH(Прайс!$B2857,Торг!$H:$H,0))),"")</f>
        <v/>
      </c>
      <c r="G2857" s="67" t="str">
        <f>IFERROR(IFERROR(INDEX(Кат!$B:$B,MATCH(Прайс!$B2857,Кат!$G:$G,0)),INDEX(Торг!$C:$C,MATCH(Прайс!$B2857,Торг!$H:$H,0))),"")</f>
        <v/>
      </c>
      <c r="H2857" s="67" t="str">
        <f>IFERROR(IFERROR(INDEX(Кат!$I:$I,MATCH(Прайс!$B2857,Кат!$G:$G,0)),INDEX(Торг!$I:$I,MATCH(Прайс!$B2857,Торг!$H:$H,0))),"")</f>
        <v/>
      </c>
    </row>
    <row r="2858" spans="1:8" x14ac:dyDescent="0.25">
      <c r="A2858" s="94" t="s">
        <v>4134</v>
      </c>
      <c r="B2858" s="98">
        <v>21050</v>
      </c>
      <c r="C2858" s="98" t="s">
        <v>7785</v>
      </c>
      <c r="D2858" s="96" t="s">
        <v>161</v>
      </c>
      <c r="E2858" s="97">
        <v>580</v>
      </c>
      <c r="F2858" s="67" t="str">
        <f>IFERROR(IFERROR(INDEX(Кат!$A:$A,MATCH(Прайс!$B2858,Кат!$G:$G,0)),INDEX(Торг!$B:$B,MATCH(Прайс!$B2858,Торг!$H:$H,0))),"")</f>
        <v/>
      </c>
      <c r="G2858" s="67" t="str">
        <f>IFERROR(IFERROR(INDEX(Кат!$B:$B,MATCH(Прайс!$B2858,Кат!$G:$G,0)),INDEX(Торг!$C:$C,MATCH(Прайс!$B2858,Торг!$H:$H,0))),"")</f>
        <v/>
      </c>
      <c r="H2858" s="67" t="str">
        <f>IFERROR(IFERROR(INDEX(Кат!$I:$I,MATCH(Прайс!$B2858,Кат!$G:$G,0)),INDEX(Торг!$I:$I,MATCH(Прайс!$B2858,Торг!$H:$H,0))),"")</f>
        <v/>
      </c>
    </row>
    <row r="2859" spans="1:8" x14ac:dyDescent="0.25">
      <c r="A2859" s="94" t="s">
        <v>4135</v>
      </c>
      <c r="B2859" s="98">
        <v>21041</v>
      </c>
      <c r="C2859" s="98" t="s">
        <v>7786</v>
      </c>
      <c r="D2859" s="96" t="s">
        <v>177</v>
      </c>
      <c r="E2859" s="97">
        <v>580</v>
      </c>
      <c r="F2859" s="67" t="str">
        <f>IFERROR(IFERROR(INDEX(Кат!$A:$A,MATCH(Прайс!$B2859,Кат!$G:$G,0)),INDEX(Торг!$B:$B,MATCH(Прайс!$B2859,Торг!$H:$H,0))),"")</f>
        <v/>
      </c>
      <c r="G2859" s="67" t="str">
        <f>IFERROR(IFERROR(INDEX(Кат!$B:$B,MATCH(Прайс!$B2859,Кат!$G:$G,0)),INDEX(Торг!$C:$C,MATCH(Прайс!$B2859,Торг!$H:$H,0))),"")</f>
        <v/>
      </c>
      <c r="H2859" s="67" t="str">
        <f>IFERROR(IFERROR(INDEX(Кат!$I:$I,MATCH(Прайс!$B2859,Кат!$G:$G,0)),INDEX(Торг!$I:$I,MATCH(Прайс!$B2859,Торг!$H:$H,0))),"")</f>
        <v/>
      </c>
    </row>
    <row r="2860" spans="1:8" x14ac:dyDescent="0.25">
      <c r="A2860" s="94" t="s">
        <v>7787</v>
      </c>
      <c r="B2860" s="98">
        <v>21058</v>
      </c>
      <c r="C2860" s="98" t="s">
        <v>7788</v>
      </c>
      <c r="D2860" s="96" t="s">
        <v>176</v>
      </c>
      <c r="E2860" s="97">
        <v>580</v>
      </c>
      <c r="F2860" s="67" t="str">
        <f>IFERROR(IFERROR(INDEX(Кат!$A:$A,MATCH(Прайс!$B2860,Кат!$G:$G,0)),INDEX(Торг!$B:$B,MATCH(Прайс!$B2860,Торг!$H:$H,0))),"")</f>
        <v/>
      </c>
      <c r="G2860" s="67" t="str">
        <f>IFERROR(IFERROR(INDEX(Кат!$B:$B,MATCH(Прайс!$B2860,Кат!$G:$G,0)),INDEX(Торг!$C:$C,MATCH(Прайс!$B2860,Торг!$H:$H,0))),"")</f>
        <v/>
      </c>
      <c r="H2860" s="67" t="str">
        <f>IFERROR(IFERROR(INDEX(Кат!$I:$I,MATCH(Прайс!$B2860,Кат!$G:$G,0)),INDEX(Торг!$I:$I,MATCH(Прайс!$B2860,Торг!$H:$H,0))),"")</f>
        <v/>
      </c>
    </row>
    <row r="2861" spans="1:8" x14ac:dyDescent="0.25">
      <c r="A2861" s="109" t="s">
        <v>8623</v>
      </c>
      <c r="B2861" s="110">
        <v>17034</v>
      </c>
      <c r="C2861" s="110" t="s">
        <v>8624</v>
      </c>
      <c r="D2861" s="111" t="s">
        <v>176</v>
      </c>
      <c r="E2861" s="112">
        <v>600</v>
      </c>
      <c r="F2861" s="67" t="str">
        <f>IFERROR(IFERROR(INDEX(Кат!$A:$A,MATCH(Прайс!$B2861,Кат!$G:$G,0)),INDEX(Торг!$B:$B,MATCH(Прайс!$B2861,Торг!$H:$H,0))),"")</f>
        <v/>
      </c>
      <c r="G2861" s="67" t="str">
        <f>IFERROR(IFERROR(INDEX(Кат!$B:$B,MATCH(Прайс!$B2861,Кат!$G:$G,0)),INDEX(Торг!$C:$C,MATCH(Прайс!$B2861,Торг!$H:$H,0))),"")</f>
        <v/>
      </c>
      <c r="H2861" s="67" t="str">
        <f>IFERROR(IFERROR(INDEX(Кат!$I:$I,MATCH(Прайс!$B2861,Кат!$G:$G,0)),INDEX(Торг!$I:$I,MATCH(Прайс!$B2861,Торг!$H:$H,0))),"")</f>
        <v/>
      </c>
    </row>
    <row r="2862" spans="1:8" x14ac:dyDescent="0.25">
      <c r="A2862" s="109" t="s">
        <v>8625</v>
      </c>
      <c r="B2862" s="110">
        <v>17035</v>
      </c>
      <c r="C2862" s="110" t="s">
        <v>8626</v>
      </c>
      <c r="D2862" s="111" t="s">
        <v>176</v>
      </c>
      <c r="E2862" s="112">
        <v>700</v>
      </c>
      <c r="F2862" s="67" t="str">
        <f>IFERROR(IFERROR(INDEX(Кат!$A:$A,MATCH(Прайс!$B2862,Кат!$G:$G,0)),INDEX(Торг!$B:$B,MATCH(Прайс!$B2862,Торг!$H:$H,0))),"")</f>
        <v/>
      </c>
      <c r="G2862" s="67" t="str">
        <f>IFERROR(IFERROR(INDEX(Кат!$B:$B,MATCH(Прайс!$B2862,Кат!$G:$G,0)),INDEX(Торг!$C:$C,MATCH(Прайс!$B2862,Торг!$H:$H,0))),"")</f>
        <v/>
      </c>
      <c r="H2862" s="67" t="str">
        <f>IFERROR(IFERROR(INDEX(Кат!$I:$I,MATCH(Прайс!$B2862,Кат!$G:$G,0)),INDEX(Торг!$I:$I,MATCH(Прайс!$B2862,Торг!$H:$H,0))),"")</f>
        <v/>
      </c>
    </row>
    <row r="2863" spans="1:8" x14ac:dyDescent="0.25">
      <c r="A2863" s="109" t="s">
        <v>8627</v>
      </c>
      <c r="B2863" s="110">
        <v>17036</v>
      </c>
      <c r="C2863" s="110" t="s">
        <v>8628</v>
      </c>
      <c r="D2863" s="111" t="s">
        <v>176</v>
      </c>
      <c r="E2863" s="112">
        <v>700</v>
      </c>
      <c r="F2863" s="67" t="str">
        <f>IFERROR(IFERROR(INDEX(Кат!$A:$A,MATCH(Прайс!$B2863,Кат!$G:$G,0)),INDEX(Торг!$B:$B,MATCH(Прайс!$B2863,Торг!$H:$H,0))),"")</f>
        <v/>
      </c>
      <c r="G2863" s="67" t="str">
        <f>IFERROR(IFERROR(INDEX(Кат!$B:$B,MATCH(Прайс!$B2863,Кат!$G:$G,0)),INDEX(Торг!$C:$C,MATCH(Прайс!$B2863,Торг!$H:$H,0))),"")</f>
        <v/>
      </c>
      <c r="H2863" s="67" t="str">
        <f>IFERROR(IFERROR(INDEX(Кат!$I:$I,MATCH(Прайс!$B2863,Кат!$G:$G,0)),INDEX(Торг!$I:$I,MATCH(Прайс!$B2863,Торг!$H:$H,0))),"")</f>
        <v/>
      </c>
    </row>
    <row r="2864" spans="1:8" x14ac:dyDescent="0.25">
      <c r="A2864" s="94" t="s">
        <v>6424</v>
      </c>
      <c r="B2864" s="98">
        <v>21055</v>
      </c>
      <c r="C2864" s="98" t="s">
        <v>6425</v>
      </c>
      <c r="D2864" s="96" t="s">
        <v>159</v>
      </c>
      <c r="E2864" s="97">
        <v>380</v>
      </c>
      <c r="F2864" s="67" t="str">
        <f>IFERROR(IFERROR(INDEX(Кат!$A:$A,MATCH(Прайс!$B2864,Кат!$G:$G,0)),INDEX(Торг!$B:$B,MATCH(Прайс!$B2864,Торг!$H:$H,0))),"")</f>
        <v/>
      </c>
      <c r="G2864" s="67" t="str">
        <f>IFERROR(IFERROR(INDEX(Кат!$B:$B,MATCH(Прайс!$B2864,Кат!$G:$G,0)),INDEX(Торг!$C:$C,MATCH(Прайс!$B2864,Торг!$H:$H,0))),"")</f>
        <v/>
      </c>
      <c r="H2864" s="67" t="str">
        <f>IFERROR(IFERROR(INDEX(Кат!$I:$I,MATCH(Прайс!$B2864,Кат!$G:$G,0)),INDEX(Торг!$I:$I,MATCH(Прайс!$B2864,Торг!$H:$H,0))),"")</f>
        <v/>
      </c>
    </row>
    <row r="2865" spans="1:8" x14ac:dyDescent="0.25">
      <c r="A2865" s="94" t="s">
        <v>6426</v>
      </c>
      <c r="B2865" s="98">
        <v>21056</v>
      </c>
      <c r="C2865" s="98" t="s">
        <v>6427</v>
      </c>
      <c r="D2865" s="96" t="s">
        <v>159</v>
      </c>
      <c r="E2865" s="97">
        <v>550</v>
      </c>
      <c r="F2865" s="67" t="str">
        <f>IFERROR(IFERROR(INDEX(Кат!$A:$A,MATCH(Прайс!$B2865,Кат!$G:$G,0)),INDEX(Торг!$B:$B,MATCH(Прайс!$B2865,Торг!$H:$H,0))),"")</f>
        <v/>
      </c>
      <c r="G2865" s="67" t="str">
        <f>IFERROR(IFERROR(INDEX(Кат!$B:$B,MATCH(Прайс!$B2865,Кат!$G:$G,0)),INDEX(Торг!$C:$C,MATCH(Прайс!$B2865,Торг!$H:$H,0))),"")</f>
        <v/>
      </c>
      <c r="H2865" s="67" t="str">
        <f>IFERROR(IFERROR(INDEX(Кат!$I:$I,MATCH(Прайс!$B2865,Кат!$G:$G,0)),INDEX(Торг!$I:$I,MATCH(Прайс!$B2865,Торг!$H:$H,0))),"")</f>
        <v/>
      </c>
    </row>
    <row r="2866" spans="1:8" x14ac:dyDescent="0.25">
      <c r="A2866" s="94" t="s">
        <v>8312</v>
      </c>
      <c r="B2866" s="98">
        <v>17029</v>
      </c>
      <c r="C2866" s="98" t="s">
        <v>8313</v>
      </c>
      <c r="D2866" s="96" t="s">
        <v>159</v>
      </c>
      <c r="E2866" s="97">
        <v>380</v>
      </c>
      <c r="F2866" s="67" t="str">
        <f>IFERROR(IFERROR(INDEX(Кат!$A:$A,MATCH(Прайс!$B2866,Кат!$G:$G,0)),INDEX(Торг!$B:$B,MATCH(Прайс!$B2866,Торг!$H:$H,0))),"")</f>
        <v/>
      </c>
      <c r="G2866" s="67" t="str">
        <f>IFERROR(IFERROR(INDEX(Кат!$B:$B,MATCH(Прайс!$B2866,Кат!$G:$G,0)),INDEX(Торг!$C:$C,MATCH(Прайс!$B2866,Торг!$H:$H,0))),"")</f>
        <v/>
      </c>
      <c r="H2866" s="67" t="str">
        <f>IFERROR(IFERROR(INDEX(Кат!$I:$I,MATCH(Прайс!$B2866,Кат!$G:$G,0)),INDEX(Торг!$I:$I,MATCH(Прайс!$B2866,Торг!$H:$H,0))),"")</f>
        <v/>
      </c>
    </row>
    <row r="2867" spans="1:8" x14ac:dyDescent="0.25">
      <c r="A2867" s="94" t="s">
        <v>8314</v>
      </c>
      <c r="B2867" s="98">
        <v>17030</v>
      </c>
      <c r="C2867" s="98" t="s">
        <v>8315</v>
      </c>
      <c r="D2867" s="96" t="s">
        <v>159</v>
      </c>
      <c r="E2867" s="97">
        <v>550</v>
      </c>
      <c r="F2867" s="67" t="str">
        <f>IFERROR(IFERROR(INDEX(Кат!$A:$A,MATCH(Прайс!$B2867,Кат!$G:$G,0)),INDEX(Торг!$B:$B,MATCH(Прайс!$B2867,Торг!$H:$H,0))),"")</f>
        <v/>
      </c>
      <c r="G2867" s="67" t="str">
        <f>IFERROR(IFERROR(INDEX(Кат!$B:$B,MATCH(Прайс!$B2867,Кат!$G:$G,0)),INDEX(Торг!$C:$C,MATCH(Прайс!$B2867,Торг!$H:$H,0))),"")</f>
        <v/>
      </c>
      <c r="H2867" s="67" t="str">
        <f>IFERROR(IFERROR(INDEX(Кат!$I:$I,MATCH(Прайс!$B2867,Кат!$G:$G,0)),INDEX(Торг!$I:$I,MATCH(Прайс!$B2867,Торг!$H:$H,0))),"")</f>
        <v/>
      </c>
    </row>
    <row r="2868" spans="1:8" x14ac:dyDescent="0.25">
      <c r="A2868" s="94" t="s">
        <v>8316</v>
      </c>
      <c r="B2868" s="98">
        <v>17031</v>
      </c>
      <c r="C2868" s="98" t="s">
        <v>8317</v>
      </c>
      <c r="D2868" s="96" t="s">
        <v>159</v>
      </c>
      <c r="E2868" s="97">
        <v>600</v>
      </c>
      <c r="F2868" s="67" t="str">
        <f>IFERROR(IFERROR(INDEX(Кат!$A:$A,MATCH(Прайс!$B2868,Кат!$G:$G,0)),INDEX(Торг!$B:$B,MATCH(Прайс!$B2868,Торг!$H:$H,0))),"")</f>
        <v/>
      </c>
      <c r="G2868" s="67" t="str">
        <f>IFERROR(IFERROR(INDEX(Кат!$B:$B,MATCH(Прайс!$B2868,Кат!$G:$G,0)),INDEX(Торг!$C:$C,MATCH(Прайс!$B2868,Торг!$H:$H,0))),"")</f>
        <v/>
      </c>
      <c r="H2868" s="67" t="str">
        <f>IFERROR(IFERROR(INDEX(Кат!$I:$I,MATCH(Прайс!$B2868,Кат!$G:$G,0)),INDEX(Торг!$I:$I,MATCH(Прайс!$B2868,Торг!$H:$H,0))),"")</f>
        <v/>
      </c>
    </row>
    <row r="2869" spans="1:8" x14ac:dyDescent="0.25">
      <c r="A2869" s="94" t="s">
        <v>7789</v>
      </c>
      <c r="B2869" s="98">
        <v>17027</v>
      </c>
      <c r="C2869" s="98" t="s">
        <v>7790</v>
      </c>
      <c r="D2869" s="96" t="s">
        <v>159</v>
      </c>
      <c r="E2869" s="97">
        <v>380</v>
      </c>
      <c r="F2869" s="67" t="str">
        <f>IFERROR(IFERROR(INDEX(Кат!$A:$A,MATCH(Прайс!$B2869,Кат!$G:$G,0)),INDEX(Торг!$B:$B,MATCH(Прайс!$B2869,Торг!$H:$H,0))),"")</f>
        <v/>
      </c>
      <c r="G2869" s="67" t="str">
        <f>IFERROR(IFERROR(INDEX(Кат!$B:$B,MATCH(Прайс!$B2869,Кат!$G:$G,0)),INDEX(Торг!$C:$C,MATCH(Прайс!$B2869,Торг!$H:$H,0))),"")</f>
        <v/>
      </c>
      <c r="H2869" s="67" t="str">
        <f>IFERROR(IFERROR(INDEX(Кат!$I:$I,MATCH(Прайс!$B2869,Кат!$G:$G,0)),INDEX(Торг!$I:$I,MATCH(Прайс!$B2869,Торг!$H:$H,0))),"")</f>
        <v/>
      </c>
    </row>
    <row r="2870" spans="1:8" ht="15.75" x14ac:dyDescent="0.25">
      <c r="A2870" s="87"/>
      <c r="B2870" s="88"/>
      <c r="C2870" s="88" t="s">
        <v>1523</v>
      </c>
      <c r="D2870" s="88"/>
      <c r="E2870" s="89"/>
      <c r="F2870" s="67" t="str">
        <f>IFERROR(IFERROR(INDEX(Кат!$A:$A,MATCH(Прайс!$B2870,Кат!$G:$G,0)),INDEX(Торг!$B:$B,MATCH(Прайс!$B2870,Торг!$H:$H,0))),"")</f>
        <v/>
      </c>
      <c r="G2870" s="67" t="str">
        <f>IFERROR(IFERROR(INDEX(Кат!$B:$B,MATCH(Прайс!$B2870,Кат!$G:$G,0)),INDEX(Торг!$C:$C,MATCH(Прайс!$B2870,Торг!$H:$H,0))),"")</f>
        <v/>
      </c>
      <c r="H2870" s="67" t="str">
        <f>IFERROR(IFERROR(INDEX(Кат!$I:$I,MATCH(Прайс!$B2870,Кат!$G:$G,0)),INDEX(Торг!$I:$I,MATCH(Прайс!$B2870,Торг!$H:$H,0))),"")</f>
        <v/>
      </c>
    </row>
    <row r="2871" spans="1:8" ht="15.75" x14ac:dyDescent="0.25">
      <c r="A2871" s="90"/>
      <c r="B2871" s="91"/>
      <c r="C2871" s="92" t="s">
        <v>1524</v>
      </c>
      <c r="D2871" s="91"/>
      <c r="E2871" s="93"/>
      <c r="F2871" s="67" t="str">
        <f>IFERROR(IFERROR(INDEX(Кат!$A:$A,MATCH(Прайс!$B2871,Кат!$G:$G,0)),INDEX(Торг!$B:$B,MATCH(Прайс!$B2871,Торг!$H:$H,0))),"")</f>
        <v/>
      </c>
      <c r="G2871" s="67" t="str">
        <f>IFERROR(IFERROR(INDEX(Кат!$B:$B,MATCH(Прайс!$B2871,Кат!$G:$G,0)),INDEX(Торг!$C:$C,MATCH(Прайс!$B2871,Торг!$H:$H,0))),"")</f>
        <v/>
      </c>
      <c r="H2871" s="67" t="str">
        <f>IFERROR(IFERROR(INDEX(Кат!$I:$I,MATCH(Прайс!$B2871,Кат!$G:$G,0)),INDEX(Торг!$I:$I,MATCH(Прайс!$B2871,Торг!$H:$H,0))),"")</f>
        <v/>
      </c>
    </row>
    <row r="2872" spans="1:8" x14ac:dyDescent="0.25">
      <c r="A2872" s="94" t="s">
        <v>4136</v>
      </c>
      <c r="B2872" s="98">
        <v>22002</v>
      </c>
      <c r="C2872" s="98" t="s">
        <v>1525</v>
      </c>
      <c r="D2872" s="96" t="s">
        <v>190</v>
      </c>
      <c r="E2872" s="97">
        <v>47</v>
      </c>
      <c r="F2872" s="67" t="str">
        <f>IFERROR(IFERROR(INDEX(Кат!$A:$A,MATCH(Прайс!$B2872,Кат!$G:$G,0)),INDEX(Торг!$B:$B,MATCH(Прайс!$B2872,Торг!$H:$H,0))),"")</f>
        <v/>
      </c>
      <c r="G2872" s="67" t="str">
        <f>IFERROR(IFERROR(INDEX(Кат!$B:$B,MATCH(Прайс!$B2872,Кат!$G:$G,0)),INDEX(Торг!$C:$C,MATCH(Прайс!$B2872,Торг!$H:$H,0))),"")</f>
        <v/>
      </c>
      <c r="H2872" s="67" t="str">
        <f>IFERROR(IFERROR(INDEX(Кат!$I:$I,MATCH(Прайс!$B2872,Кат!$G:$G,0)),INDEX(Торг!$I:$I,MATCH(Прайс!$B2872,Торг!$H:$H,0))),"")</f>
        <v/>
      </c>
    </row>
    <row r="2873" spans="1:8" ht="15.75" x14ac:dyDescent="0.25">
      <c r="A2873" s="90"/>
      <c r="B2873" s="91"/>
      <c r="C2873" s="92" t="s">
        <v>1526</v>
      </c>
      <c r="D2873" s="91"/>
      <c r="E2873" s="93"/>
      <c r="F2873" s="67" t="str">
        <f>IFERROR(IFERROR(INDEX(Кат!$A:$A,MATCH(Прайс!$B2873,Кат!$G:$G,0)),INDEX(Торг!$B:$B,MATCH(Прайс!$B2873,Торг!$H:$H,0))),"")</f>
        <v/>
      </c>
      <c r="G2873" s="67" t="str">
        <f>IFERROR(IFERROR(INDEX(Кат!$B:$B,MATCH(Прайс!$B2873,Кат!$G:$G,0)),INDEX(Торг!$C:$C,MATCH(Прайс!$B2873,Торг!$H:$H,0))),"")</f>
        <v/>
      </c>
      <c r="H2873" s="67" t="str">
        <f>IFERROR(IFERROR(INDEX(Кат!$I:$I,MATCH(Прайс!$B2873,Кат!$G:$G,0)),INDEX(Торг!$I:$I,MATCH(Прайс!$B2873,Торг!$H:$H,0))),"")</f>
        <v/>
      </c>
    </row>
    <row r="2874" spans="1:8" x14ac:dyDescent="0.25">
      <c r="A2874" s="99" t="s">
        <v>7791</v>
      </c>
      <c r="B2874" s="108">
        <v>22007</v>
      </c>
      <c r="C2874" s="108" t="s">
        <v>7792</v>
      </c>
      <c r="D2874" s="101" t="s">
        <v>375</v>
      </c>
      <c r="E2874" s="114">
        <v>3600</v>
      </c>
      <c r="F2874" s="67" t="str">
        <f>IFERROR(IFERROR(INDEX(Кат!$A:$A,MATCH(Прайс!$B2874,Кат!$G:$G,0)),INDEX(Торг!$B:$B,MATCH(Прайс!$B2874,Торг!$H:$H,0))),"")</f>
        <v/>
      </c>
      <c r="G2874" s="67" t="str">
        <f>IFERROR(IFERROR(INDEX(Кат!$B:$B,MATCH(Прайс!$B2874,Кат!$G:$G,0)),INDEX(Торг!$C:$C,MATCH(Прайс!$B2874,Торг!$H:$H,0))),"")</f>
        <v/>
      </c>
      <c r="H2874" s="67" t="str">
        <f>IFERROR(IFERROR(INDEX(Кат!$I:$I,MATCH(Прайс!$B2874,Кат!$G:$G,0)),INDEX(Торг!$I:$I,MATCH(Прайс!$B2874,Торг!$H:$H,0))),"")</f>
        <v/>
      </c>
    </row>
    <row r="2875" spans="1:8" x14ac:dyDescent="0.25">
      <c r="A2875" s="99" t="s">
        <v>4137</v>
      </c>
      <c r="B2875" s="108">
        <v>22008</v>
      </c>
      <c r="C2875" s="108" t="s">
        <v>1527</v>
      </c>
      <c r="D2875" s="101" t="s">
        <v>433</v>
      </c>
      <c r="E2875" s="114">
        <v>3850</v>
      </c>
      <c r="F2875" s="67" t="str">
        <f>IFERROR(IFERROR(INDEX(Кат!$A:$A,MATCH(Прайс!$B2875,Кат!$G:$G,0)),INDEX(Торг!$B:$B,MATCH(Прайс!$B2875,Торг!$H:$H,0))),"")</f>
        <v/>
      </c>
      <c r="G2875" s="67" t="str">
        <f>IFERROR(IFERROR(INDEX(Кат!$B:$B,MATCH(Прайс!$B2875,Кат!$G:$G,0)),INDEX(Торг!$C:$C,MATCH(Прайс!$B2875,Торг!$H:$H,0))),"")</f>
        <v/>
      </c>
      <c r="H2875" s="67" t="str">
        <f>IFERROR(IFERROR(INDEX(Кат!$I:$I,MATCH(Прайс!$B2875,Кат!$G:$G,0)),INDEX(Торг!$I:$I,MATCH(Прайс!$B2875,Торг!$H:$H,0))),"")</f>
        <v/>
      </c>
    </row>
    <row r="2876" spans="1:8" x14ac:dyDescent="0.25">
      <c r="A2876" s="99" t="s">
        <v>4138</v>
      </c>
      <c r="B2876" s="108">
        <v>22009</v>
      </c>
      <c r="C2876" s="108" t="s">
        <v>1528</v>
      </c>
      <c r="D2876" s="101" t="s">
        <v>375</v>
      </c>
      <c r="E2876" s="114">
        <v>4200</v>
      </c>
      <c r="F2876" s="67" t="str">
        <f>IFERROR(IFERROR(INDEX(Кат!$A:$A,MATCH(Прайс!$B2876,Кат!$G:$G,0)),INDEX(Торг!$B:$B,MATCH(Прайс!$B2876,Торг!$H:$H,0))),"")</f>
        <v/>
      </c>
      <c r="G2876" s="67" t="str">
        <f>IFERROR(IFERROR(INDEX(Кат!$B:$B,MATCH(Прайс!$B2876,Кат!$G:$G,0)),INDEX(Торг!$C:$C,MATCH(Прайс!$B2876,Торг!$H:$H,0))),"")</f>
        <v/>
      </c>
      <c r="H2876" s="67" t="str">
        <f>IFERROR(IFERROR(INDEX(Кат!$I:$I,MATCH(Прайс!$B2876,Кат!$G:$G,0)),INDEX(Торг!$I:$I,MATCH(Прайс!$B2876,Торг!$H:$H,0))),"")</f>
        <v/>
      </c>
    </row>
    <row r="2877" spans="1:8" x14ac:dyDescent="0.25">
      <c r="A2877" s="99" t="s">
        <v>4139</v>
      </c>
      <c r="B2877" s="108">
        <v>22010</v>
      </c>
      <c r="C2877" s="108" t="s">
        <v>1529</v>
      </c>
      <c r="D2877" s="101" t="s">
        <v>375</v>
      </c>
      <c r="E2877" s="114">
        <v>4880</v>
      </c>
      <c r="F2877" s="67" t="str">
        <f>IFERROR(IFERROR(INDEX(Кат!$A:$A,MATCH(Прайс!$B2877,Кат!$G:$G,0)),INDEX(Торг!$B:$B,MATCH(Прайс!$B2877,Торг!$H:$H,0))),"")</f>
        <v/>
      </c>
      <c r="G2877" s="67" t="str">
        <f>IFERROR(IFERROR(INDEX(Кат!$B:$B,MATCH(Прайс!$B2877,Кат!$G:$G,0)),INDEX(Торг!$C:$C,MATCH(Прайс!$B2877,Торг!$H:$H,0))),"")</f>
        <v/>
      </c>
      <c r="H2877" s="67" t="str">
        <f>IFERROR(IFERROR(INDEX(Кат!$I:$I,MATCH(Прайс!$B2877,Кат!$G:$G,0)),INDEX(Торг!$I:$I,MATCH(Прайс!$B2877,Торг!$H:$H,0))),"")</f>
        <v/>
      </c>
    </row>
    <row r="2878" spans="1:8" x14ac:dyDescent="0.25">
      <c r="A2878" s="99" t="s">
        <v>4140</v>
      </c>
      <c r="B2878" s="108">
        <v>22011</v>
      </c>
      <c r="C2878" s="108" t="s">
        <v>1530</v>
      </c>
      <c r="D2878" s="101" t="s">
        <v>375</v>
      </c>
      <c r="E2878" s="114">
        <v>5340</v>
      </c>
      <c r="F2878" s="67" t="str">
        <f>IFERROR(IFERROR(INDEX(Кат!$A:$A,MATCH(Прайс!$B2878,Кат!$G:$G,0)),INDEX(Торг!$B:$B,MATCH(Прайс!$B2878,Торг!$H:$H,0))),"")</f>
        <v/>
      </c>
      <c r="G2878" s="67" t="str">
        <f>IFERROR(IFERROR(INDEX(Кат!$B:$B,MATCH(Прайс!$B2878,Кат!$G:$G,0)),INDEX(Торг!$C:$C,MATCH(Прайс!$B2878,Торг!$H:$H,0))),"")</f>
        <v/>
      </c>
      <c r="H2878" s="67" t="str">
        <f>IFERROR(IFERROR(INDEX(Кат!$I:$I,MATCH(Прайс!$B2878,Кат!$G:$G,0)),INDEX(Торг!$I:$I,MATCH(Прайс!$B2878,Торг!$H:$H,0))),"")</f>
        <v/>
      </c>
    </row>
    <row r="2879" spans="1:8" x14ac:dyDescent="0.25">
      <c r="A2879" s="99" t="s">
        <v>4141</v>
      </c>
      <c r="B2879" s="108">
        <v>22012</v>
      </c>
      <c r="C2879" s="108" t="s">
        <v>1531</v>
      </c>
      <c r="D2879" s="101" t="s">
        <v>375</v>
      </c>
      <c r="E2879" s="114">
        <v>5900</v>
      </c>
      <c r="F2879" s="67" t="str">
        <f>IFERROR(IFERROR(INDEX(Кат!$A:$A,MATCH(Прайс!$B2879,Кат!$G:$G,0)),INDEX(Торг!$B:$B,MATCH(Прайс!$B2879,Торг!$H:$H,0))),"")</f>
        <v/>
      </c>
      <c r="G2879" s="67" t="str">
        <f>IFERROR(IFERROR(INDEX(Кат!$B:$B,MATCH(Прайс!$B2879,Кат!$G:$G,0)),INDEX(Торг!$C:$C,MATCH(Прайс!$B2879,Торг!$H:$H,0))),"")</f>
        <v/>
      </c>
      <c r="H2879" s="67" t="str">
        <f>IFERROR(IFERROR(INDEX(Кат!$I:$I,MATCH(Прайс!$B2879,Кат!$G:$G,0)),INDEX(Торг!$I:$I,MATCH(Прайс!$B2879,Торг!$H:$H,0))),"")</f>
        <v/>
      </c>
    </row>
    <row r="2880" spans="1:8" x14ac:dyDescent="0.25">
      <c r="A2880" s="99" t="s">
        <v>4142</v>
      </c>
      <c r="B2880" s="108">
        <v>22013</v>
      </c>
      <c r="C2880" s="108" t="s">
        <v>1532</v>
      </c>
      <c r="D2880" s="101" t="s">
        <v>582</v>
      </c>
      <c r="E2880" s="114">
        <v>3960</v>
      </c>
      <c r="F2880" s="67" t="str">
        <f>IFERROR(IFERROR(INDEX(Кат!$A:$A,MATCH(Прайс!$B2880,Кат!$G:$G,0)),INDEX(Торг!$B:$B,MATCH(Прайс!$B2880,Торг!$H:$H,0))),"")</f>
        <v/>
      </c>
      <c r="G2880" s="67" t="str">
        <f>IFERROR(IFERROR(INDEX(Кат!$B:$B,MATCH(Прайс!$B2880,Кат!$G:$G,0)),INDEX(Торг!$C:$C,MATCH(Прайс!$B2880,Торг!$H:$H,0))),"")</f>
        <v/>
      </c>
      <c r="H2880" s="67" t="str">
        <f>IFERROR(IFERROR(INDEX(Кат!$I:$I,MATCH(Прайс!$B2880,Кат!$G:$G,0)),INDEX(Торг!$I:$I,MATCH(Прайс!$B2880,Торг!$H:$H,0))),"")</f>
        <v/>
      </c>
    </row>
    <row r="2881" spans="1:8" x14ac:dyDescent="0.25">
      <c r="A2881" s="99" t="s">
        <v>4143</v>
      </c>
      <c r="B2881" s="108">
        <v>22014</v>
      </c>
      <c r="C2881" s="108" t="s">
        <v>1533</v>
      </c>
      <c r="D2881" s="101" t="s">
        <v>582</v>
      </c>
      <c r="E2881" s="114">
        <v>4290</v>
      </c>
      <c r="F2881" s="67" t="str">
        <f>IFERROR(IFERROR(INDEX(Кат!$A:$A,MATCH(Прайс!$B2881,Кат!$G:$G,0)),INDEX(Торг!$B:$B,MATCH(Прайс!$B2881,Торг!$H:$H,0))),"")</f>
        <v/>
      </c>
      <c r="G2881" s="67" t="str">
        <f>IFERROR(IFERROR(INDEX(Кат!$B:$B,MATCH(Прайс!$B2881,Кат!$G:$G,0)),INDEX(Торг!$C:$C,MATCH(Прайс!$B2881,Торг!$H:$H,0))),"")</f>
        <v/>
      </c>
      <c r="H2881" s="67" t="str">
        <f>IFERROR(IFERROR(INDEX(Кат!$I:$I,MATCH(Прайс!$B2881,Кат!$G:$G,0)),INDEX(Торг!$I:$I,MATCH(Прайс!$B2881,Торг!$H:$H,0))),"")</f>
        <v/>
      </c>
    </row>
    <row r="2882" spans="1:8" x14ac:dyDescent="0.25">
      <c r="A2882" s="99" t="s">
        <v>4144</v>
      </c>
      <c r="B2882" s="108">
        <v>22015</v>
      </c>
      <c r="C2882" s="108" t="s">
        <v>1534</v>
      </c>
      <c r="D2882" s="101" t="s">
        <v>582</v>
      </c>
      <c r="E2882" s="114">
        <v>4510</v>
      </c>
      <c r="F2882" s="67" t="str">
        <f>IFERROR(IFERROR(INDEX(Кат!$A:$A,MATCH(Прайс!$B2882,Кат!$G:$G,0)),INDEX(Торг!$B:$B,MATCH(Прайс!$B2882,Торг!$H:$H,0))),"")</f>
        <v/>
      </c>
      <c r="G2882" s="67" t="str">
        <f>IFERROR(IFERROR(INDEX(Кат!$B:$B,MATCH(Прайс!$B2882,Кат!$G:$G,0)),INDEX(Торг!$C:$C,MATCH(Прайс!$B2882,Торг!$H:$H,0))),"")</f>
        <v/>
      </c>
      <c r="H2882" s="67" t="str">
        <f>IFERROR(IFERROR(INDEX(Кат!$I:$I,MATCH(Прайс!$B2882,Кат!$G:$G,0)),INDEX(Торг!$I:$I,MATCH(Прайс!$B2882,Торг!$H:$H,0))),"")</f>
        <v/>
      </c>
    </row>
    <row r="2883" spans="1:8" x14ac:dyDescent="0.25">
      <c r="A2883" s="99" t="s">
        <v>5984</v>
      </c>
      <c r="B2883" s="108">
        <v>22003</v>
      </c>
      <c r="C2883" s="108" t="s">
        <v>5985</v>
      </c>
      <c r="D2883" s="101" t="s">
        <v>433</v>
      </c>
      <c r="E2883" s="114">
        <v>1920</v>
      </c>
      <c r="F2883" s="67" t="str">
        <f>IFERROR(IFERROR(INDEX(Кат!$A:$A,MATCH(Прайс!$B2883,Кат!$G:$G,0)),INDEX(Торг!$B:$B,MATCH(Прайс!$B2883,Торг!$H:$H,0))),"")</f>
        <v/>
      </c>
      <c r="G2883" s="67" t="str">
        <f>IFERROR(IFERROR(INDEX(Кат!$B:$B,MATCH(Прайс!$B2883,Кат!$G:$G,0)),INDEX(Торг!$C:$C,MATCH(Прайс!$B2883,Торг!$H:$H,0))),"")</f>
        <v/>
      </c>
      <c r="H2883" s="67" t="str">
        <f>IFERROR(IFERROR(INDEX(Кат!$I:$I,MATCH(Прайс!$B2883,Кат!$G:$G,0)),INDEX(Торг!$I:$I,MATCH(Прайс!$B2883,Торг!$H:$H,0))),"")</f>
        <v/>
      </c>
    </row>
    <row r="2884" spans="1:8" x14ac:dyDescent="0.25">
      <c r="A2884" s="99" t="s">
        <v>4145</v>
      </c>
      <c r="B2884" s="108">
        <v>22004</v>
      </c>
      <c r="C2884" s="108" t="s">
        <v>1535</v>
      </c>
      <c r="D2884" s="101" t="s">
        <v>433</v>
      </c>
      <c r="E2884" s="114">
        <v>2220</v>
      </c>
      <c r="F2884" s="67" t="str">
        <f>IFERROR(IFERROR(INDEX(Кат!$A:$A,MATCH(Прайс!$B2884,Кат!$G:$G,0)),INDEX(Торг!$B:$B,MATCH(Прайс!$B2884,Торг!$H:$H,0))),"")</f>
        <v/>
      </c>
      <c r="G2884" s="67" t="str">
        <f>IFERROR(IFERROR(INDEX(Кат!$B:$B,MATCH(Прайс!$B2884,Кат!$G:$G,0)),INDEX(Торг!$C:$C,MATCH(Прайс!$B2884,Торг!$H:$H,0))),"")</f>
        <v/>
      </c>
      <c r="H2884" s="67" t="str">
        <f>IFERROR(IFERROR(INDEX(Кат!$I:$I,MATCH(Прайс!$B2884,Кат!$G:$G,0)),INDEX(Торг!$I:$I,MATCH(Прайс!$B2884,Торг!$H:$H,0))),"")</f>
        <v/>
      </c>
    </row>
    <row r="2885" spans="1:8" x14ac:dyDescent="0.25">
      <c r="A2885" s="99" t="s">
        <v>4146</v>
      </c>
      <c r="B2885" s="108">
        <v>22005</v>
      </c>
      <c r="C2885" s="108" t="s">
        <v>1536</v>
      </c>
      <c r="D2885" s="101" t="s">
        <v>433</v>
      </c>
      <c r="E2885" s="114">
        <v>1940</v>
      </c>
      <c r="F2885" s="67" t="str">
        <f>IFERROR(IFERROR(INDEX(Кат!$A:$A,MATCH(Прайс!$B2885,Кат!$G:$G,0)),INDEX(Торг!$B:$B,MATCH(Прайс!$B2885,Торг!$H:$H,0))),"")</f>
        <v/>
      </c>
      <c r="G2885" s="67" t="str">
        <f>IFERROR(IFERROR(INDEX(Кат!$B:$B,MATCH(Прайс!$B2885,Кат!$G:$G,0)),INDEX(Торг!$C:$C,MATCH(Прайс!$B2885,Торг!$H:$H,0))),"")</f>
        <v/>
      </c>
      <c r="H2885" s="67" t="str">
        <f>IFERROR(IFERROR(INDEX(Кат!$I:$I,MATCH(Прайс!$B2885,Кат!$G:$G,0)),INDEX(Торг!$I:$I,MATCH(Прайс!$B2885,Торг!$H:$H,0))),"")</f>
        <v/>
      </c>
    </row>
    <row r="2886" spans="1:8" x14ac:dyDescent="0.25">
      <c r="A2886" s="99" t="s">
        <v>4147</v>
      </c>
      <c r="B2886" s="108">
        <v>22006</v>
      </c>
      <c r="C2886" s="108" t="s">
        <v>1537</v>
      </c>
      <c r="D2886" s="101" t="s">
        <v>433</v>
      </c>
      <c r="E2886" s="114">
        <v>2700</v>
      </c>
      <c r="F2886" s="67" t="str">
        <f>IFERROR(IFERROR(INDEX(Кат!$A:$A,MATCH(Прайс!$B2886,Кат!$G:$G,0)),INDEX(Торг!$B:$B,MATCH(Прайс!$B2886,Торг!$H:$H,0))),"")</f>
        <v/>
      </c>
      <c r="G2886" s="67" t="str">
        <f>IFERROR(IFERROR(INDEX(Кат!$B:$B,MATCH(Прайс!$B2886,Кат!$G:$G,0)),INDEX(Торг!$C:$C,MATCH(Прайс!$B2886,Торг!$H:$H,0))),"")</f>
        <v/>
      </c>
      <c r="H2886" s="67" t="str">
        <f>IFERROR(IFERROR(INDEX(Кат!$I:$I,MATCH(Прайс!$B2886,Кат!$G:$G,0)),INDEX(Торг!$I:$I,MATCH(Прайс!$B2886,Торг!$H:$H,0))),"")</f>
        <v/>
      </c>
    </row>
    <row r="2887" spans="1:8" x14ac:dyDescent="0.25">
      <c r="A2887" s="99" t="s">
        <v>4148</v>
      </c>
      <c r="B2887" s="108">
        <v>22052</v>
      </c>
      <c r="C2887" s="108" t="s">
        <v>1538</v>
      </c>
      <c r="D2887" s="101" t="s">
        <v>433</v>
      </c>
      <c r="E2887" s="114">
        <v>1420</v>
      </c>
      <c r="F2887" s="67" t="str">
        <f>IFERROR(IFERROR(INDEX(Кат!$A:$A,MATCH(Прайс!$B2887,Кат!$G:$G,0)),INDEX(Торг!$B:$B,MATCH(Прайс!$B2887,Торг!$H:$H,0))),"")</f>
        <v/>
      </c>
      <c r="G2887" s="67" t="str">
        <f>IFERROR(IFERROR(INDEX(Кат!$B:$B,MATCH(Прайс!$B2887,Кат!$G:$G,0)),INDEX(Торг!$C:$C,MATCH(Прайс!$B2887,Торг!$H:$H,0))),"")</f>
        <v/>
      </c>
      <c r="H2887" s="67" t="str">
        <f>IFERROR(IFERROR(INDEX(Кат!$I:$I,MATCH(Прайс!$B2887,Кат!$G:$G,0)),INDEX(Торг!$I:$I,MATCH(Прайс!$B2887,Торг!$H:$H,0))),"")</f>
        <v/>
      </c>
    </row>
    <row r="2888" spans="1:8" x14ac:dyDescent="0.25">
      <c r="A2888" s="99" t="s">
        <v>4149</v>
      </c>
      <c r="B2888" s="108">
        <v>22053</v>
      </c>
      <c r="C2888" s="108" t="s">
        <v>1539</v>
      </c>
      <c r="D2888" s="101" t="s">
        <v>174</v>
      </c>
      <c r="E2888" s="114">
        <v>1890</v>
      </c>
      <c r="F2888" s="67" t="str">
        <f>IFERROR(IFERROR(INDEX(Кат!$A:$A,MATCH(Прайс!$B2888,Кат!$G:$G,0)),INDEX(Торг!$B:$B,MATCH(Прайс!$B2888,Торг!$H:$H,0))),"")</f>
        <v/>
      </c>
      <c r="G2888" s="67" t="str">
        <f>IFERROR(IFERROR(INDEX(Кат!$B:$B,MATCH(Прайс!$B2888,Кат!$G:$G,0)),INDEX(Торг!$C:$C,MATCH(Прайс!$B2888,Торг!$H:$H,0))),"")</f>
        <v/>
      </c>
      <c r="H2888" s="67" t="str">
        <f>IFERROR(IFERROR(INDEX(Кат!$I:$I,MATCH(Прайс!$B2888,Кат!$G:$G,0)),INDEX(Торг!$I:$I,MATCH(Прайс!$B2888,Торг!$H:$H,0))),"")</f>
        <v/>
      </c>
    </row>
    <row r="2889" spans="1:8" x14ac:dyDescent="0.25">
      <c r="A2889" s="99" t="s">
        <v>4150</v>
      </c>
      <c r="B2889" s="108">
        <v>22050</v>
      </c>
      <c r="C2889" s="108" t="s">
        <v>1540</v>
      </c>
      <c r="D2889" s="101" t="s">
        <v>160</v>
      </c>
      <c r="E2889" s="114">
        <v>1000</v>
      </c>
      <c r="F2889" s="67" t="str">
        <f>IFERROR(IFERROR(INDEX(Кат!$A:$A,MATCH(Прайс!$B2889,Кат!$G:$G,0)),INDEX(Торг!$B:$B,MATCH(Прайс!$B2889,Торг!$H:$H,0))),"")</f>
        <v/>
      </c>
      <c r="G2889" s="67" t="str">
        <f>IFERROR(IFERROR(INDEX(Кат!$B:$B,MATCH(Прайс!$B2889,Кат!$G:$G,0)),INDEX(Торг!$C:$C,MATCH(Прайс!$B2889,Торг!$H:$H,0))),"")</f>
        <v/>
      </c>
      <c r="H2889" s="67" t="str">
        <f>IFERROR(IFERROR(INDEX(Кат!$I:$I,MATCH(Прайс!$B2889,Кат!$G:$G,0)),INDEX(Торг!$I:$I,MATCH(Прайс!$B2889,Торг!$H:$H,0))),"")</f>
        <v/>
      </c>
    </row>
    <row r="2890" spans="1:8" x14ac:dyDescent="0.25">
      <c r="A2890" s="99" t="s">
        <v>4151</v>
      </c>
      <c r="B2890" s="108">
        <v>22051</v>
      </c>
      <c r="C2890" s="108" t="s">
        <v>1541</v>
      </c>
      <c r="D2890" s="101" t="s">
        <v>160</v>
      </c>
      <c r="E2890" s="114">
        <v>1250</v>
      </c>
      <c r="F2890" s="67" t="str">
        <f>IFERROR(IFERROR(INDEX(Кат!$A:$A,MATCH(Прайс!$B2890,Кат!$G:$G,0)),INDEX(Торг!$B:$B,MATCH(Прайс!$B2890,Торг!$H:$H,0))),"")</f>
        <v/>
      </c>
      <c r="G2890" s="67" t="str">
        <f>IFERROR(IFERROR(INDEX(Кат!$B:$B,MATCH(Прайс!$B2890,Кат!$G:$G,0)),INDEX(Торг!$C:$C,MATCH(Прайс!$B2890,Торг!$H:$H,0))),"")</f>
        <v/>
      </c>
      <c r="H2890" s="67" t="str">
        <f>IFERROR(IFERROR(INDEX(Кат!$I:$I,MATCH(Прайс!$B2890,Кат!$G:$G,0)),INDEX(Торг!$I:$I,MATCH(Прайс!$B2890,Торг!$H:$H,0))),"")</f>
        <v/>
      </c>
    </row>
    <row r="2891" spans="1:8" ht="15.75" x14ac:dyDescent="0.25">
      <c r="A2891" s="90"/>
      <c r="B2891" s="91"/>
      <c r="C2891" s="92" t="s">
        <v>1542</v>
      </c>
      <c r="D2891" s="91"/>
      <c r="E2891" s="93"/>
      <c r="F2891" s="67" t="str">
        <f>IFERROR(IFERROR(INDEX(Кат!$A:$A,MATCH(Прайс!$B2891,Кат!$G:$G,0)),INDEX(Торг!$B:$B,MATCH(Прайс!$B2891,Торг!$H:$H,0))),"")</f>
        <v/>
      </c>
      <c r="G2891" s="67" t="str">
        <f>IFERROR(IFERROR(INDEX(Кат!$B:$B,MATCH(Прайс!$B2891,Кат!$G:$G,0)),INDEX(Торг!$C:$C,MATCH(Прайс!$B2891,Торг!$H:$H,0))),"")</f>
        <v/>
      </c>
      <c r="H2891" s="67" t="str">
        <f>IFERROR(IFERROR(INDEX(Кат!$I:$I,MATCH(Прайс!$B2891,Кат!$G:$G,0)),INDEX(Торг!$I:$I,MATCH(Прайс!$B2891,Торг!$H:$H,0))),"")</f>
        <v/>
      </c>
    </row>
    <row r="2892" spans="1:8" x14ac:dyDescent="0.25">
      <c r="A2892" s="99" t="s">
        <v>4152</v>
      </c>
      <c r="B2892" s="108">
        <v>22029</v>
      </c>
      <c r="C2892" s="108" t="s">
        <v>1543</v>
      </c>
      <c r="D2892" s="101" t="s">
        <v>398</v>
      </c>
      <c r="E2892" s="102">
        <v>460</v>
      </c>
      <c r="F2892" s="67" t="str">
        <f>IFERROR(IFERROR(INDEX(Кат!$A:$A,MATCH(Прайс!$B2892,Кат!$G:$G,0)),INDEX(Торг!$B:$B,MATCH(Прайс!$B2892,Торг!$H:$H,0))),"")</f>
        <v/>
      </c>
      <c r="G2892" s="67" t="str">
        <f>IFERROR(IFERROR(INDEX(Кат!$B:$B,MATCH(Прайс!$B2892,Кат!$G:$G,0)),INDEX(Торг!$C:$C,MATCH(Прайс!$B2892,Торг!$H:$H,0))),"")</f>
        <v/>
      </c>
      <c r="H2892" s="67" t="str">
        <f>IFERROR(IFERROR(INDEX(Кат!$I:$I,MATCH(Прайс!$B2892,Кат!$G:$G,0)),INDEX(Торг!$I:$I,MATCH(Прайс!$B2892,Торг!$H:$H,0))),"")</f>
        <v/>
      </c>
    </row>
    <row r="2893" spans="1:8" x14ac:dyDescent="0.25">
      <c r="A2893" s="99" t="s">
        <v>4153</v>
      </c>
      <c r="B2893" s="108">
        <v>22030</v>
      </c>
      <c r="C2893" s="108" t="s">
        <v>1544</v>
      </c>
      <c r="D2893" s="101" t="s">
        <v>337</v>
      </c>
      <c r="E2893" s="102">
        <v>410</v>
      </c>
      <c r="F2893" s="67" t="str">
        <f>IFERROR(IFERROR(INDEX(Кат!$A:$A,MATCH(Прайс!$B2893,Кат!$G:$G,0)),INDEX(Торг!$B:$B,MATCH(Прайс!$B2893,Торг!$H:$H,0))),"")</f>
        <v/>
      </c>
      <c r="G2893" s="67" t="str">
        <f>IFERROR(IFERROR(INDEX(Кат!$B:$B,MATCH(Прайс!$B2893,Кат!$G:$G,0)),INDEX(Торг!$C:$C,MATCH(Прайс!$B2893,Торг!$H:$H,0))),"")</f>
        <v/>
      </c>
      <c r="H2893" s="67" t="str">
        <f>IFERROR(IFERROR(INDEX(Кат!$I:$I,MATCH(Прайс!$B2893,Кат!$G:$G,0)),INDEX(Торг!$I:$I,MATCH(Прайс!$B2893,Торг!$H:$H,0))),"")</f>
        <v/>
      </c>
    </row>
    <row r="2894" spans="1:8" x14ac:dyDescent="0.25">
      <c r="A2894" s="99" t="s">
        <v>4154</v>
      </c>
      <c r="B2894" s="108">
        <v>22031</v>
      </c>
      <c r="C2894" s="108" t="s">
        <v>2140</v>
      </c>
      <c r="D2894" s="101" t="s">
        <v>160</v>
      </c>
      <c r="E2894" s="102">
        <v>670</v>
      </c>
      <c r="F2894" s="67" t="str">
        <f>IFERROR(IFERROR(INDEX(Кат!$A:$A,MATCH(Прайс!$B2894,Кат!$G:$G,0)),INDEX(Торг!$B:$B,MATCH(Прайс!$B2894,Торг!$H:$H,0))),"")</f>
        <v/>
      </c>
      <c r="G2894" s="67" t="str">
        <f>IFERROR(IFERROR(INDEX(Кат!$B:$B,MATCH(Прайс!$B2894,Кат!$G:$G,0)),INDEX(Торг!$C:$C,MATCH(Прайс!$B2894,Торг!$H:$H,0))),"")</f>
        <v/>
      </c>
      <c r="H2894" s="67" t="str">
        <f>IFERROR(IFERROR(INDEX(Кат!$I:$I,MATCH(Прайс!$B2894,Кат!$G:$G,0)),INDEX(Торг!$I:$I,MATCH(Прайс!$B2894,Торг!$H:$H,0))),"")</f>
        <v/>
      </c>
    </row>
    <row r="2895" spans="1:8" x14ac:dyDescent="0.25">
      <c r="A2895" s="99" t="s">
        <v>7017</v>
      </c>
      <c r="B2895" s="108">
        <v>22032</v>
      </c>
      <c r="C2895" s="108" t="s">
        <v>7018</v>
      </c>
      <c r="D2895" s="101" t="s">
        <v>160</v>
      </c>
      <c r="E2895" s="102">
        <v>650</v>
      </c>
      <c r="F2895" s="67" t="str">
        <f>IFERROR(IFERROR(INDEX(Кат!$A:$A,MATCH(Прайс!$B2895,Кат!$G:$G,0)),INDEX(Торг!$B:$B,MATCH(Прайс!$B2895,Торг!$H:$H,0))),"")</f>
        <v/>
      </c>
      <c r="G2895" s="67" t="str">
        <f>IFERROR(IFERROR(INDEX(Кат!$B:$B,MATCH(Прайс!$B2895,Кат!$G:$G,0)),INDEX(Торг!$C:$C,MATCH(Прайс!$B2895,Торг!$H:$H,0))),"")</f>
        <v/>
      </c>
      <c r="H2895" s="67" t="str">
        <f>IFERROR(IFERROR(INDEX(Кат!$I:$I,MATCH(Прайс!$B2895,Кат!$G:$G,0)),INDEX(Торг!$I:$I,MATCH(Прайс!$B2895,Торг!$H:$H,0))),"")</f>
        <v/>
      </c>
    </row>
    <row r="2896" spans="1:8" x14ac:dyDescent="0.25">
      <c r="A2896" s="99" t="s">
        <v>4155</v>
      </c>
      <c r="B2896" s="108">
        <v>22033</v>
      </c>
      <c r="C2896" s="108" t="s">
        <v>1545</v>
      </c>
      <c r="D2896" s="101" t="s">
        <v>162</v>
      </c>
      <c r="E2896" s="102">
        <v>800</v>
      </c>
      <c r="F2896" s="67" t="str">
        <f>IFERROR(IFERROR(INDEX(Кат!$A:$A,MATCH(Прайс!$B2896,Кат!$G:$G,0)),INDEX(Торг!$B:$B,MATCH(Прайс!$B2896,Торг!$H:$H,0))),"")</f>
        <v/>
      </c>
      <c r="G2896" s="67" t="str">
        <f>IFERROR(IFERROR(INDEX(Кат!$B:$B,MATCH(Прайс!$B2896,Кат!$G:$G,0)),INDEX(Торг!$C:$C,MATCH(Прайс!$B2896,Торг!$H:$H,0))),"")</f>
        <v/>
      </c>
      <c r="H2896" s="67" t="str">
        <f>IFERROR(IFERROR(INDEX(Кат!$I:$I,MATCH(Прайс!$B2896,Кат!$G:$G,0)),INDEX(Торг!$I:$I,MATCH(Прайс!$B2896,Торг!$H:$H,0))),"")</f>
        <v/>
      </c>
    </row>
    <row r="2897" spans="1:8" x14ac:dyDescent="0.25">
      <c r="A2897" s="99" t="s">
        <v>4156</v>
      </c>
      <c r="B2897" s="108">
        <v>22028</v>
      </c>
      <c r="C2897" s="108" t="s">
        <v>1546</v>
      </c>
      <c r="D2897" s="101" t="s">
        <v>161</v>
      </c>
      <c r="E2897" s="102">
        <v>350</v>
      </c>
      <c r="F2897" s="67" t="str">
        <f>IFERROR(IFERROR(INDEX(Кат!$A:$A,MATCH(Прайс!$B2897,Кат!$G:$G,0)),INDEX(Торг!$B:$B,MATCH(Прайс!$B2897,Торг!$H:$H,0))),"")</f>
        <v/>
      </c>
      <c r="G2897" s="67" t="str">
        <f>IFERROR(IFERROR(INDEX(Кат!$B:$B,MATCH(Прайс!$B2897,Кат!$G:$G,0)),INDEX(Торг!$C:$C,MATCH(Прайс!$B2897,Торг!$H:$H,0))),"")</f>
        <v/>
      </c>
      <c r="H2897" s="67" t="str">
        <f>IFERROR(IFERROR(INDEX(Кат!$I:$I,MATCH(Прайс!$B2897,Кат!$G:$G,0)),INDEX(Торг!$I:$I,MATCH(Прайс!$B2897,Торг!$H:$H,0))),"")</f>
        <v/>
      </c>
    </row>
    <row r="2898" spans="1:8" x14ac:dyDescent="0.25">
      <c r="A2898" s="99" t="s">
        <v>4158</v>
      </c>
      <c r="B2898" s="108">
        <v>22058</v>
      </c>
      <c r="C2898" s="108" t="s">
        <v>1547</v>
      </c>
      <c r="D2898" s="101" t="s">
        <v>161</v>
      </c>
      <c r="E2898" s="102">
        <v>360</v>
      </c>
      <c r="F2898" s="67" t="str">
        <f>IFERROR(IFERROR(INDEX(Кат!$A:$A,MATCH(Прайс!$B2898,Кат!$G:$G,0)),INDEX(Торг!$B:$B,MATCH(Прайс!$B2898,Торг!$H:$H,0))),"")</f>
        <v/>
      </c>
      <c r="G2898" s="67" t="str">
        <f>IFERROR(IFERROR(INDEX(Кат!$B:$B,MATCH(Прайс!$B2898,Кат!$G:$G,0)),INDEX(Торг!$C:$C,MATCH(Прайс!$B2898,Торг!$H:$H,0))),"")</f>
        <v/>
      </c>
      <c r="H2898" s="67" t="str">
        <f>IFERROR(IFERROR(INDEX(Кат!$I:$I,MATCH(Прайс!$B2898,Кат!$G:$G,0)),INDEX(Торг!$I:$I,MATCH(Прайс!$B2898,Торг!$H:$H,0))),"")</f>
        <v/>
      </c>
    </row>
    <row r="2899" spans="1:8" x14ac:dyDescent="0.25">
      <c r="A2899" s="99" t="s">
        <v>4157</v>
      </c>
      <c r="B2899" s="108">
        <v>22027</v>
      </c>
      <c r="C2899" s="108" t="s">
        <v>5331</v>
      </c>
      <c r="D2899" s="101" t="s">
        <v>166</v>
      </c>
      <c r="E2899" s="102">
        <v>260</v>
      </c>
      <c r="F2899" s="67" t="str">
        <f>IFERROR(IFERROR(INDEX(Кат!$A:$A,MATCH(Прайс!$B2899,Кат!$G:$G,0)),INDEX(Торг!$B:$B,MATCH(Прайс!$B2899,Торг!$H:$H,0))),"")</f>
        <v/>
      </c>
      <c r="G2899" s="67" t="str">
        <f>IFERROR(IFERROR(INDEX(Кат!$B:$B,MATCH(Прайс!$B2899,Кат!$G:$G,0)),INDEX(Торг!$C:$C,MATCH(Прайс!$B2899,Торг!$H:$H,0))),"")</f>
        <v/>
      </c>
      <c r="H2899" s="67" t="str">
        <f>IFERROR(IFERROR(INDEX(Кат!$I:$I,MATCH(Прайс!$B2899,Кат!$G:$G,0)),INDEX(Торг!$I:$I,MATCH(Прайс!$B2899,Торг!$H:$H,0))),"")</f>
        <v/>
      </c>
    </row>
    <row r="2900" spans="1:8" ht="15.75" x14ac:dyDescent="0.25">
      <c r="A2900" s="87"/>
      <c r="B2900" s="88"/>
      <c r="C2900" s="88" t="s">
        <v>1548</v>
      </c>
      <c r="D2900" s="88"/>
      <c r="E2900" s="89"/>
      <c r="F2900" s="67" t="str">
        <f>IFERROR(IFERROR(INDEX(Кат!$A:$A,MATCH(Прайс!$B2900,Кат!$G:$G,0)),INDEX(Торг!$B:$B,MATCH(Прайс!$B2900,Торг!$H:$H,0))),"")</f>
        <v/>
      </c>
      <c r="G2900" s="67" t="str">
        <f>IFERROR(IFERROR(INDEX(Кат!$B:$B,MATCH(Прайс!$B2900,Кат!$G:$G,0)),INDEX(Торг!$C:$C,MATCH(Прайс!$B2900,Торг!$H:$H,0))),"")</f>
        <v/>
      </c>
      <c r="H2900" s="67" t="str">
        <f>IFERROR(IFERROR(INDEX(Кат!$I:$I,MATCH(Прайс!$B2900,Кат!$G:$G,0)),INDEX(Торг!$I:$I,MATCH(Прайс!$B2900,Торг!$H:$H,0))),"")</f>
        <v/>
      </c>
    </row>
    <row r="2901" spans="1:8" ht="15.75" x14ac:dyDescent="0.25">
      <c r="A2901" s="90"/>
      <c r="B2901" s="91"/>
      <c r="C2901" s="92" t="s">
        <v>1549</v>
      </c>
      <c r="D2901" s="91"/>
      <c r="E2901" s="93"/>
      <c r="F2901" s="67" t="str">
        <f>IFERROR(IFERROR(INDEX(Кат!$A:$A,MATCH(Прайс!$B2901,Кат!$G:$G,0)),INDEX(Торг!$B:$B,MATCH(Прайс!$B2901,Торг!$H:$H,0))),"")</f>
        <v/>
      </c>
      <c r="G2901" s="67" t="str">
        <f>IFERROR(IFERROR(INDEX(Кат!$B:$B,MATCH(Прайс!$B2901,Кат!$G:$G,0)),INDEX(Торг!$C:$C,MATCH(Прайс!$B2901,Торг!$H:$H,0))),"")</f>
        <v/>
      </c>
      <c r="H2901" s="67" t="str">
        <f>IFERROR(IFERROR(INDEX(Кат!$I:$I,MATCH(Прайс!$B2901,Кат!$G:$G,0)),INDEX(Торг!$I:$I,MATCH(Прайс!$B2901,Торг!$H:$H,0))),"")</f>
        <v/>
      </c>
    </row>
    <row r="2902" spans="1:8" x14ac:dyDescent="0.25">
      <c r="A2902" s="94" t="s">
        <v>7793</v>
      </c>
      <c r="B2902" s="98">
        <v>23118</v>
      </c>
      <c r="C2902" s="98" t="s">
        <v>7794</v>
      </c>
      <c r="D2902" s="96" t="s">
        <v>162</v>
      </c>
      <c r="E2902" s="97">
        <v>900</v>
      </c>
      <c r="F2902" s="67" t="str">
        <f>IFERROR(IFERROR(INDEX(Кат!$A:$A,MATCH(Прайс!$B2902,Кат!$G:$G,0)),INDEX(Торг!$B:$B,MATCH(Прайс!$B2902,Торг!$H:$H,0))),"")</f>
        <v/>
      </c>
      <c r="G2902" s="67" t="str">
        <f>IFERROR(IFERROR(INDEX(Кат!$B:$B,MATCH(Прайс!$B2902,Кат!$G:$G,0)),INDEX(Торг!$C:$C,MATCH(Прайс!$B2902,Торг!$H:$H,0))),"")</f>
        <v/>
      </c>
      <c r="H2902" s="67" t="str">
        <f>IFERROR(IFERROR(INDEX(Кат!$I:$I,MATCH(Прайс!$B2902,Кат!$G:$G,0)),INDEX(Торг!$I:$I,MATCH(Прайс!$B2902,Торг!$H:$H,0))),"")</f>
        <v/>
      </c>
    </row>
    <row r="2903" spans="1:8" x14ac:dyDescent="0.25">
      <c r="A2903" s="99" t="s">
        <v>6428</v>
      </c>
      <c r="B2903" s="108">
        <v>23075</v>
      </c>
      <c r="C2903" s="108" t="s">
        <v>7019</v>
      </c>
      <c r="D2903" s="101" t="s">
        <v>166</v>
      </c>
      <c r="E2903" s="114">
        <v>1600</v>
      </c>
      <c r="F2903" s="67" t="str">
        <f>IFERROR(IFERROR(INDEX(Кат!$A:$A,MATCH(Прайс!$B2903,Кат!$G:$G,0)),INDEX(Торг!$B:$B,MATCH(Прайс!$B2903,Торг!$H:$H,0))),"")</f>
        <v/>
      </c>
      <c r="G2903" s="67" t="str">
        <f>IFERROR(IFERROR(INDEX(Кат!$B:$B,MATCH(Прайс!$B2903,Кат!$G:$G,0)),INDEX(Торг!$C:$C,MATCH(Прайс!$B2903,Торг!$H:$H,0))),"")</f>
        <v/>
      </c>
      <c r="H2903" s="67" t="str">
        <f>IFERROR(IFERROR(INDEX(Кат!$I:$I,MATCH(Прайс!$B2903,Кат!$G:$G,0)),INDEX(Торг!$I:$I,MATCH(Прайс!$B2903,Торг!$H:$H,0))),"")</f>
        <v/>
      </c>
    </row>
    <row r="2904" spans="1:8" x14ac:dyDescent="0.25">
      <c r="A2904" s="94" t="s">
        <v>7795</v>
      </c>
      <c r="B2904" s="98">
        <v>23116</v>
      </c>
      <c r="C2904" s="98" t="s">
        <v>7796</v>
      </c>
      <c r="D2904" s="96" t="s">
        <v>162</v>
      </c>
      <c r="E2904" s="107">
        <v>3000</v>
      </c>
      <c r="F2904" s="67" t="str">
        <f>IFERROR(IFERROR(INDEX(Кат!$A:$A,MATCH(Прайс!$B2904,Кат!$G:$G,0)),INDEX(Торг!$B:$B,MATCH(Прайс!$B2904,Торг!$H:$H,0))),"")</f>
        <v/>
      </c>
      <c r="G2904" s="67" t="str">
        <f>IFERROR(IFERROR(INDEX(Кат!$B:$B,MATCH(Прайс!$B2904,Кат!$G:$G,0)),INDEX(Торг!$C:$C,MATCH(Прайс!$B2904,Торг!$H:$H,0))),"")</f>
        <v/>
      </c>
      <c r="H2904" s="67" t="str">
        <f>IFERROR(IFERROR(INDEX(Кат!$I:$I,MATCH(Прайс!$B2904,Кат!$G:$G,0)),INDEX(Торг!$I:$I,MATCH(Прайс!$B2904,Торг!$H:$H,0))),"")</f>
        <v/>
      </c>
    </row>
    <row r="2905" spans="1:8" x14ac:dyDescent="0.25">
      <c r="A2905" s="99" t="s">
        <v>7020</v>
      </c>
      <c r="B2905" s="108">
        <v>23078</v>
      </c>
      <c r="C2905" s="108" t="s">
        <v>7021</v>
      </c>
      <c r="D2905" s="101" t="s">
        <v>162</v>
      </c>
      <c r="E2905" s="114">
        <v>3000</v>
      </c>
      <c r="F2905" s="67" t="str">
        <f>IFERROR(IFERROR(INDEX(Кат!$A:$A,MATCH(Прайс!$B2905,Кат!$G:$G,0)),INDEX(Торг!$B:$B,MATCH(Прайс!$B2905,Торг!$H:$H,0))),"")</f>
        <v/>
      </c>
      <c r="G2905" s="67" t="str">
        <f>IFERROR(IFERROR(INDEX(Кат!$B:$B,MATCH(Прайс!$B2905,Кат!$G:$G,0)),INDEX(Торг!$C:$C,MATCH(Прайс!$B2905,Торг!$H:$H,0))),"")</f>
        <v/>
      </c>
      <c r="H2905" s="67" t="str">
        <f>IFERROR(IFERROR(INDEX(Кат!$I:$I,MATCH(Прайс!$B2905,Кат!$G:$G,0)),INDEX(Торг!$I:$I,MATCH(Прайс!$B2905,Торг!$H:$H,0))),"")</f>
        <v/>
      </c>
    </row>
    <row r="2906" spans="1:8" x14ac:dyDescent="0.25">
      <c r="A2906" s="99" t="s">
        <v>7022</v>
      </c>
      <c r="B2906" s="108">
        <v>23087</v>
      </c>
      <c r="C2906" s="108" t="s">
        <v>7023</v>
      </c>
      <c r="D2906" s="101" t="s">
        <v>628</v>
      </c>
      <c r="E2906" s="114">
        <v>3400</v>
      </c>
      <c r="F2906" s="67" t="str">
        <f>IFERROR(IFERROR(INDEX(Кат!$A:$A,MATCH(Прайс!$B2906,Кат!$G:$G,0)),INDEX(Торг!$B:$B,MATCH(Прайс!$B2906,Торг!$H:$H,0))),"")</f>
        <v/>
      </c>
      <c r="G2906" s="67" t="str">
        <f>IFERROR(IFERROR(INDEX(Кат!$B:$B,MATCH(Прайс!$B2906,Кат!$G:$G,0)),INDEX(Торг!$C:$C,MATCH(Прайс!$B2906,Торг!$H:$H,0))),"")</f>
        <v/>
      </c>
      <c r="H2906" s="67" t="str">
        <f>IFERROR(IFERROR(INDEX(Кат!$I:$I,MATCH(Прайс!$B2906,Кат!$G:$G,0)),INDEX(Торг!$I:$I,MATCH(Прайс!$B2906,Торг!$H:$H,0))),"")</f>
        <v/>
      </c>
    </row>
    <row r="2907" spans="1:8" x14ac:dyDescent="0.25">
      <c r="A2907" s="99" t="s">
        <v>7024</v>
      </c>
      <c r="B2907" s="108">
        <v>23088</v>
      </c>
      <c r="C2907" s="108" t="s">
        <v>7025</v>
      </c>
      <c r="D2907" s="101" t="s">
        <v>628</v>
      </c>
      <c r="E2907" s="114">
        <v>3500</v>
      </c>
      <c r="F2907" s="67" t="str">
        <f>IFERROR(IFERROR(INDEX(Кат!$A:$A,MATCH(Прайс!$B2907,Кат!$G:$G,0)),INDEX(Торг!$B:$B,MATCH(Прайс!$B2907,Торг!$H:$H,0))),"")</f>
        <v/>
      </c>
      <c r="G2907" s="67" t="str">
        <f>IFERROR(IFERROR(INDEX(Кат!$B:$B,MATCH(Прайс!$B2907,Кат!$G:$G,0)),INDEX(Торг!$C:$C,MATCH(Прайс!$B2907,Торг!$H:$H,0))),"")</f>
        <v/>
      </c>
      <c r="H2907" s="67" t="str">
        <f>IFERROR(IFERROR(INDEX(Кат!$I:$I,MATCH(Прайс!$B2907,Кат!$G:$G,0)),INDEX(Торг!$I:$I,MATCH(Прайс!$B2907,Торг!$H:$H,0))),"")</f>
        <v/>
      </c>
    </row>
    <row r="2908" spans="1:8" x14ac:dyDescent="0.25">
      <c r="A2908" s="99" t="s">
        <v>7026</v>
      </c>
      <c r="B2908" s="108">
        <v>23077</v>
      </c>
      <c r="C2908" s="108" t="s">
        <v>7027</v>
      </c>
      <c r="D2908" s="101" t="s">
        <v>162</v>
      </c>
      <c r="E2908" s="114">
        <v>3500</v>
      </c>
      <c r="F2908" s="67" t="str">
        <f>IFERROR(IFERROR(INDEX(Кат!$A:$A,MATCH(Прайс!$B2908,Кат!$G:$G,0)),INDEX(Торг!$B:$B,MATCH(Прайс!$B2908,Торг!$H:$H,0))),"")</f>
        <v/>
      </c>
      <c r="G2908" s="67" t="str">
        <f>IFERROR(IFERROR(INDEX(Кат!$B:$B,MATCH(Прайс!$B2908,Кат!$G:$G,0)),INDEX(Торг!$C:$C,MATCH(Прайс!$B2908,Торг!$H:$H,0))),"")</f>
        <v/>
      </c>
      <c r="H2908" s="67" t="str">
        <f>IFERROR(IFERROR(INDEX(Кат!$I:$I,MATCH(Прайс!$B2908,Кат!$G:$G,0)),INDEX(Торг!$I:$I,MATCH(Прайс!$B2908,Торг!$H:$H,0))),"")</f>
        <v/>
      </c>
    </row>
    <row r="2909" spans="1:8" ht="15.75" x14ac:dyDescent="0.25">
      <c r="A2909" s="90"/>
      <c r="B2909" s="91"/>
      <c r="C2909" s="92" t="s">
        <v>1550</v>
      </c>
      <c r="D2909" s="91"/>
      <c r="E2909" s="93"/>
      <c r="F2909" s="67" t="str">
        <f>IFERROR(IFERROR(INDEX(Кат!$A:$A,MATCH(Прайс!$B2909,Кат!$G:$G,0)),INDEX(Торг!$B:$B,MATCH(Прайс!$B2909,Торг!$H:$H,0))),"")</f>
        <v/>
      </c>
      <c r="G2909" s="67" t="str">
        <f>IFERROR(IFERROR(INDEX(Кат!$B:$B,MATCH(Прайс!$B2909,Кат!$G:$G,0)),INDEX(Торг!$C:$C,MATCH(Прайс!$B2909,Торг!$H:$H,0))),"")</f>
        <v/>
      </c>
      <c r="H2909" s="67" t="str">
        <f>IFERROR(IFERROR(INDEX(Кат!$I:$I,MATCH(Прайс!$B2909,Кат!$G:$G,0)),INDEX(Торг!$I:$I,MATCH(Прайс!$B2909,Торг!$H:$H,0))),"")</f>
        <v/>
      </c>
    </row>
    <row r="2910" spans="1:8" x14ac:dyDescent="0.25">
      <c r="A2910" s="94" t="s">
        <v>4159</v>
      </c>
      <c r="B2910" s="98">
        <v>23006</v>
      </c>
      <c r="C2910" s="98" t="s">
        <v>1551</v>
      </c>
      <c r="D2910" s="96" t="s">
        <v>216</v>
      </c>
      <c r="E2910" s="97">
        <v>120</v>
      </c>
      <c r="F2910" s="67" t="str">
        <f>IFERROR(IFERROR(INDEX(Кат!$A:$A,MATCH(Прайс!$B2910,Кат!$G:$G,0)),INDEX(Торг!$B:$B,MATCH(Прайс!$B2910,Торг!$H:$H,0))),"")</f>
        <v/>
      </c>
      <c r="G2910" s="67" t="str">
        <f>IFERROR(IFERROR(INDEX(Кат!$B:$B,MATCH(Прайс!$B2910,Кат!$G:$G,0)),INDEX(Торг!$C:$C,MATCH(Прайс!$B2910,Торг!$H:$H,0))),"")</f>
        <v/>
      </c>
      <c r="H2910" s="67" t="str">
        <f>IFERROR(IFERROR(INDEX(Кат!$I:$I,MATCH(Прайс!$B2910,Кат!$G:$G,0)),INDEX(Торг!$I:$I,MATCH(Прайс!$B2910,Торг!$H:$H,0))),"")</f>
        <v/>
      </c>
    </row>
    <row r="2911" spans="1:8" x14ac:dyDescent="0.25">
      <c r="A2911" s="94" t="s">
        <v>4160</v>
      </c>
      <c r="B2911" s="98">
        <v>23009</v>
      </c>
      <c r="C2911" s="98" t="s">
        <v>2141</v>
      </c>
      <c r="D2911" s="96" t="s">
        <v>216</v>
      </c>
      <c r="E2911" s="97">
        <v>120</v>
      </c>
      <c r="F2911" s="67" t="str">
        <f>IFERROR(IFERROR(INDEX(Кат!$A:$A,MATCH(Прайс!$B2911,Кат!$G:$G,0)),INDEX(Торг!$B:$B,MATCH(Прайс!$B2911,Торг!$H:$H,0))),"")</f>
        <v/>
      </c>
      <c r="G2911" s="67" t="str">
        <f>IFERROR(IFERROR(INDEX(Кат!$B:$B,MATCH(Прайс!$B2911,Кат!$G:$G,0)),INDEX(Торг!$C:$C,MATCH(Прайс!$B2911,Торг!$H:$H,0))),"")</f>
        <v/>
      </c>
      <c r="H2911" s="67" t="str">
        <f>IFERROR(IFERROR(INDEX(Кат!$I:$I,MATCH(Прайс!$B2911,Кат!$G:$G,0)),INDEX(Торг!$I:$I,MATCH(Прайс!$B2911,Торг!$H:$H,0))),"")</f>
        <v/>
      </c>
    </row>
    <row r="2912" spans="1:8" x14ac:dyDescent="0.25">
      <c r="A2912" s="94" t="s">
        <v>4943</v>
      </c>
      <c r="B2912" s="98">
        <v>23010</v>
      </c>
      <c r="C2912" s="98" t="s">
        <v>4944</v>
      </c>
      <c r="D2912" s="96" t="s">
        <v>216</v>
      </c>
      <c r="E2912" s="97">
        <v>120</v>
      </c>
      <c r="F2912" s="67" t="str">
        <f>IFERROR(IFERROR(INDEX(Кат!$A:$A,MATCH(Прайс!$B2912,Кат!$G:$G,0)),INDEX(Торг!$B:$B,MATCH(Прайс!$B2912,Торг!$H:$H,0))),"")</f>
        <v/>
      </c>
      <c r="G2912" s="67" t="str">
        <f>IFERROR(IFERROR(INDEX(Кат!$B:$B,MATCH(Прайс!$B2912,Кат!$G:$G,0)),INDEX(Торг!$C:$C,MATCH(Прайс!$B2912,Торг!$H:$H,0))),"")</f>
        <v/>
      </c>
      <c r="H2912" s="67" t="str">
        <f>IFERROR(IFERROR(INDEX(Кат!$I:$I,MATCH(Прайс!$B2912,Кат!$G:$G,0)),INDEX(Торг!$I:$I,MATCH(Прайс!$B2912,Торг!$H:$H,0))),"")</f>
        <v/>
      </c>
    </row>
    <row r="2913" spans="1:8" x14ac:dyDescent="0.25">
      <c r="A2913" s="94" t="s">
        <v>4161</v>
      </c>
      <c r="B2913" s="98">
        <v>23011</v>
      </c>
      <c r="C2913" s="98" t="s">
        <v>1552</v>
      </c>
      <c r="D2913" s="96" t="s">
        <v>216</v>
      </c>
      <c r="E2913" s="97">
        <v>120</v>
      </c>
      <c r="F2913" s="67" t="str">
        <f>IFERROR(IFERROR(INDEX(Кат!$A:$A,MATCH(Прайс!$B2913,Кат!$G:$G,0)),INDEX(Торг!$B:$B,MATCH(Прайс!$B2913,Торг!$H:$H,0))),"")</f>
        <v/>
      </c>
      <c r="G2913" s="67" t="str">
        <f>IFERROR(IFERROR(INDEX(Кат!$B:$B,MATCH(Прайс!$B2913,Кат!$G:$G,0)),INDEX(Торг!$C:$C,MATCH(Прайс!$B2913,Торг!$H:$H,0))),"")</f>
        <v/>
      </c>
      <c r="H2913" s="67" t="str">
        <f>IFERROR(IFERROR(INDEX(Кат!$I:$I,MATCH(Прайс!$B2913,Кат!$G:$G,0)),INDEX(Торг!$I:$I,MATCH(Прайс!$B2913,Торг!$H:$H,0))),"")</f>
        <v/>
      </c>
    </row>
    <row r="2914" spans="1:8" x14ac:dyDescent="0.25">
      <c r="A2914" s="94" t="s">
        <v>4162</v>
      </c>
      <c r="B2914" s="98">
        <v>23014</v>
      </c>
      <c r="C2914" s="98" t="s">
        <v>1553</v>
      </c>
      <c r="D2914" s="96" t="s">
        <v>480</v>
      </c>
      <c r="E2914" s="97">
        <v>70</v>
      </c>
      <c r="F2914" s="67" t="str">
        <f>IFERROR(IFERROR(INDEX(Кат!$A:$A,MATCH(Прайс!$B2914,Кат!$G:$G,0)),INDEX(Торг!$B:$B,MATCH(Прайс!$B2914,Торг!$H:$H,0))),"")</f>
        <v/>
      </c>
      <c r="G2914" s="67" t="str">
        <f>IFERROR(IFERROR(INDEX(Кат!$B:$B,MATCH(Прайс!$B2914,Кат!$G:$G,0)),INDEX(Торг!$C:$C,MATCH(Прайс!$B2914,Торг!$H:$H,0))),"")</f>
        <v/>
      </c>
      <c r="H2914" s="67" t="str">
        <f>IFERROR(IFERROR(INDEX(Кат!$I:$I,MATCH(Прайс!$B2914,Кат!$G:$G,0)),INDEX(Торг!$I:$I,MATCH(Прайс!$B2914,Торг!$H:$H,0))),"")</f>
        <v/>
      </c>
    </row>
    <row r="2915" spans="1:8" x14ac:dyDescent="0.25">
      <c r="A2915" s="94" t="s">
        <v>4945</v>
      </c>
      <c r="B2915" s="98">
        <v>23015</v>
      </c>
      <c r="C2915" s="98" t="s">
        <v>4946</v>
      </c>
      <c r="D2915" s="96" t="s">
        <v>162</v>
      </c>
      <c r="E2915" s="97">
        <v>100</v>
      </c>
      <c r="F2915" s="67" t="str">
        <f>IFERROR(IFERROR(INDEX(Кат!$A:$A,MATCH(Прайс!$B2915,Кат!$G:$G,0)),INDEX(Торг!$B:$B,MATCH(Прайс!$B2915,Торг!$H:$H,0))),"")</f>
        <v/>
      </c>
      <c r="G2915" s="67" t="str">
        <f>IFERROR(IFERROR(INDEX(Кат!$B:$B,MATCH(Прайс!$B2915,Кат!$G:$G,0)),INDEX(Торг!$C:$C,MATCH(Прайс!$B2915,Торг!$H:$H,0))),"")</f>
        <v/>
      </c>
      <c r="H2915" s="67" t="str">
        <f>IFERROR(IFERROR(INDEX(Кат!$I:$I,MATCH(Прайс!$B2915,Кат!$G:$G,0)),INDEX(Торг!$I:$I,MATCH(Прайс!$B2915,Торг!$H:$H,0))),"")</f>
        <v/>
      </c>
    </row>
    <row r="2916" spans="1:8" x14ac:dyDescent="0.25">
      <c r="A2916" s="94" t="s">
        <v>4163</v>
      </c>
      <c r="B2916" s="98">
        <v>23071</v>
      </c>
      <c r="C2916" s="98" t="s">
        <v>1554</v>
      </c>
      <c r="D2916" s="96" t="s">
        <v>582</v>
      </c>
      <c r="E2916" s="97">
        <v>90</v>
      </c>
      <c r="F2916" s="67" t="str">
        <f>IFERROR(IFERROR(INDEX(Кат!$A:$A,MATCH(Прайс!$B2916,Кат!$G:$G,0)),INDEX(Торг!$B:$B,MATCH(Прайс!$B2916,Торг!$H:$H,0))),"")</f>
        <v/>
      </c>
      <c r="G2916" s="67" t="str">
        <f>IFERROR(IFERROR(INDEX(Кат!$B:$B,MATCH(Прайс!$B2916,Кат!$G:$G,0)),INDEX(Торг!$C:$C,MATCH(Прайс!$B2916,Торг!$H:$H,0))),"")</f>
        <v/>
      </c>
      <c r="H2916" s="67" t="str">
        <f>IFERROR(IFERROR(INDEX(Кат!$I:$I,MATCH(Прайс!$B2916,Кат!$G:$G,0)),INDEX(Торг!$I:$I,MATCH(Прайс!$B2916,Торг!$H:$H,0))),"")</f>
        <v/>
      </c>
    </row>
    <row r="2917" spans="1:8" x14ac:dyDescent="0.25">
      <c r="A2917" s="94" t="s">
        <v>4164</v>
      </c>
      <c r="B2917" s="98">
        <v>23061</v>
      </c>
      <c r="C2917" s="98" t="s">
        <v>1555</v>
      </c>
      <c r="D2917" s="96" t="s">
        <v>7797</v>
      </c>
      <c r="E2917" s="97">
        <v>70</v>
      </c>
      <c r="F2917" s="67" t="str">
        <f>IFERROR(IFERROR(INDEX(Кат!$A:$A,MATCH(Прайс!$B2917,Кат!$G:$G,0)),INDEX(Торг!$B:$B,MATCH(Прайс!$B2917,Торг!$H:$H,0))),"")</f>
        <v/>
      </c>
      <c r="G2917" s="67" t="str">
        <f>IFERROR(IFERROR(INDEX(Кат!$B:$B,MATCH(Прайс!$B2917,Кат!$G:$G,0)),INDEX(Торг!$C:$C,MATCH(Прайс!$B2917,Торг!$H:$H,0))),"")</f>
        <v/>
      </c>
      <c r="H2917" s="67" t="str">
        <f>IFERROR(IFERROR(INDEX(Кат!$I:$I,MATCH(Прайс!$B2917,Кат!$G:$G,0)),INDEX(Торг!$I:$I,MATCH(Прайс!$B2917,Торг!$H:$H,0))),"")</f>
        <v/>
      </c>
    </row>
    <row r="2918" spans="1:8" x14ac:dyDescent="0.25">
      <c r="A2918" s="94" t="s">
        <v>4165</v>
      </c>
      <c r="B2918" s="98">
        <v>23062</v>
      </c>
      <c r="C2918" s="98" t="s">
        <v>1556</v>
      </c>
      <c r="D2918" s="96" t="s">
        <v>7797</v>
      </c>
      <c r="E2918" s="97">
        <v>90</v>
      </c>
      <c r="F2918" s="67" t="str">
        <f>IFERROR(IFERROR(INDEX(Кат!$A:$A,MATCH(Прайс!$B2918,Кат!$G:$G,0)),INDEX(Торг!$B:$B,MATCH(Прайс!$B2918,Торг!$H:$H,0))),"")</f>
        <v/>
      </c>
      <c r="G2918" s="67" t="str">
        <f>IFERROR(IFERROR(INDEX(Кат!$B:$B,MATCH(Прайс!$B2918,Кат!$G:$G,0)),INDEX(Торг!$C:$C,MATCH(Прайс!$B2918,Торг!$H:$H,0))),"")</f>
        <v/>
      </c>
      <c r="H2918" s="67" t="str">
        <f>IFERROR(IFERROR(INDEX(Кат!$I:$I,MATCH(Прайс!$B2918,Кат!$G:$G,0)),INDEX(Торг!$I:$I,MATCH(Прайс!$B2918,Торг!$H:$H,0))),"")</f>
        <v/>
      </c>
    </row>
    <row r="2919" spans="1:8" x14ac:dyDescent="0.25">
      <c r="A2919" s="94" t="s">
        <v>4166</v>
      </c>
      <c r="B2919" s="98">
        <v>23057</v>
      </c>
      <c r="C2919" s="98" t="s">
        <v>1557</v>
      </c>
      <c r="D2919" s="96" t="s">
        <v>1558</v>
      </c>
      <c r="E2919" s="97">
        <v>80</v>
      </c>
      <c r="F2919" s="67" t="str">
        <f>IFERROR(IFERROR(INDEX(Кат!$A:$A,MATCH(Прайс!$B2919,Кат!$G:$G,0)),INDEX(Торг!$B:$B,MATCH(Прайс!$B2919,Торг!$H:$H,0))),"")</f>
        <v/>
      </c>
      <c r="G2919" s="67" t="str">
        <f>IFERROR(IFERROR(INDEX(Кат!$B:$B,MATCH(Прайс!$B2919,Кат!$G:$G,0)),INDEX(Торг!$C:$C,MATCH(Прайс!$B2919,Торг!$H:$H,0))),"")</f>
        <v/>
      </c>
      <c r="H2919" s="67" t="str">
        <f>IFERROR(IFERROR(INDEX(Кат!$I:$I,MATCH(Прайс!$B2919,Кат!$G:$G,0)),INDEX(Торг!$I:$I,MATCH(Прайс!$B2919,Торг!$H:$H,0))),"")</f>
        <v/>
      </c>
    </row>
    <row r="2920" spans="1:8" x14ac:dyDescent="0.25">
      <c r="A2920" s="94" t="s">
        <v>4167</v>
      </c>
      <c r="B2920" s="98">
        <v>23051</v>
      </c>
      <c r="C2920" s="98" t="s">
        <v>1559</v>
      </c>
      <c r="D2920" s="96" t="s">
        <v>162</v>
      </c>
      <c r="E2920" s="97">
        <v>90</v>
      </c>
      <c r="F2920" s="67" t="str">
        <f>IFERROR(IFERROR(INDEX(Кат!$A:$A,MATCH(Прайс!$B2920,Кат!$G:$G,0)),INDEX(Торг!$B:$B,MATCH(Прайс!$B2920,Торг!$H:$H,0))),"")</f>
        <v/>
      </c>
      <c r="G2920" s="67" t="str">
        <f>IFERROR(IFERROR(INDEX(Кат!$B:$B,MATCH(Прайс!$B2920,Кат!$G:$G,0)),INDEX(Торг!$C:$C,MATCH(Прайс!$B2920,Торг!$H:$H,0))),"")</f>
        <v/>
      </c>
      <c r="H2920" s="67" t="str">
        <f>IFERROR(IFERROR(INDEX(Кат!$I:$I,MATCH(Прайс!$B2920,Кат!$G:$G,0)),INDEX(Торг!$I:$I,MATCH(Прайс!$B2920,Торг!$H:$H,0))),"")</f>
        <v/>
      </c>
    </row>
    <row r="2921" spans="1:8" x14ac:dyDescent="0.25">
      <c r="A2921" s="94" t="s">
        <v>4168</v>
      </c>
      <c r="B2921" s="98">
        <v>23055</v>
      </c>
      <c r="C2921" s="98" t="s">
        <v>1560</v>
      </c>
      <c r="D2921" s="96" t="s">
        <v>582</v>
      </c>
      <c r="E2921" s="97">
        <v>110</v>
      </c>
      <c r="F2921" s="67" t="str">
        <f>IFERROR(IFERROR(INDEX(Кат!$A:$A,MATCH(Прайс!$B2921,Кат!$G:$G,0)),INDEX(Торг!$B:$B,MATCH(Прайс!$B2921,Торг!$H:$H,0))),"")</f>
        <v/>
      </c>
      <c r="G2921" s="67" t="str">
        <f>IFERROR(IFERROR(INDEX(Кат!$B:$B,MATCH(Прайс!$B2921,Кат!$G:$G,0)),INDEX(Торг!$C:$C,MATCH(Прайс!$B2921,Торг!$H:$H,0))),"")</f>
        <v/>
      </c>
      <c r="H2921" s="67" t="str">
        <f>IFERROR(IFERROR(INDEX(Кат!$I:$I,MATCH(Прайс!$B2921,Кат!$G:$G,0)),INDEX(Торг!$I:$I,MATCH(Прайс!$B2921,Торг!$H:$H,0))),"")</f>
        <v/>
      </c>
    </row>
    <row r="2922" spans="1:8" x14ac:dyDescent="0.25">
      <c r="A2922" s="94" t="s">
        <v>7798</v>
      </c>
      <c r="B2922" s="98">
        <v>23117</v>
      </c>
      <c r="C2922" s="98" t="s">
        <v>7799</v>
      </c>
      <c r="D2922" s="96" t="s">
        <v>7800</v>
      </c>
      <c r="E2922" s="97">
        <v>125</v>
      </c>
      <c r="F2922" s="67" t="str">
        <f>IFERROR(IFERROR(INDEX(Кат!$A:$A,MATCH(Прайс!$B2922,Кат!$G:$G,0)),INDEX(Торг!$B:$B,MATCH(Прайс!$B2922,Торг!$H:$H,0))),"")</f>
        <v/>
      </c>
      <c r="G2922" s="67" t="str">
        <f>IFERROR(IFERROR(INDEX(Кат!$B:$B,MATCH(Прайс!$B2922,Кат!$G:$G,0)),INDEX(Торг!$C:$C,MATCH(Прайс!$B2922,Торг!$H:$H,0))),"")</f>
        <v/>
      </c>
      <c r="H2922" s="67" t="str">
        <f>IFERROR(IFERROR(INDEX(Кат!$I:$I,MATCH(Прайс!$B2922,Кат!$G:$G,0)),INDEX(Торг!$I:$I,MATCH(Прайс!$B2922,Торг!$H:$H,0))),"")</f>
        <v/>
      </c>
    </row>
    <row r="2923" spans="1:8" x14ac:dyDescent="0.25">
      <c r="A2923" s="94" t="s">
        <v>5332</v>
      </c>
      <c r="B2923" s="98">
        <v>23017</v>
      </c>
      <c r="C2923" s="98" t="s">
        <v>5333</v>
      </c>
      <c r="D2923" s="96" t="s">
        <v>1561</v>
      </c>
      <c r="E2923" s="97">
        <v>120</v>
      </c>
      <c r="F2923" s="67" t="str">
        <f>IFERROR(IFERROR(INDEX(Кат!$A:$A,MATCH(Прайс!$B2923,Кат!$G:$G,0)),INDEX(Торг!$B:$B,MATCH(Прайс!$B2923,Торг!$H:$H,0))),"")</f>
        <v/>
      </c>
      <c r="G2923" s="67" t="str">
        <f>IFERROR(IFERROR(INDEX(Кат!$B:$B,MATCH(Прайс!$B2923,Кат!$G:$G,0)),INDEX(Торг!$C:$C,MATCH(Прайс!$B2923,Торг!$H:$H,0))),"")</f>
        <v/>
      </c>
      <c r="H2923" s="67" t="str">
        <f>IFERROR(IFERROR(INDEX(Кат!$I:$I,MATCH(Прайс!$B2923,Кат!$G:$G,0)),INDEX(Торг!$I:$I,MATCH(Прайс!$B2923,Торг!$H:$H,0))),"")</f>
        <v/>
      </c>
    </row>
    <row r="2924" spans="1:8" x14ac:dyDescent="0.25">
      <c r="A2924" s="94" t="s">
        <v>5334</v>
      </c>
      <c r="B2924" s="98">
        <v>23018</v>
      </c>
      <c r="C2924" s="98" t="s">
        <v>5335</v>
      </c>
      <c r="D2924" s="96" t="s">
        <v>1561</v>
      </c>
      <c r="E2924" s="97">
        <v>120</v>
      </c>
      <c r="F2924" s="67" t="str">
        <f>IFERROR(IFERROR(INDEX(Кат!$A:$A,MATCH(Прайс!$B2924,Кат!$G:$G,0)),INDEX(Торг!$B:$B,MATCH(Прайс!$B2924,Торг!$H:$H,0))),"")</f>
        <v/>
      </c>
      <c r="G2924" s="67" t="str">
        <f>IFERROR(IFERROR(INDEX(Кат!$B:$B,MATCH(Прайс!$B2924,Кат!$G:$G,0)),INDEX(Торг!$C:$C,MATCH(Прайс!$B2924,Торг!$H:$H,0))),"")</f>
        <v/>
      </c>
      <c r="H2924" s="67" t="str">
        <f>IFERROR(IFERROR(INDEX(Кат!$I:$I,MATCH(Прайс!$B2924,Кат!$G:$G,0)),INDEX(Торг!$I:$I,MATCH(Прайс!$B2924,Торг!$H:$H,0))),"")</f>
        <v/>
      </c>
    </row>
    <row r="2925" spans="1:8" x14ac:dyDescent="0.25">
      <c r="A2925" s="94" t="s">
        <v>4169</v>
      </c>
      <c r="B2925" s="98">
        <v>23073</v>
      </c>
      <c r="C2925" s="98" t="s">
        <v>4170</v>
      </c>
      <c r="D2925" s="96" t="s">
        <v>582</v>
      </c>
      <c r="E2925" s="97">
        <v>135</v>
      </c>
      <c r="F2925" s="67" t="str">
        <f>IFERROR(IFERROR(INDEX(Кат!$A:$A,MATCH(Прайс!$B2925,Кат!$G:$G,0)),INDEX(Торг!$B:$B,MATCH(Прайс!$B2925,Торг!$H:$H,0))),"")</f>
        <v/>
      </c>
      <c r="G2925" s="67" t="str">
        <f>IFERROR(IFERROR(INDEX(Кат!$B:$B,MATCH(Прайс!$B2925,Кат!$G:$G,0)),INDEX(Торг!$C:$C,MATCH(Прайс!$B2925,Торг!$H:$H,0))),"")</f>
        <v/>
      </c>
      <c r="H2925" s="67" t="str">
        <f>IFERROR(IFERROR(INDEX(Кат!$I:$I,MATCH(Прайс!$B2925,Кат!$G:$G,0)),INDEX(Торг!$I:$I,MATCH(Прайс!$B2925,Торг!$H:$H,0))),"")</f>
        <v/>
      </c>
    </row>
    <row r="2926" spans="1:8" x14ac:dyDescent="0.25">
      <c r="A2926" s="94" t="s">
        <v>4171</v>
      </c>
      <c r="B2926" s="95">
        <v>23019</v>
      </c>
      <c r="C2926" s="95" t="s">
        <v>1562</v>
      </c>
      <c r="D2926" s="96" t="s">
        <v>1558</v>
      </c>
      <c r="E2926" s="97">
        <v>45</v>
      </c>
      <c r="F2926" s="67" t="str">
        <f>IFERROR(IFERROR(INDEX(Кат!$A:$A,MATCH(Прайс!$B2926,Кат!$G:$G,0)),INDEX(Торг!$B:$B,MATCH(Прайс!$B2926,Торг!$H:$H,0))),"")</f>
        <v/>
      </c>
      <c r="G2926" s="67" t="str">
        <f>IFERROR(IFERROR(INDEX(Кат!$B:$B,MATCH(Прайс!$B2926,Кат!$G:$G,0)),INDEX(Торг!$C:$C,MATCH(Прайс!$B2926,Торг!$H:$H,0))),"")</f>
        <v/>
      </c>
      <c r="H2926" s="67" t="str">
        <f>IFERROR(IFERROR(INDEX(Кат!$I:$I,MATCH(Прайс!$B2926,Кат!$G:$G,0)),INDEX(Торг!$I:$I,MATCH(Прайс!$B2926,Торг!$H:$H,0))),"")</f>
        <v/>
      </c>
    </row>
    <row r="2927" spans="1:8" x14ac:dyDescent="0.25">
      <c r="A2927" s="94" t="s">
        <v>4172</v>
      </c>
      <c r="B2927" s="98">
        <v>23021</v>
      </c>
      <c r="C2927" s="98" t="s">
        <v>1563</v>
      </c>
      <c r="D2927" s="96" t="s">
        <v>582</v>
      </c>
      <c r="E2927" s="97">
        <v>210</v>
      </c>
      <c r="F2927" s="67" t="str">
        <f>IFERROR(IFERROR(INDEX(Кат!$A:$A,MATCH(Прайс!$B2927,Кат!$G:$G,0)),INDEX(Торг!$B:$B,MATCH(Прайс!$B2927,Торг!$H:$H,0))),"")</f>
        <v/>
      </c>
      <c r="G2927" s="67" t="str">
        <f>IFERROR(IFERROR(INDEX(Кат!$B:$B,MATCH(Прайс!$B2927,Кат!$G:$G,0)),INDEX(Торг!$C:$C,MATCH(Прайс!$B2927,Торг!$H:$H,0))),"")</f>
        <v/>
      </c>
      <c r="H2927" s="67" t="str">
        <f>IFERROR(IFERROR(INDEX(Кат!$I:$I,MATCH(Прайс!$B2927,Кат!$G:$G,0)),INDEX(Торг!$I:$I,MATCH(Прайс!$B2927,Торг!$H:$H,0))),"")</f>
        <v/>
      </c>
    </row>
    <row r="2928" spans="1:8" x14ac:dyDescent="0.25">
      <c r="A2928" s="94" t="s">
        <v>5336</v>
      </c>
      <c r="B2928" s="98">
        <v>23080</v>
      </c>
      <c r="C2928" s="98" t="s">
        <v>5337</v>
      </c>
      <c r="D2928" s="96" t="s">
        <v>582</v>
      </c>
      <c r="E2928" s="97">
        <v>100</v>
      </c>
      <c r="F2928" s="67" t="str">
        <f>IFERROR(IFERROR(INDEX(Кат!$A:$A,MATCH(Прайс!$B2928,Кат!$G:$G,0)),INDEX(Торг!$B:$B,MATCH(Прайс!$B2928,Торг!$H:$H,0))),"")</f>
        <v/>
      </c>
      <c r="G2928" s="67" t="str">
        <f>IFERROR(IFERROR(INDEX(Кат!$B:$B,MATCH(Прайс!$B2928,Кат!$G:$G,0)),INDEX(Торг!$C:$C,MATCH(Прайс!$B2928,Торг!$H:$H,0))),"")</f>
        <v/>
      </c>
      <c r="H2928" s="67" t="str">
        <f>IFERROR(IFERROR(INDEX(Кат!$I:$I,MATCH(Прайс!$B2928,Кат!$G:$G,0)),INDEX(Торг!$I:$I,MATCH(Прайс!$B2928,Торг!$H:$H,0))),"")</f>
        <v/>
      </c>
    </row>
    <row r="2929" spans="1:8" ht="15.75" x14ac:dyDescent="0.25">
      <c r="A2929" s="90"/>
      <c r="B2929" s="91"/>
      <c r="C2929" s="92" t="s">
        <v>1564</v>
      </c>
      <c r="D2929" s="91"/>
      <c r="E2929" s="93"/>
      <c r="F2929" s="67" t="str">
        <f>IFERROR(IFERROR(INDEX(Кат!$A:$A,MATCH(Прайс!$B2929,Кат!$G:$G,0)),INDEX(Торг!$B:$B,MATCH(Прайс!$B2929,Торг!$H:$H,0))),"")</f>
        <v/>
      </c>
      <c r="G2929" s="67" t="str">
        <f>IFERROR(IFERROR(INDEX(Кат!$B:$B,MATCH(Прайс!$B2929,Кат!$G:$G,0)),INDEX(Торг!$C:$C,MATCH(Прайс!$B2929,Торг!$H:$H,0))),"")</f>
        <v/>
      </c>
      <c r="H2929" s="67" t="str">
        <f>IFERROR(IFERROR(INDEX(Кат!$I:$I,MATCH(Прайс!$B2929,Кат!$G:$G,0)),INDEX(Торг!$I:$I,MATCH(Прайс!$B2929,Торг!$H:$H,0))),"")</f>
        <v/>
      </c>
    </row>
    <row r="2930" spans="1:8" x14ac:dyDescent="0.25">
      <c r="A2930" s="109" t="s">
        <v>8465</v>
      </c>
      <c r="B2930" s="116">
        <v>23095</v>
      </c>
      <c r="C2930" s="116" t="s">
        <v>8466</v>
      </c>
      <c r="D2930" s="111" t="s">
        <v>159</v>
      </c>
      <c r="E2930" s="112">
        <v>80</v>
      </c>
      <c r="F2930" s="67" t="str">
        <f>IFERROR(IFERROR(INDEX(Кат!$A:$A,MATCH(Прайс!$B2930,Кат!$G:$G,0)),INDEX(Торг!$B:$B,MATCH(Прайс!$B2930,Торг!$H:$H,0))),"")</f>
        <v/>
      </c>
      <c r="G2930" s="67" t="str">
        <f>IFERROR(IFERROR(INDEX(Кат!$B:$B,MATCH(Прайс!$B2930,Кат!$G:$G,0)),INDEX(Торг!$C:$C,MATCH(Прайс!$B2930,Торг!$H:$H,0))),"")</f>
        <v/>
      </c>
      <c r="H2930" s="67" t="str">
        <f>IFERROR(IFERROR(INDEX(Кат!$I:$I,MATCH(Прайс!$B2930,Кат!$G:$G,0)),INDEX(Торг!$I:$I,MATCH(Прайс!$B2930,Торг!$H:$H,0))),"")</f>
        <v/>
      </c>
    </row>
    <row r="2931" spans="1:8" x14ac:dyDescent="0.25">
      <c r="A2931" s="109" t="s">
        <v>8467</v>
      </c>
      <c r="B2931" s="116">
        <v>23081</v>
      </c>
      <c r="C2931" s="116" t="s">
        <v>8629</v>
      </c>
      <c r="D2931" s="111" t="s">
        <v>1668</v>
      </c>
      <c r="E2931" s="112">
        <v>12</v>
      </c>
      <c r="F2931" s="67" t="str">
        <f>IFERROR(IFERROR(INDEX(Кат!$A:$A,MATCH(Прайс!$B2931,Кат!$G:$G,0)),INDEX(Торг!$B:$B,MATCH(Прайс!$B2931,Торг!$H:$H,0))),"")</f>
        <v/>
      </c>
      <c r="G2931" s="67" t="str">
        <f>IFERROR(IFERROR(INDEX(Кат!$B:$B,MATCH(Прайс!$B2931,Кат!$G:$G,0)),INDEX(Торг!$C:$C,MATCH(Прайс!$B2931,Торг!$H:$H,0))),"")</f>
        <v/>
      </c>
      <c r="H2931" s="67" t="str">
        <f>IFERROR(IFERROR(INDEX(Кат!$I:$I,MATCH(Прайс!$B2931,Кат!$G:$G,0)),INDEX(Торг!$I:$I,MATCH(Прайс!$B2931,Торг!$H:$H,0))),"")</f>
        <v/>
      </c>
    </row>
    <row r="2932" spans="1:8" x14ac:dyDescent="0.25">
      <c r="A2932" s="109" t="s">
        <v>8468</v>
      </c>
      <c r="B2932" s="116">
        <v>23082</v>
      </c>
      <c r="C2932" s="116" t="s">
        <v>8630</v>
      </c>
      <c r="D2932" s="111" t="s">
        <v>222</v>
      </c>
      <c r="E2932" s="112">
        <v>15</v>
      </c>
      <c r="F2932" s="67" t="str">
        <f>IFERROR(IFERROR(INDEX(Кат!$A:$A,MATCH(Прайс!$B2932,Кат!$G:$G,0)),INDEX(Торг!$B:$B,MATCH(Прайс!$B2932,Торг!$H:$H,0))),"")</f>
        <v/>
      </c>
      <c r="G2932" s="67" t="str">
        <f>IFERROR(IFERROR(INDEX(Кат!$B:$B,MATCH(Прайс!$B2932,Кат!$G:$G,0)),INDEX(Торг!$C:$C,MATCH(Прайс!$B2932,Торг!$H:$H,0))),"")</f>
        <v/>
      </c>
      <c r="H2932" s="67" t="str">
        <f>IFERROR(IFERROR(INDEX(Кат!$I:$I,MATCH(Прайс!$B2932,Кат!$G:$G,0)),INDEX(Торг!$I:$I,MATCH(Прайс!$B2932,Торг!$H:$H,0))),"")</f>
        <v/>
      </c>
    </row>
    <row r="2933" spans="1:8" x14ac:dyDescent="0.25">
      <c r="A2933" s="109" t="s">
        <v>8469</v>
      </c>
      <c r="B2933" s="116">
        <v>23083</v>
      </c>
      <c r="C2933" s="116" t="s">
        <v>8631</v>
      </c>
      <c r="D2933" s="111" t="s">
        <v>224</v>
      </c>
      <c r="E2933" s="112">
        <v>30</v>
      </c>
      <c r="F2933" s="67" t="str">
        <f>IFERROR(IFERROR(INDEX(Кат!$A:$A,MATCH(Прайс!$B2933,Кат!$G:$G,0)),INDEX(Торг!$B:$B,MATCH(Прайс!$B2933,Торг!$H:$H,0))),"")</f>
        <v/>
      </c>
      <c r="G2933" s="67" t="str">
        <f>IFERROR(IFERROR(INDEX(Кат!$B:$B,MATCH(Прайс!$B2933,Кат!$G:$G,0)),INDEX(Торг!$C:$C,MATCH(Прайс!$B2933,Торг!$H:$H,0))),"")</f>
        <v/>
      </c>
      <c r="H2933" s="67" t="str">
        <f>IFERROR(IFERROR(INDEX(Кат!$I:$I,MATCH(Прайс!$B2933,Кат!$G:$G,0)),INDEX(Торг!$I:$I,MATCH(Прайс!$B2933,Торг!$H:$H,0))),"")</f>
        <v/>
      </c>
    </row>
    <row r="2934" spans="1:8" x14ac:dyDescent="0.25">
      <c r="A2934" s="109" t="s">
        <v>8470</v>
      </c>
      <c r="B2934" s="116">
        <v>23084</v>
      </c>
      <c r="C2934" s="116" t="s">
        <v>8632</v>
      </c>
      <c r="D2934" s="111" t="s">
        <v>8633</v>
      </c>
      <c r="E2934" s="112">
        <v>40</v>
      </c>
      <c r="F2934" s="67" t="str">
        <f>IFERROR(IFERROR(INDEX(Кат!$A:$A,MATCH(Прайс!$B2934,Кат!$G:$G,0)),INDEX(Торг!$B:$B,MATCH(Прайс!$B2934,Торг!$H:$H,0))),"")</f>
        <v/>
      </c>
      <c r="G2934" s="67" t="str">
        <f>IFERROR(IFERROR(INDEX(Кат!$B:$B,MATCH(Прайс!$B2934,Кат!$G:$G,0)),INDEX(Торг!$C:$C,MATCH(Прайс!$B2934,Торг!$H:$H,0))),"")</f>
        <v/>
      </c>
      <c r="H2934" s="67" t="str">
        <f>IFERROR(IFERROR(INDEX(Кат!$I:$I,MATCH(Прайс!$B2934,Кат!$G:$G,0)),INDEX(Торг!$I:$I,MATCH(Прайс!$B2934,Торг!$H:$H,0))),"")</f>
        <v/>
      </c>
    </row>
    <row r="2935" spans="1:8" x14ac:dyDescent="0.25">
      <c r="A2935" s="109" t="s">
        <v>8471</v>
      </c>
      <c r="B2935" s="116">
        <v>23085</v>
      </c>
      <c r="C2935" s="116" t="s">
        <v>8472</v>
      </c>
      <c r="D2935" s="111" t="s">
        <v>159</v>
      </c>
      <c r="E2935" s="112">
        <v>80</v>
      </c>
      <c r="F2935" s="67" t="str">
        <f>IFERROR(IFERROR(INDEX(Кат!$A:$A,MATCH(Прайс!$B2935,Кат!$G:$G,0)),INDEX(Торг!$B:$B,MATCH(Прайс!$B2935,Торг!$H:$H,0))),"")</f>
        <v/>
      </c>
      <c r="G2935" s="67" t="str">
        <f>IFERROR(IFERROR(INDEX(Кат!$B:$B,MATCH(Прайс!$B2935,Кат!$G:$G,0)),INDEX(Торг!$C:$C,MATCH(Прайс!$B2935,Торг!$H:$H,0))),"")</f>
        <v/>
      </c>
      <c r="H2935" s="67" t="str">
        <f>IFERROR(IFERROR(INDEX(Кат!$I:$I,MATCH(Прайс!$B2935,Кат!$G:$G,0)),INDEX(Торг!$I:$I,MATCH(Прайс!$B2935,Торг!$H:$H,0))),"")</f>
        <v/>
      </c>
    </row>
    <row r="2936" spans="1:8" x14ac:dyDescent="0.25">
      <c r="A2936" s="94" t="s">
        <v>4173</v>
      </c>
      <c r="B2936" s="98">
        <v>23022</v>
      </c>
      <c r="C2936" s="98" t="s">
        <v>6429</v>
      </c>
      <c r="D2936" s="96" t="s">
        <v>190</v>
      </c>
      <c r="E2936" s="97">
        <v>12</v>
      </c>
      <c r="F2936" s="67" t="str">
        <f>IFERROR(IFERROR(INDEX(Кат!$A:$A,MATCH(Прайс!$B2936,Кат!$G:$G,0)),INDEX(Торг!$B:$B,MATCH(Прайс!$B2936,Торг!$H:$H,0))),"")</f>
        <v/>
      </c>
      <c r="G2936" s="67" t="str">
        <f>IFERROR(IFERROR(INDEX(Кат!$B:$B,MATCH(Прайс!$B2936,Кат!$G:$G,0)),INDEX(Торг!$C:$C,MATCH(Прайс!$B2936,Торг!$H:$H,0))),"")</f>
        <v/>
      </c>
      <c r="H2936" s="67" t="str">
        <f>IFERROR(IFERROR(INDEX(Кат!$I:$I,MATCH(Прайс!$B2936,Кат!$G:$G,0)),INDEX(Торг!$I:$I,MATCH(Прайс!$B2936,Торг!$H:$H,0))),"")</f>
        <v/>
      </c>
    </row>
    <row r="2937" spans="1:8" x14ac:dyDescent="0.25">
      <c r="A2937" s="94" t="s">
        <v>4174</v>
      </c>
      <c r="B2937" s="98">
        <v>23023</v>
      </c>
      <c r="C2937" s="98" t="s">
        <v>6430</v>
      </c>
      <c r="D2937" s="96" t="s">
        <v>190</v>
      </c>
      <c r="E2937" s="97">
        <v>16</v>
      </c>
      <c r="F2937" s="67" t="str">
        <f>IFERROR(IFERROR(INDEX(Кат!$A:$A,MATCH(Прайс!$B2937,Кат!$G:$G,0)),INDEX(Торг!$B:$B,MATCH(Прайс!$B2937,Торг!$H:$H,0))),"")</f>
        <v/>
      </c>
      <c r="G2937" s="67" t="str">
        <f>IFERROR(IFERROR(INDEX(Кат!$B:$B,MATCH(Прайс!$B2937,Кат!$G:$G,0)),INDEX(Торг!$C:$C,MATCH(Прайс!$B2937,Торг!$H:$H,0))),"")</f>
        <v/>
      </c>
      <c r="H2937" s="67" t="str">
        <f>IFERROR(IFERROR(INDEX(Кат!$I:$I,MATCH(Прайс!$B2937,Кат!$G:$G,0)),INDEX(Торг!$I:$I,MATCH(Прайс!$B2937,Торг!$H:$H,0))),"")</f>
        <v/>
      </c>
    </row>
    <row r="2938" spans="1:8" x14ac:dyDescent="0.25">
      <c r="A2938" s="94" t="s">
        <v>4175</v>
      </c>
      <c r="B2938" s="98">
        <v>23024</v>
      </c>
      <c r="C2938" s="98" t="s">
        <v>6431</v>
      </c>
      <c r="D2938" s="96" t="s">
        <v>159</v>
      </c>
      <c r="E2938" s="97">
        <v>35</v>
      </c>
      <c r="F2938" s="67" t="str">
        <f>IFERROR(IFERROR(INDEX(Кат!$A:$A,MATCH(Прайс!$B2938,Кат!$G:$G,0)),INDEX(Торг!$B:$B,MATCH(Прайс!$B2938,Торг!$H:$H,0))),"")</f>
        <v/>
      </c>
      <c r="G2938" s="67" t="str">
        <f>IFERROR(IFERROR(INDEX(Кат!$B:$B,MATCH(Прайс!$B2938,Кат!$G:$G,0)),INDEX(Торг!$C:$C,MATCH(Прайс!$B2938,Торг!$H:$H,0))),"")</f>
        <v/>
      </c>
      <c r="H2938" s="67" t="str">
        <f>IFERROR(IFERROR(INDEX(Кат!$I:$I,MATCH(Прайс!$B2938,Кат!$G:$G,0)),INDEX(Торг!$I:$I,MATCH(Прайс!$B2938,Торг!$H:$H,0))),"")</f>
        <v/>
      </c>
    </row>
    <row r="2939" spans="1:8" x14ac:dyDescent="0.25">
      <c r="A2939" s="94" t="s">
        <v>4176</v>
      </c>
      <c r="B2939" s="98">
        <v>23025</v>
      </c>
      <c r="C2939" s="98" t="s">
        <v>7801</v>
      </c>
      <c r="D2939" s="96" t="s">
        <v>480</v>
      </c>
      <c r="E2939" s="97">
        <v>50</v>
      </c>
      <c r="F2939" s="67" t="str">
        <f>IFERROR(IFERROR(INDEX(Кат!$A:$A,MATCH(Прайс!$B2939,Кат!$G:$G,0)),INDEX(Торг!$B:$B,MATCH(Прайс!$B2939,Торг!$H:$H,0))),"")</f>
        <v/>
      </c>
      <c r="G2939" s="67" t="str">
        <f>IFERROR(IFERROR(INDEX(Кат!$B:$B,MATCH(Прайс!$B2939,Кат!$G:$G,0)),INDEX(Торг!$C:$C,MATCH(Прайс!$B2939,Торг!$H:$H,0))),"")</f>
        <v/>
      </c>
      <c r="H2939" s="67" t="str">
        <f>IFERROR(IFERROR(INDEX(Кат!$I:$I,MATCH(Прайс!$B2939,Кат!$G:$G,0)),INDEX(Торг!$I:$I,MATCH(Прайс!$B2939,Торг!$H:$H,0))),"")</f>
        <v/>
      </c>
    </row>
    <row r="2940" spans="1:8" x14ac:dyDescent="0.25">
      <c r="A2940" s="94" t="s">
        <v>4177</v>
      </c>
      <c r="B2940" s="98">
        <v>23026</v>
      </c>
      <c r="C2940" s="98" t="s">
        <v>1565</v>
      </c>
      <c r="D2940" s="96" t="s">
        <v>162</v>
      </c>
      <c r="E2940" s="97">
        <v>95</v>
      </c>
      <c r="F2940" s="67" t="str">
        <f>IFERROR(IFERROR(INDEX(Кат!$A:$A,MATCH(Прайс!$B2940,Кат!$G:$G,0)),INDEX(Торг!$B:$B,MATCH(Прайс!$B2940,Торг!$H:$H,0))),"")</f>
        <v/>
      </c>
      <c r="G2940" s="67" t="str">
        <f>IFERROR(IFERROR(INDEX(Кат!$B:$B,MATCH(Прайс!$B2940,Кат!$G:$G,0)),INDEX(Торг!$C:$C,MATCH(Прайс!$B2940,Торг!$H:$H,0))),"")</f>
        <v/>
      </c>
      <c r="H2940" s="67" t="str">
        <f>IFERROR(IFERROR(INDEX(Кат!$I:$I,MATCH(Прайс!$B2940,Кат!$G:$G,0)),INDEX(Торг!$I:$I,MATCH(Прайс!$B2940,Торг!$H:$H,0))),"")</f>
        <v/>
      </c>
    </row>
    <row r="2941" spans="1:8" ht="15.75" x14ac:dyDescent="0.25">
      <c r="A2941" s="90"/>
      <c r="B2941" s="91"/>
      <c r="C2941" s="92" t="s">
        <v>1566</v>
      </c>
      <c r="D2941" s="91"/>
      <c r="E2941" s="93"/>
      <c r="F2941" s="67" t="str">
        <f>IFERROR(IFERROR(INDEX(Кат!$A:$A,MATCH(Прайс!$B2941,Кат!$G:$G,0)),INDEX(Торг!$B:$B,MATCH(Прайс!$B2941,Торг!$H:$H,0))),"")</f>
        <v/>
      </c>
      <c r="G2941" s="67" t="str">
        <f>IFERROR(IFERROR(INDEX(Кат!$B:$B,MATCH(Прайс!$B2941,Кат!$G:$G,0)),INDEX(Торг!$C:$C,MATCH(Прайс!$B2941,Торг!$H:$H,0))),"")</f>
        <v/>
      </c>
      <c r="H2941" s="67" t="str">
        <f>IFERROR(IFERROR(INDEX(Кат!$I:$I,MATCH(Прайс!$B2941,Кат!$G:$G,0)),INDEX(Торг!$I:$I,MATCH(Прайс!$B2941,Торг!$H:$H,0))),"")</f>
        <v/>
      </c>
    </row>
    <row r="2942" spans="1:8" x14ac:dyDescent="0.25">
      <c r="A2942" s="99" t="s">
        <v>4178</v>
      </c>
      <c r="B2942" s="108">
        <v>23064</v>
      </c>
      <c r="C2942" s="108" t="s">
        <v>7802</v>
      </c>
      <c r="D2942" s="101" t="s">
        <v>162</v>
      </c>
      <c r="E2942" s="102">
        <v>590</v>
      </c>
      <c r="F2942" s="67" t="str">
        <f>IFERROR(IFERROR(INDEX(Кат!$A:$A,MATCH(Прайс!$B2942,Кат!$G:$G,0)),INDEX(Торг!$B:$B,MATCH(Прайс!$B2942,Торг!$H:$H,0))),"")</f>
        <v/>
      </c>
      <c r="G2942" s="67" t="str">
        <f>IFERROR(IFERROR(INDEX(Кат!$B:$B,MATCH(Прайс!$B2942,Кат!$G:$G,0)),INDEX(Торг!$C:$C,MATCH(Прайс!$B2942,Торг!$H:$H,0))),"")</f>
        <v/>
      </c>
      <c r="H2942" s="67" t="str">
        <f>IFERROR(IFERROR(INDEX(Кат!$I:$I,MATCH(Прайс!$B2942,Кат!$G:$G,0)),INDEX(Торг!$I:$I,MATCH(Прайс!$B2942,Торг!$H:$H,0))),"")</f>
        <v/>
      </c>
    </row>
    <row r="2943" spans="1:8" x14ac:dyDescent="0.25">
      <c r="A2943" s="99" t="s">
        <v>4179</v>
      </c>
      <c r="B2943" s="108">
        <v>23033</v>
      </c>
      <c r="C2943" s="108" t="s">
        <v>7803</v>
      </c>
      <c r="D2943" s="101" t="s">
        <v>177</v>
      </c>
      <c r="E2943" s="102">
        <v>330</v>
      </c>
      <c r="F2943" s="67" t="str">
        <f>IFERROR(IFERROR(INDEX(Кат!$A:$A,MATCH(Прайс!$B2943,Кат!$G:$G,0)),INDEX(Торг!$B:$B,MATCH(Прайс!$B2943,Торг!$H:$H,0))),"")</f>
        <v/>
      </c>
      <c r="G2943" s="67" t="str">
        <f>IFERROR(IFERROR(INDEX(Кат!$B:$B,MATCH(Прайс!$B2943,Кат!$G:$G,0)),INDEX(Торг!$C:$C,MATCH(Прайс!$B2943,Торг!$H:$H,0))),"")</f>
        <v/>
      </c>
      <c r="H2943" s="67" t="str">
        <f>IFERROR(IFERROR(INDEX(Кат!$I:$I,MATCH(Прайс!$B2943,Кат!$G:$G,0)),INDEX(Торг!$I:$I,MATCH(Прайс!$B2943,Торг!$H:$H,0))),"")</f>
        <v/>
      </c>
    </row>
    <row r="2944" spans="1:8" x14ac:dyDescent="0.25">
      <c r="A2944" s="99" t="s">
        <v>4180</v>
      </c>
      <c r="B2944" s="108">
        <v>23027</v>
      </c>
      <c r="C2944" s="108" t="s">
        <v>7804</v>
      </c>
      <c r="D2944" s="101" t="s">
        <v>177</v>
      </c>
      <c r="E2944" s="102">
        <v>320</v>
      </c>
      <c r="F2944" s="67" t="str">
        <f>IFERROR(IFERROR(INDEX(Кат!$A:$A,MATCH(Прайс!$B2944,Кат!$G:$G,0)),INDEX(Торг!$B:$B,MATCH(Прайс!$B2944,Торг!$H:$H,0))),"")</f>
        <v/>
      </c>
      <c r="G2944" s="67" t="str">
        <f>IFERROR(IFERROR(INDEX(Кат!$B:$B,MATCH(Прайс!$B2944,Кат!$G:$G,0)),INDEX(Торг!$C:$C,MATCH(Прайс!$B2944,Торг!$H:$H,0))),"")</f>
        <v/>
      </c>
      <c r="H2944" s="67" t="str">
        <f>IFERROR(IFERROR(INDEX(Кат!$I:$I,MATCH(Прайс!$B2944,Кат!$G:$G,0)),INDEX(Торг!$I:$I,MATCH(Прайс!$B2944,Торг!$H:$H,0))),"")</f>
        <v/>
      </c>
    </row>
    <row r="2945" spans="1:8" x14ac:dyDescent="0.25">
      <c r="A2945" s="99" t="s">
        <v>4181</v>
      </c>
      <c r="B2945" s="108">
        <v>23034</v>
      </c>
      <c r="C2945" s="108" t="s">
        <v>7805</v>
      </c>
      <c r="D2945" s="101" t="s">
        <v>177</v>
      </c>
      <c r="E2945" s="102">
        <v>380</v>
      </c>
      <c r="F2945" s="67" t="str">
        <f>IFERROR(IFERROR(INDEX(Кат!$A:$A,MATCH(Прайс!$B2945,Кат!$G:$G,0)),INDEX(Торг!$B:$B,MATCH(Прайс!$B2945,Торг!$H:$H,0))),"")</f>
        <v/>
      </c>
      <c r="G2945" s="67" t="str">
        <f>IFERROR(IFERROR(INDEX(Кат!$B:$B,MATCH(Прайс!$B2945,Кат!$G:$G,0)),INDEX(Торг!$C:$C,MATCH(Прайс!$B2945,Торг!$H:$H,0))),"")</f>
        <v/>
      </c>
      <c r="H2945" s="67" t="str">
        <f>IFERROR(IFERROR(INDEX(Кат!$I:$I,MATCH(Прайс!$B2945,Кат!$G:$G,0)),INDEX(Торг!$I:$I,MATCH(Прайс!$B2945,Торг!$H:$H,0))),"")</f>
        <v/>
      </c>
    </row>
    <row r="2946" spans="1:8" x14ac:dyDescent="0.25">
      <c r="A2946" s="99" t="s">
        <v>4182</v>
      </c>
      <c r="B2946" s="108">
        <v>23028</v>
      </c>
      <c r="C2946" s="108" t="s">
        <v>7806</v>
      </c>
      <c r="D2946" s="101" t="s">
        <v>177</v>
      </c>
      <c r="E2946" s="102">
        <v>420</v>
      </c>
      <c r="F2946" s="67" t="str">
        <f>IFERROR(IFERROR(INDEX(Кат!$A:$A,MATCH(Прайс!$B2946,Кат!$G:$G,0)),INDEX(Торг!$B:$B,MATCH(Прайс!$B2946,Торг!$H:$H,0))),"")</f>
        <v/>
      </c>
      <c r="G2946" s="67" t="str">
        <f>IFERROR(IFERROR(INDEX(Кат!$B:$B,MATCH(Прайс!$B2946,Кат!$G:$G,0)),INDEX(Торг!$C:$C,MATCH(Прайс!$B2946,Торг!$H:$H,0))),"")</f>
        <v/>
      </c>
      <c r="H2946" s="67" t="str">
        <f>IFERROR(IFERROR(INDEX(Кат!$I:$I,MATCH(Прайс!$B2946,Кат!$G:$G,0)),INDEX(Торг!$I:$I,MATCH(Прайс!$B2946,Торг!$H:$H,0))),"")</f>
        <v/>
      </c>
    </row>
    <row r="2947" spans="1:8" x14ac:dyDescent="0.25">
      <c r="A2947" s="99" t="s">
        <v>4183</v>
      </c>
      <c r="B2947" s="108">
        <v>23035</v>
      </c>
      <c r="C2947" s="108" t="s">
        <v>7807</v>
      </c>
      <c r="D2947" s="101" t="s">
        <v>177</v>
      </c>
      <c r="E2947" s="102">
        <v>400</v>
      </c>
      <c r="F2947" s="67" t="str">
        <f>IFERROR(IFERROR(INDEX(Кат!$A:$A,MATCH(Прайс!$B2947,Кат!$G:$G,0)),INDEX(Торг!$B:$B,MATCH(Прайс!$B2947,Торг!$H:$H,0))),"")</f>
        <v/>
      </c>
      <c r="G2947" s="67" t="str">
        <f>IFERROR(IFERROR(INDEX(Кат!$B:$B,MATCH(Прайс!$B2947,Кат!$G:$G,0)),INDEX(Торг!$C:$C,MATCH(Прайс!$B2947,Торг!$H:$H,0))),"")</f>
        <v/>
      </c>
      <c r="H2947" s="67" t="str">
        <f>IFERROR(IFERROR(INDEX(Кат!$I:$I,MATCH(Прайс!$B2947,Кат!$G:$G,0)),INDEX(Торг!$I:$I,MATCH(Прайс!$B2947,Торг!$H:$H,0))),"")</f>
        <v/>
      </c>
    </row>
    <row r="2948" spans="1:8" x14ac:dyDescent="0.25">
      <c r="A2948" s="99" t="s">
        <v>4184</v>
      </c>
      <c r="B2948" s="108">
        <v>23029</v>
      </c>
      <c r="C2948" s="108" t="s">
        <v>7808</v>
      </c>
      <c r="D2948" s="101" t="s">
        <v>177</v>
      </c>
      <c r="E2948" s="102">
        <v>450</v>
      </c>
      <c r="F2948" s="67" t="str">
        <f>IFERROR(IFERROR(INDEX(Кат!$A:$A,MATCH(Прайс!$B2948,Кат!$G:$G,0)),INDEX(Торг!$B:$B,MATCH(Прайс!$B2948,Торг!$H:$H,0))),"")</f>
        <v/>
      </c>
      <c r="G2948" s="67" t="str">
        <f>IFERROR(IFERROR(INDEX(Кат!$B:$B,MATCH(Прайс!$B2948,Кат!$G:$G,0)),INDEX(Торг!$C:$C,MATCH(Прайс!$B2948,Торг!$H:$H,0))),"")</f>
        <v/>
      </c>
      <c r="H2948" s="67" t="str">
        <f>IFERROR(IFERROR(INDEX(Кат!$I:$I,MATCH(Прайс!$B2948,Кат!$G:$G,0)),INDEX(Торг!$I:$I,MATCH(Прайс!$B2948,Торг!$H:$H,0))),"")</f>
        <v/>
      </c>
    </row>
    <row r="2949" spans="1:8" x14ac:dyDescent="0.25">
      <c r="A2949" s="99" t="s">
        <v>4185</v>
      </c>
      <c r="B2949" s="108">
        <v>23030</v>
      </c>
      <c r="C2949" s="108" t="s">
        <v>7809</v>
      </c>
      <c r="D2949" s="101" t="s">
        <v>161</v>
      </c>
      <c r="E2949" s="102">
        <v>530</v>
      </c>
      <c r="F2949" s="67" t="str">
        <f>IFERROR(IFERROR(INDEX(Кат!$A:$A,MATCH(Прайс!$B2949,Кат!$G:$G,0)),INDEX(Торг!$B:$B,MATCH(Прайс!$B2949,Торг!$H:$H,0))),"")</f>
        <v/>
      </c>
      <c r="G2949" s="67" t="str">
        <f>IFERROR(IFERROR(INDEX(Кат!$B:$B,MATCH(Прайс!$B2949,Кат!$G:$G,0)),INDEX(Торг!$C:$C,MATCH(Прайс!$B2949,Торг!$H:$H,0))),"")</f>
        <v/>
      </c>
      <c r="H2949" s="67" t="str">
        <f>IFERROR(IFERROR(INDEX(Кат!$I:$I,MATCH(Прайс!$B2949,Кат!$G:$G,0)),INDEX(Торг!$I:$I,MATCH(Прайс!$B2949,Торг!$H:$H,0))),"")</f>
        <v/>
      </c>
    </row>
    <row r="2950" spans="1:8" x14ac:dyDescent="0.25">
      <c r="A2950" s="99" t="s">
        <v>4186</v>
      </c>
      <c r="B2950" s="108">
        <v>23052</v>
      </c>
      <c r="C2950" s="108" t="s">
        <v>7810</v>
      </c>
      <c r="D2950" s="101" t="s">
        <v>161</v>
      </c>
      <c r="E2950" s="102">
        <v>610</v>
      </c>
      <c r="F2950" s="67" t="str">
        <f>IFERROR(IFERROR(INDEX(Кат!$A:$A,MATCH(Прайс!$B2950,Кат!$G:$G,0)),INDEX(Торг!$B:$B,MATCH(Прайс!$B2950,Торг!$H:$H,0))),"")</f>
        <v/>
      </c>
      <c r="G2950" s="67" t="str">
        <f>IFERROR(IFERROR(INDEX(Кат!$B:$B,MATCH(Прайс!$B2950,Кат!$G:$G,0)),INDEX(Торг!$C:$C,MATCH(Прайс!$B2950,Торг!$H:$H,0))),"")</f>
        <v/>
      </c>
      <c r="H2950" s="67" t="str">
        <f>IFERROR(IFERROR(INDEX(Кат!$I:$I,MATCH(Прайс!$B2950,Кат!$G:$G,0)),INDEX(Торг!$I:$I,MATCH(Прайс!$B2950,Торг!$H:$H,0))),"")</f>
        <v/>
      </c>
    </row>
    <row r="2951" spans="1:8" x14ac:dyDescent="0.25">
      <c r="A2951" s="99" t="s">
        <v>4187</v>
      </c>
      <c r="B2951" s="108">
        <v>23031</v>
      </c>
      <c r="C2951" s="108" t="s">
        <v>7811</v>
      </c>
      <c r="D2951" s="101" t="s">
        <v>628</v>
      </c>
      <c r="E2951" s="114">
        <v>1050</v>
      </c>
      <c r="F2951" s="67" t="str">
        <f>IFERROR(IFERROR(INDEX(Кат!$A:$A,MATCH(Прайс!$B2951,Кат!$G:$G,0)),INDEX(Торг!$B:$B,MATCH(Прайс!$B2951,Торг!$H:$H,0))),"")</f>
        <v/>
      </c>
      <c r="G2951" s="67" t="str">
        <f>IFERROR(IFERROR(INDEX(Кат!$B:$B,MATCH(Прайс!$B2951,Кат!$G:$G,0)),INDEX(Торг!$C:$C,MATCH(Прайс!$B2951,Торг!$H:$H,0))),"")</f>
        <v/>
      </c>
      <c r="H2951" s="67" t="str">
        <f>IFERROR(IFERROR(INDEX(Кат!$I:$I,MATCH(Прайс!$B2951,Кат!$G:$G,0)),INDEX(Торг!$I:$I,MATCH(Прайс!$B2951,Торг!$H:$H,0))),"")</f>
        <v/>
      </c>
    </row>
    <row r="2952" spans="1:8" x14ac:dyDescent="0.25">
      <c r="A2952" s="99" t="s">
        <v>4188</v>
      </c>
      <c r="B2952" s="108">
        <v>23070</v>
      </c>
      <c r="C2952" s="108" t="s">
        <v>7812</v>
      </c>
      <c r="D2952" s="101" t="s">
        <v>375</v>
      </c>
      <c r="E2952" s="114">
        <v>1100</v>
      </c>
      <c r="F2952" s="67" t="str">
        <f>IFERROR(IFERROR(INDEX(Кат!$A:$A,MATCH(Прайс!$B2952,Кат!$G:$G,0)),INDEX(Торг!$B:$B,MATCH(Прайс!$B2952,Торг!$H:$H,0))),"")</f>
        <v/>
      </c>
      <c r="G2952" s="67" t="str">
        <f>IFERROR(IFERROR(INDEX(Кат!$B:$B,MATCH(Прайс!$B2952,Кат!$G:$G,0)),INDEX(Торг!$C:$C,MATCH(Прайс!$B2952,Торг!$H:$H,0))),"")</f>
        <v/>
      </c>
      <c r="H2952" s="67" t="str">
        <f>IFERROR(IFERROR(INDEX(Кат!$I:$I,MATCH(Прайс!$B2952,Кат!$G:$G,0)),INDEX(Торг!$I:$I,MATCH(Прайс!$B2952,Торг!$H:$H,0))),"")</f>
        <v/>
      </c>
    </row>
    <row r="2953" spans="1:8" x14ac:dyDescent="0.25">
      <c r="A2953" s="99" t="s">
        <v>4189</v>
      </c>
      <c r="B2953" s="108">
        <v>23038</v>
      </c>
      <c r="C2953" s="108" t="s">
        <v>5338</v>
      </c>
      <c r="D2953" s="101" t="s">
        <v>177</v>
      </c>
      <c r="E2953" s="102">
        <v>280</v>
      </c>
      <c r="F2953" s="67" t="str">
        <f>IFERROR(IFERROR(INDEX(Кат!$A:$A,MATCH(Прайс!$B2953,Кат!$G:$G,0)),INDEX(Торг!$B:$B,MATCH(Прайс!$B2953,Торг!$H:$H,0))),"")</f>
        <v/>
      </c>
      <c r="G2953" s="67" t="str">
        <f>IFERROR(IFERROR(INDEX(Кат!$B:$B,MATCH(Прайс!$B2953,Кат!$G:$G,0)),INDEX(Торг!$C:$C,MATCH(Прайс!$B2953,Торг!$H:$H,0))),"")</f>
        <v/>
      </c>
      <c r="H2953" s="67" t="str">
        <f>IFERROR(IFERROR(INDEX(Кат!$I:$I,MATCH(Прайс!$B2953,Кат!$G:$G,0)),INDEX(Торг!$I:$I,MATCH(Прайс!$B2953,Торг!$H:$H,0))),"")</f>
        <v/>
      </c>
    </row>
    <row r="2954" spans="1:8" x14ac:dyDescent="0.25">
      <c r="A2954" s="99" t="s">
        <v>7813</v>
      </c>
      <c r="B2954" s="108">
        <v>23090</v>
      </c>
      <c r="C2954" s="108" t="s">
        <v>7814</v>
      </c>
      <c r="D2954" s="101" t="s">
        <v>177</v>
      </c>
      <c r="E2954" s="102">
        <v>275</v>
      </c>
      <c r="F2954" s="67" t="str">
        <f>IFERROR(IFERROR(INDEX(Кат!$A:$A,MATCH(Прайс!$B2954,Кат!$G:$G,0)),INDEX(Торг!$B:$B,MATCH(Прайс!$B2954,Торг!$H:$H,0))),"")</f>
        <v/>
      </c>
      <c r="G2954" s="67" t="str">
        <f>IFERROR(IFERROR(INDEX(Кат!$B:$B,MATCH(Прайс!$B2954,Кат!$G:$G,0)),INDEX(Торг!$C:$C,MATCH(Прайс!$B2954,Торг!$H:$H,0))),"")</f>
        <v/>
      </c>
      <c r="H2954" s="67" t="str">
        <f>IFERROR(IFERROR(INDEX(Кат!$I:$I,MATCH(Прайс!$B2954,Кат!$G:$G,0)),INDEX(Торг!$I:$I,MATCH(Прайс!$B2954,Торг!$H:$H,0))),"")</f>
        <v/>
      </c>
    </row>
    <row r="2955" spans="1:8" x14ac:dyDescent="0.25">
      <c r="A2955" s="99" t="s">
        <v>4190</v>
      </c>
      <c r="B2955" s="108">
        <v>23039</v>
      </c>
      <c r="C2955" s="108" t="s">
        <v>7815</v>
      </c>
      <c r="D2955" s="101" t="s">
        <v>177</v>
      </c>
      <c r="E2955" s="102">
        <v>340</v>
      </c>
      <c r="F2955" s="67" t="str">
        <f>IFERROR(IFERROR(INDEX(Кат!$A:$A,MATCH(Прайс!$B2955,Кат!$G:$G,0)),INDEX(Торг!$B:$B,MATCH(Прайс!$B2955,Торг!$H:$H,0))),"")</f>
        <v/>
      </c>
      <c r="G2955" s="67" t="str">
        <f>IFERROR(IFERROR(INDEX(Кат!$B:$B,MATCH(Прайс!$B2955,Кат!$G:$G,0)),INDEX(Торг!$C:$C,MATCH(Прайс!$B2955,Торг!$H:$H,0))),"")</f>
        <v/>
      </c>
      <c r="H2955" s="67" t="str">
        <f>IFERROR(IFERROR(INDEX(Кат!$I:$I,MATCH(Прайс!$B2955,Кат!$G:$G,0)),INDEX(Торг!$I:$I,MATCH(Прайс!$B2955,Торг!$H:$H,0))),"")</f>
        <v/>
      </c>
    </row>
    <row r="2956" spans="1:8" x14ac:dyDescent="0.25">
      <c r="A2956" s="99" t="s">
        <v>4191</v>
      </c>
      <c r="B2956" s="108">
        <v>23040</v>
      </c>
      <c r="C2956" s="108" t="s">
        <v>7816</v>
      </c>
      <c r="D2956" s="101" t="s">
        <v>177</v>
      </c>
      <c r="E2956" s="102">
        <v>380</v>
      </c>
      <c r="F2956" s="67" t="str">
        <f>IFERROR(IFERROR(INDEX(Кат!$A:$A,MATCH(Прайс!$B2956,Кат!$G:$G,0)),INDEX(Торг!$B:$B,MATCH(Прайс!$B2956,Торг!$H:$H,0))),"")</f>
        <v/>
      </c>
      <c r="G2956" s="67" t="str">
        <f>IFERROR(IFERROR(INDEX(Кат!$B:$B,MATCH(Прайс!$B2956,Кат!$G:$G,0)),INDEX(Торг!$C:$C,MATCH(Прайс!$B2956,Торг!$H:$H,0))),"")</f>
        <v/>
      </c>
      <c r="H2956" s="67" t="str">
        <f>IFERROR(IFERROR(INDEX(Кат!$I:$I,MATCH(Прайс!$B2956,Кат!$G:$G,0)),INDEX(Торг!$I:$I,MATCH(Прайс!$B2956,Торг!$H:$H,0))),"")</f>
        <v/>
      </c>
    </row>
    <row r="2957" spans="1:8" x14ac:dyDescent="0.25">
      <c r="A2957" s="99" t="s">
        <v>4192</v>
      </c>
      <c r="B2957" s="108">
        <v>23041</v>
      </c>
      <c r="C2957" s="108" t="s">
        <v>7817</v>
      </c>
      <c r="D2957" s="101" t="s">
        <v>161</v>
      </c>
      <c r="E2957" s="102">
        <v>420</v>
      </c>
      <c r="F2957" s="67" t="str">
        <f>IFERROR(IFERROR(INDEX(Кат!$A:$A,MATCH(Прайс!$B2957,Кат!$G:$G,0)),INDEX(Торг!$B:$B,MATCH(Прайс!$B2957,Торг!$H:$H,0))),"")</f>
        <v/>
      </c>
      <c r="G2957" s="67" t="str">
        <f>IFERROR(IFERROR(INDEX(Кат!$B:$B,MATCH(Прайс!$B2957,Кат!$G:$G,0)),INDEX(Торг!$C:$C,MATCH(Прайс!$B2957,Торг!$H:$H,0))),"")</f>
        <v/>
      </c>
      <c r="H2957" s="67" t="str">
        <f>IFERROR(IFERROR(INDEX(Кат!$I:$I,MATCH(Прайс!$B2957,Кат!$G:$G,0)),INDEX(Торг!$I:$I,MATCH(Прайс!$B2957,Торг!$H:$H,0))),"")</f>
        <v/>
      </c>
    </row>
    <row r="2958" spans="1:8" x14ac:dyDescent="0.25">
      <c r="A2958" s="99" t="s">
        <v>4193</v>
      </c>
      <c r="B2958" s="108">
        <v>23042</v>
      </c>
      <c r="C2958" s="108" t="s">
        <v>7818</v>
      </c>
      <c r="D2958" s="101" t="s">
        <v>166</v>
      </c>
      <c r="E2958" s="102">
        <v>600</v>
      </c>
      <c r="F2958" s="67" t="str">
        <f>IFERROR(IFERROR(INDEX(Кат!$A:$A,MATCH(Прайс!$B2958,Кат!$G:$G,0)),INDEX(Торг!$B:$B,MATCH(Прайс!$B2958,Торг!$H:$H,0))),"")</f>
        <v/>
      </c>
      <c r="G2958" s="67" t="str">
        <f>IFERROR(IFERROR(INDEX(Кат!$B:$B,MATCH(Прайс!$B2958,Кат!$G:$G,0)),INDEX(Торг!$C:$C,MATCH(Прайс!$B2958,Торг!$H:$H,0))),"")</f>
        <v/>
      </c>
      <c r="H2958" s="67" t="str">
        <f>IFERROR(IFERROR(INDEX(Кат!$I:$I,MATCH(Прайс!$B2958,Кат!$G:$G,0)),INDEX(Торг!$I:$I,MATCH(Прайс!$B2958,Торг!$H:$H,0))),"")</f>
        <v/>
      </c>
    </row>
    <row r="2959" spans="1:8" x14ac:dyDescent="0.25">
      <c r="A2959" s="99" t="s">
        <v>4194</v>
      </c>
      <c r="B2959" s="108">
        <v>23043</v>
      </c>
      <c r="C2959" s="108" t="s">
        <v>7819</v>
      </c>
      <c r="D2959" s="101" t="s">
        <v>160</v>
      </c>
      <c r="E2959" s="102">
        <v>950</v>
      </c>
      <c r="F2959" s="67" t="str">
        <f>IFERROR(IFERROR(INDEX(Кат!$A:$A,MATCH(Прайс!$B2959,Кат!$G:$G,0)),INDEX(Торг!$B:$B,MATCH(Прайс!$B2959,Торг!$H:$H,0))),"")</f>
        <v/>
      </c>
      <c r="G2959" s="67" t="str">
        <f>IFERROR(IFERROR(INDEX(Кат!$B:$B,MATCH(Прайс!$B2959,Кат!$G:$G,0)),INDEX(Торг!$C:$C,MATCH(Прайс!$B2959,Торг!$H:$H,0))),"")</f>
        <v/>
      </c>
      <c r="H2959" s="67" t="str">
        <f>IFERROR(IFERROR(INDEX(Кат!$I:$I,MATCH(Прайс!$B2959,Кат!$G:$G,0)),INDEX(Торг!$I:$I,MATCH(Прайс!$B2959,Торг!$H:$H,0))),"")</f>
        <v/>
      </c>
    </row>
    <row r="2960" spans="1:8" x14ac:dyDescent="0.25">
      <c r="A2960" s="99" t="s">
        <v>4947</v>
      </c>
      <c r="B2960" s="108">
        <v>23045</v>
      </c>
      <c r="C2960" s="108" t="s">
        <v>7820</v>
      </c>
      <c r="D2960" s="101" t="s">
        <v>433</v>
      </c>
      <c r="E2960" s="114">
        <v>1700</v>
      </c>
      <c r="F2960" s="67" t="str">
        <f>IFERROR(IFERROR(INDEX(Кат!$A:$A,MATCH(Прайс!$B2960,Кат!$G:$G,0)),INDEX(Торг!$B:$B,MATCH(Прайс!$B2960,Торг!$H:$H,0))),"")</f>
        <v/>
      </c>
      <c r="G2960" s="67" t="str">
        <f>IFERROR(IFERROR(INDEX(Кат!$B:$B,MATCH(Прайс!$B2960,Кат!$G:$G,0)),INDEX(Торг!$C:$C,MATCH(Прайс!$B2960,Торг!$H:$H,0))),"")</f>
        <v/>
      </c>
      <c r="H2960" s="67" t="str">
        <f>IFERROR(IFERROR(INDEX(Кат!$I:$I,MATCH(Прайс!$B2960,Кат!$G:$G,0)),INDEX(Торг!$I:$I,MATCH(Прайс!$B2960,Торг!$H:$H,0))),"")</f>
        <v/>
      </c>
    </row>
    <row r="2961" spans="1:8" x14ac:dyDescent="0.25">
      <c r="A2961" s="99" t="s">
        <v>4195</v>
      </c>
      <c r="B2961" s="108">
        <v>23046</v>
      </c>
      <c r="C2961" s="108" t="s">
        <v>7821</v>
      </c>
      <c r="D2961" s="101" t="s">
        <v>433</v>
      </c>
      <c r="E2961" s="114">
        <v>1800</v>
      </c>
      <c r="F2961" s="67" t="str">
        <f>IFERROR(IFERROR(INDEX(Кат!$A:$A,MATCH(Прайс!$B2961,Кат!$G:$G,0)),INDEX(Торг!$B:$B,MATCH(Прайс!$B2961,Торг!$H:$H,0))),"")</f>
        <v/>
      </c>
      <c r="G2961" s="67" t="str">
        <f>IFERROR(IFERROR(INDEX(Кат!$B:$B,MATCH(Прайс!$B2961,Кат!$G:$G,0)),INDEX(Торг!$C:$C,MATCH(Прайс!$B2961,Торг!$H:$H,0))),"")</f>
        <v/>
      </c>
      <c r="H2961" s="67" t="str">
        <f>IFERROR(IFERROR(INDEX(Кат!$I:$I,MATCH(Прайс!$B2961,Кат!$G:$G,0)),INDEX(Торг!$I:$I,MATCH(Прайс!$B2961,Торг!$H:$H,0))),"")</f>
        <v/>
      </c>
    </row>
    <row r="2962" spans="1:8" x14ac:dyDescent="0.25">
      <c r="A2962" s="99" t="s">
        <v>4196</v>
      </c>
      <c r="B2962" s="108">
        <v>23047</v>
      </c>
      <c r="C2962" s="108" t="s">
        <v>1567</v>
      </c>
      <c r="D2962" s="101" t="s">
        <v>433</v>
      </c>
      <c r="E2962" s="114">
        <v>2150</v>
      </c>
      <c r="F2962" s="67" t="str">
        <f>IFERROR(IFERROR(INDEX(Кат!$A:$A,MATCH(Прайс!$B2962,Кат!$G:$G,0)),INDEX(Торг!$B:$B,MATCH(Прайс!$B2962,Торг!$H:$H,0))),"")</f>
        <v/>
      </c>
      <c r="G2962" s="67" t="str">
        <f>IFERROR(IFERROR(INDEX(Кат!$B:$B,MATCH(Прайс!$B2962,Кат!$G:$G,0)),INDEX(Торг!$C:$C,MATCH(Прайс!$B2962,Торг!$H:$H,0))),"")</f>
        <v/>
      </c>
      <c r="H2962" s="67" t="str">
        <f>IFERROR(IFERROR(INDEX(Кат!$I:$I,MATCH(Прайс!$B2962,Кат!$G:$G,0)),INDEX(Торг!$I:$I,MATCH(Прайс!$B2962,Торг!$H:$H,0))),"")</f>
        <v/>
      </c>
    </row>
    <row r="2963" spans="1:8" x14ac:dyDescent="0.25">
      <c r="A2963" s="99" t="s">
        <v>7822</v>
      </c>
      <c r="B2963" s="108">
        <v>23048</v>
      </c>
      <c r="C2963" s="108" t="s">
        <v>7823</v>
      </c>
      <c r="D2963" s="101" t="s">
        <v>433</v>
      </c>
      <c r="E2963" s="114">
        <v>2300</v>
      </c>
      <c r="F2963" s="67" t="str">
        <f>IFERROR(IFERROR(INDEX(Кат!$A:$A,MATCH(Прайс!$B2963,Кат!$G:$G,0)),INDEX(Торг!$B:$B,MATCH(Прайс!$B2963,Торг!$H:$H,0))),"")</f>
        <v/>
      </c>
      <c r="G2963" s="67" t="str">
        <f>IFERROR(IFERROR(INDEX(Кат!$B:$B,MATCH(Прайс!$B2963,Кат!$G:$G,0)),INDEX(Торг!$C:$C,MATCH(Прайс!$B2963,Торг!$H:$H,0))),"")</f>
        <v/>
      </c>
      <c r="H2963" s="67" t="str">
        <f>IFERROR(IFERROR(INDEX(Кат!$I:$I,MATCH(Прайс!$B2963,Кат!$G:$G,0)),INDEX(Торг!$I:$I,MATCH(Прайс!$B2963,Торг!$H:$H,0))),"")</f>
        <v/>
      </c>
    </row>
    <row r="2964" spans="1:8" ht="15.75" x14ac:dyDescent="0.25">
      <c r="A2964" s="87"/>
      <c r="B2964" s="88"/>
      <c r="C2964" s="88" t="s">
        <v>1568</v>
      </c>
      <c r="D2964" s="88"/>
      <c r="E2964" s="89"/>
      <c r="F2964" s="67" t="str">
        <f>IFERROR(IFERROR(INDEX(Кат!$A:$A,MATCH(Прайс!$B2964,Кат!$G:$G,0)),INDEX(Торг!$B:$B,MATCH(Прайс!$B2964,Торг!$H:$H,0))),"")</f>
        <v/>
      </c>
      <c r="G2964" s="67" t="str">
        <f>IFERROR(IFERROR(INDEX(Кат!$B:$B,MATCH(Прайс!$B2964,Кат!$G:$G,0)),INDEX(Торг!$C:$C,MATCH(Прайс!$B2964,Торг!$H:$H,0))),"")</f>
        <v/>
      </c>
      <c r="H2964" s="67" t="str">
        <f>IFERROR(IFERROR(INDEX(Кат!$I:$I,MATCH(Прайс!$B2964,Кат!$G:$G,0)),INDEX(Торг!$I:$I,MATCH(Прайс!$B2964,Торг!$H:$H,0))),"")</f>
        <v/>
      </c>
    </row>
    <row r="2965" spans="1:8" ht="15.75" x14ac:dyDescent="0.25">
      <c r="A2965" s="90"/>
      <c r="B2965" s="91"/>
      <c r="C2965" s="92" t="s">
        <v>1569</v>
      </c>
      <c r="D2965" s="91"/>
      <c r="E2965" s="93"/>
      <c r="F2965" s="67" t="str">
        <f>IFERROR(IFERROR(INDEX(Кат!$A:$A,MATCH(Прайс!$B2965,Кат!$G:$G,0)),INDEX(Торг!$B:$B,MATCH(Прайс!$B2965,Торг!$H:$H,0))),"")</f>
        <v/>
      </c>
      <c r="G2965" s="67" t="str">
        <f>IFERROR(IFERROR(INDEX(Кат!$B:$B,MATCH(Прайс!$B2965,Кат!$G:$G,0)),INDEX(Торг!$C:$C,MATCH(Прайс!$B2965,Торг!$H:$H,0))),"")</f>
        <v/>
      </c>
      <c r="H2965" s="67" t="str">
        <f>IFERROR(IFERROR(INDEX(Кат!$I:$I,MATCH(Прайс!$B2965,Кат!$G:$G,0)),INDEX(Торг!$I:$I,MATCH(Прайс!$B2965,Торг!$H:$H,0))),"")</f>
        <v/>
      </c>
    </row>
    <row r="2966" spans="1:8" x14ac:dyDescent="0.25">
      <c r="A2966" s="94" t="s">
        <v>5986</v>
      </c>
      <c r="B2966" s="98">
        <v>20010</v>
      </c>
      <c r="C2966" s="98" t="s">
        <v>5987</v>
      </c>
      <c r="D2966" s="96" t="s">
        <v>5988</v>
      </c>
      <c r="E2966" s="97">
        <v>120</v>
      </c>
      <c r="F2966" s="67" t="str">
        <f>IFERROR(IFERROR(INDEX(Кат!$A:$A,MATCH(Прайс!$B2966,Кат!$G:$G,0)),INDEX(Торг!$B:$B,MATCH(Прайс!$B2966,Торг!$H:$H,0))),"")</f>
        <v/>
      </c>
      <c r="G2966" s="67" t="str">
        <f>IFERROR(IFERROR(INDEX(Кат!$B:$B,MATCH(Прайс!$B2966,Кат!$G:$G,0)),INDEX(Торг!$C:$C,MATCH(Прайс!$B2966,Торг!$H:$H,0))),"")</f>
        <v/>
      </c>
      <c r="H2966" s="67" t="str">
        <f>IFERROR(IFERROR(INDEX(Кат!$I:$I,MATCH(Прайс!$B2966,Кат!$G:$G,0)),INDEX(Торг!$I:$I,MATCH(Прайс!$B2966,Торг!$H:$H,0))),"")</f>
        <v/>
      </c>
    </row>
    <row r="2967" spans="1:8" x14ac:dyDescent="0.25">
      <c r="A2967" s="103" t="s">
        <v>4197</v>
      </c>
      <c r="B2967" s="104">
        <v>20483</v>
      </c>
      <c r="C2967" s="104" t="s">
        <v>1570</v>
      </c>
      <c r="D2967" s="105" t="s">
        <v>177</v>
      </c>
      <c r="E2967" s="113">
        <v>160</v>
      </c>
      <c r="F2967" s="67" t="str">
        <f>IFERROR(IFERROR(INDEX(Кат!$A:$A,MATCH(Прайс!$B2967,Кат!$G:$G,0)),INDEX(Торг!$B:$B,MATCH(Прайс!$B2967,Торг!$H:$H,0))),"")</f>
        <v/>
      </c>
      <c r="G2967" s="67" t="str">
        <f>IFERROR(IFERROR(INDEX(Кат!$B:$B,MATCH(Прайс!$B2967,Кат!$G:$G,0)),INDEX(Торг!$C:$C,MATCH(Прайс!$B2967,Торг!$H:$H,0))),"")</f>
        <v/>
      </c>
      <c r="H2967" s="67" t="str">
        <f>IFERROR(IFERROR(INDEX(Кат!$I:$I,MATCH(Прайс!$B2967,Кат!$G:$G,0)),INDEX(Торг!$I:$I,MATCH(Прайс!$B2967,Торг!$H:$H,0))),"")</f>
        <v/>
      </c>
    </row>
    <row r="2968" spans="1:8" ht="15.75" x14ac:dyDescent="0.25">
      <c r="A2968" s="90"/>
      <c r="B2968" s="91"/>
      <c r="C2968" s="92" t="s">
        <v>1571</v>
      </c>
      <c r="D2968" s="91"/>
      <c r="E2968" s="93"/>
      <c r="F2968" s="67" t="str">
        <f>IFERROR(IFERROR(INDEX(Кат!$A:$A,MATCH(Прайс!$B2968,Кат!$G:$G,0)),INDEX(Торг!$B:$B,MATCH(Прайс!$B2968,Торг!$H:$H,0))),"")</f>
        <v/>
      </c>
      <c r="G2968" s="67" t="str">
        <f>IFERROR(IFERROR(INDEX(Кат!$B:$B,MATCH(Прайс!$B2968,Кат!$G:$G,0)),INDEX(Торг!$C:$C,MATCH(Прайс!$B2968,Торг!$H:$H,0))),"")</f>
        <v/>
      </c>
      <c r="H2968" s="67" t="str">
        <f>IFERROR(IFERROR(INDEX(Кат!$I:$I,MATCH(Прайс!$B2968,Кат!$G:$G,0)),INDEX(Торг!$I:$I,MATCH(Прайс!$B2968,Торг!$H:$H,0))),"")</f>
        <v/>
      </c>
    </row>
    <row r="2969" spans="1:8" x14ac:dyDescent="0.25">
      <c r="A2969" s="94" t="s">
        <v>4198</v>
      </c>
      <c r="B2969" s="98">
        <v>24001</v>
      </c>
      <c r="C2969" s="98" t="s">
        <v>1572</v>
      </c>
      <c r="D2969" s="96" t="s">
        <v>257</v>
      </c>
      <c r="E2969" s="97">
        <v>85</v>
      </c>
      <c r="F2969" s="67">
        <f>IFERROR(IFERROR(INDEX(Кат!$A:$A,MATCH(Прайс!$B2969,Кат!$G:$G,0)),INDEX(Торг!$B:$B,MATCH(Прайс!$B2969,Торг!$H:$H,0))),"")</f>
        <v>213269</v>
      </c>
      <c r="G2969" s="67">
        <f>IFERROR(IFERROR(INDEX(Кат!$B:$B,MATCH(Прайс!$B2969,Кат!$G:$G,0)),INDEX(Торг!$C:$C,MATCH(Прайс!$B2969,Торг!$H:$H,0))),"")</f>
        <v>9060</v>
      </c>
      <c r="H2969" s="67" t="str">
        <f>IFERROR(IFERROR(INDEX(Кат!$I:$I,MATCH(Прайс!$B2969,Кат!$G:$G,0)),INDEX(Торг!$I:$I,MATCH(Прайс!$B2969,Торг!$H:$H,0))),"")</f>
        <v>кристал авто</v>
      </c>
    </row>
    <row r="2970" spans="1:8" ht="15.75" x14ac:dyDescent="0.25">
      <c r="A2970" s="90"/>
      <c r="B2970" s="91"/>
      <c r="C2970" s="92" t="s">
        <v>1573</v>
      </c>
      <c r="D2970" s="91"/>
      <c r="E2970" s="93"/>
      <c r="F2970" s="67" t="str">
        <f>IFERROR(IFERROR(INDEX(Кат!$A:$A,MATCH(Прайс!$B2970,Кат!$G:$G,0)),INDEX(Торг!$B:$B,MATCH(Прайс!$B2970,Торг!$H:$H,0))),"")</f>
        <v/>
      </c>
      <c r="G2970" s="67" t="str">
        <f>IFERROR(IFERROR(INDEX(Кат!$B:$B,MATCH(Прайс!$B2970,Кат!$G:$G,0)),INDEX(Торг!$C:$C,MATCH(Прайс!$B2970,Торг!$H:$H,0))),"")</f>
        <v/>
      </c>
      <c r="H2970" s="67" t="str">
        <f>IFERROR(IFERROR(INDEX(Кат!$I:$I,MATCH(Прайс!$B2970,Кат!$G:$G,0)),INDEX(Торг!$I:$I,MATCH(Прайс!$B2970,Торг!$H:$H,0))),"")</f>
        <v/>
      </c>
    </row>
    <row r="2971" spans="1:8" x14ac:dyDescent="0.25">
      <c r="A2971" s="94" t="s">
        <v>4199</v>
      </c>
      <c r="B2971" s="98">
        <v>24014</v>
      </c>
      <c r="C2971" s="98" t="s">
        <v>1574</v>
      </c>
      <c r="D2971" s="96" t="s">
        <v>160</v>
      </c>
      <c r="E2971" s="97">
        <v>22</v>
      </c>
      <c r="F2971" s="67" t="str">
        <f>IFERROR(IFERROR(INDEX(Кат!$A:$A,MATCH(Прайс!$B2971,Кат!$G:$G,0)),INDEX(Торг!$B:$B,MATCH(Прайс!$B2971,Торг!$H:$H,0))),"")</f>
        <v/>
      </c>
      <c r="G2971" s="67" t="str">
        <f>IFERROR(IFERROR(INDEX(Кат!$B:$B,MATCH(Прайс!$B2971,Кат!$G:$G,0)),INDEX(Торг!$C:$C,MATCH(Прайс!$B2971,Торг!$H:$H,0))),"")</f>
        <v/>
      </c>
      <c r="H2971" s="67" t="str">
        <f>IFERROR(IFERROR(INDEX(Кат!$I:$I,MATCH(Прайс!$B2971,Кат!$G:$G,0)),INDEX(Торг!$I:$I,MATCH(Прайс!$B2971,Торг!$H:$H,0))),"")</f>
        <v/>
      </c>
    </row>
    <row r="2972" spans="1:8" x14ac:dyDescent="0.25">
      <c r="A2972" s="94" t="s">
        <v>4200</v>
      </c>
      <c r="B2972" s="98">
        <v>24119</v>
      </c>
      <c r="C2972" s="98" t="s">
        <v>4201</v>
      </c>
      <c r="D2972" s="96" t="s">
        <v>241</v>
      </c>
      <c r="E2972" s="97">
        <v>85</v>
      </c>
      <c r="F2972" s="67" t="str">
        <f>IFERROR(IFERROR(INDEX(Кат!$A:$A,MATCH(Прайс!$B2972,Кат!$G:$G,0)),INDEX(Торг!$B:$B,MATCH(Прайс!$B2972,Торг!$H:$H,0))),"")</f>
        <v/>
      </c>
      <c r="G2972" s="67" t="str">
        <f>IFERROR(IFERROR(INDEX(Кат!$B:$B,MATCH(Прайс!$B2972,Кат!$G:$G,0)),INDEX(Торг!$C:$C,MATCH(Прайс!$B2972,Торг!$H:$H,0))),"")</f>
        <v/>
      </c>
      <c r="H2972" s="67" t="str">
        <f>IFERROR(IFERROR(INDEX(Кат!$I:$I,MATCH(Прайс!$B2972,Кат!$G:$G,0)),INDEX(Торг!$I:$I,MATCH(Прайс!$B2972,Торг!$H:$H,0))),"")</f>
        <v/>
      </c>
    </row>
    <row r="2973" spans="1:8" x14ac:dyDescent="0.25">
      <c r="A2973" s="94" t="s">
        <v>4202</v>
      </c>
      <c r="B2973" s="98">
        <v>24115</v>
      </c>
      <c r="C2973" s="98" t="s">
        <v>1575</v>
      </c>
      <c r="D2973" s="96" t="s">
        <v>375</v>
      </c>
      <c r="E2973" s="97">
        <v>75</v>
      </c>
      <c r="F2973" s="67" t="str">
        <f>IFERROR(IFERROR(INDEX(Кат!$A:$A,MATCH(Прайс!$B2973,Кат!$G:$G,0)),INDEX(Торг!$B:$B,MATCH(Прайс!$B2973,Торг!$H:$H,0))),"")</f>
        <v/>
      </c>
      <c r="G2973" s="67" t="str">
        <f>IFERROR(IFERROR(INDEX(Кат!$B:$B,MATCH(Прайс!$B2973,Кат!$G:$G,0)),INDEX(Торг!$C:$C,MATCH(Прайс!$B2973,Торг!$H:$H,0))),"")</f>
        <v/>
      </c>
      <c r="H2973" s="67" t="str">
        <f>IFERROR(IFERROR(INDEX(Кат!$I:$I,MATCH(Прайс!$B2973,Кат!$G:$G,0)),INDEX(Торг!$I:$I,MATCH(Прайс!$B2973,Торг!$H:$H,0))),"")</f>
        <v/>
      </c>
    </row>
    <row r="2974" spans="1:8" x14ac:dyDescent="0.25">
      <c r="A2974" s="103" t="s">
        <v>4203</v>
      </c>
      <c r="B2974" s="104">
        <v>24179</v>
      </c>
      <c r="C2974" s="104" t="s">
        <v>1576</v>
      </c>
      <c r="D2974" s="105" t="s">
        <v>375</v>
      </c>
      <c r="E2974" s="113">
        <v>65</v>
      </c>
      <c r="F2974" s="67" t="str">
        <f>IFERROR(IFERROR(INDEX(Кат!$A:$A,MATCH(Прайс!$B2974,Кат!$G:$G,0)),INDEX(Торг!$B:$B,MATCH(Прайс!$B2974,Торг!$H:$H,0))),"")</f>
        <v/>
      </c>
      <c r="G2974" s="67" t="str">
        <f>IFERROR(IFERROR(INDEX(Кат!$B:$B,MATCH(Прайс!$B2974,Кат!$G:$G,0)),INDEX(Торг!$C:$C,MATCH(Прайс!$B2974,Торг!$H:$H,0))),"")</f>
        <v/>
      </c>
      <c r="H2974" s="67" t="str">
        <f>IFERROR(IFERROR(INDEX(Кат!$I:$I,MATCH(Прайс!$B2974,Кат!$G:$G,0)),INDEX(Торг!$I:$I,MATCH(Прайс!$B2974,Торг!$H:$H,0))),"")</f>
        <v/>
      </c>
    </row>
    <row r="2975" spans="1:8" x14ac:dyDescent="0.25">
      <c r="A2975" s="103" t="s">
        <v>4204</v>
      </c>
      <c r="B2975" s="104">
        <v>24180</v>
      </c>
      <c r="C2975" s="104" t="s">
        <v>1577</v>
      </c>
      <c r="D2975" s="105" t="s">
        <v>361</v>
      </c>
      <c r="E2975" s="113">
        <v>60</v>
      </c>
      <c r="F2975" s="67" t="str">
        <f>IFERROR(IFERROR(INDEX(Кат!$A:$A,MATCH(Прайс!$B2975,Кат!$G:$G,0)),INDEX(Торг!$B:$B,MATCH(Прайс!$B2975,Торг!$H:$H,0))),"")</f>
        <v/>
      </c>
      <c r="G2975" s="67" t="str">
        <f>IFERROR(IFERROR(INDEX(Кат!$B:$B,MATCH(Прайс!$B2975,Кат!$G:$G,0)),INDEX(Торг!$C:$C,MATCH(Прайс!$B2975,Торг!$H:$H,0))),"")</f>
        <v/>
      </c>
      <c r="H2975" s="67" t="str">
        <f>IFERROR(IFERROR(INDEX(Кат!$I:$I,MATCH(Прайс!$B2975,Кат!$G:$G,0)),INDEX(Торг!$I:$I,MATCH(Прайс!$B2975,Торг!$H:$H,0))),"")</f>
        <v/>
      </c>
    </row>
    <row r="2976" spans="1:8" x14ac:dyDescent="0.25">
      <c r="A2976" s="99" t="s">
        <v>4205</v>
      </c>
      <c r="B2976" s="108">
        <v>24126</v>
      </c>
      <c r="C2976" s="108" t="s">
        <v>7824</v>
      </c>
      <c r="D2976" s="101" t="s">
        <v>628</v>
      </c>
      <c r="E2976" s="102">
        <v>35</v>
      </c>
      <c r="F2976" s="67" t="str">
        <f>IFERROR(IFERROR(INDEX(Кат!$A:$A,MATCH(Прайс!$B2976,Кат!$G:$G,0)),INDEX(Торг!$B:$B,MATCH(Прайс!$B2976,Торг!$H:$H,0))),"")</f>
        <v/>
      </c>
      <c r="G2976" s="67" t="str">
        <f>IFERROR(IFERROR(INDEX(Кат!$B:$B,MATCH(Прайс!$B2976,Кат!$G:$G,0)),INDEX(Торг!$C:$C,MATCH(Прайс!$B2976,Торг!$H:$H,0))),"")</f>
        <v/>
      </c>
      <c r="H2976" s="67" t="str">
        <f>IFERROR(IFERROR(INDEX(Кат!$I:$I,MATCH(Прайс!$B2976,Кат!$G:$G,0)),INDEX(Торг!$I:$I,MATCH(Прайс!$B2976,Торг!$H:$H,0))),"")</f>
        <v/>
      </c>
    </row>
    <row r="2977" spans="1:8" x14ac:dyDescent="0.25">
      <c r="A2977" s="94" t="s">
        <v>4206</v>
      </c>
      <c r="B2977" s="98">
        <v>24022</v>
      </c>
      <c r="C2977" s="98" t="s">
        <v>1578</v>
      </c>
      <c r="D2977" s="96" t="s">
        <v>177</v>
      </c>
      <c r="E2977" s="97">
        <v>36</v>
      </c>
      <c r="F2977" s="67" t="str">
        <f>IFERROR(IFERROR(INDEX(Кат!$A:$A,MATCH(Прайс!$B2977,Кат!$G:$G,0)),INDEX(Торг!$B:$B,MATCH(Прайс!$B2977,Торг!$H:$H,0))),"")</f>
        <v/>
      </c>
      <c r="G2977" s="67" t="str">
        <f>IFERROR(IFERROR(INDEX(Кат!$B:$B,MATCH(Прайс!$B2977,Кат!$G:$G,0)),INDEX(Торг!$C:$C,MATCH(Прайс!$B2977,Торг!$H:$H,0))),"")</f>
        <v/>
      </c>
      <c r="H2977" s="67" t="str">
        <f>IFERROR(IFERROR(INDEX(Кат!$I:$I,MATCH(Прайс!$B2977,Кат!$G:$G,0)),INDEX(Торг!$I:$I,MATCH(Прайс!$B2977,Торг!$H:$H,0))),"")</f>
        <v/>
      </c>
    </row>
    <row r="2978" spans="1:8" x14ac:dyDescent="0.25">
      <c r="A2978" s="94" t="s">
        <v>4207</v>
      </c>
      <c r="B2978" s="98">
        <v>24130</v>
      </c>
      <c r="C2978" s="98" t="s">
        <v>1579</v>
      </c>
      <c r="D2978" s="96" t="s">
        <v>190</v>
      </c>
      <c r="E2978" s="97">
        <v>75</v>
      </c>
      <c r="F2978" s="67" t="str">
        <f>IFERROR(IFERROR(INDEX(Кат!$A:$A,MATCH(Прайс!$B2978,Кат!$G:$G,0)),INDEX(Торг!$B:$B,MATCH(Прайс!$B2978,Торг!$H:$H,0))),"")</f>
        <v/>
      </c>
      <c r="G2978" s="67" t="str">
        <f>IFERROR(IFERROR(INDEX(Кат!$B:$B,MATCH(Прайс!$B2978,Кат!$G:$G,0)),INDEX(Торг!$C:$C,MATCH(Прайс!$B2978,Торг!$H:$H,0))),"")</f>
        <v/>
      </c>
      <c r="H2978" s="67" t="str">
        <f>IFERROR(IFERROR(INDEX(Кат!$I:$I,MATCH(Прайс!$B2978,Кат!$G:$G,0)),INDEX(Торг!$I:$I,MATCH(Прайс!$B2978,Торг!$H:$H,0))),"")</f>
        <v/>
      </c>
    </row>
    <row r="2979" spans="1:8" ht="15.75" x14ac:dyDescent="0.25">
      <c r="A2979" s="90"/>
      <c r="B2979" s="91"/>
      <c r="C2979" s="92" t="s">
        <v>604</v>
      </c>
      <c r="D2979" s="91"/>
      <c r="E2979" s="93"/>
      <c r="F2979" s="67" t="str">
        <f>IFERROR(IFERROR(INDEX(Кат!$A:$A,MATCH(Прайс!$B2979,Кат!$G:$G,0)),INDEX(Торг!$B:$B,MATCH(Прайс!$B2979,Торг!$H:$H,0))),"")</f>
        <v/>
      </c>
      <c r="G2979" s="67" t="str">
        <f>IFERROR(IFERROR(INDEX(Кат!$B:$B,MATCH(Прайс!$B2979,Кат!$G:$G,0)),INDEX(Торг!$C:$C,MATCH(Прайс!$B2979,Торг!$H:$H,0))),"")</f>
        <v/>
      </c>
      <c r="H2979" s="67" t="str">
        <f>IFERROR(IFERROR(INDEX(Кат!$I:$I,MATCH(Прайс!$B2979,Кат!$G:$G,0)),INDEX(Торг!$I:$I,MATCH(Прайс!$B2979,Торг!$H:$H,0))),"")</f>
        <v/>
      </c>
    </row>
    <row r="2980" spans="1:8" x14ac:dyDescent="0.25">
      <c r="A2980" s="94" t="s">
        <v>4208</v>
      </c>
      <c r="B2980" s="98">
        <v>24024</v>
      </c>
      <c r="C2980" s="98" t="s">
        <v>1580</v>
      </c>
      <c r="D2980" s="96" t="s">
        <v>257</v>
      </c>
      <c r="E2980" s="97">
        <v>105</v>
      </c>
      <c r="F2980" s="67" t="str">
        <f>IFERROR(IFERROR(INDEX(Кат!$A:$A,MATCH(Прайс!$B2980,Кат!$G:$G,0)),INDEX(Торг!$B:$B,MATCH(Прайс!$B2980,Торг!$H:$H,0))),"")</f>
        <v/>
      </c>
      <c r="G2980" s="67" t="str">
        <f>IFERROR(IFERROR(INDEX(Кат!$B:$B,MATCH(Прайс!$B2980,Кат!$G:$G,0)),INDEX(Торг!$C:$C,MATCH(Прайс!$B2980,Торг!$H:$H,0))),"")</f>
        <v/>
      </c>
      <c r="H2980" s="67" t="str">
        <f>IFERROR(IFERROR(INDEX(Кат!$I:$I,MATCH(Прайс!$B2980,Кат!$G:$G,0)),INDEX(Торг!$I:$I,MATCH(Прайс!$B2980,Торг!$H:$H,0))),"")</f>
        <v/>
      </c>
    </row>
    <row r="2981" spans="1:8" x14ac:dyDescent="0.25">
      <c r="A2981" s="94" t="s">
        <v>4209</v>
      </c>
      <c r="B2981" s="98">
        <v>24025</v>
      </c>
      <c r="C2981" s="98" t="s">
        <v>1581</v>
      </c>
      <c r="D2981" s="96" t="s">
        <v>257</v>
      </c>
      <c r="E2981" s="97">
        <v>110</v>
      </c>
      <c r="F2981" s="67" t="str">
        <f>IFERROR(IFERROR(INDEX(Кат!$A:$A,MATCH(Прайс!$B2981,Кат!$G:$G,0)),INDEX(Торг!$B:$B,MATCH(Прайс!$B2981,Торг!$H:$H,0))),"")</f>
        <v/>
      </c>
      <c r="G2981" s="67" t="str">
        <f>IFERROR(IFERROR(INDEX(Кат!$B:$B,MATCH(Прайс!$B2981,Кат!$G:$G,0)),INDEX(Торг!$C:$C,MATCH(Прайс!$B2981,Торг!$H:$H,0))),"")</f>
        <v/>
      </c>
      <c r="H2981" s="67" t="str">
        <f>IFERROR(IFERROR(INDEX(Кат!$I:$I,MATCH(Прайс!$B2981,Кат!$G:$G,0)),INDEX(Торг!$I:$I,MATCH(Прайс!$B2981,Торг!$H:$H,0))),"")</f>
        <v/>
      </c>
    </row>
    <row r="2982" spans="1:8" x14ac:dyDescent="0.25">
      <c r="A2982" s="94" t="s">
        <v>4210</v>
      </c>
      <c r="B2982" s="98">
        <v>24026</v>
      </c>
      <c r="C2982" s="98" t="s">
        <v>1582</v>
      </c>
      <c r="D2982" s="96" t="s">
        <v>257</v>
      </c>
      <c r="E2982" s="97">
        <v>125</v>
      </c>
      <c r="F2982" s="67" t="str">
        <f>IFERROR(IFERROR(INDEX(Кат!$A:$A,MATCH(Прайс!$B2982,Кат!$G:$G,0)),INDEX(Торг!$B:$B,MATCH(Прайс!$B2982,Торг!$H:$H,0))),"")</f>
        <v/>
      </c>
      <c r="G2982" s="67" t="str">
        <f>IFERROR(IFERROR(INDEX(Кат!$B:$B,MATCH(Прайс!$B2982,Кат!$G:$G,0)),INDEX(Торг!$C:$C,MATCH(Прайс!$B2982,Торг!$H:$H,0))),"")</f>
        <v/>
      </c>
      <c r="H2982" s="67" t="str">
        <f>IFERROR(IFERROR(INDEX(Кат!$I:$I,MATCH(Прайс!$B2982,Кат!$G:$G,0)),INDEX(Торг!$I:$I,MATCH(Прайс!$B2982,Торг!$H:$H,0))),"")</f>
        <v/>
      </c>
    </row>
    <row r="2983" spans="1:8" x14ac:dyDescent="0.25">
      <c r="A2983" s="94" t="s">
        <v>5339</v>
      </c>
      <c r="B2983" s="98">
        <v>24217</v>
      </c>
      <c r="C2983" s="98" t="s">
        <v>5340</v>
      </c>
      <c r="D2983" s="96" t="s">
        <v>582</v>
      </c>
      <c r="E2983" s="97">
        <v>145</v>
      </c>
      <c r="F2983" s="67" t="str">
        <f>IFERROR(IFERROR(INDEX(Кат!$A:$A,MATCH(Прайс!$B2983,Кат!$G:$G,0)),INDEX(Торг!$B:$B,MATCH(Прайс!$B2983,Торг!$H:$H,0))),"")</f>
        <v/>
      </c>
      <c r="G2983" s="67" t="str">
        <f>IFERROR(IFERROR(INDEX(Кат!$B:$B,MATCH(Прайс!$B2983,Кат!$G:$G,0)),INDEX(Торг!$C:$C,MATCH(Прайс!$B2983,Торг!$H:$H,0))),"")</f>
        <v/>
      </c>
      <c r="H2983" s="67" t="str">
        <f>IFERROR(IFERROR(INDEX(Кат!$I:$I,MATCH(Прайс!$B2983,Кат!$G:$G,0)),INDEX(Торг!$I:$I,MATCH(Прайс!$B2983,Торг!$H:$H,0))),"")</f>
        <v/>
      </c>
    </row>
    <row r="2984" spans="1:8" x14ac:dyDescent="0.25">
      <c r="A2984" s="94" t="s">
        <v>4211</v>
      </c>
      <c r="B2984" s="98">
        <v>24171</v>
      </c>
      <c r="C2984" s="98" t="s">
        <v>7825</v>
      </c>
      <c r="D2984" s="96" t="s">
        <v>257</v>
      </c>
      <c r="E2984" s="97">
        <v>100</v>
      </c>
      <c r="F2984" s="67" t="str">
        <f>IFERROR(IFERROR(INDEX(Кат!$A:$A,MATCH(Прайс!$B2984,Кат!$G:$G,0)),INDEX(Торг!$B:$B,MATCH(Прайс!$B2984,Торг!$H:$H,0))),"")</f>
        <v/>
      </c>
      <c r="G2984" s="67" t="str">
        <f>IFERROR(IFERROR(INDEX(Кат!$B:$B,MATCH(Прайс!$B2984,Кат!$G:$G,0)),INDEX(Торг!$C:$C,MATCH(Прайс!$B2984,Торг!$H:$H,0))),"")</f>
        <v/>
      </c>
      <c r="H2984" s="67" t="str">
        <f>IFERROR(IFERROR(INDEX(Кат!$I:$I,MATCH(Прайс!$B2984,Кат!$G:$G,0)),INDEX(Торг!$I:$I,MATCH(Прайс!$B2984,Торг!$H:$H,0))),"")</f>
        <v/>
      </c>
    </row>
    <row r="2985" spans="1:8" x14ac:dyDescent="0.25">
      <c r="A2985" s="94" t="s">
        <v>4212</v>
      </c>
      <c r="B2985" s="98">
        <v>24104</v>
      </c>
      <c r="C2985" s="98" t="s">
        <v>1583</v>
      </c>
      <c r="D2985" s="96" t="s">
        <v>190</v>
      </c>
      <c r="E2985" s="97">
        <v>210</v>
      </c>
      <c r="F2985" s="67" t="str">
        <f>IFERROR(IFERROR(INDEX(Кат!$A:$A,MATCH(Прайс!$B2985,Кат!$G:$G,0)),INDEX(Торг!$B:$B,MATCH(Прайс!$B2985,Торг!$H:$H,0))),"")</f>
        <v/>
      </c>
      <c r="G2985" s="67" t="str">
        <f>IFERROR(IFERROR(INDEX(Кат!$B:$B,MATCH(Прайс!$B2985,Кат!$G:$G,0)),INDEX(Торг!$C:$C,MATCH(Прайс!$B2985,Торг!$H:$H,0))),"")</f>
        <v/>
      </c>
      <c r="H2985" s="67" t="str">
        <f>IFERROR(IFERROR(INDEX(Кат!$I:$I,MATCH(Прайс!$B2985,Кат!$G:$G,0)),INDEX(Торг!$I:$I,MATCH(Прайс!$B2985,Торг!$H:$H,0))),"")</f>
        <v/>
      </c>
    </row>
    <row r="2986" spans="1:8" ht="15.75" x14ac:dyDescent="0.25">
      <c r="A2986" s="90"/>
      <c r="B2986" s="91"/>
      <c r="C2986" s="92" t="s">
        <v>1584</v>
      </c>
      <c r="D2986" s="91"/>
      <c r="E2986" s="93"/>
      <c r="F2986" s="67" t="str">
        <f>IFERROR(IFERROR(INDEX(Кат!$A:$A,MATCH(Прайс!$B2986,Кат!$G:$G,0)),INDEX(Торг!$B:$B,MATCH(Прайс!$B2986,Торг!$H:$H,0))),"")</f>
        <v/>
      </c>
      <c r="G2986" s="67" t="str">
        <f>IFERROR(IFERROR(INDEX(Кат!$B:$B,MATCH(Прайс!$B2986,Кат!$G:$G,0)),INDEX(Торг!$C:$C,MATCH(Прайс!$B2986,Торг!$H:$H,0))),"")</f>
        <v/>
      </c>
      <c r="H2986" s="67" t="str">
        <f>IFERROR(IFERROR(INDEX(Кат!$I:$I,MATCH(Прайс!$B2986,Кат!$G:$G,0)),INDEX(Торг!$I:$I,MATCH(Прайс!$B2986,Торг!$H:$H,0))),"")</f>
        <v/>
      </c>
    </row>
    <row r="2987" spans="1:8" x14ac:dyDescent="0.25">
      <c r="A2987" s="99" t="s">
        <v>5989</v>
      </c>
      <c r="B2987" s="108">
        <v>24027</v>
      </c>
      <c r="C2987" s="108" t="s">
        <v>7826</v>
      </c>
      <c r="D2987" s="101" t="s">
        <v>161</v>
      </c>
      <c r="E2987" s="102">
        <v>300</v>
      </c>
      <c r="F2987" s="67" t="str">
        <f>IFERROR(IFERROR(INDEX(Кат!$A:$A,MATCH(Прайс!$B2987,Кат!$G:$G,0)),INDEX(Торг!$B:$B,MATCH(Прайс!$B2987,Торг!$H:$H,0))),"")</f>
        <v/>
      </c>
      <c r="G2987" s="67" t="str">
        <f>IFERROR(IFERROR(INDEX(Кат!$B:$B,MATCH(Прайс!$B2987,Кат!$G:$G,0)),INDEX(Торг!$C:$C,MATCH(Прайс!$B2987,Торг!$H:$H,0))),"")</f>
        <v/>
      </c>
      <c r="H2987" s="67" t="str">
        <f>IFERROR(IFERROR(INDEX(Кат!$I:$I,MATCH(Прайс!$B2987,Кат!$G:$G,0)),INDEX(Торг!$I:$I,MATCH(Прайс!$B2987,Торг!$H:$H,0))),"")</f>
        <v/>
      </c>
    </row>
    <row r="2988" spans="1:8" x14ac:dyDescent="0.25">
      <c r="A2988" s="94" t="s">
        <v>5341</v>
      </c>
      <c r="B2988" s="98">
        <v>24214</v>
      </c>
      <c r="C2988" s="98" t="s">
        <v>5342</v>
      </c>
      <c r="D2988" s="96" t="s">
        <v>582</v>
      </c>
      <c r="E2988" s="97">
        <v>200</v>
      </c>
      <c r="F2988" s="67" t="str">
        <f>IFERROR(IFERROR(INDEX(Кат!$A:$A,MATCH(Прайс!$B2988,Кат!$G:$G,0)),INDEX(Торг!$B:$B,MATCH(Прайс!$B2988,Торг!$H:$H,0))),"")</f>
        <v/>
      </c>
      <c r="G2988" s="67" t="str">
        <f>IFERROR(IFERROR(INDEX(Кат!$B:$B,MATCH(Прайс!$B2988,Кат!$G:$G,0)),INDEX(Торг!$C:$C,MATCH(Прайс!$B2988,Торг!$H:$H,0))),"")</f>
        <v/>
      </c>
      <c r="H2988" s="67" t="str">
        <f>IFERROR(IFERROR(INDEX(Кат!$I:$I,MATCH(Прайс!$B2988,Кат!$G:$G,0)),INDEX(Торг!$I:$I,MATCH(Прайс!$B2988,Торг!$H:$H,0))),"")</f>
        <v/>
      </c>
    </row>
    <row r="2989" spans="1:8" ht="15.75" x14ac:dyDescent="0.25">
      <c r="A2989" s="90"/>
      <c r="B2989" s="91"/>
      <c r="C2989" s="92" t="s">
        <v>1585</v>
      </c>
      <c r="D2989" s="91"/>
      <c r="E2989" s="93"/>
      <c r="F2989" s="67" t="str">
        <f>IFERROR(IFERROR(INDEX(Кат!$A:$A,MATCH(Прайс!$B2989,Кат!$G:$G,0)),INDEX(Торг!$B:$B,MATCH(Прайс!$B2989,Торг!$H:$H,0))),"")</f>
        <v/>
      </c>
      <c r="G2989" s="67" t="str">
        <f>IFERROR(IFERROR(INDEX(Кат!$B:$B,MATCH(Прайс!$B2989,Кат!$G:$G,0)),INDEX(Торг!$C:$C,MATCH(Прайс!$B2989,Торг!$H:$H,0))),"")</f>
        <v/>
      </c>
      <c r="H2989" s="67" t="str">
        <f>IFERROR(IFERROR(INDEX(Кат!$I:$I,MATCH(Прайс!$B2989,Кат!$G:$G,0)),INDEX(Торг!$I:$I,MATCH(Прайс!$B2989,Торг!$H:$H,0))),"")</f>
        <v/>
      </c>
    </row>
    <row r="2990" spans="1:8" x14ac:dyDescent="0.25">
      <c r="A2990" s="94" t="s">
        <v>4213</v>
      </c>
      <c r="B2990" s="98">
        <v>24196</v>
      </c>
      <c r="C2990" s="98" t="s">
        <v>1586</v>
      </c>
      <c r="D2990" s="96" t="s">
        <v>7028</v>
      </c>
      <c r="E2990" s="97">
        <v>80</v>
      </c>
      <c r="F2990" s="67" t="str">
        <f>IFERROR(IFERROR(INDEX(Кат!$A:$A,MATCH(Прайс!$B2990,Кат!$G:$G,0)),INDEX(Торг!$B:$B,MATCH(Прайс!$B2990,Торг!$H:$H,0))),"")</f>
        <v/>
      </c>
      <c r="G2990" s="67" t="str">
        <f>IFERROR(IFERROR(INDEX(Кат!$B:$B,MATCH(Прайс!$B2990,Кат!$G:$G,0)),INDEX(Торг!$C:$C,MATCH(Прайс!$B2990,Торг!$H:$H,0))),"")</f>
        <v/>
      </c>
      <c r="H2990" s="67" t="str">
        <f>IFERROR(IFERROR(INDEX(Кат!$I:$I,MATCH(Прайс!$B2990,Кат!$G:$G,0)),INDEX(Торг!$I:$I,MATCH(Прайс!$B2990,Торг!$H:$H,0))),"")</f>
        <v/>
      </c>
    </row>
    <row r="2991" spans="1:8" x14ac:dyDescent="0.25">
      <c r="A2991" s="94" t="s">
        <v>4214</v>
      </c>
      <c r="B2991" s="98">
        <v>24197</v>
      </c>
      <c r="C2991" s="98" t="s">
        <v>1587</v>
      </c>
      <c r="D2991" s="96" t="s">
        <v>7028</v>
      </c>
      <c r="E2991" s="97">
        <v>80</v>
      </c>
      <c r="F2991" s="67" t="str">
        <f>IFERROR(IFERROR(INDEX(Кат!$A:$A,MATCH(Прайс!$B2991,Кат!$G:$G,0)),INDEX(Торг!$B:$B,MATCH(Прайс!$B2991,Торг!$H:$H,0))),"")</f>
        <v/>
      </c>
      <c r="G2991" s="67" t="str">
        <f>IFERROR(IFERROR(INDEX(Кат!$B:$B,MATCH(Прайс!$B2991,Кат!$G:$G,0)),INDEX(Торг!$C:$C,MATCH(Прайс!$B2991,Торг!$H:$H,0))),"")</f>
        <v/>
      </c>
      <c r="H2991" s="67" t="str">
        <f>IFERROR(IFERROR(INDEX(Кат!$I:$I,MATCH(Прайс!$B2991,Кат!$G:$G,0)),INDEX(Торг!$I:$I,MATCH(Прайс!$B2991,Торг!$H:$H,0))),"")</f>
        <v/>
      </c>
    </row>
    <row r="2992" spans="1:8" x14ac:dyDescent="0.25">
      <c r="A2992" s="94" t="s">
        <v>4215</v>
      </c>
      <c r="B2992" s="98">
        <v>24198</v>
      </c>
      <c r="C2992" s="98" t="s">
        <v>1588</v>
      </c>
      <c r="D2992" s="96" t="s">
        <v>7028</v>
      </c>
      <c r="E2992" s="97">
        <v>80</v>
      </c>
      <c r="F2992" s="67" t="str">
        <f>IFERROR(IFERROR(INDEX(Кат!$A:$A,MATCH(Прайс!$B2992,Кат!$G:$G,0)),INDEX(Торг!$B:$B,MATCH(Прайс!$B2992,Торг!$H:$H,0))),"")</f>
        <v/>
      </c>
      <c r="G2992" s="67" t="str">
        <f>IFERROR(IFERROR(INDEX(Кат!$B:$B,MATCH(Прайс!$B2992,Кат!$G:$G,0)),INDEX(Торг!$C:$C,MATCH(Прайс!$B2992,Торг!$H:$H,0))),"")</f>
        <v/>
      </c>
      <c r="H2992" s="67" t="str">
        <f>IFERROR(IFERROR(INDEX(Кат!$I:$I,MATCH(Прайс!$B2992,Кат!$G:$G,0)),INDEX(Торг!$I:$I,MATCH(Прайс!$B2992,Торг!$H:$H,0))),"")</f>
        <v/>
      </c>
    </row>
    <row r="2993" spans="1:8" x14ac:dyDescent="0.25">
      <c r="A2993" s="94" t="s">
        <v>7029</v>
      </c>
      <c r="B2993" s="98">
        <v>24225</v>
      </c>
      <c r="C2993" s="98" t="s">
        <v>7030</v>
      </c>
      <c r="D2993" s="96" t="s">
        <v>582</v>
      </c>
      <c r="E2993" s="97">
        <v>95</v>
      </c>
      <c r="F2993" s="67" t="str">
        <f>IFERROR(IFERROR(INDEX(Кат!$A:$A,MATCH(Прайс!$B2993,Кат!$G:$G,0)),INDEX(Торг!$B:$B,MATCH(Прайс!$B2993,Торг!$H:$H,0))),"")</f>
        <v/>
      </c>
      <c r="G2993" s="67" t="str">
        <f>IFERROR(IFERROR(INDEX(Кат!$B:$B,MATCH(Прайс!$B2993,Кат!$G:$G,0)),INDEX(Торг!$C:$C,MATCH(Прайс!$B2993,Торг!$H:$H,0))),"")</f>
        <v/>
      </c>
      <c r="H2993" s="67" t="str">
        <f>IFERROR(IFERROR(INDEX(Кат!$I:$I,MATCH(Прайс!$B2993,Кат!$G:$G,0)),INDEX(Торг!$I:$I,MATCH(Прайс!$B2993,Торг!$H:$H,0))),"")</f>
        <v/>
      </c>
    </row>
    <row r="2994" spans="1:8" x14ac:dyDescent="0.25">
      <c r="A2994" s="94" t="s">
        <v>7031</v>
      </c>
      <c r="B2994" s="98">
        <v>24226</v>
      </c>
      <c r="C2994" s="98" t="s">
        <v>7032</v>
      </c>
      <c r="D2994" s="96" t="s">
        <v>159</v>
      </c>
      <c r="E2994" s="97">
        <v>110</v>
      </c>
      <c r="F2994" s="67" t="str">
        <f>IFERROR(IFERROR(INDEX(Кат!$A:$A,MATCH(Прайс!$B2994,Кат!$G:$G,0)),INDEX(Торг!$B:$B,MATCH(Прайс!$B2994,Торг!$H:$H,0))),"")</f>
        <v/>
      </c>
      <c r="G2994" s="67" t="str">
        <f>IFERROR(IFERROR(INDEX(Кат!$B:$B,MATCH(Прайс!$B2994,Кат!$G:$G,0)),INDEX(Торг!$C:$C,MATCH(Прайс!$B2994,Торг!$H:$H,0))),"")</f>
        <v/>
      </c>
      <c r="H2994" s="67" t="str">
        <f>IFERROR(IFERROR(INDEX(Кат!$I:$I,MATCH(Прайс!$B2994,Кат!$G:$G,0)),INDEX(Торг!$I:$I,MATCH(Прайс!$B2994,Торг!$H:$H,0))),"")</f>
        <v/>
      </c>
    </row>
    <row r="2995" spans="1:8" x14ac:dyDescent="0.25">
      <c r="A2995" s="94" t="s">
        <v>7033</v>
      </c>
      <c r="B2995" s="98">
        <v>24227</v>
      </c>
      <c r="C2995" s="98" t="s">
        <v>7034</v>
      </c>
      <c r="D2995" s="96" t="s">
        <v>582</v>
      </c>
      <c r="E2995" s="97">
        <v>115</v>
      </c>
      <c r="F2995" s="67" t="str">
        <f>IFERROR(IFERROR(INDEX(Кат!$A:$A,MATCH(Прайс!$B2995,Кат!$G:$G,0)),INDEX(Торг!$B:$B,MATCH(Прайс!$B2995,Торг!$H:$H,0))),"")</f>
        <v/>
      </c>
      <c r="G2995" s="67" t="str">
        <f>IFERROR(IFERROR(INDEX(Кат!$B:$B,MATCH(Прайс!$B2995,Кат!$G:$G,0)),INDEX(Торг!$C:$C,MATCH(Прайс!$B2995,Торг!$H:$H,0))),"")</f>
        <v/>
      </c>
      <c r="H2995" s="67" t="str">
        <f>IFERROR(IFERROR(INDEX(Кат!$I:$I,MATCH(Прайс!$B2995,Кат!$G:$G,0)),INDEX(Торг!$I:$I,MATCH(Прайс!$B2995,Торг!$H:$H,0))),"")</f>
        <v/>
      </c>
    </row>
    <row r="2996" spans="1:8" x14ac:dyDescent="0.25">
      <c r="A2996" s="94" t="s">
        <v>7035</v>
      </c>
      <c r="B2996" s="98">
        <v>24228</v>
      </c>
      <c r="C2996" s="98" t="s">
        <v>7036</v>
      </c>
      <c r="D2996" s="96" t="s">
        <v>582</v>
      </c>
      <c r="E2996" s="97">
        <v>65</v>
      </c>
      <c r="F2996" s="67" t="str">
        <f>IFERROR(IFERROR(INDEX(Кат!$A:$A,MATCH(Прайс!$B2996,Кат!$G:$G,0)),INDEX(Торг!$B:$B,MATCH(Прайс!$B2996,Торг!$H:$H,0))),"")</f>
        <v/>
      </c>
      <c r="G2996" s="67" t="str">
        <f>IFERROR(IFERROR(INDEX(Кат!$B:$B,MATCH(Прайс!$B2996,Кат!$G:$G,0)),INDEX(Торг!$C:$C,MATCH(Прайс!$B2996,Торг!$H:$H,0))),"")</f>
        <v/>
      </c>
      <c r="H2996" s="67" t="str">
        <f>IFERROR(IFERROR(INDEX(Кат!$I:$I,MATCH(Прайс!$B2996,Кат!$G:$G,0)),INDEX(Торг!$I:$I,MATCH(Прайс!$B2996,Торг!$H:$H,0))),"")</f>
        <v/>
      </c>
    </row>
    <row r="2997" spans="1:8" ht="15.75" x14ac:dyDescent="0.25">
      <c r="A2997" s="90"/>
      <c r="B2997" s="91"/>
      <c r="C2997" s="92" t="s">
        <v>1589</v>
      </c>
      <c r="D2997" s="91"/>
      <c r="E2997" s="93"/>
      <c r="F2997" s="67" t="str">
        <f>IFERROR(IFERROR(INDEX(Кат!$A:$A,MATCH(Прайс!$B2997,Кат!$G:$G,0)),INDEX(Торг!$B:$B,MATCH(Прайс!$B2997,Торг!$H:$H,0))),"")</f>
        <v/>
      </c>
      <c r="G2997" s="67" t="str">
        <f>IFERROR(IFERROR(INDEX(Кат!$B:$B,MATCH(Прайс!$B2997,Кат!$G:$G,0)),INDEX(Торг!$C:$C,MATCH(Прайс!$B2997,Торг!$H:$H,0))),"")</f>
        <v/>
      </c>
      <c r="H2997" s="67" t="str">
        <f>IFERROR(IFERROR(INDEX(Кат!$I:$I,MATCH(Прайс!$B2997,Кат!$G:$G,0)),INDEX(Торг!$I:$I,MATCH(Прайс!$B2997,Торг!$H:$H,0))),"")</f>
        <v/>
      </c>
    </row>
    <row r="2998" spans="1:8" x14ac:dyDescent="0.25">
      <c r="A2998" s="94" t="s">
        <v>4216</v>
      </c>
      <c r="B2998" s="98">
        <v>24209</v>
      </c>
      <c r="C2998" s="98" t="s">
        <v>7827</v>
      </c>
      <c r="D2998" s="96" t="s">
        <v>161</v>
      </c>
      <c r="E2998" s="97">
        <v>310</v>
      </c>
      <c r="F2998" s="67" t="str">
        <f>IFERROR(IFERROR(INDEX(Кат!$A:$A,MATCH(Прайс!$B2998,Кат!$G:$G,0)),INDEX(Торг!$B:$B,MATCH(Прайс!$B2998,Торг!$H:$H,0))),"")</f>
        <v/>
      </c>
      <c r="G2998" s="67" t="str">
        <f>IFERROR(IFERROR(INDEX(Кат!$B:$B,MATCH(Прайс!$B2998,Кат!$G:$G,0)),INDEX(Торг!$C:$C,MATCH(Прайс!$B2998,Торг!$H:$H,0))),"")</f>
        <v/>
      </c>
      <c r="H2998" s="67" t="str">
        <f>IFERROR(IFERROR(INDEX(Кат!$I:$I,MATCH(Прайс!$B2998,Кат!$G:$G,0)),INDEX(Торг!$I:$I,MATCH(Прайс!$B2998,Торг!$H:$H,0))),"")</f>
        <v/>
      </c>
    </row>
    <row r="2999" spans="1:8" x14ac:dyDescent="0.25">
      <c r="A2999" s="94" t="s">
        <v>4217</v>
      </c>
      <c r="B2999" s="98">
        <v>24030</v>
      </c>
      <c r="C2999" s="98" t="s">
        <v>7828</v>
      </c>
      <c r="D2999" s="96" t="s">
        <v>161</v>
      </c>
      <c r="E2999" s="97">
        <v>210</v>
      </c>
      <c r="F2999" s="67" t="str">
        <f>IFERROR(IFERROR(INDEX(Кат!$A:$A,MATCH(Прайс!$B2999,Кат!$G:$G,0)),INDEX(Торг!$B:$B,MATCH(Прайс!$B2999,Торг!$H:$H,0))),"")</f>
        <v/>
      </c>
      <c r="G2999" s="67" t="str">
        <f>IFERROR(IFERROR(INDEX(Кат!$B:$B,MATCH(Прайс!$B2999,Кат!$G:$G,0)),INDEX(Торг!$C:$C,MATCH(Прайс!$B2999,Торг!$H:$H,0))),"")</f>
        <v/>
      </c>
      <c r="H2999" s="67" t="str">
        <f>IFERROR(IFERROR(INDEX(Кат!$I:$I,MATCH(Прайс!$B2999,Кат!$G:$G,0)),INDEX(Торг!$I:$I,MATCH(Прайс!$B2999,Торг!$H:$H,0))),"")</f>
        <v/>
      </c>
    </row>
    <row r="3000" spans="1:8" x14ac:dyDescent="0.25">
      <c r="A3000" s="94" t="s">
        <v>4220</v>
      </c>
      <c r="B3000" s="98">
        <v>24172</v>
      </c>
      <c r="C3000" s="98" t="s">
        <v>1590</v>
      </c>
      <c r="D3000" s="96" t="s">
        <v>166</v>
      </c>
      <c r="E3000" s="97">
        <v>200</v>
      </c>
      <c r="F3000" s="67" t="str">
        <f>IFERROR(IFERROR(INDEX(Кат!$A:$A,MATCH(Прайс!$B3000,Кат!$G:$G,0)),INDEX(Торг!$B:$B,MATCH(Прайс!$B3000,Торг!$H:$H,0))),"")</f>
        <v/>
      </c>
      <c r="G3000" s="67" t="str">
        <f>IFERROR(IFERROR(INDEX(Кат!$B:$B,MATCH(Прайс!$B3000,Кат!$G:$G,0)),INDEX(Торг!$C:$C,MATCH(Прайс!$B3000,Торг!$H:$H,0))),"")</f>
        <v/>
      </c>
      <c r="H3000" s="67" t="str">
        <f>IFERROR(IFERROR(INDEX(Кат!$I:$I,MATCH(Прайс!$B3000,Кат!$G:$G,0)),INDEX(Торг!$I:$I,MATCH(Прайс!$B3000,Торг!$H:$H,0))),"")</f>
        <v/>
      </c>
    </row>
    <row r="3001" spans="1:8" x14ac:dyDescent="0.25">
      <c r="A3001" s="94" t="s">
        <v>7037</v>
      </c>
      <c r="B3001" s="98">
        <v>24175</v>
      </c>
      <c r="C3001" s="98" t="s">
        <v>7038</v>
      </c>
      <c r="D3001" s="96" t="s">
        <v>166</v>
      </c>
      <c r="E3001" s="97">
        <v>220</v>
      </c>
      <c r="F3001" s="67" t="str">
        <f>IFERROR(IFERROR(INDEX(Кат!$A:$A,MATCH(Прайс!$B3001,Кат!$G:$G,0)),INDEX(Торг!$B:$B,MATCH(Прайс!$B3001,Торг!$H:$H,0))),"")</f>
        <v/>
      </c>
      <c r="G3001" s="67" t="str">
        <f>IFERROR(IFERROR(INDEX(Кат!$B:$B,MATCH(Прайс!$B3001,Кат!$G:$G,0)),INDEX(Торг!$C:$C,MATCH(Прайс!$B3001,Торг!$H:$H,0))),"")</f>
        <v/>
      </c>
      <c r="H3001" s="67" t="str">
        <f>IFERROR(IFERROR(INDEX(Кат!$I:$I,MATCH(Прайс!$B3001,Кат!$G:$G,0)),INDEX(Торг!$I:$I,MATCH(Прайс!$B3001,Торг!$H:$H,0))),"")</f>
        <v/>
      </c>
    </row>
    <row r="3002" spans="1:8" x14ac:dyDescent="0.25">
      <c r="A3002" s="94" t="s">
        <v>4218</v>
      </c>
      <c r="B3002" s="98">
        <v>24031</v>
      </c>
      <c r="C3002" s="98" t="s">
        <v>7829</v>
      </c>
      <c r="D3002" s="96" t="s">
        <v>161</v>
      </c>
      <c r="E3002" s="97">
        <v>230</v>
      </c>
      <c r="F3002" s="67" t="str">
        <f>IFERROR(IFERROR(INDEX(Кат!$A:$A,MATCH(Прайс!$B3002,Кат!$G:$G,0)),INDEX(Торг!$B:$B,MATCH(Прайс!$B3002,Торг!$H:$H,0))),"")</f>
        <v/>
      </c>
      <c r="G3002" s="67" t="str">
        <f>IFERROR(IFERROR(INDEX(Кат!$B:$B,MATCH(Прайс!$B3002,Кат!$G:$G,0)),INDEX(Торг!$C:$C,MATCH(Прайс!$B3002,Торг!$H:$H,0))),"")</f>
        <v/>
      </c>
      <c r="H3002" s="67" t="str">
        <f>IFERROR(IFERROR(INDEX(Кат!$I:$I,MATCH(Прайс!$B3002,Кат!$G:$G,0)),INDEX(Торг!$I:$I,MATCH(Прайс!$B3002,Торг!$H:$H,0))),"")</f>
        <v/>
      </c>
    </row>
    <row r="3003" spans="1:8" x14ac:dyDescent="0.25">
      <c r="A3003" s="94" t="s">
        <v>4219</v>
      </c>
      <c r="B3003" s="98">
        <v>24210</v>
      </c>
      <c r="C3003" s="98" t="s">
        <v>7830</v>
      </c>
      <c r="D3003" s="96" t="s">
        <v>161</v>
      </c>
      <c r="E3003" s="97">
        <v>330</v>
      </c>
      <c r="F3003" s="67" t="str">
        <f>IFERROR(IFERROR(INDEX(Кат!$A:$A,MATCH(Прайс!$B3003,Кат!$G:$G,0)),INDEX(Торг!$B:$B,MATCH(Прайс!$B3003,Торг!$H:$H,0))),"")</f>
        <v/>
      </c>
      <c r="G3003" s="67" t="str">
        <f>IFERROR(IFERROR(INDEX(Кат!$B:$B,MATCH(Прайс!$B3003,Кат!$G:$G,0)),INDEX(Торг!$C:$C,MATCH(Прайс!$B3003,Торг!$H:$H,0))),"")</f>
        <v/>
      </c>
      <c r="H3003" s="67" t="str">
        <f>IFERROR(IFERROR(INDEX(Кат!$I:$I,MATCH(Прайс!$B3003,Кат!$G:$G,0)),INDEX(Торг!$I:$I,MATCH(Прайс!$B3003,Торг!$H:$H,0))),"")</f>
        <v/>
      </c>
    </row>
    <row r="3004" spans="1:8" x14ac:dyDescent="0.25">
      <c r="A3004" s="94" t="s">
        <v>4221</v>
      </c>
      <c r="B3004" s="98">
        <v>24173</v>
      </c>
      <c r="C3004" s="98" t="s">
        <v>1591</v>
      </c>
      <c r="D3004" s="96" t="s">
        <v>480</v>
      </c>
      <c r="E3004" s="97">
        <v>210</v>
      </c>
      <c r="F3004" s="67" t="str">
        <f>IFERROR(IFERROR(INDEX(Кат!$A:$A,MATCH(Прайс!$B3004,Кат!$G:$G,0)),INDEX(Торг!$B:$B,MATCH(Прайс!$B3004,Торг!$H:$H,0))),"")</f>
        <v/>
      </c>
      <c r="G3004" s="67" t="str">
        <f>IFERROR(IFERROR(INDEX(Кат!$B:$B,MATCH(Прайс!$B3004,Кат!$G:$G,0)),INDEX(Торг!$C:$C,MATCH(Прайс!$B3004,Торг!$H:$H,0))),"")</f>
        <v/>
      </c>
      <c r="H3004" s="67" t="str">
        <f>IFERROR(IFERROR(INDEX(Кат!$I:$I,MATCH(Прайс!$B3004,Кат!$G:$G,0)),INDEX(Торг!$I:$I,MATCH(Прайс!$B3004,Торг!$H:$H,0))),"")</f>
        <v/>
      </c>
    </row>
    <row r="3005" spans="1:8" x14ac:dyDescent="0.25">
      <c r="A3005" s="103" t="s">
        <v>5466</v>
      </c>
      <c r="B3005" s="104">
        <v>24187</v>
      </c>
      <c r="C3005" s="104" t="s">
        <v>7831</v>
      </c>
      <c r="D3005" s="105" t="s">
        <v>161</v>
      </c>
      <c r="E3005" s="113">
        <v>230</v>
      </c>
      <c r="F3005" s="67" t="str">
        <f>IFERROR(IFERROR(INDEX(Кат!$A:$A,MATCH(Прайс!$B3005,Кат!$G:$G,0)),INDEX(Торг!$B:$B,MATCH(Прайс!$B3005,Торг!$H:$H,0))),"")</f>
        <v/>
      </c>
      <c r="G3005" s="67" t="str">
        <f>IFERROR(IFERROR(INDEX(Кат!$B:$B,MATCH(Прайс!$B3005,Кат!$G:$G,0)),INDEX(Торг!$C:$C,MATCH(Прайс!$B3005,Торг!$H:$H,0))),"")</f>
        <v/>
      </c>
      <c r="H3005" s="67" t="str">
        <f>IFERROR(IFERROR(INDEX(Кат!$I:$I,MATCH(Прайс!$B3005,Кат!$G:$G,0)),INDEX(Торг!$I:$I,MATCH(Прайс!$B3005,Торг!$H:$H,0))),"")</f>
        <v/>
      </c>
    </row>
    <row r="3006" spans="1:8" x14ac:dyDescent="0.25">
      <c r="A3006" s="94" t="s">
        <v>4222</v>
      </c>
      <c r="B3006" s="98">
        <v>24032</v>
      </c>
      <c r="C3006" s="98" t="s">
        <v>7832</v>
      </c>
      <c r="D3006" s="96" t="s">
        <v>161</v>
      </c>
      <c r="E3006" s="97">
        <v>300</v>
      </c>
      <c r="F3006" s="67" t="str">
        <f>IFERROR(IFERROR(INDEX(Кат!$A:$A,MATCH(Прайс!$B3006,Кат!$G:$G,0)),INDEX(Торг!$B:$B,MATCH(Прайс!$B3006,Торг!$H:$H,0))),"")</f>
        <v/>
      </c>
      <c r="G3006" s="67" t="str">
        <f>IFERROR(IFERROR(INDEX(Кат!$B:$B,MATCH(Прайс!$B3006,Кат!$G:$G,0)),INDEX(Торг!$C:$C,MATCH(Прайс!$B3006,Торг!$H:$H,0))),"")</f>
        <v/>
      </c>
      <c r="H3006" s="67" t="str">
        <f>IFERROR(IFERROR(INDEX(Кат!$I:$I,MATCH(Прайс!$B3006,Кат!$G:$G,0)),INDEX(Торг!$I:$I,MATCH(Прайс!$B3006,Торг!$H:$H,0))),"")</f>
        <v/>
      </c>
    </row>
    <row r="3007" spans="1:8" x14ac:dyDescent="0.25">
      <c r="A3007" s="94" t="s">
        <v>4223</v>
      </c>
      <c r="B3007" s="98">
        <v>24033</v>
      </c>
      <c r="C3007" s="98" t="s">
        <v>1592</v>
      </c>
      <c r="D3007" s="96" t="s">
        <v>161</v>
      </c>
      <c r="E3007" s="97">
        <v>330</v>
      </c>
      <c r="F3007" s="67" t="str">
        <f>IFERROR(IFERROR(INDEX(Кат!$A:$A,MATCH(Прайс!$B3007,Кат!$G:$G,0)),INDEX(Торг!$B:$B,MATCH(Прайс!$B3007,Торг!$H:$H,0))),"")</f>
        <v/>
      </c>
      <c r="G3007" s="67" t="str">
        <f>IFERROR(IFERROR(INDEX(Кат!$B:$B,MATCH(Прайс!$B3007,Кат!$G:$G,0)),INDEX(Торг!$C:$C,MATCH(Прайс!$B3007,Торг!$H:$H,0))),"")</f>
        <v/>
      </c>
      <c r="H3007" s="67" t="str">
        <f>IFERROR(IFERROR(INDEX(Кат!$I:$I,MATCH(Прайс!$B3007,Кат!$G:$G,0)),INDEX(Торг!$I:$I,MATCH(Прайс!$B3007,Торг!$H:$H,0))),"")</f>
        <v/>
      </c>
    </row>
    <row r="3008" spans="1:8" x14ac:dyDescent="0.25">
      <c r="A3008" s="94" t="s">
        <v>7833</v>
      </c>
      <c r="B3008" s="98">
        <v>24035</v>
      </c>
      <c r="C3008" s="98" t="s">
        <v>7834</v>
      </c>
      <c r="D3008" s="96" t="s">
        <v>271</v>
      </c>
      <c r="E3008" s="97">
        <v>450</v>
      </c>
      <c r="F3008" s="67" t="str">
        <f>IFERROR(IFERROR(INDEX(Кат!$A:$A,MATCH(Прайс!$B3008,Кат!$G:$G,0)),INDEX(Торг!$B:$B,MATCH(Прайс!$B3008,Торг!$H:$H,0))),"")</f>
        <v/>
      </c>
      <c r="G3008" s="67" t="str">
        <f>IFERROR(IFERROR(INDEX(Кат!$B:$B,MATCH(Прайс!$B3008,Кат!$G:$G,0)),INDEX(Торг!$C:$C,MATCH(Прайс!$B3008,Торг!$H:$H,0))),"")</f>
        <v/>
      </c>
      <c r="H3008" s="67" t="str">
        <f>IFERROR(IFERROR(INDEX(Кат!$I:$I,MATCH(Прайс!$B3008,Кат!$G:$G,0)),INDEX(Торг!$I:$I,MATCH(Прайс!$B3008,Торг!$H:$H,0))),"")</f>
        <v/>
      </c>
    </row>
    <row r="3009" spans="1:8" x14ac:dyDescent="0.25">
      <c r="A3009" s="94" t="s">
        <v>4224</v>
      </c>
      <c r="B3009" s="98">
        <v>24036</v>
      </c>
      <c r="C3009" s="98" t="s">
        <v>1593</v>
      </c>
      <c r="D3009" s="96" t="s">
        <v>271</v>
      </c>
      <c r="E3009" s="97">
        <v>400</v>
      </c>
      <c r="F3009" s="67" t="str">
        <f>IFERROR(IFERROR(INDEX(Кат!$A:$A,MATCH(Прайс!$B3009,Кат!$G:$G,0)),INDEX(Торг!$B:$B,MATCH(Прайс!$B3009,Торг!$H:$H,0))),"")</f>
        <v/>
      </c>
      <c r="G3009" s="67" t="str">
        <f>IFERROR(IFERROR(INDEX(Кат!$B:$B,MATCH(Прайс!$B3009,Кат!$G:$G,0)),INDEX(Торг!$C:$C,MATCH(Прайс!$B3009,Торг!$H:$H,0))),"")</f>
        <v/>
      </c>
      <c r="H3009" s="67" t="str">
        <f>IFERROR(IFERROR(INDEX(Кат!$I:$I,MATCH(Прайс!$B3009,Кат!$G:$G,0)),INDEX(Торг!$I:$I,MATCH(Прайс!$B3009,Торг!$H:$H,0))),"")</f>
        <v/>
      </c>
    </row>
    <row r="3010" spans="1:8" x14ac:dyDescent="0.25">
      <c r="A3010" s="94" t="s">
        <v>4225</v>
      </c>
      <c r="B3010" s="98">
        <v>24108</v>
      </c>
      <c r="C3010" s="98" t="s">
        <v>1594</v>
      </c>
      <c r="D3010" s="96" t="s">
        <v>161</v>
      </c>
      <c r="E3010" s="97">
        <v>330</v>
      </c>
      <c r="F3010" s="67" t="str">
        <f>IFERROR(IFERROR(INDEX(Кат!$A:$A,MATCH(Прайс!$B3010,Кат!$G:$G,0)),INDEX(Торг!$B:$B,MATCH(Прайс!$B3010,Торг!$H:$H,0))),"")</f>
        <v/>
      </c>
      <c r="G3010" s="67" t="str">
        <f>IFERROR(IFERROR(INDEX(Кат!$B:$B,MATCH(Прайс!$B3010,Кат!$G:$G,0)),INDEX(Торг!$C:$C,MATCH(Прайс!$B3010,Торг!$H:$H,0))),"")</f>
        <v/>
      </c>
      <c r="H3010" s="67" t="str">
        <f>IFERROR(IFERROR(INDEX(Кат!$I:$I,MATCH(Прайс!$B3010,Кат!$G:$G,0)),INDEX(Торг!$I:$I,MATCH(Прайс!$B3010,Торг!$H:$H,0))),"")</f>
        <v/>
      </c>
    </row>
    <row r="3011" spans="1:8" ht="15.75" x14ac:dyDescent="0.25">
      <c r="A3011" s="90"/>
      <c r="B3011" s="91"/>
      <c r="C3011" s="92" t="s">
        <v>1595</v>
      </c>
      <c r="D3011" s="91"/>
      <c r="E3011" s="93"/>
      <c r="F3011" s="67" t="str">
        <f>IFERROR(IFERROR(INDEX(Кат!$A:$A,MATCH(Прайс!$B3011,Кат!$G:$G,0)),INDEX(Торг!$B:$B,MATCH(Прайс!$B3011,Торг!$H:$H,0))),"")</f>
        <v/>
      </c>
      <c r="G3011" s="67" t="str">
        <f>IFERROR(IFERROR(INDEX(Кат!$B:$B,MATCH(Прайс!$B3011,Кат!$G:$G,0)),INDEX(Торг!$C:$C,MATCH(Прайс!$B3011,Торг!$H:$H,0))),"")</f>
        <v/>
      </c>
      <c r="H3011" s="67" t="str">
        <f>IFERROR(IFERROR(INDEX(Кат!$I:$I,MATCH(Прайс!$B3011,Кат!$G:$G,0)),INDEX(Торг!$I:$I,MATCH(Прайс!$B3011,Торг!$H:$H,0))),"")</f>
        <v/>
      </c>
    </row>
    <row r="3012" spans="1:8" x14ac:dyDescent="0.25">
      <c r="A3012" s="109" t="s">
        <v>7835</v>
      </c>
      <c r="B3012" s="110">
        <v>24246</v>
      </c>
      <c r="C3012" s="110" t="s">
        <v>7836</v>
      </c>
      <c r="D3012" s="111" t="s">
        <v>337</v>
      </c>
      <c r="E3012" s="112">
        <v>70</v>
      </c>
      <c r="F3012" s="67" t="str">
        <f>IFERROR(IFERROR(INDEX(Кат!$A:$A,MATCH(Прайс!$B3012,Кат!$G:$G,0)),INDEX(Торг!$B:$B,MATCH(Прайс!$B3012,Торг!$H:$H,0))),"")</f>
        <v/>
      </c>
      <c r="G3012" s="67" t="str">
        <f>IFERROR(IFERROR(INDEX(Кат!$B:$B,MATCH(Прайс!$B3012,Кат!$G:$G,0)),INDEX(Торг!$C:$C,MATCH(Прайс!$B3012,Торг!$H:$H,0))),"")</f>
        <v/>
      </c>
      <c r="H3012" s="67" t="str">
        <f>IFERROR(IFERROR(INDEX(Кат!$I:$I,MATCH(Прайс!$B3012,Кат!$G:$G,0)),INDEX(Торг!$I:$I,MATCH(Прайс!$B3012,Торг!$H:$H,0))),"")</f>
        <v/>
      </c>
    </row>
    <row r="3013" spans="1:8" x14ac:dyDescent="0.25">
      <c r="A3013" s="94" t="s">
        <v>4226</v>
      </c>
      <c r="B3013" s="98">
        <v>24078</v>
      </c>
      <c r="C3013" s="98" t="s">
        <v>1596</v>
      </c>
      <c r="D3013" s="96" t="s">
        <v>365</v>
      </c>
      <c r="E3013" s="97">
        <v>165</v>
      </c>
      <c r="F3013" s="67" t="str">
        <f>IFERROR(IFERROR(INDEX(Кат!$A:$A,MATCH(Прайс!$B3013,Кат!$G:$G,0)),INDEX(Торг!$B:$B,MATCH(Прайс!$B3013,Торг!$H:$H,0))),"")</f>
        <v/>
      </c>
      <c r="G3013" s="67" t="str">
        <f>IFERROR(IFERROR(INDEX(Кат!$B:$B,MATCH(Прайс!$B3013,Кат!$G:$G,0)),INDEX(Торг!$C:$C,MATCH(Прайс!$B3013,Торг!$H:$H,0))),"")</f>
        <v/>
      </c>
      <c r="H3013" s="67" t="str">
        <f>IFERROR(IFERROR(INDEX(Кат!$I:$I,MATCH(Прайс!$B3013,Кат!$G:$G,0)),INDEX(Торг!$I:$I,MATCH(Прайс!$B3013,Торг!$H:$H,0))),"")</f>
        <v/>
      </c>
    </row>
    <row r="3014" spans="1:8" x14ac:dyDescent="0.25">
      <c r="A3014" s="94" t="s">
        <v>4227</v>
      </c>
      <c r="B3014" s="98">
        <v>24079</v>
      </c>
      <c r="C3014" s="98" t="s">
        <v>1597</v>
      </c>
      <c r="D3014" s="96" t="s">
        <v>364</v>
      </c>
      <c r="E3014" s="97">
        <v>90</v>
      </c>
      <c r="F3014" s="67" t="str">
        <f>IFERROR(IFERROR(INDEX(Кат!$A:$A,MATCH(Прайс!$B3014,Кат!$G:$G,0)),INDEX(Торг!$B:$B,MATCH(Прайс!$B3014,Торг!$H:$H,0))),"")</f>
        <v/>
      </c>
      <c r="G3014" s="67" t="str">
        <f>IFERROR(IFERROR(INDEX(Кат!$B:$B,MATCH(Прайс!$B3014,Кат!$G:$G,0)),INDEX(Торг!$C:$C,MATCH(Прайс!$B3014,Торг!$H:$H,0))),"")</f>
        <v/>
      </c>
      <c r="H3014" s="67" t="str">
        <f>IFERROR(IFERROR(INDEX(Кат!$I:$I,MATCH(Прайс!$B3014,Кат!$G:$G,0)),INDEX(Торг!$I:$I,MATCH(Прайс!$B3014,Торг!$H:$H,0))),"")</f>
        <v/>
      </c>
    </row>
    <row r="3015" spans="1:8" x14ac:dyDescent="0.25">
      <c r="A3015" s="94" t="s">
        <v>4228</v>
      </c>
      <c r="B3015" s="98">
        <v>24081</v>
      </c>
      <c r="C3015" s="98" t="s">
        <v>4229</v>
      </c>
      <c r="D3015" s="96" t="s">
        <v>365</v>
      </c>
      <c r="E3015" s="97">
        <v>140</v>
      </c>
      <c r="F3015" s="67" t="str">
        <f>IFERROR(IFERROR(INDEX(Кат!$A:$A,MATCH(Прайс!$B3015,Кат!$G:$G,0)),INDEX(Торг!$B:$B,MATCH(Прайс!$B3015,Торг!$H:$H,0))),"")</f>
        <v/>
      </c>
      <c r="G3015" s="67" t="str">
        <f>IFERROR(IFERROR(INDEX(Кат!$B:$B,MATCH(Прайс!$B3015,Кат!$G:$G,0)),INDEX(Торг!$C:$C,MATCH(Прайс!$B3015,Торг!$H:$H,0))),"")</f>
        <v/>
      </c>
      <c r="H3015" s="67" t="str">
        <f>IFERROR(IFERROR(INDEX(Кат!$I:$I,MATCH(Прайс!$B3015,Кат!$G:$G,0)),INDEX(Торг!$I:$I,MATCH(Прайс!$B3015,Торг!$H:$H,0))),"")</f>
        <v/>
      </c>
    </row>
    <row r="3016" spans="1:8" x14ac:dyDescent="0.25">
      <c r="A3016" s="94" t="s">
        <v>4230</v>
      </c>
      <c r="B3016" s="98">
        <v>24082</v>
      </c>
      <c r="C3016" s="98" t="s">
        <v>1598</v>
      </c>
      <c r="D3016" s="96" t="s">
        <v>190</v>
      </c>
      <c r="E3016" s="97">
        <v>150</v>
      </c>
      <c r="F3016" s="67">
        <f>IFERROR(IFERROR(INDEX(Кат!$A:$A,MATCH(Прайс!$B3016,Кат!$G:$G,0)),INDEX(Торг!$B:$B,MATCH(Прайс!$B3016,Торг!$H:$H,0))),"")</f>
        <v>213270</v>
      </c>
      <c r="G3016" s="67">
        <f>IFERROR(IFERROR(INDEX(Кат!$B:$B,MATCH(Прайс!$B3016,Кат!$G:$G,0)),INDEX(Торг!$C:$C,MATCH(Прайс!$B3016,Торг!$H:$H,0))),"")</f>
        <v>9056</v>
      </c>
      <c r="H3016" s="67" t="str">
        <f>IFERROR(IFERROR(INDEX(Кат!$I:$I,MATCH(Прайс!$B3016,Кат!$G:$G,0)),INDEX(Торг!$I:$I,MATCH(Прайс!$B3016,Торг!$H:$H,0))),"")</f>
        <v>кристал авто</v>
      </c>
    </row>
    <row r="3017" spans="1:8" x14ac:dyDescent="0.25">
      <c r="A3017" s="94" t="s">
        <v>4231</v>
      </c>
      <c r="B3017" s="98">
        <v>24083</v>
      </c>
      <c r="C3017" s="98" t="s">
        <v>1599</v>
      </c>
      <c r="D3017" s="96" t="s">
        <v>190</v>
      </c>
      <c r="E3017" s="97">
        <v>80</v>
      </c>
      <c r="F3017" s="67">
        <f>IFERROR(IFERROR(INDEX(Кат!$A:$A,MATCH(Прайс!$B3017,Кат!$G:$G,0)),INDEX(Торг!$B:$B,MATCH(Прайс!$B3017,Торг!$H:$H,0))),"")</f>
        <v>213271</v>
      </c>
      <c r="G3017" s="67">
        <f>IFERROR(IFERROR(INDEX(Кат!$B:$B,MATCH(Прайс!$B3017,Кат!$G:$G,0)),INDEX(Торг!$C:$C,MATCH(Прайс!$B3017,Торг!$H:$H,0))),"")</f>
        <v>9100</v>
      </c>
      <c r="H3017" s="67" t="str">
        <f>IFERROR(IFERROR(INDEX(Кат!$I:$I,MATCH(Прайс!$B3017,Кат!$G:$G,0)),INDEX(Торг!$I:$I,MATCH(Прайс!$B3017,Торг!$H:$H,0))),"")</f>
        <v>кристал авто</v>
      </c>
    </row>
    <row r="3018" spans="1:8" x14ac:dyDescent="0.25">
      <c r="A3018" s="94" t="s">
        <v>4232</v>
      </c>
      <c r="B3018" s="98">
        <v>24084</v>
      </c>
      <c r="C3018" s="98" t="s">
        <v>6432</v>
      </c>
      <c r="D3018" s="96" t="s">
        <v>190</v>
      </c>
      <c r="E3018" s="97">
        <v>140</v>
      </c>
      <c r="F3018" s="67" t="str">
        <f>IFERROR(IFERROR(INDEX(Кат!$A:$A,MATCH(Прайс!$B3018,Кат!$G:$G,0)),INDEX(Торг!$B:$B,MATCH(Прайс!$B3018,Торг!$H:$H,0))),"")</f>
        <v/>
      </c>
      <c r="G3018" s="67" t="str">
        <f>IFERROR(IFERROR(INDEX(Кат!$B:$B,MATCH(Прайс!$B3018,Кат!$G:$G,0)),INDEX(Торг!$C:$C,MATCH(Прайс!$B3018,Торг!$H:$H,0))),"")</f>
        <v/>
      </c>
      <c r="H3018" s="67" t="str">
        <f>IFERROR(IFERROR(INDEX(Кат!$I:$I,MATCH(Прайс!$B3018,Кат!$G:$G,0)),INDEX(Торг!$I:$I,MATCH(Прайс!$B3018,Торг!$H:$H,0))),"")</f>
        <v/>
      </c>
    </row>
    <row r="3019" spans="1:8" x14ac:dyDescent="0.25">
      <c r="A3019" s="94" t="s">
        <v>4233</v>
      </c>
      <c r="B3019" s="98">
        <v>24085</v>
      </c>
      <c r="C3019" s="98" t="s">
        <v>1600</v>
      </c>
      <c r="D3019" s="96" t="s">
        <v>190</v>
      </c>
      <c r="E3019" s="97">
        <v>75</v>
      </c>
      <c r="F3019" s="67" t="str">
        <f>IFERROR(IFERROR(INDEX(Кат!$A:$A,MATCH(Прайс!$B3019,Кат!$G:$G,0)),INDEX(Торг!$B:$B,MATCH(Прайс!$B3019,Торг!$H:$H,0))),"")</f>
        <v/>
      </c>
      <c r="G3019" s="67" t="str">
        <f>IFERROR(IFERROR(INDEX(Кат!$B:$B,MATCH(Прайс!$B3019,Кат!$G:$G,0)),INDEX(Торг!$C:$C,MATCH(Прайс!$B3019,Торг!$H:$H,0))),"")</f>
        <v/>
      </c>
      <c r="H3019" s="67" t="str">
        <f>IFERROR(IFERROR(INDEX(Кат!$I:$I,MATCH(Прайс!$B3019,Кат!$G:$G,0)),INDEX(Торг!$I:$I,MATCH(Прайс!$B3019,Торг!$H:$H,0))),"")</f>
        <v/>
      </c>
    </row>
    <row r="3020" spans="1:8" x14ac:dyDescent="0.25">
      <c r="A3020" s="94" t="s">
        <v>7039</v>
      </c>
      <c r="B3020" s="98">
        <v>24222</v>
      </c>
      <c r="C3020" s="98" t="s">
        <v>7040</v>
      </c>
      <c r="D3020" s="96" t="s">
        <v>257</v>
      </c>
      <c r="E3020" s="97">
        <v>240</v>
      </c>
      <c r="F3020" s="67" t="str">
        <f>IFERROR(IFERROR(INDEX(Кат!$A:$A,MATCH(Прайс!$B3020,Кат!$G:$G,0)),INDEX(Торг!$B:$B,MATCH(Прайс!$B3020,Торг!$H:$H,0))),"")</f>
        <v/>
      </c>
      <c r="G3020" s="67" t="str">
        <f>IFERROR(IFERROR(INDEX(Кат!$B:$B,MATCH(Прайс!$B3020,Кат!$G:$G,0)),INDEX(Торг!$C:$C,MATCH(Прайс!$B3020,Торг!$H:$H,0))),"")</f>
        <v/>
      </c>
      <c r="H3020" s="67" t="str">
        <f>IFERROR(IFERROR(INDEX(Кат!$I:$I,MATCH(Прайс!$B3020,Кат!$G:$G,0)),INDEX(Торг!$I:$I,MATCH(Прайс!$B3020,Торг!$H:$H,0))),"")</f>
        <v/>
      </c>
    </row>
    <row r="3021" spans="1:8" x14ac:dyDescent="0.25">
      <c r="A3021" s="94" t="s">
        <v>7041</v>
      </c>
      <c r="B3021" s="98">
        <v>24223</v>
      </c>
      <c r="C3021" s="98" t="s">
        <v>7042</v>
      </c>
      <c r="D3021" s="96" t="s">
        <v>190</v>
      </c>
      <c r="E3021" s="97">
        <v>130</v>
      </c>
      <c r="F3021" s="67" t="str">
        <f>IFERROR(IFERROR(INDEX(Кат!$A:$A,MATCH(Прайс!$B3021,Кат!$G:$G,0)),INDEX(Торг!$B:$B,MATCH(Прайс!$B3021,Торг!$H:$H,0))),"")</f>
        <v/>
      </c>
      <c r="G3021" s="67" t="str">
        <f>IFERROR(IFERROR(INDEX(Кат!$B:$B,MATCH(Прайс!$B3021,Кат!$G:$G,0)),INDEX(Торг!$C:$C,MATCH(Прайс!$B3021,Торг!$H:$H,0))),"")</f>
        <v/>
      </c>
      <c r="H3021" s="67" t="str">
        <f>IFERROR(IFERROR(INDEX(Кат!$I:$I,MATCH(Прайс!$B3021,Кат!$G:$G,0)),INDEX(Торг!$I:$I,MATCH(Прайс!$B3021,Торг!$H:$H,0))),"")</f>
        <v/>
      </c>
    </row>
    <row r="3022" spans="1:8" x14ac:dyDescent="0.25">
      <c r="A3022" s="94" t="s">
        <v>7043</v>
      </c>
      <c r="B3022" s="98">
        <v>24224</v>
      </c>
      <c r="C3022" s="98" t="s">
        <v>7044</v>
      </c>
      <c r="D3022" s="96" t="s">
        <v>7045</v>
      </c>
      <c r="E3022" s="97">
        <v>195</v>
      </c>
      <c r="F3022" s="67" t="str">
        <f>IFERROR(IFERROR(INDEX(Кат!$A:$A,MATCH(Прайс!$B3022,Кат!$G:$G,0)),INDEX(Торг!$B:$B,MATCH(Прайс!$B3022,Торг!$H:$H,0))),"")</f>
        <v/>
      </c>
      <c r="G3022" s="67" t="str">
        <f>IFERROR(IFERROR(INDEX(Кат!$B:$B,MATCH(Прайс!$B3022,Кат!$G:$G,0)),INDEX(Торг!$C:$C,MATCH(Прайс!$B3022,Торг!$H:$H,0))),"")</f>
        <v/>
      </c>
      <c r="H3022" s="67" t="str">
        <f>IFERROR(IFERROR(INDEX(Кат!$I:$I,MATCH(Прайс!$B3022,Кат!$G:$G,0)),INDEX(Торг!$I:$I,MATCH(Прайс!$B3022,Торг!$H:$H,0))),"")</f>
        <v/>
      </c>
    </row>
    <row r="3023" spans="1:8" x14ac:dyDescent="0.25">
      <c r="A3023" s="94" t="s">
        <v>4234</v>
      </c>
      <c r="B3023" s="98">
        <v>24088</v>
      </c>
      <c r="C3023" s="98" t="s">
        <v>5343</v>
      </c>
      <c r="D3023" s="96" t="s">
        <v>480</v>
      </c>
      <c r="E3023" s="97">
        <v>400</v>
      </c>
      <c r="F3023" s="67" t="str">
        <f>IFERROR(IFERROR(INDEX(Кат!$A:$A,MATCH(Прайс!$B3023,Кат!$G:$G,0)),INDEX(Торг!$B:$B,MATCH(Прайс!$B3023,Торг!$H:$H,0))),"")</f>
        <v/>
      </c>
      <c r="G3023" s="67" t="str">
        <f>IFERROR(IFERROR(INDEX(Кат!$B:$B,MATCH(Прайс!$B3023,Кат!$G:$G,0)),INDEX(Торг!$C:$C,MATCH(Прайс!$B3023,Торг!$H:$H,0))),"")</f>
        <v/>
      </c>
      <c r="H3023" s="67" t="str">
        <f>IFERROR(IFERROR(INDEX(Кат!$I:$I,MATCH(Прайс!$B3023,Кат!$G:$G,0)),INDEX(Торг!$I:$I,MATCH(Прайс!$B3023,Торг!$H:$H,0))),"")</f>
        <v/>
      </c>
    </row>
    <row r="3024" spans="1:8" x14ac:dyDescent="0.25">
      <c r="A3024" s="94" t="s">
        <v>4235</v>
      </c>
      <c r="B3024" s="98">
        <v>24089</v>
      </c>
      <c r="C3024" s="98" t="s">
        <v>1601</v>
      </c>
      <c r="D3024" s="96" t="s">
        <v>480</v>
      </c>
      <c r="E3024" s="97">
        <v>390</v>
      </c>
      <c r="F3024" s="67" t="str">
        <f>IFERROR(IFERROR(INDEX(Кат!$A:$A,MATCH(Прайс!$B3024,Кат!$G:$G,0)),INDEX(Торг!$B:$B,MATCH(Прайс!$B3024,Торг!$H:$H,0))),"")</f>
        <v/>
      </c>
      <c r="G3024" s="67" t="str">
        <f>IFERROR(IFERROR(INDEX(Кат!$B:$B,MATCH(Прайс!$B3024,Кат!$G:$G,0)),INDEX(Торг!$C:$C,MATCH(Прайс!$B3024,Торг!$H:$H,0))),"")</f>
        <v/>
      </c>
      <c r="H3024" s="67" t="str">
        <f>IFERROR(IFERROR(INDEX(Кат!$I:$I,MATCH(Прайс!$B3024,Кат!$G:$G,0)),INDEX(Торг!$I:$I,MATCH(Прайс!$B3024,Торг!$H:$H,0))),"")</f>
        <v/>
      </c>
    </row>
    <row r="3025" spans="1:8" x14ac:dyDescent="0.25">
      <c r="A3025" s="109" t="s">
        <v>7837</v>
      </c>
      <c r="B3025" s="110">
        <v>24241</v>
      </c>
      <c r="C3025" s="110" t="s">
        <v>7838</v>
      </c>
      <c r="D3025" s="111" t="s">
        <v>342</v>
      </c>
      <c r="E3025" s="112">
        <v>95</v>
      </c>
      <c r="F3025" s="67" t="str">
        <f>IFERROR(IFERROR(INDEX(Кат!$A:$A,MATCH(Прайс!$B3025,Кат!$G:$G,0)),INDEX(Торг!$B:$B,MATCH(Прайс!$B3025,Торг!$H:$H,0))),"")</f>
        <v/>
      </c>
      <c r="G3025" s="67" t="str">
        <f>IFERROR(IFERROR(INDEX(Кат!$B:$B,MATCH(Прайс!$B3025,Кат!$G:$G,0)),INDEX(Торг!$C:$C,MATCH(Прайс!$B3025,Торг!$H:$H,0))),"")</f>
        <v/>
      </c>
      <c r="H3025" s="67" t="str">
        <f>IFERROR(IFERROR(INDEX(Кат!$I:$I,MATCH(Прайс!$B3025,Кат!$G:$G,0)),INDEX(Торг!$I:$I,MATCH(Прайс!$B3025,Торг!$H:$H,0))),"")</f>
        <v/>
      </c>
    </row>
    <row r="3026" spans="1:8" x14ac:dyDescent="0.25">
      <c r="A3026" s="109" t="s">
        <v>7839</v>
      </c>
      <c r="B3026" s="110">
        <v>24234</v>
      </c>
      <c r="C3026" s="110" t="s">
        <v>7840</v>
      </c>
      <c r="D3026" s="111" t="s">
        <v>7841</v>
      </c>
      <c r="E3026" s="112">
        <v>45</v>
      </c>
      <c r="F3026" s="67" t="str">
        <f>IFERROR(IFERROR(INDEX(Кат!$A:$A,MATCH(Прайс!$B3026,Кат!$G:$G,0)),INDEX(Торг!$B:$B,MATCH(Прайс!$B3026,Торг!$H:$H,0))),"")</f>
        <v/>
      </c>
      <c r="G3026" s="67" t="str">
        <f>IFERROR(IFERROR(INDEX(Кат!$B:$B,MATCH(Прайс!$B3026,Кат!$G:$G,0)),INDEX(Торг!$C:$C,MATCH(Прайс!$B3026,Торг!$H:$H,0))),"")</f>
        <v/>
      </c>
      <c r="H3026" s="67" t="str">
        <f>IFERROR(IFERROR(INDEX(Кат!$I:$I,MATCH(Прайс!$B3026,Кат!$G:$G,0)),INDEX(Торг!$I:$I,MATCH(Прайс!$B3026,Торг!$H:$H,0))),"")</f>
        <v/>
      </c>
    </row>
    <row r="3027" spans="1:8" x14ac:dyDescent="0.25">
      <c r="A3027" s="109" t="s">
        <v>7842</v>
      </c>
      <c r="B3027" s="110">
        <v>24235</v>
      </c>
      <c r="C3027" s="110" t="s">
        <v>7843</v>
      </c>
      <c r="D3027" s="111" t="s">
        <v>7841</v>
      </c>
      <c r="E3027" s="112">
        <v>50</v>
      </c>
      <c r="F3027" s="67" t="str">
        <f>IFERROR(IFERROR(INDEX(Кат!$A:$A,MATCH(Прайс!$B3027,Кат!$G:$G,0)),INDEX(Торг!$B:$B,MATCH(Прайс!$B3027,Торг!$H:$H,0))),"")</f>
        <v/>
      </c>
      <c r="G3027" s="67" t="str">
        <f>IFERROR(IFERROR(INDEX(Кат!$B:$B,MATCH(Прайс!$B3027,Кат!$G:$G,0)),INDEX(Торг!$C:$C,MATCH(Прайс!$B3027,Торг!$H:$H,0))),"")</f>
        <v/>
      </c>
      <c r="H3027" s="67" t="str">
        <f>IFERROR(IFERROR(INDEX(Кат!$I:$I,MATCH(Прайс!$B3027,Кат!$G:$G,0)),INDEX(Торг!$I:$I,MATCH(Прайс!$B3027,Торг!$H:$H,0))),"")</f>
        <v/>
      </c>
    </row>
    <row r="3028" spans="1:8" x14ac:dyDescent="0.25">
      <c r="A3028" s="109" t="s">
        <v>7844</v>
      </c>
      <c r="B3028" s="110">
        <v>24236</v>
      </c>
      <c r="C3028" s="110" t="s">
        <v>7845</v>
      </c>
      <c r="D3028" s="111" t="s">
        <v>257</v>
      </c>
      <c r="E3028" s="112">
        <v>90</v>
      </c>
      <c r="F3028" s="67" t="str">
        <f>IFERROR(IFERROR(INDEX(Кат!$A:$A,MATCH(Прайс!$B3028,Кат!$G:$G,0)),INDEX(Торг!$B:$B,MATCH(Прайс!$B3028,Торг!$H:$H,0))),"")</f>
        <v/>
      </c>
      <c r="G3028" s="67" t="str">
        <f>IFERROR(IFERROR(INDEX(Кат!$B:$B,MATCH(Прайс!$B3028,Кат!$G:$G,0)),INDEX(Торг!$C:$C,MATCH(Прайс!$B3028,Торг!$H:$H,0))),"")</f>
        <v/>
      </c>
      <c r="H3028" s="67" t="str">
        <f>IFERROR(IFERROR(INDEX(Кат!$I:$I,MATCH(Прайс!$B3028,Кат!$G:$G,0)),INDEX(Торг!$I:$I,MATCH(Прайс!$B3028,Торг!$H:$H,0))),"")</f>
        <v/>
      </c>
    </row>
    <row r="3029" spans="1:8" x14ac:dyDescent="0.25">
      <c r="A3029" s="109" t="s">
        <v>7846</v>
      </c>
      <c r="B3029" s="110">
        <v>24237</v>
      </c>
      <c r="C3029" s="110" t="s">
        <v>7847</v>
      </c>
      <c r="D3029" s="111" t="s">
        <v>7848</v>
      </c>
      <c r="E3029" s="112">
        <v>130</v>
      </c>
      <c r="F3029" s="67" t="str">
        <f>IFERROR(IFERROR(INDEX(Кат!$A:$A,MATCH(Прайс!$B3029,Кат!$G:$G,0)),INDEX(Торг!$B:$B,MATCH(Прайс!$B3029,Торг!$H:$H,0))),"")</f>
        <v/>
      </c>
      <c r="G3029" s="67" t="str">
        <f>IFERROR(IFERROR(INDEX(Кат!$B:$B,MATCH(Прайс!$B3029,Кат!$G:$G,0)),INDEX(Торг!$C:$C,MATCH(Прайс!$B3029,Торг!$H:$H,0))),"")</f>
        <v/>
      </c>
      <c r="H3029" s="67" t="str">
        <f>IFERROR(IFERROR(INDEX(Кат!$I:$I,MATCH(Прайс!$B3029,Кат!$G:$G,0)),INDEX(Торг!$I:$I,MATCH(Прайс!$B3029,Торг!$H:$H,0))),"")</f>
        <v/>
      </c>
    </row>
    <row r="3030" spans="1:8" x14ac:dyDescent="0.25">
      <c r="A3030" s="94" t="s">
        <v>4236</v>
      </c>
      <c r="B3030" s="98">
        <v>24040</v>
      </c>
      <c r="C3030" s="98" t="s">
        <v>1602</v>
      </c>
      <c r="D3030" s="96" t="s">
        <v>1603</v>
      </c>
      <c r="E3030" s="97">
        <v>85</v>
      </c>
      <c r="F3030" s="67">
        <f>IFERROR(IFERROR(INDEX(Кат!$A:$A,MATCH(Прайс!$B3030,Кат!$G:$G,0)),INDEX(Торг!$B:$B,MATCH(Прайс!$B3030,Торг!$H:$H,0))),"")</f>
        <v>213283</v>
      </c>
      <c r="G3030" s="67">
        <f>IFERROR(IFERROR(INDEX(Кат!$B:$B,MATCH(Прайс!$B3030,Кат!$G:$G,0)),INDEX(Торг!$C:$C,MATCH(Прайс!$B3030,Торг!$H:$H,0))),"")</f>
        <v>9075</v>
      </c>
      <c r="H3030" s="67" t="str">
        <f>IFERROR(IFERROR(INDEX(Кат!$I:$I,MATCH(Прайс!$B3030,Кат!$G:$G,0)),INDEX(Торг!$I:$I,MATCH(Прайс!$B3030,Торг!$H:$H,0))),"")</f>
        <v>кристал авто</v>
      </c>
    </row>
    <row r="3031" spans="1:8" x14ac:dyDescent="0.25">
      <c r="A3031" s="94" t="s">
        <v>4237</v>
      </c>
      <c r="B3031" s="98">
        <v>24041</v>
      </c>
      <c r="C3031" s="98" t="s">
        <v>7849</v>
      </c>
      <c r="D3031" s="96" t="s">
        <v>1604</v>
      </c>
      <c r="E3031" s="97">
        <v>65</v>
      </c>
      <c r="F3031" s="67">
        <f>IFERROR(IFERROR(INDEX(Кат!$A:$A,MATCH(Прайс!$B3031,Кат!$G:$G,0)),INDEX(Торг!$B:$B,MATCH(Прайс!$B3031,Торг!$H:$H,0))),"")</f>
        <v>213274</v>
      </c>
      <c r="G3031" s="67">
        <f>IFERROR(IFERROR(INDEX(Кат!$B:$B,MATCH(Прайс!$B3031,Кат!$G:$G,0)),INDEX(Торг!$C:$C,MATCH(Прайс!$B3031,Торг!$H:$H,0))),"")</f>
        <v>9077</v>
      </c>
      <c r="H3031" s="67" t="str">
        <f>IFERROR(IFERROR(INDEX(Кат!$I:$I,MATCH(Прайс!$B3031,Кат!$G:$G,0)),INDEX(Торг!$I:$I,MATCH(Прайс!$B3031,Торг!$H:$H,0))),"")</f>
        <v>кристал авто</v>
      </c>
    </row>
    <row r="3032" spans="1:8" x14ac:dyDescent="0.25">
      <c r="A3032" s="94" t="s">
        <v>4238</v>
      </c>
      <c r="B3032" s="98">
        <v>24134</v>
      </c>
      <c r="C3032" s="98" t="s">
        <v>1605</v>
      </c>
      <c r="D3032" s="96" t="s">
        <v>1606</v>
      </c>
      <c r="E3032" s="97">
        <v>90</v>
      </c>
      <c r="F3032" s="67" t="str">
        <f>IFERROR(IFERROR(INDEX(Кат!$A:$A,MATCH(Прайс!$B3032,Кат!$G:$G,0)),INDEX(Торг!$B:$B,MATCH(Прайс!$B3032,Торг!$H:$H,0))),"")</f>
        <v/>
      </c>
      <c r="G3032" s="67" t="str">
        <f>IFERROR(IFERROR(INDEX(Кат!$B:$B,MATCH(Прайс!$B3032,Кат!$G:$G,0)),INDEX(Торг!$C:$C,MATCH(Прайс!$B3032,Торг!$H:$H,0))),"")</f>
        <v/>
      </c>
      <c r="H3032" s="67" t="str">
        <f>IFERROR(IFERROR(INDEX(Кат!$I:$I,MATCH(Прайс!$B3032,Кат!$G:$G,0)),INDEX(Торг!$I:$I,MATCH(Прайс!$B3032,Торг!$H:$H,0))),"")</f>
        <v/>
      </c>
    </row>
    <row r="3033" spans="1:8" x14ac:dyDescent="0.25">
      <c r="A3033" s="109" t="s">
        <v>8473</v>
      </c>
      <c r="B3033" s="110">
        <v>24252</v>
      </c>
      <c r="C3033" s="110" t="s">
        <v>8474</v>
      </c>
      <c r="D3033" s="111" t="s">
        <v>1604</v>
      </c>
      <c r="E3033" s="112">
        <v>70</v>
      </c>
      <c r="F3033" s="67" t="str">
        <f>IFERROR(IFERROR(INDEX(Кат!$A:$A,MATCH(Прайс!$B3033,Кат!$G:$G,0)),INDEX(Торг!$B:$B,MATCH(Прайс!$B3033,Торг!$H:$H,0))),"")</f>
        <v/>
      </c>
      <c r="G3033" s="67" t="str">
        <f>IFERROR(IFERROR(INDEX(Кат!$B:$B,MATCH(Прайс!$B3033,Кат!$G:$G,0)),INDEX(Торг!$C:$C,MATCH(Прайс!$B3033,Торг!$H:$H,0))),"")</f>
        <v/>
      </c>
      <c r="H3033" s="67" t="str">
        <f>IFERROR(IFERROR(INDEX(Кат!$I:$I,MATCH(Прайс!$B3033,Кат!$G:$G,0)),INDEX(Торг!$I:$I,MATCH(Прайс!$B3033,Торг!$H:$H,0))),"")</f>
        <v/>
      </c>
    </row>
    <row r="3034" spans="1:8" x14ac:dyDescent="0.25">
      <c r="A3034" s="94" t="s">
        <v>4239</v>
      </c>
      <c r="B3034" s="98">
        <v>24141</v>
      </c>
      <c r="C3034" s="98" t="s">
        <v>1607</v>
      </c>
      <c r="D3034" s="96" t="s">
        <v>1604</v>
      </c>
      <c r="E3034" s="97">
        <v>60</v>
      </c>
      <c r="F3034" s="67" t="str">
        <f>IFERROR(IFERROR(INDEX(Кат!$A:$A,MATCH(Прайс!$B3034,Кат!$G:$G,0)),INDEX(Торг!$B:$B,MATCH(Прайс!$B3034,Торг!$H:$H,0))),"")</f>
        <v/>
      </c>
      <c r="G3034" s="67" t="str">
        <f>IFERROR(IFERROR(INDEX(Кат!$B:$B,MATCH(Прайс!$B3034,Кат!$G:$G,0)),INDEX(Торг!$C:$C,MATCH(Прайс!$B3034,Торг!$H:$H,0))),"")</f>
        <v/>
      </c>
      <c r="H3034" s="67" t="str">
        <f>IFERROR(IFERROR(INDEX(Кат!$I:$I,MATCH(Прайс!$B3034,Кат!$G:$G,0)),INDEX(Торг!$I:$I,MATCH(Прайс!$B3034,Торг!$H:$H,0))),"")</f>
        <v/>
      </c>
    </row>
    <row r="3035" spans="1:8" x14ac:dyDescent="0.25">
      <c r="A3035" s="94" t="s">
        <v>4240</v>
      </c>
      <c r="B3035" s="98">
        <v>24205</v>
      </c>
      <c r="C3035" s="98" t="s">
        <v>7850</v>
      </c>
      <c r="D3035" s="96" t="s">
        <v>582</v>
      </c>
      <c r="E3035" s="97">
        <v>80</v>
      </c>
      <c r="F3035" s="67" t="str">
        <f>IFERROR(IFERROR(INDEX(Кат!$A:$A,MATCH(Прайс!$B3035,Кат!$G:$G,0)),INDEX(Торг!$B:$B,MATCH(Прайс!$B3035,Торг!$H:$H,0))),"")</f>
        <v/>
      </c>
      <c r="G3035" s="67" t="str">
        <f>IFERROR(IFERROR(INDEX(Кат!$B:$B,MATCH(Прайс!$B3035,Кат!$G:$G,0)),INDEX(Торг!$C:$C,MATCH(Прайс!$B3035,Торг!$H:$H,0))),"")</f>
        <v/>
      </c>
      <c r="H3035" s="67" t="str">
        <f>IFERROR(IFERROR(INDEX(Кат!$I:$I,MATCH(Прайс!$B3035,Кат!$G:$G,0)),INDEX(Торг!$I:$I,MATCH(Прайс!$B3035,Торг!$H:$H,0))),"")</f>
        <v/>
      </c>
    </row>
    <row r="3036" spans="1:8" x14ac:dyDescent="0.25">
      <c r="A3036" s="94" t="s">
        <v>4241</v>
      </c>
      <c r="B3036" s="98">
        <v>24042</v>
      </c>
      <c r="C3036" s="98" t="s">
        <v>1608</v>
      </c>
      <c r="D3036" s="96" t="s">
        <v>1604</v>
      </c>
      <c r="E3036" s="97">
        <v>60</v>
      </c>
      <c r="F3036" s="67" t="str">
        <f>IFERROR(IFERROR(INDEX(Кат!$A:$A,MATCH(Прайс!$B3036,Кат!$G:$G,0)),INDEX(Торг!$B:$B,MATCH(Прайс!$B3036,Торг!$H:$H,0))),"")</f>
        <v/>
      </c>
      <c r="G3036" s="67" t="str">
        <f>IFERROR(IFERROR(INDEX(Кат!$B:$B,MATCH(Прайс!$B3036,Кат!$G:$G,0)),INDEX(Торг!$C:$C,MATCH(Прайс!$B3036,Торг!$H:$H,0))),"")</f>
        <v/>
      </c>
      <c r="H3036" s="67" t="str">
        <f>IFERROR(IFERROR(INDEX(Кат!$I:$I,MATCH(Прайс!$B3036,Кат!$G:$G,0)),INDEX(Торг!$I:$I,MATCH(Прайс!$B3036,Торг!$H:$H,0))),"")</f>
        <v/>
      </c>
    </row>
    <row r="3037" spans="1:8" x14ac:dyDescent="0.25">
      <c r="A3037" s="94" t="s">
        <v>4242</v>
      </c>
      <c r="B3037" s="98">
        <v>24124</v>
      </c>
      <c r="C3037" s="98" t="s">
        <v>1609</v>
      </c>
      <c r="D3037" s="96" t="s">
        <v>582</v>
      </c>
      <c r="E3037" s="97">
        <v>55</v>
      </c>
      <c r="F3037" s="67" t="str">
        <f>IFERROR(IFERROR(INDEX(Кат!$A:$A,MATCH(Прайс!$B3037,Кат!$G:$G,0)),INDEX(Торг!$B:$B,MATCH(Прайс!$B3037,Торг!$H:$H,0))),"")</f>
        <v/>
      </c>
      <c r="G3037" s="67" t="str">
        <f>IFERROR(IFERROR(INDEX(Кат!$B:$B,MATCH(Прайс!$B3037,Кат!$G:$G,0)),INDEX(Торг!$C:$C,MATCH(Прайс!$B3037,Торг!$H:$H,0))),"")</f>
        <v/>
      </c>
      <c r="H3037" s="67" t="str">
        <f>IFERROR(IFERROR(INDEX(Кат!$I:$I,MATCH(Прайс!$B3037,Кат!$G:$G,0)),INDEX(Торг!$I:$I,MATCH(Прайс!$B3037,Торг!$H:$H,0))),"")</f>
        <v/>
      </c>
    </row>
    <row r="3038" spans="1:8" x14ac:dyDescent="0.25">
      <c r="A3038" s="94" t="s">
        <v>4243</v>
      </c>
      <c r="B3038" s="98">
        <v>24206</v>
      </c>
      <c r="C3038" s="98" t="s">
        <v>1610</v>
      </c>
      <c r="D3038" s="96" t="s">
        <v>162</v>
      </c>
      <c r="E3038" s="97">
        <v>60</v>
      </c>
      <c r="F3038" s="67" t="str">
        <f>IFERROR(IFERROR(INDEX(Кат!$A:$A,MATCH(Прайс!$B3038,Кат!$G:$G,0)),INDEX(Торг!$B:$B,MATCH(Прайс!$B3038,Торг!$H:$H,0))),"")</f>
        <v/>
      </c>
      <c r="G3038" s="67" t="str">
        <f>IFERROR(IFERROR(INDEX(Кат!$B:$B,MATCH(Прайс!$B3038,Кат!$G:$G,0)),INDEX(Торг!$C:$C,MATCH(Прайс!$B3038,Торг!$H:$H,0))),"")</f>
        <v/>
      </c>
      <c r="H3038" s="67" t="str">
        <f>IFERROR(IFERROR(INDEX(Кат!$I:$I,MATCH(Прайс!$B3038,Кат!$G:$G,0)),INDEX(Торг!$I:$I,MATCH(Прайс!$B3038,Торг!$H:$H,0))),"")</f>
        <v/>
      </c>
    </row>
    <row r="3039" spans="1:8" x14ac:dyDescent="0.25">
      <c r="A3039" s="94" t="s">
        <v>4244</v>
      </c>
      <c r="B3039" s="98">
        <v>24207</v>
      </c>
      <c r="C3039" s="98" t="s">
        <v>7046</v>
      </c>
      <c r="D3039" s="96" t="s">
        <v>7047</v>
      </c>
      <c r="E3039" s="97">
        <v>75</v>
      </c>
      <c r="F3039" s="67" t="str">
        <f>IFERROR(IFERROR(INDEX(Кат!$A:$A,MATCH(Прайс!$B3039,Кат!$G:$G,0)),INDEX(Торг!$B:$B,MATCH(Прайс!$B3039,Торг!$H:$H,0))),"")</f>
        <v/>
      </c>
      <c r="G3039" s="67" t="str">
        <f>IFERROR(IFERROR(INDEX(Кат!$B:$B,MATCH(Прайс!$B3039,Кат!$G:$G,0)),INDEX(Торг!$C:$C,MATCH(Прайс!$B3039,Торг!$H:$H,0))),"")</f>
        <v/>
      </c>
      <c r="H3039" s="67" t="str">
        <f>IFERROR(IFERROR(INDEX(Кат!$I:$I,MATCH(Прайс!$B3039,Кат!$G:$G,0)),INDEX(Торг!$I:$I,MATCH(Прайс!$B3039,Торг!$H:$H,0))),"")</f>
        <v/>
      </c>
    </row>
    <row r="3040" spans="1:8" x14ac:dyDescent="0.25">
      <c r="A3040" s="94" t="s">
        <v>4245</v>
      </c>
      <c r="B3040" s="98">
        <v>24212</v>
      </c>
      <c r="C3040" s="98" t="s">
        <v>4246</v>
      </c>
      <c r="D3040" s="96" t="s">
        <v>582</v>
      </c>
      <c r="E3040" s="97">
        <v>90</v>
      </c>
      <c r="F3040" s="67" t="str">
        <f>IFERROR(IFERROR(INDEX(Кат!$A:$A,MATCH(Прайс!$B3040,Кат!$G:$G,0)),INDEX(Торг!$B:$B,MATCH(Прайс!$B3040,Торг!$H:$H,0))),"")</f>
        <v/>
      </c>
      <c r="G3040" s="67" t="str">
        <f>IFERROR(IFERROR(INDEX(Кат!$B:$B,MATCH(Прайс!$B3040,Кат!$G:$G,0)),INDEX(Торг!$C:$C,MATCH(Прайс!$B3040,Торг!$H:$H,0))),"")</f>
        <v/>
      </c>
      <c r="H3040" s="67" t="str">
        <f>IFERROR(IFERROR(INDEX(Кат!$I:$I,MATCH(Прайс!$B3040,Кат!$G:$G,0)),INDEX(Торг!$I:$I,MATCH(Прайс!$B3040,Торг!$H:$H,0))),"")</f>
        <v/>
      </c>
    </row>
    <row r="3041" spans="1:8" x14ac:dyDescent="0.25">
      <c r="A3041" s="94" t="s">
        <v>4247</v>
      </c>
      <c r="B3041" s="98">
        <v>24043</v>
      </c>
      <c r="C3041" s="98" t="s">
        <v>2142</v>
      </c>
      <c r="D3041" s="96" t="s">
        <v>1604</v>
      </c>
      <c r="E3041" s="97">
        <v>65</v>
      </c>
      <c r="F3041" s="67" t="str">
        <f>IFERROR(IFERROR(INDEX(Кат!$A:$A,MATCH(Прайс!$B3041,Кат!$G:$G,0)),INDEX(Торг!$B:$B,MATCH(Прайс!$B3041,Торг!$H:$H,0))),"")</f>
        <v/>
      </c>
      <c r="G3041" s="67" t="str">
        <f>IFERROR(IFERROR(INDEX(Кат!$B:$B,MATCH(Прайс!$B3041,Кат!$G:$G,0)),INDEX(Торг!$C:$C,MATCH(Прайс!$B3041,Торг!$H:$H,0))),"")</f>
        <v/>
      </c>
      <c r="H3041" s="67" t="str">
        <f>IFERROR(IFERROR(INDEX(Кат!$I:$I,MATCH(Прайс!$B3041,Кат!$G:$G,0)),INDEX(Торг!$I:$I,MATCH(Прайс!$B3041,Торг!$H:$H,0))),"")</f>
        <v/>
      </c>
    </row>
    <row r="3042" spans="1:8" x14ac:dyDescent="0.25">
      <c r="A3042" s="94" t="s">
        <v>4248</v>
      </c>
      <c r="B3042" s="98">
        <v>24213</v>
      </c>
      <c r="C3042" s="98" t="s">
        <v>7048</v>
      </c>
      <c r="D3042" s="96" t="s">
        <v>7049</v>
      </c>
      <c r="E3042" s="97">
        <v>70</v>
      </c>
      <c r="F3042" s="67" t="str">
        <f>IFERROR(IFERROR(INDEX(Кат!$A:$A,MATCH(Прайс!$B3042,Кат!$G:$G,0)),INDEX(Торг!$B:$B,MATCH(Прайс!$B3042,Торг!$H:$H,0))),"")</f>
        <v/>
      </c>
      <c r="G3042" s="67" t="str">
        <f>IFERROR(IFERROR(INDEX(Кат!$B:$B,MATCH(Прайс!$B3042,Кат!$G:$G,0)),INDEX(Торг!$C:$C,MATCH(Прайс!$B3042,Торг!$H:$H,0))),"")</f>
        <v/>
      </c>
      <c r="H3042" s="67" t="str">
        <f>IFERROR(IFERROR(INDEX(Кат!$I:$I,MATCH(Прайс!$B3042,Кат!$G:$G,0)),INDEX(Торг!$I:$I,MATCH(Прайс!$B3042,Торг!$H:$H,0))),"")</f>
        <v/>
      </c>
    </row>
    <row r="3043" spans="1:8" x14ac:dyDescent="0.25">
      <c r="A3043" s="94" t="s">
        <v>4249</v>
      </c>
      <c r="B3043" s="98">
        <v>24048</v>
      </c>
      <c r="C3043" s="98" t="s">
        <v>1611</v>
      </c>
      <c r="D3043" s="96" t="s">
        <v>1604</v>
      </c>
      <c r="E3043" s="97">
        <v>55</v>
      </c>
      <c r="F3043" s="67" t="str">
        <f>IFERROR(IFERROR(INDEX(Кат!$A:$A,MATCH(Прайс!$B3043,Кат!$G:$G,0)),INDEX(Торг!$B:$B,MATCH(Прайс!$B3043,Торг!$H:$H,0))),"")</f>
        <v/>
      </c>
      <c r="G3043" s="67" t="str">
        <f>IFERROR(IFERROR(INDEX(Кат!$B:$B,MATCH(Прайс!$B3043,Кат!$G:$G,0)),INDEX(Торг!$C:$C,MATCH(Прайс!$B3043,Торг!$H:$H,0))),"")</f>
        <v/>
      </c>
      <c r="H3043" s="67" t="str">
        <f>IFERROR(IFERROR(INDEX(Кат!$I:$I,MATCH(Прайс!$B3043,Кат!$G:$G,0)),INDEX(Торг!$I:$I,MATCH(Прайс!$B3043,Торг!$H:$H,0))),"")</f>
        <v/>
      </c>
    </row>
    <row r="3044" spans="1:8" x14ac:dyDescent="0.25">
      <c r="A3044" s="94" t="s">
        <v>4250</v>
      </c>
      <c r="B3044" s="98">
        <v>24049</v>
      </c>
      <c r="C3044" s="98" t="s">
        <v>1612</v>
      </c>
      <c r="D3044" s="96" t="s">
        <v>622</v>
      </c>
      <c r="E3044" s="97">
        <v>90</v>
      </c>
      <c r="F3044" s="67" t="str">
        <f>IFERROR(IFERROR(INDEX(Кат!$A:$A,MATCH(Прайс!$B3044,Кат!$G:$G,0)),INDEX(Торг!$B:$B,MATCH(Прайс!$B3044,Торг!$H:$H,0))),"")</f>
        <v/>
      </c>
      <c r="G3044" s="67" t="str">
        <f>IFERROR(IFERROR(INDEX(Кат!$B:$B,MATCH(Прайс!$B3044,Кат!$G:$G,0)),INDEX(Торг!$C:$C,MATCH(Прайс!$B3044,Торг!$H:$H,0))),"")</f>
        <v/>
      </c>
      <c r="H3044" s="67" t="str">
        <f>IFERROR(IFERROR(INDEX(Кат!$I:$I,MATCH(Прайс!$B3044,Кат!$G:$G,0)),INDEX(Торг!$I:$I,MATCH(Прайс!$B3044,Торг!$H:$H,0))),"")</f>
        <v/>
      </c>
    </row>
    <row r="3045" spans="1:8" x14ac:dyDescent="0.25">
      <c r="A3045" s="94" t="s">
        <v>4251</v>
      </c>
      <c r="B3045" s="98">
        <v>24050</v>
      </c>
      <c r="C3045" s="98" t="s">
        <v>1613</v>
      </c>
      <c r="D3045" s="96" t="s">
        <v>265</v>
      </c>
      <c r="E3045" s="97">
        <v>95</v>
      </c>
      <c r="F3045" s="67" t="str">
        <f>IFERROR(IFERROR(INDEX(Кат!$A:$A,MATCH(Прайс!$B3045,Кат!$G:$G,0)),INDEX(Торг!$B:$B,MATCH(Прайс!$B3045,Торг!$H:$H,0))),"")</f>
        <v/>
      </c>
      <c r="G3045" s="67" t="str">
        <f>IFERROR(IFERROR(INDEX(Кат!$B:$B,MATCH(Прайс!$B3045,Кат!$G:$G,0)),INDEX(Торг!$C:$C,MATCH(Прайс!$B3045,Торг!$H:$H,0))),"")</f>
        <v/>
      </c>
      <c r="H3045" s="67" t="str">
        <f>IFERROR(IFERROR(INDEX(Кат!$I:$I,MATCH(Прайс!$B3045,Кат!$G:$G,0)),INDEX(Торг!$I:$I,MATCH(Прайс!$B3045,Торг!$H:$H,0))),"")</f>
        <v/>
      </c>
    </row>
    <row r="3046" spans="1:8" x14ac:dyDescent="0.25">
      <c r="A3046" s="94" t="s">
        <v>4253</v>
      </c>
      <c r="B3046" s="98">
        <v>24128</v>
      </c>
      <c r="C3046" s="98" t="s">
        <v>1614</v>
      </c>
      <c r="D3046" s="96" t="s">
        <v>241</v>
      </c>
      <c r="E3046" s="97">
        <v>125</v>
      </c>
      <c r="F3046" s="67" t="str">
        <f>IFERROR(IFERROR(INDEX(Кат!$A:$A,MATCH(Прайс!$B3046,Кат!$G:$G,0)),INDEX(Торг!$B:$B,MATCH(Прайс!$B3046,Торг!$H:$H,0))),"")</f>
        <v/>
      </c>
      <c r="G3046" s="67" t="str">
        <f>IFERROR(IFERROR(INDEX(Кат!$B:$B,MATCH(Прайс!$B3046,Кат!$G:$G,0)),INDEX(Торг!$C:$C,MATCH(Прайс!$B3046,Торг!$H:$H,0))),"")</f>
        <v/>
      </c>
      <c r="H3046" s="67" t="str">
        <f>IFERROR(IFERROR(INDEX(Кат!$I:$I,MATCH(Прайс!$B3046,Кат!$G:$G,0)),INDEX(Торг!$I:$I,MATCH(Прайс!$B3046,Торг!$H:$H,0))),"")</f>
        <v/>
      </c>
    </row>
    <row r="3047" spans="1:8" x14ac:dyDescent="0.25">
      <c r="A3047" s="94" t="s">
        <v>4252</v>
      </c>
      <c r="B3047" s="98">
        <v>24051</v>
      </c>
      <c r="C3047" s="98" t="s">
        <v>5990</v>
      </c>
      <c r="D3047" s="96" t="s">
        <v>190</v>
      </c>
      <c r="E3047" s="97">
        <v>115</v>
      </c>
      <c r="F3047" s="67" t="str">
        <f>IFERROR(IFERROR(INDEX(Кат!$A:$A,MATCH(Прайс!$B3047,Кат!$G:$G,0)),INDEX(Торг!$B:$B,MATCH(Прайс!$B3047,Торг!$H:$H,0))),"")</f>
        <v/>
      </c>
      <c r="G3047" s="67" t="str">
        <f>IFERROR(IFERROR(INDEX(Кат!$B:$B,MATCH(Прайс!$B3047,Кат!$G:$G,0)),INDEX(Торг!$C:$C,MATCH(Прайс!$B3047,Торг!$H:$H,0))),"")</f>
        <v/>
      </c>
      <c r="H3047" s="67" t="str">
        <f>IFERROR(IFERROR(INDEX(Кат!$I:$I,MATCH(Прайс!$B3047,Кат!$G:$G,0)),INDEX(Торг!$I:$I,MATCH(Прайс!$B3047,Торг!$H:$H,0))),"")</f>
        <v/>
      </c>
    </row>
    <row r="3048" spans="1:8" x14ac:dyDescent="0.25">
      <c r="A3048" s="94" t="s">
        <v>4254</v>
      </c>
      <c r="B3048" s="98">
        <v>24053</v>
      </c>
      <c r="C3048" s="98" t="s">
        <v>1615</v>
      </c>
      <c r="D3048" s="96" t="s">
        <v>159</v>
      </c>
      <c r="E3048" s="97">
        <v>175</v>
      </c>
      <c r="F3048" s="67" t="str">
        <f>IFERROR(IFERROR(INDEX(Кат!$A:$A,MATCH(Прайс!$B3048,Кат!$G:$G,0)),INDEX(Торг!$B:$B,MATCH(Прайс!$B3048,Торг!$H:$H,0))),"")</f>
        <v/>
      </c>
      <c r="G3048" s="67" t="str">
        <f>IFERROR(IFERROR(INDEX(Кат!$B:$B,MATCH(Прайс!$B3048,Кат!$G:$G,0)),INDEX(Торг!$C:$C,MATCH(Прайс!$B3048,Торг!$H:$H,0))),"")</f>
        <v/>
      </c>
      <c r="H3048" s="67" t="str">
        <f>IFERROR(IFERROR(INDEX(Кат!$I:$I,MATCH(Прайс!$B3048,Кат!$G:$G,0)),INDEX(Торг!$I:$I,MATCH(Прайс!$B3048,Торг!$H:$H,0))),"")</f>
        <v/>
      </c>
    </row>
    <row r="3049" spans="1:8" x14ac:dyDescent="0.25">
      <c r="A3049" s="94" t="s">
        <v>4255</v>
      </c>
      <c r="B3049" s="98">
        <v>24052</v>
      </c>
      <c r="C3049" s="98" t="s">
        <v>1616</v>
      </c>
      <c r="D3049" s="96" t="s">
        <v>159</v>
      </c>
      <c r="E3049" s="97">
        <v>170</v>
      </c>
      <c r="F3049" s="67" t="str">
        <f>IFERROR(IFERROR(INDEX(Кат!$A:$A,MATCH(Прайс!$B3049,Кат!$G:$G,0)),INDEX(Торг!$B:$B,MATCH(Прайс!$B3049,Торг!$H:$H,0))),"")</f>
        <v/>
      </c>
      <c r="G3049" s="67" t="str">
        <f>IFERROR(IFERROR(INDEX(Кат!$B:$B,MATCH(Прайс!$B3049,Кат!$G:$G,0)),INDEX(Торг!$C:$C,MATCH(Прайс!$B3049,Торг!$H:$H,0))),"")</f>
        <v/>
      </c>
      <c r="H3049" s="67" t="str">
        <f>IFERROR(IFERROR(INDEX(Кат!$I:$I,MATCH(Прайс!$B3049,Кат!$G:$G,0)),INDEX(Торг!$I:$I,MATCH(Прайс!$B3049,Торг!$H:$H,0))),"")</f>
        <v/>
      </c>
    </row>
    <row r="3050" spans="1:8" x14ac:dyDescent="0.25">
      <c r="A3050" s="94" t="s">
        <v>5991</v>
      </c>
      <c r="B3050" s="98">
        <v>24208</v>
      </c>
      <c r="C3050" s="98" t="s">
        <v>7050</v>
      </c>
      <c r="D3050" s="96" t="s">
        <v>162</v>
      </c>
      <c r="E3050" s="97">
        <v>60</v>
      </c>
      <c r="F3050" s="67" t="str">
        <f>IFERROR(IFERROR(INDEX(Кат!$A:$A,MATCH(Прайс!$B3050,Кат!$G:$G,0)),INDEX(Торг!$B:$B,MATCH(Прайс!$B3050,Торг!$H:$H,0))),"")</f>
        <v/>
      </c>
      <c r="G3050" s="67" t="str">
        <f>IFERROR(IFERROR(INDEX(Кат!$B:$B,MATCH(Прайс!$B3050,Кат!$G:$G,0)),INDEX(Торг!$C:$C,MATCH(Прайс!$B3050,Торг!$H:$H,0))),"")</f>
        <v/>
      </c>
      <c r="H3050" s="67" t="str">
        <f>IFERROR(IFERROR(INDEX(Кат!$I:$I,MATCH(Прайс!$B3050,Кат!$G:$G,0)),INDEX(Торг!$I:$I,MATCH(Прайс!$B3050,Торг!$H:$H,0))),"")</f>
        <v/>
      </c>
    </row>
    <row r="3051" spans="1:8" x14ac:dyDescent="0.25">
      <c r="A3051" s="94" t="s">
        <v>5344</v>
      </c>
      <c r="B3051" s="98">
        <v>24133</v>
      </c>
      <c r="C3051" s="98" t="s">
        <v>5345</v>
      </c>
      <c r="D3051" s="96" t="s">
        <v>1323</v>
      </c>
      <c r="E3051" s="97">
        <v>80</v>
      </c>
      <c r="F3051" s="67" t="str">
        <f>IFERROR(IFERROR(INDEX(Кат!$A:$A,MATCH(Прайс!$B3051,Кат!$G:$G,0)),INDEX(Торг!$B:$B,MATCH(Прайс!$B3051,Торг!$H:$H,0))),"")</f>
        <v/>
      </c>
      <c r="G3051" s="67" t="str">
        <f>IFERROR(IFERROR(INDEX(Кат!$B:$B,MATCH(Прайс!$B3051,Кат!$G:$G,0)),INDEX(Торг!$C:$C,MATCH(Прайс!$B3051,Торг!$H:$H,0))),"")</f>
        <v/>
      </c>
      <c r="H3051" s="67" t="str">
        <f>IFERROR(IFERROR(INDEX(Кат!$I:$I,MATCH(Прайс!$B3051,Кат!$G:$G,0)),INDEX(Торг!$I:$I,MATCH(Прайс!$B3051,Торг!$H:$H,0))),"")</f>
        <v/>
      </c>
    </row>
    <row r="3052" spans="1:8" x14ac:dyDescent="0.25">
      <c r="A3052" s="94" t="s">
        <v>4256</v>
      </c>
      <c r="B3052" s="98">
        <v>24057</v>
      </c>
      <c r="C3052" s="98" t="s">
        <v>1617</v>
      </c>
      <c r="D3052" s="96" t="s">
        <v>161</v>
      </c>
      <c r="E3052" s="97">
        <v>410</v>
      </c>
      <c r="F3052" s="67">
        <f>IFERROR(IFERROR(INDEX(Кат!$A:$A,MATCH(Прайс!$B3052,Кат!$G:$G,0)),INDEX(Торг!$B:$B,MATCH(Прайс!$B3052,Торг!$H:$H,0))),"")</f>
        <v>213284</v>
      </c>
      <c r="G3052" s="67">
        <f>IFERROR(IFERROR(INDEX(Кат!$B:$B,MATCH(Прайс!$B3052,Кат!$G:$G,0)),INDEX(Торг!$C:$C,MATCH(Прайс!$B3052,Торг!$H:$H,0))),"")</f>
        <v>9073</v>
      </c>
      <c r="H3052" s="67" t="str">
        <f>IFERROR(IFERROR(INDEX(Кат!$I:$I,MATCH(Прайс!$B3052,Кат!$G:$G,0)),INDEX(Торг!$I:$I,MATCH(Прайс!$B3052,Торг!$H:$H,0))),"")</f>
        <v>кристал авто</v>
      </c>
    </row>
    <row r="3053" spans="1:8" x14ac:dyDescent="0.25">
      <c r="A3053" s="94" t="s">
        <v>4257</v>
      </c>
      <c r="B3053" s="98">
        <v>24059</v>
      </c>
      <c r="C3053" s="98" t="s">
        <v>1618</v>
      </c>
      <c r="D3053" s="96" t="s">
        <v>1619</v>
      </c>
      <c r="E3053" s="97">
        <v>310</v>
      </c>
      <c r="F3053" s="67">
        <f>IFERROR(IFERROR(INDEX(Кат!$A:$A,MATCH(Прайс!$B3053,Кат!$G:$G,0)),INDEX(Торг!$B:$B,MATCH(Прайс!$B3053,Торг!$H:$H,0))),"")</f>
        <v>213282</v>
      </c>
      <c r="G3053" s="67">
        <f>IFERROR(IFERROR(INDEX(Кат!$B:$B,MATCH(Прайс!$B3053,Кат!$G:$G,0)),INDEX(Торг!$C:$C,MATCH(Прайс!$B3053,Торг!$H:$H,0))),"")</f>
        <v>9059</v>
      </c>
      <c r="H3053" s="67" t="str">
        <f>IFERROR(IFERROR(INDEX(Кат!$I:$I,MATCH(Прайс!$B3053,Кат!$G:$G,0)),INDEX(Торг!$I:$I,MATCH(Прайс!$B3053,Торг!$H:$H,0))),"")</f>
        <v>кристал авто</v>
      </c>
    </row>
    <row r="3054" spans="1:8" x14ac:dyDescent="0.25">
      <c r="A3054" s="94" t="s">
        <v>4258</v>
      </c>
      <c r="B3054" s="98">
        <v>24060</v>
      </c>
      <c r="C3054" s="98" t="s">
        <v>1620</v>
      </c>
      <c r="D3054" s="96" t="s">
        <v>162</v>
      </c>
      <c r="E3054" s="97">
        <v>200</v>
      </c>
      <c r="F3054" s="67">
        <f>IFERROR(IFERROR(INDEX(Кат!$A:$A,MATCH(Прайс!$B3054,Кат!$G:$G,0)),INDEX(Торг!$B:$B,MATCH(Прайс!$B3054,Торг!$H:$H,0))),"")</f>
        <v>213285</v>
      </c>
      <c r="G3054" s="67">
        <f>IFERROR(IFERROR(INDEX(Кат!$B:$B,MATCH(Прайс!$B3054,Кат!$G:$G,0)),INDEX(Торг!$C:$C,MATCH(Прайс!$B3054,Торг!$H:$H,0))),"")</f>
        <v>9078</v>
      </c>
      <c r="H3054" s="67" t="str">
        <f>IFERROR(IFERROR(INDEX(Кат!$I:$I,MATCH(Прайс!$B3054,Кат!$G:$G,0)),INDEX(Торг!$I:$I,MATCH(Прайс!$B3054,Торг!$H:$H,0))),"")</f>
        <v>кристал авто</v>
      </c>
    </row>
    <row r="3055" spans="1:8" x14ac:dyDescent="0.25">
      <c r="A3055" s="94" t="s">
        <v>4259</v>
      </c>
      <c r="B3055" s="98">
        <v>24061</v>
      </c>
      <c r="C3055" s="98" t="s">
        <v>4260</v>
      </c>
      <c r="D3055" s="96" t="s">
        <v>241</v>
      </c>
      <c r="E3055" s="97">
        <v>115</v>
      </c>
      <c r="F3055" s="67">
        <f>IFERROR(IFERROR(INDEX(Кат!$A:$A,MATCH(Прайс!$B3055,Кат!$G:$G,0)),INDEX(Торг!$B:$B,MATCH(Прайс!$B3055,Торг!$H:$H,0))),"")</f>
        <v>213286</v>
      </c>
      <c r="G3055" s="67">
        <f>IFERROR(IFERROR(INDEX(Кат!$B:$B,MATCH(Прайс!$B3055,Кат!$G:$G,0)),INDEX(Торг!$C:$C,MATCH(Прайс!$B3055,Торг!$H:$H,0))),"")</f>
        <v>9067</v>
      </c>
      <c r="H3055" s="67" t="str">
        <f>IFERROR(IFERROR(INDEX(Кат!$I:$I,MATCH(Прайс!$B3055,Кат!$G:$G,0)),INDEX(Торг!$I:$I,MATCH(Прайс!$B3055,Торг!$H:$H,0))),"")</f>
        <v>кристал авто</v>
      </c>
    </row>
    <row r="3056" spans="1:8" x14ac:dyDescent="0.25">
      <c r="A3056" s="94" t="s">
        <v>4261</v>
      </c>
      <c r="B3056" s="98">
        <v>24062</v>
      </c>
      <c r="C3056" s="98" t="s">
        <v>1621</v>
      </c>
      <c r="D3056" s="96" t="s">
        <v>241</v>
      </c>
      <c r="E3056" s="97">
        <v>110</v>
      </c>
      <c r="F3056" s="67">
        <f>IFERROR(IFERROR(INDEX(Кат!$A:$A,MATCH(Прайс!$B3056,Кат!$G:$G,0)),INDEX(Торг!$B:$B,MATCH(Прайс!$B3056,Торг!$H:$H,0))),"")</f>
        <v>213287</v>
      </c>
      <c r="G3056" s="67">
        <f>IFERROR(IFERROR(INDEX(Кат!$B:$B,MATCH(Прайс!$B3056,Кат!$G:$G,0)),INDEX(Торг!$C:$C,MATCH(Прайс!$B3056,Торг!$H:$H,0))),"")</f>
        <v>9079</v>
      </c>
      <c r="H3056" s="67" t="str">
        <f>IFERROR(IFERROR(INDEX(Кат!$I:$I,MATCH(Прайс!$B3056,Кат!$G:$G,0)),INDEX(Торг!$I:$I,MATCH(Прайс!$B3056,Торг!$H:$H,0))),"")</f>
        <v>кристал авто</v>
      </c>
    </row>
    <row r="3057" spans="1:8" x14ac:dyDescent="0.25">
      <c r="A3057" s="94" t="s">
        <v>4262</v>
      </c>
      <c r="B3057" s="98">
        <v>24063</v>
      </c>
      <c r="C3057" s="98" t="s">
        <v>1622</v>
      </c>
      <c r="D3057" s="96" t="s">
        <v>1623</v>
      </c>
      <c r="E3057" s="97">
        <v>420</v>
      </c>
      <c r="F3057" s="67">
        <f>IFERROR(IFERROR(INDEX(Кат!$A:$A,MATCH(Прайс!$B3057,Кат!$G:$G,0)),INDEX(Торг!$B:$B,MATCH(Прайс!$B3057,Торг!$H:$H,0))),"")</f>
        <v>213288</v>
      </c>
      <c r="G3057" s="67">
        <f>IFERROR(IFERROR(INDEX(Кат!$B:$B,MATCH(Прайс!$B3057,Кат!$G:$G,0)),INDEX(Торг!$C:$C,MATCH(Прайс!$B3057,Торг!$H:$H,0))),"")</f>
        <v>9089</v>
      </c>
      <c r="H3057" s="67" t="str">
        <f>IFERROR(IFERROR(INDEX(Кат!$I:$I,MATCH(Прайс!$B3057,Кат!$G:$G,0)),INDEX(Торг!$I:$I,MATCH(Прайс!$B3057,Торг!$H:$H,0))),"")</f>
        <v>кристал авто</v>
      </c>
    </row>
    <row r="3058" spans="1:8" x14ac:dyDescent="0.25">
      <c r="A3058" s="94" t="s">
        <v>4263</v>
      </c>
      <c r="B3058" s="98">
        <v>24132</v>
      </c>
      <c r="C3058" s="98" t="s">
        <v>1624</v>
      </c>
      <c r="D3058" s="96" t="s">
        <v>1604</v>
      </c>
      <c r="E3058" s="97">
        <v>65</v>
      </c>
      <c r="F3058" s="67" t="str">
        <f>IFERROR(IFERROR(INDEX(Кат!$A:$A,MATCH(Прайс!$B3058,Кат!$G:$G,0)),INDEX(Торг!$B:$B,MATCH(Прайс!$B3058,Торг!$H:$H,0))),"")</f>
        <v/>
      </c>
      <c r="G3058" s="67" t="str">
        <f>IFERROR(IFERROR(INDEX(Кат!$B:$B,MATCH(Прайс!$B3058,Кат!$G:$G,0)),INDEX(Торг!$C:$C,MATCH(Прайс!$B3058,Торг!$H:$H,0))),"")</f>
        <v/>
      </c>
      <c r="H3058" s="67" t="str">
        <f>IFERROR(IFERROR(INDEX(Кат!$I:$I,MATCH(Прайс!$B3058,Кат!$G:$G,0)),INDEX(Торг!$I:$I,MATCH(Прайс!$B3058,Торг!$H:$H,0))),"")</f>
        <v/>
      </c>
    </row>
    <row r="3059" spans="1:8" x14ac:dyDescent="0.25">
      <c r="A3059" s="94" t="s">
        <v>7051</v>
      </c>
      <c r="B3059" s="98">
        <v>24221</v>
      </c>
      <c r="C3059" s="98" t="s">
        <v>8318</v>
      </c>
      <c r="D3059" s="96" t="s">
        <v>582</v>
      </c>
      <c r="E3059" s="97">
        <v>40</v>
      </c>
      <c r="F3059" s="67" t="str">
        <f>IFERROR(IFERROR(INDEX(Кат!$A:$A,MATCH(Прайс!$B3059,Кат!$G:$G,0)),INDEX(Торг!$B:$B,MATCH(Прайс!$B3059,Торг!$H:$H,0))),"")</f>
        <v/>
      </c>
      <c r="G3059" s="67" t="str">
        <f>IFERROR(IFERROR(INDEX(Кат!$B:$B,MATCH(Прайс!$B3059,Кат!$G:$G,0)),INDEX(Торг!$C:$C,MATCH(Прайс!$B3059,Торг!$H:$H,0))),"")</f>
        <v/>
      </c>
      <c r="H3059" s="67" t="str">
        <f>IFERROR(IFERROR(INDEX(Кат!$I:$I,MATCH(Прайс!$B3059,Кат!$G:$G,0)),INDEX(Торг!$I:$I,MATCH(Прайс!$B3059,Торг!$H:$H,0))),"")</f>
        <v/>
      </c>
    </row>
    <row r="3060" spans="1:8" x14ac:dyDescent="0.25">
      <c r="A3060" s="94" t="s">
        <v>8475</v>
      </c>
      <c r="B3060" s="98">
        <v>24068</v>
      </c>
      <c r="C3060" s="98" t="s">
        <v>8476</v>
      </c>
      <c r="D3060" s="96" t="s">
        <v>1604</v>
      </c>
      <c r="E3060" s="97">
        <v>60</v>
      </c>
      <c r="F3060" s="67">
        <f>IFERROR(IFERROR(INDEX(Кат!$A:$A,MATCH(Прайс!$B3060,Кат!$G:$G,0)),INDEX(Торг!$B:$B,MATCH(Прайс!$B3060,Торг!$H:$H,0))),"")</f>
        <v>213275</v>
      </c>
      <c r="G3060" s="67">
        <f>IFERROR(IFERROR(INDEX(Кат!$B:$B,MATCH(Прайс!$B3060,Кат!$G:$G,0)),INDEX(Торг!$C:$C,MATCH(Прайс!$B3060,Торг!$H:$H,0))),"")</f>
        <v>9048</v>
      </c>
      <c r="H3060" s="67" t="str">
        <f>IFERROR(IFERROR(INDEX(Кат!$I:$I,MATCH(Прайс!$B3060,Кат!$G:$G,0)),INDEX(Торг!$I:$I,MATCH(Прайс!$B3060,Торг!$H:$H,0))),"")</f>
        <v>кристал авто</v>
      </c>
    </row>
    <row r="3061" spans="1:8" x14ac:dyDescent="0.25">
      <c r="A3061" s="94" t="s">
        <v>4264</v>
      </c>
      <c r="B3061" s="98">
        <v>24069</v>
      </c>
      <c r="C3061" s="98" t="s">
        <v>1625</v>
      </c>
      <c r="D3061" s="96" t="s">
        <v>166</v>
      </c>
      <c r="E3061" s="97">
        <v>360</v>
      </c>
      <c r="F3061" s="67" t="str">
        <f>IFERROR(IFERROR(INDEX(Кат!$A:$A,MATCH(Прайс!$B3061,Кат!$G:$G,0)),INDEX(Торг!$B:$B,MATCH(Прайс!$B3061,Торг!$H:$H,0))),"")</f>
        <v/>
      </c>
      <c r="G3061" s="67" t="str">
        <f>IFERROR(IFERROR(INDEX(Кат!$B:$B,MATCH(Прайс!$B3061,Кат!$G:$G,0)),INDEX(Торг!$C:$C,MATCH(Прайс!$B3061,Торг!$H:$H,0))),"")</f>
        <v/>
      </c>
      <c r="H3061" s="67" t="str">
        <f>IFERROR(IFERROR(INDEX(Кат!$I:$I,MATCH(Прайс!$B3061,Кат!$G:$G,0)),INDEX(Торг!$I:$I,MATCH(Прайс!$B3061,Торг!$H:$H,0))),"")</f>
        <v/>
      </c>
    </row>
    <row r="3062" spans="1:8" x14ac:dyDescent="0.25">
      <c r="A3062" s="94" t="s">
        <v>4265</v>
      </c>
      <c r="B3062" s="98">
        <v>24199</v>
      </c>
      <c r="C3062" s="98" t="s">
        <v>1626</v>
      </c>
      <c r="D3062" s="96" t="s">
        <v>159</v>
      </c>
      <c r="E3062" s="97">
        <v>210</v>
      </c>
      <c r="F3062" s="67" t="str">
        <f>IFERROR(IFERROR(INDEX(Кат!$A:$A,MATCH(Прайс!$B3062,Кат!$G:$G,0)),INDEX(Торг!$B:$B,MATCH(Прайс!$B3062,Торг!$H:$H,0))),"")</f>
        <v/>
      </c>
      <c r="G3062" s="67" t="str">
        <f>IFERROR(IFERROR(INDEX(Кат!$B:$B,MATCH(Прайс!$B3062,Кат!$G:$G,0)),INDEX(Торг!$C:$C,MATCH(Прайс!$B3062,Торг!$H:$H,0))),"")</f>
        <v/>
      </c>
      <c r="H3062" s="67" t="str">
        <f>IFERROR(IFERROR(INDEX(Кат!$I:$I,MATCH(Прайс!$B3062,Кат!$G:$G,0)),INDEX(Торг!$I:$I,MATCH(Прайс!$B3062,Торг!$H:$H,0))),"")</f>
        <v/>
      </c>
    </row>
    <row r="3063" spans="1:8" x14ac:dyDescent="0.25">
      <c r="A3063" s="94" t="s">
        <v>4266</v>
      </c>
      <c r="B3063" s="98">
        <v>24200</v>
      </c>
      <c r="C3063" s="98" t="s">
        <v>1627</v>
      </c>
      <c r="D3063" s="96" t="s">
        <v>159</v>
      </c>
      <c r="E3063" s="97">
        <v>280</v>
      </c>
      <c r="F3063" s="67" t="str">
        <f>IFERROR(IFERROR(INDEX(Кат!$A:$A,MATCH(Прайс!$B3063,Кат!$G:$G,0)),INDEX(Торг!$B:$B,MATCH(Прайс!$B3063,Торг!$H:$H,0))),"")</f>
        <v/>
      </c>
      <c r="G3063" s="67" t="str">
        <f>IFERROR(IFERROR(INDEX(Кат!$B:$B,MATCH(Прайс!$B3063,Кат!$G:$G,0)),INDEX(Торг!$C:$C,MATCH(Прайс!$B3063,Торг!$H:$H,0))),"")</f>
        <v/>
      </c>
      <c r="H3063" s="67" t="str">
        <f>IFERROR(IFERROR(INDEX(Кат!$I:$I,MATCH(Прайс!$B3063,Кат!$G:$G,0)),INDEX(Торг!$I:$I,MATCH(Прайс!$B3063,Торг!$H:$H,0))),"")</f>
        <v/>
      </c>
    </row>
    <row r="3064" spans="1:8" x14ac:dyDescent="0.25">
      <c r="A3064" s="94" t="s">
        <v>4267</v>
      </c>
      <c r="B3064" s="98">
        <v>24071</v>
      </c>
      <c r="C3064" s="98" t="s">
        <v>1628</v>
      </c>
      <c r="D3064" s="96" t="s">
        <v>165</v>
      </c>
      <c r="E3064" s="97">
        <v>275</v>
      </c>
      <c r="F3064" s="67" t="str">
        <f>IFERROR(IFERROR(INDEX(Кат!$A:$A,MATCH(Прайс!$B3064,Кат!$G:$G,0)),INDEX(Торг!$B:$B,MATCH(Прайс!$B3064,Торг!$H:$H,0))),"")</f>
        <v/>
      </c>
      <c r="G3064" s="67" t="str">
        <f>IFERROR(IFERROR(INDEX(Кат!$B:$B,MATCH(Прайс!$B3064,Кат!$G:$G,0)),INDEX(Торг!$C:$C,MATCH(Прайс!$B3064,Торг!$H:$H,0))),"")</f>
        <v/>
      </c>
      <c r="H3064" s="67" t="str">
        <f>IFERROR(IFERROR(INDEX(Кат!$I:$I,MATCH(Прайс!$B3064,Кат!$G:$G,0)),INDEX(Торг!$I:$I,MATCH(Прайс!$B3064,Торг!$H:$H,0))),"")</f>
        <v/>
      </c>
    </row>
    <row r="3065" spans="1:8" x14ac:dyDescent="0.25">
      <c r="A3065" s="94" t="s">
        <v>5992</v>
      </c>
      <c r="B3065" s="98">
        <v>24218</v>
      </c>
      <c r="C3065" s="98" t="s">
        <v>5993</v>
      </c>
      <c r="D3065" s="96" t="s">
        <v>582</v>
      </c>
      <c r="E3065" s="97">
        <v>75</v>
      </c>
      <c r="F3065" s="67" t="str">
        <f>IFERROR(IFERROR(INDEX(Кат!$A:$A,MATCH(Прайс!$B3065,Кат!$G:$G,0)),INDEX(Торг!$B:$B,MATCH(Прайс!$B3065,Торг!$H:$H,0))),"")</f>
        <v/>
      </c>
      <c r="G3065" s="67" t="str">
        <f>IFERROR(IFERROR(INDEX(Кат!$B:$B,MATCH(Прайс!$B3065,Кат!$G:$G,0)),INDEX(Торг!$C:$C,MATCH(Прайс!$B3065,Торг!$H:$H,0))),"")</f>
        <v/>
      </c>
      <c r="H3065" s="67" t="str">
        <f>IFERROR(IFERROR(INDEX(Кат!$I:$I,MATCH(Прайс!$B3065,Кат!$G:$G,0)),INDEX(Торг!$I:$I,MATCH(Прайс!$B3065,Торг!$H:$H,0))),"")</f>
        <v/>
      </c>
    </row>
    <row r="3066" spans="1:8" x14ac:dyDescent="0.25">
      <c r="A3066" s="94" t="s">
        <v>5994</v>
      </c>
      <c r="B3066" s="98">
        <v>24219</v>
      </c>
      <c r="C3066" s="98" t="s">
        <v>5995</v>
      </c>
      <c r="D3066" s="96" t="s">
        <v>159</v>
      </c>
      <c r="E3066" s="97">
        <v>195</v>
      </c>
      <c r="F3066" s="67" t="str">
        <f>IFERROR(IFERROR(INDEX(Кат!$A:$A,MATCH(Прайс!$B3066,Кат!$G:$G,0)),INDEX(Торг!$B:$B,MATCH(Прайс!$B3066,Торг!$H:$H,0))),"")</f>
        <v/>
      </c>
      <c r="G3066" s="67" t="str">
        <f>IFERROR(IFERROR(INDEX(Кат!$B:$B,MATCH(Прайс!$B3066,Кат!$G:$G,0)),INDEX(Торг!$C:$C,MATCH(Прайс!$B3066,Торг!$H:$H,0))),"")</f>
        <v/>
      </c>
      <c r="H3066" s="67" t="str">
        <f>IFERROR(IFERROR(INDEX(Кат!$I:$I,MATCH(Прайс!$B3066,Кат!$G:$G,0)),INDEX(Торг!$I:$I,MATCH(Прайс!$B3066,Торг!$H:$H,0))),"")</f>
        <v/>
      </c>
    </row>
    <row r="3067" spans="1:8" x14ac:dyDescent="0.25">
      <c r="A3067" s="109" t="s">
        <v>7851</v>
      </c>
      <c r="B3067" s="110">
        <v>24251</v>
      </c>
      <c r="C3067" s="110" t="s">
        <v>8319</v>
      </c>
      <c r="D3067" s="111" t="s">
        <v>241</v>
      </c>
      <c r="E3067" s="112">
        <v>100</v>
      </c>
      <c r="F3067" s="67" t="str">
        <f>IFERROR(IFERROR(INDEX(Кат!$A:$A,MATCH(Прайс!$B3067,Кат!$G:$G,0)),INDEX(Торг!$B:$B,MATCH(Прайс!$B3067,Торг!$H:$H,0))),"")</f>
        <v/>
      </c>
      <c r="G3067" s="67" t="str">
        <f>IFERROR(IFERROR(INDEX(Кат!$B:$B,MATCH(Прайс!$B3067,Кат!$G:$G,0)),INDEX(Торг!$C:$C,MATCH(Прайс!$B3067,Торг!$H:$H,0))),"")</f>
        <v/>
      </c>
      <c r="H3067" s="67" t="str">
        <f>IFERROR(IFERROR(INDEX(Кат!$I:$I,MATCH(Прайс!$B3067,Кат!$G:$G,0)),INDEX(Торг!$I:$I,MATCH(Прайс!$B3067,Торг!$H:$H,0))),"")</f>
        <v/>
      </c>
    </row>
    <row r="3068" spans="1:8" x14ac:dyDescent="0.25">
      <c r="A3068" s="109" t="s">
        <v>7852</v>
      </c>
      <c r="B3068" s="110">
        <v>24250</v>
      </c>
      <c r="C3068" s="110" t="s">
        <v>8320</v>
      </c>
      <c r="D3068" s="111" t="s">
        <v>165</v>
      </c>
      <c r="E3068" s="112">
        <v>210</v>
      </c>
      <c r="F3068" s="67" t="str">
        <f>IFERROR(IFERROR(INDEX(Кат!$A:$A,MATCH(Прайс!$B3068,Кат!$G:$G,0)),INDEX(Торг!$B:$B,MATCH(Прайс!$B3068,Торг!$H:$H,0))),"")</f>
        <v/>
      </c>
      <c r="G3068" s="67" t="str">
        <f>IFERROR(IFERROR(INDEX(Кат!$B:$B,MATCH(Прайс!$B3068,Кат!$G:$G,0)),INDEX(Торг!$C:$C,MATCH(Прайс!$B3068,Торг!$H:$H,0))),"")</f>
        <v/>
      </c>
      <c r="H3068" s="67" t="str">
        <f>IFERROR(IFERROR(INDEX(Кат!$I:$I,MATCH(Прайс!$B3068,Кат!$G:$G,0)),INDEX(Торг!$I:$I,MATCH(Прайс!$B3068,Торг!$H:$H,0))),"")</f>
        <v/>
      </c>
    </row>
    <row r="3069" spans="1:8" x14ac:dyDescent="0.25">
      <c r="A3069" s="109" t="s">
        <v>7853</v>
      </c>
      <c r="B3069" s="110">
        <v>24243</v>
      </c>
      <c r="C3069" s="110" t="s">
        <v>7854</v>
      </c>
      <c r="D3069" s="111" t="s">
        <v>7841</v>
      </c>
      <c r="E3069" s="112">
        <v>45</v>
      </c>
      <c r="F3069" s="67" t="str">
        <f>IFERROR(IFERROR(INDEX(Кат!$A:$A,MATCH(Прайс!$B3069,Кат!$G:$G,0)),INDEX(Торг!$B:$B,MATCH(Прайс!$B3069,Торг!$H:$H,0))),"")</f>
        <v/>
      </c>
      <c r="G3069" s="67" t="str">
        <f>IFERROR(IFERROR(INDEX(Кат!$B:$B,MATCH(Прайс!$B3069,Кат!$G:$G,0)),INDEX(Торг!$C:$C,MATCH(Прайс!$B3069,Торг!$H:$H,0))),"")</f>
        <v/>
      </c>
      <c r="H3069" s="67" t="str">
        <f>IFERROR(IFERROR(INDEX(Кат!$I:$I,MATCH(Прайс!$B3069,Кат!$G:$G,0)),INDEX(Торг!$I:$I,MATCH(Прайс!$B3069,Торг!$H:$H,0))),"")</f>
        <v/>
      </c>
    </row>
    <row r="3070" spans="1:8" x14ac:dyDescent="0.25">
      <c r="A3070" s="109" t="s">
        <v>7855</v>
      </c>
      <c r="B3070" s="110">
        <v>24244</v>
      </c>
      <c r="C3070" s="110" t="s">
        <v>7856</v>
      </c>
      <c r="D3070" s="111" t="s">
        <v>7857</v>
      </c>
      <c r="E3070" s="112">
        <v>95</v>
      </c>
      <c r="F3070" s="67" t="str">
        <f>IFERROR(IFERROR(INDEX(Кат!$A:$A,MATCH(Прайс!$B3070,Кат!$G:$G,0)),INDEX(Торг!$B:$B,MATCH(Прайс!$B3070,Торг!$H:$H,0))),"")</f>
        <v/>
      </c>
      <c r="G3070" s="67" t="str">
        <f>IFERROR(IFERROR(INDEX(Кат!$B:$B,MATCH(Прайс!$B3070,Кат!$G:$G,0)),INDEX(Торг!$C:$C,MATCH(Прайс!$B3070,Торг!$H:$H,0))),"")</f>
        <v/>
      </c>
      <c r="H3070" s="67" t="str">
        <f>IFERROR(IFERROR(INDEX(Кат!$I:$I,MATCH(Прайс!$B3070,Кат!$G:$G,0)),INDEX(Торг!$I:$I,MATCH(Прайс!$B3070,Торг!$H:$H,0))),"")</f>
        <v/>
      </c>
    </row>
    <row r="3071" spans="1:8" x14ac:dyDescent="0.25">
      <c r="A3071" s="109" t="s">
        <v>7858</v>
      </c>
      <c r="B3071" s="110">
        <v>24245</v>
      </c>
      <c r="C3071" s="110" t="s">
        <v>7859</v>
      </c>
      <c r="D3071" s="111" t="s">
        <v>7860</v>
      </c>
      <c r="E3071" s="112">
        <v>130</v>
      </c>
      <c r="F3071" s="67" t="str">
        <f>IFERROR(IFERROR(INDEX(Кат!$A:$A,MATCH(Прайс!$B3071,Кат!$G:$G,0)),INDEX(Торг!$B:$B,MATCH(Прайс!$B3071,Торг!$H:$H,0))),"")</f>
        <v/>
      </c>
      <c r="G3071" s="67" t="str">
        <f>IFERROR(IFERROR(INDEX(Кат!$B:$B,MATCH(Прайс!$B3071,Кат!$G:$G,0)),INDEX(Торг!$C:$C,MATCH(Прайс!$B3071,Торг!$H:$H,0))),"")</f>
        <v/>
      </c>
      <c r="H3071" s="67" t="str">
        <f>IFERROR(IFERROR(INDEX(Кат!$I:$I,MATCH(Прайс!$B3071,Кат!$G:$G,0)),INDEX(Торг!$I:$I,MATCH(Прайс!$B3071,Торг!$H:$H,0))),"")</f>
        <v/>
      </c>
    </row>
    <row r="3072" spans="1:8" x14ac:dyDescent="0.25">
      <c r="A3072" s="109" t="s">
        <v>7861</v>
      </c>
      <c r="B3072" s="110">
        <v>24247</v>
      </c>
      <c r="C3072" s="110" t="s">
        <v>7862</v>
      </c>
      <c r="D3072" s="111" t="s">
        <v>257</v>
      </c>
      <c r="E3072" s="112">
        <v>145</v>
      </c>
      <c r="F3072" s="67" t="str">
        <f>IFERROR(IFERROR(INDEX(Кат!$A:$A,MATCH(Прайс!$B3072,Кат!$G:$G,0)),INDEX(Торг!$B:$B,MATCH(Прайс!$B3072,Торг!$H:$H,0))),"")</f>
        <v/>
      </c>
      <c r="G3072" s="67" t="str">
        <f>IFERROR(IFERROR(INDEX(Кат!$B:$B,MATCH(Прайс!$B3072,Кат!$G:$G,0)),INDEX(Торг!$C:$C,MATCH(Прайс!$B3072,Торг!$H:$H,0))),"")</f>
        <v/>
      </c>
      <c r="H3072" s="67" t="str">
        <f>IFERROR(IFERROR(INDEX(Кат!$I:$I,MATCH(Прайс!$B3072,Кат!$G:$G,0)),INDEX(Торг!$I:$I,MATCH(Прайс!$B3072,Торг!$H:$H,0))),"")</f>
        <v/>
      </c>
    </row>
    <row r="3073" spans="1:8" x14ac:dyDescent="0.25">
      <c r="A3073" s="109" t="s">
        <v>7863</v>
      </c>
      <c r="B3073" s="110">
        <v>24248</v>
      </c>
      <c r="C3073" s="110" t="s">
        <v>7864</v>
      </c>
      <c r="D3073" s="111" t="s">
        <v>165</v>
      </c>
      <c r="E3073" s="112">
        <v>180</v>
      </c>
      <c r="F3073" s="67" t="str">
        <f>IFERROR(IFERROR(INDEX(Кат!$A:$A,MATCH(Прайс!$B3073,Кат!$G:$G,0)),INDEX(Торг!$B:$B,MATCH(Прайс!$B3073,Торг!$H:$H,0))),"")</f>
        <v/>
      </c>
      <c r="G3073" s="67" t="str">
        <f>IFERROR(IFERROR(INDEX(Кат!$B:$B,MATCH(Прайс!$B3073,Кат!$G:$G,0)),INDEX(Торг!$C:$C,MATCH(Прайс!$B3073,Торг!$H:$H,0))),"")</f>
        <v/>
      </c>
      <c r="H3073" s="67" t="str">
        <f>IFERROR(IFERROR(INDEX(Кат!$I:$I,MATCH(Прайс!$B3073,Кат!$G:$G,0)),INDEX(Торг!$I:$I,MATCH(Прайс!$B3073,Торг!$H:$H,0))),"")</f>
        <v/>
      </c>
    </row>
    <row r="3074" spans="1:8" x14ac:dyDescent="0.25">
      <c r="A3074" s="109" t="s">
        <v>7865</v>
      </c>
      <c r="B3074" s="110">
        <v>24249</v>
      </c>
      <c r="C3074" s="110" t="s">
        <v>7866</v>
      </c>
      <c r="D3074" s="111" t="s">
        <v>7867</v>
      </c>
      <c r="E3074" s="112">
        <v>315</v>
      </c>
      <c r="F3074" s="67" t="str">
        <f>IFERROR(IFERROR(INDEX(Кат!$A:$A,MATCH(Прайс!$B3074,Кат!$G:$G,0)),INDEX(Торг!$B:$B,MATCH(Прайс!$B3074,Торг!$H:$H,0))),"")</f>
        <v/>
      </c>
      <c r="G3074" s="67" t="str">
        <f>IFERROR(IFERROR(INDEX(Кат!$B:$B,MATCH(Прайс!$B3074,Кат!$G:$G,0)),INDEX(Торг!$C:$C,MATCH(Прайс!$B3074,Торг!$H:$H,0))),"")</f>
        <v/>
      </c>
      <c r="H3074" s="67" t="str">
        <f>IFERROR(IFERROR(INDEX(Кат!$I:$I,MATCH(Прайс!$B3074,Кат!$G:$G,0)),INDEX(Торг!$I:$I,MATCH(Прайс!$B3074,Торг!$H:$H,0))),"")</f>
        <v/>
      </c>
    </row>
    <row r="3075" spans="1:8" x14ac:dyDescent="0.25">
      <c r="A3075" s="94" t="s">
        <v>4268</v>
      </c>
      <c r="B3075" s="98">
        <v>24146</v>
      </c>
      <c r="C3075" s="98" t="s">
        <v>1629</v>
      </c>
      <c r="D3075" s="96" t="s">
        <v>190</v>
      </c>
      <c r="E3075" s="97">
        <v>115</v>
      </c>
      <c r="F3075" s="67" t="str">
        <f>IFERROR(IFERROR(INDEX(Кат!$A:$A,MATCH(Прайс!$B3075,Кат!$G:$G,0)),INDEX(Торг!$B:$B,MATCH(Прайс!$B3075,Торг!$H:$H,0))),"")</f>
        <v/>
      </c>
      <c r="G3075" s="67" t="str">
        <f>IFERROR(IFERROR(INDEX(Кат!$B:$B,MATCH(Прайс!$B3075,Кат!$G:$G,0)),INDEX(Торг!$C:$C,MATCH(Прайс!$B3075,Торг!$H:$H,0))),"")</f>
        <v/>
      </c>
      <c r="H3075" s="67" t="str">
        <f>IFERROR(IFERROR(INDEX(Кат!$I:$I,MATCH(Прайс!$B3075,Кат!$G:$G,0)),INDEX(Торг!$I:$I,MATCH(Прайс!$B3075,Торг!$H:$H,0))),"")</f>
        <v/>
      </c>
    </row>
    <row r="3076" spans="1:8" x14ac:dyDescent="0.25">
      <c r="A3076" s="94" t="s">
        <v>4269</v>
      </c>
      <c r="B3076" s="98">
        <v>24147</v>
      </c>
      <c r="C3076" s="98" t="s">
        <v>1630</v>
      </c>
      <c r="D3076" s="96" t="s">
        <v>159</v>
      </c>
      <c r="E3076" s="97">
        <v>220</v>
      </c>
      <c r="F3076" s="67" t="str">
        <f>IFERROR(IFERROR(INDEX(Кат!$A:$A,MATCH(Прайс!$B3076,Кат!$G:$G,0)),INDEX(Торг!$B:$B,MATCH(Прайс!$B3076,Торг!$H:$H,0))),"")</f>
        <v/>
      </c>
      <c r="G3076" s="67" t="str">
        <f>IFERROR(IFERROR(INDEX(Кат!$B:$B,MATCH(Прайс!$B3076,Кат!$G:$G,0)),INDEX(Торг!$C:$C,MATCH(Прайс!$B3076,Торг!$H:$H,0))),"")</f>
        <v/>
      </c>
      <c r="H3076" s="67" t="str">
        <f>IFERROR(IFERROR(INDEX(Кат!$I:$I,MATCH(Прайс!$B3076,Кат!$G:$G,0)),INDEX(Торг!$I:$I,MATCH(Прайс!$B3076,Торг!$H:$H,0))),"")</f>
        <v/>
      </c>
    </row>
    <row r="3077" spans="1:8" x14ac:dyDescent="0.25">
      <c r="A3077" s="94" t="s">
        <v>4270</v>
      </c>
      <c r="B3077" s="98">
        <v>24153</v>
      </c>
      <c r="C3077" s="98" t="s">
        <v>4271</v>
      </c>
      <c r="D3077" s="96" t="s">
        <v>257</v>
      </c>
      <c r="E3077" s="97">
        <v>155</v>
      </c>
      <c r="F3077" s="67" t="str">
        <f>IFERROR(IFERROR(INDEX(Кат!$A:$A,MATCH(Прайс!$B3077,Кат!$G:$G,0)),INDEX(Торг!$B:$B,MATCH(Прайс!$B3077,Торг!$H:$H,0))),"")</f>
        <v/>
      </c>
      <c r="G3077" s="67" t="str">
        <f>IFERROR(IFERROR(INDEX(Кат!$B:$B,MATCH(Прайс!$B3077,Кат!$G:$G,0)),INDEX(Торг!$C:$C,MATCH(Прайс!$B3077,Торг!$H:$H,0))),"")</f>
        <v/>
      </c>
      <c r="H3077" s="67" t="str">
        <f>IFERROR(IFERROR(INDEX(Кат!$I:$I,MATCH(Прайс!$B3077,Кат!$G:$G,0)),INDEX(Торг!$I:$I,MATCH(Прайс!$B3077,Торг!$H:$H,0))),"")</f>
        <v/>
      </c>
    </row>
    <row r="3078" spans="1:8" x14ac:dyDescent="0.25">
      <c r="A3078" s="94" t="s">
        <v>4272</v>
      </c>
      <c r="B3078" s="98">
        <v>24154</v>
      </c>
      <c r="C3078" s="98" t="s">
        <v>4273</v>
      </c>
      <c r="D3078" s="96" t="s">
        <v>166</v>
      </c>
      <c r="E3078" s="97">
        <v>290</v>
      </c>
      <c r="F3078" s="67" t="str">
        <f>IFERROR(IFERROR(INDEX(Кат!$A:$A,MATCH(Прайс!$B3078,Кат!$G:$G,0)),INDEX(Торг!$B:$B,MATCH(Прайс!$B3078,Торг!$H:$H,0))),"")</f>
        <v/>
      </c>
      <c r="G3078" s="67" t="str">
        <f>IFERROR(IFERROR(INDEX(Кат!$B:$B,MATCH(Прайс!$B3078,Кат!$G:$G,0)),INDEX(Торг!$C:$C,MATCH(Прайс!$B3078,Торг!$H:$H,0))),"")</f>
        <v/>
      </c>
      <c r="H3078" s="67" t="str">
        <f>IFERROR(IFERROR(INDEX(Кат!$I:$I,MATCH(Прайс!$B3078,Кат!$G:$G,0)),INDEX(Торг!$I:$I,MATCH(Прайс!$B3078,Торг!$H:$H,0))),"")</f>
        <v/>
      </c>
    </row>
    <row r="3079" spans="1:8" x14ac:dyDescent="0.25">
      <c r="A3079" s="94" t="s">
        <v>4274</v>
      </c>
      <c r="B3079" s="98">
        <v>24150</v>
      </c>
      <c r="C3079" s="98" t="s">
        <v>4275</v>
      </c>
      <c r="D3079" s="96" t="s">
        <v>161</v>
      </c>
      <c r="E3079" s="97">
        <v>55</v>
      </c>
      <c r="F3079" s="67" t="str">
        <f>IFERROR(IFERROR(INDEX(Кат!$A:$A,MATCH(Прайс!$B3079,Кат!$G:$G,0)),INDEX(Торг!$B:$B,MATCH(Прайс!$B3079,Торг!$H:$H,0))),"")</f>
        <v/>
      </c>
      <c r="G3079" s="67" t="str">
        <f>IFERROR(IFERROR(INDEX(Кат!$B:$B,MATCH(Прайс!$B3079,Кат!$G:$G,0)),INDEX(Торг!$C:$C,MATCH(Прайс!$B3079,Торг!$H:$H,0))),"")</f>
        <v/>
      </c>
      <c r="H3079" s="67" t="str">
        <f>IFERROR(IFERROR(INDEX(Кат!$I:$I,MATCH(Прайс!$B3079,Кат!$G:$G,0)),INDEX(Торг!$I:$I,MATCH(Прайс!$B3079,Торг!$H:$H,0))),"")</f>
        <v/>
      </c>
    </row>
    <row r="3080" spans="1:8" x14ac:dyDescent="0.25">
      <c r="A3080" s="94" t="s">
        <v>4276</v>
      </c>
      <c r="B3080" s="98">
        <v>24151</v>
      </c>
      <c r="C3080" s="98" t="s">
        <v>4277</v>
      </c>
      <c r="D3080" s="96" t="s">
        <v>265</v>
      </c>
      <c r="E3080" s="97">
        <v>80</v>
      </c>
      <c r="F3080" s="67" t="str">
        <f>IFERROR(IFERROR(INDEX(Кат!$A:$A,MATCH(Прайс!$B3080,Кат!$G:$G,0)),INDEX(Торг!$B:$B,MATCH(Прайс!$B3080,Торг!$H:$H,0))),"")</f>
        <v/>
      </c>
      <c r="G3080" s="67" t="str">
        <f>IFERROR(IFERROR(INDEX(Кат!$B:$B,MATCH(Прайс!$B3080,Кат!$G:$G,0)),INDEX(Торг!$C:$C,MATCH(Прайс!$B3080,Торг!$H:$H,0))),"")</f>
        <v/>
      </c>
      <c r="H3080" s="67" t="str">
        <f>IFERROR(IFERROR(INDEX(Кат!$I:$I,MATCH(Прайс!$B3080,Кат!$G:$G,0)),INDEX(Торг!$I:$I,MATCH(Прайс!$B3080,Торг!$H:$H,0))),"")</f>
        <v/>
      </c>
    </row>
    <row r="3081" spans="1:8" x14ac:dyDescent="0.25">
      <c r="A3081" s="94" t="s">
        <v>4278</v>
      </c>
      <c r="B3081" s="98">
        <v>24148</v>
      </c>
      <c r="C3081" s="98" t="s">
        <v>1631</v>
      </c>
      <c r="D3081" s="96" t="s">
        <v>190</v>
      </c>
      <c r="E3081" s="97">
        <v>115</v>
      </c>
      <c r="F3081" s="67" t="str">
        <f>IFERROR(IFERROR(INDEX(Кат!$A:$A,MATCH(Прайс!$B3081,Кат!$G:$G,0)),INDEX(Торг!$B:$B,MATCH(Прайс!$B3081,Торг!$H:$H,0))),"")</f>
        <v/>
      </c>
      <c r="G3081" s="67" t="str">
        <f>IFERROR(IFERROR(INDEX(Кат!$B:$B,MATCH(Прайс!$B3081,Кат!$G:$G,0)),INDEX(Торг!$C:$C,MATCH(Прайс!$B3081,Торг!$H:$H,0))),"")</f>
        <v/>
      </c>
      <c r="H3081" s="67" t="str">
        <f>IFERROR(IFERROR(INDEX(Кат!$I:$I,MATCH(Прайс!$B3081,Кат!$G:$G,0)),INDEX(Торг!$I:$I,MATCH(Прайс!$B3081,Торг!$H:$H,0))),"")</f>
        <v/>
      </c>
    </row>
    <row r="3082" spans="1:8" x14ac:dyDescent="0.25">
      <c r="A3082" s="94" t="s">
        <v>7868</v>
      </c>
      <c r="B3082" s="98">
        <v>24174</v>
      </c>
      <c r="C3082" s="98" t="s">
        <v>7869</v>
      </c>
      <c r="D3082" s="96" t="s">
        <v>190</v>
      </c>
      <c r="E3082" s="97">
        <v>125</v>
      </c>
      <c r="F3082" s="67" t="str">
        <f>IFERROR(IFERROR(INDEX(Кат!$A:$A,MATCH(Прайс!$B3082,Кат!$G:$G,0)),INDEX(Торг!$B:$B,MATCH(Прайс!$B3082,Торг!$H:$H,0))),"")</f>
        <v/>
      </c>
      <c r="G3082" s="67" t="str">
        <f>IFERROR(IFERROR(INDEX(Кат!$B:$B,MATCH(Прайс!$B3082,Кат!$G:$G,0)),INDEX(Торг!$C:$C,MATCH(Прайс!$B3082,Торг!$H:$H,0))),"")</f>
        <v/>
      </c>
      <c r="H3082" s="67" t="str">
        <f>IFERROR(IFERROR(INDEX(Кат!$I:$I,MATCH(Прайс!$B3082,Кат!$G:$G,0)),INDEX(Торг!$I:$I,MATCH(Прайс!$B3082,Торг!$H:$H,0))),"")</f>
        <v/>
      </c>
    </row>
    <row r="3083" spans="1:8" x14ac:dyDescent="0.25">
      <c r="A3083" s="94" t="s">
        <v>7870</v>
      </c>
      <c r="B3083" s="98">
        <v>24183</v>
      </c>
      <c r="C3083" s="98" t="s">
        <v>7871</v>
      </c>
      <c r="D3083" s="96" t="s">
        <v>166</v>
      </c>
      <c r="E3083" s="97">
        <v>310</v>
      </c>
      <c r="F3083" s="67" t="str">
        <f>IFERROR(IFERROR(INDEX(Кат!$A:$A,MATCH(Прайс!$B3083,Кат!$G:$G,0)),INDEX(Торг!$B:$B,MATCH(Прайс!$B3083,Торг!$H:$H,0))),"")</f>
        <v/>
      </c>
      <c r="G3083" s="67" t="str">
        <f>IFERROR(IFERROR(INDEX(Кат!$B:$B,MATCH(Прайс!$B3083,Кат!$G:$G,0)),INDEX(Торг!$C:$C,MATCH(Прайс!$B3083,Торг!$H:$H,0))),"")</f>
        <v/>
      </c>
      <c r="H3083" s="67" t="str">
        <f>IFERROR(IFERROR(INDEX(Кат!$I:$I,MATCH(Прайс!$B3083,Кат!$G:$G,0)),INDEX(Торг!$I:$I,MATCH(Прайс!$B3083,Торг!$H:$H,0))),"")</f>
        <v/>
      </c>
    </row>
    <row r="3084" spans="1:8" x14ac:dyDescent="0.25">
      <c r="A3084" s="109" t="s">
        <v>7872</v>
      </c>
      <c r="B3084" s="110">
        <v>24239</v>
      </c>
      <c r="C3084" s="110" t="s">
        <v>7873</v>
      </c>
      <c r="D3084" s="111" t="s">
        <v>582</v>
      </c>
      <c r="E3084" s="112">
        <v>220</v>
      </c>
      <c r="F3084" s="67" t="str">
        <f>IFERROR(IFERROR(INDEX(Кат!$A:$A,MATCH(Прайс!$B3084,Кат!$G:$G,0)),INDEX(Торг!$B:$B,MATCH(Прайс!$B3084,Торг!$H:$H,0))),"")</f>
        <v/>
      </c>
      <c r="G3084" s="67" t="str">
        <f>IFERROR(IFERROR(INDEX(Кат!$B:$B,MATCH(Прайс!$B3084,Кат!$G:$G,0)),INDEX(Торг!$C:$C,MATCH(Прайс!$B3084,Торг!$H:$H,0))),"")</f>
        <v/>
      </c>
      <c r="H3084" s="67" t="str">
        <f>IFERROR(IFERROR(INDEX(Кат!$I:$I,MATCH(Прайс!$B3084,Кат!$G:$G,0)),INDEX(Торг!$I:$I,MATCH(Прайс!$B3084,Торг!$H:$H,0))),"")</f>
        <v/>
      </c>
    </row>
    <row r="3085" spans="1:8" x14ac:dyDescent="0.25">
      <c r="A3085" s="109" t="s">
        <v>7874</v>
      </c>
      <c r="B3085" s="110">
        <v>24238</v>
      </c>
      <c r="C3085" s="110" t="s">
        <v>7875</v>
      </c>
      <c r="D3085" s="111" t="s">
        <v>582</v>
      </c>
      <c r="E3085" s="112">
        <v>175</v>
      </c>
      <c r="F3085" s="67" t="str">
        <f>IFERROR(IFERROR(INDEX(Кат!$A:$A,MATCH(Прайс!$B3085,Кат!$G:$G,0)),INDEX(Торг!$B:$B,MATCH(Прайс!$B3085,Торг!$H:$H,0))),"")</f>
        <v/>
      </c>
      <c r="G3085" s="67" t="str">
        <f>IFERROR(IFERROR(INDEX(Кат!$B:$B,MATCH(Прайс!$B3085,Кат!$G:$G,0)),INDEX(Торг!$C:$C,MATCH(Прайс!$B3085,Торг!$H:$H,0))),"")</f>
        <v/>
      </c>
      <c r="H3085" s="67" t="str">
        <f>IFERROR(IFERROR(INDEX(Кат!$I:$I,MATCH(Прайс!$B3085,Кат!$G:$G,0)),INDEX(Торг!$I:$I,MATCH(Прайс!$B3085,Торг!$H:$H,0))),"")</f>
        <v/>
      </c>
    </row>
    <row r="3086" spans="1:8" x14ac:dyDescent="0.25">
      <c r="A3086" s="109" t="s">
        <v>7876</v>
      </c>
      <c r="B3086" s="110">
        <v>24240</v>
      </c>
      <c r="C3086" s="110" t="s">
        <v>7877</v>
      </c>
      <c r="D3086" s="111" t="s">
        <v>582</v>
      </c>
      <c r="E3086" s="112">
        <v>290</v>
      </c>
      <c r="F3086" s="67" t="str">
        <f>IFERROR(IFERROR(INDEX(Кат!$A:$A,MATCH(Прайс!$B3086,Кат!$G:$G,0)),INDEX(Торг!$B:$B,MATCH(Прайс!$B3086,Торг!$H:$H,0))),"")</f>
        <v/>
      </c>
      <c r="G3086" s="67" t="str">
        <f>IFERROR(IFERROR(INDEX(Кат!$B:$B,MATCH(Прайс!$B3086,Кат!$G:$G,0)),INDEX(Торг!$C:$C,MATCH(Прайс!$B3086,Торг!$H:$H,0))),"")</f>
        <v/>
      </c>
      <c r="H3086" s="67" t="str">
        <f>IFERROR(IFERROR(INDEX(Кат!$I:$I,MATCH(Прайс!$B3086,Кат!$G:$G,0)),INDEX(Торг!$I:$I,MATCH(Прайс!$B3086,Торг!$H:$H,0))),"")</f>
        <v/>
      </c>
    </row>
    <row r="3087" spans="1:8" x14ac:dyDescent="0.25">
      <c r="A3087" s="94" t="s">
        <v>7878</v>
      </c>
      <c r="B3087" s="98">
        <v>24090</v>
      </c>
      <c r="C3087" s="98" t="s">
        <v>7879</v>
      </c>
      <c r="D3087" s="96" t="s">
        <v>159</v>
      </c>
      <c r="E3087" s="97">
        <v>185</v>
      </c>
      <c r="F3087" s="67" t="str">
        <f>IFERROR(IFERROR(INDEX(Кат!$A:$A,MATCH(Прайс!$B3087,Кат!$G:$G,0)),INDEX(Торг!$B:$B,MATCH(Прайс!$B3087,Торг!$H:$H,0))),"")</f>
        <v/>
      </c>
      <c r="G3087" s="67" t="str">
        <f>IFERROR(IFERROR(INDEX(Кат!$B:$B,MATCH(Прайс!$B3087,Кат!$G:$G,0)),INDEX(Торг!$C:$C,MATCH(Прайс!$B3087,Торг!$H:$H,0))),"")</f>
        <v/>
      </c>
      <c r="H3087" s="67" t="str">
        <f>IFERROR(IFERROR(INDEX(Кат!$I:$I,MATCH(Прайс!$B3087,Кат!$G:$G,0)),INDEX(Торг!$I:$I,MATCH(Прайс!$B3087,Торг!$H:$H,0))),"")</f>
        <v/>
      </c>
    </row>
    <row r="3088" spans="1:8" x14ac:dyDescent="0.25">
      <c r="A3088" s="94" t="s">
        <v>7880</v>
      </c>
      <c r="B3088" s="98">
        <v>24091</v>
      </c>
      <c r="C3088" s="98" t="s">
        <v>7881</v>
      </c>
      <c r="D3088" s="96" t="s">
        <v>159</v>
      </c>
      <c r="E3088" s="97">
        <v>140</v>
      </c>
      <c r="F3088" s="67" t="str">
        <f>IFERROR(IFERROR(INDEX(Кат!$A:$A,MATCH(Прайс!$B3088,Кат!$G:$G,0)),INDEX(Торг!$B:$B,MATCH(Прайс!$B3088,Торг!$H:$H,0))),"")</f>
        <v/>
      </c>
      <c r="G3088" s="67" t="str">
        <f>IFERROR(IFERROR(INDEX(Кат!$B:$B,MATCH(Прайс!$B3088,Кат!$G:$G,0)),INDEX(Торг!$C:$C,MATCH(Прайс!$B3088,Торг!$H:$H,0))),"")</f>
        <v/>
      </c>
      <c r="H3088" s="67" t="str">
        <f>IFERROR(IFERROR(INDEX(Кат!$I:$I,MATCH(Прайс!$B3088,Кат!$G:$G,0)),INDEX(Торг!$I:$I,MATCH(Прайс!$B3088,Торг!$H:$H,0))),"")</f>
        <v/>
      </c>
    </row>
    <row r="3089" spans="1:8" x14ac:dyDescent="0.25">
      <c r="A3089" s="109" t="s">
        <v>7882</v>
      </c>
      <c r="B3089" s="110">
        <v>24231</v>
      </c>
      <c r="C3089" s="110" t="s">
        <v>7883</v>
      </c>
      <c r="D3089" s="111" t="s">
        <v>216</v>
      </c>
      <c r="E3089" s="112">
        <v>100</v>
      </c>
      <c r="F3089" s="67" t="str">
        <f>IFERROR(IFERROR(INDEX(Кат!$A:$A,MATCH(Прайс!$B3089,Кат!$G:$G,0)),INDEX(Торг!$B:$B,MATCH(Прайс!$B3089,Торг!$H:$H,0))),"")</f>
        <v/>
      </c>
      <c r="G3089" s="67" t="str">
        <f>IFERROR(IFERROR(INDEX(Кат!$B:$B,MATCH(Прайс!$B3089,Кат!$G:$G,0)),INDEX(Торг!$C:$C,MATCH(Прайс!$B3089,Торг!$H:$H,0))),"")</f>
        <v/>
      </c>
      <c r="H3089" s="67" t="str">
        <f>IFERROR(IFERROR(INDEX(Кат!$I:$I,MATCH(Прайс!$B3089,Кат!$G:$G,0)),INDEX(Торг!$I:$I,MATCH(Прайс!$B3089,Торг!$H:$H,0))),"")</f>
        <v/>
      </c>
    </row>
    <row r="3090" spans="1:8" x14ac:dyDescent="0.25">
      <c r="A3090" s="109" t="s">
        <v>7884</v>
      </c>
      <c r="B3090" s="110">
        <v>24230</v>
      </c>
      <c r="C3090" s="110" t="s">
        <v>7885</v>
      </c>
      <c r="D3090" s="111" t="s">
        <v>216</v>
      </c>
      <c r="E3090" s="112">
        <v>150</v>
      </c>
      <c r="F3090" s="67" t="str">
        <f>IFERROR(IFERROR(INDEX(Кат!$A:$A,MATCH(Прайс!$B3090,Кат!$G:$G,0)),INDEX(Торг!$B:$B,MATCH(Прайс!$B3090,Торг!$H:$H,0))),"")</f>
        <v/>
      </c>
      <c r="G3090" s="67" t="str">
        <f>IFERROR(IFERROR(INDEX(Кат!$B:$B,MATCH(Прайс!$B3090,Кат!$G:$G,0)),INDEX(Торг!$C:$C,MATCH(Прайс!$B3090,Торг!$H:$H,0))),"")</f>
        <v/>
      </c>
      <c r="H3090" s="67" t="str">
        <f>IFERROR(IFERROR(INDEX(Кат!$I:$I,MATCH(Прайс!$B3090,Кат!$G:$G,0)),INDEX(Торг!$I:$I,MATCH(Прайс!$B3090,Торг!$H:$H,0))),"")</f>
        <v/>
      </c>
    </row>
    <row r="3091" spans="1:8" x14ac:dyDescent="0.25">
      <c r="A3091" s="94" t="s">
        <v>4279</v>
      </c>
      <c r="B3091" s="98">
        <v>24092</v>
      </c>
      <c r="C3091" s="98" t="s">
        <v>1632</v>
      </c>
      <c r="D3091" s="96" t="s">
        <v>165</v>
      </c>
      <c r="E3091" s="97">
        <v>55</v>
      </c>
      <c r="F3091" s="67" t="str">
        <f>IFERROR(IFERROR(INDEX(Кат!$A:$A,MATCH(Прайс!$B3091,Кат!$G:$G,0)),INDEX(Торг!$B:$B,MATCH(Прайс!$B3091,Торг!$H:$H,0))),"")</f>
        <v/>
      </c>
      <c r="G3091" s="67" t="str">
        <f>IFERROR(IFERROR(INDEX(Кат!$B:$B,MATCH(Прайс!$B3091,Кат!$G:$G,0)),INDEX(Торг!$C:$C,MATCH(Прайс!$B3091,Торг!$H:$H,0))),"")</f>
        <v/>
      </c>
      <c r="H3091" s="67" t="str">
        <f>IFERROR(IFERROR(INDEX(Кат!$I:$I,MATCH(Прайс!$B3091,Кат!$G:$G,0)),INDEX(Торг!$I:$I,MATCH(Прайс!$B3091,Торг!$H:$H,0))),"")</f>
        <v/>
      </c>
    </row>
    <row r="3092" spans="1:8" x14ac:dyDescent="0.25">
      <c r="A3092" s="94" t="s">
        <v>4280</v>
      </c>
      <c r="B3092" s="98">
        <v>24093</v>
      </c>
      <c r="C3092" s="98" t="s">
        <v>1633</v>
      </c>
      <c r="D3092" s="96" t="s">
        <v>165</v>
      </c>
      <c r="E3092" s="97">
        <v>55</v>
      </c>
      <c r="F3092" s="67" t="str">
        <f>IFERROR(IFERROR(INDEX(Кат!$A:$A,MATCH(Прайс!$B3092,Кат!$G:$G,0)),INDEX(Торг!$B:$B,MATCH(Прайс!$B3092,Торг!$H:$H,0))),"")</f>
        <v/>
      </c>
      <c r="G3092" s="67" t="str">
        <f>IFERROR(IFERROR(INDEX(Кат!$B:$B,MATCH(Прайс!$B3092,Кат!$G:$G,0)),INDEX(Торг!$C:$C,MATCH(Прайс!$B3092,Торг!$H:$H,0))),"")</f>
        <v/>
      </c>
      <c r="H3092" s="67" t="str">
        <f>IFERROR(IFERROR(INDEX(Кат!$I:$I,MATCH(Прайс!$B3092,Кат!$G:$G,0)),INDEX(Торг!$I:$I,MATCH(Прайс!$B3092,Торг!$H:$H,0))),"")</f>
        <v/>
      </c>
    </row>
    <row r="3093" spans="1:8" x14ac:dyDescent="0.25">
      <c r="A3093" s="94" t="s">
        <v>4281</v>
      </c>
      <c r="B3093" s="98">
        <v>24094</v>
      </c>
      <c r="C3093" s="98" t="s">
        <v>1634</v>
      </c>
      <c r="D3093" s="96" t="s">
        <v>165</v>
      </c>
      <c r="E3093" s="97">
        <v>55</v>
      </c>
      <c r="F3093" s="67" t="str">
        <f>IFERROR(IFERROR(INDEX(Кат!$A:$A,MATCH(Прайс!$B3093,Кат!$G:$G,0)),INDEX(Торг!$B:$B,MATCH(Прайс!$B3093,Торг!$H:$H,0))),"")</f>
        <v/>
      </c>
      <c r="G3093" s="67" t="str">
        <f>IFERROR(IFERROR(INDEX(Кат!$B:$B,MATCH(Прайс!$B3093,Кат!$G:$G,0)),INDEX(Торг!$C:$C,MATCH(Прайс!$B3093,Торг!$H:$H,0))),"")</f>
        <v/>
      </c>
      <c r="H3093" s="67" t="str">
        <f>IFERROR(IFERROR(INDEX(Кат!$I:$I,MATCH(Прайс!$B3093,Кат!$G:$G,0)),INDEX(Торг!$I:$I,MATCH(Прайс!$B3093,Торг!$H:$H,0))),"")</f>
        <v/>
      </c>
    </row>
    <row r="3094" spans="1:8" x14ac:dyDescent="0.25">
      <c r="A3094" s="94" t="s">
        <v>4282</v>
      </c>
      <c r="B3094" s="98">
        <v>24138</v>
      </c>
      <c r="C3094" s="98" t="s">
        <v>1635</v>
      </c>
      <c r="D3094" s="96" t="s">
        <v>165</v>
      </c>
      <c r="E3094" s="97">
        <v>55</v>
      </c>
      <c r="F3094" s="67" t="str">
        <f>IFERROR(IFERROR(INDEX(Кат!$A:$A,MATCH(Прайс!$B3094,Кат!$G:$G,0)),INDEX(Торг!$B:$B,MATCH(Прайс!$B3094,Торг!$H:$H,0))),"")</f>
        <v/>
      </c>
      <c r="G3094" s="67" t="str">
        <f>IFERROR(IFERROR(INDEX(Кат!$B:$B,MATCH(Прайс!$B3094,Кат!$G:$G,0)),INDEX(Торг!$C:$C,MATCH(Прайс!$B3094,Торг!$H:$H,0))),"")</f>
        <v/>
      </c>
      <c r="H3094" s="67" t="str">
        <f>IFERROR(IFERROR(INDEX(Кат!$I:$I,MATCH(Прайс!$B3094,Кат!$G:$G,0)),INDEX(Торг!$I:$I,MATCH(Прайс!$B3094,Торг!$H:$H,0))),"")</f>
        <v/>
      </c>
    </row>
    <row r="3095" spans="1:8" x14ac:dyDescent="0.25">
      <c r="A3095" s="94" t="s">
        <v>4283</v>
      </c>
      <c r="B3095" s="98">
        <v>24097</v>
      </c>
      <c r="C3095" s="98" t="s">
        <v>5346</v>
      </c>
      <c r="D3095" s="96" t="s">
        <v>655</v>
      </c>
      <c r="E3095" s="97">
        <v>65</v>
      </c>
      <c r="F3095" s="67" t="str">
        <f>IFERROR(IFERROR(INDEX(Кат!$A:$A,MATCH(Прайс!$B3095,Кат!$G:$G,0)),INDEX(Торг!$B:$B,MATCH(Прайс!$B3095,Торг!$H:$H,0))),"")</f>
        <v/>
      </c>
      <c r="G3095" s="67" t="str">
        <f>IFERROR(IFERROR(INDEX(Кат!$B:$B,MATCH(Прайс!$B3095,Кат!$G:$G,0)),INDEX(Торг!$C:$C,MATCH(Прайс!$B3095,Торг!$H:$H,0))),"")</f>
        <v/>
      </c>
      <c r="H3095" s="67" t="str">
        <f>IFERROR(IFERROR(INDEX(Кат!$I:$I,MATCH(Прайс!$B3095,Кат!$G:$G,0)),INDEX(Торг!$I:$I,MATCH(Прайс!$B3095,Торг!$H:$H,0))),"")</f>
        <v/>
      </c>
    </row>
    <row r="3096" spans="1:8" x14ac:dyDescent="0.25">
      <c r="A3096" s="99" t="s">
        <v>4284</v>
      </c>
      <c r="B3096" s="108">
        <v>24096</v>
      </c>
      <c r="C3096" s="108" t="s">
        <v>5347</v>
      </c>
      <c r="D3096" s="101" t="s">
        <v>655</v>
      </c>
      <c r="E3096" s="102">
        <v>65</v>
      </c>
      <c r="F3096" s="67" t="str">
        <f>IFERROR(IFERROR(INDEX(Кат!$A:$A,MATCH(Прайс!$B3096,Кат!$G:$G,0)),INDEX(Торг!$B:$B,MATCH(Прайс!$B3096,Торг!$H:$H,0))),"")</f>
        <v/>
      </c>
      <c r="G3096" s="67" t="str">
        <f>IFERROR(IFERROR(INDEX(Кат!$B:$B,MATCH(Прайс!$B3096,Кат!$G:$G,0)),INDEX(Торг!$C:$C,MATCH(Прайс!$B3096,Торг!$H:$H,0))),"")</f>
        <v/>
      </c>
      <c r="H3096" s="67" t="str">
        <f>IFERROR(IFERROR(INDEX(Кат!$I:$I,MATCH(Прайс!$B3096,Кат!$G:$G,0)),INDEX(Торг!$I:$I,MATCH(Прайс!$B3096,Торг!$H:$H,0))),"")</f>
        <v/>
      </c>
    </row>
    <row r="3097" spans="1:8" x14ac:dyDescent="0.25">
      <c r="A3097" s="99" t="s">
        <v>5348</v>
      </c>
      <c r="B3097" s="108">
        <v>24098</v>
      </c>
      <c r="C3097" s="108" t="s">
        <v>5349</v>
      </c>
      <c r="D3097" s="101" t="s">
        <v>655</v>
      </c>
      <c r="E3097" s="102">
        <v>65</v>
      </c>
      <c r="F3097" s="67" t="str">
        <f>IFERROR(IFERROR(INDEX(Кат!$A:$A,MATCH(Прайс!$B3097,Кат!$G:$G,0)),INDEX(Торг!$B:$B,MATCH(Прайс!$B3097,Торг!$H:$H,0))),"")</f>
        <v/>
      </c>
      <c r="G3097" s="67" t="str">
        <f>IFERROR(IFERROR(INDEX(Кат!$B:$B,MATCH(Прайс!$B3097,Кат!$G:$G,0)),INDEX(Торг!$C:$C,MATCH(Прайс!$B3097,Торг!$H:$H,0))),"")</f>
        <v/>
      </c>
      <c r="H3097" s="67" t="str">
        <f>IFERROR(IFERROR(INDEX(Кат!$I:$I,MATCH(Прайс!$B3097,Кат!$G:$G,0)),INDEX(Торг!$I:$I,MATCH(Прайс!$B3097,Торг!$H:$H,0))),"")</f>
        <v/>
      </c>
    </row>
    <row r="3098" spans="1:8" x14ac:dyDescent="0.25">
      <c r="A3098" s="94" t="s">
        <v>4285</v>
      </c>
      <c r="B3098" s="98">
        <v>24099</v>
      </c>
      <c r="C3098" s="98" t="s">
        <v>5350</v>
      </c>
      <c r="D3098" s="96" t="s">
        <v>655</v>
      </c>
      <c r="E3098" s="97">
        <v>65</v>
      </c>
      <c r="F3098" s="67" t="str">
        <f>IFERROR(IFERROR(INDEX(Кат!$A:$A,MATCH(Прайс!$B3098,Кат!$G:$G,0)),INDEX(Торг!$B:$B,MATCH(Прайс!$B3098,Торг!$H:$H,0))),"")</f>
        <v/>
      </c>
      <c r="G3098" s="67" t="str">
        <f>IFERROR(IFERROR(INDEX(Кат!$B:$B,MATCH(Прайс!$B3098,Кат!$G:$G,0)),INDEX(Торг!$C:$C,MATCH(Прайс!$B3098,Торг!$H:$H,0))),"")</f>
        <v/>
      </c>
      <c r="H3098" s="67" t="str">
        <f>IFERROR(IFERROR(INDEX(Кат!$I:$I,MATCH(Прайс!$B3098,Кат!$G:$G,0)),INDEX(Торг!$I:$I,MATCH(Прайс!$B3098,Торг!$H:$H,0))),"")</f>
        <v/>
      </c>
    </row>
    <row r="3099" spans="1:8" x14ac:dyDescent="0.25">
      <c r="A3099" s="94" t="s">
        <v>4286</v>
      </c>
      <c r="B3099" s="98">
        <v>24100</v>
      </c>
      <c r="C3099" s="98" t="s">
        <v>5351</v>
      </c>
      <c r="D3099" s="96" t="s">
        <v>655</v>
      </c>
      <c r="E3099" s="97">
        <v>65</v>
      </c>
      <c r="F3099" s="67" t="str">
        <f>IFERROR(IFERROR(INDEX(Кат!$A:$A,MATCH(Прайс!$B3099,Кат!$G:$G,0)),INDEX(Торг!$B:$B,MATCH(Прайс!$B3099,Торг!$H:$H,0))),"")</f>
        <v/>
      </c>
      <c r="G3099" s="67" t="str">
        <f>IFERROR(IFERROR(INDEX(Кат!$B:$B,MATCH(Прайс!$B3099,Кат!$G:$G,0)),INDEX(Торг!$C:$C,MATCH(Прайс!$B3099,Торг!$H:$H,0))),"")</f>
        <v/>
      </c>
      <c r="H3099" s="67" t="str">
        <f>IFERROR(IFERROR(INDEX(Кат!$I:$I,MATCH(Прайс!$B3099,Кат!$G:$G,0)),INDEX(Торг!$I:$I,MATCH(Прайс!$B3099,Торг!$H:$H,0))),"")</f>
        <v/>
      </c>
    </row>
    <row r="3100" spans="1:8" ht="15.75" x14ac:dyDescent="0.25">
      <c r="A3100" s="90"/>
      <c r="B3100" s="91"/>
      <c r="C3100" s="92" t="s">
        <v>1636</v>
      </c>
      <c r="D3100" s="91"/>
      <c r="E3100" s="93"/>
      <c r="F3100" s="67" t="str">
        <f>IFERROR(IFERROR(INDEX(Кат!$A:$A,MATCH(Прайс!$B3100,Кат!$G:$G,0)),INDEX(Торг!$B:$B,MATCH(Прайс!$B3100,Торг!$H:$H,0))),"")</f>
        <v/>
      </c>
      <c r="G3100" s="67" t="str">
        <f>IFERROR(IFERROR(INDEX(Кат!$B:$B,MATCH(Прайс!$B3100,Кат!$G:$G,0)),INDEX(Торг!$C:$C,MATCH(Прайс!$B3100,Торг!$H:$H,0))),"")</f>
        <v/>
      </c>
      <c r="H3100" s="67" t="str">
        <f>IFERROR(IFERROR(INDEX(Кат!$I:$I,MATCH(Прайс!$B3100,Кат!$G:$G,0)),INDEX(Торг!$I:$I,MATCH(Прайс!$B3100,Торг!$H:$H,0))),"")</f>
        <v/>
      </c>
    </row>
    <row r="3101" spans="1:8" x14ac:dyDescent="0.25">
      <c r="A3101" s="94" t="s">
        <v>4292</v>
      </c>
      <c r="B3101" s="98">
        <v>24170</v>
      </c>
      <c r="C3101" s="98" t="s">
        <v>5352</v>
      </c>
      <c r="D3101" s="96" t="s">
        <v>159</v>
      </c>
      <c r="E3101" s="97">
        <v>110</v>
      </c>
      <c r="F3101" s="67" t="str">
        <f>IFERROR(IFERROR(INDEX(Кат!$A:$A,MATCH(Прайс!$B3101,Кат!$G:$G,0)),INDEX(Торг!$B:$B,MATCH(Прайс!$B3101,Торг!$H:$H,0))),"")</f>
        <v/>
      </c>
      <c r="G3101" s="67" t="str">
        <f>IFERROR(IFERROR(INDEX(Кат!$B:$B,MATCH(Прайс!$B3101,Кат!$G:$G,0)),INDEX(Торг!$C:$C,MATCH(Прайс!$B3101,Торг!$H:$H,0))),"")</f>
        <v/>
      </c>
      <c r="H3101" s="67" t="str">
        <f>IFERROR(IFERROR(INDEX(Кат!$I:$I,MATCH(Прайс!$B3101,Кат!$G:$G,0)),INDEX(Торг!$I:$I,MATCH(Прайс!$B3101,Торг!$H:$H,0))),"")</f>
        <v/>
      </c>
    </row>
    <row r="3102" spans="1:8" x14ac:dyDescent="0.25">
      <c r="A3102" s="94" t="s">
        <v>5353</v>
      </c>
      <c r="B3102" s="98">
        <v>24216</v>
      </c>
      <c r="C3102" s="98" t="s">
        <v>5354</v>
      </c>
      <c r="D3102" s="96" t="s">
        <v>159</v>
      </c>
      <c r="E3102" s="97">
        <v>150</v>
      </c>
      <c r="F3102" s="67" t="str">
        <f>IFERROR(IFERROR(INDEX(Кат!$A:$A,MATCH(Прайс!$B3102,Кат!$G:$G,0)),INDEX(Торг!$B:$B,MATCH(Прайс!$B3102,Торг!$H:$H,0))),"")</f>
        <v/>
      </c>
      <c r="G3102" s="67" t="str">
        <f>IFERROR(IFERROR(INDEX(Кат!$B:$B,MATCH(Прайс!$B3102,Кат!$G:$G,0)),INDEX(Торг!$C:$C,MATCH(Прайс!$B3102,Торг!$H:$H,0))),"")</f>
        <v/>
      </c>
      <c r="H3102" s="67" t="str">
        <f>IFERROR(IFERROR(INDEX(Кат!$I:$I,MATCH(Прайс!$B3102,Кат!$G:$G,0)),INDEX(Торг!$I:$I,MATCH(Прайс!$B3102,Торг!$H:$H,0))),"")</f>
        <v/>
      </c>
    </row>
    <row r="3103" spans="1:8" x14ac:dyDescent="0.25">
      <c r="A3103" s="94" t="s">
        <v>4287</v>
      </c>
      <c r="B3103" s="98">
        <v>24167</v>
      </c>
      <c r="C3103" s="98" t="s">
        <v>2143</v>
      </c>
      <c r="D3103" s="96" t="s">
        <v>159</v>
      </c>
      <c r="E3103" s="97">
        <v>100</v>
      </c>
      <c r="F3103" s="67" t="str">
        <f>IFERROR(IFERROR(INDEX(Кат!$A:$A,MATCH(Прайс!$B3103,Кат!$G:$G,0)),INDEX(Торг!$B:$B,MATCH(Прайс!$B3103,Торг!$H:$H,0))),"")</f>
        <v/>
      </c>
      <c r="G3103" s="67" t="str">
        <f>IFERROR(IFERROR(INDEX(Кат!$B:$B,MATCH(Прайс!$B3103,Кат!$G:$G,0)),INDEX(Торг!$C:$C,MATCH(Прайс!$B3103,Торг!$H:$H,0))),"")</f>
        <v/>
      </c>
      <c r="H3103" s="67" t="str">
        <f>IFERROR(IFERROR(INDEX(Кат!$I:$I,MATCH(Прайс!$B3103,Кат!$G:$G,0)),INDEX(Торг!$I:$I,MATCH(Прайс!$B3103,Торг!$H:$H,0))),"")</f>
        <v/>
      </c>
    </row>
    <row r="3104" spans="1:8" x14ac:dyDescent="0.25">
      <c r="A3104" s="94" t="s">
        <v>4288</v>
      </c>
      <c r="B3104" s="98">
        <v>24186</v>
      </c>
      <c r="C3104" s="98" t="s">
        <v>2144</v>
      </c>
      <c r="D3104" s="96" t="s">
        <v>159</v>
      </c>
      <c r="E3104" s="97">
        <v>115</v>
      </c>
      <c r="F3104" s="67" t="str">
        <f>IFERROR(IFERROR(INDEX(Кат!$A:$A,MATCH(Прайс!$B3104,Кат!$G:$G,0)),INDEX(Торг!$B:$B,MATCH(Прайс!$B3104,Торг!$H:$H,0))),"")</f>
        <v/>
      </c>
      <c r="G3104" s="67" t="str">
        <f>IFERROR(IFERROR(INDEX(Кат!$B:$B,MATCH(Прайс!$B3104,Кат!$G:$G,0)),INDEX(Торг!$C:$C,MATCH(Прайс!$B3104,Торг!$H:$H,0))),"")</f>
        <v/>
      </c>
      <c r="H3104" s="67" t="str">
        <f>IFERROR(IFERROR(INDEX(Кат!$I:$I,MATCH(Прайс!$B3104,Кат!$G:$G,0)),INDEX(Торг!$I:$I,MATCH(Прайс!$B3104,Торг!$H:$H,0))),"")</f>
        <v/>
      </c>
    </row>
    <row r="3105" spans="1:8" x14ac:dyDescent="0.25">
      <c r="A3105" s="94" t="s">
        <v>4289</v>
      </c>
      <c r="B3105" s="98">
        <v>24168</v>
      </c>
      <c r="C3105" s="98" t="s">
        <v>1637</v>
      </c>
      <c r="D3105" s="96" t="s">
        <v>159</v>
      </c>
      <c r="E3105" s="97">
        <v>90</v>
      </c>
      <c r="F3105" s="67" t="str">
        <f>IFERROR(IFERROR(INDEX(Кат!$A:$A,MATCH(Прайс!$B3105,Кат!$G:$G,0)),INDEX(Торг!$B:$B,MATCH(Прайс!$B3105,Торг!$H:$H,0))),"")</f>
        <v/>
      </c>
      <c r="G3105" s="67" t="str">
        <f>IFERROR(IFERROR(INDEX(Кат!$B:$B,MATCH(Прайс!$B3105,Кат!$G:$G,0)),INDEX(Торг!$C:$C,MATCH(Прайс!$B3105,Торг!$H:$H,0))),"")</f>
        <v/>
      </c>
      <c r="H3105" s="67" t="str">
        <f>IFERROR(IFERROR(INDEX(Кат!$I:$I,MATCH(Прайс!$B3105,Кат!$G:$G,0)),INDEX(Торг!$I:$I,MATCH(Прайс!$B3105,Торг!$H:$H,0))),"")</f>
        <v/>
      </c>
    </row>
    <row r="3106" spans="1:8" x14ac:dyDescent="0.25">
      <c r="A3106" s="94" t="s">
        <v>4290</v>
      </c>
      <c r="B3106" s="98">
        <v>24169</v>
      </c>
      <c r="C3106" s="98" t="s">
        <v>2145</v>
      </c>
      <c r="D3106" s="96" t="s">
        <v>159</v>
      </c>
      <c r="E3106" s="97">
        <v>100</v>
      </c>
      <c r="F3106" s="67" t="str">
        <f>IFERROR(IFERROR(INDEX(Кат!$A:$A,MATCH(Прайс!$B3106,Кат!$G:$G,0)),INDEX(Торг!$B:$B,MATCH(Прайс!$B3106,Торг!$H:$H,0))),"")</f>
        <v/>
      </c>
      <c r="G3106" s="67" t="str">
        <f>IFERROR(IFERROR(INDEX(Кат!$B:$B,MATCH(Прайс!$B3106,Кат!$G:$G,0)),INDEX(Торг!$C:$C,MATCH(Прайс!$B3106,Торг!$H:$H,0))),"")</f>
        <v/>
      </c>
      <c r="H3106" s="67" t="str">
        <f>IFERROR(IFERROR(INDEX(Кат!$I:$I,MATCH(Прайс!$B3106,Кат!$G:$G,0)),INDEX(Торг!$I:$I,MATCH(Прайс!$B3106,Торг!$H:$H,0))),"")</f>
        <v/>
      </c>
    </row>
    <row r="3107" spans="1:8" x14ac:dyDescent="0.25">
      <c r="A3107" s="94" t="s">
        <v>4291</v>
      </c>
      <c r="B3107" s="98">
        <v>24194</v>
      </c>
      <c r="C3107" s="98" t="s">
        <v>2146</v>
      </c>
      <c r="D3107" s="96" t="s">
        <v>159</v>
      </c>
      <c r="E3107" s="97">
        <v>140</v>
      </c>
      <c r="F3107" s="67" t="str">
        <f>IFERROR(IFERROR(INDEX(Кат!$A:$A,MATCH(Прайс!$B3107,Кат!$G:$G,0)),INDEX(Торг!$B:$B,MATCH(Прайс!$B3107,Торг!$H:$H,0))),"")</f>
        <v/>
      </c>
      <c r="G3107" s="67" t="str">
        <f>IFERROR(IFERROR(INDEX(Кат!$B:$B,MATCH(Прайс!$B3107,Кат!$G:$G,0)),INDEX(Торг!$C:$C,MATCH(Прайс!$B3107,Торг!$H:$H,0))),"")</f>
        <v/>
      </c>
      <c r="H3107" s="67" t="str">
        <f>IFERROR(IFERROR(INDEX(Кат!$I:$I,MATCH(Прайс!$B3107,Кат!$G:$G,0)),INDEX(Торг!$I:$I,MATCH(Прайс!$B3107,Торг!$H:$H,0))),"")</f>
        <v/>
      </c>
    </row>
    <row r="3108" spans="1:8" x14ac:dyDescent="0.25">
      <c r="A3108" s="109" t="s">
        <v>7886</v>
      </c>
      <c r="B3108" s="110">
        <v>24242</v>
      </c>
      <c r="C3108" s="110" t="s">
        <v>7887</v>
      </c>
      <c r="D3108" s="111" t="s">
        <v>160</v>
      </c>
      <c r="E3108" s="112">
        <v>500</v>
      </c>
      <c r="F3108" s="67" t="str">
        <f>IFERROR(IFERROR(INDEX(Кат!$A:$A,MATCH(Прайс!$B3108,Кат!$G:$G,0)),INDEX(Торг!$B:$B,MATCH(Прайс!$B3108,Торг!$H:$H,0))),"")</f>
        <v/>
      </c>
      <c r="G3108" s="67" t="str">
        <f>IFERROR(IFERROR(INDEX(Кат!$B:$B,MATCH(Прайс!$B3108,Кат!$G:$G,0)),INDEX(Торг!$C:$C,MATCH(Прайс!$B3108,Торг!$H:$H,0))),"")</f>
        <v/>
      </c>
      <c r="H3108" s="67" t="str">
        <f>IFERROR(IFERROR(INDEX(Кат!$I:$I,MATCH(Прайс!$B3108,Кат!$G:$G,0)),INDEX(Торг!$I:$I,MATCH(Прайс!$B3108,Торг!$H:$H,0))),"")</f>
        <v/>
      </c>
    </row>
    <row r="3109" spans="1:8" x14ac:dyDescent="0.25">
      <c r="A3109" s="94" t="s">
        <v>4293</v>
      </c>
      <c r="B3109" s="98">
        <v>24193</v>
      </c>
      <c r="C3109" s="98" t="s">
        <v>1638</v>
      </c>
      <c r="D3109" s="96" t="s">
        <v>160</v>
      </c>
      <c r="E3109" s="97">
        <v>490</v>
      </c>
      <c r="F3109" s="67" t="str">
        <f>IFERROR(IFERROR(INDEX(Кат!$A:$A,MATCH(Прайс!$B3109,Кат!$G:$G,0)),INDEX(Торг!$B:$B,MATCH(Прайс!$B3109,Торг!$H:$H,0))),"")</f>
        <v/>
      </c>
      <c r="G3109" s="67" t="str">
        <f>IFERROR(IFERROR(INDEX(Кат!$B:$B,MATCH(Прайс!$B3109,Кат!$G:$G,0)),INDEX(Торг!$C:$C,MATCH(Прайс!$B3109,Торг!$H:$H,0))),"")</f>
        <v/>
      </c>
      <c r="H3109" s="67" t="str">
        <f>IFERROR(IFERROR(INDEX(Кат!$I:$I,MATCH(Прайс!$B3109,Кат!$G:$G,0)),INDEX(Торг!$I:$I,MATCH(Прайс!$B3109,Торг!$H:$H,0))),"")</f>
        <v/>
      </c>
    </row>
    <row r="3110" spans="1:8" x14ac:dyDescent="0.25">
      <c r="A3110" s="94" t="s">
        <v>4294</v>
      </c>
      <c r="B3110" s="98">
        <v>24165</v>
      </c>
      <c r="C3110" s="98" t="s">
        <v>1639</v>
      </c>
      <c r="D3110" s="96" t="s">
        <v>160</v>
      </c>
      <c r="E3110" s="97">
        <v>410</v>
      </c>
      <c r="F3110" s="67" t="str">
        <f>IFERROR(IFERROR(INDEX(Кат!$A:$A,MATCH(Прайс!$B3110,Кат!$G:$G,0)),INDEX(Торг!$B:$B,MATCH(Прайс!$B3110,Торг!$H:$H,0))),"")</f>
        <v/>
      </c>
      <c r="G3110" s="67" t="str">
        <f>IFERROR(IFERROR(INDEX(Кат!$B:$B,MATCH(Прайс!$B3110,Кат!$G:$G,0)),INDEX(Торг!$C:$C,MATCH(Прайс!$B3110,Торг!$H:$H,0))),"")</f>
        <v/>
      </c>
      <c r="H3110" s="67" t="str">
        <f>IFERROR(IFERROR(INDEX(Кат!$I:$I,MATCH(Прайс!$B3110,Кат!$G:$G,0)),INDEX(Торг!$I:$I,MATCH(Прайс!$B3110,Торг!$H:$H,0))),"")</f>
        <v/>
      </c>
    </row>
    <row r="3111" spans="1:8" x14ac:dyDescent="0.25">
      <c r="A3111" s="94" t="s">
        <v>4295</v>
      </c>
      <c r="B3111" s="98">
        <v>24211</v>
      </c>
      <c r="C3111" s="98" t="s">
        <v>2147</v>
      </c>
      <c r="D3111" s="96" t="s">
        <v>160</v>
      </c>
      <c r="E3111" s="97">
        <v>750</v>
      </c>
      <c r="F3111" s="67" t="str">
        <f>IFERROR(IFERROR(INDEX(Кат!$A:$A,MATCH(Прайс!$B3111,Кат!$G:$G,0)),INDEX(Торг!$B:$B,MATCH(Прайс!$B3111,Торг!$H:$H,0))),"")</f>
        <v/>
      </c>
      <c r="G3111" s="67" t="str">
        <f>IFERROR(IFERROR(INDEX(Кат!$B:$B,MATCH(Прайс!$B3111,Кат!$G:$G,0)),INDEX(Торг!$C:$C,MATCH(Прайс!$B3111,Торг!$H:$H,0))),"")</f>
        <v/>
      </c>
      <c r="H3111" s="67" t="str">
        <f>IFERROR(IFERROR(INDEX(Кат!$I:$I,MATCH(Прайс!$B3111,Кат!$G:$G,0)),INDEX(Торг!$I:$I,MATCH(Прайс!$B3111,Торг!$H:$H,0))),"")</f>
        <v/>
      </c>
    </row>
    <row r="3112" spans="1:8" x14ac:dyDescent="0.25">
      <c r="A3112" s="94" t="s">
        <v>4296</v>
      </c>
      <c r="B3112" s="98">
        <v>24184</v>
      </c>
      <c r="C3112" s="98" t="s">
        <v>7888</v>
      </c>
      <c r="D3112" s="96" t="s">
        <v>160</v>
      </c>
      <c r="E3112" s="97">
        <v>700</v>
      </c>
      <c r="F3112" s="67" t="str">
        <f>IFERROR(IFERROR(INDEX(Кат!$A:$A,MATCH(Прайс!$B3112,Кат!$G:$G,0)),INDEX(Торг!$B:$B,MATCH(Прайс!$B3112,Торг!$H:$H,0))),"")</f>
        <v/>
      </c>
      <c r="G3112" s="67" t="str">
        <f>IFERROR(IFERROR(INDEX(Кат!$B:$B,MATCH(Прайс!$B3112,Кат!$G:$G,0)),INDEX(Торг!$C:$C,MATCH(Прайс!$B3112,Торг!$H:$H,0))),"")</f>
        <v/>
      </c>
      <c r="H3112" s="67" t="str">
        <f>IFERROR(IFERROR(INDEX(Кат!$I:$I,MATCH(Прайс!$B3112,Кат!$G:$G,0)),INDEX(Торг!$I:$I,MATCH(Прайс!$B3112,Торг!$H:$H,0))),"")</f>
        <v/>
      </c>
    </row>
    <row r="3113" spans="1:8" x14ac:dyDescent="0.25">
      <c r="A3113" s="94" t="s">
        <v>4297</v>
      </c>
      <c r="B3113" s="98">
        <v>24123</v>
      </c>
      <c r="C3113" s="98" t="s">
        <v>7889</v>
      </c>
      <c r="D3113" s="96" t="s">
        <v>160</v>
      </c>
      <c r="E3113" s="97">
        <v>470</v>
      </c>
      <c r="F3113" s="67" t="str">
        <f>IFERROR(IFERROR(INDEX(Кат!$A:$A,MATCH(Прайс!$B3113,Кат!$G:$G,0)),INDEX(Торг!$B:$B,MATCH(Прайс!$B3113,Торг!$H:$H,0))),"")</f>
        <v/>
      </c>
      <c r="G3113" s="67" t="str">
        <f>IFERROR(IFERROR(INDEX(Кат!$B:$B,MATCH(Прайс!$B3113,Кат!$G:$G,0)),INDEX(Торг!$C:$C,MATCH(Прайс!$B3113,Торг!$H:$H,0))),"")</f>
        <v/>
      </c>
      <c r="H3113" s="67" t="str">
        <f>IFERROR(IFERROR(INDEX(Кат!$I:$I,MATCH(Прайс!$B3113,Кат!$G:$G,0)),INDEX(Торг!$I:$I,MATCH(Прайс!$B3113,Торг!$H:$H,0))),"")</f>
        <v/>
      </c>
    </row>
    <row r="3114" spans="1:8" x14ac:dyDescent="0.25">
      <c r="A3114" s="94" t="s">
        <v>4298</v>
      </c>
      <c r="B3114" s="98">
        <v>24101</v>
      </c>
      <c r="C3114" s="98" t="s">
        <v>2148</v>
      </c>
      <c r="D3114" s="96" t="s">
        <v>160</v>
      </c>
      <c r="E3114" s="97">
        <v>780</v>
      </c>
      <c r="F3114" s="67" t="str">
        <f>IFERROR(IFERROR(INDEX(Кат!$A:$A,MATCH(Прайс!$B3114,Кат!$G:$G,0)),INDEX(Торг!$B:$B,MATCH(Прайс!$B3114,Торг!$H:$H,0))),"")</f>
        <v/>
      </c>
      <c r="G3114" s="67" t="str">
        <f>IFERROR(IFERROR(INDEX(Кат!$B:$B,MATCH(Прайс!$B3114,Кат!$G:$G,0)),INDEX(Торг!$C:$C,MATCH(Прайс!$B3114,Торг!$H:$H,0))),"")</f>
        <v/>
      </c>
      <c r="H3114" s="67" t="str">
        <f>IFERROR(IFERROR(INDEX(Кат!$I:$I,MATCH(Прайс!$B3114,Кат!$G:$G,0)),INDEX(Торг!$I:$I,MATCH(Прайс!$B3114,Торг!$H:$H,0))),"")</f>
        <v/>
      </c>
    </row>
    <row r="3115" spans="1:8" ht="15.75" x14ac:dyDescent="0.25">
      <c r="A3115" s="90"/>
      <c r="B3115" s="91"/>
      <c r="C3115" s="92" t="s">
        <v>7052</v>
      </c>
      <c r="D3115" s="91"/>
      <c r="E3115" s="93"/>
      <c r="F3115" s="67" t="str">
        <f>IFERROR(IFERROR(INDEX(Кат!$A:$A,MATCH(Прайс!$B3115,Кат!$G:$G,0)),INDEX(Торг!$B:$B,MATCH(Прайс!$B3115,Торг!$H:$H,0))),"")</f>
        <v/>
      </c>
      <c r="G3115" s="67" t="str">
        <f>IFERROR(IFERROR(INDEX(Кат!$B:$B,MATCH(Прайс!$B3115,Кат!$G:$G,0)),INDEX(Торг!$C:$C,MATCH(Прайс!$B3115,Торг!$H:$H,0))),"")</f>
        <v/>
      </c>
      <c r="H3115" s="67" t="str">
        <f>IFERROR(IFERROR(INDEX(Кат!$I:$I,MATCH(Прайс!$B3115,Кат!$G:$G,0)),INDEX(Торг!$I:$I,MATCH(Прайс!$B3115,Торг!$H:$H,0))),"")</f>
        <v/>
      </c>
    </row>
    <row r="3116" spans="1:8" x14ac:dyDescent="0.25">
      <c r="A3116" s="94" t="s">
        <v>7053</v>
      </c>
      <c r="B3116" s="98">
        <v>24107</v>
      </c>
      <c r="C3116" s="98" t="s">
        <v>7054</v>
      </c>
      <c r="D3116" s="96" t="s">
        <v>160</v>
      </c>
      <c r="E3116" s="97">
        <v>150</v>
      </c>
      <c r="F3116" s="67" t="str">
        <f>IFERROR(IFERROR(INDEX(Кат!$A:$A,MATCH(Прайс!$B3116,Кат!$G:$G,0)),INDEX(Торг!$B:$B,MATCH(Прайс!$B3116,Торг!$H:$H,0))),"")</f>
        <v/>
      </c>
      <c r="G3116" s="67" t="str">
        <f>IFERROR(IFERROR(INDEX(Кат!$B:$B,MATCH(Прайс!$B3116,Кат!$G:$G,0)),INDEX(Торг!$C:$C,MATCH(Прайс!$B3116,Торг!$H:$H,0))),"")</f>
        <v/>
      </c>
      <c r="H3116" s="67" t="str">
        <f>IFERROR(IFERROR(INDEX(Кат!$I:$I,MATCH(Прайс!$B3116,Кат!$G:$G,0)),INDEX(Торг!$I:$I,MATCH(Прайс!$B3116,Торг!$H:$H,0))),"")</f>
        <v/>
      </c>
    </row>
    <row r="3117" spans="1:8" ht="15.75" x14ac:dyDescent="0.25">
      <c r="A3117" s="87"/>
      <c r="B3117" s="88"/>
      <c r="C3117" s="88" t="s">
        <v>1640</v>
      </c>
      <c r="D3117" s="88"/>
      <c r="E3117" s="89"/>
      <c r="F3117" s="67" t="str">
        <f>IFERROR(IFERROR(INDEX(Кат!$A:$A,MATCH(Прайс!$B3117,Кат!$G:$G,0)),INDEX(Торг!$B:$B,MATCH(Прайс!$B3117,Торг!$H:$H,0))),"")</f>
        <v/>
      </c>
      <c r="G3117" s="67" t="str">
        <f>IFERROR(IFERROR(INDEX(Кат!$B:$B,MATCH(Прайс!$B3117,Кат!$G:$G,0)),INDEX(Торг!$C:$C,MATCH(Прайс!$B3117,Торг!$H:$H,0))),"")</f>
        <v/>
      </c>
      <c r="H3117" s="67" t="str">
        <f>IFERROR(IFERROR(INDEX(Кат!$I:$I,MATCH(Прайс!$B3117,Кат!$G:$G,0)),INDEX(Торг!$I:$I,MATCH(Прайс!$B3117,Торг!$H:$H,0))),"")</f>
        <v/>
      </c>
    </row>
    <row r="3118" spans="1:8" ht="15.75" x14ac:dyDescent="0.25">
      <c r="A3118" s="90"/>
      <c r="B3118" s="91"/>
      <c r="C3118" s="92" t="s">
        <v>1473</v>
      </c>
      <c r="D3118" s="91"/>
      <c r="E3118" s="93"/>
      <c r="F3118" s="67" t="str">
        <f>IFERROR(IFERROR(INDEX(Кат!$A:$A,MATCH(Прайс!$B3118,Кат!$G:$G,0)),INDEX(Торг!$B:$B,MATCH(Прайс!$B3118,Торг!$H:$H,0))),"")</f>
        <v/>
      </c>
      <c r="G3118" s="67" t="str">
        <f>IFERROR(IFERROR(INDEX(Кат!$B:$B,MATCH(Прайс!$B3118,Кат!$G:$G,0)),INDEX(Торг!$C:$C,MATCH(Прайс!$B3118,Торг!$H:$H,0))),"")</f>
        <v/>
      </c>
      <c r="H3118" s="67" t="str">
        <f>IFERROR(IFERROR(INDEX(Кат!$I:$I,MATCH(Прайс!$B3118,Кат!$G:$G,0)),INDEX(Торг!$I:$I,MATCH(Прайс!$B3118,Торг!$H:$H,0))),"")</f>
        <v/>
      </c>
    </row>
    <row r="3119" spans="1:8" x14ac:dyDescent="0.25">
      <c r="A3119" s="94" t="s">
        <v>4299</v>
      </c>
      <c r="B3119" s="98">
        <v>25001</v>
      </c>
      <c r="C3119" s="98" t="s">
        <v>1641</v>
      </c>
      <c r="D3119" s="96" t="s">
        <v>190</v>
      </c>
      <c r="E3119" s="97">
        <v>32</v>
      </c>
      <c r="F3119" s="67" t="str">
        <f>IFERROR(IFERROR(INDEX(Кат!$A:$A,MATCH(Прайс!$B3119,Кат!$G:$G,0)),INDEX(Торг!$B:$B,MATCH(Прайс!$B3119,Торг!$H:$H,0))),"")</f>
        <v/>
      </c>
      <c r="G3119" s="67" t="str">
        <f>IFERROR(IFERROR(INDEX(Кат!$B:$B,MATCH(Прайс!$B3119,Кат!$G:$G,0)),INDEX(Торг!$C:$C,MATCH(Прайс!$B3119,Торг!$H:$H,0))),"")</f>
        <v/>
      </c>
      <c r="H3119" s="67" t="str">
        <f>IFERROR(IFERROR(INDEX(Кат!$I:$I,MATCH(Прайс!$B3119,Кат!$G:$G,0)),INDEX(Торг!$I:$I,MATCH(Прайс!$B3119,Торг!$H:$H,0))),"")</f>
        <v/>
      </c>
    </row>
    <row r="3120" spans="1:8" x14ac:dyDescent="0.25">
      <c r="A3120" s="94" t="s">
        <v>4300</v>
      </c>
      <c r="B3120" s="98">
        <v>25002</v>
      </c>
      <c r="C3120" s="98" t="s">
        <v>1642</v>
      </c>
      <c r="D3120" s="96" t="s">
        <v>190</v>
      </c>
      <c r="E3120" s="97">
        <v>35</v>
      </c>
      <c r="F3120" s="67" t="str">
        <f>IFERROR(IFERROR(INDEX(Кат!$A:$A,MATCH(Прайс!$B3120,Кат!$G:$G,0)),INDEX(Торг!$B:$B,MATCH(Прайс!$B3120,Торг!$H:$H,0))),"")</f>
        <v/>
      </c>
      <c r="G3120" s="67" t="str">
        <f>IFERROR(IFERROR(INDEX(Кат!$B:$B,MATCH(Прайс!$B3120,Кат!$G:$G,0)),INDEX(Торг!$C:$C,MATCH(Прайс!$B3120,Торг!$H:$H,0))),"")</f>
        <v/>
      </c>
      <c r="H3120" s="67" t="str">
        <f>IFERROR(IFERROR(INDEX(Кат!$I:$I,MATCH(Прайс!$B3120,Кат!$G:$G,0)),INDEX(Торг!$I:$I,MATCH(Прайс!$B3120,Торг!$H:$H,0))),"")</f>
        <v/>
      </c>
    </row>
    <row r="3121" spans="1:8" x14ac:dyDescent="0.25">
      <c r="A3121" s="94" t="s">
        <v>4301</v>
      </c>
      <c r="B3121" s="98">
        <v>25003</v>
      </c>
      <c r="C3121" s="98" t="s">
        <v>1643</v>
      </c>
      <c r="D3121" s="96" t="s">
        <v>190</v>
      </c>
      <c r="E3121" s="97">
        <v>50</v>
      </c>
      <c r="F3121" s="67" t="str">
        <f>IFERROR(IFERROR(INDEX(Кат!$A:$A,MATCH(Прайс!$B3121,Кат!$G:$G,0)),INDEX(Торг!$B:$B,MATCH(Прайс!$B3121,Торг!$H:$H,0))),"")</f>
        <v/>
      </c>
      <c r="G3121" s="67" t="str">
        <f>IFERROR(IFERROR(INDEX(Кат!$B:$B,MATCH(Прайс!$B3121,Кат!$G:$G,0)),INDEX(Торг!$C:$C,MATCH(Прайс!$B3121,Торг!$H:$H,0))),"")</f>
        <v/>
      </c>
      <c r="H3121" s="67" t="str">
        <f>IFERROR(IFERROR(INDEX(Кат!$I:$I,MATCH(Прайс!$B3121,Кат!$G:$G,0)),INDEX(Торг!$I:$I,MATCH(Прайс!$B3121,Торг!$H:$H,0))),"")</f>
        <v/>
      </c>
    </row>
    <row r="3122" spans="1:8" x14ac:dyDescent="0.25">
      <c r="A3122" s="94" t="s">
        <v>4302</v>
      </c>
      <c r="B3122" s="98">
        <v>25004</v>
      </c>
      <c r="C3122" s="98" t="s">
        <v>1644</v>
      </c>
      <c r="D3122" s="96" t="s">
        <v>190</v>
      </c>
      <c r="E3122" s="97">
        <v>115</v>
      </c>
      <c r="F3122" s="67" t="str">
        <f>IFERROR(IFERROR(INDEX(Кат!$A:$A,MATCH(Прайс!$B3122,Кат!$G:$G,0)),INDEX(Торг!$B:$B,MATCH(Прайс!$B3122,Торг!$H:$H,0))),"")</f>
        <v/>
      </c>
      <c r="G3122" s="67" t="str">
        <f>IFERROR(IFERROR(INDEX(Кат!$B:$B,MATCH(Прайс!$B3122,Кат!$G:$G,0)),INDEX(Торг!$C:$C,MATCH(Прайс!$B3122,Торг!$H:$H,0))),"")</f>
        <v/>
      </c>
      <c r="H3122" s="67" t="str">
        <f>IFERROR(IFERROR(INDEX(Кат!$I:$I,MATCH(Прайс!$B3122,Кат!$G:$G,0)),INDEX(Торг!$I:$I,MATCH(Прайс!$B3122,Торг!$H:$H,0))),"")</f>
        <v/>
      </c>
    </row>
    <row r="3123" spans="1:8" x14ac:dyDescent="0.25">
      <c r="A3123" s="94" t="s">
        <v>4303</v>
      </c>
      <c r="B3123" s="98">
        <v>25005</v>
      </c>
      <c r="C3123" s="98" t="s">
        <v>1645</v>
      </c>
      <c r="D3123" s="96" t="s">
        <v>190</v>
      </c>
      <c r="E3123" s="97">
        <v>115</v>
      </c>
      <c r="F3123" s="67" t="str">
        <f>IFERROR(IFERROR(INDEX(Кат!$A:$A,MATCH(Прайс!$B3123,Кат!$G:$G,0)),INDEX(Торг!$B:$B,MATCH(Прайс!$B3123,Торг!$H:$H,0))),"")</f>
        <v/>
      </c>
      <c r="G3123" s="67" t="str">
        <f>IFERROR(IFERROR(INDEX(Кат!$B:$B,MATCH(Прайс!$B3123,Кат!$G:$G,0)),INDEX(Торг!$C:$C,MATCH(Прайс!$B3123,Торг!$H:$H,0))),"")</f>
        <v/>
      </c>
      <c r="H3123" s="67" t="str">
        <f>IFERROR(IFERROR(INDEX(Кат!$I:$I,MATCH(Прайс!$B3123,Кат!$G:$G,0)),INDEX(Торг!$I:$I,MATCH(Прайс!$B3123,Торг!$H:$H,0))),"")</f>
        <v/>
      </c>
    </row>
    <row r="3124" spans="1:8" x14ac:dyDescent="0.25">
      <c r="A3124" s="94" t="s">
        <v>8634</v>
      </c>
      <c r="B3124" s="98">
        <v>25006</v>
      </c>
      <c r="C3124" s="98" t="s">
        <v>8635</v>
      </c>
      <c r="D3124" s="96" t="s">
        <v>190</v>
      </c>
      <c r="E3124" s="97">
        <v>145</v>
      </c>
      <c r="F3124" s="67" t="str">
        <f>IFERROR(IFERROR(INDEX(Кат!$A:$A,MATCH(Прайс!$B3124,Кат!$G:$G,0)),INDEX(Торг!$B:$B,MATCH(Прайс!$B3124,Торг!$H:$H,0))),"")</f>
        <v/>
      </c>
      <c r="G3124" s="67" t="str">
        <f>IFERROR(IFERROR(INDEX(Кат!$B:$B,MATCH(Прайс!$B3124,Кат!$G:$G,0)),INDEX(Торг!$C:$C,MATCH(Прайс!$B3124,Торг!$H:$H,0))),"")</f>
        <v/>
      </c>
      <c r="H3124" s="67" t="str">
        <f>IFERROR(IFERROR(INDEX(Кат!$I:$I,MATCH(Прайс!$B3124,Кат!$G:$G,0)),INDEX(Торг!$I:$I,MATCH(Прайс!$B3124,Торг!$H:$H,0))),"")</f>
        <v/>
      </c>
    </row>
    <row r="3125" spans="1:8" x14ac:dyDescent="0.25">
      <c r="A3125" s="94" t="s">
        <v>4304</v>
      </c>
      <c r="B3125" s="98">
        <v>25007</v>
      </c>
      <c r="C3125" s="98" t="s">
        <v>1646</v>
      </c>
      <c r="D3125" s="96" t="s">
        <v>190</v>
      </c>
      <c r="E3125" s="97">
        <v>145</v>
      </c>
      <c r="F3125" s="67" t="str">
        <f>IFERROR(IFERROR(INDEX(Кат!$A:$A,MATCH(Прайс!$B3125,Кат!$G:$G,0)),INDEX(Торг!$B:$B,MATCH(Прайс!$B3125,Торг!$H:$H,0))),"")</f>
        <v/>
      </c>
      <c r="G3125" s="67" t="str">
        <f>IFERROR(IFERROR(INDEX(Кат!$B:$B,MATCH(Прайс!$B3125,Кат!$G:$G,0)),INDEX(Торг!$C:$C,MATCH(Прайс!$B3125,Торг!$H:$H,0))),"")</f>
        <v/>
      </c>
      <c r="H3125" s="67" t="str">
        <f>IFERROR(IFERROR(INDEX(Кат!$I:$I,MATCH(Прайс!$B3125,Кат!$G:$G,0)),INDEX(Торг!$I:$I,MATCH(Прайс!$B3125,Торг!$H:$H,0))),"")</f>
        <v/>
      </c>
    </row>
    <row r="3126" spans="1:8" x14ac:dyDescent="0.25">
      <c r="A3126" s="94" t="s">
        <v>4305</v>
      </c>
      <c r="B3126" s="98">
        <v>25008</v>
      </c>
      <c r="C3126" s="98" t="s">
        <v>1647</v>
      </c>
      <c r="D3126" s="96" t="s">
        <v>190</v>
      </c>
      <c r="E3126" s="97">
        <v>160</v>
      </c>
      <c r="F3126" s="67" t="str">
        <f>IFERROR(IFERROR(INDEX(Кат!$A:$A,MATCH(Прайс!$B3126,Кат!$G:$G,0)),INDEX(Торг!$B:$B,MATCH(Прайс!$B3126,Торг!$H:$H,0))),"")</f>
        <v/>
      </c>
      <c r="G3126" s="67" t="str">
        <f>IFERROR(IFERROR(INDEX(Кат!$B:$B,MATCH(Прайс!$B3126,Кат!$G:$G,0)),INDEX(Торг!$C:$C,MATCH(Прайс!$B3126,Торг!$H:$H,0))),"")</f>
        <v/>
      </c>
      <c r="H3126" s="67" t="str">
        <f>IFERROR(IFERROR(INDEX(Кат!$I:$I,MATCH(Прайс!$B3126,Кат!$G:$G,0)),INDEX(Торг!$I:$I,MATCH(Прайс!$B3126,Торг!$H:$H,0))),"")</f>
        <v/>
      </c>
    </row>
    <row r="3127" spans="1:8" x14ac:dyDescent="0.25">
      <c r="A3127" s="94" t="s">
        <v>4306</v>
      </c>
      <c r="B3127" s="98">
        <v>25009</v>
      </c>
      <c r="C3127" s="98" t="s">
        <v>1648</v>
      </c>
      <c r="D3127" s="96" t="s">
        <v>190</v>
      </c>
      <c r="E3127" s="97">
        <v>220</v>
      </c>
      <c r="F3127" s="67" t="str">
        <f>IFERROR(IFERROR(INDEX(Кат!$A:$A,MATCH(Прайс!$B3127,Кат!$G:$G,0)),INDEX(Торг!$B:$B,MATCH(Прайс!$B3127,Торг!$H:$H,0))),"")</f>
        <v/>
      </c>
      <c r="G3127" s="67" t="str">
        <f>IFERROR(IFERROR(INDEX(Кат!$B:$B,MATCH(Прайс!$B3127,Кат!$G:$G,0)),INDEX(Торг!$C:$C,MATCH(Прайс!$B3127,Торг!$H:$H,0))),"")</f>
        <v/>
      </c>
      <c r="H3127" s="67" t="str">
        <f>IFERROR(IFERROR(INDEX(Кат!$I:$I,MATCH(Прайс!$B3127,Кат!$G:$G,0)),INDEX(Торг!$I:$I,MATCH(Прайс!$B3127,Торг!$H:$H,0))),"")</f>
        <v/>
      </c>
    </row>
    <row r="3128" spans="1:8" x14ac:dyDescent="0.25">
      <c r="A3128" s="94" t="s">
        <v>4307</v>
      </c>
      <c r="B3128" s="98">
        <v>25010</v>
      </c>
      <c r="C3128" s="98" t="s">
        <v>1649</v>
      </c>
      <c r="D3128" s="96" t="s">
        <v>190</v>
      </c>
      <c r="E3128" s="97">
        <v>245</v>
      </c>
      <c r="F3128" s="67" t="str">
        <f>IFERROR(IFERROR(INDEX(Кат!$A:$A,MATCH(Прайс!$B3128,Кат!$G:$G,0)),INDEX(Торг!$B:$B,MATCH(Прайс!$B3128,Торг!$H:$H,0))),"")</f>
        <v/>
      </c>
      <c r="G3128" s="67" t="str">
        <f>IFERROR(IFERROR(INDEX(Кат!$B:$B,MATCH(Прайс!$B3128,Кат!$G:$G,0)),INDEX(Торг!$C:$C,MATCH(Прайс!$B3128,Торг!$H:$H,0))),"")</f>
        <v/>
      </c>
      <c r="H3128" s="67" t="str">
        <f>IFERROR(IFERROR(INDEX(Кат!$I:$I,MATCH(Прайс!$B3128,Кат!$G:$G,0)),INDEX(Торг!$I:$I,MATCH(Прайс!$B3128,Торг!$H:$H,0))),"")</f>
        <v/>
      </c>
    </row>
    <row r="3129" spans="1:8" x14ac:dyDescent="0.25">
      <c r="A3129" s="94" t="s">
        <v>4308</v>
      </c>
      <c r="B3129" s="98">
        <v>25011</v>
      </c>
      <c r="C3129" s="98" t="s">
        <v>1650</v>
      </c>
      <c r="D3129" s="96" t="s">
        <v>190</v>
      </c>
      <c r="E3129" s="97">
        <v>280</v>
      </c>
      <c r="F3129" s="67" t="str">
        <f>IFERROR(IFERROR(INDEX(Кат!$A:$A,MATCH(Прайс!$B3129,Кат!$G:$G,0)),INDEX(Торг!$B:$B,MATCH(Прайс!$B3129,Торг!$H:$H,0))),"")</f>
        <v/>
      </c>
      <c r="G3129" s="67" t="str">
        <f>IFERROR(IFERROR(INDEX(Кат!$B:$B,MATCH(Прайс!$B3129,Кат!$G:$G,0)),INDEX(Торг!$C:$C,MATCH(Прайс!$B3129,Торг!$H:$H,0))),"")</f>
        <v/>
      </c>
      <c r="H3129" s="67" t="str">
        <f>IFERROR(IFERROR(INDEX(Кат!$I:$I,MATCH(Прайс!$B3129,Кат!$G:$G,0)),INDEX(Торг!$I:$I,MATCH(Прайс!$B3129,Торг!$H:$H,0))),"")</f>
        <v/>
      </c>
    </row>
    <row r="3130" spans="1:8" x14ac:dyDescent="0.25">
      <c r="A3130" s="94" t="s">
        <v>4309</v>
      </c>
      <c r="B3130" s="98">
        <v>25012</v>
      </c>
      <c r="C3130" s="98" t="s">
        <v>1651</v>
      </c>
      <c r="D3130" s="96" t="s">
        <v>190</v>
      </c>
      <c r="E3130" s="97">
        <v>280</v>
      </c>
      <c r="F3130" s="67" t="str">
        <f>IFERROR(IFERROR(INDEX(Кат!$A:$A,MATCH(Прайс!$B3130,Кат!$G:$G,0)),INDEX(Торг!$B:$B,MATCH(Прайс!$B3130,Торг!$H:$H,0))),"")</f>
        <v/>
      </c>
      <c r="G3130" s="67" t="str">
        <f>IFERROR(IFERROR(INDEX(Кат!$B:$B,MATCH(Прайс!$B3130,Кат!$G:$G,0)),INDEX(Торг!$C:$C,MATCH(Прайс!$B3130,Торг!$H:$H,0))),"")</f>
        <v/>
      </c>
      <c r="H3130" s="67" t="str">
        <f>IFERROR(IFERROR(INDEX(Кат!$I:$I,MATCH(Прайс!$B3130,Кат!$G:$G,0)),INDEX(Торг!$I:$I,MATCH(Прайс!$B3130,Торг!$H:$H,0))),"")</f>
        <v/>
      </c>
    </row>
    <row r="3131" spans="1:8" x14ac:dyDescent="0.25">
      <c r="A3131" s="94" t="s">
        <v>4310</v>
      </c>
      <c r="B3131" s="98">
        <v>25013</v>
      </c>
      <c r="C3131" s="98" t="s">
        <v>1652</v>
      </c>
      <c r="D3131" s="96" t="s">
        <v>190</v>
      </c>
      <c r="E3131" s="97">
        <v>290</v>
      </c>
      <c r="F3131" s="67" t="str">
        <f>IFERROR(IFERROR(INDEX(Кат!$A:$A,MATCH(Прайс!$B3131,Кат!$G:$G,0)),INDEX(Торг!$B:$B,MATCH(Прайс!$B3131,Торг!$H:$H,0))),"")</f>
        <v/>
      </c>
      <c r="G3131" s="67" t="str">
        <f>IFERROR(IFERROR(INDEX(Кат!$B:$B,MATCH(Прайс!$B3131,Кат!$G:$G,0)),INDEX(Торг!$C:$C,MATCH(Прайс!$B3131,Торг!$H:$H,0))),"")</f>
        <v/>
      </c>
      <c r="H3131" s="67" t="str">
        <f>IFERROR(IFERROR(INDEX(Кат!$I:$I,MATCH(Прайс!$B3131,Кат!$G:$G,0)),INDEX(Торг!$I:$I,MATCH(Прайс!$B3131,Торг!$H:$H,0))),"")</f>
        <v/>
      </c>
    </row>
    <row r="3132" spans="1:8" x14ac:dyDescent="0.25">
      <c r="A3132" s="94" t="s">
        <v>4311</v>
      </c>
      <c r="B3132" s="98">
        <v>25014</v>
      </c>
      <c r="C3132" s="98" t="s">
        <v>1653</v>
      </c>
      <c r="D3132" s="96" t="s">
        <v>190</v>
      </c>
      <c r="E3132" s="97">
        <v>260</v>
      </c>
      <c r="F3132" s="67" t="str">
        <f>IFERROR(IFERROR(INDEX(Кат!$A:$A,MATCH(Прайс!$B3132,Кат!$G:$G,0)),INDEX(Торг!$B:$B,MATCH(Прайс!$B3132,Торг!$H:$H,0))),"")</f>
        <v/>
      </c>
      <c r="G3132" s="67" t="str">
        <f>IFERROR(IFERROR(INDEX(Кат!$B:$B,MATCH(Прайс!$B3132,Кат!$G:$G,0)),INDEX(Торг!$C:$C,MATCH(Прайс!$B3132,Торг!$H:$H,0))),"")</f>
        <v/>
      </c>
      <c r="H3132" s="67" t="str">
        <f>IFERROR(IFERROR(INDEX(Кат!$I:$I,MATCH(Прайс!$B3132,Кат!$G:$G,0)),INDEX(Торг!$I:$I,MATCH(Прайс!$B3132,Торг!$H:$H,0))),"")</f>
        <v/>
      </c>
    </row>
    <row r="3133" spans="1:8" x14ac:dyDescent="0.25">
      <c r="A3133" s="94" t="s">
        <v>4312</v>
      </c>
      <c r="B3133" s="98">
        <v>25015</v>
      </c>
      <c r="C3133" s="98" t="s">
        <v>1654</v>
      </c>
      <c r="D3133" s="96" t="s">
        <v>190</v>
      </c>
      <c r="E3133" s="97">
        <v>300</v>
      </c>
      <c r="F3133" s="67" t="str">
        <f>IFERROR(IFERROR(INDEX(Кат!$A:$A,MATCH(Прайс!$B3133,Кат!$G:$G,0)),INDEX(Торг!$B:$B,MATCH(Прайс!$B3133,Торг!$H:$H,0))),"")</f>
        <v/>
      </c>
      <c r="G3133" s="67" t="str">
        <f>IFERROR(IFERROR(INDEX(Кат!$B:$B,MATCH(Прайс!$B3133,Кат!$G:$G,0)),INDEX(Торг!$C:$C,MATCH(Прайс!$B3133,Торг!$H:$H,0))),"")</f>
        <v/>
      </c>
      <c r="H3133" s="67" t="str">
        <f>IFERROR(IFERROR(INDEX(Кат!$I:$I,MATCH(Прайс!$B3133,Кат!$G:$G,0)),INDEX(Торг!$I:$I,MATCH(Прайс!$B3133,Торг!$H:$H,0))),"")</f>
        <v/>
      </c>
    </row>
    <row r="3134" spans="1:8" x14ac:dyDescent="0.25">
      <c r="A3134" s="94" t="s">
        <v>4313</v>
      </c>
      <c r="B3134" s="98">
        <v>25016</v>
      </c>
      <c r="C3134" s="98" t="s">
        <v>1655</v>
      </c>
      <c r="D3134" s="96" t="s">
        <v>190</v>
      </c>
      <c r="E3134" s="97">
        <v>320</v>
      </c>
      <c r="F3134" s="67" t="str">
        <f>IFERROR(IFERROR(INDEX(Кат!$A:$A,MATCH(Прайс!$B3134,Кат!$G:$G,0)),INDEX(Торг!$B:$B,MATCH(Прайс!$B3134,Торг!$H:$H,0))),"")</f>
        <v/>
      </c>
      <c r="G3134" s="67" t="str">
        <f>IFERROR(IFERROR(INDEX(Кат!$B:$B,MATCH(Прайс!$B3134,Кат!$G:$G,0)),INDEX(Торг!$C:$C,MATCH(Прайс!$B3134,Торг!$H:$H,0))),"")</f>
        <v/>
      </c>
      <c r="H3134" s="67" t="str">
        <f>IFERROR(IFERROR(INDEX(Кат!$I:$I,MATCH(Прайс!$B3134,Кат!$G:$G,0)),INDEX(Торг!$I:$I,MATCH(Прайс!$B3134,Торг!$H:$H,0))),"")</f>
        <v/>
      </c>
    </row>
    <row r="3135" spans="1:8" x14ac:dyDescent="0.25">
      <c r="A3135" s="94" t="s">
        <v>4314</v>
      </c>
      <c r="B3135" s="98">
        <v>25017</v>
      </c>
      <c r="C3135" s="98" t="s">
        <v>1656</v>
      </c>
      <c r="D3135" s="96" t="s">
        <v>190</v>
      </c>
      <c r="E3135" s="97">
        <v>330</v>
      </c>
      <c r="F3135" s="67" t="str">
        <f>IFERROR(IFERROR(INDEX(Кат!$A:$A,MATCH(Прайс!$B3135,Кат!$G:$G,0)),INDEX(Торг!$B:$B,MATCH(Прайс!$B3135,Торг!$H:$H,0))),"")</f>
        <v/>
      </c>
      <c r="G3135" s="67" t="str">
        <f>IFERROR(IFERROR(INDEX(Кат!$B:$B,MATCH(Прайс!$B3135,Кат!$G:$G,0)),INDEX(Торг!$C:$C,MATCH(Прайс!$B3135,Торг!$H:$H,0))),"")</f>
        <v/>
      </c>
      <c r="H3135" s="67" t="str">
        <f>IFERROR(IFERROR(INDEX(Кат!$I:$I,MATCH(Прайс!$B3135,Кат!$G:$G,0)),INDEX(Торг!$I:$I,MATCH(Прайс!$B3135,Торг!$H:$H,0))),"")</f>
        <v/>
      </c>
    </row>
    <row r="3136" spans="1:8" x14ac:dyDescent="0.25">
      <c r="A3136" s="94" t="s">
        <v>4315</v>
      </c>
      <c r="B3136" s="98">
        <v>25018</v>
      </c>
      <c r="C3136" s="98" t="s">
        <v>1657</v>
      </c>
      <c r="D3136" s="96" t="s">
        <v>190</v>
      </c>
      <c r="E3136" s="97">
        <v>420</v>
      </c>
      <c r="F3136" s="67" t="str">
        <f>IFERROR(IFERROR(INDEX(Кат!$A:$A,MATCH(Прайс!$B3136,Кат!$G:$G,0)),INDEX(Торг!$B:$B,MATCH(Прайс!$B3136,Торг!$H:$H,0))),"")</f>
        <v/>
      </c>
      <c r="G3136" s="67" t="str">
        <f>IFERROR(IFERROR(INDEX(Кат!$B:$B,MATCH(Прайс!$B3136,Кат!$G:$G,0)),INDEX(Торг!$C:$C,MATCH(Прайс!$B3136,Торг!$H:$H,0))),"")</f>
        <v/>
      </c>
      <c r="H3136" s="67" t="str">
        <f>IFERROR(IFERROR(INDEX(Кат!$I:$I,MATCH(Прайс!$B3136,Кат!$G:$G,0)),INDEX(Торг!$I:$I,MATCH(Прайс!$B3136,Торг!$H:$H,0))),"")</f>
        <v/>
      </c>
    </row>
    <row r="3137" spans="1:8" x14ac:dyDescent="0.25">
      <c r="A3137" s="94" t="s">
        <v>4316</v>
      </c>
      <c r="B3137" s="98">
        <v>25019</v>
      </c>
      <c r="C3137" s="98" t="s">
        <v>1658</v>
      </c>
      <c r="D3137" s="96" t="s">
        <v>190</v>
      </c>
      <c r="E3137" s="97">
        <v>460</v>
      </c>
      <c r="F3137" s="67" t="str">
        <f>IFERROR(IFERROR(INDEX(Кат!$A:$A,MATCH(Прайс!$B3137,Кат!$G:$G,0)),INDEX(Торг!$B:$B,MATCH(Прайс!$B3137,Торг!$H:$H,0))),"")</f>
        <v/>
      </c>
      <c r="G3137" s="67" t="str">
        <f>IFERROR(IFERROR(INDEX(Кат!$B:$B,MATCH(Прайс!$B3137,Кат!$G:$G,0)),INDEX(Торг!$C:$C,MATCH(Прайс!$B3137,Торг!$H:$H,0))),"")</f>
        <v/>
      </c>
      <c r="H3137" s="67" t="str">
        <f>IFERROR(IFERROR(INDEX(Кат!$I:$I,MATCH(Прайс!$B3137,Кат!$G:$G,0)),INDEX(Торг!$I:$I,MATCH(Прайс!$B3137,Торг!$H:$H,0))),"")</f>
        <v/>
      </c>
    </row>
    <row r="3138" spans="1:8" x14ac:dyDescent="0.25">
      <c r="A3138" s="94" t="s">
        <v>4317</v>
      </c>
      <c r="B3138" s="98">
        <v>25020</v>
      </c>
      <c r="C3138" s="98" t="s">
        <v>1659</v>
      </c>
      <c r="D3138" s="96" t="s">
        <v>190</v>
      </c>
      <c r="E3138" s="97">
        <v>350</v>
      </c>
      <c r="F3138" s="67" t="str">
        <f>IFERROR(IFERROR(INDEX(Кат!$A:$A,MATCH(Прайс!$B3138,Кат!$G:$G,0)),INDEX(Торг!$B:$B,MATCH(Прайс!$B3138,Торг!$H:$H,0))),"")</f>
        <v/>
      </c>
      <c r="G3138" s="67" t="str">
        <f>IFERROR(IFERROR(INDEX(Кат!$B:$B,MATCH(Прайс!$B3138,Кат!$G:$G,0)),INDEX(Торг!$C:$C,MATCH(Прайс!$B3138,Торг!$H:$H,0))),"")</f>
        <v/>
      </c>
      <c r="H3138" s="67" t="str">
        <f>IFERROR(IFERROR(INDEX(Кат!$I:$I,MATCH(Прайс!$B3138,Кат!$G:$G,0)),INDEX(Торг!$I:$I,MATCH(Прайс!$B3138,Торг!$H:$H,0))),"")</f>
        <v/>
      </c>
    </row>
    <row r="3139" spans="1:8" ht="15.75" x14ac:dyDescent="0.25">
      <c r="A3139" s="90"/>
      <c r="B3139" s="91"/>
      <c r="C3139" s="92" t="s">
        <v>1640</v>
      </c>
      <c r="D3139" s="91"/>
      <c r="E3139" s="93"/>
      <c r="F3139" s="67" t="str">
        <f>IFERROR(IFERROR(INDEX(Кат!$A:$A,MATCH(Прайс!$B3139,Кат!$G:$G,0)),INDEX(Торг!$B:$B,MATCH(Прайс!$B3139,Торг!$H:$H,0))),"")</f>
        <v/>
      </c>
      <c r="G3139" s="67" t="str">
        <f>IFERROR(IFERROR(INDEX(Кат!$B:$B,MATCH(Прайс!$B3139,Кат!$G:$G,0)),INDEX(Торг!$C:$C,MATCH(Прайс!$B3139,Торг!$H:$H,0))),"")</f>
        <v/>
      </c>
      <c r="H3139" s="67" t="str">
        <f>IFERROR(IFERROR(INDEX(Кат!$I:$I,MATCH(Прайс!$B3139,Кат!$G:$G,0)),INDEX(Торг!$I:$I,MATCH(Прайс!$B3139,Торг!$H:$H,0))),"")</f>
        <v/>
      </c>
    </row>
    <row r="3140" spans="1:8" x14ac:dyDescent="0.25">
      <c r="A3140" s="94" t="s">
        <v>5355</v>
      </c>
      <c r="B3140" s="98">
        <v>25035</v>
      </c>
      <c r="C3140" s="98" t="s">
        <v>5356</v>
      </c>
      <c r="D3140" s="96" t="s">
        <v>1660</v>
      </c>
      <c r="E3140" s="117">
        <v>36.4</v>
      </c>
      <c r="F3140" s="67" t="str">
        <f>IFERROR(IFERROR(INDEX(Кат!$A:$A,MATCH(Прайс!$B3140,Кат!$G:$G,0)),INDEX(Торг!$B:$B,MATCH(Прайс!$B3140,Торг!$H:$H,0))),"")</f>
        <v/>
      </c>
      <c r="G3140" s="67" t="str">
        <f>IFERROR(IFERROR(INDEX(Кат!$B:$B,MATCH(Прайс!$B3140,Кат!$G:$G,0)),INDEX(Торг!$C:$C,MATCH(Прайс!$B3140,Торг!$H:$H,0))),"")</f>
        <v/>
      </c>
      <c r="H3140" s="67" t="str">
        <f>IFERROR(IFERROR(INDEX(Кат!$I:$I,MATCH(Прайс!$B3140,Кат!$G:$G,0)),INDEX(Торг!$I:$I,MATCH(Прайс!$B3140,Торг!$H:$H,0))),"")</f>
        <v/>
      </c>
    </row>
    <row r="3141" spans="1:8" x14ac:dyDescent="0.25">
      <c r="A3141" s="94" t="s">
        <v>4318</v>
      </c>
      <c r="B3141" s="98">
        <v>25037</v>
      </c>
      <c r="C3141" s="98" t="s">
        <v>1661</v>
      </c>
      <c r="D3141" s="96" t="s">
        <v>1558</v>
      </c>
      <c r="E3141" s="97">
        <v>41</v>
      </c>
      <c r="F3141" s="67" t="str">
        <f>IFERROR(IFERROR(INDEX(Кат!$A:$A,MATCH(Прайс!$B3141,Кат!$G:$G,0)),INDEX(Торг!$B:$B,MATCH(Прайс!$B3141,Торг!$H:$H,0))),"")</f>
        <v/>
      </c>
      <c r="G3141" s="67" t="str">
        <f>IFERROR(IFERROR(INDEX(Кат!$B:$B,MATCH(Прайс!$B3141,Кат!$G:$G,0)),INDEX(Торг!$C:$C,MATCH(Прайс!$B3141,Торг!$H:$H,0))),"")</f>
        <v/>
      </c>
      <c r="H3141" s="67" t="str">
        <f>IFERROR(IFERROR(INDEX(Кат!$I:$I,MATCH(Прайс!$B3141,Кат!$G:$G,0)),INDEX(Торг!$I:$I,MATCH(Прайс!$B3141,Торг!$H:$H,0))),"")</f>
        <v/>
      </c>
    </row>
    <row r="3142" spans="1:8" x14ac:dyDescent="0.25">
      <c r="A3142" s="94" t="s">
        <v>4319</v>
      </c>
      <c r="B3142" s="98">
        <v>25038</v>
      </c>
      <c r="C3142" s="98" t="s">
        <v>1662</v>
      </c>
      <c r="D3142" s="96" t="s">
        <v>1558</v>
      </c>
      <c r="E3142" s="117">
        <v>42.8</v>
      </c>
      <c r="F3142" s="67" t="str">
        <f>IFERROR(IFERROR(INDEX(Кат!$A:$A,MATCH(Прайс!$B3142,Кат!$G:$G,0)),INDEX(Торг!$B:$B,MATCH(Прайс!$B3142,Торг!$H:$H,0))),"")</f>
        <v/>
      </c>
      <c r="G3142" s="67" t="str">
        <f>IFERROR(IFERROR(INDEX(Кат!$B:$B,MATCH(Прайс!$B3142,Кат!$G:$G,0)),INDEX(Торг!$C:$C,MATCH(Прайс!$B3142,Торг!$H:$H,0))),"")</f>
        <v/>
      </c>
      <c r="H3142" s="67" t="str">
        <f>IFERROR(IFERROR(INDEX(Кат!$I:$I,MATCH(Прайс!$B3142,Кат!$G:$G,0)),INDEX(Торг!$I:$I,MATCH(Прайс!$B3142,Торг!$H:$H,0))),"")</f>
        <v/>
      </c>
    </row>
    <row r="3143" spans="1:8" x14ac:dyDescent="0.25">
      <c r="A3143" s="94" t="s">
        <v>4320</v>
      </c>
      <c r="B3143" s="98">
        <v>25022</v>
      </c>
      <c r="C3143" s="98" t="s">
        <v>1663</v>
      </c>
      <c r="D3143" s="96" t="s">
        <v>1664</v>
      </c>
      <c r="E3143" s="117">
        <v>12.6</v>
      </c>
      <c r="F3143" s="67" t="str">
        <f>IFERROR(IFERROR(INDEX(Кат!$A:$A,MATCH(Прайс!$B3143,Кат!$G:$G,0)),INDEX(Торг!$B:$B,MATCH(Прайс!$B3143,Торг!$H:$H,0))),"")</f>
        <v/>
      </c>
      <c r="G3143" s="67" t="str">
        <f>IFERROR(IFERROR(INDEX(Кат!$B:$B,MATCH(Прайс!$B3143,Кат!$G:$G,0)),INDEX(Торг!$C:$C,MATCH(Прайс!$B3143,Торг!$H:$H,0))),"")</f>
        <v/>
      </c>
      <c r="H3143" s="67" t="str">
        <f>IFERROR(IFERROR(INDEX(Кат!$I:$I,MATCH(Прайс!$B3143,Кат!$G:$G,0)),INDEX(Торг!$I:$I,MATCH(Прайс!$B3143,Торг!$H:$H,0))),"")</f>
        <v/>
      </c>
    </row>
    <row r="3144" spans="1:8" x14ac:dyDescent="0.25">
      <c r="A3144" s="94" t="s">
        <v>4321</v>
      </c>
      <c r="B3144" s="98">
        <v>25036</v>
      </c>
      <c r="C3144" s="98" t="s">
        <v>1665</v>
      </c>
      <c r="D3144" s="96" t="s">
        <v>1660</v>
      </c>
      <c r="E3144" s="117">
        <v>38.799999999999997</v>
      </c>
      <c r="F3144" s="67" t="str">
        <f>IFERROR(IFERROR(INDEX(Кат!$A:$A,MATCH(Прайс!$B3144,Кат!$G:$G,0)),INDEX(Торг!$B:$B,MATCH(Прайс!$B3144,Торг!$H:$H,0))),"")</f>
        <v/>
      </c>
      <c r="G3144" s="67" t="str">
        <f>IFERROR(IFERROR(INDEX(Кат!$B:$B,MATCH(Прайс!$B3144,Кат!$G:$G,0)),INDEX(Торг!$C:$C,MATCH(Прайс!$B3144,Торг!$H:$H,0))),"")</f>
        <v/>
      </c>
      <c r="H3144" s="67" t="str">
        <f>IFERROR(IFERROR(INDEX(Кат!$I:$I,MATCH(Прайс!$B3144,Кат!$G:$G,0)),INDEX(Торг!$I:$I,MATCH(Прайс!$B3144,Торг!$H:$H,0))),"")</f>
        <v/>
      </c>
    </row>
    <row r="3145" spans="1:8" x14ac:dyDescent="0.25">
      <c r="A3145" s="94" t="s">
        <v>4322</v>
      </c>
      <c r="B3145" s="98">
        <v>25023</v>
      </c>
      <c r="C3145" s="98" t="s">
        <v>1666</v>
      </c>
      <c r="D3145" s="96" t="s">
        <v>1664</v>
      </c>
      <c r="E3145" s="117">
        <v>13.2</v>
      </c>
      <c r="F3145" s="67" t="str">
        <f>IFERROR(IFERROR(INDEX(Кат!$A:$A,MATCH(Прайс!$B3145,Кат!$G:$G,0)),INDEX(Торг!$B:$B,MATCH(Прайс!$B3145,Торг!$H:$H,0))),"")</f>
        <v/>
      </c>
      <c r="G3145" s="67" t="str">
        <f>IFERROR(IFERROR(INDEX(Кат!$B:$B,MATCH(Прайс!$B3145,Кат!$G:$G,0)),INDEX(Торг!$C:$C,MATCH(Прайс!$B3145,Торг!$H:$H,0))),"")</f>
        <v/>
      </c>
      <c r="H3145" s="67" t="str">
        <f>IFERROR(IFERROR(INDEX(Кат!$I:$I,MATCH(Прайс!$B3145,Кат!$G:$G,0)),INDEX(Торг!$I:$I,MATCH(Прайс!$B3145,Торг!$H:$H,0))),"")</f>
        <v/>
      </c>
    </row>
    <row r="3146" spans="1:8" x14ac:dyDescent="0.25">
      <c r="A3146" s="94" t="s">
        <v>4323</v>
      </c>
      <c r="B3146" s="98">
        <v>25024</v>
      </c>
      <c r="C3146" s="98" t="s">
        <v>1667</v>
      </c>
      <c r="D3146" s="96" t="s">
        <v>1668</v>
      </c>
      <c r="E3146" s="117">
        <v>13.6</v>
      </c>
      <c r="F3146" s="67" t="str">
        <f>IFERROR(IFERROR(INDEX(Кат!$A:$A,MATCH(Прайс!$B3146,Кат!$G:$G,0)),INDEX(Торг!$B:$B,MATCH(Прайс!$B3146,Торг!$H:$H,0))),"")</f>
        <v/>
      </c>
      <c r="G3146" s="67" t="str">
        <f>IFERROR(IFERROR(INDEX(Кат!$B:$B,MATCH(Прайс!$B3146,Кат!$G:$G,0)),INDEX(Торг!$C:$C,MATCH(Прайс!$B3146,Торг!$H:$H,0))),"")</f>
        <v/>
      </c>
      <c r="H3146" s="67" t="str">
        <f>IFERROR(IFERROR(INDEX(Кат!$I:$I,MATCH(Прайс!$B3146,Кат!$G:$G,0)),INDEX(Торг!$I:$I,MATCH(Прайс!$B3146,Торг!$H:$H,0))),"")</f>
        <v/>
      </c>
    </row>
    <row r="3147" spans="1:8" x14ac:dyDescent="0.25">
      <c r="A3147" s="94" t="s">
        <v>4324</v>
      </c>
      <c r="B3147" s="98">
        <v>25025</v>
      </c>
      <c r="C3147" s="98" t="s">
        <v>1669</v>
      </c>
      <c r="D3147" s="96" t="s">
        <v>1668</v>
      </c>
      <c r="E3147" s="117">
        <v>13.9</v>
      </c>
      <c r="F3147" s="67" t="str">
        <f>IFERROR(IFERROR(INDEX(Кат!$A:$A,MATCH(Прайс!$B3147,Кат!$G:$G,0)),INDEX(Торг!$B:$B,MATCH(Прайс!$B3147,Торг!$H:$H,0))),"")</f>
        <v/>
      </c>
      <c r="G3147" s="67" t="str">
        <f>IFERROR(IFERROR(INDEX(Кат!$B:$B,MATCH(Прайс!$B3147,Кат!$G:$G,0)),INDEX(Торг!$C:$C,MATCH(Прайс!$B3147,Торг!$H:$H,0))),"")</f>
        <v/>
      </c>
      <c r="H3147" s="67" t="str">
        <f>IFERROR(IFERROR(INDEX(Кат!$I:$I,MATCH(Прайс!$B3147,Кат!$G:$G,0)),INDEX(Торг!$I:$I,MATCH(Прайс!$B3147,Торг!$H:$H,0))),"")</f>
        <v/>
      </c>
    </row>
    <row r="3148" spans="1:8" x14ac:dyDescent="0.25">
      <c r="A3148" s="94" t="s">
        <v>4325</v>
      </c>
      <c r="B3148" s="98">
        <v>25026</v>
      </c>
      <c r="C3148" s="98" t="s">
        <v>1670</v>
      </c>
      <c r="D3148" s="96" t="s">
        <v>1668</v>
      </c>
      <c r="E3148" s="97">
        <v>15</v>
      </c>
      <c r="F3148" s="67" t="str">
        <f>IFERROR(IFERROR(INDEX(Кат!$A:$A,MATCH(Прайс!$B3148,Кат!$G:$G,0)),INDEX(Торг!$B:$B,MATCH(Прайс!$B3148,Торг!$H:$H,0))),"")</f>
        <v/>
      </c>
      <c r="G3148" s="67" t="str">
        <f>IFERROR(IFERROR(INDEX(Кат!$B:$B,MATCH(Прайс!$B3148,Кат!$G:$G,0)),INDEX(Торг!$C:$C,MATCH(Прайс!$B3148,Торг!$H:$H,0))),"")</f>
        <v/>
      </c>
      <c r="H3148" s="67" t="str">
        <f>IFERROR(IFERROR(INDEX(Кат!$I:$I,MATCH(Прайс!$B3148,Кат!$G:$G,0)),INDEX(Торг!$I:$I,MATCH(Прайс!$B3148,Торг!$H:$H,0))),"")</f>
        <v/>
      </c>
    </row>
    <row r="3149" spans="1:8" x14ac:dyDescent="0.25">
      <c r="A3149" s="94" t="s">
        <v>4326</v>
      </c>
      <c r="B3149" s="98">
        <v>25027</v>
      </c>
      <c r="C3149" s="98" t="s">
        <v>1671</v>
      </c>
      <c r="D3149" s="96" t="s">
        <v>1668</v>
      </c>
      <c r="E3149" s="117">
        <v>15.4</v>
      </c>
      <c r="F3149" s="67" t="str">
        <f>IFERROR(IFERROR(INDEX(Кат!$A:$A,MATCH(Прайс!$B3149,Кат!$G:$G,0)),INDEX(Торг!$B:$B,MATCH(Прайс!$B3149,Торг!$H:$H,0))),"")</f>
        <v/>
      </c>
      <c r="G3149" s="67" t="str">
        <f>IFERROR(IFERROR(INDEX(Кат!$B:$B,MATCH(Прайс!$B3149,Кат!$G:$G,0)),INDEX(Торг!$C:$C,MATCH(Прайс!$B3149,Торг!$H:$H,0))),"")</f>
        <v/>
      </c>
      <c r="H3149" s="67" t="str">
        <f>IFERROR(IFERROR(INDEX(Кат!$I:$I,MATCH(Прайс!$B3149,Кат!$G:$G,0)),INDEX(Торг!$I:$I,MATCH(Прайс!$B3149,Торг!$H:$H,0))),"")</f>
        <v/>
      </c>
    </row>
    <row r="3150" spans="1:8" x14ac:dyDescent="0.25">
      <c r="A3150" s="94" t="s">
        <v>4327</v>
      </c>
      <c r="B3150" s="98">
        <v>25028</v>
      </c>
      <c r="C3150" s="98" t="s">
        <v>1672</v>
      </c>
      <c r="D3150" s="96" t="s">
        <v>1668</v>
      </c>
      <c r="E3150" s="117">
        <v>16.899999999999999</v>
      </c>
      <c r="F3150" s="67" t="str">
        <f>IFERROR(IFERROR(INDEX(Кат!$A:$A,MATCH(Прайс!$B3150,Кат!$G:$G,0)),INDEX(Торг!$B:$B,MATCH(Прайс!$B3150,Торг!$H:$H,0))),"")</f>
        <v/>
      </c>
      <c r="G3150" s="67" t="str">
        <f>IFERROR(IFERROR(INDEX(Кат!$B:$B,MATCH(Прайс!$B3150,Кат!$G:$G,0)),INDEX(Торг!$C:$C,MATCH(Прайс!$B3150,Торг!$H:$H,0))),"")</f>
        <v/>
      </c>
      <c r="H3150" s="67" t="str">
        <f>IFERROR(IFERROR(INDEX(Кат!$I:$I,MATCH(Прайс!$B3150,Кат!$G:$G,0)),INDEX(Торг!$I:$I,MATCH(Прайс!$B3150,Торг!$H:$H,0))),"")</f>
        <v/>
      </c>
    </row>
    <row r="3151" spans="1:8" x14ac:dyDescent="0.25">
      <c r="A3151" s="94" t="s">
        <v>4328</v>
      </c>
      <c r="B3151" s="98">
        <v>25029</v>
      </c>
      <c r="C3151" s="98" t="s">
        <v>1673</v>
      </c>
      <c r="D3151" s="96" t="s">
        <v>1668</v>
      </c>
      <c r="E3151" s="117">
        <v>18.2</v>
      </c>
      <c r="F3151" s="67" t="str">
        <f>IFERROR(IFERROR(INDEX(Кат!$A:$A,MATCH(Прайс!$B3151,Кат!$G:$G,0)),INDEX(Торг!$B:$B,MATCH(Прайс!$B3151,Торг!$H:$H,0))),"")</f>
        <v/>
      </c>
      <c r="G3151" s="67" t="str">
        <f>IFERROR(IFERROR(INDEX(Кат!$B:$B,MATCH(Прайс!$B3151,Кат!$G:$G,0)),INDEX(Торг!$C:$C,MATCH(Прайс!$B3151,Торг!$H:$H,0))),"")</f>
        <v/>
      </c>
      <c r="H3151" s="67" t="str">
        <f>IFERROR(IFERROR(INDEX(Кат!$I:$I,MATCH(Прайс!$B3151,Кат!$G:$G,0)),INDEX(Торг!$I:$I,MATCH(Прайс!$B3151,Торг!$H:$H,0))),"")</f>
        <v/>
      </c>
    </row>
    <row r="3152" spans="1:8" x14ac:dyDescent="0.25">
      <c r="A3152" s="94" t="s">
        <v>4329</v>
      </c>
      <c r="B3152" s="98">
        <v>25046</v>
      </c>
      <c r="C3152" s="98" t="s">
        <v>1674</v>
      </c>
      <c r="D3152" s="96" t="s">
        <v>159</v>
      </c>
      <c r="E3152" s="97">
        <v>21</v>
      </c>
      <c r="F3152" s="67" t="str">
        <f>IFERROR(IFERROR(INDEX(Кат!$A:$A,MATCH(Прайс!$B3152,Кат!$G:$G,0)),INDEX(Торг!$B:$B,MATCH(Прайс!$B3152,Торг!$H:$H,0))),"")</f>
        <v/>
      </c>
      <c r="G3152" s="67" t="str">
        <f>IFERROR(IFERROR(INDEX(Кат!$B:$B,MATCH(Прайс!$B3152,Кат!$G:$G,0)),INDEX(Торг!$C:$C,MATCH(Прайс!$B3152,Торг!$H:$H,0))),"")</f>
        <v/>
      </c>
      <c r="H3152" s="67" t="str">
        <f>IFERROR(IFERROR(INDEX(Кат!$I:$I,MATCH(Прайс!$B3152,Кат!$G:$G,0)),INDEX(Торг!$I:$I,MATCH(Прайс!$B3152,Торг!$H:$H,0))),"")</f>
        <v/>
      </c>
    </row>
    <row r="3153" spans="1:8" x14ac:dyDescent="0.25">
      <c r="A3153" s="94" t="s">
        <v>4330</v>
      </c>
      <c r="B3153" s="98">
        <v>25030</v>
      </c>
      <c r="C3153" s="98" t="s">
        <v>1675</v>
      </c>
      <c r="D3153" s="96" t="s">
        <v>222</v>
      </c>
      <c r="E3153" s="117">
        <v>18.7</v>
      </c>
      <c r="F3153" s="67" t="str">
        <f>IFERROR(IFERROR(INDEX(Кат!$A:$A,MATCH(Прайс!$B3153,Кат!$G:$G,0)),INDEX(Торг!$B:$B,MATCH(Прайс!$B3153,Торг!$H:$H,0))),"")</f>
        <v/>
      </c>
      <c r="G3153" s="67" t="str">
        <f>IFERROR(IFERROR(INDEX(Кат!$B:$B,MATCH(Прайс!$B3153,Кат!$G:$G,0)),INDEX(Торг!$C:$C,MATCH(Прайс!$B3153,Торг!$H:$H,0))),"")</f>
        <v/>
      </c>
      <c r="H3153" s="67" t="str">
        <f>IFERROR(IFERROR(INDEX(Кат!$I:$I,MATCH(Прайс!$B3153,Кат!$G:$G,0)),INDEX(Торг!$I:$I,MATCH(Прайс!$B3153,Торг!$H:$H,0))),"")</f>
        <v/>
      </c>
    </row>
    <row r="3154" spans="1:8" x14ac:dyDescent="0.25">
      <c r="A3154" s="94" t="s">
        <v>4331</v>
      </c>
      <c r="B3154" s="98">
        <v>25047</v>
      </c>
      <c r="C3154" s="98" t="s">
        <v>1676</v>
      </c>
      <c r="D3154" s="96" t="s">
        <v>165</v>
      </c>
      <c r="E3154" s="97">
        <v>22</v>
      </c>
      <c r="F3154" s="67" t="str">
        <f>IFERROR(IFERROR(INDEX(Кат!$A:$A,MATCH(Прайс!$B3154,Кат!$G:$G,0)),INDEX(Торг!$B:$B,MATCH(Прайс!$B3154,Торг!$H:$H,0))),"")</f>
        <v/>
      </c>
      <c r="G3154" s="67" t="str">
        <f>IFERROR(IFERROR(INDEX(Кат!$B:$B,MATCH(Прайс!$B3154,Кат!$G:$G,0)),INDEX(Торг!$C:$C,MATCH(Прайс!$B3154,Торг!$H:$H,0))),"")</f>
        <v/>
      </c>
      <c r="H3154" s="67" t="str">
        <f>IFERROR(IFERROR(INDEX(Кат!$I:$I,MATCH(Прайс!$B3154,Кат!$G:$G,0)),INDEX(Торг!$I:$I,MATCH(Прайс!$B3154,Торг!$H:$H,0))),"")</f>
        <v/>
      </c>
    </row>
    <row r="3155" spans="1:8" x14ac:dyDescent="0.25">
      <c r="A3155" s="94" t="s">
        <v>4332</v>
      </c>
      <c r="B3155" s="98">
        <v>25031</v>
      </c>
      <c r="C3155" s="98" t="s">
        <v>1677</v>
      </c>
      <c r="D3155" s="96" t="s">
        <v>222</v>
      </c>
      <c r="E3155" s="117">
        <v>19.8</v>
      </c>
      <c r="F3155" s="67" t="str">
        <f>IFERROR(IFERROR(INDEX(Кат!$A:$A,MATCH(Прайс!$B3155,Кат!$G:$G,0)),INDEX(Торг!$B:$B,MATCH(Прайс!$B3155,Торг!$H:$H,0))),"")</f>
        <v/>
      </c>
      <c r="G3155" s="67" t="str">
        <f>IFERROR(IFERROR(INDEX(Кат!$B:$B,MATCH(Прайс!$B3155,Кат!$G:$G,0)),INDEX(Торг!$C:$C,MATCH(Прайс!$B3155,Торг!$H:$H,0))),"")</f>
        <v/>
      </c>
      <c r="H3155" s="67" t="str">
        <f>IFERROR(IFERROR(INDEX(Кат!$I:$I,MATCH(Прайс!$B3155,Кат!$G:$G,0)),INDEX(Торг!$I:$I,MATCH(Прайс!$B3155,Торг!$H:$H,0))),"")</f>
        <v/>
      </c>
    </row>
    <row r="3156" spans="1:8" x14ac:dyDescent="0.25">
      <c r="A3156" s="94" t="s">
        <v>4333</v>
      </c>
      <c r="B3156" s="98">
        <v>25032</v>
      </c>
      <c r="C3156" s="98" t="s">
        <v>1678</v>
      </c>
      <c r="D3156" s="96" t="s">
        <v>222</v>
      </c>
      <c r="E3156" s="117">
        <v>21.5</v>
      </c>
      <c r="F3156" s="67" t="str">
        <f>IFERROR(IFERROR(INDEX(Кат!$A:$A,MATCH(Прайс!$B3156,Кат!$G:$G,0)),INDEX(Торг!$B:$B,MATCH(Прайс!$B3156,Торг!$H:$H,0))),"")</f>
        <v/>
      </c>
      <c r="G3156" s="67" t="str">
        <f>IFERROR(IFERROR(INDEX(Кат!$B:$B,MATCH(Прайс!$B3156,Кат!$G:$G,0)),INDEX(Торг!$C:$C,MATCH(Прайс!$B3156,Торг!$H:$H,0))),"")</f>
        <v/>
      </c>
      <c r="H3156" s="67" t="str">
        <f>IFERROR(IFERROR(INDEX(Кат!$I:$I,MATCH(Прайс!$B3156,Кат!$G:$G,0)),INDEX(Торг!$I:$I,MATCH(Прайс!$B3156,Торг!$H:$H,0))),"")</f>
        <v/>
      </c>
    </row>
    <row r="3157" spans="1:8" x14ac:dyDescent="0.25">
      <c r="A3157" s="94" t="s">
        <v>4334</v>
      </c>
      <c r="B3157" s="98">
        <v>25033</v>
      </c>
      <c r="C3157" s="98" t="s">
        <v>1679</v>
      </c>
      <c r="D3157" s="96" t="s">
        <v>222</v>
      </c>
      <c r="E3157" s="117">
        <v>22.3</v>
      </c>
      <c r="F3157" s="67" t="str">
        <f>IFERROR(IFERROR(INDEX(Кат!$A:$A,MATCH(Прайс!$B3157,Кат!$G:$G,0)),INDEX(Торг!$B:$B,MATCH(Прайс!$B3157,Торг!$H:$H,0))),"")</f>
        <v/>
      </c>
      <c r="G3157" s="67" t="str">
        <f>IFERROR(IFERROR(INDEX(Кат!$B:$B,MATCH(Прайс!$B3157,Кат!$G:$G,0)),INDEX(Торг!$C:$C,MATCH(Прайс!$B3157,Торг!$H:$H,0))),"")</f>
        <v/>
      </c>
      <c r="H3157" s="67" t="str">
        <f>IFERROR(IFERROR(INDEX(Кат!$I:$I,MATCH(Прайс!$B3157,Кат!$G:$G,0)),INDEX(Торг!$I:$I,MATCH(Прайс!$B3157,Торг!$H:$H,0))),"")</f>
        <v/>
      </c>
    </row>
    <row r="3158" spans="1:8" x14ac:dyDescent="0.25">
      <c r="A3158" s="94" t="s">
        <v>4335</v>
      </c>
      <c r="B3158" s="98">
        <v>25021</v>
      </c>
      <c r="C3158" s="98" t="s">
        <v>1680</v>
      </c>
      <c r="D3158" s="96" t="s">
        <v>1664</v>
      </c>
      <c r="E3158" s="117">
        <v>12.5</v>
      </c>
      <c r="F3158" s="67" t="str">
        <f>IFERROR(IFERROR(INDEX(Кат!$A:$A,MATCH(Прайс!$B3158,Кат!$G:$G,0)),INDEX(Торг!$B:$B,MATCH(Прайс!$B3158,Торг!$H:$H,0))),"")</f>
        <v/>
      </c>
      <c r="G3158" s="67" t="str">
        <f>IFERROR(IFERROR(INDEX(Кат!$B:$B,MATCH(Прайс!$B3158,Кат!$G:$G,0)),INDEX(Торг!$C:$C,MATCH(Прайс!$B3158,Торг!$H:$H,0))),"")</f>
        <v/>
      </c>
      <c r="H3158" s="67" t="str">
        <f>IFERROR(IFERROR(INDEX(Кат!$I:$I,MATCH(Прайс!$B3158,Кат!$G:$G,0)),INDEX(Торг!$I:$I,MATCH(Прайс!$B3158,Торг!$H:$H,0))),"")</f>
        <v/>
      </c>
    </row>
    <row r="3159" spans="1:8" x14ac:dyDescent="0.25">
      <c r="A3159" s="94" t="s">
        <v>4336</v>
      </c>
      <c r="B3159" s="98">
        <v>25034</v>
      </c>
      <c r="C3159" s="98" t="s">
        <v>1681</v>
      </c>
      <c r="D3159" s="96" t="s">
        <v>222</v>
      </c>
      <c r="E3159" s="117">
        <v>24.5</v>
      </c>
      <c r="F3159" s="67" t="str">
        <f>IFERROR(IFERROR(INDEX(Кат!$A:$A,MATCH(Прайс!$B3159,Кат!$G:$G,0)),INDEX(Торг!$B:$B,MATCH(Прайс!$B3159,Торг!$H:$H,0))),"")</f>
        <v/>
      </c>
      <c r="G3159" s="67" t="str">
        <f>IFERROR(IFERROR(INDEX(Кат!$B:$B,MATCH(Прайс!$B3159,Кат!$G:$G,0)),INDEX(Торг!$C:$C,MATCH(Прайс!$B3159,Торг!$H:$H,0))),"")</f>
        <v/>
      </c>
      <c r="H3159" s="67" t="str">
        <f>IFERROR(IFERROR(INDEX(Кат!$I:$I,MATCH(Прайс!$B3159,Кат!$G:$G,0)),INDEX(Торг!$I:$I,MATCH(Прайс!$B3159,Торг!$H:$H,0))),"")</f>
        <v/>
      </c>
    </row>
    <row r="3160" spans="1:8" x14ac:dyDescent="0.25">
      <c r="A3160" s="94" t="s">
        <v>4337</v>
      </c>
      <c r="B3160" s="98">
        <v>25054</v>
      </c>
      <c r="C3160" s="98" t="s">
        <v>1682</v>
      </c>
      <c r="D3160" s="96" t="s">
        <v>1668</v>
      </c>
      <c r="E3160" s="97">
        <v>14</v>
      </c>
      <c r="F3160" s="67" t="str">
        <f>IFERROR(IFERROR(INDEX(Кат!$A:$A,MATCH(Прайс!$B3160,Кат!$G:$G,0)),INDEX(Торг!$B:$B,MATCH(Прайс!$B3160,Торг!$H:$H,0))),"")</f>
        <v/>
      </c>
      <c r="G3160" s="67" t="str">
        <f>IFERROR(IFERROR(INDEX(Кат!$B:$B,MATCH(Прайс!$B3160,Кат!$G:$G,0)),INDEX(Торг!$C:$C,MATCH(Прайс!$B3160,Торг!$H:$H,0))),"")</f>
        <v/>
      </c>
      <c r="H3160" s="67" t="str">
        <f>IFERROR(IFERROR(INDEX(Кат!$I:$I,MATCH(Прайс!$B3160,Кат!$G:$G,0)),INDEX(Торг!$I:$I,MATCH(Прайс!$B3160,Торг!$H:$H,0))),"")</f>
        <v/>
      </c>
    </row>
    <row r="3161" spans="1:8" x14ac:dyDescent="0.25">
      <c r="A3161" s="94" t="s">
        <v>4338</v>
      </c>
      <c r="B3161" s="98">
        <v>25055</v>
      </c>
      <c r="C3161" s="98" t="s">
        <v>1683</v>
      </c>
      <c r="D3161" s="96" t="s">
        <v>1668</v>
      </c>
      <c r="E3161" s="97">
        <v>11</v>
      </c>
      <c r="F3161" s="67" t="str">
        <f>IFERROR(IFERROR(INDEX(Кат!$A:$A,MATCH(Прайс!$B3161,Кат!$G:$G,0)),INDEX(Торг!$B:$B,MATCH(Прайс!$B3161,Торг!$H:$H,0))),"")</f>
        <v/>
      </c>
      <c r="G3161" s="67" t="str">
        <f>IFERROR(IFERROR(INDEX(Кат!$B:$B,MATCH(Прайс!$B3161,Кат!$G:$G,0)),INDEX(Торг!$C:$C,MATCH(Прайс!$B3161,Торг!$H:$H,0))),"")</f>
        <v/>
      </c>
      <c r="H3161" s="67" t="str">
        <f>IFERROR(IFERROR(INDEX(Кат!$I:$I,MATCH(Прайс!$B3161,Кат!$G:$G,0)),INDEX(Торг!$I:$I,MATCH(Прайс!$B3161,Торг!$H:$H,0))),"")</f>
        <v/>
      </c>
    </row>
    <row r="3162" spans="1:8" x14ac:dyDescent="0.25">
      <c r="A3162" s="94" t="s">
        <v>4339</v>
      </c>
      <c r="B3162" s="98">
        <v>25059</v>
      </c>
      <c r="C3162" s="98" t="s">
        <v>1684</v>
      </c>
      <c r="D3162" s="96" t="s">
        <v>159</v>
      </c>
      <c r="E3162" s="97">
        <v>33</v>
      </c>
      <c r="F3162" s="67" t="str">
        <f>IFERROR(IFERROR(INDEX(Кат!$A:$A,MATCH(Прайс!$B3162,Кат!$G:$G,0)),INDEX(Торг!$B:$B,MATCH(Прайс!$B3162,Торг!$H:$H,0))),"")</f>
        <v/>
      </c>
      <c r="G3162" s="67" t="str">
        <f>IFERROR(IFERROR(INDEX(Кат!$B:$B,MATCH(Прайс!$B3162,Кат!$G:$G,0)),INDEX(Торг!$C:$C,MATCH(Прайс!$B3162,Торг!$H:$H,0))),"")</f>
        <v/>
      </c>
      <c r="H3162" s="67" t="str">
        <f>IFERROR(IFERROR(INDEX(Кат!$I:$I,MATCH(Прайс!$B3162,Кат!$G:$G,0)),INDEX(Торг!$I:$I,MATCH(Прайс!$B3162,Торг!$H:$H,0))),"")</f>
        <v/>
      </c>
    </row>
    <row r="3163" spans="1:8" x14ac:dyDescent="0.25">
      <c r="A3163" s="94" t="s">
        <v>4340</v>
      </c>
      <c r="B3163" s="98">
        <v>25061</v>
      </c>
      <c r="C3163" s="98" t="s">
        <v>1685</v>
      </c>
      <c r="D3163" s="96" t="s">
        <v>159</v>
      </c>
      <c r="E3163" s="97">
        <v>36</v>
      </c>
      <c r="F3163" s="67" t="str">
        <f>IFERROR(IFERROR(INDEX(Кат!$A:$A,MATCH(Прайс!$B3163,Кат!$G:$G,0)),INDEX(Торг!$B:$B,MATCH(Прайс!$B3163,Торг!$H:$H,0))),"")</f>
        <v/>
      </c>
      <c r="G3163" s="67" t="str">
        <f>IFERROR(IFERROR(INDEX(Кат!$B:$B,MATCH(Прайс!$B3163,Кат!$G:$G,0)),INDEX(Торг!$C:$C,MATCH(Прайс!$B3163,Торг!$H:$H,0))),"")</f>
        <v/>
      </c>
      <c r="H3163" s="67" t="str">
        <f>IFERROR(IFERROR(INDEX(Кат!$I:$I,MATCH(Прайс!$B3163,Кат!$G:$G,0)),INDEX(Торг!$I:$I,MATCH(Прайс!$B3163,Торг!$H:$H,0))),"")</f>
        <v/>
      </c>
    </row>
    <row r="3164" spans="1:8" x14ac:dyDescent="0.25">
      <c r="A3164" s="109" t="s">
        <v>8477</v>
      </c>
      <c r="B3164" s="116">
        <v>25063</v>
      </c>
      <c r="C3164" s="116" t="s">
        <v>8478</v>
      </c>
      <c r="D3164" s="111" t="s">
        <v>1664</v>
      </c>
      <c r="E3164" s="118">
        <v>11.4</v>
      </c>
      <c r="F3164" s="67" t="str">
        <f>IFERROR(IFERROR(INDEX(Кат!$A:$A,MATCH(Прайс!$B3164,Кат!$G:$G,0)),INDEX(Торг!$B:$B,MATCH(Прайс!$B3164,Торг!$H:$H,0))),"")</f>
        <v/>
      </c>
      <c r="G3164" s="67" t="str">
        <f>IFERROR(IFERROR(INDEX(Кат!$B:$B,MATCH(Прайс!$B3164,Кат!$G:$G,0)),INDEX(Торг!$C:$C,MATCH(Прайс!$B3164,Торг!$H:$H,0))),"")</f>
        <v/>
      </c>
      <c r="H3164" s="67" t="str">
        <f>IFERROR(IFERROR(INDEX(Кат!$I:$I,MATCH(Прайс!$B3164,Кат!$G:$G,0)),INDEX(Торг!$I:$I,MATCH(Прайс!$B3164,Торг!$H:$H,0))),"")</f>
        <v/>
      </c>
    </row>
    <row r="3165" spans="1:8" x14ac:dyDescent="0.25">
      <c r="A3165" s="109" t="s">
        <v>8479</v>
      </c>
      <c r="B3165" s="116">
        <v>25064</v>
      </c>
      <c r="C3165" s="116" t="s">
        <v>8480</v>
      </c>
      <c r="D3165" s="111" t="s">
        <v>1664</v>
      </c>
      <c r="E3165" s="118">
        <v>11.6</v>
      </c>
      <c r="F3165" s="67" t="str">
        <f>IFERROR(IFERROR(INDEX(Кат!$A:$A,MATCH(Прайс!$B3165,Кат!$G:$G,0)),INDEX(Торг!$B:$B,MATCH(Прайс!$B3165,Торг!$H:$H,0))),"")</f>
        <v/>
      </c>
      <c r="G3165" s="67" t="str">
        <f>IFERROR(IFERROR(INDEX(Кат!$B:$B,MATCH(Прайс!$B3165,Кат!$G:$G,0)),INDEX(Торг!$C:$C,MATCH(Прайс!$B3165,Торг!$H:$H,0))),"")</f>
        <v/>
      </c>
      <c r="H3165" s="67" t="str">
        <f>IFERROR(IFERROR(INDEX(Кат!$I:$I,MATCH(Прайс!$B3165,Кат!$G:$G,0)),INDEX(Торг!$I:$I,MATCH(Прайс!$B3165,Торг!$H:$H,0))),"")</f>
        <v/>
      </c>
    </row>
    <row r="3166" spans="1:8" x14ac:dyDescent="0.25">
      <c r="A3166" s="109" t="s">
        <v>8481</v>
      </c>
      <c r="B3166" s="116">
        <v>25079</v>
      </c>
      <c r="C3166" s="116" t="s">
        <v>8482</v>
      </c>
      <c r="D3166" s="111" t="s">
        <v>1660</v>
      </c>
      <c r="E3166" s="112">
        <v>27</v>
      </c>
      <c r="F3166" s="67" t="str">
        <f>IFERROR(IFERROR(INDEX(Кат!$A:$A,MATCH(Прайс!$B3166,Кат!$G:$G,0)),INDEX(Торг!$B:$B,MATCH(Прайс!$B3166,Торг!$H:$H,0))),"")</f>
        <v/>
      </c>
      <c r="G3166" s="67" t="str">
        <f>IFERROR(IFERROR(INDEX(Кат!$B:$B,MATCH(Прайс!$B3166,Кат!$G:$G,0)),INDEX(Торг!$C:$C,MATCH(Прайс!$B3166,Торг!$H:$H,0))),"")</f>
        <v/>
      </c>
      <c r="H3166" s="67" t="str">
        <f>IFERROR(IFERROR(INDEX(Кат!$I:$I,MATCH(Прайс!$B3166,Кат!$G:$G,0)),INDEX(Торг!$I:$I,MATCH(Прайс!$B3166,Торг!$H:$H,0))),"")</f>
        <v/>
      </c>
    </row>
    <row r="3167" spans="1:8" x14ac:dyDescent="0.25">
      <c r="A3167" s="109" t="s">
        <v>8483</v>
      </c>
      <c r="B3167" s="116">
        <v>25080</v>
      </c>
      <c r="C3167" s="116" t="s">
        <v>8484</v>
      </c>
      <c r="D3167" s="111" t="s">
        <v>1558</v>
      </c>
      <c r="E3167" s="118">
        <v>28.5</v>
      </c>
      <c r="F3167" s="67" t="str">
        <f>IFERROR(IFERROR(INDEX(Кат!$A:$A,MATCH(Прайс!$B3167,Кат!$G:$G,0)),INDEX(Торг!$B:$B,MATCH(Прайс!$B3167,Торг!$H:$H,0))),"")</f>
        <v/>
      </c>
      <c r="G3167" s="67" t="str">
        <f>IFERROR(IFERROR(INDEX(Кат!$B:$B,MATCH(Прайс!$B3167,Кат!$G:$G,0)),INDEX(Торг!$C:$C,MATCH(Прайс!$B3167,Торг!$H:$H,0))),"")</f>
        <v/>
      </c>
      <c r="H3167" s="67" t="str">
        <f>IFERROR(IFERROR(INDEX(Кат!$I:$I,MATCH(Прайс!$B3167,Кат!$G:$G,0)),INDEX(Торг!$I:$I,MATCH(Прайс!$B3167,Торг!$H:$H,0))),"")</f>
        <v/>
      </c>
    </row>
    <row r="3168" spans="1:8" x14ac:dyDescent="0.25">
      <c r="A3168" s="109" t="s">
        <v>8485</v>
      </c>
      <c r="B3168" s="116">
        <v>25065</v>
      </c>
      <c r="C3168" s="116" t="s">
        <v>8486</v>
      </c>
      <c r="D3168" s="111" t="s">
        <v>1664</v>
      </c>
      <c r="E3168" s="118">
        <v>11.7</v>
      </c>
      <c r="F3168" s="67" t="str">
        <f>IFERROR(IFERROR(INDEX(Кат!$A:$A,MATCH(Прайс!$B3168,Кат!$G:$G,0)),INDEX(Торг!$B:$B,MATCH(Прайс!$B3168,Торг!$H:$H,0))),"")</f>
        <v/>
      </c>
      <c r="G3168" s="67" t="str">
        <f>IFERROR(IFERROR(INDEX(Кат!$B:$B,MATCH(Прайс!$B3168,Кат!$G:$G,0)),INDEX(Торг!$C:$C,MATCH(Прайс!$B3168,Торг!$H:$H,0))),"")</f>
        <v/>
      </c>
      <c r="H3168" s="67" t="str">
        <f>IFERROR(IFERROR(INDEX(Кат!$I:$I,MATCH(Прайс!$B3168,Кат!$G:$G,0)),INDEX(Торг!$I:$I,MATCH(Прайс!$B3168,Торг!$H:$H,0))),"")</f>
        <v/>
      </c>
    </row>
    <row r="3169" spans="1:8" x14ac:dyDescent="0.25">
      <c r="A3169" s="109" t="s">
        <v>8487</v>
      </c>
      <c r="B3169" s="116">
        <v>25066</v>
      </c>
      <c r="C3169" s="116" t="s">
        <v>8488</v>
      </c>
      <c r="D3169" s="111" t="s">
        <v>1668</v>
      </c>
      <c r="E3169" s="118">
        <v>11.9</v>
      </c>
      <c r="F3169" s="67" t="str">
        <f>IFERROR(IFERROR(INDEX(Кат!$A:$A,MATCH(Прайс!$B3169,Кат!$G:$G,0)),INDEX(Торг!$B:$B,MATCH(Прайс!$B3169,Торг!$H:$H,0))),"")</f>
        <v/>
      </c>
      <c r="G3169" s="67" t="str">
        <f>IFERROR(IFERROR(INDEX(Кат!$B:$B,MATCH(Прайс!$B3169,Кат!$G:$G,0)),INDEX(Торг!$C:$C,MATCH(Прайс!$B3169,Торг!$H:$H,0))),"")</f>
        <v/>
      </c>
      <c r="H3169" s="67" t="str">
        <f>IFERROR(IFERROR(INDEX(Кат!$I:$I,MATCH(Прайс!$B3169,Кат!$G:$G,0)),INDEX(Торг!$I:$I,MATCH(Прайс!$B3169,Торг!$H:$H,0))),"")</f>
        <v/>
      </c>
    </row>
    <row r="3170" spans="1:8" x14ac:dyDescent="0.25">
      <c r="A3170" s="109" t="s">
        <v>8489</v>
      </c>
      <c r="B3170" s="116">
        <v>25081</v>
      </c>
      <c r="C3170" s="116" t="s">
        <v>8490</v>
      </c>
      <c r="D3170" s="111" t="s">
        <v>1558</v>
      </c>
      <c r="E3170" s="112">
        <v>30</v>
      </c>
      <c r="F3170" s="67" t="str">
        <f>IFERROR(IFERROR(INDEX(Кат!$A:$A,MATCH(Прайс!$B3170,Кат!$G:$G,0)),INDEX(Торг!$B:$B,MATCH(Прайс!$B3170,Торг!$H:$H,0))),"")</f>
        <v/>
      </c>
      <c r="G3170" s="67" t="str">
        <f>IFERROR(IFERROR(INDEX(Кат!$B:$B,MATCH(Прайс!$B3170,Кат!$G:$G,0)),INDEX(Торг!$C:$C,MATCH(Прайс!$B3170,Торг!$H:$H,0))),"")</f>
        <v/>
      </c>
      <c r="H3170" s="67" t="str">
        <f>IFERROR(IFERROR(INDEX(Кат!$I:$I,MATCH(Прайс!$B3170,Кат!$G:$G,0)),INDEX(Торг!$I:$I,MATCH(Прайс!$B3170,Торг!$H:$H,0))),"")</f>
        <v/>
      </c>
    </row>
    <row r="3171" spans="1:8" x14ac:dyDescent="0.25">
      <c r="A3171" s="109" t="s">
        <v>8491</v>
      </c>
      <c r="B3171" s="116">
        <v>25067</v>
      </c>
      <c r="C3171" s="116" t="s">
        <v>8492</v>
      </c>
      <c r="D3171" s="111" t="s">
        <v>1668</v>
      </c>
      <c r="E3171" s="118">
        <v>12.8</v>
      </c>
      <c r="F3171" s="67" t="str">
        <f>IFERROR(IFERROR(INDEX(Кат!$A:$A,MATCH(Прайс!$B3171,Кат!$G:$G,0)),INDEX(Торг!$B:$B,MATCH(Прайс!$B3171,Торг!$H:$H,0))),"")</f>
        <v/>
      </c>
      <c r="G3171" s="67" t="str">
        <f>IFERROR(IFERROR(INDEX(Кат!$B:$B,MATCH(Прайс!$B3171,Кат!$G:$G,0)),INDEX(Торг!$C:$C,MATCH(Прайс!$B3171,Торг!$H:$H,0))),"")</f>
        <v/>
      </c>
      <c r="H3171" s="67" t="str">
        <f>IFERROR(IFERROR(INDEX(Кат!$I:$I,MATCH(Прайс!$B3171,Кат!$G:$G,0)),INDEX(Торг!$I:$I,MATCH(Прайс!$B3171,Торг!$H:$H,0))),"")</f>
        <v/>
      </c>
    </row>
    <row r="3172" spans="1:8" x14ac:dyDescent="0.25">
      <c r="A3172" s="109" t="s">
        <v>8493</v>
      </c>
      <c r="B3172" s="116">
        <v>25068</v>
      </c>
      <c r="C3172" s="116" t="s">
        <v>8494</v>
      </c>
      <c r="D3172" s="111" t="s">
        <v>1668</v>
      </c>
      <c r="E3172" s="112">
        <v>13</v>
      </c>
      <c r="F3172" s="67" t="str">
        <f>IFERROR(IFERROR(INDEX(Кат!$A:$A,MATCH(Прайс!$B3172,Кат!$G:$G,0)),INDEX(Торг!$B:$B,MATCH(Прайс!$B3172,Торг!$H:$H,0))),"")</f>
        <v/>
      </c>
      <c r="G3172" s="67" t="str">
        <f>IFERROR(IFERROR(INDEX(Кат!$B:$B,MATCH(Прайс!$B3172,Кат!$G:$G,0)),INDEX(Торг!$C:$C,MATCH(Прайс!$B3172,Торг!$H:$H,0))),"")</f>
        <v/>
      </c>
      <c r="H3172" s="67" t="str">
        <f>IFERROR(IFERROR(INDEX(Кат!$I:$I,MATCH(Прайс!$B3172,Кат!$G:$G,0)),INDEX(Торг!$I:$I,MATCH(Прайс!$B3172,Торг!$H:$H,0))),"")</f>
        <v/>
      </c>
    </row>
    <row r="3173" spans="1:8" x14ac:dyDescent="0.25">
      <c r="A3173" s="109" t="s">
        <v>8495</v>
      </c>
      <c r="B3173" s="116">
        <v>25069</v>
      </c>
      <c r="C3173" s="116" t="s">
        <v>8496</v>
      </c>
      <c r="D3173" s="111" t="s">
        <v>1668</v>
      </c>
      <c r="E3173" s="118">
        <v>14.1</v>
      </c>
      <c r="F3173" s="67" t="str">
        <f>IFERROR(IFERROR(INDEX(Кат!$A:$A,MATCH(Прайс!$B3173,Кат!$G:$G,0)),INDEX(Торг!$B:$B,MATCH(Прайс!$B3173,Торг!$H:$H,0))),"")</f>
        <v/>
      </c>
      <c r="G3173" s="67" t="str">
        <f>IFERROR(IFERROR(INDEX(Кат!$B:$B,MATCH(Прайс!$B3173,Кат!$G:$G,0)),INDEX(Торг!$C:$C,MATCH(Прайс!$B3173,Торг!$H:$H,0))),"")</f>
        <v/>
      </c>
      <c r="H3173" s="67" t="str">
        <f>IFERROR(IFERROR(INDEX(Кат!$I:$I,MATCH(Прайс!$B3173,Кат!$G:$G,0)),INDEX(Торг!$I:$I,MATCH(Прайс!$B3173,Торг!$H:$H,0))),"")</f>
        <v/>
      </c>
    </row>
    <row r="3174" spans="1:8" x14ac:dyDescent="0.25">
      <c r="A3174" s="109" t="s">
        <v>8497</v>
      </c>
      <c r="B3174" s="116">
        <v>25070</v>
      </c>
      <c r="C3174" s="116" t="s">
        <v>8498</v>
      </c>
      <c r="D3174" s="111" t="s">
        <v>1668</v>
      </c>
      <c r="E3174" s="118">
        <v>15.4</v>
      </c>
      <c r="F3174" s="67" t="str">
        <f>IFERROR(IFERROR(INDEX(Кат!$A:$A,MATCH(Прайс!$B3174,Кат!$G:$G,0)),INDEX(Торг!$B:$B,MATCH(Прайс!$B3174,Торг!$H:$H,0))),"")</f>
        <v/>
      </c>
      <c r="G3174" s="67" t="str">
        <f>IFERROR(IFERROR(INDEX(Кат!$B:$B,MATCH(Прайс!$B3174,Кат!$G:$G,0)),INDEX(Торг!$C:$C,MATCH(Прайс!$B3174,Торг!$H:$H,0))),"")</f>
        <v/>
      </c>
      <c r="H3174" s="67" t="str">
        <f>IFERROR(IFERROR(INDEX(Кат!$I:$I,MATCH(Прайс!$B3174,Кат!$G:$G,0)),INDEX(Торг!$I:$I,MATCH(Прайс!$B3174,Торг!$H:$H,0))),"")</f>
        <v/>
      </c>
    </row>
    <row r="3175" spans="1:8" x14ac:dyDescent="0.25">
      <c r="A3175" s="109" t="s">
        <v>8499</v>
      </c>
      <c r="B3175" s="116">
        <v>25071</v>
      </c>
      <c r="C3175" s="116" t="s">
        <v>8500</v>
      </c>
      <c r="D3175" s="111" t="s">
        <v>1668</v>
      </c>
      <c r="E3175" s="112">
        <v>16</v>
      </c>
      <c r="F3175" s="67" t="str">
        <f>IFERROR(IFERROR(INDEX(Кат!$A:$A,MATCH(Прайс!$B3175,Кат!$G:$G,0)),INDEX(Торг!$B:$B,MATCH(Прайс!$B3175,Торг!$H:$H,0))),"")</f>
        <v/>
      </c>
      <c r="G3175" s="67" t="str">
        <f>IFERROR(IFERROR(INDEX(Кат!$B:$B,MATCH(Прайс!$B3175,Кат!$G:$G,0)),INDEX(Торг!$C:$C,MATCH(Прайс!$B3175,Торг!$H:$H,0))),"")</f>
        <v/>
      </c>
      <c r="H3175" s="67" t="str">
        <f>IFERROR(IFERROR(INDEX(Кат!$I:$I,MATCH(Прайс!$B3175,Кат!$G:$G,0)),INDEX(Торг!$I:$I,MATCH(Прайс!$B3175,Торг!$H:$H,0))),"")</f>
        <v/>
      </c>
    </row>
    <row r="3176" spans="1:8" x14ac:dyDescent="0.25">
      <c r="A3176" s="109" t="s">
        <v>8501</v>
      </c>
      <c r="B3176" s="116">
        <v>25072</v>
      </c>
      <c r="C3176" s="116" t="s">
        <v>8502</v>
      </c>
      <c r="D3176" s="111" t="s">
        <v>1668</v>
      </c>
      <c r="E3176" s="118">
        <v>19.2</v>
      </c>
      <c r="F3176" s="67" t="str">
        <f>IFERROR(IFERROR(INDEX(Кат!$A:$A,MATCH(Прайс!$B3176,Кат!$G:$G,0)),INDEX(Торг!$B:$B,MATCH(Прайс!$B3176,Торг!$H:$H,0))),"")</f>
        <v/>
      </c>
      <c r="G3176" s="67" t="str">
        <f>IFERROR(IFERROR(INDEX(Кат!$B:$B,MATCH(Прайс!$B3176,Кат!$G:$G,0)),INDEX(Торг!$C:$C,MATCH(Прайс!$B3176,Торг!$H:$H,0))),"")</f>
        <v/>
      </c>
      <c r="H3176" s="67" t="str">
        <f>IFERROR(IFERROR(INDEX(Кат!$I:$I,MATCH(Прайс!$B3176,Кат!$G:$G,0)),INDEX(Торг!$I:$I,MATCH(Прайс!$B3176,Торг!$H:$H,0))),"")</f>
        <v/>
      </c>
    </row>
    <row r="3177" spans="1:8" x14ac:dyDescent="0.25">
      <c r="A3177" s="109" t="s">
        <v>8503</v>
      </c>
      <c r="B3177" s="116">
        <v>25073</v>
      </c>
      <c r="C3177" s="116" t="s">
        <v>8504</v>
      </c>
      <c r="D3177" s="111" t="s">
        <v>222</v>
      </c>
      <c r="E3177" s="119">
        <v>21.15</v>
      </c>
      <c r="F3177" s="67" t="str">
        <f>IFERROR(IFERROR(INDEX(Кат!$A:$A,MATCH(Прайс!$B3177,Кат!$G:$G,0)),INDEX(Торг!$B:$B,MATCH(Прайс!$B3177,Торг!$H:$H,0))),"")</f>
        <v/>
      </c>
      <c r="G3177" s="67" t="str">
        <f>IFERROR(IFERROR(INDEX(Кат!$B:$B,MATCH(Прайс!$B3177,Кат!$G:$G,0)),INDEX(Торг!$C:$C,MATCH(Прайс!$B3177,Торг!$H:$H,0))),"")</f>
        <v/>
      </c>
      <c r="H3177" s="67" t="str">
        <f>IFERROR(IFERROR(INDEX(Кат!$I:$I,MATCH(Прайс!$B3177,Кат!$G:$G,0)),INDEX(Торг!$I:$I,MATCH(Прайс!$B3177,Торг!$H:$H,0))),"")</f>
        <v/>
      </c>
    </row>
    <row r="3178" spans="1:8" x14ac:dyDescent="0.25">
      <c r="A3178" s="109" t="s">
        <v>8505</v>
      </c>
      <c r="B3178" s="116">
        <v>25074</v>
      </c>
      <c r="C3178" s="116" t="s">
        <v>8506</v>
      </c>
      <c r="D3178" s="111" t="s">
        <v>222</v>
      </c>
      <c r="E3178" s="118">
        <v>21.5</v>
      </c>
      <c r="F3178" s="67" t="str">
        <f>IFERROR(IFERROR(INDEX(Кат!$A:$A,MATCH(Прайс!$B3178,Кат!$G:$G,0)),INDEX(Торг!$B:$B,MATCH(Прайс!$B3178,Торг!$H:$H,0))),"")</f>
        <v/>
      </c>
      <c r="G3178" s="67" t="str">
        <f>IFERROR(IFERROR(INDEX(Кат!$B:$B,MATCH(Прайс!$B3178,Кат!$G:$G,0)),INDEX(Торг!$C:$C,MATCH(Прайс!$B3178,Торг!$H:$H,0))),"")</f>
        <v/>
      </c>
      <c r="H3178" s="67" t="str">
        <f>IFERROR(IFERROR(INDEX(Кат!$I:$I,MATCH(Прайс!$B3178,Кат!$G:$G,0)),INDEX(Торг!$I:$I,MATCH(Прайс!$B3178,Торг!$H:$H,0))),"")</f>
        <v/>
      </c>
    </row>
    <row r="3179" spans="1:8" x14ac:dyDescent="0.25">
      <c r="A3179" s="109" t="s">
        <v>8507</v>
      </c>
      <c r="B3179" s="116">
        <v>25075</v>
      </c>
      <c r="C3179" s="116" t="s">
        <v>8508</v>
      </c>
      <c r="D3179" s="111" t="s">
        <v>222</v>
      </c>
      <c r="E3179" s="118">
        <v>22.2</v>
      </c>
      <c r="F3179" s="67" t="str">
        <f>IFERROR(IFERROR(INDEX(Кат!$A:$A,MATCH(Прайс!$B3179,Кат!$G:$G,0)),INDEX(Торг!$B:$B,MATCH(Прайс!$B3179,Торг!$H:$H,0))),"")</f>
        <v/>
      </c>
      <c r="G3179" s="67" t="str">
        <f>IFERROR(IFERROR(INDEX(Кат!$B:$B,MATCH(Прайс!$B3179,Кат!$G:$G,0)),INDEX(Торг!$C:$C,MATCH(Прайс!$B3179,Торг!$H:$H,0))),"")</f>
        <v/>
      </c>
      <c r="H3179" s="67" t="str">
        <f>IFERROR(IFERROR(INDEX(Кат!$I:$I,MATCH(Прайс!$B3179,Кат!$G:$G,0)),INDEX(Торг!$I:$I,MATCH(Прайс!$B3179,Торг!$H:$H,0))),"")</f>
        <v/>
      </c>
    </row>
    <row r="3180" spans="1:8" x14ac:dyDescent="0.25">
      <c r="A3180" s="109" t="s">
        <v>8509</v>
      </c>
      <c r="B3180" s="116">
        <v>25076</v>
      </c>
      <c r="C3180" s="116" t="s">
        <v>8510</v>
      </c>
      <c r="D3180" s="111" t="s">
        <v>222</v>
      </c>
      <c r="E3180" s="119">
        <v>23.75</v>
      </c>
      <c r="F3180" s="67" t="str">
        <f>IFERROR(IFERROR(INDEX(Кат!$A:$A,MATCH(Прайс!$B3180,Кат!$G:$G,0)),INDEX(Торг!$B:$B,MATCH(Прайс!$B3180,Торг!$H:$H,0))),"")</f>
        <v/>
      </c>
      <c r="G3180" s="67" t="str">
        <f>IFERROR(IFERROR(INDEX(Кат!$B:$B,MATCH(Прайс!$B3180,Кат!$G:$G,0)),INDEX(Торг!$C:$C,MATCH(Прайс!$B3180,Торг!$H:$H,0))),"")</f>
        <v/>
      </c>
      <c r="H3180" s="67" t="str">
        <f>IFERROR(IFERROR(INDEX(Кат!$I:$I,MATCH(Прайс!$B3180,Кат!$G:$G,0)),INDEX(Торг!$I:$I,MATCH(Прайс!$B3180,Торг!$H:$H,0))),"")</f>
        <v/>
      </c>
    </row>
    <row r="3181" spans="1:8" x14ac:dyDescent="0.25">
      <c r="A3181" s="109" t="s">
        <v>8511</v>
      </c>
      <c r="B3181" s="116">
        <v>25077</v>
      </c>
      <c r="C3181" s="116" t="s">
        <v>8512</v>
      </c>
      <c r="D3181" s="111" t="s">
        <v>222</v>
      </c>
      <c r="E3181" s="118">
        <v>24.5</v>
      </c>
      <c r="F3181" s="67" t="str">
        <f>IFERROR(IFERROR(INDEX(Кат!$A:$A,MATCH(Прайс!$B3181,Кат!$G:$G,0)),INDEX(Торг!$B:$B,MATCH(Прайс!$B3181,Торг!$H:$H,0))),"")</f>
        <v/>
      </c>
      <c r="G3181" s="67" t="str">
        <f>IFERROR(IFERROR(INDEX(Кат!$B:$B,MATCH(Прайс!$B3181,Кат!$G:$G,0)),INDEX(Торг!$C:$C,MATCH(Прайс!$B3181,Торг!$H:$H,0))),"")</f>
        <v/>
      </c>
      <c r="H3181" s="67" t="str">
        <f>IFERROR(IFERROR(INDEX(Кат!$I:$I,MATCH(Прайс!$B3181,Кат!$G:$G,0)),INDEX(Торг!$I:$I,MATCH(Прайс!$B3181,Торг!$H:$H,0))),"")</f>
        <v/>
      </c>
    </row>
    <row r="3182" spans="1:8" x14ac:dyDescent="0.25">
      <c r="A3182" s="109" t="s">
        <v>8513</v>
      </c>
      <c r="B3182" s="116">
        <v>25078</v>
      </c>
      <c r="C3182" s="116" t="s">
        <v>8514</v>
      </c>
      <c r="D3182" s="111" t="s">
        <v>1660</v>
      </c>
      <c r="E3182" s="118">
        <v>25.8</v>
      </c>
      <c r="F3182" s="67" t="str">
        <f>IFERROR(IFERROR(INDEX(Кат!$A:$A,MATCH(Прайс!$B3182,Кат!$G:$G,0)),INDEX(Торг!$B:$B,MATCH(Прайс!$B3182,Торг!$H:$H,0))),"")</f>
        <v/>
      </c>
      <c r="G3182" s="67" t="str">
        <f>IFERROR(IFERROR(INDEX(Кат!$B:$B,MATCH(Прайс!$B3182,Кат!$G:$G,0)),INDEX(Торг!$C:$C,MATCH(Прайс!$B3182,Торг!$H:$H,0))),"")</f>
        <v/>
      </c>
      <c r="H3182" s="67" t="str">
        <f>IFERROR(IFERROR(INDEX(Кат!$I:$I,MATCH(Прайс!$B3182,Кат!$G:$G,0)),INDEX(Торг!$I:$I,MATCH(Прайс!$B3182,Торг!$H:$H,0))),"")</f>
        <v/>
      </c>
    </row>
    <row r="3183" spans="1:8" ht="15.75" x14ac:dyDescent="0.25">
      <c r="A3183" s="87"/>
      <c r="B3183" s="88"/>
      <c r="C3183" s="88" t="s">
        <v>1686</v>
      </c>
      <c r="D3183" s="88"/>
      <c r="E3183" s="89"/>
      <c r="F3183" s="67" t="str">
        <f>IFERROR(IFERROR(INDEX(Кат!$A:$A,MATCH(Прайс!$B3183,Кат!$G:$G,0)),INDEX(Торг!$B:$B,MATCH(Прайс!$B3183,Торг!$H:$H,0))),"")</f>
        <v/>
      </c>
      <c r="G3183" s="67" t="str">
        <f>IFERROR(IFERROR(INDEX(Кат!$B:$B,MATCH(Прайс!$B3183,Кат!$G:$G,0)),INDEX(Торг!$C:$C,MATCH(Прайс!$B3183,Торг!$H:$H,0))),"")</f>
        <v/>
      </c>
      <c r="H3183" s="67" t="str">
        <f>IFERROR(IFERROR(INDEX(Кат!$I:$I,MATCH(Прайс!$B3183,Кат!$G:$G,0)),INDEX(Торг!$I:$I,MATCH(Прайс!$B3183,Торг!$H:$H,0))),"")</f>
        <v/>
      </c>
    </row>
    <row r="3184" spans="1:8" ht="15.75" x14ac:dyDescent="0.25">
      <c r="A3184" s="90"/>
      <c r="B3184" s="91"/>
      <c r="C3184" s="92" t="s">
        <v>1687</v>
      </c>
      <c r="D3184" s="91"/>
      <c r="E3184" s="93"/>
      <c r="F3184" s="67" t="str">
        <f>IFERROR(IFERROR(INDEX(Кат!$A:$A,MATCH(Прайс!$B3184,Кат!$G:$G,0)),INDEX(Торг!$B:$B,MATCH(Прайс!$B3184,Торг!$H:$H,0))),"")</f>
        <v/>
      </c>
      <c r="G3184" s="67" t="str">
        <f>IFERROR(IFERROR(INDEX(Кат!$B:$B,MATCH(Прайс!$B3184,Кат!$G:$G,0)),INDEX(Торг!$C:$C,MATCH(Прайс!$B3184,Торг!$H:$H,0))),"")</f>
        <v/>
      </c>
      <c r="H3184" s="67" t="str">
        <f>IFERROR(IFERROR(INDEX(Кат!$I:$I,MATCH(Прайс!$B3184,Кат!$G:$G,0)),INDEX(Торг!$I:$I,MATCH(Прайс!$B3184,Торг!$H:$H,0))),"")</f>
        <v/>
      </c>
    </row>
    <row r="3185" spans="1:8" x14ac:dyDescent="0.25">
      <c r="A3185" s="94" t="s">
        <v>4341</v>
      </c>
      <c r="B3185" s="95">
        <v>26001</v>
      </c>
      <c r="C3185" s="95" t="s">
        <v>5357</v>
      </c>
      <c r="D3185" s="96" t="s">
        <v>190</v>
      </c>
      <c r="E3185" s="97">
        <v>7</v>
      </c>
      <c r="F3185" s="67" t="str">
        <f>IFERROR(IFERROR(INDEX(Кат!$A:$A,MATCH(Прайс!$B3185,Кат!$G:$G,0)),INDEX(Торг!$B:$B,MATCH(Прайс!$B3185,Торг!$H:$H,0))),"")</f>
        <v/>
      </c>
      <c r="G3185" s="67" t="str">
        <f>IFERROR(IFERROR(INDEX(Кат!$B:$B,MATCH(Прайс!$B3185,Кат!$G:$G,0)),INDEX(Торг!$C:$C,MATCH(Прайс!$B3185,Торг!$H:$H,0))),"")</f>
        <v/>
      </c>
      <c r="H3185" s="67" t="str">
        <f>IFERROR(IFERROR(INDEX(Кат!$I:$I,MATCH(Прайс!$B3185,Кат!$G:$G,0)),INDEX(Торг!$I:$I,MATCH(Прайс!$B3185,Торг!$H:$H,0))),"")</f>
        <v/>
      </c>
    </row>
    <row r="3186" spans="1:8" x14ac:dyDescent="0.25">
      <c r="A3186" s="94" t="s">
        <v>4342</v>
      </c>
      <c r="B3186" s="95">
        <v>26002</v>
      </c>
      <c r="C3186" s="95" t="s">
        <v>5358</v>
      </c>
      <c r="D3186" s="96" t="s">
        <v>1668</v>
      </c>
      <c r="E3186" s="97">
        <v>6</v>
      </c>
      <c r="F3186" s="67" t="str">
        <f>IFERROR(IFERROR(INDEX(Кат!$A:$A,MATCH(Прайс!$B3186,Кат!$G:$G,0)),INDEX(Торг!$B:$B,MATCH(Прайс!$B3186,Торг!$H:$H,0))),"")</f>
        <v/>
      </c>
      <c r="G3186" s="67" t="str">
        <f>IFERROR(IFERROR(INDEX(Кат!$B:$B,MATCH(Прайс!$B3186,Кат!$G:$G,0)),INDEX(Торг!$C:$C,MATCH(Прайс!$B3186,Торг!$H:$H,0))),"")</f>
        <v/>
      </c>
      <c r="H3186" s="67" t="str">
        <f>IFERROR(IFERROR(INDEX(Кат!$I:$I,MATCH(Прайс!$B3186,Кат!$G:$G,0)),INDEX(Торг!$I:$I,MATCH(Прайс!$B3186,Торг!$H:$H,0))),"")</f>
        <v/>
      </c>
    </row>
    <row r="3187" spans="1:8" x14ac:dyDescent="0.25">
      <c r="A3187" s="94" t="s">
        <v>5996</v>
      </c>
      <c r="B3187" s="98">
        <v>26052</v>
      </c>
      <c r="C3187" s="98" t="s">
        <v>7890</v>
      </c>
      <c r="D3187" s="96" t="s">
        <v>190</v>
      </c>
      <c r="E3187" s="97">
        <v>30</v>
      </c>
      <c r="F3187" s="67" t="str">
        <f>IFERROR(IFERROR(INDEX(Кат!$A:$A,MATCH(Прайс!$B3187,Кат!$G:$G,0)),INDEX(Торг!$B:$B,MATCH(Прайс!$B3187,Торг!$H:$H,0))),"")</f>
        <v/>
      </c>
      <c r="G3187" s="67" t="str">
        <f>IFERROR(IFERROR(INDEX(Кат!$B:$B,MATCH(Прайс!$B3187,Кат!$G:$G,0)),INDEX(Торг!$C:$C,MATCH(Прайс!$B3187,Торг!$H:$H,0))),"")</f>
        <v/>
      </c>
      <c r="H3187" s="67" t="str">
        <f>IFERROR(IFERROR(INDEX(Кат!$I:$I,MATCH(Прайс!$B3187,Кат!$G:$G,0)),INDEX(Торг!$I:$I,MATCH(Прайс!$B3187,Торг!$H:$H,0))),"")</f>
        <v/>
      </c>
    </row>
    <row r="3188" spans="1:8" x14ac:dyDescent="0.25">
      <c r="A3188" s="94" t="s">
        <v>7891</v>
      </c>
      <c r="B3188" s="98">
        <v>26053</v>
      </c>
      <c r="C3188" s="98" t="s">
        <v>7892</v>
      </c>
      <c r="D3188" s="96" t="s">
        <v>162</v>
      </c>
      <c r="E3188" s="97">
        <v>42</v>
      </c>
      <c r="F3188" s="67" t="str">
        <f>IFERROR(IFERROR(INDEX(Кат!$A:$A,MATCH(Прайс!$B3188,Кат!$G:$G,0)),INDEX(Торг!$B:$B,MATCH(Прайс!$B3188,Торг!$H:$H,0))),"")</f>
        <v/>
      </c>
      <c r="G3188" s="67" t="str">
        <f>IFERROR(IFERROR(INDEX(Кат!$B:$B,MATCH(Прайс!$B3188,Кат!$G:$G,0)),INDEX(Торг!$C:$C,MATCH(Прайс!$B3188,Торг!$H:$H,0))),"")</f>
        <v/>
      </c>
      <c r="H3188" s="67" t="str">
        <f>IFERROR(IFERROR(INDEX(Кат!$I:$I,MATCH(Прайс!$B3188,Кат!$G:$G,0)),INDEX(Торг!$I:$I,MATCH(Прайс!$B3188,Торг!$H:$H,0))),"")</f>
        <v/>
      </c>
    </row>
    <row r="3189" spans="1:8" ht="15.75" x14ac:dyDescent="0.25">
      <c r="A3189" s="90"/>
      <c r="B3189" s="91"/>
      <c r="C3189" s="92" t="s">
        <v>1688</v>
      </c>
      <c r="D3189" s="91"/>
      <c r="E3189" s="93"/>
      <c r="F3189" s="67" t="str">
        <f>IFERROR(IFERROR(INDEX(Кат!$A:$A,MATCH(Прайс!$B3189,Кат!$G:$G,0)),INDEX(Торг!$B:$B,MATCH(Прайс!$B3189,Торг!$H:$H,0))),"")</f>
        <v/>
      </c>
      <c r="G3189" s="67" t="str">
        <f>IFERROR(IFERROR(INDEX(Кат!$B:$B,MATCH(Прайс!$B3189,Кат!$G:$G,0)),INDEX(Торг!$C:$C,MATCH(Прайс!$B3189,Торг!$H:$H,0))),"")</f>
        <v/>
      </c>
      <c r="H3189" s="67" t="str">
        <f>IFERROR(IFERROR(INDEX(Кат!$I:$I,MATCH(Прайс!$B3189,Кат!$G:$G,0)),INDEX(Торг!$I:$I,MATCH(Прайс!$B3189,Торг!$H:$H,0))),"")</f>
        <v/>
      </c>
    </row>
    <row r="3190" spans="1:8" x14ac:dyDescent="0.25">
      <c r="A3190" s="94" t="s">
        <v>4343</v>
      </c>
      <c r="B3190" s="98">
        <v>26003</v>
      </c>
      <c r="C3190" s="98" t="s">
        <v>1689</v>
      </c>
      <c r="D3190" s="96" t="s">
        <v>159</v>
      </c>
      <c r="E3190" s="97">
        <v>16</v>
      </c>
      <c r="F3190" s="67" t="str">
        <f>IFERROR(IFERROR(INDEX(Кат!$A:$A,MATCH(Прайс!$B3190,Кат!$G:$G,0)),INDEX(Торг!$B:$B,MATCH(Прайс!$B3190,Торг!$H:$H,0))),"")</f>
        <v/>
      </c>
      <c r="G3190" s="67" t="str">
        <f>IFERROR(IFERROR(INDEX(Кат!$B:$B,MATCH(Прайс!$B3190,Кат!$G:$G,0)),INDEX(Торг!$C:$C,MATCH(Прайс!$B3190,Торг!$H:$H,0))),"")</f>
        <v/>
      </c>
      <c r="H3190" s="67" t="str">
        <f>IFERROR(IFERROR(INDEX(Кат!$I:$I,MATCH(Прайс!$B3190,Кат!$G:$G,0)),INDEX(Торг!$I:$I,MATCH(Прайс!$B3190,Торг!$H:$H,0))),"")</f>
        <v/>
      </c>
    </row>
    <row r="3191" spans="1:8" x14ac:dyDescent="0.25">
      <c r="A3191" s="94" t="s">
        <v>4344</v>
      </c>
      <c r="B3191" s="98">
        <v>26004</v>
      </c>
      <c r="C3191" s="98" t="s">
        <v>1690</v>
      </c>
      <c r="D3191" s="96" t="s">
        <v>1606</v>
      </c>
      <c r="E3191" s="97">
        <v>17</v>
      </c>
      <c r="F3191" s="67" t="str">
        <f>IFERROR(IFERROR(INDEX(Кат!$A:$A,MATCH(Прайс!$B3191,Кат!$G:$G,0)),INDEX(Торг!$B:$B,MATCH(Прайс!$B3191,Торг!$H:$H,0))),"")</f>
        <v/>
      </c>
      <c r="G3191" s="67" t="str">
        <f>IFERROR(IFERROR(INDEX(Кат!$B:$B,MATCH(Прайс!$B3191,Кат!$G:$G,0)),INDEX(Торг!$C:$C,MATCH(Прайс!$B3191,Торг!$H:$H,0))),"")</f>
        <v/>
      </c>
      <c r="H3191" s="67" t="str">
        <f>IFERROR(IFERROR(INDEX(Кат!$I:$I,MATCH(Прайс!$B3191,Кат!$G:$G,0)),INDEX(Торг!$I:$I,MATCH(Прайс!$B3191,Торг!$H:$H,0))),"")</f>
        <v/>
      </c>
    </row>
    <row r="3192" spans="1:8" ht="15.75" x14ac:dyDescent="0.25">
      <c r="A3192" s="90"/>
      <c r="B3192" s="91"/>
      <c r="C3192" s="92" t="s">
        <v>1691</v>
      </c>
      <c r="D3192" s="91"/>
      <c r="E3192" s="93"/>
      <c r="F3192" s="67" t="str">
        <f>IFERROR(IFERROR(INDEX(Кат!$A:$A,MATCH(Прайс!$B3192,Кат!$G:$G,0)),INDEX(Торг!$B:$B,MATCH(Прайс!$B3192,Торг!$H:$H,0))),"")</f>
        <v/>
      </c>
      <c r="G3192" s="67" t="str">
        <f>IFERROR(IFERROR(INDEX(Кат!$B:$B,MATCH(Прайс!$B3192,Кат!$G:$G,0)),INDEX(Торг!$C:$C,MATCH(Прайс!$B3192,Торг!$H:$H,0))),"")</f>
        <v/>
      </c>
      <c r="H3192" s="67" t="str">
        <f>IFERROR(IFERROR(INDEX(Кат!$I:$I,MATCH(Прайс!$B3192,Кат!$G:$G,0)),INDEX(Торг!$I:$I,MATCH(Прайс!$B3192,Торг!$H:$H,0))),"")</f>
        <v/>
      </c>
    </row>
    <row r="3193" spans="1:8" x14ac:dyDescent="0.25">
      <c r="A3193" s="94" t="s">
        <v>4345</v>
      </c>
      <c r="B3193" s="98">
        <v>26023</v>
      </c>
      <c r="C3193" s="98" t="s">
        <v>1692</v>
      </c>
      <c r="D3193" s="96" t="s">
        <v>1408</v>
      </c>
      <c r="E3193" s="97">
        <v>370</v>
      </c>
      <c r="F3193" s="67" t="str">
        <f>IFERROR(IFERROR(INDEX(Кат!$A:$A,MATCH(Прайс!$B3193,Кат!$G:$G,0)),INDEX(Торг!$B:$B,MATCH(Прайс!$B3193,Торг!$H:$H,0))),"")</f>
        <v/>
      </c>
      <c r="G3193" s="67" t="str">
        <f>IFERROR(IFERROR(INDEX(Кат!$B:$B,MATCH(Прайс!$B3193,Кат!$G:$G,0)),INDEX(Торг!$C:$C,MATCH(Прайс!$B3193,Торг!$H:$H,0))),"")</f>
        <v/>
      </c>
      <c r="H3193" s="67" t="str">
        <f>IFERROR(IFERROR(INDEX(Кат!$I:$I,MATCH(Прайс!$B3193,Кат!$G:$G,0)),INDEX(Торг!$I:$I,MATCH(Прайс!$B3193,Торг!$H:$H,0))),"")</f>
        <v/>
      </c>
    </row>
    <row r="3194" spans="1:8" x14ac:dyDescent="0.25">
      <c r="A3194" s="94" t="s">
        <v>4948</v>
      </c>
      <c r="B3194" s="98">
        <v>26044</v>
      </c>
      <c r="C3194" s="98" t="s">
        <v>4949</v>
      </c>
      <c r="D3194" s="96" t="s">
        <v>162</v>
      </c>
      <c r="E3194" s="97">
        <v>390</v>
      </c>
      <c r="F3194" s="67" t="str">
        <f>IFERROR(IFERROR(INDEX(Кат!$A:$A,MATCH(Прайс!$B3194,Кат!$G:$G,0)),INDEX(Торг!$B:$B,MATCH(Прайс!$B3194,Торг!$H:$H,0))),"")</f>
        <v/>
      </c>
      <c r="G3194" s="67" t="str">
        <f>IFERROR(IFERROR(INDEX(Кат!$B:$B,MATCH(Прайс!$B3194,Кат!$G:$G,0)),INDEX(Торг!$C:$C,MATCH(Прайс!$B3194,Торг!$H:$H,0))),"")</f>
        <v/>
      </c>
      <c r="H3194" s="67" t="str">
        <f>IFERROR(IFERROR(INDEX(Кат!$I:$I,MATCH(Прайс!$B3194,Кат!$G:$G,0)),INDEX(Торг!$I:$I,MATCH(Прайс!$B3194,Торг!$H:$H,0))),"")</f>
        <v/>
      </c>
    </row>
    <row r="3195" spans="1:8" ht="15.75" x14ac:dyDescent="0.25">
      <c r="A3195" s="90"/>
      <c r="B3195" s="91"/>
      <c r="C3195" s="92" t="s">
        <v>1693</v>
      </c>
      <c r="D3195" s="91"/>
      <c r="E3195" s="93"/>
      <c r="F3195" s="67" t="str">
        <f>IFERROR(IFERROR(INDEX(Кат!$A:$A,MATCH(Прайс!$B3195,Кат!$G:$G,0)),INDEX(Торг!$B:$B,MATCH(Прайс!$B3195,Торг!$H:$H,0))),"")</f>
        <v/>
      </c>
      <c r="G3195" s="67" t="str">
        <f>IFERROR(IFERROR(INDEX(Кат!$B:$B,MATCH(Прайс!$B3195,Кат!$G:$G,0)),INDEX(Торг!$C:$C,MATCH(Прайс!$B3195,Торг!$H:$H,0))),"")</f>
        <v/>
      </c>
      <c r="H3195" s="67" t="str">
        <f>IFERROR(IFERROR(INDEX(Кат!$I:$I,MATCH(Прайс!$B3195,Кат!$G:$G,0)),INDEX(Торг!$I:$I,MATCH(Прайс!$B3195,Торг!$H:$H,0))),"")</f>
        <v/>
      </c>
    </row>
    <row r="3196" spans="1:8" x14ac:dyDescent="0.25">
      <c r="A3196" s="94" t="s">
        <v>4346</v>
      </c>
      <c r="B3196" s="98">
        <v>26024</v>
      </c>
      <c r="C3196" s="98" t="s">
        <v>1694</v>
      </c>
      <c r="D3196" s="96" t="s">
        <v>190</v>
      </c>
      <c r="E3196" s="97">
        <v>55</v>
      </c>
      <c r="F3196" s="67" t="str">
        <f>IFERROR(IFERROR(INDEX(Кат!$A:$A,MATCH(Прайс!$B3196,Кат!$G:$G,0)),INDEX(Торг!$B:$B,MATCH(Прайс!$B3196,Торг!$H:$H,0))),"")</f>
        <v/>
      </c>
      <c r="G3196" s="67" t="str">
        <f>IFERROR(IFERROR(INDEX(Кат!$B:$B,MATCH(Прайс!$B3196,Кат!$G:$G,0)),INDEX(Торг!$C:$C,MATCH(Прайс!$B3196,Торг!$H:$H,0))),"")</f>
        <v/>
      </c>
      <c r="H3196" s="67" t="str">
        <f>IFERROR(IFERROR(INDEX(Кат!$I:$I,MATCH(Прайс!$B3196,Кат!$G:$G,0)),INDEX(Торг!$I:$I,MATCH(Прайс!$B3196,Торг!$H:$H,0))),"")</f>
        <v/>
      </c>
    </row>
    <row r="3197" spans="1:8" x14ac:dyDescent="0.25">
      <c r="A3197" s="94" t="s">
        <v>4347</v>
      </c>
      <c r="B3197" s="98">
        <v>26025</v>
      </c>
      <c r="C3197" s="98" t="s">
        <v>1695</v>
      </c>
      <c r="D3197" s="96" t="s">
        <v>162</v>
      </c>
      <c r="E3197" s="97">
        <v>55</v>
      </c>
      <c r="F3197" s="67" t="str">
        <f>IFERROR(IFERROR(INDEX(Кат!$A:$A,MATCH(Прайс!$B3197,Кат!$G:$G,0)),INDEX(Торг!$B:$B,MATCH(Прайс!$B3197,Торг!$H:$H,0))),"")</f>
        <v/>
      </c>
      <c r="G3197" s="67" t="str">
        <f>IFERROR(IFERROR(INDEX(Кат!$B:$B,MATCH(Прайс!$B3197,Кат!$G:$G,0)),INDEX(Торг!$C:$C,MATCH(Прайс!$B3197,Торг!$H:$H,0))),"")</f>
        <v/>
      </c>
      <c r="H3197" s="67" t="str">
        <f>IFERROR(IFERROR(INDEX(Кат!$I:$I,MATCH(Прайс!$B3197,Кат!$G:$G,0)),INDEX(Торг!$I:$I,MATCH(Прайс!$B3197,Торг!$H:$H,0))),"")</f>
        <v/>
      </c>
    </row>
    <row r="3198" spans="1:8" x14ac:dyDescent="0.25">
      <c r="A3198" s="94" t="s">
        <v>4348</v>
      </c>
      <c r="B3198" s="98">
        <v>26026</v>
      </c>
      <c r="C3198" s="98" t="s">
        <v>1696</v>
      </c>
      <c r="D3198" s="96" t="s">
        <v>162</v>
      </c>
      <c r="E3198" s="97">
        <v>55</v>
      </c>
      <c r="F3198" s="67" t="str">
        <f>IFERROR(IFERROR(INDEX(Кат!$A:$A,MATCH(Прайс!$B3198,Кат!$G:$G,0)),INDEX(Торг!$B:$B,MATCH(Прайс!$B3198,Торг!$H:$H,0))),"")</f>
        <v/>
      </c>
      <c r="G3198" s="67" t="str">
        <f>IFERROR(IFERROR(INDEX(Кат!$B:$B,MATCH(Прайс!$B3198,Кат!$G:$G,0)),INDEX(Торг!$C:$C,MATCH(Прайс!$B3198,Торг!$H:$H,0))),"")</f>
        <v/>
      </c>
      <c r="H3198" s="67" t="str">
        <f>IFERROR(IFERROR(INDEX(Кат!$I:$I,MATCH(Прайс!$B3198,Кат!$G:$G,0)),INDEX(Торг!$I:$I,MATCH(Прайс!$B3198,Торг!$H:$H,0))),"")</f>
        <v/>
      </c>
    </row>
    <row r="3199" spans="1:8" x14ac:dyDescent="0.25">
      <c r="A3199" s="94" t="s">
        <v>4349</v>
      </c>
      <c r="B3199" s="98">
        <v>26027</v>
      </c>
      <c r="C3199" s="98" t="s">
        <v>1697</v>
      </c>
      <c r="D3199" s="96" t="s">
        <v>162</v>
      </c>
      <c r="E3199" s="97">
        <v>55</v>
      </c>
      <c r="F3199" s="67" t="str">
        <f>IFERROR(IFERROR(INDEX(Кат!$A:$A,MATCH(Прайс!$B3199,Кат!$G:$G,0)),INDEX(Торг!$B:$B,MATCH(Прайс!$B3199,Торг!$H:$H,0))),"")</f>
        <v/>
      </c>
      <c r="G3199" s="67" t="str">
        <f>IFERROR(IFERROR(INDEX(Кат!$B:$B,MATCH(Прайс!$B3199,Кат!$G:$G,0)),INDEX(Торг!$C:$C,MATCH(Прайс!$B3199,Торг!$H:$H,0))),"")</f>
        <v/>
      </c>
      <c r="H3199" s="67" t="str">
        <f>IFERROR(IFERROR(INDEX(Кат!$I:$I,MATCH(Прайс!$B3199,Кат!$G:$G,0)),INDEX(Торг!$I:$I,MATCH(Прайс!$B3199,Торг!$H:$H,0))),"")</f>
        <v/>
      </c>
    </row>
    <row r="3200" spans="1:8" x14ac:dyDescent="0.25">
      <c r="A3200" s="94" t="s">
        <v>4350</v>
      </c>
      <c r="B3200" s="98">
        <v>26028</v>
      </c>
      <c r="C3200" s="98" t="s">
        <v>1698</v>
      </c>
      <c r="D3200" s="96" t="s">
        <v>162</v>
      </c>
      <c r="E3200" s="97">
        <v>55</v>
      </c>
      <c r="F3200" s="67" t="str">
        <f>IFERROR(IFERROR(INDEX(Кат!$A:$A,MATCH(Прайс!$B3200,Кат!$G:$G,0)),INDEX(Торг!$B:$B,MATCH(Прайс!$B3200,Торг!$H:$H,0))),"")</f>
        <v/>
      </c>
      <c r="G3200" s="67" t="str">
        <f>IFERROR(IFERROR(INDEX(Кат!$B:$B,MATCH(Прайс!$B3200,Кат!$G:$G,0)),INDEX(Торг!$C:$C,MATCH(Прайс!$B3200,Торг!$H:$H,0))),"")</f>
        <v/>
      </c>
      <c r="H3200" s="67" t="str">
        <f>IFERROR(IFERROR(INDEX(Кат!$I:$I,MATCH(Прайс!$B3200,Кат!$G:$G,0)),INDEX(Торг!$I:$I,MATCH(Прайс!$B3200,Торг!$H:$H,0))),"")</f>
        <v/>
      </c>
    </row>
    <row r="3201" spans="1:8" ht="15.75" x14ac:dyDescent="0.25">
      <c r="A3201" s="90"/>
      <c r="B3201" s="91"/>
      <c r="C3201" s="92" t="s">
        <v>1699</v>
      </c>
      <c r="D3201" s="91"/>
      <c r="E3201" s="93"/>
      <c r="F3201" s="67" t="str">
        <f>IFERROR(IFERROR(INDEX(Кат!$A:$A,MATCH(Прайс!$B3201,Кат!$G:$G,0)),INDEX(Торг!$B:$B,MATCH(Прайс!$B3201,Торг!$H:$H,0))),"")</f>
        <v/>
      </c>
      <c r="G3201" s="67" t="str">
        <f>IFERROR(IFERROR(INDEX(Кат!$B:$B,MATCH(Прайс!$B3201,Кат!$G:$G,0)),INDEX(Торг!$C:$C,MATCH(Прайс!$B3201,Торг!$H:$H,0))),"")</f>
        <v/>
      </c>
      <c r="H3201" s="67" t="str">
        <f>IFERROR(IFERROR(INDEX(Кат!$I:$I,MATCH(Прайс!$B3201,Кат!$G:$G,0)),INDEX(Торг!$I:$I,MATCH(Прайс!$B3201,Торг!$H:$H,0))),"")</f>
        <v/>
      </c>
    </row>
    <row r="3202" spans="1:8" x14ac:dyDescent="0.25">
      <c r="A3202" s="94" t="s">
        <v>4351</v>
      </c>
      <c r="B3202" s="98">
        <v>26007</v>
      </c>
      <c r="C3202" s="98" t="s">
        <v>1700</v>
      </c>
      <c r="D3202" s="96" t="s">
        <v>190</v>
      </c>
      <c r="E3202" s="97">
        <v>180</v>
      </c>
      <c r="F3202" s="67" t="str">
        <f>IFERROR(IFERROR(INDEX(Кат!$A:$A,MATCH(Прайс!$B3202,Кат!$G:$G,0)),INDEX(Торг!$B:$B,MATCH(Прайс!$B3202,Торг!$H:$H,0))),"")</f>
        <v/>
      </c>
      <c r="G3202" s="67" t="str">
        <f>IFERROR(IFERROR(INDEX(Кат!$B:$B,MATCH(Прайс!$B3202,Кат!$G:$G,0)),INDEX(Торг!$C:$C,MATCH(Прайс!$B3202,Торг!$H:$H,0))),"")</f>
        <v/>
      </c>
      <c r="H3202" s="67" t="str">
        <f>IFERROR(IFERROR(INDEX(Кат!$I:$I,MATCH(Прайс!$B3202,Кат!$G:$G,0)),INDEX(Торг!$I:$I,MATCH(Прайс!$B3202,Торг!$H:$H,0))),"")</f>
        <v/>
      </c>
    </row>
    <row r="3203" spans="1:8" x14ac:dyDescent="0.25">
      <c r="A3203" s="94" t="s">
        <v>4352</v>
      </c>
      <c r="B3203" s="98">
        <v>26008</v>
      </c>
      <c r="C3203" s="98" t="s">
        <v>1701</v>
      </c>
      <c r="D3203" s="96" t="s">
        <v>1702</v>
      </c>
      <c r="E3203" s="97">
        <v>420</v>
      </c>
      <c r="F3203" s="67" t="str">
        <f>IFERROR(IFERROR(INDEX(Кат!$A:$A,MATCH(Прайс!$B3203,Кат!$G:$G,0)),INDEX(Торг!$B:$B,MATCH(Прайс!$B3203,Торг!$H:$H,0))),"")</f>
        <v/>
      </c>
      <c r="G3203" s="67" t="str">
        <f>IFERROR(IFERROR(INDEX(Кат!$B:$B,MATCH(Прайс!$B3203,Кат!$G:$G,0)),INDEX(Торг!$C:$C,MATCH(Прайс!$B3203,Торг!$H:$H,0))),"")</f>
        <v/>
      </c>
      <c r="H3203" s="67" t="str">
        <f>IFERROR(IFERROR(INDEX(Кат!$I:$I,MATCH(Прайс!$B3203,Кат!$G:$G,0)),INDEX(Торг!$I:$I,MATCH(Прайс!$B3203,Торг!$H:$H,0))),"")</f>
        <v/>
      </c>
    </row>
    <row r="3204" spans="1:8" x14ac:dyDescent="0.25">
      <c r="A3204" s="94" t="s">
        <v>4353</v>
      </c>
      <c r="B3204" s="98">
        <v>26047</v>
      </c>
      <c r="C3204" s="98" t="s">
        <v>1703</v>
      </c>
      <c r="D3204" s="96" t="s">
        <v>165</v>
      </c>
      <c r="E3204" s="97">
        <v>100</v>
      </c>
      <c r="F3204" s="67" t="str">
        <f>IFERROR(IFERROR(INDEX(Кат!$A:$A,MATCH(Прайс!$B3204,Кат!$G:$G,0)),INDEX(Торг!$B:$B,MATCH(Прайс!$B3204,Торг!$H:$H,0))),"")</f>
        <v/>
      </c>
      <c r="G3204" s="67" t="str">
        <f>IFERROR(IFERROR(INDEX(Кат!$B:$B,MATCH(Прайс!$B3204,Кат!$G:$G,0)),INDEX(Торг!$C:$C,MATCH(Прайс!$B3204,Торг!$H:$H,0))),"")</f>
        <v/>
      </c>
      <c r="H3204" s="67" t="str">
        <f>IFERROR(IFERROR(INDEX(Кат!$I:$I,MATCH(Прайс!$B3204,Кат!$G:$G,0)),INDEX(Торг!$I:$I,MATCH(Прайс!$B3204,Торг!$H:$H,0))),"")</f>
        <v/>
      </c>
    </row>
    <row r="3205" spans="1:8" x14ac:dyDescent="0.25">
      <c r="A3205" s="94" t="s">
        <v>4354</v>
      </c>
      <c r="B3205" s="98">
        <v>26014</v>
      </c>
      <c r="C3205" s="98" t="s">
        <v>1704</v>
      </c>
      <c r="D3205" s="96" t="s">
        <v>190</v>
      </c>
      <c r="E3205" s="97">
        <v>650</v>
      </c>
      <c r="F3205" s="67" t="str">
        <f>IFERROR(IFERROR(INDEX(Кат!$A:$A,MATCH(Прайс!$B3205,Кат!$G:$G,0)),INDEX(Торг!$B:$B,MATCH(Прайс!$B3205,Торг!$H:$H,0))),"")</f>
        <v/>
      </c>
      <c r="G3205" s="67" t="str">
        <f>IFERROR(IFERROR(INDEX(Кат!$B:$B,MATCH(Прайс!$B3205,Кат!$G:$G,0)),INDEX(Торг!$C:$C,MATCH(Прайс!$B3205,Торг!$H:$H,0))),"")</f>
        <v/>
      </c>
      <c r="H3205" s="67" t="str">
        <f>IFERROR(IFERROR(INDEX(Кат!$I:$I,MATCH(Прайс!$B3205,Кат!$G:$G,0)),INDEX(Торг!$I:$I,MATCH(Прайс!$B3205,Торг!$H:$H,0))),"")</f>
        <v/>
      </c>
    </row>
    <row r="3206" spans="1:8" x14ac:dyDescent="0.25">
      <c r="A3206" s="94" t="s">
        <v>4355</v>
      </c>
      <c r="B3206" s="98">
        <v>26015</v>
      </c>
      <c r="C3206" s="98" t="s">
        <v>1705</v>
      </c>
      <c r="D3206" s="96" t="s">
        <v>190</v>
      </c>
      <c r="E3206" s="97">
        <v>590</v>
      </c>
      <c r="F3206" s="67" t="str">
        <f>IFERROR(IFERROR(INDEX(Кат!$A:$A,MATCH(Прайс!$B3206,Кат!$G:$G,0)),INDEX(Торг!$B:$B,MATCH(Прайс!$B3206,Торг!$H:$H,0))),"")</f>
        <v/>
      </c>
      <c r="G3206" s="67" t="str">
        <f>IFERROR(IFERROR(INDEX(Кат!$B:$B,MATCH(Прайс!$B3206,Кат!$G:$G,0)),INDEX(Торг!$C:$C,MATCH(Прайс!$B3206,Торг!$H:$H,0))),"")</f>
        <v/>
      </c>
      <c r="H3206" s="67" t="str">
        <f>IFERROR(IFERROR(INDEX(Кат!$I:$I,MATCH(Прайс!$B3206,Кат!$G:$G,0)),INDEX(Торг!$I:$I,MATCH(Прайс!$B3206,Торг!$H:$H,0))),"")</f>
        <v/>
      </c>
    </row>
    <row r="3207" spans="1:8" x14ac:dyDescent="0.25">
      <c r="A3207" s="94" t="s">
        <v>4356</v>
      </c>
      <c r="B3207" s="98">
        <v>26016</v>
      </c>
      <c r="C3207" s="98" t="s">
        <v>1706</v>
      </c>
      <c r="D3207" s="96" t="s">
        <v>190</v>
      </c>
      <c r="E3207" s="97">
        <v>440</v>
      </c>
      <c r="F3207" s="67" t="str">
        <f>IFERROR(IFERROR(INDEX(Кат!$A:$A,MATCH(Прайс!$B3207,Кат!$G:$G,0)),INDEX(Торг!$B:$B,MATCH(Прайс!$B3207,Торг!$H:$H,0))),"")</f>
        <v/>
      </c>
      <c r="G3207" s="67" t="str">
        <f>IFERROR(IFERROR(INDEX(Кат!$B:$B,MATCH(Прайс!$B3207,Кат!$G:$G,0)),INDEX(Торг!$C:$C,MATCH(Прайс!$B3207,Торг!$H:$H,0))),"")</f>
        <v/>
      </c>
      <c r="H3207" s="67" t="str">
        <f>IFERROR(IFERROR(INDEX(Кат!$I:$I,MATCH(Прайс!$B3207,Кат!$G:$G,0)),INDEX(Торг!$I:$I,MATCH(Прайс!$B3207,Торг!$H:$H,0))),"")</f>
        <v/>
      </c>
    </row>
    <row r="3208" spans="1:8" x14ac:dyDescent="0.25">
      <c r="A3208" s="94" t="s">
        <v>4357</v>
      </c>
      <c r="B3208" s="98">
        <v>26017</v>
      </c>
      <c r="C3208" s="98" t="s">
        <v>1707</v>
      </c>
      <c r="D3208" s="96" t="s">
        <v>190</v>
      </c>
      <c r="E3208" s="97">
        <v>420</v>
      </c>
      <c r="F3208" s="67" t="str">
        <f>IFERROR(IFERROR(INDEX(Кат!$A:$A,MATCH(Прайс!$B3208,Кат!$G:$G,0)),INDEX(Торг!$B:$B,MATCH(Прайс!$B3208,Торг!$H:$H,0))),"")</f>
        <v/>
      </c>
      <c r="G3208" s="67" t="str">
        <f>IFERROR(IFERROR(INDEX(Кат!$B:$B,MATCH(Прайс!$B3208,Кат!$G:$G,0)),INDEX(Торг!$C:$C,MATCH(Прайс!$B3208,Торг!$H:$H,0))),"")</f>
        <v/>
      </c>
      <c r="H3208" s="67" t="str">
        <f>IFERROR(IFERROR(INDEX(Кат!$I:$I,MATCH(Прайс!$B3208,Кат!$G:$G,0)),INDEX(Торг!$I:$I,MATCH(Прайс!$B3208,Торг!$H:$H,0))),"")</f>
        <v/>
      </c>
    </row>
    <row r="3209" spans="1:8" x14ac:dyDescent="0.25">
      <c r="A3209" s="94" t="s">
        <v>7055</v>
      </c>
      <c r="B3209" s="95">
        <v>26055</v>
      </c>
      <c r="C3209" s="95" t="s">
        <v>7056</v>
      </c>
      <c r="D3209" s="96" t="s">
        <v>582</v>
      </c>
      <c r="E3209" s="97">
        <v>70</v>
      </c>
      <c r="F3209" s="67" t="str">
        <f>IFERROR(IFERROR(INDEX(Кат!$A:$A,MATCH(Прайс!$B3209,Кат!$G:$G,0)),INDEX(Торг!$B:$B,MATCH(Прайс!$B3209,Торг!$H:$H,0))),"")</f>
        <v/>
      </c>
      <c r="G3209" s="67" t="str">
        <f>IFERROR(IFERROR(INDEX(Кат!$B:$B,MATCH(Прайс!$B3209,Кат!$G:$G,0)),INDEX(Торг!$C:$C,MATCH(Прайс!$B3209,Торг!$H:$H,0))),"")</f>
        <v/>
      </c>
      <c r="H3209" s="67" t="str">
        <f>IFERROR(IFERROR(INDEX(Кат!$I:$I,MATCH(Прайс!$B3209,Кат!$G:$G,0)),INDEX(Торг!$I:$I,MATCH(Прайс!$B3209,Торг!$H:$H,0))),"")</f>
        <v/>
      </c>
    </row>
    <row r="3210" spans="1:8" x14ac:dyDescent="0.25">
      <c r="A3210" s="94" t="s">
        <v>4358</v>
      </c>
      <c r="B3210" s="98">
        <v>26011</v>
      </c>
      <c r="C3210" s="98" t="s">
        <v>1708</v>
      </c>
      <c r="D3210" s="96" t="s">
        <v>1336</v>
      </c>
      <c r="E3210" s="97">
        <v>550</v>
      </c>
      <c r="F3210" s="67" t="str">
        <f>IFERROR(IFERROR(INDEX(Кат!$A:$A,MATCH(Прайс!$B3210,Кат!$G:$G,0)),INDEX(Торг!$B:$B,MATCH(Прайс!$B3210,Торг!$H:$H,0))),"")</f>
        <v/>
      </c>
      <c r="G3210" s="67" t="str">
        <f>IFERROR(IFERROR(INDEX(Кат!$B:$B,MATCH(Прайс!$B3210,Кат!$G:$G,0)),INDEX(Торг!$C:$C,MATCH(Прайс!$B3210,Торг!$H:$H,0))),"")</f>
        <v/>
      </c>
      <c r="H3210" s="67" t="str">
        <f>IFERROR(IFERROR(INDEX(Кат!$I:$I,MATCH(Прайс!$B3210,Кат!$G:$G,0)),INDEX(Торг!$I:$I,MATCH(Прайс!$B3210,Торг!$H:$H,0))),"")</f>
        <v/>
      </c>
    </row>
    <row r="3211" spans="1:8" x14ac:dyDescent="0.25">
      <c r="A3211" s="94" t="s">
        <v>4359</v>
      </c>
      <c r="B3211" s="98">
        <v>26013</v>
      </c>
      <c r="C3211" s="98" t="s">
        <v>1709</v>
      </c>
      <c r="D3211" s="96" t="s">
        <v>1702</v>
      </c>
      <c r="E3211" s="97">
        <v>70</v>
      </c>
      <c r="F3211" s="67" t="str">
        <f>IFERROR(IFERROR(INDEX(Кат!$A:$A,MATCH(Прайс!$B3211,Кат!$G:$G,0)),INDEX(Торг!$B:$B,MATCH(Прайс!$B3211,Торг!$H:$H,0))),"")</f>
        <v/>
      </c>
      <c r="G3211" s="67" t="str">
        <f>IFERROR(IFERROR(INDEX(Кат!$B:$B,MATCH(Прайс!$B3211,Кат!$G:$G,0)),INDEX(Торг!$C:$C,MATCH(Прайс!$B3211,Торг!$H:$H,0))),"")</f>
        <v/>
      </c>
      <c r="H3211" s="67" t="str">
        <f>IFERROR(IFERROR(INDEX(Кат!$I:$I,MATCH(Прайс!$B3211,Кат!$G:$G,0)),INDEX(Торг!$I:$I,MATCH(Прайс!$B3211,Торг!$H:$H,0))),"")</f>
        <v/>
      </c>
    </row>
    <row r="3212" spans="1:8" x14ac:dyDescent="0.25">
      <c r="A3212" s="94" t="s">
        <v>4360</v>
      </c>
      <c r="B3212" s="98">
        <v>26045</v>
      </c>
      <c r="C3212" s="98" t="s">
        <v>1710</v>
      </c>
      <c r="D3212" s="96" t="s">
        <v>190</v>
      </c>
      <c r="E3212" s="97">
        <v>330</v>
      </c>
      <c r="F3212" s="67" t="str">
        <f>IFERROR(IFERROR(INDEX(Кат!$A:$A,MATCH(Прайс!$B3212,Кат!$G:$G,0)),INDEX(Торг!$B:$B,MATCH(Прайс!$B3212,Торг!$H:$H,0))),"")</f>
        <v/>
      </c>
      <c r="G3212" s="67" t="str">
        <f>IFERROR(IFERROR(INDEX(Кат!$B:$B,MATCH(Прайс!$B3212,Кат!$G:$G,0)),INDEX(Торг!$C:$C,MATCH(Прайс!$B3212,Торг!$H:$H,0))),"")</f>
        <v/>
      </c>
      <c r="H3212" s="67" t="str">
        <f>IFERROR(IFERROR(INDEX(Кат!$I:$I,MATCH(Прайс!$B3212,Кат!$G:$G,0)),INDEX(Торг!$I:$I,MATCH(Прайс!$B3212,Торг!$H:$H,0))),"")</f>
        <v/>
      </c>
    </row>
    <row r="3213" spans="1:8" x14ac:dyDescent="0.25">
      <c r="A3213" s="94" t="s">
        <v>4361</v>
      </c>
      <c r="B3213" s="95">
        <v>26012</v>
      </c>
      <c r="C3213" s="95" t="s">
        <v>6433</v>
      </c>
      <c r="D3213" s="96" t="s">
        <v>804</v>
      </c>
      <c r="E3213" s="97">
        <v>150</v>
      </c>
      <c r="F3213" s="67" t="str">
        <f>IFERROR(IFERROR(INDEX(Кат!$A:$A,MATCH(Прайс!$B3213,Кат!$G:$G,0)),INDEX(Торг!$B:$B,MATCH(Прайс!$B3213,Торг!$H:$H,0))),"")</f>
        <v/>
      </c>
      <c r="G3213" s="67" t="str">
        <f>IFERROR(IFERROR(INDEX(Кат!$B:$B,MATCH(Прайс!$B3213,Кат!$G:$G,0)),INDEX(Торг!$C:$C,MATCH(Прайс!$B3213,Торг!$H:$H,0))),"")</f>
        <v/>
      </c>
      <c r="H3213" s="67" t="str">
        <f>IFERROR(IFERROR(INDEX(Кат!$I:$I,MATCH(Прайс!$B3213,Кат!$G:$G,0)),INDEX(Торг!$I:$I,MATCH(Прайс!$B3213,Торг!$H:$H,0))),"")</f>
        <v/>
      </c>
    </row>
    <row r="3214" spans="1:8" x14ac:dyDescent="0.25">
      <c r="A3214" s="109" t="s">
        <v>8515</v>
      </c>
      <c r="B3214" s="110">
        <v>26086</v>
      </c>
      <c r="C3214" s="110" t="s">
        <v>8516</v>
      </c>
      <c r="D3214" s="111" t="s">
        <v>8517</v>
      </c>
      <c r="E3214" s="112">
        <v>120</v>
      </c>
      <c r="F3214" s="67" t="str">
        <f>IFERROR(IFERROR(INDEX(Кат!$A:$A,MATCH(Прайс!$B3214,Кат!$G:$G,0)),INDEX(Торг!$B:$B,MATCH(Прайс!$B3214,Торг!$H:$H,0))),"")</f>
        <v/>
      </c>
      <c r="G3214" s="67" t="str">
        <f>IFERROR(IFERROR(INDEX(Кат!$B:$B,MATCH(Прайс!$B3214,Кат!$G:$G,0)),INDEX(Торг!$C:$C,MATCH(Прайс!$B3214,Торг!$H:$H,0))),"")</f>
        <v/>
      </c>
      <c r="H3214" s="67" t="str">
        <f>IFERROR(IFERROR(INDEX(Кат!$I:$I,MATCH(Прайс!$B3214,Кат!$G:$G,0)),INDEX(Торг!$I:$I,MATCH(Прайс!$B3214,Торг!$H:$H,0))),"")</f>
        <v/>
      </c>
    </row>
    <row r="3215" spans="1:8" x14ac:dyDescent="0.25">
      <c r="A3215" s="103" t="s">
        <v>4362</v>
      </c>
      <c r="B3215" s="104">
        <v>26049</v>
      </c>
      <c r="C3215" s="104" t="s">
        <v>1711</v>
      </c>
      <c r="D3215" s="105" t="s">
        <v>165</v>
      </c>
      <c r="E3215" s="113">
        <v>900</v>
      </c>
      <c r="F3215" s="67" t="str">
        <f>IFERROR(IFERROR(INDEX(Кат!$A:$A,MATCH(Прайс!$B3215,Кат!$G:$G,0)),INDEX(Торг!$B:$B,MATCH(Прайс!$B3215,Торг!$H:$H,0))),"")</f>
        <v/>
      </c>
      <c r="G3215" s="67" t="str">
        <f>IFERROR(IFERROR(INDEX(Кат!$B:$B,MATCH(Прайс!$B3215,Кат!$G:$G,0)),INDEX(Торг!$C:$C,MATCH(Прайс!$B3215,Торг!$H:$H,0))),"")</f>
        <v/>
      </c>
      <c r="H3215" s="67" t="str">
        <f>IFERROR(IFERROR(INDEX(Кат!$I:$I,MATCH(Прайс!$B3215,Кат!$G:$G,0)),INDEX(Торг!$I:$I,MATCH(Прайс!$B3215,Торг!$H:$H,0))),"")</f>
        <v/>
      </c>
    </row>
    <row r="3216" spans="1:8" ht="15.75" x14ac:dyDescent="0.25">
      <c r="A3216" s="90"/>
      <c r="B3216" s="91"/>
      <c r="C3216" s="92" t="s">
        <v>5997</v>
      </c>
      <c r="D3216" s="91"/>
      <c r="E3216" s="93"/>
      <c r="F3216" s="67" t="str">
        <f>IFERROR(IFERROR(INDEX(Кат!$A:$A,MATCH(Прайс!$B3216,Кат!$G:$G,0)),INDEX(Торг!$B:$B,MATCH(Прайс!$B3216,Торг!$H:$H,0))),"")</f>
        <v/>
      </c>
      <c r="G3216" s="67" t="str">
        <f>IFERROR(IFERROR(INDEX(Кат!$B:$B,MATCH(Прайс!$B3216,Кат!$G:$G,0)),INDEX(Торг!$C:$C,MATCH(Прайс!$B3216,Торг!$H:$H,0))),"")</f>
        <v/>
      </c>
      <c r="H3216" s="67" t="str">
        <f>IFERROR(IFERROR(INDEX(Кат!$I:$I,MATCH(Прайс!$B3216,Кат!$G:$G,0)),INDEX(Торг!$I:$I,MATCH(Прайс!$B3216,Торг!$H:$H,0))),"")</f>
        <v/>
      </c>
    </row>
    <row r="3217" spans="1:8" x14ac:dyDescent="0.25">
      <c r="A3217" s="94" t="s">
        <v>5998</v>
      </c>
      <c r="B3217" s="98">
        <v>26051</v>
      </c>
      <c r="C3217" s="98" t="s">
        <v>5999</v>
      </c>
      <c r="D3217" s="96" t="s">
        <v>166</v>
      </c>
      <c r="E3217" s="97">
        <v>85</v>
      </c>
      <c r="F3217" s="67" t="str">
        <f>IFERROR(IFERROR(INDEX(Кат!$A:$A,MATCH(Прайс!$B3217,Кат!$G:$G,0)),INDEX(Торг!$B:$B,MATCH(Прайс!$B3217,Торг!$H:$H,0))),"")</f>
        <v/>
      </c>
      <c r="G3217" s="67" t="str">
        <f>IFERROR(IFERROR(INDEX(Кат!$B:$B,MATCH(Прайс!$B3217,Кат!$G:$G,0)),INDEX(Торг!$C:$C,MATCH(Прайс!$B3217,Торг!$H:$H,0))),"")</f>
        <v/>
      </c>
      <c r="H3217" s="67" t="str">
        <f>IFERROR(IFERROR(INDEX(Кат!$I:$I,MATCH(Прайс!$B3217,Кат!$G:$G,0)),INDEX(Торг!$I:$I,MATCH(Прайс!$B3217,Торг!$H:$H,0))),"")</f>
        <v/>
      </c>
    </row>
    <row r="3218" spans="1:8" ht="15.75" x14ac:dyDescent="0.25">
      <c r="A3218" s="90"/>
      <c r="B3218" s="91"/>
      <c r="C3218" s="92" t="s">
        <v>1712</v>
      </c>
      <c r="D3218" s="91"/>
      <c r="E3218" s="93"/>
      <c r="F3218" s="67" t="str">
        <f>IFERROR(IFERROR(INDEX(Кат!$A:$A,MATCH(Прайс!$B3218,Кат!$G:$G,0)),INDEX(Торг!$B:$B,MATCH(Прайс!$B3218,Торг!$H:$H,0))),"")</f>
        <v/>
      </c>
      <c r="G3218" s="67" t="str">
        <f>IFERROR(IFERROR(INDEX(Кат!$B:$B,MATCH(Прайс!$B3218,Кат!$G:$G,0)),INDEX(Торг!$C:$C,MATCH(Прайс!$B3218,Торг!$H:$H,0))),"")</f>
        <v/>
      </c>
      <c r="H3218" s="67" t="str">
        <f>IFERROR(IFERROR(INDEX(Кат!$I:$I,MATCH(Прайс!$B3218,Кат!$G:$G,0)),INDEX(Торг!$I:$I,MATCH(Прайс!$B3218,Торг!$H:$H,0))),"")</f>
        <v/>
      </c>
    </row>
    <row r="3219" spans="1:8" x14ac:dyDescent="0.25">
      <c r="A3219" s="94" t="s">
        <v>4363</v>
      </c>
      <c r="B3219" s="98">
        <v>26019</v>
      </c>
      <c r="C3219" s="98" t="s">
        <v>1713</v>
      </c>
      <c r="D3219" s="96" t="s">
        <v>241</v>
      </c>
      <c r="E3219" s="97">
        <v>90</v>
      </c>
      <c r="F3219" s="67" t="str">
        <f>IFERROR(IFERROR(INDEX(Кат!$A:$A,MATCH(Прайс!$B3219,Кат!$G:$G,0)),INDEX(Торг!$B:$B,MATCH(Прайс!$B3219,Торг!$H:$H,0))),"")</f>
        <v/>
      </c>
      <c r="G3219" s="67" t="str">
        <f>IFERROR(IFERROR(INDEX(Кат!$B:$B,MATCH(Прайс!$B3219,Кат!$G:$G,0)),INDEX(Торг!$C:$C,MATCH(Прайс!$B3219,Торг!$H:$H,0))),"")</f>
        <v/>
      </c>
      <c r="H3219" s="67" t="str">
        <f>IFERROR(IFERROR(INDEX(Кат!$I:$I,MATCH(Прайс!$B3219,Кат!$G:$G,0)),INDEX(Торг!$I:$I,MATCH(Прайс!$B3219,Торг!$H:$H,0))),"")</f>
        <v/>
      </c>
    </row>
    <row r="3220" spans="1:8" x14ac:dyDescent="0.25">
      <c r="A3220" s="94" t="s">
        <v>4364</v>
      </c>
      <c r="B3220" s="98">
        <v>26020</v>
      </c>
      <c r="C3220" s="98" t="s">
        <v>1714</v>
      </c>
      <c r="D3220" s="96" t="s">
        <v>241</v>
      </c>
      <c r="E3220" s="97">
        <v>100</v>
      </c>
      <c r="F3220" s="67" t="str">
        <f>IFERROR(IFERROR(INDEX(Кат!$A:$A,MATCH(Прайс!$B3220,Кат!$G:$G,0)),INDEX(Торг!$B:$B,MATCH(Прайс!$B3220,Торг!$H:$H,0))),"")</f>
        <v/>
      </c>
      <c r="G3220" s="67" t="str">
        <f>IFERROR(IFERROR(INDEX(Кат!$B:$B,MATCH(Прайс!$B3220,Кат!$G:$G,0)),INDEX(Торг!$C:$C,MATCH(Прайс!$B3220,Торг!$H:$H,0))),"")</f>
        <v/>
      </c>
      <c r="H3220" s="67" t="str">
        <f>IFERROR(IFERROR(INDEX(Кат!$I:$I,MATCH(Прайс!$B3220,Кат!$G:$G,0)),INDEX(Торг!$I:$I,MATCH(Прайс!$B3220,Торг!$H:$H,0))),"")</f>
        <v/>
      </c>
    </row>
    <row r="3221" spans="1:8" x14ac:dyDescent="0.25">
      <c r="A3221" s="94" t="s">
        <v>4950</v>
      </c>
      <c r="B3221" s="98">
        <v>26021</v>
      </c>
      <c r="C3221" s="98" t="s">
        <v>4951</v>
      </c>
      <c r="D3221" s="96" t="s">
        <v>257</v>
      </c>
      <c r="E3221" s="97">
        <v>125</v>
      </c>
      <c r="F3221" s="67" t="str">
        <f>IFERROR(IFERROR(INDEX(Кат!$A:$A,MATCH(Прайс!$B3221,Кат!$G:$G,0)),INDEX(Торг!$B:$B,MATCH(Прайс!$B3221,Торг!$H:$H,0))),"")</f>
        <v/>
      </c>
      <c r="G3221" s="67" t="str">
        <f>IFERROR(IFERROR(INDEX(Кат!$B:$B,MATCH(Прайс!$B3221,Кат!$G:$G,0)),INDEX(Торг!$C:$C,MATCH(Прайс!$B3221,Торг!$H:$H,0))),"")</f>
        <v/>
      </c>
      <c r="H3221" s="67" t="str">
        <f>IFERROR(IFERROR(INDEX(Кат!$I:$I,MATCH(Прайс!$B3221,Кат!$G:$G,0)),INDEX(Торг!$I:$I,MATCH(Прайс!$B3221,Торг!$H:$H,0))),"")</f>
        <v/>
      </c>
    </row>
    <row r="3222" spans="1:8" x14ac:dyDescent="0.25">
      <c r="A3222" s="94" t="s">
        <v>4365</v>
      </c>
      <c r="B3222" s="98">
        <v>26022</v>
      </c>
      <c r="C3222" s="98" t="s">
        <v>1715</v>
      </c>
      <c r="D3222" s="96" t="s">
        <v>257</v>
      </c>
      <c r="E3222" s="97">
        <v>145</v>
      </c>
      <c r="F3222" s="67" t="str">
        <f>IFERROR(IFERROR(INDEX(Кат!$A:$A,MATCH(Прайс!$B3222,Кат!$G:$G,0)),INDEX(Торг!$B:$B,MATCH(Прайс!$B3222,Торг!$H:$H,0))),"")</f>
        <v/>
      </c>
      <c r="G3222" s="67" t="str">
        <f>IFERROR(IFERROR(INDEX(Кат!$B:$B,MATCH(Прайс!$B3222,Кат!$G:$G,0)),INDEX(Торг!$C:$C,MATCH(Прайс!$B3222,Торг!$H:$H,0))),"")</f>
        <v/>
      </c>
      <c r="H3222" s="67" t="str">
        <f>IFERROR(IFERROR(INDEX(Кат!$I:$I,MATCH(Прайс!$B3222,Кат!$G:$G,0)),INDEX(Торг!$I:$I,MATCH(Прайс!$B3222,Торг!$H:$H,0))),"")</f>
        <v/>
      </c>
    </row>
    <row r="3223" spans="1:8" ht="15.75" x14ac:dyDescent="0.25">
      <c r="A3223" s="90"/>
      <c r="B3223" s="91"/>
      <c r="C3223" s="92" t="s">
        <v>1716</v>
      </c>
      <c r="D3223" s="91"/>
      <c r="E3223" s="93"/>
      <c r="F3223" s="67" t="str">
        <f>IFERROR(IFERROR(INDEX(Кат!$A:$A,MATCH(Прайс!$B3223,Кат!$G:$G,0)),INDEX(Торг!$B:$B,MATCH(Прайс!$B3223,Торг!$H:$H,0))),"")</f>
        <v/>
      </c>
      <c r="G3223" s="67" t="str">
        <f>IFERROR(IFERROR(INDEX(Кат!$B:$B,MATCH(Прайс!$B3223,Кат!$G:$G,0)),INDEX(Торг!$C:$C,MATCH(Прайс!$B3223,Торг!$H:$H,0))),"")</f>
        <v/>
      </c>
      <c r="H3223" s="67" t="str">
        <f>IFERROR(IFERROR(INDEX(Кат!$I:$I,MATCH(Прайс!$B3223,Кат!$G:$G,0)),INDEX(Торг!$I:$I,MATCH(Прайс!$B3223,Торг!$H:$H,0))),"")</f>
        <v/>
      </c>
    </row>
    <row r="3224" spans="1:8" x14ac:dyDescent="0.25">
      <c r="A3224" s="94" t="s">
        <v>4366</v>
      </c>
      <c r="B3224" s="98">
        <v>26043</v>
      </c>
      <c r="C3224" s="98" t="s">
        <v>6434</v>
      </c>
      <c r="D3224" s="96" t="s">
        <v>162</v>
      </c>
      <c r="E3224" s="97">
        <v>55</v>
      </c>
      <c r="F3224" s="67" t="str">
        <f>IFERROR(IFERROR(INDEX(Кат!$A:$A,MATCH(Прайс!$B3224,Кат!$G:$G,0)),INDEX(Торг!$B:$B,MATCH(Прайс!$B3224,Торг!$H:$H,0))),"")</f>
        <v/>
      </c>
      <c r="G3224" s="67" t="str">
        <f>IFERROR(IFERROR(INDEX(Кат!$B:$B,MATCH(Прайс!$B3224,Кат!$G:$G,0)),INDEX(Торг!$C:$C,MATCH(Прайс!$B3224,Торг!$H:$H,0))),"")</f>
        <v/>
      </c>
      <c r="H3224" s="67" t="str">
        <f>IFERROR(IFERROR(INDEX(Кат!$I:$I,MATCH(Прайс!$B3224,Кат!$G:$G,0)),INDEX(Торг!$I:$I,MATCH(Прайс!$B3224,Торг!$H:$H,0))),"")</f>
        <v/>
      </c>
    </row>
    <row r="3225" spans="1:8" x14ac:dyDescent="0.25">
      <c r="A3225" s="94" t="s">
        <v>4367</v>
      </c>
      <c r="B3225" s="98">
        <v>26029</v>
      </c>
      <c r="C3225" s="98" t="s">
        <v>6435</v>
      </c>
      <c r="D3225" s="96" t="s">
        <v>1717</v>
      </c>
      <c r="E3225" s="97">
        <v>37</v>
      </c>
      <c r="F3225" s="67" t="str">
        <f>IFERROR(IFERROR(INDEX(Кат!$A:$A,MATCH(Прайс!$B3225,Кат!$G:$G,0)),INDEX(Торг!$B:$B,MATCH(Прайс!$B3225,Торг!$H:$H,0))),"")</f>
        <v/>
      </c>
      <c r="G3225" s="67" t="str">
        <f>IFERROR(IFERROR(INDEX(Кат!$B:$B,MATCH(Прайс!$B3225,Кат!$G:$G,0)),INDEX(Торг!$C:$C,MATCH(Прайс!$B3225,Торг!$H:$H,0))),"")</f>
        <v/>
      </c>
      <c r="H3225" s="67" t="str">
        <f>IFERROR(IFERROR(INDEX(Кат!$I:$I,MATCH(Прайс!$B3225,Кат!$G:$G,0)),INDEX(Торг!$I:$I,MATCH(Прайс!$B3225,Торг!$H:$H,0))),"")</f>
        <v/>
      </c>
    </row>
    <row r="3226" spans="1:8" x14ac:dyDescent="0.25">
      <c r="A3226" s="94" t="s">
        <v>4370</v>
      </c>
      <c r="B3226" s="98">
        <v>26032</v>
      </c>
      <c r="C3226" s="98" t="s">
        <v>7893</v>
      </c>
      <c r="D3226" s="96" t="s">
        <v>162</v>
      </c>
      <c r="E3226" s="97">
        <v>55</v>
      </c>
      <c r="F3226" s="67" t="str">
        <f>IFERROR(IFERROR(INDEX(Кат!$A:$A,MATCH(Прайс!$B3226,Кат!$G:$G,0)),INDEX(Торг!$B:$B,MATCH(Прайс!$B3226,Торг!$H:$H,0))),"")</f>
        <v/>
      </c>
      <c r="G3226" s="67" t="str">
        <f>IFERROR(IFERROR(INDEX(Кат!$B:$B,MATCH(Прайс!$B3226,Кат!$G:$G,0)),INDEX(Торг!$C:$C,MATCH(Прайс!$B3226,Торг!$H:$H,0))),"")</f>
        <v/>
      </c>
      <c r="H3226" s="67" t="str">
        <f>IFERROR(IFERROR(INDEX(Кат!$I:$I,MATCH(Прайс!$B3226,Кат!$G:$G,0)),INDEX(Торг!$I:$I,MATCH(Прайс!$B3226,Торг!$H:$H,0))),"")</f>
        <v/>
      </c>
    </row>
    <row r="3227" spans="1:8" x14ac:dyDescent="0.25">
      <c r="A3227" s="94" t="s">
        <v>8321</v>
      </c>
      <c r="B3227" s="98">
        <v>26073</v>
      </c>
      <c r="C3227" s="98" t="s">
        <v>8322</v>
      </c>
      <c r="D3227" s="96" t="s">
        <v>8323</v>
      </c>
      <c r="E3227" s="97">
        <v>60</v>
      </c>
      <c r="F3227" s="67" t="str">
        <f>IFERROR(IFERROR(INDEX(Кат!$A:$A,MATCH(Прайс!$B3227,Кат!$G:$G,0)),INDEX(Торг!$B:$B,MATCH(Прайс!$B3227,Торг!$H:$H,0))),"")</f>
        <v/>
      </c>
      <c r="G3227" s="67" t="str">
        <f>IFERROR(IFERROR(INDEX(Кат!$B:$B,MATCH(Прайс!$B3227,Кат!$G:$G,0)),INDEX(Торг!$C:$C,MATCH(Прайс!$B3227,Торг!$H:$H,0))),"")</f>
        <v/>
      </c>
      <c r="H3227" s="67" t="str">
        <f>IFERROR(IFERROR(INDEX(Кат!$I:$I,MATCH(Прайс!$B3227,Кат!$G:$G,0)),INDEX(Торг!$I:$I,MATCH(Прайс!$B3227,Торг!$H:$H,0))),"")</f>
        <v/>
      </c>
    </row>
    <row r="3228" spans="1:8" x14ac:dyDescent="0.25">
      <c r="A3228" s="94" t="s">
        <v>4368</v>
      </c>
      <c r="B3228" s="98">
        <v>26030</v>
      </c>
      <c r="C3228" s="98" t="s">
        <v>6436</v>
      </c>
      <c r="D3228" s="96" t="s">
        <v>1717</v>
      </c>
      <c r="E3228" s="97">
        <v>38</v>
      </c>
      <c r="F3228" s="67" t="str">
        <f>IFERROR(IFERROR(INDEX(Кат!$A:$A,MATCH(Прайс!$B3228,Кат!$G:$G,0)),INDEX(Торг!$B:$B,MATCH(Прайс!$B3228,Торг!$H:$H,0))),"")</f>
        <v/>
      </c>
      <c r="G3228" s="67" t="str">
        <f>IFERROR(IFERROR(INDEX(Кат!$B:$B,MATCH(Прайс!$B3228,Кат!$G:$G,0)),INDEX(Торг!$C:$C,MATCH(Прайс!$B3228,Торг!$H:$H,0))),"")</f>
        <v/>
      </c>
      <c r="H3228" s="67" t="str">
        <f>IFERROR(IFERROR(INDEX(Кат!$I:$I,MATCH(Прайс!$B3228,Кат!$G:$G,0)),INDEX(Торг!$I:$I,MATCH(Прайс!$B3228,Торг!$H:$H,0))),"")</f>
        <v/>
      </c>
    </row>
    <row r="3229" spans="1:8" x14ac:dyDescent="0.25">
      <c r="A3229" s="94" t="s">
        <v>4369</v>
      </c>
      <c r="B3229" s="98">
        <v>26031</v>
      </c>
      <c r="C3229" s="98" t="s">
        <v>6437</v>
      </c>
      <c r="D3229" s="96" t="s">
        <v>1717</v>
      </c>
      <c r="E3229" s="97">
        <v>37</v>
      </c>
      <c r="F3229" s="67" t="str">
        <f>IFERROR(IFERROR(INDEX(Кат!$A:$A,MATCH(Прайс!$B3229,Кат!$G:$G,0)),INDEX(Торг!$B:$B,MATCH(Прайс!$B3229,Торг!$H:$H,0))),"")</f>
        <v/>
      </c>
      <c r="G3229" s="67" t="str">
        <f>IFERROR(IFERROR(INDEX(Кат!$B:$B,MATCH(Прайс!$B3229,Кат!$G:$G,0)),INDEX(Торг!$C:$C,MATCH(Прайс!$B3229,Торг!$H:$H,0))),"")</f>
        <v/>
      </c>
      <c r="H3229" s="67" t="str">
        <f>IFERROR(IFERROR(INDEX(Кат!$I:$I,MATCH(Прайс!$B3229,Кат!$G:$G,0)),INDEX(Торг!$I:$I,MATCH(Прайс!$B3229,Торг!$H:$H,0))),"")</f>
        <v/>
      </c>
    </row>
    <row r="3230" spans="1:8" x14ac:dyDescent="0.25">
      <c r="A3230" s="94" t="s">
        <v>4371</v>
      </c>
      <c r="B3230" s="98">
        <v>26042</v>
      </c>
      <c r="C3230" s="98" t="s">
        <v>6438</v>
      </c>
      <c r="D3230" s="96" t="s">
        <v>216</v>
      </c>
      <c r="E3230" s="97">
        <v>27</v>
      </c>
      <c r="F3230" s="67" t="str">
        <f>IFERROR(IFERROR(INDEX(Кат!$A:$A,MATCH(Прайс!$B3230,Кат!$G:$G,0)),INDEX(Торг!$B:$B,MATCH(Прайс!$B3230,Торг!$H:$H,0))),"")</f>
        <v/>
      </c>
      <c r="G3230" s="67" t="str">
        <f>IFERROR(IFERROR(INDEX(Кат!$B:$B,MATCH(Прайс!$B3230,Кат!$G:$G,0)),INDEX(Торг!$C:$C,MATCH(Прайс!$B3230,Торг!$H:$H,0))),"")</f>
        <v/>
      </c>
      <c r="H3230" s="67" t="str">
        <f>IFERROR(IFERROR(INDEX(Кат!$I:$I,MATCH(Прайс!$B3230,Кат!$G:$G,0)),INDEX(Торг!$I:$I,MATCH(Прайс!$B3230,Торг!$H:$H,0))),"")</f>
        <v/>
      </c>
    </row>
    <row r="3231" spans="1:8" x14ac:dyDescent="0.25">
      <c r="A3231" s="94" t="s">
        <v>4372</v>
      </c>
      <c r="B3231" s="98">
        <v>26033</v>
      </c>
      <c r="C3231" s="98" t="s">
        <v>6439</v>
      </c>
      <c r="D3231" s="96" t="s">
        <v>1717</v>
      </c>
      <c r="E3231" s="97">
        <v>36</v>
      </c>
      <c r="F3231" s="67" t="str">
        <f>IFERROR(IFERROR(INDEX(Кат!$A:$A,MATCH(Прайс!$B3231,Кат!$G:$G,0)),INDEX(Торг!$B:$B,MATCH(Прайс!$B3231,Торг!$H:$H,0))),"")</f>
        <v/>
      </c>
      <c r="G3231" s="67" t="str">
        <f>IFERROR(IFERROR(INDEX(Кат!$B:$B,MATCH(Прайс!$B3231,Кат!$G:$G,0)),INDEX(Торг!$C:$C,MATCH(Прайс!$B3231,Торг!$H:$H,0))),"")</f>
        <v/>
      </c>
      <c r="H3231" s="67" t="str">
        <f>IFERROR(IFERROR(INDEX(Кат!$I:$I,MATCH(Прайс!$B3231,Кат!$G:$G,0)),INDEX(Торг!$I:$I,MATCH(Прайс!$B3231,Торг!$H:$H,0))),"")</f>
        <v/>
      </c>
    </row>
    <row r="3232" spans="1:8" x14ac:dyDescent="0.25">
      <c r="A3232" s="94" t="s">
        <v>4373</v>
      </c>
      <c r="B3232" s="98">
        <v>26034</v>
      </c>
      <c r="C3232" s="98" t="s">
        <v>6440</v>
      </c>
      <c r="D3232" s="96" t="s">
        <v>1717</v>
      </c>
      <c r="E3232" s="97">
        <v>25</v>
      </c>
      <c r="F3232" s="67" t="str">
        <f>IFERROR(IFERROR(INDEX(Кат!$A:$A,MATCH(Прайс!$B3232,Кат!$G:$G,0)),INDEX(Торг!$B:$B,MATCH(Прайс!$B3232,Торг!$H:$H,0))),"")</f>
        <v/>
      </c>
      <c r="G3232" s="67" t="str">
        <f>IFERROR(IFERROR(INDEX(Кат!$B:$B,MATCH(Прайс!$B3232,Кат!$G:$G,0)),INDEX(Торг!$C:$C,MATCH(Прайс!$B3232,Торг!$H:$H,0))),"")</f>
        <v/>
      </c>
      <c r="H3232" s="67" t="str">
        <f>IFERROR(IFERROR(INDEX(Кат!$I:$I,MATCH(Прайс!$B3232,Кат!$G:$G,0)),INDEX(Торг!$I:$I,MATCH(Прайс!$B3232,Торг!$H:$H,0))),"")</f>
        <v/>
      </c>
    </row>
    <row r="3233" spans="1:8" ht="15.75" x14ac:dyDescent="0.25">
      <c r="A3233" s="90"/>
      <c r="B3233" s="91"/>
      <c r="C3233" s="92" t="s">
        <v>209</v>
      </c>
      <c r="D3233" s="91"/>
      <c r="E3233" s="93"/>
      <c r="F3233" s="67" t="str">
        <f>IFERROR(IFERROR(INDEX(Кат!$A:$A,MATCH(Прайс!$B3233,Кат!$G:$G,0)),INDEX(Торг!$B:$B,MATCH(Прайс!$B3233,Торг!$H:$H,0))),"")</f>
        <v/>
      </c>
      <c r="G3233" s="67" t="str">
        <f>IFERROR(IFERROR(INDEX(Кат!$B:$B,MATCH(Прайс!$B3233,Кат!$G:$G,0)),INDEX(Торг!$C:$C,MATCH(Прайс!$B3233,Торг!$H:$H,0))),"")</f>
        <v/>
      </c>
      <c r="H3233" s="67" t="str">
        <f>IFERROR(IFERROR(INDEX(Кат!$I:$I,MATCH(Прайс!$B3233,Кат!$G:$G,0)),INDEX(Торг!$I:$I,MATCH(Прайс!$B3233,Торг!$H:$H,0))),"")</f>
        <v/>
      </c>
    </row>
    <row r="3234" spans="1:8" x14ac:dyDescent="0.25">
      <c r="A3234" s="94" t="s">
        <v>4374</v>
      </c>
      <c r="B3234" s="98">
        <v>26035</v>
      </c>
      <c r="C3234" s="98" t="s">
        <v>8324</v>
      </c>
      <c r="D3234" s="96" t="s">
        <v>162</v>
      </c>
      <c r="E3234" s="97">
        <v>800</v>
      </c>
      <c r="F3234" s="67" t="str">
        <f>IFERROR(IFERROR(INDEX(Кат!$A:$A,MATCH(Прайс!$B3234,Кат!$G:$G,0)),INDEX(Торг!$B:$B,MATCH(Прайс!$B3234,Торг!$H:$H,0))),"")</f>
        <v/>
      </c>
      <c r="G3234" s="67" t="str">
        <f>IFERROR(IFERROR(INDEX(Кат!$B:$B,MATCH(Прайс!$B3234,Кат!$G:$G,0)),INDEX(Торг!$C:$C,MATCH(Прайс!$B3234,Торг!$H:$H,0))),"")</f>
        <v/>
      </c>
      <c r="H3234" s="67" t="str">
        <f>IFERROR(IFERROR(INDEX(Кат!$I:$I,MATCH(Прайс!$B3234,Кат!$G:$G,0)),INDEX(Торг!$I:$I,MATCH(Прайс!$B3234,Торг!$H:$H,0))),"")</f>
        <v/>
      </c>
    </row>
    <row r="3235" spans="1:8" x14ac:dyDescent="0.25">
      <c r="A3235" s="94" t="s">
        <v>4375</v>
      </c>
      <c r="B3235" s="98">
        <v>26036</v>
      </c>
      <c r="C3235" s="98" t="s">
        <v>4952</v>
      </c>
      <c r="D3235" s="96" t="s">
        <v>161</v>
      </c>
      <c r="E3235" s="97">
        <v>440</v>
      </c>
      <c r="F3235" s="67" t="str">
        <f>IFERROR(IFERROR(INDEX(Кат!$A:$A,MATCH(Прайс!$B3235,Кат!$G:$G,0)),INDEX(Торг!$B:$B,MATCH(Прайс!$B3235,Торг!$H:$H,0))),"")</f>
        <v/>
      </c>
      <c r="G3235" s="67" t="str">
        <f>IFERROR(IFERROR(INDEX(Кат!$B:$B,MATCH(Прайс!$B3235,Кат!$G:$G,0)),INDEX(Торг!$C:$C,MATCH(Прайс!$B3235,Торг!$H:$H,0))),"")</f>
        <v/>
      </c>
      <c r="H3235" s="67" t="str">
        <f>IFERROR(IFERROR(INDEX(Кат!$I:$I,MATCH(Прайс!$B3235,Кат!$G:$G,0)),INDEX(Торг!$I:$I,MATCH(Прайс!$B3235,Торг!$H:$H,0))),"")</f>
        <v/>
      </c>
    </row>
    <row r="3236" spans="1:8" ht="15.75" x14ac:dyDescent="0.25">
      <c r="A3236" s="90"/>
      <c r="B3236" s="91"/>
      <c r="C3236" s="92" t="s">
        <v>1718</v>
      </c>
      <c r="D3236" s="91"/>
      <c r="E3236" s="93"/>
      <c r="F3236" s="67" t="str">
        <f>IFERROR(IFERROR(INDEX(Кат!$A:$A,MATCH(Прайс!$B3236,Кат!$G:$G,0)),INDEX(Торг!$B:$B,MATCH(Прайс!$B3236,Торг!$H:$H,0))),"")</f>
        <v/>
      </c>
      <c r="G3236" s="67" t="str">
        <f>IFERROR(IFERROR(INDEX(Кат!$B:$B,MATCH(Прайс!$B3236,Кат!$G:$G,0)),INDEX(Торг!$C:$C,MATCH(Прайс!$B3236,Торг!$H:$H,0))),"")</f>
        <v/>
      </c>
      <c r="H3236" s="67" t="str">
        <f>IFERROR(IFERROR(INDEX(Кат!$I:$I,MATCH(Прайс!$B3236,Кат!$G:$G,0)),INDEX(Торг!$I:$I,MATCH(Прайс!$B3236,Торг!$H:$H,0))),"")</f>
        <v/>
      </c>
    </row>
    <row r="3237" spans="1:8" x14ac:dyDescent="0.25">
      <c r="A3237" s="94" t="s">
        <v>4376</v>
      </c>
      <c r="B3237" s="98">
        <v>26041</v>
      </c>
      <c r="C3237" s="98" t="s">
        <v>2149</v>
      </c>
      <c r="D3237" s="96" t="s">
        <v>159</v>
      </c>
      <c r="E3237" s="97">
        <v>490</v>
      </c>
      <c r="F3237" s="67" t="str">
        <f>IFERROR(IFERROR(INDEX(Кат!$A:$A,MATCH(Прайс!$B3237,Кат!$G:$G,0)),INDEX(Торг!$B:$B,MATCH(Прайс!$B3237,Торг!$H:$H,0))),"")</f>
        <v/>
      </c>
      <c r="G3237" s="67" t="str">
        <f>IFERROR(IFERROR(INDEX(Кат!$B:$B,MATCH(Прайс!$B3237,Кат!$G:$G,0)),INDEX(Торг!$C:$C,MATCH(Прайс!$B3237,Торг!$H:$H,0))),"")</f>
        <v/>
      </c>
      <c r="H3237" s="67" t="str">
        <f>IFERROR(IFERROR(INDEX(Кат!$I:$I,MATCH(Прайс!$B3237,Кат!$G:$G,0)),INDEX(Торг!$I:$I,MATCH(Прайс!$B3237,Торг!$H:$H,0))),"")</f>
        <v/>
      </c>
    </row>
    <row r="3238" spans="1:8" x14ac:dyDescent="0.25">
      <c r="A3238" s="94" t="s">
        <v>4377</v>
      </c>
      <c r="B3238" s="98">
        <v>26038</v>
      </c>
      <c r="C3238" s="98" t="s">
        <v>4378</v>
      </c>
      <c r="D3238" s="96" t="s">
        <v>1719</v>
      </c>
      <c r="E3238" s="97">
        <v>360</v>
      </c>
      <c r="F3238" s="67" t="str">
        <f>IFERROR(IFERROR(INDEX(Кат!$A:$A,MATCH(Прайс!$B3238,Кат!$G:$G,0)),INDEX(Торг!$B:$B,MATCH(Прайс!$B3238,Торг!$H:$H,0))),"")</f>
        <v/>
      </c>
      <c r="G3238" s="67" t="str">
        <f>IFERROR(IFERROR(INDEX(Кат!$B:$B,MATCH(Прайс!$B3238,Кат!$G:$G,0)),INDEX(Торг!$C:$C,MATCH(Прайс!$B3238,Торг!$H:$H,0))),"")</f>
        <v/>
      </c>
      <c r="H3238" s="67" t="str">
        <f>IFERROR(IFERROR(INDEX(Кат!$I:$I,MATCH(Прайс!$B3238,Кат!$G:$G,0)),INDEX(Торг!$I:$I,MATCH(Прайс!$B3238,Торг!$H:$H,0))),"")</f>
        <v/>
      </c>
    </row>
    <row r="3239" spans="1:8" x14ac:dyDescent="0.25">
      <c r="A3239" s="94" t="s">
        <v>4379</v>
      </c>
      <c r="B3239" s="98">
        <v>26037</v>
      </c>
      <c r="C3239" s="98" t="s">
        <v>1720</v>
      </c>
      <c r="D3239" s="96" t="s">
        <v>1721</v>
      </c>
      <c r="E3239" s="97">
        <v>530</v>
      </c>
      <c r="F3239" s="67" t="str">
        <f>IFERROR(IFERROR(INDEX(Кат!$A:$A,MATCH(Прайс!$B3239,Кат!$G:$G,0)),INDEX(Торг!$B:$B,MATCH(Прайс!$B3239,Торг!$H:$H,0))),"")</f>
        <v/>
      </c>
      <c r="G3239" s="67" t="str">
        <f>IFERROR(IFERROR(INDEX(Кат!$B:$B,MATCH(Прайс!$B3239,Кат!$G:$G,0)),INDEX(Торг!$C:$C,MATCH(Прайс!$B3239,Торг!$H:$H,0))),"")</f>
        <v/>
      </c>
      <c r="H3239" s="67" t="str">
        <f>IFERROR(IFERROR(INDEX(Кат!$I:$I,MATCH(Прайс!$B3239,Кат!$G:$G,0)),INDEX(Торг!$I:$I,MATCH(Прайс!$B3239,Торг!$H:$H,0))),"")</f>
        <v/>
      </c>
    </row>
    <row r="3240" spans="1:8" ht="15.75" x14ac:dyDescent="0.25">
      <c r="A3240" s="90"/>
      <c r="B3240" s="91"/>
      <c r="C3240" s="92" t="s">
        <v>1722</v>
      </c>
      <c r="D3240" s="91"/>
      <c r="E3240" s="93"/>
      <c r="F3240" s="67" t="str">
        <f>IFERROR(IFERROR(INDEX(Кат!$A:$A,MATCH(Прайс!$B3240,Кат!$G:$G,0)),INDEX(Торг!$B:$B,MATCH(Прайс!$B3240,Торг!$H:$H,0))),"")</f>
        <v/>
      </c>
      <c r="G3240" s="67" t="str">
        <f>IFERROR(IFERROR(INDEX(Кат!$B:$B,MATCH(Прайс!$B3240,Кат!$G:$G,0)),INDEX(Торг!$C:$C,MATCH(Прайс!$B3240,Торг!$H:$H,0))),"")</f>
        <v/>
      </c>
      <c r="H3240" s="67" t="str">
        <f>IFERROR(IFERROR(INDEX(Кат!$I:$I,MATCH(Прайс!$B3240,Кат!$G:$G,0)),INDEX(Торг!$I:$I,MATCH(Прайс!$B3240,Торг!$H:$H,0))),"")</f>
        <v/>
      </c>
    </row>
    <row r="3241" spans="1:8" x14ac:dyDescent="0.25">
      <c r="A3241" s="94" t="s">
        <v>4381</v>
      </c>
      <c r="B3241" s="98">
        <v>50324</v>
      </c>
      <c r="C3241" s="98" t="s">
        <v>1723</v>
      </c>
      <c r="D3241" s="96" t="s">
        <v>162</v>
      </c>
      <c r="E3241" s="97">
        <v>130</v>
      </c>
      <c r="F3241" s="67" t="str">
        <f>IFERROR(IFERROR(INDEX(Кат!$A:$A,MATCH(Прайс!$B3241,Кат!$G:$G,0)),INDEX(Торг!$B:$B,MATCH(Прайс!$B3241,Торг!$H:$H,0))),"")</f>
        <v/>
      </c>
      <c r="G3241" s="67" t="str">
        <f>IFERROR(IFERROR(INDEX(Кат!$B:$B,MATCH(Прайс!$B3241,Кат!$G:$G,0)),INDEX(Торг!$C:$C,MATCH(Прайс!$B3241,Торг!$H:$H,0))),"")</f>
        <v/>
      </c>
      <c r="H3241" s="67" t="str">
        <f>IFERROR(IFERROR(INDEX(Кат!$I:$I,MATCH(Прайс!$B3241,Кат!$G:$G,0)),INDEX(Торг!$I:$I,MATCH(Прайс!$B3241,Торг!$H:$H,0))),"")</f>
        <v/>
      </c>
    </row>
    <row r="3242" spans="1:8" x14ac:dyDescent="0.25">
      <c r="A3242" s="94" t="s">
        <v>4382</v>
      </c>
      <c r="B3242" s="98">
        <v>50325</v>
      </c>
      <c r="C3242" s="98" t="s">
        <v>1724</v>
      </c>
      <c r="D3242" s="96" t="s">
        <v>162</v>
      </c>
      <c r="E3242" s="97">
        <v>190</v>
      </c>
      <c r="F3242" s="67" t="str">
        <f>IFERROR(IFERROR(INDEX(Кат!$A:$A,MATCH(Прайс!$B3242,Кат!$G:$G,0)),INDEX(Торг!$B:$B,MATCH(Прайс!$B3242,Торг!$H:$H,0))),"")</f>
        <v/>
      </c>
      <c r="G3242" s="67" t="str">
        <f>IFERROR(IFERROR(INDEX(Кат!$B:$B,MATCH(Прайс!$B3242,Кат!$G:$G,0)),INDEX(Торг!$C:$C,MATCH(Прайс!$B3242,Торг!$H:$H,0))),"")</f>
        <v/>
      </c>
      <c r="H3242" s="67" t="str">
        <f>IFERROR(IFERROR(INDEX(Кат!$I:$I,MATCH(Прайс!$B3242,Кат!$G:$G,0)),INDEX(Торг!$I:$I,MATCH(Прайс!$B3242,Торг!$H:$H,0))),"")</f>
        <v/>
      </c>
    </row>
    <row r="3243" spans="1:8" x14ac:dyDescent="0.25">
      <c r="A3243" s="94" t="s">
        <v>7894</v>
      </c>
      <c r="B3243" s="98">
        <v>26075</v>
      </c>
      <c r="C3243" s="98" t="s">
        <v>7895</v>
      </c>
      <c r="D3243" s="96" t="s">
        <v>190</v>
      </c>
      <c r="E3243" s="97">
        <v>70</v>
      </c>
      <c r="F3243" s="67" t="str">
        <f>IFERROR(IFERROR(INDEX(Кат!$A:$A,MATCH(Прайс!$B3243,Кат!$G:$G,0)),INDEX(Торг!$B:$B,MATCH(Прайс!$B3243,Торг!$H:$H,0))),"")</f>
        <v/>
      </c>
      <c r="G3243" s="67" t="str">
        <f>IFERROR(IFERROR(INDEX(Кат!$B:$B,MATCH(Прайс!$B3243,Кат!$G:$G,0)),INDEX(Торг!$C:$C,MATCH(Прайс!$B3243,Торг!$H:$H,0))),"")</f>
        <v/>
      </c>
      <c r="H3243" s="67" t="str">
        <f>IFERROR(IFERROR(INDEX(Кат!$I:$I,MATCH(Прайс!$B3243,Кат!$G:$G,0)),INDEX(Торг!$I:$I,MATCH(Прайс!$B3243,Торг!$H:$H,0))),"")</f>
        <v/>
      </c>
    </row>
    <row r="3244" spans="1:8" x14ac:dyDescent="0.25">
      <c r="A3244" s="94" t="s">
        <v>4380</v>
      </c>
      <c r="B3244" s="98">
        <v>26039</v>
      </c>
      <c r="C3244" s="98" t="s">
        <v>7896</v>
      </c>
      <c r="D3244" s="96" t="s">
        <v>162</v>
      </c>
      <c r="E3244" s="97">
        <v>90</v>
      </c>
      <c r="F3244" s="67" t="str">
        <f>IFERROR(IFERROR(INDEX(Кат!$A:$A,MATCH(Прайс!$B3244,Кат!$G:$G,0)),INDEX(Торг!$B:$B,MATCH(Прайс!$B3244,Торг!$H:$H,0))),"")</f>
        <v/>
      </c>
      <c r="G3244" s="67" t="str">
        <f>IFERROR(IFERROR(INDEX(Кат!$B:$B,MATCH(Прайс!$B3244,Кат!$G:$G,0)),INDEX(Торг!$C:$C,MATCH(Прайс!$B3244,Торг!$H:$H,0))),"")</f>
        <v/>
      </c>
      <c r="H3244" s="67" t="str">
        <f>IFERROR(IFERROR(INDEX(Кат!$I:$I,MATCH(Прайс!$B3244,Кат!$G:$G,0)),INDEX(Торг!$I:$I,MATCH(Прайс!$B3244,Торг!$H:$H,0))),"")</f>
        <v/>
      </c>
    </row>
    <row r="3245" spans="1:8" x14ac:dyDescent="0.25">
      <c r="A3245" s="94" t="s">
        <v>4383</v>
      </c>
      <c r="B3245" s="98">
        <v>26040</v>
      </c>
      <c r="C3245" s="98" t="s">
        <v>1725</v>
      </c>
      <c r="D3245" s="96" t="s">
        <v>162</v>
      </c>
      <c r="E3245" s="97">
        <v>230</v>
      </c>
      <c r="F3245" s="67" t="str">
        <f>IFERROR(IFERROR(INDEX(Кат!$A:$A,MATCH(Прайс!$B3245,Кат!$G:$G,0)),INDEX(Торг!$B:$B,MATCH(Прайс!$B3245,Торг!$H:$H,0))),"")</f>
        <v/>
      </c>
      <c r="G3245" s="67" t="str">
        <f>IFERROR(IFERROR(INDEX(Кат!$B:$B,MATCH(Прайс!$B3245,Кат!$G:$G,0)),INDEX(Торг!$C:$C,MATCH(Прайс!$B3245,Торг!$H:$H,0))),"")</f>
        <v/>
      </c>
      <c r="H3245" s="67" t="str">
        <f>IFERROR(IFERROR(INDEX(Кат!$I:$I,MATCH(Прайс!$B3245,Кат!$G:$G,0)),INDEX(Торг!$I:$I,MATCH(Прайс!$B3245,Торг!$H:$H,0))),"")</f>
        <v/>
      </c>
    </row>
    <row r="3246" spans="1:8" ht="15.75" x14ac:dyDescent="0.25">
      <c r="A3246" s="87"/>
      <c r="B3246" s="88"/>
      <c r="C3246" s="88" t="s">
        <v>1726</v>
      </c>
      <c r="D3246" s="88"/>
      <c r="E3246" s="89"/>
      <c r="F3246" s="67" t="str">
        <f>IFERROR(IFERROR(INDEX(Кат!$A:$A,MATCH(Прайс!$B3246,Кат!$G:$G,0)),INDEX(Торг!$B:$B,MATCH(Прайс!$B3246,Торг!$H:$H,0))),"")</f>
        <v/>
      </c>
      <c r="G3246" s="67" t="str">
        <f>IFERROR(IFERROR(INDEX(Кат!$B:$B,MATCH(Прайс!$B3246,Кат!$G:$G,0)),INDEX(Торг!$C:$C,MATCH(Прайс!$B3246,Торг!$H:$H,0))),"")</f>
        <v/>
      </c>
      <c r="H3246" s="67" t="str">
        <f>IFERROR(IFERROR(INDEX(Кат!$I:$I,MATCH(Прайс!$B3246,Кат!$G:$G,0)),INDEX(Торг!$I:$I,MATCH(Прайс!$B3246,Торг!$H:$H,0))),"")</f>
        <v/>
      </c>
    </row>
    <row r="3247" spans="1:8" ht="15.75" x14ac:dyDescent="0.25">
      <c r="A3247" s="90"/>
      <c r="B3247" s="91"/>
      <c r="C3247" s="92" t="s">
        <v>1727</v>
      </c>
      <c r="D3247" s="91"/>
      <c r="E3247" s="93"/>
      <c r="F3247" s="67" t="str">
        <f>IFERROR(IFERROR(INDEX(Кат!$A:$A,MATCH(Прайс!$B3247,Кат!$G:$G,0)),INDEX(Торг!$B:$B,MATCH(Прайс!$B3247,Торг!$H:$H,0))),"")</f>
        <v/>
      </c>
      <c r="G3247" s="67" t="str">
        <f>IFERROR(IFERROR(INDEX(Кат!$B:$B,MATCH(Прайс!$B3247,Кат!$G:$G,0)),INDEX(Торг!$C:$C,MATCH(Прайс!$B3247,Торг!$H:$H,0))),"")</f>
        <v/>
      </c>
      <c r="H3247" s="67" t="str">
        <f>IFERROR(IFERROR(INDEX(Кат!$I:$I,MATCH(Прайс!$B3247,Кат!$G:$G,0)),INDEX(Торг!$I:$I,MATCH(Прайс!$B3247,Торг!$H:$H,0))),"")</f>
        <v/>
      </c>
    </row>
    <row r="3248" spans="1:8" x14ac:dyDescent="0.25">
      <c r="A3248" s="94" t="s">
        <v>7057</v>
      </c>
      <c r="B3248" s="98">
        <v>27052</v>
      </c>
      <c r="C3248" s="98" t="s">
        <v>7058</v>
      </c>
      <c r="D3248" s="96" t="s">
        <v>160</v>
      </c>
      <c r="E3248" s="97">
        <v>300</v>
      </c>
      <c r="F3248" s="67" t="str">
        <f>IFERROR(IFERROR(INDEX(Кат!$A:$A,MATCH(Прайс!$B3248,Кат!$G:$G,0)),INDEX(Торг!$B:$B,MATCH(Прайс!$B3248,Торг!$H:$H,0))),"")</f>
        <v/>
      </c>
      <c r="G3248" s="67" t="str">
        <f>IFERROR(IFERROR(INDEX(Кат!$B:$B,MATCH(Прайс!$B3248,Кат!$G:$G,0)),INDEX(Торг!$C:$C,MATCH(Прайс!$B3248,Торг!$H:$H,0))),"")</f>
        <v/>
      </c>
      <c r="H3248" s="67" t="str">
        <f>IFERROR(IFERROR(INDEX(Кат!$I:$I,MATCH(Прайс!$B3248,Кат!$G:$G,0)),INDEX(Торг!$I:$I,MATCH(Прайс!$B3248,Торг!$H:$H,0))),"")</f>
        <v/>
      </c>
    </row>
    <row r="3249" spans="1:8" x14ac:dyDescent="0.25">
      <c r="A3249" s="94" t="s">
        <v>7059</v>
      </c>
      <c r="B3249" s="98">
        <v>27051</v>
      </c>
      <c r="C3249" s="98" t="s">
        <v>7060</v>
      </c>
      <c r="D3249" s="96" t="s">
        <v>160</v>
      </c>
      <c r="E3249" s="97">
        <v>400</v>
      </c>
      <c r="F3249" s="67" t="str">
        <f>IFERROR(IFERROR(INDEX(Кат!$A:$A,MATCH(Прайс!$B3249,Кат!$G:$G,0)),INDEX(Торг!$B:$B,MATCH(Прайс!$B3249,Торг!$H:$H,0))),"")</f>
        <v/>
      </c>
      <c r="G3249" s="67" t="str">
        <f>IFERROR(IFERROR(INDEX(Кат!$B:$B,MATCH(Прайс!$B3249,Кат!$G:$G,0)),INDEX(Торг!$C:$C,MATCH(Прайс!$B3249,Торг!$H:$H,0))),"")</f>
        <v/>
      </c>
      <c r="H3249" s="67" t="str">
        <f>IFERROR(IFERROR(INDEX(Кат!$I:$I,MATCH(Прайс!$B3249,Кат!$G:$G,0)),INDEX(Торг!$I:$I,MATCH(Прайс!$B3249,Торг!$H:$H,0))),"")</f>
        <v/>
      </c>
    </row>
    <row r="3250" spans="1:8" x14ac:dyDescent="0.25">
      <c r="A3250" s="94" t="s">
        <v>7061</v>
      </c>
      <c r="B3250" s="98">
        <v>27053</v>
      </c>
      <c r="C3250" s="98" t="s">
        <v>7062</v>
      </c>
      <c r="D3250" s="96" t="s">
        <v>177</v>
      </c>
      <c r="E3250" s="97">
        <v>300</v>
      </c>
      <c r="F3250" s="67">
        <f>IFERROR(IFERROR(INDEX(Кат!$A:$A,MATCH(Прайс!$B3250,Кат!$G:$G,0)),INDEX(Торг!$B:$B,MATCH(Прайс!$B3250,Торг!$H:$H,0))),"")</f>
        <v>214038</v>
      </c>
      <c r="G3250" s="67">
        <f>IFERROR(IFERROR(INDEX(Кат!$B:$B,MATCH(Прайс!$B3250,Кат!$G:$G,0)),INDEX(Торг!$C:$C,MATCH(Прайс!$B3250,Торг!$H:$H,0))),"")</f>
        <v>8962</v>
      </c>
      <c r="H3250" s="67" t="str">
        <f>IFERROR(IFERROR(INDEX(Кат!$I:$I,MATCH(Прайс!$B3250,Кат!$G:$G,0)),INDEX(Торг!$I:$I,MATCH(Прайс!$B3250,Торг!$H:$H,0))),"")</f>
        <v>кристал авто</v>
      </c>
    </row>
    <row r="3251" spans="1:8" x14ac:dyDescent="0.25">
      <c r="A3251" s="94" t="s">
        <v>4384</v>
      </c>
      <c r="B3251" s="98">
        <v>27002</v>
      </c>
      <c r="C3251" s="98" t="s">
        <v>1728</v>
      </c>
      <c r="D3251" s="96" t="s">
        <v>7063</v>
      </c>
      <c r="E3251" s="97">
        <v>145</v>
      </c>
      <c r="F3251" s="67">
        <f>IFERROR(IFERROR(INDEX(Кат!$A:$A,MATCH(Прайс!$B3251,Кат!$G:$G,0)),INDEX(Торг!$B:$B,MATCH(Прайс!$B3251,Торг!$H:$H,0))),"")</f>
        <v>214035</v>
      </c>
      <c r="G3251" s="67">
        <f>IFERROR(IFERROR(INDEX(Кат!$B:$B,MATCH(Прайс!$B3251,Кат!$G:$G,0)),INDEX(Торг!$C:$C,MATCH(Прайс!$B3251,Торг!$H:$H,0))),"")</f>
        <v>8971</v>
      </c>
      <c r="H3251" s="67" t="str">
        <f>IFERROR(IFERROR(INDEX(Кат!$I:$I,MATCH(Прайс!$B3251,Кат!$G:$G,0)),INDEX(Торг!$I:$I,MATCH(Прайс!$B3251,Торг!$H:$H,0))),"")</f>
        <v>кристал авто</v>
      </c>
    </row>
    <row r="3252" spans="1:8" x14ac:dyDescent="0.25">
      <c r="A3252" s="94" t="s">
        <v>7897</v>
      </c>
      <c r="B3252" s="98">
        <v>27003</v>
      </c>
      <c r="C3252" s="98" t="s">
        <v>7898</v>
      </c>
      <c r="D3252" s="96" t="s">
        <v>7063</v>
      </c>
      <c r="E3252" s="97">
        <v>85</v>
      </c>
      <c r="F3252" s="67">
        <f>IFERROR(IFERROR(INDEX(Кат!$A:$A,MATCH(Прайс!$B3252,Кат!$G:$G,0)),INDEX(Торг!$B:$B,MATCH(Прайс!$B3252,Торг!$H:$H,0))),"")</f>
        <v>214036</v>
      </c>
      <c r="G3252" s="67">
        <f>IFERROR(IFERROR(INDEX(Кат!$B:$B,MATCH(Прайс!$B3252,Кат!$G:$G,0)),INDEX(Торг!$C:$C,MATCH(Прайс!$B3252,Торг!$H:$H,0))),"")</f>
        <v>8950</v>
      </c>
      <c r="H3252" s="67" t="str">
        <f>IFERROR(IFERROR(INDEX(Кат!$I:$I,MATCH(Прайс!$B3252,Кат!$G:$G,0)),INDEX(Торг!$I:$I,MATCH(Прайс!$B3252,Торг!$H:$H,0))),"")</f>
        <v>кристал авто</v>
      </c>
    </row>
    <row r="3253" spans="1:8" x14ac:dyDescent="0.25">
      <c r="A3253" s="94" t="s">
        <v>4385</v>
      </c>
      <c r="B3253" s="98">
        <v>27004</v>
      </c>
      <c r="C3253" s="98" t="s">
        <v>4386</v>
      </c>
      <c r="D3253" s="96" t="s">
        <v>159</v>
      </c>
      <c r="E3253" s="97">
        <v>130</v>
      </c>
      <c r="F3253" s="67" t="str">
        <f>IFERROR(IFERROR(INDEX(Кат!$A:$A,MATCH(Прайс!$B3253,Кат!$G:$G,0)),INDEX(Торг!$B:$B,MATCH(Прайс!$B3253,Торг!$H:$H,0))),"")</f>
        <v/>
      </c>
      <c r="G3253" s="67" t="str">
        <f>IFERROR(IFERROR(INDEX(Кат!$B:$B,MATCH(Прайс!$B3253,Кат!$G:$G,0)),INDEX(Торг!$C:$C,MATCH(Прайс!$B3253,Торг!$H:$H,0))),"")</f>
        <v/>
      </c>
      <c r="H3253" s="67" t="str">
        <f>IFERROR(IFERROR(INDEX(Кат!$I:$I,MATCH(Прайс!$B3253,Кат!$G:$G,0)),INDEX(Торг!$I:$I,MATCH(Прайс!$B3253,Торг!$H:$H,0))),"")</f>
        <v/>
      </c>
    </row>
    <row r="3254" spans="1:8" x14ac:dyDescent="0.25">
      <c r="A3254" s="94" t="s">
        <v>4953</v>
      </c>
      <c r="B3254" s="98">
        <v>27005</v>
      </c>
      <c r="C3254" s="98" t="s">
        <v>4954</v>
      </c>
      <c r="D3254" s="96" t="s">
        <v>1336</v>
      </c>
      <c r="E3254" s="97">
        <v>220</v>
      </c>
      <c r="F3254" s="67" t="str">
        <f>IFERROR(IFERROR(INDEX(Кат!$A:$A,MATCH(Прайс!$B3254,Кат!$G:$G,0)),INDEX(Торг!$B:$B,MATCH(Прайс!$B3254,Торг!$H:$H,0))),"")</f>
        <v/>
      </c>
      <c r="G3254" s="67" t="str">
        <f>IFERROR(IFERROR(INDEX(Кат!$B:$B,MATCH(Прайс!$B3254,Кат!$G:$G,0)),INDEX(Торг!$C:$C,MATCH(Прайс!$B3254,Торг!$H:$H,0))),"")</f>
        <v/>
      </c>
      <c r="H3254" s="67" t="str">
        <f>IFERROR(IFERROR(INDEX(Кат!$I:$I,MATCH(Прайс!$B3254,Кат!$G:$G,0)),INDEX(Торг!$I:$I,MATCH(Прайс!$B3254,Торг!$H:$H,0))),"")</f>
        <v/>
      </c>
    </row>
    <row r="3255" spans="1:8" x14ac:dyDescent="0.25">
      <c r="A3255" s="94" t="s">
        <v>6441</v>
      </c>
      <c r="B3255" s="98">
        <v>27006</v>
      </c>
      <c r="C3255" s="98" t="s">
        <v>6442</v>
      </c>
      <c r="D3255" s="96" t="s">
        <v>177</v>
      </c>
      <c r="E3255" s="97">
        <v>300</v>
      </c>
      <c r="F3255" s="67">
        <f>IFERROR(IFERROR(INDEX(Кат!$A:$A,MATCH(Прайс!$B3255,Кат!$G:$G,0)),INDEX(Торг!$B:$B,MATCH(Прайс!$B3255,Торг!$H:$H,0))),"")</f>
        <v>226605</v>
      </c>
      <c r="G3255" s="67">
        <f>IFERROR(IFERROR(INDEX(Кат!$B:$B,MATCH(Прайс!$B3255,Кат!$G:$G,0)),INDEX(Торг!$C:$C,MATCH(Прайс!$B3255,Торг!$H:$H,0))),"")</f>
        <v>8952</v>
      </c>
      <c r="H3255" s="67" t="str">
        <f>IFERROR(IFERROR(INDEX(Кат!$I:$I,MATCH(Прайс!$B3255,Кат!$G:$G,0)),INDEX(Торг!$I:$I,MATCH(Прайс!$B3255,Торг!$H:$H,0))),"")</f>
        <v>кристал авто</v>
      </c>
    </row>
    <row r="3256" spans="1:8" x14ac:dyDescent="0.25">
      <c r="A3256" s="94" t="s">
        <v>4387</v>
      </c>
      <c r="B3256" s="98">
        <v>27043</v>
      </c>
      <c r="C3256" s="98" t="s">
        <v>1729</v>
      </c>
      <c r="D3256" s="96" t="s">
        <v>177</v>
      </c>
      <c r="E3256" s="97">
        <v>310</v>
      </c>
      <c r="F3256" s="67" t="str">
        <f>IFERROR(IFERROR(INDEX(Кат!$A:$A,MATCH(Прайс!$B3256,Кат!$G:$G,0)),INDEX(Торг!$B:$B,MATCH(Прайс!$B3256,Торг!$H:$H,0))),"")</f>
        <v/>
      </c>
      <c r="G3256" s="67" t="str">
        <f>IFERROR(IFERROR(INDEX(Кат!$B:$B,MATCH(Прайс!$B3256,Кат!$G:$G,0)),INDEX(Торг!$C:$C,MATCH(Прайс!$B3256,Торг!$H:$H,0))),"")</f>
        <v/>
      </c>
      <c r="H3256" s="67" t="str">
        <f>IFERROR(IFERROR(INDEX(Кат!$I:$I,MATCH(Прайс!$B3256,Кат!$G:$G,0)),INDEX(Торг!$I:$I,MATCH(Прайс!$B3256,Торг!$H:$H,0))),"")</f>
        <v/>
      </c>
    </row>
    <row r="3257" spans="1:8" x14ac:dyDescent="0.25">
      <c r="A3257" s="94" t="s">
        <v>8325</v>
      </c>
      <c r="B3257" s="98">
        <v>27045</v>
      </c>
      <c r="C3257" s="98" t="s">
        <v>8326</v>
      </c>
      <c r="D3257" s="96" t="s">
        <v>160</v>
      </c>
      <c r="E3257" s="97">
        <v>390</v>
      </c>
      <c r="F3257" s="67" t="str">
        <f>IFERROR(IFERROR(INDEX(Кат!$A:$A,MATCH(Прайс!$B3257,Кат!$G:$G,0)),INDEX(Торг!$B:$B,MATCH(Прайс!$B3257,Торг!$H:$H,0))),"")</f>
        <v/>
      </c>
      <c r="G3257" s="67" t="str">
        <f>IFERROR(IFERROR(INDEX(Кат!$B:$B,MATCH(Прайс!$B3257,Кат!$G:$G,0)),INDEX(Торг!$C:$C,MATCH(Прайс!$B3257,Торг!$H:$H,0))),"")</f>
        <v/>
      </c>
      <c r="H3257" s="67" t="str">
        <f>IFERROR(IFERROR(INDEX(Кат!$I:$I,MATCH(Прайс!$B3257,Кат!$G:$G,0)),INDEX(Торг!$I:$I,MATCH(Прайс!$B3257,Торг!$H:$H,0))),"")</f>
        <v/>
      </c>
    </row>
    <row r="3258" spans="1:8" x14ac:dyDescent="0.25">
      <c r="A3258" s="94" t="s">
        <v>4388</v>
      </c>
      <c r="B3258" s="98">
        <v>27007</v>
      </c>
      <c r="C3258" s="98" t="s">
        <v>1730</v>
      </c>
      <c r="D3258" s="96" t="s">
        <v>177</v>
      </c>
      <c r="E3258" s="97">
        <v>480</v>
      </c>
      <c r="F3258" s="67" t="str">
        <f>IFERROR(IFERROR(INDEX(Кат!$A:$A,MATCH(Прайс!$B3258,Кат!$G:$G,0)),INDEX(Торг!$B:$B,MATCH(Прайс!$B3258,Торг!$H:$H,0))),"")</f>
        <v/>
      </c>
      <c r="G3258" s="67" t="str">
        <f>IFERROR(IFERROR(INDEX(Кат!$B:$B,MATCH(Прайс!$B3258,Кат!$G:$G,0)),INDEX(Торг!$C:$C,MATCH(Прайс!$B3258,Торг!$H:$H,0))),"")</f>
        <v/>
      </c>
      <c r="H3258" s="67" t="str">
        <f>IFERROR(IFERROR(INDEX(Кат!$I:$I,MATCH(Прайс!$B3258,Кат!$G:$G,0)),INDEX(Торг!$I:$I,MATCH(Прайс!$B3258,Торг!$H:$H,0))),"")</f>
        <v/>
      </c>
    </row>
    <row r="3259" spans="1:8" x14ac:dyDescent="0.25">
      <c r="A3259" s="94" t="s">
        <v>4389</v>
      </c>
      <c r="B3259" s="98">
        <v>28009</v>
      </c>
      <c r="C3259" s="98" t="s">
        <v>5359</v>
      </c>
      <c r="D3259" s="96" t="s">
        <v>159</v>
      </c>
      <c r="E3259" s="97">
        <v>50</v>
      </c>
      <c r="F3259" s="67">
        <f>IFERROR(IFERROR(INDEX(Кат!$A:$A,MATCH(Прайс!$B3259,Кат!$G:$G,0)),INDEX(Торг!$B:$B,MATCH(Прайс!$B3259,Торг!$H:$H,0))),"")</f>
        <v>214037</v>
      </c>
      <c r="G3259" s="67">
        <f>IFERROR(IFERROR(INDEX(Кат!$B:$B,MATCH(Прайс!$B3259,Кат!$G:$G,0)),INDEX(Торг!$C:$C,MATCH(Прайс!$B3259,Торг!$H:$H,0))),"")</f>
        <v>9010</v>
      </c>
      <c r="H3259" s="67" t="str">
        <f>IFERROR(IFERROR(INDEX(Кат!$I:$I,MATCH(Прайс!$B3259,Кат!$G:$G,0)),INDEX(Торг!$I:$I,MATCH(Прайс!$B3259,Торг!$H:$H,0))),"")</f>
        <v>кристал авто</v>
      </c>
    </row>
    <row r="3260" spans="1:8" x14ac:dyDescent="0.25">
      <c r="A3260" s="94" t="s">
        <v>4390</v>
      </c>
      <c r="B3260" s="98">
        <v>27010</v>
      </c>
      <c r="C3260" s="98" t="s">
        <v>7899</v>
      </c>
      <c r="D3260" s="96" t="s">
        <v>177</v>
      </c>
      <c r="E3260" s="97">
        <v>75</v>
      </c>
      <c r="F3260" s="67">
        <f>IFERROR(IFERROR(INDEX(Кат!$A:$A,MATCH(Прайс!$B3260,Кат!$G:$G,0)),INDEX(Торг!$B:$B,MATCH(Прайс!$B3260,Торг!$H:$H,0))),"")</f>
        <v>214039</v>
      </c>
      <c r="G3260" s="67">
        <f>IFERROR(IFERROR(INDEX(Кат!$B:$B,MATCH(Прайс!$B3260,Кат!$G:$G,0)),INDEX(Торг!$C:$C,MATCH(Прайс!$B3260,Торг!$H:$H,0))),"")</f>
        <v>8963</v>
      </c>
      <c r="H3260" s="67" t="str">
        <f>IFERROR(IFERROR(INDEX(Кат!$I:$I,MATCH(Прайс!$B3260,Кат!$G:$G,0)),INDEX(Торг!$I:$I,MATCH(Прайс!$B3260,Торг!$H:$H,0))),"")</f>
        <v>кристал авто</v>
      </c>
    </row>
    <row r="3261" spans="1:8" x14ac:dyDescent="0.25">
      <c r="A3261" s="94" t="s">
        <v>4955</v>
      </c>
      <c r="B3261" s="98">
        <v>27048</v>
      </c>
      <c r="C3261" s="98" t="s">
        <v>4956</v>
      </c>
      <c r="D3261" s="96" t="s">
        <v>159</v>
      </c>
      <c r="E3261" s="97">
        <v>85</v>
      </c>
      <c r="F3261" s="67" t="str">
        <f>IFERROR(IFERROR(INDEX(Кат!$A:$A,MATCH(Прайс!$B3261,Кат!$G:$G,0)),INDEX(Торг!$B:$B,MATCH(Прайс!$B3261,Торг!$H:$H,0))),"")</f>
        <v/>
      </c>
      <c r="G3261" s="67" t="str">
        <f>IFERROR(IFERROR(INDEX(Кат!$B:$B,MATCH(Прайс!$B3261,Кат!$G:$G,0)),INDEX(Торг!$C:$C,MATCH(Прайс!$B3261,Торг!$H:$H,0))),"")</f>
        <v/>
      </c>
      <c r="H3261" s="67" t="str">
        <f>IFERROR(IFERROR(INDEX(Кат!$I:$I,MATCH(Прайс!$B3261,Кат!$G:$G,0)),INDEX(Торг!$I:$I,MATCH(Прайс!$B3261,Торг!$H:$H,0))),"")</f>
        <v/>
      </c>
    </row>
    <row r="3262" spans="1:8" x14ac:dyDescent="0.25">
      <c r="A3262" s="94" t="s">
        <v>7064</v>
      </c>
      <c r="B3262" s="98">
        <v>27046</v>
      </c>
      <c r="C3262" s="98" t="s">
        <v>7065</v>
      </c>
      <c r="D3262" s="96" t="s">
        <v>160</v>
      </c>
      <c r="E3262" s="97">
        <v>110</v>
      </c>
      <c r="F3262" s="67" t="str">
        <f>IFERROR(IFERROR(INDEX(Кат!$A:$A,MATCH(Прайс!$B3262,Кат!$G:$G,0)),INDEX(Торг!$B:$B,MATCH(Прайс!$B3262,Торг!$H:$H,0))),"")</f>
        <v/>
      </c>
      <c r="G3262" s="67" t="str">
        <f>IFERROR(IFERROR(INDEX(Кат!$B:$B,MATCH(Прайс!$B3262,Кат!$G:$G,0)),INDEX(Торг!$C:$C,MATCH(Прайс!$B3262,Торг!$H:$H,0))),"")</f>
        <v/>
      </c>
      <c r="H3262" s="67" t="str">
        <f>IFERROR(IFERROR(INDEX(Кат!$I:$I,MATCH(Прайс!$B3262,Кат!$G:$G,0)),INDEX(Торг!$I:$I,MATCH(Прайс!$B3262,Торг!$H:$H,0))),"")</f>
        <v/>
      </c>
    </row>
    <row r="3263" spans="1:8" x14ac:dyDescent="0.25">
      <c r="A3263" s="94" t="s">
        <v>5467</v>
      </c>
      <c r="B3263" s="98">
        <v>27050</v>
      </c>
      <c r="C3263" s="98" t="s">
        <v>5468</v>
      </c>
      <c r="D3263" s="96" t="s">
        <v>582</v>
      </c>
      <c r="E3263" s="97">
        <v>75</v>
      </c>
      <c r="F3263" s="67" t="str">
        <f>IFERROR(IFERROR(INDEX(Кат!$A:$A,MATCH(Прайс!$B3263,Кат!$G:$G,0)),INDEX(Торг!$B:$B,MATCH(Прайс!$B3263,Торг!$H:$H,0))),"")</f>
        <v/>
      </c>
      <c r="G3263" s="67" t="str">
        <f>IFERROR(IFERROR(INDEX(Кат!$B:$B,MATCH(Прайс!$B3263,Кат!$G:$G,0)),INDEX(Торг!$C:$C,MATCH(Прайс!$B3263,Торг!$H:$H,0))),"")</f>
        <v/>
      </c>
      <c r="H3263" s="67" t="str">
        <f>IFERROR(IFERROR(INDEX(Кат!$I:$I,MATCH(Прайс!$B3263,Кат!$G:$G,0)),INDEX(Торг!$I:$I,MATCH(Прайс!$B3263,Торг!$H:$H,0))),"")</f>
        <v/>
      </c>
    </row>
    <row r="3264" spans="1:8" ht="15.75" x14ac:dyDescent="0.25">
      <c r="A3264" s="90"/>
      <c r="B3264" s="91"/>
      <c r="C3264" s="92" t="s">
        <v>1371</v>
      </c>
      <c r="D3264" s="91"/>
      <c r="E3264" s="93"/>
      <c r="F3264" s="67" t="str">
        <f>IFERROR(IFERROR(INDEX(Кат!$A:$A,MATCH(Прайс!$B3264,Кат!$G:$G,0)),INDEX(Торг!$B:$B,MATCH(Прайс!$B3264,Торг!$H:$H,0))),"")</f>
        <v/>
      </c>
      <c r="G3264" s="67" t="str">
        <f>IFERROR(IFERROR(INDEX(Кат!$B:$B,MATCH(Прайс!$B3264,Кат!$G:$G,0)),INDEX(Торг!$C:$C,MATCH(Прайс!$B3264,Торг!$H:$H,0))),"")</f>
        <v/>
      </c>
      <c r="H3264" s="67" t="str">
        <f>IFERROR(IFERROR(INDEX(Кат!$I:$I,MATCH(Прайс!$B3264,Кат!$G:$G,0)),INDEX(Торг!$I:$I,MATCH(Прайс!$B3264,Торг!$H:$H,0))),"")</f>
        <v/>
      </c>
    </row>
    <row r="3265" spans="1:8" x14ac:dyDescent="0.25">
      <c r="A3265" s="94" t="s">
        <v>4391</v>
      </c>
      <c r="B3265" s="98">
        <v>27011</v>
      </c>
      <c r="C3265" s="98" t="s">
        <v>1731</v>
      </c>
      <c r="D3265" s="96" t="s">
        <v>1732</v>
      </c>
      <c r="E3265" s="97">
        <v>160</v>
      </c>
      <c r="F3265" s="67">
        <f>IFERROR(IFERROR(INDEX(Кат!$A:$A,MATCH(Прайс!$B3265,Кат!$G:$G,0)),INDEX(Торг!$B:$B,MATCH(Прайс!$B3265,Торг!$H:$H,0))),"")</f>
        <v>226604</v>
      </c>
      <c r="G3265" s="67">
        <f>IFERROR(IFERROR(INDEX(Кат!$B:$B,MATCH(Прайс!$B3265,Кат!$G:$G,0)),INDEX(Торг!$C:$C,MATCH(Прайс!$B3265,Торг!$H:$H,0))),"")</f>
        <v>32770</v>
      </c>
      <c r="H3265" s="67" t="str">
        <f>IFERROR(IFERROR(INDEX(Кат!$I:$I,MATCH(Прайс!$B3265,Кат!$G:$G,0)),INDEX(Торг!$I:$I,MATCH(Прайс!$B3265,Торг!$H:$H,0))),"")</f>
        <v>кристал авто</v>
      </c>
    </row>
    <row r="3266" spans="1:8" x14ac:dyDescent="0.25">
      <c r="A3266" s="94" t="s">
        <v>4392</v>
      </c>
      <c r="B3266" s="98">
        <v>27014</v>
      </c>
      <c r="C3266" s="98" t="s">
        <v>1733</v>
      </c>
      <c r="D3266" s="96" t="s">
        <v>1734</v>
      </c>
      <c r="E3266" s="97">
        <v>250</v>
      </c>
      <c r="F3266" s="67" t="str">
        <f>IFERROR(IFERROR(INDEX(Кат!$A:$A,MATCH(Прайс!$B3266,Кат!$G:$G,0)),INDEX(Торг!$B:$B,MATCH(Прайс!$B3266,Торг!$H:$H,0))),"")</f>
        <v/>
      </c>
      <c r="G3266" s="67" t="str">
        <f>IFERROR(IFERROR(INDEX(Кат!$B:$B,MATCH(Прайс!$B3266,Кат!$G:$G,0)),INDEX(Торг!$C:$C,MATCH(Прайс!$B3266,Торг!$H:$H,0))),"")</f>
        <v/>
      </c>
      <c r="H3266" s="67" t="str">
        <f>IFERROR(IFERROR(INDEX(Кат!$I:$I,MATCH(Прайс!$B3266,Кат!$G:$G,0)),INDEX(Торг!$I:$I,MATCH(Прайс!$B3266,Торг!$H:$H,0))),"")</f>
        <v/>
      </c>
    </row>
    <row r="3267" spans="1:8" x14ac:dyDescent="0.25">
      <c r="A3267" s="94" t="s">
        <v>4393</v>
      </c>
      <c r="B3267" s="98">
        <v>27017</v>
      </c>
      <c r="C3267" s="98" t="s">
        <v>4957</v>
      </c>
      <c r="D3267" s="96" t="s">
        <v>160</v>
      </c>
      <c r="E3267" s="97">
        <v>280</v>
      </c>
      <c r="F3267" s="67" t="str">
        <f>IFERROR(IFERROR(INDEX(Кат!$A:$A,MATCH(Прайс!$B3267,Кат!$G:$G,0)),INDEX(Торг!$B:$B,MATCH(Прайс!$B3267,Торг!$H:$H,0))),"")</f>
        <v/>
      </c>
      <c r="G3267" s="67" t="str">
        <f>IFERROR(IFERROR(INDEX(Кат!$B:$B,MATCH(Прайс!$B3267,Кат!$G:$G,0)),INDEX(Торг!$C:$C,MATCH(Прайс!$B3267,Торг!$H:$H,0))),"")</f>
        <v/>
      </c>
      <c r="H3267" s="67" t="str">
        <f>IFERROR(IFERROR(INDEX(Кат!$I:$I,MATCH(Прайс!$B3267,Кат!$G:$G,0)),INDEX(Торг!$I:$I,MATCH(Прайс!$B3267,Торг!$H:$H,0))),"")</f>
        <v/>
      </c>
    </row>
    <row r="3268" spans="1:8" x14ac:dyDescent="0.25">
      <c r="A3268" s="94" t="s">
        <v>6443</v>
      </c>
      <c r="B3268" s="98">
        <v>27020</v>
      </c>
      <c r="C3268" s="98" t="s">
        <v>6444</v>
      </c>
      <c r="D3268" s="96" t="s">
        <v>177</v>
      </c>
      <c r="E3268" s="97">
        <v>310</v>
      </c>
      <c r="F3268" s="67" t="str">
        <f>IFERROR(IFERROR(INDEX(Кат!$A:$A,MATCH(Прайс!$B3268,Кат!$G:$G,0)),INDEX(Торг!$B:$B,MATCH(Прайс!$B3268,Торг!$H:$H,0))),"")</f>
        <v/>
      </c>
      <c r="G3268" s="67" t="str">
        <f>IFERROR(IFERROR(INDEX(Кат!$B:$B,MATCH(Прайс!$B3268,Кат!$G:$G,0)),INDEX(Торг!$C:$C,MATCH(Прайс!$B3268,Торг!$H:$H,0))),"")</f>
        <v/>
      </c>
      <c r="H3268" s="67" t="str">
        <f>IFERROR(IFERROR(INDEX(Кат!$I:$I,MATCH(Прайс!$B3268,Кат!$G:$G,0)),INDEX(Торг!$I:$I,MATCH(Прайс!$B3268,Торг!$H:$H,0))),"")</f>
        <v/>
      </c>
    </row>
    <row r="3269" spans="1:8" x14ac:dyDescent="0.25">
      <c r="A3269" s="94" t="s">
        <v>6445</v>
      </c>
      <c r="B3269" s="98">
        <v>27022</v>
      </c>
      <c r="C3269" s="98" t="s">
        <v>7066</v>
      </c>
      <c r="D3269" s="96" t="s">
        <v>797</v>
      </c>
      <c r="E3269" s="97">
        <v>520</v>
      </c>
      <c r="F3269" s="67" t="str">
        <f>IFERROR(IFERROR(INDEX(Кат!$A:$A,MATCH(Прайс!$B3269,Кат!$G:$G,0)),INDEX(Торг!$B:$B,MATCH(Прайс!$B3269,Торг!$H:$H,0))),"")</f>
        <v/>
      </c>
      <c r="G3269" s="67" t="str">
        <f>IFERROR(IFERROR(INDEX(Кат!$B:$B,MATCH(Прайс!$B3269,Кат!$G:$G,0)),INDEX(Торг!$C:$C,MATCH(Прайс!$B3269,Торг!$H:$H,0))),"")</f>
        <v/>
      </c>
      <c r="H3269" s="67" t="str">
        <f>IFERROR(IFERROR(INDEX(Кат!$I:$I,MATCH(Прайс!$B3269,Кат!$G:$G,0)),INDEX(Торг!$I:$I,MATCH(Прайс!$B3269,Торг!$H:$H,0))),"")</f>
        <v/>
      </c>
    </row>
    <row r="3270" spans="1:8" x14ac:dyDescent="0.25">
      <c r="A3270" s="94" t="s">
        <v>4394</v>
      </c>
      <c r="B3270" s="98">
        <v>27023</v>
      </c>
      <c r="C3270" s="98" t="s">
        <v>1735</v>
      </c>
      <c r="D3270" s="96" t="s">
        <v>797</v>
      </c>
      <c r="E3270" s="97">
        <v>670</v>
      </c>
      <c r="F3270" s="67" t="str">
        <f>IFERROR(IFERROR(INDEX(Кат!$A:$A,MATCH(Прайс!$B3270,Кат!$G:$G,0)),INDEX(Торг!$B:$B,MATCH(Прайс!$B3270,Торг!$H:$H,0))),"")</f>
        <v/>
      </c>
      <c r="G3270" s="67" t="str">
        <f>IFERROR(IFERROR(INDEX(Кат!$B:$B,MATCH(Прайс!$B3270,Кат!$G:$G,0)),INDEX(Торг!$C:$C,MATCH(Прайс!$B3270,Торг!$H:$H,0))),"")</f>
        <v/>
      </c>
      <c r="H3270" s="67" t="str">
        <f>IFERROR(IFERROR(INDEX(Кат!$I:$I,MATCH(Прайс!$B3270,Кат!$G:$G,0)),INDEX(Торг!$I:$I,MATCH(Прайс!$B3270,Торг!$H:$H,0))),"")</f>
        <v/>
      </c>
    </row>
    <row r="3271" spans="1:8" x14ac:dyDescent="0.25">
      <c r="A3271" s="94" t="s">
        <v>4395</v>
      </c>
      <c r="B3271" s="98">
        <v>27025</v>
      </c>
      <c r="C3271" s="98" t="s">
        <v>1736</v>
      </c>
      <c r="D3271" s="96" t="s">
        <v>161</v>
      </c>
      <c r="E3271" s="97">
        <v>500</v>
      </c>
      <c r="F3271" s="67" t="str">
        <f>IFERROR(IFERROR(INDEX(Кат!$A:$A,MATCH(Прайс!$B3271,Кат!$G:$G,0)),INDEX(Торг!$B:$B,MATCH(Прайс!$B3271,Торг!$H:$H,0))),"")</f>
        <v/>
      </c>
      <c r="G3271" s="67" t="str">
        <f>IFERROR(IFERROR(INDEX(Кат!$B:$B,MATCH(Прайс!$B3271,Кат!$G:$G,0)),INDEX(Торг!$C:$C,MATCH(Прайс!$B3271,Торг!$H:$H,0))),"")</f>
        <v/>
      </c>
      <c r="H3271" s="67" t="str">
        <f>IFERROR(IFERROR(INDEX(Кат!$I:$I,MATCH(Прайс!$B3271,Кат!$G:$G,0)),INDEX(Торг!$I:$I,MATCH(Прайс!$B3271,Торг!$H:$H,0))),"")</f>
        <v/>
      </c>
    </row>
    <row r="3272" spans="1:8" x14ac:dyDescent="0.25">
      <c r="A3272" s="94" t="s">
        <v>4396</v>
      </c>
      <c r="B3272" s="98">
        <v>27026</v>
      </c>
      <c r="C3272" s="98" t="s">
        <v>1737</v>
      </c>
      <c r="D3272" s="96" t="s">
        <v>160</v>
      </c>
      <c r="E3272" s="97">
        <v>360</v>
      </c>
      <c r="F3272" s="67" t="str">
        <f>IFERROR(IFERROR(INDEX(Кат!$A:$A,MATCH(Прайс!$B3272,Кат!$G:$G,0)),INDEX(Торг!$B:$B,MATCH(Прайс!$B3272,Торг!$H:$H,0))),"")</f>
        <v/>
      </c>
      <c r="G3272" s="67" t="str">
        <f>IFERROR(IFERROR(INDEX(Кат!$B:$B,MATCH(Прайс!$B3272,Кат!$G:$G,0)),INDEX(Торг!$C:$C,MATCH(Прайс!$B3272,Торг!$H:$H,0))),"")</f>
        <v/>
      </c>
      <c r="H3272" s="67" t="str">
        <f>IFERROR(IFERROR(INDEX(Кат!$I:$I,MATCH(Прайс!$B3272,Кат!$G:$G,0)),INDEX(Торг!$I:$I,MATCH(Прайс!$B3272,Торг!$H:$H,0))),"")</f>
        <v/>
      </c>
    </row>
    <row r="3273" spans="1:8" x14ac:dyDescent="0.25">
      <c r="A3273" s="94" t="s">
        <v>6002</v>
      </c>
      <c r="B3273" s="98">
        <v>27027</v>
      </c>
      <c r="C3273" s="98" t="s">
        <v>7900</v>
      </c>
      <c r="D3273" s="96" t="s">
        <v>177</v>
      </c>
      <c r="E3273" s="97">
        <v>770</v>
      </c>
      <c r="F3273" s="67" t="str">
        <f>IFERROR(IFERROR(INDEX(Кат!$A:$A,MATCH(Прайс!$B3273,Кат!$G:$G,0)),INDEX(Торг!$B:$B,MATCH(Прайс!$B3273,Торг!$H:$H,0))),"")</f>
        <v/>
      </c>
      <c r="G3273" s="67" t="str">
        <f>IFERROR(IFERROR(INDEX(Кат!$B:$B,MATCH(Прайс!$B3273,Кат!$G:$G,0)),INDEX(Торг!$C:$C,MATCH(Прайс!$B3273,Торг!$H:$H,0))),"")</f>
        <v/>
      </c>
      <c r="H3273" s="67" t="str">
        <f>IFERROR(IFERROR(INDEX(Кат!$I:$I,MATCH(Прайс!$B3273,Кат!$G:$G,0)),INDEX(Торг!$I:$I,MATCH(Прайс!$B3273,Торг!$H:$H,0))),"")</f>
        <v/>
      </c>
    </row>
    <row r="3274" spans="1:8" x14ac:dyDescent="0.25">
      <c r="A3274" s="94" t="s">
        <v>4397</v>
      </c>
      <c r="B3274" s="98">
        <v>27028</v>
      </c>
      <c r="C3274" s="98" t="s">
        <v>1738</v>
      </c>
      <c r="D3274" s="96" t="s">
        <v>160</v>
      </c>
      <c r="E3274" s="97">
        <v>700</v>
      </c>
      <c r="F3274" s="67" t="str">
        <f>IFERROR(IFERROR(INDEX(Кат!$A:$A,MATCH(Прайс!$B3274,Кат!$G:$G,0)),INDEX(Торг!$B:$B,MATCH(Прайс!$B3274,Торг!$H:$H,0))),"")</f>
        <v/>
      </c>
      <c r="G3274" s="67" t="str">
        <f>IFERROR(IFERROR(INDEX(Кат!$B:$B,MATCH(Прайс!$B3274,Кат!$G:$G,0)),INDEX(Торг!$C:$C,MATCH(Прайс!$B3274,Торг!$H:$H,0))),"")</f>
        <v/>
      </c>
      <c r="H3274" s="67" t="str">
        <f>IFERROR(IFERROR(INDEX(Кат!$I:$I,MATCH(Прайс!$B3274,Кат!$G:$G,0)),INDEX(Торг!$I:$I,MATCH(Прайс!$B3274,Торг!$H:$H,0))),"")</f>
        <v/>
      </c>
    </row>
    <row r="3275" spans="1:8" x14ac:dyDescent="0.25">
      <c r="A3275" s="94" t="s">
        <v>4398</v>
      </c>
      <c r="B3275" s="98">
        <v>27029</v>
      </c>
      <c r="C3275" s="98" t="s">
        <v>6003</v>
      </c>
      <c r="D3275" s="96" t="s">
        <v>797</v>
      </c>
      <c r="E3275" s="97">
        <v>450</v>
      </c>
      <c r="F3275" s="67" t="str">
        <f>IFERROR(IFERROR(INDEX(Кат!$A:$A,MATCH(Прайс!$B3275,Кат!$G:$G,0)),INDEX(Торг!$B:$B,MATCH(Прайс!$B3275,Торг!$H:$H,0))),"")</f>
        <v/>
      </c>
      <c r="G3275" s="67" t="str">
        <f>IFERROR(IFERROR(INDEX(Кат!$B:$B,MATCH(Прайс!$B3275,Кат!$G:$G,0)),INDEX(Торг!$C:$C,MATCH(Прайс!$B3275,Торг!$H:$H,0))),"")</f>
        <v/>
      </c>
      <c r="H3275" s="67" t="str">
        <f>IFERROR(IFERROR(INDEX(Кат!$I:$I,MATCH(Прайс!$B3275,Кат!$G:$G,0)),INDEX(Торг!$I:$I,MATCH(Прайс!$B3275,Торг!$H:$H,0))),"")</f>
        <v/>
      </c>
    </row>
    <row r="3276" spans="1:8" x14ac:dyDescent="0.25">
      <c r="A3276" s="94" t="s">
        <v>4399</v>
      </c>
      <c r="B3276" s="98">
        <v>27030</v>
      </c>
      <c r="C3276" s="98" t="s">
        <v>1739</v>
      </c>
      <c r="D3276" s="96" t="s">
        <v>797</v>
      </c>
      <c r="E3276" s="97">
        <v>700</v>
      </c>
      <c r="F3276" s="67">
        <f>IFERROR(IFERROR(INDEX(Кат!$A:$A,MATCH(Прайс!$B3276,Кат!$G:$G,0)),INDEX(Торг!$B:$B,MATCH(Прайс!$B3276,Торг!$H:$H,0))),"")</f>
        <v>226603</v>
      </c>
      <c r="G3276" s="67">
        <f>IFERROR(IFERROR(INDEX(Кат!$B:$B,MATCH(Прайс!$B3276,Кат!$G:$G,0)),INDEX(Торг!$C:$C,MATCH(Прайс!$B3276,Торг!$H:$H,0))),"")</f>
        <v>9016</v>
      </c>
      <c r="H3276" s="67" t="str">
        <f>IFERROR(IFERROR(INDEX(Кат!$I:$I,MATCH(Прайс!$B3276,Кат!$G:$G,0)),INDEX(Торг!$I:$I,MATCH(Прайс!$B3276,Торг!$H:$H,0))),"")</f>
        <v>кристал авто</v>
      </c>
    </row>
    <row r="3277" spans="1:8" x14ac:dyDescent="0.25">
      <c r="A3277" s="94" t="s">
        <v>4400</v>
      </c>
      <c r="B3277" s="98">
        <v>27031</v>
      </c>
      <c r="C3277" s="98" t="s">
        <v>7901</v>
      </c>
      <c r="D3277" s="96" t="s">
        <v>797</v>
      </c>
      <c r="E3277" s="97">
        <v>610</v>
      </c>
      <c r="F3277" s="67" t="str">
        <f>IFERROR(IFERROR(INDEX(Кат!$A:$A,MATCH(Прайс!$B3277,Кат!$G:$G,0)),INDEX(Торг!$B:$B,MATCH(Прайс!$B3277,Торг!$H:$H,0))),"")</f>
        <v/>
      </c>
      <c r="G3277" s="67" t="str">
        <f>IFERROR(IFERROR(INDEX(Кат!$B:$B,MATCH(Прайс!$B3277,Кат!$G:$G,0)),INDEX(Торг!$C:$C,MATCH(Прайс!$B3277,Торг!$H:$H,0))),"")</f>
        <v/>
      </c>
      <c r="H3277" s="67" t="str">
        <f>IFERROR(IFERROR(INDEX(Кат!$I:$I,MATCH(Прайс!$B3277,Кат!$G:$G,0)),INDEX(Торг!$I:$I,MATCH(Прайс!$B3277,Торг!$H:$H,0))),"")</f>
        <v/>
      </c>
    </row>
    <row r="3278" spans="1:8" x14ac:dyDescent="0.25">
      <c r="A3278" s="94" t="s">
        <v>4401</v>
      </c>
      <c r="B3278" s="98">
        <v>27032</v>
      </c>
      <c r="C3278" s="98" t="s">
        <v>7902</v>
      </c>
      <c r="D3278" s="96" t="s">
        <v>160</v>
      </c>
      <c r="E3278" s="97">
        <v>680</v>
      </c>
      <c r="F3278" s="67" t="str">
        <f>IFERROR(IFERROR(INDEX(Кат!$A:$A,MATCH(Прайс!$B3278,Кат!$G:$G,0)),INDEX(Торг!$B:$B,MATCH(Прайс!$B3278,Торг!$H:$H,0))),"")</f>
        <v/>
      </c>
      <c r="G3278" s="67" t="str">
        <f>IFERROR(IFERROR(INDEX(Кат!$B:$B,MATCH(Прайс!$B3278,Кат!$G:$G,0)),INDEX(Торг!$C:$C,MATCH(Прайс!$B3278,Торг!$H:$H,0))),"")</f>
        <v/>
      </c>
      <c r="H3278" s="67" t="str">
        <f>IFERROR(IFERROR(INDEX(Кат!$I:$I,MATCH(Прайс!$B3278,Кат!$G:$G,0)),INDEX(Торг!$I:$I,MATCH(Прайс!$B3278,Торг!$H:$H,0))),"")</f>
        <v/>
      </c>
    </row>
    <row r="3279" spans="1:8" x14ac:dyDescent="0.25">
      <c r="A3279" s="94" t="s">
        <v>4402</v>
      </c>
      <c r="B3279" s="98">
        <v>27033</v>
      </c>
      <c r="C3279" s="98" t="s">
        <v>1740</v>
      </c>
      <c r="D3279" s="96" t="s">
        <v>1741</v>
      </c>
      <c r="E3279" s="97">
        <v>780</v>
      </c>
      <c r="F3279" s="67" t="str">
        <f>IFERROR(IFERROR(INDEX(Кат!$A:$A,MATCH(Прайс!$B3279,Кат!$G:$G,0)),INDEX(Торг!$B:$B,MATCH(Прайс!$B3279,Торг!$H:$H,0))),"")</f>
        <v/>
      </c>
      <c r="G3279" s="67" t="str">
        <f>IFERROR(IFERROR(INDEX(Кат!$B:$B,MATCH(Прайс!$B3279,Кат!$G:$G,0)),INDEX(Торг!$C:$C,MATCH(Прайс!$B3279,Торг!$H:$H,0))),"")</f>
        <v/>
      </c>
      <c r="H3279" s="67" t="str">
        <f>IFERROR(IFERROR(INDEX(Кат!$I:$I,MATCH(Прайс!$B3279,Кат!$G:$G,0)),INDEX(Торг!$I:$I,MATCH(Прайс!$B3279,Торг!$H:$H,0))),"")</f>
        <v/>
      </c>
    </row>
    <row r="3280" spans="1:8" x14ac:dyDescent="0.25">
      <c r="A3280" s="94" t="s">
        <v>4403</v>
      </c>
      <c r="B3280" s="98">
        <v>27034</v>
      </c>
      <c r="C3280" s="98" t="s">
        <v>1742</v>
      </c>
      <c r="D3280" s="96" t="s">
        <v>177</v>
      </c>
      <c r="E3280" s="97">
        <v>850</v>
      </c>
      <c r="F3280" s="67" t="str">
        <f>IFERROR(IFERROR(INDEX(Кат!$A:$A,MATCH(Прайс!$B3280,Кат!$G:$G,0)),INDEX(Торг!$B:$B,MATCH(Прайс!$B3280,Торг!$H:$H,0))),"")</f>
        <v/>
      </c>
      <c r="G3280" s="67" t="str">
        <f>IFERROR(IFERROR(INDEX(Кат!$B:$B,MATCH(Прайс!$B3280,Кат!$G:$G,0)),INDEX(Торг!$C:$C,MATCH(Прайс!$B3280,Торг!$H:$H,0))),"")</f>
        <v/>
      </c>
      <c r="H3280" s="67" t="str">
        <f>IFERROR(IFERROR(INDEX(Кат!$I:$I,MATCH(Прайс!$B3280,Кат!$G:$G,0)),INDEX(Торг!$I:$I,MATCH(Прайс!$B3280,Торг!$H:$H,0))),"")</f>
        <v/>
      </c>
    </row>
    <row r="3281" spans="1:8" x14ac:dyDescent="0.25">
      <c r="A3281" s="94" t="s">
        <v>4404</v>
      </c>
      <c r="B3281" s="98">
        <v>27035</v>
      </c>
      <c r="C3281" s="98" t="s">
        <v>1743</v>
      </c>
      <c r="D3281" s="96" t="s">
        <v>160</v>
      </c>
      <c r="E3281" s="107">
        <v>1150</v>
      </c>
      <c r="F3281" s="67" t="str">
        <f>IFERROR(IFERROR(INDEX(Кат!$A:$A,MATCH(Прайс!$B3281,Кат!$G:$G,0)),INDEX(Торг!$B:$B,MATCH(Прайс!$B3281,Торг!$H:$H,0))),"")</f>
        <v/>
      </c>
      <c r="G3281" s="67" t="str">
        <f>IFERROR(IFERROR(INDEX(Кат!$B:$B,MATCH(Прайс!$B3281,Кат!$G:$G,0)),INDEX(Торг!$C:$C,MATCH(Прайс!$B3281,Торг!$H:$H,0))),"")</f>
        <v/>
      </c>
      <c r="H3281" s="67" t="str">
        <f>IFERROR(IFERROR(INDEX(Кат!$I:$I,MATCH(Прайс!$B3281,Кат!$G:$G,0)),INDEX(Торг!$I:$I,MATCH(Прайс!$B3281,Торг!$H:$H,0))),"")</f>
        <v/>
      </c>
    </row>
    <row r="3282" spans="1:8" x14ac:dyDescent="0.25">
      <c r="A3282" s="94" t="s">
        <v>4405</v>
      </c>
      <c r="B3282" s="98">
        <v>27036</v>
      </c>
      <c r="C3282" s="98" t="s">
        <v>7903</v>
      </c>
      <c r="D3282" s="96" t="s">
        <v>160</v>
      </c>
      <c r="E3282" s="107">
        <v>1200</v>
      </c>
      <c r="F3282" s="67" t="str">
        <f>IFERROR(IFERROR(INDEX(Кат!$A:$A,MATCH(Прайс!$B3282,Кат!$G:$G,0)),INDEX(Торг!$B:$B,MATCH(Прайс!$B3282,Торг!$H:$H,0))),"")</f>
        <v/>
      </c>
      <c r="G3282" s="67" t="str">
        <f>IFERROR(IFERROR(INDEX(Кат!$B:$B,MATCH(Прайс!$B3282,Кат!$G:$G,0)),INDEX(Торг!$C:$C,MATCH(Прайс!$B3282,Торг!$H:$H,0))),"")</f>
        <v/>
      </c>
      <c r="H3282" s="67" t="str">
        <f>IFERROR(IFERROR(INDEX(Кат!$I:$I,MATCH(Прайс!$B3282,Кат!$G:$G,0)),INDEX(Торг!$I:$I,MATCH(Прайс!$B3282,Торг!$H:$H,0))),"")</f>
        <v/>
      </c>
    </row>
    <row r="3283" spans="1:8" x14ac:dyDescent="0.25">
      <c r="A3283" s="94" t="s">
        <v>4406</v>
      </c>
      <c r="B3283" s="98">
        <v>27039</v>
      </c>
      <c r="C3283" s="98" t="s">
        <v>7904</v>
      </c>
      <c r="D3283" s="96" t="s">
        <v>159</v>
      </c>
      <c r="E3283" s="97">
        <v>180</v>
      </c>
      <c r="F3283" s="67" t="str">
        <f>IFERROR(IFERROR(INDEX(Кат!$A:$A,MATCH(Прайс!$B3283,Кат!$G:$G,0)),INDEX(Торг!$B:$B,MATCH(Прайс!$B3283,Торг!$H:$H,0))),"")</f>
        <v/>
      </c>
      <c r="G3283" s="67" t="str">
        <f>IFERROR(IFERROR(INDEX(Кат!$B:$B,MATCH(Прайс!$B3283,Кат!$G:$G,0)),INDEX(Торг!$C:$C,MATCH(Прайс!$B3283,Торг!$H:$H,0))),"")</f>
        <v/>
      </c>
      <c r="H3283" s="67" t="str">
        <f>IFERROR(IFERROR(INDEX(Кат!$I:$I,MATCH(Прайс!$B3283,Кат!$G:$G,0)),INDEX(Торг!$I:$I,MATCH(Прайс!$B3283,Торг!$H:$H,0))),"")</f>
        <v/>
      </c>
    </row>
    <row r="3284" spans="1:8" x14ac:dyDescent="0.25">
      <c r="A3284" s="94" t="s">
        <v>4407</v>
      </c>
      <c r="B3284" s="98">
        <v>27040</v>
      </c>
      <c r="C3284" s="98" t="s">
        <v>1745</v>
      </c>
      <c r="D3284" s="96" t="s">
        <v>165</v>
      </c>
      <c r="E3284" s="97">
        <v>210</v>
      </c>
      <c r="F3284" s="67" t="str">
        <f>IFERROR(IFERROR(INDEX(Кат!$A:$A,MATCH(Прайс!$B3284,Кат!$G:$G,0)),INDEX(Торг!$B:$B,MATCH(Прайс!$B3284,Торг!$H:$H,0))),"")</f>
        <v/>
      </c>
      <c r="G3284" s="67" t="str">
        <f>IFERROR(IFERROR(INDEX(Кат!$B:$B,MATCH(Прайс!$B3284,Кат!$G:$G,0)),INDEX(Торг!$C:$C,MATCH(Прайс!$B3284,Торг!$H:$H,0))),"")</f>
        <v/>
      </c>
      <c r="H3284" s="67" t="str">
        <f>IFERROR(IFERROR(INDEX(Кат!$I:$I,MATCH(Прайс!$B3284,Кат!$G:$G,0)),INDEX(Торг!$I:$I,MATCH(Прайс!$B3284,Торг!$H:$H,0))),"")</f>
        <v/>
      </c>
    </row>
    <row r="3285" spans="1:8" ht="15.75" x14ac:dyDescent="0.25">
      <c r="A3285" s="87"/>
      <c r="B3285" s="88"/>
      <c r="C3285" s="88" t="s">
        <v>4408</v>
      </c>
      <c r="D3285" s="88"/>
      <c r="E3285" s="89"/>
      <c r="F3285" s="67" t="str">
        <f>IFERROR(IFERROR(INDEX(Кат!$A:$A,MATCH(Прайс!$B3285,Кат!$G:$G,0)),INDEX(Торг!$B:$B,MATCH(Прайс!$B3285,Торг!$H:$H,0))),"")</f>
        <v/>
      </c>
      <c r="G3285" s="67" t="str">
        <f>IFERROR(IFERROR(INDEX(Кат!$B:$B,MATCH(Прайс!$B3285,Кат!$G:$G,0)),INDEX(Торг!$C:$C,MATCH(Прайс!$B3285,Торг!$H:$H,0))),"")</f>
        <v/>
      </c>
      <c r="H3285" s="67" t="str">
        <f>IFERROR(IFERROR(INDEX(Кат!$I:$I,MATCH(Прайс!$B3285,Кат!$G:$G,0)),INDEX(Торг!$I:$I,MATCH(Прайс!$B3285,Торг!$H:$H,0))),"")</f>
        <v/>
      </c>
    </row>
    <row r="3286" spans="1:8" ht="15.75" x14ac:dyDescent="0.25">
      <c r="A3286" s="90"/>
      <c r="B3286" s="91"/>
      <c r="C3286" s="92" t="s">
        <v>4409</v>
      </c>
      <c r="D3286" s="91"/>
      <c r="E3286" s="93"/>
      <c r="F3286" s="67" t="str">
        <f>IFERROR(IFERROR(INDEX(Кат!$A:$A,MATCH(Прайс!$B3286,Кат!$G:$G,0)),INDEX(Торг!$B:$B,MATCH(Прайс!$B3286,Торг!$H:$H,0))),"")</f>
        <v/>
      </c>
      <c r="G3286" s="67" t="str">
        <f>IFERROR(IFERROR(INDEX(Кат!$B:$B,MATCH(Прайс!$B3286,Кат!$G:$G,0)),INDEX(Торг!$C:$C,MATCH(Прайс!$B3286,Торг!$H:$H,0))),"")</f>
        <v/>
      </c>
      <c r="H3286" s="67" t="str">
        <f>IFERROR(IFERROR(INDEX(Кат!$I:$I,MATCH(Прайс!$B3286,Кат!$G:$G,0)),INDEX(Торг!$I:$I,MATCH(Прайс!$B3286,Торг!$H:$H,0))),"")</f>
        <v/>
      </c>
    </row>
    <row r="3287" spans="1:8" x14ac:dyDescent="0.25">
      <c r="A3287" s="99" t="s">
        <v>7067</v>
      </c>
      <c r="B3287" s="108">
        <v>28063</v>
      </c>
      <c r="C3287" s="108" t="s">
        <v>7068</v>
      </c>
      <c r="D3287" s="101" t="s">
        <v>177</v>
      </c>
      <c r="E3287" s="102">
        <v>95</v>
      </c>
      <c r="F3287" s="67" t="str">
        <f>IFERROR(IFERROR(INDEX(Кат!$A:$A,MATCH(Прайс!$B3287,Кат!$G:$G,0)),INDEX(Торг!$B:$B,MATCH(Прайс!$B3287,Торг!$H:$H,0))),"")</f>
        <v/>
      </c>
      <c r="G3287" s="67" t="str">
        <f>IFERROR(IFERROR(INDEX(Кат!$B:$B,MATCH(Прайс!$B3287,Кат!$G:$G,0)),INDEX(Торг!$C:$C,MATCH(Прайс!$B3287,Торг!$H:$H,0))),"")</f>
        <v/>
      </c>
      <c r="H3287" s="67" t="str">
        <f>IFERROR(IFERROR(INDEX(Кат!$I:$I,MATCH(Прайс!$B3287,Кат!$G:$G,0)),INDEX(Торг!$I:$I,MATCH(Прайс!$B3287,Торг!$H:$H,0))),"")</f>
        <v/>
      </c>
    </row>
    <row r="3288" spans="1:8" x14ac:dyDescent="0.25">
      <c r="A3288" s="99" t="s">
        <v>7069</v>
      </c>
      <c r="B3288" s="108">
        <v>28001</v>
      </c>
      <c r="C3288" s="108" t="s">
        <v>7070</v>
      </c>
      <c r="D3288" s="101" t="s">
        <v>7071</v>
      </c>
      <c r="E3288" s="102">
        <v>80</v>
      </c>
      <c r="F3288" s="67">
        <f>IFERROR(IFERROR(INDEX(Кат!$A:$A,MATCH(Прайс!$B3288,Кат!$G:$G,0)),INDEX(Торг!$B:$B,MATCH(Прайс!$B3288,Торг!$H:$H,0))),"")</f>
        <v>214029</v>
      </c>
      <c r="G3288" s="67">
        <f>IFERROR(IFERROR(INDEX(Кат!$B:$B,MATCH(Прайс!$B3288,Кат!$G:$G,0)),INDEX(Торг!$C:$C,MATCH(Прайс!$B3288,Торг!$H:$H,0))),"")</f>
        <v>8944</v>
      </c>
      <c r="H3288" s="67" t="str">
        <f>IFERROR(IFERROR(INDEX(Кат!$I:$I,MATCH(Прайс!$B3288,Кат!$G:$G,0)),INDEX(Торг!$I:$I,MATCH(Прайс!$B3288,Торг!$H:$H,0))),"")</f>
        <v>кристал авто</v>
      </c>
    </row>
    <row r="3289" spans="1:8" x14ac:dyDescent="0.25">
      <c r="A3289" s="99" t="s">
        <v>7905</v>
      </c>
      <c r="B3289" s="108">
        <v>28003</v>
      </c>
      <c r="C3289" s="108" t="s">
        <v>7906</v>
      </c>
      <c r="D3289" s="101" t="s">
        <v>257</v>
      </c>
      <c r="E3289" s="102">
        <v>35</v>
      </c>
      <c r="F3289" s="67" t="str">
        <f>IFERROR(IFERROR(INDEX(Кат!$A:$A,MATCH(Прайс!$B3289,Кат!$G:$G,0)),INDEX(Торг!$B:$B,MATCH(Прайс!$B3289,Торг!$H:$H,0))),"")</f>
        <v/>
      </c>
      <c r="G3289" s="67" t="str">
        <f>IFERROR(IFERROR(INDEX(Кат!$B:$B,MATCH(Прайс!$B3289,Кат!$G:$G,0)),INDEX(Торг!$C:$C,MATCH(Прайс!$B3289,Торг!$H:$H,0))),"")</f>
        <v/>
      </c>
      <c r="H3289" s="67" t="str">
        <f>IFERROR(IFERROR(INDEX(Кат!$I:$I,MATCH(Прайс!$B3289,Кат!$G:$G,0)),INDEX(Торг!$I:$I,MATCH(Прайс!$B3289,Торг!$H:$H,0))),"")</f>
        <v/>
      </c>
    </row>
    <row r="3290" spans="1:8" x14ac:dyDescent="0.25">
      <c r="A3290" s="99" t="s">
        <v>7072</v>
      </c>
      <c r="B3290" s="108">
        <v>28004</v>
      </c>
      <c r="C3290" s="108" t="s">
        <v>7073</v>
      </c>
      <c r="D3290" s="101" t="s">
        <v>7074</v>
      </c>
      <c r="E3290" s="102">
        <v>81</v>
      </c>
      <c r="F3290" s="67" t="str">
        <f>IFERROR(IFERROR(INDEX(Кат!$A:$A,MATCH(Прайс!$B3290,Кат!$G:$G,0)),INDEX(Торг!$B:$B,MATCH(Прайс!$B3290,Торг!$H:$H,0))),"")</f>
        <v/>
      </c>
      <c r="G3290" s="67" t="str">
        <f>IFERROR(IFERROR(INDEX(Кат!$B:$B,MATCH(Прайс!$B3290,Кат!$G:$G,0)),INDEX(Торг!$C:$C,MATCH(Прайс!$B3290,Торг!$H:$H,0))),"")</f>
        <v/>
      </c>
      <c r="H3290" s="67" t="str">
        <f>IFERROR(IFERROR(INDEX(Кат!$I:$I,MATCH(Прайс!$B3290,Кат!$G:$G,0)),INDEX(Торг!$I:$I,MATCH(Прайс!$B3290,Торг!$H:$H,0))),"")</f>
        <v/>
      </c>
    </row>
    <row r="3291" spans="1:8" x14ac:dyDescent="0.25">
      <c r="A3291" s="99" t="s">
        <v>7075</v>
      </c>
      <c r="B3291" s="108">
        <v>28008</v>
      </c>
      <c r="C3291" s="108" t="s">
        <v>7076</v>
      </c>
      <c r="D3291" s="101" t="s">
        <v>804</v>
      </c>
      <c r="E3291" s="102">
        <v>65</v>
      </c>
      <c r="F3291" s="67">
        <f>IFERROR(IFERROR(INDEX(Кат!$A:$A,MATCH(Прайс!$B3291,Кат!$G:$G,0)),INDEX(Торг!$B:$B,MATCH(Прайс!$B3291,Торг!$H:$H,0))),"")</f>
        <v>214033</v>
      </c>
      <c r="G3291" s="67">
        <f>IFERROR(IFERROR(INDEX(Кат!$B:$B,MATCH(Прайс!$B3291,Кат!$G:$G,0)),INDEX(Торг!$C:$C,MATCH(Прайс!$B3291,Торг!$H:$H,0))),"")</f>
        <v>8959</v>
      </c>
      <c r="H3291" s="67" t="str">
        <f>IFERROR(IFERROR(INDEX(Кат!$I:$I,MATCH(Прайс!$B3291,Кат!$G:$G,0)),INDEX(Торг!$I:$I,MATCH(Прайс!$B3291,Торг!$H:$H,0))),"")</f>
        <v>кристал авто</v>
      </c>
    </row>
    <row r="3292" spans="1:8" x14ac:dyDescent="0.25">
      <c r="A3292" s="99" t="s">
        <v>7077</v>
      </c>
      <c r="B3292" s="108">
        <v>28055</v>
      </c>
      <c r="C3292" s="108" t="s">
        <v>7078</v>
      </c>
      <c r="D3292" s="101" t="s">
        <v>574</v>
      </c>
      <c r="E3292" s="102">
        <v>70</v>
      </c>
      <c r="F3292" s="67" t="str">
        <f>IFERROR(IFERROR(INDEX(Кат!$A:$A,MATCH(Прайс!$B3292,Кат!$G:$G,0)),INDEX(Торг!$B:$B,MATCH(Прайс!$B3292,Торг!$H:$H,0))),"")</f>
        <v/>
      </c>
      <c r="G3292" s="67" t="str">
        <f>IFERROR(IFERROR(INDEX(Кат!$B:$B,MATCH(Прайс!$B3292,Кат!$G:$G,0)),INDEX(Торг!$C:$C,MATCH(Прайс!$B3292,Торг!$H:$H,0))),"")</f>
        <v/>
      </c>
      <c r="H3292" s="67" t="str">
        <f>IFERROR(IFERROR(INDEX(Кат!$I:$I,MATCH(Прайс!$B3292,Кат!$G:$G,0)),INDEX(Торг!$I:$I,MATCH(Прайс!$B3292,Торг!$H:$H,0))),"")</f>
        <v/>
      </c>
    </row>
    <row r="3293" spans="1:8" x14ac:dyDescent="0.25">
      <c r="A3293" s="99" t="s">
        <v>7079</v>
      </c>
      <c r="B3293" s="108">
        <v>28058</v>
      </c>
      <c r="C3293" s="108" t="s">
        <v>7080</v>
      </c>
      <c r="D3293" s="101" t="s">
        <v>582</v>
      </c>
      <c r="E3293" s="102">
        <v>58</v>
      </c>
      <c r="F3293" s="67" t="str">
        <f>IFERROR(IFERROR(INDEX(Кат!$A:$A,MATCH(Прайс!$B3293,Кат!$G:$G,0)),INDEX(Торг!$B:$B,MATCH(Прайс!$B3293,Торг!$H:$H,0))),"")</f>
        <v/>
      </c>
      <c r="G3293" s="67" t="str">
        <f>IFERROR(IFERROR(INDEX(Кат!$B:$B,MATCH(Прайс!$B3293,Кат!$G:$G,0)),INDEX(Торг!$C:$C,MATCH(Прайс!$B3293,Торг!$H:$H,0))),"")</f>
        <v/>
      </c>
      <c r="H3293" s="67" t="str">
        <f>IFERROR(IFERROR(INDEX(Кат!$I:$I,MATCH(Прайс!$B3293,Кат!$G:$G,0)),INDEX(Торг!$I:$I,MATCH(Прайс!$B3293,Торг!$H:$H,0))),"")</f>
        <v/>
      </c>
    </row>
    <row r="3294" spans="1:8" x14ac:dyDescent="0.25">
      <c r="A3294" s="99" t="s">
        <v>6004</v>
      </c>
      <c r="B3294" s="108">
        <v>28057</v>
      </c>
      <c r="C3294" s="108" t="s">
        <v>6005</v>
      </c>
      <c r="D3294" s="101" t="s">
        <v>1604</v>
      </c>
      <c r="E3294" s="102">
        <v>45</v>
      </c>
      <c r="F3294" s="67" t="str">
        <f>IFERROR(IFERROR(INDEX(Кат!$A:$A,MATCH(Прайс!$B3294,Кат!$G:$G,0)),INDEX(Торг!$B:$B,MATCH(Прайс!$B3294,Торг!$H:$H,0))),"")</f>
        <v/>
      </c>
      <c r="G3294" s="67" t="str">
        <f>IFERROR(IFERROR(INDEX(Кат!$B:$B,MATCH(Прайс!$B3294,Кат!$G:$G,0)),INDEX(Торг!$C:$C,MATCH(Прайс!$B3294,Торг!$H:$H,0))),"")</f>
        <v/>
      </c>
      <c r="H3294" s="67" t="str">
        <f>IFERROR(IFERROR(INDEX(Кат!$I:$I,MATCH(Прайс!$B3294,Кат!$G:$G,0)),INDEX(Торг!$I:$I,MATCH(Прайс!$B3294,Торг!$H:$H,0))),"")</f>
        <v/>
      </c>
    </row>
    <row r="3295" spans="1:8" x14ac:dyDescent="0.25">
      <c r="A3295" s="99" t="s">
        <v>5360</v>
      </c>
      <c r="B3295" s="108">
        <v>28010</v>
      </c>
      <c r="C3295" s="108" t="s">
        <v>7081</v>
      </c>
      <c r="D3295" s="101" t="s">
        <v>5361</v>
      </c>
      <c r="E3295" s="102">
        <v>25</v>
      </c>
      <c r="F3295" s="67" t="str">
        <f>IFERROR(IFERROR(INDEX(Кат!$A:$A,MATCH(Прайс!$B3295,Кат!$G:$G,0)),INDEX(Торг!$B:$B,MATCH(Прайс!$B3295,Торг!$H:$H,0))),"")</f>
        <v/>
      </c>
      <c r="G3295" s="67" t="str">
        <f>IFERROR(IFERROR(INDEX(Кат!$B:$B,MATCH(Прайс!$B3295,Кат!$G:$G,0)),INDEX(Торг!$C:$C,MATCH(Прайс!$B3295,Торг!$H:$H,0))),"")</f>
        <v/>
      </c>
      <c r="H3295" s="67" t="str">
        <f>IFERROR(IFERROR(INDEX(Кат!$I:$I,MATCH(Прайс!$B3295,Кат!$G:$G,0)),INDEX(Торг!$I:$I,MATCH(Прайс!$B3295,Торг!$H:$H,0))),"")</f>
        <v/>
      </c>
    </row>
    <row r="3296" spans="1:8" ht="15.75" x14ac:dyDescent="0.25">
      <c r="A3296" s="90"/>
      <c r="B3296" s="91"/>
      <c r="C3296" s="92" t="s">
        <v>4410</v>
      </c>
      <c r="D3296" s="91"/>
      <c r="E3296" s="93"/>
      <c r="F3296" s="67" t="str">
        <f>IFERROR(IFERROR(INDEX(Кат!$A:$A,MATCH(Прайс!$B3296,Кат!$G:$G,0)),INDEX(Торг!$B:$B,MATCH(Прайс!$B3296,Торг!$H:$H,0))),"")</f>
        <v/>
      </c>
      <c r="G3296" s="67" t="str">
        <f>IFERROR(IFERROR(INDEX(Кат!$B:$B,MATCH(Прайс!$B3296,Кат!$G:$G,0)),INDEX(Торг!$C:$C,MATCH(Прайс!$B3296,Торг!$H:$H,0))),"")</f>
        <v/>
      </c>
      <c r="H3296" s="67" t="str">
        <f>IFERROR(IFERROR(INDEX(Кат!$I:$I,MATCH(Прайс!$B3296,Кат!$G:$G,0)),INDEX(Торг!$I:$I,MATCH(Прайс!$B3296,Торг!$H:$H,0))),"")</f>
        <v/>
      </c>
    </row>
    <row r="3297" spans="1:8" x14ac:dyDescent="0.25">
      <c r="A3297" s="99" t="s">
        <v>7082</v>
      </c>
      <c r="B3297" s="108">
        <v>28011</v>
      </c>
      <c r="C3297" s="108" t="s">
        <v>7083</v>
      </c>
      <c r="D3297" s="101" t="s">
        <v>160</v>
      </c>
      <c r="E3297" s="102">
        <v>185</v>
      </c>
      <c r="F3297" s="67" t="str">
        <f>IFERROR(IFERROR(INDEX(Кат!$A:$A,MATCH(Прайс!$B3297,Кат!$G:$G,0)),INDEX(Торг!$B:$B,MATCH(Прайс!$B3297,Торг!$H:$H,0))),"")</f>
        <v/>
      </c>
      <c r="G3297" s="67" t="str">
        <f>IFERROR(IFERROR(INDEX(Кат!$B:$B,MATCH(Прайс!$B3297,Кат!$G:$G,0)),INDEX(Торг!$C:$C,MATCH(Прайс!$B3297,Торг!$H:$H,0))),"")</f>
        <v/>
      </c>
      <c r="H3297" s="67" t="str">
        <f>IFERROR(IFERROR(INDEX(Кат!$I:$I,MATCH(Прайс!$B3297,Кат!$G:$G,0)),INDEX(Торг!$I:$I,MATCH(Прайс!$B3297,Торг!$H:$H,0))),"")</f>
        <v/>
      </c>
    </row>
    <row r="3298" spans="1:8" x14ac:dyDescent="0.25">
      <c r="A3298" s="99" t="s">
        <v>7084</v>
      </c>
      <c r="B3298" s="108">
        <v>28012</v>
      </c>
      <c r="C3298" s="108" t="s">
        <v>7085</v>
      </c>
      <c r="D3298" s="101" t="s">
        <v>160</v>
      </c>
      <c r="E3298" s="102">
        <v>240</v>
      </c>
      <c r="F3298" s="67" t="str">
        <f>IFERROR(IFERROR(INDEX(Кат!$A:$A,MATCH(Прайс!$B3298,Кат!$G:$G,0)),INDEX(Торг!$B:$B,MATCH(Прайс!$B3298,Торг!$H:$H,0))),"")</f>
        <v/>
      </c>
      <c r="G3298" s="67" t="str">
        <f>IFERROR(IFERROR(INDEX(Кат!$B:$B,MATCH(Прайс!$B3298,Кат!$G:$G,0)),INDEX(Торг!$C:$C,MATCH(Прайс!$B3298,Торг!$H:$H,0))),"")</f>
        <v/>
      </c>
      <c r="H3298" s="67" t="str">
        <f>IFERROR(IFERROR(INDEX(Кат!$I:$I,MATCH(Прайс!$B3298,Кат!$G:$G,0)),INDEX(Торг!$I:$I,MATCH(Прайс!$B3298,Торг!$H:$H,0))),"")</f>
        <v/>
      </c>
    </row>
    <row r="3299" spans="1:8" x14ac:dyDescent="0.25">
      <c r="A3299" s="99" t="s">
        <v>7086</v>
      </c>
      <c r="B3299" s="108">
        <v>28013</v>
      </c>
      <c r="C3299" s="108" t="s">
        <v>7087</v>
      </c>
      <c r="D3299" s="101" t="s">
        <v>160</v>
      </c>
      <c r="E3299" s="102">
        <v>195</v>
      </c>
      <c r="F3299" s="67" t="str">
        <f>IFERROR(IFERROR(INDEX(Кат!$A:$A,MATCH(Прайс!$B3299,Кат!$G:$G,0)),INDEX(Торг!$B:$B,MATCH(Прайс!$B3299,Торг!$H:$H,0))),"")</f>
        <v/>
      </c>
      <c r="G3299" s="67" t="str">
        <f>IFERROR(IFERROR(INDEX(Кат!$B:$B,MATCH(Прайс!$B3299,Кат!$G:$G,0)),INDEX(Торг!$C:$C,MATCH(Прайс!$B3299,Торг!$H:$H,0))),"")</f>
        <v/>
      </c>
      <c r="H3299" s="67" t="str">
        <f>IFERROR(IFERROR(INDEX(Кат!$I:$I,MATCH(Прайс!$B3299,Кат!$G:$G,0)),INDEX(Торг!$I:$I,MATCH(Прайс!$B3299,Торг!$H:$H,0))),"")</f>
        <v/>
      </c>
    </row>
    <row r="3300" spans="1:8" x14ac:dyDescent="0.25">
      <c r="A3300" s="99" t="s">
        <v>7088</v>
      </c>
      <c r="B3300" s="108">
        <v>28014</v>
      </c>
      <c r="C3300" s="108" t="s">
        <v>7089</v>
      </c>
      <c r="D3300" s="101" t="s">
        <v>160</v>
      </c>
      <c r="E3300" s="102">
        <v>150</v>
      </c>
      <c r="F3300" s="67" t="str">
        <f>IFERROR(IFERROR(INDEX(Кат!$A:$A,MATCH(Прайс!$B3300,Кат!$G:$G,0)),INDEX(Торг!$B:$B,MATCH(Прайс!$B3300,Торг!$H:$H,0))),"")</f>
        <v/>
      </c>
      <c r="G3300" s="67" t="str">
        <f>IFERROR(IFERROR(INDEX(Кат!$B:$B,MATCH(Прайс!$B3300,Кат!$G:$G,0)),INDEX(Торг!$C:$C,MATCH(Прайс!$B3300,Торг!$H:$H,0))),"")</f>
        <v/>
      </c>
      <c r="H3300" s="67" t="str">
        <f>IFERROR(IFERROR(INDEX(Кат!$I:$I,MATCH(Прайс!$B3300,Кат!$G:$G,0)),INDEX(Торг!$I:$I,MATCH(Прайс!$B3300,Торг!$H:$H,0))),"")</f>
        <v/>
      </c>
    </row>
    <row r="3301" spans="1:8" x14ac:dyDescent="0.25">
      <c r="A3301" s="99" t="s">
        <v>7090</v>
      </c>
      <c r="B3301" s="108">
        <v>28052</v>
      </c>
      <c r="C3301" s="108" t="s">
        <v>7091</v>
      </c>
      <c r="D3301" s="101" t="s">
        <v>160</v>
      </c>
      <c r="E3301" s="102">
        <v>210</v>
      </c>
      <c r="F3301" s="67" t="str">
        <f>IFERROR(IFERROR(INDEX(Кат!$A:$A,MATCH(Прайс!$B3301,Кат!$G:$G,0)),INDEX(Торг!$B:$B,MATCH(Прайс!$B3301,Торг!$H:$H,0))),"")</f>
        <v/>
      </c>
      <c r="G3301" s="67" t="str">
        <f>IFERROR(IFERROR(INDEX(Кат!$B:$B,MATCH(Прайс!$B3301,Кат!$G:$G,0)),INDEX(Торг!$C:$C,MATCH(Прайс!$B3301,Торг!$H:$H,0))),"")</f>
        <v/>
      </c>
      <c r="H3301" s="67" t="str">
        <f>IFERROR(IFERROR(INDEX(Кат!$I:$I,MATCH(Прайс!$B3301,Кат!$G:$G,0)),INDEX(Торг!$I:$I,MATCH(Прайс!$B3301,Торг!$H:$H,0))),"")</f>
        <v/>
      </c>
    </row>
    <row r="3302" spans="1:8" x14ac:dyDescent="0.25">
      <c r="A3302" s="99" t="s">
        <v>7092</v>
      </c>
      <c r="B3302" s="108">
        <v>28080</v>
      </c>
      <c r="C3302" s="108" t="s">
        <v>7093</v>
      </c>
      <c r="D3302" s="101" t="s">
        <v>160</v>
      </c>
      <c r="E3302" s="102">
        <v>900</v>
      </c>
      <c r="F3302" s="67" t="str">
        <f>IFERROR(IFERROR(INDEX(Кат!$A:$A,MATCH(Прайс!$B3302,Кат!$G:$G,0)),INDEX(Торг!$B:$B,MATCH(Прайс!$B3302,Торг!$H:$H,0))),"")</f>
        <v/>
      </c>
      <c r="G3302" s="67" t="str">
        <f>IFERROR(IFERROR(INDEX(Кат!$B:$B,MATCH(Прайс!$B3302,Кат!$G:$G,0)),INDEX(Торг!$C:$C,MATCH(Прайс!$B3302,Торг!$H:$H,0))),"")</f>
        <v/>
      </c>
      <c r="H3302" s="67" t="str">
        <f>IFERROR(IFERROR(INDEX(Кат!$I:$I,MATCH(Прайс!$B3302,Кат!$G:$G,0)),INDEX(Торг!$I:$I,MATCH(Прайс!$B3302,Торг!$H:$H,0))),"")</f>
        <v/>
      </c>
    </row>
    <row r="3303" spans="1:8" x14ac:dyDescent="0.25">
      <c r="A3303" s="99" t="s">
        <v>7094</v>
      </c>
      <c r="B3303" s="108">
        <v>28081</v>
      </c>
      <c r="C3303" s="108" t="s">
        <v>7095</v>
      </c>
      <c r="D3303" s="101" t="s">
        <v>160</v>
      </c>
      <c r="E3303" s="102">
        <v>830</v>
      </c>
      <c r="F3303" s="67" t="str">
        <f>IFERROR(IFERROR(INDEX(Кат!$A:$A,MATCH(Прайс!$B3303,Кат!$G:$G,0)),INDEX(Торг!$B:$B,MATCH(Прайс!$B3303,Торг!$H:$H,0))),"")</f>
        <v/>
      </c>
      <c r="G3303" s="67" t="str">
        <f>IFERROR(IFERROR(INDEX(Кат!$B:$B,MATCH(Прайс!$B3303,Кат!$G:$G,0)),INDEX(Торг!$C:$C,MATCH(Прайс!$B3303,Торг!$H:$H,0))),"")</f>
        <v/>
      </c>
      <c r="H3303" s="67" t="str">
        <f>IFERROR(IFERROR(INDEX(Кат!$I:$I,MATCH(Прайс!$B3303,Кат!$G:$G,0)),INDEX(Торг!$I:$I,MATCH(Прайс!$B3303,Торг!$H:$H,0))),"")</f>
        <v/>
      </c>
    </row>
    <row r="3304" spans="1:8" x14ac:dyDescent="0.25">
      <c r="A3304" s="99" t="s">
        <v>7096</v>
      </c>
      <c r="B3304" s="108">
        <v>28019</v>
      </c>
      <c r="C3304" s="108" t="s">
        <v>7907</v>
      </c>
      <c r="D3304" s="101" t="s">
        <v>160</v>
      </c>
      <c r="E3304" s="102">
        <v>530</v>
      </c>
      <c r="F3304" s="67" t="str">
        <f>IFERROR(IFERROR(INDEX(Кат!$A:$A,MATCH(Прайс!$B3304,Кат!$G:$G,0)),INDEX(Торг!$B:$B,MATCH(Прайс!$B3304,Торг!$H:$H,0))),"")</f>
        <v/>
      </c>
      <c r="G3304" s="67" t="str">
        <f>IFERROR(IFERROR(INDEX(Кат!$B:$B,MATCH(Прайс!$B3304,Кат!$G:$G,0)),INDEX(Торг!$C:$C,MATCH(Прайс!$B3304,Торг!$H:$H,0))),"")</f>
        <v/>
      </c>
      <c r="H3304" s="67" t="str">
        <f>IFERROR(IFERROR(INDEX(Кат!$I:$I,MATCH(Прайс!$B3304,Кат!$G:$G,0)),INDEX(Торг!$I:$I,MATCH(Прайс!$B3304,Торг!$H:$H,0))),"")</f>
        <v/>
      </c>
    </row>
    <row r="3305" spans="1:8" x14ac:dyDescent="0.25">
      <c r="A3305" s="99" t="s">
        <v>8327</v>
      </c>
      <c r="B3305" s="108">
        <v>28020</v>
      </c>
      <c r="C3305" s="108" t="s">
        <v>8328</v>
      </c>
      <c r="D3305" s="101" t="s">
        <v>160</v>
      </c>
      <c r="E3305" s="102">
        <v>610</v>
      </c>
      <c r="F3305" s="67" t="str">
        <f>IFERROR(IFERROR(INDEX(Кат!$A:$A,MATCH(Прайс!$B3305,Кат!$G:$G,0)),INDEX(Торг!$B:$B,MATCH(Прайс!$B3305,Торг!$H:$H,0))),"")</f>
        <v/>
      </c>
      <c r="G3305" s="67" t="str">
        <f>IFERROR(IFERROR(INDEX(Кат!$B:$B,MATCH(Прайс!$B3305,Кат!$G:$G,0)),INDEX(Торг!$C:$C,MATCH(Прайс!$B3305,Торг!$H:$H,0))),"")</f>
        <v/>
      </c>
      <c r="H3305" s="67" t="str">
        <f>IFERROR(IFERROR(INDEX(Кат!$I:$I,MATCH(Прайс!$B3305,Кат!$G:$G,0)),INDEX(Торг!$I:$I,MATCH(Прайс!$B3305,Торг!$H:$H,0))),"")</f>
        <v/>
      </c>
    </row>
    <row r="3306" spans="1:8" x14ac:dyDescent="0.25">
      <c r="A3306" s="99" t="s">
        <v>7097</v>
      </c>
      <c r="B3306" s="108">
        <v>28079</v>
      </c>
      <c r="C3306" s="108" t="s">
        <v>7098</v>
      </c>
      <c r="D3306" s="101" t="s">
        <v>160</v>
      </c>
      <c r="E3306" s="102">
        <v>380</v>
      </c>
      <c r="F3306" s="67" t="str">
        <f>IFERROR(IFERROR(INDEX(Кат!$A:$A,MATCH(Прайс!$B3306,Кат!$G:$G,0)),INDEX(Торг!$B:$B,MATCH(Прайс!$B3306,Торг!$H:$H,0))),"")</f>
        <v/>
      </c>
      <c r="G3306" s="67" t="str">
        <f>IFERROR(IFERROR(INDEX(Кат!$B:$B,MATCH(Прайс!$B3306,Кат!$G:$G,0)),INDEX(Торг!$C:$C,MATCH(Прайс!$B3306,Торг!$H:$H,0))),"")</f>
        <v/>
      </c>
      <c r="H3306" s="67" t="str">
        <f>IFERROR(IFERROR(INDEX(Кат!$I:$I,MATCH(Прайс!$B3306,Кат!$G:$G,0)),INDEX(Торг!$I:$I,MATCH(Прайс!$B3306,Торг!$H:$H,0))),"")</f>
        <v/>
      </c>
    </row>
    <row r="3307" spans="1:8" x14ac:dyDescent="0.25">
      <c r="A3307" s="99" t="s">
        <v>7099</v>
      </c>
      <c r="B3307" s="108">
        <v>28082</v>
      </c>
      <c r="C3307" s="108" t="s">
        <v>7100</v>
      </c>
      <c r="D3307" s="101" t="s">
        <v>160</v>
      </c>
      <c r="E3307" s="102">
        <v>500</v>
      </c>
      <c r="F3307" s="67" t="str">
        <f>IFERROR(IFERROR(INDEX(Кат!$A:$A,MATCH(Прайс!$B3307,Кат!$G:$G,0)),INDEX(Торг!$B:$B,MATCH(Прайс!$B3307,Торг!$H:$H,0))),"")</f>
        <v/>
      </c>
      <c r="G3307" s="67" t="str">
        <f>IFERROR(IFERROR(INDEX(Кат!$B:$B,MATCH(Прайс!$B3307,Кат!$G:$G,0)),INDEX(Торг!$C:$C,MATCH(Прайс!$B3307,Торг!$H:$H,0))),"")</f>
        <v/>
      </c>
      <c r="H3307" s="67" t="str">
        <f>IFERROR(IFERROR(INDEX(Кат!$I:$I,MATCH(Прайс!$B3307,Кат!$G:$G,0)),INDEX(Торг!$I:$I,MATCH(Прайс!$B3307,Торг!$H:$H,0))),"")</f>
        <v/>
      </c>
    </row>
    <row r="3308" spans="1:8" x14ac:dyDescent="0.25">
      <c r="A3308" s="99" t="s">
        <v>7101</v>
      </c>
      <c r="B3308" s="108">
        <v>28036</v>
      </c>
      <c r="C3308" s="108" t="s">
        <v>7102</v>
      </c>
      <c r="D3308" s="101" t="s">
        <v>653</v>
      </c>
      <c r="E3308" s="102">
        <v>170</v>
      </c>
      <c r="F3308" s="67" t="str">
        <f>IFERROR(IFERROR(INDEX(Кат!$A:$A,MATCH(Прайс!$B3308,Кат!$G:$G,0)),INDEX(Торг!$B:$B,MATCH(Прайс!$B3308,Торг!$H:$H,0))),"")</f>
        <v/>
      </c>
      <c r="G3308" s="67" t="str">
        <f>IFERROR(IFERROR(INDEX(Кат!$B:$B,MATCH(Прайс!$B3308,Кат!$G:$G,0)),INDEX(Торг!$C:$C,MATCH(Прайс!$B3308,Торг!$H:$H,0))),"")</f>
        <v/>
      </c>
      <c r="H3308" s="67" t="str">
        <f>IFERROR(IFERROR(INDEX(Кат!$I:$I,MATCH(Прайс!$B3308,Кат!$G:$G,0)),INDEX(Торг!$I:$I,MATCH(Прайс!$B3308,Торг!$H:$H,0))),"")</f>
        <v/>
      </c>
    </row>
    <row r="3309" spans="1:8" x14ac:dyDescent="0.25">
      <c r="A3309" s="99" t="s">
        <v>7103</v>
      </c>
      <c r="B3309" s="108">
        <v>28016</v>
      </c>
      <c r="C3309" s="108" t="s">
        <v>7104</v>
      </c>
      <c r="D3309" s="101" t="s">
        <v>177</v>
      </c>
      <c r="E3309" s="102">
        <v>235</v>
      </c>
      <c r="F3309" s="67" t="str">
        <f>IFERROR(IFERROR(INDEX(Кат!$A:$A,MATCH(Прайс!$B3309,Кат!$G:$G,0)),INDEX(Торг!$B:$B,MATCH(Прайс!$B3309,Торг!$H:$H,0))),"")</f>
        <v/>
      </c>
      <c r="G3309" s="67" t="str">
        <f>IFERROR(IFERROR(INDEX(Кат!$B:$B,MATCH(Прайс!$B3309,Кат!$G:$G,0)),INDEX(Торг!$C:$C,MATCH(Прайс!$B3309,Торг!$H:$H,0))),"")</f>
        <v/>
      </c>
      <c r="H3309" s="67" t="str">
        <f>IFERROR(IFERROR(INDEX(Кат!$I:$I,MATCH(Прайс!$B3309,Кат!$G:$G,0)),INDEX(Торг!$I:$I,MATCH(Прайс!$B3309,Торг!$H:$H,0))),"")</f>
        <v/>
      </c>
    </row>
    <row r="3310" spans="1:8" x14ac:dyDescent="0.25">
      <c r="A3310" s="99" t="s">
        <v>7105</v>
      </c>
      <c r="B3310" s="108">
        <v>28024</v>
      </c>
      <c r="C3310" s="108" t="s">
        <v>7106</v>
      </c>
      <c r="D3310" s="101" t="s">
        <v>160</v>
      </c>
      <c r="E3310" s="102">
        <v>280</v>
      </c>
      <c r="F3310" s="67" t="str">
        <f>IFERROR(IFERROR(INDEX(Кат!$A:$A,MATCH(Прайс!$B3310,Кат!$G:$G,0)),INDEX(Торг!$B:$B,MATCH(Прайс!$B3310,Торг!$H:$H,0))),"")</f>
        <v/>
      </c>
      <c r="G3310" s="67" t="str">
        <f>IFERROR(IFERROR(INDEX(Кат!$B:$B,MATCH(Прайс!$B3310,Кат!$G:$G,0)),INDEX(Торг!$C:$C,MATCH(Прайс!$B3310,Торг!$H:$H,0))),"")</f>
        <v/>
      </c>
      <c r="H3310" s="67" t="str">
        <f>IFERROR(IFERROR(INDEX(Кат!$I:$I,MATCH(Прайс!$B3310,Кат!$G:$G,0)),INDEX(Торг!$I:$I,MATCH(Прайс!$B3310,Торг!$H:$H,0))),"")</f>
        <v/>
      </c>
    </row>
    <row r="3311" spans="1:8" x14ac:dyDescent="0.25">
      <c r="A3311" s="99" t="s">
        <v>7107</v>
      </c>
      <c r="B3311" s="108">
        <v>28025</v>
      </c>
      <c r="C3311" s="108" t="s">
        <v>7108</v>
      </c>
      <c r="D3311" s="101" t="s">
        <v>159</v>
      </c>
      <c r="E3311" s="102">
        <v>95</v>
      </c>
      <c r="F3311" s="67" t="str">
        <f>IFERROR(IFERROR(INDEX(Кат!$A:$A,MATCH(Прайс!$B3311,Кат!$G:$G,0)),INDEX(Торг!$B:$B,MATCH(Прайс!$B3311,Торг!$H:$H,0))),"")</f>
        <v/>
      </c>
      <c r="G3311" s="67" t="str">
        <f>IFERROR(IFERROR(INDEX(Кат!$B:$B,MATCH(Прайс!$B3311,Кат!$G:$G,0)),INDEX(Торг!$C:$C,MATCH(Прайс!$B3311,Торг!$H:$H,0))),"")</f>
        <v/>
      </c>
      <c r="H3311" s="67" t="str">
        <f>IFERROR(IFERROR(INDEX(Кат!$I:$I,MATCH(Прайс!$B3311,Кат!$G:$G,0)),INDEX(Торг!$I:$I,MATCH(Прайс!$B3311,Торг!$H:$H,0))),"")</f>
        <v/>
      </c>
    </row>
    <row r="3312" spans="1:8" x14ac:dyDescent="0.25">
      <c r="A3312" s="99" t="s">
        <v>7109</v>
      </c>
      <c r="B3312" s="108">
        <v>28026</v>
      </c>
      <c r="C3312" s="108" t="s">
        <v>7110</v>
      </c>
      <c r="D3312" s="101" t="s">
        <v>160</v>
      </c>
      <c r="E3312" s="102">
        <v>310</v>
      </c>
      <c r="F3312" s="67" t="str">
        <f>IFERROR(IFERROR(INDEX(Кат!$A:$A,MATCH(Прайс!$B3312,Кат!$G:$G,0)),INDEX(Торг!$B:$B,MATCH(Прайс!$B3312,Торг!$H:$H,0))),"")</f>
        <v/>
      </c>
      <c r="G3312" s="67" t="str">
        <f>IFERROR(IFERROR(INDEX(Кат!$B:$B,MATCH(Прайс!$B3312,Кат!$G:$G,0)),INDEX(Торг!$C:$C,MATCH(Прайс!$B3312,Торг!$H:$H,0))),"")</f>
        <v/>
      </c>
      <c r="H3312" s="67" t="str">
        <f>IFERROR(IFERROR(INDEX(Кат!$I:$I,MATCH(Прайс!$B3312,Кат!$G:$G,0)),INDEX(Торг!$I:$I,MATCH(Прайс!$B3312,Торг!$H:$H,0))),"")</f>
        <v/>
      </c>
    </row>
    <row r="3313" spans="1:8" x14ac:dyDescent="0.25">
      <c r="A3313" s="99" t="s">
        <v>5469</v>
      </c>
      <c r="B3313" s="108">
        <v>28027</v>
      </c>
      <c r="C3313" s="108" t="s">
        <v>5470</v>
      </c>
      <c r="D3313" s="101" t="s">
        <v>160</v>
      </c>
      <c r="E3313" s="102">
        <v>435</v>
      </c>
      <c r="F3313" s="67" t="str">
        <f>IFERROR(IFERROR(INDEX(Кат!$A:$A,MATCH(Прайс!$B3313,Кат!$G:$G,0)),INDEX(Торг!$B:$B,MATCH(Прайс!$B3313,Торг!$H:$H,0))),"")</f>
        <v/>
      </c>
      <c r="G3313" s="67" t="str">
        <f>IFERROR(IFERROR(INDEX(Кат!$B:$B,MATCH(Прайс!$B3313,Кат!$G:$G,0)),INDEX(Торг!$C:$C,MATCH(Прайс!$B3313,Торг!$H:$H,0))),"")</f>
        <v/>
      </c>
      <c r="H3313" s="67" t="str">
        <f>IFERROR(IFERROR(INDEX(Кат!$I:$I,MATCH(Прайс!$B3313,Кат!$G:$G,0)),INDEX(Торг!$I:$I,MATCH(Прайс!$B3313,Торг!$H:$H,0))),"")</f>
        <v/>
      </c>
    </row>
    <row r="3314" spans="1:8" x14ac:dyDescent="0.25">
      <c r="A3314" s="99" t="s">
        <v>7111</v>
      </c>
      <c r="B3314" s="108">
        <v>28028</v>
      </c>
      <c r="C3314" s="108" t="s">
        <v>7112</v>
      </c>
      <c r="D3314" s="101" t="s">
        <v>584</v>
      </c>
      <c r="E3314" s="102">
        <v>355</v>
      </c>
      <c r="F3314" s="67" t="str">
        <f>IFERROR(IFERROR(INDEX(Кат!$A:$A,MATCH(Прайс!$B3314,Кат!$G:$G,0)),INDEX(Торг!$B:$B,MATCH(Прайс!$B3314,Торг!$H:$H,0))),"")</f>
        <v/>
      </c>
      <c r="G3314" s="67" t="str">
        <f>IFERROR(IFERROR(INDEX(Кат!$B:$B,MATCH(Прайс!$B3314,Кат!$G:$G,0)),INDEX(Торг!$C:$C,MATCH(Прайс!$B3314,Торг!$H:$H,0))),"")</f>
        <v/>
      </c>
      <c r="H3314" s="67" t="str">
        <f>IFERROR(IFERROR(INDEX(Кат!$I:$I,MATCH(Прайс!$B3314,Кат!$G:$G,0)),INDEX(Торг!$I:$I,MATCH(Прайс!$B3314,Торг!$H:$H,0))),"")</f>
        <v/>
      </c>
    </row>
    <row r="3315" spans="1:8" x14ac:dyDescent="0.25">
      <c r="A3315" s="99" t="s">
        <v>7113</v>
      </c>
      <c r="B3315" s="108">
        <v>28029</v>
      </c>
      <c r="C3315" s="108" t="s">
        <v>7908</v>
      </c>
      <c r="D3315" s="101" t="s">
        <v>160</v>
      </c>
      <c r="E3315" s="102">
        <v>275</v>
      </c>
      <c r="F3315" s="67" t="str">
        <f>IFERROR(IFERROR(INDEX(Кат!$A:$A,MATCH(Прайс!$B3315,Кат!$G:$G,0)),INDEX(Торг!$B:$B,MATCH(Прайс!$B3315,Торг!$H:$H,0))),"")</f>
        <v/>
      </c>
      <c r="G3315" s="67" t="str">
        <f>IFERROR(IFERROR(INDEX(Кат!$B:$B,MATCH(Прайс!$B3315,Кат!$G:$G,0)),INDEX(Торг!$C:$C,MATCH(Прайс!$B3315,Торг!$H:$H,0))),"")</f>
        <v/>
      </c>
      <c r="H3315" s="67" t="str">
        <f>IFERROR(IFERROR(INDEX(Кат!$I:$I,MATCH(Прайс!$B3315,Кат!$G:$G,0)),INDEX(Торг!$I:$I,MATCH(Прайс!$B3315,Торг!$H:$H,0))),"")</f>
        <v/>
      </c>
    </row>
    <row r="3316" spans="1:8" x14ac:dyDescent="0.25">
      <c r="A3316" s="99" t="s">
        <v>7114</v>
      </c>
      <c r="B3316" s="108">
        <v>28030</v>
      </c>
      <c r="C3316" s="108" t="s">
        <v>7115</v>
      </c>
      <c r="D3316" s="101" t="s">
        <v>160</v>
      </c>
      <c r="E3316" s="102">
        <v>300</v>
      </c>
      <c r="F3316" s="67">
        <f>IFERROR(IFERROR(INDEX(Кат!$A:$A,MATCH(Прайс!$B3316,Кат!$G:$G,0)),INDEX(Торг!$B:$B,MATCH(Прайс!$B3316,Торг!$H:$H,0))),"")</f>
        <v>226607</v>
      </c>
      <c r="G3316" s="67">
        <f>IFERROR(IFERROR(INDEX(Кат!$B:$B,MATCH(Прайс!$B3316,Кат!$G:$G,0)),INDEX(Торг!$C:$C,MATCH(Прайс!$B3316,Торг!$H:$H,0))),"")</f>
        <v>8961</v>
      </c>
      <c r="H3316" s="67" t="str">
        <f>IFERROR(IFERROR(INDEX(Кат!$I:$I,MATCH(Прайс!$B3316,Кат!$G:$G,0)),INDEX(Торг!$I:$I,MATCH(Прайс!$B3316,Торг!$H:$H,0))),"")</f>
        <v>кристал авто</v>
      </c>
    </row>
    <row r="3317" spans="1:8" x14ac:dyDescent="0.25">
      <c r="A3317" s="99" t="s">
        <v>7116</v>
      </c>
      <c r="B3317" s="108">
        <v>28031</v>
      </c>
      <c r="C3317" s="108" t="s">
        <v>7909</v>
      </c>
      <c r="D3317" s="101" t="s">
        <v>160</v>
      </c>
      <c r="E3317" s="102">
        <v>270</v>
      </c>
      <c r="F3317" s="67" t="str">
        <f>IFERROR(IFERROR(INDEX(Кат!$A:$A,MATCH(Прайс!$B3317,Кат!$G:$G,0)),INDEX(Торг!$B:$B,MATCH(Прайс!$B3317,Торг!$H:$H,0))),"")</f>
        <v/>
      </c>
      <c r="G3317" s="67" t="str">
        <f>IFERROR(IFERROR(INDEX(Кат!$B:$B,MATCH(Прайс!$B3317,Кат!$G:$G,0)),INDEX(Торг!$C:$C,MATCH(Прайс!$B3317,Торг!$H:$H,0))),"")</f>
        <v/>
      </c>
      <c r="H3317" s="67" t="str">
        <f>IFERROR(IFERROR(INDEX(Кат!$I:$I,MATCH(Прайс!$B3317,Кат!$G:$G,0)),INDEX(Торг!$I:$I,MATCH(Прайс!$B3317,Торг!$H:$H,0))),"")</f>
        <v/>
      </c>
    </row>
    <row r="3318" spans="1:8" x14ac:dyDescent="0.25">
      <c r="A3318" s="99" t="s">
        <v>7117</v>
      </c>
      <c r="B3318" s="108">
        <v>28032</v>
      </c>
      <c r="C3318" s="108" t="s">
        <v>7910</v>
      </c>
      <c r="D3318" s="101" t="s">
        <v>160</v>
      </c>
      <c r="E3318" s="102">
        <v>320</v>
      </c>
      <c r="F3318" s="67" t="str">
        <f>IFERROR(IFERROR(INDEX(Кат!$A:$A,MATCH(Прайс!$B3318,Кат!$G:$G,0)),INDEX(Торг!$B:$B,MATCH(Прайс!$B3318,Торг!$H:$H,0))),"")</f>
        <v/>
      </c>
      <c r="G3318" s="67" t="str">
        <f>IFERROR(IFERROR(INDEX(Кат!$B:$B,MATCH(Прайс!$B3318,Кат!$G:$G,0)),INDEX(Торг!$C:$C,MATCH(Прайс!$B3318,Торг!$H:$H,0))),"")</f>
        <v/>
      </c>
      <c r="H3318" s="67" t="str">
        <f>IFERROR(IFERROR(INDEX(Кат!$I:$I,MATCH(Прайс!$B3318,Кат!$G:$G,0)),INDEX(Торг!$I:$I,MATCH(Прайс!$B3318,Торг!$H:$H,0))),"")</f>
        <v/>
      </c>
    </row>
    <row r="3319" spans="1:8" x14ac:dyDescent="0.25">
      <c r="A3319" s="99" t="s">
        <v>4411</v>
      </c>
      <c r="B3319" s="108">
        <v>28033</v>
      </c>
      <c r="C3319" s="108" t="s">
        <v>4412</v>
      </c>
      <c r="D3319" s="101" t="s">
        <v>160</v>
      </c>
      <c r="E3319" s="102">
        <v>385</v>
      </c>
      <c r="F3319" s="67" t="str">
        <f>IFERROR(IFERROR(INDEX(Кат!$A:$A,MATCH(Прайс!$B3319,Кат!$G:$G,0)),INDEX(Торг!$B:$B,MATCH(Прайс!$B3319,Торг!$H:$H,0))),"")</f>
        <v/>
      </c>
      <c r="G3319" s="67" t="str">
        <f>IFERROR(IFERROR(INDEX(Кат!$B:$B,MATCH(Прайс!$B3319,Кат!$G:$G,0)),INDEX(Торг!$C:$C,MATCH(Прайс!$B3319,Торг!$H:$H,0))),"")</f>
        <v/>
      </c>
      <c r="H3319" s="67" t="str">
        <f>IFERROR(IFERROR(INDEX(Кат!$I:$I,MATCH(Прайс!$B3319,Кат!$G:$G,0)),INDEX(Торг!$I:$I,MATCH(Прайс!$B3319,Торг!$H:$H,0))),"")</f>
        <v/>
      </c>
    </row>
    <row r="3320" spans="1:8" x14ac:dyDescent="0.25">
      <c r="A3320" s="99" t="s">
        <v>7118</v>
      </c>
      <c r="B3320" s="108">
        <v>28034</v>
      </c>
      <c r="C3320" s="108" t="s">
        <v>7119</v>
      </c>
      <c r="D3320" s="101" t="s">
        <v>653</v>
      </c>
      <c r="E3320" s="102">
        <v>220</v>
      </c>
      <c r="F3320" s="67" t="str">
        <f>IFERROR(IFERROR(INDEX(Кат!$A:$A,MATCH(Прайс!$B3320,Кат!$G:$G,0)),INDEX(Торг!$B:$B,MATCH(Прайс!$B3320,Торг!$H:$H,0))),"")</f>
        <v/>
      </c>
      <c r="G3320" s="67" t="str">
        <f>IFERROR(IFERROR(INDEX(Кат!$B:$B,MATCH(Прайс!$B3320,Кат!$G:$G,0)),INDEX(Торг!$C:$C,MATCH(Прайс!$B3320,Торг!$H:$H,0))),"")</f>
        <v/>
      </c>
      <c r="H3320" s="67" t="str">
        <f>IFERROR(IFERROR(INDEX(Кат!$I:$I,MATCH(Прайс!$B3320,Кат!$G:$G,0)),INDEX(Торг!$I:$I,MATCH(Прайс!$B3320,Торг!$H:$H,0))),"")</f>
        <v/>
      </c>
    </row>
    <row r="3321" spans="1:8" x14ac:dyDescent="0.25">
      <c r="A3321" s="99" t="s">
        <v>7120</v>
      </c>
      <c r="B3321" s="108">
        <v>28035</v>
      </c>
      <c r="C3321" s="108" t="s">
        <v>7121</v>
      </c>
      <c r="D3321" s="101" t="s">
        <v>653</v>
      </c>
      <c r="E3321" s="102">
        <v>225</v>
      </c>
      <c r="F3321" s="67" t="str">
        <f>IFERROR(IFERROR(INDEX(Кат!$A:$A,MATCH(Прайс!$B3321,Кат!$G:$G,0)),INDEX(Торг!$B:$B,MATCH(Прайс!$B3321,Торг!$H:$H,0))),"")</f>
        <v/>
      </c>
      <c r="G3321" s="67" t="str">
        <f>IFERROR(IFERROR(INDEX(Кат!$B:$B,MATCH(Прайс!$B3321,Кат!$G:$G,0)),INDEX(Торг!$C:$C,MATCH(Прайс!$B3321,Торг!$H:$H,0))),"")</f>
        <v/>
      </c>
      <c r="H3321" s="67" t="str">
        <f>IFERROR(IFERROR(INDEX(Кат!$I:$I,MATCH(Прайс!$B3321,Кат!$G:$G,0)),INDEX(Торг!$I:$I,MATCH(Прайс!$B3321,Торг!$H:$H,0))),"")</f>
        <v/>
      </c>
    </row>
    <row r="3322" spans="1:8" x14ac:dyDescent="0.25">
      <c r="A3322" s="99" t="s">
        <v>7122</v>
      </c>
      <c r="B3322" s="108">
        <v>28037</v>
      </c>
      <c r="C3322" s="108" t="s">
        <v>7123</v>
      </c>
      <c r="D3322" s="101" t="s">
        <v>177</v>
      </c>
      <c r="E3322" s="102">
        <v>300</v>
      </c>
      <c r="F3322" s="67" t="str">
        <f>IFERROR(IFERROR(INDEX(Кат!$A:$A,MATCH(Прайс!$B3322,Кат!$G:$G,0)),INDEX(Торг!$B:$B,MATCH(Прайс!$B3322,Торг!$H:$H,0))),"")</f>
        <v/>
      </c>
      <c r="G3322" s="67" t="str">
        <f>IFERROR(IFERROR(INDEX(Кат!$B:$B,MATCH(Прайс!$B3322,Кат!$G:$G,0)),INDEX(Торг!$C:$C,MATCH(Прайс!$B3322,Торг!$H:$H,0))),"")</f>
        <v/>
      </c>
      <c r="H3322" s="67" t="str">
        <f>IFERROR(IFERROR(INDEX(Кат!$I:$I,MATCH(Прайс!$B3322,Кат!$G:$G,0)),INDEX(Торг!$I:$I,MATCH(Прайс!$B3322,Торг!$H:$H,0))),"")</f>
        <v/>
      </c>
    </row>
    <row r="3323" spans="1:8" x14ac:dyDescent="0.25">
      <c r="A3323" s="99" t="s">
        <v>7124</v>
      </c>
      <c r="B3323" s="108">
        <v>28041</v>
      </c>
      <c r="C3323" s="108" t="s">
        <v>7911</v>
      </c>
      <c r="D3323" s="101" t="s">
        <v>160</v>
      </c>
      <c r="E3323" s="102">
        <v>390</v>
      </c>
      <c r="F3323" s="67" t="str">
        <f>IFERROR(IFERROR(INDEX(Кат!$A:$A,MATCH(Прайс!$B3323,Кат!$G:$G,0)),INDEX(Торг!$B:$B,MATCH(Прайс!$B3323,Торг!$H:$H,0))),"")</f>
        <v/>
      </c>
      <c r="G3323" s="67" t="str">
        <f>IFERROR(IFERROR(INDEX(Кат!$B:$B,MATCH(Прайс!$B3323,Кат!$G:$G,0)),INDEX(Торг!$C:$C,MATCH(Прайс!$B3323,Торг!$H:$H,0))),"")</f>
        <v/>
      </c>
      <c r="H3323" s="67" t="str">
        <f>IFERROR(IFERROR(INDEX(Кат!$I:$I,MATCH(Прайс!$B3323,Кат!$G:$G,0)),INDEX(Торг!$I:$I,MATCH(Прайс!$B3323,Торг!$H:$H,0))),"")</f>
        <v/>
      </c>
    </row>
    <row r="3324" spans="1:8" x14ac:dyDescent="0.25">
      <c r="A3324" s="99" t="s">
        <v>7125</v>
      </c>
      <c r="B3324" s="108">
        <v>28042</v>
      </c>
      <c r="C3324" s="108" t="s">
        <v>7126</v>
      </c>
      <c r="D3324" s="101" t="s">
        <v>160</v>
      </c>
      <c r="E3324" s="102">
        <v>265</v>
      </c>
      <c r="F3324" s="67" t="str">
        <f>IFERROR(IFERROR(INDEX(Кат!$A:$A,MATCH(Прайс!$B3324,Кат!$G:$G,0)),INDEX(Торг!$B:$B,MATCH(Прайс!$B3324,Торг!$H:$H,0))),"")</f>
        <v/>
      </c>
      <c r="G3324" s="67" t="str">
        <f>IFERROR(IFERROR(INDEX(Кат!$B:$B,MATCH(Прайс!$B3324,Кат!$G:$G,0)),INDEX(Торг!$C:$C,MATCH(Прайс!$B3324,Торг!$H:$H,0))),"")</f>
        <v/>
      </c>
      <c r="H3324" s="67" t="str">
        <f>IFERROR(IFERROR(INDEX(Кат!$I:$I,MATCH(Прайс!$B3324,Кат!$G:$G,0)),INDEX(Торг!$I:$I,MATCH(Прайс!$B3324,Торг!$H:$H,0))),"")</f>
        <v/>
      </c>
    </row>
    <row r="3325" spans="1:8" x14ac:dyDescent="0.25">
      <c r="A3325" s="99" t="s">
        <v>7127</v>
      </c>
      <c r="B3325" s="108">
        <v>28043</v>
      </c>
      <c r="C3325" s="108" t="s">
        <v>7128</v>
      </c>
      <c r="D3325" s="101" t="s">
        <v>160</v>
      </c>
      <c r="E3325" s="102">
        <v>290</v>
      </c>
      <c r="F3325" s="67" t="str">
        <f>IFERROR(IFERROR(INDEX(Кат!$A:$A,MATCH(Прайс!$B3325,Кат!$G:$G,0)),INDEX(Торг!$B:$B,MATCH(Прайс!$B3325,Торг!$H:$H,0))),"")</f>
        <v/>
      </c>
      <c r="G3325" s="67" t="str">
        <f>IFERROR(IFERROR(INDEX(Кат!$B:$B,MATCH(Прайс!$B3325,Кат!$G:$G,0)),INDEX(Торг!$C:$C,MATCH(Прайс!$B3325,Торг!$H:$H,0))),"")</f>
        <v/>
      </c>
      <c r="H3325" s="67" t="str">
        <f>IFERROR(IFERROR(INDEX(Кат!$I:$I,MATCH(Прайс!$B3325,Кат!$G:$G,0)),INDEX(Торг!$I:$I,MATCH(Прайс!$B3325,Торг!$H:$H,0))),"")</f>
        <v/>
      </c>
    </row>
    <row r="3326" spans="1:8" x14ac:dyDescent="0.25">
      <c r="A3326" s="99" t="s">
        <v>7129</v>
      </c>
      <c r="B3326" s="108">
        <v>28044</v>
      </c>
      <c r="C3326" s="108" t="s">
        <v>7130</v>
      </c>
      <c r="D3326" s="101" t="s">
        <v>160</v>
      </c>
      <c r="E3326" s="102">
        <v>310</v>
      </c>
      <c r="F3326" s="67" t="str">
        <f>IFERROR(IFERROR(INDEX(Кат!$A:$A,MATCH(Прайс!$B3326,Кат!$G:$G,0)),INDEX(Торг!$B:$B,MATCH(Прайс!$B3326,Торг!$H:$H,0))),"")</f>
        <v/>
      </c>
      <c r="G3326" s="67" t="str">
        <f>IFERROR(IFERROR(INDEX(Кат!$B:$B,MATCH(Прайс!$B3326,Кат!$G:$G,0)),INDEX(Торг!$C:$C,MATCH(Прайс!$B3326,Торг!$H:$H,0))),"")</f>
        <v/>
      </c>
      <c r="H3326" s="67" t="str">
        <f>IFERROR(IFERROR(INDEX(Кат!$I:$I,MATCH(Прайс!$B3326,Кат!$G:$G,0)),INDEX(Торг!$I:$I,MATCH(Прайс!$B3326,Торг!$H:$H,0))),"")</f>
        <v/>
      </c>
    </row>
    <row r="3327" spans="1:8" x14ac:dyDescent="0.25">
      <c r="A3327" s="99" t="s">
        <v>7131</v>
      </c>
      <c r="B3327" s="108">
        <v>28045</v>
      </c>
      <c r="C3327" s="108" t="s">
        <v>7132</v>
      </c>
      <c r="D3327" s="101" t="s">
        <v>655</v>
      </c>
      <c r="E3327" s="102">
        <v>220</v>
      </c>
      <c r="F3327" s="67" t="str">
        <f>IFERROR(IFERROR(INDEX(Кат!$A:$A,MATCH(Прайс!$B3327,Кат!$G:$G,0)),INDEX(Торг!$B:$B,MATCH(Прайс!$B3327,Торг!$H:$H,0))),"")</f>
        <v/>
      </c>
      <c r="G3327" s="67" t="str">
        <f>IFERROR(IFERROR(INDEX(Кат!$B:$B,MATCH(Прайс!$B3327,Кат!$G:$G,0)),INDEX(Торг!$C:$C,MATCH(Прайс!$B3327,Торг!$H:$H,0))),"")</f>
        <v/>
      </c>
      <c r="H3327" s="67" t="str">
        <f>IFERROR(IFERROR(INDEX(Кат!$I:$I,MATCH(Прайс!$B3327,Кат!$G:$G,0)),INDEX(Торг!$I:$I,MATCH(Прайс!$B3327,Торг!$H:$H,0))),"")</f>
        <v/>
      </c>
    </row>
    <row r="3328" spans="1:8" x14ac:dyDescent="0.25">
      <c r="A3328" s="99" t="s">
        <v>7133</v>
      </c>
      <c r="B3328" s="108">
        <v>28046</v>
      </c>
      <c r="C3328" s="108" t="s">
        <v>7134</v>
      </c>
      <c r="D3328" s="101" t="s">
        <v>177</v>
      </c>
      <c r="E3328" s="102">
        <v>240</v>
      </c>
      <c r="F3328" s="67" t="str">
        <f>IFERROR(IFERROR(INDEX(Кат!$A:$A,MATCH(Прайс!$B3328,Кат!$G:$G,0)),INDEX(Торг!$B:$B,MATCH(Прайс!$B3328,Торг!$H:$H,0))),"")</f>
        <v/>
      </c>
      <c r="G3328" s="67" t="str">
        <f>IFERROR(IFERROR(INDEX(Кат!$B:$B,MATCH(Прайс!$B3328,Кат!$G:$G,0)),INDEX(Торг!$C:$C,MATCH(Прайс!$B3328,Торг!$H:$H,0))),"")</f>
        <v/>
      </c>
      <c r="H3328" s="67" t="str">
        <f>IFERROR(IFERROR(INDEX(Кат!$I:$I,MATCH(Прайс!$B3328,Кат!$G:$G,0)),INDEX(Торг!$I:$I,MATCH(Прайс!$B3328,Торг!$H:$H,0))),"")</f>
        <v/>
      </c>
    </row>
    <row r="3329" spans="1:8" x14ac:dyDescent="0.25">
      <c r="A3329" s="99" t="s">
        <v>7135</v>
      </c>
      <c r="B3329" s="108">
        <v>28047</v>
      </c>
      <c r="C3329" s="108" t="s">
        <v>7912</v>
      </c>
      <c r="D3329" s="101" t="s">
        <v>1741</v>
      </c>
      <c r="E3329" s="102">
        <v>280</v>
      </c>
      <c r="F3329" s="67" t="str">
        <f>IFERROR(IFERROR(INDEX(Кат!$A:$A,MATCH(Прайс!$B3329,Кат!$G:$G,0)),INDEX(Торг!$B:$B,MATCH(Прайс!$B3329,Торг!$H:$H,0))),"")</f>
        <v/>
      </c>
      <c r="G3329" s="67" t="str">
        <f>IFERROR(IFERROR(INDEX(Кат!$B:$B,MATCH(Прайс!$B3329,Кат!$G:$G,0)),INDEX(Торг!$C:$C,MATCH(Прайс!$B3329,Торг!$H:$H,0))),"")</f>
        <v/>
      </c>
      <c r="H3329" s="67" t="str">
        <f>IFERROR(IFERROR(INDEX(Кат!$I:$I,MATCH(Прайс!$B3329,Кат!$G:$G,0)),INDEX(Торг!$I:$I,MATCH(Прайс!$B3329,Торг!$H:$H,0))),"")</f>
        <v/>
      </c>
    </row>
    <row r="3330" spans="1:8" x14ac:dyDescent="0.25">
      <c r="A3330" s="99" t="s">
        <v>7136</v>
      </c>
      <c r="B3330" s="108">
        <v>28077</v>
      </c>
      <c r="C3330" s="108" t="s">
        <v>7137</v>
      </c>
      <c r="D3330" s="101" t="s">
        <v>160</v>
      </c>
      <c r="E3330" s="102">
        <v>145</v>
      </c>
      <c r="F3330" s="67" t="str">
        <f>IFERROR(IFERROR(INDEX(Кат!$A:$A,MATCH(Прайс!$B3330,Кат!$G:$G,0)),INDEX(Торг!$B:$B,MATCH(Прайс!$B3330,Торг!$H:$H,0))),"")</f>
        <v/>
      </c>
      <c r="G3330" s="67" t="str">
        <f>IFERROR(IFERROR(INDEX(Кат!$B:$B,MATCH(Прайс!$B3330,Кат!$G:$G,0)),INDEX(Торг!$C:$C,MATCH(Прайс!$B3330,Торг!$H:$H,0))),"")</f>
        <v/>
      </c>
      <c r="H3330" s="67" t="str">
        <f>IFERROR(IFERROR(INDEX(Кат!$I:$I,MATCH(Прайс!$B3330,Кат!$G:$G,0)),INDEX(Торг!$I:$I,MATCH(Прайс!$B3330,Торг!$H:$H,0))),"")</f>
        <v/>
      </c>
    </row>
    <row r="3331" spans="1:8" x14ac:dyDescent="0.25">
      <c r="A3331" s="99" t="s">
        <v>7138</v>
      </c>
      <c r="B3331" s="108">
        <v>28049</v>
      </c>
      <c r="C3331" s="108" t="s">
        <v>7139</v>
      </c>
      <c r="D3331" s="101" t="s">
        <v>7140</v>
      </c>
      <c r="E3331" s="102">
        <v>150</v>
      </c>
      <c r="F3331" s="67" t="str">
        <f>IFERROR(IFERROR(INDEX(Кат!$A:$A,MATCH(Прайс!$B3331,Кат!$G:$G,0)),INDEX(Торг!$B:$B,MATCH(Прайс!$B3331,Торг!$H:$H,0))),"")</f>
        <v/>
      </c>
      <c r="G3331" s="67" t="str">
        <f>IFERROR(IFERROR(INDEX(Кат!$B:$B,MATCH(Прайс!$B3331,Кат!$G:$G,0)),INDEX(Торг!$C:$C,MATCH(Прайс!$B3331,Торг!$H:$H,0))),"")</f>
        <v/>
      </c>
      <c r="H3331" s="67" t="str">
        <f>IFERROR(IFERROR(INDEX(Кат!$I:$I,MATCH(Прайс!$B3331,Кат!$G:$G,0)),INDEX(Торг!$I:$I,MATCH(Прайс!$B3331,Торг!$H:$H,0))),"")</f>
        <v/>
      </c>
    </row>
    <row r="3332" spans="1:8" x14ac:dyDescent="0.25">
      <c r="A3332" s="99" t="s">
        <v>6006</v>
      </c>
      <c r="B3332" s="108">
        <v>28059</v>
      </c>
      <c r="C3332" s="108" t="s">
        <v>6007</v>
      </c>
      <c r="D3332" s="101" t="s">
        <v>160</v>
      </c>
      <c r="E3332" s="102">
        <v>280</v>
      </c>
      <c r="F3332" s="67" t="str">
        <f>IFERROR(IFERROR(INDEX(Кат!$A:$A,MATCH(Прайс!$B3332,Кат!$G:$G,0)),INDEX(Торг!$B:$B,MATCH(Прайс!$B3332,Торг!$H:$H,0))),"")</f>
        <v/>
      </c>
      <c r="G3332" s="67" t="str">
        <f>IFERROR(IFERROR(INDEX(Кат!$B:$B,MATCH(Прайс!$B3332,Кат!$G:$G,0)),INDEX(Торг!$C:$C,MATCH(Прайс!$B3332,Торг!$H:$H,0))),"")</f>
        <v/>
      </c>
      <c r="H3332" s="67" t="str">
        <f>IFERROR(IFERROR(INDEX(Кат!$I:$I,MATCH(Прайс!$B3332,Кат!$G:$G,0)),INDEX(Торг!$I:$I,MATCH(Прайс!$B3332,Торг!$H:$H,0))),"")</f>
        <v/>
      </c>
    </row>
    <row r="3333" spans="1:8" x14ac:dyDescent="0.25">
      <c r="A3333" s="99" t="s">
        <v>7141</v>
      </c>
      <c r="B3333" s="108">
        <v>28066</v>
      </c>
      <c r="C3333" s="108" t="s">
        <v>7142</v>
      </c>
      <c r="D3333" s="101" t="s">
        <v>160</v>
      </c>
      <c r="E3333" s="102">
        <v>240</v>
      </c>
      <c r="F3333" s="67" t="str">
        <f>IFERROR(IFERROR(INDEX(Кат!$A:$A,MATCH(Прайс!$B3333,Кат!$G:$G,0)),INDEX(Торг!$B:$B,MATCH(Прайс!$B3333,Торг!$H:$H,0))),"")</f>
        <v/>
      </c>
      <c r="G3333" s="67" t="str">
        <f>IFERROR(IFERROR(INDEX(Кат!$B:$B,MATCH(Прайс!$B3333,Кат!$G:$G,0)),INDEX(Торг!$C:$C,MATCH(Прайс!$B3333,Торг!$H:$H,0))),"")</f>
        <v/>
      </c>
      <c r="H3333" s="67" t="str">
        <f>IFERROR(IFERROR(INDEX(Кат!$I:$I,MATCH(Прайс!$B3333,Кат!$G:$G,0)),INDEX(Торг!$I:$I,MATCH(Прайс!$B3333,Торг!$H:$H,0))),"")</f>
        <v/>
      </c>
    </row>
    <row r="3334" spans="1:8" x14ac:dyDescent="0.25">
      <c r="A3334" s="99" t="s">
        <v>7143</v>
      </c>
      <c r="B3334" s="108">
        <v>28078</v>
      </c>
      <c r="C3334" s="108" t="s">
        <v>7144</v>
      </c>
      <c r="D3334" s="101" t="s">
        <v>160</v>
      </c>
      <c r="E3334" s="102">
        <v>320</v>
      </c>
      <c r="F3334" s="67" t="str">
        <f>IFERROR(IFERROR(INDEX(Кат!$A:$A,MATCH(Прайс!$B3334,Кат!$G:$G,0)),INDEX(Торг!$B:$B,MATCH(Прайс!$B3334,Торг!$H:$H,0))),"")</f>
        <v/>
      </c>
      <c r="G3334" s="67" t="str">
        <f>IFERROR(IFERROR(INDEX(Кат!$B:$B,MATCH(Прайс!$B3334,Кат!$G:$G,0)),INDEX(Торг!$C:$C,MATCH(Прайс!$B3334,Торг!$H:$H,0))),"")</f>
        <v/>
      </c>
      <c r="H3334" s="67" t="str">
        <f>IFERROR(IFERROR(INDEX(Кат!$I:$I,MATCH(Прайс!$B3334,Кат!$G:$G,0)),INDEX(Торг!$I:$I,MATCH(Прайс!$B3334,Торг!$H:$H,0))),"")</f>
        <v/>
      </c>
    </row>
    <row r="3335" spans="1:8" x14ac:dyDescent="0.25">
      <c r="A3335" s="99" t="s">
        <v>7145</v>
      </c>
      <c r="B3335" s="108">
        <v>28076</v>
      </c>
      <c r="C3335" s="108" t="s">
        <v>7146</v>
      </c>
      <c r="D3335" s="101" t="s">
        <v>160</v>
      </c>
      <c r="E3335" s="102">
        <v>300</v>
      </c>
      <c r="F3335" s="67" t="str">
        <f>IFERROR(IFERROR(INDEX(Кат!$A:$A,MATCH(Прайс!$B3335,Кат!$G:$G,0)),INDEX(Торг!$B:$B,MATCH(Прайс!$B3335,Торг!$H:$H,0))),"")</f>
        <v/>
      </c>
      <c r="G3335" s="67" t="str">
        <f>IFERROR(IFERROR(INDEX(Кат!$B:$B,MATCH(Прайс!$B3335,Кат!$G:$G,0)),INDEX(Торг!$C:$C,MATCH(Прайс!$B3335,Торг!$H:$H,0))),"")</f>
        <v/>
      </c>
      <c r="H3335" s="67" t="str">
        <f>IFERROR(IFERROR(INDEX(Кат!$I:$I,MATCH(Прайс!$B3335,Кат!$G:$G,0)),INDEX(Торг!$I:$I,MATCH(Прайс!$B3335,Торг!$H:$H,0))),"")</f>
        <v/>
      </c>
    </row>
    <row r="3336" spans="1:8" x14ac:dyDescent="0.25">
      <c r="A3336" s="99" t="s">
        <v>7147</v>
      </c>
      <c r="B3336" s="108">
        <v>28083</v>
      </c>
      <c r="C3336" s="108" t="s">
        <v>7148</v>
      </c>
      <c r="D3336" s="101" t="s">
        <v>160</v>
      </c>
      <c r="E3336" s="102">
        <v>175</v>
      </c>
      <c r="F3336" s="67" t="str">
        <f>IFERROR(IFERROR(INDEX(Кат!$A:$A,MATCH(Прайс!$B3336,Кат!$G:$G,0)),INDEX(Торг!$B:$B,MATCH(Прайс!$B3336,Торг!$H:$H,0))),"")</f>
        <v/>
      </c>
      <c r="G3336" s="67" t="str">
        <f>IFERROR(IFERROR(INDEX(Кат!$B:$B,MATCH(Прайс!$B3336,Кат!$G:$G,0)),INDEX(Торг!$C:$C,MATCH(Прайс!$B3336,Торг!$H:$H,0))),"")</f>
        <v/>
      </c>
      <c r="H3336" s="67" t="str">
        <f>IFERROR(IFERROR(INDEX(Кат!$I:$I,MATCH(Прайс!$B3336,Кат!$G:$G,0)),INDEX(Торг!$I:$I,MATCH(Прайс!$B3336,Торг!$H:$H,0))),"")</f>
        <v/>
      </c>
    </row>
    <row r="3337" spans="1:8" x14ac:dyDescent="0.25">
      <c r="A3337" s="99" t="s">
        <v>7149</v>
      </c>
      <c r="B3337" s="108">
        <v>28050</v>
      </c>
      <c r="C3337" s="108" t="s">
        <v>7150</v>
      </c>
      <c r="D3337" s="101" t="s">
        <v>159</v>
      </c>
      <c r="E3337" s="102">
        <v>95</v>
      </c>
      <c r="F3337" s="67" t="str">
        <f>IFERROR(IFERROR(INDEX(Кат!$A:$A,MATCH(Прайс!$B3337,Кат!$G:$G,0)),INDEX(Торг!$B:$B,MATCH(Прайс!$B3337,Торг!$H:$H,0))),"")</f>
        <v/>
      </c>
      <c r="G3337" s="67" t="str">
        <f>IFERROR(IFERROR(INDEX(Кат!$B:$B,MATCH(Прайс!$B3337,Кат!$G:$G,0)),INDEX(Торг!$C:$C,MATCH(Прайс!$B3337,Торг!$H:$H,0))),"")</f>
        <v/>
      </c>
      <c r="H3337" s="67" t="str">
        <f>IFERROR(IFERROR(INDEX(Кат!$I:$I,MATCH(Прайс!$B3337,Кат!$G:$G,0)),INDEX(Торг!$I:$I,MATCH(Прайс!$B3337,Торг!$H:$H,0))),"")</f>
        <v/>
      </c>
    </row>
    <row r="3338" spans="1:8" x14ac:dyDescent="0.25">
      <c r="A3338" s="99" t="s">
        <v>4413</v>
      </c>
      <c r="B3338" s="108">
        <v>28051</v>
      </c>
      <c r="C3338" s="108" t="s">
        <v>4414</v>
      </c>
      <c r="D3338" s="101" t="s">
        <v>159</v>
      </c>
      <c r="E3338" s="102">
        <v>80</v>
      </c>
      <c r="F3338" s="67" t="str">
        <f>IFERROR(IFERROR(INDEX(Кат!$A:$A,MATCH(Прайс!$B3338,Кат!$G:$G,0)),INDEX(Торг!$B:$B,MATCH(Прайс!$B3338,Торг!$H:$H,0))),"")</f>
        <v/>
      </c>
      <c r="G3338" s="67" t="str">
        <f>IFERROR(IFERROR(INDEX(Кат!$B:$B,MATCH(Прайс!$B3338,Кат!$G:$G,0)),INDEX(Торг!$C:$C,MATCH(Прайс!$B3338,Торг!$H:$H,0))),"")</f>
        <v/>
      </c>
      <c r="H3338" s="67" t="str">
        <f>IFERROR(IFERROR(INDEX(Кат!$I:$I,MATCH(Прайс!$B3338,Кат!$G:$G,0)),INDEX(Торг!$I:$I,MATCH(Прайс!$B3338,Торг!$H:$H,0))),"")</f>
        <v/>
      </c>
    </row>
    <row r="3339" spans="1:8" x14ac:dyDescent="0.25">
      <c r="A3339" s="99" t="s">
        <v>7913</v>
      </c>
      <c r="B3339" s="108">
        <v>28070</v>
      </c>
      <c r="C3339" s="108" t="s">
        <v>7914</v>
      </c>
      <c r="D3339" s="101" t="s">
        <v>7915</v>
      </c>
      <c r="E3339" s="102">
        <v>462</v>
      </c>
      <c r="F3339" s="67" t="str">
        <f>IFERROR(IFERROR(INDEX(Кат!$A:$A,MATCH(Прайс!$B3339,Кат!$G:$G,0)),INDEX(Торг!$B:$B,MATCH(Прайс!$B3339,Торг!$H:$H,0))),"")</f>
        <v/>
      </c>
      <c r="G3339" s="67" t="str">
        <f>IFERROR(IFERROR(INDEX(Кат!$B:$B,MATCH(Прайс!$B3339,Кат!$G:$G,0)),INDEX(Торг!$C:$C,MATCH(Прайс!$B3339,Торг!$H:$H,0))),"")</f>
        <v/>
      </c>
      <c r="H3339" s="67" t="str">
        <f>IFERROR(IFERROR(INDEX(Кат!$I:$I,MATCH(Прайс!$B3339,Кат!$G:$G,0)),INDEX(Торг!$I:$I,MATCH(Прайс!$B3339,Торг!$H:$H,0))),"")</f>
        <v/>
      </c>
    </row>
    <row r="3340" spans="1:8" x14ac:dyDescent="0.25">
      <c r="A3340" s="99" t="s">
        <v>7916</v>
      </c>
      <c r="B3340" s="108">
        <v>28075</v>
      </c>
      <c r="C3340" s="108" t="s">
        <v>7917</v>
      </c>
      <c r="D3340" s="101" t="s">
        <v>159</v>
      </c>
      <c r="E3340" s="102">
        <v>125</v>
      </c>
      <c r="F3340" s="67" t="str">
        <f>IFERROR(IFERROR(INDEX(Кат!$A:$A,MATCH(Прайс!$B3340,Кат!$G:$G,0)),INDEX(Торг!$B:$B,MATCH(Прайс!$B3340,Торг!$H:$H,0))),"")</f>
        <v/>
      </c>
      <c r="G3340" s="67" t="str">
        <f>IFERROR(IFERROR(INDEX(Кат!$B:$B,MATCH(Прайс!$B3340,Кат!$G:$G,0)),INDEX(Торг!$C:$C,MATCH(Прайс!$B3340,Торг!$H:$H,0))),"")</f>
        <v/>
      </c>
      <c r="H3340" s="67" t="str">
        <f>IFERROR(IFERROR(INDEX(Кат!$I:$I,MATCH(Прайс!$B3340,Кат!$G:$G,0)),INDEX(Торг!$I:$I,MATCH(Прайс!$B3340,Торг!$H:$H,0))),"")</f>
        <v/>
      </c>
    </row>
    <row r="3341" spans="1:8" ht="15.75" x14ac:dyDescent="0.25">
      <c r="A3341" s="87"/>
      <c r="B3341" s="88"/>
      <c r="C3341" s="88" t="s">
        <v>1746</v>
      </c>
      <c r="D3341" s="88"/>
      <c r="E3341" s="89"/>
      <c r="F3341" s="67" t="str">
        <f>IFERROR(IFERROR(INDEX(Кат!$A:$A,MATCH(Прайс!$B3341,Кат!$G:$G,0)),INDEX(Торг!$B:$B,MATCH(Прайс!$B3341,Торг!$H:$H,0))),"")</f>
        <v/>
      </c>
      <c r="G3341" s="67" t="str">
        <f>IFERROR(IFERROR(INDEX(Кат!$B:$B,MATCH(Прайс!$B3341,Кат!$G:$G,0)),INDEX(Торг!$C:$C,MATCH(Прайс!$B3341,Торг!$H:$H,0))),"")</f>
        <v/>
      </c>
      <c r="H3341" s="67" t="str">
        <f>IFERROR(IFERROR(INDEX(Кат!$I:$I,MATCH(Прайс!$B3341,Кат!$G:$G,0)),INDEX(Торг!$I:$I,MATCH(Прайс!$B3341,Торг!$H:$H,0))),"")</f>
        <v/>
      </c>
    </row>
    <row r="3342" spans="1:8" ht="15.75" x14ac:dyDescent="0.25">
      <c r="A3342" s="90"/>
      <c r="B3342" s="91"/>
      <c r="C3342" s="92" t="s">
        <v>1747</v>
      </c>
      <c r="D3342" s="91"/>
      <c r="E3342" s="93"/>
      <c r="F3342" s="67" t="str">
        <f>IFERROR(IFERROR(INDEX(Кат!$A:$A,MATCH(Прайс!$B3342,Кат!$G:$G,0)),INDEX(Торг!$B:$B,MATCH(Прайс!$B3342,Торг!$H:$H,0))),"")</f>
        <v/>
      </c>
      <c r="G3342" s="67" t="str">
        <f>IFERROR(IFERROR(INDEX(Кат!$B:$B,MATCH(Прайс!$B3342,Кат!$G:$G,0)),INDEX(Торг!$C:$C,MATCH(Прайс!$B3342,Торг!$H:$H,0))),"")</f>
        <v/>
      </c>
      <c r="H3342" s="67" t="str">
        <f>IFERROR(IFERROR(INDEX(Кат!$I:$I,MATCH(Прайс!$B3342,Кат!$G:$G,0)),INDEX(Торг!$I:$I,MATCH(Прайс!$B3342,Торг!$H:$H,0))),"")</f>
        <v/>
      </c>
    </row>
    <row r="3343" spans="1:8" x14ac:dyDescent="0.25">
      <c r="A3343" s="94" t="s">
        <v>5362</v>
      </c>
      <c r="B3343" s="98">
        <v>29326</v>
      </c>
      <c r="C3343" s="98" t="s">
        <v>7918</v>
      </c>
      <c r="D3343" s="96" t="s">
        <v>7919</v>
      </c>
      <c r="E3343" s="97">
        <v>110</v>
      </c>
      <c r="F3343" s="67" t="str">
        <f>IFERROR(IFERROR(INDEX(Кат!$A:$A,MATCH(Прайс!$B3343,Кат!$G:$G,0)),INDEX(Торг!$B:$B,MATCH(Прайс!$B3343,Торг!$H:$H,0))),"")</f>
        <v/>
      </c>
      <c r="G3343" s="67" t="str">
        <f>IFERROR(IFERROR(INDEX(Кат!$B:$B,MATCH(Прайс!$B3343,Кат!$G:$G,0)),INDEX(Торг!$C:$C,MATCH(Прайс!$B3343,Торг!$H:$H,0))),"")</f>
        <v/>
      </c>
      <c r="H3343" s="67" t="str">
        <f>IFERROR(IFERROR(INDEX(Кат!$I:$I,MATCH(Прайс!$B3343,Кат!$G:$G,0)),INDEX(Торг!$I:$I,MATCH(Прайс!$B3343,Торг!$H:$H,0))),"")</f>
        <v/>
      </c>
    </row>
    <row r="3344" spans="1:8" x14ac:dyDescent="0.25">
      <c r="A3344" s="94" t="s">
        <v>4415</v>
      </c>
      <c r="B3344" s="98">
        <v>29206</v>
      </c>
      <c r="C3344" s="98" t="s">
        <v>1748</v>
      </c>
      <c r="D3344" s="96" t="s">
        <v>159</v>
      </c>
      <c r="E3344" s="97">
        <v>110</v>
      </c>
      <c r="F3344" s="67" t="str">
        <f>IFERROR(IFERROR(INDEX(Кат!$A:$A,MATCH(Прайс!$B3344,Кат!$G:$G,0)),INDEX(Торг!$B:$B,MATCH(Прайс!$B3344,Торг!$H:$H,0))),"")</f>
        <v/>
      </c>
      <c r="G3344" s="67" t="str">
        <f>IFERROR(IFERROR(INDEX(Кат!$B:$B,MATCH(Прайс!$B3344,Кат!$G:$G,0)),INDEX(Торг!$C:$C,MATCH(Прайс!$B3344,Торг!$H:$H,0))),"")</f>
        <v/>
      </c>
      <c r="H3344" s="67" t="str">
        <f>IFERROR(IFERROR(INDEX(Кат!$I:$I,MATCH(Прайс!$B3344,Кат!$G:$G,0)),INDEX(Торг!$I:$I,MATCH(Прайс!$B3344,Торг!$H:$H,0))),"")</f>
        <v/>
      </c>
    </row>
    <row r="3345" spans="1:8" x14ac:dyDescent="0.25">
      <c r="A3345" s="94" t="s">
        <v>4416</v>
      </c>
      <c r="B3345" s="98">
        <v>29002</v>
      </c>
      <c r="C3345" s="98" t="s">
        <v>1749</v>
      </c>
      <c r="D3345" s="96" t="s">
        <v>1606</v>
      </c>
      <c r="E3345" s="97">
        <v>110</v>
      </c>
      <c r="F3345" s="67" t="str">
        <f>IFERROR(IFERROR(INDEX(Кат!$A:$A,MATCH(Прайс!$B3345,Кат!$G:$G,0)),INDEX(Торг!$B:$B,MATCH(Прайс!$B3345,Торг!$H:$H,0))),"")</f>
        <v/>
      </c>
      <c r="G3345" s="67" t="str">
        <f>IFERROR(IFERROR(INDEX(Кат!$B:$B,MATCH(Прайс!$B3345,Кат!$G:$G,0)),INDEX(Торг!$C:$C,MATCH(Прайс!$B3345,Торг!$H:$H,0))),"")</f>
        <v/>
      </c>
      <c r="H3345" s="67" t="str">
        <f>IFERROR(IFERROR(INDEX(Кат!$I:$I,MATCH(Прайс!$B3345,Кат!$G:$G,0)),INDEX(Торг!$I:$I,MATCH(Прайс!$B3345,Торг!$H:$H,0))),"")</f>
        <v/>
      </c>
    </row>
    <row r="3346" spans="1:8" x14ac:dyDescent="0.25">
      <c r="A3346" s="94" t="s">
        <v>4417</v>
      </c>
      <c r="B3346" s="98">
        <v>29003</v>
      </c>
      <c r="C3346" s="98" t="s">
        <v>1750</v>
      </c>
      <c r="D3346" s="96" t="s">
        <v>159</v>
      </c>
      <c r="E3346" s="97">
        <v>110</v>
      </c>
      <c r="F3346" s="67" t="str">
        <f>IFERROR(IFERROR(INDEX(Кат!$A:$A,MATCH(Прайс!$B3346,Кат!$G:$G,0)),INDEX(Торг!$B:$B,MATCH(Прайс!$B3346,Торг!$H:$H,0))),"")</f>
        <v/>
      </c>
      <c r="G3346" s="67" t="str">
        <f>IFERROR(IFERROR(INDEX(Кат!$B:$B,MATCH(Прайс!$B3346,Кат!$G:$G,0)),INDEX(Торг!$C:$C,MATCH(Прайс!$B3346,Торг!$H:$H,0))),"")</f>
        <v/>
      </c>
      <c r="H3346" s="67" t="str">
        <f>IFERROR(IFERROR(INDEX(Кат!$I:$I,MATCH(Прайс!$B3346,Кат!$G:$G,0)),INDEX(Торг!$I:$I,MATCH(Прайс!$B3346,Торг!$H:$H,0))),"")</f>
        <v/>
      </c>
    </row>
    <row r="3347" spans="1:8" x14ac:dyDescent="0.25">
      <c r="A3347" s="94" t="s">
        <v>4418</v>
      </c>
      <c r="B3347" s="98">
        <v>29004</v>
      </c>
      <c r="C3347" s="98" t="s">
        <v>1751</v>
      </c>
      <c r="D3347" s="96" t="s">
        <v>1606</v>
      </c>
      <c r="E3347" s="97">
        <v>110</v>
      </c>
      <c r="F3347" s="67" t="str">
        <f>IFERROR(IFERROR(INDEX(Кат!$A:$A,MATCH(Прайс!$B3347,Кат!$G:$G,0)),INDEX(Торг!$B:$B,MATCH(Прайс!$B3347,Торг!$H:$H,0))),"")</f>
        <v/>
      </c>
      <c r="G3347" s="67" t="str">
        <f>IFERROR(IFERROR(INDEX(Кат!$B:$B,MATCH(Прайс!$B3347,Кат!$G:$G,0)),INDEX(Торг!$C:$C,MATCH(Прайс!$B3347,Торг!$H:$H,0))),"")</f>
        <v/>
      </c>
      <c r="H3347" s="67" t="str">
        <f>IFERROR(IFERROR(INDEX(Кат!$I:$I,MATCH(Прайс!$B3347,Кат!$G:$G,0)),INDEX(Торг!$I:$I,MATCH(Прайс!$B3347,Торг!$H:$H,0))),"")</f>
        <v/>
      </c>
    </row>
    <row r="3348" spans="1:8" x14ac:dyDescent="0.25">
      <c r="A3348" s="94" t="s">
        <v>4419</v>
      </c>
      <c r="B3348" s="98">
        <v>29005</v>
      </c>
      <c r="C3348" s="98" t="s">
        <v>7920</v>
      </c>
      <c r="D3348" s="96" t="s">
        <v>7919</v>
      </c>
      <c r="E3348" s="97">
        <v>110</v>
      </c>
      <c r="F3348" s="67" t="str">
        <f>IFERROR(IFERROR(INDEX(Кат!$A:$A,MATCH(Прайс!$B3348,Кат!$G:$G,0)),INDEX(Торг!$B:$B,MATCH(Прайс!$B3348,Торг!$H:$H,0))),"")</f>
        <v/>
      </c>
      <c r="G3348" s="67" t="str">
        <f>IFERROR(IFERROR(INDEX(Кат!$B:$B,MATCH(Прайс!$B3348,Кат!$G:$G,0)),INDEX(Торг!$C:$C,MATCH(Прайс!$B3348,Торг!$H:$H,0))),"")</f>
        <v/>
      </c>
      <c r="H3348" s="67" t="str">
        <f>IFERROR(IFERROR(INDEX(Кат!$I:$I,MATCH(Прайс!$B3348,Кат!$G:$G,0)),INDEX(Торг!$I:$I,MATCH(Прайс!$B3348,Торг!$H:$H,0))),"")</f>
        <v/>
      </c>
    </row>
    <row r="3349" spans="1:8" x14ac:dyDescent="0.25">
      <c r="A3349" s="94" t="s">
        <v>4420</v>
      </c>
      <c r="B3349" s="98">
        <v>29006</v>
      </c>
      <c r="C3349" s="98" t="s">
        <v>7921</v>
      </c>
      <c r="D3349" s="96" t="s">
        <v>162</v>
      </c>
      <c r="E3349" s="97">
        <v>110</v>
      </c>
      <c r="F3349" s="67" t="str">
        <f>IFERROR(IFERROR(INDEX(Кат!$A:$A,MATCH(Прайс!$B3349,Кат!$G:$G,0)),INDEX(Торг!$B:$B,MATCH(Прайс!$B3349,Торг!$H:$H,0))),"")</f>
        <v/>
      </c>
      <c r="G3349" s="67" t="str">
        <f>IFERROR(IFERROR(INDEX(Кат!$B:$B,MATCH(Прайс!$B3349,Кат!$G:$G,0)),INDEX(Торг!$C:$C,MATCH(Прайс!$B3349,Торг!$H:$H,0))),"")</f>
        <v/>
      </c>
      <c r="H3349" s="67" t="str">
        <f>IFERROR(IFERROR(INDEX(Кат!$I:$I,MATCH(Прайс!$B3349,Кат!$G:$G,0)),INDEX(Торг!$I:$I,MATCH(Прайс!$B3349,Торг!$H:$H,0))),"")</f>
        <v/>
      </c>
    </row>
    <row r="3350" spans="1:8" x14ac:dyDescent="0.25">
      <c r="A3350" s="94" t="s">
        <v>4421</v>
      </c>
      <c r="B3350" s="98">
        <v>29007</v>
      </c>
      <c r="C3350" s="98" t="s">
        <v>1752</v>
      </c>
      <c r="D3350" s="96" t="s">
        <v>159</v>
      </c>
      <c r="E3350" s="97">
        <v>110</v>
      </c>
      <c r="F3350" s="67" t="str">
        <f>IFERROR(IFERROR(INDEX(Кат!$A:$A,MATCH(Прайс!$B3350,Кат!$G:$G,0)),INDEX(Торг!$B:$B,MATCH(Прайс!$B3350,Торг!$H:$H,0))),"")</f>
        <v/>
      </c>
      <c r="G3350" s="67" t="str">
        <f>IFERROR(IFERROR(INDEX(Кат!$B:$B,MATCH(Прайс!$B3350,Кат!$G:$G,0)),INDEX(Торг!$C:$C,MATCH(Прайс!$B3350,Торг!$H:$H,0))),"")</f>
        <v/>
      </c>
      <c r="H3350" s="67" t="str">
        <f>IFERROR(IFERROR(INDEX(Кат!$I:$I,MATCH(Прайс!$B3350,Кат!$G:$G,0)),INDEX(Торг!$I:$I,MATCH(Прайс!$B3350,Торг!$H:$H,0))),"")</f>
        <v/>
      </c>
    </row>
    <row r="3351" spans="1:8" x14ac:dyDescent="0.25">
      <c r="A3351" s="94" t="s">
        <v>4422</v>
      </c>
      <c r="B3351" s="98">
        <v>29008</v>
      </c>
      <c r="C3351" s="98" t="s">
        <v>1753</v>
      </c>
      <c r="D3351" s="96" t="s">
        <v>159</v>
      </c>
      <c r="E3351" s="97">
        <v>110</v>
      </c>
      <c r="F3351" s="67" t="str">
        <f>IFERROR(IFERROR(INDEX(Кат!$A:$A,MATCH(Прайс!$B3351,Кат!$G:$G,0)),INDEX(Торг!$B:$B,MATCH(Прайс!$B3351,Торг!$H:$H,0))),"")</f>
        <v/>
      </c>
      <c r="G3351" s="67" t="str">
        <f>IFERROR(IFERROR(INDEX(Кат!$B:$B,MATCH(Прайс!$B3351,Кат!$G:$G,0)),INDEX(Торг!$C:$C,MATCH(Прайс!$B3351,Торг!$H:$H,0))),"")</f>
        <v/>
      </c>
      <c r="H3351" s="67" t="str">
        <f>IFERROR(IFERROR(INDEX(Кат!$I:$I,MATCH(Прайс!$B3351,Кат!$G:$G,0)),INDEX(Торг!$I:$I,MATCH(Прайс!$B3351,Торг!$H:$H,0))),"")</f>
        <v/>
      </c>
    </row>
    <row r="3352" spans="1:8" x14ac:dyDescent="0.25">
      <c r="A3352" s="94" t="s">
        <v>4423</v>
      </c>
      <c r="B3352" s="98">
        <v>29204</v>
      </c>
      <c r="C3352" s="98" t="s">
        <v>1754</v>
      </c>
      <c r="D3352" s="96" t="s">
        <v>159</v>
      </c>
      <c r="E3352" s="97">
        <v>110</v>
      </c>
      <c r="F3352" s="67" t="str">
        <f>IFERROR(IFERROR(INDEX(Кат!$A:$A,MATCH(Прайс!$B3352,Кат!$G:$G,0)),INDEX(Торг!$B:$B,MATCH(Прайс!$B3352,Торг!$H:$H,0))),"")</f>
        <v/>
      </c>
      <c r="G3352" s="67" t="str">
        <f>IFERROR(IFERROR(INDEX(Кат!$B:$B,MATCH(Прайс!$B3352,Кат!$G:$G,0)),INDEX(Торг!$C:$C,MATCH(Прайс!$B3352,Торг!$H:$H,0))),"")</f>
        <v/>
      </c>
      <c r="H3352" s="67" t="str">
        <f>IFERROR(IFERROR(INDEX(Кат!$I:$I,MATCH(Прайс!$B3352,Кат!$G:$G,0)),INDEX(Торг!$I:$I,MATCH(Прайс!$B3352,Торг!$H:$H,0))),"")</f>
        <v/>
      </c>
    </row>
    <row r="3353" spans="1:8" x14ac:dyDescent="0.25">
      <c r="A3353" s="94" t="s">
        <v>4424</v>
      </c>
      <c r="B3353" s="98">
        <v>29201</v>
      </c>
      <c r="C3353" s="98" t="s">
        <v>1755</v>
      </c>
      <c r="D3353" s="96" t="s">
        <v>159</v>
      </c>
      <c r="E3353" s="97">
        <v>110</v>
      </c>
      <c r="F3353" s="67" t="str">
        <f>IFERROR(IFERROR(INDEX(Кат!$A:$A,MATCH(Прайс!$B3353,Кат!$G:$G,0)),INDEX(Торг!$B:$B,MATCH(Прайс!$B3353,Торг!$H:$H,0))),"")</f>
        <v/>
      </c>
      <c r="G3353" s="67" t="str">
        <f>IFERROR(IFERROR(INDEX(Кат!$B:$B,MATCH(Прайс!$B3353,Кат!$G:$G,0)),INDEX(Торг!$C:$C,MATCH(Прайс!$B3353,Торг!$H:$H,0))),"")</f>
        <v/>
      </c>
      <c r="H3353" s="67" t="str">
        <f>IFERROR(IFERROR(INDEX(Кат!$I:$I,MATCH(Прайс!$B3353,Кат!$G:$G,0)),INDEX(Торг!$I:$I,MATCH(Прайс!$B3353,Торг!$H:$H,0))),"")</f>
        <v/>
      </c>
    </row>
    <row r="3354" spans="1:8" x14ac:dyDescent="0.25">
      <c r="A3354" s="94" t="s">
        <v>5363</v>
      </c>
      <c r="B3354" s="98">
        <v>29327</v>
      </c>
      <c r="C3354" s="98" t="s">
        <v>5364</v>
      </c>
      <c r="D3354" s="96" t="s">
        <v>159</v>
      </c>
      <c r="E3354" s="97">
        <v>110</v>
      </c>
      <c r="F3354" s="67" t="str">
        <f>IFERROR(IFERROR(INDEX(Кат!$A:$A,MATCH(Прайс!$B3354,Кат!$G:$G,0)),INDEX(Торг!$B:$B,MATCH(Прайс!$B3354,Торг!$H:$H,0))),"")</f>
        <v/>
      </c>
      <c r="G3354" s="67" t="str">
        <f>IFERROR(IFERROR(INDEX(Кат!$B:$B,MATCH(Прайс!$B3354,Кат!$G:$G,0)),INDEX(Торг!$C:$C,MATCH(Прайс!$B3354,Торг!$H:$H,0))),"")</f>
        <v/>
      </c>
      <c r="H3354" s="67" t="str">
        <f>IFERROR(IFERROR(INDEX(Кат!$I:$I,MATCH(Прайс!$B3354,Кат!$G:$G,0)),INDEX(Торг!$I:$I,MATCH(Прайс!$B3354,Торг!$H:$H,0))),"")</f>
        <v/>
      </c>
    </row>
    <row r="3355" spans="1:8" x14ac:dyDescent="0.25">
      <c r="A3355" s="94" t="s">
        <v>4425</v>
      </c>
      <c r="B3355" s="98">
        <v>29199</v>
      </c>
      <c r="C3355" s="98" t="s">
        <v>1756</v>
      </c>
      <c r="D3355" s="96" t="s">
        <v>1606</v>
      </c>
      <c r="E3355" s="97">
        <v>110</v>
      </c>
      <c r="F3355" s="67" t="str">
        <f>IFERROR(IFERROR(INDEX(Кат!$A:$A,MATCH(Прайс!$B3355,Кат!$G:$G,0)),INDEX(Торг!$B:$B,MATCH(Прайс!$B3355,Торг!$H:$H,0))),"")</f>
        <v/>
      </c>
      <c r="G3355" s="67" t="str">
        <f>IFERROR(IFERROR(INDEX(Кат!$B:$B,MATCH(Прайс!$B3355,Кат!$G:$G,0)),INDEX(Торг!$C:$C,MATCH(Прайс!$B3355,Торг!$H:$H,0))),"")</f>
        <v/>
      </c>
      <c r="H3355" s="67" t="str">
        <f>IFERROR(IFERROR(INDEX(Кат!$I:$I,MATCH(Прайс!$B3355,Кат!$G:$G,0)),INDEX(Торг!$I:$I,MATCH(Прайс!$B3355,Торг!$H:$H,0))),"")</f>
        <v/>
      </c>
    </row>
    <row r="3356" spans="1:8" x14ac:dyDescent="0.25">
      <c r="A3356" s="94" t="s">
        <v>4426</v>
      </c>
      <c r="B3356" s="98">
        <v>29251</v>
      </c>
      <c r="C3356" s="98" t="s">
        <v>1757</v>
      </c>
      <c r="D3356" s="96" t="s">
        <v>1606</v>
      </c>
      <c r="E3356" s="97">
        <v>110</v>
      </c>
      <c r="F3356" s="67" t="str">
        <f>IFERROR(IFERROR(INDEX(Кат!$A:$A,MATCH(Прайс!$B3356,Кат!$G:$G,0)),INDEX(Торг!$B:$B,MATCH(Прайс!$B3356,Торг!$H:$H,0))),"")</f>
        <v/>
      </c>
      <c r="G3356" s="67" t="str">
        <f>IFERROR(IFERROR(INDEX(Кат!$B:$B,MATCH(Прайс!$B3356,Кат!$G:$G,0)),INDEX(Торг!$C:$C,MATCH(Прайс!$B3356,Торг!$H:$H,0))),"")</f>
        <v/>
      </c>
      <c r="H3356" s="67" t="str">
        <f>IFERROR(IFERROR(INDEX(Кат!$I:$I,MATCH(Прайс!$B3356,Кат!$G:$G,0)),INDEX(Торг!$I:$I,MATCH(Прайс!$B3356,Торг!$H:$H,0))),"")</f>
        <v/>
      </c>
    </row>
    <row r="3357" spans="1:8" x14ac:dyDescent="0.25">
      <c r="A3357" s="94" t="s">
        <v>5365</v>
      </c>
      <c r="B3357" s="98">
        <v>29320</v>
      </c>
      <c r="C3357" s="98" t="s">
        <v>5366</v>
      </c>
      <c r="D3357" s="96" t="s">
        <v>159</v>
      </c>
      <c r="E3357" s="97">
        <v>110</v>
      </c>
      <c r="F3357" s="67" t="str">
        <f>IFERROR(IFERROR(INDEX(Кат!$A:$A,MATCH(Прайс!$B3357,Кат!$G:$G,0)),INDEX(Торг!$B:$B,MATCH(Прайс!$B3357,Торг!$H:$H,0))),"")</f>
        <v/>
      </c>
      <c r="G3357" s="67" t="str">
        <f>IFERROR(IFERROR(INDEX(Кат!$B:$B,MATCH(Прайс!$B3357,Кат!$G:$G,0)),INDEX(Торг!$C:$C,MATCH(Прайс!$B3357,Торг!$H:$H,0))),"")</f>
        <v/>
      </c>
      <c r="H3357" s="67" t="str">
        <f>IFERROR(IFERROR(INDEX(Кат!$I:$I,MATCH(Прайс!$B3357,Кат!$G:$G,0)),INDEX(Торг!$I:$I,MATCH(Прайс!$B3357,Торг!$H:$H,0))),"")</f>
        <v/>
      </c>
    </row>
    <row r="3358" spans="1:8" x14ac:dyDescent="0.25">
      <c r="A3358" s="94" t="s">
        <v>4427</v>
      </c>
      <c r="B3358" s="98">
        <v>29248</v>
      </c>
      <c r="C3358" s="98" t="s">
        <v>1758</v>
      </c>
      <c r="D3358" s="96" t="s">
        <v>1606</v>
      </c>
      <c r="E3358" s="97">
        <v>110</v>
      </c>
      <c r="F3358" s="67" t="str">
        <f>IFERROR(IFERROR(INDEX(Кат!$A:$A,MATCH(Прайс!$B3358,Кат!$G:$G,0)),INDEX(Торг!$B:$B,MATCH(Прайс!$B3358,Торг!$H:$H,0))),"")</f>
        <v/>
      </c>
      <c r="G3358" s="67" t="str">
        <f>IFERROR(IFERROR(INDEX(Кат!$B:$B,MATCH(Прайс!$B3358,Кат!$G:$G,0)),INDEX(Торг!$C:$C,MATCH(Прайс!$B3358,Торг!$H:$H,0))),"")</f>
        <v/>
      </c>
      <c r="H3358" s="67" t="str">
        <f>IFERROR(IFERROR(INDEX(Кат!$I:$I,MATCH(Прайс!$B3358,Кат!$G:$G,0)),INDEX(Торг!$I:$I,MATCH(Прайс!$B3358,Торг!$H:$H,0))),"")</f>
        <v/>
      </c>
    </row>
    <row r="3359" spans="1:8" x14ac:dyDescent="0.25">
      <c r="A3359" s="94" t="s">
        <v>4428</v>
      </c>
      <c r="B3359" s="98">
        <v>29250</v>
      </c>
      <c r="C3359" s="98" t="s">
        <v>1759</v>
      </c>
      <c r="D3359" s="96" t="s">
        <v>1606</v>
      </c>
      <c r="E3359" s="97">
        <v>110</v>
      </c>
      <c r="F3359" s="67" t="str">
        <f>IFERROR(IFERROR(INDEX(Кат!$A:$A,MATCH(Прайс!$B3359,Кат!$G:$G,0)),INDEX(Торг!$B:$B,MATCH(Прайс!$B3359,Торг!$H:$H,0))),"")</f>
        <v/>
      </c>
      <c r="G3359" s="67" t="str">
        <f>IFERROR(IFERROR(INDEX(Кат!$B:$B,MATCH(Прайс!$B3359,Кат!$G:$G,0)),INDEX(Торг!$C:$C,MATCH(Прайс!$B3359,Торг!$H:$H,0))),"")</f>
        <v/>
      </c>
      <c r="H3359" s="67" t="str">
        <f>IFERROR(IFERROR(INDEX(Кат!$I:$I,MATCH(Прайс!$B3359,Кат!$G:$G,0)),INDEX(Торг!$I:$I,MATCH(Прайс!$B3359,Торг!$H:$H,0))),"")</f>
        <v/>
      </c>
    </row>
    <row r="3360" spans="1:8" x14ac:dyDescent="0.25">
      <c r="A3360" s="94" t="s">
        <v>7922</v>
      </c>
      <c r="B3360" s="98">
        <v>29330</v>
      </c>
      <c r="C3360" s="98" t="s">
        <v>7923</v>
      </c>
      <c r="D3360" s="96" t="s">
        <v>162</v>
      </c>
      <c r="E3360" s="97">
        <v>110</v>
      </c>
      <c r="F3360" s="67" t="str">
        <f>IFERROR(IFERROR(INDEX(Кат!$A:$A,MATCH(Прайс!$B3360,Кат!$G:$G,0)),INDEX(Торг!$B:$B,MATCH(Прайс!$B3360,Торг!$H:$H,0))),"")</f>
        <v/>
      </c>
      <c r="G3360" s="67" t="str">
        <f>IFERROR(IFERROR(INDEX(Кат!$B:$B,MATCH(Прайс!$B3360,Кат!$G:$G,0)),INDEX(Торг!$C:$C,MATCH(Прайс!$B3360,Торг!$H:$H,0))),"")</f>
        <v/>
      </c>
      <c r="H3360" s="67" t="str">
        <f>IFERROR(IFERROR(INDEX(Кат!$I:$I,MATCH(Прайс!$B3360,Кат!$G:$G,0)),INDEX(Торг!$I:$I,MATCH(Прайс!$B3360,Торг!$H:$H,0))),"")</f>
        <v/>
      </c>
    </row>
    <row r="3361" spans="1:8" x14ac:dyDescent="0.25">
      <c r="A3361" s="94" t="s">
        <v>5367</v>
      </c>
      <c r="B3361" s="98">
        <v>29321</v>
      </c>
      <c r="C3361" s="98" t="s">
        <v>7924</v>
      </c>
      <c r="D3361" s="96" t="s">
        <v>162</v>
      </c>
      <c r="E3361" s="97">
        <v>110</v>
      </c>
      <c r="F3361" s="67" t="str">
        <f>IFERROR(IFERROR(INDEX(Кат!$A:$A,MATCH(Прайс!$B3361,Кат!$G:$G,0)),INDEX(Торг!$B:$B,MATCH(Прайс!$B3361,Торг!$H:$H,0))),"")</f>
        <v/>
      </c>
      <c r="G3361" s="67" t="str">
        <f>IFERROR(IFERROR(INDEX(Кат!$B:$B,MATCH(Прайс!$B3361,Кат!$G:$G,0)),INDEX(Торг!$C:$C,MATCH(Прайс!$B3361,Торг!$H:$H,0))),"")</f>
        <v/>
      </c>
      <c r="H3361" s="67" t="str">
        <f>IFERROR(IFERROR(INDEX(Кат!$I:$I,MATCH(Прайс!$B3361,Кат!$G:$G,0)),INDEX(Торг!$I:$I,MATCH(Прайс!$B3361,Торг!$H:$H,0))),"")</f>
        <v/>
      </c>
    </row>
    <row r="3362" spans="1:8" x14ac:dyDescent="0.25">
      <c r="A3362" s="94" t="s">
        <v>4429</v>
      </c>
      <c r="B3362" s="98">
        <v>29200</v>
      </c>
      <c r="C3362" s="98" t="s">
        <v>1760</v>
      </c>
      <c r="D3362" s="96" t="s">
        <v>1606</v>
      </c>
      <c r="E3362" s="97">
        <v>110</v>
      </c>
      <c r="F3362" s="67" t="str">
        <f>IFERROR(IFERROR(INDEX(Кат!$A:$A,MATCH(Прайс!$B3362,Кат!$G:$G,0)),INDEX(Торг!$B:$B,MATCH(Прайс!$B3362,Торг!$H:$H,0))),"")</f>
        <v/>
      </c>
      <c r="G3362" s="67" t="str">
        <f>IFERROR(IFERROR(INDEX(Кат!$B:$B,MATCH(Прайс!$B3362,Кат!$G:$G,0)),INDEX(Торг!$C:$C,MATCH(Прайс!$B3362,Торг!$H:$H,0))),"")</f>
        <v/>
      </c>
      <c r="H3362" s="67" t="str">
        <f>IFERROR(IFERROR(INDEX(Кат!$I:$I,MATCH(Прайс!$B3362,Кат!$G:$G,0)),INDEX(Торг!$I:$I,MATCH(Прайс!$B3362,Торг!$H:$H,0))),"")</f>
        <v/>
      </c>
    </row>
    <row r="3363" spans="1:8" x14ac:dyDescent="0.25">
      <c r="A3363" s="94" t="s">
        <v>4430</v>
      </c>
      <c r="B3363" s="98">
        <v>29249</v>
      </c>
      <c r="C3363" s="98" t="s">
        <v>1761</v>
      </c>
      <c r="D3363" s="96" t="s">
        <v>1606</v>
      </c>
      <c r="E3363" s="97">
        <v>110</v>
      </c>
      <c r="F3363" s="67" t="str">
        <f>IFERROR(IFERROR(INDEX(Кат!$A:$A,MATCH(Прайс!$B3363,Кат!$G:$G,0)),INDEX(Торг!$B:$B,MATCH(Прайс!$B3363,Торг!$H:$H,0))),"")</f>
        <v/>
      </c>
      <c r="G3363" s="67" t="str">
        <f>IFERROR(IFERROR(INDEX(Кат!$B:$B,MATCH(Прайс!$B3363,Кат!$G:$G,0)),INDEX(Торг!$C:$C,MATCH(Прайс!$B3363,Торг!$H:$H,0))),"")</f>
        <v/>
      </c>
      <c r="H3363" s="67" t="str">
        <f>IFERROR(IFERROR(INDEX(Кат!$I:$I,MATCH(Прайс!$B3363,Кат!$G:$G,0)),INDEX(Торг!$I:$I,MATCH(Прайс!$B3363,Торг!$H:$H,0))),"")</f>
        <v/>
      </c>
    </row>
    <row r="3364" spans="1:8" x14ac:dyDescent="0.25">
      <c r="A3364" s="103" t="s">
        <v>4431</v>
      </c>
      <c r="B3364" s="104">
        <v>29195</v>
      </c>
      <c r="C3364" s="104" t="s">
        <v>1762</v>
      </c>
      <c r="D3364" s="105" t="s">
        <v>1606</v>
      </c>
      <c r="E3364" s="113">
        <v>90</v>
      </c>
      <c r="F3364" s="67" t="str">
        <f>IFERROR(IFERROR(INDEX(Кат!$A:$A,MATCH(Прайс!$B3364,Кат!$G:$G,0)),INDEX(Торг!$B:$B,MATCH(Прайс!$B3364,Торг!$H:$H,0))),"")</f>
        <v/>
      </c>
      <c r="G3364" s="67" t="str">
        <f>IFERROR(IFERROR(INDEX(Кат!$B:$B,MATCH(Прайс!$B3364,Кат!$G:$G,0)),INDEX(Торг!$C:$C,MATCH(Прайс!$B3364,Торг!$H:$H,0))),"")</f>
        <v/>
      </c>
      <c r="H3364" s="67" t="str">
        <f>IFERROR(IFERROR(INDEX(Кат!$I:$I,MATCH(Прайс!$B3364,Кат!$G:$G,0)),INDEX(Торг!$I:$I,MATCH(Прайс!$B3364,Торг!$H:$H,0))),"")</f>
        <v/>
      </c>
    </row>
    <row r="3365" spans="1:8" x14ac:dyDescent="0.25">
      <c r="A3365" s="103" t="s">
        <v>4432</v>
      </c>
      <c r="B3365" s="104">
        <v>29202</v>
      </c>
      <c r="C3365" s="104" t="s">
        <v>1763</v>
      </c>
      <c r="D3365" s="105" t="s">
        <v>159</v>
      </c>
      <c r="E3365" s="113">
        <v>90</v>
      </c>
      <c r="F3365" s="67" t="str">
        <f>IFERROR(IFERROR(INDEX(Кат!$A:$A,MATCH(Прайс!$B3365,Кат!$G:$G,0)),INDEX(Торг!$B:$B,MATCH(Прайс!$B3365,Торг!$H:$H,0))),"")</f>
        <v/>
      </c>
      <c r="G3365" s="67" t="str">
        <f>IFERROR(IFERROR(INDEX(Кат!$B:$B,MATCH(Прайс!$B3365,Кат!$G:$G,0)),INDEX(Торг!$C:$C,MATCH(Прайс!$B3365,Торг!$H:$H,0))),"")</f>
        <v/>
      </c>
      <c r="H3365" s="67" t="str">
        <f>IFERROR(IFERROR(INDEX(Кат!$I:$I,MATCH(Прайс!$B3365,Кат!$G:$G,0)),INDEX(Торг!$I:$I,MATCH(Прайс!$B3365,Торг!$H:$H,0))),"")</f>
        <v/>
      </c>
    </row>
    <row r="3366" spans="1:8" x14ac:dyDescent="0.25">
      <c r="A3366" s="103" t="s">
        <v>4433</v>
      </c>
      <c r="B3366" s="104">
        <v>29197</v>
      </c>
      <c r="C3366" s="104" t="s">
        <v>1764</v>
      </c>
      <c r="D3366" s="105" t="s">
        <v>159</v>
      </c>
      <c r="E3366" s="113">
        <v>90</v>
      </c>
      <c r="F3366" s="67" t="str">
        <f>IFERROR(IFERROR(INDEX(Кат!$A:$A,MATCH(Прайс!$B3366,Кат!$G:$G,0)),INDEX(Торг!$B:$B,MATCH(Прайс!$B3366,Торг!$H:$H,0))),"")</f>
        <v/>
      </c>
      <c r="G3366" s="67" t="str">
        <f>IFERROR(IFERROR(INDEX(Кат!$B:$B,MATCH(Прайс!$B3366,Кат!$G:$G,0)),INDEX(Торг!$C:$C,MATCH(Прайс!$B3366,Торг!$H:$H,0))),"")</f>
        <v/>
      </c>
      <c r="H3366" s="67" t="str">
        <f>IFERROR(IFERROR(INDEX(Кат!$I:$I,MATCH(Прайс!$B3366,Кат!$G:$G,0)),INDEX(Торг!$I:$I,MATCH(Прайс!$B3366,Торг!$H:$H,0))),"")</f>
        <v/>
      </c>
    </row>
    <row r="3367" spans="1:8" x14ac:dyDescent="0.25">
      <c r="A3367" s="103" t="s">
        <v>4434</v>
      </c>
      <c r="B3367" s="104">
        <v>29001</v>
      </c>
      <c r="C3367" s="104" t="s">
        <v>1765</v>
      </c>
      <c r="D3367" s="105" t="s">
        <v>159</v>
      </c>
      <c r="E3367" s="113">
        <v>90</v>
      </c>
      <c r="F3367" s="67" t="str">
        <f>IFERROR(IFERROR(INDEX(Кат!$A:$A,MATCH(Прайс!$B3367,Кат!$G:$G,0)),INDEX(Торг!$B:$B,MATCH(Прайс!$B3367,Торг!$H:$H,0))),"")</f>
        <v/>
      </c>
      <c r="G3367" s="67" t="str">
        <f>IFERROR(IFERROR(INDEX(Кат!$B:$B,MATCH(Прайс!$B3367,Кат!$G:$G,0)),INDEX(Торг!$C:$C,MATCH(Прайс!$B3367,Торг!$H:$H,0))),"")</f>
        <v/>
      </c>
      <c r="H3367" s="67" t="str">
        <f>IFERROR(IFERROR(INDEX(Кат!$I:$I,MATCH(Прайс!$B3367,Кат!$G:$G,0)),INDEX(Торг!$I:$I,MATCH(Прайс!$B3367,Торг!$H:$H,0))),"")</f>
        <v/>
      </c>
    </row>
    <row r="3368" spans="1:8" ht="15.75" x14ac:dyDescent="0.25">
      <c r="A3368" s="90"/>
      <c r="B3368" s="91"/>
      <c r="C3368" s="92" t="s">
        <v>1766</v>
      </c>
      <c r="D3368" s="91"/>
      <c r="E3368" s="93"/>
      <c r="F3368" s="67" t="str">
        <f>IFERROR(IFERROR(INDEX(Кат!$A:$A,MATCH(Прайс!$B3368,Кат!$G:$G,0)),INDEX(Торг!$B:$B,MATCH(Прайс!$B3368,Торг!$H:$H,0))),"")</f>
        <v/>
      </c>
      <c r="G3368" s="67" t="str">
        <f>IFERROR(IFERROR(INDEX(Кат!$B:$B,MATCH(Прайс!$B3368,Кат!$G:$G,0)),INDEX(Торг!$C:$C,MATCH(Прайс!$B3368,Торг!$H:$H,0))),"")</f>
        <v/>
      </c>
      <c r="H3368" s="67" t="str">
        <f>IFERROR(IFERROR(INDEX(Кат!$I:$I,MATCH(Прайс!$B3368,Кат!$G:$G,0)),INDEX(Торг!$I:$I,MATCH(Прайс!$B3368,Торг!$H:$H,0))),"")</f>
        <v/>
      </c>
    </row>
    <row r="3369" spans="1:8" x14ac:dyDescent="0.25">
      <c r="A3369" s="103" t="s">
        <v>4435</v>
      </c>
      <c r="B3369" s="104">
        <v>29012</v>
      </c>
      <c r="C3369" s="104" t="s">
        <v>1767</v>
      </c>
      <c r="D3369" s="105" t="s">
        <v>1558</v>
      </c>
      <c r="E3369" s="113">
        <v>230</v>
      </c>
      <c r="F3369" s="67" t="str">
        <f>IFERROR(IFERROR(INDEX(Кат!$A:$A,MATCH(Прайс!$B3369,Кат!$G:$G,0)),INDEX(Торг!$B:$B,MATCH(Прайс!$B3369,Торг!$H:$H,0))),"")</f>
        <v/>
      </c>
      <c r="G3369" s="67" t="str">
        <f>IFERROR(IFERROR(INDEX(Кат!$B:$B,MATCH(Прайс!$B3369,Кат!$G:$G,0)),INDEX(Торг!$C:$C,MATCH(Прайс!$B3369,Торг!$H:$H,0))),"")</f>
        <v/>
      </c>
      <c r="H3369" s="67" t="str">
        <f>IFERROR(IFERROR(INDEX(Кат!$I:$I,MATCH(Прайс!$B3369,Кат!$G:$G,0)),INDEX(Торг!$I:$I,MATCH(Прайс!$B3369,Торг!$H:$H,0))),"")</f>
        <v/>
      </c>
    </row>
    <row r="3370" spans="1:8" x14ac:dyDescent="0.25">
      <c r="A3370" s="103" t="s">
        <v>4436</v>
      </c>
      <c r="B3370" s="104">
        <v>29013</v>
      </c>
      <c r="C3370" s="104" t="s">
        <v>1768</v>
      </c>
      <c r="D3370" s="105" t="s">
        <v>284</v>
      </c>
      <c r="E3370" s="113">
        <v>340</v>
      </c>
      <c r="F3370" s="67" t="str">
        <f>IFERROR(IFERROR(INDEX(Кат!$A:$A,MATCH(Прайс!$B3370,Кат!$G:$G,0)),INDEX(Торг!$B:$B,MATCH(Прайс!$B3370,Торг!$H:$H,0))),"")</f>
        <v/>
      </c>
      <c r="G3370" s="67" t="str">
        <f>IFERROR(IFERROR(INDEX(Кат!$B:$B,MATCH(Прайс!$B3370,Кат!$G:$G,0)),INDEX(Торг!$C:$C,MATCH(Прайс!$B3370,Торг!$H:$H,0))),"")</f>
        <v/>
      </c>
      <c r="H3370" s="67" t="str">
        <f>IFERROR(IFERROR(INDEX(Кат!$I:$I,MATCH(Прайс!$B3370,Кат!$G:$G,0)),INDEX(Торг!$I:$I,MATCH(Прайс!$B3370,Торг!$H:$H,0))),"")</f>
        <v/>
      </c>
    </row>
    <row r="3371" spans="1:8" x14ac:dyDescent="0.25">
      <c r="A3371" s="103" t="s">
        <v>4437</v>
      </c>
      <c r="B3371" s="104">
        <v>29014</v>
      </c>
      <c r="C3371" s="104" t="s">
        <v>1769</v>
      </c>
      <c r="D3371" s="105" t="s">
        <v>284</v>
      </c>
      <c r="E3371" s="113">
        <v>410</v>
      </c>
      <c r="F3371" s="67" t="str">
        <f>IFERROR(IFERROR(INDEX(Кат!$A:$A,MATCH(Прайс!$B3371,Кат!$G:$G,0)),INDEX(Торг!$B:$B,MATCH(Прайс!$B3371,Торг!$H:$H,0))),"")</f>
        <v/>
      </c>
      <c r="G3371" s="67" t="str">
        <f>IFERROR(IFERROR(INDEX(Кат!$B:$B,MATCH(Прайс!$B3371,Кат!$G:$G,0)),INDEX(Торг!$C:$C,MATCH(Прайс!$B3371,Торг!$H:$H,0))),"")</f>
        <v/>
      </c>
      <c r="H3371" s="67" t="str">
        <f>IFERROR(IFERROR(INDEX(Кат!$I:$I,MATCH(Прайс!$B3371,Кат!$G:$G,0)),INDEX(Торг!$I:$I,MATCH(Прайс!$B3371,Торг!$H:$H,0))),"")</f>
        <v/>
      </c>
    </row>
    <row r="3372" spans="1:8" x14ac:dyDescent="0.25">
      <c r="A3372" s="94" t="s">
        <v>4438</v>
      </c>
      <c r="B3372" s="98">
        <v>29015</v>
      </c>
      <c r="C3372" s="98" t="s">
        <v>1770</v>
      </c>
      <c r="D3372" s="96" t="s">
        <v>7925</v>
      </c>
      <c r="E3372" s="97">
        <v>80</v>
      </c>
      <c r="F3372" s="67" t="str">
        <f>IFERROR(IFERROR(INDEX(Кат!$A:$A,MATCH(Прайс!$B3372,Кат!$G:$G,0)),INDEX(Торг!$B:$B,MATCH(Прайс!$B3372,Торг!$H:$H,0))),"")</f>
        <v/>
      </c>
      <c r="G3372" s="67" t="str">
        <f>IFERROR(IFERROR(INDEX(Кат!$B:$B,MATCH(Прайс!$B3372,Кат!$G:$G,0)),INDEX(Торг!$C:$C,MATCH(Прайс!$B3372,Торг!$H:$H,0))),"")</f>
        <v/>
      </c>
      <c r="H3372" s="67" t="str">
        <f>IFERROR(IFERROR(INDEX(Кат!$I:$I,MATCH(Прайс!$B3372,Кат!$G:$G,0)),INDEX(Торг!$I:$I,MATCH(Прайс!$B3372,Торг!$H:$H,0))),"")</f>
        <v/>
      </c>
    </row>
    <row r="3373" spans="1:8" x14ac:dyDescent="0.25">
      <c r="A3373" s="94" t="s">
        <v>4439</v>
      </c>
      <c r="B3373" s="98">
        <v>29198</v>
      </c>
      <c r="C3373" s="98" t="s">
        <v>1771</v>
      </c>
      <c r="D3373" s="96" t="s">
        <v>222</v>
      </c>
      <c r="E3373" s="97">
        <v>80</v>
      </c>
      <c r="F3373" s="67" t="str">
        <f>IFERROR(IFERROR(INDEX(Кат!$A:$A,MATCH(Прайс!$B3373,Кат!$G:$G,0)),INDEX(Торг!$B:$B,MATCH(Прайс!$B3373,Торг!$H:$H,0))),"")</f>
        <v/>
      </c>
      <c r="G3373" s="67" t="str">
        <f>IFERROR(IFERROR(INDEX(Кат!$B:$B,MATCH(Прайс!$B3373,Кат!$G:$G,0)),INDEX(Торг!$C:$C,MATCH(Прайс!$B3373,Торг!$H:$H,0))),"")</f>
        <v/>
      </c>
      <c r="H3373" s="67" t="str">
        <f>IFERROR(IFERROR(INDEX(Кат!$I:$I,MATCH(Прайс!$B3373,Кат!$G:$G,0)),INDEX(Торг!$I:$I,MATCH(Прайс!$B3373,Торг!$H:$H,0))),"")</f>
        <v/>
      </c>
    </row>
    <row r="3374" spans="1:8" x14ac:dyDescent="0.25">
      <c r="A3374" s="94" t="s">
        <v>4440</v>
      </c>
      <c r="B3374" s="98">
        <v>29016</v>
      </c>
      <c r="C3374" s="98" t="s">
        <v>1772</v>
      </c>
      <c r="D3374" s="96" t="s">
        <v>7925</v>
      </c>
      <c r="E3374" s="97">
        <v>110</v>
      </c>
      <c r="F3374" s="67" t="str">
        <f>IFERROR(IFERROR(INDEX(Кат!$A:$A,MATCH(Прайс!$B3374,Кат!$G:$G,0)),INDEX(Торг!$B:$B,MATCH(Прайс!$B3374,Торг!$H:$H,0))),"")</f>
        <v/>
      </c>
      <c r="G3374" s="67" t="str">
        <f>IFERROR(IFERROR(INDEX(Кат!$B:$B,MATCH(Прайс!$B3374,Кат!$G:$G,0)),INDEX(Торг!$C:$C,MATCH(Прайс!$B3374,Торг!$H:$H,0))),"")</f>
        <v/>
      </c>
      <c r="H3374" s="67" t="str">
        <f>IFERROR(IFERROR(INDEX(Кат!$I:$I,MATCH(Прайс!$B3374,Кат!$G:$G,0)),INDEX(Торг!$I:$I,MATCH(Прайс!$B3374,Торг!$H:$H,0))),"")</f>
        <v/>
      </c>
    </row>
    <row r="3375" spans="1:8" x14ac:dyDescent="0.25">
      <c r="A3375" s="94" t="s">
        <v>4441</v>
      </c>
      <c r="B3375" s="98">
        <v>29196</v>
      </c>
      <c r="C3375" s="98" t="s">
        <v>1773</v>
      </c>
      <c r="D3375" s="96" t="s">
        <v>222</v>
      </c>
      <c r="E3375" s="97">
        <v>110</v>
      </c>
      <c r="F3375" s="67" t="str">
        <f>IFERROR(IFERROR(INDEX(Кат!$A:$A,MATCH(Прайс!$B3375,Кат!$G:$G,0)),INDEX(Торг!$B:$B,MATCH(Прайс!$B3375,Торг!$H:$H,0))),"")</f>
        <v/>
      </c>
      <c r="G3375" s="67" t="str">
        <f>IFERROR(IFERROR(INDEX(Кат!$B:$B,MATCH(Прайс!$B3375,Кат!$G:$G,0)),INDEX(Торг!$C:$C,MATCH(Прайс!$B3375,Торг!$H:$H,0))),"")</f>
        <v/>
      </c>
      <c r="H3375" s="67" t="str">
        <f>IFERROR(IFERROR(INDEX(Кат!$I:$I,MATCH(Прайс!$B3375,Кат!$G:$G,0)),INDEX(Торг!$I:$I,MATCH(Прайс!$B3375,Торг!$H:$H,0))),"")</f>
        <v/>
      </c>
    </row>
    <row r="3376" spans="1:8" x14ac:dyDescent="0.25">
      <c r="A3376" s="94" t="s">
        <v>4442</v>
      </c>
      <c r="B3376" s="98">
        <v>29242</v>
      </c>
      <c r="C3376" s="98" t="s">
        <v>1774</v>
      </c>
      <c r="D3376" s="96" t="s">
        <v>284</v>
      </c>
      <c r="E3376" s="97">
        <v>160</v>
      </c>
      <c r="F3376" s="67" t="str">
        <f>IFERROR(IFERROR(INDEX(Кат!$A:$A,MATCH(Прайс!$B3376,Кат!$G:$G,0)),INDEX(Торг!$B:$B,MATCH(Прайс!$B3376,Торг!$H:$H,0))),"")</f>
        <v/>
      </c>
      <c r="G3376" s="67" t="str">
        <f>IFERROR(IFERROR(INDEX(Кат!$B:$B,MATCH(Прайс!$B3376,Кат!$G:$G,0)),INDEX(Торг!$C:$C,MATCH(Прайс!$B3376,Торг!$H:$H,0))),"")</f>
        <v/>
      </c>
      <c r="H3376" s="67" t="str">
        <f>IFERROR(IFERROR(INDEX(Кат!$I:$I,MATCH(Прайс!$B3376,Кат!$G:$G,0)),INDEX(Торг!$I:$I,MATCH(Прайс!$B3376,Торг!$H:$H,0))),"")</f>
        <v/>
      </c>
    </row>
    <row r="3377" spans="1:8" x14ac:dyDescent="0.25">
      <c r="A3377" s="94" t="s">
        <v>4443</v>
      </c>
      <c r="B3377" s="98">
        <v>29017</v>
      </c>
      <c r="C3377" s="98" t="s">
        <v>1775</v>
      </c>
      <c r="D3377" s="96" t="s">
        <v>7925</v>
      </c>
      <c r="E3377" s="97">
        <v>160</v>
      </c>
      <c r="F3377" s="67" t="str">
        <f>IFERROR(IFERROR(INDEX(Кат!$A:$A,MATCH(Прайс!$B3377,Кат!$G:$G,0)),INDEX(Торг!$B:$B,MATCH(Прайс!$B3377,Торг!$H:$H,0))),"")</f>
        <v/>
      </c>
      <c r="G3377" s="67" t="str">
        <f>IFERROR(IFERROR(INDEX(Кат!$B:$B,MATCH(Прайс!$B3377,Кат!$G:$G,0)),INDEX(Торг!$C:$C,MATCH(Прайс!$B3377,Торг!$H:$H,0))),"")</f>
        <v/>
      </c>
      <c r="H3377" s="67" t="str">
        <f>IFERROR(IFERROR(INDEX(Кат!$I:$I,MATCH(Прайс!$B3377,Кат!$G:$G,0)),INDEX(Торг!$I:$I,MATCH(Прайс!$B3377,Торг!$H:$H,0))),"")</f>
        <v/>
      </c>
    </row>
    <row r="3378" spans="1:8" x14ac:dyDescent="0.25">
      <c r="A3378" s="94" t="s">
        <v>4444</v>
      </c>
      <c r="B3378" s="98">
        <v>29205</v>
      </c>
      <c r="C3378" s="98" t="s">
        <v>1776</v>
      </c>
      <c r="D3378" s="96" t="s">
        <v>159</v>
      </c>
      <c r="E3378" s="97">
        <v>145</v>
      </c>
      <c r="F3378" s="67" t="str">
        <f>IFERROR(IFERROR(INDEX(Кат!$A:$A,MATCH(Прайс!$B3378,Кат!$G:$G,0)),INDEX(Торг!$B:$B,MATCH(Прайс!$B3378,Торг!$H:$H,0))),"")</f>
        <v/>
      </c>
      <c r="G3378" s="67" t="str">
        <f>IFERROR(IFERROR(INDEX(Кат!$B:$B,MATCH(Прайс!$B3378,Кат!$G:$G,0)),INDEX(Торг!$C:$C,MATCH(Прайс!$B3378,Торг!$H:$H,0))),"")</f>
        <v/>
      </c>
      <c r="H3378" s="67" t="str">
        <f>IFERROR(IFERROR(INDEX(Кат!$I:$I,MATCH(Прайс!$B3378,Кат!$G:$G,0)),INDEX(Торг!$I:$I,MATCH(Прайс!$B3378,Торг!$H:$H,0))),"")</f>
        <v/>
      </c>
    </row>
    <row r="3379" spans="1:8" x14ac:dyDescent="0.25">
      <c r="A3379" s="94" t="s">
        <v>4445</v>
      </c>
      <c r="B3379" s="98">
        <v>29009</v>
      </c>
      <c r="C3379" s="98" t="s">
        <v>1777</v>
      </c>
      <c r="D3379" s="96" t="s">
        <v>159</v>
      </c>
      <c r="E3379" s="97">
        <v>145</v>
      </c>
      <c r="F3379" s="67" t="str">
        <f>IFERROR(IFERROR(INDEX(Кат!$A:$A,MATCH(Прайс!$B3379,Кат!$G:$G,0)),INDEX(Торг!$B:$B,MATCH(Прайс!$B3379,Торг!$H:$H,0))),"")</f>
        <v/>
      </c>
      <c r="G3379" s="67" t="str">
        <f>IFERROR(IFERROR(INDEX(Кат!$B:$B,MATCH(Прайс!$B3379,Кат!$G:$G,0)),INDEX(Торг!$C:$C,MATCH(Прайс!$B3379,Торг!$H:$H,0))),"")</f>
        <v/>
      </c>
      <c r="H3379" s="67" t="str">
        <f>IFERROR(IFERROR(INDEX(Кат!$I:$I,MATCH(Прайс!$B3379,Кат!$G:$G,0)),INDEX(Торг!$I:$I,MATCH(Прайс!$B3379,Торг!$H:$H,0))),"")</f>
        <v/>
      </c>
    </row>
    <row r="3380" spans="1:8" x14ac:dyDescent="0.25">
      <c r="A3380" s="94" t="s">
        <v>4446</v>
      </c>
      <c r="B3380" s="98">
        <v>29010</v>
      </c>
      <c r="C3380" s="98" t="s">
        <v>1778</v>
      </c>
      <c r="D3380" s="96" t="s">
        <v>159</v>
      </c>
      <c r="E3380" s="97">
        <v>170</v>
      </c>
      <c r="F3380" s="67" t="str">
        <f>IFERROR(IFERROR(INDEX(Кат!$A:$A,MATCH(Прайс!$B3380,Кат!$G:$G,0)),INDEX(Торг!$B:$B,MATCH(Прайс!$B3380,Торг!$H:$H,0))),"")</f>
        <v/>
      </c>
      <c r="G3380" s="67" t="str">
        <f>IFERROR(IFERROR(INDEX(Кат!$B:$B,MATCH(Прайс!$B3380,Кат!$G:$G,0)),INDEX(Торг!$C:$C,MATCH(Прайс!$B3380,Торг!$H:$H,0))),"")</f>
        <v/>
      </c>
      <c r="H3380" s="67" t="str">
        <f>IFERROR(IFERROR(INDEX(Кат!$I:$I,MATCH(Прайс!$B3380,Кат!$G:$G,0)),INDEX(Торг!$I:$I,MATCH(Прайс!$B3380,Торг!$H:$H,0))),"")</f>
        <v/>
      </c>
    </row>
    <row r="3381" spans="1:8" x14ac:dyDescent="0.25">
      <c r="A3381" s="94" t="s">
        <v>4447</v>
      </c>
      <c r="B3381" s="98">
        <v>29011</v>
      </c>
      <c r="C3381" s="98" t="s">
        <v>1779</v>
      </c>
      <c r="D3381" s="96" t="s">
        <v>159</v>
      </c>
      <c r="E3381" s="97">
        <v>350</v>
      </c>
      <c r="F3381" s="67" t="str">
        <f>IFERROR(IFERROR(INDEX(Кат!$A:$A,MATCH(Прайс!$B3381,Кат!$G:$G,0)),INDEX(Торг!$B:$B,MATCH(Прайс!$B3381,Торг!$H:$H,0))),"")</f>
        <v/>
      </c>
      <c r="G3381" s="67" t="str">
        <f>IFERROR(IFERROR(INDEX(Кат!$B:$B,MATCH(Прайс!$B3381,Кат!$G:$G,0)),INDEX(Торг!$C:$C,MATCH(Прайс!$B3381,Торг!$H:$H,0))),"")</f>
        <v/>
      </c>
      <c r="H3381" s="67" t="str">
        <f>IFERROR(IFERROR(INDEX(Кат!$I:$I,MATCH(Прайс!$B3381,Кат!$G:$G,0)),INDEX(Торг!$I:$I,MATCH(Прайс!$B3381,Торг!$H:$H,0))),"")</f>
        <v/>
      </c>
    </row>
    <row r="3382" spans="1:8" x14ac:dyDescent="0.25">
      <c r="A3382" s="94" t="s">
        <v>4448</v>
      </c>
      <c r="B3382" s="98">
        <v>29018</v>
      </c>
      <c r="C3382" s="98" t="s">
        <v>1780</v>
      </c>
      <c r="D3382" s="96" t="s">
        <v>190</v>
      </c>
      <c r="E3382" s="97">
        <v>155</v>
      </c>
      <c r="F3382" s="67" t="str">
        <f>IFERROR(IFERROR(INDEX(Кат!$A:$A,MATCH(Прайс!$B3382,Кат!$G:$G,0)),INDEX(Торг!$B:$B,MATCH(Прайс!$B3382,Торг!$H:$H,0))),"")</f>
        <v/>
      </c>
      <c r="G3382" s="67" t="str">
        <f>IFERROR(IFERROR(INDEX(Кат!$B:$B,MATCH(Прайс!$B3382,Кат!$G:$G,0)),INDEX(Торг!$C:$C,MATCH(Прайс!$B3382,Торг!$H:$H,0))),"")</f>
        <v/>
      </c>
      <c r="H3382" s="67" t="str">
        <f>IFERROR(IFERROR(INDEX(Кат!$I:$I,MATCH(Прайс!$B3382,Кат!$G:$G,0)),INDEX(Торг!$I:$I,MATCH(Прайс!$B3382,Торг!$H:$H,0))),"")</f>
        <v/>
      </c>
    </row>
    <row r="3383" spans="1:8" x14ac:dyDescent="0.25">
      <c r="A3383" s="94" t="s">
        <v>4449</v>
      </c>
      <c r="B3383" s="98">
        <v>29019</v>
      </c>
      <c r="C3383" s="98" t="s">
        <v>1781</v>
      </c>
      <c r="D3383" s="96" t="s">
        <v>1782</v>
      </c>
      <c r="E3383" s="97">
        <v>70</v>
      </c>
      <c r="F3383" s="67" t="str">
        <f>IFERROR(IFERROR(INDEX(Кат!$A:$A,MATCH(Прайс!$B3383,Кат!$G:$G,0)),INDEX(Торг!$B:$B,MATCH(Прайс!$B3383,Торг!$H:$H,0))),"")</f>
        <v/>
      </c>
      <c r="G3383" s="67" t="str">
        <f>IFERROR(IFERROR(INDEX(Кат!$B:$B,MATCH(Прайс!$B3383,Кат!$G:$G,0)),INDEX(Торг!$C:$C,MATCH(Прайс!$B3383,Торг!$H:$H,0))),"")</f>
        <v/>
      </c>
      <c r="H3383" s="67" t="str">
        <f>IFERROR(IFERROR(INDEX(Кат!$I:$I,MATCH(Прайс!$B3383,Кат!$G:$G,0)),INDEX(Торг!$I:$I,MATCH(Прайс!$B3383,Торг!$H:$H,0))),"")</f>
        <v/>
      </c>
    </row>
    <row r="3384" spans="1:8" x14ac:dyDescent="0.25">
      <c r="A3384" s="94" t="s">
        <v>4450</v>
      </c>
      <c r="B3384" s="98">
        <v>29020</v>
      </c>
      <c r="C3384" s="98" t="s">
        <v>1783</v>
      </c>
      <c r="D3384" s="96" t="s">
        <v>1275</v>
      </c>
      <c r="E3384" s="97">
        <v>95</v>
      </c>
      <c r="F3384" s="67" t="str">
        <f>IFERROR(IFERROR(INDEX(Кат!$A:$A,MATCH(Прайс!$B3384,Кат!$G:$G,0)),INDEX(Торг!$B:$B,MATCH(Прайс!$B3384,Торг!$H:$H,0))),"")</f>
        <v/>
      </c>
      <c r="G3384" s="67" t="str">
        <f>IFERROR(IFERROR(INDEX(Кат!$B:$B,MATCH(Прайс!$B3384,Кат!$G:$G,0)),INDEX(Торг!$C:$C,MATCH(Прайс!$B3384,Торг!$H:$H,0))),"")</f>
        <v/>
      </c>
      <c r="H3384" s="67" t="str">
        <f>IFERROR(IFERROR(INDEX(Кат!$I:$I,MATCH(Прайс!$B3384,Кат!$G:$G,0)),INDEX(Торг!$I:$I,MATCH(Прайс!$B3384,Торг!$H:$H,0))),"")</f>
        <v/>
      </c>
    </row>
    <row r="3385" spans="1:8" x14ac:dyDescent="0.25">
      <c r="A3385" s="94" t="s">
        <v>4958</v>
      </c>
      <c r="B3385" s="98">
        <v>29021</v>
      </c>
      <c r="C3385" s="98" t="s">
        <v>4959</v>
      </c>
      <c r="D3385" s="96" t="s">
        <v>1324</v>
      </c>
      <c r="E3385" s="97">
        <v>115</v>
      </c>
      <c r="F3385" s="67" t="str">
        <f>IFERROR(IFERROR(INDEX(Кат!$A:$A,MATCH(Прайс!$B3385,Кат!$G:$G,0)),INDEX(Торг!$B:$B,MATCH(Прайс!$B3385,Торг!$H:$H,0))),"")</f>
        <v/>
      </c>
      <c r="G3385" s="67" t="str">
        <f>IFERROR(IFERROR(INDEX(Кат!$B:$B,MATCH(Прайс!$B3385,Кат!$G:$G,0)),INDEX(Торг!$C:$C,MATCH(Прайс!$B3385,Торг!$H:$H,0))),"")</f>
        <v/>
      </c>
      <c r="H3385" s="67" t="str">
        <f>IFERROR(IFERROR(INDEX(Кат!$I:$I,MATCH(Прайс!$B3385,Кат!$G:$G,0)),INDEX(Торг!$I:$I,MATCH(Прайс!$B3385,Торг!$H:$H,0))),"")</f>
        <v/>
      </c>
    </row>
    <row r="3386" spans="1:8" x14ac:dyDescent="0.25">
      <c r="A3386" s="94" t="s">
        <v>4960</v>
      </c>
      <c r="B3386" s="98">
        <v>29022</v>
      </c>
      <c r="C3386" s="98" t="s">
        <v>4961</v>
      </c>
      <c r="D3386" s="96" t="s">
        <v>572</v>
      </c>
      <c r="E3386" s="97">
        <v>165</v>
      </c>
      <c r="F3386" s="67" t="str">
        <f>IFERROR(IFERROR(INDEX(Кат!$A:$A,MATCH(Прайс!$B3386,Кат!$G:$G,0)),INDEX(Торг!$B:$B,MATCH(Прайс!$B3386,Торг!$H:$H,0))),"")</f>
        <v/>
      </c>
      <c r="G3386" s="67" t="str">
        <f>IFERROR(IFERROR(INDEX(Кат!$B:$B,MATCH(Прайс!$B3386,Кат!$G:$G,0)),INDEX(Торг!$C:$C,MATCH(Прайс!$B3386,Торг!$H:$H,0))),"")</f>
        <v/>
      </c>
      <c r="H3386" s="67" t="str">
        <f>IFERROR(IFERROR(INDEX(Кат!$I:$I,MATCH(Прайс!$B3386,Кат!$G:$G,0)),INDEX(Торг!$I:$I,MATCH(Прайс!$B3386,Торг!$H:$H,0))),"")</f>
        <v/>
      </c>
    </row>
    <row r="3387" spans="1:8" x14ac:dyDescent="0.25">
      <c r="A3387" s="94" t="s">
        <v>4451</v>
      </c>
      <c r="B3387" s="98">
        <v>29023</v>
      </c>
      <c r="C3387" s="98" t="s">
        <v>1784</v>
      </c>
      <c r="D3387" s="96" t="s">
        <v>1281</v>
      </c>
      <c r="E3387" s="97">
        <v>130</v>
      </c>
      <c r="F3387" s="67" t="str">
        <f>IFERROR(IFERROR(INDEX(Кат!$A:$A,MATCH(Прайс!$B3387,Кат!$G:$G,0)),INDEX(Торг!$B:$B,MATCH(Прайс!$B3387,Торг!$H:$H,0))),"")</f>
        <v/>
      </c>
      <c r="G3387" s="67" t="str">
        <f>IFERROR(IFERROR(INDEX(Кат!$B:$B,MATCH(Прайс!$B3387,Кат!$G:$G,0)),INDEX(Торг!$C:$C,MATCH(Прайс!$B3387,Торг!$H:$H,0))),"")</f>
        <v/>
      </c>
      <c r="H3387" s="67" t="str">
        <f>IFERROR(IFERROR(INDEX(Кат!$I:$I,MATCH(Прайс!$B3387,Кат!$G:$G,0)),INDEX(Торг!$I:$I,MATCH(Прайс!$B3387,Торг!$H:$H,0))),"")</f>
        <v/>
      </c>
    </row>
    <row r="3388" spans="1:8" x14ac:dyDescent="0.25">
      <c r="A3388" s="94" t="s">
        <v>4452</v>
      </c>
      <c r="B3388" s="98">
        <v>29024</v>
      </c>
      <c r="C3388" s="98" t="s">
        <v>1785</v>
      </c>
      <c r="D3388" s="96" t="s">
        <v>1281</v>
      </c>
      <c r="E3388" s="97">
        <v>165</v>
      </c>
      <c r="F3388" s="67" t="str">
        <f>IFERROR(IFERROR(INDEX(Кат!$A:$A,MATCH(Прайс!$B3388,Кат!$G:$G,0)),INDEX(Торг!$B:$B,MATCH(Прайс!$B3388,Торг!$H:$H,0))),"")</f>
        <v/>
      </c>
      <c r="G3388" s="67" t="str">
        <f>IFERROR(IFERROR(INDEX(Кат!$B:$B,MATCH(Прайс!$B3388,Кат!$G:$G,0)),INDEX(Торг!$C:$C,MATCH(Прайс!$B3388,Торг!$H:$H,0))),"")</f>
        <v/>
      </c>
      <c r="H3388" s="67" t="str">
        <f>IFERROR(IFERROR(INDEX(Кат!$I:$I,MATCH(Прайс!$B3388,Кат!$G:$G,0)),INDEX(Торг!$I:$I,MATCH(Прайс!$B3388,Торг!$H:$H,0))),"")</f>
        <v/>
      </c>
    </row>
    <row r="3389" spans="1:8" x14ac:dyDescent="0.25">
      <c r="A3389" s="94" t="s">
        <v>4453</v>
      </c>
      <c r="B3389" s="98">
        <v>29025</v>
      </c>
      <c r="C3389" s="98" t="s">
        <v>1786</v>
      </c>
      <c r="D3389" s="96" t="s">
        <v>1281</v>
      </c>
      <c r="E3389" s="97">
        <v>180</v>
      </c>
      <c r="F3389" s="67" t="str">
        <f>IFERROR(IFERROR(INDEX(Кат!$A:$A,MATCH(Прайс!$B3389,Кат!$G:$G,0)),INDEX(Торг!$B:$B,MATCH(Прайс!$B3389,Торг!$H:$H,0))),"")</f>
        <v/>
      </c>
      <c r="G3389" s="67" t="str">
        <f>IFERROR(IFERROR(INDEX(Кат!$B:$B,MATCH(Прайс!$B3389,Кат!$G:$G,0)),INDEX(Торг!$C:$C,MATCH(Прайс!$B3389,Торг!$H:$H,0))),"")</f>
        <v/>
      </c>
      <c r="H3389" s="67" t="str">
        <f>IFERROR(IFERROR(INDEX(Кат!$I:$I,MATCH(Прайс!$B3389,Кат!$G:$G,0)),INDEX(Торг!$I:$I,MATCH(Прайс!$B3389,Торг!$H:$H,0))),"")</f>
        <v/>
      </c>
    </row>
    <row r="3390" spans="1:8" ht="15.75" x14ac:dyDescent="0.25">
      <c r="A3390" s="90"/>
      <c r="B3390" s="91"/>
      <c r="C3390" s="92" t="s">
        <v>1787</v>
      </c>
      <c r="D3390" s="91"/>
      <c r="E3390" s="93"/>
      <c r="F3390" s="67" t="str">
        <f>IFERROR(IFERROR(INDEX(Кат!$A:$A,MATCH(Прайс!$B3390,Кат!$G:$G,0)),INDEX(Торг!$B:$B,MATCH(Прайс!$B3390,Торг!$H:$H,0))),"")</f>
        <v/>
      </c>
      <c r="G3390" s="67" t="str">
        <f>IFERROR(IFERROR(INDEX(Кат!$B:$B,MATCH(Прайс!$B3390,Кат!$G:$G,0)),INDEX(Торг!$C:$C,MATCH(Прайс!$B3390,Торг!$H:$H,0))),"")</f>
        <v/>
      </c>
      <c r="H3390" s="67" t="str">
        <f>IFERROR(IFERROR(INDEX(Кат!$I:$I,MATCH(Прайс!$B3390,Кат!$G:$G,0)),INDEX(Торг!$I:$I,MATCH(Прайс!$B3390,Торг!$H:$H,0))),"")</f>
        <v/>
      </c>
    </row>
    <row r="3391" spans="1:8" x14ac:dyDescent="0.25">
      <c r="A3391" s="103" t="s">
        <v>7926</v>
      </c>
      <c r="B3391" s="104">
        <v>29331</v>
      </c>
      <c r="C3391" s="104" t="s">
        <v>7927</v>
      </c>
      <c r="D3391" s="105" t="s">
        <v>159</v>
      </c>
      <c r="E3391" s="113">
        <v>150</v>
      </c>
      <c r="F3391" s="67" t="str">
        <f>IFERROR(IFERROR(INDEX(Кат!$A:$A,MATCH(Прайс!$B3391,Кат!$G:$G,0)),INDEX(Торг!$B:$B,MATCH(Прайс!$B3391,Торг!$H:$H,0))),"")</f>
        <v/>
      </c>
      <c r="G3391" s="67" t="str">
        <f>IFERROR(IFERROR(INDEX(Кат!$B:$B,MATCH(Прайс!$B3391,Кат!$G:$G,0)),INDEX(Торг!$C:$C,MATCH(Прайс!$B3391,Торг!$H:$H,0))),"")</f>
        <v/>
      </c>
      <c r="H3391" s="67" t="str">
        <f>IFERROR(IFERROR(INDEX(Кат!$I:$I,MATCH(Прайс!$B3391,Кат!$G:$G,0)),INDEX(Торг!$I:$I,MATCH(Прайс!$B3391,Торг!$H:$H,0))),"")</f>
        <v/>
      </c>
    </row>
    <row r="3392" spans="1:8" x14ac:dyDescent="0.25">
      <c r="A3392" s="103" t="s">
        <v>7928</v>
      </c>
      <c r="B3392" s="104">
        <v>29332</v>
      </c>
      <c r="C3392" s="104" t="s">
        <v>7929</v>
      </c>
      <c r="D3392" s="105" t="s">
        <v>159</v>
      </c>
      <c r="E3392" s="113">
        <v>150</v>
      </c>
      <c r="F3392" s="67" t="str">
        <f>IFERROR(IFERROR(INDEX(Кат!$A:$A,MATCH(Прайс!$B3392,Кат!$G:$G,0)),INDEX(Торг!$B:$B,MATCH(Прайс!$B3392,Торг!$H:$H,0))),"")</f>
        <v/>
      </c>
      <c r="G3392" s="67" t="str">
        <f>IFERROR(IFERROR(INDEX(Кат!$B:$B,MATCH(Прайс!$B3392,Кат!$G:$G,0)),INDEX(Торг!$C:$C,MATCH(Прайс!$B3392,Торг!$H:$H,0))),"")</f>
        <v/>
      </c>
      <c r="H3392" s="67" t="str">
        <f>IFERROR(IFERROR(INDEX(Кат!$I:$I,MATCH(Прайс!$B3392,Кат!$G:$G,0)),INDEX(Торг!$I:$I,MATCH(Прайс!$B3392,Торг!$H:$H,0))),"")</f>
        <v/>
      </c>
    </row>
    <row r="3393" spans="1:8" x14ac:dyDescent="0.25">
      <c r="A3393" s="103" t="s">
        <v>7930</v>
      </c>
      <c r="B3393" s="104">
        <v>29333</v>
      </c>
      <c r="C3393" s="104" t="s">
        <v>7931</v>
      </c>
      <c r="D3393" s="105" t="s">
        <v>159</v>
      </c>
      <c r="E3393" s="113">
        <v>150</v>
      </c>
      <c r="F3393" s="67" t="str">
        <f>IFERROR(IFERROR(INDEX(Кат!$A:$A,MATCH(Прайс!$B3393,Кат!$G:$G,0)),INDEX(Торг!$B:$B,MATCH(Прайс!$B3393,Торг!$H:$H,0))),"")</f>
        <v/>
      </c>
      <c r="G3393" s="67" t="str">
        <f>IFERROR(IFERROR(INDEX(Кат!$B:$B,MATCH(Прайс!$B3393,Кат!$G:$G,0)),INDEX(Торг!$C:$C,MATCH(Прайс!$B3393,Торг!$H:$H,0))),"")</f>
        <v/>
      </c>
      <c r="H3393" s="67" t="str">
        <f>IFERROR(IFERROR(INDEX(Кат!$I:$I,MATCH(Прайс!$B3393,Кат!$G:$G,0)),INDEX(Торг!$I:$I,MATCH(Прайс!$B3393,Торг!$H:$H,0))),"")</f>
        <v/>
      </c>
    </row>
    <row r="3394" spans="1:8" x14ac:dyDescent="0.25">
      <c r="A3394" s="103" t="s">
        <v>7932</v>
      </c>
      <c r="B3394" s="104">
        <v>29334</v>
      </c>
      <c r="C3394" s="104" t="s">
        <v>7933</v>
      </c>
      <c r="D3394" s="105" t="s">
        <v>159</v>
      </c>
      <c r="E3394" s="113">
        <v>150</v>
      </c>
      <c r="F3394" s="67" t="str">
        <f>IFERROR(IFERROR(INDEX(Кат!$A:$A,MATCH(Прайс!$B3394,Кат!$G:$G,0)),INDEX(Торг!$B:$B,MATCH(Прайс!$B3394,Торг!$H:$H,0))),"")</f>
        <v/>
      </c>
      <c r="G3394" s="67" t="str">
        <f>IFERROR(IFERROR(INDEX(Кат!$B:$B,MATCH(Прайс!$B3394,Кат!$G:$G,0)),INDEX(Торг!$C:$C,MATCH(Прайс!$B3394,Торг!$H:$H,0))),"")</f>
        <v/>
      </c>
      <c r="H3394" s="67" t="str">
        <f>IFERROR(IFERROR(INDEX(Кат!$I:$I,MATCH(Прайс!$B3394,Кат!$G:$G,0)),INDEX(Торг!$I:$I,MATCH(Прайс!$B3394,Торг!$H:$H,0))),"")</f>
        <v/>
      </c>
    </row>
    <row r="3395" spans="1:8" x14ac:dyDescent="0.25">
      <c r="A3395" s="94" t="s">
        <v>4454</v>
      </c>
      <c r="B3395" s="98">
        <v>29041</v>
      </c>
      <c r="C3395" s="98" t="s">
        <v>4455</v>
      </c>
      <c r="D3395" s="96" t="s">
        <v>159</v>
      </c>
      <c r="E3395" s="97">
        <v>250</v>
      </c>
      <c r="F3395" s="67" t="str">
        <f>IFERROR(IFERROR(INDEX(Кат!$A:$A,MATCH(Прайс!$B3395,Кат!$G:$G,0)),INDEX(Торг!$B:$B,MATCH(Прайс!$B3395,Торг!$H:$H,0))),"")</f>
        <v/>
      </c>
      <c r="G3395" s="67" t="str">
        <f>IFERROR(IFERROR(INDEX(Кат!$B:$B,MATCH(Прайс!$B3395,Кат!$G:$G,0)),INDEX(Торг!$C:$C,MATCH(Прайс!$B3395,Торг!$H:$H,0))),"")</f>
        <v/>
      </c>
      <c r="H3395" s="67" t="str">
        <f>IFERROR(IFERROR(INDEX(Кат!$I:$I,MATCH(Прайс!$B3395,Кат!$G:$G,0)),INDEX(Торг!$I:$I,MATCH(Прайс!$B3395,Торг!$H:$H,0))),"")</f>
        <v/>
      </c>
    </row>
    <row r="3396" spans="1:8" x14ac:dyDescent="0.25">
      <c r="A3396" s="94" t="s">
        <v>4456</v>
      </c>
      <c r="B3396" s="98">
        <v>29042</v>
      </c>
      <c r="C3396" s="98" t="s">
        <v>4457</v>
      </c>
      <c r="D3396" s="96" t="s">
        <v>159</v>
      </c>
      <c r="E3396" s="97">
        <v>250</v>
      </c>
      <c r="F3396" s="67" t="str">
        <f>IFERROR(IFERROR(INDEX(Кат!$A:$A,MATCH(Прайс!$B3396,Кат!$G:$G,0)),INDEX(Торг!$B:$B,MATCH(Прайс!$B3396,Торг!$H:$H,0))),"")</f>
        <v/>
      </c>
      <c r="G3396" s="67" t="str">
        <f>IFERROR(IFERROR(INDEX(Кат!$B:$B,MATCH(Прайс!$B3396,Кат!$G:$G,0)),INDEX(Торг!$C:$C,MATCH(Прайс!$B3396,Торг!$H:$H,0))),"")</f>
        <v/>
      </c>
      <c r="H3396" s="67" t="str">
        <f>IFERROR(IFERROR(INDEX(Кат!$I:$I,MATCH(Прайс!$B3396,Кат!$G:$G,0)),INDEX(Торг!$I:$I,MATCH(Прайс!$B3396,Торг!$H:$H,0))),"")</f>
        <v/>
      </c>
    </row>
    <row r="3397" spans="1:8" x14ac:dyDescent="0.25">
      <c r="A3397" s="94" t="s">
        <v>4458</v>
      </c>
      <c r="B3397" s="98">
        <v>29043</v>
      </c>
      <c r="C3397" s="98" t="s">
        <v>4459</v>
      </c>
      <c r="D3397" s="96" t="s">
        <v>159</v>
      </c>
      <c r="E3397" s="97">
        <v>250</v>
      </c>
      <c r="F3397" s="67" t="str">
        <f>IFERROR(IFERROR(INDEX(Кат!$A:$A,MATCH(Прайс!$B3397,Кат!$G:$G,0)),INDEX(Торг!$B:$B,MATCH(Прайс!$B3397,Торг!$H:$H,0))),"")</f>
        <v/>
      </c>
      <c r="G3397" s="67" t="str">
        <f>IFERROR(IFERROR(INDEX(Кат!$B:$B,MATCH(Прайс!$B3397,Кат!$G:$G,0)),INDEX(Торг!$C:$C,MATCH(Прайс!$B3397,Торг!$H:$H,0))),"")</f>
        <v/>
      </c>
      <c r="H3397" s="67" t="str">
        <f>IFERROR(IFERROR(INDEX(Кат!$I:$I,MATCH(Прайс!$B3397,Кат!$G:$G,0)),INDEX(Торг!$I:$I,MATCH(Прайс!$B3397,Торг!$H:$H,0))),"")</f>
        <v/>
      </c>
    </row>
    <row r="3398" spans="1:8" x14ac:dyDescent="0.25">
      <c r="A3398" s="94" t="s">
        <v>4460</v>
      </c>
      <c r="B3398" s="98">
        <v>29044</v>
      </c>
      <c r="C3398" s="98" t="s">
        <v>4461</v>
      </c>
      <c r="D3398" s="96" t="s">
        <v>159</v>
      </c>
      <c r="E3398" s="97">
        <v>260</v>
      </c>
      <c r="F3398" s="67" t="str">
        <f>IFERROR(IFERROR(INDEX(Кат!$A:$A,MATCH(Прайс!$B3398,Кат!$G:$G,0)),INDEX(Торг!$B:$B,MATCH(Прайс!$B3398,Торг!$H:$H,0))),"")</f>
        <v/>
      </c>
      <c r="G3398" s="67" t="str">
        <f>IFERROR(IFERROR(INDEX(Кат!$B:$B,MATCH(Прайс!$B3398,Кат!$G:$G,0)),INDEX(Торг!$C:$C,MATCH(Прайс!$B3398,Торг!$H:$H,0))),"")</f>
        <v/>
      </c>
      <c r="H3398" s="67" t="str">
        <f>IFERROR(IFERROR(INDEX(Кат!$I:$I,MATCH(Прайс!$B3398,Кат!$G:$G,0)),INDEX(Торг!$I:$I,MATCH(Прайс!$B3398,Торг!$H:$H,0))),"")</f>
        <v/>
      </c>
    </row>
    <row r="3399" spans="1:8" x14ac:dyDescent="0.25">
      <c r="A3399" s="94" t="s">
        <v>4462</v>
      </c>
      <c r="B3399" s="98">
        <v>29045</v>
      </c>
      <c r="C3399" s="98" t="s">
        <v>1788</v>
      </c>
      <c r="D3399" s="96" t="s">
        <v>159</v>
      </c>
      <c r="E3399" s="97">
        <v>260</v>
      </c>
      <c r="F3399" s="67">
        <f>IFERROR(IFERROR(INDEX(Кат!$A:$A,MATCH(Прайс!$B3399,Кат!$G:$G,0)),INDEX(Торг!$B:$B,MATCH(Прайс!$B3399,Торг!$H:$H,0))),"")</f>
        <v>226599</v>
      </c>
      <c r="G3399" s="67">
        <f>IFERROR(IFERROR(INDEX(Кат!$B:$B,MATCH(Прайс!$B3399,Кат!$G:$G,0)),INDEX(Торг!$C:$C,MATCH(Прайс!$B3399,Торг!$H:$H,0))),"")</f>
        <v>30609</v>
      </c>
      <c r="H3399" s="67" t="str">
        <f>IFERROR(IFERROR(INDEX(Кат!$I:$I,MATCH(Прайс!$B3399,Кат!$G:$G,0)),INDEX(Торг!$I:$I,MATCH(Прайс!$B3399,Торг!$H:$H,0))),"")</f>
        <v>кристал авто</v>
      </c>
    </row>
    <row r="3400" spans="1:8" x14ac:dyDescent="0.25">
      <c r="A3400" s="94" t="s">
        <v>4463</v>
      </c>
      <c r="B3400" s="98">
        <v>29046</v>
      </c>
      <c r="C3400" s="98" t="s">
        <v>4464</v>
      </c>
      <c r="D3400" s="96" t="s">
        <v>159</v>
      </c>
      <c r="E3400" s="97">
        <v>270</v>
      </c>
      <c r="F3400" s="67" t="str">
        <f>IFERROR(IFERROR(INDEX(Кат!$A:$A,MATCH(Прайс!$B3400,Кат!$G:$G,0)),INDEX(Торг!$B:$B,MATCH(Прайс!$B3400,Торг!$H:$H,0))),"")</f>
        <v/>
      </c>
      <c r="G3400" s="67" t="str">
        <f>IFERROR(IFERROR(INDEX(Кат!$B:$B,MATCH(Прайс!$B3400,Кат!$G:$G,0)),INDEX(Торг!$C:$C,MATCH(Прайс!$B3400,Торг!$H:$H,0))),"")</f>
        <v/>
      </c>
      <c r="H3400" s="67" t="str">
        <f>IFERROR(IFERROR(INDEX(Кат!$I:$I,MATCH(Прайс!$B3400,Кат!$G:$G,0)),INDEX(Торг!$I:$I,MATCH(Прайс!$B3400,Торг!$H:$H,0))),"")</f>
        <v/>
      </c>
    </row>
    <row r="3401" spans="1:8" x14ac:dyDescent="0.25">
      <c r="A3401" s="94" t="s">
        <v>4465</v>
      </c>
      <c r="B3401" s="98">
        <v>29047</v>
      </c>
      <c r="C3401" s="98" t="s">
        <v>4466</v>
      </c>
      <c r="D3401" s="96" t="s">
        <v>159</v>
      </c>
      <c r="E3401" s="97">
        <v>270</v>
      </c>
      <c r="F3401" s="67" t="str">
        <f>IFERROR(IFERROR(INDEX(Кат!$A:$A,MATCH(Прайс!$B3401,Кат!$G:$G,0)),INDEX(Торг!$B:$B,MATCH(Прайс!$B3401,Торг!$H:$H,0))),"")</f>
        <v/>
      </c>
      <c r="G3401" s="67" t="str">
        <f>IFERROR(IFERROR(INDEX(Кат!$B:$B,MATCH(Прайс!$B3401,Кат!$G:$G,0)),INDEX(Торг!$C:$C,MATCH(Прайс!$B3401,Торг!$H:$H,0))),"")</f>
        <v/>
      </c>
      <c r="H3401" s="67" t="str">
        <f>IFERROR(IFERROR(INDEX(Кат!$I:$I,MATCH(Прайс!$B3401,Кат!$G:$G,0)),INDEX(Торг!$I:$I,MATCH(Прайс!$B3401,Торг!$H:$H,0))),"")</f>
        <v/>
      </c>
    </row>
    <row r="3402" spans="1:8" x14ac:dyDescent="0.25">
      <c r="A3402" s="94" t="s">
        <v>4467</v>
      </c>
      <c r="B3402" s="98">
        <v>29048</v>
      </c>
      <c r="C3402" s="98" t="s">
        <v>4468</v>
      </c>
      <c r="D3402" s="96" t="s">
        <v>159</v>
      </c>
      <c r="E3402" s="97">
        <v>270</v>
      </c>
      <c r="F3402" s="67" t="str">
        <f>IFERROR(IFERROR(INDEX(Кат!$A:$A,MATCH(Прайс!$B3402,Кат!$G:$G,0)),INDEX(Торг!$B:$B,MATCH(Прайс!$B3402,Торг!$H:$H,0))),"")</f>
        <v/>
      </c>
      <c r="G3402" s="67" t="str">
        <f>IFERROR(IFERROR(INDEX(Кат!$B:$B,MATCH(Прайс!$B3402,Кат!$G:$G,0)),INDEX(Торг!$C:$C,MATCH(Прайс!$B3402,Торг!$H:$H,0))),"")</f>
        <v/>
      </c>
      <c r="H3402" s="67" t="str">
        <f>IFERROR(IFERROR(INDEX(Кат!$I:$I,MATCH(Прайс!$B3402,Кат!$G:$G,0)),INDEX(Торг!$I:$I,MATCH(Прайс!$B3402,Торг!$H:$H,0))),"")</f>
        <v/>
      </c>
    </row>
    <row r="3403" spans="1:8" x14ac:dyDescent="0.25">
      <c r="A3403" s="94" t="s">
        <v>4469</v>
      </c>
      <c r="B3403" s="98">
        <v>29049</v>
      </c>
      <c r="C3403" s="98" t="s">
        <v>4470</v>
      </c>
      <c r="D3403" s="96" t="s">
        <v>159</v>
      </c>
      <c r="E3403" s="97">
        <v>280</v>
      </c>
      <c r="F3403" s="67" t="str">
        <f>IFERROR(IFERROR(INDEX(Кат!$A:$A,MATCH(Прайс!$B3403,Кат!$G:$G,0)),INDEX(Торг!$B:$B,MATCH(Прайс!$B3403,Торг!$H:$H,0))),"")</f>
        <v/>
      </c>
      <c r="G3403" s="67" t="str">
        <f>IFERROR(IFERROR(INDEX(Кат!$B:$B,MATCH(Прайс!$B3403,Кат!$G:$G,0)),INDEX(Торг!$C:$C,MATCH(Прайс!$B3403,Торг!$H:$H,0))),"")</f>
        <v/>
      </c>
      <c r="H3403" s="67" t="str">
        <f>IFERROR(IFERROR(INDEX(Кат!$I:$I,MATCH(Прайс!$B3403,Кат!$G:$G,0)),INDEX(Торг!$I:$I,MATCH(Прайс!$B3403,Торг!$H:$H,0))),"")</f>
        <v/>
      </c>
    </row>
    <row r="3404" spans="1:8" x14ac:dyDescent="0.25">
      <c r="A3404" s="94" t="s">
        <v>4471</v>
      </c>
      <c r="B3404" s="98">
        <v>29050</v>
      </c>
      <c r="C3404" s="98" t="s">
        <v>4472</v>
      </c>
      <c r="D3404" s="96" t="s">
        <v>159</v>
      </c>
      <c r="E3404" s="97">
        <v>295</v>
      </c>
      <c r="F3404" s="67" t="str">
        <f>IFERROR(IFERROR(INDEX(Кат!$A:$A,MATCH(Прайс!$B3404,Кат!$G:$G,0)),INDEX(Торг!$B:$B,MATCH(Прайс!$B3404,Торг!$H:$H,0))),"")</f>
        <v/>
      </c>
      <c r="G3404" s="67" t="str">
        <f>IFERROR(IFERROR(INDEX(Кат!$B:$B,MATCH(Прайс!$B3404,Кат!$G:$G,0)),INDEX(Торг!$C:$C,MATCH(Прайс!$B3404,Торг!$H:$H,0))),"")</f>
        <v/>
      </c>
      <c r="H3404" s="67" t="str">
        <f>IFERROR(IFERROR(INDEX(Кат!$I:$I,MATCH(Прайс!$B3404,Кат!$G:$G,0)),INDEX(Торг!$I:$I,MATCH(Прайс!$B3404,Торг!$H:$H,0))),"")</f>
        <v/>
      </c>
    </row>
    <row r="3405" spans="1:8" x14ac:dyDescent="0.25">
      <c r="A3405" s="94" t="s">
        <v>4473</v>
      </c>
      <c r="B3405" s="98">
        <v>29051</v>
      </c>
      <c r="C3405" s="98" t="s">
        <v>4474</v>
      </c>
      <c r="D3405" s="96" t="s">
        <v>159</v>
      </c>
      <c r="E3405" s="97">
        <v>295</v>
      </c>
      <c r="F3405" s="67" t="str">
        <f>IFERROR(IFERROR(INDEX(Кат!$A:$A,MATCH(Прайс!$B3405,Кат!$G:$G,0)),INDEX(Торг!$B:$B,MATCH(Прайс!$B3405,Торг!$H:$H,0))),"")</f>
        <v/>
      </c>
      <c r="G3405" s="67" t="str">
        <f>IFERROR(IFERROR(INDEX(Кат!$B:$B,MATCH(Прайс!$B3405,Кат!$G:$G,0)),INDEX(Торг!$C:$C,MATCH(Прайс!$B3405,Торг!$H:$H,0))),"")</f>
        <v/>
      </c>
      <c r="H3405" s="67" t="str">
        <f>IFERROR(IFERROR(INDEX(Кат!$I:$I,MATCH(Прайс!$B3405,Кат!$G:$G,0)),INDEX(Торг!$I:$I,MATCH(Прайс!$B3405,Торг!$H:$H,0))),"")</f>
        <v/>
      </c>
    </row>
    <row r="3406" spans="1:8" x14ac:dyDescent="0.25">
      <c r="A3406" s="94" t="s">
        <v>4476</v>
      </c>
      <c r="B3406" s="98">
        <v>29052</v>
      </c>
      <c r="C3406" s="98" t="s">
        <v>4477</v>
      </c>
      <c r="D3406" s="96" t="s">
        <v>159</v>
      </c>
      <c r="E3406" s="97">
        <v>305</v>
      </c>
      <c r="F3406" s="67" t="str">
        <f>IFERROR(IFERROR(INDEX(Кат!$A:$A,MATCH(Прайс!$B3406,Кат!$G:$G,0)),INDEX(Торг!$B:$B,MATCH(Прайс!$B3406,Торг!$H:$H,0))),"")</f>
        <v/>
      </c>
      <c r="G3406" s="67" t="str">
        <f>IFERROR(IFERROR(INDEX(Кат!$B:$B,MATCH(Прайс!$B3406,Кат!$G:$G,0)),INDEX(Торг!$C:$C,MATCH(Прайс!$B3406,Торг!$H:$H,0))),"")</f>
        <v/>
      </c>
      <c r="H3406" s="67" t="str">
        <f>IFERROR(IFERROR(INDEX(Кат!$I:$I,MATCH(Прайс!$B3406,Кат!$G:$G,0)),INDEX(Торг!$I:$I,MATCH(Прайс!$B3406,Торг!$H:$H,0))),"")</f>
        <v/>
      </c>
    </row>
    <row r="3407" spans="1:8" x14ac:dyDescent="0.25">
      <c r="A3407" s="94" t="s">
        <v>4478</v>
      </c>
      <c r="B3407" s="98">
        <v>29053</v>
      </c>
      <c r="C3407" s="98" t="s">
        <v>4479</v>
      </c>
      <c r="D3407" s="96" t="s">
        <v>159</v>
      </c>
      <c r="E3407" s="97">
        <v>305</v>
      </c>
      <c r="F3407" s="67">
        <f>IFERROR(IFERROR(INDEX(Кат!$A:$A,MATCH(Прайс!$B3407,Кат!$G:$G,0)),INDEX(Торг!$B:$B,MATCH(Прайс!$B3407,Торг!$H:$H,0))),"")</f>
        <v>226600</v>
      </c>
      <c r="G3407" s="67">
        <f>IFERROR(IFERROR(INDEX(Кат!$B:$B,MATCH(Прайс!$B3407,Кат!$G:$G,0)),INDEX(Торг!$C:$C,MATCH(Прайс!$B3407,Торг!$H:$H,0))),"")</f>
        <v>30608</v>
      </c>
      <c r="H3407" s="67" t="str">
        <f>IFERROR(IFERROR(INDEX(Кат!$I:$I,MATCH(Прайс!$B3407,Кат!$G:$G,0)),INDEX(Торг!$I:$I,MATCH(Прайс!$B3407,Торг!$H:$H,0))),"")</f>
        <v>кристал авто</v>
      </c>
    </row>
    <row r="3408" spans="1:8" x14ac:dyDescent="0.25">
      <c r="A3408" s="94" t="s">
        <v>4481</v>
      </c>
      <c r="B3408" s="98">
        <v>29054</v>
      </c>
      <c r="C3408" s="98" t="s">
        <v>4482</v>
      </c>
      <c r="D3408" s="96" t="s">
        <v>159</v>
      </c>
      <c r="E3408" s="97">
        <v>360</v>
      </c>
      <c r="F3408" s="67" t="str">
        <f>IFERROR(IFERROR(INDEX(Кат!$A:$A,MATCH(Прайс!$B3408,Кат!$G:$G,0)),INDEX(Торг!$B:$B,MATCH(Прайс!$B3408,Торг!$H:$H,0))),"")</f>
        <v/>
      </c>
      <c r="G3408" s="67" t="str">
        <f>IFERROR(IFERROR(INDEX(Кат!$B:$B,MATCH(Прайс!$B3408,Кат!$G:$G,0)),INDEX(Торг!$C:$C,MATCH(Прайс!$B3408,Торг!$H:$H,0))),"")</f>
        <v/>
      </c>
      <c r="H3408" s="67" t="str">
        <f>IFERROR(IFERROR(INDEX(Кат!$I:$I,MATCH(Прайс!$B3408,Кат!$G:$G,0)),INDEX(Торг!$I:$I,MATCH(Прайс!$B3408,Торг!$H:$H,0))),"")</f>
        <v/>
      </c>
    </row>
    <row r="3409" spans="1:8" x14ac:dyDescent="0.25">
      <c r="A3409" s="94" t="s">
        <v>4484</v>
      </c>
      <c r="B3409" s="98">
        <v>29055</v>
      </c>
      <c r="C3409" s="98" t="s">
        <v>4485</v>
      </c>
      <c r="D3409" s="96" t="s">
        <v>159</v>
      </c>
      <c r="E3409" s="97">
        <v>440</v>
      </c>
      <c r="F3409" s="67" t="str">
        <f>IFERROR(IFERROR(INDEX(Кат!$A:$A,MATCH(Прайс!$B3409,Кат!$G:$G,0)),INDEX(Торг!$B:$B,MATCH(Прайс!$B3409,Торг!$H:$H,0))),"")</f>
        <v/>
      </c>
      <c r="G3409" s="67" t="str">
        <f>IFERROR(IFERROR(INDEX(Кат!$B:$B,MATCH(Прайс!$B3409,Кат!$G:$G,0)),INDEX(Торг!$C:$C,MATCH(Прайс!$B3409,Торг!$H:$H,0))),"")</f>
        <v/>
      </c>
      <c r="H3409" s="67" t="str">
        <f>IFERROR(IFERROR(INDEX(Кат!$I:$I,MATCH(Прайс!$B3409,Кат!$G:$G,0)),INDEX(Торг!$I:$I,MATCH(Прайс!$B3409,Торг!$H:$H,0))),"")</f>
        <v/>
      </c>
    </row>
    <row r="3410" spans="1:8" x14ac:dyDescent="0.25">
      <c r="A3410" s="99" t="s">
        <v>4487</v>
      </c>
      <c r="B3410" s="108">
        <v>29190</v>
      </c>
      <c r="C3410" s="108" t="s">
        <v>1793</v>
      </c>
      <c r="D3410" s="101" t="s">
        <v>159</v>
      </c>
      <c r="E3410" s="102">
        <v>230</v>
      </c>
      <c r="F3410" s="67" t="str">
        <f>IFERROR(IFERROR(INDEX(Кат!$A:$A,MATCH(Прайс!$B3410,Кат!$G:$G,0)),INDEX(Торг!$B:$B,MATCH(Прайс!$B3410,Торг!$H:$H,0))),"")</f>
        <v/>
      </c>
      <c r="G3410" s="67" t="str">
        <f>IFERROR(IFERROR(INDEX(Кат!$B:$B,MATCH(Прайс!$B3410,Кат!$G:$G,0)),INDEX(Торг!$C:$C,MATCH(Прайс!$B3410,Торг!$H:$H,0))),"")</f>
        <v/>
      </c>
      <c r="H3410" s="67" t="str">
        <f>IFERROR(IFERROR(INDEX(Кат!$I:$I,MATCH(Прайс!$B3410,Кат!$G:$G,0)),INDEX(Торг!$I:$I,MATCH(Прайс!$B3410,Торг!$H:$H,0))),"")</f>
        <v/>
      </c>
    </row>
    <row r="3411" spans="1:8" x14ac:dyDescent="0.25">
      <c r="A3411" s="99" t="s">
        <v>4488</v>
      </c>
      <c r="B3411" s="108">
        <v>29080</v>
      </c>
      <c r="C3411" s="108" t="s">
        <v>1794</v>
      </c>
      <c r="D3411" s="101" t="s">
        <v>159</v>
      </c>
      <c r="E3411" s="102">
        <v>230</v>
      </c>
      <c r="F3411" s="67" t="str">
        <f>IFERROR(IFERROR(INDEX(Кат!$A:$A,MATCH(Прайс!$B3411,Кат!$G:$G,0)),INDEX(Торг!$B:$B,MATCH(Прайс!$B3411,Торг!$H:$H,0))),"")</f>
        <v/>
      </c>
      <c r="G3411" s="67" t="str">
        <f>IFERROR(IFERROR(INDEX(Кат!$B:$B,MATCH(Прайс!$B3411,Кат!$G:$G,0)),INDEX(Торг!$C:$C,MATCH(Прайс!$B3411,Торг!$H:$H,0))),"")</f>
        <v/>
      </c>
      <c r="H3411" s="67" t="str">
        <f>IFERROR(IFERROR(INDEX(Кат!$I:$I,MATCH(Прайс!$B3411,Кат!$G:$G,0)),INDEX(Торг!$I:$I,MATCH(Прайс!$B3411,Торг!$H:$H,0))),"")</f>
        <v/>
      </c>
    </row>
    <row r="3412" spans="1:8" x14ac:dyDescent="0.25">
      <c r="A3412" s="99" t="s">
        <v>4489</v>
      </c>
      <c r="B3412" s="108">
        <v>29081</v>
      </c>
      <c r="C3412" s="108" t="s">
        <v>1795</v>
      </c>
      <c r="D3412" s="101" t="s">
        <v>159</v>
      </c>
      <c r="E3412" s="102">
        <v>230</v>
      </c>
      <c r="F3412" s="67">
        <f>IFERROR(IFERROR(INDEX(Кат!$A:$A,MATCH(Прайс!$B3412,Кат!$G:$G,0)),INDEX(Торг!$B:$B,MATCH(Прайс!$B3412,Торг!$H:$H,0))),"")</f>
        <v>226704</v>
      </c>
      <c r="G3412" s="67">
        <f>IFERROR(IFERROR(INDEX(Кат!$B:$B,MATCH(Прайс!$B3412,Кат!$G:$G,0)),INDEX(Торг!$C:$C,MATCH(Прайс!$B3412,Торг!$H:$H,0))),"")</f>
        <v>30959</v>
      </c>
      <c r="H3412" s="67" t="str">
        <f>IFERROR(IFERROR(INDEX(Кат!$I:$I,MATCH(Прайс!$B3412,Кат!$G:$G,0)),INDEX(Торг!$I:$I,MATCH(Прайс!$B3412,Торг!$H:$H,0))),"")</f>
        <v>кристал авто</v>
      </c>
    </row>
    <row r="3413" spans="1:8" x14ac:dyDescent="0.25">
      <c r="A3413" s="99" t="s">
        <v>4490</v>
      </c>
      <c r="B3413" s="108">
        <v>29082</v>
      </c>
      <c r="C3413" s="108" t="s">
        <v>1796</v>
      </c>
      <c r="D3413" s="101" t="s">
        <v>159</v>
      </c>
      <c r="E3413" s="102">
        <v>230</v>
      </c>
      <c r="F3413" s="67" t="str">
        <f>IFERROR(IFERROR(INDEX(Кат!$A:$A,MATCH(Прайс!$B3413,Кат!$G:$G,0)),INDEX(Торг!$B:$B,MATCH(Прайс!$B3413,Торг!$H:$H,0))),"")</f>
        <v/>
      </c>
      <c r="G3413" s="67" t="str">
        <f>IFERROR(IFERROR(INDEX(Кат!$B:$B,MATCH(Прайс!$B3413,Кат!$G:$G,0)),INDEX(Торг!$C:$C,MATCH(Прайс!$B3413,Торг!$H:$H,0))),"")</f>
        <v/>
      </c>
      <c r="H3413" s="67" t="str">
        <f>IFERROR(IFERROR(INDEX(Кат!$I:$I,MATCH(Прайс!$B3413,Кат!$G:$G,0)),INDEX(Торг!$I:$I,MATCH(Прайс!$B3413,Торг!$H:$H,0))),"")</f>
        <v/>
      </c>
    </row>
    <row r="3414" spans="1:8" x14ac:dyDescent="0.25">
      <c r="A3414" s="99" t="s">
        <v>4491</v>
      </c>
      <c r="B3414" s="108">
        <v>29083</v>
      </c>
      <c r="C3414" s="108" t="s">
        <v>1797</v>
      </c>
      <c r="D3414" s="101" t="s">
        <v>159</v>
      </c>
      <c r="E3414" s="102">
        <v>230</v>
      </c>
      <c r="F3414" s="67" t="str">
        <f>IFERROR(IFERROR(INDEX(Кат!$A:$A,MATCH(Прайс!$B3414,Кат!$G:$G,0)),INDEX(Торг!$B:$B,MATCH(Прайс!$B3414,Торг!$H:$H,0))),"")</f>
        <v/>
      </c>
      <c r="G3414" s="67" t="str">
        <f>IFERROR(IFERROR(INDEX(Кат!$B:$B,MATCH(Прайс!$B3414,Кат!$G:$G,0)),INDEX(Торг!$C:$C,MATCH(Прайс!$B3414,Торг!$H:$H,0))),"")</f>
        <v/>
      </c>
      <c r="H3414" s="67" t="str">
        <f>IFERROR(IFERROR(INDEX(Кат!$I:$I,MATCH(Прайс!$B3414,Кат!$G:$G,0)),INDEX(Торг!$I:$I,MATCH(Прайс!$B3414,Торг!$H:$H,0))),"")</f>
        <v/>
      </c>
    </row>
    <row r="3415" spans="1:8" x14ac:dyDescent="0.25">
      <c r="A3415" s="99" t="s">
        <v>4492</v>
      </c>
      <c r="B3415" s="108">
        <v>29084</v>
      </c>
      <c r="C3415" s="108" t="s">
        <v>1798</v>
      </c>
      <c r="D3415" s="101" t="s">
        <v>159</v>
      </c>
      <c r="E3415" s="102">
        <v>230</v>
      </c>
      <c r="F3415" s="67" t="str">
        <f>IFERROR(IFERROR(INDEX(Кат!$A:$A,MATCH(Прайс!$B3415,Кат!$G:$G,0)),INDEX(Торг!$B:$B,MATCH(Прайс!$B3415,Торг!$H:$H,0))),"")</f>
        <v/>
      </c>
      <c r="G3415" s="67" t="str">
        <f>IFERROR(IFERROR(INDEX(Кат!$B:$B,MATCH(Прайс!$B3415,Кат!$G:$G,0)),INDEX(Торг!$C:$C,MATCH(Прайс!$B3415,Торг!$H:$H,0))),"")</f>
        <v/>
      </c>
      <c r="H3415" s="67" t="str">
        <f>IFERROR(IFERROR(INDEX(Кат!$I:$I,MATCH(Прайс!$B3415,Кат!$G:$G,0)),INDEX(Торг!$I:$I,MATCH(Прайс!$B3415,Торг!$H:$H,0))),"")</f>
        <v/>
      </c>
    </row>
    <row r="3416" spans="1:8" x14ac:dyDescent="0.25">
      <c r="A3416" s="99" t="s">
        <v>4493</v>
      </c>
      <c r="B3416" s="108">
        <v>29085</v>
      </c>
      <c r="C3416" s="108" t="s">
        <v>1799</v>
      </c>
      <c r="D3416" s="101" t="s">
        <v>159</v>
      </c>
      <c r="E3416" s="102">
        <v>230</v>
      </c>
      <c r="F3416" s="67" t="str">
        <f>IFERROR(IFERROR(INDEX(Кат!$A:$A,MATCH(Прайс!$B3416,Кат!$G:$G,0)),INDEX(Торг!$B:$B,MATCH(Прайс!$B3416,Торг!$H:$H,0))),"")</f>
        <v/>
      </c>
      <c r="G3416" s="67" t="str">
        <f>IFERROR(IFERROR(INDEX(Кат!$B:$B,MATCH(Прайс!$B3416,Кат!$G:$G,0)),INDEX(Торг!$C:$C,MATCH(Прайс!$B3416,Торг!$H:$H,0))),"")</f>
        <v/>
      </c>
      <c r="H3416" s="67" t="str">
        <f>IFERROR(IFERROR(INDEX(Кат!$I:$I,MATCH(Прайс!$B3416,Кат!$G:$G,0)),INDEX(Торг!$I:$I,MATCH(Прайс!$B3416,Торг!$H:$H,0))),"")</f>
        <v/>
      </c>
    </row>
    <row r="3417" spans="1:8" x14ac:dyDescent="0.25">
      <c r="A3417" s="99" t="s">
        <v>4494</v>
      </c>
      <c r="B3417" s="108">
        <v>29086</v>
      </c>
      <c r="C3417" s="108" t="s">
        <v>1800</v>
      </c>
      <c r="D3417" s="101" t="s">
        <v>159</v>
      </c>
      <c r="E3417" s="102">
        <v>230</v>
      </c>
      <c r="F3417" s="67" t="str">
        <f>IFERROR(IFERROR(INDEX(Кат!$A:$A,MATCH(Прайс!$B3417,Кат!$G:$G,0)),INDEX(Торг!$B:$B,MATCH(Прайс!$B3417,Торг!$H:$H,0))),"")</f>
        <v/>
      </c>
      <c r="G3417" s="67" t="str">
        <f>IFERROR(IFERROR(INDEX(Кат!$B:$B,MATCH(Прайс!$B3417,Кат!$G:$G,0)),INDEX(Торг!$C:$C,MATCH(Прайс!$B3417,Торг!$H:$H,0))),"")</f>
        <v/>
      </c>
      <c r="H3417" s="67" t="str">
        <f>IFERROR(IFERROR(INDEX(Кат!$I:$I,MATCH(Прайс!$B3417,Кат!$G:$G,0)),INDEX(Торг!$I:$I,MATCH(Прайс!$B3417,Торг!$H:$H,0))),"")</f>
        <v/>
      </c>
    </row>
    <row r="3418" spans="1:8" x14ac:dyDescent="0.25">
      <c r="A3418" s="99" t="s">
        <v>4495</v>
      </c>
      <c r="B3418" s="108">
        <v>29087</v>
      </c>
      <c r="C3418" s="108" t="s">
        <v>1801</v>
      </c>
      <c r="D3418" s="101" t="s">
        <v>159</v>
      </c>
      <c r="E3418" s="102">
        <v>230</v>
      </c>
      <c r="F3418" s="67" t="str">
        <f>IFERROR(IFERROR(INDEX(Кат!$A:$A,MATCH(Прайс!$B3418,Кат!$G:$G,0)),INDEX(Торг!$B:$B,MATCH(Прайс!$B3418,Торг!$H:$H,0))),"")</f>
        <v/>
      </c>
      <c r="G3418" s="67" t="str">
        <f>IFERROR(IFERROR(INDEX(Кат!$B:$B,MATCH(Прайс!$B3418,Кат!$G:$G,0)),INDEX(Торг!$C:$C,MATCH(Прайс!$B3418,Торг!$H:$H,0))),"")</f>
        <v/>
      </c>
      <c r="H3418" s="67" t="str">
        <f>IFERROR(IFERROR(INDEX(Кат!$I:$I,MATCH(Прайс!$B3418,Кат!$G:$G,0)),INDEX(Торг!$I:$I,MATCH(Прайс!$B3418,Торг!$H:$H,0))),"")</f>
        <v/>
      </c>
    </row>
    <row r="3419" spans="1:8" x14ac:dyDescent="0.25">
      <c r="A3419" s="99" t="s">
        <v>4496</v>
      </c>
      <c r="B3419" s="108">
        <v>29088</v>
      </c>
      <c r="C3419" s="108" t="s">
        <v>1802</v>
      </c>
      <c r="D3419" s="101" t="s">
        <v>159</v>
      </c>
      <c r="E3419" s="102">
        <v>230</v>
      </c>
      <c r="F3419" s="67" t="str">
        <f>IFERROR(IFERROR(INDEX(Кат!$A:$A,MATCH(Прайс!$B3419,Кат!$G:$G,0)),INDEX(Торг!$B:$B,MATCH(Прайс!$B3419,Торг!$H:$H,0))),"")</f>
        <v/>
      </c>
      <c r="G3419" s="67" t="str">
        <f>IFERROR(IFERROR(INDEX(Кат!$B:$B,MATCH(Прайс!$B3419,Кат!$G:$G,0)),INDEX(Торг!$C:$C,MATCH(Прайс!$B3419,Торг!$H:$H,0))),"")</f>
        <v/>
      </c>
      <c r="H3419" s="67" t="str">
        <f>IFERROR(IFERROR(INDEX(Кат!$I:$I,MATCH(Прайс!$B3419,Кат!$G:$G,0)),INDEX(Торг!$I:$I,MATCH(Прайс!$B3419,Торг!$H:$H,0))),"")</f>
        <v/>
      </c>
    </row>
    <row r="3420" spans="1:8" x14ac:dyDescent="0.25">
      <c r="A3420" s="99" t="s">
        <v>4497</v>
      </c>
      <c r="B3420" s="108">
        <v>29089</v>
      </c>
      <c r="C3420" s="108" t="s">
        <v>1803</v>
      </c>
      <c r="D3420" s="101" t="s">
        <v>159</v>
      </c>
      <c r="E3420" s="102">
        <v>230</v>
      </c>
      <c r="F3420" s="67" t="str">
        <f>IFERROR(IFERROR(INDEX(Кат!$A:$A,MATCH(Прайс!$B3420,Кат!$G:$G,0)),INDEX(Торг!$B:$B,MATCH(Прайс!$B3420,Торг!$H:$H,0))),"")</f>
        <v/>
      </c>
      <c r="G3420" s="67" t="str">
        <f>IFERROR(IFERROR(INDEX(Кат!$B:$B,MATCH(Прайс!$B3420,Кат!$G:$G,0)),INDEX(Торг!$C:$C,MATCH(Прайс!$B3420,Торг!$H:$H,0))),"")</f>
        <v/>
      </c>
      <c r="H3420" s="67" t="str">
        <f>IFERROR(IFERROR(INDEX(Кат!$I:$I,MATCH(Прайс!$B3420,Кат!$G:$G,0)),INDEX(Торг!$I:$I,MATCH(Прайс!$B3420,Торг!$H:$H,0))),"")</f>
        <v/>
      </c>
    </row>
    <row r="3421" spans="1:8" x14ac:dyDescent="0.25">
      <c r="A3421" s="99" t="s">
        <v>4498</v>
      </c>
      <c r="B3421" s="108">
        <v>29090</v>
      </c>
      <c r="C3421" s="108" t="s">
        <v>1804</v>
      </c>
      <c r="D3421" s="101" t="s">
        <v>159</v>
      </c>
      <c r="E3421" s="102">
        <v>230</v>
      </c>
      <c r="F3421" s="67" t="str">
        <f>IFERROR(IFERROR(INDEX(Кат!$A:$A,MATCH(Прайс!$B3421,Кат!$G:$G,0)),INDEX(Торг!$B:$B,MATCH(Прайс!$B3421,Торг!$H:$H,0))),"")</f>
        <v/>
      </c>
      <c r="G3421" s="67" t="str">
        <f>IFERROR(IFERROR(INDEX(Кат!$B:$B,MATCH(Прайс!$B3421,Кат!$G:$G,0)),INDEX(Торг!$C:$C,MATCH(Прайс!$B3421,Торг!$H:$H,0))),"")</f>
        <v/>
      </c>
      <c r="H3421" s="67" t="str">
        <f>IFERROR(IFERROR(INDEX(Кат!$I:$I,MATCH(Прайс!$B3421,Кат!$G:$G,0)),INDEX(Торг!$I:$I,MATCH(Прайс!$B3421,Торг!$H:$H,0))),"")</f>
        <v/>
      </c>
    </row>
    <row r="3422" spans="1:8" x14ac:dyDescent="0.25">
      <c r="A3422" s="99" t="s">
        <v>4499</v>
      </c>
      <c r="B3422" s="108">
        <v>29091</v>
      </c>
      <c r="C3422" s="108" t="s">
        <v>1805</v>
      </c>
      <c r="D3422" s="101" t="s">
        <v>159</v>
      </c>
      <c r="E3422" s="102">
        <v>230</v>
      </c>
      <c r="F3422" s="67" t="str">
        <f>IFERROR(IFERROR(INDEX(Кат!$A:$A,MATCH(Прайс!$B3422,Кат!$G:$G,0)),INDEX(Торг!$B:$B,MATCH(Прайс!$B3422,Торг!$H:$H,0))),"")</f>
        <v/>
      </c>
      <c r="G3422" s="67" t="str">
        <f>IFERROR(IFERROR(INDEX(Кат!$B:$B,MATCH(Прайс!$B3422,Кат!$G:$G,0)),INDEX(Торг!$C:$C,MATCH(Прайс!$B3422,Торг!$H:$H,0))),"")</f>
        <v/>
      </c>
      <c r="H3422" s="67" t="str">
        <f>IFERROR(IFERROR(INDEX(Кат!$I:$I,MATCH(Прайс!$B3422,Кат!$G:$G,0)),INDEX(Торг!$I:$I,MATCH(Прайс!$B3422,Торг!$H:$H,0))),"")</f>
        <v/>
      </c>
    </row>
    <row r="3423" spans="1:8" x14ac:dyDescent="0.25">
      <c r="A3423" s="99" t="s">
        <v>4500</v>
      </c>
      <c r="B3423" s="108">
        <v>29092</v>
      </c>
      <c r="C3423" s="108" t="s">
        <v>1806</v>
      </c>
      <c r="D3423" s="101" t="s">
        <v>159</v>
      </c>
      <c r="E3423" s="102">
        <v>230</v>
      </c>
      <c r="F3423" s="67" t="str">
        <f>IFERROR(IFERROR(INDEX(Кат!$A:$A,MATCH(Прайс!$B3423,Кат!$G:$G,0)),INDEX(Торг!$B:$B,MATCH(Прайс!$B3423,Торг!$H:$H,0))),"")</f>
        <v/>
      </c>
      <c r="G3423" s="67" t="str">
        <f>IFERROR(IFERROR(INDEX(Кат!$B:$B,MATCH(Прайс!$B3423,Кат!$G:$G,0)),INDEX(Торг!$C:$C,MATCH(Прайс!$B3423,Торг!$H:$H,0))),"")</f>
        <v/>
      </c>
      <c r="H3423" s="67" t="str">
        <f>IFERROR(IFERROR(INDEX(Кат!$I:$I,MATCH(Прайс!$B3423,Кат!$G:$G,0)),INDEX(Торг!$I:$I,MATCH(Прайс!$B3423,Торг!$H:$H,0))),"")</f>
        <v/>
      </c>
    </row>
    <row r="3424" spans="1:8" x14ac:dyDescent="0.25">
      <c r="A3424" s="99" t="s">
        <v>4501</v>
      </c>
      <c r="B3424" s="108">
        <v>29093</v>
      </c>
      <c r="C3424" s="108" t="s">
        <v>1807</v>
      </c>
      <c r="D3424" s="101" t="s">
        <v>159</v>
      </c>
      <c r="E3424" s="102">
        <v>230</v>
      </c>
      <c r="F3424" s="67" t="str">
        <f>IFERROR(IFERROR(INDEX(Кат!$A:$A,MATCH(Прайс!$B3424,Кат!$G:$G,0)),INDEX(Торг!$B:$B,MATCH(Прайс!$B3424,Торг!$H:$H,0))),"")</f>
        <v/>
      </c>
      <c r="G3424" s="67" t="str">
        <f>IFERROR(IFERROR(INDEX(Кат!$B:$B,MATCH(Прайс!$B3424,Кат!$G:$G,0)),INDEX(Торг!$C:$C,MATCH(Прайс!$B3424,Торг!$H:$H,0))),"")</f>
        <v/>
      </c>
      <c r="H3424" s="67" t="str">
        <f>IFERROR(IFERROR(INDEX(Кат!$I:$I,MATCH(Прайс!$B3424,Кат!$G:$G,0)),INDEX(Торг!$I:$I,MATCH(Прайс!$B3424,Торг!$H:$H,0))),"")</f>
        <v/>
      </c>
    </row>
    <row r="3425" spans="1:8" x14ac:dyDescent="0.25">
      <c r="A3425" s="99" t="s">
        <v>4502</v>
      </c>
      <c r="B3425" s="108">
        <v>29094</v>
      </c>
      <c r="C3425" s="108" t="s">
        <v>1808</v>
      </c>
      <c r="D3425" s="101" t="s">
        <v>159</v>
      </c>
      <c r="E3425" s="102">
        <v>230</v>
      </c>
      <c r="F3425" s="67" t="str">
        <f>IFERROR(IFERROR(INDEX(Кат!$A:$A,MATCH(Прайс!$B3425,Кат!$G:$G,0)),INDEX(Торг!$B:$B,MATCH(Прайс!$B3425,Торг!$H:$H,0))),"")</f>
        <v/>
      </c>
      <c r="G3425" s="67" t="str">
        <f>IFERROR(IFERROR(INDEX(Кат!$B:$B,MATCH(Прайс!$B3425,Кат!$G:$G,0)),INDEX(Торг!$C:$C,MATCH(Прайс!$B3425,Торг!$H:$H,0))),"")</f>
        <v/>
      </c>
      <c r="H3425" s="67" t="str">
        <f>IFERROR(IFERROR(INDEX(Кат!$I:$I,MATCH(Прайс!$B3425,Кат!$G:$G,0)),INDEX(Торг!$I:$I,MATCH(Прайс!$B3425,Торг!$H:$H,0))),"")</f>
        <v/>
      </c>
    </row>
    <row r="3426" spans="1:8" x14ac:dyDescent="0.25">
      <c r="A3426" s="99" t="s">
        <v>4503</v>
      </c>
      <c r="B3426" s="108">
        <v>29095</v>
      </c>
      <c r="C3426" s="108" t="s">
        <v>1809</v>
      </c>
      <c r="D3426" s="101" t="s">
        <v>159</v>
      </c>
      <c r="E3426" s="102">
        <v>230</v>
      </c>
      <c r="F3426" s="67" t="str">
        <f>IFERROR(IFERROR(INDEX(Кат!$A:$A,MATCH(Прайс!$B3426,Кат!$G:$G,0)),INDEX(Торг!$B:$B,MATCH(Прайс!$B3426,Торг!$H:$H,0))),"")</f>
        <v/>
      </c>
      <c r="G3426" s="67" t="str">
        <f>IFERROR(IFERROR(INDEX(Кат!$B:$B,MATCH(Прайс!$B3426,Кат!$G:$G,0)),INDEX(Торг!$C:$C,MATCH(Прайс!$B3426,Торг!$H:$H,0))),"")</f>
        <v/>
      </c>
      <c r="H3426" s="67" t="str">
        <f>IFERROR(IFERROR(INDEX(Кат!$I:$I,MATCH(Прайс!$B3426,Кат!$G:$G,0)),INDEX(Торг!$I:$I,MATCH(Прайс!$B3426,Торг!$H:$H,0))),"")</f>
        <v/>
      </c>
    </row>
    <row r="3427" spans="1:8" x14ac:dyDescent="0.25">
      <c r="A3427" s="99" t="s">
        <v>5471</v>
      </c>
      <c r="B3427" s="108">
        <v>29056</v>
      </c>
      <c r="C3427" s="108" t="s">
        <v>7151</v>
      </c>
      <c r="D3427" s="101" t="s">
        <v>159</v>
      </c>
      <c r="E3427" s="102">
        <v>360</v>
      </c>
      <c r="F3427" s="67" t="str">
        <f>IFERROR(IFERROR(INDEX(Кат!$A:$A,MATCH(Прайс!$B3427,Кат!$G:$G,0)),INDEX(Торг!$B:$B,MATCH(Прайс!$B3427,Торг!$H:$H,0))),"")</f>
        <v/>
      </c>
      <c r="G3427" s="67" t="str">
        <f>IFERROR(IFERROR(INDEX(Кат!$B:$B,MATCH(Прайс!$B3427,Кат!$G:$G,0)),INDEX(Торг!$C:$C,MATCH(Прайс!$B3427,Торг!$H:$H,0))),"")</f>
        <v/>
      </c>
      <c r="H3427" s="67" t="str">
        <f>IFERROR(IFERROR(INDEX(Кат!$I:$I,MATCH(Прайс!$B3427,Кат!$G:$G,0)),INDEX(Торг!$I:$I,MATCH(Прайс!$B3427,Торг!$H:$H,0))),"")</f>
        <v/>
      </c>
    </row>
    <row r="3428" spans="1:8" x14ac:dyDescent="0.25">
      <c r="A3428" s="99" t="s">
        <v>5472</v>
      </c>
      <c r="B3428" s="108">
        <v>29057</v>
      </c>
      <c r="C3428" s="108" t="s">
        <v>7152</v>
      </c>
      <c r="D3428" s="101" t="s">
        <v>159</v>
      </c>
      <c r="E3428" s="102">
        <v>380</v>
      </c>
      <c r="F3428" s="67" t="str">
        <f>IFERROR(IFERROR(INDEX(Кат!$A:$A,MATCH(Прайс!$B3428,Кат!$G:$G,0)),INDEX(Торг!$B:$B,MATCH(Прайс!$B3428,Торг!$H:$H,0))),"")</f>
        <v/>
      </c>
      <c r="G3428" s="67" t="str">
        <f>IFERROR(IFERROR(INDEX(Кат!$B:$B,MATCH(Прайс!$B3428,Кат!$G:$G,0)),INDEX(Торг!$C:$C,MATCH(Прайс!$B3428,Торг!$H:$H,0))),"")</f>
        <v/>
      </c>
      <c r="H3428" s="67" t="str">
        <f>IFERROR(IFERROR(INDEX(Кат!$I:$I,MATCH(Прайс!$B3428,Кат!$G:$G,0)),INDEX(Торг!$I:$I,MATCH(Прайс!$B3428,Торг!$H:$H,0))),"")</f>
        <v/>
      </c>
    </row>
    <row r="3429" spans="1:8" x14ac:dyDescent="0.25">
      <c r="A3429" s="99" t="s">
        <v>4504</v>
      </c>
      <c r="B3429" s="108">
        <v>29106</v>
      </c>
      <c r="C3429" s="108" t="s">
        <v>1810</v>
      </c>
      <c r="D3429" s="101" t="s">
        <v>1719</v>
      </c>
      <c r="E3429" s="102">
        <v>480</v>
      </c>
      <c r="F3429" s="67" t="str">
        <f>IFERROR(IFERROR(INDEX(Кат!$A:$A,MATCH(Прайс!$B3429,Кат!$G:$G,0)),INDEX(Торг!$B:$B,MATCH(Прайс!$B3429,Торг!$H:$H,0))),"")</f>
        <v/>
      </c>
      <c r="G3429" s="67" t="str">
        <f>IFERROR(IFERROR(INDEX(Кат!$B:$B,MATCH(Прайс!$B3429,Кат!$G:$G,0)),INDEX(Торг!$C:$C,MATCH(Прайс!$B3429,Торг!$H:$H,0))),"")</f>
        <v/>
      </c>
      <c r="H3429" s="67" t="str">
        <f>IFERROR(IFERROR(INDEX(Кат!$I:$I,MATCH(Прайс!$B3429,Кат!$G:$G,0)),INDEX(Торг!$I:$I,MATCH(Прайс!$B3429,Торг!$H:$H,0))),"")</f>
        <v/>
      </c>
    </row>
    <row r="3430" spans="1:8" x14ac:dyDescent="0.25">
      <c r="A3430" s="99" t="s">
        <v>4505</v>
      </c>
      <c r="B3430" s="108">
        <v>29107</v>
      </c>
      <c r="C3430" s="108" t="s">
        <v>1811</v>
      </c>
      <c r="D3430" s="101" t="s">
        <v>1719</v>
      </c>
      <c r="E3430" s="102">
        <v>480</v>
      </c>
      <c r="F3430" s="67" t="str">
        <f>IFERROR(IFERROR(INDEX(Кат!$A:$A,MATCH(Прайс!$B3430,Кат!$G:$G,0)),INDEX(Торг!$B:$B,MATCH(Прайс!$B3430,Торг!$H:$H,0))),"")</f>
        <v/>
      </c>
      <c r="G3430" s="67" t="str">
        <f>IFERROR(IFERROR(INDEX(Кат!$B:$B,MATCH(Прайс!$B3430,Кат!$G:$G,0)),INDEX(Торг!$C:$C,MATCH(Прайс!$B3430,Торг!$H:$H,0))),"")</f>
        <v/>
      </c>
      <c r="H3430" s="67" t="str">
        <f>IFERROR(IFERROR(INDEX(Кат!$I:$I,MATCH(Прайс!$B3430,Кат!$G:$G,0)),INDEX(Торг!$I:$I,MATCH(Прайс!$B3430,Торг!$H:$H,0))),"")</f>
        <v/>
      </c>
    </row>
    <row r="3431" spans="1:8" x14ac:dyDescent="0.25">
      <c r="A3431" s="99" t="s">
        <v>4506</v>
      </c>
      <c r="B3431" s="108">
        <v>29108</v>
      </c>
      <c r="C3431" s="108" t="s">
        <v>1812</v>
      </c>
      <c r="D3431" s="101" t="s">
        <v>1719</v>
      </c>
      <c r="E3431" s="102">
        <v>490</v>
      </c>
      <c r="F3431" s="67" t="str">
        <f>IFERROR(IFERROR(INDEX(Кат!$A:$A,MATCH(Прайс!$B3431,Кат!$G:$G,0)),INDEX(Торг!$B:$B,MATCH(Прайс!$B3431,Торг!$H:$H,0))),"")</f>
        <v/>
      </c>
      <c r="G3431" s="67" t="str">
        <f>IFERROR(IFERROR(INDEX(Кат!$B:$B,MATCH(Прайс!$B3431,Кат!$G:$G,0)),INDEX(Торг!$C:$C,MATCH(Прайс!$B3431,Торг!$H:$H,0))),"")</f>
        <v/>
      </c>
      <c r="H3431" s="67" t="str">
        <f>IFERROR(IFERROR(INDEX(Кат!$I:$I,MATCH(Прайс!$B3431,Кат!$G:$G,0)),INDEX(Торг!$I:$I,MATCH(Прайс!$B3431,Торг!$H:$H,0))),"")</f>
        <v/>
      </c>
    </row>
    <row r="3432" spans="1:8" x14ac:dyDescent="0.25">
      <c r="A3432" s="99" t="s">
        <v>4507</v>
      </c>
      <c r="B3432" s="108">
        <v>29109</v>
      </c>
      <c r="C3432" s="108" t="s">
        <v>1813</v>
      </c>
      <c r="D3432" s="101" t="s">
        <v>1719</v>
      </c>
      <c r="E3432" s="102">
        <v>500</v>
      </c>
      <c r="F3432" s="67" t="str">
        <f>IFERROR(IFERROR(INDEX(Кат!$A:$A,MATCH(Прайс!$B3432,Кат!$G:$G,0)),INDEX(Торг!$B:$B,MATCH(Прайс!$B3432,Торг!$H:$H,0))),"")</f>
        <v/>
      </c>
      <c r="G3432" s="67" t="str">
        <f>IFERROR(IFERROR(INDEX(Кат!$B:$B,MATCH(Прайс!$B3432,Кат!$G:$G,0)),INDEX(Торг!$C:$C,MATCH(Прайс!$B3432,Торг!$H:$H,0))),"")</f>
        <v/>
      </c>
      <c r="H3432" s="67" t="str">
        <f>IFERROR(IFERROR(INDEX(Кат!$I:$I,MATCH(Прайс!$B3432,Кат!$G:$G,0)),INDEX(Торг!$I:$I,MATCH(Прайс!$B3432,Торг!$H:$H,0))),"")</f>
        <v/>
      </c>
    </row>
    <row r="3433" spans="1:8" x14ac:dyDescent="0.25">
      <c r="A3433" s="99" t="s">
        <v>4508</v>
      </c>
      <c r="B3433" s="108">
        <v>29110</v>
      </c>
      <c r="C3433" s="108" t="s">
        <v>1814</v>
      </c>
      <c r="D3433" s="101" t="s">
        <v>1719</v>
      </c>
      <c r="E3433" s="102">
        <v>510</v>
      </c>
      <c r="F3433" s="67" t="str">
        <f>IFERROR(IFERROR(INDEX(Кат!$A:$A,MATCH(Прайс!$B3433,Кат!$G:$G,0)),INDEX(Торг!$B:$B,MATCH(Прайс!$B3433,Торг!$H:$H,0))),"")</f>
        <v/>
      </c>
      <c r="G3433" s="67" t="str">
        <f>IFERROR(IFERROR(INDEX(Кат!$B:$B,MATCH(Прайс!$B3433,Кат!$G:$G,0)),INDEX(Торг!$C:$C,MATCH(Прайс!$B3433,Торг!$H:$H,0))),"")</f>
        <v/>
      </c>
      <c r="H3433" s="67" t="str">
        <f>IFERROR(IFERROR(INDEX(Кат!$I:$I,MATCH(Прайс!$B3433,Кат!$G:$G,0)),INDEX(Торг!$I:$I,MATCH(Прайс!$B3433,Торг!$H:$H,0))),"")</f>
        <v/>
      </c>
    </row>
    <row r="3434" spans="1:8" x14ac:dyDescent="0.25">
      <c r="A3434" s="99" t="s">
        <v>4509</v>
      </c>
      <c r="B3434" s="108">
        <v>29111</v>
      </c>
      <c r="C3434" s="108" t="s">
        <v>7934</v>
      </c>
      <c r="D3434" s="101" t="s">
        <v>159</v>
      </c>
      <c r="E3434" s="102">
        <v>510</v>
      </c>
      <c r="F3434" s="67" t="str">
        <f>IFERROR(IFERROR(INDEX(Кат!$A:$A,MATCH(Прайс!$B3434,Кат!$G:$G,0)),INDEX(Торг!$B:$B,MATCH(Прайс!$B3434,Торг!$H:$H,0))),"")</f>
        <v/>
      </c>
      <c r="G3434" s="67" t="str">
        <f>IFERROR(IFERROR(INDEX(Кат!$B:$B,MATCH(Прайс!$B3434,Кат!$G:$G,0)),INDEX(Торг!$C:$C,MATCH(Прайс!$B3434,Торг!$H:$H,0))),"")</f>
        <v/>
      </c>
      <c r="H3434" s="67" t="str">
        <f>IFERROR(IFERROR(INDEX(Кат!$I:$I,MATCH(Прайс!$B3434,Кат!$G:$G,0)),INDEX(Торг!$I:$I,MATCH(Прайс!$B3434,Торг!$H:$H,0))),"")</f>
        <v/>
      </c>
    </row>
    <row r="3435" spans="1:8" x14ac:dyDescent="0.25">
      <c r="A3435" s="99" t="s">
        <v>4510</v>
      </c>
      <c r="B3435" s="108">
        <v>29112</v>
      </c>
      <c r="C3435" s="108" t="s">
        <v>1815</v>
      </c>
      <c r="D3435" s="101" t="s">
        <v>1719</v>
      </c>
      <c r="E3435" s="102">
        <v>530</v>
      </c>
      <c r="F3435" s="67" t="str">
        <f>IFERROR(IFERROR(INDEX(Кат!$A:$A,MATCH(Прайс!$B3435,Кат!$G:$G,0)),INDEX(Торг!$B:$B,MATCH(Прайс!$B3435,Торг!$H:$H,0))),"")</f>
        <v/>
      </c>
      <c r="G3435" s="67" t="str">
        <f>IFERROR(IFERROR(INDEX(Кат!$B:$B,MATCH(Прайс!$B3435,Кат!$G:$G,0)),INDEX(Торг!$C:$C,MATCH(Прайс!$B3435,Торг!$H:$H,0))),"")</f>
        <v/>
      </c>
      <c r="H3435" s="67" t="str">
        <f>IFERROR(IFERROR(INDEX(Кат!$I:$I,MATCH(Прайс!$B3435,Кат!$G:$G,0)),INDEX(Торг!$I:$I,MATCH(Прайс!$B3435,Торг!$H:$H,0))),"")</f>
        <v/>
      </c>
    </row>
    <row r="3436" spans="1:8" x14ac:dyDescent="0.25">
      <c r="A3436" s="99" t="s">
        <v>4511</v>
      </c>
      <c r="B3436" s="108">
        <v>29113</v>
      </c>
      <c r="C3436" s="108" t="s">
        <v>7935</v>
      </c>
      <c r="D3436" s="101" t="s">
        <v>159</v>
      </c>
      <c r="E3436" s="102">
        <v>530</v>
      </c>
      <c r="F3436" s="67" t="str">
        <f>IFERROR(IFERROR(INDEX(Кат!$A:$A,MATCH(Прайс!$B3436,Кат!$G:$G,0)),INDEX(Торг!$B:$B,MATCH(Прайс!$B3436,Торг!$H:$H,0))),"")</f>
        <v/>
      </c>
      <c r="G3436" s="67" t="str">
        <f>IFERROR(IFERROR(INDEX(Кат!$B:$B,MATCH(Прайс!$B3436,Кат!$G:$G,0)),INDEX(Торг!$C:$C,MATCH(Прайс!$B3436,Торг!$H:$H,0))),"")</f>
        <v/>
      </c>
      <c r="H3436" s="67" t="str">
        <f>IFERROR(IFERROR(INDEX(Кат!$I:$I,MATCH(Прайс!$B3436,Кат!$G:$G,0)),INDEX(Торг!$I:$I,MATCH(Прайс!$B3436,Торг!$H:$H,0))),"")</f>
        <v/>
      </c>
    </row>
    <row r="3437" spans="1:8" x14ac:dyDescent="0.25">
      <c r="A3437" s="99" t="s">
        <v>4512</v>
      </c>
      <c r="B3437" s="108">
        <v>29114</v>
      </c>
      <c r="C3437" s="108" t="s">
        <v>1816</v>
      </c>
      <c r="D3437" s="101" t="s">
        <v>1719</v>
      </c>
      <c r="E3437" s="102">
        <v>560</v>
      </c>
      <c r="F3437" s="67" t="str">
        <f>IFERROR(IFERROR(INDEX(Кат!$A:$A,MATCH(Прайс!$B3437,Кат!$G:$G,0)),INDEX(Торг!$B:$B,MATCH(Прайс!$B3437,Торг!$H:$H,0))),"")</f>
        <v/>
      </c>
      <c r="G3437" s="67" t="str">
        <f>IFERROR(IFERROR(INDEX(Кат!$B:$B,MATCH(Прайс!$B3437,Кат!$G:$G,0)),INDEX(Торг!$C:$C,MATCH(Прайс!$B3437,Торг!$H:$H,0))),"")</f>
        <v/>
      </c>
      <c r="H3437" s="67" t="str">
        <f>IFERROR(IFERROR(INDEX(Кат!$I:$I,MATCH(Прайс!$B3437,Кат!$G:$G,0)),INDEX(Торг!$I:$I,MATCH(Прайс!$B3437,Торг!$H:$H,0))),"")</f>
        <v/>
      </c>
    </row>
    <row r="3438" spans="1:8" x14ac:dyDescent="0.25">
      <c r="A3438" s="99" t="s">
        <v>4513</v>
      </c>
      <c r="B3438" s="108">
        <v>29115</v>
      </c>
      <c r="C3438" s="108" t="s">
        <v>7936</v>
      </c>
      <c r="D3438" s="101" t="s">
        <v>1719</v>
      </c>
      <c r="E3438" s="102">
        <v>560</v>
      </c>
      <c r="F3438" s="67" t="str">
        <f>IFERROR(IFERROR(INDEX(Кат!$A:$A,MATCH(Прайс!$B3438,Кат!$G:$G,0)),INDEX(Торг!$B:$B,MATCH(Прайс!$B3438,Торг!$H:$H,0))),"")</f>
        <v/>
      </c>
      <c r="G3438" s="67" t="str">
        <f>IFERROR(IFERROR(INDEX(Кат!$B:$B,MATCH(Прайс!$B3438,Кат!$G:$G,0)),INDEX(Торг!$C:$C,MATCH(Прайс!$B3438,Торг!$H:$H,0))),"")</f>
        <v/>
      </c>
      <c r="H3438" s="67" t="str">
        <f>IFERROR(IFERROR(INDEX(Кат!$I:$I,MATCH(Прайс!$B3438,Кат!$G:$G,0)),INDEX(Торг!$I:$I,MATCH(Прайс!$B3438,Торг!$H:$H,0))),"")</f>
        <v/>
      </c>
    </row>
    <row r="3439" spans="1:8" x14ac:dyDescent="0.25">
      <c r="A3439" s="99" t="s">
        <v>4514</v>
      </c>
      <c r="B3439" s="108">
        <v>29116</v>
      </c>
      <c r="C3439" s="108" t="s">
        <v>1817</v>
      </c>
      <c r="D3439" s="101" t="s">
        <v>1719</v>
      </c>
      <c r="E3439" s="102">
        <v>570</v>
      </c>
      <c r="F3439" s="67" t="str">
        <f>IFERROR(IFERROR(INDEX(Кат!$A:$A,MATCH(Прайс!$B3439,Кат!$G:$G,0)),INDEX(Торг!$B:$B,MATCH(Прайс!$B3439,Торг!$H:$H,0))),"")</f>
        <v/>
      </c>
      <c r="G3439" s="67" t="str">
        <f>IFERROR(IFERROR(INDEX(Кат!$B:$B,MATCH(Прайс!$B3439,Кат!$G:$G,0)),INDEX(Торг!$C:$C,MATCH(Прайс!$B3439,Торг!$H:$H,0))),"")</f>
        <v/>
      </c>
      <c r="H3439" s="67" t="str">
        <f>IFERROR(IFERROR(INDEX(Кат!$I:$I,MATCH(Прайс!$B3439,Кат!$G:$G,0)),INDEX(Торг!$I:$I,MATCH(Прайс!$B3439,Торг!$H:$H,0))),"")</f>
        <v/>
      </c>
    </row>
    <row r="3440" spans="1:8" x14ac:dyDescent="0.25">
      <c r="A3440" s="99" t="s">
        <v>4515</v>
      </c>
      <c r="B3440" s="108">
        <v>29117</v>
      </c>
      <c r="C3440" s="108" t="s">
        <v>1818</v>
      </c>
      <c r="D3440" s="101" t="s">
        <v>1719</v>
      </c>
      <c r="E3440" s="102">
        <v>580</v>
      </c>
      <c r="F3440" s="67" t="str">
        <f>IFERROR(IFERROR(INDEX(Кат!$A:$A,MATCH(Прайс!$B3440,Кат!$G:$G,0)),INDEX(Торг!$B:$B,MATCH(Прайс!$B3440,Торг!$H:$H,0))),"")</f>
        <v/>
      </c>
      <c r="G3440" s="67" t="str">
        <f>IFERROR(IFERROR(INDEX(Кат!$B:$B,MATCH(Прайс!$B3440,Кат!$G:$G,0)),INDEX(Торг!$C:$C,MATCH(Прайс!$B3440,Торг!$H:$H,0))),"")</f>
        <v/>
      </c>
      <c r="H3440" s="67" t="str">
        <f>IFERROR(IFERROR(INDEX(Кат!$I:$I,MATCH(Прайс!$B3440,Кат!$G:$G,0)),INDEX(Торг!$I:$I,MATCH(Прайс!$B3440,Торг!$H:$H,0))),"")</f>
        <v/>
      </c>
    </row>
    <row r="3441" spans="1:8" x14ac:dyDescent="0.25">
      <c r="A3441" s="99" t="s">
        <v>4516</v>
      </c>
      <c r="B3441" s="108">
        <v>29118</v>
      </c>
      <c r="C3441" s="108" t="s">
        <v>1819</v>
      </c>
      <c r="D3441" s="101" t="s">
        <v>1719</v>
      </c>
      <c r="E3441" s="102">
        <v>660</v>
      </c>
      <c r="F3441" s="67" t="str">
        <f>IFERROR(IFERROR(INDEX(Кат!$A:$A,MATCH(Прайс!$B3441,Кат!$G:$G,0)),INDEX(Торг!$B:$B,MATCH(Прайс!$B3441,Торг!$H:$H,0))),"")</f>
        <v/>
      </c>
      <c r="G3441" s="67" t="str">
        <f>IFERROR(IFERROR(INDEX(Кат!$B:$B,MATCH(Прайс!$B3441,Кат!$G:$G,0)),INDEX(Торг!$C:$C,MATCH(Прайс!$B3441,Торг!$H:$H,0))),"")</f>
        <v/>
      </c>
      <c r="H3441" s="67" t="str">
        <f>IFERROR(IFERROR(INDEX(Кат!$I:$I,MATCH(Прайс!$B3441,Кат!$G:$G,0)),INDEX(Торг!$I:$I,MATCH(Прайс!$B3441,Торг!$H:$H,0))),"")</f>
        <v/>
      </c>
    </row>
    <row r="3442" spans="1:8" x14ac:dyDescent="0.25">
      <c r="A3442" s="99" t="s">
        <v>4517</v>
      </c>
      <c r="B3442" s="108">
        <v>29119</v>
      </c>
      <c r="C3442" s="108" t="s">
        <v>1820</v>
      </c>
      <c r="D3442" s="101" t="s">
        <v>1719</v>
      </c>
      <c r="E3442" s="102">
        <v>720</v>
      </c>
      <c r="F3442" s="67" t="str">
        <f>IFERROR(IFERROR(INDEX(Кат!$A:$A,MATCH(Прайс!$B3442,Кат!$G:$G,0)),INDEX(Торг!$B:$B,MATCH(Прайс!$B3442,Торг!$H:$H,0))),"")</f>
        <v/>
      </c>
      <c r="G3442" s="67" t="str">
        <f>IFERROR(IFERROR(INDEX(Кат!$B:$B,MATCH(Прайс!$B3442,Кат!$G:$G,0)),INDEX(Торг!$C:$C,MATCH(Прайс!$B3442,Торг!$H:$H,0))),"")</f>
        <v/>
      </c>
      <c r="H3442" s="67" t="str">
        <f>IFERROR(IFERROR(INDEX(Кат!$I:$I,MATCH(Прайс!$B3442,Кат!$G:$G,0)),INDEX(Торг!$I:$I,MATCH(Прайс!$B3442,Торг!$H:$H,0))),"")</f>
        <v/>
      </c>
    </row>
    <row r="3443" spans="1:8" x14ac:dyDescent="0.25">
      <c r="A3443" s="103" t="s">
        <v>4518</v>
      </c>
      <c r="B3443" s="104">
        <v>29134</v>
      </c>
      <c r="C3443" s="104" t="s">
        <v>1821</v>
      </c>
      <c r="D3443" s="105" t="s">
        <v>1719</v>
      </c>
      <c r="E3443" s="113">
        <v>300</v>
      </c>
      <c r="F3443" s="67" t="str">
        <f>IFERROR(IFERROR(INDEX(Кат!$A:$A,MATCH(Прайс!$B3443,Кат!$G:$G,0)),INDEX(Торг!$B:$B,MATCH(Прайс!$B3443,Торг!$H:$H,0))),"")</f>
        <v/>
      </c>
      <c r="G3443" s="67" t="str">
        <f>IFERROR(IFERROR(INDEX(Кат!$B:$B,MATCH(Прайс!$B3443,Кат!$G:$G,0)),INDEX(Торг!$C:$C,MATCH(Прайс!$B3443,Торг!$H:$H,0))),"")</f>
        <v/>
      </c>
      <c r="H3443" s="67" t="str">
        <f>IFERROR(IFERROR(INDEX(Кат!$I:$I,MATCH(Прайс!$B3443,Кат!$G:$G,0)),INDEX(Торг!$I:$I,MATCH(Прайс!$B3443,Торг!$H:$H,0))),"")</f>
        <v/>
      </c>
    </row>
    <row r="3444" spans="1:8" x14ac:dyDescent="0.25">
      <c r="A3444" s="103" t="s">
        <v>4519</v>
      </c>
      <c r="B3444" s="104">
        <v>29176</v>
      </c>
      <c r="C3444" s="104" t="s">
        <v>1822</v>
      </c>
      <c r="D3444" s="105" t="s">
        <v>162</v>
      </c>
      <c r="E3444" s="113">
        <v>300</v>
      </c>
      <c r="F3444" s="67" t="str">
        <f>IFERROR(IFERROR(INDEX(Кат!$A:$A,MATCH(Прайс!$B3444,Кат!$G:$G,0)),INDEX(Торг!$B:$B,MATCH(Прайс!$B3444,Торг!$H:$H,0))),"")</f>
        <v/>
      </c>
      <c r="G3444" s="67" t="str">
        <f>IFERROR(IFERROR(INDEX(Кат!$B:$B,MATCH(Прайс!$B3444,Кат!$G:$G,0)),INDEX(Торг!$C:$C,MATCH(Прайс!$B3444,Торг!$H:$H,0))),"")</f>
        <v/>
      </c>
      <c r="H3444" s="67" t="str">
        <f>IFERROR(IFERROR(INDEX(Кат!$I:$I,MATCH(Прайс!$B3444,Кат!$G:$G,0)),INDEX(Торг!$I:$I,MATCH(Прайс!$B3444,Торг!$H:$H,0))),"")</f>
        <v/>
      </c>
    </row>
    <row r="3445" spans="1:8" x14ac:dyDescent="0.25">
      <c r="A3445" s="103" t="s">
        <v>4520</v>
      </c>
      <c r="B3445" s="104">
        <v>29136</v>
      </c>
      <c r="C3445" s="104" t="s">
        <v>1823</v>
      </c>
      <c r="D3445" s="105" t="s">
        <v>1719</v>
      </c>
      <c r="E3445" s="113">
        <v>300</v>
      </c>
      <c r="F3445" s="67" t="str">
        <f>IFERROR(IFERROR(INDEX(Кат!$A:$A,MATCH(Прайс!$B3445,Кат!$G:$G,0)),INDEX(Торг!$B:$B,MATCH(Прайс!$B3445,Торг!$H:$H,0))),"")</f>
        <v/>
      </c>
      <c r="G3445" s="67" t="str">
        <f>IFERROR(IFERROR(INDEX(Кат!$B:$B,MATCH(Прайс!$B3445,Кат!$G:$G,0)),INDEX(Торг!$C:$C,MATCH(Прайс!$B3445,Торг!$H:$H,0))),"")</f>
        <v/>
      </c>
      <c r="H3445" s="67" t="str">
        <f>IFERROR(IFERROR(INDEX(Кат!$I:$I,MATCH(Прайс!$B3445,Кат!$G:$G,0)),INDEX(Торг!$I:$I,MATCH(Прайс!$B3445,Торг!$H:$H,0))),"")</f>
        <v/>
      </c>
    </row>
    <row r="3446" spans="1:8" x14ac:dyDescent="0.25">
      <c r="A3446" s="103" t="s">
        <v>4521</v>
      </c>
      <c r="B3446" s="104">
        <v>29179</v>
      </c>
      <c r="C3446" s="104" t="s">
        <v>1824</v>
      </c>
      <c r="D3446" s="105" t="s">
        <v>159</v>
      </c>
      <c r="E3446" s="113">
        <v>300</v>
      </c>
      <c r="F3446" s="67" t="str">
        <f>IFERROR(IFERROR(INDEX(Кат!$A:$A,MATCH(Прайс!$B3446,Кат!$G:$G,0)),INDEX(Торг!$B:$B,MATCH(Прайс!$B3446,Торг!$H:$H,0))),"")</f>
        <v/>
      </c>
      <c r="G3446" s="67" t="str">
        <f>IFERROR(IFERROR(INDEX(Кат!$B:$B,MATCH(Прайс!$B3446,Кат!$G:$G,0)),INDEX(Торг!$C:$C,MATCH(Прайс!$B3446,Торг!$H:$H,0))),"")</f>
        <v/>
      </c>
      <c r="H3446" s="67" t="str">
        <f>IFERROR(IFERROR(INDEX(Кат!$I:$I,MATCH(Прайс!$B3446,Кат!$G:$G,0)),INDEX(Торг!$I:$I,MATCH(Прайс!$B3446,Торг!$H:$H,0))),"")</f>
        <v/>
      </c>
    </row>
    <row r="3447" spans="1:8" x14ac:dyDescent="0.25">
      <c r="A3447" s="99" t="s">
        <v>4522</v>
      </c>
      <c r="B3447" s="108">
        <v>29281</v>
      </c>
      <c r="C3447" s="108" t="s">
        <v>1825</v>
      </c>
      <c r="D3447" s="101" t="s">
        <v>166</v>
      </c>
      <c r="E3447" s="102">
        <v>215</v>
      </c>
      <c r="F3447" s="67" t="str">
        <f>IFERROR(IFERROR(INDEX(Кат!$A:$A,MATCH(Прайс!$B3447,Кат!$G:$G,0)),INDEX(Торг!$B:$B,MATCH(Прайс!$B3447,Торг!$H:$H,0))),"")</f>
        <v/>
      </c>
      <c r="G3447" s="67" t="str">
        <f>IFERROR(IFERROR(INDEX(Кат!$B:$B,MATCH(Прайс!$B3447,Кат!$G:$G,0)),INDEX(Торг!$C:$C,MATCH(Прайс!$B3447,Торг!$H:$H,0))),"")</f>
        <v/>
      </c>
      <c r="H3447" s="67" t="str">
        <f>IFERROR(IFERROR(INDEX(Кат!$I:$I,MATCH(Прайс!$B3447,Кат!$G:$G,0)),INDEX(Торг!$I:$I,MATCH(Прайс!$B3447,Торг!$H:$H,0))),"")</f>
        <v/>
      </c>
    </row>
    <row r="3448" spans="1:8" x14ac:dyDescent="0.25">
      <c r="A3448" s="99" t="s">
        <v>8329</v>
      </c>
      <c r="B3448" s="108">
        <v>29282</v>
      </c>
      <c r="C3448" s="108" t="s">
        <v>8330</v>
      </c>
      <c r="D3448" s="101" t="s">
        <v>166</v>
      </c>
      <c r="E3448" s="102">
        <v>215</v>
      </c>
      <c r="F3448" s="67" t="str">
        <f>IFERROR(IFERROR(INDEX(Кат!$A:$A,MATCH(Прайс!$B3448,Кат!$G:$G,0)),INDEX(Торг!$B:$B,MATCH(Прайс!$B3448,Торг!$H:$H,0))),"")</f>
        <v/>
      </c>
      <c r="G3448" s="67" t="str">
        <f>IFERROR(IFERROR(INDEX(Кат!$B:$B,MATCH(Прайс!$B3448,Кат!$G:$G,0)),INDEX(Торг!$C:$C,MATCH(Прайс!$B3448,Торг!$H:$H,0))),"")</f>
        <v/>
      </c>
      <c r="H3448" s="67" t="str">
        <f>IFERROR(IFERROR(INDEX(Кат!$I:$I,MATCH(Прайс!$B3448,Кат!$G:$G,0)),INDEX(Торг!$I:$I,MATCH(Прайс!$B3448,Торг!$H:$H,0))),"")</f>
        <v/>
      </c>
    </row>
    <row r="3449" spans="1:8" x14ac:dyDescent="0.25">
      <c r="A3449" s="99" t="s">
        <v>4523</v>
      </c>
      <c r="B3449" s="108">
        <v>29283</v>
      </c>
      <c r="C3449" s="108" t="s">
        <v>1826</v>
      </c>
      <c r="D3449" s="101" t="s">
        <v>166</v>
      </c>
      <c r="E3449" s="102">
        <v>220</v>
      </c>
      <c r="F3449" s="67" t="str">
        <f>IFERROR(IFERROR(INDEX(Кат!$A:$A,MATCH(Прайс!$B3449,Кат!$G:$G,0)),INDEX(Торг!$B:$B,MATCH(Прайс!$B3449,Торг!$H:$H,0))),"")</f>
        <v/>
      </c>
      <c r="G3449" s="67" t="str">
        <f>IFERROR(IFERROR(INDEX(Кат!$B:$B,MATCH(Прайс!$B3449,Кат!$G:$G,0)),INDEX(Торг!$C:$C,MATCH(Прайс!$B3449,Торг!$H:$H,0))),"")</f>
        <v/>
      </c>
      <c r="H3449" s="67" t="str">
        <f>IFERROR(IFERROR(INDEX(Кат!$I:$I,MATCH(Прайс!$B3449,Кат!$G:$G,0)),INDEX(Торг!$I:$I,MATCH(Прайс!$B3449,Торг!$H:$H,0))),"")</f>
        <v/>
      </c>
    </row>
    <row r="3450" spans="1:8" x14ac:dyDescent="0.25">
      <c r="A3450" s="99" t="s">
        <v>4524</v>
      </c>
      <c r="B3450" s="108">
        <v>29284</v>
      </c>
      <c r="C3450" s="108" t="s">
        <v>1827</v>
      </c>
      <c r="D3450" s="101" t="s">
        <v>166</v>
      </c>
      <c r="E3450" s="102">
        <v>220</v>
      </c>
      <c r="F3450" s="67" t="str">
        <f>IFERROR(IFERROR(INDEX(Кат!$A:$A,MATCH(Прайс!$B3450,Кат!$G:$G,0)),INDEX(Торг!$B:$B,MATCH(Прайс!$B3450,Торг!$H:$H,0))),"")</f>
        <v/>
      </c>
      <c r="G3450" s="67" t="str">
        <f>IFERROR(IFERROR(INDEX(Кат!$B:$B,MATCH(Прайс!$B3450,Кат!$G:$G,0)),INDEX(Торг!$C:$C,MATCH(Прайс!$B3450,Торг!$H:$H,0))),"")</f>
        <v/>
      </c>
      <c r="H3450" s="67" t="str">
        <f>IFERROR(IFERROR(INDEX(Кат!$I:$I,MATCH(Прайс!$B3450,Кат!$G:$G,0)),INDEX(Торг!$I:$I,MATCH(Прайс!$B3450,Торг!$H:$H,0))),"")</f>
        <v/>
      </c>
    </row>
    <row r="3451" spans="1:8" x14ac:dyDescent="0.25">
      <c r="A3451" s="99" t="s">
        <v>4525</v>
      </c>
      <c r="B3451" s="108">
        <v>29285</v>
      </c>
      <c r="C3451" s="108" t="s">
        <v>1828</v>
      </c>
      <c r="D3451" s="101" t="s">
        <v>166</v>
      </c>
      <c r="E3451" s="102">
        <v>220</v>
      </c>
      <c r="F3451" s="67" t="str">
        <f>IFERROR(IFERROR(INDEX(Кат!$A:$A,MATCH(Прайс!$B3451,Кат!$G:$G,0)),INDEX(Торг!$B:$B,MATCH(Прайс!$B3451,Торг!$H:$H,0))),"")</f>
        <v/>
      </c>
      <c r="G3451" s="67" t="str">
        <f>IFERROR(IFERROR(INDEX(Кат!$B:$B,MATCH(Прайс!$B3451,Кат!$G:$G,0)),INDEX(Торг!$C:$C,MATCH(Прайс!$B3451,Торг!$H:$H,0))),"")</f>
        <v/>
      </c>
      <c r="H3451" s="67" t="str">
        <f>IFERROR(IFERROR(INDEX(Кат!$I:$I,MATCH(Прайс!$B3451,Кат!$G:$G,0)),INDEX(Торг!$I:$I,MATCH(Прайс!$B3451,Торг!$H:$H,0))),"")</f>
        <v/>
      </c>
    </row>
    <row r="3452" spans="1:8" x14ac:dyDescent="0.25">
      <c r="A3452" s="99" t="s">
        <v>4526</v>
      </c>
      <c r="B3452" s="108">
        <v>29286</v>
      </c>
      <c r="C3452" s="108" t="s">
        <v>1829</v>
      </c>
      <c r="D3452" s="101" t="s">
        <v>166</v>
      </c>
      <c r="E3452" s="102">
        <v>225</v>
      </c>
      <c r="F3452" s="67" t="str">
        <f>IFERROR(IFERROR(INDEX(Кат!$A:$A,MATCH(Прайс!$B3452,Кат!$G:$G,0)),INDEX(Торг!$B:$B,MATCH(Прайс!$B3452,Торг!$H:$H,0))),"")</f>
        <v/>
      </c>
      <c r="G3452" s="67" t="str">
        <f>IFERROR(IFERROR(INDEX(Кат!$B:$B,MATCH(Прайс!$B3452,Кат!$G:$G,0)),INDEX(Торг!$C:$C,MATCH(Прайс!$B3452,Торг!$H:$H,0))),"")</f>
        <v/>
      </c>
      <c r="H3452" s="67" t="str">
        <f>IFERROR(IFERROR(INDEX(Кат!$I:$I,MATCH(Прайс!$B3452,Кат!$G:$G,0)),INDEX(Торг!$I:$I,MATCH(Прайс!$B3452,Торг!$H:$H,0))),"")</f>
        <v/>
      </c>
    </row>
    <row r="3453" spans="1:8" x14ac:dyDescent="0.25">
      <c r="A3453" s="99" t="s">
        <v>4527</v>
      </c>
      <c r="B3453" s="108">
        <v>29287</v>
      </c>
      <c r="C3453" s="108" t="s">
        <v>1830</v>
      </c>
      <c r="D3453" s="101" t="s">
        <v>166</v>
      </c>
      <c r="E3453" s="102">
        <v>230</v>
      </c>
      <c r="F3453" s="67" t="str">
        <f>IFERROR(IFERROR(INDEX(Кат!$A:$A,MATCH(Прайс!$B3453,Кат!$G:$G,0)),INDEX(Торг!$B:$B,MATCH(Прайс!$B3453,Торг!$H:$H,0))),"")</f>
        <v/>
      </c>
      <c r="G3453" s="67" t="str">
        <f>IFERROR(IFERROR(INDEX(Кат!$B:$B,MATCH(Прайс!$B3453,Кат!$G:$G,0)),INDEX(Торг!$C:$C,MATCH(Прайс!$B3453,Торг!$H:$H,0))),"")</f>
        <v/>
      </c>
      <c r="H3453" s="67" t="str">
        <f>IFERROR(IFERROR(INDEX(Кат!$I:$I,MATCH(Прайс!$B3453,Кат!$G:$G,0)),INDEX(Торг!$I:$I,MATCH(Прайс!$B3453,Торг!$H:$H,0))),"")</f>
        <v/>
      </c>
    </row>
    <row r="3454" spans="1:8" x14ac:dyDescent="0.25">
      <c r="A3454" s="99" t="s">
        <v>4528</v>
      </c>
      <c r="B3454" s="108">
        <v>29288</v>
      </c>
      <c r="C3454" s="108" t="s">
        <v>1831</v>
      </c>
      <c r="D3454" s="101" t="s">
        <v>166</v>
      </c>
      <c r="E3454" s="102">
        <v>230</v>
      </c>
      <c r="F3454" s="67" t="str">
        <f>IFERROR(IFERROR(INDEX(Кат!$A:$A,MATCH(Прайс!$B3454,Кат!$G:$G,0)),INDEX(Торг!$B:$B,MATCH(Прайс!$B3454,Торг!$H:$H,0))),"")</f>
        <v/>
      </c>
      <c r="G3454" s="67" t="str">
        <f>IFERROR(IFERROR(INDEX(Кат!$B:$B,MATCH(Прайс!$B3454,Кат!$G:$G,0)),INDEX(Торг!$C:$C,MATCH(Прайс!$B3454,Торг!$H:$H,0))),"")</f>
        <v/>
      </c>
      <c r="H3454" s="67" t="str">
        <f>IFERROR(IFERROR(INDEX(Кат!$I:$I,MATCH(Прайс!$B3454,Кат!$G:$G,0)),INDEX(Торг!$I:$I,MATCH(Прайс!$B3454,Торг!$H:$H,0))),"")</f>
        <v/>
      </c>
    </row>
    <row r="3455" spans="1:8" x14ac:dyDescent="0.25">
      <c r="A3455" s="99" t="s">
        <v>6008</v>
      </c>
      <c r="B3455" s="108">
        <v>29289</v>
      </c>
      <c r="C3455" s="108" t="s">
        <v>6009</v>
      </c>
      <c r="D3455" s="101" t="s">
        <v>166</v>
      </c>
      <c r="E3455" s="102">
        <v>240</v>
      </c>
      <c r="F3455" s="67" t="str">
        <f>IFERROR(IFERROR(INDEX(Кат!$A:$A,MATCH(Прайс!$B3455,Кат!$G:$G,0)),INDEX(Торг!$B:$B,MATCH(Прайс!$B3455,Торг!$H:$H,0))),"")</f>
        <v/>
      </c>
      <c r="G3455" s="67" t="str">
        <f>IFERROR(IFERROR(INDEX(Кат!$B:$B,MATCH(Прайс!$B3455,Кат!$G:$G,0)),INDEX(Торг!$C:$C,MATCH(Прайс!$B3455,Торг!$H:$H,0))),"")</f>
        <v/>
      </c>
      <c r="H3455" s="67" t="str">
        <f>IFERROR(IFERROR(INDEX(Кат!$I:$I,MATCH(Прайс!$B3455,Кат!$G:$G,0)),INDEX(Торг!$I:$I,MATCH(Прайс!$B3455,Торг!$H:$H,0))),"")</f>
        <v/>
      </c>
    </row>
    <row r="3456" spans="1:8" x14ac:dyDescent="0.25">
      <c r="A3456" s="99" t="s">
        <v>4529</v>
      </c>
      <c r="B3456" s="108">
        <v>29290</v>
      </c>
      <c r="C3456" s="108" t="s">
        <v>1832</v>
      </c>
      <c r="D3456" s="101" t="s">
        <v>166</v>
      </c>
      <c r="E3456" s="102">
        <v>235</v>
      </c>
      <c r="F3456" s="67" t="str">
        <f>IFERROR(IFERROR(INDEX(Кат!$A:$A,MATCH(Прайс!$B3456,Кат!$G:$G,0)),INDEX(Торг!$B:$B,MATCH(Прайс!$B3456,Торг!$H:$H,0))),"")</f>
        <v/>
      </c>
      <c r="G3456" s="67" t="str">
        <f>IFERROR(IFERROR(INDEX(Кат!$B:$B,MATCH(Прайс!$B3456,Кат!$G:$G,0)),INDEX(Торг!$C:$C,MATCH(Прайс!$B3456,Торг!$H:$H,0))),"")</f>
        <v/>
      </c>
      <c r="H3456" s="67" t="str">
        <f>IFERROR(IFERROR(INDEX(Кат!$I:$I,MATCH(Прайс!$B3456,Кат!$G:$G,0)),INDEX(Торг!$I:$I,MATCH(Прайс!$B3456,Торг!$H:$H,0))),"")</f>
        <v/>
      </c>
    </row>
    <row r="3457" spans="1:8" x14ac:dyDescent="0.25">
      <c r="A3457" s="99" t="s">
        <v>4530</v>
      </c>
      <c r="B3457" s="108">
        <v>29291</v>
      </c>
      <c r="C3457" s="108" t="s">
        <v>1833</v>
      </c>
      <c r="D3457" s="101" t="s">
        <v>166</v>
      </c>
      <c r="E3457" s="102">
        <v>245</v>
      </c>
      <c r="F3457" s="67" t="str">
        <f>IFERROR(IFERROR(INDEX(Кат!$A:$A,MATCH(Прайс!$B3457,Кат!$G:$G,0)),INDEX(Торг!$B:$B,MATCH(Прайс!$B3457,Торг!$H:$H,0))),"")</f>
        <v/>
      </c>
      <c r="G3457" s="67" t="str">
        <f>IFERROR(IFERROR(INDEX(Кат!$B:$B,MATCH(Прайс!$B3457,Кат!$G:$G,0)),INDEX(Торг!$C:$C,MATCH(Прайс!$B3457,Торг!$H:$H,0))),"")</f>
        <v/>
      </c>
      <c r="H3457" s="67" t="str">
        <f>IFERROR(IFERROR(INDEX(Кат!$I:$I,MATCH(Прайс!$B3457,Кат!$G:$G,0)),INDEX(Торг!$I:$I,MATCH(Прайс!$B3457,Торг!$H:$H,0))),"")</f>
        <v/>
      </c>
    </row>
    <row r="3458" spans="1:8" x14ac:dyDescent="0.25">
      <c r="A3458" s="99" t="s">
        <v>4531</v>
      </c>
      <c r="B3458" s="108">
        <v>29252</v>
      </c>
      <c r="C3458" s="108" t="s">
        <v>1834</v>
      </c>
      <c r="D3458" s="101" t="s">
        <v>166</v>
      </c>
      <c r="E3458" s="102">
        <v>300</v>
      </c>
      <c r="F3458" s="67" t="str">
        <f>IFERROR(IFERROR(INDEX(Кат!$A:$A,MATCH(Прайс!$B3458,Кат!$G:$G,0)),INDEX(Торг!$B:$B,MATCH(Прайс!$B3458,Торг!$H:$H,0))),"")</f>
        <v/>
      </c>
      <c r="G3458" s="67" t="str">
        <f>IFERROR(IFERROR(INDEX(Кат!$B:$B,MATCH(Прайс!$B3458,Кат!$G:$G,0)),INDEX(Торг!$C:$C,MATCH(Прайс!$B3458,Торг!$H:$H,0))),"")</f>
        <v/>
      </c>
      <c r="H3458" s="67" t="str">
        <f>IFERROR(IFERROR(INDEX(Кат!$I:$I,MATCH(Прайс!$B3458,Кат!$G:$G,0)),INDEX(Торг!$I:$I,MATCH(Прайс!$B3458,Торг!$H:$H,0))),"")</f>
        <v/>
      </c>
    </row>
    <row r="3459" spans="1:8" x14ac:dyDescent="0.25">
      <c r="A3459" s="99" t="s">
        <v>4532</v>
      </c>
      <c r="B3459" s="108">
        <v>29253</v>
      </c>
      <c r="C3459" s="108" t="s">
        <v>1835</v>
      </c>
      <c r="D3459" s="101" t="s">
        <v>166</v>
      </c>
      <c r="E3459" s="102">
        <v>310</v>
      </c>
      <c r="F3459" s="67" t="str">
        <f>IFERROR(IFERROR(INDEX(Кат!$A:$A,MATCH(Прайс!$B3459,Кат!$G:$G,0)),INDEX(Торг!$B:$B,MATCH(Прайс!$B3459,Торг!$H:$H,0))),"")</f>
        <v/>
      </c>
      <c r="G3459" s="67" t="str">
        <f>IFERROR(IFERROR(INDEX(Кат!$B:$B,MATCH(Прайс!$B3459,Кат!$G:$G,0)),INDEX(Торг!$C:$C,MATCH(Прайс!$B3459,Торг!$H:$H,0))),"")</f>
        <v/>
      </c>
      <c r="H3459" s="67" t="str">
        <f>IFERROR(IFERROR(INDEX(Кат!$I:$I,MATCH(Прайс!$B3459,Кат!$G:$G,0)),INDEX(Торг!$I:$I,MATCH(Прайс!$B3459,Торг!$H:$H,0))),"")</f>
        <v/>
      </c>
    </row>
    <row r="3460" spans="1:8" x14ac:dyDescent="0.25">
      <c r="A3460" s="99" t="s">
        <v>4533</v>
      </c>
      <c r="B3460" s="108">
        <v>29254</v>
      </c>
      <c r="C3460" s="108" t="s">
        <v>1836</v>
      </c>
      <c r="D3460" s="101" t="s">
        <v>166</v>
      </c>
      <c r="E3460" s="102">
        <v>320</v>
      </c>
      <c r="F3460" s="67" t="str">
        <f>IFERROR(IFERROR(INDEX(Кат!$A:$A,MATCH(Прайс!$B3460,Кат!$G:$G,0)),INDEX(Торг!$B:$B,MATCH(Прайс!$B3460,Торг!$H:$H,0))),"")</f>
        <v/>
      </c>
      <c r="G3460" s="67" t="str">
        <f>IFERROR(IFERROR(INDEX(Кат!$B:$B,MATCH(Прайс!$B3460,Кат!$G:$G,0)),INDEX(Торг!$C:$C,MATCH(Прайс!$B3460,Торг!$H:$H,0))),"")</f>
        <v/>
      </c>
      <c r="H3460" s="67" t="str">
        <f>IFERROR(IFERROR(INDEX(Кат!$I:$I,MATCH(Прайс!$B3460,Кат!$G:$G,0)),INDEX(Торг!$I:$I,MATCH(Прайс!$B3460,Торг!$H:$H,0))),"")</f>
        <v/>
      </c>
    </row>
    <row r="3461" spans="1:8" x14ac:dyDescent="0.25">
      <c r="A3461" s="99" t="s">
        <v>4534</v>
      </c>
      <c r="B3461" s="108">
        <v>29255</v>
      </c>
      <c r="C3461" s="108" t="s">
        <v>1837</v>
      </c>
      <c r="D3461" s="101" t="s">
        <v>166</v>
      </c>
      <c r="E3461" s="102">
        <v>330</v>
      </c>
      <c r="F3461" s="67" t="str">
        <f>IFERROR(IFERROR(INDEX(Кат!$A:$A,MATCH(Прайс!$B3461,Кат!$G:$G,0)),INDEX(Торг!$B:$B,MATCH(Прайс!$B3461,Торг!$H:$H,0))),"")</f>
        <v/>
      </c>
      <c r="G3461" s="67" t="str">
        <f>IFERROR(IFERROR(INDEX(Кат!$B:$B,MATCH(Прайс!$B3461,Кат!$G:$G,0)),INDEX(Торг!$C:$C,MATCH(Прайс!$B3461,Торг!$H:$H,0))),"")</f>
        <v/>
      </c>
      <c r="H3461" s="67" t="str">
        <f>IFERROR(IFERROR(INDEX(Кат!$I:$I,MATCH(Прайс!$B3461,Кат!$G:$G,0)),INDEX(Торг!$I:$I,MATCH(Прайс!$B3461,Торг!$H:$H,0))),"")</f>
        <v/>
      </c>
    </row>
    <row r="3462" spans="1:8" x14ac:dyDescent="0.25">
      <c r="A3462" s="99" t="s">
        <v>4535</v>
      </c>
      <c r="B3462" s="108">
        <v>29256</v>
      </c>
      <c r="C3462" s="108" t="s">
        <v>1838</v>
      </c>
      <c r="D3462" s="101" t="s">
        <v>166</v>
      </c>
      <c r="E3462" s="102">
        <v>330</v>
      </c>
      <c r="F3462" s="67" t="str">
        <f>IFERROR(IFERROR(INDEX(Кат!$A:$A,MATCH(Прайс!$B3462,Кат!$G:$G,0)),INDEX(Торг!$B:$B,MATCH(Прайс!$B3462,Торг!$H:$H,0))),"")</f>
        <v/>
      </c>
      <c r="G3462" s="67" t="str">
        <f>IFERROR(IFERROR(INDEX(Кат!$B:$B,MATCH(Прайс!$B3462,Кат!$G:$G,0)),INDEX(Торг!$C:$C,MATCH(Прайс!$B3462,Торг!$H:$H,0))),"")</f>
        <v/>
      </c>
      <c r="H3462" s="67" t="str">
        <f>IFERROR(IFERROR(INDEX(Кат!$I:$I,MATCH(Прайс!$B3462,Кат!$G:$G,0)),INDEX(Торг!$I:$I,MATCH(Прайс!$B3462,Торг!$H:$H,0))),"")</f>
        <v/>
      </c>
    </row>
    <row r="3463" spans="1:8" x14ac:dyDescent="0.25">
      <c r="A3463" s="99" t="s">
        <v>4536</v>
      </c>
      <c r="B3463" s="108">
        <v>29257</v>
      </c>
      <c r="C3463" s="108" t="s">
        <v>1839</v>
      </c>
      <c r="D3463" s="101" t="s">
        <v>166</v>
      </c>
      <c r="E3463" s="102">
        <v>340</v>
      </c>
      <c r="F3463" s="67" t="str">
        <f>IFERROR(IFERROR(INDEX(Кат!$A:$A,MATCH(Прайс!$B3463,Кат!$G:$G,0)),INDEX(Торг!$B:$B,MATCH(Прайс!$B3463,Торг!$H:$H,0))),"")</f>
        <v/>
      </c>
      <c r="G3463" s="67" t="str">
        <f>IFERROR(IFERROR(INDEX(Кат!$B:$B,MATCH(Прайс!$B3463,Кат!$G:$G,0)),INDEX(Торг!$C:$C,MATCH(Прайс!$B3463,Торг!$H:$H,0))),"")</f>
        <v/>
      </c>
      <c r="H3463" s="67" t="str">
        <f>IFERROR(IFERROR(INDEX(Кат!$I:$I,MATCH(Прайс!$B3463,Кат!$G:$G,0)),INDEX(Торг!$I:$I,MATCH(Прайс!$B3463,Торг!$H:$H,0))),"")</f>
        <v/>
      </c>
    </row>
    <row r="3464" spans="1:8" x14ac:dyDescent="0.25">
      <c r="A3464" s="99" t="s">
        <v>4537</v>
      </c>
      <c r="B3464" s="108">
        <v>29258</v>
      </c>
      <c r="C3464" s="108" t="s">
        <v>1840</v>
      </c>
      <c r="D3464" s="101" t="s">
        <v>166</v>
      </c>
      <c r="E3464" s="102">
        <v>340</v>
      </c>
      <c r="F3464" s="67">
        <f>IFERROR(IFERROR(INDEX(Кат!$A:$A,MATCH(Прайс!$B3464,Кат!$G:$G,0)),INDEX(Торг!$B:$B,MATCH(Прайс!$B3464,Торг!$H:$H,0))),"")</f>
        <v>264918</v>
      </c>
      <c r="G3464" s="67">
        <f>IFERROR(IFERROR(INDEX(Кат!$B:$B,MATCH(Прайс!$B3464,Кат!$G:$G,0)),INDEX(Торг!$C:$C,MATCH(Прайс!$B3464,Торг!$H:$H,0))),"")</f>
        <v>205005</v>
      </c>
      <c r="H3464" s="67" t="str">
        <f>IFERROR(IFERROR(INDEX(Кат!$I:$I,MATCH(Прайс!$B3464,Кат!$G:$G,0)),INDEX(Торг!$I:$I,MATCH(Прайс!$B3464,Торг!$H:$H,0))),"")</f>
        <v>кристал авто</v>
      </c>
    </row>
    <row r="3465" spans="1:8" x14ac:dyDescent="0.25">
      <c r="A3465" s="99" t="s">
        <v>4538</v>
      </c>
      <c r="B3465" s="108">
        <v>29259</v>
      </c>
      <c r="C3465" s="108" t="s">
        <v>1841</v>
      </c>
      <c r="D3465" s="101" t="s">
        <v>166</v>
      </c>
      <c r="E3465" s="102">
        <v>340</v>
      </c>
      <c r="F3465" s="67">
        <f>IFERROR(IFERROR(INDEX(Кат!$A:$A,MATCH(Прайс!$B3465,Кат!$G:$G,0)),INDEX(Торг!$B:$B,MATCH(Прайс!$B3465,Торг!$H:$H,0))),"")</f>
        <v>264919</v>
      </c>
      <c r="G3465" s="67">
        <f>IFERROR(IFERROR(INDEX(Кат!$B:$B,MATCH(Прайс!$B3465,Кат!$G:$G,0)),INDEX(Торг!$C:$C,MATCH(Прайс!$B3465,Торг!$H:$H,0))),"")</f>
        <v>205007</v>
      </c>
      <c r="H3465" s="67" t="str">
        <f>IFERROR(IFERROR(INDEX(Кат!$I:$I,MATCH(Прайс!$B3465,Кат!$G:$G,0)),INDEX(Торг!$I:$I,MATCH(Прайс!$B3465,Торг!$H:$H,0))),"")</f>
        <v>кристал авто</v>
      </c>
    </row>
    <row r="3466" spans="1:8" x14ac:dyDescent="0.25">
      <c r="A3466" s="99" t="s">
        <v>4539</v>
      </c>
      <c r="B3466" s="108">
        <v>29260</v>
      </c>
      <c r="C3466" s="108" t="s">
        <v>1842</v>
      </c>
      <c r="D3466" s="101" t="s">
        <v>166</v>
      </c>
      <c r="E3466" s="102">
        <v>340</v>
      </c>
      <c r="F3466" s="67" t="str">
        <f>IFERROR(IFERROR(INDEX(Кат!$A:$A,MATCH(Прайс!$B3466,Кат!$G:$G,0)),INDEX(Торг!$B:$B,MATCH(Прайс!$B3466,Торг!$H:$H,0))),"")</f>
        <v/>
      </c>
      <c r="G3466" s="67" t="str">
        <f>IFERROR(IFERROR(INDEX(Кат!$B:$B,MATCH(Прайс!$B3466,Кат!$G:$G,0)),INDEX(Торг!$C:$C,MATCH(Прайс!$B3466,Торг!$H:$H,0))),"")</f>
        <v/>
      </c>
      <c r="H3466" s="67" t="str">
        <f>IFERROR(IFERROR(INDEX(Кат!$I:$I,MATCH(Прайс!$B3466,Кат!$G:$G,0)),INDEX(Торг!$I:$I,MATCH(Прайс!$B3466,Торг!$H:$H,0))),"")</f>
        <v/>
      </c>
    </row>
    <row r="3467" spans="1:8" x14ac:dyDescent="0.25">
      <c r="A3467" s="99" t="s">
        <v>4540</v>
      </c>
      <c r="B3467" s="108">
        <v>29261</v>
      </c>
      <c r="C3467" s="108" t="s">
        <v>1843</v>
      </c>
      <c r="D3467" s="101" t="s">
        <v>166</v>
      </c>
      <c r="E3467" s="102">
        <v>350</v>
      </c>
      <c r="F3467" s="67" t="str">
        <f>IFERROR(IFERROR(INDEX(Кат!$A:$A,MATCH(Прайс!$B3467,Кат!$G:$G,0)),INDEX(Торг!$B:$B,MATCH(Прайс!$B3467,Торг!$H:$H,0))),"")</f>
        <v/>
      </c>
      <c r="G3467" s="67" t="str">
        <f>IFERROR(IFERROR(INDEX(Кат!$B:$B,MATCH(Прайс!$B3467,Кат!$G:$G,0)),INDEX(Торг!$C:$C,MATCH(Прайс!$B3467,Торг!$H:$H,0))),"")</f>
        <v/>
      </c>
      <c r="H3467" s="67" t="str">
        <f>IFERROR(IFERROR(INDEX(Кат!$I:$I,MATCH(Прайс!$B3467,Кат!$G:$G,0)),INDEX(Торг!$I:$I,MATCH(Прайс!$B3467,Торг!$H:$H,0))),"")</f>
        <v/>
      </c>
    </row>
    <row r="3468" spans="1:8" x14ac:dyDescent="0.25">
      <c r="A3468" s="99" t="s">
        <v>4541</v>
      </c>
      <c r="B3468" s="108">
        <v>29262</v>
      </c>
      <c r="C3468" s="108" t="s">
        <v>1844</v>
      </c>
      <c r="D3468" s="101" t="s">
        <v>166</v>
      </c>
      <c r="E3468" s="102">
        <v>350</v>
      </c>
      <c r="F3468" s="67" t="str">
        <f>IFERROR(IFERROR(INDEX(Кат!$A:$A,MATCH(Прайс!$B3468,Кат!$G:$G,0)),INDEX(Торг!$B:$B,MATCH(Прайс!$B3468,Торг!$H:$H,0))),"")</f>
        <v/>
      </c>
      <c r="G3468" s="67" t="str">
        <f>IFERROR(IFERROR(INDEX(Кат!$B:$B,MATCH(Прайс!$B3468,Кат!$G:$G,0)),INDEX(Торг!$C:$C,MATCH(Прайс!$B3468,Торг!$H:$H,0))),"")</f>
        <v/>
      </c>
      <c r="H3468" s="67" t="str">
        <f>IFERROR(IFERROR(INDEX(Кат!$I:$I,MATCH(Прайс!$B3468,Кат!$G:$G,0)),INDEX(Торг!$I:$I,MATCH(Прайс!$B3468,Торг!$H:$H,0))),"")</f>
        <v/>
      </c>
    </row>
    <row r="3469" spans="1:8" x14ac:dyDescent="0.25">
      <c r="A3469" s="99" t="s">
        <v>4542</v>
      </c>
      <c r="B3469" s="108">
        <v>29263</v>
      </c>
      <c r="C3469" s="108" t="s">
        <v>1845</v>
      </c>
      <c r="D3469" s="101" t="s">
        <v>166</v>
      </c>
      <c r="E3469" s="102">
        <v>350</v>
      </c>
      <c r="F3469" s="67" t="str">
        <f>IFERROR(IFERROR(INDEX(Кат!$A:$A,MATCH(Прайс!$B3469,Кат!$G:$G,0)),INDEX(Торг!$B:$B,MATCH(Прайс!$B3469,Торг!$H:$H,0))),"")</f>
        <v/>
      </c>
      <c r="G3469" s="67" t="str">
        <f>IFERROR(IFERROR(INDEX(Кат!$B:$B,MATCH(Прайс!$B3469,Кат!$G:$G,0)),INDEX(Торг!$C:$C,MATCH(Прайс!$B3469,Торг!$H:$H,0))),"")</f>
        <v/>
      </c>
      <c r="H3469" s="67" t="str">
        <f>IFERROR(IFERROR(INDEX(Кат!$I:$I,MATCH(Прайс!$B3469,Кат!$G:$G,0)),INDEX(Торг!$I:$I,MATCH(Прайс!$B3469,Торг!$H:$H,0))),"")</f>
        <v/>
      </c>
    </row>
    <row r="3470" spans="1:8" x14ac:dyDescent="0.25">
      <c r="A3470" s="99" t="s">
        <v>4543</v>
      </c>
      <c r="B3470" s="108">
        <v>29264</v>
      </c>
      <c r="C3470" s="108" t="s">
        <v>1846</v>
      </c>
      <c r="D3470" s="101" t="s">
        <v>166</v>
      </c>
      <c r="E3470" s="102">
        <v>370</v>
      </c>
      <c r="F3470" s="67" t="str">
        <f>IFERROR(IFERROR(INDEX(Кат!$A:$A,MATCH(Прайс!$B3470,Кат!$G:$G,0)),INDEX(Торг!$B:$B,MATCH(Прайс!$B3470,Торг!$H:$H,0))),"")</f>
        <v/>
      </c>
      <c r="G3470" s="67" t="str">
        <f>IFERROR(IFERROR(INDEX(Кат!$B:$B,MATCH(Прайс!$B3470,Кат!$G:$G,0)),INDEX(Торг!$C:$C,MATCH(Прайс!$B3470,Торг!$H:$H,0))),"")</f>
        <v/>
      </c>
      <c r="H3470" s="67" t="str">
        <f>IFERROR(IFERROR(INDEX(Кат!$I:$I,MATCH(Прайс!$B3470,Кат!$G:$G,0)),INDEX(Торг!$I:$I,MATCH(Прайс!$B3470,Торг!$H:$H,0))),"")</f>
        <v/>
      </c>
    </row>
    <row r="3471" spans="1:8" x14ac:dyDescent="0.25">
      <c r="A3471" s="99" t="s">
        <v>4544</v>
      </c>
      <c r="B3471" s="108">
        <v>29265</v>
      </c>
      <c r="C3471" s="108" t="s">
        <v>1847</v>
      </c>
      <c r="D3471" s="101" t="s">
        <v>166</v>
      </c>
      <c r="E3471" s="102">
        <v>370</v>
      </c>
      <c r="F3471" s="67" t="str">
        <f>IFERROR(IFERROR(INDEX(Кат!$A:$A,MATCH(Прайс!$B3471,Кат!$G:$G,0)),INDEX(Торг!$B:$B,MATCH(Прайс!$B3471,Торг!$H:$H,0))),"")</f>
        <v/>
      </c>
      <c r="G3471" s="67" t="str">
        <f>IFERROR(IFERROR(INDEX(Кат!$B:$B,MATCH(Прайс!$B3471,Кат!$G:$G,0)),INDEX(Торг!$C:$C,MATCH(Прайс!$B3471,Торг!$H:$H,0))),"")</f>
        <v/>
      </c>
      <c r="H3471" s="67" t="str">
        <f>IFERROR(IFERROR(INDEX(Кат!$I:$I,MATCH(Прайс!$B3471,Кат!$G:$G,0)),INDEX(Торг!$I:$I,MATCH(Прайс!$B3471,Торг!$H:$H,0))),"")</f>
        <v/>
      </c>
    </row>
    <row r="3472" spans="1:8" x14ac:dyDescent="0.25">
      <c r="A3472" s="99" t="s">
        <v>4545</v>
      </c>
      <c r="B3472" s="108">
        <v>29266</v>
      </c>
      <c r="C3472" s="108" t="s">
        <v>1848</v>
      </c>
      <c r="D3472" s="101" t="s">
        <v>166</v>
      </c>
      <c r="E3472" s="102">
        <v>380</v>
      </c>
      <c r="F3472" s="67" t="str">
        <f>IFERROR(IFERROR(INDEX(Кат!$A:$A,MATCH(Прайс!$B3472,Кат!$G:$G,0)),INDEX(Торг!$B:$B,MATCH(Прайс!$B3472,Торг!$H:$H,0))),"")</f>
        <v/>
      </c>
      <c r="G3472" s="67" t="str">
        <f>IFERROR(IFERROR(INDEX(Кат!$B:$B,MATCH(Прайс!$B3472,Кат!$G:$G,0)),INDEX(Торг!$C:$C,MATCH(Прайс!$B3472,Торг!$H:$H,0))),"")</f>
        <v/>
      </c>
      <c r="H3472" s="67" t="str">
        <f>IFERROR(IFERROR(INDEX(Кат!$I:$I,MATCH(Прайс!$B3472,Кат!$G:$G,0)),INDEX(Торг!$I:$I,MATCH(Прайс!$B3472,Торг!$H:$H,0))),"")</f>
        <v/>
      </c>
    </row>
    <row r="3473" spans="1:8" x14ac:dyDescent="0.25">
      <c r="A3473" s="99" t="s">
        <v>4546</v>
      </c>
      <c r="B3473" s="108">
        <v>29267</v>
      </c>
      <c r="C3473" s="108" t="s">
        <v>1849</v>
      </c>
      <c r="D3473" s="101" t="s">
        <v>166</v>
      </c>
      <c r="E3473" s="102">
        <v>400</v>
      </c>
      <c r="F3473" s="67" t="str">
        <f>IFERROR(IFERROR(INDEX(Кат!$A:$A,MATCH(Прайс!$B3473,Кат!$G:$G,0)),INDEX(Торг!$B:$B,MATCH(Прайс!$B3473,Торг!$H:$H,0))),"")</f>
        <v/>
      </c>
      <c r="G3473" s="67" t="str">
        <f>IFERROR(IFERROR(INDEX(Кат!$B:$B,MATCH(Прайс!$B3473,Кат!$G:$G,0)),INDEX(Торг!$C:$C,MATCH(Прайс!$B3473,Торг!$H:$H,0))),"")</f>
        <v/>
      </c>
      <c r="H3473" s="67" t="str">
        <f>IFERROR(IFERROR(INDEX(Кат!$I:$I,MATCH(Прайс!$B3473,Кат!$G:$G,0)),INDEX(Торг!$I:$I,MATCH(Прайс!$B3473,Торг!$H:$H,0))),"")</f>
        <v/>
      </c>
    </row>
    <row r="3474" spans="1:8" x14ac:dyDescent="0.25">
      <c r="A3474" s="99" t="s">
        <v>4962</v>
      </c>
      <c r="B3474" s="108">
        <v>29319</v>
      </c>
      <c r="C3474" s="108" t="s">
        <v>4963</v>
      </c>
      <c r="D3474" s="101" t="s">
        <v>159</v>
      </c>
      <c r="E3474" s="102">
        <v>120</v>
      </c>
      <c r="F3474" s="67" t="str">
        <f>IFERROR(IFERROR(INDEX(Кат!$A:$A,MATCH(Прайс!$B3474,Кат!$G:$G,0)),INDEX(Торг!$B:$B,MATCH(Прайс!$B3474,Торг!$H:$H,0))),"")</f>
        <v/>
      </c>
      <c r="G3474" s="67" t="str">
        <f>IFERROR(IFERROR(INDEX(Кат!$B:$B,MATCH(Прайс!$B3474,Кат!$G:$G,0)),INDEX(Торг!$C:$C,MATCH(Прайс!$B3474,Торг!$H:$H,0))),"")</f>
        <v/>
      </c>
      <c r="H3474" s="67" t="str">
        <f>IFERROR(IFERROR(INDEX(Кат!$I:$I,MATCH(Прайс!$B3474,Кат!$G:$G,0)),INDEX(Торг!$I:$I,MATCH(Прайс!$B3474,Торг!$H:$H,0))),"")</f>
        <v/>
      </c>
    </row>
    <row r="3475" spans="1:8" x14ac:dyDescent="0.25">
      <c r="A3475" s="99" t="s">
        <v>7937</v>
      </c>
      <c r="B3475" s="108">
        <v>29149</v>
      </c>
      <c r="C3475" s="108" t="s">
        <v>7938</v>
      </c>
      <c r="D3475" s="101" t="s">
        <v>159</v>
      </c>
      <c r="E3475" s="102">
        <v>120</v>
      </c>
      <c r="F3475" s="67" t="str">
        <f>IFERROR(IFERROR(INDEX(Кат!$A:$A,MATCH(Прайс!$B3475,Кат!$G:$G,0)),INDEX(Торг!$B:$B,MATCH(Прайс!$B3475,Торг!$H:$H,0))),"")</f>
        <v/>
      </c>
      <c r="G3475" s="67" t="str">
        <f>IFERROR(IFERROR(INDEX(Кат!$B:$B,MATCH(Прайс!$B3475,Кат!$G:$G,0)),INDEX(Торг!$C:$C,MATCH(Прайс!$B3475,Торг!$H:$H,0))),"")</f>
        <v/>
      </c>
      <c r="H3475" s="67" t="str">
        <f>IFERROR(IFERROR(INDEX(Кат!$I:$I,MATCH(Прайс!$B3475,Кат!$G:$G,0)),INDEX(Торг!$I:$I,MATCH(Прайс!$B3475,Торг!$H:$H,0))),"")</f>
        <v/>
      </c>
    </row>
    <row r="3476" spans="1:8" x14ac:dyDescent="0.25">
      <c r="A3476" s="99" t="s">
        <v>4547</v>
      </c>
      <c r="B3476" s="108">
        <v>29151</v>
      </c>
      <c r="C3476" s="108" t="s">
        <v>1850</v>
      </c>
      <c r="D3476" s="101" t="s">
        <v>159</v>
      </c>
      <c r="E3476" s="102">
        <v>120</v>
      </c>
      <c r="F3476" s="67" t="str">
        <f>IFERROR(IFERROR(INDEX(Кат!$A:$A,MATCH(Прайс!$B3476,Кат!$G:$G,0)),INDEX(Торг!$B:$B,MATCH(Прайс!$B3476,Торг!$H:$H,0))),"")</f>
        <v/>
      </c>
      <c r="G3476" s="67" t="str">
        <f>IFERROR(IFERROR(INDEX(Кат!$B:$B,MATCH(Прайс!$B3476,Кат!$G:$G,0)),INDEX(Торг!$C:$C,MATCH(Прайс!$B3476,Торг!$H:$H,0))),"")</f>
        <v/>
      </c>
      <c r="H3476" s="67" t="str">
        <f>IFERROR(IFERROR(INDEX(Кат!$I:$I,MATCH(Прайс!$B3476,Кат!$G:$G,0)),INDEX(Торг!$I:$I,MATCH(Прайс!$B3476,Торг!$H:$H,0))),"")</f>
        <v/>
      </c>
    </row>
    <row r="3477" spans="1:8" x14ac:dyDescent="0.25">
      <c r="A3477" s="99" t="s">
        <v>4548</v>
      </c>
      <c r="B3477" s="108">
        <v>29153</v>
      </c>
      <c r="C3477" s="108" t="s">
        <v>1851</v>
      </c>
      <c r="D3477" s="101" t="s">
        <v>159</v>
      </c>
      <c r="E3477" s="102">
        <v>120</v>
      </c>
      <c r="F3477" s="67" t="str">
        <f>IFERROR(IFERROR(INDEX(Кат!$A:$A,MATCH(Прайс!$B3477,Кат!$G:$G,0)),INDEX(Торг!$B:$B,MATCH(Прайс!$B3477,Торг!$H:$H,0))),"")</f>
        <v/>
      </c>
      <c r="G3477" s="67" t="str">
        <f>IFERROR(IFERROR(INDEX(Кат!$B:$B,MATCH(Прайс!$B3477,Кат!$G:$G,0)),INDEX(Торг!$C:$C,MATCH(Прайс!$B3477,Торг!$H:$H,0))),"")</f>
        <v/>
      </c>
      <c r="H3477" s="67" t="str">
        <f>IFERROR(IFERROR(INDEX(Кат!$I:$I,MATCH(Прайс!$B3477,Кат!$G:$G,0)),INDEX(Торг!$I:$I,MATCH(Прайс!$B3477,Торг!$H:$H,0))),"")</f>
        <v/>
      </c>
    </row>
    <row r="3478" spans="1:8" x14ac:dyDescent="0.25">
      <c r="A3478" s="99" t="s">
        <v>5473</v>
      </c>
      <c r="B3478" s="108">
        <v>29154</v>
      </c>
      <c r="C3478" s="108" t="s">
        <v>5474</v>
      </c>
      <c r="D3478" s="101" t="s">
        <v>159</v>
      </c>
      <c r="E3478" s="102">
        <v>120</v>
      </c>
      <c r="F3478" s="67" t="str">
        <f>IFERROR(IFERROR(INDEX(Кат!$A:$A,MATCH(Прайс!$B3478,Кат!$G:$G,0)),INDEX(Торг!$B:$B,MATCH(Прайс!$B3478,Торг!$H:$H,0))),"")</f>
        <v/>
      </c>
      <c r="G3478" s="67" t="str">
        <f>IFERROR(IFERROR(INDEX(Кат!$B:$B,MATCH(Прайс!$B3478,Кат!$G:$G,0)),INDEX(Торг!$C:$C,MATCH(Прайс!$B3478,Торг!$H:$H,0))),"")</f>
        <v/>
      </c>
      <c r="H3478" s="67" t="str">
        <f>IFERROR(IFERROR(INDEX(Кат!$I:$I,MATCH(Прайс!$B3478,Кат!$G:$G,0)),INDEX(Торг!$I:$I,MATCH(Прайс!$B3478,Торг!$H:$H,0))),"")</f>
        <v/>
      </c>
    </row>
    <row r="3479" spans="1:8" x14ac:dyDescent="0.25">
      <c r="A3479" s="99" t="s">
        <v>4549</v>
      </c>
      <c r="B3479" s="108">
        <v>29155</v>
      </c>
      <c r="C3479" s="108" t="s">
        <v>1852</v>
      </c>
      <c r="D3479" s="101" t="s">
        <v>159</v>
      </c>
      <c r="E3479" s="102">
        <v>120</v>
      </c>
      <c r="F3479" s="67" t="str">
        <f>IFERROR(IFERROR(INDEX(Кат!$A:$A,MATCH(Прайс!$B3479,Кат!$G:$G,0)),INDEX(Торг!$B:$B,MATCH(Прайс!$B3479,Торг!$H:$H,0))),"")</f>
        <v/>
      </c>
      <c r="G3479" s="67" t="str">
        <f>IFERROR(IFERROR(INDEX(Кат!$B:$B,MATCH(Прайс!$B3479,Кат!$G:$G,0)),INDEX(Торг!$C:$C,MATCH(Прайс!$B3479,Торг!$H:$H,0))),"")</f>
        <v/>
      </c>
      <c r="H3479" s="67" t="str">
        <f>IFERROR(IFERROR(INDEX(Кат!$I:$I,MATCH(Прайс!$B3479,Кат!$G:$G,0)),INDEX(Торг!$I:$I,MATCH(Прайс!$B3479,Торг!$H:$H,0))),"")</f>
        <v/>
      </c>
    </row>
    <row r="3480" spans="1:8" x14ac:dyDescent="0.25">
      <c r="A3480" s="99" t="s">
        <v>4550</v>
      </c>
      <c r="B3480" s="108">
        <v>29156</v>
      </c>
      <c r="C3480" s="108" t="s">
        <v>1853</v>
      </c>
      <c r="D3480" s="101" t="s">
        <v>159</v>
      </c>
      <c r="E3480" s="102">
        <v>120</v>
      </c>
      <c r="F3480" s="67" t="str">
        <f>IFERROR(IFERROR(INDEX(Кат!$A:$A,MATCH(Прайс!$B3480,Кат!$G:$G,0)),INDEX(Торг!$B:$B,MATCH(Прайс!$B3480,Торг!$H:$H,0))),"")</f>
        <v/>
      </c>
      <c r="G3480" s="67" t="str">
        <f>IFERROR(IFERROR(INDEX(Кат!$B:$B,MATCH(Прайс!$B3480,Кат!$G:$G,0)),INDEX(Торг!$C:$C,MATCH(Прайс!$B3480,Торг!$H:$H,0))),"")</f>
        <v/>
      </c>
      <c r="H3480" s="67" t="str">
        <f>IFERROR(IFERROR(INDEX(Кат!$I:$I,MATCH(Прайс!$B3480,Кат!$G:$G,0)),INDEX(Торг!$I:$I,MATCH(Прайс!$B3480,Торг!$H:$H,0))),"")</f>
        <v/>
      </c>
    </row>
    <row r="3481" spans="1:8" x14ac:dyDescent="0.25">
      <c r="A3481" s="99" t="s">
        <v>4551</v>
      </c>
      <c r="B3481" s="108">
        <v>29157</v>
      </c>
      <c r="C3481" s="108" t="s">
        <v>1854</v>
      </c>
      <c r="D3481" s="101" t="s">
        <v>159</v>
      </c>
      <c r="E3481" s="102">
        <v>120</v>
      </c>
      <c r="F3481" s="67" t="str">
        <f>IFERROR(IFERROR(INDEX(Кат!$A:$A,MATCH(Прайс!$B3481,Кат!$G:$G,0)),INDEX(Торг!$B:$B,MATCH(Прайс!$B3481,Торг!$H:$H,0))),"")</f>
        <v/>
      </c>
      <c r="G3481" s="67" t="str">
        <f>IFERROR(IFERROR(INDEX(Кат!$B:$B,MATCH(Прайс!$B3481,Кат!$G:$G,0)),INDEX(Торг!$C:$C,MATCH(Прайс!$B3481,Торг!$H:$H,0))),"")</f>
        <v/>
      </c>
      <c r="H3481" s="67" t="str">
        <f>IFERROR(IFERROR(INDEX(Кат!$I:$I,MATCH(Прайс!$B3481,Кат!$G:$G,0)),INDEX(Торг!$I:$I,MATCH(Прайс!$B3481,Торг!$H:$H,0))),"")</f>
        <v/>
      </c>
    </row>
    <row r="3482" spans="1:8" x14ac:dyDescent="0.25">
      <c r="A3482" s="99" t="s">
        <v>4552</v>
      </c>
      <c r="B3482" s="108">
        <v>29158</v>
      </c>
      <c r="C3482" s="108" t="s">
        <v>1855</v>
      </c>
      <c r="D3482" s="101" t="s">
        <v>159</v>
      </c>
      <c r="E3482" s="102">
        <v>120</v>
      </c>
      <c r="F3482" s="67" t="str">
        <f>IFERROR(IFERROR(INDEX(Кат!$A:$A,MATCH(Прайс!$B3482,Кат!$G:$G,0)),INDEX(Торг!$B:$B,MATCH(Прайс!$B3482,Торг!$H:$H,0))),"")</f>
        <v/>
      </c>
      <c r="G3482" s="67" t="str">
        <f>IFERROR(IFERROR(INDEX(Кат!$B:$B,MATCH(Прайс!$B3482,Кат!$G:$G,0)),INDEX(Торг!$C:$C,MATCH(Прайс!$B3482,Торг!$H:$H,0))),"")</f>
        <v/>
      </c>
      <c r="H3482" s="67" t="str">
        <f>IFERROR(IFERROR(INDEX(Кат!$I:$I,MATCH(Прайс!$B3482,Кат!$G:$G,0)),INDEX(Торг!$I:$I,MATCH(Прайс!$B3482,Торг!$H:$H,0))),"")</f>
        <v/>
      </c>
    </row>
    <row r="3483" spans="1:8" x14ac:dyDescent="0.25">
      <c r="A3483" s="99" t="s">
        <v>4553</v>
      </c>
      <c r="B3483" s="108">
        <v>29159</v>
      </c>
      <c r="C3483" s="108" t="s">
        <v>1856</v>
      </c>
      <c r="D3483" s="101" t="s">
        <v>159</v>
      </c>
      <c r="E3483" s="102">
        <v>120</v>
      </c>
      <c r="F3483" s="67" t="str">
        <f>IFERROR(IFERROR(INDEX(Кат!$A:$A,MATCH(Прайс!$B3483,Кат!$G:$G,0)),INDEX(Торг!$B:$B,MATCH(Прайс!$B3483,Торг!$H:$H,0))),"")</f>
        <v/>
      </c>
      <c r="G3483" s="67" t="str">
        <f>IFERROR(IFERROR(INDEX(Кат!$B:$B,MATCH(Прайс!$B3483,Кат!$G:$G,0)),INDEX(Торг!$C:$C,MATCH(Прайс!$B3483,Торг!$H:$H,0))),"")</f>
        <v/>
      </c>
      <c r="H3483" s="67" t="str">
        <f>IFERROR(IFERROR(INDEX(Кат!$I:$I,MATCH(Прайс!$B3483,Кат!$G:$G,0)),INDEX(Торг!$I:$I,MATCH(Прайс!$B3483,Торг!$H:$H,0))),"")</f>
        <v/>
      </c>
    </row>
    <row r="3484" spans="1:8" x14ac:dyDescent="0.25">
      <c r="A3484" s="99" t="s">
        <v>5475</v>
      </c>
      <c r="B3484" s="108">
        <v>29160</v>
      </c>
      <c r="C3484" s="108" t="s">
        <v>5476</v>
      </c>
      <c r="D3484" s="101" t="s">
        <v>159</v>
      </c>
      <c r="E3484" s="102">
        <v>120</v>
      </c>
      <c r="F3484" s="67" t="str">
        <f>IFERROR(IFERROR(INDEX(Кат!$A:$A,MATCH(Прайс!$B3484,Кат!$G:$G,0)),INDEX(Торг!$B:$B,MATCH(Прайс!$B3484,Торг!$H:$H,0))),"")</f>
        <v/>
      </c>
      <c r="G3484" s="67" t="str">
        <f>IFERROR(IFERROR(INDEX(Кат!$B:$B,MATCH(Прайс!$B3484,Кат!$G:$G,0)),INDEX(Торг!$C:$C,MATCH(Прайс!$B3484,Торг!$H:$H,0))),"")</f>
        <v/>
      </c>
      <c r="H3484" s="67" t="str">
        <f>IFERROR(IFERROR(INDEX(Кат!$I:$I,MATCH(Прайс!$B3484,Кат!$G:$G,0)),INDEX(Торг!$I:$I,MATCH(Прайс!$B3484,Торг!$H:$H,0))),"")</f>
        <v/>
      </c>
    </row>
    <row r="3485" spans="1:8" x14ac:dyDescent="0.25">
      <c r="A3485" s="99" t="s">
        <v>4554</v>
      </c>
      <c r="B3485" s="108">
        <v>29246</v>
      </c>
      <c r="C3485" s="108" t="s">
        <v>1857</v>
      </c>
      <c r="D3485" s="101" t="s">
        <v>159</v>
      </c>
      <c r="E3485" s="102">
        <v>120</v>
      </c>
      <c r="F3485" s="67" t="str">
        <f>IFERROR(IFERROR(INDEX(Кат!$A:$A,MATCH(Прайс!$B3485,Кат!$G:$G,0)),INDEX(Торг!$B:$B,MATCH(Прайс!$B3485,Торг!$H:$H,0))),"")</f>
        <v/>
      </c>
      <c r="G3485" s="67" t="str">
        <f>IFERROR(IFERROR(INDEX(Кат!$B:$B,MATCH(Прайс!$B3485,Кат!$G:$G,0)),INDEX(Торг!$C:$C,MATCH(Прайс!$B3485,Торг!$H:$H,0))),"")</f>
        <v/>
      </c>
      <c r="H3485" s="67" t="str">
        <f>IFERROR(IFERROR(INDEX(Кат!$I:$I,MATCH(Прайс!$B3485,Кат!$G:$G,0)),INDEX(Торг!$I:$I,MATCH(Прайс!$B3485,Торг!$H:$H,0))),"")</f>
        <v/>
      </c>
    </row>
    <row r="3486" spans="1:8" x14ac:dyDescent="0.25">
      <c r="A3486" s="99" t="s">
        <v>4555</v>
      </c>
      <c r="B3486" s="108">
        <v>29161</v>
      </c>
      <c r="C3486" s="108" t="s">
        <v>1858</v>
      </c>
      <c r="D3486" s="101" t="s">
        <v>159</v>
      </c>
      <c r="E3486" s="102">
        <v>120</v>
      </c>
      <c r="F3486" s="67" t="str">
        <f>IFERROR(IFERROR(INDEX(Кат!$A:$A,MATCH(Прайс!$B3486,Кат!$G:$G,0)),INDEX(Торг!$B:$B,MATCH(Прайс!$B3486,Торг!$H:$H,0))),"")</f>
        <v/>
      </c>
      <c r="G3486" s="67" t="str">
        <f>IFERROR(IFERROR(INDEX(Кат!$B:$B,MATCH(Прайс!$B3486,Кат!$G:$G,0)),INDEX(Торг!$C:$C,MATCH(Прайс!$B3486,Торг!$H:$H,0))),"")</f>
        <v/>
      </c>
      <c r="H3486" s="67" t="str">
        <f>IFERROR(IFERROR(INDEX(Кат!$I:$I,MATCH(Прайс!$B3486,Кат!$G:$G,0)),INDEX(Торг!$I:$I,MATCH(Прайс!$B3486,Торг!$H:$H,0))),"")</f>
        <v/>
      </c>
    </row>
    <row r="3487" spans="1:8" x14ac:dyDescent="0.25">
      <c r="A3487" s="99" t="s">
        <v>4556</v>
      </c>
      <c r="B3487" s="108">
        <v>29162</v>
      </c>
      <c r="C3487" s="108" t="s">
        <v>1859</v>
      </c>
      <c r="D3487" s="101" t="s">
        <v>159</v>
      </c>
      <c r="E3487" s="102">
        <v>120</v>
      </c>
      <c r="F3487" s="67" t="str">
        <f>IFERROR(IFERROR(INDEX(Кат!$A:$A,MATCH(Прайс!$B3487,Кат!$G:$G,0)),INDEX(Торг!$B:$B,MATCH(Прайс!$B3487,Торг!$H:$H,0))),"")</f>
        <v/>
      </c>
      <c r="G3487" s="67" t="str">
        <f>IFERROR(IFERROR(INDEX(Кат!$B:$B,MATCH(Прайс!$B3487,Кат!$G:$G,0)),INDEX(Торг!$C:$C,MATCH(Прайс!$B3487,Торг!$H:$H,0))),"")</f>
        <v/>
      </c>
      <c r="H3487" s="67" t="str">
        <f>IFERROR(IFERROR(INDEX(Кат!$I:$I,MATCH(Прайс!$B3487,Кат!$G:$G,0)),INDEX(Торг!$I:$I,MATCH(Прайс!$B3487,Торг!$H:$H,0))),"")</f>
        <v/>
      </c>
    </row>
    <row r="3488" spans="1:8" x14ac:dyDescent="0.25">
      <c r="A3488" s="99" t="s">
        <v>4557</v>
      </c>
      <c r="B3488" s="108">
        <v>29163</v>
      </c>
      <c r="C3488" s="108" t="s">
        <v>1860</v>
      </c>
      <c r="D3488" s="101" t="s">
        <v>159</v>
      </c>
      <c r="E3488" s="102">
        <v>120</v>
      </c>
      <c r="F3488" s="67" t="str">
        <f>IFERROR(IFERROR(INDEX(Кат!$A:$A,MATCH(Прайс!$B3488,Кат!$G:$G,0)),INDEX(Торг!$B:$B,MATCH(Прайс!$B3488,Торг!$H:$H,0))),"")</f>
        <v/>
      </c>
      <c r="G3488" s="67" t="str">
        <f>IFERROR(IFERROR(INDEX(Кат!$B:$B,MATCH(Прайс!$B3488,Кат!$G:$G,0)),INDEX(Торг!$C:$C,MATCH(Прайс!$B3488,Торг!$H:$H,0))),"")</f>
        <v/>
      </c>
      <c r="H3488" s="67" t="str">
        <f>IFERROR(IFERROR(INDEX(Кат!$I:$I,MATCH(Прайс!$B3488,Кат!$G:$G,0)),INDEX(Торг!$I:$I,MATCH(Прайс!$B3488,Торг!$H:$H,0))),"")</f>
        <v/>
      </c>
    </row>
    <row r="3489" spans="1:8" x14ac:dyDescent="0.25">
      <c r="A3489" s="103" t="s">
        <v>4662</v>
      </c>
      <c r="B3489" s="104">
        <v>29188</v>
      </c>
      <c r="C3489" s="104" t="s">
        <v>5368</v>
      </c>
      <c r="D3489" s="105" t="s">
        <v>159</v>
      </c>
      <c r="E3489" s="113">
        <v>100</v>
      </c>
      <c r="F3489" s="67" t="str">
        <f>IFERROR(IFERROR(INDEX(Кат!$A:$A,MATCH(Прайс!$B3489,Кат!$G:$G,0)),INDEX(Торг!$B:$B,MATCH(Прайс!$B3489,Торг!$H:$H,0))),"")</f>
        <v/>
      </c>
      <c r="G3489" s="67" t="str">
        <f>IFERROR(IFERROR(INDEX(Кат!$B:$B,MATCH(Прайс!$B3489,Кат!$G:$G,0)),INDEX(Торг!$C:$C,MATCH(Прайс!$B3489,Торг!$H:$H,0))),"")</f>
        <v/>
      </c>
      <c r="H3489" s="67" t="str">
        <f>IFERROR(IFERROR(INDEX(Кат!$I:$I,MATCH(Прайс!$B3489,Кат!$G:$G,0)),INDEX(Торг!$I:$I,MATCH(Прайс!$B3489,Торг!$H:$H,0))),"")</f>
        <v/>
      </c>
    </row>
    <row r="3490" spans="1:8" x14ac:dyDescent="0.25">
      <c r="A3490" s="103" t="s">
        <v>5369</v>
      </c>
      <c r="B3490" s="104">
        <v>29322</v>
      </c>
      <c r="C3490" s="104" t="s">
        <v>5370</v>
      </c>
      <c r="D3490" s="105" t="s">
        <v>159</v>
      </c>
      <c r="E3490" s="113">
        <v>50</v>
      </c>
      <c r="F3490" s="67" t="str">
        <f>IFERROR(IFERROR(INDEX(Кат!$A:$A,MATCH(Прайс!$B3490,Кат!$G:$G,0)),INDEX(Торг!$B:$B,MATCH(Прайс!$B3490,Торг!$H:$H,0))),"")</f>
        <v/>
      </c>
      <c r="G3490" s="67" t="str">
        <f>IFERROR(IFERROR(INDEX(Кат!$B:$B,MATCH(Прайс!$B3490,Кат!$G:$G,0)),INDEX(Торг!$C:$C,MATCH(Прайс!$B3490,Торг!$H:$H,0))),"")</f>
        <v/>
      </c>
      <c r="H3490" s="67" t="str">
        <f>IFERROR(IFERROR(INDEX(Кат!$I:$I,MATCH(Прайс!$B3490,Кат!$G:$G,0)),INDEX(Торг!$I:$I,MATCH(Прайс!$B3490,Торг!$H:$H,0))),"")</f>
        <v/>
      </c>
    </row>
    <row r="3491" spans="1:8" x14ac:dyDescent="0.25">
      <c r="A3491" s="103" t="s">
        <v>5371</v>
      </c>
      <c r="B3491" s="104">
        <v>29323</v>
      </c>
      <c r="C3491" s="104" t="s">
        <v>5372</v>
      </c>
      <c r="D3491" s="105" t="s">
        <v>159</v>
      </c>
      <c r="E3491" s="113">
        <v>50</v>
      </c>
      <c r="F3491" s="67" t="str">
        <f>IFERROR(IFERROR(INDEX(Кат!$A:$A,MATCH(Прайс!$B3491,Кат!$G:$G,0)),INDEX(Торг!$B:$B,MATCH(Прайс!$B3491,Торг!$H:$H,0))),"")</f>
        <v/>
      </c>
      <c r="G3491" s="67" t="str">
        <f>IFERROR(IFERROR(INDEX(Кат!$B:$B,MATCH(Прайс!$B3491,Кат!$G:$G,0)),INDEX(Торг!$C:$C,MATCH(Прайс!$B3491,Торг!$H:$H,0))),"")</f>
        <v/>
      </c>
      <c r="H3491" s="67" t="str">
        <f>IFERROR(IFERROR(INDEX(Кат!$I:$I,MATCH(Прайс!$B3491,Кат!$G:$G,0)),INDEX(Торг!$I:$I,MATCH(Прайс!$B3491,Торг!$H:$H,0))),"")</f>
        <v/>
      </c>
    </row>
    <row r="3492" spans="1:8" x14ac:dyDescent="0.25">
      <c r="A3492" s="103" t="s">
        <v>5477</v>
      </c>
      <c r="B3492" s="104">
        <v>29324</v>
      </c>
      <c r="C3492" s="104" t="s">
        <v>5478</v>
      </c>
      <c r="D3492" s="105" t="s">
        <v>159</v>
      </c>
      <c r="E3492" s="113">
        <v>50</v>
      </c>
      <c r="F3492" s="67" t="str">
        <f>IFERROR(IFERROR(INDEX(Кат!$A:$A,MATCH(Прайс!$B3492,Кат!$G:$G,0)),INDEX(Торг!$B:$B,MATCH(Прайс!$B3492,Торг!$H:$H,0))),"")</f>
        <v/>
      </c>
      <c r="G3492" s="67" t="str">
        <f>IFERROR(IFERROR(INDEX(Кат!$B:$B,MATCH(Прайс!$B3492,Кат!$G:$G,0)),INDEX(Торг!$C:$C,MATCH(Прайс!$B3492,Торг!$H:$H,0))),"")</f>
        <v/>
      </c>
      <c r="H3492" s="67" t="str">
        <f>IFERROR(IFERROR(INDEX(Кат!$I:$I,MATCH(Прайс!$B3492,Кат!$G:$G,0)),INDEX(Торг!$I:$I,MATCH(Прайс!$B3492,Торг!$H:$H,0))),"")</f>
        <v/>
      </c>
    </row>
    <row r="3493" spans="1:8" x14ac:dyDescent="0.25">
      <c r="A3493" s="103" t="s">
        <v>5479</v>
      </c>
      <c r="B3493" s="104">
        <v>29325</v>
      </c>
      <c r="C3493" s="104" t="s">
        <v>5480</v>
      </c>
      <c r="D3493" s="105" t="s">
        <v>159</v>
      </c>
      <c r="E3493" s="113">
        <v>50</v>
      </c>
      <c r="F3493" s="67" t="str">
        <f>IFERROR(IFERROR(INDEX(Кат!$A:$A,MATCH(Прайс!$B3493,Кат!$G:$G,0)),INDEX(Торг!$B:$B,MATCH(Прайс!$B3493,Торг!$H:$H,0))),"")</f>
        <v/>
      </c>
      <c r="G3493" s="67" t="str">
        <f>IFERROR(IFERROR(INDEX(Кат!$B:$B,MATCH(Прайс!$B3493,Кат!$G:$G,0)),INDEX(Торг!$C:$C,MATCH(Прайс!$B3493,Торг!$H:$H,0))),"")</f>
        <v/>
      </c>
      <c r="H3493" s="67" t="str">
        <f>IFERROR(IFERROR(INDEX(Кат!$I:$I,MATCH(Прайс!$B3493,Кат!$G:$G,0)),INDEX(Торг!$I:$I,MATCH(Прайс!$B3493,Торг!$H:$H,0))),"")</f>
        <v/>
      </c>
    </row>
    <row r="3494" spans="1:8" ht="15.75" x14ac:dyDescent="0.25">
      <c r="A3494" s="90"/>
      <c r="B3494" s="91"/>
      <c r="C3494" s="92" t="s">
        <v>1861</v>
      </c>
      <c r="D3494" s="91"/>
      <c r="E3494" s="93"/>
      <c r="F3494" s="67" t="str">
        <f>IFERROR(IFERROR(INDEX(Кат!$A:$A,MATCH(Прайс!$B3494,Кат!$G:$G,0)),INDEX(Торг!$B:$B,MATCH(Прайс!$B3494,Торг!$H:$H,0))),"")</f>
        <v/>
      </c>
      <c r="G3494" s="67" t="str">
        <f>IFERROR(IFERROR(INDEX(Кат!$B:$B,MATCH(Прайс!$B3494,Кат!$G:$G,0)),INDEX(Торг!$C:$C,MATCH(Прайс!$B3494,Торг!$H:$H,0))),"")</f>
        <v/>
      </c>
      <c r="H3494" s="67" t="str">
        <f>IFERROR(IFERROR(INDEX(Кат!$I:$I,MATCH(Прайс!$B3494,Кат!$G:$G,0)),INDEX(Торг!$I:$I,MATCH(Прайс!$B3494,Торг!$H:$H,0))),"")</f>
        <v/>
      </c>
    </row>
    <row r="3495" spans="1:8" x14ac:dyDescent="0.25">
      <c r="A3495" s="99" t="s">
        <v>4558</v>
      </c>
      <c r="B3495" s="108">
        <v>29208</v>
      </c>
      <c r="C3495" s="108" t="s">
        <v>1862</v>
      </c>
      <c r="D3495" s="101" t="s">
        <v>159</v>
      </c>
      <c r="E3495" s="102">
        <v>360</v>
      </c>
      <c r="F3495" s="67" t="str">
        <f>IFERROR(IFERROR(INDEX(Кат!$A:$A,MATCH(Прайс!$B3495,Кат!$G:$G,0)),INDEX(Торг!$B:$B,MATCH(Прайс!$B3495,Торг!$H:$H,0))),"")</f>
        <v/>
      </c>
      <c r="G3495" s="67" t="str">
        <f>IFERROR(IFERROR(INDEX(Кат!$B:$B,MATCH(Прайс!$B3495,Кат!$G:$G,0)),INDEX(Торг!$C:$C,MATCH(Прайс!$B3495,Торг!$H:$H,0))),"")</f>
        <v/>
      </c>
      <c r="H3495" s="67" t="str">
        <f>IFERROR(IFERROR(INDEX(Кат!$I:$I,MATCH(Прайс!$B3495,Кат!$G:$G,0)),INDEX(Торг!$I:$I,MATCH(Прайс!$B3495,Торг!$H:$H,0))),"")</f>
        <v/>
      </c>
    </row>
    <row r="3496" spans="1:8" x14ac:dyDescent="0.25">
      <c r="A3496" s="99" t="s">
        <v>4559</v>
      </c>
      <c r="B3496" s="108">
        <v>29209</v>
      </c>
      <c r="C3496" s="108" t="s">
        <v>1863</v>
      </c>
      <c r="D3496" s="101" t="s">
        <v>159</v>
      </c>
      <c r="E3496" s="102">
        <v>360</v>
      </c>
      <c r="F3496" s="67" t="str">
        <f>IFERROR(IFERROR(INDEX(Кат!$A:$A,MATCH(Прайс!$B3496,Кат!$G:$G,0)),INDEX(Торг!$B:$B,MATCH(Прайс!$B3496,Торг!$H:$H,0))),"")</f>
        <v/>
      </c>
      <c r="G3496" s="67" t="str">
        <f>IFERROR(IFERROR(INDEX(Кат!$B:$B,MATCH(Прайс!$B3496,Кат!$G:$G,0)),INDEX(Торг!$C:$C,MATCH(Прайс!$B3496,Торг!$H:$H,0))),"")</f>
        <v/>
      </c>
      <c r="H3496" s="67" t="str">
        <f>IFERROR(IFERROR(INDEX(Кат!$I:$I,MATCH(Прайс!$B3496,Кат!$G:$G,0)),INDEX(Торг!$I:$I,MATCH(Прайс!$B3496,Торг!$H:$H,0))),"")</f>
        <v/>
      </c>
    </row>
    <row r="3497" spans="1:8" x14ac:dyDescent="0.25">
      <c r="A3497" s="99" t="s">
        <v>4560</v>
      </c>
      <c r="B3497" s="108">
        <v>29210</v>
      </c>
      <c r="C3497" s="108" t="s">
        <v>1864</v>
      </c>
      <c r="D3497" s="101" t="s">
        <v>159</v>
      </c>
      <c r="E3497" s="102">
        <v>360</v>
      </c>
      <c r="F3497" s="67">
        <f>IFERROR(IFERROR(INDEX(Кат!$A:$A,MATCH(Прайс!$B3497,Кат!$G:$G,0)),INDEX(Торг!$B:$B,MATCH(Прайс!$B3497,Торг!$H:$H,0))),"")</f>
        <v>226734</v>
      </c>
      <c r="G3497" s="67">
        <f>IFERROR(IFERROR(INDEX(Кат!$B:$B,MATCH(Прайс!$B3497,Кат!$G:$G,0)),INDEX(Торг!$C:$C,MATCH(Прайс!$B3497,Торг!$H:$H,0))),"")</f>
        <v>30936</v>
      </c>
      <c r="H3497" s="67" t="str">
        <f>IFERROR(IFERROR(INDEX(Кат!$I:$I,MATCH(Прайс!$B3497,Кат!$G:$G,0)),INDEX(Торг!$I:$I,MATCH(Прайс!$B3497,Торг!$H:$H,0))),"")</f>
        <v>кристал авто</v>
      </c>
    </row>
    <row r="3498" spans="1:8" x14ac:dyDescent="0.25">
      <c r="A3498" s="99" t="s">
        <v>4561</v>
      </c>
      <c r="B3498" s="108">
        <v>29211</v>
      </c>
      <c r="C3498" s="108" t="s">
        <v>1865</v>
      </c>
      <c r="D3498" s="101" t="s">
        <v>159</v>
      </c>
      <c r="E3498" s="102">
        <v>360</v>
      </c>
      <c r="F3498" s="67" t="str">
        <f>IFERROR(IFERROR(INDEX(Кат!$A:$A,MATCH(Прайс!$B3498,Кат!$G:$G,0)),INDEX(Торг!$B:$B,MATCH(Прайс!$B3498,Торг!$H:$H,0))),"")</f>
        <v/>
      </c>
      <c r="G3498" s="67" t="str">
        <f>IFERROR(IFERROR(INDEX(Кат!$B:$B,MATCH(Прайс!$B3498,Кат!$G:$G,0)),INDEX(Торг!$C:$C,MATCH(Прайс!$B3498,Торг!$H:$H,0))),"")</f>
        <v/>
      </c>
      <c r="H3498" s="67" t="str">
        <f>IFERROR(IFERROR(INDEX(Кат!$I:$I,MATCH(Прайс!$B3498,Кат!$G:$G,0)),INDEX(Торг!$I:$I,MATCH(Прайс!$B3498,Торг!$H:$H,0))),"")</f>
        <v/>
      </c>
    </row>
    <row r="3499" spans="1:8" x14ac:dyDescent="0.25">
      <c r="A3499" s="99" t="s">
        <v>4562</v>
      </c>
      <c r="B3499" s="108">
        <v>29212</v>
      </c>
      <c r="C3499" s="108" t="s">
        <v>1866</v>
      </c>
      <c r="D3499" s="101" t="s">
        <v>159</v>
      </c>
      <c r="E3499" s="102">
        <v>360</v>
      </c>
      <c r="F3499" s="67" t="str">
        <f>IFERROR(IFERROR(INDEX(Кат!$A:$A,MATCH(Прайс!$B3499,Кат!$G:$G,0)),INDEX(Торг!$B:$B,MATCH(Прайс!$B3499,Торг!$H:$H,0))),"")</f>
        <v/>
      </c>
      <c r="G3499" s="67" t="str">
        <f>IFERROR(IFERROR(INDEX(Кат!$B:$B,MATCH(Прайс!$B3499,Кат!$G:$G,0)),INDEX(Торг!$C:$C,MATCH(Прайс!$B3499,Торг!$H:$H,0))),"")</f>
        <v/>
      </c>
      <c r="H3499" s="67" t="str">
        <f>IFERROR(IFERROR(INDEX(Кат!$I:$I,MATCH(Прайс!$B3499,Кат!$G:$G,0)),INDEX(Торг!$I:$I,MATCH(Прайс!$B3499,Торг!$H:$H,0))),"")</f>
        <v/>
      </c>
    </row>
    <row r="3500" spans="1:8" x14ac:dyDescent="0.25">
      <c r="A3500" s="99" t="s">
        <v>4563</v>
      </c>
      <c r="B3500" s="108">
        <v>29213</v>
      </c>
      <c r="C3500" s="108" t="s">
        <v>1867</v>
      </c>
      <c r="D3500" s="101" t="s">
        <v>159</v>
      </c>
      <c r="E3500" s="102">
        <v>360</v>
      </c>
      <c r="F3500" s="67" t="str">
        <f>IFERROR(IFERROR(INDEX(Кат!$A:$A,MATCH(Прайс!$B3500,Кат!$G:$G,0)),INDEX(Торг!$B:$B,MATCH(Прайс!$B3500,Торг!$H:$H,0))),"")</f>
        <v/>
      </c>
      <c r="G3500" s="67" t="str">
        <f>IFERROR(IFERROR(INDEX(Кат!$B:$B,MATCH(Прайс!$B3500,Кат!$G:$G,0)),INDEX(Торг!$C:$C,MATCH(Прайс!$B3500,Торг!$H:$H,0))),"")</f>
        <v/>
      </c>
      <c r="H3500" s="67" t="str">
        <f>IFERROR(IFERROR(INDEX(Кат!$I:$I,MATCH(Прайс!$B3500,Кат!$G:$G,0)),INDEX(Торг!$I:$I,MATCH(Прайс!$B3500,Торг!$H:$H,0))),"")</f>
        <v/>
      </c>
    </row>
    <row r="3501" spans="1:8" x14ac:dyDescent="0.25">
      <c r="A3501" s="99" t="s">
        <v>4564</v>
      </c>
      <c r="B3501" s="108">
        <v>29214</v>
      </c>
      <c r="C3501" s="108" t="s">
        <v>1868</v>
      </c>
      <c r="D3501" s="101" t="s">
        <v>159</v>
      </c>
      <c r="E3501" s="102">
        <v>360</v>
      </c>
      <c r="F3501" s="67" t="str">
        <f>IFERROR(IFERROR(INDEX(Кат!$A:$A,MATCH(Прайс!$B3501,Кат!$G:$G,0)),INDEX(Торг!$B:$B,MATCH(Прайс!$B3501,Торг!$H:$H,0))),"")</f>
        <v/>
      </c>
      <c r="G3501" s="67" t="str">
        <f>IFERROR(IFERROR(INDEX(Кат!$B:$B,MATCH(Прайс!$B3501,Кат!$G:$G,0)),INDEX(Торг!$C:$C,MATCH(Прайс!$B3501,Торг!$H:$H,0))),"")</f>
        <v/>
      </c>
      <c r="H3501" s="67" t="str">
        <f>IFERROR(IFERROR(INDEX(Кат!$I:$I,MATCH(Прайс!$B3501,Кат!$G:$G,0)),INDEX(Торг!$I:$I,MATCH(Прайс!$B3501,Торг!$H:$H,0))),"")</f>
        <v/>
      </c>
    </row>
    <row r="3502" spans="1:8" x14ac:dyDescent="0.25">
      <c r="A3502" s="99" t="s">
        <v>4565</v>
      </c>
      <c r="B3502" s="108">
        <v>29215</v>
      </c>
      <c r="C3502" s="108" t="s">
        <v>1869</v>
      </c>
      <c r="D3502" s="101" t="s">
        <v>159</v>
      </c>
      <c r="E3502" s="102">
        <v>360</v>
      </c>
      <c r="F3502" s="67" t="str">
        <f>IFERROR(IFERROR(INDEX(Кат!$A:$A,MATCH(Прайс!$B3502,Кат!$G:$G,0)),INDEX(Торг!$B:$B,MATCH(Прайс!$B3502,Торг!$H:$H,0))),"")</f>
        <v/>
      </c>
      <c r="G3502" s="67" t="str">
        <f>IFERROR(IFERROR(INDEX(Кат!$B:$B,MATCH(Прайс!$B3502,Кат!$G:$G,0)),INDEX(Торг!$C:$C,MATCH(Прайс!$B3502,Торг!$H:$H,0))),"")</f>
        <v/>
      </c>
      <c r="H3502" s="67" t="str">
        <f>IFERROR(IFERROR(INDEX(Кат!$I:$I,MATCH(Прайс!$B3502,Кат!$G:$G,0)),INDEX(Торг!$I:$I,MATCH(Прайс!$B3502,Торг!$H:$H,0))),"")</f>
        <v/>
      </c>
    </row>
    <row r="3503" spans="1:8" x14ac:dyDescent="0.25">
      <c r="A3503" s="99" t="s">
        <v>4566</v>
      </c>
      <c r="B3503" s="108">
        <v>29216</v>
      </c>
      <c r="C3503" s="108" t="s">
        <v>1870</v>
      </c>
      <c r="D3503" s="101" t="s">
        <v>159</v>
      </c>
      <c r="E3503" s="102">
        <v>360</v>
      </c>
      <c r="F3503" s="67" t="str">
        <f>IFERROR(IFERROR(INDEX(Кат!$A:$A,MATCH(Прайс!$B3503,Кат!$G:$G,0)),INDEX(Торг!$B:$B,MATCH(Прайс!$B3503,Торг!$H:$H,0))),"")</f>
        <v/>
      </c>
      <c r="G3503" s="67" t="str">
        <f>IFERROR(IFERROR(INDEX(Кат!$B:$B,MATCH(Прайс!$B3503,Кат!$G:$G,0)),INDEX(Торг!$C:$C,MATCH(Прайс!$B3503,Торг!$H:$H,0))),"")</f>
        <v/>
      </c>
      <c r="H3503" s="67" t="str">
        <f>IFERROR(IFERROR(INDEX(Кат!$I:$I,MATCH(Прайс!$B3503,Кат!$G:$G,0)),INDEX(Торг!$I:$I,MATCH(Прайс!$B3503,Торг!$H:$H,0))),"")</f>
        <v/>
      </c>
    </row>
    <row r="3504" spans="1:8" x14ac:dyDescent="0.25">
      <c r="A3504" s="99" t="s">
        <v>4567</v>
      </c>
      <c r="B3504" s="108">
        <v>29218</v>
      </c>
      <c r="C3504" s="108" t="s">
        <v>1871</v>
      </c>
      <c r="D3504" s="101" t="s">
        <v>159</v>
      </c>
      <c r="E3504" s="102">
        <v>360</v>
      </c>
      <c r="F3504" s="67">
        <f>IFERROR(IFERROR(INDEX(Кат!$A:$A,MATCH(Прайс!$B3504,Кат!$G:$G,0)),INDEX(Торг!$B:$B,MATCH(Прайс!$B3504,Торг!$H:$H,0))),"")</f>
        <v>226735</v>
      </c>
      <c r="G3504" s="67">
        <f>IFERROR(IFERROR(INDEX(Кат!$B:$B,MATCH(Прайс!$B3504,Кат!$G:$G,0)),INDEX(Торг!$C:$C,MATCH(Прайс!$B3504,Торг!$H:$H,0))),"")</f>
        <v>30935</v>
      </c>
      <c r="H3504" s="67" t="str">
        <f>IFERROR(IFERROR(INDEX(Кат!$I:$I,MATCH(Прайс!$B3504,Кат!$G:$G,0)),INDEX(Торг!$I:$I,MATCH(Прайс!$B3504,Торг!$H:$H,0))),"")</f>
        <v>кристал авто</v>
      </c>
    </row>
    <row r="3505" spans="1:8" x14ac:dyDescent="0.25">
      <c r="A3505" s="99" t="s">
        <v>6010</v>
      </c>
      <c r="B3505" s="108">
        <v>29219</v>
      </c>
      <c r="C3505" s="108" t="s">
        <v>6011</v>
      </c>
      <c r="D3505" s="101" t="s">
        <v>159</v>
      </c>
      <c r="E3505" s="102">
        <v>360</v>
      </c>
      <c r="F3505" s="67" t="str">
        <f>IFERROR(IFERROR(INDEX(Кат!$A:$A,MATCH(Прайс!$B3505,Кат!$G:$G,0)),INDEX(Торг!$B:$B,MATCH(Прайс!$B3505,Торг!$H:$H,0))),"")</f>
        <v/>
      </c>
      <c r="G3505" s="67" t="str">
        <f>IFERROR(IFERROR(INDEX(Кат!$B:$B,MATCH(Прайс!$B3505,Кат!$G:$G,0)),INDEX(Торг!$C:$C,MATCH(Прайс!$B3505,Торг!$H:$H,0))),"")</f>
        <v/>
      </c>
      <c r="H3505" s="67" t="str">
        <f>IFERROR(IFERROR(INDEX(Кат!$I:$I,MATCH(Прайс!$B3505,Кат!$G:$G,0)),INDEX(Торг!$I:$I,MATCH(Прайс!$B3505,Торг!$H:$H,0))),"")</f>
        <v/>
      </c>
    </row>
    <row r="3506" spans="1:8" x14ac:dyDescent="0.25">
      <c r="A3506" s="94" t="s">
        <v>4568</v>
      </c>
      <c r="B3506" s="98">
        <v>29120</v>
      </c>
      <c r="C3506" s="98" t="s">
        <v>1872</v>
      </c>
      <c r="D3506" s="96" t="s">
        <v>1719</v>
      </c>
      <c r="E3506" s="97">
        <v>400</v>
      </c>
      <c r="F3506" s="67" t="str">
        <f>IFERROR(IFERROR(INDEX(Кат!$A:$A,MATCH(Прайс!$B3506,Кат!$G:$G,0)),INDEX(Торг!$B:$B,MATCH(Прайс!$B3506,Торг!$H:$H,0))),"")</f>
        <v/>
      </c>
      <c r="G3506" s="67" t="str">
        <f>IFERROR(IFERROR(INDEX(Кат!$B:$B,MATCH(Прайс!$B3506,Кат!$G:$G,0)),INDEX(Торг!$C:$C,MATCH(Прайс!$B3506,Торг!$H:$H,0))),"")</f>
        <v/>
      </c>
      <c r="H3506" s="67" t="str">
        <f>IFERROR(IFERROR(INDEX(Кат!$I:$I,MATCH(Прайс!$B3506,Кат!$G:$G,0)),INDEX(Торг!$I:$I,MATCH(Прайс!$B3506,Торг!$H:$H,0))),"")</f>
        <v/>
      </c>
    </row>
    <row r="3507" spans="1:8" x14ac:dyDescent="0.25">
      <c r="A3507" s="94" t="s">
        <v>4569</v>
      </c>
      <c r="B3507" s="98">
        <v>29121</v>
      </c>
      <c r="C3507" s="98" t="s">
        <v>1873</v>
      </c>
      <c r="D3507" s="96" t="s">
        <v>1719</v>
      </c>
      <c r="E3507" s="97">
        <v>410</v>
      </c>
      <c r="F3507" s="67" t="str">
        <f>IFERROR(IFERROR(INDEX(Кат!$A:$A,MATCH(Прайс!$B3507,Кат!$G:$G,0)),INDEX(Торг!$B:$B,MATCH(Прайс!$B3507,Торг!$H:$H,0))),"")</f>
        <v/>
      </c>
      <c r="G3507" s="67" t="str">
        <f>IFERROR(IFERROR(INDEX(Кат!$B:$B,MATCH(Прайс!$B3507,Кат!$G:$G,0)),INDEX(Торг!$C:$C,MATCH(Прайс!$B3507,Торг!$H:$H,0))),"")</f>
        <v/>
      </c>
      <c r="H3507" s="67" t="str">
        <f>IFERROR(IFERROR(INDEX(Кат!$I:$I,MATCH(Прайс!$B3507,Кат!$G:$G,0)),INDEX(Торг!$I:$I,MATCH(Прайс!$B3507,Торг!$H:$H,0))),"")</f>
        <v/>
      </c>
    </row>
    <row r="3508" spans="1:8" x14ac:dyDescent="0.25">
      <c r="A3508" s="94" t="s">
        <v>4570</v>
      </c>
      <c r="B3508" s="98">
        <v>29122</v>
      </c>
      <c r="C3508" s="98" t="s">
        <v>1874</v>
      </c>
      <c r="D3508" s="96" t="s">
        <v>1719</v>
      </c>
      <c r="E3508" s="97">
        <v>410</v>
      </c>
      <c r="F3508" s="67" t="str">
        <f>IFERROR(IFERROR(INDEX(Кат!$A:$A,MATCH(Прайс!$B3508,Кат!$G:$G,0)),INDEX(Торг!$B:$B,MATCH(Прайс!$B3508,Торг!$H:$H,0))),"")</f>
        <v/>
      </c>
      <c r="G3508" s="67" t="str">
        <f>IFERROR(IFERROR(INDEX(Кат!$B:$B,MATCH(Прайс!$B3508,Кат!$G:$G,0)),INDEX(Торг!$C:$C,MATCH(Прайс!$B3508,Торг!$H:$H,0))),"")</f>
        <v/>
      </c>
      <c r="H3508" s="67" t="str">
        <f>IFERROR(IFERROR(INDEX(Кат!$I:$I,MATCH(Прайс!$B3508,Кат!$G:$G,0)),INDEX(Торг!$I:$I,MATCH(Прайс!$B3508,Торг!$H:$H,0))),"")</f>
        <v/>
      </c>
    </row>
    <row r="3509" spans="1:8" x14ac:dyDescent="0.25">
      <c r="A3509" s="94" t="s">
        <v>4571</v>
      </c>
      <c r="B3509" s="98">
        <v>29123</v>
      </c>
      <c r="C3509" s="98" t="s">
        <v>1875</v>
      </c>
      <c r="D3509" s="96" t="s">
        <v>1719</v>
      </c>
      <c r="E3509" s="97">
        <v>440</v>
      </c>
      <c r="F3509" s="67" t="str">
        <f>IFERROR(IFERROR(INDEX(Кат!$A:$A,MATCH(Прайс!$B3509,Кат!$G:$G,0)),INDEX(Торг!$B:$B,MATCH(Прайс!$B3509,Торг!$H:$H,0))),"")</f>
        <v/>
      </c>
      <c r="G3509" s="67" t="str">
        <f>IFERROR(IFERROR(INDEX(Кат!$B:$B,MATCH(Прайс!$B3509,Кат!$G:$G,0)),INDEX(Торг!$C:$C,MATCH(Прайс!$B3509,Торг!$H:$H,0))),"")</f>
        <v/>
      </c>
      <c r="H3509" s="67" t="str">
        <f>IFERROR(IFERROR(INDEX(Кат!$I:$I,MATCH(Прайс!$B3509,Кат!$G:$G,0)),INDEX(Торг!$I:$I,MATCH(Прайс!$B3509,Торг!$H:$H,0))),"")</f>
        <v/>
      </c>
    </row>
    <row r="3510" spans="1:8" x14ac:dyDescent="0.25">
      <c r="A3510" s="94" t="s">
        <v>4572</v>
      </c>
      <c r="B3510" s="98">
        <v>29124</v>
      </c>
      <c r="C3510" s="98" t="s">
        <v>1876</v>
      </c>
      <c r="D3510" s="96" t="s">
        <v>1719</v>
      </c>
      <c r="E3510" s="97">
        <v>440</v>
      </c>
      <c r="F3510" s="67" t="str">
        <f>IFERROR(IFERROR(INDEX(Кат!$A:$A,MATCH(Прайс!$B3510,Кат!$G:$G,0)),INDEX(Торг!$B:$B,MATCH(Прайс!$B3510,Торг!$H:$H,0))),"")</f>
        <v/>
      </c>
      <c r="G3510" s="67" t="str">
        <f>IFERROR(IFERROR(INDEX(Кат!$B:$B,MATCH(Прайс!$B3510,Кат!$G:$G,0)),INDEX(Торг!$C:$C,MATCH(Прайс!$B3510,Торг!$H:$H,0))),"")</f>
        <v/>
      </c>
      <c r="H3510" s="67" t="str">
        <f>IFERROR(IFERROR(INDEX(Кат!$I:$I,MATCH(Прайс!$B3510,Кат!$G:$G,0)),INDEX(Торг!$I:$I,MATCH(Прайс!$B3510,Торг!$H:$H,0))),"")</f>
        <v/>
      </c>
    </row>
    <row r="3511" spans="1:8" x14ac:dyDescent="0.25">
      <c r="A3511" s="94" t="s">
        <v>4573</v>
      </c>
      <c r="B3511" s="98">
        <v>29125</v>
      </c>
      <c r="C3511" s="98" t="s">
        <v>1877</v>
      </c>
      <c r="D3511" s="96" t="s">
        <v>1719</v>
      </c>
      <c r="E3511" s="97">
        <v>460</v>
      </c>
      <c r="F3511" s="67" t="str">
        <f>IFERROR(IFERROR(INDEX(Кат!$A:$A,MATCH(Прайс!$B3511,Кат!$G:$G,0)),INDEX(Торг!$B:$B,MATCH(Прайс!$B3511,Торг!$H:$H,0))),"")</f>
        <v/>
      </c>
      <c r="G3511" s="67" t="str">
        <f>IFERROR(IFERROR(INDEX(Кат!$B:$B,MATCH(Прайс!$B3511,Кат!$G:$G,0)),INDEX(Торг!$C:$C,MATCH(Прайс!$B3511,Торг!$H:$H,0))),"")</f>
        <v/>
      </c>
      <c r="H3511" s="67" t="str">
        <f>IFERROR(IFERROR(INDEX(Кат!$I:$I,MATCH(Прайс!$B3511,Кат!$G:$G,0)),INDEX(Торг!$I:$I,MATCH(Прайс!$B3511,Торг!$H:$H,0))),"")</f>
        <v/>
      </c>
    </row>
    <row r="3512" spans="1:8" x14ac:dyDescent="0.25">
      <c r="A3512" s="94" t="s">
        <v>4574</v>
      </c>
      <c r="B3512" s="98">
        <v>29126</v>
      </c>
      <c r="C3512" s="98" t="s">
        <v>1878</v>
      </c>
      <c r="D3512" s="96" t="s">
        <v>1719</v>
      </c>
      <c r="E3512" s="97">
        <v>480</v>
      </c>
      <c r="F3512" s="67" t="str">
        <f>IFERROR(IFERROR(INDEX(Кат!$A:$A,MATCH(Прайс!$B3512,Кат!$G:$G,0)),INDEX(Торг!$B:$B,MATCH(Прайс!$B3512,Торг!$H:$H,0))),"")</f>
        <v/>
      </c>
      <c r="G3512" s="67" t="str">
        <f>IFERROR(IFERROR(INDEX(Кат!$B:$B,MATCH(Прайс!$B3512,Кат!$G:$G,0)),INDEX(Торг!$C:$C,MATCH(Прайс!$B3512,Торг!$H:$H,0))),"")</f>
        <v/>
      </c>
      <c r="H3512" s="67" t="str">
        <f>IFERROR(IFERROR(INDEX(Кат!$I:$I,MATCH(Прайс!$B3512,Кат!$G:$G,0)),INDEX(Торг!$I:$I,MATCH(Прайс!$B3512,Торг!$H:$H,0))),"")</f>
        <v/>
      </c>
    </row>
    <row r="3513" spans="1:8" x14ac:dyDescent="0.25">
      <c r="A3513" s="94" t="s">
        <v>4575</v>
      </c>
      <c r="B3513" s="98">
        <v>29127</v>
      </c>
      <c r="C3513" s="98" t="s">
        <v>1879</v>
      </c>
      <c r="D3513" s="96" t="s">
        <v>1719</v>
      </c>
      <c r="E3513" s="97">
        <v>490</v>
      </c>
      <c r="F3513" s="67" t="str">
        <f>IFERROR(IFERROR(INDEX(Кат!$A:$A,MATCH(Прайс!$B3513,Кат!$G:$G,0)),INDEX(Торг!$B:$B,MATCH(Прайс!$B3513,Торг!$H:$H,0))),"")</f>
        <v/>
      </c>
      <c r="G3513" s="67" t="str">
        <f>IFERROR(IFERROR(INDEX(Кат!$B:$B,MATCH(Прайс!$B3513,Кат!$G:$G,0)),INDEX(Торг!$C:$C,MATCH(Прайс!$B3513,Торг!$H:$H,0))),"")</f>
        <v/>
      </c>
      <c r="H3513" s="67" t="str">
        <f>IFERROR(IFERROR(INDEX(Кат!$I:$I,MATCH(Прайс!$B3513,Кат!$G:$G,0)),INDEX(Торг!$I:$I,MATCH(Прайс!$B3513,Торг!$H:$H,0))),"")</f>
        <v/>
      </c>
    </row>
    <row r="3514" spans="1:8" x14ac:dyDescent="0.25">
      <c r="A3514" s="94" t="s">
        <v>4576</v>
      </c>
      <c r="B3514" s="98">
        <v>29128</v>
      </c>
      <c r="C3514" s="98" t="s">
        <v>1880</v>
      </c>
      <c r="D3514" s="96" t="s">
        <v>1719</v>
      </c>
      <c r="E3514" s="97">
        <v>510</v>
      </c>
      <c r="F3514" s="67" t="str">
        <f>IFERROR(IFERROR(INDEX(Кат!$A:$A,MATCH(Прайс!$B3514,Кат!$G:$G,0)),INDEX(Торг!$B:$B,MATCH(Прайс!$B3514,Торг!$H:$H,0))),"")</f>
        <v/>
      </c>
      <c r="G3514" s="67" t="str">
        <f>IFERROR(IFERROR(INDEX(Кат!$B:$B,MATCH(Прайс!$B3514,Кат!$G:$G,0)),INDEX(Торг!$C:$C,MATCH(Прайс!$B3514,Торг!$H:$H,0))),"")</f>
        <v/>
      </c>
      <c r="H3514" s="67" t="str">
        <f>IFERROR(IFERROR(INDEX(Кат!$I:$I,MATCH(Прайс!$B3514,Кат!$G:$G,0)),INDEX(Торг!$I:$I,MATCH(Прайс!$B3514,Торг!$H:$H,0))),"")</f>
        <v/>
      </c>
    </row>
    <row r="3515" spans="1:8" x14ac:dyDescent="0.25">
      <c r="A3515" s="94" t="s">
        <v>4577</v>
      </c>
      <c r="B3515" s="98">
        <v>29129</v>
      </c>
      <c r="C3515" s="98" t="s">
        <v>1881</v>
      </c>
      <c r="D3515" s="96" t="s">
        <v>1719</v>
      </c>
      <c r="E3515" s="97">
        <v>520</v>
      </c>
      <c r="F3515" s="67" t="str">
        <f>IFERROR(IFERROR(INDEX(Кат!$A:$A,MATCH(Прайс!$B3515,Кат!$G:$G,0)),INDEX(Торг!$B:$B,MATCH(Прайс!$B3515,Торг!$H:$H,0))),"")</f>
        <v/>
      </c>
      <c r="G3515" s="67" t="str">
        <f>IFERROR(IFERROR(INDEX(Кат!$B:$B,MATCH(Прайс!$B3515,Кат!$G:$G,0)),INDEX(Торг!$C:$C,MATCH(Прайс!$B3515,Торг!$H:$H,0))),"")</f>
        <v/>
      </c>
      <c r="H3515" s="67" t="str">
        <f>IFERROR(IFERROR(INDEX(Кат!$I:$I,MATCH(Прайс!$B3515,Кат!$G:$G,0)),INDEX(Торг!$I:$I,MATCH(Прайс!$B3515,Торг!$H:$H,0))),"")</f>
        <v/>
      </c>
    </row>
    <row r="3516" spans="1:8" x14ac:dyDescent="0.25">
      <c r="A3516" s="94" t="s">
        <v>4578</v>
      </c>
      <c r="B3516" s="98">
        <v>29130</v>
      </c>
      <c r="C3516" s="98" t="s">
        <v>1882</v>
      </c>
      <c r="D3516" s="96" t="s">
        <v>1719</v>
      </c>
      <c r="E3516" s="97">
        <v>540</v>
      </c>
      <c r="F3516" s="67" t="str">
        <f>IFERROR(IFERROR(INDEX(Кат!$A:$A,MATCH(Прайс!$B3516,Кат!$G:$G,0)),INDEX(Торг!$B:$B,MATCH(Прайс!$B3516,Торг!$H:$H,0))),"")</f>
        <v/>
      </c>
      <c r="G3516" s="67" t="str">
        <f>IFERROR(IFERROR(INDEX(Кат!$B:$B,MATCH(Прайс!$B3516,Кат!$G:$G,0)),INDEX(Торг!$C:$C,MATCH(Прайс!$B3516,Торг!$H:$H,0))),"")</f>
        <v/>
      </c>
      <c r="H3516" s="67" t="str">
        <f>IFERROR(IFERROR(INDEX(Кат!$I:$I,MATCH(Прайс!$B3516,Кат!$G:$G,0)),INDEX(Торг!$I:$I,MATCH(Прайс!$B3516,Торг!$H:$H,0))),"")</f>
        <v/>
      </c>
    </row>
    <row r="3517" spans="1:8" x14ac:dyDescent="0.25">
      <c r="A3517" s="94" t="s">
        <v>6446</v>
      </c>
      <c r="B3517" s="98">
        <v>29131</v>
      </c>
      <c r="C3517" s="98" t="s">
        <v>6447</v>
      </c>
      <c r="D3517" s="96" t="s">
        <v>1719</v>
      </c>
      <c r="E3517" s="97">
        <v>620</v>
      </c>
      <c r="F3517" s="67" t="str">
        <f>IFERROR(IFERROR(INDEX(Кат!$A:$A,MATCH(Прайс!$B3517,Кат!$G:$G,0)),INDEX(Торг!$B:$B,MATCH(Прайс!$B3517,Торг!$H:$H,0))),"")</f>
        <v/>
      </c>
      <c r="G3517" s="67" t="str">
        <f>IFERROR(IFERROR(INDEX(Кат!$B:$B,MATCH(Прайс!$B3517,Кат!$G:$G,0)),INDEX(Торг!$C:$C,MATCH(Прайс!$B3517,Торг!$H:$H,0))),"")</f>
        <v/>
      </c>
      <c r="H3517" s="67" t="str">
        <f>IFERROR(IFERROR(INDEX(Кат!$I:$I,MATCH(Прайс!$B3517,Кат!$G:$G,0)),INDEX(Торг!$I:$I,MATCH(Прайс!$B3517,Торг!$H:$H,0))),"")</f>
        <v/>
      </c>
    </row>
    <row r="3518" spans="1:8" x14ac:dyDescent="0.25">
      <c r="A3518" s="94" t="s">
        <v>4579</v>
      </c>
      <c r="B3518" s="98">
        <v>29132</v>
      </c>
      <c r="C3518" s="98" t="s">
        <v>1883</v>
      </c>
      <c r="D3518" s="96" t="s">
        <v>1719</v>
      </c>
      <c r="E3518" s="97">
        <v>680</v>
      </c>
      <c r="F3518" s="67" t="str">
        <f>IFERROR(IFERROR(INDEX(Кат!$A:$A,MATCH(Прайс!$B3518,Кат!$G:$G,0)),INDEX(Торг!$B:$B,MATCH(Прайс!$B3518,Торг!$H:$H,0))),"")</f>
        <v/>
      </c>
      <c r="G3518" s="67" t="str">
        <f>IFERROR(IFERROR(INDEX(Кат!$B:$B,MATCH(Прайс!$B3518,Кат!$G:$G,0)),INDEX(Торг!$C:$C,MATCH(Прайс!$B3518,Торг!$H:$H,0))),"")</f>
        <v/>
      </c>
      <c r="H3518" s="67" t="str">
        <f>IFERROR(IFERROR(INDEX(Кат!$I:$I,MATCH(Прайс!$B3518,Кат!$G:$G,0)),INDEX(Торг!$I:$I,MATCH(Прайс!$B3518,Торг!$H:$H,0))),"")</f>
        <v/>
      </c>
    </row>
    <row r="3519" spans="1:8" x14ac:dyDescent="0.25">
      <c r="A3519" s="94" t="s">
        <v>4580</v>
      </c>
      <c r="B3519" s="98">
        <v>29133</v>
      </c>
      <c r="C3519" s="98" t="s">
        <v>1884</v>
      </c>
      <c r="D3519" s="96" t="s">
        <v>1719</v>
      </c>
      <c r="E3519" s="97">
        <v>860</v>
      </c>
      <c r="F3519" s="67" t="str">
        <f>IFERROR(IFERROR(INDEX(Кат!$A:$A,MATCH(Прайс!$B3519,Кат!$G:$G,0)),INDEX(Торг!$B:$B,MATCH(Прайс!$B3519,Торг!$H:$H,0))),"")</f>
        <v/>
      </c>
      <c r="G3519" s="67" t="str">
        <f>IFERROR(IFERROR(INDEX(Кат!$B:$B,MATCH(Прайс!$B3519,Кат!$G:$G,0)),INDEX(Торг!$C:$C,MATCH(Прайс!$B3519,Торг!$H:$H,0))),"")</f>
        <v/>
      </c>
      <c r="H3519" s="67" t="str">
        <f>IFERROR(IFERROR(INDEX(Кат!$I:$I,MATCH(Прайс!$B3519,Кат!$G:$G,0)),INDEX(Торг!$I:$I,MATCH(Прайс!$B3519,Торг!$H:$H,0))),"")</f>
        <v/>
      </c>
    </row>
    <row r="3520" spans="1:8" x14ac:dyDescent="0.25">
      <c r="A3520" s="99" t="s">
        <v>4581</v>
      </c>
      <c r="B3520" s="108">
        <v>29268</v>
      </c>
      <c r="C3520" s="108" t="s">
        <v>1885</v>
      </c>
      <c r="D3520" s="101" t="s">
        <v>166</v>
      </c>
      <c r="E3520" s="102">
        <v>275</v>
      </c>
      <c r="F3520" s="67" t="str">
        <f>IFERROR(IFERROR(INDEX(Кат!$A:$A,MATCH(Прайс!$B3520,Кат!$G:$G,0)),INDEX(Торг!$B:$B,MATCH(Прайс!$B3520,Торг!$H:$H,0))),"")</f>
        <v/>
      </c>
      <c r="G3520" s="67" t="str">
        <f>IFERROR(IFERROR(INDEX(Кат!$B:$B,MATCH(Прайс!$B3520,Кат!$G:$G,0)),INDEX(Торг!$C:$C,MATCH(Прайс!$B3520,Торг!$H:$H,0))),"")</f>
        <v/>
      </c>
      <c r="H3520" s="67" t="str">
        <f>IFERROR(IFERROR(INDEX(Кат!$I:$I,MATCH(Прайс!$B3520,Кат!$G:$G,0)),INDEX(Торг!$I:$I,MATCH(Прайс!$B3520,Торг!$H:$H,0))),"")</f>
        <v/>
      </c>
    </row>
    <row r="3521" spans="1:8" x14ac:dyDescent="0.25">
      <c r="A3521" s="99" t="s">
        <v>4582</v>
      </c>
      <c r="B3521" s="108">
        <v>29269</v>
      </c>
      <c r="C3521" s="108" t="s">
        <v>1886</v>
      </c>
      <c r="D3521" s="101" t="s">
        <v>166</v>
      </c>
      <c r="E3521" s="102">
        <v>300</v>
      </c>
      <c r="F3521" s="67" t="str">
        <f>IFERROR(IFERROR(INDEX(Кат!$A:$A,MATCH(Прайс!$B3521,Кат!$G:$G,0)),INDEX(Торг!$B:$B,MATCH(Прайс!$B3521,Торг!$H:$H,0))),"")</f>
        <v/>
      </c>
      <c r="G3521" s="67" t="str">
        <f>IFERROR(IFERROR(INDEX(Кат!$B:$B,MATCH(Прайс!$B3521,Кат!$G:$G,0)),INDEX(Торг!$C:$C,MATCH(Прайс!$B3521,Торг!$H:$H,0))),"")</f>
        <v/>
      </c>
      <c r="H3521" s="67" t="str">
        <f>IFERROR(IFERROR(INDEX(Кат!$I:$I,MATCH(Прайс!$B3521,Кат!$G:$G,0)),INDEX(Торг!$I:$I,MATCH(Прайс!$B3521,Торг!$H:$H,0))),"")</f>
        <v/>
      </c>
    </row>
    <row r="3522" spans="1:8" x14ac:dyDescent="0.25">
      <c r="A3522" s="99" t="s">
        <v>4583</v>
      </c>
      <c r="B3522" s="108">
        <v>29270</v>
      </c>
      <c r="C3522" s="108" t="s">
        <v>1887</v>
      </c>
      <c r="D3522" s="101" t="s">
        <v>166</v>
      </c>
      <c r="E3522" s="102">
        <v>315</v>
      </c>
      <c r="F3522" s="67" t="str">
        <f>IFERROR(IFERROR(INDEX(Кат!$A:$A,MATCH(Прайс!$B3522,Кат!$G:$G,0)),INDEX(Торг!$B:$B,MATCH(Прайс!$B3522,Торг!$H:$H,0))),"")</f>
        <v/>
      </c>
      <c r="G3522" s="67" t="str">
        <f>IFERROR(IFERROR(INDEX(Кат!$B:$B,MATCH(Прайс!$B3522,Кат!$G:$G,0)),INDEX(Торг!$C:$C,MATCH(Прайс!$B3522,Торг!$H:$H,0))),"")</f>
        <v/>
      </c>
      <c r="H3522" s="67" t="str">
        <f>IFERROR(IFERROR(INDEX(Кат!$I:$I,MATCH(Прайс!$B3522,Кат!$G:$G,0)),INDEX(Торг!$I:$I,MATCH(Прайс!$B3522,Торг!$H:$H,0))),"")</f>
        <v/>
      </c>
    </row>
    <row r="3523" spans="1:8" x14ac:dyDescent="0.25">
      <c r="A3523" s="99" t="s">
        <v>4584</v>
      </c>
      <c r="B3523" s="108">
        <v>29271</v>
      </c>
      <c r="C3523" s="108" t="s">
        <v>1888</v>
      </c>
      <c r="D3523" s="101" t="s">
        <v>166</v>
      </c>
      <c r="E3523" s="102">
        <v>315</v>
      </c>
      <c r="F3523" s="67" t="str">
        <f>IFERROR(IFERROR(INDEX(Кат!$A:$A,MATCH(Прайс!$B3523,Кат!$G:$G,0)),INDEX(Торг!$B:$B,MATCH(Прайс!$B3523,Торг!$H:$H,0))),"")</f>
        <v/>
      </c>
      <c r="G3523" s="67" t="str">
        <f>IFERROR(IFERROR(INDEX(Кат!$B:$B,MATCH(Прайс!$B3523,Кат!$G:$G,0)),INDEX(Торг!$C:$C,MATCH(Прайс!$B3523,Торг!$H:$H,0))),"")</f>
        <v/>
      </c>
      <c r="H3523" s="67" t="str">
        <f>IFERROR(IFERROR(INDEX(Кат!$I:$I,MATCH(Прайс!$B3523,Кат!$G:$G,0)),INDEX(Торг!$I:$I,MATCH(Прайс!$B3523,Торг!$H:$H,0))),"")</f>
        <v/>
      </c>
    </row>
    <row r="3524" spans="1:8" x14ac:dyDescent="0.25">
      <c r="A3524" s="99" t="s">
        <v>4585</v>
      </c>
      <c r="B3524" s="108">
        <v>29272</v>
      </c>
      <c r="C3524" s="108" t="s">
        <v>1889</v>
      </c>
      <c r="D3524" s="101" t="s">
        <v>166</v>
      </c>
      <c r="E3524" s="102">
        <v>325</v>
      </c>
      <c r="F3524" s="67" t="str">
        <f>IFERROR(IFERROR(INDEX(Кат!$A:$A,MATCH(Прайс!$B3524,Кат!$G:$G,0)),INDEX(Торг!$B:$B,MATCH(Прайс!$B3524,Торг!$H:$H,0))),"")</f>
        <v/>
      </c>
      <c r="G3524" s="67" t="str">
        <f>IFERROR(IFERROR(INDEX(Кат!$B:$B,MATCH(Прайс!$B3524,Кат!$G:$G,0)),INDEX(Торг!$C:$C,MATCH(Прайс!$B3524,Торг!$H:$H,0))),"")</f>
        <v/>
      </c>
      <c r="H3524" s="67" t="str">
        <f>IFERROR(IFERROR(INDEX(Кат!$I:$I,MATCH(Прайс!$B3524,Кат!$G:$G,0)),INDEX(Торг!$I:$I,MATCH(Прайс!$B3524,Торг!$H:$H,0))),"")</f>
        <v/>
      </c>
    </row>
    <row r="3525" spans="1:8" x14ac:dyDescent="0.25">
      <c r="A3525" s="99" t="s">
        <v>4586</v>
      </c>
      <c r="B3525" s="108">
        <v>29273</v>
      </c>
      <c r="C3525" s="108" t="s">
        <v>1890</v>
      </c>
      <c r="D3525" s="101" t="s">
        <v>166</v>
      </c>
      <c r="E3525" s="102">
        <v>325</v>
      </c>
      <c r="F3525" s="67" t="str">
        <f>IFERROR(IFERROR(INDEX(Кат!$A:$A,MATCH(Прайс!$B3525,Кат!$G:$G,0)),INDEX(Торг!$B:$B,MATCH(Прайс!$B3525,Торг!$H:$H,0))),"")</f>
        <v/>
      </c>
      <c r="G3525" s="67" t="str">
        <f>IFERROR(IFERROR(INDEX(Кат!$B:$B,MATCH(Прайс!$B3525,Кат!$G:$G,0)),INDEX(Торг!$C:$C,MATCH(Прайс!$B3525,Торг!$H:$H,0))),"")</f>
        <v/>
      </c>
      <c r="H3525" s="67" t="str">
        <f>IFERROR(IFERROR(INDEX(Кат!$I:$I,MATCH(Прайс!$B3525,Кат!$G:$G,0)),INDEX(Торг!$I:$I,MATCH(Прайс!$B3525,Торг!$H:$H,0))),"")</f>
        <v/>
      </c>
    </row>
    <row r="3526" spans="1:8" x14ac:dyDescent="0.25">
      <c r="A3526" s="99" t="s">
        <v>4587</v>
      </c>
      <c r="B3526" s="108">
        <v>29274</v>
      </c>
      <c r="C3526" s="108" t="s">
        <v>1891</v>
      </c>
      <c r="D3526" s="101" t="s">
        <v>166</v>
      </c>
      <c r="E3526" s="102">
        <v>330</v>
      </c>
      <c r="F3526" s="67" t="str">
        <f>IFERROR(IFERROR(INDEX(Кат!$A:$A,MATCH(Прайс!$B3526,Кат!$G:$G,0)),INDEX(Торг!$B:$B,MATCH(Прайс!$B3526,Торг!$H:$H,0))),"")</f>
        <v/>
      </c>
      <c r="G3526" s="67" t="str">
        <f>IFERROR(IFERROR(INDEX(Кат!$B:$B,MATCH(Прайс!$B3526,Кат!$G:$G,0)),INDEX(Торг!$C:$C,MATCH(Прайс!$B3526,Торг!$H:$H,0))),"")</f>
        <v/>
      </c>
      <c r="H3526" s="67" t="str">
        <f>IFERROR(IFERROR(INDEX(Кат!$I:$I,MATCH(Прайс!$B3526,Кат!$G:$G,0)),INDEX(Торг!$I:$I,MATCH(Прайс!$B3526,Торг!$H:$H,0))),"")</f>
        <v/>
      </c>
    </row>
    <row r="3527" spans="1:8" x14ac:dyDescent="0.25">
      <c r="A3527" s="99" t="s">
        <v>4588</v>
      </c>
      <c r="B3527" s="108">
        <v>29275</v>
      </c>
      <c r="C3527" s="108" t="s">
        <v>1892</v>
      </c>
      <c r="D3527" s="101" t="s">
        <v>166</v>
      </c>
      <c r="E3527" s="102">
        <v>330</v>
      </c>
      <c r="F3527" s="67" t="str">
        <f>IFERROR(IFERROR(INDEX(Кат!$A:$A,MATCH(Прайс!$B3527,Кат!$G:$G,0)),INDEX(Торг!$B:$B,MATCH(Прайс!$B3527,Торг!$H:$H,0))),"")</f>
        <v/>
      </c>
      <c r="G3527" s="67" t="str">
        <f>IFERROR(IFERROR(INDEX(Кат!$B:$B,MATCH(Прайс!$B3527,Кат!$G:$G,0)),INDEX(Торг!$C:$C,MATCH(Прайс!$B3527,Торг!$H:$H,0))),"")</f>
        <v/>
      </c>
      <c r="H3527" s="67" t="str">
        <f>IFERROR(IFERROR(INDEX(Кат!$I:$I,MATCH(Прайс!$B3527,Кат!$G:$G,0)),INDEX(Торг!$I:$I,MATCH(Прайс!$B3527,Торг!$H:$H,0))),"")</f>
        <v/>
      </c>
    </row>
    <row r="3528" spans="1:8" x14ac:dyDescent="0.25">
      <c r="A3528" s="99" t="s">
        <v>4589</v>
      </c>
      <c r="B3528" s="108">
        <v>29276</v>
      </c>
      <c r="C3528" s="108" t="s">
        <v>1893</v>
      </c>
      <c r="D3528" s="101" t="s">
        <v>166</v>
      </c>
      <c r="E3528" s="102">
        <v>335</v>
      </c>
      <c r="F3528" s="67" t="str">
        <f>IFERROR(IFERROR(INDEX(Кат!$A:$A,MATCH(Прайс!$B3528,Кат!$G:$G,0)),INDEX(Торг!$B:$B,MATCH(Прайс!$B3528,Торг!$H:$H,0))),"")</f>
        <v/>
      </c>
      <c r="G3528" s="67" t="str">
        <f>IFERROR(IFERROR(INDEX(Кат!$B:$B,MATCH(Прайс!$B3528,Кат!$G:$G,0)),INDEX(Торг!$C:$C,MATCH(Прайс!$B3528,Торг!$H:$H,0))),"")</f>
        <v/>
      </c>
      <c r="H3528" s="67" t="str">
        <f>IFERROR(IFERROR(INDEX(Кат!$I:$I,MATCH(Прайс!$B3528,Кат!$G:$G,0)),INDEX(Торг!$I:$I,MATCH(Прайс!$B3528,Торг!$H:$H,0))),"")</f>
        <v/>
      </c>
    </row>
    <row r="3529" spans="1:8" x14ac:dyDescent="0.25">
      <c r="A3529" s="99" t="s">
        <v>4590</v>
      </c>
      <c r="B3529" s="108">
        <v>29277</v>
      </c>
      <c r="C3529" s="108" t="s">
        <v>1894</v>
      </c>
      <c r="D3529" s="101" t="s">
        <v>166</v>
      </c>
      <c r="E3529" s="102">
        <v>335</v>
      </c>
      <c r="F3529" s="67" t="str">
        <f>IFERROR(IFERROR(INDEX(Кат!$A:$A,MATCH(Прайс!$B3529,Кат!$G:$G,0)),INDEX(Торг!$B:$B,MATCH(Прайс!$B3529,Торг!$H:$H,0))),"")</f>
        <v/>
      </c>
      <c r="G3529" s="67" t="str">
        <f>IFERROR(IFERROR(INDEX(Кат!$B:$B,MATCH(Прайс!$B3529,Кат!$G:$G,0)),INDEX(Торг!$C:$C,MATCH(Прайс!$B3529,Торг!$H:$H,0))),"")</f>
        <v/>
      </c>
      <c r="H3529" s="67" t="str">
        <f>IFERROR(IFERROR(INDEX(Кат!$I:$I,MATCH(Прайс!$B3529,Кат!$G:$G,0)),INDEX(Торг!$I:$I,MATCH(Прайс!$B3529,Торг!$H:$H,0))),"")</f>
        <v/>
      </c>
    </row>
    <row r="3530" spans="1:8" x14ac:dyDescent="0.25">
      <c r="A3530" s="99" t="s">
        <v>4591</v>
      </c>
      <c r="B3530" s="108">
        <v>29278</v>
      </c>
      <c r="C3530" s="108" t="s">
        <v>1895</v>
      </c>
      <c r="D3530" s="101" t="s">
        <v>166</v>
      </c>
      <c r="E3530" s="102">
        <v>350</v>
      </c>
      <c r="F3530" s="67" t="str">
        <f>IFERROR(IFERROR(INDEX(Кат!$A:$A,MATCH(Прайс!$B3530,Кат!$G:$G,0)),INDEX(Торг!$B:$B,MATCH(Прайс!$B3530,Торг!$H:$H,0))),"")</f>
        <v/>
      </c>
      <c r="G3530" s="67" t="str">
        <f>IFERROR(IFERROR(INDEX(Кат!$B:$B,MATCH(Прайс!$B3530,Кат!$G:$G,0)),INDEX(Торг!$C:$C,MATCH(Прайс!$B3530,Торг!$H:$H,0))),"")</f>
        <v/>
      </c>
      <c r="H3530" s="67" t="str">
        <f>IFERROR(IFERROR(INDEX(Кат!$I:$I,MATCH(Прайс!$B3530,Кат!$G:$G,0)),INDEX(Торг!$I:$I,MATCH(Прайс!$B3530,Торг!$H:$H,0))),"")</f>
        <v/>
      </c>
    </row>
    <row r="3531" spans="1:8" x14ac:dyDescent="0.25">
      <c r="A3531" s="99" t="s">
        <v>4592</v>
      </c>
      <c r="B3531" s="108">
        <v>29279</v>
      </c>
      <c r="C3531" s="108" t="s">
        <v>1896</v>
      </c>
      <c r="D3531" s="101" t="s">
        <v>166</v>
      </c>
      <c r="E3531" s="102">
        <v>350</v>
      </c>
      <c r="F3531" s="67" t="str">
        <f>IFERROR(IFERROR(INDEX(Кат!$A:$A,MATCH(Прайс!$B3531,Кат!$G:$G,0)),INDEX(Торг!$B:$B,MATCH(Прайс!$B3531,Торг!$H:$H,0))),"")</f>
        <v/>
      </c>
      <c r="G3531" s="67" t="str">
        <f>IFERROR(IFERROR(INDEX(Кат!$B:$B,MATCH(Прайс!$B3531,Кат!$G:$G,0)),INDEX(Торг!$C:$C,MATCH(Прайс!$B3531,Торг!$H:$H,0))),"")</f>
        <v/>
      </c>
      <c r="H3531" s="67" t="str">
        <f>IFERROR(IFERROR(INDEX(Кат!$I:$I,MATCH(Прайс!$B3531,Кат!$G:$G,0)),INDEX(Торг!$I:$I,MATCH(Прайс!$B3531,Торг!$H:$H,0))),"")</f>
        <v/>
      </c>
    </row>
    <row r="3532" spans="1:8" x14ac:dyDescent="0.25">
      <c r="A3532" s="99" t="s">
        <v>4593</v>
      </c>
      <c r="B3532" s="108">
        <v>29280</v>
      </c>
      <c r="C3532" s="108" t="s">
        <v>1897</v>
      </c>
      <c r="D3532" s="101" t="s">
        <v>166</v>
      </c>
      <c r="E3532" s="102">
        <v>375</v>
      </c>
      <c r="F3532" s="67" t="str">
        <f>IFERROR(IFERROR(INDEX(Кат!$A:$A,MATCH(Прайс!$B3532,Кат!$G:$G,0)),INDEX(Торг!$B:$B,MATCH(Прайс!$B3532,Торг!$H:$H,0))),"")</f>
        <v/>
      </c>
      <c r="G3532" s="67" t="str">
        <f>IFERROR(IFERROR(INDEX(Кат!$B:$B,MATCH(Прайс!$B3532,Кат!$G:$G,0)),INDEX(Торг!$C:$C,MATCH(Прайс!$B3532,Торг!$H:$H,0))),"")</f>
        <v/>
      </c>
      <c r="H3532" s="67" t="str">
        <f>IFERROR(IFERROR(INDEX(Кат!$I:$I,MATCH(Прайс!$B3532,Кат!$G:$G,0)),INDEX(Торг!$I:$I,MATCH(Прайс!$B3532,Торг!$H:$H,0))),"")</f>
        <v/>
      </c>
    </row>
    <row r="3533" spans="1:8" ht="15.75" x14ac:dyDescent="0.25">
      <c r="A3533" s="90"/>
      <c r="B3533" s="91"/>
      <c r="C3533" s="92" t="s">
        <v>1898</v>
      </c>
      <c r="D3533" s="91"/>
      <c r="E3533" s="93"/>
      <c r="F3533" s="67" t="str">
        <f>IFERROR(IFERROR(INDEX(Кат!$A:$A,MATCH(Прайс!$B3533,Кат!$G:$G,0)),INDEX(Торг!$B:$B,MATCH(Прайс!$B3533,Торг!$H:$H,0))),"")</f>
        <v/>
      </c>
      <c r="G3533" s="67" t="str">
        <f>IFERROR(IFERROR(INDEX(Кат!$B:$B,MATCH(Прайс!$B3533,Кат!$G:$G,0)),INDEX(Торг!$C:$C,MATCH(Прайс!$B3533,Торг!$H:$H,0))),"")</f>
        <v/>
      </c>
      <c r="H3533" s="67" t="str">
        <f>IFERROR(IFERROR(INDEX(Кат!$I:$I,MATCH(Прайс!$B3533,Кат!$G:$G,0)),INDEX(Торг!$I:$I,MATCH(Прайс!$B3533,Торг!$H:$H,0))),"")</f>
        <v/>
      </c>
    </row>
    <row r="3534" spans="1:8" x14ac:dyDescent="0.25">
      <c r="A3534" s="103" t="s">
        <v>4594</v>
      </c>
      <c r="B3534" s="104">
        <v>29225</v>
      </c>
      <c r="C3534" s="104" t="s">
        <v>1899</v>
      </c>
      <c r="D3534" s="105" t="s">
        <v>480</v>
      </c>
      <c r="E3534" s="113">
        <v>610</v>
      </c>
      <c r="F3534" s="67" t="str">
        <f>IFERROR(IFERROR(INDEX(Кат!$A:$A,MATCH(Прайс!$B3534,Кат!$G:$G,0)),INDEX(Торг!$B:$B,MATCH(Прайс!$B3534,Торг!$H:$H,0))),"")</f>
        <v/>
      </c>
      <c r="G3534" s="67" t="str">
        <f>IFERROR(IFERROR(INDEX(Кат!$B:$B,MATCH(Прайс!$B3534,Кат!$G:$G,0)),INDEX(Торг!$C:$C,MATCH(Прайс!$B3534,Торг!$H:$H,0))),"")</f>
        <v/>
      </c>
      <c r="H3534" s="67" t="str">
        <f>IFERROR(IFERROR(INDEX(Кат!$I:$I,MATCH(Прайс!$B3534,Кат!$G:$G,0)),INDEX(Торг!$I:$I,MATCH(Прайс!$B3534,Торг!$H:$H,0))),"")</f>
        <v/>
      </c>
    </row>
    <row r="3535" spans="1:8" x14ac:dyDescent="0.25">
      <c r="A3535" s="103" t="s">
        <v>4595</v>
      </c>
      <c r="B3535" s="104">
        <v>29224</v>
      </c>
      <c r="C3535" s="104" t="s">
        <v>1900</v>
      </c>
      <c r="D3535" s="105" t="s">
        <v>480</v>
      </c>
      <c r="E3535" s="113">
        <v>640</v>
      </c>
      <c r="F3535" s="67" t="str">
        <f>IFERROR(IFERROR(INDEX(Кат!$A:$A,MATCH(Прайс!$B3535,Кат!$G:$G,0)),INDEX(Торг!$B:$B,MATCH(Прайс!$B3535,Торг!$H:$H,0))),"")</f>
        <v/>
      </c>
      <c r="G3535" s="67" t="str">
        <f>IFERROR(IFERROR(INDEX(Кат!$B:$B,MATCH(Прайс!$B3535,Кат!$G:$G,0)),INDEX(Торг!$C:$C,MATCH(Прайс!$B3535,Торг!$H:$H,0))),"")</f>
        <v/>
      </c>
      <c r="H3535" s="67" t="str">
        <f>IFERROR(IFERROR(INDEX(Кат!$I:$I,MATCH(Прайс!$B3535,Кат!$G:$G,0)),INDEX(Торг!$I:$I,MATCH(Прайс!$B3535,Торг!$H:$H,0))),"")</f>
        <v/>
      </c>
    </row>
    <row r="3536" spans="1:8" x14ac:dyDescent="0.25">
      <c r="A3536" s="103" t="s">
        <v>4596</v>
      </c>
      <c r="B3536" s="104">
        <v>29222</v>
      </c>
      <c r="C3536" s="104" t="s">
        <v>1901</v>
      </c>
      <c r="D3536" s="105" t="s">
        <v>480</v>
      </c>
      <c r="E3536" s="113">
        <v>590</v>
      </c>
      <c r="F3536" s="67" t="str">
        <f>IFERROR(IFERROR(INDEX(Кат!$A:$A,MATCH(Прайс!$B3536,Кат!$G:$G,0)),INDEX(Торг!$B:$B,MATCH(Прайс!$B3536,Торг!$H:$H,0))),"")</f>
        <v/>
      </c>
      <c r="G3536" s="67" t="str">
        <f>IFERROR(IFERROR(INDEX(Кат!$B:$B,MATCH(Прайс!$B3536,Кат!$G:$G,0)),INDEX(Торг!$C:$C,MATCH(Прайс!$B3536,Торг!$H:$H,0))),"")</f>
        <v/>
      </c>
      <c r="H3536" s="67" t="str">
        <f>IFERROR(IFERROR(INDEX(Кат!$I:$I,MATCH(Прайс!$B3536,Кат!$G:$G,0)),INDEX(Торг!$I:$I,MATCH(Прайс!$B3536,Торг!$H:$H,0))),"")</f>
        <v/>
      </c>
    </row>
    <row r="3537" spans="1:8" x14ac:dyDescent="0.25">
      <c r="A3537" s="103" t="s">
        <v>4597</v>
      </c>
      <c r="B3537" s="104">
        <v>29247</v>
      </c>
      <c r="C3537" s="104" t="s">
        <v>1902</v>
      </c>
      <c r="D3537" s="105" t="s">
        <v>159</v>
      </c>
      <c r="E3537" s="113">
        <v>610</v>
      </c>
      <c r="F3537" s="67" t="str">
        <f>IFERROR(IFERROR(INDEX(Кат!$A:$A,MATCH(Прайс!$B3537,Кат!$G:$G,0)),INDEX(Торг!$B:$B,MATCH(Прайс!$B3537,Торг!$H:$H,0))),"")</f>
        <v/>
      </c>
      <c r="G3537" s="67" t="str">
        <f>IFERROR(IFERROR(INDEX(Кат!$B:$B,MATCH(Прайс!$B3537,Кат!$G:$G,0)),INDEX(Торг!$C:$C,MATCH(Прайс!$B3537,Торг!$H:$H,0))),"")</f>
        <v/>
      </c>
      <c r="H3537" s="67" t="str">
        <f>IFERROR(IFERROR(INDEX(Кат!$I:$I,MATCH(Прайс!$B3537,Кат!$G:$G,0)),INDEX(Торг!$I:$I,MATCH(Прайс!$B3537,Торг!$H:$H,0))),"")</f>
        <v/>
      </c>
    </row>
    <row r="3538" spans="1:8" x14ac:dyDescent="0.25">
      <c r="A3538" s="103" t="s">
        <v>4598</v>
      </c>
      <c r="B3538" s="104">
        <v>29223</v>
      </c>
      <c r="C3538" s="104" t="s">
        <v>1903</v>
      </c>
      <c r="D3538" s="105" t="s">
        <v>159</v>
      </c>
      <c r="E3538" s="113">
        <v>630</v>
      </c>
      <c r="F3538" s="67" t="str">
        <f>IFERROR(IFERROR(INDEX(Кат!$A:$A,MATCH(Прайс!$B3538,Кат!$G:$G,0)),INDEX(Торг!$B:$B,MATCH(Прайс!$B3538,Торг!$H:$H,0))),"")</f>
        <v/>
      </c>
      <c r="G3538" s="67" t="str">
        <f>IFERROR(IFERROR(INDEX(Кат!$B:$B,MATCH(Прайс!$B3538,Кат!$G:$G,0)),INDEX(Торг!$C:$C,MATCH(Прайс!$B3538,Торг!$H:$H,0))),"")</f>
        <v/>
      </c>
      <c r="H3538" s="67" t="str">
        <f>IFERROR(IFERROR(INDEX(Кат!$I:$I,MATCH(Прайс!$B3538,Кат!$G:$G,0)),INDEX(Торг!$I:$I,MATCH(Прайс!$B3538,Торг!$H:$H,0))),"")</f>
        <v/>
      </c>
    </row>
    <row r="3539" spans="1:8" x14ac:dyDescent="0.25">
      <c r="A3539" s="103" t="s">
        <v>4599</v>
      </c>
      <c r="B3539" s="104">
        <v>29140</v>
      </c>
      <c r="C3539" s="104" t="s">
        <v>1904</v>
      </c>
      <c r="D3539" s="105" t="s">
        <v>1719</v>
      </c>
      <c r="E3539" s="113">
        <v>570</v>
      </c>
      <c r="F3539" s="67" t="str">
        <f>IFERROR(IFERROR(INDEX(Кат!$A:$A,MATCH(Прайс!$B3539,Кат!$G:$G,0)),INDEX(Торг!$B:$B,MATCH(Прайс!$B3539,Торг!$H:$H,0))),"")</f>
        <v/>
      </c>
      <c r="G3539" s="67" t="str">
        <f>IFERROR(IFERROR(INDEX(Кат!$B:$B,MATCH(Прайс!$B3539,Кат!$G:$G,0)),INDEX(Торг!$C:$C,MATCH(Прайс!$B3539,Торг!$H:$H,0))),"")</f>
        <v/>
      </c>
      <c r="H3539" s="67" t="str">
        <f>IFERROR(IFERROR(INDEX(Кат!$I:$I,MATCH(Прайс!$B3539,Кат!$G:$G,0)),INDEX(Торг!$I:$I,MATCH(Прайс!$B3539,Торг!$H:$H,0))),"")</f>
        <v/>
      </c>
    </row>
    <row r="3540" spans="1:8" x14ac:dyDescent="0.25">
      <c r="A3540" s="103" t="s">
        <v>5481</v>
      </c>
      <c r="B3540" s="104">
        <v>29142</v>
      </c>
      <c r="C3540" s="104" t="s">
        <v>5482</v>
      </c>
      <c r="D3540" s="105" t="s">
        <v>1719</v>
      </c>
      <c r="E3540" s="113">
        <v>610</v>
      </c>
      <c r="F3540" s="67" t="str">
        <f>IFERROR(IFERROR(INDEX(Кат!$A:$A,MATCH(Прайс!$B3540,Кат!$G:$G,0)),INDEX(Торг!$B:$B,MATCH(Прайс!$B3540,Торг!$H:$H,0))),"")</f>
        <v/>
      </c>
      <c r="G3540" s="67" t="str">
        <f>IFERROR(IFERROR(INDEX(Кат!$B:$B,MATCH(Прайс!$B3540,Кат!$G:$G,0)),INDEX(Торг!$C:$C,MATCH(Прайс!$B3540,Торг!$H:$H,0))),"")</f>
        <v/>
      </c>
      <c r="H3540" s="67" t="str">
        <f>IFERROR(IFERROR(INDEX(Кат!$I:$I,MATCH(Прайс!$B3540,Кат!$G:$G,0)),INDEX(Торг!$I:$I,MATCH(Прайс!$B3540,Торг!$H:$H,0))),"")</f>
        <v/>
      </c>
    </row>
    <row r="3541" spans="1:8" x14ac:dyDescent="0.25">
      <c r="A3541" s="103" t="s">
        <v>4600</v>
      </c>
      <c r="B3541" s="104">
        <v>29143</v>
      </c>
      <c r="C3541" s="104" t="s">
        <v>1905</v>
      </c>
      <c r="D3541" s="105" t="s">
        <v>1719</v>
      </c>
      <c r="E3541" s="113">
        <v>630</v>
      </c>
      <c r="F3541" s="67" t="str">
        <f>IFERROR(IFERROR(INDEX(Кат!$A:$A,MATCH(Прайс!$B3541,Кат!$G:$G,0)),INDEX(Торг!$B:$B,MATCH(Прайс!$B3541,Торг!$H:$H,0))),"")</f>
        <v/>
      </c>
      <c r="G3541" s="67" t="str">
        <f>IFERROR(IFERROR(INDEX(Кат!$B:$B,MATCH(Прайс!$B3541,Кат!$G:$G,0)),INDEX(Торг!$C:$C,MATCH(Прайс!$B3541,Торг!$H:$H,0))),"")</f>
        <v/>
      </c>
      <c r="H3541" s="67" t="str">
        <f>IFERROR(IFERROR(INDEX(Кат!$I:$I,MATCH(Прайс!$B3541,Кат!$G:$G,0)),INDEX(Торг!$I:$I,MATCH(Прайс!$B3541,Торг!$H:$H,0))),"")</f>
        <v/>
      </c>
    </row>
    <row r="3542" spans="1:8" x14ac:dyDescent="0.25">
      <c r="A3542" s="103" t="s">
        <v>4601</v>
      </c>
      <c r="B3542" s="104">
        <v>29144</v>
      </c>
      <c r="C3542" s="104" t="s">
        <v>1906</v>
      </c>
      <c r="D3542" s="105" t="s">
        <v>1719</v>
      </c>
      <c r="E3542" s="113">
        <v>590</v>
      </c>
      <c r="F3542" s="67" t="str">
        <f>IFERROR(IFERROR(INDEX(Кат!$A:$A,MATCH(Прайс!$B3542,Кат!$G:$G,0)),INDEX(Торг!$B:$B,MATCH(Прайс!$B3542,Торг!$H:$H,0))),"")</f>
        <v/>
      </c>
      <c r="G3542" s="67" t="str">
        <f>IFERROR(IFERROR(INDEX(Кат!$B:$B,MATCH(Прайс!$B3542,Кат!$G:$G,0)),INDEX(Торг!$C:$C,MATCH(Прайс!$B3542,Торг!$H:$H,0))),"")</f>
        <v/>
      </c>
      <c r="H3542" s="67" t="str">
        <f>IFERROR(IFERROR(INDEX(Кат!$I:$I,MATCH(Прайс!$B3542,Кат!$G:$G,0)),INDEX(Торг!$I:$I,MATCH(Прайс!$B3542,Торг!$H:$H,0))),"")</f>
        <v/>
      </c>
    </row>
    <row r="3543" spans="1:8" x14ac:dyDescent="0.25">
      <c r="A3543" s="103" t="s">
        <v>4602</v>
      </c>
      <c r="B3543" s="104">
        <v>29145</v>
      </c>
      <c r="C3543" s="104" t="s">
        <v>1907</v>
      </c>
      <c r="D3543" s="105" t="s">
        <v>1719</v>
      </c>
      <c r="E3543" s="113">
        <v>610</v>
      </c>
      <c r="F3543" s="67" t="str">
        <f>IFERROR(IFERROR(INDEX(Кат!$A:$A,MATCH(Прайс!$B3543,Кат!$G:$G,0)),INDEX(Торг!$B:$B,MATCH(Прайс!$B3543,Торг!$H:$H,0))),"")</f>
        <v/>
      </c>
      <c r="G3543" s="67" t="str">
        <f>IFERROR(IFERROR(INDEX(Кат!$B:$B,MATCH(Прайс!$B3543,Кат!$G:$G,0)),INDEX(Торг!$C:$C,MATCH(Прайс!$B3543,Торг!$H:$H,0))),"")</f>
        <v/>
      </c>
      <c r="H3543" s="67" t="str">
        <f>IFERROR(IFERROR(INDEX(Кат!$I:$I,MATCH(Прайс!$B3543,Кат!$G:$G,0)),INDEX(Торг!$I:$I,MATCH(Прайс!$B3543,Торг!$H:$H,0))),"")</f>
        <v/>
      </c>
    </row>
    <row r="3544" spans="1:8" x14ac:dyDescent="0.25">
      <c r="A3544" s="103" t="s">
        <v>4603</v>
      </c>
      <c r="B3544" s="104">
        <v>29146</v>
      </c>
      <c r="C3544" s="104" t="s">
        <v>1908</v>
      </c>
      <c r="D3544" s="105" t="s">
        <v>1719</v>
      </c>
      <c r="E3544" s="113">
        <v>620</v>
      </c>
      <c r="F3544" s="67" t="str">
        <f>IFERROR(IFERROR(INDEX(Кат!$A:$A,MATCH(Прайс!$B3544,Кат!$G:$G,0)),INDEX(Торг!$B:$B,MATCH(Прайс!$B3544,Торг!$H:$H,0))),"")</f>
        <v/>
      </c>
      <c r="G3544" s="67" t="str">
        <f>IFERROR(IFERROR(INDEX(Кат!$B:$B,MATCH(Прайс!$B3544,Кат!$G:$G,0)),INDEX(Торг!$C:$C,MATCH(Прайс!$B3544,Торг!$H:$H,0))),"")</f>
        <v/>
      </c>
      <c r="H3544" s="67" t="str">
        <f>IFERROR(IFERROR(INDEX(Кат!$I:$I,MATCH(Прайс!$B3544,Кат!$G:$G,0)),INDEX(Торг!$I:$I,MATCH(Прайс!$B3544,Торг!$H:$H,0))),"")</f>
        <v/>
      </c>
    </row>
    <row r="3545" spans="1:8" x14ac:dyDescent="0.25">
      <c r="A3545" s="103" t="s">
        <v>4604</v>
      </c>
      <c r="B3545" s="104">
        <v>29147</v>
      </c>
      <c r="C3545" s="104" t="s">
        <v>1909</v>
      </c>
      <c r="D3545" s="105" t="s">
        <v>1719</v>
      </c>
      <c r="E3545" s="113">
        <v>630</v>
      </c>
      <c r="F3545" s="67" t="str">
        <f>IFERROR(IFERROR(INDEX(Кат!$A:$A,MATCH(Прайс!$B3545,Кат!$G:$G,0)),INDEX(Торг!$B:$B,MATCH(Прайс!$B3545,Торг!$H:$H,0))),"")</f>
        <v/>
      </c>
      <c r="G3545" s="67" t="str">
        <f>IFERROR(IFERROR(INDEX(Кат!$B:$B,MATCH(Прайс!$B3545,Кат!$G:$G,0)),INDEX(Торг!$C:$C,MATCH(Прайс!$B3545,Торг!$H:$H,0))),"")</f>
        <v/>
      </c>
      <c r="H3545" s="67" t="str">
        <f>IFERROR(IFERROR(INDEX(Кат!$I:$I,MATCH(Прайс!$B3545,Кат!$G:$G,0)),INDEX(Торг!$I:$I,MATCH(Прайс!$B3545,Торг!$H:$H,0))),"")</f>
        <v/>
      </c>
    </row>
    <row r="3546" spans="1:8" x14ac:dyDescent="0.25">
      <c r="A3546" s="103" t="s">
        <v>4605</v>
      </c>
      <c r="B3546" s="104">
        <v>29148</v>
      </c>
      <c r="C3546" s="104" t="s">
        <v>1910</v>
      </c>
      <c r="D3546" s="105" t="s">
        <v>1719</v>
      </c>
      <c r="E3546" s="113">
        <v>640</v>
      </c>
      <c r="F3546" s="67" t="str">
        <f>IFERROR(IFERROR(INDEX(Кат!$A:$A,MATCH(Прайс!$B3546,Кат!$G:$G,0)),INDEX(Торг!$B:$B,MATCH(Прайс!$B3546,Торг!$H:$H,0))),"")</f>
        <v/>
      </c>
      <c r="G3546" s="67" t="str">
        <f>IFERROR(IFERROR(INDEX(Кат!$B:$B,MATCH(Прайс!$B3546,Кат!$G:$G,0)),INDEX(Торг!$C:$C,MATCH(Прайс!$B3546,Торг!$H:$H,0))),"")</f>
        <v/>
      </c>
      <c r="H3546" s="67" t="str">
        <f>IFERROR(IFERROR(INDEX(Кат!$I:$I,MATCH(Прайс!$B3546,Кат!$G:$G,0)),INDEX(Торг!$I:$I,MATCH(Прайс!$B3546,Торг!$H:$H,0))),"")</f>
        <v/>
      </c>
    </row>
    <row r="3547" spans="1:8" ht="15.75" x14ac:dyDescent="0.25">
      <c r="A3547" s="90"/>
      <c r="B3547" s="91"/>
      <c r="C3547" s="92" t="s">
        <v>1911</v>
      </c>
      <c r="D3547" s="91"/>
      <c r="E3547" s="93"/>
      <c r="F3547" s="67" t="str">
        <f>IFERROR(IFERROR(INDEX(Кат!$A:$A,MATCH(Прайс!$B3547,Кат!$G:$G,0)),INDEX(Торг!$B:$B,MATCH(Прайс!$B3547,Торг!$H:$H,0))),"")</f>
        <v/>
      </c>
      <c r="G3547" s="67" t="str">
        <f>IFERROR(IFERROR(INDEX(Кат!$B:$B,MATCH(Прайс!$B3547,Кат!$G:$G,0)),INDEX(Торг!$C:$C,MATCH(Прайс!$B3547,Торг!$H:$H,0))),"")</f>
        <v/>
      </c>
      <c r="H3547" s="67" t="str">
        <f>IFERROR(IFERROR(INDEX(Кат!$I:$I,MATCH(Прайс!$B3547,Кат!$G:$G,0)),INDEX(Торг!$I:$I,MATCH(Прайс!$B3547,Торг!$H:$H,0))),"")</f>
        <v/>
      </c>
    </row>
    <row r="3548" spans="1:8" x14ac:dyDescent="0.25">
      <c r="A3548" s="94" t="s">
        <v>4606</v>
      </c>
      <c r="B3548" s="98">
        <v>29058</v>
      </c>
      <c r="C3548" s="98" t="s">
        <v>1912</v>
      </c>
      <c r="D3548" s="96" t="s">
        <v>159</v>
      </c>
      <c r="E3548" s="97">
        <v>660</v>
      </c>
      <c r="F3548" s="67" t="str">
        <f>IFERROR(IFERROR(INDEX(Кат!$A:$A,MATCH(Прайс!$B3548,Кат!$G:$G,0)),INDEX(Торг!$B:$B,MATCH(Прайс!$B3548,Торг!$H:$H,0))),"")</f>
        <v/>
      </c>
      <c r="G3548" s="67" t="str">
        <f>IFERROR(IFERROR(INDEX(Кат!$B:$B,MATCH(Прайс!$B3548,Кат!$G:$G,0)),INDEX(Торг!$C:$C,MATCH(Прайс!$B3548,Торг!$H:$H,0))),"")</f>
        <v/>
      </c>
      <c r="H3548" s="67" t="str">
        <f>IFERROR(IFERROR(INDEX(Кат!$I:$I,MATCH(Прайс!$B3548,Кат!$G:$G,0)),INDEX(Торг!$I:$I,MATCH(Прайс!$B3548,Торг!$H:$H,0))),"")</f>
        <v/>
      </c>
    </row>
    <row r="3549" spans="1:8" x14ac:dyDescent="0.25">
      <c r="A3549" s="94" t="s">
        <v>4607</v>
      </c>
      <c r="B3549" s="98">
        <v>29059</v>
      </c>
      <c r="C3549" s="98" t="s">
        <v>1913</v>
      </c>
      <c r="D3549" s="96" t="s">
        <v>159</v>
      </c>
      <c r="E3549" s="97">
        <v>660</v>
      </c>
      <c r="F3549" s="67" t="str">
        <f>IFERROR(IFERROR(INDEX(Кат!$A:$A,MATCH(Прайс!$B3549,Кат!$G:$G,0)),INDEX(Торг!$B:$B,MATCH(Прайс!$B3549,Торг!$H:$H,0))),"")</f>
        <v/>
      </c>
      <c r="G3549" s="67" t="str">
        <f>IFERROR(IFERROR(INDEX(Кат!$B:$B,MATCH(Прайс!$B3549,Кат!$G:$G,0)),INDEX(Торг!$C:$C,MATCH(Прайс!$B3549,Торг!$H:$H,0))),"")</f>
        <v/>
      </c>
      <c r="H3549" s="67" t="str">
        <f>IFERROR(IFERROR(INDEX(Кат!$I:$I,MATCH(Прайс!$B3549,Кат!$G:$G,0)),INDEX(Торг!$I:$I,MATCH(Прайс!$B3549,Торг!$H:$H,0))),"")</f>
        <v/>
      </c>
    </row>
    <row r="3550" spans="1:8" x14ac:dyDescent="0.25">
      <c r="A3550" s="94" t="s">
        <v>4608</v>
      </c>
      <c r="B3550" s="98">
        <v>29060</v>
      </c>
      <c r="C3550" s="98" t="s">
        <v>1914</v>
      </c>
      <c r="D3550" s="96" t="s">
        <v>159</v>
      </c>
      <c r="E3550" s="97">
        <v>680</v>
      </c>
      <c r="F3550" s="67" t="str">
        <f>IFERROR(IFERROR(INDEX(Кат!$A:$A,MATCH(Прайс!$B3550,Кат!$G:$G,0)),INDEX(Торг!$B:$B,MATCH(Прайс!$B3550,Торг!$H:$H,0))),"")</f>
        <v/>
      </c>
      <c r="G3550" s="67" t="str">
        <f>IFERROR(IFERROR(INDEX(Кат!$B:$B,MATCH(Прайс!$B3550,Кат!$G:$G,0)),INDEX(Торг!$C:$C,MATCH(Прайс!$B3550,Торг!$H:$H,0))),"")</f>
        <v/>
      </c>
      <c r="H3550" s="67" t="str">
        <f>IFERROR(IFERROR(INDEX(Кат!$I:$I,MATCH(Прайс!$B3550,Кат!$G:$G,0)),INDEX(Торг!$I:$I,MATCH(Прайс!$B3550,Торг!$H:$H,0))),"")</f>
        <v/>
      </c>
    </row>
    <row r="3551" spans="1:8" x14ac:dyDescent="0.25">
      <c r="A3551" s="94" t="s">
        <v>4609</v>
      </c>
      <c r="B3551" s="98">
        <v>29061</v>
      </c>
      <c r="C3551" s="98" t="s">
        <v>4610</v>
      </c>
      <c r="D3551" s="96" t="s">
        <v>159</v>
      </c>
      <c r="E3551" s="97">
        <v>680</v>
      </c>
      <c r="F3551" s="67" t="str">
        <f>IFERROR(IFERROR(INDEX(Кат!$A:$A,MATCH(Прайс!$B3551,Кат!$G:$G,0)),INDEX(Торг!$B:$B,MATCH(Прайс!$B3551,Торг!$H:$H,0))),"")</f>
        <v/>
      </c>
      <c r="G3551" s="67" t="str">
        <f>IFERROR(IFERROR(INDEX(Кат!$B:$B,MATCH(Прайс!$B3551,Кат!$G:$G,0)),INDEX(Торг!$C:$C,MATCH(Прайс!$B3551,Торг!$H:$H,0))),"")</f>
        <v/>
      </c>
      <c r="H3551" s="67" t="str">
        <f>IFERROR(IFERROR(INDEX(Кат!$I:$I,MATCH(Прайс!$B3551,Кат!$G:$G,0)),INDEX(Торг!$I:$I,MATCH(Прайс!$B3551,Торг!$H:$H,0))),"")</f>
        <v/>
      </c>
    </row>
    <row r="3552" spans="1:8" x14ac:dyDescent="0.25">
      <c r="A3552" s="94" t="s">
        <v>4611</v>
      </c>
      <c r="B3552" s="98">
        <v>29062</v>
      </c>
      <c r="C3552" s="98" t="s">
        <v>1915</v>
      </c>
      <c r="D3552" s="96" t="s">
        <v>159</v>
      </c>
      <c r="E3552" s="97">
        <v>700</v>
      </c>
      <c r="F3552" s="67" t="str">
        <f>IFERROR(IFERROR(INDEX(Кат!$A:$A,MATCH(Прайс!$B3552,Кат!$G:$G,0)),INDEX(Торг!$B:$B,MATCH(Прайс!$B3552,Торг!$H:$H,0))),"")</f>
        <v/>
      </c>
      <c r="G3552" s="67" t="str">
        <f>IFERROR(IFERROR(INDEX(Кат!$B:$B,MATCH(Прайс!$B3552,Кат!$G:$G,0)),INDEX(Торг!$C:$C,MATCH(Прайс!$B3552,Торг!$H:$H,0))),"")</f>
        <v/>
      </c>
      <c r="H3552" s="67" t="str">
        <f>IFERROR(IFERROR(INDEX(Кат!$I:$I,MATCH(Прайс!$B3552,Кат!$G:$G,0)),INDEX(Торг!$I:$I,MATCH(Прайс!$B3552,Торг!$H:$H,0))),"")</f>
        <v/>
      </c>
    </row>
    <row r="3553" spans="1:8" x14ac:dyDescent="0.25">
      <c r="A3553" s="94" t="s">
        <v>4612</v>
      </c>
      <c r="B3553" s="98">
        <v>29063</v>
      </c>
      <c r="C3553" s="98" t="s">
        <v>1916</v>
      </c>
      <c r="D3553" s="96" t="s">
        <v>159</v>
      </c>
      <c r="E3553" s="97">
        <v>700</v>
      </c>
      <c r="F3553" s="67" t="str">
        <f>IFERROR(IFERROR(INDEX(Кат!$A:$A,MATCH(Прайс!$B3553,Кат!$G:$G,0)),INDEX(Торг!$B:$B,MATCH(Прайс!$B3553,Торг!$H:$H,0))),"")</f>
        <v/>
      </c>
      <c r="G3553" s="67" t="str">
        <f>IFERROR(IFERROR(INDEX(Кат!$B:$B,MATCH(Прайс!$B3553,Кат!$G:$G,0)),INDEX(Торг!$C:$C,MATCH(Прайс!$B3553,Торг!$H:$H,0))),"")</f>
        <v/>
      </c>
      <c r="H3553" s="67" t="str">
        <f>IFERROR(IFERROR(INDEX(Кат!$I:$I,MATCH(Прайс!$B3553,Кат!$G:$G,0)),INDEX(Торг!$I:$I,MATCH(Прайс!$B3553,Торг!$H:$H,0))),"")</f>
        <v/>
      </c>
    </row>
    <row r="3554" spans="1:8" x14ac:dyDescent="0.25">
      <c r="A3554" s="94" t="s">
        <v>4613</v>
      </c>
      <c r="B3554" s="98">
        <v>29064</v>
      </c>
      <c r="C3554" s="98" t="s">
        <v>1917</v>
      </c>
      <c r="D3554" s="96" t="s">
        <v>159</v>
      </c>
      <c r="E3554" s="97">
        <v>740</v>
      </c>
      <c r="F3554" s="67" t="str">
        <f>IFERROR(IFERROR(INDEX(Кат!$A:$A,MATCH(Прайс!$B3554,Кат!$G:$G,0)),INDEX(Торг!$B:$B,MATCH(Прайс!$B3554,Торг!$H:$H,0))),"")</f>
        <v/>
      </c>
      <c r="G3554" s="67" t="str">
        <f>IFERROR(IFERROR(INDEX(Кат!$B:$B,MATCH(Прайс!$B3554,Кат!$G:$G,0)),INDEX(Торг!$C:$C,MATCH(Прайс!$B3554,Торг!$H:$H,0))),"")</f>
        <v/>
      </c>
      <c r="H3554" s="67" t="str">
        <f>IFERROR(IFERROR(INDEX(Кат!$I:$I,MATCH(Прайс!$B3554,Кат!$G:$G,0)),INDEX(Торг!$I:$I,MATCH(Прайс!$B3554,Торг!$H:$H,0))),"")</f>
        <v/>
      </c>
    </row>
    <row r="3555" spans="1:8" x14ac:dyDescent="0.25">
      <c r="A3555" s="94" t="s">
        <v>7153</v>
      </c>
      <c r="B3555" s="98">
        <v>29065</v>
      </c>
      <c r="C3555" s="98" t="s">
        <v>7154</v>
      </c>
      <c r="D3555" s="96" t="s">
        <v>159</v>
      </c>
      <c r="E3555" s="97">
        <v>740</v>
      </c>
      <c r="F3555" s="67" t="str">
        <f>IFERROR(IFERROR(INDEX(Кат!$A:$A,MATCH(Прайс!$B3555,Кат!$G:$G,0)),INDEX(Торг!$B:$B,MATCH(Прайс!$B3555,Торг!$H:$H,0))),"")</f>
        <v/>
      </c>
      <c r="G3555" s="67" t="str">
        <f>IFERROR(IFERROR(INDEX(Кат!$B:$B,MATCH(Прайс!$B3555,Кат!$G:$G,0)),INDEX(Торг!$C:$C,MATCH(Прайс!$B3555,Торг!$H:$H,0))),"")</f>
        <v/>
      </c>
      <c r="H3555" s="67" t="str">
        <f>IFERROR(IFERROR(INDEX(Кат!$I:$I,MATCH(Прайс!$B3555,Кат!$G:$G,0)),INDEX(Торг!$I:$I,MATCH(Прайс!$B3555,Торг!$H:$H,0))),"")</f>
        <v/>
      </c>
    </row>
    <row r="3556" spans="1:8" x14ac:dyDescent="0.25">
      <c r="A3556" s="94" t="s">
        <v>4614</v>
      </c>
      <c r="B3556" s="98">
        <v>29066</v>
      </c>
      <c r="C3556" s="98" t="s">
        <v>1918</v>
      </c>
      <c r="D3556" s="96" t="s">
        <v>159</v>
      </c>
      <c r="E3556" s="97">
        <v>770</v>
      </c>
      <c r="F3556" s="67" t="str">
        <f>IFERROR(IFERROR(INDEX(Кат!$A:$A,MATCH(Прайс!$B3556,Кат!$G:$G,0)),INDEX(Торг!$B:$B,MATCH(Прайс!$B3556,Торг!$H:$H,0))),"")</f>
        <v/>
      </c>
      <c r="G3556" s="67" t="str">
        <f>IFERROR(IFERROR(INDEX(Кат!$B:$B,MATCH(Прайс!$B3556,Кат!$G:$G,0)),INDEX(Торг!$C:$C,MATCH(Прайс!$B3556,Торг!$H:$H,0))),"")</f>
        <v/>
      </c>
      <c r="H3556" s="67" t="str">
        <f>IFERROR(IFERROR(INDEX(Кат!$I:$I,MATCH(Прайс!$B3556,Кат!$G:$G,0)),INDEX(Торг!$I:$I,MATCH(Прайс!$B3556,Торг!$H:$H,0))),"")</f>
        <v/>
      </c>
    </row>
    <row r="3557" spans="1:8" x14ac:dyDescent="0.25">
      <c r="A3557" s="94" t="s">
        <v>4615</v>
      </c>
      <c r="B3557" s="98">
        <v>29067</v>
      </c>
      <c r="C3557" s="98" t="s">
        <v>1919</v>
      </c>
      <c r="D3557" s="96" t="s">
        <v>159</v>
      </c>
      <c r="E3557" s="97">
        <v>770</v>
      </c>
      <c r="F3557" s="67" t="str">
        <f>IFERROR(IFERROR(INDEX(Кат!$A:$A,MATCH(Прайс!$B3557,Кат!$G:$G,0)),INDEX(Торг!$B:$B,MATCH(Прайс!$B3557,Торг!$H:$H,0))),"")</f>
        <v/>
      </c>
      <c r="G3557" s="67" t="str">
        <f>IFERROR(IFERROR(INDEX(Кат!$B:$B,MATCH(Прайс!$B3557,Кат!$G:$G,0)),INDEX(Торг!$C:$C,MATCH(Прайс!$B3557,Торг!$H:$H,0))),"")</f>
        <v/>
      </c>
      <c r="H3557" s="67" t="str">
        <f>IFERROR(IFERROR(INDEX(Кат!$I:$I,MATCH(Прайс!$B3557,Кат!$G:$G,0)),INDEX(Торг!$I:$I,MATCH(Прайс!$B3557,Торг!$H:$H,0))),"")</f>
        <v/>
      </c>
    </row>
    <row r="3558" spans="1:8" x14ac:dyDescent="0.25">
      <c r="A3558" s="94" t="s">
        <v>4616</v>
      </c>
      <c r="B3558" s="98">
        <v>29068</v>
      </c>
      <c r="C3558" s="98" t="s">
        <v>1920</v>
      </c>
      <c r="D3558" s="96" t="s">
        <v>159</v>
      </c>
      <c r="E3558" s="97">
        <v>790</v>
      </c>
      <c r="F3558" s="67" t="str">
        <f>IFERROR(IFERROR(INDEX(Кат!$A:$A,MATCH(Прайс!$B3558,Кат!$G:$G,0)),INDEX(Торг!$B:$B,MATCH(Прайс!$B3558,Торг!$H:$H,0))),"")</f>
        <v/>
      </c>
      <c r="G3558" s="67" t="str">
        <f>IFERROR(IFERROR(INDEX(Кат!$B:$B,MATCH(Прайс!$B3558,Кат!$G:$G,0)),INDEX(Торг!$C:$C,MATCH(Прайс!$B3558,Торг!$H:$H,0))),"")</f>
        <v/>
      </c>
      <c r="H3558" s="67" t="str">
        <f>IFERROR(IFERROR(INDEX(Кат!$I:$I,MATCH(Прайс!$B3558,Кат!$G:$G,0)),INDEX(Торг!$I:$I,MATCH(Прайс!$B3558,Торг!$H:$H,0))),"")</f>
        <v/>
      </c>
    </row>
    <row r="3559" spans="1:8" x14ac:dyDescent="0.25">
      <c r="A3559" s="94" t="s">
        <v>4617</v>
      </c>
      <c r="B3559" s="98">
        <v>29069</v>
      </c>
      <c r="C3559" s="98" t="s">
        <v>1921</v>
      </c>
      <c r="D3559" s="96" t="s">
        <v>159</v>
      </c>
      <c r="E3559" s="97">
        <v>970</v>
      </c>
      <c r="F3559" s="67" t="str">
        <f>IFERROR(IFERROR(INDEX(Кат!$A:$A,MATCH(Прайс!$B3559,Кат!$G:$G,0)),INDEX(Торг!$B:$B,MATCH(Прайс!$B3559,Торг!$H:$H,0))),"")</f>
        <v/>
      </c>
      <c r="G3559" s="67" t="str">
        <f>IFERROR(IFERROR(INDEX(Кат!$B:$B,MATCH(Прайс!$B3559,Кат!$G:$G,0)),INDEX(Торг!$C:$C,MATCH(Прайс!$B3559,Торг!$H:$H,0))),"")</f>
        <v/>
      </c>
      <c r="H3559" s="67" t="str">
        <f>IFERROR(IFERROR(INDEX(Кат!$I:$I,MATCH(Прайс!$B3559,Кат!$G:$G,0)),INDEX(Торг!$I:$I,MATCH(Прайс!$B3559,Торг!$H:$H,0))),"")</f>
        <v/>
      </c>
    </row>
    <row r="3560" spans="1:8" x14ac:dyDescent="0.25">
      <c r="A3560" s="99" t="s">
        <v>4618</v>
      </c>
      <c r="B3560" s="108">
        <v>29164</v>
      </c>
      <c r="C3560" s="108" t="s">
        <v>1922</v>
      </c>
      <c r="D3560" s="101" t="s">
        <v>166</v>
      </c>
      <c r="E3560" s="102">
        <v>290</v>
      </c>
      <c r="F3560" s="67" t="str">
        <f>IFERROR(IFERROR(INDEX(Кат!$A:$A,MATCH(Прайс!$B3560,Кат!$G:$G,0)),INDEX(Торг!$B:$B,MATCH(Прайс!$B3560,Торг!$H:$H,0))),"")</f>
        <v/>
      </c>
      <c r="G3560" s="67" t="str">
        <f>IFERROR(IFERROR(INDEX(Кат!$B:$B,MATCH(Прайс!$B3560,Кат!$G:$G,0)),INDEX(Торг!$C:$C,MATCH(Прайс!$B3560,Торг!$H:$H,0))),"")</f>
        <v/>
      </c>
      <c r="H3560" s="67" t="str">
        <f>IFERROR(IFERROR(INDEX(Кат!$I:$I,MATCH(Прайс!$B3560,Кат!$G:$G,0)),INDEX(Торг!$I:$I,MATCH(Прайс!$B3560,Торг!$H:$H,0))),"")</f>
        <v/>
      </c>
    </row>
    <row r="3561" spans="1:8" x14ac:dyDescent="0.25">
      <c r="A3561" s="99" t="s">
        <v>4619</v>
      </c>
      <c r="B3561" s="108">
        <v>29165</v>
      </c>
      <c r="C3561" s="108" t="s">
        <v>1923</v>
      </c>
      <c r="D3561" s="101" t="s">
        <v>166</v>
      </c>
      <c r="E3561" s="102">
        <v>300</v>
      </c>
      <c r="F3561" s="67" t="str">
        <f>IFERROR(IFERROR(INDEX(Кат!$A:$A,MATCH(Прайс!$B3561,Кат!$G:$G,0)),INDEX(Торг!$B:$B,MATCH(Прайс!$B3561,Торг!$H:$H,0))),"")</f>
        <v/>
      </c>
      <c r="G3561" s="67" t="str">
        <f>IFERROR(IFERROR(INDEX(Кат!$B:$B,MATCH(Прайс!$B3561,Кат!$G:$G,0)),INDEX(Торг!$C:$C,MATCH(Прайс!$B3561,Торг!$H:$H,0))),"")</f>
        <v/>
      </c>
      <c r="H3561" s="67" t="str">
        <f>IFERROR(IFERROR(INDEX(Кат!$I:$I,MATCH(Прайс!$B3561,Кат!$G:$G,0)),INDEX(Торг!$I:$I,MATCH(Прайс!$B3561,Торг!$H:$H,0))),"")</f>
        <v/>
      </c>
    </row>
    <row r="3562" spans="1:8" x14ac:dyDescent="0.25">
      <c r="A3562" s="99" t="s">
        <v>4620</v>
      </c>
      <c r="B3562" s="108">
        <v>29166</v>
      </c>
      <c r="C3562" s="108" t="s">
        <v>1924</v>
      </c>
      <c r="D3562" s="101" t="s">
        <v>166</v>
      </c>
      <c r="E3562" s="102">
        <v>390</v>
      </c>
      <c r="F3562" s="67" t="str">
        <f>IFERROR(IFERROR(INDEX(Кат!$A:$A,MATCH(Прайс!$B3562,Кат!$G:$G,0)),INDEX(Торг!$B:$B,MATCH(Прайс!$B3562,Торг!$H:$H,0))),"")</f>
        <v/>
      </c>
      <c r="G3562" s="67" t="str">
        <f>IFERROR(IFERROR(INDEX(Кат!$B:$B,MATCH(Прайс!$B3562,Кат!$G:$G,0)),INDEX(Торг!$C:$C,MATCH(Прайс!$B3562,Торг!$H:$H,0))),"")</f>
        <v/>
      </c>
      <c r="H3562" s="67" t="str">
        <f>IFERROR(IFERROR(INDEX(Кат!$I:$I,MATCH(Прайс!$B3562,Кат!$G:$G,0)),INDEX(Торг!$I:$I,MATCH(Прайс!$B3562,Торг!$H:$H,0))),"")</f>
        <v/>
      </c>
    </row>
    <row r="3563" spans="1:8" x14ac:dyDescent="0.25">
      <c r="A3563" s="99" t="s">
        <v>4621</v>
      </c>
      <c r="B3563" s="108">
        <v>29167</v>
      </c>
      <c r="C3563" s="108" t="s">
        <v>1925</v>
      </c>
      <c r="D3563" s="101" t="s">
        <v>166</v>
      </c>
      <c r="E3563" s="102">
        <v>390</v>
      </c>
      <c r="F3563" s="67" t="str">
        <f>IFERROR(IFERROR(INDEX(Кат!$A:$A,MATCH(Прайс!$B3563,Кат!$G:$G,0)),INDEX(Торг!$B:$B,MATCH(Прайс!$B3563,Торг!$H:$H,0))),"")</f>
        <v/>
      </c>
      <c r="G3563" s="67" t="str">
        <f>IFERROR(IFERROR(INDEX(Кат!$B:$B,MATCH(Прайс!$B3563,Кат!$G:$G,0)),INDEX(Торг!$C:$C,MATCH(Прайс!$B3563,Торг!$H:$H,0))),"")</f>
        <v/>
      </c>
      <c r="H3563" s="67" t="str">
        <f>IFERROR(IFERROR(INDEX(Кат!$I:$I,MATCH(Прайс!$B3563,Кат!$G:$G,0)),INDEX(Торг!$I:$I,MATCH(Прайс!$B3563,Торг!$H:$H,0))),"")</f>
        <v/>
      </c>
    </row>
    <row r="3564" spans="1:8" x14ac:dyDescent="0.25">
      <c r="A3564" s="99" t="s">
        <v>4622</v>
      </c>
      <c r="B3564" s="108">
        <v>29168</v>
      </c>
      <c r="C3564" s="108" t="s">
        <v>1926</v>
      </c>
      <c r="D3564" s="101" t="s">
        <v>166</v>
      </c>
      <c r="E3564" s="102">
        <v>400</v>
      </c>
      <c r="F3564" s="67" t="str">
        <f>IFERROR(IFERROR(INDEX(Кат!$A:$A,MATCH(Прайс!$B3564,Кат!$G:$G,0)),INDEX(Торг!$B:$B,MATCH(Прайс!$B3564,Торг!$H:$H,0))),"")</f>
        <v/>
      </c>
      <c r="G3564" s="67" t="str">
        <f>IFERROR(IFERROR(INDEX(Кат!$B:$B,MATCH(Прайс!$B3564,Кат!$G:$G,0)),INDEX(Торг!$C:$C,MATCH(Прайс!$B3564,Торг!$H:$H,0))),"")</f>
        <v/>
      </c>
      <c r="H3564" s="67" t="str">
        <f>IFERROR(IFERROR(INDEX(Кат!$I:$I,MATCH(Прайс!$B3564,Кат!$G:$G,0)),INDEX(Торг!$I:$I,MATCH(Прайс!$B3564,Торг!$H:$H,0))),"")</f>
        <v/>
      </c>
    </row>
    <row r="3565" spans="1:8" x14ac:dyDescent="0.25">
      <c r="A3565" s="99" t="s">
        <v>4623</v>
      </c>
      <c r="B3565" s="108">
        <v>29169</v>
      </c>
      <c r="C3565" s="108" t="s">
        <v>1927</v>
      </c>
      <c r="D3565" s="101" t="s">
        <v>166</v>
      </c>
      <c r="E3565" s="102">
        <v>410</v>
      </c>
      <c r="F3565" s="67" t="str">
        <f>IFERROR(IFERROR(INDEX(Кат!$A:$A,MATCH(Прайс!$B3565,Кат!$G:$G,0)),INDEX(Торг!$B:$B,MATCH(Прайс!$B3565,Торг!$H:$H,0))),"")</f>
        <v/>
      </c>
      <c r="G3565" s="67" t="str">
        <f>IFERROR(IFERROR(INDEX(Кат!$B:$B,MATCH(Прайс!$B3565,Кат!$G:$G,0)),INDEX(Торг!$C:$C,MATCH(Прайс!$B3565,Торг!$H:$H,0))),"")</f>
        <v/>
      </c>
      <c r="H3565" s="67" t="str">
        <f>IFERROR(IFERROR(INDEX(Кат!$I:$I,MATCH(Прайс!$B3565,Кат!$G:$G,0)),INDEX(Торг!$I:$I,MATCH(Прайс!$B3565,Торг!$H:$H,0))),"")</f>
        <v/>
      </c>
    </row>
    <row r="3566" spans="1:8" x14ac:dyDescent="0.25">
      <c r="A3566" s="99" t="s">
        <v>4624</v>
      </c>
      <c r="B3566" s="108">
        <v>29170</v>
      </c>
      <c r="C3566" s="108" t="s">
        <v>1928</v>
      </c>
      <c r="D3566" s="101" t="s">
        <v>166</v>
      </c>
      <c r="E3566" s="102">
        <v>410</v>
      </c>
      <c r="F3566" s="67" t="str">
        <f>IFERROR(IFERROR(INDEX(Кат!$A:$A,MATCH(Прайс!$B3566,Кат!$G:$G,0)),INDEX(Торг!$B:$B,MATCH(Прайс!$B3566,Торг!$H:$H,0))),"")</f>
        <v/>
      </c>
      <c r="G3566" s="67" t="str">
        <f>IFERROR(IFERROR(INDEX(Кат!$B:$B,MATCH(Прайс!$B3566,Кат!$G:$G,0)),INDEX(Торг!$C:$C,MATCH(Прайс!$B3566,Торг!$H:$H,0))),"")</f>
        <v/>
      </c>
      <c r="H3566" s="67" t="str">
        <f>IFERROR(IFERROR(INDEX(Кат!$I:$I,MATCH(Прайс!$B3566,Кат!$G:$G,0)),INDEX(Торг!$I:$I,MATCH(Прайс!$B3566,Торг!$H:$H,0))),"")</f>
        <v/>
      </c>
    </row>
    <row r="3567" spans="1:8" x14ac:dyDescent="0.25">
      <c r="A3567" s="99" t="s">
        <v>4625</v>
      </c>
      <c r="B3567" s="108">
        <v>29171</v>
      </c>
      <c r="C3567" s="108" t="s">
        <v>1929</v>
      </c>
      <c r="D3567" s="101" t="s">
        <v>166</v>
      </c>
      <c r="E3567" s="102">
        <v>410</v>
      </c>
      <c r="F3567" s="67" t="str">
        <f>IFERROR(IFERROR(INDEX(Кат!$A:$A,MATCH(Прайс!$B3567,Кат!$G:$G,0)),INDEX(Торг!$B:$B,MATCH(Прайс!$B3567,Торг!$H:$H,0))),"")</f>
        <v/>
      </c>
      <c r="G3567" s="67" t="str">
        <f>IFERROR(IFERROR(INDEX(Кат!$B:$B,MATCH(Прайс!$B3567,Кат!$G:$G,0)),INDEX(Торг!$C:$C,MATCH(Прайс!$B3567,Торг!$H:$H,0))),"")</f>
        <v/>
      </c>
      <c r="H3567" s="67" t="str">
        <f>IFERROR(IFERROR(INDEX(Кат!$I:$I,MATCH(Прайс!$B3567,Кат!$G:$G,0)),INDEX(Торг!$I:$I,MATCH(Прайс!$B3567,Торг!$H:$H,0))),"")</f>
        <v/>
      </c>
    </row>
    <row r="3568" spans="1:8" x14ac:dyDescent="0.25">
      <c r="A3568" s="99" t="s">
        <v>4626</v>
      </c>
      <c r="B3568" s="108">
        <v>29172</v>
      </c>
      <c r="C3568" s="108" t="s">
        <v>1930</v>
      </c>
      <c r="D3568" s="101" t="s">
        <v>166</v>
      </c>
      <c r="E3568" s="102">
        <v>430</v>
      </c>
      <c r="F3568" s="67" t="str">
        <f>IFERROR(IFERROR(INDEX(Кат!$A:$A,MATCH(Прайс!$B3568,Кат!$G:$G,0)),INDEX(Торг!$B:$B,MATCH(Прайс!$B3568,Торг!$H:$H,0))),"")</f>
        <v/>
      </c>
      <c r="G3568" s="67" t="str">
        <f>IFERROR(IFERROR(INDEX(Кат!$B:$B,MATCH(Прайс!$B3568,Кат!$G:$G,0)),INDEX(Торг!$C:$C,MATCH(Прайс!$B3568,Торг!$H:$H,0))),"")</f>
        <v/>
      </c>
      <c r="H3568" s="67" t="str">
        <f>IFERROR(IFERROR(INDEX(Кат!$I:$I,MATCH(Прайс!$B3568,Кат!$G:$G,0)),INDEX(Торг!$I:$I,MATCH(Прайс!$B3568,Торг!$H:$H,0))),"")</f>
        <v/>
      </c>
    </row>
    <row r="3569" spans="1:8" x14ac:dyDescent="0.25">
      <c r="A3569" s="99" t="s">
        <v>5483</v>
      </c>
      <c r="B3569" s="108">
        <v>29173</v>
      </c>
      <c r="C3569" s="108" t="s">
        <v>5484</v>
      </c>
      <c r="D3569" s="101" t="s">
        <v>166</v>
      </c>
      <c r="E3569" s="102">
        <v>440</v>
      </c>
      <c r="F3569" s="67" t="str">
        <f>IFERROR(IFERROR(INDEX(Кат!$A:$A,MATCH(Прайс!$B3569,Кат!$G:$G,0)),INDEX(Торг!$B:$B,MATCH(Прайс!$B3569,Торг!$H:$H,0))),"")</f>
        <v/>
      </c>
      <c r="G3569" s="67" t="str">
        <f>IFERROR(IFERROR(INDEX(Кат!$B:$B,MATCH(Прайс!$B3569,Кат!$G:$G,0)),INDEX(Торг!$C:$C,MATCH(Прайс!$B3569,Торг!$H:$H,0))),"")</f>
        <v/>
      </c>
      <c r="H3569" s="67" t="str">
        <f>IFERROR(IFERROR(INDEX(Кат!$I:$I,MATCH(Прайс!$B3569,Кат!$G:$G,0)),INDEX(Торг!$I:$I,MATCH(Прайс!$B3569,Торг!$H:$H,0))),"")</f>
        <v/>
      </c>
    </row>
    <row r="3570" spans="1:8" x14ac:dyDescent="0.25">
      <c r="A3570" s="99" t="s">
        <v>4627</v>
      </c>
      <c r="B3570" s="108">
        <v>29174</v>
      </c>
      <c r="C3570" s="108" t="s">
        <v>1931</v>
      </c>
      <c r="D3570" s="101" t="s">
        <v>166</v>
      </c>
      <c r="E3570" s="102">
        <v>440</v>
      </c>
      <c r="F3570" s="67" t="str">
        <f>IFERROR(IFERROR(INDEX(Кат!$A:$A,MATCH(Прайс!$B3570,Кат!$G:$G,0)),INDEX(Торг!$B:$B,MATCH(Прайс!$B3570,Торг!$H:$H,0))),"")</f>
        <v/>
      </c>
      <c r="G3570" s="67" t="str">
        <f>IFERROR(IFERROR(INDEX(Кат!$B:$B,MATCH(Прайс!$B3570,Кат!$G:$G,0)),INDEX(Торг!$C:$C,MATCH(Прайс!$B3570,Торг!$H:$H,0))),"")</f>
        <v/>
      </c>
      <c r="H3570" s="67" t="str">
        <f>IFERROR(IFERROR(INDEX(Кат!$I:$I,MATCH(Прайс!$B3570,Кат!$G:$G,0)),INDEX(Торг!$I:$I,MATCH(Прайс!$B3570,Торг!$H:$H,0))),"")</f>
        <v/>
      </c>
    </row>
    <row r="3571" spans="1:8" x14ac:dyDescent="0.25">
      <c r="A3571" s="99" t="s">
        <v>4628</v>
      </c>
      <c r="B3571" s="108">
        <v>29175</v>
      </c>
      <c r="C3571" s="108" t="s">
        <v>1932</v>
      </c>
      <c r="D3571" s="101" t="s">
        <v>166</v>
      </c>
      <c r="E3571" s="102">
        <v>470</v>
      </c>
      <c r="F3571" s="67" t="str">
        <f>IFERROR(IFERROR(INDEX(Кат!$A:$A,MATCH(Прайс!$B3571,Кат!$G:$G,0)),INDEX(Торг!$B:$B,MATCH(Прайс!$B3571,Торг!$H:$H,0))),"")</f>
        <v/>
      </c>
      <c r="G3571" s="67" t="str">
        <f>IFERROR(IFERROR(INDEX(Кат!$B:$B,MATCH(Прайс!$B3571,Кат!$G:$G,0)),INDEX(Торг!$C:$C,MATCH(Прайс!$B3571,Торг!$H:$H,0))),"")</f>
        <v/>
      </c>
      <c r="H3571" s="67" t="str">
        <f>IFERROR(IFERROR(INDEX(Кат!$I:$I,MATCH(Прайс!$B3571,Кат!$G:$G,0)),INDEX(Торг!$I:$I,MATCH(Прайс!$B3571,Торг!$H:$H,0))),"")</f>
        <v/>
      </c>
    </row>
    <row r="3572" spans="1:8" x14ac:dyDescent="0.25">
      <c r="A3572" s="99" t="s">
        <v>4629</v>
      </c>
      <c r="B3572" s="108">
        <v>29070</v>
      </c>
      <c r="C3572" s="108" t="s">
        <v>1933</v>
      </c>
      <c r="D3572" s="101" t="s">
        <v>159</v>
      </c>
      <c r="E3572" s="102">
        <v>550</v>
      </c>
      <c r="F3572" s="67" t="str">
        <f>IFERROR(IFERROR(INDEX(Кат!$A:$A,MATCH(Прайс!$B3572,Кат!$G:$G,0)),INDEX(Торг!$B:$B,MATCH(Прайс!$B3572,Торг!$H:$H,0))),"")</f>
        <v/>
      </c>
      <c r="G3572" s="67" t="str">
        <f>IFERROR(IFERROR(INDEX(Кат!$B:$B,MATCH(Прайс!$B3572,Кат!$G:$G,0)),INDEX(Торг!$C:$C,MATCH(Прайс!$B3572,Торг!$H:$H,0))),"")</f>
        <v/>
      </c>
      <c r="H3572" s="67" t="str">
        <f>IFERROR(IFERROR(INDEX(Кат!$I:$I,MATCH(Прайс!$B3572,Кат!$G:$G,0)),INDEX(Торг!$I:$I,MATCH(Прайс!$B3572,Торг!$H:$H,0))),"")</f>
        <v/>
      </c>
    </row>
    <row r="3573" spans="1:8" x14ac:dyDescent="0.25">
      <c r="A3573" s="99" t="s">
        <v>4630</v>
      </c>
      <c r="B3573" s="108">
        <v>29191</v>
      </c>
      <c r="C3573" s="108" t="s">
        <v>1934</v>
      </c>
      <c r="D3573" s="101" t="s">
        <v>159</v>
      </c>
      <c r="E3573" s="102">
        <v>550</v>
      </c>
      <c r="F3573" s="67" t="str">
        <f>IFERROR(IFERROR(INDEX(Кат!$A:$A,MATCH(Прайс!$B3573,Кат!$G:$G,0)),INDEX(Торг!$B:$B,MATCH(Прайс!$B3573,Торг!$H:$H,0))),"")</f>
        <v/>
      </c>
      <c r="G3573" s="67" t="str">
        <f>IFERROR(IFERROR(INDEX(Кат!$B:$B,MATCH(Прайс!$B3573,Кат!$G:$G,0)),INDEX(Торг!$C:$C,MATCH(Прайс!$B3573,Торг!$H:$H,0))),"")</f>
        <v/>
      </c>
      <c r="H3573" s="67" t="str">
        <f>IFERROR(IFERROR(INDEX(Кат!$I:$I,MATCH(Прайс!$B3573,Кат!$G:$G,0)),INDEX(Торг!$I:$I,MATCH(Прайс!$B3573,Торг!$H:$H,0))),"")</f>
        <v/>
      </c>
    </row>
    <row r="3574" spans="1:8" x14ac:dyDescent="0.25">
      <c r="A3574" s="99" t="s">
        <v>4631</v>
      </c>
      <c r="B3574" s="108">
        <v>29072</v>
      </c>
      <c r="C3574" s="108" t="s">
        <v>1935</v>
      </c>
      <c r="D3574" s="101" t="s">
        <v>159</v>
      </c>
      <c r="E3574" s="102">
        <v>550</v>
      </c>
      <c r="F3574" s="67" t="str">
        <f>IFERROR(IFERROR(INDEX(Кат!$A:$A,MATCH(Прайс!$B3574,Кат!$G:$G,0)),INDEX(Торг!$B:$B,MATCH(Прайс!$B3574,Торг!$H:$H,0))),"")</f>
        <v/>
      </c>
      <c r="G3574" s="67" t="str">
        <f>IFERROR(IFERROR(INDEX(Кат!$B:$B,MATCH(Прайс!$B3574,Кат!$G:$G,0)),INDEX(Торг!$C:$C,MATCH(Прайс!$B3574,Торг!$H:$H,0))),"")</f>
        <v/>
      </c>
      <c r="H3574" s="67" t="str">
        <f>IFERROR(IFERROR(INDEX(Кат!$I:$I,MATCH(Прайс!$B3574,Кат!$G:$G,0)),INDEX(Торг!$I:$I,MATCH(Прайс!$B3574,Торг!$H:$H,0))),"")</f>
        <v/>
      </c>
    </row>
    <row r="3575" spans="1:8" x14ac:dyDescent="0.25">
      <c r="A3575" s="99" t="s">
        <v>4632</v>
      </c>
      <c r="B3575" s="108">
        <v>29073</v>
      </c>
      <c r="C3575" s="108" t="s">
        <v>1936</v>
      </c>
      <c r="D3575" s="101" t="s">
        <v>159</v>
      </c>
      <c r="E3575" s="102">
        <v>550</v>
      </c>
      <c r="F3575" s="67" t="str">
        <f>IFERROR(IFERROR(INDEX(Кат!$A:$A,MATCH(Прайс!$B3575,Кат!$G:$G,0)),INDEX(Торг!$B:$B,MATCH(Прайс!$B3575,Торг!$H:$H,0))),"")</f>
        <v/>
      </c>
      <c r="G3575" s="67" t="str">
        <f>IFERROR(IFERROR(INDEX(Кат!$B:$B,MATCH(Прайс!$B3575,Кат!$G:$G,0)),INDEX(Торг!$C:$C,MATCH(Прайс!$B3575,Торг!$H:$H,0))),"")</f>
        <v/>
      </c>
      <c r="H3575" s="67" t="str">
        <f>IFERROR(IFERROR(INDEX(Кат!$I:$I,MATCH(Прайс!$B3575,Кат!$G:$G,0)),INDEX(Торг!$I:$I,MATCH(Прайс!$B3575,Торг!$H:$H,0))),"")</f>
        <v/>
      </c>
    </row>
    <row r="3576" spans="1:8" x14ac:dyDescent="0.25">
      <c r="A3576" s="99" t="s">
        <v>4633</v>
      </c>
      <c r="B3576" s="108">
        <v>29074</v>
      </c>
      <c r="C3576" s="108" t="s">
        <v>1937</v>
      </c>
      <c r="D3576" s="101" t="s">
        <v>159</v>
      </c>
      <c r="E3576" s="102">
        <v>550</v>
      </c>
      <c r="F3576" s="67" t="str">
        <f>IFERROR(IFERROR(INDEX(Кат!$A:$A,MATCH(Прайс!$B3576,Кат!$G:$G,0)),INDEX(Торг!$B:$B,MATCH(Прайс!$B3576,Торг!$H:$H,0))),"")</f>
        <v/>
      </c>
      <c r="G3576" s="67" t="str">
        <f>IFERROR(IFERROR(INDEX(Кат!$B:$B,MATCH(Прайс!$B3576,Кат!$G:$G,0)),INDEX(Торг!$C:$C,MATCH(Прайс!$B3576,Торг!$H:$H,0))),"")</f>
        <v/>
      </c>
      <c r="H3576" s="67" t="str">
        <f>IFERROR(IFERROR(INDEX(Кат!$I:$I,MATCH(Прайс!$B3576,Кат!$G:$G,0)),INDEX(Торг!$I:$I,MATCH(Прайс!$B3576,Торг!$H:$H,0))),"")</f>
        <v/>
      </c>
    </row>
    <row r="3577" spans="1:8" x14ac:dyDescent="0.25">
      <c r="A3577" s="99" t="s">
        <v>4634</v>
      </c>
      <c r="B3577" s="108">
        <v>29075</v>
      </c>
      <c r="C3577" s="108" t="s">
        <v>1938</v>
      </c>
      <c r="D3577" s="101" t="s">
        <v>159</v>
      </c>
      <c r="E3577" s="102">
        <v>550</v>
      </c>
      <c r="F3577" s="67" t="str">
        <f>IFERROR(IFERROR(INDEX(Кат!$A:$A,MATCH(Прайс!$B3577,Кат!$G:$G,0)),INDEX(Торг!$B:$B,MATCH(Прайс!$B3577,Торг!$H:$H,0))),"")</f>
        <v/>
      </c>
      <c r="G3577" s="67" t="str">
        <f>IFERROR(IFERROR(INDEX(Кат!$B:$B,MATCH(Прайс!$B3577,Кат!$G:$G,0)),INDEX(Торг!$C:$C,MATCH(Прайс!$B3577,Торг!$H:$H,0))),"")</f>
        <v/>
      </c>
      <c r="H3577" s="67" t="str">
        <f>IFERROR(IFERROR(INDEX(Кат!$I:$I,MATCH(Прайс!$B3577,Кат!$G:$G,0)),INDEX(Торг!$I:$I,MATCH(Прайс!$B3577,Торг!$H:$H,0))),"")</f>
        <v/>
      </c>
    </row>
    <row r="3578" spans="1:8" x14ac:dyDescent="0.25">
      <c r="A3578" s="99" t="s">
        <v>4635</v>
      </c>
      <c r="B3578" s="108">
        <v>29076</v>
      </c>
      <c r="C3578" s="108" t="s">
        <v>1939</v>
      </c>
      <c r="D3578" s="101" t="s">
        <v>159</v>
      </c>
      <c r="E3578" s="102">
        <v>550</v>
      </c>
      <c r="F3578" s="67" t="str">
        <f>IFERROR(IFERROR(INDEX(Кат!$A:$A,MATCH(Прайс!$B3578,Кат!$G:$G,0)),INDEX(Торг!$B:$B,MATCH(Прайс!$B3578,Торг!$H:$H,0))),"")</f>
        <v/>
      </c>
      <c r="G3578" s="67" t="str">
        <f>IFERROR(IFERROR(INDEX(Кат!$B:$B,MATCH(Прайс!$B3578,Кат!$G:$G,0)),INDEX(Торг!$C:$C,MATCH(Прайс!$B3578,Торг!$H:$H,0))),"")</f>
        <v/>
      </c>
      <c r="H3578" s="67" t="str">
        <f>IFERROR(IFERROR(INDEX(Кат!$I:$I,MATCH(Прайс!$B3578,Кат!$G:$G,0)),INDEX(Торг!$I:$I,MATCH(Прайс!$B3578,Торг!$H:$H,0))),"")</f>
        <v/>
      </c>
    </row>
    <row r="3579" spans="1:8" x14ac:dyDescent="0.25">
      <c r="A3579" s="99" t="s">
        <v>4636</v>
      </c>
      <c r="B3579" s="108">
        <v>29077</v>
      </c>
      <c r="C3579" s="108" t="s">
        <v>1940</v>
      </c>
      <c r="D3579" s="101" t="s">
        <v>159</v>
      </c>
      <c r="E3579" s="102">
        <v>550</v>
      </c>
      <c r="F3579" s="67" t="str">
        <f>IFERROR(IFERROR(INDEX(Кат!$A:$A,MATCH(Прайс!$B3579,Кат!$G:$G,0)),INDEX(Торг!$B:$B,MATCH(Прайс!$B3579,Торг!$H:$H,0))),"")</f>
        <v/>
      </c>
      <c r="G3579" s="67" t="str">
        <f>IFERROR(IFERROR(INDEX(Кат!$B:$B,MATCH(Прайс!$B3579,Кат!$G:$G,0)),INDEX(Торг!$C:$C,MATCH(Прайс!$B3579,Торг!$H:$H,0))),"")</f>
        <v/>
      </c>
      <c r="H3579" s="67" t="str">
        <f>IFERROR(IFERROR(INDEX(Кат!$I:$I,MATCH(Прайс!$B3579,Кат!$G:$G,0)),INDEX(Торг!$I:$I,MATCH(Прайс!$B3579,Торг!$H:$H,0))),"")</f>
        <v/>
      </c>
    </row>
    <row r="3580" spans="1:8" x14ac:dyDescent="0.25">
      <c r="A3580" s="99" t="s">
        <v>4637</v>
      </c>
      <c r="B3580" s="108">
        <v>29078</v>
      </c>
      <c r="C3580" s="108" t="s">
        <v>1941</v>
      </c>
      <c r="D3580" s="101" t="s">
        <v>159</v>
      </c>
      <c r="E3580" s="102">
        <v>550</v>
      </c>
      <c r="F3580" s="67" t="str">
        <f>IFERROR(IFERROR(INDEX(Кат!$A:$A,MATCH(Прайс!$B3580,Кат!$G:$G,0)),INDEX(Торг!$B:$B,MATCH(Прайс!$B3580,Торг!$H:$H,0))),"")</f>
        <v/>
      </c>
      <c r="G3580" s="67" t="str">
        <f>IFERROR(IFERROR(INDEX(Кат!$B:$B,MATCH(Прайс!$B3580,Кат!$G:$G,0)),INDEX(Торг!$C:$C,MATCH(Прайс!$B3580,Торг!$H:$H,0))),"")</f>
        <v/>
      </c>
      <c r="H3580" s="67" t="str">
        <f>IFERROR(IFERROR(INDEX(Кат!$I:$I,MATCH(Прайс!$B3580,Кат!$G:$G,0)),INDEX(Торг!$I:$I,MATCH(Прайс!$B3580,Торг!$H:$H,0))),"")</f>
        <v/>
      </c>
    </row>
    <row r="3581" spans="1:8" x14ac:dyDescent="0.25">
      <c r="A3581" s="99" t="s">
        <v>4638</v>
      </c>
      <c r="B3581" s="108">
        <v>29079</v>
      </c>
      <c r="C3581" s="108" t="s">
        <v>1942</v>
      </c>
      <c r="D3581" s="101" t="s">
        <v>159</v>
      </c>
      <c r="E3581" s="102">
        <v>550</v>
      </c>
      <c r="F3581" s="67" t="str">
        <f>IFERROR(IFERROR(INDEX(Кат!$A:$A,MATCH(Прайс!$B3581,Кат!$G:$G,0)),INDEX(Торг!$B:$B,MATCH(Прайс!$B3581,Торг!$H:$H,0))),"")</f>
        <v/>
      </c>
      <c r="G3581" s="67" t="str">
        <f>IFERROR(IFERROR(INDEX(Кат!$B:$B,MATCH(Прайс!$B3581,Кат!$G:$G,0)),INDEX(Торг!$C:$C,MATCH(Прайс!$B3581,Торг!$H:$H,0))),"")</f>
        <v/>
      </c>
      <c r="H3581" s="67" t="str">
        <f>IFERROR(IFERROR(INDEX(Кат!$I:$I,MATCH(Прайс!$B3581,Кат!$G:$G,0)),INDEX(Торг!$I:$I,MATCH(Прайс!$B3581,Торг!$H:$H,0))),"")</f>
        <v/>
      </c>
    </row>
    <row r="3582" spans="1:8" x14ac:dyDescent="0.25">
      <c r="A3582" s="99" t="s">
        <v>4639</v>
      </c>
      <c r="B3582" s="108">
        <v>29185</v>
      </c>
      <c r="C3582" s="108" t="s">
        <v>1943</v>
      </c>
      <c r="D3582" s="101" t="s">
        <v>628</v>
      </c>
      <c r="E3582" s="102">
        <v>363</v>
      </c>
      <c r="F3582" s="67" t="str">
        <f>IFERROR(IFERROR(INDEX(Кат!$A:$A,MATCH(Прайс!$B3582,Кат!$G:$G,0)),INDEX(Торг!$B:$B,MATCH(Прайс!$B3582,Торг!$H:$H,0))),"")</f>
        <v/>
      </c>
      <c r="G3582" s="67" t="str">
        <f>IFERROR(IFERROR(INDEX(Кат!$B:$B,MATCH(Прайс!$B3582,Кат!$G:$G,0)),INDEX(Торг!$C:$C,MATCH(Прайс!$B3582,Торг!$H:$H,0))),"")</f>
        <v/>
      </c>
      <c r="H3582" s="67" t="str">
        <f>IFERROR(IFERROR(INDEX(Кат!$I:$I,MATCH(Прайс!$B3582,Кат!$G:$G,0)),INDEX(Торг!$I:$I,MATCH(Прайс!$B3582,Торг!$H:$H,0))),"")</f>
        <v/>
      </c>
    </row>
    <row r="3583" spans="1:8" x14ac:dyDescent="0.25">
      <c r="A3583" s="99" t="s">
        <v>4640</v>
      </c>
      <c r="B3583" s="108">
        <v>29186</v>
      </c>
      <c r="C3583" s="108" t="s">
        <v>1944</v>
      </c>
      <c r="D3583" s="101" t="s">
        <v>628</v>
      </c>
      <c r="E3583" s="102">
        <v>363</v>
      </c>
      <c r="F3583" s="67" t="str">
        <f>IFERROR(IFERROR(INDEX(Кат!$A:$A,MATCH(Прайс!$B3583,Кат!$G:$G,0)),INDEX(Торг!$B:$B,MATCH(Прайс!$B3583,Торг!$H:$H,0))),"")</f>
        <v/>
      </c>
      <c r="G3583" s="67" t="str">
        <f>IFERROR(IFERROR(INDEX(Кат!$B:$B,MATCH(Прайс!$B3583,Кат!$G:$G,0)),INDEX(Торг!$C:$C,MATCH(Прайс!$B3583,Торг!$H:$H,0))),"")</f>
        <v/>
      </c>
      <c r="H3583" s="67" t="str">
        <f>IFERROR(IFERROR(INDEX(Кат!$I:$I,MATCH(Прайс!$B3583,Кат!$G:$G,0)),INDEX(Торг!$I:$I,MATCH(Прайс!$B3583,Торг!$H:$H,0))),"")</f>
        <v/>
      </c>
    </row>
    <row r="3584" spans="1:8" x14ac:dyDescent="0.25">
      <c r="A3584" s="99" t="s">
        <v>4641</v>
      </c>
      <c r="B3584" s="108">
        <v>29187</v>
      </c>
      <c r="C3584" s="108" t="s">
        <v>1945</v>
      </c>
      <c r="D3584" s="101" t="s">
        <v>628</v>
      </c>
      <c r="E3584" s="102">
        <v>363</v>
      </c>
      <c r="F3584" s="67" t="str">
        <f>IFERROR(IFERROR(INDEX(Кат!$A:$A,MATCH(Прайс!$B3584,Кат!$G:$G,0)),INDEX(Торг!$B:$B,MATCH(Прайс!$B3584,Торг!$H:$H,0))),"")</f>
        <v/>
      </c>
      <c r="G3584" s="67" t="str">
        <f>IFERROR(IFERROR(INDEX(Кат!$B:$B,MATCH(Прайс!$B3584,Кат!$G:$G,0)),INDEX(Торг!$C:$C,MATCH(Прайс!$B3584,Торг!$H:$H,0))),"")</f>
        <v/>
      </c>
      <c r="H3584" s="67" t="str">
        <f>IFERROR(IFERROR(INDEX(Кат!$I:$I,MATCH(Прайс!$B3584,Кат!$G:$G,0)),INDEX(Торг!$I:$I,MATCH(Прайс!$B3584,Торг!$H:$H,0))),"")</f>
        <v/>
      </c>
    </row>
    <row r="3585" spans="1:8" x14ac:dyDescent="0.25">
      <c r="A3585" s="99" t="s">
        <v>4642</v>
      </c>
      <c r="B3585" s="108">
        <v>29307</v>
      </c>
      <c r="C3585" s="108" t="s">
        <v>4643</v>
      </c>
      <c r="D3585" s="101" t="s">
        <v>166</v>
      </c>
      <c r="E3585" s="102">
        <v>410</v>
      </c>
      <c r="F3585" s="67" t="str">
        <f>IFERROR(IFERROR(INDEX(Кат!$A:$A,MATCH(Прайс!$B3585,Кат!$G:$G,0)),INDEX(Торг!$B:$B,MATCH(Прайс!$B3585,Торг!$H:$H,0))),"")</f>
        <v/>
      </c>
      <c r="G3585" s="67" t="str">
        <f>IFERROR(IFERROR(INDEX(Кат!$B:$B,MATCH(Прайс!$B3585,Кат!$G:$G,0)),INDEX(Торг!$C:$C,MATCH(Прайс!$B3585,Торг!$H:$H,0))),"")</f>
        <v/>
      </c>
      <c r="H3585" s="67" t="str">
        <f>IFERROR(IFERROR(INDEX(Кат!$I:$I,MATCH(Прайс!$B3585,Кат!$G:$G,0)),INDEX(Торг!$I:$I,MATCH(Прайс!$B3585,Торг!$H:$H,0))),"")</f>
        <v/>
      </c>
    </row>
    <row r="3586" spans="1:8" x14ac:dyDescent="0.25">
      <c r="A3586" s="99" t="s">
        <v>4644</v>
      </c>
      <c r="B3586" s="108">
        <v>29308</v>
      </c>
      <c r="C3586" s="108" t="s">
        <v>4645</v>
      </c>
      <c r="D3586" s="101" t="s">
        <v>166</v>
      </c>
      <c r="E3586" s="102">
        <v>420</v>
      </c>
      <c r="F3586" s="67" t="str">
        <f>IFERROR(IFERROR(INDEX(Кат!$A:$A,MATCH(Прайс!$B3586,Кат!$G:$G,0)),INDEX(Торг!$B:$B,MATCH(Прайс!$B3586,Торг!$H:$H,0))),"")</f>
        <v/>
      </c>
      <c r="G3586" s="67" t="str">
        <f>IFERROR(IFERROR(INDEX(Кат!$B:$B,MATCH(Прайс!$B3586,Кат!$G:$G,0)),INDEX(Торг!$C:$C,MATCH(Прайс!$B3586,Торг!$H:$H,0))),"")</f>
        <v/>
      </c>
      <c r="H3586" s="67" t="str">
        <f>IFERROR(IFERROR(INDEX(Кат!$I:$I,MATCH(Прайс!$B3586,Кат!$G:$G,0)),INDEX(Торг!$I:$I,MATCH(Прайс!$B3586,Торг!$H:$H,0))),"")</f>
        <v/>
      </c>
    </row>
    <row r="3587" spans="1:8" x14ac:dyDescent="0.25">
      <c r="A3587" s="99" t="s">
        <v>7939</v>
      </c>
      <c r="B3587" s="108">
        <v>29309</v>
      </c>
      <c r="C3587" s="108" t="s">
        <v>7940</v>
      </c>
      <c r="D3587" s="101" t="s">
        <v>166</v>
      </c>
      <c r="E3587" s="102">
        <v>420</v>
      </c>
      <c r="F3587" s="67" t="str">
        <f>IFERROR(IFERROR(INDEX(Кат!$A:$A,MATCH(Прайс!$B3587,Кат!$G:$G,0)),INDEX(Торг!$B:$B,MATCH(Прайс!$B3587,Торг!$H:$H,0))),"")</f>
        <v/>
      </c>
      <c r="G3587" s="67" t="str">
        <f>IFERROR(IFERROR(INDEX(Кат!$B:$B,MATCH(Прайс!$B3587,Кат!$G:$G,0)),INDEX(Торг!$C:$C,MATCH(Прайс!$B3587,Торг!$H:$H,0))),"")</f>
        <v/>
      </c>
      <c r="H3587" s="67" t="str">
        <f>IFERROR(IFERROR(INDEX(Кат!$I:$I,MATCH(Прайс!$B3587,Кат!$G:$G,0)),INDEX(Торг!$I:$I,MATCH(Прайс!$B3587,Торг!$H:$H,0))),"")</f>
        <v/>
      </c>
    </row>
    <row r="3588" spans="1:8" x14ac:dyDescent="0.25">
      <c r="A3588" s="99" t="s">
        <v>4646</v>
      </c>
      <c r="B3588" s="108">
        <v>29310</v>
      </c>
      <c r="C3588" s="108" t="s">
        <v>4647</v>
      </c>
      <c r="D3588" s="101" t="s">
        <v>166</v>
      </c>
      <c r="E3588" s="102">
        <v>430</v>
      </c>
      <c r="F3588" s="67" t="str">
        <f>IFERROR(IFERROR(INDEX(Кат!$A:$A,MATCH(Прайс!$B3588,Кат!$G:$G,0)),INDEX(Торг!$B:$B,MATCH(Прайс!$B3588,Торг!$H:$H,0))),"")</f>
        <v/>
      </c>
      <c r="G3588" s="67" t="str">
        <f>IFERROR(IFERROR(INDEX(Кат!$B:$B,MATCH(Прайс!$B3588,Кат!$G:$G,0)),INDEX(Торг!$C:$C,MATCH(Прайс!$B3588,Торг!$H:$H,0))),"")</f>
        <v/>
      </c>
      <c r="H3588" s="67" t="str">
        <f>IFERROR(IFERROR(INDEX(Кат!$I:$I,MATCH(Прайс!$B3588,Кат!$G:$G,0)),INDEX(Торг!$I:$I,MATCH(Прайс!$B3588,Торг!$H:$H,0))),"")</f>
        <v/>
      </c>
    </row>
    <row r="3589" spans="1:8" x14ac:dyDescent="0.25">
      <c r="A3589" s="99" t="s">
        <v>4648</v>
      </c>
      <c r="B3589" s="108">
        <v>29311</v>
      </c>
      <c r="C3589" s="108" t="s">
        <v>4649</v>
      </c>
      <c r="D3589" s="101" t="s">
        <v>166</v>
      </c>
      <c r="E3589" s="102">
        <v>430</v>
      </c>
      <c r="F3589" s="67" t="str">
        <f>IFERROR(IFERROR(INDEX(Кат!$A:$A,MATCH(Прайс!$B3589,Кат!$G:$G,0)),INDEX(Торг!$B:$B,MATCH(Прайс!$B3589,Торг!$H:$H,0))),"")</f>
        <v/>
      </c>
      <c r="G3589" s="67" t="str">
        <f>IFERROR(IFERROR(INDEX(Кат!$B:$B,MATCH(Прайс!$B3589,Кат!$G:$G,0)),INDEX(Торг!$C:$C,MATCH(Прайс!$B3589,Торг!$H:$H,0))),"")</f>
        <v/>
      </c>
      <c r="H3589" s="67" t="str">
        <f>IFERROR(IFERROR(INDEX(Кат!$I:$I,MATCH(Прайс!$B3589,Кат!$G:$G,0)),INDEX(Торг!$I:$I,MATCH(Прайс!$B3589,Торг!$H:$H,0))),"")</f>
        <v/>
      </c>
    </row>
    <row r="3590" spans="1:8" x14ac:dyDescent="0.25">
      <c r="A3590" s="99" t="s">
        <v>4650</v>
      </c>
      <c r="B3590" s="108">
        <v>29312</v>
      </c>
      <c r="C3590" s="108" t="s">
        <v>4651</v>
      </c>
      <c r="D3590" s="101" t="s">
        <v>166</v>
      </c>
      <c r="E3590" s="102">
        <v>440</v>
      </c>
      <c r="F3590" s="67" t="str">
        <f>IFERROR(IFERROR(INDEX(Кат!$A:$A,MATCH(Прайс!$B3590,Кат!$G:$G,0)),INDEX(Торг!$B:$B,MATCH(Прайс!$B3590,Торг!$H:$H,0))),"")</f>
        <v/>
      </c>
      <c r="G3590" s="67" t="str">
        <f>IFERROR(IFERROR(INDEX(Кат!$B:$B,MATCH(Прайс!$B3590,Кат!$G:$G,0)),INDEX(Торг!$C:$C,MATCH(Прайс!$B3590,Торг!$H:$H,0))),"")</f>
        <v/>
      </c>
      <c r="H3590" s="67" t="str">
        <f>IFERROR(IFERROR(INDEX(Кат!$I:$I,MATCH(Прайс!$B3590,Кат!$G:$G,0)),INDEX(Торг!$I:$I,MATCH(Прайс!$B3590,Торг!$H:$H,0))),"")</f>
        <v/>
      </c>
    </row>
    <row r="3591" spans="1:8" x14ac:dyDescent="0.25">
      <c r="A3591" s="99" t="s">
        <v>4652</v>
      </c>
      <c r="B3591" s="108">
        <v>29313</v>
      </c>
      <c r="C3591" s="108" t="s">
        <v>4653</v>
      </c>
      <c r="D3591" s="101" t="s">
        <v>166</v>
      </c>
      <c r="E3591" s="102">
        <v>440</v>
      </c>
      <c r="F3591" s="67" t="str">
        <f>IFERROR(IFERROR(INDEX(Кат!$A:$A,MATCH(Прайс!$B3591,Кат!$G:$G,0)),INDEX(Торг!$B:$B,MATCH(Прайс!$B3591,Торг!$H:$H,0))),"")</f>
        <v/>
      </c>
      <c r="G3591" s="67" t="str">
        <f>IFERROR(IFERROR(INDEX(Кат!$B:$B,MATCH(Прайс!$B3591,Кат!$G:$G,0)),INDEX(Торг!$C:$C,MATCH(Прайс!$B3591,Торг!$H:$H,0))),"")</f>
        <v/>
      </c>
      <c r="H3591" s="67" t="str">
        <f>IFERROR(IFERROR(INDEX(Кат!$I:$I,MATCH(Прайс!$B3591,Кат!$G:$G,0)),INDEX(Торг!$I:$I,MATCH(Прайс!$B3591,Торг!$H:$H,0))),"")</f>
        <v/>
      </c>
    </row>
    <row r="3592" spans="1:8" x14ac:dyDescent="0.25">
      <c r="A3592" s="99" t="s">
        <v>4654</v>
      </c>
      <c r="B3592" s="108">
        <v>29314</v>
      </c>
      <c r="C3592" s="108" t="s">
        <v>4655</v>
      </c>
      <c r="D3592" s="101" t="s">
        <v>166</v>
      </c>
      <c r="E3592" s="102">
        <v>450</v>
      </c>
      <c r="F3592" s="67" t="str">
        <f>IFERROR(IFERROR(INDEX(Кат!$A:$A,MATCH(Прайс!$B3592,Кат!$G:$G,0)),INDEX(Торг!$B:$B,MATCH(Прайс!$B3592,Торг!$H:$H,0))),"")</f>
        <v/>
      </c>
      <c r="G3592" s="67" t="str">
        <f>IFERROR(IFERROR(INDEX(Кат!$B:$B,MATCH(Прайс!$B3592,Кат!$G:$G,0)),INDEX(Торг!$C:$C,MATCH(Прайс!$B3592,Торг!$H:$H,0))),"")</f>
        <v/>
      </c>
      <c r="H3592" s="67" t="str">
        <f>IFERROR(IFERROR(INDEX(Кат!$I:$I,MATCH(Прайс!$B3592,Кат!$G:$G,0)),INDEX(Торг!$I:$I,MATCH(Прайс!$B3592,Торг!$H:$H,0))),"")</f>
        <v/>
      </c>
    </row>
    <row r="3593" spans="1:8" x14ac:dyDescent="0.25">
      <c r="A3593" s="99" t="s">
        <v>4656</v>
      </c>
      <c r="B3593" s="108">
        <v>29315</v>
      </c>
      <c r="C3593" s="108" t="s">
        <v>4657</v>
      </c>
      <c r="D3593" s="101" t="s">
        <v>166</v>
      </c>
      <c r="E3593" s="102">
        <v>450</v>
      </c>
      <c r="F3593" s="67" t="str">
        <f>IFERROR(IFERROR(INDEX(Кат!$A:$A,MATCH(Прайс!$B3593,Кат!$G:$G,0)),INDEX(Торг!$B:$B,MATCH(Прайс!$B3593,Торг!$H:$H,0))),"")</f>
        <v/>
      </c>
      <c r="G3593" s="67" t="str">
        <f>IFERROR(IFERROR(INDEX(Кат!$B:$B,MATCH(Прайс!$B3593,Кат!$G:$G,0)),INDEX(Торг!$C:$C,MATCH(Прайс!$B3593,Торг!$H:$H,0))),"")</f>
        <v/>
      </c>
      <c r="H3593" s="67" t="str">
        <f>IFERROR(IFERROR(INDEX(Кат!$I:$I,MATCH(Прайс!$B3593,Кат!$G:$G,0)),INDEX(Торг!$I:$I,MATCH(Прайс!$B3593,Торг!$H:$H,0))),"")</f>
        <v/>
      </c>
    </row>
    <row r="3594" spans="1:8" x14ac:dyDescent="0.25">
      <c r="A3594" s="99" t="s">
        <v>4658</v>
      </c>
      <c r="B3594" s="108">
        <v>29317</v>
      </c>
      <c r="C3594" s="108" t="s">
        <v>4659</v>
      </c>
      <c r="D3594" s="101" t="s">
        <v>166</v>
      </c>
      <c r="E3594" s="102">
        <v>470</v>
      </c>
      <c r="F3594" s="67" t="str">
        <f>IFERROR(IFERROR(INDEX(Кат!$A:$A,MATCH(Прайс!$B3594,Кат!$G:$G,0)),INDEX(Торг!$B:$B,MATCH(Прайс!$B3594,Торг!$H:$H,0))),"")</f>
        <v/>
      </c>
      <c r="G3594" s="67" t="str">
        <f>IFERROR(IFERROR(INDEX(Кат!$B:$B,MATCH(Прайс!$B3594,Кат!$G:$G,0)),INDEX(Торг!$C:$C,MATCH(Прайс!$B3594,Торг!$H:$H,0))),"")</f>
        <v/>
      </c>
      <c r="H3594" s="67" t="str">
        <f>IFERROR(IFERROR(INDEX(Кат!$I:$I,MATCH(Прайс!$B3594,Кат!$G:$G,0)),INDEX(Торг!$I:$I,MATCH(Прайс!$B3594,Торг!$H:$H,0))),"")</f>
        <v/>
      </c>
    </row>
    <row r="3595" spans="1:8" x14ac:dyDescent="0.25">
      <c r="A3595" s="99" t="s">
        <v>4660</v>
      </c>
      <c r="B3595" s="108">
        <v>29318</v>
      </c>
      <c r="C3595" s="108" t="s">
        <v>4661</v>
      </c>
      <c r="D3595" s="101" t="s">
        <v>166</v>
      </c>
      <c r="E3595" s="102">
        <v>480</v>
      </c>
      <c r="F3595" s="67" t="str">
        <f>IFERROR(IFERROR(INDEX(Кат!$A:$A,MATCH(Прайс!$B3595,Кат!$G:$G,0)),INDEX(Торг!$B:$B,MATCH(Прайс!$B3595,Торг!$H:$H,0))),"")</f>
        <v/>
      </c>
      <c r="G3595" s="67" t="str">
        <f>IFERROR(IFERROR(INDEX(Кат!$B:$B,MATCH(Прайс!$B3595,Кат!$G:$G,0)),INDEX(Торг!$C:$C,MATCH(Прайс!$B3595,Торг!$H:$H,0))),"")</f>
        <v/>
      </c>
      <c r="H3595" s="67" t="str">
        <f>IFERROR(IFERROR(INDEX(Кат!$I:$I,MATCH(Прайс!$B3595,Кат!$G:$G,0)),INDEX(Торг!$I:$I,MATCH(Прайс!$B3595,Торг!$H:$H,0))),"")</f>
        <v/>
      </c>
    </row>
    <row r="3596" spans="1:8" ht="15.75" x14ac:dyDescent="0.25">
      <c r="A3596" s="90"/>
      <c r="B3596" s="91"/>
      <c r="C3596" s="92" t="s">
        <v>1946</v>
      </c>
      <c r="D3596" s="91"/>
      <c r="E3596" s="93"/>
      <c r="F3596" s="67" t="str">
        <f>IFERROR(IFERROR(INDEX(Кат!$A:$A,MATCH(Прайс!$B3596,Кат!$G:$G,0)),INDEX(Торг!$B:$B,MATCH(Прайс!$B3596,Торг!$H:$H,0))),"")</f>
        <v/>
      </c>
      <c r="G3596" s="67" t="str">
        <f>IFERROR(IFERROR(INDEX(Кат!$B:$B,MATCH(Прайс!$B3596,Кат!$G:$G,0)),INDEX(Торг!$C:$C,MATCH(Прайс!$B3596,Торг!$H:$H,0))),"")</f>
        <v/>
      </c>
      <c r="H3596" s="67" t="str">
        <f>IFERROR(IFERROR(INDEX(Кат!$I:$I,MATCH(Прайс!$B3596,Кат!$G:$G,0)),INDEX(Торг!$I:$I,MATCH(Прайс!$B3596,Торг!$H:$H,0))),"")</f>
        <v/>
      </c>
    </row>
    <row r="3597" spans="1:8" x14ac:dyDescent="0.25">
      <c r="A3597" s="94" t="s">
        <v>4663</v>
      </c>
      <c r="B3597" s="98">
        <v>29026</v>
      </c>
      <c r="C3597" s="98" t="s">
        <v>4664</v>
      </c>
      <c r="D3597" s="96" t="s">
        <v>159</v>
      </c>
      <c r="E3597" s="97">
        <v>160</v>
      </c>
      <c r="F3597" s="67" t="str">
        <f>IFERROR(IFERROR(INDEX(Кат!$A:$A,MATCH(Прайс!$B3597,Кат!$G:$G,0)),INDEX(Торг!$B:$B,MATCH(Прайс!$B3597,Торг!$H:$H,0))),"")</f>
        <v/>
      </c>
      <c r="G3597" s="67" t="str">
        <f>IFERROR(IFERROR(INDEX(Кат!$B:$B,MATCH(Прайс!$B3597,Кат!$G:$G,0)),INDEX(Торг!$C:$C,MATCH(Прайс!$B3597,Торг!$H:$H,0))),"")</f>
        <v/>
      </c>
      <c r="H3597" s="67" t="str">
        <f>IFERROR(IFERROR(INDEX(Кат!$I:$I,MATCH(Прайс!$B3597,Кат!$G:$G,0)),INDEX(Торг!$I:$I,MATCH(Прайс!$B3597,Торг!$H:$H,0))),"")</f>
        <v/>
      </c>
    </row>
    <row r="3598" spans="1:8" x14ac:dyDescent="0.25">
      <c r="A3598" s="94" t="s">
        <v>4665</v>
      </c>
      <c r="B3598" s="98">
        <v>29027</v>
      </c>
      <c r="C3598" s="98" t="s">
        <v>4666</v>
      </c>
      <c r="D3598" s="96" t="s">
        <v>159</v>
      </c>
      <c r="E3598" s="97">
        <v>160</v>
      </c>
      <c r="F3598" s="67" t="str">
        <f>IFERROR(IFERROR(INDEX(Кат!$A:$A,MATCH(Прайс!$B3598,Кат!$G:$G,0)),INDEX(Торг!$B:$B,MATCH(Прайс!$B3598,Торг!$H:$H,0))),"")</f>
        <v/>
      </c>
      <c r="G3598" s="67" t="str">
        <f>IFERROR(IFERROR(INDEX(Кат!$B:$B,MATCH(Прайс!$B3598,Кат!$G:$G,0)),INDEX(Торг!$C:$C,MATCH(Прайс!$B3598,Торг!$H:$H,0))),"")</f>
        <v/>
      </c>
      <c r="H3598" s="67" t="str">
        <f>IFERROR(IFERROR(INDEX(Кат!$I:$I,MATCH(Прайс!$B3598,Кат!$G:$G,0)),INDEX(Торг!$I:$I,MATCH(Прайс!$B3598,Торг!$H:$H,0))),"")</f>
        <v/>
      </c>
    </row>
    <row r="3599" spans="1:8" x14ac:dyDescent="0.25">
      <c r="A3599" s="94" t="s">
        <v>4667</v>
      </c>
      <c r="B3599" s="98">
        <v>29028</v>
      </c>
      <c r="C3599" s="98" t="s">
        <v>4668</v>
      </c>
      <c r="D3599" s="96" t="s">
        <v>159</v>
      </c>
      <c r="E3599" s="97">
        <v>160</v>
      </c>
      <c r="F3599" s="67" t="str">
        <f>IFERROR(IFERROR(INDEX(Кат!$A:$A,MATCH(Прайс!$B3599,Кат!$G:$G,0)),INDEX(Торг!$B:$B,MATCH(Прайс!$B3599,Торг!$H:$H,0))),"")</f>
        <v/>
      </c>
      <c r="G3599" s="67" t="str">
        <f>IFERROR(IFERROR(INDEX(Кат!$B:$B,MATCH(Прайс!$B3599,Кат!$G:$G,0)),INDEX(Торг!$C:$C,MATCH(Прайс!$B3599,Торг!$H:$H,0))),"")</f>
        <v/>
      </c>
      <c r="H3599" s="67" t="str">
        <f>IFERROR(IFERROR(INDEX(Кат!$I:$I,MATCH(Прайс!$B3599,Кат!$G:$G,0)),INDEX(Торг!$I:$I,MATCH(Прайс!$B3599,Торг!$H:$H,0))),"")</f>
        <v/>
      </c>
    </row>
    <row r="3600" spans="1:8" x14ac:dyDescent="0.25">
      <c r="A3600" s="94" t="s">
        <v>4669</v>
      </c>
      <c r="B3600" s="98">
        <v>29029</v>
      </c>
      <c r="C3600" s="98" t="s">
        <v>4670</v>
      </c>
      <c r="D3600" s="96" t="s">
        <v>159</v>
      </c>
      <c r="E3600" s="97">
        <v>170</v>
      </c>
      <c r="F3600" s="67" t="str">
        <f>IFERROR(IFERROR(INDEX(Кат!$A:$A,MATCH(Прайс!$B3600,Кат!$G:$G,0)),INDEX(Торг!$B:$B,MATCH(Прайс!$B3600,Торг!$H:$H,0))),"")</f>
        <v/>
      </c>
      <c r="G3600" s="67" t="str">
        <f>IFERROR(IFERROR(INDEX(Кат!$B:$B,MATCH(Прайс!$B3600,Кат!$G:$G,0)),INDEX(Торг!$C:$C,MATCH(Прайс!$B3600,Торг!$H:$H,0))),"")</f>
        <v/>
      </c>
      <c r="H3600" s="67" t="str">
        <f>IFERROR(IFERROR(INDEX(Кат!$I:$I,MATCH(Прайс!$B3600,Кат!$G:$G,0)),INDEX(Торг!$I:$I,MATCH(Прайс!$B3600,Торг!$H:$H,0))),"")</f>
        <v/>
      </c>
    </row>
    <row r="3601" spans="1:8" x14ac:dyDescent="0.25">
      <c r="A3601" s="94" t="s">
        <v>4671</v>
      </c>
      <c r="B3601" s="98">
        <v>29030</v>
      </c>
      <c r="C3601" s="98" t="s">
        <v>4672</v>
      </c>
      <c r="D3601" s="96" t="s">
        <v>159</v>
      </c>
      <c r="E3601" s="97">
        <v>170</v>
      </c>
      <c r="F3601" s="67" t="str">
        <f>IFERROR(IFERROR(INDEX(Кат!$A:$A,MATCH(Прайс!$B3601,Кат!$G:$G,0)),INDEX(Торг!$B:$B,MATCH(Прайс!$B3601,Торг!$H:$H,0))),"")</f>
        <v/>
      </c>
      <c r="G3601" s="67" t="str">
        <f>IFERROR(IFERROR(INDEX(Кат!$B:$B,MATCH(Прайс!$B3601,Кат!$G:$G,0)),INDEX(Торг!$C:$C,MATCH(Прайс!$B3601,Торг!$H:$H,0))),"")</f>
        <v/>
      </c>
      <c r="H3601" s="67" t="str">
        <f>IFERROR(IFERROR(INDEX(Кат!$I:$I,MATCH(Прайс!$B3601,Кат!$G:$G,0)),INDEX(Торг!$I:$I,MATCH(Прайс!$B3601,Торг!$H:$H,0))),"")</f>
        <v/>
      </c>
    </row>
    <row r="3602" spans="1:8" x14ac:dyDescent="0.25">
      <c r="A3602" s="94" t="s">
        <v>4673</v>
      </c>
      <c r="B3602" s="98">
        <v>29031</v>
      </c>
      <c r="C3602" s="98" t="s">
        <v>4674</v>
      </c>
      <c r="D3602" s="96" t="s">
        <v>159</v>
      </c>
      <c r="E3602" s="97">
        <v>180</v>
      </c>
      <c r="F3602" s="67" t="str">
        <f>IFERROR(IFERROR(INDEX(Кат!$A:$A,MATCH(Прайс!$B3602,Кат!$G:$G,0)),INDEX(Торг!$B:$B,MATCH(Прайс!$B3602,Торг!$H:$H,0))),"")</f>
        <v/>
      </c>
      <c r="G3602" s="67" t="str">
        <f>IFERROR(IFERROR(INDEX(Кат!$B:$B,MATCH(Прайс!$B3602,Кат!$G:$G,0)),INDEX(Торг!$C:$C,MATCH(Прайс!$B3602,Торг!$H:$H,0))),"")</f>
        <v/>
      </c>
      <c r="H3602" s="67" t="str">
        <f>IFERROR(IFERROR(INDEX(Кат!$I:$I,MATCH(Прайс!$B3602,Кат!$G:$G,0)),INDEX(Торг!$I:$I,MATCH(Прайс!$B3602,Торг!$H:$H,0))),"")</f>
        <v/>
      </c>
    </row>
    <row r="3603" spans="1:8" x14ac:dyDescent="0.25">
      <c r="A3603" s="94" t="s">
        <v>4675</v>
      </c>
      <c r="B3603" s="98">
        <v>29032</v>
      </c>
      <c r="C3603" s="98" t="s">
        <v>4676</v>
      </c>
      <c r="D3603" s="96" t="s">
        <v>159</v>
      </c>
      <c r="E3603" s="97">
        <v>180</v>
      </c>
      <c r="F3603" s="67" t="str">
        <f>IFERROR(IFERROR(INDEX(Кат!$A:$A,MATCH(Прайс!$B3603,Кат!$G:$G,0)),INDEX(Торг!$B:$B,MATCH(Прайс!$B3603,Торг!$H:$H,0))),"")</f>
        <v/>
      </c>
      <c r="G3603" s="67" t="str">
        <f>IFERROR(IFERROR(INDEX(Кат!$B:$B,MATCH(Прайс!$B3603,Кат!$G:$G,0)),INDEX(Торг!$C:$C,MATCH(Прайс!$B3603,Торг!$H:$H,0))),"")</f>
        <v/>
      </c>
      <c r="H3603" s="67" t="str">
        <f>IFERROR(IFERROR(INDEX(Кат!$I:$I,MATCH(Прайс!$B3603,Кат!$G:$G,0)),INDEX(Торг!$I:$I,MATCH(Прайс!$B3603,Торг!$H:$H,0))),"")</f>
        <v/>
      </c>
    </row>
    <row r="3604" spans="1:8" x14ac:dyDescent="0.25">
      <c r="A3604" s="94" t="s">
        <v>4677</v>
      </c>
      <c r="B3604" s="98">
        <v>29033</v>
      </c>
      <c r="C3604" s="98" t="s">
        <v>4678</v>
      </c>
      <c r="D3604" s="96" t="s">
        <v>159</v>
      </c>
      <c r="E3604" s="97">
        <v>195</v>
      </c>
      <c r="F3604" s="67" t="str">
        <f>IFERROR(IFERROR(INDEX(Кат!$A:$A,MATCH(Прайс!$B3604,Кат!$G:$G,0)),INDEX(Торг!$B:$B,MATCH(Прайс!$B3604,Торг!$H:$H,0))),"")</f>
        <v/>
      </c>
      <c r="G3604" s="67" t="str">
        <f>IFERROR(IFERROR(INDEX(Кат!$B:$B,MATCH(Прайс!$B3604,Кат!$G:$G,0)),INDEX(Торг!$C:$C,MATCH(Прайс!$B3604,Торг!$H:$H,0))),"")</f>
        <v/>
      </c>
      <c r="H3604" s="67" t="str">
        <f>IFERROR(IFERROR(INDEX(Кат!$I:$I,MATCH(Прайс!$B3604,Кат!$G:$G,0)),INDEX(Торг!$I:$I,MATCH(Прайс!$B3604,Торг!$H:$H,0))),"")</f>
        <v/>
      </c>
    </row>
    <row r="3605" spans="1:8" x14ac:dyDescent="0.25">
      <c r="A3605" s="94" t="s">
        <v>4679</v>
      </c>
      <c r="B3605" s="98">
        <v>29034</v>
      </c>
      <c r="C3605" s="98" t="s">
        <v>4680</v>
      </c>
      <c r="D3605" s="96" t="s">
        <v>159</v>
      </c>
      <c r="E3605" s="97">
        <v>195</v>
      </c>
      <c r="F3605" s="67" t="str">
        <f>IFERROR(IFERROR(INDEX(Кат!$A:$A,MATCH(Прайс!$B3605,Кат!$G:$G,0)),INDEX(Торг!$B:$B,MATCH(Прайс!$B3605,Торг!$H:$H,0))),"")</f>
        <v/>
      </c>
      <c r="G3605" s="67" t="str">
        <f>IFERROR(IFERROR(INDEX(Кат!$B:$B,MATCH(Прайс!$B3605,Кат!$G:$G,0)),INDEX(Торг!$C:$C,MATCH(Прайс!$B3605,Торг!$H:$H,0))),"")</f>
        <v/>
      </c>
      <c r="H3605" s="67" t="str">
        <f>IFERROR(IFERROR(INDEX(Кат!$I:$I,MATCH(Прайс!$B3605,Кат!$G:$G,0)),INDEX(Торг!$I:$I,MATCH(Прайс!$B3605,Торг!$H:$H,0))),"")</f>
        <v/>
      </c>
    </row>
    <row r="3606" spans="1:8" x14ac:dyDescent="0.25">
      <c r="A3606" s="94" t="s">
        <v>4681</v>
      </c>
      <c r="B3606" s="98">
        <v>29035</v>
      </c>
      <c r="C3606" s="98" t="s">
        <v>4682</v>
      </c>
      <c r="D3606" s="96" t="s">
        <v>159</v>
      </c>
      <c r="E3606" s="97">
        <v>225</v>
      </c>
      <c r="F3606" s="67" t="str">
        <f>IFERROR(IFERROR(INDEX(Кат!$A:$A,MATCH(Прайс!$B3606,Кат!$G:$G,0)),INDEX(Торг!$B:$B,MATCH(Прайс!$B3606,Торг!$H:$H,0))),"")</f>
        <v/>
      </c>
      <c r="G3606" s="67" t="str">
        <f>IFERROR(IFERROR(INDEX(Кат!$B:$B,MATCH(Прайс!$B3606,Кат!$G:$G,0)),INDEX(Торг!$C:$C,MATCH(Прайс!$B3606,Торг!$H:$H,0))),"")</f>
        <v/>
      </c>
      <c r="H3606" s="67" t="str">
        <f>IFERROR(IFERROR(INDEX(Кат!$I:$I,MATCH(Прайс!$B3606,Кат!$G:$G,0)),INDEX(Торг!$I:$I,MATCH(Прайс!$B3606,Торг!$H:$H,0))),"")</f>
        <v/>
      </c>
    </row>
    <row r="3607" spans="1:8" x14ac:dyDescent="0.25">
      <c r="A3607" s="103" t="s">
        <v>4475</v>
      </c>
      <c r="B3607" s="104">
        <v>29181</v>
      </c>
      <c r="C3607" s="104" t="s">
        <v>1789</v>
      </c>
      <c r="D3607" s="105" t="s">
        <v>480</v>
      </c>
      <c r="E3607" s="113">
        <v>500</v>
      </c>
      <c r="F3607" s="67" t="str">
        <f>IFERROR(IFERROR(INDEX(Кат!$A:$A,MATCH(Прайс!$B3607,Кат!$G:$G,0)),INDEX(Торг!$B:$B,MATCH(Прайс!$B3607,Торг!$H:$H,0))),"")</f>
        <v/>
      </c>
      <c r="G3607" s="67" t="str">
        <f>IFERROR(IFERROR(INDEX(Кат!$B:$B,MATCH(Прайс!$B3607,Кат!$G:$G,0)),INDEX(Торг!$C:$C,MATCH(Прайс!$B3607,Торг!$H:$H,0))),"")</f>
        <v/>
      </c>
      <c r="H3607" s="67" t="str">
        <f>IFERROR(IFERROR(INDEX(Кат!$I:$I,MATCH(Прайс!$B3607,Кат!$G:$G,0)),INDEX(Торг!$I:$I,MATCH(Прайс!$B3607,Торг!$H:$H,0))),"")</f>
        <v/>
      </c>
    </row>
    <row r="3608" spans="1:8" x14ac:dyDescent="0.25">
      <c r="A3608" s="94" t="s">
        <v>4683</v>
      </c>
      <c r="B3608" s="98">
        <v>29036</v>
      </c>
      <c r="C3608" s="98" t="s">
        <v>4684</v>
      </c>
      <c r="D3608" s="96" t="s">
        <v>159</v>
      </c>
      <c r="E3608" s="97">
        <v>225</v>
      </c>
      <c r="F3608" s="67" t="str">
        <f>IFERROR(IFERROR(INDEX(Кат!$A:$A,MATCH(Прайс!$B3608,Кат!$G:$G,0)),INDEX(Торг!$B:$B,MATCH(Прайс!$B3608,Торг!$H:$H,0))),"")</f>
        <v/>
      </c>
      <c r="G3608" s="67" t="str">
        <f>IFERROR(IFERROR(INDEX(Кат!$B:$B,MATCH(Прайс!$B3608,Кат!$G:$G,0)),INDEX(Торг!$C:$C,MATCH(Прайс!$B3608,Торг!$H:$H,0))),"")</f>
        <v/>
      </c>
      <c r="H3608" s="67" t="str">
        <f>IFERROR(IFERROR(INDEX(Кат!$I:$I,MATCH(Прайс!$B3608,Кат!$G:$G,0)),INDEX(Торг!$I:$I,MATCH(Прайс!$B3608,Торг!$H:$H,0))),"")</f>
        <v/>
      </c>
    </row>
    <row r="3609" spans="1:8" x14ac:dyDescent="0.25">
      <c r="A3609" s="94" t="s">
        <v>4685</v>
      </c>
      <c r="B3609" s="98">
        <v>29037</v>
      </c>
      <c r="C3609" s="98" t="s">
        <v>4686</v>
      </c>
      <c r="D3609" s="96" t="s">
        <v>159</v>
      </c>
      <c r="E3609" s="97">
        <v>230</v>
      </c>
      <c r="F3609" s="67" t="str">
        <f>IFERROR(IFERROR(INDEX(Кат!$A:$A,MATCH(Прайс!$B3609,Кат!$G:$G,0)),INDEX(Торг!$B:$B,MATCH(Прайс!$B3609,Торг!$H:$H,0))),"")</f>
        <v/>
      </c>
      <c r="G3609" s="67" t="str">
        <f>IFERROR(IFERROR(INDEX(Кат!$B:$B,MATCH(Прайс!$B3609,Кат!$G:$G,0)),INDEX(Торг!$C:$C,MATCH(Прайс!$B3609,Торг!$H:$H,0))),"")</f>
        <v/>
      </c>
      <c r="H3609" s="67" t="str">
        <f>IFERROR(IFERROR(INDEX(Кат!$I:$I,MATCH(Прайс!$B3609,Кат!$G:$G,0)),INDEX(Торг!$I:$I,MATCH(Прайс!$B3609,Торг!$H:$H,0))),"")</f>
        <v/>
      </c>
    </row>
    <row r="3610" spans="1:8" x14ac:dyDescent="0.25">
      <c r="A3610" s="94" t="s">
        <v>4687</v>
      </c>
      <c r="B3610" s="98">
        <v>29038</v>
      </c>
      <c r="C3610" s="98" t="s">
        <v>4688</v>
      </c>
      <c r="D3610" s="96" t="s">
        <v>159</v>
      </c>
      <c r="E3610" s="97">
        <v>230</v>
      </c>
      <c r="F3610" s="67" t="str">
        <f>IFERROR(IFERROR(INDEX(Кат!$A:$A,MATCH(Прайс!$B3610,Кат!$G:$G,0)),INDEX(Торг!$B:$B,MATCH(Прайс!$B3610,Торг!$H:$H,0))),"")</f>
        <v/>
      </c>
      <c r="G3610" s="67" t="str">
        <f>IFERROR(IFERROR(INDEX(Кат!$B:$B,MATCH(Прайс!$B3610,Кат!$G:$G,0)),INDEX(Торг!$C:$C,MATCH(Прайс!$B3610,Торг!$H:$H,0))),"")</f>
        <v/>
      </c>
      <c r="H3610" s="67" t="str">
        <f>IFERROR(IFERROR(INDEX(Кат!$I:$I,MATCH(Прайс!$B3610,Кат!$G:$G,0)),INDEX(Торг!$I:$I,MATCH(Прайс!$B3610,Торг!$H:$H,0))),"")</f>
        <v/>
      </c>
    </row>
    <row r="3611" spans="1:8" x14ac:dyDescent="0.25">
      <c r="A3611" s="103" t="s">
        <v>4480</v>
      </c>
      <c r="B3611" s="104">
        <v>29182</v>
      </c>
      <c r="C3611" s="104" t="s">
        <v>1790</v>
      </c>
      <c r="D3611" s="105" t="s">
        <v>480</v>
      </c>
      <c r="E3611" s="113">
        <v>520</v>
      </c>
      <c r="F3611" s="67" t="str">
        <f>IFERROR(IFERROR(INDEX(Кат!$A:$A,MATCH(Прайс!$B3611,Кат!$G:$G,0)),INDEX(Торг!$B:$B,MATCH(Прайс!$B3611,Торг!$H:$H,0))),"")</f>
        <v/>
      </c>
      <c r="G3611" s="67" t="str">
        <f>IFERROR(IFERROR(INDEX(Кат!$B:$B,MATCH(Прайс!$B3611,Кат!$G:$G,0)),INDEX(Торг!$C:$C,MATCH(Прайс!$B3611,Торг!$H:$H,0))),"")</f>
        <v/>
      </c>
      <c r="H3611" s="67" t="str">
        <f>IFERROR(IFERROR(INDEX(Кат!$I:$I,MATCH(Прайс!$B3611,Кат!$G:$G,0)),INDEX(Торг!$I:$I,MATCH(Прайс!$B3611,Торг!$H:$H,0))),"")</f>
        <v/>
      </c>
    </row>
    <row r="3612" spans="1:8" x14ac:dyDescent="0.25">
      <c r="A3612" s="94" t="s">
        <v>4689</v>
      </c>
      <c r="B3612" s="98">
        <v>29039</v>
      </c>
      <c r="C3612" s="98" t="s">
        <v>4690</v>
      </c>
      <c r="D3612" s="96" t="s">
        <v>159</v>
      </c>
      <c r="E3612" s="97">
        <v>315</v>
      </c>
      <c r="F3612" s="67" t="str">
        <f>IFERROR(IFERROR(INDEX(Кат!$A:$A,MATCH(Прайс!$B3612,Кат!$G:$G,0)),INDEX(Торг!$B:$B,MATCH(Прайс!$B3612,Торг!$H:$H,0))),"")</f>
        <v/>
      </c>
      <c r="G3612" s="67" t="str">
        <f>IFERROR(IFERROR(INDEX(Кат!$B:$B,MATCH(Прайс!$B3612,Кат!$G:$G,0)),INDEX(Торг!$C:$C,MATCH(Прайс!$B3612,Торг!$H:$H,0))),"")</f>
        <v/>
      </c>
      <c r="H3612" s="67" t="str">
        <f>IFERROR(IFERROR(INDEX(Кат!$I:$I,MATCH(Прайс!$B3612,Кат!$G:$G,0)),INDEX(Торг!$I:$I,MATCH(Прайс!$B3612,Торг!$H:$H,0))),"")</f>
        <v/>
      </c>
    </row>
    <row r="3613" spans="1:8" x14ac:dyDescent="0.25">
      <c r="A3613" s="103" t="s">
        <v>4483</v>
      </c>
      <c r="B3613" s="104">
        <v>29183</v>
      </c>
      <c r="C3613" s="104" t="s">
        <v>1791</v>
      </c>
      <c r="D3613" s="105" t="s">
        <v>480</v>
      </c>
      <c r="E3613" s="113">
        <v>540</v>
      </c>
      <c r="F3613" s="67" t="str">
        <f>IFERROR(IFERROR(INDEX(Кат!$A:$A,MATCH(Прайс!$B3613,Кат!$G:$G,0)),INDEX(Торг!$B:$B,MATCH(Прайс!$B3613,Торг!$H:$H,0))),"")</f>
        <v/>
      </c>
      <c r="G3613" s="67" t="str">
        <f>IFERROR(IFERROR(INDEX(Кат!$B:$B,MATCH(Прайс!$B3613,Кат!$G:$G,0)),INDEX(Торг!$C:$C,MATCH(Прайс!$B3613,Торг!$H:$H,0))),"")</f>
        <v/>
      </c>
      <c r="H3613" s="67" t="str">
        <f>IFERROR(IFERROR(INDEX(Кат!$I:$I,MATCH(Прайс!$B3613,Кат!$G:$G,0)),INDEX(Торг!$I:$I,MATCH(Прайс!$B3613,Торг!$H:$H,0))),"")</f>
        <v/>
      </c>
    </row>
    <row r="3614" spans="1:8" x14ac:dyDescent="0.25">
      <c r="A3614" s="94" t="s">
        <v>4691</v>
      </c>
      <c r="B3614" s="98">
        <v>29040</v>
      </c>
      <c r="C3614" s="98" t="s">
        <v>5485</v>
      </c>
      <c r="D3614" s="96" t="s">
        <v>159</v>
      </c>
      <c r="E3614" s="97">
        <v>370</v>
      </c>
      <c r="F3614" s="67" t="str">
        <f>IFERROR(IFERROR(INDEX(Кат!$A:$A,MATCH(Прайс!$B3614,Кат!$G:$G,0)),INDEX(Торг!$B:$B,MATCH(Прайс!$B3614,Торг!$H:$H,0))),"")</f>
        <v/>
      </c>
      <c r="G3614" s="67" t="str">
        <f>IFERROR(IFERROR(INDEX(Кат!$B:$B,MATCH(Прайс!$B3614,Кат!$G:$G,0)),INDEX(Торг!$C:$C,MATCH(Прайс!$B3614,Торг!$H:$H,0))),"")</f>
        <v/>
      </c>
      <c r="H3614" s="67" t="str">
        <f>IFERROR(IFERROR(INDEX(Кат!$I:$I,MATCH(Прайс!$B3614,Кат!$G:$G,0)),INDEX(Торг!$I:$I,MATCH(Прайс!$B3614,Торг!$H:$H,0))),"")</f>
        <v/>
      </c>
    </row>
    <row r="3615" spans="1:8" x14ac:dyDescent="0.25">
      <c r="A3615" s="94" t="s">
        <v>4486</v>
      </c>
      <c r="B3615" s="98">
        <v>29184</v>
      </c>
      <c r="C3615" s="98" t="s">
        <v>1792</v>
      </c>
      <c r="D3615" s="96" t="s">
        <v>480</v>
      </c>
      <c r="E3615" s="97">
        <v>600</v>
      </c>
      <c r="F3615" s="67" t="str">
        <f>IFERROR(IFERROR(INDEX(Кат!$A:$A,MATCH(Прайс!$B3615,Кат!$G:$G,0)),INDEX(Торг!$B:$B,MATCH(Прайс!$B3615,Торг!$H:$H,0))),"")</f>
        <v/>
      </c>
      <c r="G3615" s="67" t="str">
        <f>IFERROR(IFERROR(INDEX(Кат!$B:$B,MATCH(Прайс!$B3615,Кат!$G:$G,0)),INDEX(Торг!$C:$C,MATCH(Прайс!$B3615,Торг!$H:$H,0))),"")</f>
        <v/>
      </c>
      <c r="H3615" s="67" t="str">
        <f>IFERROR(IFERROR(INDEX(Кат!$I:$I,MATCH(Прайс!$B3615,Кат!$G:$G,0)),INDEX(Торг!$I:$I,MATCH(Прайс!$B3615,Торг!$H:$H,0))),"")</f>
        <v/>
      </c>
    </row>
    <row r="3616" spans="1:8" x14ac:dyDescent="0.25">
      <c r="A3616" s="99" t="s">
        <v>4692</v>
      </c>
      <c r="B3616" s="108">
        <v>29226</v>
      </c>
      <c r="C3616" s="108" t="s">
        <v>1947</v>
      </c>
      <c r="D3616" s="101" t="s">
        <v>159</v>
      </c>
      <c r="E3616" s="102">
        <v>160</v>
      </c>
      <c r="F3616" s="67" t="str">
        <f>IFERROR(IFERROR(INDEX(Кат!$A:$A,MATCH(Прайс!$B3616,Кат!$G:$G,0)),INDEX(Торг!$B:$B,MATCH(Прайс!$B3616,Торг!$H:$H,0))),"")</f>
        <v/>
      </c>
      <c r="G3616" s="67" t="str">
        <f>IFERROR(IFERROR(INDEX(Кат!$B:$B,MATCH(Прайс!$B3616,Кат!$G:$G,0)),INDEX(Торг!$C:$C,MATCH(Прайс!$B3616,Торг!$H:$H,0))),"")</f>
        <v/>
      </c>
      <c r="H3616" s="67" t="str">
        <f>IFERROR(IFERROR(INDEX(Кат!$I:$I,MATCH(Прайс!$B3616,Кат!$G:$G,0)),INDEX(Торг!$I:$I,MATCH(Прайс!$B3616,Торг!$H:$H,0))),"")</f>
        <v/>
      </c>
    </row>
    <row r="3617" spans="1:8" x14ac:dyDescent="0.25">
      <c r="A3617" s="99" t="s">
        <v>4693</v>
      </c>
      <c r="B3617" s="108">
        <v>29227</v>
      </c>
      <c r="C3617" s="108" t="s">
        <v>1948</v>
      </c>
      <c r="D3617" s="101" t="s">
        <v>159</v>
      </c>
      <c r="E3617" s="102">
        <v>160</v>
      </c>
      <c r="F3617" s="67" t="str">
        <f>IFERROR(IFERROR(INDEX(Кат!$A:$A,MATCH(Прайс!$B3617,Кат!$G:$G,0)),INDEX(Торг!$B:$B,MATCH(Прайс!$B3617,Торг!$H:$H,0))),"")</f>
        <v/>
      </c>
      <c r="G3617" s="67" t="str">
        <f>IFERROR(IFERROR(INDEX(Кат!$B:$B,MATCH(Прайс!$B3617,Кат!$G:$G,0)),INDEX(Торг!$C:$C,MATCH(Прайс!$B3617,Торг!$H:$H,0))),"")</f>
        <v/>
      </c>
      <c r="H3617" s="67" t="str">
        <f>IFERROR(IFERROR(INDEX(Кат!$I:$I,MATCH(Прайс!$B3617,Кат!$G:$G,0)),INDEX(Торг!$I:$I,MATCH(Прайс!$B3617,Торг!$H:$H,0))),"")</f>
        <v/>
      </c>
    </row>
    <row r="3618" spans="1:8" x14ac:dyDescent="0.25">
      <c r="A3618" s="99" t="s">
        <v>4694</v>
      </c>
      <c r="B3618" s="108">
        <v>29228</v>
      </c>
      <c r="C3618" s="108" t="s">
        <v>1949</v>
      </c>
      <c r="D3618" s="101" t="s">
        <v>159</v>
      </c>
      <c r="E3618" s="102">
        <v>160</v>
      </c>
      <c r="F3618" s="67" t="str">
        <f>IFERROR(IFERROR(INDEX(Кат!$A:$A,MATCH(Прайс!$B3618,Кат!$G:$G,0)),INDEX(Торг!$B:$B,MATCH(Прайс!$B3618,Торг!$H:$H,0))),"")</f>
        <v/>
      </c>
      <c r="G3618" s="67" t="str">
        <f>IFERROR(IFERROR(INDEX(Кат!$B:$B,MATCH(Прайс!$B3618,Кат!$G:$G,0)),INDEX(Торг!$C:$C,MATCH(Прайс!$B3618,Торг!$H:$H,0))),"")</f>
        <v/>
      </c>
      <c r="H3618" s="67" t="str">
        <f>IFERROR(IFERROR(INDEX(Кат!$I:$I,MATCH(Прайс!$B3618,Кат!$G:$G,0)),INDEX(Торг!$I:$I,MATCH(Прайс!$B3618,Торг!$H:$H,0))),"")</f>
        <v/>
      </c>
    </row>
    <row r="3619" spans="1:8" x14ac:dyDescent="0.25">
      <c r="A3619" s="99" t="s">
        <v>4695</v>
      </c>
      <c r="B3619" s="108">
        <v>29229</v>
      </c>
      <c r="C3619" s="108" t="s">
        <v>1950</v>
      </c>
      <c r="D3619" s="101" t="s">
        <v>159</v>
      </c>
      <c r="E3619" s="102">
        <v>160</v>
      </c>
      <c r="F3619" s="67" t="str">
        <f>IFERROR(IFERROR(INDEX(Кат!$A:$A,MATCH(Прайс!$B3619,Кат!$G:$G,0)),INDEX(Торг!$B:$B,MATCH(Прайс!$B3619,Торг!$H:$H,0))),"")</f>
        <v/>
      </c>
      <c r="G3619" s="67" t="str">
        <f>IFERROR(IFERROR(INDEX(Кат!$B:$B,MATCH(Прайс!$B3619,Кат!$G:$G,0)),INDEX(Торг!$C:$C,MATCH(Прайс!$B3619,Торг!$H:$H,0))),"")</f>
        <v/>
      </c>
      <c r="H3619" s="67" t="str">
        <f>IFERROR(IFERROR(INDEX(Кат!$I:$I,MATCH(Прайс!$B3619,Кат!$G:$G,0)),INDEX(Торг!$I:$I,MATCH(Прайс!$B3619,Торг!$H:$H,0))),"")</f>
        <v/>
      </c>
    </row>
    <row r="3620" spans="1:8" x14ac:dyDescent="0.25">
      <c r="A3620" s="99" t="s">
        <v>4696</v>
      </c>
      <c r="B3620" s="108">
        <v>29230</v>
      </c>
      <c r="C3620" s="108" t="s">
        <v>1951</v>
      </c>
      <c r="D3620" s="101" t="s">
        <v>159</v>
      </c>
      <c r="E3620" s="102">
        <v>160</v>
      </c>
      <c r="F3620" s="67" t="str">
        <f>IFERROR(IFERROR(INDEX(Кат!$A:$A,MATCH(Прайс!$B3620,Кат!$G:$G,0)),INDEX(Торг!$B:$B,MATCH(Прайс!$B3620,Торг!$H:$H,0))),"")</f>
        <v/>
      </c>
      <c r="G3620" s="67" t="str">
        <f>IFERROR(IFERROR(INDEX(Кат!$B:$B,MATCH(Прайс!$B3620,Кат!$G:$G,0)),INDEX(Торг!$C:$C,MATCH(Прайс!$B3620,Торг!$H:$H,0))),"")</f>
        <v/>
      </c>
      <c r="H3620" s="67" t="str">
        <f>IFERROR(IFERROR(INDEX(Кат!$I:$I,MATCH(Прайс!$B3620,Кат!$G:$G,0)),INDEX(Торг!$I:$I,MATCH(Прайс!$B3620,Торг!$H:$H,0))),"")</f>
        <v/>
      </c>
    </row>
    <row r="3621" spans="1:8" x14ac:dyDescent="0.25">
      <c r="A3621" s="99" t="s">
        <v>4697</v>
      </c>
      <c r="B3621" s="108">
        <v>29231</v>
      </c>
      <c r="C3621" s="108" t="s">
        <v>1952</v>
      </c>
      <c r="D3621" s="101" t="s">
        <v>159</v>
      </c>
      <c r="E3621" s="102">
        <v>160</v>
      </c>
      <c r="F3621" s="67" t="str">
        <f>IFERROR(IFERROR(INDEX(Кат!$A:$A,MATCH(Прайс!$B3621,Кат!$G:$G,0)),INDEX(Торг!$B:$B,MATCH(Прайс!$B3621,Торг!$H:$H,0))),"")</f>
        <v/>
      </c>
      <c r="G3621" s="67" t="str">
        <f>IFERROR(IFERROR(INDEX(Кат!$B:$B,MATCH(Прайс!$B3621,Кат!$G:$G,0)),INDEX(Торг!$C:$C,MATCH(Прайс!$B3621,Торг!$H:$H,0))),"")</f>
        <v/>
      </c>
      <c r="H3621" s="67" t="str">
        <f>IFERROR(IFERROR(INDEX(Кат!$I:$I,MATCH(Прайс!$B3621,Кат!$G:$G,0)),INDEX(Торг!$I:$I,MATCH(Прайс!$B3621,Торг!$H:$H,0))),"")</f>
        <v/>
      </c>
    </row>
    <row r="3622" spans="1:8" x14ac:dyDescent="0.25">
      <c r="A3622" s="99" t="s">
        <v>4698</v>
      </c>
      <c r="B3622" s="108">
        <v>29232</v>
      </c>
      <c r="C3622" s="108" t="s">
        <v>1953</v>
      </c>
      <c r="D3622" s="101" t="s">
        <v>159</v>
      </c>
      <c r="E3622" s="102">
        <v>160</v>
      </c>
      <c r="F3622" s="67" t="str">
        <f>IFERROR(IFERROR(INDEX(Кат!$A:$A,MATCH(Прайс!$B3622,Кат!$G:$G,0)),INDEX(Торг!$B:$B,MATCH(Прайс!$B3622,Торг!$H:$H,0))),"")</f>
        <v/>
      </c>
      <c r="G3622" s="67" t="str">
        <f>IFERROR(IFERROR(INDEX(Кат!$B:$B,MATCH(Прайс!$B3622,Кат!$G:$G,0)),INDEX(Торг!$C:$C,MATCH(Прайс!$B3622,Торг!$H:$H,0))),"")</f>
        <v/>
      </c>
      <c r="H3622" s="67" t="str">
        <f>IFERROR(IFERROR(INDEX(Кат!$I:$I,MATCH(Прайс!$B3622,Кат!$G:$G,0)),INDEX(Торг!$I:$I,MATCH(Прайс!$B3622,Торг!$H:$H,0))),"")</f>
        <v/>
      </c>
    </row>
    <row r="3623" spans="1:8" x14ac:dyDescent="0.25">
      <c r="A3623" s="99" t="s">
        <v>4699</v>
      </c>
      <c r="B3623" s="108">
        <v>29233</v>
      </c>
      <c r="C3623" s="108" t="s">
        <v>1954</v>
      </c>
      <c r="D3623" s="101" t="s">
        <v>159</v>
      </c>
      <c r="E3623" s="102">
        <v>160</v>
      </c>
      <c r="F3623" s="67" t="str">
        <f>IFERROR(IFERROR(INDEX(Кат!$A:$A,MATCH(Прайс!$B3623,Кат!$G:$G,0)),INDEX(Торг!$B:$B,MATCH(Прайс!$B3623,Торг!$H:$H,0))),"")</f>
        <v/>
      </c>
      <c r="G3623" s="67" t="str">
        <f>IFERROR(IFERROR(INDEX(Кат!$B:$B,MATCH(Прайс!$B3623,Кат!$G:$G,0)),INDEX(Торг!$C:$C,MATCH(Прайс!$B3623,Торг!$H:$H,0))),"")</f>
        <v/>
      </c>
      <c r="H3623" s="67" t="str">
        <f>IFERROR(IFERROR(INDEX(Кат!$I:$I,MATCH(Прайс!$B3623,Кат!$G:$G,0)),INDEX(Торг!$I:$I,MATCH(Прайс!$B3623,Торг!$H:$H,0))),"")</f>
        <v/>
      </c>
    </row>
    <row r="3624" spans="1:8" x14ac:dyDescent="0.25">
      <c r="A3624" s="99" t="s">
        <v>4700</v>
      </c>
      <c r="B3624" s="108">
        <v>29234</v>
      </c>
      <c r="C3624" s="108" t="s">
        <v>1955</v>
      </c>
      <c r="D3624" s="101" t="s">
        <v>159</v>
      </c>
      <c r="E3624" s="102">
        <v>160</v>
      </c>
      <c r="F3624" s="67" t="str">
        <f>IFERROR(IFERROR(INDEX(Кат!$A:$A,MATCH(Прайс!$B3624,Кат!$G:$G,0)),INDEX(Торг!$B:$B,MATCH(Прайс!$B3624,Торг!$H:$H,0))),"")</f>
        <v/>
      </c>
      <c r="G3624" s="67" t="str">
        <f>IFERROR(IFERROR(INDEX(Кат!$B:$B,MATCH(Прайс!$B3624,Кат!$G:$G,0)),INDEX(Торг!$C:$C,MATCH(Прайс!$B3624,Торг!$H:$H,0))),"")</f>
        <v/>
      </c>
      <c r="H3624" s="67" t="str">
        <f>IFERROR(IFERROR(INDEX(Кат!$I:$I,MATCH(Прайс!$B3624,Кат!$G:$G,0)),INDEX(Торг!$I:$I,MATCH(Прайс!$B3624,Торг!$H:$H,0))),"")</f>
        <v/>
      </c>
    </row>
    <row r="3625" spans="1:8" x14ac:dyDescent="0.25">
      <c r="A3625" s="99" t="s">
        <v>4701</v>
      </c>
      <c r="B3625" s="108">
        <v>29235</v>
      </c>
      <c r="C3625" s="108" t="s">
        <v>2150</v>
      </c>
      <c r="D3625" s="101" t="s">
        <v>159</v>
      </c>
      <c r="E3625" s="102">
        <v>160</v>
      </c>
      <c r="F3625" s="67" t="str">
        <f>IFERROR(IFERROR(INDEX(Кат!$A:$A,MATCH(Прайс!$B3625,Кат!$G:$G,0)),INDEX(Торг!$B:$B,MATCH(Прайс!$B3625,Торг!$H:$H,0))),"")</f>
        <v/>
      </c>
      <c r="G3625" s="67" t="str">
        <f>IFERROR(IFERROR(INDEX(Кат!$B:$B,MATCH(Прайс!$B3625,Кат!$G:$G,0)),INDEX(Торг!$C:$C,MATCH(Прайс!$B3625,Торг!$H:$H,0))),"")</f>
        <v/>
      </c>
      <c r="H3625" s="67" t="str">
        <f>IFERROR(IFERROR(INDEX(Кат!$I:$I,MATCH(Прайс!$B3625,Кат!$G:$G,0)),INDEX(Торг!$I:$I,MATCH(Прайс!$B3625,Торг!$H:$H,0))),"")</f>
        <v/>
      </c>
    </row>
    <row r="3626" spans="1:8" x14ac:dyDescent="0.25">
      <c r="A3626" s="99" t="s">
        <v>4702</v>
      </c>
      <c r="B3626" s="108">
        <v>29236</v>
      </c>
      <c r="C3626" s="108" t="s">
        <v>1956</v>
      </c>
      <c r="D3626" s="101" t="s">
        <v>159</v>
      </c>
      <c r="E3626" s="102">
        <v>160</v>
      </c>
      <c r="F3626" s="67" t="str">
        <f>IFERROR(IFERROR(INDEX(Кат!$A:$A,MATCH(Прайс!$B3626,Кат!$G:$G,0)),INDEX(Торг!$B:$B,MATCH(Прайс!$B3626,Торг!$H:$H,0))),"")</f>
        <v/>
      </c>
      <c r="G3626" s="67" t="str">
        <f>IFERROR(IFERROR(INDEX(Кат!$B:$B,MATCH(Прайс!$B3626,Кат!$G:$G,0)),INDEX(Торг!$C:$C,MATCH(Прайс!$B3626,Торг!$H:$H,0))),"")</f>
        <v/>
      </c>
      <c r="H3626" s="67" t="str">
        <f>IFERROR(IFERROR(INDEX(Кат!$I:$I,MATCH(Прайс!$B3626,Кат!$G:$G,0)),INDEX(Торг!$I:$I,MATCH(Прайс!$B3626,Торг!$H:$H,0))),"")</f>
        <v/>
      </c>
    </row>
    <row r="3627" spans="1:8" x14ac:dyDescent="0.25">
      <c r="A3627" s="99" t="s">
        <v>4703</v>
      </c>
      <c r="B3627" s="108">
        <v>29237</v>
      </c>
      <c r="C3627" s="108" t="s">
        <v>1957</v>
      </c>
      <c r="D3627" s="101" t="s">
        <v>159</v>
      </c>
      <c r="E3627" s="102">
        <v>160</v>
      </c>
      <c r="F3627" s="67" t="str">
        <f>IFERROR(IFERROR(INDEX(Кат!$A:$A,MATCH(Прайс!$B3627,Кат!$G:$G,0)),INDEX(Торг!$B:$B,MATCH(Прайс!$B3627,Торг!$H:$H,0))),"")</f>
        <v/>
      </c>
      <c r="G3627" s="67" t="str">
        <f>IFERROR(IFERROR(INDEX(Кат!$B:$B,MATCH(Прайс!$B3627,Кат!$G:$G,0)),INDEX(Торг!$C:$C,MATCH(Прайс!$B3627,Торг!$H:$H,0))),"")</f>
        <v/>
      </c>
      <c r="H3627" s="67" t="str">
        <f>IFERROR(IFERROR(INDEX(Кат!$I:$I,MATCH(Прайс!$B3627,Кат!$G:$G,0)),INDEX(Торг!$I:$I,MATCH(Прайс!$B3627,Торг!$H:$H,0))),"")</f>
        <v/>
      </c>
    </row>
    <row r="3628" spans="1:8" x14ac:dyDescent="0.25">
      <c r="A3628" s="99" t="s">
        <v>4704</v>
      </c>
      <c r="B3628" s="108">
        <v>29238</v>
      </c>
      <c r="C3628" s="108" t="s">
        <v>1958</v>
      </c>
      <c r="D3628" s="101" t="s">
        <v>159</v>
      </c>
      <c r="E3628" s="102">
        <v>160</v>
      </c>
      <c r="F3628" s="67" t="str">
        <f>IFERROR(IFERROR(INDEX(Кат!$A:$A,MATCH(Прайс!$B3628,Кат!$G:$G,0)),INDEX(Торг!$B:$B,MATCH(Прайс!$B3628,Торг!$H:$H,0))),"")</f>
        <v/>
      </c>
      <c r="G3628" s="67" t="str">
        <f>IFERROR(IFERROR(INDEX(Кат!$B:$B,MATCH(Прайс!$B3628,Кат!$G:$G,0)),INDEX(Торг!$C:$C,MATCH(Прайс!$B3628,Торг!$H:$H,0))),"")</f>
        <v/>
      </c>
      <c r="H3628" s="67" t="str">
        <f>IFERROR(IFERROR(INDEX(Кат!$I:$I,MATCH(Прайс!$B3628,Кат!$G:$G,0)),INDEX(Торг!$I:$I,MATCH(Прайс!$B3628,Торг!$H:$H,0))),"")</f>
        <v/>
      </c>
    </row>
    <row r="3629" spans="1:8" x14ac:dyDescent="0.25">
      <c r="A3629" s="99" t="s">
        <v>4705</v>
      </c>
      <c r="B3629" s="108">
        <v>29239</v>
      </c>
      <c r="C3629" s="108" t="s">
        <v>2151</v>
      </c>
      <c r="D3629" s="101" t="s">
        <v>159</v>
      </c>
      <c r="E3629" s="102">
        <v>160</v>
      </c>
      <c r="F3629" s="67" t="str">
        <f>IFERROR(IFERROR(INDEX(Кат!$A:$A,MATCH(Прайс!$B3629,Кат!$G:$G,0)),INDEX(Торг!$B:$B,MATCH(Прайс!$B3629,Торг!$H:$H,0))),"")</f>
        <v/>
      </c>
      <c r="G3629" s="67" t="str">
        <f>IFERROR(IFERROR(INDEX(Кат!$B:$B,MATCH(Прайс!$B3629,Кат!$G:$G,0)),INDEX(Торг!$C:$C,MATCH(Прайс!$B3629,Торг!$H:$H,0))),"")</f>
        <v/>
      </c>
      <c r="H3629" s="67" t="str">
        <f>IFERROR(IFERROR(INDEX(Кат!$I:$I,MATCH(Прайс!$B3629,Кат!$G:$G,0)),INDEX(Торг!$I:$I,MATCH(Прайс!$B3629,Торг!$H:$H,0))),"")</f>
        <v/>
      </c>
    </row>
    <row r="3630" spans="1:8" x14ac:dyDescent="0.25">
      <c r="A3630" s="99" t="s">
        <v>4706</v>
      </c>
      <c r="B3630" s="108">
        <v>29240</v>
      </c>
      <c r="C3630" s="108" t="s">
        <v>1959</v>
      </c>
      <c r="D3630" s="101" t="s">
        <v>159</v>
      </c>
      <c r="E3630" s="102">
        <v>160</v>
      </c>
      <c r="F3630" s="67" t="str">
        <f>IFERROR(IFERROR(INDEX(Кат!$A:$A,MATCH(Прайс!$B3630,Кат!$G:$G,0)),INDEX(Торг!$B:$B,MATCH(Прайс!$B3630,Торг!$H:$H,0))),"")</f>
        <v/>
      </c>
      <c r="G3630" s="67" t="str">
        <f>IFERROR(IFERROR(INDEX(Кат!$B:$B,MATCH(Прайс!$B3630,Кат!$G:$G,0)),INDEX(Торг!$C:$C,MATCH(Прайс!$B3630,Торг!$H:$H,0))),"")</f>
        <v/>
      </c>
      <c r="H3630" s="67" t="str">
        <f>IFERROR(IFERROR(INDEX(Кат!$I:$I,MATCH(Прайс!$B3630,Кат!$G:$G,0)),INDEX(Торг!$I:$I,MATCH(Прайс!$B3630,Торг!$H:$H,0))),"")</f>
        <v/>
      </c>
    </row>
    <row r="3631" spans="1:8" x14ac:dyDescent="0.25">
      <c r="A3631" s="99" t="s">
        <v>4707</v>
      </c>
      <c r="B3631" s="108">
        <v>29241</v>
      </c>
      <c r="C3631" s="108" t="s">
        <v>1960</v>
      </c>
      <c r="D3631" s="101" t="s">
        <v>159</v>
      </c>
      <c r="E3631" s="102">
        <v>160</v>
      </c>
      <c r="F3631" s="67" t="str">
        <f>IFERROR(IFERROR(INDEX(Кат!$A:$A,MATCH(Прайс!$B3631,Кат!$G:$G,0)),INDEX(Торг!$B:$B,MATCH(Прайс!$B3631,Торг!$H:$H,0))),"")</f>
        <v/>
      </c>
      <c r="G3631" s="67" t="str">
        <f>IFERROR(IFERROR(INDEX(Кат!$B:$B,MATCH(Прайс!$B3631,Кат!$G:$G,0)),INDEX(Торг!$C:$C,MATCH(Прайс!$B3631,Торг!$H:$H,0))),"")</f>
        <v/>
      </c>
      <c r="H3631" s="67" t="str">
        <f>IFERROR(IFERROR(INDEX(Кат!$I:$I,MATCH(Прайс!$B3631,Кат!$G:$G,0)),INDEX(Торг!$I:$I,MATCH(Прайс!$B3631,Торг!$H:$H,0))),"")</f>
        <v/>
      </c>
    </row>
    <row r="3632" spans="1:8" x14ac:dyDescent="0.25">
      <c r="A3632" s="99" t="s">
        <v>4708</v>
      </c>
      <c r="B3632" s="108">
        <v>29097</v>
      </c>
      <c r="C3632" s="108" t="s">
        <v>1961</v>
      </c>
      <c r="D3632" s="101" t="s">
        <v>4964</v>
      </c>
      <c r="E3632" s="102">
        <v>180</v>
      </c>
      <c r="F3632" s="67" t="str">
        <f>IFERROR(IFERROR(INDEX(Кат!$A:$A,MATCH(Прайс!$B3632,Кат!$G:$G,0)),INDEX(Торг!$B:$B,MATCH(Прайс!$B3632,Торг!$H:$H,0))),"")</f>
        <v/>
      </c>
      <c r="G3632" s="67" t="str">
        <f>IFERROR(IFERROR(INDEX(Кат!$B:$B,MATCH(Прайс!$B3632,Кат!$G:$G,0)),INDEX(Торг!$C:$C,MATCH(Прайс!$B3632,Торг!$H:$H,0))),"")</f>
        <v/>
      </c>
      <c r="H3632" s="67" t="str">
        <f>IFERROR(IFERROR(INDEX(Кат!$I:$I,MATCH(Прайс!$B3632,Кат!$G:$G,0)),INDEX(Торг!$I:$I,MATCH(Прайс!$B3632,Торг!$H:$H,0))),"")</f>
        <v/>
      </c>
    </row>
    <row r="3633" spans="1:8" x14ac:dyDescent="0.25">
      <c r="A3633" s="99" t="s">
        <v>4709</v>
      </c>
      <c r="B3633" s="108">
        <v>29099</v>
      </c>
      <c r="C3633" s="108" t="s">
        <v>7941</v>
      </c>
      <c r="D3633" s="101" t="s">
        <v>4964</v>
      </c>
      <c r="E3633" s="102">
        <v>190</v>
      </c>
      <c r="F3633" s="67" t="str">
        <f>IFERROR(IFERROR(INDEX(Кат!$A:$A,MATCH(Прайс!$B3633,Кат!$G:$G,0)),INDEX(Торг!$B:$B,MATCH(Прайс!$B3633,Торг!$H:$H,0))),"")</f>
        <v/>
      </c>
      <c r="G3633" s="67" t="str">
        <f>IFERROR(IFERROR(INDEX(Кат!$B:$B,MATCH(Прайс!$B3633,Кат!$G:$G,0)),INDEX(Торг!$C:$C,MATCH(Прайс!$B3633,Торг!$H:$H,0))),"")</f>
        <v/>
      </c>
      <c r="H3633" s="67" t="str">
        <f>IFERROR(IFERROR(INDEX(Кат!$I:$I,MATCH(Прайс!$B3633,Кат!$G:$G,0)),INDEX(Торг!$I:$I,MATCH(Прайс!$B3633,Торг!$H:$H,0))),"")</f>
        <v/>
      </c>
    </row>
    <row r="3634" spans="1:8" x14ac:dyDescent="0.25">
      <c r="A3634" s="99" t="s">
        <v>4710</v>
      </c>
      <c r="B3634" s="108">
        <v>29101</v>
      </c>
      <c r="C3634" s="108" t="s">
        <v>1962</v>
      </c>
      <c r="D3634" s="101" t="s">
        <v>4964</v>
      </c>
      <c r="E3634" s="102">
        <v>300</v>
      </c>
      <c r="F3634" s="67" t="str">
        <f>IFERROR(IFERROR(INDEX(Кат!$A:$A,MATCH(Прайс!$B3634,Кат!$G:$G,0)),INDEX(Торг!$B:$B,MATCH(Прайс!$B3634,Торг!$H:$H,0))),"")</f>
        <v/>
      </c>
      <c r="G3634" s="67" t="str">
        <f>IFERROR(IFERROR(INDEX(Кат!$B:$B,MATCH(Прайс!$B3634,Кат!$G:$G,0)),INDEX(Торг!$C:$C,MATCH(Прайс!$B3634,Торг!$H:$H,0))),"")</f>
        <v/>
      </c>
      <c r="H3634" s="67" t="str">
        <f>IFERROR(IFERROR(INDEX(Кат!$I:$I,MATCH(Прайс!$B3634,Кат!$G:$G,0)),INDEX(Торг!$I:$I,MATCH(Прайс!$B3634,Торг!$H:$H,0))),"")</f>
        <v/>
      </c>
    </row>
    <row r="3635" spans="1:8" x14ac:dyDescent="0.25">
      <c r="A3635" s="99" t="s">
        <v>4711</v>
      </c>
      <c r="B3635" s="108">
        <v>29102</v>
      </c>
      <c r="C3635" s="108" t="s">
        <v>1963</v>
      </c>
      <c r="D3635" s="101" t="s">
        <v>4964</v>
      </c>
      <c r="E3635" s="102">
        <v>190</v>
      </c>
      <c r="F3635" s="67">
        <f>IFERROR(IFERROR(INDEX(Кат!$A:$A,MATCH(Прайс!$B3635,Кат!$G:$G,0)),INDEX(Торг!$B:$B,MATCH(Прайс!$B3635,Торг!$H:$H,0))),"")</f>
        <v>226753</v>
      </c>
      <c r="G3635" s="67">
        <f>IFERROR(IFERROR(INDEX(Кат!$B:$B,MATCH(Прайс!$B3635,Кат!$G:$G,0)),INDEX(Торг!$C:$C,MATCH(Прайс!$B3635,Торг!$H:$H,0))),"")</f>
        <v>5572</v>
      </c>
      <c r="H3635" s="67" t="str">
        <f>IFERROR(IFERROR(INDEX(Кат!$I:$I,MATCH(Прайс!$B3635,Кат!$G:$G,0)),INDEX(Торг!$I:$I,MATCH(Прайс!$B3635,Торг!$H:$H,0))),"")</f>
        <v>кристал авто</v>
      </c>
    </row>
    <row r="3636" spans="1:8" x14ac:dyDescent="0.25">
      <c r="A3636" s="99" t="s">
        <v>4712</v>
      </c>
      <c r="B3636" s="108">
        <v>29105</v>
      </c>
      <c r="C3636" s="108" t="s">
        <v>1964</v>
      </c>
      <c r="D3636" s="101" t="s">
        <v>1719</v>
      </c>
      <c r="E3636" s="102">
        <v>150</v>
      </c>
      <c r="F3636" s="67" t="str">
        <f>IFERROR(IFERROR(INDEX(Кат!$A:$A,MATCH(Прайс!$B3636,Кат!$G:$G,0)),INDEX(Торг!$B:$B,MATCH(Прайс!$B3636,Торг!$H:$H,0))),"")</f>
        <v/>
      </c>
      <c r="G3636" s="67" t="str">
        <f>IFERROR(IFERROR(INDEX(Кат!$B:$B,MATCH(Прайс!$B3636,Кат!$G:$G,0)),INDEX(Торг!$C:$C,MATCH(Прайс!$B3636,Торг!$H:$H,0))),"")</f>
        <v/>
      </c>
      <c r="H3636" s="67" t="str">
        <f>IFERROR(IFERROR(INDEX(Кат!$I:$I,MATCH(Прайс!$B3636,Кат!$G:$G,0)),INDEX(Торг!$I:$I,MATCH(Прайс!$B3636,Торг!$H:$H,0))),"")</f>
        <v/>
      </c>
    </row>
    <row r="3637" spans="1:8" x14ac:dyDescent="0.25">
      <c r="A3637" s="99" t="s">
        <v>6448</v>
      </c>
      <c r="B3637" s="108">
        <v>29292</v>
      </c>
      <c r="C3637" s="108" t="s">
        <v>6449</v>
      </c>
      <c r="D3637" s="101" t="s">
        <v>166</v>
      </c>
      <c r="E3637" s="102">
        <v>80</v>
      </c>
      <c r="F3637" s="67" t="str">
        <f>IFERROR(IFERROR(INDEX(Кат!$A:$A,MATCH(Прайс!$B3637,Кат!$G:$G,0)),INDEX(Торг!$B:$B,MATCH(Прайс!$B3637,Торг!$H:$H,0))),"")</f>
        <v/>
      </c>
      <c r="G3637" s="67" t="str">
        <f>IFERROR(IFERROR(INDEX(Кат!$B:$B,MATCH(Прайс!$B3637,Кат!$G:$G,0)),INDEX(Торг!$C:$C,MATCH(Прайс!$B3637,Торг!$H:$H,0))),"")</f>
        <v/>
      </c>
      <c r="H3637" s="67" t="str">
        <f>IFERROR(IFERROR(INDEX(Кат!$I:$I,MATCH(Прайс!$B3637,Кат!$G:$G,0)),INDEX(Торг!$I:$I,MATCH(Прайс!$B3637,Торг!$H:$H,0))),"")</f>
        <v/>
      </c>
    </row>
    <row r="3638" spans="1:8" x14ac:dyDescent="0.25">
      <c r="A3638" s="99" t="s">
        <v>4713</v>
      </c>
      <c r="B3638" s="108">
        <v>29294</v>
      </c>
      <c r="C3638" s="108" t="s">
        <v>1965</v>
      </c>
      <c r="D3638" s="101" t="s">
        <v>166</v>
      </c>
      <c r="E3638" s="102">
        <v>85</v>
      </c>
      <c r="F3638" s="67" t="str">
        <f>IFERROR(IFERROR(INDEX(Кат!$A:$A,MATCH(Прайс!$B3638,Кат!$G:$G,0)),INDEX(Торг!$B:$B,MATCH(Прайс!$B3638,Торг!$H:$H,0))),"")</f>
        <v/>
      </c>
      <c r="G3638" s="67" t="str">
        <f>IFERROR(IFERROR(INDEX(Кат!$B:$B,MATCH(Прайс!$B3638,Кат!$G:$G,0)),INDEX(Торг!$C:$C,MATCH(Прайс!$B3638,Торг!$H:$H,0))),"")</f>
        <v/>
      </c>
      <c r="H3638" s="67" t="str">
        <f>IFERROR(IFERROR(INDEX(Кат!$I:$I,MATCH(Прайс!$B3638,Кат!$G:$G,0)),INDEX(Торг!$I:$I,MATCH(Прайс!$B3638,Торг!$H:$H,0))),"")</f>
        <v/>
      </c>
    </row>
    <row r="3639" spans="1:8" x14ac:dyDescent="0.25">
      <c r="A3639" s="99" t="s">
        <v>4714</v>
      </c>
      <c r="B3639" s="108">
        <v>29295</v>
      </c>
      <c r="C3639" s="108" t="s">
        <v>1966</v>
      </c>
      <c r="D3639" s="101" t="s">
        <v>166</v>
      </c>
      <c r="E3639" s="102">
        <v>85</v>
      </c>
      <c r="F3639" s="67" t="str">
        <f>IFERROR(IFERROR(INDEX(Кат!$A:$A,MATCH(Прайс!$B3639,Кат!$G:$G,0)),INDEX(Торг!$B:$B,MATCH(Прайс!$B3639,Торг!$H:$H,0))),"")</f>
        <v/>
      </c>
      <c r="G3639" s="67" t="str">
        <f>IFERROR(IFERROR(INDEX(Кат!$B:$B,MATCH(Прайс!$B3639,Кат!$G:$G,0)),INDEX(Торг!$C:$C,MATCH(Прайс!$B3639,Торг!$H:$H,0))),"")</f>
        <v/>
      </c>
      <c r="H3639" s="67" t="str">
        <f>IFERROR(IFERROR(INDEX(Кат!$I:$I,MATCH(Прайс!$B3639,Кат!$G:$G,0)),INDEX(Торг!$I:$I,MATCH(Прайс!$B3639,Торг!$H:$H,0))),"")</f>
        <v/>
      </c>
    </row>
    <row r="3640" spans="1:8" x14ac:dyDescent="0.25">
      <c r="A3640" s="99" t="s">
        <v>4715</v>
      </c>
      <c r="B3640" s="108">
        <v>29296</v>
      </c>
      <c r="C3640" s="108" t="s">
        <v>1967</v>
      </c>
      <c r="D3640" s="101" t="s">
        <v>166</v>
      </c>
      <c r="E3640" s="102">
        <v>90</v>
      </c>
      <c r="F3640" s="67" t="str">
        <f>IFERROR(IFERROR(INDEX(Кат!$A:$A,MATCH(Прайс!$B3640,Кат!$G:$G,0)),INDEX(Торг!$B:$B,MATCH(Прайс!$B3640,Торг!$H:$H,0))),"")</f>
        <v/>
      </c>
      <c r="G3640" s="67" t="str">
        <f>IFERROR(IFERROR(INDEX(Кат!$B:$B,MATCH(Прайс!$B3640,Кат!$G:$G,0)),INDEX(Торг!$C:$C,MATCH(Прайс!$B3640,Торг!$H:$H,0))),"")</f>
        <v/>
      </c>
      <c r="H3640" s="67" t="str">
        <f>IFERROR(IFERROR(INDEX(Кат!$I:$I,MATCH(Прайс!$B3640,Кат!$G:$G,0)),INDEX(Торг!$I:$I,MATCH(Прайс!$B3640,Торг!$H:$H,0))),"")</f>
        <v/>
      </c>
    </row>
    <row r="3641" spans="1:8" x14ac:dyDescent="0.25">
      <c r="A3641" s="99" t="s">
        <v>4716</v>
      </c>
      <c r="B3641" s="108">
        <v>29297</v>
      </c>
      <c r="C3641" s="108" t="s">
        <v>1968</v>
      </c>
      <c r="D3641" s="101" t="s">
        <v>166</v>
      </c>
      <c r="E3641" s="102">
        <v>90</v>
      </c>
      <c r="F3641" s="67" t="str">
        <f>IFERROR(IFERROR(INDEX(Кат!$A:$A,MATCH(Прайс!$B3641,Кат!$G:$G,0)),INDEX(Торг!$B:$B,MATCH(Прайс!$B3641,Торг!$H:$H,0))),"")</f>
        <v/>
      </c>
      <c r="G3641" s="67" t="str">
        <f>IFERROR(IFERROR(INDEX(Кат!$B:$B,MATCH(Прайс!$B3641,Кат!$G:$G,0)),INDEX(Торг!$C:$C,MATCH(Прайс!$B3641,Торг!$H:$H,0))),"")</f>
        <v/>
      </c>
      <c r="H3641" s="67" t="str">
        <f>IFERROR(IFERROR(INDEX(Кат!$I:$I,MATCH(Прайс!$B3641,Кат!$G:$G,0)),INDEX(Торг!$I:$I,MATCH(Прайс!$B3641,Торг!$H:$H,0))),"")</f>
        <v/>
      </c>
    </row>
    <row r="3642" spans="1:8" x14ac:dyDescent="0.25">
      <c r="A3642" s="99" t="s">
        <v>4717</v>
      </c>
      <c r="B3642" s="108">
        <v>29298</v>
      </c>
      <c r="C3642" s="108" t="s">
        <v>1969</v>
      </c>
      <c r="D3642" s="101" t="s">
        <v>166</v>
      </c>
      <c r="E3642" s="102">
        <v>95</v>
      </c>
      <c r="F3642" s="67" t="str">
        <f>IFERROR(IFERROR(INDEX(Кат!$A:$A,MATCH(Прайс!$B3642,Кат!$G:$G,0)),INDEX(Торг!$B:$B,MATCH(Прайс!$B3642,Торг!$H:$H,0))),"")</f>
        <v/>
      </c>
      <c r="G3642" s="67" t="str">
        <f>IFERROR(IFERROR(INDEX(Кат!$B:$B,MATCH(Прайс!$B3642,Кат!$G:$G,0)),INDEX(Торг!$C:$C,MATCH(Прайс!$B3642,Торг!$H:$H,0))),"")</f>
        <v/>
      </c>
      <c r="H3642" s="67" t="str">
        <f>IFERROR(IFERROR(INDEX(Кат!$I:$I,MATCH(Прайс!$B3642,Кат!$G:$G,0)),INDEX(Торг!$I:$I,MATCH(Прайс!$B3642,Торг!$H:$H,0))),"")</f>
        <v/>
      </c>
    </row>
    <row r="3643" spans="1:8" x14ac:dyDescent="0.25">
      <c r="A3643" s="99" t="s">
        <v>8331</v>
      </c>
      <c r="B3643" s="108">
        <v>29299</v>
      </c>
      <c r="C3643" s="108" t="s">
        <v>8332</v>
      </c>
      <c r="D3643" s="101" t="s">
        <v>166</v>
      </c>
      <c r="E3643" s="102">
        <v>100</v>
      </c>
      <c r="F3643" s="67" t="str">
        <f>IFERROR(IFERROR(INDEX(Кат!$A:$A,MATCH(Прайс!$B3643,Кат!$G:$G,0)),INDEX(Торг!$B:$B,MATCH(Прайс!$B3643,Торг!$H:$H,0))),"")</f>
        <v/>
      </c>
      <c r="G3643" s="67" t="str">
        <f>IFERROR(IFERROR(INDEX(Кат!$B:$B,MATCH(Прайс!$B3643,Кат!$G:$G,0)),INDEX(Торг!$C:$C,MATCH(Прайс!$B3643,Торг!$H:$H,0))),"")</f>
        <v/>
      </c>
      <c r="H3643" s="67" t="str">
        <f>IFERROR(IFERROR(INDEX(Кат!$I:$I,MATCH(Прайс!$B3643,Кат!$G:$G,0)),INDEX(Торг!$I:$I,MATCH(Прайс!$B3643,Торг!$H:$H,0))),"")</f>
        <v/>
      </c>
    </row>
    <row r="3644" spans="1:8" x14ac:dyDescent="0.25">
      <c r="A3644" s="99" t="s">
        <v>4718</v>
      </c>
      <c r="B3644" s="108">
        <v>29300</v>
      </c>
      <c r="C3644" s="108" t="s">
        <v>1970</v>
      </c>
      <c r="D3644" s="101" t="s">
        <v>166</v>
      </c>
      <c r="E3644" s="102">
        <v>105</v>
      </c>
      <c r="F3644" s="67" t="str">
        <f>IFERROR(IFERROR(INDEX(Кат!$A:$A,MATCH(Прайс!$B3644,Кат!$G:$G,0)),INDEX(Торг!$B:$B,MATCH(Прайс!$B3644,Торг!$H:$H,0))),"")</f>
        <v/>
      </c>
      <c r="G3644" s="67" t="str">
        <f>IFERROR(IFERROR(INDEX(Кат!$B:$B,MATCH(Прайс!$B3644,Кат!$G:$G,0)),INDEX(Торг!$C:$C,MATCH(Прайс!$B3644,Торг!$H:$H,0))),"")</f>
        <v/>
      </c>
      <c r="H3644" s="67" t="str">
        <f>IFERROR(IFERROR(INDEX(Кат!$I:$I,MATCH(Прайс!$B3644,Кат!$G:$G,0)),INDEX(Торг!$I:$I,MATCH(Прайс!$B3644,Торг!$H:$H,0))),"")</f>
        <v/>
      </c>
    </row>
    <row r="3645" spans="1:8" x14ac:dyDescent="0.25">
      <c r="A3645" s="99" t="s">
        <v>4719</v>
      </c>
      <c r="B3645" s="108">
        <v>29301</v>
      </c>
      <c r="C3645" s="108" t="s">
        <v>1971</v>
      </c>
      <c r="D3645" s="101" t="s">
        <v>166</v>
      </c>
      <c r="E3645" s="102">
        <v>110</v>
      </c>
      <c r="F3645" s="67" t="str">
        <f>IFERROR(IFERROR(INDEX(Кат!$A:$A,MATCH(Прайс!$B3645,Кат!$G:$G,0)),INDEX(Торг!$B:$B,MATCH(Прайс!$B3645,Торг!$H:$H,0))),"")</f>
        <v/>
      </c>
      <c r="G3645" s="67" t="str">
        <f>IFERROR(IFERROR(INDEX(Кат!$B:$B,MATCH(Прайс!$B3645,Кат!$G:$G,0)),INDEX(Торг!$C:$C,MATCH(Прайс!$B3645,Торг!$H:$H,0))),"")</f>
        <v/>
      </c>
      <c r="H3645" s="67" t="str">
        <f>IFERROR(IFERROR(INDEX(Кат!$I:$I,MATCH(Прайс!$B3645,Кат!$G:$G,0)),INDEX(Торг!$I:$I,MATCH(Прайс!$B3645,Торг!$H:$H,0))),"")</f>
        <v/>
      </c>
    </row>
    <row r="3646" spans="1:8" x14ac:dyDescent="0.25">
      <c r="A3646" s="99" t="s">
        <v>4720</v>
      </c>
      <c r="B3646" s="108">
        <v>29302</v>
      </c>
      <c r="C3646" s="108" t="s">
        <v>1972</v>
      </c>
      <c r="D3646" s="101" t="s">
        <v>166</v>
      </c>
      <c r="E3646" s="102">
        <v>110</v>
      </c>
      <c r="F3646" s="67" t="str">
        <f>IFERROR(IFERROR(INDEX(Кат!$A:$A,MATCH(Прайс!$B3646,Кат!$G:$G,0)),INDEX(Торг!$B:$B,MATCH(Прайс!$B3646,Торг!$H:$H,0))),"")</f>
        <v/>
      </c>
      <c r="G3646" s="67" t="str">
        <f>IFERROR(IFERROR(INDEX(Кат!$B:$B,MATCH(Прайс!$B3646,Кат!$G:$G,0)),INDEX(Торг!$C:$C,MATCH(Прайс!$B3646,Торг!$H:$H,0))),"")</f>
        <v/>
      </c>
      <c r="H3646" s="67" t="str">
        <f>IFERROR(IFERROR(INDEX(Кат!$I:$I,MATCH(Прайс!$B3646,Кат!$G:$G,0)),INDEX(Торг!$I:$I,MATCH(Прайс!$B3646,Торг!$H:$H,0))),"")</f>
        <v/>
      </c>
    </row>
    <row r="3647" spans="1:8" x14ac:dyDescent="0.25">
      <c r="A3647" s="99" t="s">
        <v>7942</v>
      </c>
      <c r="B3647" s="108">
        <v>29329</v>
      </c>
      <c r="C3647" s="108" t="s">
        <v>7943</v>
      </c>
      <c r="D3647" s="101" t="s">
        <v>166</v>
      </c>
      <c r="E3647" s="102">
        <v>120</v>
      </c>
      <c r="F3647" s="67" t="str">
        <f>IFERROR(IFERROR(INDEX(Кат!$A:$A,MATCH(Прайс!$B3647,Кат!$G:$G,0)),INDEX(Торг!$B:$B,MATCH(Прайс!$B3647,Торг!$H:$H,0))),"")</f>
        <v/>
      </c>
      <c r="G3647" s="67" t="str">
        <f>IFERROR(IFERROR(INDEX(Кат!$B:$B,MATCH(Прайс!$B3647,Кат!$G:$G,0)),INDEX(Торг!$C:$C,MATCH(Прайс!$B3647,Торг!$H:$H,0))),"")</f>
        <v/>
      </c>
      <c r="H3647" s="67" t="str">
        <f>IFERROR(IFERROR(INDEX(Кат!$I:$I,MATCH(Прайс!$B3647,Кат!$G:$G,0)),INDEX(Торг!$I:$I,MATCH(Прайс!$B3647,Торг!$H:$H,0))),"")</f>
        <v/>
      </c>
    </row>
    <row r="3648" spans="1:8" x14ac:dyDescent="0.25">
      <c r="A3648" s="103" t="s">
        <v>4721</v>
      </c>
      <c r="B3648" s="104">
        <v>29244</v>
      </c>
      <c r="C3648" s="104" t="s">
        <v>1973</v>
      </c>
      <c r="D3648" s="105" t="s">
        <v>159</v>
      </c>
      <c r="E3648" s="113">
        <v>61</v>
      </c>
      <c r="F3648" s="67" t="str">
        <f>IFERROR(IFERROR(INDEX(Кат!$A:$A,MATCH(Прайс!$B3648,Кат!$G:$G,0)),INDEX(Торг!$B:$B,MATCH(Прайс!$B3648,Торг!$H:$H,0))),"")</f>
        <v/>
      </c>
      <c r="G3648" s="67" t="str">
        <f>IFERROR(IFERROR(INDEX(Кат!$B:$B,MATCH(Прайс!$B3648,Кат!$G:$G,0)),INDEX(Торг!$C:$C,MATCH(Прайс!$B3648,Торг!$H:$H,0))),"")</f>
        <v/>
      </c>
      <c r="H3648" s="67" t="str">
        <f>IFERROR(IFERROR(INDEX(Кат!$I:$I,MATCH(Прайс!$B3648,Кат!$G:$G,0)),INDEX(Торг!$I:$I,MATCH(Прайс!$B3648,Торг!$H:$H,0))),"")</f>
        <v/>
      </c>
    </row>
    <row r="3649" spans="1:8" x14ac:dyDescent="0.25">
      <c r="A3649" s="103" t="s">
        <v>4722</v>
      </c>
      <c r="B3649" s="104">
        <v>29245</v>
      </c>
      <c r="C3649" s="104" t="s">
        <v>1974</v>
      </c>
      <c r="D3649" s="105" t="s">
        <v>159</v>
      </c>
      <c r="E3649" s="113">
        <v>61</v>
      </c>
      <c r="F3649" s="67" t="str">
        <f>IFERROR(IFERROR(INDEX(Кат!$A:$A,MATCH(Прайс!$B3649,Кат!$G:$G,0)),INDEX(Торг!$B:$B,MATCH(Прайс!$B3649,Торг!$H:$H,0))),"")</f>
        <v/>
      </c>
      <c r="G3649" s="67" t="str">
        <f>IFERROR(IFERROR(INDEX(Кат!$B:$B,MATCH(Прайс!$B3649,Кат!$G:$G,0)),INDEX(Торг!$C:$C,MATCH(Прайс!$B3649,Торг!$H:$H,0))),"")</f>
        <v/>
      </c>
      <c r="H3649" s="67" t="str">
        <f>IFERROR(IFERROR(INDEX(Кат!$I:$I,MATCH(Прайс!$B3649,Кат!$G:$G,0)),INDEX(Торг!$I:$I,MATCH(Прайс!$B3649,Торг!$H:$H,0))),"")</f>
        <v/>
      </c>
    </row>
    <row r="3650" spans="1:8" x14ac:dyDescent="0.25">
      <c r="A3650" s="99" t="s">
        <v>4723</v>
      </c>
      <c r="B3650" s="108">
        <v>29192</v>
      </c>
      <c r="C3650" s="108" t="s">
        <v>4724</v>
      </c>
      <c r="D3650" s="101" t="s">
        <v>190</v>
      </c>
      <c r="E3650" s="102">
        <v>90</v>
      </c>
      <c r="F3650" s="67" t="str">
        <f>IFERROR(IFERROR(INDEX(Кат!$A:$A,MATCH(Прайс!$B3650,Кат!$G:$G,0)),INDEX(Торг!$B:$B,MATCH(Прайс!$B3650,Торг!$H:$H,0))),"")</f>
        <v/>
      </c>
      <c r="G3650" s="67" t="str">
        <f>IFERROR(IFERROR(INDEX(Кат!$B:$B,MATCH(Прайс!$B3650,Кат!$G:$G,0)),INDEX(Торг!$C:$C,MATCH(Прайс!$B3650,Торг!$H:$H,0))),"")</f>
        <v/>
      </c>
      <c r="H3650" s="67" t="str">
        <f>IFERROR(IFERROR(INDEX(Кат!$I:$I,MATCH(Прайс!$B3650,Кат!$G:$G,0)),INDEX(Торг!$I:$I,MATCH(Прайс!$B3650,Торг!$H:$H,0))),"")</f>
        <v/>
      </c>
    </row>
    <row r="3651" spans="1:8" x14ac:dyDescent="0.25">
      <c r="A3651" s="99" t="s">
        <v>4725</v>
      </c>
      <c r="B3651" s="108">
        <v>29193</v>
      </c>
      <c r="C3651" s="108" t="s">
        <v>1975</v>
      </c>
      <c r="D3651" s="101" t="s">
        <v>159</v>
      </c>
      <c r="E3651" s="102">
        <v>150</v>
      </c>
      <c r="F3651" s="67" t="str">
        <f>IFERROR(IFERROR(INDEX(Кат!$A:$A,MATCH(Прайс!$B3651,Кат!$G:$G,0)),INDEX(Торг!$B:$B,MATCH(Прайс!$B3651,Торг!$H:$H,0))),"")</f>
        <v/>
      </c>
      <c r="G3651" s="67" t="str">
        <f>IFERROR(IFERROR(INDEX(Кат!$B:$B,MATCH(Прайс!$B3651,Кат!$G:$G,0)),INDEX(Торг!$C:$C,MATCH(Прайс!$B3651,Торг!$H:$H,0))),"")</f>
        <v/>
      </c>
      <c r="H3651" s="67" t="str">
        <f>IFERROR(IFERROR(INDEX(Кат!$I:$I,MATCH(Прайс!$B3651,Кат!$G:$G,0)),INDEX(Торг!$I:$I,MATCH(Прайс!$B3651,Торг!$H:$H,0))),"")</f>
        <v/>
      </c>
    </row>
    <row r="3652" spans="1:8" x14ac:dyDescent="0.25">
      <c r="A3652" s="99" t="s">
        <v>4726</v>
      </c>
      <c r="B3652" s="108">
        <v>29194</v>
      </c>
      <c r="C3652" s="108" t="s">
        <v>1976</v>
      </c>
      <c r="D3652" s="101" t="s">
        <v>159</v>
      </c>
      <c r="E3652" s="102">
        <v>150</v>
      </c>
      <c r="F3652" s="67" t="str">
        <f>IFERROR(IFERROR(INDEX(Кат!$A:$A,MATCH(Прайс!$B3652,Кат!$G:$G,0)),INDEX(Торг!$B:$B,MATCH(Прайс!$B3652,Торг!$H:$H,0))),"")</f>
        <v/>
      </c>
      <c r="G3652" s="67" t="str">
        <f>IFERROR(IFERROR(INDEX(Кат!$B:$B,MATCH(Прайс!$B3652,Кат!$G:$G,0)),INDEX(Торг!$C:$C,MATCH(Прайс!$B3652,Торг!$H:$H,0))),"")</f>
        <v/>
      </c>
      <c r="H3652" s="67" t="str">
        <f>IFERROR(IFERROR(INDEX(Кат!$I:$I,MATCH(Прайс!$B3652,Кат!$G:$G,0)),INDEX(Торг!$I:$I,MATCH(Прайс!$B3652,Торг!$H:$H,0))),"")</f>
        <v/>
      </c>
    </row>
    <row r="3653" spans="1:8" ht="15.75" x14ac:dyDescent="0.25">
      <c r="A3653" s="87"/>
      <c r="B3653" s="88"/>
      <c r="C3653" s="88" t="s">
        <v>1977</v>
      </c>
      <c r="D3653" s="88"/>
      <c r="E3653" s="89"/>
      <c r="F3653" s="67" t="str">
        <f>IFERROR(IFERROR(INDEX(Кат!$A:$A,MATCH(Прайс!$B3653,Кат!$G:$G,0)),INDEX(Торг!$B:$B,MATCH(Прайс!$B3653,Торг!$H:$H,0))),"")</f>
        <v/>
      </c>
      <c r="G3653" s="67" t="str">
        <f>IFERROR(IFERROR(INDEX(Кат!$B:$B,MATCH(Прайс!$B3653,Кат!$G:$G,0)),INDEX(Торг!$C:$C,MATCH(Прайс!$B3653,Торг!$H:$H,0))),"")</f>
        <v/>
      </c>
      <c r="H3653" s="67" t="str">
        <f>IFERROR(IFERROR(INDEX(Кат!$I:$I,MATCH(Прайс!$B3653,Кат!$G:$G,0)),INDEX(Торг!$I:$I,MATCH(Прайс!$B3653,Торг!$H:$H,0))),"")</f>
        <v/>
      </c>
    </row>
    <row r="3654" spans="1:8" ht="15.75" x14ac:dyDescent="0.25">
      <c r="A3654" s="90"/>
      <c r="B3654" s="91"/>
      <c r="C3654" s="92" t="s">
        <v>1978</v>
      </c>
      <c r="D3654" s="91"/>
      <c r="E3654" s="93"/>
      <c r="F3654" s="67" t="str">
        <f>IFERROR(IFERROR(INDEX(Кат!$A:$A,MATCH(Прайс!$B3654,Кат!$G:$G,0)),INDEX(Торг!$B:$B,MATCH(Прайс!$B3654,Торг!$H:$H,0))),"")</f>
        <v/>
      </c>
      <c r="G3654" s="67" t="str">
        <f>IFERROR(IFERROR(INDEX(Кат!$B:$B,MATCH(Прайс!$B3654,Кат!$G:$G,0)),INDEX(Торг!$C:$C,MATCH(Прайс!$B3654,Торг!$H:$H,0))),"")</f>
        <v/>
      </c>
      <c r="H3654" s="67" t="str">
        <f>IFERROR(IFERROR(INDEX(Кат!$I:$I,MATCH(Прайс!$B3654,Кат!$G:$G,0)),INDEX(Торг!$I:$I,MATCH(Прайс!$B3654,Торг!$H:$H,0))),"")</f>
        <v/>
      </c>
    </row>
    <row r="3655" spans="1:8" x14ac:dyDescent="0.25">
      <c r="A3655" s="99" t="s">
        <v>6450</v>
      </c>
      <c r="B3655" s="108">
        <v>31001</v>
      </c>
      <c r="C3655" s="108" t="s">
        <v>6451</v>
      </c>
      <c r="D3655" s="101" t="s">
        <v>176</v>
      </c>
      <c r="E3655" s="102">
        <v>700</v>
      </c>
      <c r="F3655" s="67" t="str">
        <f>IFERROR(IFERROR(INDEX(Кат!$A:$A,MATCH(Прайс!$B3655,Кат!$G:$G,0)),INDEX(Торг!$B:$B,MATCH(Прайс!$B3655,Торг!$H:$H,0))),"")</f>
        <v/>
      </c>
      <c r="G3655" s="67" t="str">
        <f>IFERROR(IFERROR(INDEX(Кат!$B:$B,MATCH(Прайс!$B3655,Кат!$G:$G,0)),INDEX(Торг!$C:$C,MATCH(Прайс!$B3655,Торг!$H:$H,0))),"")</f>
        <v/>
      </c>
      <c r="H3655" s="67" t="str">
        <f>IFERROR(IFERROR(INDEX(Кат!$I:$I,MATCH(Прайс!$B3655,Кат!$G:$G,0)),INDEX(Торг!$I:$I,MATCH(Прайс!$B3655,Торг!$H:$H,0))),"")</f>
        <v/>
      </c>
    </row>
    <row r="3656" spans="1:8" x14ac:dyDescent="0.25">
      <c r="A3656" s="103" t="s">
        <v>4727</v>
      </c>
      <c r="B3656" s="104">
        <v>31007</v>
      </c>
      <c r="C3656" s="104" t="s">
        <v>6452</v>
      </c>
      <c r="D3656" s="105" t="s">
        <v>177</v>
      </c>
      <c r="E3656" s="113">
        <v>600</v>
      </c>
      <c r="F3656" s="67">
        <f>IFERROR(IFERROR(INDEX(Кат!$A:$A,MATCH(Прайс!$B3656,Кат!$G:$G,0)),INDEX(Торг!$B:$B,MATCH(Прайс!$B3656,Торг!$H:$H,0))),"")</f>
        <v>226609</v>
      </c>
      <c r="G3656" s="67">
        <f>IFERROR(IFERROR(INDEX(Кат!$B:$B,MATCH(Прайс!$B3656,Кат!$G:$G,0)),INDEX(Торг!$C:$C,MATCH(Прайс!$B3656,Торг!$H:$H,0))),"")</f>
        <v>8960</v>
      </c>
      <c r="H3656" s="67" t="str">
        <f>IFERROR(IFERROR(INDEX(Кат!$I:$I,MATCH(Прайс!$B3656,Кат!$G:$G,0)),INDEX(Торг!$I:$I,MATCH(Прайс!$B3656,Торг!$H:$H,0))),"")</f>
        <v>кристал авто</v>
      </c>
    </row>
    <row r="3657" spans="1:8" x14ac:dyDescent="0.25">
      <c r="A3657" s="103" t="s">
        <v>6012</v>
      </c>
      <c r="B3657" s="104">
        <v>31003</v>
      </c>
      <c r="C3657" s="104" t="s">
        <v>6013</v>
      </c>
      <c r="D3657" s="105" t="s">
        <v>177</v>
      </c>
      <c r="E3657" s="113">
        <v>550</v>
      </c>
      <c r="F3657" s="67">
        <f>IFERROR(IFERROR(INDEX(Кат!$A:$A,MATCH(Прайс!$B3657,Кат!$G:$G,0)),INDEX(Торг!$B:$B,MATCH(Прайс!$B3657,Торг!$H:$H,0))),"")</f>
        <v>226610</v>
      </c>
      <c r="G3657" s="67">
        <f>IFERROR(IFERROR(INDEX(Кат!$B:$B,MATCH(Прайс!$B3657,Кат!$G:$G,0)),INDEX(Торг!$C:$C,MATCH(Прайс!$B3657,Торг!$H:$H,0))),"")</f>
        <v>8975</v>
      </c>
      <c r="H3657" s="67" t="str">
        <f>IFERROR(IFERROR(INDEX(Кат!$I:$I,MATCH(Прайс!$B3657,Кат!$G:$G,0)),INDEX(Торг!$I:$I,MATCH(Прайс!$B3657,Торг!$H:$H,0))),"")</f>
        <v>кристал авто</v>
      </c>
    </row>
    <row r="3658" spans="1:8" x14ac:dyDescent="0.25">
      <c r="A3658" s="99" t="s">
        <v>4728</v>
      </c>
      <c r="B3658" s="108">
        <v>31013</v>
      </c>
      <c r="C3658" s="108" t="s">
        <v>1979</v>
      </c>
      <c r="D3658" s="101" t="s">
        <v>480</v>
      </c>
      <c r="E3658" s="102">
        <v>500</v>
      </c>
      <c r="F3658" s="67">
        <f>IFERROR(IFERROR(INDEX(Кат!$A:$A,MATCH(Прайс!$B3658,Кат!$G:$G,0)),INDEX(Торг!$B:$B,MATCH(Прайс!$B3658,Торг!$H:$H,0))),"")</f>
        <v>226608</v>
      </c>
      <c r="G3658" s="67">
        <f>IFERROR(IFERROR(INDEX(Кат!$B:$B,MATCH(Прайс!$B3658,Кат!$G:$G,0)),INDEX(Торг!$C:$C,MATCH(Прайс!$B3658,Торг!$H:$H,0))),"")</f>
        <v>9023</v>
      </c>
      <c r="H3658" s="67" t="str">
        <f>IFERROR(IFERROR(INDEX(Кат!$I:$I,MATCH(Прайс!$B3658,Кат!$G:$G,0)),INDEX(Торг!$I:$I,MATCH(Прайс!$B3658,Торг!$H:$H,0))),"")</f>
        <v>кристал авто</v>
      </c>
    </row>
    <row r="3659" spans="1:8" x14ac:dyDescent="0.25">
      <c r="A3659" s="103" t="s">
        <v>4729</v>
      </c>
      <c r="B3659" s="104">
        <v>31011</v>
      </c>
      <c r="C3659" s="104" t="s">
        <v>1980</v>
      </c>
      <c r="D3659" s="105" t="s">
        <v>582</v>
      </c>
      <c r="E3659" s="113">
        <v>650</v>
      </c>
      <c r="F3659" s="67" t="str">
        <f>IFERROR(IFERROR(INDEX(Кат!$A:$A,MATCH(Прайс!$B3659,Кат!$G:$G,0)),INDEX(Торг!$B:$B,MATCH(Прайс!$B3659,Торг!$H:$H,0))),"")</f>
        <v/>
      </c>
      <c r="G3659" s="67" t="str">
        <f>IFERROR(IFERROR(INDEX(Кат!$B:$B,MATCH(Прайс!$B3659,Кат!$G:$G,0)),INDEX(Торг!$C:$C,MATCH(Прайс!$B3659,Торг!$H:$H,0))),"")</f>
        <v/>
      </c>
      <c r="H3659" s="67" t="str">
        <f>IFERROR(IFERROR(INDEX(Кат!$I:$I,MATCH(Прайс!$B3659,Кат!$G:$G,0)),INDEX(Торг!$I:$I,MATCH(Прайс!$B3659,Торг!$H:$H,0))),"")</f>
        <v/>
      </c>
    </row>
    <row r="3660" spans="1:8" x14ac:dyDescent="0.25">
      <c r="A3660" s="99" t="s">
        <v>4730</v>
      </c>
      <c r="B3660" s="108">
        <v>31010</v>
      </c>
      <c r="C3660" s="108" t="s">
        <v>1981</v>
      </c>
      <c r="D3660" s="101" t="s">
        <v>582</v>
      </c>
      <c r="E3660" s="102">
        <v>650</v>
      </c>
      <c r="F3660" s="67" t="str">
        <f>IFERROR(IFERROR(INDEX(Кат!$A:$A,MATCH(Прайс!$B3660,Кат!$G:$G,0)),INDEX(Торг!$B:$B,MATCH(Прайс!$B3660,Торг!$H:$H,0))),"")</f>
        <v/>
      </c>
      <c r="G3660" s="67" t="str">
        <f>IFERROR(IFERROR(INDEX(Кат!$B:$B,MATCH(Прайс!$B3660,Кат!$G:$G,0)),INDEX(Торг!$C:$C,MATCH(Прайс!$B3660,Торг!$H:$H,0))),"")</f>
        <v/>
      </c>
      <c r="H3660" s="67" t="str">
        <f>IFERROR(IFERROR(INDEX(Кат!$I:$I,MATCH(Прайс!$B3660,Кат!$G:$G,0)),INDEX(Торг!$I:$I,MATCH(Прайс!$B3660,Торг!$H:$H,0))),"")</f>
        <v/>
      </c>
    </row>
    <row r="3661" spans="1:8" x14ac:dyDescent="0.25">
      <c r="A3661" s="103" t="s">
        <v>4731</v>
      </c>
      <c r="B3661" s="104">
        <v>31012</v>
      </c>
      <c r="C3661" s="104" t="s">
        <v>1982</v>
      </c>
      <c r="D3661" s="105" t="s">
        <v>582</v>
      </c>
      <c r="E3661" s="113">
        <v>450</v>
      </c>
      <c r="F3661" s="67" t="str">
        <f>IFERROR(IFERROR(INDEX(Кат!$A:$A,MATCH(Прайс!$B3661,Кат!$G:$G,0)),INDEX(Торг!$B:$B,MATCH(Прайс!$B3661,Торг!$H:$H,0))),"")</f>
        <v/>
      </c>
      <c r="G3661" s="67" t="str">
        <f>IFERROR(IFERROR(INDEX(Кат!$B:$B,MATCH(Прайс!$B3661,Кат!$G:$G,0)),INDEX(Торг!$C:$C,MATCH(Прайс!$B3661,Торг!$H:$H,0))),"")</f>
        <v/>
      </c>
      <c r="H3661" s="67" t="str">
        <f>IFERROR(IFERROR(INDEX(Кат!$I:$I,MATCH(Прайс!$B3661,Кат!$G:$G,0)),INDEX(Торг!$I:$I,MATCH(Прайс!$B3661,Торг!$H:$H,0))),"")</f>
        <v/>
      </c>
    </row>
    <row r="3662" spans="1:8" x14ac:dyDescent="0.25">
      <c r="A3662" s="103" t="s">
        <v>7944</v>
      </c>
      <c r="B3662" s="104">
        <v>31009</v>
      </c>
      <c r="C3662" s="104" t="s">
        <v>7945</v>
      </c>
      <c r="D3662" s="105" t="s">
        <v>176</v>
      </c>
      <c r="E3662" s="113">
        <v>750</v>
      </c>
      <c r="F3662" s="67" t="str">
        <f>IFERROR(IFERROR(INDEX(Кат!$A:$A,MATCH(Прайс!$B3662,Кат!$G:$G,0)),INDEX(Торг!$B:$B,MATCH(Прайс!$B3662,Торг!$H:$H,0))),"")</f>
        <v/>
      </c>
      <c r="G3662" s="67" t="str">
        <f>IFERROR(IFERROR(INDEX(Кат!$B:$B,MATCH(Прайс!$B3662,Кат!$G:$G,0)),INDEX(Торг!$C:$C,MATCH(Прайс!$B3662,Торг!$H:$H,0))),"")</f>
        <v/>
      </c>
      <c r="H3662" s="67" t="str">
        <f>IFERROR(IFERROR(INDEX(Кат!$I:$I,MATCH(Прайс!$B3662,Кат!$G:$G,0)),INDEX(Торг!$I:$I,MATCH(Прайс!$B3662,Торг!$H:$H,0))),"")</f>
        <v/>
      </c>
    </row>
    <row r="3663" spans="1:8" x14ac:dyDescent="0.25">
      <c r="A3663" s="99" t="s">
        <v>4732</v>
      </c>
      <c r="B3663" s="108">
        <v>31008</v>
      </c>
      <c r="C3663" s="108" t="s">
        <v>1983</v>
      </c>
      <c r="D3663" s="101" t="s">
        <v>480</v>
      </c>
      <c r="E3663" s="102">
        <v>900</v>
      </c>
      <c r="F3663" s="67" t="str">
        <f>IFERROR(IFERROR(INDEX(Кат!$A:$A,MATCH(Прайс!$B3663,Кат!$G:$G,0)),INDEX(Торг!$B:$B,MATCH(Прайс!$B3663,Торг!$H:$H,0))),"")</f>
        <v/>
      </c>
      <c r="G3663" s="67" t="str">
        <f>IFERROR(IFERROR(INDEX(Кат!$B:$B,MATCH(Прайс!$B3663,Кат!$G:$G,0)),INDEX(Торг!$C:$C,MATCH(Прайс!$B3663,Торг!$H:$H,0))),"")</f>
        <v/>
      </c>
      <c r="H3663" s="67" t="str">
        <f>IFERROR(IFERROR(INDEX(Кат!$I:$I,MATCH(Прайс!$B3663,Кат!$G:$G,0)),INDEX(Торг!$I:$I,MATCH(Прайс!$B3663,Торг!$H:$H,0))),"")</f>
        <v/>
      </c>
    </row>
    <row r="3664" spans="1:8" ht="15.75" x14ac:dyDescent="0.25">
      <c r="A3664" s="87"/>
      <c r="B3664" s="88"/>
      <c r="C3664" s="88" t="s">
        <v>1984</v>
      </c>
      <c r="D3664" s="88"/>
      <c r="E3664" s="89"/>
      <c r="F3664" s="67" t="str">
        <f>IFERROR(IFERROR(INDEX(Кат!$A:$A,MATCH(Прайс!$B3664,Кат!$G:$G,0)),INDEX(Торг!$B:$B,MATCH(Прайс!$B3664,Торг!$H:$H,0))),"")</f>
        <v/>
      </c>
      <c r="G3664" s="67" t="str">
        <f>IFERROR(IFERROR(INDEX(Кат!$B:$B,MATCH(Прайс!$B3664,Кат!$G:$G,0)),INDEX(Торг!$C:$C,MATCH(Прайс!$B3664,Торг!$H:$H,0))),"")</f>
        <v/>
      </c>
      <c r="H3664" s="67" t="str">
        <f>IFERROR(IFERROR(INDEX(Кат!$I:$I,MATCH(Прайс!$B3664,Кат!$G:$G,0)),INDEX(Торг!$I:$I,MATCH(Прайс!$B3664,Торг!$H:$H,0))),"")</f>
        <v/>
      </c>
    </row>
    <row r="3665" spans="1:8" ht="15.75" x14ac:dyDescent="0.25">
      <c r="A3665" s="90"/>
      <c r="B3665" s="91"/>
      <c r="C3665" s="92" t="s">
        <v>1985</v>
      </c>
      <c r="D3665" s="91"/>
      <c r="E3665" s="93"/>
      <c r="F3665" s="67" t="str">
        <f>IFERROR(IFERROR(INDEX(Кат!$A:$A,MATCH(Прайс!$B3665,Кат!$G:$G,0)),INDEX(Торг!$B:$B,MATCH(Прайс!$B3665,Торг!$H:$H,0))),"")</f>
        <v/>
      </c>
      <c r="G3665" s="67" t="str">
        <f>IFERROR(IFERROR(INDEX(Кат!$B:$B,MATCH(Прайс!$B3665,Кат!$G:$G,0)),INDEX(Торг!$C:$C,MATCH(Прайс!$B3665,Торг!$H:$H,0))),"")</f>
        <v/>
      </c>
      <c r="H3665" s="67" t="str">
        <f>IFERROR(IFERROR(INDEX(Кат!$I:$I,MATCH(Прайс!$B3665,Кат!$G:$G,0)),INDEX(Торг!$I:$I,MATCH(Прайс!$B3665,Торг!$H:$H,0))),"")</f>
        <v/>
      </c>
    </row>
    <row r="3666" spans="1:8" x14ac:dyDescent="0.25">
      <c r="A3666" s="103" t="s">
        <v>4733</v>
      </c>
      <c r="B3666" s="104">
        <v>32311</v>
      </c>
      <c r="C3666" s="104" t="s">
        <v>1986</v>
      </c>
      <c r="D3666" s="105" t="s">
        <v>284</v>
      </c>
      <c r="E3666" s="113">
        <v>70</v>
      </c>
      <c r="F3666" s="67" t="str">
        <f>IFERROR(IFERROR(INDEX(Кат!$A:$A,MATCH(Прайс!$B3666,Кат!$G:$G,0)),INDEX(Торг!$B:$B,MATCH(Прайс!$B3666,Торг!$H:$H,0))),"")</f>
        <v/>
      </c>
      <c r="G3666" s="67" t="str">
        <f>IFERROR(IFERROR(INDEX(Кат!$B:$B,MATCH(Прайс!$B3666,Кат!$G:$G,0)),INDEX(Торг!$C:$C,MATCH(Прайс!$B3666,Торг!$H:$H,0))),"")</f>
        <v/>
      </c>
      <c r="H3666" s="67" t="str">
        <f>IFERROR(IFERROR(INDEX(Кат!$I:$I,MATCH(Прайс!$B3666,Кат!$G:$G,0)),INDEX(Торг!$I:$I,MATCH(Прайс!$B3666,Торг!$H:$H,0))),"")</f>
        <v/>
      </c>
    </row>
    <row r="3667" spans="1:8" x14ac:dyDescent="0.25">
      <c r="A3667" s="103" t="s">
        <v>4734</v>
      </c>
      <c r="B3667" s="104">
        <v>32312</v>
      </c>
      <c r="C3667" s="104" t="s">
        <v>1987</v>
      </c>
      <c r="D3667" s="105" t="s">
        <v>284</v>
      </c>
      <c r="E3667" s="113">
        <v>70</v>
      </c>
      <c r="F3667" s="67" t="str">
        <f>IFERROR(IFERROR(INDEX(Кат!$A:$A,MATCH(Прайс!$B3667,Кат!$G:$G,0)),INDEX(Торг!$B:$B,MATCH(Прайс!$B3667,Торг!$H:$H,0))),"")</f>
        <v/>
      </c>
      <c r="G3667" s="67" t="str">
        <f>IFERROR(IFERROR(INDEX(Кат!$B:$B,MATCH(Прайс!$B3667,Кат!$G:$G,0)),INDEX(Торг!$C:$C,MATCH(Прайс!$B3667,Торг!$H:$H,0))),"")</f>
        <v/>
      </c>
      <c r="H3667" s="67" t="str">
        <f>IFERROR(IFERROR(INDEX(Кат!$I:$I,MATCH(Прайс!$B3667,Кат!$G:$G,0)),INDEX(Торг!$I:$I,MATCH(Прайс!$B3667,Торг!$H:$H,0))),"")</f>
        <v/>
      </c>
    </row>
    <row r="3668" spans="1:8" x14ac:dyDescent="0.25">
      <c r="A3668" s="103" t="s">
        <v>4735</v>
      </c>
      <c r="B3668" s="104">
        <v>32309</v>
      </c>
      <c r="C3668" s="104" t="s">
        <v>1988</v>
      </c>
      <c r="D3668" s="105" t="s">
        <v>284</v>
      </c>
      <c r="E3668" s="113">
        <v>70</v>
      </c>
      <c r="F3668" s="67" t="str">
        <f>IFERROR(IFERROR(INDEX(Кат!$A:$A,MATCH(Прайс!$B3668,Кат!$G:$G,0)),INDEX(Торг!$B:$B,MATCH(Прайс!$B3668,Торг!$H:$H,0))),"")</f>
        <v/>
      </c>
      <c r="G3668" s="67" t="str">
        <f>IFERROR(IFERROR(INDEX(Кат!$B:$B,MATCH(Прайс!$B3668,Кат!$G:$G,0)),INDEX(Торг!$C:$C,MATCH(Прайс!$B3668,Торг!$H:$H,0))),"")</f>
        <v/>
      </c>
      <c r="H3668" s="67" t="str">
        <f>IFERROR(IFERROR(INDEX(Кат!$I:$I,MATCH(Прайс!$B3668,Кат!$G:$G,0)),INDEX(Торг!$I:$I,MATCH(Прайс!$B3668,Торг!$H:$H,0))),"")</f>
        <v/>
      </c>
    </row>
    <row r="3669" spans="1:8" x14ac:dyDescent="0.25">
      <c r="A3669" s="103" t="s">
        <v>4736</v>
      </c>
      <c r="B3669" s="104">
        <v>32310</v>
      </c>
      <c r="C3669" s="104" t="s">
        <v>1989</v>
      </c>
      <c r="D3669" s="105" t="s">
        <v>284</v>
      </c>
      <c r="E3669" s="113">
        <v>70</v>
      </c>
      <c r="F3669" s="67" t="str">
        <f>IFERROR(IFERROR(INDEX(Кат!$A:$A,MATCH(Прайс!$B3669,Кат!$G:$G,0)),INDEX(Торг!$B:$B,MATCH(Прайс!$B3669,Торг!$H:$H,0))),"")</f>
        <v/>
      </c>
      <c r="G3669" s="67" t="str">
        <f>IFERROR(IFERROR(INDEX(Кат!$B:$B,MATCH(Прайс!$B3669,Кат!$G:$G,0)),INDEX(Торг!$C:$C,MATCH(Прайс!$B3669,Торг!$H:$H,0))),"")</f>
        <v/>
      </c>
      <c r="H3669" s="67" t="str">
        <f>IFERROR(IFERROR(INDEX(Кат!$I:$I,MATCH(Прайс!$B3669,Кат!$G:$G,0)),INDEX(Торг!$I:$I,MATCH(Прайс!$B3669,Торг!$H:$H,0))),"")</f>
        <v/>
      </c>
    </row>
    <row r="3670" spans="1:8" x14ac:dyDescent="0.25">
      <c r="A3670" s="94" t="s">
        <v>8518</v>
      </c>
      <c r="B3670" s="98">
        <v>32003</v>
      </c>
      <c r="C3670" s="98" t="s">
        <v>8519</v>
      </c>
      <c r="D3670" s="96" t="s">
        <v>375</v>
      </c>
      <c r="E3670" s="97">
        <v>15</v>
      </c>
      <c r="F3670" s="67" t="str">
        <f>IFERROR(IFERROR(INDEX(Кат!$A:$A,MATCH(Прайс!$B3670,Кат!$G:$G,0)),INDEX(Торг!$B:$B,MATCH(Прайс!$B3670,Торг!$H:$H,0))),"")</f>
        <v/>
      </c>
      <c r="G3670" s="67" t="str">
        <f>IFERROR(IFERROR(INDEX(Кат!$B:$B,MATCH(Прайс!$B3670,Кат!$G:$G,0)),INDEX(Торг!$C:$C,MATCH(Прайс!$B3670,Торг!$H:$H,0))),"")</f>
        <v/>
      </c>
      <c r="H3670" s="67" t="str">
        <f>IFERROR(IFERROR(INDEX(Кат!$I:$I,MATCH(Прайс!$B3670,Кат!$G:$G,0)),INDEX(Торг!$I:$I,MATCH(Прайс!$B3670,Торг!$H:$H,0))),"")</f>
        <v/>
      </c>
    </row>
    <row r="3671" spans="1:8" x14ac:dyDescent="0.25">
      <c r="A3671" s="94" t="s">
        <v>4965</v>
      </c>
      <c r="B3671" s="98">
        <v>32004</v>
      </c>
      <c r="C3671" s="98" t="s">
        <v>4966</v>
      </c>
      <c r="D3671" s="96" t="s">
        <v>4967</v>
      </c>
      <c r="E3671" s="97">
        <v>17</v>
      </c>
      <c r="F3671" s="67" t="str">
        <f>IFERROR(IFERROR(INDEX(Кат!$A:$A,MATCH(Прайс!$B3671,Кат!$G:$G,0)),INDEX(Торг!$B:$B,MATCH(Прайс!$B3671,Торг!$H:$H,0))),"")</f>
        <v/>
      </c>
      <c r="G3671" s="67" t="str">
        <f>IFERROR(IFERROR(INDEX(Кат!$B:$B,MATCH(Прайс!$B3671,Кат!$G:$G,0)),INDEX(Торг!$C:$C,MATCH(Прайс!$B3671,Торг!$H:$H,0))),"")</f>
        <v/>
      </c>
      <c r="H3671" s="67" t="str">
        <f>IFERROR(IFERROR(INDEX(Кат!$I:$I,MATCH(Прайс!$B3671,Кат!$G:$G,0)),INDEX(Торг!$I:$I,MATCH(Прайс!$B3671,Торг!$H:$H,0))),"")</f>
        <v/>
      </c>
    </row>
    <row r="3672" spans="1:8" ht="15.75" x14ac:dyDescent="0.25">
      <c r="A3672" s="90"/>
      <c r="B3672" s="91"/>
      <c r="C3672" s="92" t="s">
        <v>7302</v>
      </c>
      <c r="D3672" s="91"/>
      <c r="E3672" s="93"/>
      <c r="F3672" s="67" t="str">
        <f>IFERROR(IFERROR(INDEX(Кат!$A:$A,MATCH(Прайс!$B3672,Кат!$G:$G,0)),INDEX(Торг!$B:$B,MATCH(Прайс!$B3672,Торг!$H:$H,0))),"")</f>
        <v/>
      </c>
      <c r="G3672" s="67" t="str">
        <f>IFERROR(IFERROR(INDEX(Кат!$B:$B,MATCH(Прайс!$B3672,Кат!$G:$G,0)),INDEX(Торг!$C:$C,MATCH(Прайс!$B3672,Торг!$H:$H,0))),"")</f>
        <v/>
      </c>
      <c r="H3672" s="67" t="str">
        <f>IFERROR(IFERROR(INDEX(Кат!$I:$I,MATCH(Прайс!$B3672,Кат!$G:$G,0)),INDEX(Торг!$I:$I,MATCH(Прайс!$B3672,Торг!$H:$H,0))),"")</f>
        <v/>
      </c>
    </row>
    <row r="3673" spans="1:8" x14ac:dyDescent="0.25">
      <c r="A3673" s="103" t="s">
        <v>7946</v>
      </c>
      <c r="B3673" s="104">
        <v>32331</v>
      </c>
      <c r="C3673" s="104" t="s">
        <v>7947</v>
      </c>
      <c r="D3673" s="105" t="s">
        <v>161</v>
      </c>
      <c r="E3673" s="113">
        <v>550</v>
      </c>
      <c r="F3673" s="67" t="str">
        <f>IFERROR(IFERROR(INDEX(Кат!$A:$A,MATCH(Прайс!$B3673,Кат!$G:$G,0)),INDEX(Торг!$B:$B,MATCH(Прайс!$B3673,Торг!$H:$H,0))),"")</f>
        <v/>
      </c>
      <c r="G3673" s="67" t="str">
        <f>IFERROR(IFERROR(INDEX(Кат!$B:$B,MATCH(Прайс!$B3673,Кат!$G:$G,0)),INDEX(Торг!$C:$C,MATCH(Прайс!$B3673,Торг!$H:$H,0))),"")</f>
        <v/>
      </c>
      <c r="H3673" s="67" t="str">
        <f>IFERROR(IFERROR(INDEX(Кат!$I:$I,MATCH(Прайс!$B3673,Кат!$G:$G,0)),INDEX(Торг!$I:$I,MATCH(Прайс!$B3673,Торг!$H:$H,0))),"")</f>
        <v/>
      </c>
    </row>
    <row r="3674" spans="1:8" x14ac:dyDescent="0.25">
      <c r="A3674" s="103" t="s">
        <v>7948</v>
      </c>
      <c r="B3674" s="104">
        <v>32363</v>
      </c>
      <c r="C3674" s="104" t="s">
        <v>7949</v>
      </c>
      <c r="D3674" s="105" t="s">
        <v>190</v>
      </c>
      <c r="E3674" s="113">
        <v>300</v>
      </c>
      <c r="F3674" s="67" t="str">
        <f>IFERROR(IFERROR(INDEX(Кат!$A:$A,MATCH(Прайс!$B3674,Кат!$G:$G,0)),INDEX(Торг!$B:$B,MATCH(Прайс!$B3674,Торг!$H:$H,0))),"")</f>
        <v/>
      </c>
      <c r="G3674" s="67" t="str">
        <f>IFERROR(IFERROR(INDEX(Кат!$B:$B,MATCH(Прайс!$B3674,Кат!$G:$G,0)),INDEX(Торг!$C:$C,MATCH(Прайс!$B3674,Торг!$H:$H,0))),"")</f>
        <v/>
      </c>
      <c r="H3674" s="67" t="str">
        <f>IFERROR(IFERROR(INDEX(Кат!$I:$I,MATCH(Прайс!$B3674,Кат!$G:$G,0)),INDEX(Торг!$I:$I,MATCH(Прайс!$B3674,Торг!$H:$H,0))),"")</f>
        <v/>
      </c>
    </row>
    <row r="3675" spans="1:8" ht="15.75" x14ac:dyDescent="0.25">
      <c r="A3675" s="90"/>
      <c r="B3675" s="91"/>
      <c r="C3675" s="92" t="s">
        <v>1990</v>
      </c>
      <c r="D3675" s="91"/>
      <c r="E3675" s="93"/>
      <c r="F3675" s="67" t="str">
        <f>IFERROR(IFERROR(INDEX(Кат!$A:$A,MATCH(Прайс!$B3675,Кат!$G:$G,0)),INDEX(Торг!$B:$B,MATCH(Прайс!$B3675,Торг!$H:$H,0))),"")</f>
        <v/>
      </c>
      <c r="G3675" s="67" t="str">
        <f>IFERROR(IFERROR(INDEX(Кат!$B:$B,MATCH(Прайс!$B3675,Кат!$G:$G,0)),INDEX(Торг!$C:$C,MATCH(Прайс!$B3675,Торг!$H:$H,0))),"")</f>
        <v/>
      </c>
      <c r="H3675" s="67" t="str">
        <f>IFERROR(IFERROR(INDEX(Кат!$I:$I,MATCH(Прайс!$B3675,Кат!$G:$G,0)),INDEX(Торг!$I:$I,MATCH(Прайс!$B3675,Торг!$H:$H,0))),"")</f>
        <v/>
      </c>
    </row>
    <row r="3676" spans="1:8" x14ac:dyDescent="0.25">
      <c r="A3676" s="103" t="s">
        <v>4737</v>
      </c>
      <c r="B3676" s="104">
        <v>32257</v>
      </c>
      <c r="C3676" s="104" t="s">
        <v>1991</v>
      </c>
      <c r="D3676" s="105" t="s">
        <v>190</v>
      </c>
      <c r="E3676" s="113">
        <v>90</v>
      </c>
      <c r="F3676" s="67" t="str">
        <f>IFERROR(IFERROR(INDEX(Кат!$A:$A,MATCH(Прайс!$B3676,Кат!$G:$G,0)),INDEX(Торг!$B:$B,MATCH(Прайс!$B3676,Торг!$H:$H,0))),"")</f>
        <v/>
      </c>
      <c r="G3676" s="67" t="str">
        <f>IFERROR(IFERROR(INDEX(Кат!$B:$B,MATCH(Прайс!$B3676,Кат!$G:$G,0)),INDEX(Торг!$C:$C,MATCH(Прайс!$B3676,Торг!$H:$H,0))),"")</f>
        <v/>
      </c>
      <c r="H3676" s="67" t="str">
        <f>IFERROR(IFERROR(INDEX(Кат!$I:$I,MATCH(Прайс!$B3676,Кат!$G:$G,0)),INDEX(Торг!$I:$I,MATCH(Прайс!$B3676,Торг!$H:$H,0))),"")</f>
        <v/>
      </c>
    </row>
    <row r="3677" spans="1:8" x14ac:dyDescent="0.25">
      <c r="A3677" s="103" t="s">
        <v>4738</v>
      </c>
      <c r="B3677" s="104">
        <v>32369</v>
      </c>
      <c r="C3677" s="104" t="s">
        <v>7155</v>
      </c>
      <c r="D3677" s="105" t="s">
        <v>190</v>
      </c>
      <c r="E3677" s="113">
        <v>150</v>
      </c>
      <c r="F3677" s="67" t="str">
        <f>IFERROR(IFERROR(INDEX(Кат!$A:$A,MATCH(Прайс!$B3677,Кат!$G:$G,0)),INDEX(Торг!$B:$B,MATCH(Прайс!$B3677,Торг!$H:$H,0))),"")</f>
        <v/>
      </c>
      <c r="G3677" s="67" t="str">
        <f>IFERROR(IFERROR(INDEX(Кат!$B:$B,MATCH(Прайс!$B3677,Кат!$G:$G,0)),INDEX(Торг!$C:$C,MATCH(Прайс!$B3677,Торг!$H:$H,0))),"")</f>
        <v/>
      </c>
      <c r="H3677" s="67" t="str">
        <f>IFERROR(IFERROR(INDEX(Кат!$I:$I,MATCH(Прайс!$B3677,Кат!$G:$G,0)),INDEX(Торг!$I:$I,MATCH(Прайс!$B3677,Торг!$H:$H,0))),"")</f>
        <v/>
      </c>
    </row>
    <row r="3678" spans="1:8" x14ac:dyDescent="0.25">
      <c r="A3678" s="94" t="s">
        <v>7156</v>
      </c>
      <c r="B3678" s="98">
        <v>32478</v>
      </c>
      <c r="C3678" s="98" t="s">
        <v>7157</v>
      </c>
      <c r="D3678" s="96" t="s">
        <v>190</v>
      </c>
      <c r="E3678" s="97">
        <v>170</v>
      </c>
      <c r="F3678" s="67" t="str">
        <f>IFERROR(IFERROR(INDEX(Кат!$A:$A,MATCH(Прайс!$B3678,Кат!$G:$G,0)),INDEX(Торг!$B:$B,MATCH(Прайс!$B3678,Торг!$H:$H,0))),"")</f>
        <v/>
      </c>
      <c r="G3678" s="67" t="str">
        <f>IFERROR(IFERROR(INDEX(Кат!$B:$B,MATCH(Прайс!$B3678,Кат!$G:$G,0)),INDEX(Торг!$C:$C,MATCH(Прайс!$B3678,Торг!$H:$H,0))),"")</f>
        <v/>
      </c>
      <c r="H3678" s="67" t="str">
        <f>IFERROR(IFERROR(INDEX(Кат!$I:$I,MATCH(Прайс!$B3678,Кат!$G:$G,0)),INDEX(Торг!$I:$I,MATCH(Прайс!$B3678,Торг!$H:$H,0))),"")</f>
        <v/>
      </c>
    </row>
    <row r="3679" spans="1:8" x14ac:dyDescent="0.25">
      <c r="A3679" s="94" t="s">
        <v>7950</v>
      </c>
      <c r="B3679" s="98">
        <v>32508</v>
      </c>
      <c r="C3679" s="98" t="s">
        <v>7951</v>
      </c>
      <c r="D3679" s="96" t="s">
        <v>190</v>
      </c>
      <c r="E3679" s="97">
        <v>260</v>
      </c>
      <c r="F3679" s="67" t="str">
        <f>IFERROR(IFERROR(INDEX(Кат!$A:$A,MATCH(Прайс!$B3679,Кат!$G:$G,0)),INDEX(Торг!$B:$B,MATCH(Прайс!$B3679,Торг!$H:$H,0))),"")</f>
        <v/>
      </c>
      <c r="G3679" s="67" t="str">
        <f>IFERROR(IFERROR(INDEX(Кат!$B:$B,MATCH(Прайс!$B3679,Кат!$G:$G,0)),INDEX(Торг!$C:$C,MATCH(Прайс!$B3679,Торг!$H:$H,0))),"")</f>
        <v/>
      </c>
      <c r="H3679" s="67" t="str">
        <f>IFERROR(IFERROR(INDEX(Кат!$I:$I,MATCH(Прайс!$B3679,Кат!$G:$G,0)),INDEX(Торг!$I:$I,MATCH(Прайс!$B3679,Торг!$H:$H,0))),"")</f>
        <v/>
      </c>
    </row>
    <row r="3680" spans="1:8" x14ac:dyDescent="0.25">
      <c r="A3680" s="103" t="s">
        <v>7952</v>
      </c>
      <c r="B3680" s="104">
        <v>32510</v>
      </c>
      <c r="C3680" s="104" t="s">
        <v>7953</v>
      </c>
      <c r="D3680" s="105" t="s">
        <v>190</v>
      </c>
      <c r="E3680" s="113">
        <v>350</v>
      </c>
      <c r="F3680" s="67" t="str">
        <f>IFERROR(IFERROR(INDEX(Кат!$A:$A,MATCH(Прайс!$B3680,Кат!$G:$G,0)),INDEX(Торг!$B:$B,MATCH(Прайс!$B3680,Торг!$H:$H,0))),"")</f>
        <v/>
      </c>
      <c r="G3680" s="67" t="str">
        <f>IFERROR(IFERROR(INDEX(Кат!$B:$B,MATCH(Прайс!$B3680,Кат!$G:$G,0)),INDEX(Торг!$C:$C,MATCH(Прайс!$B3680,Торг!$H:$H,0))),"")</f>
        <v/>
      </c>
      <c r="H3680" s="67" t="str">
        <f>IFERROR(IFERROR(INDEX(Кат!$I:$I,MATCH(Прайс!$B3680,Кат!$G:$G,0)),INDEX(Торг!$I:$I,MATCH(Прайс!$B3680,Торг!$H:$H,0))),"")</f>
        <v/>
      </c>
    </row>
    <row r="3681" spans="1:8" x14ac:dyDescent="0.25">
      <c r="A3681" s="94" t="s">
        <v>4739</v>
      </c>
      <c r="B3681" s="98">
        <v>32406</v>
      </c>
      <c r="C3681" s="98" t="s">
        <v>1992</v>
      </c>
      <c r="D3681" s="96" t="s">
        <v>190</v>
      </c>
      <c r="E3681" s="97">
        <v>250</v>
      </c>
      <c r="F3681" s="67" t="str">
        <f>IFERROR(IFERROR(INDEX(Кат!$A:$A,MATCH(Прайс!$B3681,Кат!$G:$G,0)),INDEX(Торг!$B:$B,MATCH(Прайс!$B3681,Торг!$H:$H,0))),"")</f>
        <v/>
      </c>
      <c r="G3681" s="67" t="str">
        <f>IFERROR(IFERROR(INDEX(Кат!$B:$B,MATCH(Прайс!$B3681,Кат!$G:$G,0)),INDEX(Торг!$C:$C,MATCH(Прайс!$B3681,Торг!$H:$H,0))),"")</f>
        <v/>
      </c>
      <c r="H3681" s="67" t="str">
        <f>IFERROR(IFERROR(INDEX(Кат!$I:$I,MATCH(Прайс!$B3681,Кат!$G:$G,0)),INDEX(Торг!$I:$I,MATCH(Прайс!$B3681,Торг!$H:$H,0))),"")</f>
        <v/>
      </c>
    </row>
    <row r="3682" spans="1:8" x14ac:dyDescent="0.25">
      <c r="A3682" s="94" t="s">
        <v>7954</v>
      </c>
      <c r="B3682" s="98">
        <v>32399</v>
      </c>
      <c r="C3682" s="98" t="s">
        <v>7955</v>
      </c>
      <c r="D3682" s="96" t="s">
        <v>190</v>
      </c>
      <c r="E3682" s="97">
        <v>140</v>
      </c>
      <c r="F3682" s="67" t="str">
        <f>IFERROR(IFERROR(INDEX(Кат!$A:$A,MATCH(Прайс!$B3682,Кат!$G:$G,0)),INDEX(Торг!$B:$B,MATCH(Прайс!$B3682,Торг!$H:$H,0))),"")</f>
        <v/>
      </c>
      <c r="G3682" s="67" t="str">
        <f>IFERROR(IFERROR(INDEX(Кат!$B:$B,MATCH(Прайс!$B3682,Кат!$G:$G,0)),INDEX(Торг!$C:$C,MATCH(Прайс!$B3682,Торг!$H:$H,0))),"")</f>
        <v/>
      </c>
      <c r="H3682" s="67" t="str">
        <f>IFERROR(IFERROR(INDEX(Кат!$I:$I,MATCH(Прайс!$B3682,Кат!$G:$G,0)),INDEX(Торг!$I:$I,MATCH(Прайс!$B3682,Торг!$H:$H,0))),"")</f>
        <v/>
      </c>
    </row>
    <row r="3683" spans="1:8" x14ac:dyDescent="0.25">
      <c r="A3683" s="94" t="s">
        <v>4740</v>
      </c>
      <c r="B3683" s="98">
        <v>32387</v>
      </c>
      <c r="C3683" s="98" t="s">
        <v>1993</v>
      </c>
      <c r="D3683" s="96" t="s">
        <v>190</v>
      </c>
      <c r="E3683" s="97">
        <v>320</v>
      </c>
      <c r="F3683" s="67" t="str">
        <f>IFERROR(IFERROR(INDEX(Кат!$A:$A,MATCH(Прайс!$B3683,Кат!$G:$G,0)),INDEX(Торг!$B:$B,MATCH(Прайс!$B3683,Торг!$H:$H,0))),"")</f>
        <v/>
      </c>
      <c r="G3683" s="67" t="str">
        <f>IFERROR(IFERROR(INDEX(Кат!$B:$B,MATCH(Прайс!$B3683,Кат!$G:$G,0)),INDEX(Торг!$C:$C,MATCH(Прайс!$B3683,Торг!$H:$H,0))),"")</f>
        <v/>
      </c>
      <c r="H3683" s="67" t="str">
        <f>IFERROR(IFERROR(INDEX(Кат!$I:$I,MATCH(Прайс!$B3683,Кат!$G:$G,0)),INDEX(Торг!$I:$I,MATCH(Прайс!$B3683,Торг!$H:$H,0))),"")</f>
        <v/>
      </c>
    </row>
    <row r="3684" spans="1:8" x14ac:dyDescent="0.25">
      <c r="A3684" s="103" t="s">
        <v>4741</v>
      </c>
      <c r="B3684" s="104">
        <v>32388</v>
      </c>
      <c r="C3684" s="104" t="s">
        <v>1994</v>
      </c>
      <c r="D3684" s="105" t="s">
        <v>190</v>
      </c>
      <c r="E3684" s="113">
        <v>580</v>
      </c>
      <c r="F3684" s="67" t="str">
        <f>IFERROR(IFERROR(INDEX(Кат!$A:$A,MATCH(Прайс!$B3684,Кат!$G:$G,0)),INDEX(Торг!$B:$B,MATCH(Прайс!$B3684,Торг!$H:$H,0))),"")</f>
        <v/>
      </c>
      <c r="G3684" s="67" t="str">
        <f>IFERROR(IFERROR(INDEX(Кат!$B:$B,MATCH(Прайс!$B3684,Кат!$G:$G,0)),INDEX(Торг!$C:$C,MATCH(Прайс!$B3684,Торг!$H:$H,0))),"")</f>
        <v/>
      </c>
      <c r="H3684" s="67" t="str">
        <f>IFERROR(IFERROR(INDEX(Кат!$I:$I,MATCH(Прайс!$B3684,Кат!$G:$G,0)),INDEX(Торг!$I:$I,MATCH(Прайс!$B3684,Торг!$H:$H,0))),"")</f>
        <v/>
      </c>
    </row>
    <row r="3685" spans="1:8" x14ac:dyDescent="0.25">
      <c r="A3685" s="103" t="s">
        <v>6014</v>
      </c>
      <c r="B3685" s="104">
        <v>32007</v>
      </c>
      <c r="C3685" s="104" t="s">
        <v>6015</v>
      </c>
      <c r="D3685" s="105" t="s">
        <v>190</v>
      </c>
      <c r="E3685" s="113">
        <v>90</v>
      </c>
      <c r="F3685" s="67" t="str">
        <f>IFERROR(IFERROR(INDEX(Кат!$A:$A,MATCH(Прайс!$B3685,Кат!$G:$G,0)),INDEX(Торг!$B:$B,MATCH(Прайс!$B3685,Торг!$H:$H,0))),"")</f>
        <v/>
      </c>
      <c r="G3685" s="67" t="str">
        <f>IFERROR(IFERROR(INDEX(Кат!$B:$B,MATCH(Прайс!$B3685,Кат!$G:$G,0)),INDEX(Торг!$C:$C,MATCH(Прайс!$B3685,Торг!$H:$H,0))),"")</f>
        <v/>
      </c>
      <c r="H3685" s="67" t="str">
        <f>IFERROR(IFERROR(INDEX(Кат!$I:$I,MATCH(Прайс!$B3685,Кат!$G:$G,0)),INDEX(Торг!$I:$I,MATCH(Прайс!$B3685,Торг!$H:$H,0))),"")</f>
        <v/>
      </c>
    </row>
    <row r="3686" spans="1:8" x14ac:dyDescent="0.25">
      <c r="A3686" s="103" t="s">
        <v>4742</v>
      </c>
      <c r="B3686" s="104">
        <v>32211</v>
      </c>
      <c r="C3686" s="104" t="s">
        <v>1995</v>
      </c>
      <c r="D3686" s="105" t="s">
        <v>582</v>
      </c>
      <c r="E3686" s="113">
        <v>200</v>
      </c>
      <c r="F3686" s="67" t="str">
        <f>IFERROR(IFERROR(INDEX(Кат!$A:$A,MATCH(Прайс!$B3686,Кат!$G:$G,0)),INDEX(Торг!$B:$B,MATCH(Прайс!$B3686,Торг!$H:$H,0))),"")</f>
        <v/>
      </c>
      <c r="G3686" s="67" t="str">
        <f>IFERROR(IFERROR(INDEX(Кат!$B:$B,MATCH(Прайс!$B3686,Кат!$G:$G,0)),INDEX(Торг!$C:$C,MATCH(Прайс!$B3686,Торг!$H:$H,0))),"")</f>
        <v/>
      </c>
      <c r="H3686" s="67" t="str">
        <f>IFERROR(IFERROR(INDEX(Кат!$I:$I,MATCH(Прайс!$B3686,Кат!$G:$G,0)),INDEX(Торг!$I:$I,MATCH(Прайс!$B3686,Торг!$H:$H,0))),"")</f>
        <v/>
      </c>
    </row>
    <row r="3687" spans="1:8" x14ac:dyDescent="0.25">
      <c r="A3687" s="103" t="s">
        <v>4743</v>
      </c>
      <c r="B3687" s="104">
        <v>32212</v>
      </c>
      <c r="C3687" s="104" t="s">
        <v>1996</v>
      </c>
      <c r="D3687" s="105" t="s">
        <v>582</v>
      </c>
      <c r="E3687" s="113">
        <v>200</v>
      </c>
      <c r="F3687" s="67" t="str">
        <f>IFERROR(IFERROR(INDEX(Кат!$A:$A,MATCH(Прайс!$B3687,Кат!$G:$G,0)),INDEX(Торг!$B:$B,MATCH(Прайс!$B3687,Торг!$H:$H,0))),"")</f>
        <v/>
      </c>
      <c r="G3687" s="67" t="str">
        <f>IFERROR(IFERROR(INDEX(Кат!$B:$B,MATCH(Прайс!$B3687,Кат!$G:$G,0)),INDEX(Торг!$C:$C,MATCH(Прайс!$B3687,Торг!$H:$H,0))),"")</f>
        <v/>
      </c>
      <c r="H3687" s="67" t="str">
        <f>IFERROR(IFERROR(INDEX(Кат!$I:$I,MATCH(Прайс!$B3687,Кат!$G:$G,0)),INDEX(Торг!$I:$I,MATCH(Прайс!$B3687,Торг!$H:$H,0))),"")</f>
        <v/>
      </c>
    </row>
    <row r="3688" spans="1:8" ht="15.75" x14ac:dyDescent="0.25">
      <c r="A3688" s="90"/>
      <c r="B3688" s="91"/>
      <c r="C3688" s="92" t="s">
        <v>180</v>
      </c>
      <c r="D3688" s="91"/>
      <c r="E3688" s="93"/>
      <c r="F3688" s="67" t="str">
        <f>IFERROR(IFERROR(INDEX(Кат!$A:$A,MATCH(Прайс!$B3688,Кат!$G:$G,0)),INDEX(Торг!$B:$B,MATCH(Прайс!$B3688,Торг!$H:$H,0))),"")</f>
        <v/>
      </c>
      <c r="G3688" s="67" t="str">
        <f>IFERROR(IFERROR(INDEX(Кат!$B:$B,MATCH(Прайс!$B3688,Кат!$G:$G,0)),INDEX(Торг!$C:$C,MATCH(Прайс!$B3688,Торг!$H:$H,0))),"")</f>
        <v/>
      </c>
      <c r="H3688" s="67" t="str">
        <f>IFERROR(IFERROR(INDEX(Кат!$I:$I,MATCH(Прайс!$B3688,Кат!$G:$G,0)),INDEX(Торг!$I:$I,MATCH(Прайс!$B3688,Торг!$H:$H,0))),"")</f>
        <v/>
      </c>
    </row>
    <row r="3689" spans="1:8" x14ac:dyDescent="0.25">
      <c r="A3689" s="103" t="s">
        <v>4744</v>
      </c>
      <c r="B3689" s="104">
        <v>20040</v>
      </c>
      <c r="C3689" s="104" t="s">
        <v>1997</v>
      </c>
      <c r="D3689" s="105" t="s">
        <v>183</v>
      </c>
      <c r="E3689" s="113">
        <v>100</v>
      </c>
      <c r="F3689" s="67" t="str">
        <f>IFERROR(IFERROR(INDEX(Кат!$A:$A,MATCH(Прайс!$B3689,Кат!$G:$G,0)),INDEX(Торг!$B:$B,MATCH(Прайс!$B3689,Торг!$H:$H,0))),"")</f>
        <v/>
      </c>
      <c r="G3689" s="67" t="str">
        <f>IFERROR(IFERROR(INDEX(Кат!$B:$B,MATCH(Прайс!$B3689,Кат!$G:$G,0)),INDEX(Торг!$C:$C,MATCH(Прайс!$B3689,Торг!$H:$H,0))),"")</f>
        <v/>
      </c>
      <c r="H3689" s="67" t="str">
        <f>IFERROR(IFERROR(INDEX(Кат!$I:$I,MATCH(Прайс!$B3689,Кат!$G:$G,0)),INDEX(Торг!$I:$I,MATCH(Прайс!$B3689,Торг!$H:$H,0))),"")</f>
        <v/>
      </c>
    </row>
    <row r="3690" spans="1:8" x14ac:dyDescent="0.25">
      <c r="A3690" s="103" t="s">
        <v>4745</v>
      </c>
      <c r="B3690" s="104">
        <v>20029</v>
      </c>
      <c r="C3690" s="104" t="s">
        <v>1998</v>
      </c>
      <c r="D3690" s="105" t="s">
        <v>183</v>
      </c>
      <c r="E3690" s="113">
        <v>100</v>
      </c>
      <c r="F3690" s="67" t="str">
        <f>IFERROR(IFERROR(INDEX(Кат!$A:$A,MATCH(Прайс!$B3690,Кат!$G:$G,0)),INDEX(Торг!$B:$B,MATCH(Прайс!$B3690,Торг!$H:$H,0))),"")</f>
        <v/>
      </c>
      <c r="G3690" s="67" t="str">
        <f>IFERROR(IFERROR(INDEX(Кат!$B:$B,MATCH(Прайс!$B3690,Кат!$G:$G,0)),INDEX(Торг!$C:$C,MATCH(Прайс!$B3690,Торг!$H:$H,0))),"")</f>
        <v/>
      </c>
      <c r="H3690" s="67" t="str">
        <f>IFERROR(IFERROR(INDEX(Кат!$I:$I,MATCH(Прайс!$B3690,Кат!$G:$G,0)),INDEX(Торг!$I:$I,MATCH(Прайс!$B3690,Торг!$H:$H,0))),"")</f>
        <v/>
      </c>
    </row>
    <row r="3691" spans="1:8" x14ac:dyDescent="0.25">
      <c r="A3691" s="103" t="s">
        <v>4746</v>
      </c>
      <c r="B3691" s="104">
        <v>20041</v>
      </c>
      <c r="C3691" s="104" t="s">
        <v>1999</v>
      </c>
      <c r="D3691" s="105" t="s">
        <v>183</v>
      </c>
      <c r="E3691" s="113">
        <v>100</v>
      </c>
      <c r="F3691" s="67" t="str">
        <f>IFERROR(IFERROR(INDEX(Кат!$A:$A,MATCH(Прайс!$B3691,Кат!$G:$G,0)),INDEX(Торг!$B:$B,MATCH(Прайс!$B3691,Торг!$H:$H,0))),"")</f>
        <v/>
      </c>
      <c r="G3691" s="67" t="str">
        <f>IFERROR(IFERROR(INDEX(Кат!$B:$B,MATCH(Прайс!$B3691,Кат!$G:$G,0)),INDEX(Торг!$C:$C,MATCH(Прайс!$B3691,Торг!$H:$H,0))),"")</f>
        <v/>
      </c>
      <c r="H3691" s="67" t="str">
        <f>IFERROR(IFERROR(INDEX(Кат!$I:$I,MATCH(Прайс!$B3691,Кат!$G:$G,0)),INDEX(Торг!$I:$I,MATCH(Прайс!$B3691,Торг!$H:$H,0))),"")</f>
        <v/>
      </c>
    </row>
    <row r="3692" spans="1:8" x14ac:dyDescent="0.25">
      <c r="A3692" s="103" t="s">
        <v>4747</v>
      </c>
      <c r="B3692" s="104">
        <v>20056</v>
      </c>
      <c r="C3692" s="104" t="s">
        <v>2000</v>
      </c>
      <c r="D3692" s="105" t="s">
        <v>190</v>
      </c>
      <c r="E3692" s="113">
        <v>70</v>
      </c>
      <c r="F3692" s="67" t="str">
        <f>IFERROR(IFERROR(INDEX(Кат!$A:$A,MATCH(Прайс!$B3692,Кат!$G:$G,0)),INDEX(Торг!$B:$B,MATCH(Прайс!$B3692,Торг!$H:$H,0))),"")</f>
        <v/>
      </c>
      <c r="G3692" s="67" t="str">
        <f>IFERROR(IFERROR(INDEX(Кат!$B:$B,MATCH(Прайс!$B3692,Кат!$G:$G,0)),INDEX(Торг!$C:$C,MATCH(Прайс!$B3692,Торг!$H:$H,0))),"")</f>
        <v/>
      </c>
      <c r="H3692" s="67" t="str">
        <f>IFERROR(IFERROR(INDEX(Кат!$I:$I,MATCH(Прайс!$B3692,Кат!$G:$G,0)),INDEX(Торг!$I:$I,MATCH(Прайс!$B3692,Торг!$H:$H,0))),"")</f>
        <v/>
      </c>
    </row>
    <row r="3693" spans="1:8" ht="15.75" x14ac:dyDescent="0.25">
      <c r="A3693" s="90"/>
      <c r="B3693" s="91"/>
      <c r="C3693" s="92" t="s">
        <v>2001</v>
      </c>
      <c r="D3693" s="91"/>
      <c r="E3693" s="93"/>
      <c r="F3693" s="67" t="str">
        <f>IFERROR(IFERROR(INDEX(Кат!$A:$A,MATCH(Прайс!$B3693,Кат!$G:$G,0)),INDEX(Торг!$B:$B,MATCH(Прайс!$B3693,Торг!$H:$H,0))),"")</f>
        <v/>
      </c>
      <c r="G3693" s="67" t="str">
        <f>IFERROR(IFERROR(INDEX(Кат!$B:$B,MATCH(Прайс!$B3693,Кат!$G:$G,0)),INDEX(Торг!$C:$C,MATCH(Прайс!$B3693,Торг!$H:$H,0))),"")</f>
        <v/>
      </c>
      <c r="H3693" s="67" t="str">
        <f>IFERROR(IFERROR(INDEX(Кат!$I:$I,MATCH(Прайс!$B3693,Кат!$G:$G,0)),INDEX(Торг!$I:$I,MATCH(Прайс!$B3693,Торг!$H:$H,0))),"")</f>
        <v/>
      </c>
    </row>
    <row r="3694" spans="1:8" x14ac:dyDescent="0.25">
      <c r="A3694" s="103" t="s">
        <v>4749</v>
      </c>
      <c r="B3694" s="104">
        <v>20435</v>
      </c>
      <c r="C3694" s="104" t="s">
        <v>8333</v>
      </c>
      <c r="D3694" s="105" t="s">
        <v>161</v>
      </c>
      <c r="E3694" s="113">
        <v>200</v>
      </c>
      <c r="F3694" s="67" t="str">
        <f>IFERROR(IFERROR(INDEX(Кат!$A:$A,MATCH(Прайс!$B3694,Кат!$G:$G,0)),INDEX(Торг!$B:$B,MATCH(Прайс!$B3694,Торг!$H:$H,0))),"")</f>
        <v/>
      </c>
      <c r="G3694" s="67" t="str">
        <f>IFERROR(IFERROR(INDEX(Кат!$B:$B,MATCH(Прайс!$B3694,Кат!$G:$G,0)),INDEX(Торг!$C:$C,MATCH(Прайс!$B3694,Торг!$H:$H,0))),"")</f>
        <v/>
      </c>
      <c r="H3694" s="67" t="str">
        <f>IFERROR(IFERROR(INDEX(Кат!$I:$I,MATCH(Прайс!$B3694,Кат!$G:$G,0)),INDEX(Торг!$I:$I,MATCH(Прайс!$B3694,Торг!$H:$H,0))),"")</f>
        <v/>
      </c>
    </row>
    <row r="3695" spans="1:8" x14ac:dyDescent="0.25">
      <c r="A3695" s="103" t="s">
        <v>4748</v>
      </c>
      <c r="B3695" s="104">
        <v>20434</v>
      </c>
      <c r="C3695" s="104" t="s">
        <v>8334</v>
      </c>
      <c r="D3695" s="105" t="s">
        <v>161</v>
      </c>
      <c r="E3695" s="113">
        <v>250</v>
      </c>
      <c r="F3695" s="67" t="str">
        <f>IFERROR(IFERROR(INDEX(Кат!$A:$A,MATCH(Прайс!$B3695,Кат!$G:$G,0)),INDEX(Торг!$B:$B,MATCH(Прайс!$B3695,Торг!$H:$H,0))),"")</f>
        <v/>
      </c>
      <c r="G3695" s="67" t="str">
        <f>IFERROR(IFERROR(INDEX(Кат!$B:$B,MATCH(Прайс!$B3695,Кат!$G:$G,0)),INDEX(Торг!$C:$C,MATCH(Прайс!$B3695,Торг!$H:$H,0))),"")</f>
        <v/>
      </c>
      <c r="H3695" s="67" t="str">
        <f>IFERROR(IFERROR(INDEX(Кат!$I:$I,MATCH(Прайс!$B3695,Кат!$G:$G,0)),INDEX(Торг!$I:$I,MATCH(Прайс!$B3695,Торг!$H:$H,0))),"")</f>
        <v/>
      </c>
    </row>
    <row r="3696" spans="1:8" x14ac:dyDescent="0.25">
      <c r="A3696" s="109" t="s">
        <v>8335</v>
      </c>
      <c r="B3696" s="110">
        <v>32529</v>
      </c>
      <c r="C3696" s="110" t="s">
        <v>8336</v>
      </c>
      <c r="D3696" s="111" t="s">
        <v>176</v>
      </c>
      <c r="E3696" s="112">
        <v>140</v>
      </c>
      <c r="F3696" s="67" t="str">
        <f>IFERROR(IFERROR(INDEX(Кат!$A:$A,MATCH(Прайс!$B3696,Кат!$G:$G,0)),INDEX(Торг!$B:$B,MATCH(Прайс!$B3696,Торг!$H:$H,0))),"")</f>
        <v/>
      </c>
      <c r="G3696" s="67" t="str">
        <f>IFERROR(IFERROR(INDEX(Кат!$B:$B,MATCH(Прайс!$B3696,Кат!$G:$G,0)),INDEX(Торг!$C:$C,MATCH(Прайс!$B3696,Торг!$H:$H,0))),"")</f>
        <v/>
      </c>
      <c r="H3696" s="67" t="str">
        <f>IFERROR(IFERROR(INDEX(Кат!$I:$I,MATCH(Прайс!$B3696,Кат!$G:$G,0)),INDEX(Торг!$I:$I,MATCH(Прайс!$B3696,Торг!$H:$H,0))),"")</f>
        <v/>
      </c>
    </row>
    <row r="3697" spans="1:8" x14ac:dyDescent="0.25">
      <c r="A3697" s="109" t="s">
        <v>8337</v>
      </c>
      <c r="B3697" s="110">
        <v>32528</v>
      </c>
      <c r="C3697" s="110" t="s">
        <v>8338</v>
      </c>
      <c r="D3697" s="111" t="s">
        <v>166</v>
      </c>
      <c r="E3697" s="112">
        <v>125</v>
      </c>
      <c r="F3697" s="67" t="str">
        <f>IFERROR(IFERROR(INDEX(Кат!$A:$A,MATCH(Прайс!$B3697,Кат!$G:$G,0)),INDEX(Торг!$B:$B,MATCH(Прайс!$B3697,Торг!$H:$H,0))),"")</f>
        <v/>
      </c>
      <c r="G3697" s="67" t="str">
        <f>IFERROR(IFERROR(INDEX(Кат!$B:$B,MATCH(Прайс!$B3697,Кат!$G:$G,0)),INDEX(Торг!$C:$C,MATCH(Прайс!$B3697,Торг!$H:$H,0))),"")</f>
        <v/>
      </c>
      <c r="H3697" s="67" t="str">
        <f>IFERROR(IFERROR(INDEX(Кат!$I:$I,MATCH(Прайс!$B3697,Кат!$G:$G,0)),INDEX(Торг!$I:$I,MATCH(Прайс!$B3697,Торг!$H:$H,0))),"")</f>
        <v/>
      </c>
    </row>
    <row r="3698" spans="1:8" x14ac:dyDescent="0.25">
      <c r="A3698" s="103" t="s">
        <v>2469</v>
      </c>
      <c r="B3698" s="104">
        <v>20298</v>
      </c>
      <c r="C3698" s="104" t="s">
        <v>194</v>
      </c>
      <c r="D3698" s="105" t="s">
        <v>190</v>
      </c>
      <c r="E3698" s="113">
        <v>100</v>
      </c>
      <c r="F3698" s="67" t="str">
        <f>IFERROR(IFERROR(INDEX(Кат!$A:$A,MATCH(Прайс!$B3698,Кат!$G:$G,0)),INDEX(Торг!$B:$B,MATCH(Прайс!$B3698,Торг!$H:$H,0))),"")</f>
        <v/>
      </c>
      <c r="G3698" s="67" t="str">
        <f>IFERROR(IFERROR(INDEX(Кат!$B:$B,MATCH(Прайс!$B3698,Кат!$G:$G,0)),INDEX(Торг!$C:$C,MATCH(Прайс!$B3698,Торг!$H:$H,0))),"")</f>
        <v/>
      </c>
      <c r="H3698" s="67" t="str">
        <f>IFERROR(IFERROR(INDEX(Кат!$I:$I,MATCH(Прайс!$B3698,Кат!$G:$G,0)),INDEX(Торг!$I:$I,MATCH(Прайс!$B3698,Торг!$H:$H,0))),"")</f>
        <v/>
      </c>
    </row>
    <row r="3699" spans="1:8" x14ac:dyDescent="0.25">
      <c r="A3699" s="103" t="s">
        <v>5486</v>
      </c>
      <c r="B3699" s="104">
        <v>32052</v>
      </c>
      <c r="C3699" s="104" t="s">
        <v>5487</v>
      </c>
      <c r="D3699" s="105" t="s">
        <v>190</v>
      </c>
      <c r="E3699" s="113">
        <v>120</v>
      </c>
      <c r="F3699" s="67" t="str">
        <f>IFERROR(IFERROR(INDEX(Кат!$A:$A,MATCH(Прайс!$B3699,Кат!$G:$G,0)),INDEX(Торг!$B:$B,MATCH(Прайс!$B3699,Торг!$H:$H,0))),"")</f>
        <v/>
      </c>
      <c r="G3699" s="67" t="str">
        <f>IFERROR(IFERROR(INDEX(Кат!$B:$B,MATCH(Прайс!$B3699,Кат!$G:$G,0)),INDEX(Торг!$C:$C,MATCH(Прайс!$B3699,Торг!$H:$H,0))),"")</f>
        <v/>
      </c>
      <c r="H3699" s="67" t="str">
        <f>IFERROR(IFERROR(INDEX(Кат!$I:$I,MATCH(Прайс!$B3699,Кат!$G:$G,0)),INDEX(Торг!$I:$I,MATCH(Прайс!$B3699,Торг!$H:$H,0))),"")</f>
        <v/>
      </c>
    </row>
    <row r="3700" spans="1:8" x14ac:dyDescent="0.25">
      <c r="A3700" s="103" t="s">
        <v>4751</v>
      </c>
      <c r="B3700" s="104">
        <v>32365</v>
      </c>
      <c r="C3700" s="104" t="s">
        <v>2002</v>
      </c>
      <c r="D3700" s="105" t="s">
        <v>161</v>
      </c>
      <c r="E3700" s="113">
        <v>110</v>
      </c>
      <c r="F3700" s="67" t="str">
        <f>IFERROR(IFERROR(INDEX(Кат!$A:$A,MATCH(Прайс!$B3700,Кат!$G:$G,0)),INDEX(Торг!$B:$B,MATCH(Прайс!$B3700,Торг!$H:$H,0))),"")</f>
        <v/>
      </c>
      <c r="G3700" s="67" t="str">
        <f>IFERROR(IFERROR(INDEX(Кат!$B:$B,MATCH(Прайс!$B3700,Кат!$G:$G,0)),INDEX(Торг!$C:$C,MATCH(Прайс!$B3700,Торг!$H:$H,0))),"")</f>
        <v/>
      </c>
      <c r="H3700" s="67" t="str">
        <f>IFERROR(IFERROR(INDEX(Кат!$I:$I,MATCH(Прайс!$B3700,Кат!$G:$G,0)),INDEX(Торг!$I:$I,MATCH(Прайс!$B3700,Торг!$H:$H,0))),"")</f>
        <v/>
      </c>
    </row>
    <row r="3701" spans="1:8" x14ac:dyDescent="0.25">
      <c r="A3701" s="94" t="s">
        <v>4752</v>
      </c>
      <c r="B3701" s="98">
        <v>32364</v>
      </c>
      <c r="C3701" s="98" t="s">
        <v>2003</v>
      </c>
      <c r="D3701" s="96" t="s">
        <v>161</v>
      </c>
      <c r="E3701" s="97">
        <v>100</v>
      </c>
      <c r="F3701" s="67" t="str">
        <f>IFERROR(IFERROR(INDEX(Кат!$A:$A,MATCH(Прайс!$B3701,Кат!$G:$G,0)),INDEX(Торг!$B:$B,MATCH(Прайс!$B3701,Торг!$H:$H,0))),"")</f>
        <v/>
      </c>
      <c r="G3701" s="67" t="str">
        <f>IFERROR(IFERROR(INDEX(Кат!$B:$B,MATCH(Прайс!$B3701,Кат!$G:$G,0)),INDEX(Торг!$C:$C,MATCH(Прайс!$B3701,Торг!$H:$H,0))),"")</f>
        <v/>
      </c>
      <c r="H3701" s="67" t="str">
        <f>IFERROR(IFERROR(INDEX(Кат!$I:$I,MATCH(Прайс!$B3701,Кат!$G:$G,0)),INDEX(Торг!$I:$I,MATCH(Прайс!$B3701,Торг!$H:$H,0))),"")</f>
        <v/>
      </c>
    </row>
    <row r="3702" spans="1:8" x14ac:dyDescent="0.25">
      <c r="A3702" s="94" t="s">
        <v>7956</v>
      </c>
      <c r="B3702" s="98">
        <v>32372</v>
      </c>
      <c r="C3702" s="98" t="s">
        <v>7957</v>
      </c>
      <c r="D3702" s="96" t="s">
        <v>190</v>
      </c>
      <c r="E3702" s="97">
        <v>50</v>
      </c>
      <c r="F3702" s="67" t="str">
        <f>IFERROR(IFERROR(INDEX(Кат!$A:$A,MATCH(Прайс!$B3702,Кат!$G:$G,0)),INDEX(Торг!$B:$B,MATCH(Прайс!$B3702,Торг!$H:$H,0))),"")</f>
        <v/>
      </c>
      <c r="G3702" s="67" t="str">
        <f>IFERROR(IFERROR(INDEX(Кат!$B:$B,MATCH(Прайс!$B3702,Кат!$G:$G,0)),INDEX(Торг!$C:$C,MATCH(Прайс!$B3702,Торг!$H:$H,0))),"")</f>
        <v/>
      </c>
      <c r="H3702" s="67" t="str">
        <f>IFERROR(IFERROR(INDEX(Кат!$I:$I,MATCH(Прайс!$B3702,Кат!$G:$G,0)),INDEX(Торг!$I:$I,MATCH(Прайс!$B3702,Торг!$H:$H,0))),"")</f>
        <v/>
      </c>
    </row>
    <row r="3703" spans="1:8" x14ac:dyDescent="0.25">
      <c r="A3703" s="94" t="s">
        <v>4753</v>
      </c>
      <c r="B3703" s="98">
        <v>32371</v>
      </c>
      <c r="C3703" s="98" t="s">
        <v>2004</v>
      </c>
      <c r="D3703" s="96" t="s">
        <v>161</v>
      </c>
      <c r="E3703" s="97">
        <v>60</v>
      </c>
      <c r="F3703" s="67" t="str">
        <f>IFERROR(IFERROR(INDEX(Кат!$A:$A,MATCH(Прайс!$B3703,Кат!$G:$G,0)),INDEX(Торг!$B:$B,MATCH(Прайс!$B3703,Торг!$H:$H,0))),"")</f>
        <v/>
      </c>
      <c r="G3703" s="67" t="str">
        <f>IFERROR(IFERROR(INDEX(Кат!$B:$B,MATCH(Прайс!$B3703,Кат!$G:$G,0)),INDEX(Торг!$C:$C,MATCH(Прайс!$B3703,Торг!$H:$H,0))),"")</f>
        <v/>
      </c>
      <c r="H3703" s="67" t="str">
        <f>IFERROR(IFERROR(INDEX(Кат!$I:$I,MATCH(Прайс!$B3703,Кат!$G:$G,0)),INDEX(Торг!$I:$I,MATCH(Прайс!$B3703,Торг!$H:$H,0))),"")</f>
        <v/>
      </c>
    </row>
    <row r="3704" spans="1:8" x14ac:dyDescent="0.25">
      <c r="A3704" s="103" t="s">
        <v>7158</v>
      </c>
      <c r="B3704" s="104">
        <v>32367</v>
      </c>
      <c r="C3704" s="104" t="s">
        <v>7159</v>
      </c>
      <c r="D3704" s="105" t="s">
        <v>190</v>
      </c>
      <c r="E3704" s="113">
        <v>115</v>
      </c>
      <c r="F3704" s="67" t="str">
        <f>IFERROR(IFERROR(INDEX(Кат!$A:$A,MATCH(Прайс!$B3704,Кат!$G:$G,0)),INDEX(Торг!$B:$B,MATCH(Прайс!$B3704,Торг!$H:$H,0))),"")</f>
        <v/>
      </c>
      <c r="G3704" s="67" t="str">
        <f>IFERROR(IFERROR(INDEX(Кат!$B:$B,MATCH(Прайс!$B3704,Кат!$G:$G,0)),INDEX(Торг!$C:$C,MATCH(Прайс!$B3704,Торг!$H:$H,0))),"")</f>
        <v/>
      </c>
      <c r="H3704" s="67" t="str">
        <f>IFERROR(IFERROR(INDEX(Кат!$I:$I,MATCH(Прайс!$B3704,Кат!$G:$G,0)),INDEX(Торг!$I:$I,MATCH(Прайс!$B3704,Торг!$H:$H,0))),"")</f>
        <v/>
      </c>
    </row>
    <row r="3705" spans="1:8" x14ac:dyDescent="0.25">
      <c r="A3705" s="103" t="s">
        <v>4754</v>
      </c>
      <c r="B3705" s="104">
        <v>32229</v>
      </c>
      <c r="C3705" s="104" t="s">
        <v>2005</v>
      </c>
      <c r="D3705" s="105" t="s">
        <v>190</v>
      </c>
      <c r="E3705" s="113">
        <v>100</v>
      </c>
      <c r="F3705" s="67" t="str">
        <f>IFERROR(IFERROR(INDEX(Кат!$A:$A,MATCH(Прайс!$B3705,Кат!$G:$G,0)),INDEX(Торг!$B:$B,MATCH(Прайс!$B3705,Торг!$H:$H,0))),"")</f>
        <v/>
      </c>
      <c r="G3705" s="67" t="str">
        <f>IFERROR(IFERROR(INDEX(Кат!$B:$B,MATCH(Прайс!$B3705,Кат!$G:$G,0)),INDEX(Торг!$C:$C,MATCH(Прайс!$B3705,Торг!$H:$H,0))),"")</f>
        <v/>
      </c>
      <c r="H3705" s="67" t="str">
        <f>IFERROR(IFERROR(INDEX(Кат!$I:$I,MATCH(Прайс!$B3705,Кат!$G:$G,0)),INDEX(Торг!$I:$I,MATCH(Прайс!$B3705,Торг!$H:$H,0))),"")</f>
        <v/>
      </c>
    </row>
    <row r="3706" spans="1:8" x14ac:dyDescent="0.25">
      <c r="A3706" s="103" t="s">
        <v>7958</v>
      </c>
      <c r="B3706" s="104">
        <v>32519</v>
      </c>
      <c r="C3706" s="104" t="s">
        <v>7959</v>
      </c>
      <c r="D3706" s="105" t="s">
        <v>161</v>
      </c>
      <c r="E3706" s="113">
        <v>80</v>
      </c>
      <c r="F3706" s="67" t="str">
        <f>IFERROR(IFERROR(INDEX(Кат!$A:$A,MATCH(Прайс!$B3706,Кат!$G:$G,0)),INDEX(Торг!$B:$B,MATCH(Прайс!$B3706,Торг!$H:$H,0))),"")</f>
        <v/>
      </c>
      <c r="G3706" s="67" t="str">
        <f>IFERROR(IFERROR(INDEX(Кат!$B:$B,MATCH(Прайс!$B3706,Кат!$G:$G,0)),INDEX(Торг!$C:$C,MATCH(Прайс!$B3706,Торг!$H:$H,0))),"")</f>
        <v/>
      </c>
      <c r="H3706" s="67" t="str">
        <f>IFERROR(IFERROR(INDEX(Кат!$I:$I,MATCH(Прайс!$B3706,Кат!$G:$G,0)),INDEX(Торг!$I:$I,MATCH(Прайс!$B3706,Торг!$H:$H,0))),"")</f>
        <v/>
      </c>
    </row>
    <row r="3707" spans="1:8" x14ac:dyDescent="0.25">
      <c r="A3707" s="103" t="s">
        <v>7960</v>
      </c>
      <c r="B3707" s="104">
        <v>32517</v>
      </c>
      <c r="C3707" s="104" t="s">
        <v>7961</v>
      </c>
      <c r="D3707" s="105" t="s">
        <v>161</v>
      </c>
      <c r="E3707" s="113">
        <v>80</v>
      </c>
      <c r="F3707" s="67" t="str">
        <f>IFERROR(IFERROR(INDEX(Кат!$A:$A,MATCH(Прайс!$B3707,Кат!$G:$G,0)),INDEX(Торг!$B:$B,MATCH(Прайс!$B3707,Торг!$H:$H,0))),"")</f>
        <v/>
      </c>
      <c r="G3707" s="67" t="str">
        <f>IFERROR(IFERROR(INDEX(Кат!$B:$B,MATCH(Прайс!$B3707,Кат!$G:$G,0)),INDEX(Торг!$C:$C,MATCH(Прайс!$B3707,Торг!$H:$H,0))),"")</f>
        <v/>
      </c>
      <c r="H3707" s="67" t="str">
        <f>IFERROR(IFERROR(INDEX(Кат!$I:$I,MATCH(Прайс!$B3707,Кат!$G:$G,0)),INDEX(Торг!$I:$I,MATCH(Прайс!$B3707,Торг!$H:$H,0))),"")</f>
        <v/>
      </c>
    </row>
    <row r="3708" spans="1:8" x14ac:dyDescent="0.25">
      <c r="A3708" s="103" t="s">
        <v>7962</v>
      </c>
      <c r="B3708" s="104">
        <v>32518</v>
      </c>
      <c r="C3708" s="104" t="s">
        <v>7963</v>
      </c>
      <c r="D3708" s="105" t="s">
        <v>161</v>
      </c>
      <c r="E3708" s="113">
        <v>80</v>
      </c>
      <c r="F3708" s="67" t="str">
        <f>IFERROR(IFERROR(INDEX(Кат!$A:$A,MATCH(Прайс!$B3708,Кат!$G:$G,0)),INDEX(Торг!$B:$B,MATCH(Прайс!$B3708,Торг!$H:$H,0))),"")</f>
        <v/>
      </c>
      <c r="G3708" s="67" t="str">
        <f>IFERROR(IFERROR(INDEX(Кат!$B:$B,MATCH(Прайс!$B3708,Кат!$G:$G,0)),INDEX(Торг!$C:$C,MATCH(Прайс!$B3708,Торг!$H:$H,0))),"")</f>
        <v/>
      </c>
      <c r="H3708" s="67" t="str">
        <f>IFERROR(IFERROR(INDEX(Кат!$I:$I,MATCH(Прайс!$B3708,Кат!$G:$G,0)),INDEX(Торг!$I:$I,MATCH(Прайс!$B3708,Торг!$H:$H,0))),"")</f>
        <v/>
      </c>
    </row>
    <row r="3709" spans="1:8" x14ac:dyDescent="0.25">
      <c r="A3709" s="94" t="s">
        <v>6453</v>
      </c>
      <c r="B3709" s="98">
        <v>32425</v>
      </c>
      <c r="C3709" s="98" t="s">
        <v>7160</v>
      </c>
      <c r="D3709" s="96" t="s">
        <v>190</v>
      </c>
      <c r="E3709" s="97">
        <v>60</v>
      </c>
      <c r="F3709" s="67" t="str">
        <f>IFERROR(IFERROR(INDEX(Кат!$A:$A,MATCH(Прайс!$B3709,Кат!$G:$G,0)),INDEX(Торг!$B:$B,MATCH(Прайс!$B3709,Торг!$H:$H,0))),"")</f>
        <v/>
      </c>
      <c r="G3709" s="67" t="str">
        <f>IFERROR(IFERROR(INDEX(Кат!$B:$B,MATCH(Прайс!$B3709,Кат!$G:$G,0)),INDEX(Торг!$C:$C,MATCH(Прайс!$B3709,Торг!$H:$H,0))),"")</f>
        <v/>
      </c>
      <c r="H3709" s="67" t="str">
        <f>IFERROR(IFERROR(INDEX(Кат!$I:$I,MATCH(Прайс!$B3709,Кат!$G:$G,0)),INDEX(Торг!$I:$I,MATCH(Прайс!$B3709,Торг!$H:$H,0))),"")</f>
        <v/>
      </c>
    </row>
    <row r="3710" spans="1:8" x14ac:dyDescent="0.25">
      <c r="A3710" s="94" t="s">
        <v>4968</v>
      </c>
      <c r="B3710" s="98">
        <v>32066</v>
      </c>
      <c r="C3710" s="98" t="s">
        <v>7161</v>
      </c>
      <c r="D3710" s="96" t="s">
        <v>190</v>
      </c>
      <c r="E3710" s="97">
        <v>60</v>
      </c>
      <c r="F3710" s="67" t="str">
        <f>IFERROR(IFERROR(INDEX(Кат!$A:$A,MATCH(Прайс!$B3710,Кат!$G:$G,0)),INDEX(Торг!$B:$B,MATCH(Прайс!$B3710,Торг!$H:$H,0))),"")</f>
        <v/>
      </c>
      <c r="G3710" s="67" t="str">
        <f>IFERROR(IFERROR(INDEX(Кат!$B:$B,MATCH(Прайс!$B3710,Кат!$G:$G,0)),INDEX(Торг!$C:$C,MATCH(Прайс!$B3710,Торг!$H:$H,0))),"")</f>
        <v/>
      </c>
      <c r="H3710" s="67" t="str">
        <f>IFERROR(IFERROR(INDEX(Кат!$I:$I,MATCH(Прайс!$B3710,Кат!$G:$G,0)),INDEX(Торг!$I:$I,MATCH(Прайс!$B3710,Торг!$H:$H,0))),"")</f>
        <v/>
      </c>
    </row>
    <row r="3711" spans="1:8" x14ac:dyDescent="0.25">
      <c r="A3711" s="94" t="s">
        <v>4969</v>
      </c>
      <c r="B3711" s="98">
        <v>32067</v>
      </c>
      <c r="C3711" s="98" t="s">
        <v>7162</v>
      </c>
      <c r="D3711" s="96" t="s">
        <v>190</v>
      </c>
      <c r="E3711" s="97">
        <v>50</v>
      </c>
      <c r="F3711" s="67" t="str">
        <f>IFERROR(IFERROR(INDEX(Кат!$A:$A,MATCH(Прайс!$B3711,Кат!$G:$G,0)),INDEX(Торг!$B:$B,MATCH(Прайс!$B3711,Торг!$H:$H,0))),"")</f>
        <v/>
      </c>
      <c r="G3711" s="67" t="str">
        <f>IFERROR(IFERROR(INDEX(Кат!$B:$B,MATCH(Прайс!$B3711,Кат!$G:$G,0)),INDEX(Торг!$C:$C,MATCH(Прайс!$B3711,Торг!$H:$H,0))),"")</f>
        <v/>
      </c>
      <c r="H3711" s="67" t="str">
        <f>IFERROR(IFERROR(INDEX(Кат!$I:$I,MATCH(Прайс!$B3711,Кат!$G:$G,0)),INDEX(Торг!$I:$I,MATCH(Прайс!$B3711,Торг!$H:$H,0))),"")</f>
        <v/>
      </c>
    </row>
    <row r="3712" spans="1:8" x14ac:dyDescent="0.25">
      <c r="A3712" s="103" t="s">
        <v>4755</v>
      </c>
      <c r="B3712" s="104">
        <v>32319</v>
      </c>
      <c r="C3712" s="104" t="s">
        <v>2006</v>
      </c>
      <c r="D3712" s="105" t="s">
        <v>337</v>
      </c>
      <c r="E3712" s="113">
        <v>300</v>
      </c>
      <c r="F3712" s="67" t="str">
        <f>IFERROR(IFERROR(INDEX(Кат!$A:$A,MATCH(Прайс!$B3712,Кат!$G:$G,0)),INDEX(Торг!$B:$B,MATCH(Прайс!$B3712,Торг!$H:$H,0))),"")</f>
        <v/>
      </c>
      <c r="G3712" s="67" t="str">
        <f>IFERROR(IFERROR(INDEX(Кат!$B:$B,MATCH(Прайс!$B3712,Кат!$G:$G,0)),INDEX(Торг!$C:$C,MATCH(Прайс!$B3712,Торг!$H:$H,0))),"")</f>
        <v/>
      </c>
      <c r="H3712" s="67" t="str">
        <f>IFERROR(IFERROR(INDEX(Кат!$I:$I,MATCH(Прайс!$B3712,Кат!$G:$G,0)),INDEX(Торг!$I:$I,MATCH(Прайс!$B3712,Торг!$H:$H,0))),"")</f>
        <v/>
      </c>
    </row>
    <row r="3713" spans="1:8" x14ac:dyDescent="0.25">
      <c r="A3713" s="103" t="s">
        <v>4756</v>
      </c>
      <c r="B3713" s="104">
        <v>32318</v>
      </c>
      <c r="C3713" s="104" t="s">
        <v>2007</v>
      </c>
      <c r="D3713" s="105" t="s">
        <v>337</v>
      </c>
      <c r="E3713" s="113">
        <v>300</v>
      </c>
      <c r="F3713" s="67" t="str">
        <f>IFERROR(IFERROR(INDEX(Кат!$A:$A,MATCH(Прайс!$B3713,Кат!$G:$G,0)),INDEX(Торг!$B:$B,MATCH(Прайс!$B3713,Торг!$H:$H,0))),"")</f>
        <v/>
      </c>
      <c r="G3713" s="67" t="str">
        <f>IFERROR(IFERROR(INDEX(Кат!$B:$B,MATCH(Прайс!$B3713,Кат!$G:$G,0)),INDEX(Торг!$C:$C,MATCH(Прайс!$B3713,Торг!$H:$H,0))),"")</f>
        <v/>
      </c>
      <c r="H3713" s="67" t="str">
        <f>IFERROR(IFERROR(INDEX(Кат!$I:$I,MATCH(Прайс!$B3713,Кат!$G:$G,0)),INDEX(Торг!$I:$I,MATCH(Прайс!$B3713,Торг!$H:$H,0))),"")</f>
        <v/>
      </c>
    </row>
    <row r="3714" spans="1:8" x14ac:dyDescent="0.25">
      <c r="A3714" s="103" t="s">
        <v>4757</v>
      </c>
      <c r="B3714" s="104">
        <v>32317</v>
      </c>
      <c r="C3714" s="104" t="s">
        <v>2008</v>
      </c>
      <c r="D3714" s="105" t="s">
        <v>337</v>
      </c>
      <c r="E3714" s="113">
        <v>300</v>
      </c>
      <c r="F3714" s="67" t="str">
        <f>IFERROR(IFERROR(INDEX(Кат!$A:$A,MATCH(Прайс!$B3714,Кат!$G:$G,0)),INDEX(Торг!$B:$B,MATCH(Прайс!$B3714,Торг!$H:$H,0))),"")</f>
        <v/>
      </c>
      <c r="G3714" s="67" t="str">
        <f>IFERROR(IFERROR(INDEX(Кат!$B:$B,MATCH(Прайс!$B3714,Кат!$G:$G,0)),INDEX(Торг!$C:$C,MATCH(Прайс!$B3714,Торг!$H:$H,0))),"")</f>
        <v/>
      </c>
      <c r="H3714" s="67" t="str">
        <f>IFERROR(IFERROR(INDEX(Кат!$I:$I,MATCH(Прайс!$B3714,Кат!$G:$G,0)),INDEX(Торг!$I:$I,MATCH(Прайс!$B3714,Торг!$H:$H,0))),"")</f>
        <v/>
      </c>
    </row>
    <row r="3715" spans="1:8" x14ac:dyDescent="0.25">
      <c r="A3715" s="103" t="s">
        <v>4758</v>
      </c>
      <c r="B3715" s="104">
        <v>32299</v>
      </c>
      <c r="C3715" s="104" t="s">
        <v>2009</v>
      </c>
      <c r="D3715" s="105" t="s">
        <v>190</v>
      </c>
      <c r="E3715" s="113">
        <v>190</v>
      </c>
      <c r="F3715" s="67" t="str">
        <f>IFERROR(IFERROR(INDEX(Кат!$A:$A,MATCH(Прайс!$B3715,Кат!$G:$G,0)),INDEX(Торг!$B:$B,MATCH(Прайс!$B3715,Торг!$H:$H,0))),"")</f>
        <v/>
      </c>
      <c r="G3715" s="67" t="str">
        <f>IFERROR(IFERROR(INDEX(Кат!$B:$B,MATCH(Прайс!$B3715,Кат!$G:$G,0)),INDEX(Торг!$C:$C,MATCH(Прайс!$B3715,Торг!$H:$H,0))),"")</f>
        <v/>
      </c>
      <c r="H3715" s="67" t="str">
        <f>IFERROR(IFERROR(INDEX(Кат!$I:$I,MATCH(Прайс!$B3715,Кат!$G:$G,0)),INDEX(Торг!$I:$I,MATCH(Прайс!$B3715,Торг!$H:$H,0))),"")</f>
        <v/>
      </c>
    </row>
    <row r="3716" spans="1:8" x14ac:dyDescent="0.25">
      <c r="A3716" s="103" t="s">
        <v>4759</v>
      </c>
      <c r="B3716" s="104">
        <v>32323</v>
      </c>
      <c r="C3716" s="104" t="s">
        <v>2010</v>
      </c>
      <c r="D3716" s="105" t="s">
        <v>190</v>
      </c>
      <c r="E3716" s="113">
        <v>150</v>
      </c>
      <c r="F3716" s="67" t="str">
        <f>IFERROR(IFERROR(INDEX(Кат!$A:$A,MATCH(Прайс!$B3716,Кат!$G:$G,0)),INDEX(Торг!$B:$B,MATCH(Прайс!$B3716,Торг!$H:$H,0))),"")</f>
        <v/>
      </c>
      <c r="G3716" s="67" t="str">
        <f>IFERROR(IFERROR(INDEX(Кат!$B:$B,MATCH(Прайс!$B3716,Кат!$G:$G,0)),INDEX(Торг!$C:$C,MATCH(Прайс!$B3716,Торг!$H:$H,0))),"")</f>
        <v/>
      </c>
      <c r="H3716" s="67" t="str">
        <f>IFERROR(IFERROR(INDEX(Кат!$I:$I,MATCH(Прайс!$B3716,Кат!$G:$G,0)),INDEX(Торг!$I:$I,MATCH(Прайс!$B3716,Торг!$H:$H,0))),"")</f>
        <v/>
      </c>
    </row>
    <row r="3717" spans="1:8" x14ac:dyDescent="0.25">
      <c r="A3717" s="109" t="s">
        <v>8339</v>
      </c>
      <c r="B3717" s="110">
        <v>32532</v>
      </c>
      <c r="C3717" s="110" t="s">
        <v>8340</v>
      </c>
      <c r="D3717" s="111" t="s">
        <v>166</v>
      </c>
      <c r="E3717" s="112">
        <v>90</v>
      </c>
      <c r="F3717" s="67" t="str">
        <f>IFERROR(IFERROR(INDEX(Кат!$A:$A,MATCH(Прайс!$B3717,Кат!$G:$G,0)),INDEX(Торг!$B:$B,MATCH(Прайс!$B3717,Торг!$H:$H,0))),"")</f>
        <v/>
      </c>
      <c r="G3717" s="67" t="str">
        <f>IFERROR(IFERROR(INDEX(Кат!$B:$B,MATCH(Прайс!$B3717,Кат!$G:$G,0)),INDEX(Торг!$C:$C,MATCH(Прайс!$B3717,Торг!$H:$H,0))),"")</f>
        <v/>
      </c>
      <c r="H3717" s="67" t="str">
        <f>IFERROR(IFERROR(INDEX(Кат!$I:$I,MATCH(Прайс!$B3717,Кат!$G:$G,0)),INDEX(Торг!$I:$I,MATCH(Прайс!$B3717,Торг!$H:$H,0))),"")</f>
        <v/>
      </c>
    </row>
    <row r="3718" spans="1:8" x14ac:dyDescent="0.25">
      <c r="A3718" s="109" t="s">
        <v>8341</v>
      </c>
      <c r="B3718" s="110">
        <v>32530</v>
      </c>
      <c r="C3718" s="110" t="s">
        <v>8342</v>
      </c>
      <c r="D3718" s="111" t="s">
        <v>166</v>
      </c>
      <c r="E3718" s="112">
        <v>90</v>
      </c>
      <c r="F3718" s="67" t="str">
        <f>IFERROR(IFERROR(INDEX(Кат!$A:$A,MATCH(Прайс!$B3718,Кат!$G:$G,0)),INDEX(Торг!$B:$B,MATCH(Прайс!$B3718,Торг!$H:$H,0))),"")</f>
        <v/>
      </c>
      <c r="G3718" s="67" t="str">
        <f>IFERROR(IFERROR(INDEX(Кат!$B:$B,MATCH(Прайс!$B3718,Кат!$G:$G,0)),INDEX(Торг!$C:$C,MATCH(Прайс!$B3718,Торг!$H:$H,0))),"")</f>
        <v/>
      </c>
      <c r="H3718" s="67" t="str">
        <f>IFERROR(IFERROR(INDEX(Кат!$I:$I,MATCH(Прайс!$B3718,Кат!$G:$G,0)),INDEX(Торг!$I:$I,MATCH(Прайс!$B3718,Торг!$H:$H,0))),"")</f>
        <v/>
      </c>
    </row>
    <row r="3719" spans="1:8" x14ac:dyDescent="0.25">
      <c r="A3719" s="109" t="s">
        <v>8343</v>
      </c>
      <c r="B3719" s="110">
        <v>32531</v>
      </c>
      <c r="C3719" s="110" t="s">
        <v>8344</v>
      </c>
      <c r="D3719" s="111" t="s">
        <v>166</v>
      </c>
      <c r="E3719" s="112">
        <v>80</v>
      </c>
      <c r="F3719" s="67" t="str">
        <f>IFERROR(IFERROR(INDEX(Кат!$A:$A,MATCH(Прайс!$B3719,Кат!$G:$G,0)),INDEX(Торг!$B:$B,MATCH(Прайс!$B3719,Торг!$H:$H,0))),"")</f>
        <v/>
      </c>
      <c r="G3719" s="67" t="str">
        <f>IFERROR(IFERROR(INDEX(Кат!$B:$B,MATCH(Прайс!$B3719,Кат!$G:$G,0)),INDEX(Торг!$C:$C,MATCH(Прайс!$B3719,Торг!$H:$H,0))),"")</f>
        <v/>
      </c>
      <c r="H3719" s="67" t="str">
        <f>IFERROR(IFERROR(INDEX(Кат!$I:$I,MATCH(Прайс!$B3719,Кат!$G:$G,0)),INDEX(Торг!$I:$I,MATCH(Прайс!$B3719,Торг!$H:$H,0))),"")</f>
        <v/>
      </c>
    </row>
    <row r="3720" spans="1:8" x14ac:dyDescent="0.25">
      <c r="A3720" s="94" t="s">
        <v>6454</v>
      </c>
      <c r="B3720" s="98">
        <v>32454</v>
      </c>
      <c r="C3720" s="98" t="s">
        <v>6455</v>
      </c>
      <c r="D3720" s="96" t="s">
        <v>190</v>
      </c>
      <c r="E3720" s="97">
        <v>230</v>
      </c>
      <c r="F3720" s="67" t="str">
        <f>IFERROR(IFERROR(INDEX(Кат!$A:$A,MATCH(Прайс!$B3720,Кат!$G:$G,0)),INDEX(Торг!$B:$B,MATCH(Прайс!$B3720,Торг!$H:$H,0))),"")</f>
        <v/>
      </c>
      <c r="G3720" s="67" t="str">
        <f>IFERROR(IFERROR(INDEX(Кат!$B:$B,MATCH(Прайс!$B3720,Кат!$G:$G,0)),INDEX(Торг!$C:$C,MATCH(Прайс!$B3720,Торг!$H:$H,0))),"")</f>
        <v/>
      </c>
      <c r="H3720" s="67" t="str">
        <f>IFERROR(IFERROR(INDEX(Кат!$I:$I,MATCH(Прайс!$B3720,Кат!$G:$G,0)),INDEX(Торг!$I:$I,MATCH(Прайс!$B3720,Торг!$H:$H,0))),"")</f>
        <v/>
      </c>
    </row>
    <row r="3721" spans="1:8" x14ac:dyDescent="0.25">
      <c r="A3721" s="94" t="s">
        <v>4760</v>
      </c>
      <c r="B3721" s="98">
        <v>32316</v>
      </c>
      <c r="C3721" s="98" t="s">
        <v>2011</v>
      </c>
      <c r="D3721" s="96" t="s">
        <v>190</v>
      </c>
      <c r="E3721" s="97">
        <v>170</v>
      </c>
      <c r="F3721" s="67" t="str">
        <f>IFERROR(IFERROR(INDEX(Кат!$A:$A,MATCH(Прайс!$B3721,Кат!$G:$G,0)),INDEX(Торг!$B:$B,MATCH(Прайс!$B3721,Торг!$H:$H,0))),"")</f>
        <v/>
      </c>
      <c r="G3721" s="67" t="str">
        <f>IFERROR(IFERROR(INDEX(Кат!$B:$B,MATCH(Прайс!$B3721,Кат!$G:$G,0)),INDEX(Торг!$C:$C,MATCH(Прайс!$B3721,Торг!$H:$H,0))),"")</f>
        <v/>
      </c>
      <c r="H3721" s="67" t="str">
        <f>IFERROR(IFERROR(INDEX(Кат!$I:$I,MATCH(Прайс!$B3721,Кат!$G:$G,0)),INDEX(Торг!$I:$I,MATCH(Прайс!$B3721,Торг!$H:$H,0))),"")</f>
        <v/>
      </c>
    </row>
    <row r="3722" spans="1:8" x14ac:dyDescent="0.25">
      <c r="A3722" s="94" t="s">
        <v>4761</v>
      </c>
      <c r="B3722" s="98">
        <v>32315</v>
      </c>
      <c r="C3722" s="98" t="s">
        <v>2012</v>
      </c>
      <c r="D3722" s="96" t="s">
        <v>190</v>
      </c>
      <c r="E3722" s="97">
        <v>170</v>
      </c>
      <c r="F3722" s="67" t="str">
        <f>IFERROR(IFERROR(INDEX(Кат!$A:$A,MATCH(Прайс!$B3722,Кат!$G:$G,0)),INDEX(Торг!$B:$B,MATCH(Прайс!$B3722,Торг!$H:$H,0))),"")</f>
        <v/>
      </c>
      <c r="G3722" s="67" t="str">
        <f>IFERROR(IFERROR(INDEX(Кат!$B:$B,MATCH(Прайс!$B3722,Кат!$G:$G,0)),INDEX(Торг!$C:$C,MATCH(Прайс!$B3722,Торг!$H:$H,0))),"")</f>
        <v/>
      </c>
      <c r="H3722" s="67" t="str">
        <f>IFERROR(IFERROR(INDEX(Кат!$I:$I,MATCH(Прайс!$B3722,Кат!$G:$G,0)),INDEX(Торг!$I:$I,MATCH(Прайс!$B3722,Торг!$H:$H,0))),"")</f>
        <v/>
      </c>
    </row>
    <row r="3723" spans="1:8" x14ac:dyDescent="0.25">
      <c r="A3723" s="94" t="s">
        <v>4762</v>
      </c>
      <c r="B3723" s="98">
        <v>32314</v>
      </c>
      <c r="C3723" s="98" t="s">
        <v>2013</v>
      </c>
      <c r="D3723" s="96" t="s">
        <v>190</v>
      </c>
      <c r="E3723" s="97">
        <v>160</v>
      </c>
      <c r="F3723" s="67" t="str">
        <f>IFERROR(IFERROR(INDEX(Кат!$A:$A,MATCH(Прайс!$B3723,Кат!$G:$G,0)),INDEX(Торг!$B:$B,MATCH(Прайс!$B3723,Торг!$H:$H,0))),"")</f>
        <v/>
      </c>
      <c r="G3723" s="67" t="str">
        <f>IFERROR(IFERROR(INDEX(Кат!$B:$B,MATCH(Прайс!$B3723,Кат!$G:$G,0)),INDEX(Торг!$C:$C,MATCH(Прайс!$B3723,Торг!$H:$H,0))),"")</f>
        <v/>
      </c>
      <c r="H3723" s="67" t="str">
        <f>IFERROR(IFERROR(INDEX(Кат!$I:$I,MATCH(Прайс!$B3723,Кат!$G:$G,0)),INDEX(Торг!$I:$I,MATCH(Прайс!$B3723,Торг!$H:$H,0))),"")</f>
        <v/>
      </c>
    </row>
    <row r="3724" spans="1:8" x14ac:dyDescent="0.25">
      <c r="A3724" s="103" t="s">
        <v>7964</v>
      </c>
      <c r="B3724" s="104">
        <v>32488</v>
      </c>
      <c r="C3724" s="104" t="s">
        <v>7965</v>
      </c>
      <c r="D3724" s="105" t="s">
        <v>480</v>
      </c>
      <c r="E3724" s="113">
        <v>230</v>
      </c>
      <c r="F3724" s="67" t="str">
        <f>IFERROR(IFERROR(INDEX(Кат!$A:$A,MATCH(Прайс!$B3724,Кат!$G:$G,0)),INDEX(Торг!$B:$B,MATCH(Прайс!$B3724,Торг!$H:$H,0))),"")</f>
        <v/>
      </c>
      <c r="G3724" s="67" t="str">
        <f>IFERROR(IFERROR(INDEX(Кат!$B:$B,MATCH(Прайс!$B3724,Кат!$G:$G,0)),INDEX(Торг!$C:$C,MATCH(Прайс!$B3724,Торг!$H:$H,0))),"")</f>
        <v/>
      </c>
      <c r="H3724" s="67" t="str">
        <f>IFERROR(IFERROR(INDEX(Кат!$I:$I,MATCH(Прайс!$B3724,Кат!$G:$G,0)),INDEX(Торг!$I:$I,MATCH(Прайс!$B3724,Торг!$H:$H,0))),"")</f>
        <v/>
      </c>
    </row>
    <row r="3725" spans="1:8" x14ac:dyDescent="0.25">
      <c r="A3725" s="103" t="s">
        <v>7966</v>
      </c>
      <c r="B3725" s="104">
        <v>32487</v>
      </c>
      <c r="C3725" s="104" t="s">
        <v>7967</v>
      </c>
      <c r="D3725" s="105" t="s">
        <v>480</v>
      </c>
      <c r="E3725" s="113">
        <v>200</v>
      </c>
      <c r="F3725" s="67" t="str">
        <f>IFERROR(IFERROR(INDEX(Кат!$A:$A,MATCH(Прайс!$B3725,Кат!$G:$G,0)),INDEX(Торг!$B:$B,MATCH(Прайс!$B3725,Торг!$H:$H,0))),"")</f>
        <v/>
      </c>
      <c r="G3725" s="67" t="str">
        <f>IFERROR(IFERROR(INDEX(Кат!$B:$B,MATCH(Прайс!$B3725,Кат!$G:$G,0)),INDEX(Торг!$C:$C,MATCH(Прайс!$B3725,Торг!$H:$H,0))),"")</f>
        <v/>
      </c>
      <c r="H3725" s="67" t="str">
        <f>IFERROR(IFERROR(INDEX(Кат!$I:$I,MATCH(Прайс!$B3725,Кат!$G:$G,0)),INDEX(Торг!$I:$I,MATCH(Прайс!$B3725,Торг!$H:$H,0))),"")</f>
        <v/>
      </c>
    </row>
    <row r="3726" spans="1:8" x14ac:dyDescent="0.25">
      <c r="A3726" s="94" t="s">
        <v>6016</v>
      </c>
      <c r="B3726" s="98">
        <v>32429</v>
      </c>
      <c r="C3726" s="98" t="s">
        <v>6017</v>
      </c>
      <c r="D3726" s="96" t="s">
        <v>161</v>
      </c>
      <c r="E3726" s="97">
        <v>120</v>
      </c>
      <c r="F3726" s="67" t="str">
        <f>IFERROR(IFERROR(INDEX(Кат!$A:$A,MATCH(Прайс!$B3726,Кат!$G:$G,0)),INDEX(Торг!$B:$B,MATCH(Прайс!$B3726,Торг!$H:$H,0))),"")</f>
        <v/>
      </c>
      <c r="G3726" s="67" t="str">
        <f>IFERROR(IFERROR(INDEX(Кат!$B:$B,MATCH(Прайс!$B3726,Кат!$G:$G,0)),INDEX(Торг!$C:$C,MATCH(Прайс!$B3726,Торг!$H:$H,0))),"")</f>
        <v/>
      </c>
      <c r="H3726" s="67" t="str">
        <f>IFERROR(IFERROR(INDEX(Кат!$I:$I,MATCH(Прайс!$B3726,Кат!$G:$G,0)),INDEX(Торг!$I:$I,MATCH(Прайс!$B3726,Торг!$H:$H,0))),"")</f>
        <v/>
      </c>
    </row>
    <row r="3727" spans="1:8" x14ac:dyDescent="0.25">
      <c r="A3727" s="94" t="s">
        <v>4763</v>
      </c>
      <c r="B3727" s="98">
        <v>32349</v>
      </c>
      <c r="C3727" s="98" t="s">
        <v>2014</v>
      </c>
      <c r="D3727" s="96" t="s">
        <v>190</v>
      </c>
      <c r="E3727" s="97">
        <v>120</v>
      </c>
      <c r="F3727" s="67" t="str">
        <f>IFERROR(IFERROR(INDEX(Кат!$A:$A,MATCH(Прайс!$B3727,Кат!$G:$G,0)),INDEX(Торг!$B:$B,MATCH(Прайс!$B3727,Торг!$H:$H,0))),"")</f>
        <v/>
      </c>
      <c r="G3727" s="67" t="str">
        <f>IFERROR(IFERROR(INDEX(Кат!$B:$B,MATCH(Прайс!$B3727,Кат!$G:$G,0)),INDEX(Торг!$C:$C,MATCH(Прайс!$B3727,Торг!$H:$H,0))),"")</f>
        <v/>
      </c>
      <c r="H3727" s="67" t="str">
        <f>IFERROR(IFERROR(INDEX(Кат!$I:$I,MATCH(Прайс!$B3727,Кат!$G:$G,0)),INDEX(Торг!$I:$I,MATCH(Прайс!$B3727,Торг!$H:$H,0))),"")</f>
        <v/>
      </c>
    </row>
    <row r="3728" spans="1:8" x14ac:dyDescent="0.25">
      <c r="A3728" s="94" t="s">
        <v>4764</v>
      </c>
      <c r="B3728" s="98">
        <v>32351</v>
      </c>
      <c r="C3728" s="98" t="s">
        <v>2015</v>
      </c>
      <c r="D3728" s="96" t="s">
        <v>190</v>
      </c>
      <c r="E3728" s="97">
        <v>130</v>
      </c>
      <c r="F3728" s="67" t="str">
        <f>IFERROR(IFERROR(INDEX(Кат!$A:$A,MATCH(Прайс!$B3728,Кат!$G:$G,0)),INDEX(Торг!$B:$B,MATCH(Прайс!$B3728,Торг!$H:$H,0))),"")</f>
        <v/>
      </c>
      <c r="G3728" s="67" t="str">
        <f>IFERROR(IFERROR(INDEX(Кат!$B:$B,MATCH(Прайс!$B3728,Кат!$G:$G,0)),INDEX(Торг!$C:$C,MATCH(Прайс!$B3728,Торг!$H:$H,0))),"")</f>
        <v/>
      </c>
      <c r="H3728" s="67" t="str">
        <f>IFERROR(IFERROR(INDEX(Кат!$I:$I,MATCH(Прайс!$B3728,Кат!$G:$G,0)),INDEX(Торг!$I:$I,MATCH(Прайс!$B3728,Торг!$H:$H,0))),"")</f>
        <v/>
      </c>
    </row>
    <row r="3729" spans="1:8" x14ac:dyDescent="0.25">
      <c r="A3729" s="94" t="s">
        <v>4765</v>
      </c>
      <c r="B3729" s="98">
        <v>32348</v>
      </c>
      <c r="C3729" s="98" t="s">
        <v>2016</v>
      </c>
      <c r="D3729" s="96" t="s">
        <v>190</v>
      </c>
      <c r="E3729" s="97">
        <v>110</v>
      </c>
      <c r="F3729" s="67" t="str">
        <f>IFERROR(IFERROR(INDEX(Кат!$A:$A,MATCH(Прайс!$B3729,Кат!$G:$G,0)),INDEX(Торг!$B:$B,MATCH(Прайс!$B3729,Торг!$H:$H,0))),"")</f>
        <v/>
      </c>
      <c r="G3729" s="67" t="str">
        <f>IFERROR(IFERROR(INDEX(Кат!$B:$B,MATCH(Прайс!$B3729,Кат!$G:$G,0)),INDEX(Торг!$C:$C,MATCH(Прайс!$B3729,Торг!$H:$H,0))),"")</f>
        <v/>
      </c>
      <c r="H3729" s="67" t="str">
        <f>IFERROR(IFERROR(INDEX(Кат!$I:$I,MATCH(Прайс!$B3729,Кат!$G:$G,0)),INDEX(Торг!$I:$I,MATCH(Прайс!$B3729,Торг!$H:$H,0))),"")</f>
        <v/>
      </c>
    </row>
    <row r="3730" spans="1:8" x14ac:dyDescent="0.25">
      <c r="A3730" s="94" t="s">
        <v>4766</v>
      </c>
      <c r="B3730" s="98">
        <v>32350</v>
      </c>
      <c r="C3730" s="98" t="s">
        <v>2017</v>
      </c>
      <c r="D3730" s="96" t="s">
        <v>161</v>
      </c>
      <c r="E3730" s="97">
        <v>130</v>
      </c>
      <c r="F3730" s="67" t="str">
        <f>IFERROR(IFERROR(INDEX(Кат!$A:$A,MATCH(Прайс!$B3730,Кат!$G:$G,0)),INDEX(Торг!$B:$B,MATCH(Прайс!$B3730,Торг!$H:$H,0))),"")</f>
        <v/>
      </c>
      <c r="G3730" s="67" t="str">
        <f>IFERROR(IFERROR(INDEX(Кат!$B:$B,MATCH(Прайс!$B3730,Кат!$G:$G,0)),INDEX(Торг!$C:$C,MATCH(Прайс!$B3730,Торг!$H:$H,0))),"")</f>
        <v/>
      </c>
      <c r="H3730" s="67" t="str">
        <f>IFERROR(IFERROR(INDEX(Кат!$I:$I,MATCH(Прайс!$B3730,Кат!$G:$G,0)),INDEX(Торг!$I:$I,MATCH(Прайс!$B3730,Торг!$H:$H,0))),"")</f>
        <v/>
      </c>
    </row>
    <row r="3731" spans="1:8" x14ac:dyDescent="0.25">
      <c r="A3731" s="103" t="s">
        <v>4767</v>
      </c>
      <c r="B3731" s="104">
        <v>32392</v>
      </c>
      <c r="C3731" s="104" t="s">
        <v>2018</v>
      </c>
      <c r="D3731" s="105" t="s">
        <v>190</v>
      </c>
      <c r="E3731" s="113">
        <v>160</v>
      </c>
      <c r="F3731" s="67" t="str">
        <f>IFERROR(IFERROR(INDEX(Кат!$A:$A,MATCH(Прайс!$B3731,Кат!$G:$G,0)),INDEX(Торг!$B:$B,MATCH(Прайс!$B3731,Торг!$H:$H,0))),"")</f>
        <v/>
      </c>
      <c r="G3731" s="67" t="str">
        <f>IFERROR(IFERROR(INDEX(Кат!$B:$B,MATCH(Прайс!$B3731,Кат!$G:$G,0)),INDEX(Торг!$C:$C,MATCH(Прайс!$B3731,Торг!$H:$H,0))),"")</f>
        <v/>
      </c>
      <c r="H3731" s="67" t="str">
        <f>IFERROR(IFERROR(INDEX(Кат!$I:$I,MATCH(Прайс!$B3731,Кат!$G:$G,0)),INDEX(Торг!$I:$I,MATCH(Прайс!$B3731,Торг!$H:$H,0))),"")</f>
        <v/>
      </c>
    </row>
    <row r="3732" spans="1:8" x14ac:dyDescent="0.25">
      <c r="A3732" s="103" t="s">
        <v>4768</v>
      </c>
      <c r="B3732" s="104">
        <v>32394</v>
      </c>
      <c r="C3732" s="104" t="s">
        <v>2019</v>
      </c>
      <c r="D3732" s="105" t="s">
        <v>190</v>
      </c>
      <c r="E3732" s="113">
        <v>130</v>
      </c>
      <c r="F3732" s="67" t="str">
        <f>IFERROR(IFERROR(INDEX(Кат!$A:$A,MATCH(Прайс!$B3732,Кат!$G:$G,0)),INDEX(Торг!$B:$B,MATCH(Прайс!$B3732,Торг!$H:$H,0))),"")</f>
        <v/>
      </c>
      <c r="G3732" s="67" t="str">
        <f>IFERROR(IFERROR(INDEX(Кат!$B:$B,MATCH(Прайс!$B3732,Кат!$G:$G,0)),INDEX(Торг!$C:$C,MATCH(Прайс!$B3732,Торг!$H:$H,0))),"")</f>
        <v/>
      </c>
      <c r="H3732" s="67" t="str">
        <f>IFERROR(IFERROR(INDEX(Кат!$I:$I,MATCH(Прайс!$B3732,Кат!$G:$G,0)),INDEX(Торг!$I:$I,MATCH(Прайс!$B3732,Торг!$H:$H,0))),"")</f>
        <v/>
      </c>
    </row>
    <row r="3733" spans="1:8" x14ac:dyDescent="0.25">
      <c r="A3733" s="94" t="s">
        <v>4769</v>
      </c>
      <c r="B3733" s="98">
        <v>20456</v>
      </c>
      <c r="C3733" s="98" t="s">
        <v>2020</v>
      </c>
      <c r="D3733" s="96" t="s">
        <v>190</v>
      </c>
      <c r="E3733" s="97">
        <v>210</v>
      </c>
      <c r="F3733" s="67" t="str">
        <f>IFERROR(IFERROR(INDEX(Кат!$A:$A,MATCH(Прайс!$B3733,Кат!$G:$G,0)),INDEX(Торг!$B:$B,MATCH(Прайс!$B3733,Торг!$H:$H,0))),"")</f>
        <v/>
      </c>
      <c r="G3733" s="67" t="str">
        <f>IFERROR(IFERROR(INDEX(Кат!$B:$B,MATCH(Прайс!$B3733,Кат!$G:$G,0)),INDEX(Торг!$C:$C,MATCH(Прайс!$B3733,Торг!$H:$H,0))),"")</f>
        <v/>
      </c>
      <c r="H3733" s="67" t="str">
        <f>IFERROR(IFERROR(INDEX(Кат!$I:$I,MATCH(Прайс!$B3733,Кат!$G:$G,0)),INDEX(Торг!$I:$I,MATCH(Прайс!$B3733,Торг!$H:$H,0))),"")</f>
        <v/>
      </c>
    </row>
    <row r="3734" spans="1:8" x14ac:dyDescent="0.25">
      <c r="A3734" s="103" t="s">
        <v>4770</v>
      </c>
      <c r="B3734" s="104">
        <v>20455</v>
      </c>
      <c r="C3734" s="104" t="s">
        <v>2021</v>
      </c>
      <c r="D3734" s="105" t="s">
        <v>161</v>
      </c>
      <c r="E3734" s="113">
        <v>200</v>
      </c>
      <c r="F3734" s="67" t="str">
        <f>IFERROR(IFERROR(INDEX(Кат!$A:$A,MATCH(Прайс!$B3734,Кат!$G:$G,0)),INDEX(Торг!$B:$B,MATCH(Прайс!$B3734,Торг!$H:$H,0))),"")</f>
        <v/>
      </c>
      <c r="G3734" s="67" t="str">
        <f>IFERROR(IFERROR(INDEX(Кат!$B:$B,MATCH(Прайс!$B3734,Кат!$G:$G,0)),INDEX(Торг!$C:$C,MATCH(Прайс!$B3734,Торг!$H:$H,0))),"")</f>
        <v/>
      </c>
      <c r="H3734" s="67" t="str">
        <f>IFERROR(IFERROR(INDEX(Кат!$I:$I,MATCH(Прайс!$B3734,Кат!$G:$G,0)),INDEX(Торг!$I:$I,MATCH(Прайс!$B3734,Торг!$H:$H,0))),"")</f>
        <v/>
      </c>
    </row>
    <row r="3735" spans="1:8" x14ac:dyDescent="0.25">
      <c r="A3735" s="94" t="s">
        <v>4771</v>
      </c>
      <c r="B3735" s="98">
        <v>32397</v>
      </c>
      <c r="C3735" s="98" t="s">
        <v>2022</v>
      </c>
      <c r="D3735" s="96" t="s">
        <v>161</v>
      </c>
      <c r="E3735" s="97">
        <v>210</v>
      </c>
      <c r="F3735" s="67" t="str">
        <f>IFERROR(IFERROR(INDEX(Кат!$A:$A,MATCH(Прайс!$B3735,Кат!$G:$G,0)),INDEX(Торг!$B:$B,MATCH(Прайс!$B3735,Торг!$H:$H,0))),"")</f>
        <v/>
      </c>
      <c r="G3735" s="67" t="str">
        <f>IFERROR(IFERROR(INDEX(Кат!$B:$B,MATCH(Прайс!$B3735,Кат!$G:$G,0)),INDEX(Торг!$C:$C,MATCH(Прайс!$B3735,Торг!$H:$H,0))),"")</f>
        <v/>
      </c>
      <c r="H3735" s="67" t="str">
        <f>IFERROR(IFERROR(INDEX(Кат!$I:$I,MATCH(Прайс!$B3735,Кат!$G:$G,0)),INDEX(Торг!$I:$I,MATCH(Прайс!$B3735,Торг!$H:$H,0))),"")</f>
        <v/>
      </c>
    </row>
    <row r="3736" spans="1:8" x14ac:dyDescent="0.25">
      <c r="A3736" s="103" t="s">
        <v>4772</v>
      </c>
      <c r="B3736" s="104">
        <v>32395</v>
      </c>
      <c r="C3736" s="104" t="s">
        <v>2023</v>
      </c>
      <c r="D3736" s="105" t="s">
        <v>161</v>
      </c>
      <c r="E3736" s="113">
        <v>210</v>
      </c>
      <c r="F3736" s="67" t="str">
        <f>IFERROR(IFERROR(INDEX(Кат!$A:$A,MATCH(Прайс!$B3736,Кат!$G:$G,0)),INDEX(Торг!$B:$B,MATCH(Прайс!$B3736,Торг!$H:$H,0))),"")</f>
        <v/>
      </c>
      <c r="G3736" s="67" t="str">
        <f>IFERROR(IFERROR(INDEX(Кат!$B:$B,MATCH(Прайс!$B3736,Кат!$G:$G,0)),INDEX(Торг!$C:$C,MATCH(Прайс!$B3736,Торг!$H:$H,0))),"")</f>
        <v/>
      </c>
      <c r="H3736" s="67" t="str">
        <f>IFERROR(IFERROR(INDEX(Кат!$I:$I,MATCH(Прайс!$B3736,Кат!$G:$G,0)),INDEX(Торг!$I:$I,MATCH(Прайс!$B3736,Торг!$H:$H,0))),"")</f>
        <v/>
      </c>
    </row>
    <row r="3737" spans="1:8" x14ac:dyDescent="0.25">
      <c r="A3737" s="103" t="s">
        <v>4773</v>
      </c>
      <c r="B3737" s="104">
        <v>32396</v>
      </c>
      <c r="C3737" s="104" t="s">
        <v>2024</v>
      </c>
      <c r="D3737" s="105" t="s">
        <v>161</v>
      </c>
      <c r="E3737" s="113">
        <v>210</v>
      </c>
      <c r="F3737" s="67" t="str">
        <f>IFERROR(IFERROR(INDEX(Кат!$A:$A,MATCH(Прайс!$B3737,Кат!$G:$G,0)),INDEX(Торг!$B:$B,MATCH(Прайс!$B3737,Торг!$H:$H,0))),"")</f>
        <v/>
      </c>
      <c r="G3737" s="67" t="str">
        <f>IFERROR(IFERROR(INDEX(Кат!$B:$B,MATCH(Прайс!$B3737,Кат!$G:$G,0)),INDEX(Торг!$C:$C,MATCH(Прайс!$B3737,Торг!$H:$H,0))),"")</f>
        <v/>
      </c>
      <c r="H3737" s="67" t="str">
        <f>IFERROR(IFERROR(INDEX(Кат!$I:$I,MATCH(Прайс!$B3737,Кат!$G:$G,0)),INDEX(Торг!$I:$I,MATCH(Прайс!$B3737,Торг!$H:$H,0))),"")</f>
        <v/>
      </c>
    </row>
    <row r="3738" spans="1:8" x14ac:dyDescent="0.25">
      <c r="A3738" s="94" t="s">
        <v>6456</v>
      </c>
      <c r="B3738" s="98">
        <v>32468</v>
      </c>
      <c r="C3738" s="98" t="s">
        <v>7968</v>
      </c>
      <c r="D3738" s="96" t="s">
        <v>190</v>
      </c>
      <c r="E3738" s="97">
        <v>60</v>
      </c>
      <c r="F3738" s="67" t="str">
        <f>IFERROR(IFERROR(INDEX(Кат!$A:$A,MATCH(Прайс!$B3738,Кат!$G:$G,0)),INDEX(Торг!$B:$B,MATCH(Прайс!$B3738,Торг!$H:$H,0))),"")</f>
        <v/>
      </c>
      <c r="G3738" s="67" t="str">
        <f>IFERROR(IFERROR(INDEX(Кат!$B:$B,MATCH(Прайс!$B3738,Кат!$G:$G,0)),INDEX(Торг!$C:$C,MATCH(Прайс!$B3738,Торг!$H:$H,0))),"")</f>
        <v/>
      </c>
      <c r="H3738" s="67" t="str">
        <f>IFERROR(IFERROR(INDEX(Кат!$I:$I,MATCH(Прайс!$B3738,Кат!$G:$G,0)),INDEX(Торг!$I:$I,MATCH(Прайс!$B3738,Торг!$H:$H,0))),"")</f>
        <v/>
      </c>
    </row>
    <row r="3739" spans="1:8" x14ac:dyDescent="0.25">
      <c r="A3739" s="99" t="s">
        <v>7969</v>
      </c>
      <c r="B3739" s="108">
        <v>32516</v>
      </c>
      <c r="C3739" s="108" t="s">
        <v>7970</v>
      </c>
      <c r="D3739" s="101" t="s">
        <v>161</v>
      </c>
      <c r="E3739" s="102">
        <v>70</v>
      </c>
      <c r="F3739" s="67" t="str">
        <f>IFERROR(IFERROR(INDEX(Кат!$A:$A,MATCH(Прайс!$B3739,Кат!$G:$G,0)),INDEX(Торг!$B:$B,MATCH(Прайс!$B3739,Торг!$H:$H,0))),"")</f>
        <v/>
      </c>
      <c r="G3739" s="67" t="str">
        <f>IFERROR(IFERROR(INDEX(Кат!$B:$B,MATCH(Прайс!$B3739,Кат!$G:$G,0)),INDEX(Торг!$C:$C,MATCH(Прайс!$B3739,Торг!$H:$H,0))),"")</f>
        <v/>
      </c>
      <c r="H3739" s="67" t="str">
        <f>IFERROR(IFERROR(INDEX(Кат!$I:$I,MATCH(Прайс!$B3739,Кат!$G:$G,0)),INDEX(Торг!$I:$I,MATCH(Прайс!$B3739,Торг!$H:$H,0))),"")</f>
        <v/>
      </c>
    </row>
    <row r="3740" spans="1:8" x14ac:dyDescent="0.25">
      <c r="A3740" s="94" t="s">
        <v>7971</v>
      </c>
      <c r="B3740" s="98">
        <v>32515</v>
      </c>
      <c r="C3740" s="98" t="s">
        <v>7972</v>
      </c>
      <c r="D3740" s="96" t="s">
        <v>161</v>
      </c>
      <c r="E3740" s="97">
        <v>60</v>
      </c>
      <c r="F3740" s="67" t="str">
        <f>IFERROR(IFERROR(INDEX(Кат!$A:$A,MATCH(Прайс!$B3740,Кат!$G:$G,0)),INDEX(Торг!$B:$B,MATCH(Прайс!$B3740,Торг!$H:$H,0))),"")</f>
        <v/>
      </c>
      <c r="G3740" s="67" t="str">
        <f>IFERROR(IFERROR(INDEX(Кат!$B:$B,MATCH(Прайс!$B3740,Кат!$G:$G,0)),INDEX(Торг!$C:$C,MATCH(Прайс!$B3740,Торг!$H:$H,0))),"")</f>
        <v/>
      </c>
      <c r="H3740" s="67" t="str">
        <f>IFERROR(IFERROR(INDEX(Кат!$I:$I,MATCH(Прайс!$B3740,Кат!$G:$G,0)),INDEX(Торг!$I:$I,MATCH(Прайс!$B3740,Торг!$H:$H,0))),"")</f>
        <v/>
      </c>
    </row>
    <row r="3741" spans="1:8" x14ac:dyDescent="0.25">
      <c r="A3741" s="94" t="s">
        <v>7973</v>
      </c>
      <c r="B3741" s="98">
        <v>32287</v>
      </c>
      <c r="C3741" s="98" t="s">
        <v>7974</v>
      </c>
      <c r="D3741" s="96" t="s">
        <v>190</v>
      </c>
      <c r="E3741" s="97">
        <v>50</v>
      </c>
      <c r="F3741" s="67" t="str">
        <f>IFERROR(IFERROR(INDEX(Кат!$A:$A,MATCH(Прайс!$B3741,Кат!$G:$G,0)),INDEX(Торг!$B:$B,MATCH(Прайс!$B3741,Торг!$H:$H,0))),"")</f>
        <v/>
      </c>
      <c r="G3741" s="67" t="str">
        <f>IFERROR(IFERROR(INDEX(Кат!$B:$B,MATCH(Прайс!$B3741,Кат!$G:$G,0)),INDEX(Торг!$C:$C,MATCH(Прайс!$B3741,Торг!$H:$H,0))),"")</f>
        <v/>
      </c>
      <c r="H3741" s="67" t="str">
        <f>IFERROR(IFERROR(INDEX(Кат!$I:$I,MATCH(Прайс!$B3741,Кат!$G:$G,0)),INDEX(Торг!$I:$I,MATCH(Прайс!$B3741,Торг!$H:$H,0))),"")</f>
        <v/>
      </c>
    </row>
    <row r="3742" spans="1:8" x14ac:dyDescent="0.25">
      <c r="A3742" s="94" t="s">
        <v>4781</v>
      </c>
      <c r="B3742" s="98">
        <v>32059</v>
      </c>
      <c r="C3742" s="98" t="s">
        <v>7975</v>
      </c>
      <c r="D3742" s="96" t="s">
        <v>190</v>
      </c>
      <c r="E3742" s="97">
        <v>60</v>
      </c>
      <c r="F3742" s="67" t="str">
        <f>IFERROR(IFERROR(INDEX(Кат!$A:$A,MATCH(Прайс!$B3742,Кат!$G:$G,0)),INDEX(Торг!$B:$B,MATCH(Прайс!$B3742,Торг!$H:$H,0))),"")</f>
        <v/>
      </c>
      <c r="G3742" s="67" t="str">
        <f>IFERROR(IFERROR(INDEX(Кат!$B:$B,MATCH(Прайс!$B3742,Кат!$G:$G,0)),INDEX(Торг!$C:$C,MATCH(Прайс!$B3742,Торг!$H:$H,0))),"")</f>
        <v/>
      </c>
      <c r="H3742" s="67" t="str">
        <f>IFERROR(IFERROR(INDEX(Кат!$I:$I,MATCH(Прайс!$B3742,Кат!$G:$G,0)),INDEX(Торг!$I:$I,MATCH(Прайс!$B3742,Торг!$H:$H,0))),"")</f>
        <v/>
      </c>
    </row>
    <row r="3743" spans="1:8" x14ac:dyDescent="0.25">
      <c r="A3743" s="94" t="s">
        <v>4782</v>
      </c>
      <c r="B3743" s="98">
        <v>32151</v>
      </c>
      <c r="C3743" s="98" t="s">
        <v>7163</v>
      </c>
      <c r="D3743" s="96" t="s">
        <v>190</v>
      </c>
      <c r="E3743" s="97">
        <v>80</v>
      </c>
      <c r="F3743" s="67" t="str">
        <f>IFERROR(IFERROR(INDEX(Кат!$A:$A,MATCH(Прайс!$B3743,Кат!$G:$G,0)),INDEX(Торг!$B:$B,MATCH(Прайс!$B3743,Торг!$H:$H,0))),"")</f>
        <v/>
      </c>
      <c r="G3743" s="67" t="str">
        <f>IFERROR(IFERROR(INDEX(Кат!$B:$B,MATCH(Прайс!$B3743,Кат!$G:$G,0)),INDEX(Торг!$C:$C,MATCH(Прайс!$B3743,Торг!$H:$H,0))),"")</f>
        <v/>
      </c>
      <c r="H3743" s="67" t="str">
        <f>IFERROR(IFERROR(INDEX(Кат!$I:$I,MATCH(Прайс!$B3743,Кат!$G:$G,0)),INDEX(Торг!$I:$I,MATCH(Прайс!$B3743,Торг!$H:$H,0))),"")</f>
        <v/>
      </c>
    </row>
    <row r="3744" spans="1:8" x14ac:dyDescent="0.25">
      <c r="A3744" s="94" t="s">
        <v>4783</v>
      </c>
      <c r="B3744" s="98">
        <v>32152</v>
      </c>
      <c r="C3744" s="98" t="s">
        <v>7164</v>
      </c>
      <c r="D3744" s="96" t="s">
        <v>190</v>
      </c>
      <c r="E3744" s="97">
        <v>70</v>
      </c>
      <c r="F3744" s="67" t="str">
        <f>IFERROR(IFERROR(INDEX(Кат!$A:$A,MATCH(Прайс!$B3744,Кат!$G:$G,0)),INDEX(Торг!$B:$B,MATCH(Прайс!$B3744,Торг!$H:$H,0))),"")</f>
        <v/>
      </c>
      <c r="G3744" s="67" t="str">
        <f>IFERROR(IFERROR(INDEX(Кат!$B:$B,MATCH(Прайс!$B3744,Кат!$G:$G,0)),INDEX(Торг!$C:$C,MATCH(Прайс!$B3744,Торг!$H:$H,0))),"")</f>
        <v/>
      </c>
      <c r="H3744" s="67" t="str">
        <f>IFERROR(IFERROR(INDEX(Кат!$I:$I,MATCH(Прайс!$B3744,Кат!$G:$G,0)),INDEX(Торг!$I:$I,MATCH(Прайс!$B3744,Торг!$H:$H,0))),"")</f>
        <v/>
      </c>
    </row>
    <row r="3745" spans="1:8" x14ac:dyDescent="0.25">
      <c r="A3745" s="103" t="s">
        <v>4774</v>
      </c>
      <c r="B3745" s="104">
        <v>32185</v>
      </c>
      <c r="C3745" s="104" t="s">
        <v>2025</v>
      </c>
      <c r="D3745" s="105" t="s">
        <v>190</v>
      </c>
      <c r="E3745" s="113">
        <v>120</v>
      </c>
      <c r="F3745" s="67" t="str">
        <f>IFERROR(IFERROR(INDEX(Кат!$A:$A,MATCH(Прайс!$B3745,Кат!$G:$G,0)),INDEX(Торг!$B:$B,MATCH(Прайс!$B3745,Торг!$H:$H,0))),"")</f>
        <v/>
      </c>
      <c r="G3745" s="67" t="str">
        <f>IFERROR(IFERROR(INDEX(Кат!$B:$B,MATCH(Прайс!$B3745,Кат!$G:$G,0)),INDEX(Торг!$C:$C,MATCH(Прайс!$B3745,Торг!$H:$H,0))),"")</f>
        <v/>
      </c>
      <c r="H3745" s="67" t="str">
        <f>IFERROR(IFERROR(INDEX(Кат!$I:$I,MATCH(Прайс!$B3745,Кат!$G:$G,0)),INDEX(Торг!$I:$I,MATCH(Прайс!$B3745,Торг!$H:$H,0))),"")</f>
        <v/>
      </c>
    </row>
    <row r="3746" spans="1:8" x14ac:dyDescent="0.25">
      <c r="A3746" s="103" t="s">
        <v>4775</v>
      </c>
      <c r="B3746" s="104">
        <v>32353</v>
      </c>
      <c r="C3746" s="104" t="s">
        <v>2026</v>
      </c>
      <c r="D3746" s="105" t="s">
        <v>190</v>
      </c>
      <c r="E3746" s="113">
        <v>400</v>
      </c>
      <c r="F3746" s="67" t="str">
        <f>IFERROR(IFERROR(INDEX(Кат!$A:$A,MATCH(Прайс!$B3746,Кат!$G:$G,0)),INDEX(Торг!$B:$B,MATCH(Прайс!$B3746,Торг!$H:$H,0))),"")</f>
        <v/>
      </c>
      <c r="G3746" s="67" t="str">
        <f>IFERROR(IFERROR(INDEX(Кат!$B:$B,MATCH(Прайс!$B3746,Кат!$G:$G,0)),INDEX(Торг!$C:$C,MATCH(Прайс!$B3746,Торг!$H:$H,0))),"")</f>
        <v/>
      </c>
      <c r="H3746" s="67" t="str">
        <f>IFERROR(IFERROR(INDEX(Кат!$I:$I,MATCH(Прайс!$B3746,Кат!$G:$G,0)),INDEX(Торг!$I:$I,MATCH(Прайс!$B3746,Торг!$H:$H,0))),"")</f>
        <v/>
      </c>
    </row>
    <row r="3747" spans="1:8" x14ac:dyDescent="0.25">
      <c r="A3747" s="103" t="s">
        <v>4776</v>
      </c>
      <c r="B3747" s="104">
        <v>32352</v>
      </c>
      <c r="C3747" s="104" t="s">
        <v>2027</v>
      </c>
      <c r="D3747" s="105" t="s">
        <v>161</v>
      </c>
      <c r="E3747" s="113">
        <v>400</v>
      </c>
      <c r="F3747" s="67" t="str">
        <f>IFERROR(IFERROR(INDEX(Кат!$A:$A,MATCH(Прайс!$B3747,Кат!$G:$G,0)),INDEX(Торг!$B:$B,MATCH(Прайс!$B3747,Торг!$H:$H,0))),"")</f>
        <v/>
      </c>
      <c r="G3747" s="67" t="str">
        <f>IFERROR(IFERROR(INDEX(Кат!$B:$B,MATCH(Прайс!$B3747,Кат!$G:$G,0)),INDEX(Торг!$C:$C,MATCH(Прайс!$B3747,Торг!$H:$H,0))),"")</f>
        <v/>
      </c>
      <c r="H3747" s="67" t="str">
        <f>IFERROR(IFERROR(INDEX(Кат!$I:$I,MATCH(Прайс!$B3747,Кат!$G:$G,0)),INDEX(Торг!$I:$I,MATCH(Прайс!$B3747,Торг!$H:$H,0))),"")</f>
        <v/>
      </c>
    </row>
    <row r="3748" spans="1:8" x14ac:dyDescent="0.25">
      <c r="A3748" s="94" t="s">
        <v>7165</v>
      </c>
      <c r="B3748" s="98">
        <v>32159</v>
      </c>
      <c r="C3748" s="98" t="s">
        <v>7976</v>
      </c>
      <c r="D3748" s="96" t="s">
        <v>190</v>
      </c>
      <c r="E3748" s="97">
        <v>70</v>
      </c>
      <c r="F3748" s="67" t="str">
        <f>IFERROR(IFERROR(INDEX(Кат!$A:$A,MATCH(Прайс!$B3748,Кат!$G:$G,0)),INDEX(Торг!$B:$B,MATCH(Прайс!$B3748,Торг!$H:$H,0))),"")</f>
        <v/>
      </c>
      <c r="G3748" s="67" t="str">
        <f>IFERROR(IFERROR(INDEX(Кат!$B:$B,MATCH(Прайс!$B3748,Кат!$G:$G,0)),INDEX(Торг!$C:$C,MATCH(Прайс!$B3748,Торг!$H:$H,0))),"")</f>
        <v/>
      </c>
      <c r="H3748" s="67" t="str">
        <f>IFERROR(IFERROR(INDEX(Кат!$I:$I,MATCH(Прайс!$B3748,Кат!$G:$G,0)),INDEX(Торг!$I:$I,MATCH(Прайс!$B3748,Торг!$H:$H,0))),"")</f>
        <v/>
      </c>
    </row>
    <row r="3749" spans="1:8" x14ac:dyDescent="0.25">
      <c r="A3749" s="94" t="s">
        <v>6457</v>
      </c>
      <c r="B3749" s="98">
        <v>32149</v>
      </c>
      <c r="C3749" s="98" t="s">
        <v>7977</v>
      </c>
      <c r="D3749" s="96" t="s">
        <v>190</v>
      </c>
      <c r="E3749" s="97">
        <v>70</v>
      </c>
      <c r="F3749" s="67" t="str">
        <f>IFERROR(IFERROR(INDEX(Кат!$A:$A,MATCH(Прайс!$B3749,Кат!$G:$G,0)),INDEX(Торг!$B:$B,MATCH(Прайс!$B3749,Торг!$H:$H,0))),"")</f>
        <v/>
      </c>
      <c r="G3749" s="67" t="str">
        <f>IFERROR(IFERROR(INDEX(Кат!$B:$B,MATCH(Прайс!$B3749,Кат!$G:$G,0)),INDEX(Торг!$C:$C,MATCH(Прайс!$B3749,Торг!$H:$H,0))),"")</f>
        <v/>
      </c>
      <c r="H3749" s="67" t="str">
        <f>IFERROR(IFERROR(INDEX(Кат!$I:$I,MATCH(Прайс!$B3749,Кат!$G:$G,0)),INDEX(Торг!$I:$I,MATCH(Прайс!$B3749,Торг!$H:$H,0))),"")</f>
        <v/>
      </c>
    </row>
    <row r="3750" spans="1:8" x14ac:dyDescent="0.25">
      <c r="A3750" s="94" t="s">
        <v>6458</v>
      </c>
      <c r="B3750" s="98">
        <v>32150</v>
      </c>
      <c r="C3750" s="98" t="s">
        <v>7978</v>
      </c>
      <c r="D3750" s="96" t="s">
        <v>190</v>
      </c>
      <c r="E3750" s="97">
        <v>60</v>
      </c>
      <c r="F3750" s="67" t="str">
        <f>IFERROR(IFERROR(INDEX(Кат!$A:$A,MATCH(Прайс!$B3750,Кат!$G:$G,0)),INDEX(Торг!$B:$B,MATCH(Прайс!$B3750,Торг!$H:$H,0))),"")</f>
        <v/>
      </c>
      <c r="G3750" s="67" t="str">
        <f>IFERROR(IFERROR(INDEX(Кат!$B:$B,MATCH(Прайс!$B3750,Кат!$G:$G,0)),INDEX(Торг!$C:$C,MATCH(Прайс!$B3750,Торг!$H:$H,0))),"")</f>
        <v/>
      </c>
      <c r="H3750" s="67" t="str">
        <f>IFERROR(IFERROR(INDEX(Кат!$I:$I,MATCH(Прайс!$B3750,Кат!$G:$G,0)),INDEX(Торг!$I:$I,MATCH(Прайс!$B3750,Торг!$H:$H,0))),"")</f>
        <v/>
      </c>
    </row>
    <row r="3751" spans="1:8" x14ac:dyDescent="0.25">
      <c r="A3751" s="94" t="s">
        <v>4750</v>
      </c>
      <c r="B3751" s="98">
        <v>32409</v>
      </c>
      <c r="C3751" s="98" t="s">
        <v>6459</v>
      </c>
      <c r="D3751" s="96" t="s">
        <v>190</v>
      </c>
      <c r="E3751" s="97">
        <v>100</v>
      </c>
      <c r="F3751" s="67" t="str">
        <f>IFERROR(IFERROR(INDEX(Кат!$A:$A,MATCH(Прайс!$B3751,Кат!$G:$G,0)),INDEX(Торг!$B:$B,MATCH(Прайс!$B3751,Торг!$H:$H,0))),"")</f>
        <v/>
      </c>
      <c r="G3751" s="67" t="str">
        <f>IFERROR(IFERROR(INDEX(Кат!$B:$B,MATCH(Прайс!$B3751,Кат!$G:$G,0)),INDEX(Торг!$C:$C,MATCH(Прайс!$B3751,Торг!$H:$H,0))),"")</f>
        <v/>
      </c>
      <c r="H3751" s="67" t="str">
        <f>IFERROR(IFERROR(INDEX(Кат!$I:$I,MATCH(Прайс!$B3751,Кат!$G:$G,0)),INDEX(Торг!$I:$I,MATCH(Прайс!$B3751,Торг!$H:$H,0))),"")</f>
        <v/>
      </c>
    </row>
    <row r="3752" spans="1:8" x14ac:dyDescent="0.25">
      <c r="A3752" s="94" t="s">
        <v>7166</v>
      </c>
      <c r="B3752" s="98">
        <v>32475</v>
      </c>
      <c r="C3752" s="98" t="s">
        <v>7979</v>
      </c>
      <c r="D3752" s="96" t="s">
        <v>190</v>
      </c>
      <c r="E3752" s="97">
        <v>90</v>
      </c>
      <c r="F3752" s="67" t="str">
        <f>IFERROR(IFERROR(INDEX(Кат!$A:$A,MATCH(Прайс!$B3752,Кат!$G:$G,0)),INDEX(Торг!$B:$B,MATCH(Прайс!$B3752,Торг!$H:$H,0))),"")</f>
        <v/>
      </c>
      <c r="G3752" s="67" t="str">
        <f>IFERROR(IFERROR(INDEX(Кат!$B:$B,MATCH(Прайс!$B3752,Кат!$G:$G,0)),INDEX(Торг!$C:$C,MATCH(Прайс!$B3752,Торг!$H:$H,0))),"")</f>
        <v/>
      </c>
      <c r="H3752" s="67" t="str">
        <f>IFERROR(IFERROR(INDEX(Кат!$I:$I,MATCH(Прайс!$B3752,Кат!$G:$G,0)),INDEX(Торг!$I:$I,MATCH(Прайс!$B3752,Торг!$H:$H,0))),"")</f>
        <v/>
      </c>
    </row>
    <row r="3753" spans="1:8" x14ac:dyDescent="0.25">
      <c r="A3753" s="94" t="s">
        <v>7167</v>
      </c>
      <c r="B3753" s="98">
        <v>32474</v>
      </c>
      <c r="C3753" s="98" t="s">
        <v>7980</v>
      </c>
      <c r="D3753" s="96" t="s">
        <v>190</v>
      </c>
      <c r="E3753" s="97">
        <v>90</v>
      </c>
      <c r="F3753" s="67" t="str">
        <f>IFERROR(IFERROR(INDEX(Кат!$A:$A,MATCH(Прайс!$B3753,Кат!$G:$G,0)),INDEX(Торг!$B:$B,MATCH(Прайс!$B3753,Торг!$H:$H,0))),"")</f>
        <v/>
      </c>
      <c r="G3753" s="67" t="str">
        <f>IFERROR(IFERROR(INDEX(Кат!$B:$B,MATCH(Прайс!$B3753,Кат!$G:$G,0)),INDEX(Торг!$C:$C,MATCH(Прайс!$B3753,Торг!$H:$H,0))),"")</f>
        <v/>
      </c>
      <c r="H3753" s="67" t="str">
        <f>IFERROR(IFERROR(INDEX(Кат!$I:$I,MATCH(Прайс!$B3753,Кат!$G:$G,0)),INDEX(Торг!$I:$I,MATCH(Прайс!$B3753,Торг!$H:$H,0))),"")</f>
        <v/>
      </c>
    </row>
    <row r="3754" spans="1:8" x14ac:dyDescent="0.25">
      <c r="A3754" s="94" t="s">
        <v>7168</v>
      </c>
      <c r="B3754" s="98">
        <v>32473</v>
      </c>
      <c r="C3754" s="98" t="s">
        <v>7981</v>
      </c>
      <c r="D3754" s="96" t="s">
        <v>190</v>
      </c>
      <c r="E3754" s="97">
        <v>80</v>
      </c>
      <c r="F3754" s="67" t="str">
        <f>IFERROR(IFERROR(INDEX(Кат!$A:$A,MATCH(Прайс!$B3754,Кат!$G:$G,0)),INDEX(Торг!$B:$B,MATCH(Прайс!$B3754,Торг!$H:$H,0))),"")</f>
        <v/>
      </c>
      <c r="G3754" s="67" t="str">
        <f>IFERROR(IFERROR(INDEX(Кат!$B:$B,MATCH(Прайс!$B3754,Кат!$G:$G,0)),INDEX(Торг!$C:$C,MATCH(Прайс!$B3754,Торг!$H:$H,0))),"")</f>
        <v/>
      </c>
      <c r="H3754" s="67" t="str">
        <f>IFERROR(IFERROR(INDEX(Кат!$I:$I,MATCH(Прайс!$B3754,Кат!$G:$G,0)),INDEX(Торг!$I:$I,MATCH(Прайс!$B3754,Торг!$H:$H,0))),"")</f>
        <v/>
      </c>
    </row>
    <row r="3755" spans="1:8" x14ac:dyDescent="0.25">
      <c r="A3755" s="103" t="s">
        <v>7982</v>
      </c>
      <c r="B3755" s="104">
        <v>32522</v>
      </c>
      <c r="C3755" s="104" t="s">
        <v>7983</v>
      </c>
      <c r="D3755" s="105" t="s">
        <v>159</v>
      </c>
      <c r="E3755" s="113">
        <v>80</v>
      </c>
      <c r="F3755" s="67" t="str">
        <f>IFERROR(IFERROR(INDEX(Кат!$A:$A,MATCH(Прайс!$B3755,Кат!$G:$G,0)),INDEX(Торг!$B:$B,MATCH(Прайс!$B3755,Торг!$H:$H,0))),"")</f>
        <v/>
      </c>
      <c r="G3755" s="67" t="str">
        <f>IFERROR(IFERROR(INDEX(Кат!$B:$B,MATCH(Прайс!$B3755,Кат!$G:$G,0)),INDEX(Торг!$C:$C,MATCH(Прайс!$B3755,Торг!$H:$H,0))),"")</f>
        <v/>
      </c>
      <c r="H3755" s="67" t="str">
        <f>IFERROR(IFERROR(INDEX(Кат!$I:$I,MATCH(Прайс!$B3755,Кат!$G:$G,0)),INDEX(Торг!$I:$I,MATCH(Прайс!$B3755,Торг!$H:$H,0))),"")</f>
        <v/>
      </c>
    </row>
    <row r="3756" spans="1:8" x14ac:dyDescent="0.25">
      <c r="A3756" s="103" t="s">
        <v>7984</v>
      </c>
      <c r="B3756" s="104">
        <v>32520</v>
      </c>
      <c r="C3756" s="104" t="s">
        <v>7985</v>
      </c>
      <c r="D3756" s="105" t="s">
        <v>159</v>
      </c>
      <c r="E3756" s="113">
        <v>80</v>
      </c>
      <c r="F3756" s="67" t="str">
        <f>IFERROR(IFERROR(INDEX(Кат!$A:$A,MATCH(Прайс!$B3756,Кат!$G:$G,0)),INDEX(Торг!$B:$B,MATCH(Прайс!$B3756,Торг!$H:$H,0))),"")</f>
        <v/>
      </c>
      <c r="G3756" s="67" t="str">
        <f>IFERROR(IFERROR(INDEX(Кат!$B:$B,MATCH(Прайс!$B3756,Кат!$G:$G,0)),INDEX(Торг!$C:$C,MATCH(Прайс!$B3756,Торг!$H:$H,0))),"")</f>
        <v/>
      </c>
      <c r="H3756" s="67" t="str">
        <f>IFERROR(IFERROR(INDEX(Кат!$I:$I,MATCH(Прайс!$B3756,Кат!$G:$G,0)),INDEX(Торг!$I:$I,MATCH(Прайс!$B3756,Торг!$H:$H,0))),"")</f>
        <v/>
      </c>
    </row>
    <row r="3757" spans="1:8" x14ac:dyDescent="0.25">
      <c r="A3757" s="103" t="s">
        <v>7986</v>
      </c>
      <c r="B3757" s="104">
        <v>32521</v>
      </c>
      <c r="C3757" s="104" t="s">
        <v>7987</v>
      </c>
      <c r="D3757" s="105" t="s">
        <v>159</v>
      </c>
      <c r="E3757" s="113">
        <v>70</v>
      </c>
      <c r="F3757" s="67" t="str">
        <f>IFERROR(IFERROR(INDEX(Кат!$A:$A,MATCH(Прайс!$B3757,Кат!$G:$G,0)),INDEX(Торг!$B:$B,MATCH(Прайс!$B3757,Торг!$H:$H,0))),"")</f>
        <v/>
      </c>
      <c r="G3757" s="67" t="str">
        <f>IFERROR(IFERROR(INDEX(Кат!$B:$B,MATCH(Прайс!$B3757,Кат!$G:$G,0)),INDEX(Торг!$C:$C,MATCH(Прайс!$B3757,Торг!$H:$H,0))),"")</f>
        <v/>
      </c>
      <c r="H3757" s="67" t="str">
        <f>IFERROR(IFERROR(INDEX(Кат!$I:$I,MATCH(Прайс!$B3757,Кат!$G:$G,0)),INDEX(Торг!$I:$I,MATCH(Прайс!$B3757,Торг!$H:$H,0))),"")</f>
        <v/>
      </c>
    </row>
    <row r="3758" spans="1:8" x14ac:dyDescent="0.25">
      <c r="A3758" s="103" t="s">
        <v>4777</v>
      </c>
      <c r="B3758" s="104">
        <v>32205</v>
      </c>
      <c r="C3758" s="104" t="s">
        <v>2028</v>
      </c>
      <c r="D3758" s="105" t="s">
        <v>190</v>
      </c>
      <c r="E3758" s="113">
        <v>260</v>
      </c>
      <c r="F3758" s="67" t="str">
        <f>IFERROR(IFERROR(INDEX(Кат!$A:$A,MATCH(Прайс!$B3758,Кат!$G:$G,0)),INDEX(Торг!$B:$B,MATCH(Прайс!$B3758,Торг!$H:$H,0))),"")</f>
        <v/>
      </c>
      <c r="G3758" s="67" t="str">
        <f>IFERROR(IFERROR(INDEX(Кат!$B:$B,MATCH(Прайс!$B3758,Кат!$G:$G,0)),INDEX(Торг!$C:$C,MATCH(Прайс!$B3758,Торг!$H:$H,0))),"")</f>
        <v/>
      </c>
      <c r="H3758" s="67" t="str">
        <f>IFERROR(IFERROR(INDEX(Кат!$I:$I,MATCH(Прайс!$B3758,Кат!$G:$G,0)),INDEX(Торг!$I:$I,MATCH(Прайс!$B3758,Торг!$H:$H,0))),"")</f>
        <v/>
      </c>
    </row>
    <row r="3759" spans="1:8" x14ac:dyDescent="0.25">
      <c r="A3759" s="103" t="s">
        <v>4778</v>
      </c>
      <c r="B3759" s="104">
        <v>32283</v>
      </c>
      <c r="C3759" s="104" t="s">
        <v>2029</v>
      </c>
      <c r="D3759" s="105" t="s">
        <v>190</v>
      </c>
      <c r="E3759" s="113">
        <v>110</v>
      </c>
      <c r="F3759" s="67" t="str">
        <f>IFERROR(IFERROR(INDEX(Кат!$A:$A,MATCH(Прайс!$B3759,Кат!$G:$G,0)),INDEX(Торг!$B:$B,MATCH(Прайс!$B3759,Торг!$H:$H,0))),"")</f>
        <v/>
      </c>
      <c r="G3759" s="67" t="str">
        <f>IFERROR(IFERROR(INDEX(Кат!$B:$B,MATCH(Прайс!$B3759,Кат!$G:$G,0)),INDEX(Торг!$C:$C,MATCH(Прайс!$B3759,Торг!$H:$H,0))),"")</f>
        <v/>
      </c>
      <c r="H3759" s="67" t="str">
        <f>IFERROR(IFERROR(INDEX(Кат!$I:$I,MATCH(Прайс!$B3759,Кат!$G:$G,0)),INDEX(Торг!$I:$I,MATCH(Прайс!$B3759,Торг!$H:$H,0))),"")</f>
        <v/>
      </c>
    </row>
    <row r="3760" spans="1:8" x14ac:dyDescent="0.25">
      <c r="A3760" s="103" t="s">
        <v>4779</v>
      </c>
      <c r="B3760" s="104">
        <v>32284</v>
      </c>
      <c r="C3760" s="104" t="s">
        <v>2030</v>
      </c>
      <c r="D3760" s="105" t="s">
        <v>190</v>
      </c>
      <c r="E3760" s="113">
        <v>110</v>
      </c>
      <c r="F3760" s="67" t="str">
        <f>IFERROR(IFERROR(INDEX(Кат!$A:$A,MATCH(Прайс!$B3760,Кат!$G:$G,0)),INDEX(Торг!$B:$B,MATCH(Прайс!$B3760,Торг!$H:$H,0))),"")</f>
        <v/>
      </c>
      <c r="G3760" s="67" t="str">
        <f>IFERROR(IFERROR(INDEX(Кат!$B:$B,MATCH(Прайс!$B3760,Кат!$G:$G,0)),INDEX(Торг!$C:$C,MATCH(Прайс!$B3760,Торг!$H:$H,0))),"")</f>
        <v/>
      </c>
      <c r="H3760" s="67" t="str">
        <f>IFERROR(IFERROR(INDEX(Кат!$I:$I,MATCH(Прайс!$B3760,Кат!$G:$G,0)),INDEX(Торг!$I:$I,MATCH(Прайс!$B3760,Торг!$H:$H,0))),"")</f>
        <v/>
      </c>
    </row>
    <row r="3761" spans="1:8" x14ac:dyDescent="0.25">
      <c r="A3761" s="103" t="s">
        <v>4780</v>
      </c>
      <c r="B3761" s="104">
        <v>32285</v>
      </c>
      <c r="C3761" s="104" t="s">
        <v>2031</v>
      </c>
      <c r="D3761" s="105" t="s">
        <v>190</v>
      </c>
      <c r="E3761" s="113">
        <v>110</v>
      </c>
      <c r="F3761" s="67" t="str">
        <f>IFERROR(IFERROR(INDEX(Кат!$A:$A,MATCH(Прайс!$B3761,Кат!$G:$G,0)),INDEX(Торг!$B:$B,MATCH(Прайс!$B3761,Торг!$H:$H,0))),"")</f>
        <v/>
      </c>
      <c r="G3761" s="67" t="str">
        <f>IFERROR(IFERROR(INDEX(Кат!$B:$B,MATCH(Прайс!$B3761,Кат!$G:$G,0)),INDEX(Торг!$C:$C,MATCH(Прайс!$B3761,Торг!$H:$H,0))),"")</f>
        <v/>
      </c>
      <c r="H3761" s="67" t="str">
        <f>IFERROR(IFERROR(INDEX(Кат!$I:$I,MATCH(Прайс!$B3761,Кат!$G:$G,0)),INDEX(Торг!$I:$I,MATCH(Прайс!$B3761,Торг!$H:$H,0))),"")</f>
        <v/>
      </c>
    </row>
    <row r="3762" spans="1:8" x14ac:dyDescent="0.25">
      <c r="A3762" s="94" t="s">
        <v>7988</v>
      </c>
      <c r="B3762" s="98">
        <v>32280</v>
      </c>
      <c r="C3762" s="98" t="s">
        <v>7989</v>
      </c>
      <c r="D3762" s="96" t="s">
        <v>190</v>
      </c>
      <c r="E3762" s="97">
        <v>90</v>
      </c>
      <c r="F3762" s="67" t="str">
        <f>IFERROR(IFERROR(INDEX(Кат!$A:$A,MATCH(Прайс!$B3762,Кат!$G:$G,0)),INDEX(Торг!$B:$B,MATCH(Прайс!$B3762,Торг!$H:$H,0))),"")</f>
        <v/>
      </c>
      <c r="G3762" s="67" t="str">
        <f>IFERROR(IFERROR(INDEX(Кат!$B:$B,MATCH(Прайс!$B3762,Кат!$G:$G,0)),INDEX(Торг!$C:$C,MATCH(Прайс!$B3762,Торг!$H:$H,0))),"")</f>
        <v/>
      </c>
      <c r="H3762" s="67" t="str">
        <f>IFERROR(IFERROR(INDEX(Кат!$I:$I,MATCH(Прайс!$B3762,Кат!$G:$G,0)),INDEX(Торг!$I:$I,MATCH(Прайс!$B3762,Торг!$H:$H,0))),"")</f>
        <v/>
      </c>
    </row>
    <row r="3763" spans="1:8" x14ac:dyDescent="0.25">
      <c r="A3763" s="94" t="s">
        <v>7170</v>
      </c>
      <c r="B3763" s="98">
        <v>32282</v>
      </c>
      <c r="C3763" s="98" t="s">
        <v>7990</v>
      </c>
      <c r="D3763" s="96" t="s">
        <v>190</v>
      </c>
      <c r="E3763" s="97">
        <v>80</v>
      </c>
      <c r="F3763" s="67" t="str">
        <f>IFERROR(IFERROR(INDEX(Кат!$A:$A,MATCH(Прайс!$B3763,Кат!$G:$G,0)),INDEX(Торг!$B:$B,MATCH(Прайс!$B3763,Торг!$H:$H,0))),"")</f>
        <v/>
      </c>
      <c r="G3763" s="67" t="str">
        <f>IFERROR(IFERROR(INDEX(Кат!$B:$B,MATCH(Прайс!$B3763,Кат!$G:$G,0)),INDEX(Торг!$C:$C,MATCH(Прайс!$B3763,Торг!$H:$H,0))),"")</f>
        <v/>
      </c>
      <c r="H3763" s="67" t="str">
        <f>IFERROR(IFERROR(INDEX(Кат!$I:$I,MATCH(Прайс!$B3763,Кат!$G:$G,0)),INDEX(Торг!$I:$I,MATCH(Прайс!$B3763,Торг!$H:$H,0))),"")</f>
        <v/>
      </c>
    </row>
    <row r="3764" spans="1:8" x14ac:dyDescent="0.25">
      <c r="A3764" s="103" t="s">
        <v>4784</v>
      </c>
      <c r="B3764" s="104">
        <v>32061</v>
      </c>
      <c r="C3764" s="104" t="s">
        <v>2032</v>
      </c>
      <c r="D3764" s="105" t="s">
        <v>190</v>
      </c>
      <c r="E3764" s="113">
        <v>20</v>
      </c>
      <c r="F3764" s="67" t="str">
        <f>IFERROR(IFERROR(INDEX(Кат!$A:$A,MATCH(Прайс!$B3764,Кат!$G:$G,0)),INDEX(Торг!$B:$B,MATCH(Прайс!$B3764,Торг!$H:$H,0))),"")</f>
        <v/>
      </c>
      <c r="G3764" s="67" t="str">
        <f>IFERROR(IFERROR(INDEX(Кат!$B:$B,MATCH(Прайс!$B3764,Кат!$G:$G,0)),INDEX(Торг!$C:$C,MATCH(Прайс!$B3764,Торг!$H:$H,0))),"")</f>
        <v/>
      </c>
      <c r="H3764" s="67" t="str">
        <f>IFERROR(IFERROR(INDEX(Кат!$I:$I,MATCH(Прайс!$B3764,Кат!$G:$G,0)),INDEX(Торг!$I:$I,MATCH(Прайс!$B3764,Торг!$H:$H,0))),"")</f>
        <v/>
      </c>
    </row>
    <row r="3765" spans="1:8" x14ac:dyDescent="0.25">
      <c r="A3765" s="103" t="s">
        <v>4785</v>
      </c>
      <c r="B3765" s="104">
        <v>32334</v>
      </c>
      <c r="C3765" s="104" t="s">
        <v>2033</v>
      </c>
      <c r="D3765" s="105" t="s">
        <v>190</v>
      </c>
      <c r="E3765" s="113">
        <v>40</v>
      </c>
      <c r="F3765" s="67" t="str">
        <f>IFERROR(IFERROR(INDEX(Кат!$A:$A,MATCH(Прайс!$B3765,Кат!$G:$G,0)),INDEX(Торг!$B:$B,MATCH(Прайс!$B3765,Торг!$H:$H,0))),"")</f>
        <v/>
      </c>
      <c r="G3765" s="67" t="str">
        <f>IFERROR(IFERROR(INDEX(Кат!$B:$B,MATCH(Прайс!$B3765,Кат!$G:$G,0)),INDEX(Торг!$C:$C,MATCH(Прайс!$B3765,Торг!$H:$H,0))),"")</f>
        <v/>
      </c>
      <c r="H3765" s="67" t="str">
        <f>IFERROR(IFERROR(INDEX(Кат!$I:$I,MATCH(Прайс!$B3765,Кат!$G:$G,0)),INDEX(Торг!$I:$I,MATCH(Прайс!$B3765,Торг!$H:$H,0))),"")</f>
        <v/>
      </c>
    </row>
    <row r="3766" spans="1:8" x14ac:dyDescent="0.25">
      <c r="A3766" s="103" t="s">
        <v>4786</v>
      </c>
      <c r="B3766" s="104">
        <v>32246</v>
      </c>
      <c r="C3766" s="104" t="s">
        <v>2034</v>
      </c>
      <c r="D3766" s="105" t="s">
        <v>190</v>
      </c>
      <c r="E3766" s="113">
        <v>20</v>
      </c>
      <c r="F3766" s="67" t="str">
        <f>IFERROR(IFERROR(INDEX(Кат!$A:$A,MATCH(Прайс!$B3766,Кат!$G:$G,0)),INDEX(Торг!$B:$B,MATCH(Прайс!$B3766,Торг!$H:$H,0))),"")</f>
        <v/>
      </c>
      <c r="G3766" s="67" t="str">
        <f>IFERROR(IFERROR(INDEX(Кат!$B:$B,MATCH(Прайс!$B3766,Кат!$G:$G,0)),INDEX(Торг!$C:$C,MATCH(Прайс!$B3766,Торг!$H:$H,0))),"")</f>
        <v/>
      </c>
      <c r="H3766" s="67" t="str">
        <f>IFERROR(IFERROR(INDEX(Кат!$I:$I,MATCH(Прайс!$B3766,Кат!$G:$G,0)),INDEX(Торг!$I:$I,MATCH(Прайс!$B3766,Торг!$H:$H,0))),"")</f>
        <v/>
      </c>
    </row>
    <row r="3767" spans="1:8" x14ac:dyDescent="0.25">
      <c r="A3767" s="94" t="s">
        <v>4787</v>
      </c>
      <c r="B3767" s="98">
        <v>32332</v>
      </c>
      <c r="C3767" s="98" t="s">
        <v>7169</v>
      </c>
      <c r="D3767" s="96" t="s">
        <v>190</v>
      </c>
      <c r="E3767" s="97">
        <v>90</v>
      </c>
      <c r="F3767" s="67" t="str">
        <f>IFERROR(IFERROR(INDEX(Кат!$A:$A,MATCH(Прайс!$B3767,Кат!$G:$G,0)),INDEX(Торг!$B:$B,MATCH(Прайс!$B3767,Торг!$H:$H,0))),"")</f>
        <v/>
      </c>
      <c r="G3767" s="67" t="str">
        <f>IFERROR(IFERROR(INDEX(Кат!$B:$B,MATCH(Прайс!$B3767,Кат!$G:$G,0)),INDEX(Торг!$C:$C,MATCH(Прайс!$B3767,Торг!$H:$H,0))),"")</f>
        <v/>
      </c>
      <c r="H3767" s="67" t="str">
        <f>IFERROR(IFERROR(INDEX(Кат!$I:$I,MATCH(Прайс!$B3767,Кат!$G:$G,0)),INDEX(Торг!$I:$I,MATCH(Прайс!$B3767,Торг!$H:$H,0))),"")</f>
        <v/>
      </c>
    </row>
    <row r="3768" spans="1:8" x14ac:dyDescent="0.25">
      <c r="A3768" s="103" t="s">
        <v>4788</v>
      </c>
      <c r="B3768" s="104">
        <v>32068</v>
      </c>
      <c r="C3768" s="104" t="s">
        <v>2035</v>
      </c>
      <c r="D3768" s="105" t="s">
        <v>190</v>
      </c>
      <c r="E3768" s="113">
        <v>15</v>
      </c>
      <c r="F3768" s="67" t="str">
        <f>IFERROR(IFERROR(INDEX(Кат!$A:$A,MATCH(Прайс!$B3768,Кат!$G:$G,0)),INDEX(Торг!$B:$B,MATCH(Прайс!$B3768,Торг!$H:$H,0))),"")</f>
        <v/>
      </c>
      <c r="G3768" s="67" t="str">
        <f>IFERROR(IFERROR(INDEX(Кат!$B:$B,MATCH(Прайс!$B3768,Кат!$G:$G,0)),INDEX(Торг!$C:$C,MATCH(Прайс!$B3768,Торг!$H:$H,0))),"")</f>
        <v/>
      </c>
      <c r="H3768" s="67" t="str">
        <f>IFERROR(IFERROR(INDEX(Кат!$I:$I,MATCH(Прайс!$B3768,Кат!$G:$G,0)),INDEX(Торг!$I:$I,MATCH(Прайс!$B3768,Торг!$H:$H,0))),"")</f>
        <v/>
      </c>
    </row>
    <row r="3769" spans="1:8" x14ac:dyDescent="0.25">
      <c r="A3769" s="109" t="s">
        <v>8345</v>
      </c>
      <c r="B3769" s="110">
        <v>32539</v>
      </c>
      <c r="C3769" s="110" t="s">
        <v>8346</v>
      </c>
      <c r="D3769" s="111" t="s">
        <v>7915</v>
      </c>
      <c r="E3769" s="112">
        <v>230</v>
      </c>
      <c r="F3769" s="67" t="str">
        <f>IFERROR(IFERROR(INDEX(Кат!$A:$A,MATCH(Прайс!$B3769,Кат!$G:$G,0)),INDEX(Торг!$B:$B,MATCH(Прайс!$B3769,Торг!$H:$H,0))),"")</f>
        <v/>
      </c>
      <c r="G3769" s="67" t="str">
        <f>IFERROR(IFERROR(INDEX(Кат!$B:$B,MATCH(Прайс!$B3769,Кат!$G:$G,0)),INDEX(Торг!$C:$C,MATCH(Прайс!$B3769,Торг!$H:$H,0))),"")</f>
        <v/>
      </c>
      <c r="H3769" s="67" t="str">
        <f>IFERROR(IFERROR(INDEX(Кат!$I:$I,MATCH(Прайс!$B3769,Кат!$G:$G,0)),INDEX(Торг!$I:$I,MATCH(Прайс!$B3769,Торг!$H:$H,0))),"")</f>
        <v/>
      </c>
    </row>
    <row r="3770" spans="1:8" x14ac:dyDescent="0.25">
      <c r="A3770" s="109" t="s">
        <v>8347</v>
      </c>
      <c r="B3770" s="110">
        <v>32538</v>
      </c>
      <c r="C3770" s="110" t="s">
        <v>8348</v>
      </c>
      <c r="D3770" s="111" t="s">
        <v>7915</v>
      </c>
      <c r="E3770" s="112">
        <v>220</v>
      </c>
      <c r="F3770" s="67" t="str">
        <f>IFERROR(IFERROR(INDEX(Кат!$A:$A,MATCH(Прайс!$B3770,Кат!$G:$G,0)),INDEX(Торг!$B:$B,MATCH(Прайс!$B3770,Торг!$H:$H,0))),"")</f>
        <v/>
      </c>
      <c r="G3770" s="67" t="str">
        <f>IFERROR(IFERROR(INDEX(Кат!$B:$B,MATCH(Прайс!$B3770,Кат!$G:$G,0)),INDEX(Торг!$C:$C,MATCH(Прайс!$B3770,Торг!$H:$H,0))),"")</f>
        <v/>
      </c>
      <c r="H3770" s="67" t="str">
        <f>IFERROR(IFERROR(INDEX(Кат!$I:$I,MATCH(Прайс!$B3770,Кат!$G:$G,0)),INDEX(Торг!$I:$I,MATCH(Прайс!$B3770,Торг!$H:$H,0))),"")</f>
        <v/>
      </c>
    </row>
    <row r="3771" spans="1:8" x14ac:dyDescent="0.25">
      <c r="A3771" s="109" t="s">
        <v>8349</v>
      </c>
      <c r="B3771" s="110">
        <v>32541</v>
      </c>
      <c r="C3771" s="110" t="s">
        <v>8350</v>
      </c>
      <c r="D3771" s="111" t="s">
        <v>190</v>
      </c>
      <c r="E3771" s="112">
        <v>130</v>
      </c>
      <c r="F3771" s="67" t="str">
        <f>IFERROR(IFERROR(INDEX(Кат!$A:$A,MATCH(Прайс!$B3771,Кат!$G:$G,0)),INDEX(Торг!$B:$B,MATCH(Прайс!$B3771,Торг!$H:$H,0))),"")</f>
        <v/>
      </c>
      <c r="G3771" s="67" t="str">
        <f>IFERROR(IFERROR(INDEX(Кат!$B:$B,MATCH(Прайс!$B3771,Кат!$G:$G,0)),INDEX(Торг!$C:$C,MATCH(Прайс!$B3771,Торг!$H:$H,0))),"")</f>
        <v/>
      </c>
      <c r="H3771" s="67" t="str">
        <f>IFERROR(IFERROR(INDEX(Кат!$I:$I,MATCH(Прайс!$B3771,Кат!$G:$G,0)),INDEX(Торг!$I:$I,MATCH(Прайс!$B3771,Торг!$H:$H,0))),"")</f>
        <v/>
      </c>
    </row>
    <row r="3772" spans="1:8" x14ac:dyDescent="0.25">
      <c r="A3772" s="109" t="s">
        <v>8351</v>
      </c>
      <c r="B3772" s="110">
        <v>32536</v>
      </c>
      <c r="C3772" s="110" t="s">
        <v>8352</v>
      </c>
      <c r="D3772" s="111" t="s">
        <v>190</v>
      </c>
      <c r="E3772" s="112">
        <v>100</v>
      </c>
      <c r="F3772" s="67" t="str">
        <f>IFERROR(IFERROR(INDEX(Кат!$A:$A,MATCH(Прайс!$B3772,Кат!$G:$G,0)),INDEX(Торг!$B:$B,MATCH(Прайс!$B3772,Торг!$H:$H,0))),"")</f>
        <v/>
      </c>
      <c r="G3772" s="67" t="str">
        <f>IFERROR(IFERROR(INDEX(Кат!$B:$B,MATCH(Прайс!$B3772,Кат!$G:$G,0)),INDEX(Торг!$C:$C,MATCH(Прайс!$B3772,Торг!$H:$H,0))),"")</f>
        <v/>
      </c>
      <c r="H3772" s="67" t="str">
        <f>IFERROR(IFERROR(INDEX(Кат!$I:$I,MATCH(Прайс!$B3772,Кат!$G:$G,0)),INDEX(Торг!$I:$I,MATCH(Прайс!$B3772,Торг!$H:$H,0))),"")</f>
        <v/>
      </c>
    </row>
    <row r="3773" spans="1:8" ht="15.75" x14ac:dyDescent="0.25">
      <c r="A3773" s="90"/>
      <c r="B3773" s="91"/>
      <c r="C3773" s="92" t="s">
        <v>7991</v>
      </c>
      <c r="D3773" s="91"/>
      <c r="E3773" s="93"/>
      <c r="F3773" s="67" t="str">
        <f>IFERROR(IFERROR(INDEX(Кат!$A:$A,MATCH(Прайс!$B3773,Кат!$G:$G,0)),INDEX(Торг!$B:$B,MATCH(Прайс!$B3773,Торг!$H:$H,0))),"")</f>
        <v/>
      </c>
      <c r="G3773" s="67" t="str">
        <f>IFERROR(IFERROR(INDEX(Кат!$B:$B,MATCH(Прайс!$B3773,Кат!$G:$G,0)),INDEX(Торг!$C:$C,MATCH(Прайс!$B3773,Торг!$H:$H,0))),"")</f>
        <v/>
      </c>
      <c r="H3773" s="67" t="str">
        <f>IFERROR(IFERROR(INDEX(Кат!$I:$I,MATCH(Прайс!$B3773,Кат!$G:$G,0)),INDEX(Торг!$I:$I,MATCH(Прайс!$B3773,Торг!$H:$H,0))),"")</f>
        <v/>
      </c>
    </row>
    <row r="3774" spans="1:8" x14ac:dyDescent="0.25">
      <c r="A3774" s="103" t="s">
        <v>7992</v>
      </c>
      <c r="B3774" s="104">
        <v>32504</v>
      </c>
      <c r="C3774" s="104" t="s">
        <v>7993</v>
      </c>
      <c r="D3774" s="105" t="s">
        <v>190</v>
      </c>
      <c r="E3774" s="113">
        <v>400</v>
      </c>
      <c r="F3774" s="67" t="str">
        <f>IFERROR(IFERROR(INDEX(Кат!$A:$A,MATCH(Прайс!$B3774,Кат!$G:$G,0)),INDEX(Торг!$B:$B,MATCH(Прайс!$B3774,Торг!$H:$H,0))),"")</f>
        <v/>
      </c>
      <c r="G3774" s="67" t="str">
        <f>IFERROR(IFERROR(INDEX(Кат!$B:$B,MATCH(Прайс!$B3774,Кат!$G:$G,0)),INDEX(Торг!$C:$C,MATCH(Прайс!$B3774,Торг!$H:$H,0))),"")</f>
        <v/>
      </c>
      <c r="H3774" s="67" t="str">
        <f>IFERROR(IFERROR(INDEX(Кат!$I:$I,MATCH(Прайс!$B3774,Кат!$G:$G,0)),INDEX(Торг!$I:$I,MATCH(Прайс!$B3774,Торг!$H:$H,0))),"")</f>
        <v/>
      </c>
    </row>
    <row r="3775" spans="1:8" ht="15.75" x14ac:dyDescent="0.25">
      <c r="A3775" s="90"/>
      <c r="B3775" s="91"/>
      <c r="C3775" s="92" t="s">
        <v>2037</v>
      </c>
      <c r="D3775" s="91"/>
      <c r="E3775" s="93"/>
      <c r="F3775" s="67" t="str">
        <f>IFERROR(IFERROR(INDEX(Кат!$A:$A,MATCH(Прайс!$B3775,Кат!$G:$G,0)),INDEX(Торг!$B:$B,MATCH(Прайс!$B3775,Торг!$H:$H,0))),"")</f>
        <v/>
      </c>
      <c r="G3775" s="67" t="str">
        <f>IFERROR(IFERROR(INDEX(Кат!$B:$B,MATCH(Прайс!$B3775,Кат!$G:$G,0)),INDEX(Торг!$C:$C,MATCH(Прайс!$B3775,Торг!$H:$H,0))),"")</f>
        <v/>
      </c>
      <c r="H3775" s="67" t="str">
        <f>IFERROR(IFERROR(INDEX(Кат!$I:$I,MATCH(Прайс!$B3775,Кат!$G:$G,0)),INDEX(Торг!$I:$I,MATCH(Прайс!$B3775,Торг!$H:$H,0))),"")</f>
        <v/>
      </c>
    </row>
    <row r="3776" spans="1:8" x14ac:dyDescent="0.25">
      <c r="A3776" s="94" t="s">
        <v>4790</v>
      </c>
      <c r="B3776" s="98">
        <v>32011</v>
      </c>
      <c r="C3776" s="98" t="s">
        <v>7994</v>
      </c>
      <c r="D3776" s="96" t="s">
        <v>166</v>
      </c>
      <c r="E3776" s="97">
        <v>240</v>
      </c>
      <c r="F3776" s="67" t="str">
        <f>IFERROR(IFERROR(INDEX(Кат!$A:$A,MATCH(Прайс!$B3776,Кат!$G:$G,0)),INDEX(Торг!$B:$B,MATCH(Прайс!$B3776,Торг!$H:$H,0))),"")</f>
        <v/>
      </c>
      <c r="G3776" s="67" t="str">
        <f>IFERROR(IFERROR(INDEX(Кат!$B:$B,MATCH(Прайс!$B3776,Кат!$G:$G,0)),INDEX(Торг!$C:$C,MATCH(Прайс!$B3776,Торг!$H:$H,0))),"")</f>
        <v/>
      </c>
      <c r="H3776" s="67" t="str">
        <f>IFERROR(IFERROR(INDEX(Кат!$I:$I,MATCH(Прайс!$B3776,Кат!$G:$G,0)),INDEX(Торг!$I:$I,MATCH(Прайс!$B3776,Торг!$H:$H,0))),"")</f>
        <v/>
      </c>
    </row>
    <row r="3777" spans="1:8" x14ac:dyDescent="0.25">
      <c r="A3777" s="94" t="s">
        <v>4791</v>
      </c>
      <c r="B3777" s="98">
        <v>32012</v>
      </c>
      <c r="C3777" s="98" t="s">
        <v>2038</v>
      </c>
      <c r="D3777" s="96" t="s">
        <v>166</v>
      </c>
      <c r="E3777" s="97">
        <v>290</v>
      </c>
      <c r="F3777" s="67" t="str">
        <f>IFERROR(IFERROR(INDEX(Кат!$A:$A,MATCH(Прайс!$B3777,Кат!$G:$G,0)),INDEX(Торг!$B:$B,MATCH(Прайс!$B3777,Торг!$H:$H,0))),"")</f>
        <v/>
      </c>
      <c r="G3777" s="67" t="str">
        <f>IFERROR(IFERROR(INDEX(Кат!$B:$B,MATCH(Прайс!$B3777,Кат!$G:$G,0)),INDEX(Торг!$C:$C,MATCH(Прайс!$B3777,Торг!$H:$H,0))),"")</f>
        <v/>
      </c>
      <c r="H3777" s="67" t="str">
        <f>IFERROR(IFERROR(INDEX(Кат!$I:$I,MATCH(Прайс!$B3777,Кат!$G:$G,0)),INDEX(Торг!$I:$I,MATCH(Прайс!$B3777,Торг!$H:$H,0))),"")</f>
        <v/>
      </c>
    </row>
    <row r="3778" spans="1:8" x14ac:dyDescent="0.25">
      <c r="A3778" s="94" t="s">
        <v>4792</v>
      </c>
      <c r="B3778" s="98">
        <v>32013</v>
      </c>
      <c r="C3778" s="98" t="s">
        <v>2039</v>
      </c>
      <c r="D3778" s="96" t="s">
        <v>166</v>
      </c>
      <c r="E3778" s="97">
        <v>340</v>
      </c>
      <c r="F3778" s="67" t="str">
        <f>IFERROR(IFERROR(INDEX(Кат!$A:$A,MATCH(Прайс!$B3778,Кат!$G:$G,0)),INDEX(Торг!$B:$B,MATCH(Прайс!$B3778,Торг!$H:$H,0))),"")</f>
        <v/>
      </c>
      <c r="G3778" s="67" t="str">
        <f>IFERROR(IFERROR(INDEX(Кат!$B:$B,MATCH(Прайс!$B3778,Кат!$G:$G,0)),INDEX(Торг!$C:$C,MATCH(Прайс!$B3778,Торг!$H:$H,0))),"")</f>
        <v/>
      </c>
      <c r="H3778" s="67" t="str">
        <f>IFERROR(IFERROR(INDEX(Кат!$I:$I,MATCH(Прайс!$B3778,Кат!$G:$G,0)),INDEX(Торг!$I:$I,MATCH(Прайс!$B3778,Торг!$H:$H,0))),"")</f>
        <v/>
      </c>
    </row>
    <row r="3779" spans="1:8" x14ac:dyDescent="0.25">
      <c r="A3779" s="94" t="s">
        <v>4793</v>
      </c>
      <c r="B3779" s="98">
        <v>32010</v>
      </c>
      <c r="C3779" s="98" t="s">
        <v>2040</v>
      </c>
      <c r="D3779" s="96" t="s">
        <v>159</v>
      </c>
      <c r="E3779" s="97">
        <v>200</v>
      </c>
      <c r="F3779" s="67" t="str">
        <f>IFERROR(IFERROR(INDEX(Кат!$A:$A,MATCH(Прайс!$B3779,Кат!$G:$G,0)),INDEX(Торг!$B:$B,MATCH(Прайс!$B3779,Торг!$H:$H,0))),"")</f>
        <v/>
      </c>
      <c r="G3779" s="67" t="str">
        <f>IFERROR(IFERROR(INDEX(Кат!$B:$B,MATCH(Прайс!$B3779,Кат!$G:$G,0)),INDEX(Торг!$C:$C,MATCH(Прайс!$B3779,Торг!$H:$H,0))),"")</f>
        <v/>
      </c>
      <c r="H3779" s="67" t="str">
        <f>IFERROR(IFERROR(INDEX(Кат!$I:$I,MATCH(Прайс!$B3779,Кат!$G:$G,0)),INDEX(Торг!$I:$I,MATCH(Прайс!$B3779,Торг!$H:$H,0))),"")</f>
        <v/>
      </c>
    </row>
    <row r="3780" spans="1:8" x14ac:dyDescent="0.25">
      <c r="A3780" s="103" t="s">
        <v>4794</v>
      </c>
      <c r="B3780" s="104">
        <v>32016</v>
      </c>
      <c r="C3780" s="104" t="s">
        <v>2041</v>
      </c>
      <c r="D3780" s="105" t="s">
        <v>159</v>
      </c>
      <c r="E3780" s="113">
        <v>180</v>
      </c>
      <c r="F3780" s="67" t="str">
        <f>IFERROR(IFERROR(INDEX(Кат!$A:$A,MATCH(Прайс!$B3780,Кат!$G:$G,0)),INDEX(Торг!$B:$B,MATCH(Прайс!$B3780,Торг!$H:$H,0))),"")</f>
        <v/>
      </c>
      <c r="G3780" s="67" t="str">
        <f>IFERROR(IFERROR(INDEX(Кат!$B:$B,MATCH(Прайс!$B3780,Кат!$G:$G,0)),INDEX(Торг!$C:$C,MATCH(Прайс!$B3780,Торг!$H:$H,0))),"")</f>
        <v/>
      </c>
      <c r="H3780" s="67" t="str">
        <f>IFERROR(IFERROR(INDEX(Кат!$I:$I,MATCH(Прайс!$B3780,Кат!$G:$G,0)),INDEX(Торг!$I:$I,MATCH(Прайс!$B3780,Торг!$H:$H,0))),"")</f>
        <v/>
      </c>
    </row>
    <row r="3781" spans="1:8" x14ac:dyDescent="0.25">
      <c r="A3781" s="103" t="s">
        <v>4795</v>
      </c>
      <c r="B3781" s="104">
        <v>32381</v>
      </c>
      <c r="C3781" s="104" t="s">
        <v>2042</v>
      </c>
      <c r="D3781" s="105" t="s">
        <v>190</v>
      </c>
      <c r="E3781" s="113">
        <v>180</v>
      </c>
      <c r="F3781" s="67" t="str">
        <f>IFERROR(IFERROR(INDEX(Кат!$A:$A,MATCH(Прайс!$B3781,Кат!$G:$G,0)),INDEX(Торг!$B:$B,MATCH(Прайс!$B3781,Торг!$H:$H,0))),"")</f>
        <v/>
      </c>
      <c r="G3781" s="67" t="str">
        <f>IFERROR(IFERROR(INDEX(Кат!$B:$B,MATCH(Прайс!$B3781,Кат!$G:$G,0)),INDEX(Торг!$C:$C,MATCH(Прайс!$B3781,Торг!$H:$H,0))),"")</f>
        <v/>
      </c>
      <c r="H3781" s="67" t="str">
        <f>IFERROR(IFERROR(INDEX(Кат!$I:$I,MATCH(Прайс!$B3781,Кат!$G:$G,0)),INDEX(Торг!$I:$I,MATCH(Прайс!$B3781,Торг!$H:$H,0))),"")</f>
        <v/>
      </c>
    </row>
    <row r="3782" spans="1:8" x14ac:dyDescent="0.25">
      <c r="A3782" s="103" t="s">
        <v>4796</v>
      </c>
      <c r="B3782" s="104">
        <v>32017</v>
      </c>
      <c r="C3782" s="104" t="s">
        <v>2043</v>
      </c>
      <c r="D3782" s="105" t="s">
        <v>159</v>
      </c>
      <c r="E3782" s="113">
        <v>210</v>
      </c>
      <c r="F3782" s="67" t="str">
        <f>IFERROR(IFERROR(INDEX(Кат!$A:$A,MATCH(Прайс!$B3782,Кат!$G:$G,0)),INDEX(Торг!$B:$B,MATCH(Прайс!$B3782,Торг!$H:$H,0))),"")</f>
        <v/>
      </c>
      <c r="G3782" s="67" t="str">
        <f>IFERROR(IFERROR(INDEX(Кат!$B:$B,MATCH(Прайс!$B3782,Кат!$G:$G,0)),INDEX(Торг!$C:$C,MATCH(Прайс!$B3782,Торг!$H:$H,0))),"")</f>
        <v/>
      </c>
      <c r="H3782" s="67" t="str">
        <f>IFERROR(IFERROR(INDEX(Кат!$I:$I,MATCH(Прайс!$B3782,Кат!$G:$G,0)),INDEX(Торг!$I:$I,MATCH(Прайс!$B3782,Торг!$H:$H,0))),"")</f>
        <v/>
      </c>
    </row>
    <row r="3783" spans="1:8" ht="15.75" x14ac:dyDescent="0.25">
      <c r="A3783" s="90"/>
      <c r="B3783" s="91"/>
      <c r="C3783" s="92" t="s">
        <v>214</v>
      </c>
      <c r="D3783" s="91"/>
      <c r="E3783" s="93"/>
      <c r="F3783" s="67" t="str">
        <f>IFERROR(IFERROR(INDEX(Кат!$A:$A,MATCH(Прайс!$B3783,Кат!$G:$G,0)),INDEX(Торг!$B:$B,MATCH(Прайс!$B3783,Торг!$H:$H,0))),"")</f>
        <v/>
      </c>
      <c r="G3783" s="67" t="str">
        <f>IFERROR(IFERROR(INDEX(Кат!$B:$B,MATCH(Прайс!$B3783,Кат!$G:$G,0)),INDEX(Торг!$C:$C,MATCH(Прайс!$B3783,Торг!$H:$H,0))),"")</f>
        <v/>
      </c>
      <c r="H3783" s="67" t="str">
        <f>IFERROR(IFERROR(INDEX(Кат!$I:$I,MATCH(Прайс!$B3783,Кат!$G:$G,0)),INDEX(Торг!$I:$I,MATCH(Прайс!$B3783,Торг!$H:$H,0))),"")</f>
        <v/>
      </c>
    </row>
    <row r="3784" spans="1:8" x14ac:dyDescent="0.25">
      <c r="A3784" s="94" t="s">
        <v>7995</v>
      </c>
      <c r="B3784" s="98">
        <v>32494</v>
      </c>
      <c r="C3784" s="98" t="s">
        <v>7996</v>
      </c>
      <c r="D3784" s="96" t="s">
        <v>190</v>
      </c>
      <c r="E3784" s="97">
        <v>80</v>
      </c>
      <c r="F3784" s="67" t="str">
        <f>IFERROR(IFERROR(INDEX(Кат!$A:$A,MATCH(Прайс!$B3784,Кат!$G:$G,0)),INDEX(Торг!$B:$B,MATCH(Прайс!$B3784,Торг!$H:$H,0))),"")</f>
        <v/>
      </c>
      <c r="G3784" s="67" t="str">
        <f>IFERROR(IFERROR(INDEX(Кат!$B:$B,MATCH(Прайс!$B3784,Кат!$G:$G,0)),INDEX(Торг!$C:$C,MATCH(Прайс!$B3784,Торг!$H:$H,0))),"")</f>
        <v/>
      </c>
      <c r="H3784" s="67" t="str">
        <f>IFERROR(IFERROR(INDEX(Кат!$I:$I,MATCH(Прайс!$B3784,Кат!$G:$G,0)),INDEX(Торг!$I:$I,MATCH(Прайс!$B3784,Торг!$H:$H,0))),"")</f>
        <v/>
      </c>
    </row>
    <row r="3785" spans="1:8" x14ac:dyDescent="0.25">
      <c r="A3785" s="103" t="s">
        <v>4789</v>
      </c>
      <c r="B3785" s="104">
        <v>32408</v>
      </c>
      <c r="C3785" s="104" t="s">
        <v>2036</v>
      </c>
      <c r="D3785" s="105" t="s">
        <v>190</v>
      </c>
      <c r="E3785" s="113">
        <v>130</v>
      </c>
      <c r="F3785" s="67" t="str">
        <f>IFERROR(IFERROR(INDEX(Кат!$A:$A,MATCH(Прайс!$B3785,Кат!$G:$G,0)),INDEX(Торг!$B:$B,MATCH(Прайс!$B3785,Торг!$H:$H,0))),"")</f>
        <v/>
      </c>
      <c r="G3785" s="67" t="str">
        <f>IFERROR(IFERROR(INDEX(Кат!$B:$B,MATCH(Прайс!$B3785,Кат!$G:$G,0)),INDEX(Торг!$C:$C,MATCH(Прайс!$B3785,Торг!$H:$H,0))),"")</f>
        <v/>
      </c>
      <c r="H3785" s="67" t="str">
        <f>IFERROR(IFERROR(INDEX(Кат!$I:$I,MATCH(Прайс!$B3785,Кат!$G:$G,0)),INDEX(Торг!$I:$I,MATCH(Прайс!$B3785,Торг!$H:$H,0))),"")</f>
        <v/>
      </c>
    </row>
    <row r="3786" spans="1:8" x14ac:dyDescent="0.25">
      <c r="A3786" s="94" t="s">
        <v>7997</v>
      </c>
      <c r="B3786" s="98">
        <v>32210</v>
      </c>
      <c r="C3786" s="98" t="s">
        <v>7998</v>
      </c>
      <c r="D3786" s="96" t="s">
        <v>190</v>
      </c>
      <c r="E3786" s="97">
        <v>110</v>
      </c>
      <c r="F3786" s="67" t="str">
        <f>IFERROR(IFERROR(INDEX(Кат!$A:$A,MATCH(Прайс!$B3786,Кат!$G:$G,0)),INDEX(Торг!$B:$B,MATCH(Прайс!$B3786,Торг!$H:$H,0))),"")</f>
        <v/>
      </c>
      <c r="G3786" s="67" t="str">
        <f>IFERROR(IFERROR(INDEX(Кат!$B:$B,MATCH(Прайс!$B3786,Кат!$G:$G,0)),INDEX(Торг!$C:$C,MATCH(Прайс!$B3786,Торг!$H:$H,0))),"")</f>
        <v/>
      </c>
      <c r="H3786" s="67" t="str">
        <f>IFERROR(IFERROR(INDEX(Кат!$I:$I,MATCH(Прайс!$B3786,Кат!$G:$G,0)),INDEX(Торг!$I:$I,MATCH(Прайс!$B3786,Торг!$H:$H,0))),"")</f>
        <v/>
      </c>
    </row>
    <row r="3787" spans="1:8" x14ac:dyDescent="0.25">
      <c r="A3787" s="94" t="s">
        <v>6461</v>
      </c>
      <c r="B3787" s="98">
        <v>32322</v>
      </c>
      <c r="C3787" s="98" t="s">
        <v>6462</v>
      </c>
      <c r="D3787" s="96" t="s">
        <v>190</v>
      </c>
      <c r="E3787" s="97">
        <v>210</v>
      </c>
      <c r="F3787" s="67" t="str">
        <f>IFERROR(IFERROR(INDEX(Кат!$A:$A,MATCH(Прайс!$B3787,Кат!$G:$G,0)),INDEX(Торг!$B:$B,MATCH(Прайс!$B3787,Торг!$H:$H,0))),"")</f>
        <v/>
      </c>
      <c r="G3787" s="67" t="str">
        <f>IFERROR(IFERROR(INDEX(Кат!$B:$B,MATCH(Прайс!$B3787,Кат!$G:$G,0)),INDEX(Торг!$C:$C,MATCH(Прайс!$B3787,Торг!$H:$H,0))),"")</f>
        <v/>
      </c>
      <c r="H3787" s="67" t="str">
        <f>IFERROR(IFERROR(INDEX(Кат!$I:$I,MATCH(Прайс!$B3787,Кат!$G:$G,0)),INDEX(Торг!$I:$I,MATCH(Прайс!$B3787,Торг!$H:$H,0))),"")</f>
        <v/>
      </c>
    </row>
    <row r="3788" spans="1:8" ht="15.75" x14ac:dyDescent="0.25">
      <c r="A3788" s="90"/>
      <c r="B3788" s="91"/>
      <c r="C3788" s="92" t="s">
        <v>2044</v>
      </c>
      <c r="D3788" s="91"/>
      <c r="E3788" s="93"/>
      <c r="F3788" s="67" t="str">
        <f>IFERROR(IFERROR(INDEX(Кат!$A:$A,MATCH(Прайс!$B3788,Кат!$G:$G,0)),INDEX(Торг!$B:$B,MATCH(Прайс!$B3788,Торг!$H:$H,0))),"")</f>
        <v/>
      </c>
      <c r="G3788" s="67" t="str">
        <f>IFERROR(IFERROR(INDEX(Кат!$B:$B,MATCH(Прайс!$B3788,Кат!$G:$G,0)),INDEX(Торг!$C:$C,MATCH(Прайс!$B3788,Торг!$H:$H,0))),"")</f>
        <v/>
      </c>
      <c r="H3788" s="67" t="str">
        <f>IFERROR(IFERROR(INDEX(Кат!$I:$I,MATCH(Прайс!$B3788,Кат!$G:$G,0)),INDEX(Торг!$I:$I,MATCH(Прайс!$B3788,Торг!$H:$H,0))),"")</f>
        <v/>
      </c>
    </row>
    <row r="3789" spans="1:8" x14ac:dyDescent="0.25">
      <c r="A3789" s="94" t="s">
        <v>4797</v>
      </c>
      <c r="B3789" s="98">
        <v>32354</v>
      </c>
      <c r="C3789" s="98" t="s">
        <v>2045</v>
      </c>
      <c r="D3789" s="96" t="s">
        <v>160</v>
      </c>
      <c r="E3789" s="97">
        <v>950</v>
      </c>
      <c r="F3789" s="67" t="str">
        <f>IFERROR(IFERROR(INDEX(Кат!$A:$A,MATCH(Прайс!$B3789,Кат!$G:$G,0)),INDEX(Торг!$B:$B,MATCH(Прайс!$B3789,Торг!$H:$H,0))),"")</f>
        <v/>
      </c>
      <c r="G3789" s="67" t="str">
        <f>IFERROR(IFERROR(INDEX(Кат!$B:$B,MATCH(Прайс!$B3789,Кат!$G:$G,0)),INDEX(Торг!$C:$C,MATCH(Прайс!$B3789,Торг!$H:$H,0))),"")</f>
        <v/>
      </c>
      <c r="H3789" s="67" t="str">
        <f>IFERROR(IFERROR(INDEX(Кат!$I:$I,MATCH(Прайс!$B3789,Кат!$G:$G,0)),INDEX(Торг!$I:$I,MATCH(Прайс!$B3789,Торг!$H:$H,0))),"")</f>
        <v/>
      </c>
    </row>
    <row r="3790" spans="1:8" x14ac:dyDescent="0.25">
      <c r="A3790" s="94" t="s">
        <v>4798</v>
      </c>
      <c r="B3790" s="98">
        <v>32076</v>
      </c>
      <c r="C3790" s="98" t="s">
        <v>2046</v>
      </c>
      <c r="D3790" s="96" t="s">
        <v>433</v>
      </c>
      <c r="E3790" s="107">
        <v>1400</v>
      </c>
      <c r="F3790" s="67" t="str">
        <f>IFERROR(IFERROR(INDEX(Кат!$A:$A,MATCH(Прайс!$B3790,Кат!$G:$G,0)),INDEX(Торг!$B:$B,MATCH(Прайс!$B3790,Торг!$H:$H,0))),"")</f>
        <v/>
      </c>
      <c r="G3790" s="67" t="str">
        <f>IFERROR(IFERROR(INDEX(Кат!$B:$B,MATCH(Прайс!$B3790,Кат!$G:$G,0)),INDEX(Торг!$C:$C,MATCH(Прайс!$B3790,Торг!$H:$H,0))),"")</f>
        <v/>
      </c>
      <c r="H3790" s="67" t="str">
        <f>IFERROR(IFERROR(INDEX(Кат!$I:$I,MATCH(Прайс!$B3790,Кат!$G:$G,0)),INDEX(Торг!$I:$I,MATCH(Прайс!$B3790,Торг!$H:$H,0))),"")</f>
        <v/>
      </c>
    </row>
    <row r="3791" spans="1:8" x14ac:dyDescent="0.25">
      <c r="A3791" s="94" t="s">
        <v>4799</v>
      </c>
      <c r="B3791" s="98">
        <v>32077</v>
      </c>
      <c r="C3791" s="98" t="s">
        <v>2047</v>
      </c>
      <c r="D3791" s="96" t="s">
        <v>375</v>
      </c>
      <c r="E3791" s="107">
        <v>2250</v>
      </c>
      <c r="F3791" s="67" t="str">
        <f>IFERROR(IFERROR(INDEX(Кат!$A:$A,MATCH(Прайс!$B3791,Кат!$G:$G,0)),INDEX(Торг!$B:$B,MATCH(Прайс!$B3791,Торг!$H:$H,0))),"")</f>
        <v/>
      </c>
      <c r="G3791" s="67" t="str">
        <f>IFERROR(IFERROR(INDEX(Кат!$B:$B,MATCH(Прайс!$B3791,Кат!$G:$G,0)),INDEX(Торг!$C:$C,MATCH(Прайс!$B3791,Торг!$H:$H,0))),"")</f>
        <v/>
      </c>
      <c r="H3791" s="67" t="str">
        <f>IFERROR(IFERROR(INDEX(Кат!$I:$I,MATCH(Прайс!$B3791,Кат!$G:$G,0)),INDEX(Торг!$I:$I,MATCH(Прайс!$B3791,Торг!$H:$H,0))),"")</f>
        <v/>
      </c>
    </row>
    <row r="3792" spans="1:8" x14ac:dyDescent="0.25">
      <c r="A3792" s="94" t="s">
        <v>4800</v>
      </c>
      <c r="B3792" s="98">
        <v>32078</v>
      </c>
      <c r="C3792" s="98" t="s">
        <v>2048</v>
      </c>
      <c r="D3792" s="96" t="s">
        <v>433</v>
      </c>
      <c r="E3792" s="107">
        <v>1650</v>
      </c>
      <c r="F3792" s="67" t="str">
        <f>IFERROR(IFERROR(INDEX(Кат!$A:$A,MATCH(Прайс!$B3792,Кат!$G:$G,0)),INDEX(Торг!$B:$B,MATCH(Прайс!$B3792,Торг!$H:$H,0))),"")</f>
        <v/>
      </c>
      <c r="G3792" s="67" t="str">
        <f>IFERROR(IFERROR(INDEX(Кат!$B:$B,MATCH(Прайс!$B3792,Кат!$G:$G,0)),INDEX(Торг!$C:$C,MATCH(Прайс!$B3792,Торг!$H:$H,0))),"")</f>
        <v/>
      </c>
      <c r="H3792" s="67" t="str">
        <f>IFERROR(IFERROR(INDEX(Кат!$I:$I,MATCH(Прайс!$B3792,Кат!$G:$G,0)),INDEX(Торг!$I:$I,MATCH(Прайс!$B3792,Торг!$H:$H,0))),"")</f>
        <v/>
      </c>
    </row>
    <row r="3793" spans="1:8" x14ac:dyDescent="0.25">
      <c r="A3793" s="94" t="s">
        <v>4801</v>
      </c>
      <c r="B3793" s="98">
        <v>32261</v>
      </c>
      <c r="C3793" s="98" t="s">
        <v>2049</v>
      </c>
      <c r="D3793" s="96" t="s">
        <v>375</v>
      </c>
      <c r="E3793" s="107">
        <v>2850</v>
      </c>
      <c r="F3793" s="67" t="str">
        <f>IFERROR(IFERROR(INDEX(Кат!$A:$A,MATCH(Прайс!$B3793,Кат!$G:$G,0)),INDEX(Торг!$B:$B,MATCH(Прайс!$B3793,Торг!$H:$H,0))),"")</f>
        <v/>
      </c>
      <c r="G3793" s="67" t="str">
        <f>IFERROR(IFERROR(INDEX(Кат!$B:$B,MATCH(Прайс!$B3793,Кат!$G:$G,0)),INDEX(Торг!$C:$C,MATCH(Прайс!$B3793,Торг!$H:$H,0))),"")</f>
        <v/>
      </c>
      <c r="H3793" s="67" t="str">
        <f>IFERROR(IFERROR(INDEX(Кат!$I:$I,MATCH(Прайс!$B3793,Кат!$G:$G,0)),INDEX(Торг!$I:$I,MATCH(Прайс!$B3793,Торг!$H:$H,0))),"")</f>
        <v/>
      </c>
    </row>
    <row r="3794" spans="1:8" x14ac:dyDescent="0.25">
      <c r="A3794" s="94" t="s">
        <v>4802</v>
      </c>
      <c r="B3794" s="98">
        <v>32355</v>
      </c>
      <c r="C3794" s="98" t="s">
        <v>2050</v>
      </c>
      <c r="D3794" s="96" t="s">
        <v>160</v>
      </c>
      <c r="E3794" s="107">
        <v>1050</v>
      </c>
      <c r="F3794" s="67" t="str">
        <f>IFERROR(IFERROR(INDEX(Кат!$A:$A,MATCH(Прайс!$B3794,Кат!$G:$G,0)),INDEX(Торг!$B:$B,MATCH(Прайс!$B3794,Торг!$H:$H,0))),"")</f>
        <v/>
      </c>
      <c r="G3794" s="67" t="str">
        <f>IFERROR(IFERROR(INDEX(Кат!$B:$B,MATCH(Прайс!$B3794,Кат!$G:$G,0)),INDEX(Торг!$C:$C,MATCH(Прайс!$B3794,Торг!$H:$H,0))),"")</f>
        <v/>
      </c>
      <c r="H3794" s="67" t="str">
        <f>IFERROR(IFERROR(INDEX(Кат!$I:$I,MATCH(Прайс!$B3794,Кат!$G:$G,0)),INDEX(Торг!$I:$I,MATCH(Прайс!$B3794,Торг!$H:$H,0))),"")</f>
        <v/>
      </c>
    </row>
    <row r="3795" spans="1:8" x14ac:dyDescent="0.25">
      <c r="A3795" s="94" t="s">
        <v>4803</v>
      </c>
      <c r="B3795" s="98">
        <v>32079</v>
      </c>
      <c r="C3795" s="98" t="s">
        <v>2051</v>
      </c>
      <c r="D3795" s="96" t="s">
        <v>433</v>
      </c>
      <c r="E3795" s="107">
        <v>1800</v>
      </c>
      <c r="F3795" s="67" t="str">
        <f>IFERROR(IFERROR(INDEX(Кат!$A:$A,MATCH(Прайс!$B3795,Кат!$G:$G,0)),INDEX(Торг!$B:$B,MATCH(Прайс!$B3795,Торг!$H:$H,0))),"")</f>
        <v/>
      </c>
      <c r="G3795" s="67" t="str">
        <f>IFERROR(IFERROR(INDEX(Кат!$B:$B,MATCH(Прайс!$B3795,Кат!$G:$G,0)),INDEX(Торг!$C:$C,MATCH(Прайс!$B3795,Торг!$H:$H,0))),"")</f>
        <v/>
      </c>
      <c r="H3795" s="67" t="str">
        <f>IFERROR(IFERROR(INDEX(Кат!$I:$I,MATCH(Прайс!$B3795,Кат!$G:$G,0)),INDEX(Торг!$I:$I,MATCH(Прайс!$B3795,Торг!$H:$H,0))),"")</f>
        <v/>
      </c>
    </row>
    <row r="3796" spans="1:8" x14ac:dyDescent="0.25">
      <c r="A3796" s="94" t="s">
        <v>4804</v>
      </c>
      <c r="B3796" s="98">
        <v>32080</v>
      </c>
      <c r="C3796" s="98" t="s">
        <v>2052</v>
      </c>
      <c r="D3796" s="96" t="s">
        <v>375</v>
      </c>
      <c r="E3796" s="107">
        <v>2350</v>
      </c>
      <c r="F3796" s="67" t="str">
        <f>IFERROR(IFERROR(INDEX(Кат!$A:$A,MATCH(Прайс!$B3796,Кат!$G:$G,0)),INDEX(Торг!$B:$B,MATCH(Прайс!$B3796,Торг!$H:$H,0))),"")</f>
        <v/>
      </c>
      <c r="G3796" s="67" t="str">
        <f>IFERROR(IFERROR(INDEX(Кат!$B:$B,MATCH(Прайс!$B3796,Кат!$G:$G,0)),INDEX(Торг!$C:$C,MATCH(Прайс!$B3796,Торг!$H:$H,0))),"")</f>
        <v/>
      </c>
      <c r="H3796" s="67" t="str">
        <f>IFERROR(IFERROR(INDEX(Кат!$I:$I,MATCH(Прайс!$B3796,Кат!$G:$G,0)),INDEX(Торг!$I:$I,MATCH(Прайс!$B3796,Торг!$H:$H,0))),"")</f>
        <v/>
      </c>
    </row>
    <row r="3797" spans="1:8" x14ac:dyDescent="0.25">
      <c r="A3797" s="94" t="s">
        <v>4805</v>
      </c>
      <c r="B3797" s="98">
        <v>32081</v>
      </c>
      <c r="C3797" s="98" t="s">
        <v>2053</v>
      </c>
      <c r="D3797" s="96" t="s">
        <v>433</v>
      </c>
      <c r="E3797" s="107">
        <v>1950</v>
      </c>
      <c r="F3797" s="67" t="str">
        <f>IFERROR(IFERROR(INDEX(Кат!$A:$A,MATCH(Прайс!$B3797,Кат!$G:$G,0)),INDEX(Торг!$B:$B,MATCH(Прайс!$B3797,Торг!$H:$H,0))),"")</f>
        <v/>
      </c>
      <c r="G3797" s="67" t="str">
        <f>IFERROR(IFERROR(INDEX(Кат!$B:$B,MATCH(Прайс!$B3797,Кат!$G:$G,0)),INDEX(Торг!$C:$C,MATCH(Прайс!$B3797,Торг!$H:$H,0))),"")</f>
        <v/>
      </c>
      <c r="H3797" s="67" t="str">
        <f>IFERROR(IFERROR(INDEX(Кат!$I:$I,MATCH(Прайс!$B3797,Кат!$G:$G,0)),INDEX(Торг!$I:$I,MATCH(Прайс!$B3797,Торг!$H:$H,0))),"")</f>
        <v/>
      </c>
    </row>
    <row r="3798" spans="1:8" x14ac:dyDescent="0.25">
      <c r="A3798" s="94" t="s">
        <v>4806</v>
      </c>
      <c r="B3798" s="98">
        <v>32260</v>
      </c>
      <c r="C3798" s="98" t="s">
        <v>2054</v>
      </c>
      <c r="D3798" s="96" t="s">
        <v>375</v>
      </c>
      <c r="E3798" s="107">
        <v>3000</v>
      </c>
      <c r="F3798" s="67" t="str">
        <f>IFERROR(IFERROR(INDEX(Кат!$A:$A,MATCH(Прайс!$B3798,Кат!$G:$G,0)),INDEX(Торг!$B:$B,MATCH(Прайс!$B3798,Торг!$H:$H,0))),"")</f>
        <v/>
      </c>
      <c r="G3798" s="67" t="str">
        <f>IFERROR(IFERROR(INDEX(Кат!$B:$B,MATCH(Прайс!$B3798,Кат!$G:$G,0)),INDEX(Торг!$C:$C,MATCH(Прайс!$B3798,Торг!$H:$H,0))),"")</f>
        <v/>
      </c>
      <c r="H3798" s="67" t="str">
        <f>IFERROR(IFERROR(INDEX(Кат!$I:$I,MATCH(Прайс!$B3798,Кат!$G:$G,0)),INDEX(Торг!$I:$I,MATCH(Прайс!$B3798,Торг!$H:$H,0))),"")</f>
        <v/>
      </c>
    </row>
    <row r="3799" spans="1:8" ht="15.75" x14ac:dyDescent="0.25">
      <c r="A3799" s="90"/>
      <c r="B3799" s="91"/>
      <c r="C3799" s="92" t="s">
        <v>2055</v>
      </c>
      <c r="D3799" s="91"/>
      <c r="E3799" s="93"/>
      <c r="F3799" s="67" t="str">
        <f>IFERROR(IFERROR(INDEX(Кат!$A:$A,MATCH(Прайс!$B3799,Кат!$G:$G,0)),INDEX(Торг!$B:$B,MATCH(Прайс!$B3799,Торг!$H:$H,0))),"")</f>
        <v/>
      </c>
      <c r="G3799" s="67" t="str">
        <f>IFERROR(IFERROR(INDEX(Кат!$B:$B,MATCH(Прайс!$B3799,Кат!$G:$G,0)),INDEX(Торг!$C:$C,MATCH(Прайс!$B3799,Торг!$H:$H,0))),"")</f>
        <v/>
      </c>
      <c r="H3799" s="67" t="str">
        <f>IFERROR(IFERROR(INDEX(Кат!$I:$I,MATCH(Прайс!$B3799,Кат!$G:$G,0)),INDEX(Торг!$I:$I,MATCH(Прайс!$B3799,Торг!$H:$H,0))),"")</f>
        <v/>
      </c>
    </row>
    <row r="3800" spans="1:8" x14ac:dyDescent="0.25">
      <c r="A3800" s="94" t="s">
        <v>4807</v>
      </c>
      <c r="B3800" s="98">
        <v>32267</v>
      </c>
      <c r="C3800" s="98" t="s">
        <v>4808</v>
      </c>
      <c r="D3800" s="96" t="s">
        <v>190</v>
      </c>
      <c r="E3800" s="97">
        <v>80</v>
      </c>
      <c r="F3800" s="67" t="str">
        <f>IFERROR(IFERROR(INDEX(Кат!$A:$A,MATCH(Прайс!$B3800,Кат!$G:$G,0)),INDEX(Торг!$B:$B,MATCH(Прайс!$B3800,Торг!$H:$H,0))),"")</f>
        <v/>
      </c>
      <c r="G3800" s="67" t="str">
        <f>IFERROR(IFERROR(INDEX(Кат!$B:$B,MATCH(Прайс!$B3800,Кат!$G:$G,0)),INDEX(Торг!$C:$C,MATCH(Прайс!$B3800,Торг!$H:$H,0))),"")</f>
        <v/>
      </c>
      <c r="H3800" s="67" t="str">
        <f>IFERROR(IFERROR(INDEX(Кат!$I:$I,MATCH(Прайс!$B3800,Кат!$G:$G,0)),INDEX(Торг!$I:$I,MATCH(Прайс!$B3800,Торг!$H:$H,0))),"")</f>
        <v/>
      </c>
    </row>
    <row r="3801" spans="1:8" x14ac:dyDescent="0.25">
      <c r="A3801" s="94" t="s">
        <v>6466</v>
      </c>
      <c r="B3801" s="98">
        <v>32458</v>
      </c>
      <c r="C3801" s="98" t="s">
        <v>7999</v>
      </c>
      <c r="D3801" s="96" t="s">
        <v>190</v>
      </c>
      <c r="E3801" s="97">
        <v>50</v>
      </c>
      <c r="F3801" s="67" t="str">
        <f>IFERROR(IFERROR(INDEX(Кат!$A:$A,MATCH(Прайс!$B3801,Кат!$G:$G,0)),INDEX(Торг!$B:$B,MATCH(Прайс!$B3801,Торг!$H:$H,0))),"")</f>
        <v/>
      </c>
      <c r="G3801" s="67" t="str">
        <f>IFERROR(IFERROR(INDEX(Кат!$B:$B,MATCH(Прайс!$B3801,Кат!$G:$G,0)),INDEX(Торг!$C:$C,MATCH(Прайс!$B3801,Торг!$H:$H,0))),"")</f>
        <v/>
      </c>
      <c r="H3801" s="67" t="str">
        <f>IFERROR(IFERROR(INDEX(Кат!$I:$I,MATCH(Прайс!$B3801,Кат!$G:$G,0)),INDEX(Торг!$I:$I,MATCH(Прайс!$B3801,Торг!$H:$H,0))),"")</f>
        <v/>
      </c>
    </row>
    <row r="3802" spans="1:8" x14ac:dyDescent="0.25">
      <c r="A3802" s="94" t="s">
        <v>6467</v>
      </c>
      <c r="B3802" s="98">
        <v>32457</v>
      </c>
      <c r="C3802" s="98" t="s">
        <v>8000</v>
      </c>
      <c r="D3802" s="96" t="s">
        <v>176</v>
      </c>
      <c r="E3802" s="97">
        <v>60</v>
      </c>
      <c r="F3802" s="67" t="str">
        <f>IFERROR(IFERROR(INDEX(Кат!$A:$A,MATCH(Прайс!$B3802,Кат!$G:$G,0)),INDEX(Торг!$B:$B,MATCH(Прайс!$B3802,Торг!$H:$H,0))),"")</f>
        <v/>
      </c>
      <c r="G3802" s="67" t="str">
        <f>IFERROR(IFERROR(INDEX(Кат!$B:$B,MATCH(Прайс!$B3802,Кат!$G:$G,0)),INDEX(Торг!$C:$C,MATCH(Прайс!$B3802,Торг!$H:$H,0))),"")</f>
        <v/>
      </c>
      <c r="H3802" s="67" t="str">
        <f>IFERROR(IFERROR(INDEX(Кат!$I:$I,MATCH(Прайс!$B3802,Кат!$G:$G,0)),INDEX(Торг!$I:$I,MATCH(Прайс!$B3802,Торг!$H:$H,0))),"")</f>
        <v/>
      </c>
    </row>
    <row r="3803" spans="1:8" x14ac:dyDescent="0.25">
      <c r="A3803" s="94" t="s">
        <v>4811</v>
      </c>
      <c r="B3803" s="98">
        <v>32037</v>
      </c>
      <c r="C3803" s="98" t="s">
        <v>2056</v>
      </c>
      <c r="D3803" s="96" t="s">
        <v>190</v>
      </c>
      <c r="E3803" s="97">
        <v>25</v>
      </c>
      <c r="F3803" s="67" t="str">
        <f>IFERROR(IFERROR(INDEX(Кат!$A:$A,MATCH(Прайс!$B3803,Кат!$G:$G,0)),INDEX(Торг!$B:$B,MATCH(Прайс!$B3803,Торг!$H:$H,0))),"")</f>
        <v/>
      </c>
      <c r="G3803" s="67" t="str">
        <f>IFERROR(IFERROR(INDEX(Кат!$B:$B,MATCH(Прайс!$B3803,Кат!$G:$G,0)),INDEX(Торг!$C:$C,MATCH(Прайс!$B3803,Торг!$H:$H,0))),"")</f>
        <v/>
      </c>
      <c r="H3803" s="67" t="str">
        <f>IFERROR(IFERROR(INDEX(Кат!$I:$I,MATCH(Прайс!$B3803,Кат!$G:$G,0)),INDEX(Торг!$I:$I,MATCH(Прайс!$B3803,Торг!$H:$H,0))),"")</f>
        <v/>
      </c>
    </row>
    <row r="3804" spans="1:8" x14ac:dyDescent="0.25">
      <c r="A3804" s="94" t="s">
        <v>4812</v>
      </c>
      <c r="B3804" s="98">
        <v>32206</v>
      </c>
      <c r="C3804" s="98" t="s">
        <v>2057</v>
      </c>
      <c r="D3804" s="96" t="s">
        <v>176</v>
      </c>
      <c r="E3804" s="97">
        <v>50</v>
      </c>
      <c r="F3804" s="67" t="str">
        <f>IFERROR(IFERROR(INDEX(Кат!$A:$A,MATCH(Прайс!$B3804,Кат!$G:$G,0)),INDEX(Торг!$B:$B,MATCH(Прайс!$B3804,Торг!$H:$H,0))),"")</f>
        <v/>
      </c>
      <c r="G3804" s="67" t="str">
        <f>IFERROR(IFERROR(INDEX(Кат!$B:$B,MATCH(Прайс!$B3804,Кат!$G:$G,0)),INDEX(Торг!$C:$C,MATCH(Прайс!$B3804,Торг!$H:$H,0))),"")</f>
        <v/>
      </c>
      <c r="H3804" s="67" t="str">
        <f>IFERROR(IFERROR(INDEX(Кат!$I:$I,MATCH(Прайс!$B3804,Кат!$G:$G,0)),INDEX(Торг!$I:$I,MATCH(Прайс!$B3804,Торг!$H:$H,0))),"")</f>
        <v/>
      </c>
    </row>
    <row r="3805" spans="1:8" x14ac:dyDescent="0.25">
      <c r="A3805" s="94" t="s">
        <v>7172</v>
      </c>
      <c r="B3805" s="98">
        <v>32486</v>
      </c>
      <c r="C3805" s="98" t="s">
        <v>8001</v>
      </c>
      <c r="D3805" s="96" t="s">
        <v>190</v>
      </c>
      <c r="E3805" s="97">
        <v>70</v>
      </c>
      <c r="F3805" s="67" t="str">
        <f>IFERROR(IFERROR(INDEX(Кат!$A:$A,MATCH(Прайс!$B3805,Кат!$G:$G,0)),INDEX(Торг!$B:$B,MATCH(Прайс!$B3805,Торг!$H:$H,0))),"")</f>
        <v/>
      </c>
      <c r="G3805" s="67" t="str">
        <f>IFERROR(IFERROR(INDEX(Кат!$B:$B,MATCH(Прайс!$B3805,Кат!$G:$G,0)),INDEX(Торг!$C:$C,MATCH(Прайс!$B3805,Торг!$H:$H,0))),"")</f>
        <v/>
      </c>
      <c r="H3805" s="67" t="str">
        <f>IFERROR(IFERROR(INDEX(Кат!$I:$I,MATCH(Прайс!$B3805,Кат!$G:$G,0)),INDEX(Торг!$I:$I,MATCH(Прайс!$B3805,Торг!$H:$H,0))),"")</f>
        <v/>
      </c>
    </row>
    <row r="3806" spans="1:8" x14ac:dyDescent="0.25">
      <c r="A3806" s="94" t="s">
        <v>4810</v>
      </c>
      <c r="B3806" s="98">
        <v>32043</v>
      </c>
      <c r="C3806" s="98" t="s">
        <v>7173</v>
      </c>
      <c r="D3806" s="96" t="s">
        <v>190</v>
      </c>
      <c r="E3806" s="97">
        <v>25</v>
      </c>
      <c r="F3806" s="67" t="str">
        <f>IFERROR(IFERROR(INDEX(Кат!$A:$A,MATCH(Прайс!$B3806,Кат!$G:$G,0)),INDEX(Торг!$B:$B,MATCH(Прайс!$B3806,Торг!$H:$H,0))),"")</f>
        <v/>
      </c>
      <c r="G3806" s="67" t="str">
        <f>IFERROR(IFERROR(INDEX(Кат!$B:$B,MATCH(Прайс!$B3806,Кат!$G:$G,0)),INDEX(Торг!$C:$C,MATCH(Прайс!$B3806,Торг!$H:$H,0))),"")</f>
        <v/>
      </c>
      <c r="H3806" s="67" t="str">
        <f>IFERROR(IFERROR(INDEX(Кат!$I:$I,MATCH(Прайс!$B3806,Кат!$G:$G,0)),INDEX(Торг!$I:$I,MATCH(Прайс!$B3806,Торг!$H:$H,0))),"")</f>
        <v/>
      </c>
    </row>
    <row r="3807" spans="1:8" x14ac:dyDescent="0.25">
      <c r="A3807" s="103" t="s">
        <v>7174</v>
      </c>
      <c r="B3807" s="104">
        <v>32479</v>
      </c>
      <c r="C3807" s="104" t="s">
        <v>7175</v>
      </c>
      <c r="D3807" s="105" t="s">
        <v>176</v>
      </c>
      <c r="E3807" s="113">
        <v>40</v>
      </c>
      <c r="F3807" s="67" t="str">
        <f>IFERROR(IFERROR(INDEX(Кат!$A:$A,MATCH(Прайс!$B3807,Кат!$G:$G,0)),INDEX(Торг!$B:$B,MATCH(Прайс!$B3807,Торг!$H:$H,0))),"")</f>
        <v/>
      </c>
      <c r="G3807" s="67" t="str">
        <f>IFERROR(IFERROR(INDEX(Кат!$B:$B,MATCH(Прайс!$B3807,Кат!$G:$G,0)),INDEX(Торг!$C:$C,MATCH(Прайс!$B3807,Торг!$H:$H,0))),"")</f>
        <v/>
      </c>
      <c r="H3807" s="67" t="str">
        <f>IFERROR(IFERROR(INDEX(Кат!$I:$I,MATCH(Прайс!$B3807,Кат!$G:$G,0)),INDEX(Торг!$I:$I,MATCH(Прайс!$B3807,Торг!$H:$H,0))),"")</f>
        <v/>
      </c>
    </row>
    <row r="3808" spans="1:8" x14ac:dyDescent="0.25">
      <c r="A3808" s="94" t="s">
        <v>7176</v>
      </c>
      <c r="B3808" s="98">
        <v>32482</v>
      </c>
      <c r="C3808" s="98" t="s">
        <v>7177</v>
      </c>
      <c r="D3808" s="96" t="s">
        <v>176</v>
      </c>
      <c r="E3808" s="97">
        <v>40</v>
      </c>
      <c r="F3808" s="67" t="str">
        <f>IFERROR(IFERROR(INDEX(Кат!$A:$A,MATCH(Прайс!$B3808,Кат!$G:$G,0)),INDEX(Торг!$B:$B,MATCH(Прайс!$B3808,Торг!$H:$H,0))),"")</f>
        <v/>
      </c>
      <c r="G3808" s="67" t="str">
        <f>IFERROR(IFERROR(INDEX(Кат!$B:$B,MATCH(Прайс!$B3808,Кат!$G:$G,0)),INDEX(Торг!$C:$C,MATCH(Прайс!$B3808,Торг!$H:$H,0))),"")</f>
        <v/>
      </c>
      <c r="H3808" s="67" t="str">
        <f>IFERROR(IFERROR(INDEX(Кат!$I:$I,MATCH(Прайс!$B3808,Кат!$G:$G,0)),INDEX(Торг!$I:$I,MATCH(Прайс!$B3808,Торг!$H:$H,0))),"")</f>
        <v/>
      </c>
    </row>
    <row r="3809" spans="1:8" x14ac:dyDescent="0.25">
      <c r="A3809" s="109" t="s">
        <v>8353</v>
      </c>
      <c r="B3809" s="110">
        <v>32533</v>
      </c>
      <c r="C3809" s="110" t="s">
        <v>8354</v>
      </c>
      <c r="D3809" s="111" t="s">
        <v>190</v>
      </c>
      <c r="E3809" s="112">
        <v>90</v>
      </c>
      <c r="F3809" s="67" t="str">
        <f>IFERROR(IFERROR(INDEX(Кат!$A:$A,MATCH(Прайс!$B3809,Кат!$G:$G,0)),INDEX(Торг!$B:$B,MATCH(Прайс!$B3809,Торг!$H:$H,0))),"")</f>
        <v/>
      </c>
      <c r="G3809" s="67" t="str">
        <f>IFERROR(IFERROR(INDEX(Кат!$B:$B,MATCH(Прайс!$B3809,Кат!$G:$G,0)),INDEX(Торг!$C:$C,MATCH(Прайс!$B3809,Торг!$H:$H,0))),"")</f>
        <v/>
      </c>
      <c r="H3809" s="67" t="str">
        <f>IFERROR(IFERROR(INDEX(Кат!$I:$I,MATCH(Прайс!$B3809,Кат!$G:$G,0)),INDEX(Торг!$I:$I,MATCH(Прайс!$B3809,Торг!$H:$H,0))),"")</f>
        <v/>
      </c>
    </row>
    <row r="3810" spans="1:8" x14ac:dyDescent="0.25">
      <c r="A3810" s="109" t="s">
        <v>8355</v>
      </c>
      <c r="B3810" s="110">
        <v>32534</v>
      </c>
      <c r="C3810" s="110" t="s">
        <v>8356</v>
      </c>
      <c r="D3810" s="111" t="s">
        <v>190</v>
      </c>
      <c r="E3810" s="112">
        <v>100</v>
      </c>
      <c r="F3810" s="67" t="str">
        <f>IFERROR(IFERROR(INDEX(Кат!$A:$A,MATCH(Прайс!$B3810,Кат!$G:$G,0)),INDEX(Торг!$B:$B,MATCH(Прайс!$B3810,Торг!$H:$H,0))),"")</f>
        <v/>
      </c>
      <c r="G3810" s="67" t="str">
        <f>IFERROR(IFERROR(INDEX(Кат!$B:$B,MATCH(Прайс!$B3810,Кат!$G:$G,0)),INDEX(Торг!$C:$C,MATCH(Прайс!$B3810,Торг!$H:$H,0))),"")</f>
        <v/>
      </c>
      <c r="H3810" s="67" t="str">
        <f>IFERROR(IFERROR(INDEX(Кат!$I:$I,MATCH(Прайс!$B3810,Кат!$G:$G,0)),INDEX(Торг!$I:$I,MATCH(Прайс!$B3810,Торг!$H:$H,0))),"")</f>
        <v/>
      </c>
    </row>
    <row r="3811" spans="1:8" x14ac:dyDescent="0.25">
      <c r="A3811" s="94" t="s">
        <v>8002</v>
      </c>
      <c r="B3811" s="98">
        <v>32512</v>
      </c>
      <c r="C3811" s="98" t="s">
        <v>8003</v>
      </c>
      <c r="D3811" s="96" t="s">
        <v>190</v>
      </c>
      <c r="E3811" s="97">
        <v>150</v>
      </c>
      <c r="F3811" s="67" t="str">
        <f>IFERROR(IFERROR(INDEX(Кат!$A:$A,MATCH(Прайс!$B3811,Кат!$G:$G,0)),INDEX(Торг!$B:$B,MATCH(Прайс!$B3811,Торг!$H:$H,0))),"")</f>
        <v/>
      </c>
      <c r="G3811" s="67" t="str">
        <f>IFERROR(IFERROR(INDEX(Кат!$B:$B,MATCH(Прайс!$B3811,Кат!$G:$G,0)),INDEX(Торг!$C:$C,MATCH(Прайс!$B3811,Торг!$H:$H,0))),"")</f>
        <v/>
      </c>
      <c r="H3811" s="67" t="str">
        <f>IFERROR(IFERROR(INDEX(Кат!$I:$I,MATCH(Прайс!$B3811,Кат!$G:$G,0)),INDEX(Торг!$I:$I,MATCH(Прайс!$B3811,Торг!$H:$H,0))),"")</f>
        <v/>
      </c>
    </row>
    <row r="3812" spans="1:8" x14ac:dyDescent="0.25">
      <c r="A3812" s="109" t="s">
        <v>8357</v>
      </c>
      <c r="B3812" s="110">
        <v>32535</v>
      </c>
      <c r="C3812" s="110" t="s">
        <v>8358</v>
      </c>
      <c r="D3812" s="111" t="s">
        <v>190</v>
      </c>
      <c r="E3812" s="112">
        <v>120</v>
      </c>
      <c r="F3812" s="67" t="str">
        <f>IFERROR(IFERROR(INDEX(Кат!$A:$A,MATCH(Прайс!$B3812,Кат!$G:$G,0)),INDEX(Торг!$B:$B,MATCH(Прайс!$B3812,Торг!$H:$H,0))),"")</f>
        <v/>
      </c>
      <c r="G3812" s="67" t="str">
        <f>IFERROR(IFERROR(INDEX(Кат!$B:$B,MATCH(Прайс!$B3812,Кат!$G:$G,0)),INDEX(Торг!$C:$C,MATCH(Прайс!$B3812,Торг!$H:$H,0))),"")</f>
        <v/>
      </c>
      <c r="H3812" s="67" t="str">
        <f>IFERROR(IFERROR(INDEX(Кат!$I:$I,MATCH(Прайс!$B3812,Кат!$G:$G,0)),INDEX(Торг!$I:$I,MATCH(Прайс!$B3812,Торг!$H:$H,0))),"")</f>
        <v/>
      </c>
    </row>
    <row r="3813" spans="1:8" x14ac:dyDescent="0.25">
      <c r="A3813" s="94" t="s">
        <v>4809</v>
      </c>
      <c r="B3813" s="98">
        <v>32390</v>
      </c>
      <c r="C3813" s="98" t="s">
        <v>8004</v>
      </c>
      <c r="D3813" s="96" t="s">
        <v>190</v>
      </c>
      <c r="E3813" s="97">
        <v>290</v>
      </c>
      <c r="F3813" s="67" t="str">
        <f>IFERROR(IFERROR(INDEX(Кат!$A:$A,MATCH(Прайс!$B3813,Кат!$G:$G,0)),INDEX(Торг!$B:$B,MATCH(Прайс!$B3813,Торг!$H:$H,0))),"")</f>
        <v/>
      </c>
      <c r="G3813" s="67" t="str">
        <f>IFERROR(IFERROR(INDEX(Кат!$B:$B,MATCH(Прайс!$B3813,Кат!$G:$G,0)),INDEX(Торг!$C:$C,MATCH(Прайс!$B3813,Торг!$H:$H,0))),"")</f>
        <v/>
      </c>
      <c r="H3813" s="67" t="str">
        <f>IFERROR(IFERROR(INDEX(Кат!$I:$I,MATCH(Прайс!$B3813,Кат!$G:$G,0)),INDEX(Торг!$I:$I,MATCH(Прайс!$B3813,Торг!$H:$H,0))),"")</f>
        <v/>
      </c>
    </row>
    <row r="3814" spans="1:8" x14ac:dyDescent="0.25">
      <c r="A3814" s="94" t="s">
        <v>8005</v>
      </c>
      <c r="B3814" s="98">
        <v>32507</v>
      </c>
      <c r="C3814" s="98" t="s">
        <v>8006</v>
      </c>
      <c r="D3814" s="96" t="s">
        <v>190</v>
      </c>
      <c r="E3814" s="97">
        <v>100</v>
      </c>
      <c r="F3814" s="67" t="str">
        <f>IFERROR(IFERROR(INDEX(Кат!$A:$A,MATCH(Прайс!$B3814,Кат!$G:$G,0)),INDEX(Торг!$B:$B,MATCH(Прайс!$B3814,Торг!$H:$H,0))),"")</f>
        <v/>
      </c>
      <c r="G3814" s="67" t="str">
        <f>IFERROR(IFERROR(INDEX(Кат!$B:$B,MATCH(Прайс!$B3814,Кат!$G:$G,0)),INDEX(Торг!$C:$C,MATCH(Прайс!$B3814,Торг!$H:$H,0))),"")</f>
        <v/>
      </c>
      <c r="H3814" s="67" t="str">
        <f>IFERROR(IFERROR(INDEX(Кат!$I:$I,MATCH(Прайс!$B3814,Кат!$G:$G,0)),INDEX(Торг!$I:$I,MATCH(Прайс!$B3814,Торг!$H:$H,0))),"")</f>
        <v/>
      </c>
    </row>
    <row r="3815" spans="1:8" x14ac:dyDescent="0.25">
      <c r="A3815" s="109" t="s">
        <v>8359</v>
      </c>
      <c r="B3815" s="110">
        <v>32540</v>
      </c>
      <c r="C3815" s="110" t="s">
        <v>8360</v>
      </c>
      <c r="D3815" s="111" t="s">
        <v>190</v>
      </c>
      <c r="E3815" s="112">
        <v>120</v>
      </c>
      <c r="F3815" s="67" t="str">
        <f>IFERROR(IFERROR(INDEX(Кат!$A:$A,MATCH(Прайс!$B3815,Кат!$G:$G,0)),INDEX(Торг!$B:$B,MATCH(Прайс!$B3815,Торг!$H:$H,0))),"")</f>
        <v/>
      </c>
      <c r="G3815" s="67" t="str">
        <f>IFERROR(IFERROR(INDEX(Кат!$B:$B,MATCH(Прайс!$B3815,Кат!$G:$G,0)),INDEX(Торг!$C:$C,MATCH(Прайс!$B3815,Торг!$H:$H,0))),"")</f>
        <v/>
      </c>
      <c r="H3815" s="67" t="str">
        <f>IFERROR(IFERROR(INDEX(Кат!$I:$I,MATCH(Прайс!$B3815,Кат!$G:$G,0)),INDEX(Торг!$I:$I,MATCH(Прайс!$B3815,Торг!$H:$H,0))),"")</f>
        <v/>
      </c>
    </row>
    <row r="3816" spans="1:8" x14ac:dyDescent="0.25">
      <c r="A3816" s="94" t="s">
        <v>4813</v>
      </c>
      <c r="B3816" s="98">
        <v>32405</v>
      </c>
      <c r="C3816" s="98" t="s">
        <v>8007</v>
      </c>
      <c r="D3816" s="96" t="s">
        <v>190</v>
      </c>
      <c r="E3816" s="97">
        <v>190</v>
      </c>
      <c r="F3816" s="67" t="str">
        <f>IFERROR(IFERROR(INDEX(Кат!$A:$A,MATCH(Прайс!$B3816,Кат!$G:$G,0)),INDEX(Торг!$B:$B,MATCH(Прайс!$B3816,Торг!$H:$H,0))),"")</f>
        <v/>
      </c>
      <c r="G3816" s="67" t="str">
        <f>IFERROR(IFERROR(INDEX(Кат!$B:$B,MATCH(Прайс!$B3816,Кат!$G:$G,0)),INDEX(Торг!$C:$C,MATCH(Прайс!$B3816,Торг!$H:$H,0))),"")</f>
        <v/>
      </c>
      <c r="H3816" s="67" t="str">
        <f>IFERROR(IFERROR(INDEX(Кат!$I:$I,MATCH(Прайс!$B3816,Кат!$G:$G,0)),INDEX(Торг!$I:$I,MATCH(Прайс!$B3816,Торг!$H:$H,0))),"")</f>
        <v/>
      </c>
    </row>
    <row r="3817" spans="1:8" x14ac:dyDescent="0.25">
      <c r="A3817" s="94" t="s">
        <v>6463</v>
      </c>
      <c r="B3817" s="98">
        <v>32465</v>
      </c>
      <c r="C3817" s="98" t="s">
        <v>8008</v>
      </c>
      <c r="D3817" s="96" t="s">
        <v>190</v>
      </c>
      <c r="E3817" s="97">
        <v>140</v>
      </c>
      <c r="F3817" s="67" t="str">
        <f>IFERROR(IFERROR(INDEX(Кат!$A:$A,MATCH(Прайс!$B3817,Кат!$G:$G,0)),INDEX(Торг!$B:$B,MATCH(Прайс!$B3817,Торг!$H:$H,0))),"")</f>
        <v/>
      </c>
      <c r="G3817" s="67" t="str">
        <f>IFERROR(IFERROR(INDEX(Кат!$B:$B,MATCH(Прайс!$B3817,Кат!$G:$G,0)),INDEX(Торг!$C:$C,MATCH(Прайс!$B3817,Торг!$H:$H,0))),"")</f>
        <v/>
      </c>
      <c r="H3817" s="67" t="str">
        <f>IFERROR(IFERROR(INDEX(Кат!$I:$I,MATCH(Прайс!$B3817,Кат!$G:$G,0)),INDEX(Торг!$I:$I,MATCH(Прайс!$B3817,Торг!$H:$H,0))),"")</f>
        <v/>
      </c>
    </row>
    <row r="3818" spans="1:8" x14ac:dyDescent="0.25">
      <c r="A3818" s="94" t="s">
        <v>8009</v>
      </c>
      <c r="B3818" s="98">
        <v>32431</v>
      </c>
      <c r="C3818" s="98" t="s">
        <v>8010</v>
      </c>
      <c r="D3818" s="96" t="s">
        <v>190</v>
      </c>
      <c r="E3818" s="97">
        <v>230</v>
      </c>
      <c r="F3818" s="67" t="str">
        <f>IFERROR(IFERROR(INDEX(Кат!$A:$A,MATCH(Прайс!$B3818,Кат!$G:$G,0)),INDEX(Торг!$B:$B,MATCH(Прайс!$B3818,Торг!$H:$H,0))),"")</f>
        <v/>
      </c>
      <c r="G3818" s="67" t="str">
        <f>IFERROR(IFERROR(INDEX(Кат!$B:$B,MATCH(Прайс!$B3818,Кат!$G:$G,0)),INDEX(Торг!$C:$C,MATCH(Прайс!$B3818,Торг!$H:$H,0))),"")</f>
        <v/>
      </c>
      <c r="H3818" s="67" t="str">
        <f>IFERROR(IFERROR(INDEX(Кат!$I:$I,MATCH(Прайс!$B3818,Кат!$G:$G,0)),INDEX(Торг!$I:$I,MATCH(Прайс!$B3818,Торг!$H:$H,0))),"")</f>
        <v/>
      </c>
    </row>
    <row r="3819" spans="1:8" x14ac:dyDescent="0.25">
      <c r="A3819" s="103" t="s">
        <v>6018</v>
      </c>
      <c r="B3819" s="104">
        <v>32443</v>
      </c>
      <c r="C3819" s="104" t="s">
        <v>8011</v>
      </c>
      <c r="D3819" s="105" t="s">
        <v>190</v>
      </c>
      <c r="E3819" s="113">
        <v>230</v>
      </c>
      <c r="F3819" s="67" t="str">
        <f>IFERROR(IFERROR(INDEX(Кат!$A:$A,MATCH(Прайс!$B3819,Кат!$G:$G,0)),INDEX(Торг!$B:$B,MATCH(Прайс!$B3819,Торг!$H:$H,0))),"")</f>
        <v/>
      </c>
      <c r="G3819" s="67" t="str">
        <f>IFERROR(IFERROR(INDEX(Кат!$B:$B,MATCH(Прайс!$B3819,Кат!$G:$G,0)),INDEX(Торг!$C:$C,MATCH(Прайс!$B3819,Торг!$H:$H,0))),"")</f>
        <v/>
      </c>
      <c r="H3819" s="67" t="str">
        <f>IFERROR(IFERROR(INDEX(Кат!$I:$I,MATCH(Прайс!$B3819,Кат!$G:$G,0)),INDEX(Торг!$I:$I,MATCH(Прайс!$B3819,Торг!$H:$H,0))),"")</f>
        <v/>
      </c>
    </row>
    <row r="3820" spans="1:8" x14ac:dyDescent="0.25">
      <c r="A3820" s="94" t="s">
        <v>7171</v>
      </c>
      <c r="B3820" s="98">
        <v>32484</v>
      </c>
      <c r="C3820" s="98" t="s">
        <v>8012</v>
      </c>
      <c r="D3820" s="96" t="s">
        <v>8013</v>
      </c>
      <c r="E3820" s="97">
        <v>150</v>
      </c>
      <c r="F3820" s="67" t="str">
        <f>IFERROR(IFERROR(INDEX(Кат!$A:$A,MATCH(Прайс!$B3820,Кат!$G:$G,0)),INDEX(Торг!$B:$B,MATCH(Прайс!$B3820,Торг!$H:$H,0))),"")</f>
        <v/>
      </c>
      <c r="G3820" s="67" t="str">
        <f>IFERROR(IFERROR(INDEX(Кат!$B:$B,MATCH(Прайс!$B3820,Кат!$G:$G,0)),INDEX(Торг!$C:$C,MATCH(Прайс!$B3820,Торг!$H:$H,0))),"")</f>
        <v/>
      </c>
      <c r="H3820" s="67" t="str">
        <f>IFERROR(IFERROR(INDEX(Кат!$I:$I,MATCH(Прайс!$B3820,Кат!$G:$G,0)),INDEX(Торг!$I:$I,MATCH(Прайс!$B3820,Торг!$H:$H,0))),"")</f>
        <v/>
      </c>
    </row>
    <row r="3821" spans="1:8" x14ac:dyDescent="0.25">
      <c r="A3821" s="94" t="s">
        <v>6464</v>
      </c>
      <c r="B3821" s="98">
        <v>32453</v>
      </c>
      <c r="C3821" s="98" t="s">
        <v>8014</v>
      </c>
      <c r="D3821" s="96" t="s">
        <v>161</v>
      </c>
      <c r="E3821" s="97">
        <v>150</v>
      </c>
      <c r="F3821" s="67" t="str">
        <f>IFERROR(IFERROR(INDEX(Кат!$A:$A,MATCH(Прайс!$B3821,Кат!$G:$G,0)),INDEX(Торг!$B:$B,MATCH(Прайс!$B3821,Торг!$H:$H,0))),"")</f>
        <v/>
      </c>
      <c r="G3821" s="67" t="str">
        <f>IFERROR(IFERROR(INDEX(Кат!$B:$B,MATCH(Прайс!$B3821,Кат!$G:$G,0)),INDEX(Торг!$C:$C,MATCH(Прайс!$B3821,Торг!$H:$H,0))),"")</f>
        <v/>
      </c>
      <c r="H3821" s="67" t="str">
        <f>IFERROR(IFERROR(INDEX(Кат!$I:$I,MATCH(Прайс!$B3821,Кат!$G:$G,0)),INDEX(Торг!$I:$I,MATCH(Прайс!$B3821,Торг!$H:$H,0))),"")</f>
        <v/>
      </c>
    </row>
    <row r="3822" spans="1:8" x14ac:dyDescent="0.25">
      <c r="A3822" s="94" t="s">
        <v>6460</v>
      </c>
      <c r="B3822" s="98">
        <v>32464</v>
      </c>
      <c r="C3822" s="98" t="s">
        <v>8015</v>
      </c>
      <c r="D3822" s="96" t="s">
        <v>1717</v>
      </c>
      <c r="E3822" s="97">
        <v>60</v>
      </c>
      <c r="F3822" s="67" t="str">
        <f>IFERROR(IFERROR(INDEX(Кат!$A:$A,MATCH(Прайс!$B3822,Кат!$G:$G,0)),INDEX(Торг!$B:$B,MATCH(Прайс!$B3822,Торг!$H:$H,0))),"")</f>
        <v/>
      </c>
      <c r="G3822" s="67" t="str">
        <f>IFERROR(IFERROR(INDEX(Кат!$B:$B,MATCH(Прайс!$B3822,Кат!$G:$G,0)),INDEX(Торг!$C:$C,MATCH(Прайс!$B3822,Торг!$H:$H,0))),"")</f>
        <v/>
      </c>
      <c r="H3822" s="67" t="str">
        <f>IFERROR(IFERROR(INDEX(Кат!$I:$I,MATCH(Прайс!$B3822,Кат!$G:$G,0)),INDEX(Торг!$I:$I,MATCH(Прайс!$B3822,Торг!$H:$H,0))),"")</f>
        <v/>
      </c>
    </row>
    <row r="3823" spans="1:8" x14ac:dyDescent="0.25">
      <c r="A3823" s="94" t="s">
        <v>8636</v>
      </c>
      <c r="B3823" s="98">
        <v>32467</v>
      </c>
      <c r="C3823" s="98" t="s">
        <v>8637</v>
      </c>
      <c r="D3823" s="96" t="s">
        <v>161</v>
      </c>
      <c r="E3823" s="97">
        <v>100</v>
      </c>
      <c r="F3823" s="67" t="str">
        <f>IFERROR(IFERROR(INDEX(Кат!$A:$A,MATCH(Прайс!$B3823,Кат!$G:$G,0)),INDEX(Торг!$B:$B,MATCH(Прайс!$B3823,Торг!$H:$H,0))),"")</f>
        <v/>
      </c>
      <c r="G3823" s="67" t="str">
        <f>IFERROR(IFERROR(INDEX(Кат!$B:$B,MATCH(Прайс!$B3823,Кат!$G:$G,0)),INDEX(Торг!$C:$C,MATCH(Прайс!$B3823,Торг!$H:$H,0))),"")</f>
        <v/>
      </c>
      <c r="H3823" s="67" t="str">
        <f>IFERROR(IFERROR(INDEX(Кат!$I:$I,MATCH(Прайс!$B3823,Кат!$G:$G,0)),INDEX(Торг!$I:$I,MATCH(Прайс!$B3823,Торг!$H:$H,0))),"")</f>
        <v/>
      </c>
    </row>
    <row r="3824" spans="1:8" x14ac:dyDescent="0.25">
      <c r="A3824" s="94" t="s">
        <v>6465</v>
      </c>
      <c r="B3824" s="98">
        <v>32466</v>
      </c>
      <c r="C3824" s="98" t="s">
        <v>8016</v>
      </c>
      <c r="D3824" s="96" t="s">
        <v>161</v>
      </c>
      <c r="E3824" s="97">
        <v>100</v>
      </c>
      <c r="F3824" s="67" t="str">
        <f>IFERROR(IFERROR(INDEX(Кат!$A:$A,MATCH(Прайс!$B3824,Кат!$G:$G,0)),INDEX(Торг!$B:$B,MATCH(Прайс!$B3824,Торг!$H:$H,0))),"")</f>
        <v/>
      </c>
      <c r="G3824" s="67" t="str">
        <f>IFERROR(IFERROR(INDEX(Кат!$B:$B,MATCH(Прайс!$B3824,Кат!$G:$G,0)),INDEX(Торг!$C:$C,MATCH(Прайс!$B3824,Торг!$H:$H,0))),"")</f>
        <v/>
      </c>
      <c r="H3824" s="67" t="str">
        <f>IFERROR(IFERROR(INDEX(Кат!$I:$I,MATCH(Прайс!$B3824,Кат!$G:$G,0)),INDEX(Торг!$I:$I,MATCH(Прайс!$B3824,Торг!$H:$H,0))),"")</f>
        <v/>
      </c>
    </row>
    <row r="3825" spans="1:8" ht="15.75" x14ac:dyDescent="0.25">
      <c r="A3825" s="90"/>
      <c r="B3825" s="91"/>
      <c r="C3825" s="92" t="s">
        <v>2058</v>
      </c>
      <c r="D3825" s="91"/>
      <c r="E3825" s="93"/>
      <c r="F3825" s="67" t="str">
        <f>IFERROR(IFERROR(INDEX(Кат!$A:$A,MATCH(Прайс!$B3825,Кат!$G:$G,0)),INDEX(Торг!$B:$B,MATCH(Прайс!$B3825,Торг!$H:$H,0))),"")</f>
        <v/>
      </c>
      <c r="G3825" s="67" t="str">
        <f>IFERROR(IFERROR(INDEX(Кат!$B:$B,MATCH(Прайс!$B3825,Кат!$G:$G,0)),INDEX(Торг!$C:$C,MATCH(Прайс!$B3825,Торг!$H:$H,0))),"")</f>
        <v/>
      </c>
      <c r="H3825" s="67" t="str">
        <f>IFERROR(IFERROR(INDEX(Кат!$I:$I,MATCH(Прайс!$B3825,Кат!$G:$G,0)),INDEX(Торг!$I:$I,MATCH(Прайс!$B3825,Торг!$H:$H,0))),"")</f>
        <v/>
      </c>
    </row>
    <row r="3826" spans="1:8" x14ac:dyDescent="0.25">
      <c r="A3826" s="94" t="s">
        <v>4814</v>
      </c>
      <c r="B3826" s="98">
        <v>32176</v>
      </c>
      <c r="C3826" s="98" t="s">
        <v>2059</v>
      </c>
      <c r="D3826" s="96" t="s">
        <v>190</v>
      </c>
      <c r="E3826" s="97">
        <v>100</v>
      </c>
      <c r="F3826" s="67" t="str">
        <f>IFERROR(IFERROR(INDEX(Кат!$A:$A,MATCH(Прайс!$B3826,Кат!$G:$G,0)),INDEX(Торг!$B:$B,MATCH(Прайс!$B3826,Торг!$H:$H,0))),"")</f>
        <v/>
      </c>
      <c r="G3826" s="67" t="str">
        <f>IFERROR(IFERROR(INDEX(Кат!$B:$B,MATCH(Прайс!$B3826,Кат!$G:$G,0)),INDEX(Торг!$C:$C,MATCH(Прайс!$B3826,Торг!$H:$H,0))),"")</f>
        <v/>
      </c>
      <c r="H3826" s="67" t="str">
        <f>IFERROR(IFERROR(INDEX(Кат!$I:$I,MATCH(Прайс!$B3826,Кат!$G:$G,0)),INDEX(Торг!$I:$I,MATCH(Прайс!$B3826,Торг!$H:$H,0))),"")</f>
        <v/>
      </c>
    </row>
    <row r="3827" spans="1:8" ht="15.75" x14ac:dyDescent="0.25">
      <c r="A3827" s="90"/>
      <c r="B3827" s="91"/>
      <c r="C3827" s="92" t="s">
        <v>2060</v>
      </c>
      <c r="D3827" s="91"/>
      <c r="E3827" s="93"/>
      <c r="F3827" s="67" t="str">
        <f>IFERROR(IFERROR(INDEX(Кат!$A:$A,MATCH(Прайс!$B3827,Кат!$G:$G,0)),INDEX(Торг!$B:$B,MATCH(Прайс!$B3827,Торг!$H:$H,0))),"")</f>
        <v/>
      </c>
      <c r="G3827" s="67" t="str">
        <f>IFERROR(IFERROR(INDEX(Кат!$B:$B,MATCH(Прайс!$B3827,Кат!$G:$G,0)),INDEX(Торг!$C:$C,MATCH(Прайс!$B3827,Торг!$H:$H,0))),"")</f>
        <v/>
      </c>
      <c r="H3827" s="67" t="str">
        <f>IFERROR(IFERROR(INDEX(Кат!$I:$I,MATCH(Прайс!$B3827,Кат!$G:$G,0)),INDEX(Торг!$I:$I,MATCH(Прайс!$B3827,Торг!$H:$H,0))),"")</f>
        <v/>
      </c>
    </row>
    <row r="3828" spans="1:8" x14ac:dyDescent="0.25">
      <c r="A3828" s="103" t="s">
        <v>4815</v>
      </c>
      <c r="B3828" s="104">
        <v>32213</v>
      </c>
      <c r="C3828" s="104" t="s">
        <v>2061</v>
      </c>
      <c r="D3828" s="105" t="s">
        <v>162</v>
      </c>
      <c r="E3828" s="113">
        <v>340</v>
      </c>
      <c r="F3828" s="67" t="str">
        <f>IFERROR(IFERROR(INDEX(Кат!$A:$A,MATCH(Прайс!$B3828,Кат!$G:$G,0)),INDEX(Торг!$B:$B,MATCH(Прайс!$B3828,Торг!$H:$H,0))),"")</f>
        <v/>
      </c>
      <c r="G3828" s="67" t="str">
        <f>IFERROR(IFERROR(INDEX(Кат!$B:$B,MATCH(Прайс!$B3828,Кат!$G:$G,0)),INDEX(Торг!$C:$C,MATCH(Прайс!$B3828,Торг!$H:$H,0))),"")</f>
        <v/>
      </c>
      <c r="H3828" s="67" t="str">
        <f>IFERROR(IFERROR(INDEX(Кат!$I:$I,MATCH(Прайс!$B3828,Кат!$G:$G,0)),INDEX(Торг!$I:$I,MATCH(Прайс!$B3828,Торг!$H:$H,0))),"")</f>
        <v/>
      </c>
    </row>
    <row r="3829" spans="1:8" ht="15.75" x14ac:dyDescent="0.25">
      <c r="A3829" s="90"/>
      <c r="B3829" s="91"/>
      <c r="C3829" s="92" t="s">
        <v>2062</v>
      </c>
      <c r="D3829" s="91"/>
      <c r="E3829" s="93"/>
      <c r="F3829" s="67" t="str">
        <f>IFERROR(IFERROR(INDEX(Кат!$A:$A,MATCH(Прайс!$B3829,Кат!$G:$G,0)),INDEX(Торг!$B:$B,MATCH(Прайс!$B3829,Торг!$H:$H,0))),"")</f>
        <v/>
      </c>
      <c r="G3829" s="67" t="str">
        <f>IFERROR(IFERROR(INDEX(Кат!$B:$B,MATCH(Прайс!$B3829,Кат!$G:$G,0)),INDEX(Торг!$C:$C,MATCH(Прайс!$B3829,Торг!$H:$H,0))),"")</f>
        <v/>
      </c>
      <c r="H3829" s="67" t="str">
        <f>IFERROR(IFERROR(INDEX(Кат!$I:$I,MATCH(Прайс!$B3829,Кат!$G:$G,0)),INDEX(Торг!$I:$I,MATCH(Прайс!$B3829,Торг!$H:$H,0))),"")</f>
        <v/>
      </c>
    </row>
    <row r="3830" spans="1:8" x14ac:dyDescent="0.25">
      <c r="A3830" s="103" t="s">
        <v>4816</v>
      </c>
      <c r="B3830" s="104">
        <v>32030</v>
      </c>
      <c r="C3830" s="104" t="s">
        <v>2063</v>
      </c>
      <c r="D3830" s="105" t="s">
        <v>190</v>
      </c>
      <c r="E3830" s="113">
        <v>60</v>
      </c>
      <c r="F3830" s="67" t="str">
        <f>IFERROR(IFERROR(INDEX(Кат!$A:$A,MATCH(Прайс!$B3830,Кат!$G:$G,0)),INDEX(Торг!$B:$B,MATCH(Прайс!$B3830,Торг!$H:$H,0))),"")</f>
        <v/>
      </c>
      <c r="G3830" s="67" t="str">
        <f>IFERROR(IFERROR(INDEX(Кат!$B:$B,MATCH(Прайс!$B3830,Кат!$G:$G,0)),INDEX(Торг!$C:$C,MATCH(Прайс!$B3830,Торг!$H:$H,0))),"")</f>
        <v/>
      </c>
      <c r="H3830" s="67" t="str">
        <f>IFERROR(IFERROR(INDEX(Кат!$I:$I,MATCH(Прайс!$B3830,Кат!$G:$G,0)),INDEX(Торг!$I:$I,MATCH(Прайс!$B3830,Торг!$H:$H,0))),"")</f>
        <v/>
      </c>
    </row>
    <row r="3831" spans="1:8" x14ac:dyDescent="0.25">
      <c r="A3831" s="103" t="s">
        <v>4817</v>
      </c>
      <c r="B3831" s="104">
        <v>32412</v>
      </c>
      <c r="C3831" s="104" t="s">
        <v>2064</v>
      </c>
      <c r="D3831" s="105" t="s">
        <v>190</v>
      </c>
      <c r="E3831" s="113">
        <v>750</v>
      </c>
      <c r="F3831" s="67" t="str">
        <f>IFERROR(IFERROR(INDEX(Кат!$A:$A,MATCH(Прайс!$B3831,Кат!$G:$G,0)),INDEX(Торг!$B:$B,MATCH(Прайс!$B3831,Торг!$H:$H,0))),"")</f>
        <v/>
      </c>
      <c r="G3831" s="67" t="str">
        <f>IFERROR(IFERROR(INDEX(Кат!$B:$B,MATCH(Прайс!$B3831,Кат!$G:$G,0)),INDEX(Торг!$C:$C,MATCH(Прайс!$B3831,Торг!$H:$H,0))),"")</f>
        <v/>
      </c>
      <c r="H3831" s="67" t="str">
        <f>IFERROR(IFERROR(INDEX(Кат!$I:$I,MATCH(Прайс!$B3831,Кат!$G:$G,0)),INDEX(Торг!$I:$I,MATCH(Прайс!$B3831,Торг!$H:$H,0))),"")</f>
        <v/>
      </c>
    </row>
    <row r="3832" spans="1:8" x14ac:dyDescent="0.25">
      <c r="A3832" s="103" t="s">
        <v>4818</v>
      </c>
      <c r="B3832" s="104">
        <v>32253</v>
      </c>
      <c r="C3832" s="104" t="s">
        <v>2065</v>
      </c>
      <c r="D3832" s="105" t="s">
        <v>190</v>
      </c>
      <c r="E3832" s="113">
        <v>50</v>
      </c>
      <c r="F3832" s="67" t="str">
        <f>IFERROR(IFERROR(INDEX(Кат!$A:$A,MATCH(Прайс!$B3832,Кат!$G:$G,0)),INDEX(Торг!$B:$B,MATCH(Прайс!$B3832,Торг!$H:$H,0))),"")</f>
        <v/>
      </c>
      <c r="G3832" s="67" t="str">
        <f>IFERROR(IFERROR(INDEX(Кат!$B:$B,MATCH(Прайс!$B3832,Кат!$G:$G,0)),INDEX(Торг!$C:$C,MATCH(Прайс!$B3832,Торг!$H:$H,0))),"")</f>
        <v/>
      </c>
      <c r="H3832" s="67" t="str">
        <f>IFERROR(IFERROR(INDEX(Кат!$I:$I,MATCH(Прайс!$B3832,Кат!$G:$G,0)),INDEX(Торг!$I:$I,MATCH(Прайс!$B3832,Торг!$H:$H,0))),"")</f>
        <v/>
      </c>
    </row>
    <row r="3833" spans="1:8" x14ac:dyDescent="0.25">
      <c r="A3833" s="103" t="s">
        <v>6019</v>
      </c>
      <c r="B3833" s="104">
        <v>32439</v>
      </c>
      <c r="C3833" s="104" t="s">
        <v>6020</v>
      </c>
      <c r="D3833" s="105" t="s">
        <v>190</v>
      </c>
      <c r="E3833" s="113">
        <v>320</v>
      </c>
      <c r="F3833" s="67" t="str">
        <f>IFERROR(IFERROR(INDEX(Кат!$A:$A,MATCH(Прайс!$B3833,Кат!$G:$G,0)),INDEX(Торг!$B:$B,MATCH(Прайс!$B3833,Торг!$H:$H,0))),"")</f>
        <v/>
      </c>
      <c r="G3833" s="67" t="str">
        <f>IFERROR(IFERROR(INDEX(Кат!$B:$B,MATCH(Прайс!$B3833,Кат!$G:$G,0)),INDEX(Торг!$C:$C,MATCH(Прайс!$B3833,Торг!$H:$H,0))),"")</f>
        <v/>
      </c>
      <c r="H3833" s="67" t="str">
        <f>IFERROR(IFERROR(INDEX(Кат!$I:$I,MATCH(Прайс!$B3833,Кат!$G:$G,0)),INDEX(Торг!$I:$I,MATCH(Прайс!$B3833,Торг!$H:$H,0))),"")</f>
        <v/>
      </c>
    </row>
    <row r="3834" spans="1:8" x14ac:dyDescent="0.25">
      <c r="A3834" s="94" t="s">
        <v>6021</v>
      </c>
      <c r="B3834" s="98">
        <v>32440</v>
      </c>
      <c r="C3834" s="98" t="s">
        <v>6022</v>
      </c>
      <c r="D3834" s="96" t="s">
        <v>190</v>
      </c>
      <c r="E3834" s="97">
        <v>490</v>
      </c>
      <c r="F3834" s="67" t="str">
        <f>IFERROR(IFERROR(INDEX(Кат!$A:$A,MATCH(Прайс!$B3834,Кат!$G:$G,0)),INDEX(Торг!$B:$B,MATCH(Прайс!$B3834,Торг!$H:$H,0))),"")</f>
        <v/>
      </c>
      <c r="G3834" s="67" t="str">
        <f>IFERROR(IFERROR(INDEX(Кат!$B:$B,MATCH(Прайс!$B3834,Кат!$G:$G,0)),INDEX(Торг!$C:$C,MATCH(Прайс!$B3834,Торг!$H:$H,0))),"")</f>
        <v/>
      </c>
      <c r="H3834" s="67" t="str">
        <f>IFERROR(IFERROR(INDEX(Кат!$I:$I,MATCH(Прайс!$B3834,Кат!$G:$G,0)),INDEX(Торг!$I:$I,MATCH(Прайс!$B3834,Торг!$H:$H,0))),"")</f>
        <v/>
      </c>
    </row>
    <row r="3835" spans="1:8" x14ac:dyDescent="0.25">
      <c r="A3835" s="94" t="s">
        <v>4819</v>
      </c>
      <c r="B3835" s="98">
        <v>32401</v>
      </c>
      <c r="C3835" s="98" t="s">
        <v>2066</v>
      </c>
      <c r="D3835" s="96" t="s">
        <v>190</v>
      </c>
      <c r="E3835" s="97">
        <v>650</v>
      </c>
      <c r="F3835" s="67" t="str">
        <f>IFERROR(IFERROR(INDEX(Кат!$A:$A,MATCH(Прайс!$B3835,Кат!$G:$G,0)),INDEX(Торг!$B:$B,MATCH(Прайс!$B3835,Торг!$H:$H,0))),"")</f>
        <v/>
      </c>
      <c r="G3835" s="67" t="str">
        <f>IFERROR(IFERROR(INDEX(Кат!$B:$B,MATCH(Прайс!$B3835,Кат!$G:$G,0)),INDEX(Торг!$C:$C,MATCH(Прайс!$B3835,Торг!$H:$H,0))),"")</f>
        <v/>
      </c>
      <c r="H3835" s="67" t="str">
        <f>IFERROR(IFERROR(INDEX(Кат!$I:$I,MATCH(Прайс!$B3835,Кат!$G:$G,0)),INDEX(Торг!$I:$I,MATCH(Прайс!$B3835,Торг!$H:$H,0))),"")</f>
        <v/>
      </c>
    </row>
    <row r="3836" spans="1:8" x14ac:dyDescent="0.25">
      <c r="A3836" s="94" t="s">
        <v>4820</v>
      </c>
      <c r="B3836" s="98">
        <v>32402</v>
      </c>
      <c r="C3836" s="98" t="s">
        <v>2067</v>
      </c>
      <c r="D3836" s="96" t="s">
        <v>190</v>
      </c>
      <c r="E3836" s="97">
        <v>270</v>
      </c>
      <c r="F3836" s="67" t="str">
        <f>IFERROR(IFERROR(INDEX(Кат!$A:$A,MATCH(Прайс!$B3836,Кат!$G:$G,0)),INDEX(Торг!$B:$B,MATCH(Прайс!$B3836,Торг!$H:$H,0))),"")</f>
        <v/>
      </c>
      <c r="G3836" s="67" t="str">
        <f>IFERROR(IFERROR(INDEX(Кат!$B:$B,MATCH(Прайс!$B3836,Кат!$G:$G,0)),INDEX(Торг!$C:$C,MATCH(Прайс!$B3836,Торг!$H:$H,0))),"")</f>
        <v/>
      </c>
      <c r="H3836" s="67" t="str">
        <f>IFERROR(IFERROR(INDEX(Кат!$I:$I,MATCH(Прайс!$B3836,Кат!$G:$G,0)),INDEX(Торг!$I:$I,MATCH(Прайс!$B3836,Торг!$H:$H,0))),"")</f>
        <v/>
      </c>
    </row>
    <row r="3837" spans="1:8" x14ac:dyDescent="0.25">
      <c r="A3837" s="94" t="s">
        <v>6468</v>
      </c>
      <c r="B3837" s="98">
        <v>32424</v>
      </c>
      <c r="C3837" s="98" t="s">
        <v>6469</v>
      </c>
      <c r="D3837" s="96" t="s">
        <v>190</v>
      </c>
      <c r="E3837" s="97">
        <v>430</v>
      </c>
      <c r="F3837" s="67" t="str">
        <f>IFERROR(IFERROR(INDEX(Кат!$A:$A,MATCH(Прайс!$B3837,Кат!$G:$G,0)),INDEX(Торг!$B:$B,MATCH(Прайс!$B3837,Торг!$H:$H,0))),"")</f>
        <v/>
      </c>
      <c r="G3837" s="67" t="str">
        <f>IFERROR(IFERROR(INDEX(Кат!$B:$B,MATCH(Прайс!$B3837,Кат!$G:$G,0)),INDEX(Торг!$C:$C,MATCH(Прайс!$B3837,Торг!$H:$H,0))),"")</f>
        <v/>
      </c>
      <c r="H3837" s="67" t="str">
        <f>IFERROR(IFERROR(INDEX(Кат!$I:$I,MATCH(Прайс!$B3837,Кат!$G:$G,0)),INDEX(Торг!$I:$I,MATCH(Прайс!$B3837,Торг!$H:$H,0))),"")</f>
        <v/>
      </c>
    </row>
    <row r="3838" spans="1:8" x14ac:dyDescent="0.25">
      <c r="A3838" s="103" t="s">
        <v>4821</v>
      </c>
      <c r="B3838" s="104">
        <v>32415</v>
      </c>
      <c r="C3838" s="104" t="s">
        <v>2068</v>
      </c>
      <c r="D3838" s="105" t="s">
        <v>190</v>
      </c>
      <c r="E3838" s="106">
        <v>1000</v>
      </c>
      <c r="F3838" s="67" t="str">
        <f>IFERROR(IFERROR(INDEX(Кат!$A:$A,MATCH(Прайс!$B3838,Кат!$G:$G,0)),INDEX(Торг!$B:$B,MATCH(Прайс!$B3838,Торг!$H:$H,0))),"")</f>
        <v/>
      </c>
      <c r="G3838" s="67" t="str">
        <f>IFERROR(IFERROR(INDEX(Кат!$B:$B,MATCH(Прайс!$B3838,Кат!$G:$G,0)),INDEX(Торг!$C:$C,MATCH(Прайс!$B3838,Торг!$H:$H,0))),"")</f>
        <v/>
      </c>
      <c r="H3838" s="67" t="str">
        <f>IFERROR(IFERROR(INDEX(Кат!$I:$I,MATCH(Прайс!$B3838,Кат!$G:$G,0)),INDEX(Торг!$I:$I,MATCH(Прайс!$B3838,Торг!$H:$H,0))),"")</f>
        <v/>
      </c>
    </row>
    <row r="3839" spans="1:8" x14ac:dyDescent="0.25">
      <c r="A3839" s="103" t="s">
        <v>4822</v>
      </c>
      <c r="B3839" s="104">
        <v>32416</v>
      </c>
      <c r="C3839" s="104" t="s">
        <v>7179</v>
      </c>
      <c r="D3839" s="105" t="s">
        <v>190</v>
      </c>
      <c r="E3839" s="106">
        <v>1000</v>
      </c>
      <c r="F3839" s="67" t="str">
        <f>IFERROR(IFERROR(INDEX(Кат!$A:$A,MATCH(Прайс!$B3839,Кат!$G:$G,0)),INDEX(Торг!$B:$B,MATCH(Прайс!$B3839,Торг!$H:$H,0))),"")</f>
        <v/>
      </c>
      <c r="G3839" s="67" t="str">
        <f>IFERROR(IFERROR(INDEX(Кат!$B:$B,MATCH(Прайс!$B3839,Кат!$G:$G,0)),INDEX(Торг!$C:$C,MATCH(Прайс!$B3839,Торг!$H:$H,0))),"")</f>
        <v/>
      </c>
      <c r="H3839" s="67" t="str">
        <f>IFERROR(IFERROR(INDEX(Кат!$I:$I,MATCH(Прайс!$B3839,Кат!$G:$G,0)),INDEX(Торг!$I:$I,MATCH(Прайс!$B3839,Торг!$H:$H,0))),"")</f>
        <v/>
      </c>
    </row>
    <row r="3840" spans="1:8" x14ac:dyDescent="0.25">
      <c r="A3840" s="94" t="s">
        <v>7178</v>
      </c>
      <c r="B3840" s="98">
        <v>32485</v>
      </c>
      <c r="C3840" s="98" t="s">
        <v>8017</v>
      </c>
      <c r="D3840" s="96" t="s">
        <v>190</v>
      </c>
      <c r="E3840" s="97">
        <v>450</v>
      </c>
      <c r="F3840" s="67" t="str">
        <f>IFERROR(IFERROR(INDEX(Кат!$A:$A,MATCH(Прайс!$B3840,Кат!$G:$G,0)),INDEX(Торг!$B:$B,MATCH(Прайс!$B3840,Торг!$H:$H,0))),"")</f>
        <v/>
      </c>
      <c r="G3840" s="67" t="str">
        <f>IFERROR(IFERROR(INDEX(Кат!$B:$B,MATCH(Прайс!$B3840,Кат!$G:$G,0)),INDEX(Торг!$C:$C,MATCH(Прайс!$B3840,Торг!$H:$H,0))),"")</f>
        <v/>
      </c>
      <c r="H3840" s="67" t="str">
        <f>IFERROR(IFERROR(INDEX(Кат!$I:$I,MATCH(Прайс!$B3840,Кат!$G:$G,0)),INDEX(Торг!$I:$I,MATCH(Прайс!$B3840,Торг!$H:$H,0))),"")</f>
        <v/>
      </c>
    </row>
    <row r="3841" spans="1:8" x14ac:dyDescent="0.25">
      <c r="A3841" s="103" t="s">
        <v>6470</v>
      </c>
      <c r="B3841" s="104">
        <v>32455</v>
      </c>
      <c r="C3841" s="104" t="s">
        <v>8018</v>
      </c>
      <c r="D3841" s="105" t="s">
        <v>190</v>
      </c>
      <c r="E3841" s="113">
        <v>450</v>
      </c>
      <c r="F3841" s="67" t="str">
        <f>IFERROR(IFERROR(INDEX(Кат!$A:$A,MATCH(Прайс!$B3841,Кат!$G:$G,0)),INDEX(Торг!$B:$B,MATCH(Прайс!$B3841,Торг!$H:$H,0))),"")</f>
        <v/>
      </c>
      <c r="G3841" s="67" t="str">
        <f>IFERROR(IFERROR(INDEX(Кат!$B:$B,MATCH(Прайс!$B3841,Кат!$G:$G,0)),INDEX(Торг!$C:$C,MATCH(Прайс!$B3841,Торг!$H:$H,0))),"")</f>
        <v/>
      </c>
      <c r="H3841" s="67" t="str">
        <f>IFERROR(IFERROR(INDEX(Кат!$I:$I,MATCH(Прайс!$B3841,Кат!$G:$G,0)),INDEX(Торг!$I:$I,MATCH(Прайс!$B3841,Торг!$H:$H,0))),"")</f>
        <v/>
      </c>
    </row>
    <row r="3842" spans="1:8" x14ac:dyDescent="0.25">
      <c r="A3842" s="94" t="s">
        <v>6471</v>
      </c>
      <c r="B3842" s="98">
        <v>32456</v>
      </c>
      <c r="C3842" s="98" t="s">
        <v>8019</v>
      </c>
      <c r="D3842" s="96" t="s">
        <v>190</v>
      </c>
      <c r="E3842" s="97">
        <v>240</v>
      </c>
      <c r="F3842" s="67" t="str">
        <f>IFERROR(IFERROR(INDEX(Кат!$A:$A,MATCH(Прайс!$B3842,Кат!$G:$G,0)),INDEX(Торг!$B:$B,MATCH(Прайс!$B3842,Торг!$H:$H,0))),"")</f>
        <v/>
      </c>
      <c r="G3842" s="67" t="str">
        <f>IFERROR(IFERROR(INDEX(Кат!$B:$B,MATCH(Прайс!$B3842,Кат!$G:$G,0)),INDEX(Торг!$C:$C,MATCH(Прайс!$B3842,Торг!$H:$H,0))),"")</f>
        <v/>
      </c>
      <c r="H3842" s="67" t="str">
        <f>IFERROR(IFERROR(INDEX(Кат!$I:$I,MATCH(Прайс!$B3842,Кат!$G:$G,0)),INDEX(Торг!$I:$I,MATCH(Прайс!$B3842,Торг!$H:$H,0))),"")</f>
        <v/>
      </c>
    </row>
    <row r="3843" spans="1:8" x14ac:dyDescent="0.25">
      <c r="A3843" s="94" t="s">
        <v>8020</v>
      </c>
      <c r="B3843" s="98">
        <v>32502</v>
      </c>
      <c r="C3843" s="98" t="s">
        <v>8021</v>
      </c>
      <c r="D3843" s="96" t="s">
        <v>190</v>
      </c>
      <c r="E3843" s="97">
        <v>250</v>
      </c>
      <c r="F3843" s="67" t="str">
        <f>IFERROR(IFERROR(INDEX(Кат!$A:$A,MATCH(Прайс!$B3843,Кат!$G:$G,0)),INDEX(Торг!$B:$B,MATCH(Прайс!$B3843,Торг!$H:$H,0))),"")</f>
        <v/>
      </c>
      <c r="G3843" s="67" t="str">
        <f>IFERROR(IFERROR(INDEX(Кат!$B:$B,MATCH(Прайс!$B3843,Кат!$G:$G,0)),INDEX(Торг!$C:$C,MATCH(Прайс!$B3843,Торг!$H:$H,0))),"")</f>
        <v/>
      </c>
      <c r="H3843" s="67" t="str">
        <f>IFERROR(IFERROR(INDEX(Кат!$I:$I,MATCH(Прайс!$B3843,Кат!$G:$G,0)),INDEX(Торг!$I:$I,MATCH(Прайс!$B3843,Торг!$H:$H,0))),"")</f>
        <v/>
      </c>
    </row>
    <row r="3844" spans="1:8" x14ac:dyDescent="0.25">
      <c r="A3844" s="103" t="s">
        <v>8022</v>
      </c>
      <c r="B3844" s="104">
        <v>32501</v>
      </c>
      <c r="C3844" s="104" t="s">
        <v>8023</v>
      </c>
      <c r="D3844" s="105" t="s">
        <v>190</v>
      </c>
      <c r="E3844" s="113">
        <v>210</v>
      </c>
      <c r="F3844" s="67" t="str">
        <f>IFERROR(IFERROR(INDEX(Кат!$A:$A,MATCH(Прайс!$B3844,Кат!$G:$G,0)),INDEX(Торг!$B:$B,MATCH(Прайс!$B3844,Торг!$H:$H,0))),"")</f>
        <v/>
      </c>
      <c r="G3844" s="67" t="str">
        <f>IFERROR(IFERROR(INDEX(Кат!$B:$B,MATCH(Прайс!$B3844,Кат!$G:$G,0)),INDEX(Торг!$C:$C,MATCH(Прайс!$B3844,Торг!$H:$H,0))),"")</f>
        <v/>
      </c>
      <c r="H3844" s="67" t="str">
        <f>IFERROR(IFERROR(INDEX(Кат!$I:$I,MATCH(Прайс!$B3844,Кат!$G:$G,0)),INDEX(Торг!$I:$I,MATCH(Прайс!$B3844,Торг!$H:$H,0))),"")</f>
        <v/>
      </c>
    </row>
    <row r="3845" spans="1:8" x14ac:dyDescent="0.25">
      <c r="A3845" s="103" t="s">
        <v>4823</v>
      </c>
      <c r="B3845" s="104">
        <v>32101</v>
      </c>
      <c r="C3845" s="104" t="s">
        <v>2069</v>
      </c>
      <c r="D3845" s="105" t="s">
        <v>160</v>
      </c>
      <c r="E3845" s="113">
        <v>140</v>
      </c>
      <c r="F3845" s="67" t="str">
        <f>IFERROR(IFERROR(INDEX(Кат!$A:$A,MATCH(Прайс!$B3845,Кат!$G:$G,0)),INDEX(Торг!$B:$B,MATCH(Прайс!$B3845,Торг!$H:$H,0))),"")</f>
        <v/>
      </c>
      <c r="G3845" s="67" t="str">
        <f>IFERROR(IFERROR(INDEX(Кат!$B:$B,MATCH(Прайс!$B3845,Кат!$G:$G,0)),INDEX(Торг!$C:$C,MATCH(Прайс!$B3845,Торг!$H:$H,0))),"")</f>
        <v/>
      </c>
      <c r="H3845" s="67" t="str">
        <f>IFERROR(IFERROR(INDEX(Кат!$I:$I,MATCH(Прайс!$B3845,Кат!$G:$G,0)),INDEX(Торг!$I:$I,MATCH(Прайс!$B3845,Торг!$H:$H,0))),"")</f>
        <v/>
      </c>
    </row>
    <row r="3846" spans="1:8" x14ac:dyDescent="0.25">
      <c r="A3846" s="103" t="s">
        <v>4824</v>
      </c>
      <c r="B3846" s="104">
        <v>32411</v>
      </c>
      <c r="C3846" s="104" t="s">
        <v>2070</v>
      </c>
      <c r="D3846" s="105" t="s">
        <v>190</v>
      </c>
      <c r="E3846" s="113">
        <v>105</v>
      </c>
      <c r="F3846" s="67" t="str">
        <f>IFERROR(IFERROR(INDEX(Кат!$A:$A,MATCH(Прайс!$B3846,Кат!$G:$G,0)),INDEX(Торг!$B:$B,MATCH(Прайс!$B3846,Торг!$H:$H,0))),"")</f>
        <v/>
      </c>
      <c r="G3846" s="67" t="str">
        <f>IFERROR(IFERROR(INDEX(Кат!$B:$B,MATCH(Прайс!$B3846,Кат!$G:$G,0)),INDEX(Торг!$C:$C,MATCH(Прайс!$B3846,Торг!$H:$H,0))),"")</f>
        <v/>
      </c>
      <c r="H3846" s="67" t="str">
        <f>IFERROR(IFERROR(INDEX(Кат!$I:$I,MATCH(Прайс!$B3846,Кат!$G:$G,0)),INDEX(Торг!$I:$I,MATCH(Прайс!$B3846,Торг!$H:$H,0))),"")</f>
        <v/>
      </c>
    </row>
    <row r="3847" spans="1:8" x14ac:dyDescent="0.25">
      <c r="A3847" s="94" t="s">
        <v>5488</v>
      </c>
      <c r="B3847" s="98">
        <v>32225</v>
      </c>
      <c r="C3847" s="98" t="s">
        <v>7180</v>
      </c>
      <c r="D3847" s="96" t="s">
        <v>190</v>
      </c>
      <c r="E3847" s="97">
        <v>200</v>
      </c>
      <c r="F3847" s="67" t="str">
        <f>IFERROR(IFERROR(INDEX(Кат!$A:$A,MATCH(Прайс!$B3847,Кат!$G:$G,0)),INDEX(Торг!$B:$B,MATCH(Прайс!$B3847,Торг!$H:$H,0))),"")</f>
        <v/>
      </c>
      <c r="G3847" s="67" t="str">
        <f>IFERROR(IFERROR(INDEX(Кат!$B:$B,MATCH(Прайс!$B3847,Кат!$G:$G,0)),INDEX(Торг!$C:$C,MATCH(Прайс!$B3847,Торг!$H:$H,0))),"")</f>
        <v/>
      </c>
      <c r="H3847" s="67" t="str">
        <f>IFERROR(IFERROR(INDEX(Кат!$I:$I,MATCH(Прайс!$B3847,Кат!$G:$G,0)),INDEX(Торг!$I:$I,MATCH(Прайс!$B3847,Торг!$H:$H,0))),"")</f>
        <v/>
      </c>
    </row>
    <row r="3848" spans="1:8" x14ac:dyDescent="0.25">
      <c r="A3848" s="103" t="s">
        <v>6023</v>
      </c>
      <c r="B3848" s="104">
        <v>32292</v>
      </c>
      <c r="C3848" s="104" t="s">
        <v>6024</v>
      </c>
      <c r="D3848" s="105" t="s">
        <v>190</v>
      </c>
      <c r="E3848" s="113">
        <v>170</v>
      </c>
      <c r="F3848" s="67" t="str">
        <f>IFERROR(IFERROR(INDEX(Кат!$A:$A,MATCH(Прайс!$B3848,Кат!$G:$G,0)),INDEX(Торг!$B:$B,MATCH(Прайс!$B3848,Торг!$H:$H,0))),"")</f>
        <v/>
      </c>
      <c r="G3848" s="67" t="str">
        <f>IFERROR(IFERROR(INDEX(Кат!$B:$B,MATCH(Прайс!$B3848,Кат!$G:$G,0)),INDEX(Торг!$C:$C,MATCH(Прайс!$B3848,Торг!$H:$H,0))),"")</f>
        <v/>
      </c>
      <c r="H3848" s="67" t="str">
        <f>IFERROR(IFERROR(INDEX(Кат!$I:$I,MATCH(Прайс!$B3848,Кат!$G:$G,0)),INDEX(Торг!$I:$I,MATCH(Прайс!$B3848,Торг!$H:$H,0))),"")</f>
        <v/>
      </c>
    </row>
    <row r="3849" spans="1:8" x14ac:dyDescent="0.25">
      <c r="A3849" s="94" t="s">
        <v>6025</v>
      </c>
      <c r="B3849" s="98">
        <v>32155</v>
      </c>
      <c r="C3849" s="98" t="s">
        <v>8024</v>
      </c>
      <c r="D3849" s="96" t="s">
        <v>190</v>
      </c>
      <c r="E3849" s="97">
        <v>210</v>
      </c>
      <c r="F3849" s="67" t="str">
        <f>IFERROR(IFERROR(INDEX(Кат!$A:$A,MATCH(Прайс!$B3849,Кат!$G:$G,0)),INDEX(Торг!$B:$B,MATCH(Прайс!$B3849,Торг!$H:$H,0))),"")</f>
        <v/>
      </c>
      <c r="G3849" s="67" t="str">
        <f>IFERROR(IFERROR(INDEX(Кат!$B:$B,MATCH(Прайс!$B3849,Кат!$G:$G,0)),INDEX(Торг!$C:$C,MATCH(Прайс!$B3849,Торг!$H:$H,0))),"")</f>
        <v/>
      </c>
      <c r="H3849" s="67" t="str">
        <f>IFERROR(IFERROR(INDEX(Кат!$I:$I,MATCH(Прайс!$B3849,Кат!$G:$G,0)),INDEX(Торг!$I:$I,MATCH(Прайс!$B3849,Торг!$H:$H,0))),"")</f>
        <v/>
      </c>
    </row>
    <row r="3850" spans="1:8" x14ac:dyDescent="0.25">
      <c r="A3850" s="103" t="s">
        <v>8025</v>
      </c>
      <c r="B3850" s="104">
        <v>32498</v>
      </c>
      <c r="C3850" s="104" t="s">
        <v>8026</v>
      </c>
      <c r="D3850" s="105" t="s">
        <v>190</v>
      </c>
      <c r="E3850" s="113">
        <v>450</v>
      </c>
      <c r="F3850" s="67" t="str">
        <f>IFERROR(IFERROR(INDEX(Кат!$A:$A,MATCH(Прайс!$B3850,Кат!$G:$G,0)),INDEX(Торг!$B:$B,MATCH(Прайс!$B3850,Торг!$H:$H,0))),"")</f>
        <v/>
      </c>
      <c r="G3850" s="67" t="str">
        <f>IFERROR(IFERROR(INDEX(Кат!$B:$B,MATCH(Прайс!$B3850,Кат!$G:$G,0)),INDEX(Торг!$C:$C,MATCH(Прайс!$B3850,Торг!$H:$H,0))),"")</f>
        <v/>
      </c>
      <c r="H3850" s="67" t="str">
        <f>IFERROR(IFERROR(INDEX(Кат!$I:$I,MATCH(Прайс!$B3850,Кат!$G:$G,0)),INDEX(Торг!$I:$I,MATCH(Прайс!$B3850,Торг!$H:$H,0))),"")</f>
        <v/>
      </c>
    </row>
    <row r="3851" spans="1:8" x14ac:dyDescent="0.25">
      <c r="A3851" s="94" t="s">
        <v>8027</v>
      </c>
      <c r="B3851" s="98">
        <v>32400</v>
      </c>
      <c r="C3851" s="98" t="s">
        <v>8028</v>
      </c>
      <c r="D3851" s="96" t="s">
        <v>190</v>
      </c>
      <c r="E3851" s="97">
        <v>70</v>
      </c>
      <c r="F3851" s="67" t="str">
        <f>IFERROR(IFERROR(INDEX(Кат!$A:$A,MATCH(Прайс!$B3851,Кат!$G:$G,0)),INDEX(Торг!$B:$B,MATCH(Прайс!$B3851,Торг!$H:$H,0))),"")</f>
        <v/>
      </c>
      <c r="G3851" s="67" t="str">
        <f>IFERROR(IFERROR(INDEX(Кат!$B:$B,MATCH(Прайс!$B3851,Кат!$G:$G,0)),INDEX(Торг!$C:$C,MATCH(Прайс!$B3851,Торг!$H:$H,0))),"")</f>
        <v/>
      </c>
      <c r="H3851" s="67" t="str">
        <f>IFERROR(IFERROR(INDEX(Кат!$I:$I,MATCH(Прайс!$B3851,Кат!$G:$G,0)),INDEX(Торг!$I:$I,MATCH(Прайс!$B3851,Торг!$H:$H,0))),"")</f>
        <v/>
      </c>
    </row>
    <row r="3852" spans="1:8" x14ac:dyDescent="0.25">
      <c r="A3852" s="103" t="s">
        <v>8029</v>
      </c>
      <c r="B3852" s="104">
        <v>32496</v>
      </c>
      <c r="C3852" s="104" t="s">
        <v>8030</v>
      </c>
      <c r="D3852" s="105" t="s">
        <v>190</v>
      </c>
      <c r="E3852" s="113">
        <v>240</v>
      </c>
      <c r="F3852" s="67" t="str">
        <f>IFERROR(IFERROR(INDEX(Кат!$A:$A,MATCH(Прайс!$B3852,Кат!$G:$G,0)),INDEX(Торг!$B:$B,MATCH(Прайс!$B3852,Торг!$H:$H,0))),"")</f>
        <v/>
      </c>
      <c r="G3852" s="67" t="str">
        <f>IFERROR(IFERROR(INDEX(Кат!$B:$B,MATCH(Прайс!$B3852,Кат!$G:$G,0)),INDEX(Торг!$C:$C,MATCH(Прайс!$B3852,Торг!$H:$H,0))),"")</f>
        <v/>
      </c>
      <c r="H3852" s="67" t="str">
        <f>IFERROR(IFERROR(INDEX(Кат!$I:$I,MATCH(Прайс!$B3852,Кат!$G:$G,0)),INDEX(Торг!$I:$I,MATCH(Прайс!$B3852,Торг!$H:$H,0))),"")</f>
        <v/>
      </c>
    </row>
    <row r="3853" spans="1:8" x14ac:dyDescent="0.25">
      <c r="A3853" s="103" t="s">
        <v>8031</v>
      </c>
      <c r="B3853" s="104">
        <v>32495</v>
      </c>
      <c r="C3853" s="104" t="s">
        <v>8032</v>
      </c>
      <c r="D3853" s="105" t="s">
        <v>190</v>
      </c>
      <c r="E3853" s="113">
        <v>250</v>
      </c>
      <c r="F3853" s="67" t="str">
        <f>IFERROR(IFERROR(INDEX(Кат!$A:$A,MATCH(Прайс!$B3853,Кат!$G:$G,0)),INDEX(Торг!$B:$B,MATCH(Прайс!$B3853,Торг!$H:$H,0))),"")</f>
        <v/>
      </c>
      <c r="G3853" s="67" t="str">
        <f>IFERROR(IFERROR(INDEX(Кат!$B:$B,MATCH(Прайс!$B3853,Кат!$G:$G,0)),INDEX(Торг!$C:$C,MATCH(Прайс!$B3853,Торг!$H:$H,0))),"")</f>
        <v/>
      </c>
      <c r="H3853" s="67" t="str">
        <f>IFERROR(IFERROR(INDEX(Кат!$I:$I,MATCH(Прайс!$B3853,Кат!$G:$G,0)),INDEX(Торг!$I:$I,MATCH(Прайс!$B3853,Торг!$H:$H,0))),"")</f>
        <v/>
      </c>
    </row>
    <row r="3854" spans="1:8" x14ac:dyDescent="0.25">
      <c r="A3854" s="103" t="s">
        <v>8033</v>
      </c>
      <c r="B3854" s="104">
        <v>32497</v>
      </c>
      <c r="C3854" s="104" t="s">
        <v>8034</v>
      </c>
      <c r="D3854" s="105" t="s">
        <v>190</v>
      </c>
      <c r="E3854" s="113">
        <v>180</v>
      </c>
      <c r="F3854" s="67" t="str">
        <f>IFERROR(IFERROR(INDEX(Кат!$A:$A,MATCH(Прайс!$B3854,Кат!$G:$G,0)),INDEX(Торг!$B:$B,MATCH(Прайс!$B3854,Торг!$H:$H,0))),"")</f>
        <v/>
      </c>
      <c r="G3854" s="67" t="str">
        <f>IFERROR(IFERROR(INDEX(Кат!$B:$B,MATCH(Прайс!$B3854,Кат!$G:$G,0)),INDEX(Торг!$C:$C,MATCH(Прайс!$B3854,Торг!$H:$H,0))),"")</f>
        <v/>
      </c>
      <c r="H3854" s="67" t="str">
        <f>IFERROR(IFERROR(INDEX(Кат!$I:$I,MATCH(Прайс!$B3854,Кат!$G:$G,0)),INDEX(Торг!$I:$I,MATCH(Прайс!$B3854,Торг!$H:$H,0))),"")</f>
        <v/>
      </c>
    </row>
    <row r="3855" spans="1:8" x14ac:dyDescent="0.25">
      <c r="A3855" s="103" t="s">
        <v>8035</v>
      </c>
      <c r="B3855" s="104">
        <v>32499</v>
      </c>
      <c r="C3855" s="104" t="s">
        <v>8036</v>
      </c>
      <c r="D3855" s="105" t="s">
        <v>190</v>
      </c>
      <c r="E3855" s="113">
        <v>600</v>
      </c>
      <c r="F3855" s="67" t="str">
        <f>IFERROR(IFERROR(INDEX(Кат!$A:$A,MATCH(Прайс!$B3855,Кат!$G:$G,0)),INDEX(Торг!$B:$B,MATCH(Прайс!$B3855,Торг!$H:$H,0))),"")</f>
        <v/>
      </c>
      <c r="G3855" s="67" t="str">
        <f>IFERROR(IFERROR(INDEX(Кат!$B:$B,MATCH(Прайс!$B3855,Кат!$G:$G,0)),INDEX(Торг!$C:$C,MATCH(Прайс!$B3855,Торг!$H:$H,0))),"")</f>
        <v/>
      </c>
      <c r="H3855" s="67" t="str">
        <f>IFERROR(IFERROR(INDEX(Кат!$I:$I,MATCH(Прайс!$B3855,Кат!$G:$G,0)),INDEX(Торг!$I:$I,MATCH(Прайс!$B3855,Торг!$H:$H,0))),"")</f>
        <v/>
      </c>
    </row>
    <row r="3856" spans="1:8" x14ac:dyDescent="0.25">
      <c r="A3856" s="103" t="s">
        <v>8037</v>
      </c>
      <c r="B3856" s="104">
        <v>32500</v>
      </c>
      <c r="C3856" s="104" t="s">
        <v>8038</v>
      </c>
      <c r="D3856" s="105" t="s">
        <v>190</v>
      </c>
      <c r="E3856" s="113">
        <v>460</v>
      </c>
      <c r="F3856" s="67" t="str">
        <f>IFERROR(IFERROR(INDEX(Кат!$A:$A,MATCH(Прайс!$B3856,Кат!$G:$G,0)),INDEX(Торг!$B:$B,MATCH(Прайс!$B3856,Торг!$H:$H,0))),"")</f>
        <v/>
      </c>
      <c r="G3856" s="67" t="str">
        <f>IFERROR(IFERROR(INDEX(Кат!$B:$B,MATCH(Прайс!$B3856,Кат!$G:$G,0)),INDEX(Торг!$C:$C,MATCH(Прайс!$B3856,Торг!$H:$H,0))),"")</f>
        <v/>
      </c>
      <c r="H3856" s="67" t="str">
        <f>IFERROR(IFERROR(INDEX(Кат!$I:$I,MATCH(Прайс!$B3856,Кат!$G:$G,0)),INDEX(Торг!$I:$I,MATCH(Прайс!$B3856,Торг!$H:$H,0))),"")</f>
        <v/>
      </c>
    </row>
    <row r="3857" spans="1:8" x14ac:dyDescent="0.25">
      <c r="A3857" s="103" t="s">
        <v>8039</v>
      </c>
      <c r="B3857" s="104">
        <v>32306</v>
      </c>
      <c r="C3857" s="104" t="s">
        <v>8040</v>
      </c>
      <c r="D3857" s="105" t="s">
        <v>190</v>
      </c>
      <c r="E3857" s="113">
        <v>420</v>
      </c>
      <c r="F3857" s="67" t="str">
        <f>IFERROR(IFERROR(INDEX(Кат!$A:$A,MATCH(Прайс!$B3857,Кат!$G:$G,0)),INDEX(Торг!$B:$B,MATCH(Прайс!$B3857,Торг!$H:$H,0))),"")</f>
        <v/>
      </c>
      <c r="G3857" s="67" t="str">
        <f>IFERROR(IFERROR(INDEX(Кат!$B:$B,MATCH(Прайс!$B3857,Кат!$G:$G,0)),INDEX(Торг!$C:$C,MATCH(Прайс!$B3857,Торг!$H:$H,0))),"")</f>
        <v/>
      </c>
      <c r="H3857" s="67" t="str">
        <f>IFERROR(IFERROR(INDEX(Кат!$I:$I,MATCH(Прайс!$B3857,Кат!$G:$G,0)),INDEX(Торг!$I:$I,MATCH(Прайс!$B3857,Торг!$H:$H,0))),"")</f>
        <v/>
      </c>
    </row>
    <row r="3858" spans="1:8" x14ac:dyDescent="0.25">
      <c r="A3858" s="94" t="s">
        <v>8520</v>
      </c>
      <c r="B3858" s="98">
        <v>32131</v>
      </c>
      <c r="C3858" s="98" t="s">
        <v>8521</v>
      </c>
      <c r="D3858" s="96" t="s">
        <v>176</v>
      </c>
      <c r="E3858" s="97">
        <v>440</v>
      </c>
      <c r="F3858" s="67" t="str">
        <f>IFERROR(IFERROR(INDEX(Кат!$A:$A,MATCH(Прайс!$B3858,Кат!$G:$G,0)),INDEX(Торг!$B:$B,MATCH(Прайс!$B3858,Торг!$H:$H,0))),"")</f>
        <v/>
      </c>
      <c r="G3858" s="67" t="str">
        <f>IFERROR(IFERROR(INDEX(Кат!$B:$B,MATCH(Прайс!$B3858,Кат!$G:$G,0)),INDEX(Торг!$C:$C,MATCH(Прайс!$B3858,Торг!$H:$H,0))),"")</f>
        <v/>
      </c>
      <c r="H3858" s="67" t="str">
        <f>IFERROR(IFERROR(INDEX(Кат!$I:$I,MATCH(Прайс!$B3858,Кат!$G:$G,0)),INDEX(Торг!$I:$I,MATCH(Прайс!$B3858,Торг!$H:$H,0))),"")</f>
        <v/>
      </c>
    </row>
    <row r="3859" spans="1:8" x14ac:dyDescent="0.25">
      <c r="A3859" s="94" t="s">
        <v>4825</v>
      </c>
      <c r="B3859" s="98">
        <v>32132</v>
      </c>
      <c r="C3859" s="98" t="s">
        <v>8041</v>
      </c>
      <c r="D3859" s="96" t="s">
        <v>190</v>
      </c>
      <c r="E3859" s="97">
        <v>450</v>
      </c>
      <c r="F3859" s="67" t="str">
        <f>IFERROR(IFERROR(INDEX(Кат!$A:$A,MATCH(Прайс!$B3859,Кат!$G:$G,0)),INDEX(Торг!$B:$B,MATCH(Прайс!$B3859,Торг!$H:$H,0))),"")</f>
        <v/>
      </c>
      <c r="G3859" s="67" t="str">
        <f>IFERROR(IFERROR(INDEX(Кат!$B:$B,MATCH(Прайс!$B3859,Кат!$G:$G,0)),INDEX(Торг!$C:$C,MATCH(Прайс!$B3859,Торг!$H:$H,0))),"")</f>
        <v/>
      </c>
      <c r="H3859" s="67" t="str">
        <f>IFERROR(IFERROR(INDEX(Кат!$I:$I,MATCH(Прайс!$B3859,Кат!$G:$G,0)),INDEX(Торг!$I:$I,MATCH(Прайс!$B3859,Торг!$H:$H,0))),"")</f>
        <v/>
      </c>
    </row>
    <row r="3860" spans="1:8" x14ac:dyDescent="0.25">
      <c r="A3860" s="94" t="s">
        <v>7181</v>
      </c>
      <c r="B3860" s="98">
        <v>32472</v>
      </c>
      <c r="C3860" s="98" t="s">
        <v>8522</v>
      </c>
      <c r="D3860" s="96" t="s">
        <v>582</v>
      </c>
      <c r="E3860" s="97">
        <v>450</v>
      </c>
      <c r="F3860" s="67" t="str">
        <f>IFERROR(IFERROR(INDEX(Кат!$A:$A,MATCH(Прайс!$B3860,Кат!$G:$G,0)),INDEX(Торг!$B:$B,MATCH(Прайс!$B3860,Торг!$H:$H,0))),"")</f>
        <v/>
      </c>
      <c r="G3860" s="67" t="str">
        <f>IFERROR(IFERROR(INDEX(Кат!$B:$B,MATCH(Прайс!$B3860,Кат!$G:$G,0)),INDEX(Торг!$C:$C,MATCH(Прайс!$B3860,Торг!$H:$H,0))),"")</f>
        <v/>
      </c>
      <c r="H3860" s="67" t="str">
        <f>IFERROR(IFERROR(INDEX(Кат!$I:$I,MATCH(Прайс!$B3860,Кат!$G:$G,0)),INDEX(Торг!$I:$I,MATCH(Прайс!$B3860,Торг!$H:$H,0))),"")</f>
        <v/>
      </c>
    </row>
    <row r="3861" spans="1:8" x14ac:dyDescent="0.25">
      <c r="A3861" s="103" t="s">
        <v>8042</v>
      </c>
      <c r="B3861" s="104">
        <v>32506</v>
      </c>
      <c r="C3861" s="104" t="s">
        <v>8043</v>
      </c>
      <c r="D3861" s="105" t="s">
        <v>190</v>
      </c>
      <c r="E3861" s="113">
        <v>470</v>
      </c>
      <c r="F3861" s="67" t="str">
        <f>IFERROR(IFERROR(INDEX(Кат!$A:$A,MATCH(Прайс!$B3861,Кат!$G:$G,0)),INDEX(Торг!$B:$B,MATCH(Прайс!$B3861,Торг!$H:$H,0))),"")</f>
        <v/>
      </c>
      <c r="G3861" s="67" t="str">
        <f>IFERROR(IFERROR(INDEX(Кат!$B:$B,MATCH(Прайс!$B3861,Кат!$G:$G,0)),INDEX(Торг!$C:$C,MATCH(Прайс!$B3861,Торг!$H:$H,0))),"")</f>
        <v/>
      </c>
      <c r="H3861" s="67" t="str">
        <f>IFERROR(IFERROR(INDEX(Кат!$I:$I,MATCH(Прайс!$B3861,Кат!$G:$G,0)),INDEX(Торг!$I:$I,MATCH(Прайс!$B3861,Торг!$H:$H,0))),"")</f>
        <v/>
      </c>
    </row>
    <row r="3862" spans="1:8" x14ac:dyDescent="0.25">
      <c r="A3862" s="103" t="s">
        <v>6026</v>
      </c>
      <c r="B3862" s="104">
        <v>32441</v>
      </c>
      <c r="C3862" s="104" t="s">
        <v>6027</v>
      </c>
      <c r="D3862" s="105" t="s">
        <v>190</v>
      </c>
      <c r="E3862" s="113">
        <v>500</v>
      </c>
      <c r="F3862" s="67" t="str">
        <f>IFERROR(IFERROR(INDEX(Кат!$A:$A,MATCH(Прайс!$B3862,Кат!$G:$G,0)),INDEX(Торг!$B:$B,MATCH(Прайс!$B3862,Торг!$H:$H,0))),"")</f>
        <v/>
      </c>
      <c r="G3862" s="67" t="str">
        <f>IFERROR(IFERROR(INDEX(Кат!$B:$B,MATCH(Прайс!$B3862,Кат!$G:$G,0)),INDEX(Торг!$C:$C,MATCH(Прайс!$B3862,Торг!$H:$H,0))),"")</f>
        <v/>
      </c>
      <c r="H3862" s="67" t="str">
        <f>IFERROR(IFERROR(INDEX(Кат!$I:$I,MATCH(Прайс!$B3862,Кат!$G:$G,0)),INDEX(Торг!$I:$I,MATCH(Прайс!$B3862,Торг!$H:$H,0))),"")</f>
        <v/>
      </c>
    </row>
    <row r="3863" spans="1:8" x14ac:dyDescent="0.25">
      <c r="A3863" s="103" t="s">
        <v>4826</v>
      </c>
      <c r="B3863" s="104">
        <v>32422</v>
      </c>
      <c r="C3863" s="104" t="s">
        <v>4827</v>
      </c>
      <c r="D3863" s="105" t="s">
        <v>582</v>
      </c>
      <c r="E3863" s="113">
        <v>800</v>
      </c>
      <c r="F3863" s="67" t="str">
        <f>IFERROR(IFERROR(INDEX(Кат!$A:$A,MATCH(Прайс!$B3863,Кат!$G:$G,0)),INDEX(Торг!$B:$B,MATCH(Прайс!$B3863,Торг!$H:$H,0))),"")</f>
        <v/>
      </c>
      <c r="G3863" s="67" t="str">
        <f>IFERROR(IFERROR(INDEX(Кат!$B:$B,MATCH(Прайс!$B3863,Кат!$G:$G,0)),INDEX(Торг!$C:$C,MATCH(Прайс!$B3863,Торг!$H:$H,0))),"")</f>
        <v/>
      </c>
      <c r="H3863" s="67" t="str">
        <f>IFERROR(IFERROR(INDEX(Кат!$I:$I,MATCH(Прайс!$B3863,Кат!$G:$G,0)),INDEX(Торг!$I:$I,MATCH(Прайс!$B3863,Торг!$H:$H,0))),"")</f>
        <v/>
      </c>
    </row>
    <row r="3864" spans="1:8" ht="15.75" x14ac:dyDescent="0.25">
      <c r="A3864" s="90"/>
      <c r="B3864" s="91"/>
      <c r="C3864" s="92" t="s">
        <v>8044</v>
      </c>
      <c r="D3864" s="91"/>
      <c r="E3864" s="93"/>
      <c r="F3864" s="67" t="str">
        <f>IFERROR(IFERROR(INDEX(Кат!$A:$A,MATCH(Прайс!$B3864,Кат!$G:$G,0)),INDEX(Торг!$B:$B,MATCH(Прайс!$B3864,Торг!$H:$H,0))),"")</f>
        <v/>
      </c>
      <c r="G3864" s="67" t="str">
        <f>IFERROR(IFERROR(INDEX(Кат!$B:$B,MATCH(Прайс!$B3864,Кат!$G:$G,0)),INDEX(Торг!$C:$C,MATCH(Прайс!$B3864,Торг!$H:$H,0))),"")</f>
        <v/>
      </c>
      <c r="H3864" s="67" t="str">
        <f>IFERROR(IFERROR(INDEX(Кат!$I:$I,MATCH(Прайс!$B3864,Кат!$G:$G,0)),INDEX(Торг!$I:$I,MATCH(Прайс!$B3864,Торг!$H:$H,0))),"")</f>
        <v/>
      </c>
    </row>
    <row r="3865" spans="1:8" x14ac:dyDescent="0.25">
      <c r="A3865" s="94" t="s">
        <v>8045</v>
      </c>
      <c r="B3865" s="98">
        <v>32489</v>
      </c>
      <c r="C3865" s="98" t="s">
        <v>8046</v>
      </c>
      <c r="D3865" s="96" t="s">
        <v>176</v>
      </c>
      <c r="E3865" s="107">
        <v>2000</v>
      </c>
      <c r="F3865" s="67" t="str">
        <f>IFERROR(IFERROR(INDEX(Кат!$A:$A,MATCH(Прайс!$B3865,Кат!$G:$G,0)),INDEX(Торг!$B:$B,MATCH(Прайс!$B3865,Торг!$H:$H,0))),"")</f>
        <v/>
      </c>
      <c r="G3865" s="67" t="str">
        <f>IFERROR(IFERROR(INDEX(Кат!$B:$B,MATCH(Прайс!$B3865,Кат!$G:$G,0)),INDEX(Торг!$C:$C,MATCH(Прайс!$B3865,Торг!$H:$H,0))),"")</f>
        <v/>
      </c>
      <c r="H3865" s="67" t="str">
        <f>IFERROR(IFERROR(INDEX(Кат!$I:$I,MATCH(Прайс!$B3865,Кат!$G:$G,0)),INDEX(Торг!$I:$I,MATCH(Прайс!$B3865,Торг!$H:$H,0))),"")</f>
        <v/>
      </c>
    </row>
    <row r="3866" spans="1:8" x14ac:dyDescent="0.25">
      <c r="A3866" s="94" t="s">
        <v>8047</v>
      </c>
      <c r="B3866" s="98">
        <v>32490</v>
      </c>
      <c r="C3866" s="98" t="s">
        <v>8048</v>
      </c>
      <c r="D3866" s="96" t="s">
        <v>176</v>
      </c>
      <c r="E3866" s="107">
        <v>1300</v>
      </c>
      <c r="F3866" s="67" t="str">
        <f>IFERROR(IFERROR(INDEX(Кат!$A:$A,MATCH(Прайс!$B3866,Кат!$G:$G,0)),INDEX(Торг!$B:$B,MATCH(Прайс!$B3866,Торг!$H:$H,0))),"")</f>
        <v/>
      </c>
      <c r="G3866" s="67" t="str">
        <f>IFERROR(IFERROR(INDEX(Кат!$B:$B,MATCH(Прайс!$B3866,Кат!$G:$G,0)),INDEX(Торг!$C:$C,MATCH(Прайс!$B3866,Торг!$H:$H,0))),"")</f>
        <v/>
      </c>
      <c r="H3866" s="67" t="str">
        <f>IFERROR(IFERROR(INDEX(Кат!$I:$I,MATCH(Прайс!$B3866,Кат!$G:$G,0)),INDEX(Торг!$I:$I,MATCH(Прайс!$B3866,Торг!$H:$H,0))),"")</f>
        <v/>
      </c>
    </row>
    <row r="3867" spans="1:8" x14ac:dyDescent="0.25">
      <c r="A3867" s="94" t="s">
        <v>8638</v>
      </c>
      <c r="B3867" s="98">
        <v>32492</v>
      </c>
      <c r="C3867" s="98" t="s">
        <v>8639</v>
      </c>
      <c r="D3867" s="96" t="s">
        <v>176</v>
      </c>
      <c r="E3867" s="107">
        <v>1350</v>
      </c>
      <c r="F3867" s="67" t="str">
        <f>IFERROR(IFERROR(INDEX(Кат!$A:$A,MATCH(Прайс!$B3867,Кат!$G:$G,0)),INDEX(Торг!$B:$B,MATCH(Прайс!$B3867,Торг!$H:$H,0))),"")</f>
        <v/>
      </c>
      <c r="G3867" s="67" t="str">
        <f>IFERROR(IFERROR(INDEX(Кат!$B:$B,MATCH(Прайс!$B3867,Кат!$G:$G,0)),INDEX(Торг!$C:$C,MATCH(Прайс!$B3867,Торг!$H:$H,0))),"")</f>
        <v/>
      </c>
      <c r="H3867" s="67" t="str">
        <f>IFERROR(IFERROR(INDEX(Кат!$I:$I,MATCH(Прайс!$B3867,Кат!$G:$G,0)),INDEX(Торг!$I:$I,MATCH(Прайс!$B3867,Торг!$H:$H,0))),"")</f>
        <v/>
      </c>
    </row>
    <row r="3868" spans="1:8" x14ac:dyDescent="0.25">
      <c r="A3868" s="94" t="s">
        <v>8049</v>
      </c>
      <c r="B3868" s="98">
        <v>32493</v>
      </c>
      <c r="C3868" s="98" t="s">
        <v>8050</v>
      </c>
      <c r="D3868" s="96" t="s">
        <v>176</v>
      </c>
      <c r="E3868" s="107">
        <v>1350</v>
      </c>
      <c r="F3868" s="67" t="str">
        <f>IFERROR(IFERROR(INDEX(Кат!$A:$A,MATCH(Прайс!$B3868,Кат!$G:$G,0)),INDEX(Торг!$B:$B,MATCH(Прайс!$B3868,Торг!$H:$H,0))),"")</f>
        <v/>
      </c>
      <c r="G3868" s="67" t="str">
        <f>IFERROR(IFERROR(INDEX(Кат!$B:$B,MATCH(Прайс!$B3868,Кат!$G:$G,0)),INDEX(Торг!$C:$C,MATCH(Прайс!$B3868,Торг!$H:$H,0))),"")</f>
        <v/>
      </c>
      <c r="H3868" s="67" t="str">
        <f>IFERROR(IFERROR(INDEX(Кат!$I:$I,MATCH(Прайс!$B3868,Кат!$G:$G,0)),INDEX(Торг!$I:$I,MATCH(Прайс!$B3868,Торг!$H:$H,0))),"")</f>
        <v/>
      </c>
    </row>
    <row r="3869" spans="1:8" x14ac:dyDescent="0.25">
      <c r="A3869" s="94" t="s">
        <v>8051</v>
      </c>
      <c r="B3869" s="98">
        <v>32491</v>
      </c>
      <c r="C3869" s="98" t="s">
        <v>8052</v>
      </c>
      <c r="D3869" s="96" t="s">
        <v>176</v>
      </c>
      <c r="E3869" s="107">
        <v>1500</v>
      </c>
      <c r="F3869" s="67" t="str">
        <f>IFERROR(IFERROR(INDEX(Кат!$A:$A,MATCH(Прайс!$B3869,Кат!$G:$G,0)),INDEX(Торг!$B:$B,MATCH(Прайс!$B3869,Торг!$H:$H,0))),"")</f>
        <v/>
      </c>
      <c r="G3869" s="67" t="str">
        <f>IFERROR(IFERROR(INDEX(Кат!$B:$B,MATCH(Прайс!$B3869,Кат!$G:$G,0)),INDEX(Торг!$C:$C,MATCH(Прайс!$B3869,Торг!$H:$H,0))),"")</f>
        <v/>
      </c>
      <c r="H3869" s="67" t="str">
        <f>IFERROR(IFERROR(INDEX(Кат!$I:$I,MATCH(Прайс!$B3869,Кат!$G:$G,0)),INDEX(Торг!$I:$I,MATCH(Прайс!$B3869,Торг!$H:$H,0))),"")</f>
        <v/>
      </c>
    </row>
    <row r="3870" spans="1:8" x14ac:dyDescent="0.25">
      <c r="F3870" s="67" t="str">
        <f>IFERROR(IFERROR(INDEX(Кат!$A:$A,MATCH(Прайс!$B3870,Кат!$G:$G,0)),INDEX(Торг!$B:$B,MATCH(Прайс!$B3870,Торг!$H:$H,0))),"")</f>
        <v/>
      </c>
      <c r="G3870" s="67" t="str">
        <f>IFERROR(IFERROR(INDEX(Кат!$B:$B,MATCH(Прайс!$B3870,Кат!$G:$G,0)),INDEX(Торг!$C:$C,MATCH(Прайс!$B3870,Торг!$H:$H,0))),"")</f>
        <v/>
      </c>
      <c r="H3870" s="67" t="str">
        <f>IFERROR(IFERROR(INDEX(Кат!$I:$I,MATCH(Прайс!$B3870,Кат!$G:$G,0)),INDEX(Торг!$I:$I,MATCH(Прайс!$B3870,Торг!$H:$H,0))),"")</f>
        <v/>
      </c>
    </row>
  </sheetData>
  <autoFilter ref="A9:I3843" xr:uid="{30D80213-34F1-4968-B52F-B1C3AB8DA0CF}"/>
  <mergeCells count="5">
    <mergeCell ref="A9:A10"/>
    <mergeCell ref="B9:B10"/>
    <mergeCell ref="C9:C10"/>
    <mergeCell ref="D9:D10"/>
    <mergeCell ref="E9:E10"/>
  </mergeCells>
  <hyperlinks>
    <hyperlink ref="I2188" r:id="rId1" xr:uid="{9C4F8A27-3111-41A1-9990-A24FC02D6064}"/>
    <hyperlink ref="I2187" r:id="rId2" xr:uid="{33E0C9F7-5199-44DA-970A-EF277E2931E8}"/>
    <hyperlink ref="I2170" r:id="rId3" xr:uid="{4B23973C-C935-46FF-98E2-1AD2C63C7697}"/>
  </hyperlinks>
  <pageMargins left="0.7" right="0.7" top="0.75" bottom="0.75" header="0.3" footer="0.3"/>
  <pageSetup paperSize="9"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8"/>
  <sheetViews>
    <sheetView workbookViewId="0">
      <selection activeCell="B19" sqref="B19"/>
    </sheetView>
  </sheetViews>
  <sheetFormatPr defaultRowHeight="15" x14ac:dyDescent="0.25"/>
  <sheetData>
    <row r="1" spans="1:2" ht="15.75" thickBot="1" x14ac:dyDescent="0.3">
      <c r="A1" s="21">
        <v>0.1</v>
      </c>
      <c r="B1" s="22">
        <v>2.11</v>
      </c>
    </row>
    <row r="2" spans="1:2" ht="15.75" thickBot="1" x14ac:dyDescent="0.3">
      <c r="A2" s="23">
        <v>100</v>
      </c>
      <c r="B2" s="24">
        <v>1.89</v>
      </c>
    </row>
    <row r="3" spans="1:2" ht="15.75" thickBot="1" x14ac:dyDescent="0.3">
      <c r="A3" s="23">
        <v>300</v>
      </c>
      <c r="B3" s="24">
        <v>1.68</v>
      </c>
    </row>
    <row r="4" spans="1:2" ht="15.75" thickBot="1" x14ac:dyDescent="0.3">
      <c r="A4" s="23">
        <v>500</v>
      </c>
      <c r="B4" s="24">
        <v>1.63</v>
      </c>
    </row>
    <row r="5" spans="1:2" ht="15.75" thickBot="1" x14ac:dyDescent="0.3">
      <c r="A5" s="23">
        <v>1000</v>
      </c>
      <c r="B5" s="24">
        <v>1.58</v>
      </c>
    </row>
    <row r="6" spans="1:2" ht="15.75" thickBot="1" x14ac:dyDescent="0.3">
      <c r="A6" s="23">
        <v>2000</v>
      </c>
      <c r="B6" s="24">
        <v>1.47</v>
      </c>
    </row>
    <row r="7" spans="1:2" ht="15.75" thickBot="1" x14ac:dyDescent="0.3">
      <c r="A7" s="23">
        <v>5000</v>
      </c>
      <c r="B7" s="24">
        <v>1.42</v>
      </c>
    </row>
    <row r="8" spans="1:2" ht="15.75" thickBot="1" x14ac:dyDescent="0.3">
      <c r="A8" s="23">
        <v>10000</v>
      </c>
      <c r="B8" s="24">
        <v>1.37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D23D1-8890-4B0B-83BD-481514E5E5E6}">
  <dimension ref="A1:O319"/>
  <sheetViews>
    <sheetView showGridLines="0" workbookViewId="0">
      <pane ySplit="1" topLeftCell="A305" activePane="bottomLeft" state="frozen"/>
      <selection pane="bottomLeft" sqref="A1:M319"/>
    </sheetView>
  </sheetViews>
  <sheetFormatPr defaultRowHeight="15" x14ac:dyDescent="0.25"/>
  <cols>
    <col min="1" max="2" width="7" bestFit="1" customWidth="1"/>
    <col min="3" max="3" width="36.5703125" bestFit="1" customWidth="1"/>
    <col min="4" max="4" width="10.5703125" bestFit="1" customWidth="1"/>
    <col min="5" max="5" width="40.85546875" customWidth="1"/>
    <col min="6" max="6" width="19" bestFit="1" customWidth="1"/>
    <col min="7" max="7" width="11.85546875" bestFit="1" customWidth="1"/>
    <col min="8" max="8" width="15.7109375" bestFit="1" customWidth="1"/>
    <col min="9" max="9" width="14.85546875" bestFit="1" customWidth="1"/>
    <col min="10" max="10" width="14.85546875" customWidth="1"/>
    <col min="11" max="11" width="13.28515625" bestFit="1" customWidth="1"/>
    <col min="12" max="12" width="4.28515625" bestFit="1" customWidth="1"/>
    <col min="13" max="13" width="9.5703125" bestFit="1" customWidth="1"/>
    <col min="15" max="15" width="12.5703125" bestFit="1" customWidth="1"/>
  </cols>
  <sheetData>
    <row r="1" spans="1:15" ht="30" x14ac:dyDescent="0.25">
      <c r="A1" s="68" t="s">
        <v>0</v>
      </c>
      <c r="B1" s="68" t="s">
        <v>2440</v>
      </c>
      <c r="C1" s="68" t="s">
        <v>7192</v>
      </c>
      <c r="D1" s="68" t="s">
        <v>7193</v>
      </c>
      <c r="E1" s="68" t="s">
        <v>7194</v>
      </c>
      <c r="F1" s="68" t="s">
        <v>1</v>
      </c>
      <c r="G1" s="68" t="s">
        <v>2438</v>
      </c>
      <c r="H1" s="68" t="s">
        <v>5490</v>
      </c>
      <c r="I1" s="68" t="s">
        <v>5491</v>
      </c>
      <c r="J1" s="68" t="s">
        <v>7195</v>
      </c>
      <c r="K1" s="68" t="s">
        <v>7196</v>
      </c>
      <c r="L1" s="68" t="s">
        <v>7197</v>
      </c>
      <c r="M1" s="68" t="s">
        <v>2437</v>
      </c>
      <c r="N1" s="5"/>
      <c r="O1" s="5"/>
    </row>
    <row r="2" spans="1:15" ht="30" x14ac:dyDescent="0.25">
      <c r="A2" s="69">
        <v>117320</v>
      </c>
      <c r="B2" s="69">
        <v>73159</v>
      </c>
      <c r="C2" s="70" t="s">
        <v>6488</v>
      </c>
      <c r="D2" s="70" t="s">
        <v>7198</v>
      </c>
      <c r="E2" s="70" t="s">
        <v>6081</v>
      </c>
      <c r="F2" s="70"/>
      <c r="G2" s="70" t="s">
        <v>3</v>
      </c>
      <c r="H2" s="71">
        <v>555</v>
      </c>
      <c r="I2" s="71">
        <v>909</v>
      </c>
      <c r="J2" s="70"/>
      <c r="K2" s="70" t="s">
        <v>7199</v>
      </c>
      <c r="L2" s="70"/>
      <c r="M2" s="70"/>
      <c r="N2" s="5" t="str">
        <f>_xlfn.CONCAT(K2,IF(L2&lt;&gt;"",_xlfn.CONCAT("ск",L2),""))</f>
        <v>0</v>
      </c>
      <c r="O2" s="5" t="str">
        <f>INDEX(Кат!$I:$I,MATCH($A2,Кат!$A:$A,0))</f>
        <v>кристал авто</v>
      </c>
    </row>
    <row r="3" spans="1:15" ht="105" x14ac:dyDescent="0.25">
      <c r="A3" s="69">
        <v>131459</v>
      </c>
      <c r="B3" s="69">
        <v>38362</v>
      </c>
      <c r="C3" s="70" t="s">
        <v>5373</v>
      </c>
      <c r="D3" s="70" t="s">
        <v>7198</v>
      </c>
      <c r="E3" s="70"/>
      <c r="F3" s="70" t="s">
        <v>5891</v>
      </c>
      <c r="G3" s="70" t="s">
        <v>3</v>
      </c>
      <c r="H3" s="71">
        <v>130</v>
      </c>
      <c r="I3" s="71">
        <v>249</v>
      </c>
      <c r="J3" s="70" t="s">
        <v>8061</v>
      </c>
      <c r="K3" s="70" t="s">
        <v>4</v>
      </c>
      <c r="L3" s="70"/>
      <c r="M3" s="70"/>
      <c r="N3" s="5" t="str">
        <f t="shared" ref="N3:N66" si="0">_xlfn.CONCAT(K3,IF(L3&lt;&gt;"",_xlfn.CONCAT("ск",L3),""))</f>
        <v>1</v>
      </c>
      <c r="O3" s="5" t="str">
        <f>INDEX(Кат!$I:$I,MATCH($A3,Кат!$A:$A,0))</f>
        <v>кристал авто</v>
      </c>
    </row>
    <row r="4" spans="1:15" ht="105" x14ac:dyDescent="0.25">
      <c r="A4" s="69">
        <v>131460</v>
      </c>
      <c r="B4" s="69">
        <v>38361</v>
      </c>
      <c r="C4" s="70" t="s">
        <v>4974</v>
      </c>
      <c r="D4" s="70" t="s">
        <v>7198</v>
      </c>
      <c r="E4" s="70"/>
      <c r="F4" s="70" t="s">
        <v>5378</v>
      </c>
      <c r="G4" s="70" t="s">
        <v>3</v>
      </c>
      <c r="H4" s="71">
        <v>130</v>
      </c>
      <c r="I4" s="71">
        <v>249</v>
      </c>
      <c r="J4" s="70" t="s">
        <v>8061</v>
      </c>
      <c r="K4" s="70" t="s">
        <v>4</v>
      </c>
      <c r="L4" s="70"/>
      <c r="M4" s="70"/>
      <c r="N4" s="5" t="str">
        <f t="shared" si="0"/>
        <v>1</v>
      </c>
      <c r="O4" s="5" t="str">
        <f>INDEX(Кат!$I:$I,MATCH($A4,Кат!$A:$A,0))</f>
        <v>кристал авто</v>
      </c>
    </row>
    <row r="5" spans="1:15" ht="105" x14ac:dyDescent="0.25">
      <c r="A5" s="69">
        <v>131461</v>
      </c>
      <c r="B5" s="69">
        <v>38364</v>
      </c>
      <c r="C5" s="70" t="s">
        <v>4976</v>
      </c>
      <c r="D5" s="70" t="s">
        <v>7198</v>
      </c>
      <c r="E5" s="70"/>
      <c r="F5" s="70" t="s">
        <v>5376</v>
      </c>
      <c r="G5" s="70" t="s">
        <v>3</v>
      </c>
      <c r="H5" s="71">
        <v>130</v>
      </c>
      <c r="I5" s="71">
        <v>249</v>
      </c>
      <c r="J5" s="70" t="s">
        <v>8061</v>
      </c>
      <c r="K5" s="70" t="s">
        <v>4</v>
      </c>
      <c r="L5" s="70"/>
      <c r="M5" s="70"/>
      <c r="N5" s="5" t="str">
        <f t="shared" si="0"/>
        <v>1</v>
      </c>
      <c r="O5" s="5" t="str">
        <f>INDEX(Кат!$I:$I,MATCH($A5,Кат!$A:$A,0))</f>
        <v>кристал авто</v>
      </c>
    </row>
    <row r="6" spans="1:15" ht="105" x14ac:dyDescent="0.25">
      <c r="A6" s="69">
        <v>131462</v>
      </c>
      <c r="B6" s="69">
        <v>38360</v>
      </c>
      <c r="C6" s="70" t="s">
        <v>4973</v>
      </c>
      <c r="D6" s="70" t="s">
        <v>7198</v>
      </c>
      <c r="E6" s="70"/>
      <c r="F6" s="70" t="s">
        <v>5379</v>
      </c>
      <c r="G6" s="70" t="s">
        <v>3</v>
      </c>
      <c r="H6" s="71">
        <v>130</v>
      </c>
      <c r="I6" s="71">
        <v>249</v>
      </c>
      <c r="J6" s="70" t="s">
        <v>8061</v>
      </c>
      <c r="K6" s="70" t="s">
        <v>4</v>
      </c>
      <c r="L6" s="70"/>
      <c r="M6" s="70"/>
      <c r="N6" s="5" t="str">
        <f t="shared" si="0"/>
        <v>1</v>
      </c>
      <c r="O6" s="5" t="str">
        <f>INDEX(Кат!$I:$I,MATCH($A6,Кат!$A:$A,0))</f>
        <v>кристал авто</v>
      </c>
    </row>
    <row r="7" spans="1:15" ht="105" x14ac:dyDescent="0.25">
      <c r="A7" s="69">
        <v>131463</v>
      </c>
      <c r="B7" s="69">
        <v>38365</v>
      </c>
      <c r="C7" s="70" t="s">
        <v>4977</v>
      </c>
      <c r="D7" s="70" t="s">
        <v>7198</v>
      </c>
      <c r="E7" s="70"/>
      <c r="F7" s="70" t="s">
        <v>5375</v>
      </c>
      <c r="G7" s="70" t="s">
        <v>3</v>
      </c>
      <c r="H7" s="71">
        <v>130</v>
      </c>
      <c r="I7" s="71">
        <v>249</v>
      </c>
      <c r="J7" s="70" t="s">
        <v>8061</v>
      </c>
      <c r="K7" s="70" t="s">
        <v>4</v>
      </c>
      <c r="L7" s="70"/>
      <c r="M7" s="70"/>
      <c r="N7" s="5" t="str">
        <f t="shared" si="0"/>
        <v>1</v>
      </c>
      <c r="O7" s="5" t="str">
        <f>INDEX(Кат!$I:$I,MATCH($A7,Кат!$A:$A,0))</f>
        <v>кристал авто</v>
      </c>
    </row>
    <row r="8" spans="1:15" ht="105" x14ac:dyDescent="0.25">
      <c r="A8" s="69">
        <v>131464</v>
      </c>
      <c r="B8" s="69">
        <v>38363</v>
      </c>
      <c r="C8" s="70" t="s">
        <v>4975</v>
      </c>
      <c r="D8" s="70" t="s">
        <v>7198</v>
      </c>
      <c r="E8" s="70"/>
      <c r="F8" s="70" t="s">
        <v>5377</v>
      </c>
      <c r="G8" s="70" t="s">
        <v>3</v>
      </c>
      <c r="H8" s="71">
        <v>130</v>
      </c>
      <c r="I8" s="71">
        <v>249</v>
      </c>
      <c r="J8" s="70" t="s">
        <v>8061</v>
      </c>
      <c r="K8" s="70" t="s">
        <v>4</v>
      </c>
      <c r="L8" s="70"/>
      <c r="M8" s="70"/>
      <c r="N8" s="5" t="str">
        <f t="shared" si="0"/>
        <v>1</v>
      </c>
      <c r="O8" s="5" t="str">
        <f>INDEX(Кат!$I:$I,MATCH($A8,Кат!$A:$A,0))</f>
        <v>кристал авто</v>
      </c>
    </row>
    <row r="9" spans="1:15" ht="105" x14ac:dyDescent="0.25">
      <c r="A9" s="69">
        <v>131466</v>
      </c>
      <c r="B9" s="69">
        <v>19998</v>
      </c>
      <c r="C9" s="70" t="s">
        <v>8099</v>
      </c>
      <c r="D9" s="70" t="s">
        <v>7198</v>
      </c>
      <c r="E9" s="70"/>
      <c r="F9" s="70" t="s">
        <v>2394</v>
      </c>
      <c r="G9" s="70" t="s">
        <v>3</v>
      </c>
      <c r="H9" s="71">
        <v>145</v>
      </c>
      <c r="I9" s="71">
        <v>279</v>
      </c>
      <c r="J9" s="70" t="s">
        <v>8067</v>
      </c>
      <c r="K9" s="70" t="s">
        <v>4</v>
      </c>
      <c r="L9" s="70"/>
      <c r="M9" s="70"/>
      <c r="N9" s="5" t="str">
        <f t="shared" si="0"/>
        <v>1</v>
      </c>
      <c r="O9" s="5" t="str">
        <f>INDEX(Кат!$I:$I,MATCH($A9,Кат!$A:$A,0))</f>
        <v>кристал авто</v>
      </c>
    </row>
    <row r="10" spans="1:15" ht="105" x14ac:dyDescent="0.25">
      <c r="A10" s="69">
        <v>131471</v>
      </c>
      <c r="B10" s="69">
        <v>19984</v>
      </c>
      <c r="C10" s="70" t="s">
        <v>7200</v>
      </c>
      <c r="D10" s="70" t="s">
        <v>7198</v>
      </c>
      <c r="E10" s="70"/>
      <c r="F10" s="70" t="s">
        <v>2381</v>
      </c>
      <c r="G10" s="70" t="s">
        <v>3</v>
      </c>
      <c r="H10" s="71">
        <v>145</v>
      </c>
      <c r="I10" s="71">
        <v>279</v>
      </c>
      <c r="J10" s="70" t="s">
        <v>8067</v>
      </c>
      <c r="K10" s="70" t="s">
        <v>4</v>
      </c>
      <c r="L10" s="70"/>
      <c r="M10" s="70"/>
      <c r="N10" s="5" t="str">
        <f t="shared" si="0"/>
        <v>1</v>
      </c>
      <c r="O10" s="5" t="str">
        <f>INDEX(Кат!$I:$I,MATCH($A10,Кат!$A:$A,0))</f>
        <v>кристал авто</v>
      </c>
    </row>
    <row r="11" spans="1:15" ht="105" x14ac:dyDescent="0.25">
      <c r="A11" s="69">
        <v>131470</v>
      </c>
      <c r="B11" s="69">
        <v>19982</v>
      </c>
      <c r="C11" s="70" t="s">
        <v>8100</v>
      </c>
      <c r="D11" s="70" t="s">
        <v>7198</v>
      </c>
      <c r="E11" s="70"/>
      <c r="F11" s="70" t="s">
        <v>2379</v>
      </c>
      <c r="G11" s="70" t="s">
        <v>3</v>
      </c>
      <c r="H11" s="71">
        <v>145</v>
      </c>
      <c r="I11" s="71">
        <v>279</v>
      </c>
      <c r="J11" s="70" t="s">
        <v>8067</v>
      </c>
      <c r="K11" s="70" t="s">
        <v>4</v>
      </c>
      <c r="L11" s="70"/>
      <c r="M11" s="70"/>
      <c r="N11" s="5" t="str">
        <f t="shared" si="0"/>
        <v>1</v>
      </c>
      <c r="O11" s="5" t="str">
        <f>INDEX(Кат!$I:$I,MATCH($A11,Кат!$A:$A,0))</f>
        <v>кристал авто</v>
      </c>
    </row>
    <row r="12" spans="1:15" ht="105" x14ac:dyDescent="0.25">
      <c r="A12" s="69">
        <v>131474</v>
      </c>
      <c r="B12" s="69">
        <v>19979</v>
      </c>
      <c r="C12" s="70" t="s">
        <v>8101</v>
      </c>
      <c r="D12" s="70" t="s">
        <v>7198</v>
      </c>
      <c r="E12" s="70"/>
      <c r="F12" s="70" t="s">
        <v>2376</v>
      </c>
      <c r="G12" s="70" t="s">
        <v>3</v>
      </c>
      <c r="H12" s="71">
        <v>145</v>
      </c>
      <c r="I12" s="71">
        <v>279</v>
      </c>
      <c r="J12" s="70" t="s">
        <v>8067</v>
      </c>
      <c r="K12" s="70" t="s">
        <v>4</v>
      </c>
      <c r="L12" s="70"/>
      <c r="M12" s="70"/>
      <c r="N12" s="5" t="str">
        <f t="shared" si="0"/>
        <v>1</v>
      </c>
      <c r="O12" s="5" t="str">
        <f>INDEX(Кат!$I:$I,MATCH($A12,Кат!$A:$A,0))</f>
        <v>кристал авто</v>
      </c>
    </row>
    <row r="13" spans="1:15" ht="105" x14ac:dyDescent="0.25">
      <c r="A13" s="69">
        <v>131482</v>
      </c>
      <c r="B13" s="69">
        <v>19983</v>
      </c>
      <c r="C13" s="70" t="s">
        <v>8102</v>
      </c>
      <c r="D13" s="70" t="s">
        <v>7198</v>
      </c>
      <c r="E13" s="70"/>
      <c r="F13" s="70" t="s">
        <v>2380</v>
      </c>
      <c r="G13" s="70" t="s">
        <v>3</v>
      </c>
      <c r="H13" s="71">
        <v>145</v>
      </c>
      <c r="I13" s="71">
        <v>279</v>
      </c>
      <c r="J13" s="70" t="s">
        <v>8067</v>
      </c>
      <c r="K13" s="70" t="s">
        <v>4</v>
      </c>
      <c r="L13" s="70"/>
      <c r="M13" s="70"/>
      <c r="N13" s="5" t="str">
        <f t="shared" si="0"/>
        <v>1</v>
      </c>
      <c r="O13" s="5" t="str">
        <f>INDEX(Кат!$I:$I,MATCH($A13,Кат!$A:$A,0))</f>
        <v>кристал авто</v>
      </c>
    </row>
    <row r="14" spans="1:15" ht="105" x14ac:dyDescent="0.25">
      <c r="A14" s="69">
        <v>131477</v>
      </c>
      <c r="B14" s="69">
        <v>19976</v>
      </c>
      <c r="C14" s="70" t="s">
        <v>7201</v>
      </c>
      <c r="D14" s="70" t="s">
        <v>7198</v>
      </c>
      <c r="E14" s="70"/>
      <c r="F14" s="70" t="s">
        <v>2373</v>
      </c>
      <c r="G14" s="70" t="s">
        <v>3</v>
      </c>
      <c r="H14" s="71">
        <v>145</v>
      </c>
      <c r="I14" s="71">
        <v>279</v>
      </c>
      <c r="J14" s="70" t="s">
        <v>8067</v>
      </c>
      <c r="K14" s="70" t="s">
        <v>4</v>
      </c>
      <c r="L14" s="70"/>
      <c r="M14" s="70"/>
      <c r="N14" s="5" t="str">
        <f t="shared" si="0"/>
        <v>1</v>
      </c>
      <c r="O14" s="5" t="str">
        <f>INDEX(Кат!$I:$I,MATCH($A14,Кат!$A:$A,0))</f>
        <v>кристал авто</v>
      </c>
    </row>
    <row r="15" spans="1:15" ht="105" x14ac:dyDescent="0.25">
      <c r="A15" s="69">
        <v>131467</v>
      </c>
      <c r="B15" s="69">
        <v>19992</v>
      </c>
      <c r="C15" s="70" t="s">
        <v>7202</v>
      </c>
      <c r="D15" s="70" t="s">
        <v>7198</v>
      </c>
      <c r="E15" s="70"/>
      <c r="F15" s="70" t="s">
        <v>2389</v>
      </c>
      <c r="G15" s="70" t="s">
        <v>3</v>
      </c>
      <c r="H15" s="71">
        <v>145</v>
      </c>
      <c r="I15" s="71">
        <v>279</v>
      </c>
      <c r="J15" s="70" t="s">
        <v>8067</v>
      </c>
      <c r="K15" s="70" t="s">
        <v>4</v>
      </c>
      <c r="L15" s="70"/>
      <c r="M15" s="70"/>
      <c r="N15" s="5" t="str">
        <f t="shared" si="0"/>
        <v>1</v>
      </c>
      <c r="O15" s="5" t="str">
        <f>INDEX(Кат!$I:$I,MATCH($A15,Кат!$A:$A,0))</f>
        <v>кристал авто</v>
      </c>
    </row>
    <row r="16" spans="1:15" ht="105" x14ac:dyDescent="0.25">
      <c r="A16" s="69">
        <v>131476</v>
      </c>
      <c r="B16" s="69">
        <v>20002</v>
      </c>
      <c r="C16" s="70" t="s">
        <v>7203</v>
      </c>
      <c r="D16" s="70" t="s">
        <v>7198</v>
      </c>
      <c r="E16" s="70"/>
      <c r="F16" s="70" t="s">
        <v>2398</v>
      </c>
      <c r="G16" s="70" t="s">
        <v>3</v>
      </c>
      <c r="H16" s="71">
        <v>145</v>
      </c>
      <c r="I16" s="71">
        <v>279</v>
      </c>
      <c r="J16" s="70" t="s">
        <v>8067</v>
      </c>
      <c r="K16" s="70" t="s">
        <v>4</v>
      </c>
      <c r="L16" s="70"/>
      <c r="M16" s="70"/>
      <c r="N16" s="5" t="str">
        <f t="shared" si="0"/>
        <v>1</v>
      </c>
      <c r="O16" s="5" t="str">
        <f>INDEX(Кат!$I:$I,MATCH($A16,Кат!$A:$A,0))</f>
        <v>кристал авто</v>
      </c>
    </row>
    <row r="17" spans="1:15" ht="105" x14ac:dyDescent="0.25">
      <c r="A17" s="69">
        <v>131478</v>
      </c>
      <c r="B17" s="69">
        <v>19986</v>
      </c>
      <c r="C17" s="70" t="s">
        <v>7204</v>
      </c>
      <c r="D17" s="70" t="s">
        <v>7198</v>
      </c>
      <c r="E17" s="70"/>
      <c r="F17" s="70" t="s">
        <v>2383</v>
      </c>
      <c r="G17" s="70" t="s">
        <v>3</v>
      </c>
      <c r="H17" s="71">
        <v>145</v>
      </c>
      <c r="I17" s="71">
        <v>279</v>
      </c>
      <c r="J17" s="70" t="s">
        <v>8067</v>
      </c>
      <c r="K17" s="70" t="s">
        <v>4</v>
      </c>
      <c r="L17" s="70"/>
      <c r="M17" s="70"/>
      <c r="N17" s="5" t="str">
        <f t="shared" si="0"/>
        <v>1</v>
      </c>
      <c r="O17" s="5" t="str">
        <f>INDEX(Кат!$I:$I,MATCH($A17,Кат!$A:$A,0))</f>
        <v>кристал авто</v>
      </c>
    </row>
    <row r="18" spans="1:15" ht="105" x14ac:dyDescent="0.25">
      <c r="A18" s="69">
        <v>131494</v>
      </c>
      <c r="B18" s="69">
        <v>20005</v>
      </c>
      <c r="C18" s="70" t="s">
        <v>7205</v>
      </c>
      <c r="D18" s="70" t="s">
        <v>7198</v>
      </c>
      <c r="E18" s="70"/>
      <c r="F18" s="70" t="s">
        <v>2401</v>
      </c>
      <c r="G18" s="70" t="s">
        <v>3</v>
      </c>
      <c r="H18" s="71">
        <v>145</v>
      </c>
      <c r="I18" s="71">
        <v>279</v>
      </c>
      <c r="J18" s="70" t="s">
        <v>8067</v>
      </c>
      <c r="K18" s="70" t="s">
        <v>4</v>
      </c>
      <c r="L18" s="70"/>
      <c r="M18" s="70"/>
      <c r="N18" s="5" t="str">
        <f t="shared" si="0"/>
        <v>1</v>
      </c>
      <c r="O18" s="5" t="str">
        <f>INDEX(Кат!$I:$I,MATCH($A18,Кат!$A:$A,0))</f>
        <v>кристал авто</v>
      </c>
    </row>
    <row r="19" spans="1:15" ht="105" x14ac:dyDescent="0.25">
      <c r="A19" s="69">
        <v>131483</v>
      </c>
      <c r="B19" s="69">
        <v>19996</v>
      </c>
      <c r="C19" s="70" t="s">
        <v>7206</v>
      </c>
      <c r="D19" s="70" t="s">
        <v>7198</v>
      </c>
      <c r="E19" s="70"/>
      <c r="F19" s="70" t="s">
        <v>5382</v>
      </c>
      <c r="G19" s="70" t="s">
        <v>3</v>
      </c>
      <c r="H19" s="71">
        <v>145</v>
      </c>
      <c r="I19" s="71">
        <v>279</v>
      </c>
      <c r="J19" s="70" t="s">
        <v>8067</v>
      </c>
      <c r="K19" s="70" t="s">
        <v>4</v>
      </c>
      <c r="L19" s="70"/>
      <c r="M19" s="70"/>
      <c r="N19" s="5" t="str">
        <f t="shared" si="0"/>
        <v>1</v>
      </c>
      <c r="O19" s="5" t="str">
        <f>INDEX(Кат!$I:$I,MATCH($A19,Кат!$A:$A,0))</f>
        <v>кристал авто</v>
      </c>
    </row>
    <row r="20" spans="1:15" ht="105" x14ac:dyDescent="0.25">
      <c r="A20" s="69">
        <v>131485</v>
      </c>
      <c r="B20" s="69">
        <v>19995</v>
      </c>
      <c r="C20" s="70" t="s">
        <v>7207</v>
      </c>
      <c r="D20" s="70" t="s">
        <v>7198</v>
      </c>
      <c r="E20" s="70"/>
      <c r="F20" s="70" t="s">
        <v>2392</v>
      </c>
      <c r="G20" s="70" t="s">
        <v>3</v>
      </c>
      <c r="H20" s="71">
        <v>145</v>
      </c>
      <c r="I20" s="71">
        <v>279</v>
      </c>
      <c r="J20" s="70" t="s">
        <v>8067</v>
      </c>
      <c r="K20" s="70" t="s">
        <v>4</v>
      </c>
      <c r="L20" s="70"/>
      <c r="M20" s="70"/>
      <c r="N20" s="5" t="str">
        <f t="shared" si="0"/>
        <v>1</v>
      </c>
      <c r="O20" s="5" t="str">
        <f>INDEX(Кат!$I:$I,MATCH($A20,Кат!$A:$A,0))</f>
        <v>кристал авто</v>
      </c>
    </row>
    <row r="21" spans="1:15" ht="105" x14ac:dyDescent="0.25">
      <c r="A21" s="69">
        <v>131488</v>
      </c>
      <c r="B21" s="69">
        <v>19997</v>
      </c>
      <c r="C21" s="70" t="s">
        <v>7208</v>
      </c>
      <c r="D21" s="70" t="s">
        <v>7198</v>
      </c>
      <c r="E21" s="70"/>
      <c r="F21" s="70" t="s">
        <v>2393</v>
      </c>
      <c r="G21" s="70" t="s">
        <v>3</v>
      </c>
      <c r="H21" s="71">
        <v>145</v>
      </c>
      <c r="I21" s="71">
        <v>279</v>
      </c>
      <c r="J21" s="70" t="s">
        <v>8067</v>
      </c>
      <c r="K21" s="70" t="s">
        <v>4</v>
      </c>
      <c r="L21" s="70"/>
      <c r="M21" s="70"/>
      <c r="N21" s="5" t="str">
        <f t="shared" si="0"/>
        <v>1</v>
      </c>
      <c r="O21" s="5" t="str">
        <f>INDEX(Кат!$I:$I,MATCH($A21,Кат!$A:$A,0))</f>
        <v>кристал авто</v>
      </c>
    </row>
    <row r="22" spans="1:15" ht="105" x14ac:dyDescent="0.25">
      <c r="A22" s="69">
        <v>131487</v>
      </c>
      <c r="B22" s="69">
        <v>19977</v>
      </c>
      <c r="C22" s="70" t="s">
        <v>7209</v>
      </c>
      <c r="D22" s="70" t="s">
        <v>7198</v>
      </c>
      <c r="E22" s="70"/>
      <c r="F22" s="70" t="s">
        <v>2374</v>
      </c>
      <c r="G22" s="70" t="s">
        <v>3</v>
      </c>
      <c r="H22" s="71">
        <v>145</v>
      </c>
      <c r="I22" s="71">
        <v>279</v>
      </c>
      <c r="J22" s="70" t="s">
        <v>8067</v>
      </c>
      <c r="K22" s="70" t="s">
        <v>4</v>
      </c>
      <c r="L22" s="70"/>
      <c r="M22" s="70"/>
      <c r="N22" s="5" t="str">
        <f t="shared" si="0"/>
        <v>1</v>
      </c>
      <c r="O22" s="5" t="str">
        <f>INDEX(Кат!$I:$I,MATCH($A22,Кат!$A:$A,0))</f>
        <v>кристал авто</v>
      </c>
    </row>
    <row r="23" spans="1:15" ht="105" x14ac:dyDescent="0.25">
      <c r="A23" s="69">
        <v>131486</v>
      </c>
      <c r="B23" s="69">
        <v>19994</v>
      </c>
      <c r="C23" s="70" t="s">
        <v>7210</v>
      </c>
      <c r="D23" s="70" t="s">
        <v>7198</v>
      </c>
      <c r="E23" s="70"/>
      <c r="F23" s="70" t="s">
        <v>2391</v>
      </c>
      <c r="G23" s="70" t="s">
        <v>3</v>
      </c>
      <c r="H23" s="71">
        <v>145</v>
      </c>
      <c r="I23" s="71">
        <v>279</v>
      </c>
      <c r="J23" s="70" t="s">
        <v>8067</v>
      </c>
      <c r="K23" s="70" t="s">
        <v>4</v>
      </c>
      <c r="L23" s="70"/>
      <c r="M23" s="70"/>
      <c r="N23" s="5" t="str">
        <f t="shared" si="0"/>
        <v>1</v>
      </c>
      <c r="O23" s="5" t="str">
        <f>INDEX(Кат!$I:$I,MATCH($A23,Кат!$A:$A,0))</f>
        <v>кристал авто</v>
      </c>
    </row>
    <row r="24" spans="1:15" ht="105" x14ac:dyDescent="0.25">
      <c r="A24" s="69">
        <v>131484</v>
      </c>
      <c r="B24" s="69">
        <v>20001</v>
      </c>
      <c r="C24" s="70" t="s">
        <v>7211</v>
      </c>
      <c r="D24" s="70" t="s">
        <v>7198</v>
      </c>
      <c r="E24" s="70"/>
      <c r="F24" s="70" t="s">
        <v>2397</v>
      </c>
      <c r="G24" s="70" t="s">
        <v>3</v>
      </c>
      <c r="H24" s="71">
        <v>145</v>
      </c>
      <c r="I24" s="71">
        <v>279</v>
      </c>
      <c r="J24" s="70" t="s">
        <v>8067</v>
      </c>
      <c r="K24" s="70" t="s">
        <v>4</v>
      </c>
      <c r="L24" s="70"/>
      <c r="M24" s="70"/>
      <c r="N24" s="5" t="str">
        <f t="shared" si="0"/>
        <v>1</v>
      </c>
      <c r="O24" s="5" t="str">
        <f>INDEX(Кат!$I:$I,MATCH($A24,Кат!$A:$A,0))</f>
        <v>кристал авто</v>
      </c>
    </row>
    <row r="25" spans="1:15" ht="105" x14ac:dyDescent="0.25">
      <c r="A25" s="69">
        <v>131480</v>
      </c>
      <c r="B25" s="69">
        <v>20004</v>
      </c>
      <c r="C25" s="70" t="s">
        <v>7212</v>
      </c>
      <c r="D25" s="70" t="s">
        <v>7198</v>
      </c>
      <c r="E25" s="70"/>
      <c r="F25" s="70" t="s">
        <v>2400</v>
      </c>
      <c r="G25" s="70" t="s">
        <v>3</v>
      </c>
      <c r="H25" s="71">
        <v>145</v>
      </c>
      <c r="I25" s="71">
        <v>279</v>
      </c>
      <c r="J25" s="70" t="s">
        <v>8067</v>
      </c>
      <c r="K25" s="70" t="s">
        <v>4</v>
      </c>
      <c r="L25" s="70"/>
      <c r="M25" s="70"/>
      <c r="N25" s="5" t="str">
        <f t="shared" si="0"/>
        <v>1</v>
      </c>
      <c r="O25" s="5" t="str">
        <f>INDEX(Кат!$I:$I,MATCH($A25,Кат!$A:$A,0))</f>
        <v>кристал авто</v>
      </c>
    </row>
    <row r="26" spans="1:15" ht="105" x14ac:dyDescent="0.25">
      <c r="A26" s="69">
        <v>131491</v>
      </c>
      <c r="B26" s="69">
        <v>19999</v>
      </c>
      <c r="C26" s="70" t="s">
        <v>7213</v>
      </c>
      <c r="D26" s="70" t="s">
        <v>7198</v>
      </c>
      <c r="E26" s="70"/>
      <c r="F26" s="70" t="s">
        <v>2395</v>
      </c>
      <c r="G26" s="70" t="s">
        <v>3</v>
      </c>
      <c r="H26" s="71">
        <v>145</v>
      </c>
      <c r="I26" s="71">
        <v>279</v>
      </c>
      <c r="J26" s="70" t="s">
        <v>8067</v>
      </c>
      <c r="K26" s="70" t="s">
        <v>4</v>
      </c>
      <c r="L26" s="70"/>
      <c r="M26" s="70"/>
      <c r="N26" s="5" t="str">
        <f t="shared" si="0"/>
        <v>1</v>
      </c>
      <c r="O26" s="5" t="str">
        <f>INDEX(Кат!$I:$I,MATCH($A26,Кат!$A:$A,0))</f>
        <v>кристал авто</v>
      </c>
    </row>
    <row r="27" spans="1:15" ht="105" x14ac:dyDescent="0.25">
      <c r="A27" s="69">
        <v>131490</v>
      </c>
      <c r="B27" s="69">
        <v>19990</v>
      </c>
      <c r="C27" s="70" t="s">
        <v>7214</v>
      </c>
      <c r="D27" s="70" t="s">
        <v>7198</v>
      </c>
      <c r="E27" s="70"/>
      <c r="F27" s="70" t="s">
        <v>2387</v>
      </c>
      <c r="G27" s="70" t="s">
        <v>3</v>
      </c>
      <c r="H27" s="71">
        <v>145</v>
      </c>
      <c r="I27" s="71">
        <v>279</v>
      </c>
      <c r="J27" s="70" t="s">
        <v>8067</v>
      </c>
      <c r="K27" s="70" t="s">
        <v>4</v>
      </c>
      <c r="L27" s="70"/>
      <c r="M27" s="70"/>
      <c r="N27" s="5" t="str">
        <f t="shared" si="0"/>
        <v>1</v>
      </c>
      <c r="O27" s="5" t="str">
        <f>INDEX(Кат!$I:$I,MATCH($A27,Кат!$A:$A,0))</f>
        <v>кристал авто</v>
      </c>
    </row>
    <row r="28" spans="1:15" ht="45" x14ac:dyDescent="0.25">
      <c r="A28" s="69">
        <v>131465</v>
      </c>
      <c r="B28" s="69">
        <v>32787</v>
      </c>
      <c r="C28" s="70" t="s">
        <v>7215</v>
      </c>
      <c r="D28" s="70" t="s">
        <v>7198</v>
      </c>
      <c r="E28" s="70" t="s">
        <v>2435</v>
      </c>
      <c r="F28" s="70" t="s">
        <v>2435</v>
      </c>
      <c r="G28" s="70" t="s">
        <v>3</v>
      </c>
      <c r="H28" s="71">
        <v>145</v>
      </c>
      <c r="I28" s="71">
        <v>279</v>
      </c>
      <c r="J28" s="70"/>
      <c r="K28" s="70" t="s">
        <v>4</v>
      </c>
      <c r="L28" s="70"/>
      <c r="M28" s="70"/>
      <c r="N28" s="5" t="str">
        <f t="shared" si="0"/>
        <v>1</v>
      </c>
      <c r="O28" s="5" t="str">
        <f>INDEX(Кат!$I:$I,MATCH($A28,Кат!$A:$A,0))</f>
        <v>кристал авто</v>
      </c>
    </row>
    <row r="29" spans="1:15" ht="105" x14ac:dyDescent="0.25">
      <c r="A29" s="69">
        <v>131468</v>
      </c>
      <c r="B29" s="69">
        <v>19985</v>
      </c>
      <c r="C29" s="70" t="s">
        <v>7216</v>
      </c>
      <c r="D29" s="70" t="s">
        <v>7198</v>
      </c>
      <c r="E29" s="70"/>
      <c r="F29" s="70" t="s">
        <v>2382</v>
      </c>
      <c r="G29" s="70" t="s">
        <v>3</v>
      </c>
      <c r="H29" s="71">
        <v>145</v>
      </c>
      <c r="I29" s="71">
        <v>279</v>
      </c>
      <c r="J29" s="70" t="s">
        <v>8067</v>
      </c>
      <c r="K29" s="70" t="s">
        <v>4</v>
      </c>
      <c r="L29" s="70"/>
      <c r="M29" s="70"/>
      <c r="N29" s="5" t="str">
        <f t="shared" si="0"/>
        <v>1</v>
      </c>
      <c r="O29" s="5" t="str">
        <f>INDEX(Кат!$I:$I,MATCH($A29,Кат!$A:$A,0))</f>
        <v>кристал авто</v>
      </c>
    </row>
    <row r="30" spans="1:15" ht="105" x14ac:dyDescent="0.25">
      <c r="A30" s="69">
        <v>131493</v>
      </c>
      <c r="B30" s="69">
        <v>19987</v>
      </c>
      <c r="C30" s="70" t="s">
        <v>7217</v>
      </c>
      <c r="D30" s="70" t="s">
        <v>7198</v>
      </c>
      <c r="E30" s="70"/>
      <c r="F30" s="70" t="s">
        <v>2384</v>
      </c>
      <c r="G30" s="70" t="s">
        <v>3</v>
      </c>
      <c r="H30" s="71">
        <v>145</v>
      </c>
      <c r="I30" s="71">
        <v>279</v>
      </c>
      <c r="J30" s="70" t="s">
        <v>8067</v>
      </c>
      <c r="K30" s="70" t="s">
        <v>4</v>
      </c>
      <c r="L30" s="70"/>
      <c r="M30" s="70"/>
      <c r="N30" s="5" t="str">
        <f t="shared" si="0"/>
        <v>1</v>
      </c>
      <c r="O30" s="5" t="str">
        <f>INDEX(Кат!$I:$I,MATCH($A30,Кат!$A:$A,0))</f>
        <v>кристал авто</v>
      </c>
    </row>
    <row r="31" spans="1:15" ht="105" x14ac:dyDescent="0.25">
      <c r="A31" s="69">
        <v>131473</v>
      </c>
      <c r="B31" s="69">
        <v>19988</v>
      </c>
      <c r="C31" s="70" t="s">
        <v>7218</v>
      </c>
      <c r="D31" s="70" t="s">
        <v>7198</v>
      </c>
      <c r="E31" s="70"/>
      <c r="F31" s="70" t="s">
        <v>2385</v>
      </c>
      <c r="G31" s="70" t="s">
        <v>3</v>
      </c>
      <c r="H31" s="71">
        <v>145</v>
      </c>
      <c r="I31" s="71">
        <v>279</v>
      </c>
      <c r="J31" s="70" t="s">
        <v>8067</v>
      </c>
      <c r="K31" s="70" t="s">
        <v>4</v>
      </c>
      <c r="L31" s="70"/>
      <c r="M31" s="70"/>
      <c r="N31" s="5" t="str">
        <f t="shared" si="0"/>
        <v>1</v>
      </c>
      <c r="O31" s="5" t="str">
        <f>INDEX(Кат!$I:$I,MATCH($A31,Кат!$A:$A,0))</f>
        <v>кристал авто</v>
      </c>
    </row>
    <row r="32" spans="1:15" ht="105" x14ac:dyDescent="0.25">
      <c r="A32" s="69">
        <v>131481</v>
      </c>
      <c r="B32" s="69">
        <v>20003</v>
      </c>
      <c r="C32" s="70" t="s">
        <v>7219</v>
      </c>
      <c r="D32" s="70" t="s">
        <v>7198</v>
      </c>
      <c r="E32" s="70"/>
      <c r="F32" s="70" t="s">
        <v>2399</v>
      </c>
      <c r="G32" s="70" t="s">
        <v>3</v>
      </c>
      <c r="H32" s="71">
        <v>145</v>
      </c>
      <c r="I32" s="71">
        <v>279</v>
      </c>
      <c r="J32" s="70" t="s">
        <v>8067</v>
      </c>
      <c r="K32" s="70" t="s">
        <v>4</v>
      </c>
      <c r="L32" s="70"/>
      <c r="M32" s="70"/>
      <c r="N32" s="5" t="str">
        <f t="shared" si="0"/>
        <v>1</v>
      </c>
      <c r="O32" s="5" t="str">
        <f>INDEX(Кат!$I:$I,MATCH($A32,Кат!$A:$A,0))</f>
        <v>кристал авто</v>
      </c>
    </row>
    <row r="33" spans="1:15" ht="105" x14ac:dyDescent="0.25">
      <c r="A33" s="69">
        <v>131489</v>
      </c>
      <c r="B33" s="69">
        <v>19980</v>
      </c>
      <c r="C33" s="70" t="s">
        <v>7220</v>
      </c>
      <c r="D33" s="70" t="s">
        <v>7198</v>
      </c>
      <c r="E33" s="70"/>
      <c r="F33" s="70" t="s">
        <v>2377</v>
      </c>
      <c r="G33" s="70" t="s">
        <v>3</v>
      </c>
      <c r="H33" s="71">
        <v>145</v>
      </c>
      <c r="I33" s="71">
        <v>279</v>
      </c>
      <c r="J33" s="70" t="s">
        <v>8067</v>
      </c>
      <c r="K33" s="70" t="s">
        <v>4</v>
      </c>
      <c r="L33" s="70"/>
      <c r="M33" s="70"/>
      <c r="N33" s="5" t="str">
        <f t="shared" si="0"/>
        <v>1</v>
      </c>
      <c r="O33" s="5" t="str">
        <f>INDEX(Кат!$I:$I,MATCH($A33,Кат!$A:$A,0))</f>
        <v>кристал авто</v>
      </c>
    </row>
    <row r="34" spans="1:15" ht="105" x14ac:dyDescent="0.25">
      <c r="A34" s="69">
        <v>131472</v>
      </c>
      <c r="B34" s="69">
        <v>20000</v>
      </c>
      <c r="C34" s="70" t="s">
        <v>7221</v>
      </c>
      <c r="D34" s="70" t="s">
        <v>7198</v>
      </c>
      <c r="E34" s="70"/>
      <c r="F34" s="70" t="s">
        <v>2396</v>
      </c>
      <c r="G34" s="70" t="s">
        <v>3</v>
      </c>
      <c r="H34" s="71">
        <v>145</v>
      </c>
      <c r="I34" s="71">
        <v>279</v>
      </c>
      <c r="J34" s="70" t="s">
        <v>8067</v>
      </c>
      <c r="K34" s="70" t="s">
        <v>4</v>
      </c>
      <c r="L34" s="70"/>
      <c r="M34" s="70"/>
      <c r="N34" s="5" t="str">
        <f t="shared" si="0"/>
        <v>1</v>
      </c>
      <c r="O34" s="5" t="str">
        <f>INDEX(Кат!$I:$I,MATCH($A34,Кат!$A:$A,0))</f>
        <v>кристал авто</v>
      </c>
    </row>
    <row r="35" spans="1:15" ht="105" x14ac:dyDescent="0.25">
      <c r="A35" s="69">
        <v>131495</v>
      </c>
      <c r="B35" s="69">
        <v>19991</v>
      </c>
      <c r="C35" s="70" t="s">
        <v>7222</v>
      </c>
      <c r="D35" s="70" t="s">
        <v>7198</v>
      </c>
      <c r="E35" s="70"/>
      <c r="F35" s="70" t="s">
        <v>2388</v>
      </c>
      <c r="G35" s="70" t="s">
        <v>3</v>
      </c>
      <c r="H35" s="71">
        <v>145</v>
      </c>
      <c r="I35" s="71">
        <v>279</v>
      </c>
      <c r="J35" s="70" t="s">
        <v>8067</v>
      </c>
      <c r="K35" s="70" t="s">
        <v>4</v>
      </c>
      <c r="L35" s="70"/>
      <c r="M35" s="70"/>
      <c r="N35" s="5" t="str">
        <f t="shared" si="0"/>
        <v>1</v>
      </c>
      <c r="O35" s="5" t="str">
        <f>INDEX(Кат!$I:$I,MATCH($A35,Кат!$A:$A,0))</f>
        <v>кристал авто</v>
      </c>
    </row>
    <row r="36" spans="1:15" ht="105" x14ac:dyDescent="0.25">
      <c r="A36" s="69">
        <v>131479</v>
      </c>
      <c r="B36" s="69">
        <v>19978</v>
      </c>
      <c r="C36" s="70" t="s">
        <v>7223</v>
      </c>
      <c r="D36" s="70" t="s">
        <v>7198</v>
      </c>
      <c r="E36" s="70"/>
      <c r="F36" s="70" t="s">
        <v>2375</v>
      </c>
      <c r="G36" s="70" t="s">
        <v>3</v>
      </c>
      <c r="H36" s="71">
        <v>145</v>
      </c>
      <c r="I36" s="71">
        <v>279</v>
      </c>
      <c r="J36" s="70" t="s">
        <v>8067</v>
      </c>
      <c r="K36" s="70" t="s">
        <v>4</v>
      </c>
      <c r="L36" s="70"/>
      <c r="M36" s="70"/>
      <c r="N36" s="5" t="str">
        <f t="shared" si="0"/>
        <v>1</v>
      </c>
      <c r="O36" s="5" t="str">
        <f>INDEX(Кат!$I:$I,MATCH($A36,Кат!$A:$A,0))</f>
        <v>кристал авто</v>
      </c>
    </row>
    <row r="37" spans="1:15" ht="105" x14ac:dyDescent="0.25">
      <c r="A37" s="69">
        <v>131469</v>
      </c>
      <c r="B37" s="69">
        <v>19989</v>
      </c>
      <c r="C37" s="70" t="s">
        <v>7224</v>
      </c>
      <c r="D37" s="70" t="s">
        <v>7198</v>
      </c>
      <c r="E37" s="70"/>
      <c r="F37" s="70" t="s">
        <v>2386</v>
      </c>
      <c r="G37" s="70" t="s">
        <v>3</v>
      </c>
      <c r="H37" s="71">
        <v>145</v>
      </c>
      <c r="I37" s="71">
        <v>279</v>
      </c>
      <c r="J37" s="70" t="s">
        <v>8067</v>
      </c>
      <c r="K37" s="70" t="s">
        <v>4</v>
      </c>
      <c r="L37" s="70"/>
      <c r="M37" s="70"/>
      <c r="N37" s="5" t="str">
        <f t="shared" si="0"/>
        <v>1</v>
      </c>
      <c r="O37" s="5" t="str">
        <f>INDEX(Кат!$I:$I,MATCH($A37,Кат!$A:$A,0))</f>
        <v>кристал авто</v>
      </c>
    </row>
    <row r="38" spans="1:15" ht="105" x14ac:dyDescent="0.25">
      <c r="A38" s="69">
        <v>131492</v>
      </c>
      <c r="B38" s="69">
        <v>19981</v>
      </c>
      <c r="C38" s="70" t="s">
        <v>7225</v>
      </c>
      <c r="D38" s="70" t="s">
        <v>7198</v>
      </c>
      <c r="E38" s="70"/>
      <c r="F38" s="70" t="s">
        <v>2378</v>
      </c>
      <c r="G38" s="70" t="s">
        <v>3</v>
      </c>
      <c r="H38" s="71">
        <v>145</v>
      </c>
      <c r="I38" s="71">
        <v>279</v>
      </c>
      <c r="J38" s="70" t="s">
        <v>8067</v>
      </c>
      <c r="K38" s="70" t="s">
        <v>4</v>
      </c>
      <c r="L38" s="70"/>
      <c r="M38" s="70"/>
      <c r="N38" s="5" t="str">
        <f t="shared" si="0"/>
        <v>1</v>
      </c>
      <c r="O38" s="5" t="str">
        <f>INDEX(Кат!$I:$I,MATCH($A38,Кат!$A:$A,0))</f>
        <v>кристал авто</v>
      </c>
    </row>
    <row r="39" spans="1:15" ht="105" x14ac:dyDescent="0.25">
      <c r="A39" s="69">
        <v>131475</v>
      </c>
      <c r="B39" s="69">
        <v>19993</v>
      </c>
      <c r="C39" s="70" t="s">
        <v>7226</v>
      </c>
      <c r="D39" s="70" t="s">
        <v>7198</v>
      </c>
      <c r="E39" s="70"/>
      <c r="F39" s="70" t="s">
        <v>2390</v>
      </c>
      <c r="G39" s="70" t="s">
        <v>3</v>
      </c>
      <c r="H39" s="71">
        <v>145</v>
      </c>
      <c r="I39" s="71">
        <v>279</v>
      </c>
      <c r="J39" s="70" t="s">
        <v>8067</v>
      </c>
      <c r="K39" s="70" t="s">
        <v>4</v>
      </c>
      <c r="L39" s="70"/>
      <c r="M39" s="70"/>
      <c r="N39" s="5" t="str">
        <f t="shared" si="0"/>
        <v>1</v>
      </c>
      <c r="O39" s="5" t="str">
        <f>INDEX(Кат!$I:$I,MATCH($A39,Кат!$A:$A,0))</f>
        <v>кристал авто</v>
      </c>
    </row>
    <row r="40" spans="1:15" ht="105" x14ac:dyDescent="0.25">
      <c r="A40" s="69">
        <v>131496</v>
      </c>
      <c r="B40" s="69">
        <v>32021</v>
      </c>
      <c r="C40" s="70" t="s">
        <v>2433</v>
      </c>
      <c r="D40" s="70" t="s">
        <v>7198</v>
      </c>
      <c r="E40" s="70"/>
      <c r="F40" s="70" t="s">
        <v>2432</v>
      </c>
      <c r="G40" s="70" t="s">
        <v>3</v>
      </c>
      <c r="H40" s="71">
        <v>170</v>
      </c>
      <c r="I40" s="71">
        <v>329</v>
      </c>
      <c r="J40" s="70" t="s">
        <v>8064</v>
      </c>
      <c r="K40" s="70" t="s">
        <v>4</v>
      </c>
      <c r="L40" s="70" t="s">
        <v>4</v>
      </c>
      <c r="M40" s="70"/>
      <c r="N40" s="5" t="str">
        <f t="shared" si="0"/>
        <v>1ск1</v>
      </c>
      <c r="O40" s="5" t="str">
        <f>INDEX(Кат!$I:$I,MATCH($A40,Кат!$A:$A,0))</f>
        <v>кристал авто</v>
      </c>
    </row>
    <row r="41" spans="1:15" ht="45" x14ac:dyDescent="0.25">
      <c r="A41" s="69">
        <v>131497</v>
      </c>
      <c r="B41" s="69">
        <v>38366</v>
      </c>
      <c r="C41" s="70" t="s">
        <v>4978</v>
      </c>
      <c r="D41" s="70" t="s">
        <v>7198</v>
      </c>
      <c r="E41" s="70"/>
      <c r="F41" s="70"/>
      <c r="G41" s="70" t="s">
        <v>3</v>
      </c>
      <c r="H41" s="71">
        <v>140</v>
      </c>
      <c r="I41" s="71">
        <v>269</v>
      </c>
      <c r="J41" s="70"/>
      <c r="K41" s="70" t="s">
        <v>4</v>
      </c>
      <c r="L41" s="70"/>
      <c r="M41" s="70"/>
      <c r="N41" s="5" t="str">
        <f t="shared" si="0"/>
        <v>1</v>
      </c>
      <c r="O41" s="5" t="str">
        <f>INDEX(Кат!$I:$I,MATCH($A41,Кат!$A:$A,0))</f>
        <v>кристал авто</v>
      </c>
    </row>
    <row r="42" spans="1:15" ht="30" x14ac:dyDescent="0.25">
      <c r="A42" s="69">
        <v>131498</v>
      </c>
      <c r="B42" s="69">
        <v>31024</v>
      </c>
      <c r="C42" s="70" t="s">
        <v>152</v>
      </c>
      <c r="D42" s="70" t="s">
        <v>7198</v>
      </c>
      <c r="E42" s="70" t="s">
        <v>5643</v>
      </c>
      <c r="F42" s="70"/>
      <c r="G42" s="70" t="s">
        <v>3</v>
      </c>
      <c r="H42" s="71">
        <v>0</v>
      </c>
      <c r="I42" s="71">
        <v>839</v>
      </c>
      <c r="J42" s="70"/>
      <c r="K42" s="70" t="s">
        <v>4</v>
      </c>
      <c r="L42" s="70" t="s">
        <v>4</v>
      </c>
      <c r="M42" s="70"/>
      <c r="N42" s="5" t="str">
        <f t="shared" si="0"/>
        <v>1ск1</v>
      </c>
      <c r="O42" s="5" t="str">
        <f>INDEX(Кат!$I:$I,MATCH($A42,Кат!$A:$A,0))</f>
        <v>кристал авто</v>
      </c>
    </row>
    <row r="43" spans="1:15" ht="30" x14ac:dyDescent="0.25">
      <c r="A43" s="69">
        <v>131501</v>
      </c>
      <c r="B43" s="69">
        <v>5534</v>
      </c>
      <c r="C43" s="70" t="s">
        <v>2156</v>
      </c>
      <c r="D43" s="70" t="s">
        <v>7198</v>
      </c>
      <c r="E43" s="70" t="s">
        <v>5497</v>
      </c>
      <c r="F43" s="70" t="s">
        <v>2155</v>
      </c>
      <c r="G43" s="70" t="s">
        <v>3</v>
      </c>
      <c r="H43" s="71">
        <v>750</v>
      </c>
      <c r="I43" s="71">
        <v>1190</v>
      </c>
      <c r="J43" s="70"/>
      <c r="K43" s="70" t="s">
        <v>4</v>
      </c>
      <c r="L43" s="70"/>
      <c r="M43" s="70"/>
      <c r="N43" s="5" t="str">
        <f t="shared" si="0"/>
        <v>1</v>
      </c>
      <c r="O43" s="5" t="str">
        <f>INDEX(Кат!$I:$I,MATCH($A43,Кат!$A:$A,0))</f>
        <v>кристал авто</v>
      </c>
    </row>
    <row r="44" spans="1:15" ht="30" x14ac:dyDescent="0.25">
      <c r="A44" s="69">
        <v>131521</v>
      </c>
      <c r="B44" s="69">
        <v>9430</v>
      </c>
      <c r="C44" s="70" t="s">
        <v>4970</v>
      </c>
      <c r="D44" s="70" t="s">
        <v>7198</v>
      </c>
      <c r="E44" s="70"/>
      <c r="F44" s="70" t="s">
        <v>5728</v>
      </c>
      <c r="G44" s="70" t="s">
        <v>3</v>
      </c>
      <c r="H44" s="71">
        <v>95</v>
      </c>
      <c r="I44" s="71">
        <v>209</v>
      </c>
      <c r="J44" s="70"/>
      <c r="K44" s="70" t="s">
        <v>4</v>
      </c>
      <c r="L44" s="70"/>
      <c r="M44" s="70"/>
      <c r="N44" s="5" t="str">
        <f t="shared" si="0"/>
        <v>1</v>
      </c>
      <c r="O44" s="5" t="str">
        <f>INDEX(Кат!$I:$I,MATCH($A44,Кат!$A:$A,0))</f>
        <v>кристал авто</v>
      </c>
    </row>
    <row r="45" spans="1:15" ht="30" x14ac:dyDescent="0.25">
      <c r="A45" s="69">
        <v>131834</v>
      </c>
      <c r="B45" s="69">
        <v>30955</v>
      </c>
      <c r="C45" s="70" t="s">
        <v>148</v>
      </c>
      <c r="D45" s="70" t="s">
        <v>8103</v>
      </c>
      <c r="E45" s="70" t="s">
        <v>5639</v>
      </c>
      <c r="F45" s="70"/>
      <c r="G45" s="70" t="s">
        <v>3</v>
      </c>
      <c r="H45" s="71">
        <v>520</v>
      </c>
      <c r="I45" s="71">
        <v>849</v>
      </c>
      <c r="J45" s="70"/>
      <c r="K45" s="70" t="s">
        <v>4</v>
      </c>
      <c r="L45" s="70"/>
      <c r="M45" s="70"/>
      <c r="N45" s="5" t="str">
        <f t="shared" si="0"/>
        <v>1</v>
      </c>
      <c r="O45" s="5" t="str">
        <f>INDEX(Кат!$I:$I,MATCH($A45,Кат!$A:$A,0))</f>
        <v>кристал авто</v>
      </c>
    </row>
    <row r="46" spans="1:15" ht="30" x14ac:dyDescent="0.25">
      <c r="A46" s="69">
        <v>131835</v>
      </c>
      <c r="B46" s="69">
        <v>10035</v>
      </c>
      <c r="C46" s="70" t="s">
        <v>84</v>
      </c>
      <c r="D46" s="70" t="s">
        <v>8103</v>
      </c>
      <c r="E46" s="70" t="s">
        <v>5596</v>
      </c>
      <c r="F46" s="70"/>
      <c r="G46" s="70" t="s">
        <v>3</v>
      </c>
      <c r="H46" s="71">
        <v>1200</v>
      </c>
      <c r="I46" s="71">
        <v>1890</v>
      </c>
      <c r="J46" s="70"/>
      <c r="K46" s="70" t="s">
        <v>4</v>
      </c>
      <c r="L46" s="70"/>
      <c r="M46" s="70"/>
      <c r="N46" s="5" t="str">
        <f t="shared" si="0"/>
        <v>1</v>
      </c>
      <c r="O46" s="5" t="str">
        <f>INDEX(Кат!$I:$I,MATCH($A46,Кат!$A:$A,0))</f>
        <v>кристал авто</v>
      </c>
    </row>
    <row r="47" spans="1:15" ht="30" x14ac:dyDescent="0.25">
      <c r="A47" s="69">
        <v>132858</v>
      </c>
      <c r="B47" s="69">
        <v>7282</v>
      </c>
      <c r="C47" s="70" t="s">
        <v>40</v>
      </c>
      <c r="D47" s="70" t="s">
        <v>7198</v>
      </c>
      <c r="E47" s="70" t="s">
        <v>5556</v>
      </c>
      <c r="F47" s="70" t="s">
        <v>2251</v>
      </c>
      <c r="G47" s="70" t="s">
        <v>3</v>
      </c>
      <c r="H47" s="71">
        <v>1500</v>
      </c>
      <c r="I47" s="71">
        <v>2390</v>
      </c>
      <c r="J47" s="70"/>
      <c r="K47" s="70" t="s">
        <v>7199</v>
      </c>
      <c r="L47" s="70"/>
      <c r="M47" s="70"/>
      <c r="N47" s="5" t="str">
        <f t="shared" si="0"/>
        <v>0</v>
      </c>
      <c r="O47" s="5" t="str">
        <f>INDEX(Кат!$I:$I,MATCH($A47,Кат!$A:$A,0))</f>
        <v>кристал авто</v>
      </c>
    </row>
    <row r="48" spans="1:15" ht="30" x14ac:dyDescent="0.25">
      <c r="A48" s="69">
        <v>132869</v>
      </c>
      <c r="B48" s="69">
        <v>9969</v>
      </c>
      <c r="C48" s="70" t="s">
        <v>2288</v>
      </c>
      <c r="D48" s="70" t="s">
        <v>7198</v>
      </c>
      <c r="E48" s="70" t="s">
        <v>5595</v>
      </c>
      <c r="F48" s="70" t="s">
        <v>2287</v>
      </c>
      <c r="G48" s="70" t="s">
        <v>3</v>
      </c>
      <c r="H48" s="71">
        <v>80</v>
      </c>
      <c r="I48" s="71">
        <v>169</v>
      </c>
      <c r="J48" s="70"/>
      <c r="K48" s="70" t="s">
        <v>4</v>
      </c>
      <c r="L48" s="70"/>
      <c r="M48" s="70"/>
      <c r="N48" s="5" t="str">
        <f t="shared" si="0"/>
        <v>1</v>
      </c>
      <c r="O48" s="5" t="str">
        <f>INDEX(Кат!$I:$I,MATCH($A48,Кат!$A:$A,0))</f>
        <v>кристал авто</v>
      </c>
    </row>
    <row r="49" spans="1:15" ht="30" x14ac:dyDescent="0.25">
      <c r="A49" s="69">
        <v>132875</v>
      </c>
      <c r="B49" s="69">
        <v>8782</v>
      </c>
      <c r="C49" s="70" t="s">
        <v>42</v>
      </c>
      <c r="D49" s="70" t="s">
        <v>7198</v>
      </c>
      <c r="E49" s="70" t="s">
        <v>5557</v>
      </c>
      <c r="F49" s="70" t="s">
        <v>2253</v>
      </c>
      <c r="G49" s="70" t="s">
        <v>3</v>
      </c>
      <c r="H49" s="71">
        <v>160</v>
      </c>
      <c r="I49" s="71">
        <v>309</v>
      </c>
      <c r="J49" s="70"/>
      <c r="K49" s="70" t="s">
        <v>4</v>
      </c>
      <c r="L49" s="70"/>
      <c r="M49" s="70"/>
      <c r="N49" s="5" t="str">
        <f t="shared" si="0"/>
        <v>1</v>
      </c>
      <c r="O49" s="5" t="str">
        <f>INDEX(Кат!$I:$I,MATCH($A49,Кат!$A:$A,0))</f>
        <v>кристал авто</v>
      </c>
    </row>
    <row r="50" spans="1:15" ht="90" x14ac:dyDescent="0.25">
      <c r="A50" s="69">
        <v>132905</v>
      </c>
      <c r="B50" s="69">
        <v>51375</v>
      </c>
      <c r="C50" s="70" t="s">
        <v>5650</v>
      </c>
      <c r="D50" s="70" t="s">
        <v>7198</v>
      </c>
      <c r="E50" s="70" t="s">
        <v>6037</v>
      </c>
      <c r="F50" s="70" t="s">
        <v>5651</v>
      </c>
      <c r="G50" s="70" t="s">
        <v>3</v>
      </c>
      <c r="H50" s="71">
        <v>200</v>
      </c>
      <c r="I50" s="71">
        <v>289</v>
      </c>
      <c r="J50" s="70" t="s">
        <v>8054</v>
      </c>
      <c r="K50" s="70" t="s">
        <v>4</v>
      </c>
      <c r="L50" s="70"/>
      <c r="M50" s="70"/>
      <c r="N50" s="5" t="str">
        <f t="shared" si="0"/>
        <v>1</v>
      </c>
      <c r="O50" s="5" t="str">
        <f>INDEX(Кат!$I:$I,MATCH($A50,Кат!$A:$A,0))</f>
        <v>кристал авто</v>
      </c>
    </row>
    <row r="51" spans="1:15" ht="90" x14ac:dyDescent="0.25">
      <c r="A51" s="69">
        <v>132906</v>
      </c>
      <c r="B51" s="69">
        <v>51377</v>
      </c>
      <c r="C51" s="70" t="s">
        <v>5654</v>
      </c>
      <c r="D51" s="70" t="s">
        <v>7198</v>
      </c>
      <c r="E51" s="70" t="s">
        <v>6038</v>
      </c>
      <c r="F51" s="70" t="s">
        <v>5655</v>
      </c>
      <c r="G51" s="70" t="s">
        <v>3</v>
      </c>
      <c r="H51" s="71">
        <v>200</v>
      </c>
      <c r="I51" s="71">
        <v>289</v>
      </c>
      <c r="J51" s="70" t="s">
        <v>8054</v>
      </c>
      <c r="K51" s="70" t="s">
        <v>4</v>
      </c>
      <c r="L51" s="70"/>
      <c r="M51" s="70"/>
      <c r="N51" s="5" t="str">
        <f t="shared" si="0"/>
        <v>1</v>
      </c>
      <c r="O51" s="5" t="str">
        <f>INDEX(Кат!$I:$I,MATCH($A51,Кат!$A:$A,0))</f>
        <v>кристал авто</v>
      </c>
    </row>
    <row r="52" spans="1:15" ht="90" x14ac:dyDescent="0.25">
      <c r="A52" s="69">
        <v>132907</v>
      </c>
      <c r="B52" s="69">
        <v>51378</v>
      </c>
      <c r="C52" s="70" t="s">
        <v>5656</v>
      </c>
      <c r="D52" s="70" t="s">
        <v>7198</v>
      </c>
      <c r="E52" s="70" t="s">
        <v>6039</v>
      </c>
      <c r="F52" s="70" t="s">
        <v>5657</v>
      </c>
      <c r="G52" s="70" t="s">
        <v>3</v>
      </c>
      <c r="H52" s="71">
        <v>200</v>
      </c>
      <c r="I52" s="71">
        <v>289</v>
      </c>
      <c r="J52" s="70" t="s">
        <v>8054</v>
      </c>
      <c r="K52" s="70" t="s">
        <v>4</v>
      </c>
      <c r="L52" s="70"/>
      <c r="M52" s="70"/>
      <c r="N52" s="5" t="str">
        <f t="shared" si="0"/>
        <v>1</v>
      </c>
      <c r="O52" s="5" t="str">
        <f>INDEX(Кат!$I:$I,MATCH($A52,Кат!$A:$A,0))</f>
        <v>кристал авто</v>
      </c>
    </row>
    <row r="53" spans="1:15" ht="90" x14ac:dyDescent="0.25">
      <c r="A53" s="69">
        <v>132908</v>
      </c>
      <c r="B53" s="69">
        <v>53030</v>
      </c>
      <c r="C53" s="70" t="s">
        <v>6067</v>
      </c>
      <c r="D53" s="70" t="s">
        <v>7198</v>
      </c>
      <c r="E53" s="70" t="s">
        <v>6062</v>
      </c>
      <c r="F53" s="70" t="s">
        <v>5937</v>
      </c>
      <c r="G53" s="70" t="s">
        <v>3</v>
      </c>
      <c r="H53" s="71">
        <v>200</v>
      </c>
      <c r="I53" s="71">
        <v>289</v>
      </c>
      <c r="J53" s="70" t="s">
        <v>8054</v>
      </c>
      <c r="K53" s="70" t="s">
        <v>4</v>
      </c>
      <c r="L53" s="70"/>
      <c r="M53" s="70"/>
      <c r="N53" s="5" t="str">
        <f t="shared" si="0"/>
        <v>1</v>
      </c>
      <c r="O53" s="5" t="str">
        <f>INDEX(Кат!$I:$I,MATCH($A53,Кат!$A:$A,0))</f>
        <v>кристал авто</v>
      </c>
    </row>
    <row r="54" spans="1:15" ht="90" x14ac:dyDescent="0.25">
      <c r="A54" s="69">
        <v>132909</v>
      </c>
      <c r="B54" s="69">
        <v>51376</v>
      </c>
      <c r="C54" s="70" t="s">
        <v>5652</v>
      </c>
      <c r="D54" s="70" t="s">
        <v>7198</v>
      </c>
      <c r="E54" s="70" t="s">
        <v>6034</v>
      </c>
      <c r="F54" s="70" t="s">
        <v>5653</v>
      </c>
      <c r="G54" s="70" t="s">
        <v>3</v>
      </c>
      <c r="H54" s="71">
        <v>200</v>
      </c>
      <c r="I54" s="71">
        <v>289</v>
      </c>
      <c r="J54" s="70" t="s">
        <v>8054</v>
      </c>
      <c r="K54" s="70" t="s">
        <v>4</v>
      </c>
      <c r="L54" s="70"/>
      <c r="M54" s="70"/>
      <c r="N54" s="5" t="str">
        <f t="shared" si="0"/>
        <v>1</v>
      </c>
      <c r="O54" s="5" t="str">
        <f>INDEX(Кат!$I:$I,MATCH($A54,Кат!$A:$A,0))</f>
        <v>кристал авто</v>
      </c>
    </row>
    <row r="55" spans="1:15" ht="90" x14ac:dyDescent="0.25">
      <c r="A55" s="69">
        <v>132910</v>
      </c>
      <c r="B55" s="69">
        <v>51380</v>
      </c>
      <c r="C55" s="70" t="s">
        <v>5660</v>
      </c>
      <c r="D55" s="70" t="s">
        <v>7198</v>
      </c>
      <c r="E55" s="70" t="s">
        <v>6041</v>
      </c>
      <c r="F55" s="70" t="s">
        <v>5661</v>
      </c>
      <c r="G55" s="70" t="s">
        <v>3</v>
      </c>
      <c r="H55" s="71">
        <v>200</v>
      </c>
      <c r="I55" s="71">
        <v>289</v>
      </c>
      <c r="J55" s="70" t="s">
        <v>8054</v>
      </c>
      <c r="K55" s="70" t="s">
        <v>4</v>
      </c>
      <c r="L55" s="70"/>
      <c r="M55" s="70"/>
      <c r="N55" s="5" t="str">
        <f t="shared" si="0"/>
        <v>1</v>
      </c>
      <c r="O55" s="5" t="str">
        <f>INDEX(Кат!$I:$I,MATCH($A55,Кат!$A:$A,0))</f>
        <v>кристал авто</v>
      </c>
    </row>
    <row r="56" spans="1:15" ht="90" x14ac:dyDescent="0.25">
      <c r="A56" s="69">
        <v>132911</v>
      </c>
      <c r="B56" s="69">
        <v>51392</v>
      </c>
      <c r="C56" s="70" t="s">
        <v>5682</v>
      </c>
      <c r="D56" s="70" t="s">
        <v>7198</v>
      </c>
      <c r="E56" s="70" t="s">
        <v>6049</v>
      </c>
      <c r="F56" s="70" t="s">
        <v>5683</v>
      </c>
      <c r="G56" s="70" t="s">
        <v>3</v>
      </c>
      <c r="H56" s="71">
        <v>200</v>
      </c>
      <c r="I56" s="71">
        <v>289</v>
      </c>
      <c r="J56" s="70" t="s">
        <v>8054</v>
      </c>
      <c r="K56" s="70" t="s">
        <v>4</v>
      </c>
      <c r="L56" s="70"/>
      <c r="M56" s="70"/>
      <c r="N56" s="5" t="str">
        <f t="shared" si="0"/>
        <v>1</v>
      </c>
      <c r="O56" s="5" t="str">
        <f>INDEX(Кат!$I:$I,MATCH($A56,Кат!$A:$A,0))</f>
        <v>кристал авто</v>
      </c>
    </row>
    <row r="57" spans="1:15" ht="90" x14ac:dyDescent="0.25">
      <c r="A57" s="69">
        <v>132912</v>
      </c>
      <c r="B57" s="69">
        <v>51381</v>
      </c>
      <c r="C57" s="70" t="s">
        <v>5662</v>
      </c>
      <c r="D57" s="70" t="s">
        <v>7198</v>
      </c>
      <c r="E57" s="70" t="s">
        <v>6042</v>
      </c>
      <c r="F57" s="70" t="s">
        <v>5663</v>
      </c>
      <c r="G57" s="70" t="s">
        <v>3</v>
      </c>
      <c r="H57" s="71">
        <v>200</v>
      </c>
      <c r="I57" s="71">
        <v>289</v>
      </c>
      <c r="J57" s="70" t="s">
        <v>8054</v>
      </c>
      <c r="K57" s="70" t="s">
        <v>4</v>
      </c>
      <c r="L57" s="70"/>
      <c r="M57" s="70"/>
      <c r="N57" s="5" t="str">
        <f t="shared" si="0"/>
        <v>1</v>
      </c>
      <c r="O57" s="5" t="str">
        <f>INDEX(Кат!$I:$I,MATCH($A57,Кат!$A:$A,0))</f>
        <v>кристал авто</v>
      </c>
    </row>
    <row r="58" spans="1:15" ht="90" x14ac:dyDescent="0.25">
      <c r="A58" s="69">
        <v>132913</v>
      </c>
      <c r="B58" s="69">
        <v>51373</v>
      </c>
      <c r="C58" s="70" t="s">
        <v>5648</v>
      </c>
      <c r="D58" s="70" t="s">
        <v>7198</v>
      </c>
      <c r="E58" s="70" t="s">
        <v>6036</v>
      </c>
      <c r="F58" s="70" t="s">
        <v>5649</v>
      </c>
      <c r="G58" s="70" t="s">
        <v>3</v>
      </c>
      <c r="H58" s="71">
        <v>200</v>
      </c>
      <c r="I58" s="71">
        <v>289</v>
      </c>
      <c r="J58" s="70" t="s">
        <v>8054</v>
      </c>
      <c r="K58" s="70" t="s">
        <v>4</v>
      </c>
      <c r="L58" s="70"/>
      <c r="M58" s="70"/>
      <c r="N58" s="5" t="str">
        <f t="shared" si="0"/>
        <v>1</v>
      </c>
      <c r="O58" s="5" t="str">
        <f>INDEX(Кат!$I:$I,MATCH($A58,Кат!$A:$A,0))</f>
        <v>кристал авто</v>
      </c>
    </row>
    <row r="59" spans="1:15" ht="90" x14ac:dyDescent="0.25">
      <c r="A59" s="69">
        <v>132914</v>
      </c>
      <c r="B59" s="69">
        <v>51382</v>
      </c>
      <c r="C59" s="70" t="s">
        <v>5664</v>
      </c>
      <c r="D59" s="70" t="s">
        <v>7198</v>
      </c>
      <c r="E59" s="70" t="s">
        <v>6043</v>
      </c>
      <c r="F59" s="70" t="s">
        <v>5665</v>
      </c>
      <c r="G59" s="70" t="s">
        <v>3</v>
      </c>
      <c r="H59" s="71">
        <v>200</v>
      </c>
      <c r="I59" s="71">
        <v>289</v>
      </c>
      <c r="J59" s="70" t="s">
        <v>8054</v>
      </c>
      <c r="K59" s="70" t="s">
        <v>4</v>
      </c>
      <c r="L59" s="70"/>
      <c r="M59" s="70"/>
      <c r="N59" s="5" t="str">
        <f t="shared" si="0"/>
        <v>1</v>
      </c>
      <c r="O59" s="5" t="str">
        <f>INDEX(Кат!$I:$I,MATCH($A59,Кат!$A:$A,0))</f>
        <v>кристал авто</v>
      </c>
    </row>
    <row r="60" spans="1:15" ht="90" x14ac:dyDescent="0.25">
      <c r="A60" s="69">
        <v>132915</v>
      </c>
      <c r="B60" s="69">
        <v>51383</v>
      </c>
      <c r="C60" s="70" t="s">
        <v>5666</v>
      </c>
      <c r="D60" s="70" t="s">
        <v>7198</v>
      </c>
      <c r="E60" s="70" t="s">
        <v>6044</v>
      </c>
      <c r="F60" s="70" t="s">
        <v>5667</v>
      </c>
      <c r="G60" s="70" t="s">
        <v>3</v>
      </c>
      <c r="H60" s="71">
        <v>200</v>
      </c>
      <c r="I60" s="71">
        <v>289</v>
      </c>
      <c r="J60" s="70" t="s">
        <v>8054</v>
      </c>
      <c r="K60" s="70" t="s">
        <v>4</v>
      </c>
      <c r="L60" s="70"/>
      <c r="M60" s="70"/>
      <c r="N60" s="5" t="str">
        <f t="shared" si="0"/>
        <v>1</v>
      </c>
      <c r="O60" s="5" t="str">
        <f>INDEX(Кат!$I:$I,MATCH($A60,Кат!$A:$A,0))</f>
        <v>кристал авто</v>
      </c>
    </row>
    <row r="61" spans="1:15" ht="90" x14ac:dyDescent="0.25">
      <c r="A61" s="69">
        <v>132916</v>
      </c>
      <c r="B61" s="69">
        <v>51391</v>
      </c>
      <c r="C61" s="70" t="s">
        <v>5680</v>
      </c>
      <c r="D61" s="70" t="s">
        <v>7198</v>
      </c>
      <c r="E61" s="70" t="s">
        <v>6048</v>
      </c>
      <c r="F61" s="70" t="s">
        <v>5681</v>
      </c>
      <c r="G61" s="70" t="s">
        <v>3</v>
      </c>
      <c r="H61" s="71">
        <v>200</v>
      </c>
      <c r="I61" s="71">
        <v>289</v>
      </c>
      <c r="J61" s="70" t="s">
        <v>8054</v>
      </c>
      <c r="K61" s="70" t="s">
        <v>4</v>
      </c>
      <c r="L61" s="70"/>
      <c r="M61" s="70"/>
      <c r="N61" s="5" t="str">
        <f t="shared" si="0"/>
        <v>1</v>
      </c>
      <c r="O61" s="5" t="str">
        <f>INDEX(Кат!$I:$I,MATCH($A61,Кат!$A:$A,0))</f>
        <v>кристал авто</v>
      </c>
    </row>
    <row r="62" spans="1:15" ht="90" x14ac:dyDescent="0.25">
      <c r="A62" s="69">
        <v>132917</v>
      </c>
      <c r="B62" s="69">
        <v>51385</v>
      </c>
      <c r="C62" s="70" t="s">
        <v>5670</v>
      </c>
      <c r="D62" s="70" t="s">
        <v>7198</v>
      </c>
      <c r="E62" s="70" t="s">
        <v>6045</v>
      </c>
      <c r="F62" s="70" t="s">
        <v>5671</v>
      </c>
      <c r="G62" s="70" t="s">
        <v>3</v>
      </c>
      <c r="H62" s="71">
        <v>200</v>
      </c>
      <c r="I62" s="71">
        <v>289</v>
      </c>
      <c r="J62" s="70" t="s">
        <v>8054</v>
      </c>
      <c r="K62" s="70" t="s">
        <v>4</v>
      </c>
      <c r="L62" s="70"/>
      <c r="M62" s="70"/>
      <c r="N62" s="5" t="str">
        <f t="shared" si="0"/>
        <v>1</v>
      </c>
      <c r="O62" s="5" t="str">
        <f>INDEX(Кат!$I:$I,MATCH($A62,Кат!$A:$A,0))</f>
        <v>кристал авто</v>
      </c>
    </row>
    <row r="63" spans="1:15" ht="90" x14ac:dyDescent="0.25">
      <c r="A63" s="69">
        <v>132918</v>
      </c>
      <c r="B63" s="69">
        <v>53032</v>
      </c>
      <c r="C63" s="70" t="s">
        <v>6068</v>
      </c>
      <c r="D63" s="70" t="s">
        <v>7198</v>
      </c>
      <c r="E63" s="70" t="s">
        <v>6069</v>
      </c>
      <c r="F63" s="70" t="s">
        <v>6070</v>
      </c>
      <c r="G63" s="70" t="s">
        <v>3</v>
      </c>
      <c r="H63" s="71">
        <v>200</v>
      </c>
      <c r="I63" s="71">
        <v>289</v>
      </c>
      <c r="J63" s="70" t="s">
        <v>8054</v>
      </c>
      <c r="K63" s="70" t="s">
        <v>7199</v>
      </c>
      <c r="L63" s="70"/>
      <c r="M63" s="70"/>
      <c r="N63" s="5" t="str">
        <f t="shared" si="0"/>
        <v>0</v>
      </c>
      <c r="O63" s="5" t="str">
        <f>INDEX(Кат!$I:$I,MATCH($A63,Кат!$A:$A,0))</f>
        <v>кристал авто</v>
      </c>
    </row>
    <row r="64" spans="1:15" ht="90" x14ac:dyDescent="0.25">
      <c r="A64" s="69">
        <v>132919</v>
      </c>
      <c r="B64" s="69">
        <v>51386</v>
      </c>
      <c r="C64" s="70" t="s">
        <v>6066</v>
      </c>
      <c r="D64" s="70" t="s">
        <v>7198</v>
      </c>
      <c r="E64" s="70" t="s">
        <v>6046</v>
      </c>
      <c r="F64" s="70" t="s">
        <v>5938</v>
      </c>
      <c r="G64" s="70" t="s">
        <v>3</v>
      </c>
      <c r="H64" s="71">
        <v>200</v>
      </c>
      <c r="I64" s="71">
        <v>289</v>
      </c>
      <c r="J64" s="70" t="s">
        <v>8054</v>
      </c>
      <c r="K64" s="70" t="s">
        <v>4</v>
      </c>
      <c r="L64" s="70"/>
      <c r="M64" s="70"/>
      <c r="N64" s="5" t="str">
        <f t="shared" si="0"/>
        <v>1</v>
      </c>
      <c r="O64" s="5" t="str">
        <f>INDEX(Кат!$I:$I,MATCH($A64,Кат!$A:$A,0))</f>
        <v>кристал авто</v>
      </c>
    </row>
    <row r="65" spans="1:15" ht="90" x14ac:dyDescent="0.25">
      <c r="A65" s="69">
        <v>132920</v>
      </c>
      <c r="B65" s="69">
        <v>51387</v>
      </c>
      <c r="C65" s="70" t="s">
        <v>5672</v>
      </c>
      <c r="D65" s="70" t="s">
        <v>7198</v>
      </c>
      <c r="E65" s="70" t="s">
        <v>6047</v>
      </c>
      <c r="F65" s="70" t="s">
        <v>5673</v>
      </c>
      <c r="G65" s="70" t="s">
        <v>3</v>
      </c>
      <c r="H65" s="71">
        <v>200</v>
      </c>
      <c r="I65" s="71">
        <v>289</v>
      </c>
      <c r="J65" s="70" t="s">
        <v>8054</v>
      </c>
      <c r="K65" s="70" t="s">
        <v>4</v>
      </c>
      <c r="L65" s="70"/>
      <c r="M65" s="70"/>
      <c r="N65" s="5" t="str">
        <f t="shared" si="0"/>
        <v>1</v>
      </c>
      <c r="O65" s="5" t="str">
        <f>INDEX(Кат!$I:$I,MATCH($A65,Кат!$A:$A,0))</f>
        <v>кристал авто</v>
      </c>
    </row>
    <row r="66" spans="1:15" ht="90" x14ac:dyDescent="0.25">
      <c r="A66" s="69">
        <v>132921</v>
      </c>
      <c r="B66" s="69">
        <v>51393</v>
      </c>
      <c r="C66" s="70" t="s">
        <v>5684</v>
      </c>
      <c r="D66" s="70" t="s">
        <v>7198</v>
      </c>
      <c r="E66" s="70" t="s">
        <v>6050</v>
      </c>
      <c r="F66" s="70" t="s">
        <v>5685</v>
      </c>
      <c r="G66" s="70" t="s">
        <v>3</v>
      </c>
      <c r="H66" s="71">
        <v>200</v>
      </c>
      <c r="I66" s="71">
        <v>289</v>
      </c>
      <c r="J66" s="70" t="s">
        <v>8054</v>
      </c>
      <c r="K66" s="70" t="s">
        <v>4</v>
      </c>
      <c r="L66" s="70"/>
      <c r="M66" s="70"/>
      <c r="N66" s="5" t="str">
        <f t="shared" si="0"/>
        <v>1</v>
      </c>
      <c r="O66" s="5" t="str">
        <f>INDEX(Кат!$I:$I,MATCH($A66,Кат!$A:$A,0))</f>
        <v>кристал авто</v>
      </c>
    </row>
    <row r="67" spans="1:15" ht="90" x14ac:dyDescent="0.25">
      <c r="A67" s="69">
        <v>132922</v>
      </c>
      <c r="B67" s="69">
        <v>51379</v>
      </c>
      <c r="C67" s="70" t="s">
        <v>5658</v>
      </c>
      <c r="D67" s="70" t="s">
        <v>7198</v>
      </c>
      <c r="E67" s="70" t="s">
        <v>6040</v>
      </c>
      <c r="F67" s="70" t="s">
        <v>5659</v>
      </c>
      <c r="G67" s="70" t="s">
        <v>3</v>
      </c>
      <c r="H67" s="71">
        <v>200</v>
      </c>
      <c r="I67" s="71">
        <v>289</v>
      </c>
      <c r="J67" s="70" t="s">
        <v>8054</v>
      </c>
      <c r="K67" s="70" t="s">
        <v>4</v>
      </c>
      <c r="L67" s="70"/>
      <c r="M67" s="70"/>
      <c r="N67" s="5" t="str">
        <f t="shared" ref="N67:N130" si="1">_xlfn.CONCAT(K67,IF(L67&lt;&gt;"",_xlfn.CONCAT("ск",L67),""))</f>
        <v>1</v>
      </c>
      <c r="O67" s="5" t="str">
        <f>INDEX(Кат!$I:$I,MATCH($A67,Кат!$A:$A,0))</f>
        <v>кристал авто</v>
      </c>
    </row>
    <row r="68" spans="1:15" ht="90" x14ac:dyDescent="0.25">
      <c r="A68" s="69">
        <v>132923</v>
      </c>
      <c r="B68" s="69">
        <v>51388</v>
      </c>
      <c r="C68" s="70" t="s">
        <v>5674</v>
      </c>
      <c r="D68" s="70" t="s">
        <v>7198</v>
      </c>
      <c r="E68" s="70" t="s">
        <v>6030</v>
      </c>
      <c r="F68" s="70" t="s">
        <v>5675</v>
      </c>
      <c r="G68" s="70" t="s">
        <v>3</v>
      </c>
      <c r="H68" s="71">
        <v>200</v>
      </c>
      <c r="I68" s="71">
        <v>289</v>
      </c>
      <c r="J68" s="70" t="s">
        <v>8054</v>
      </c>
      <c r="K68" s="70" t="s">
        <v>4</v>
      </c>
      <c r="L68" s="70"/>
      <c r="M68" s="70"/>
      <c r="N68" s="5" t="str">
        <f t="shared" si="1"/>
        <v>1</v>
      </c>
      <c r="O68" s="5" t="str">
        <f>INDEX(Кат!$I:$I,MATCH($A68,Кат!$A:$A,0))</f>
        <v>кристал авто</v>
      </c>
    </row>
    <row r="69" spans="1:15" ht="90" x14ac:dyDescent="0.25">
      <c r="A69" s="69">
        <v>132924</v>
      </c>
      <c r="B69" s="69">
        <v>53034</v>
      </c>
      <c r="C69" s="70" t="s">
        <v>6071</v>
      </c>
      <c r="D69" s="70" t="s">
        <v>7198</v>
      </c>
      <c r="E69" s="70" t="s">
        <v>6072</v>
      </c>
      <c r="F69" s="70" t="s">
        <v>6073</v>
      </c>
      <c r="G69" s="70" t="s">
        <v>3</v>
      </c>
      <c r="H69" s="71">
        <v>200</v>
      </c>
      <c r="I69" s="71">
        <v>289</v>
      </c>
      <c r="J69" s="70" t="s">
        <v>8054</v>
      </c>
      <c r="K69" s="70" t="s">
        <v>4</v>
      </c>
      <c r="L69" s="70"/>
      <c r="M69" s="70"/>
      <c r="N69" s="5" t="str">
        <f t="shared" si="1"/>
        <v>1</v>
      </c>
      <c r="O69" s="5" t="str">
        <f>INDEX(Кат!$I:$I,MATCH($A69,Кат!$A:$A,0))</f>
        <v>кристал авто</v>
      </c>
    </row>
    <row r="70" spans="1:15" ht="90" x14ac:dyDescent="0.25">
      <c r="A70" s="69">
        <v>132925</v>
      </c>
      <c r="B70" s="69">
        <v>51390</v>
      </c>
      <c r="C70" s="70" t="s">
        <v>5678</v>
      </c>
      <c r="D70" s="70" t="s">
        <v>7198</v>
      </c>
      <c r="E70" s="70" t="s">
        <v>6028</v>
      </c>
      <c r="F70" s="70" t="s">
        <v>5679</v>
      </c>
      <c r="G70" s="70" t="s">
        <v>3</v>
      </c>
      <c r="H70" s="71">
        <v>200</v>
      </c>
      <c r="I70" s="71">
        <v>289</v>
      </c>
      <c r="J70" s="70" t="s">
        <v>8054</v>
      </c>
      <c r="K70" s="70" t="s">
        <v>4</v>
      </c>
      <c r="L70" s="70"/>
      <c r="M70" s="70"/>
      <c r="N70" s="5" t="str">
        <f t="shared" si="1"/>
        <v>1</v>
      </c>
      <c r="O70" s="5" t="str">
        <f>INDEX(Кат!$I:$I,MATCH($A70,Кат!$A:$A,0))</f>
        <v>кристал авто</v>
      </c>
    </row>
    <row r="71" spans="1:15" ht="90" x14ac:dyDescent="0.25">
      <c r="A71" s="69">
        <v>132926</v>
      </c>
      <c r="B71" s="69">
        <v>51389</v>
      </c>
      <c r="C71" s="70" t="s">
        <v>5676</v>
      </c>
      <c r="D71" s="70" t="s">
        <v>7198</v>
      </c>
      <c r="E71" s="70" t="s">
        <v>6029</v>
      </c>
      <c r="F71" s="70" t="s">
        <v>5677</v>
      </c>
      <c r="G71" s="70" t="s">
        <v>3</v>
      </c>
      <c r="H71" s="71">
        <v>200</v>
      </c>
      <c r="I71" s="71">
        <v>289</v>
      </c>
      <c r="J71" s="70" t="s">
        <v>8054</v>
      </c>
      <c r="K71" s="70" t="s">
        <v>4</v>
      </c>
      <c r="L71" s="70"/>
      <c r="M71" s="70"/>
      <c r="N71" s="5" t="str">
        <f t="shared" si="1"/>
        <v>1</v>
      </c>
      <c r="O71" s="5" t="str">
        <f>INDEX(Кат!$I:$I,MATCH($A71,Кат!$A:$A,0))</f>
        <v>кристал авто</v>
      </c>
    </row>
    <row r="72" spans="1:15" ht="90" x14ac:dyDescent="0.25">
      <c r="A72" s="69">
        <v>132927</v>
      </c>
      <c r="B72" s="69">
        <v>51384</v>
      </c>
      <c r="C72" s="70" t="s">
        <v>5668</v>
      </c>
      <c r="D72" s="70" t="s">
        <v>7198</v>
      </c>
      <c r="E72" s="70" t="s">
        <v>6035</v>
      </c>
      <c r="F72" s="70" t="s">
        <v>5669</v>
      </c>
      <c r="G72" s="70" t="s">
        <v>3</v>
      </c>
      <c r="H72" s="71">
        <v>200</v>
      </c>
      <c r="I72" s="71">
        <v>289</v>
      </c>
      <c r="J72" s="70" t="s">
        <v>8054</v>
      </c>
      <c r="K72" s="70" t="s">
        <v>4</v>
      </c>
      <c r="L72" s="70"/>
      <c r="M72" s="70"/>
      <c r="N72" s="5" t="str">
        <f t="shared" si="1"/>
        <v>1</v>
      </c>
      <c r="O72" s="5" t="str">
        <f>INDEX(Кат!$I:$I,MATCH($A72,Кат!$A:$A,0))</f>
        <v>кристал авто</v>
      </c>
    </row>
    <row r="73" spans="1:15" ht="30" x14ac:dyDescent="0.25">
      <c r="A73" s="69">
        <v>132992</v>
      </c>
      <c r="B73" s="69">
        <v>24646</v>
      </c>
      <c r="C73" s="70" t="s">
        <v>2407</v>
      </c>
      <c r="D73" s="70" t="s">
        <v>7198</v>
      </c>
      <c r="E73" s="70" t="s">
        <v>5630</v>
      </c>
      <c r="F73" s="70" t="s">
        <v>2406</v>
      </c>
      <c r="G73" s="70" t="s">
        <v>3</v>
      </c>
      <c r="H73" s="71">
        <v>115</v>
      </c>
      <c r="I73" s="71">
        <v>219</v>
      </c>
      <c r="J73" s="70"/>
      <c r="K73" s="70" t="s">
        <v>4</v>
      </c>
      <c r="L73" s="70"/>
      <c r="M73" s="70"/>
      <c r="N73" s="5" t="str">
        <f t="shared" si="1"/>
        <v>1</v>
      </c>
      <c r="O73" s="5" t="str">
        <f>INDEX(Кат!$I:$I,MATCH($A73,Кат!$A:$A,0))</f>
        <v>кристал авто</v>
      </c>
    </row>
    <row r="74" spans="1:15" ht="90" x14ac:dyDescent="0.25">
      <c r="A74" s="69">
        <v>132993</v>
      </c>
      <c r="B74" s="69">
        <v>37802</v>
      </c>
      <c r="C74" s="70" t="s">
        <v>4972</v>
      </c>
      <c r="D74" s="70" t="s">
        <v>7198</v>
      </c>
      <c r="E74" s="70"/>
      <c r="F74" s="70" t="s">
        <v>5380</v>
      </c>
      <c r="G74" s="70" t="s">
        <v>3</v>
      </c>
      <c r="H74" s="71">
        <v>115</v>
      </c>
      <c r="I74" s="71">
        <v>219</v>
      </c>
      <c r="J74" s="70" t="s">
        <v>8060</v>
      </c>
      <c r="K74" s="70" t="s">
        <v>4</v>
      </c>
      <c r="L74" s="70"/>
      <c r="M74" s="70"/>
      <c r="N74" s="5" t="str">
        <f t="shared" si="1"/>
        <v>1</v>
      </c>
      <c r="O74" s="5" t="str">
        <f>INDEX(Кат!$I:$I,MATCH($A74,Кат!$A:$A,0))</f>
        <v>кристал авто</v>
      </c>
    </row>
    <row r="75" spans="1:15" ht="105" x14ac:dyDescent="0.25">
      <c r="A75" s="69">
        <v>132994</v>
      </c>
      <c r="B75" s="69">
        <v>30937</v>
      </c>
      <c r="C75" s="70" t="s">
        <v>147</v>
      </c>
      <c r="D75" s="70" t="s">
        <v>7198</v>
      </c>
      <c r="E75" s="70" t="s">
        <v>5638</v>
      </c>
      <c r="F75" s="70" t="s">
        <v>2421</v>
      </c>
      <c r="G75" s="70" t="s">
        <v>3</v>
      </c>
      <c r="H75" s="71">
        <v>65</v>
      </c>
      <c r="I75" s="71">
        <v>139</v>
      </c>
      <c r="J75" s="70" t="s">
        <v>8065</v>
      </c>
      <c r="K75" s="70" t="s">
        <v>4</v>
      </c>
      <c r="L75" s="70"/>
      <c r="M75" s="70"/>
      <c r="N75" s="5" t="str">
        <f t="shared" si="1"/>
        <v>1</v>
      </c>
      <c r="O75" s="5" t="str">
        <f>INDEX(Кат!$I:$I,MATCH($A75,Кат!$A:$A,0))</f>
        <v>кристал авто</v>
      </c>
    </row>
    <row r="76" spans="1:15" ht="105" x14ac:dyDescent="0.25">
      <c r="A76" s="69">
        <v>132995</v>
      </c>
      <c r="B76" s="69">
        <v>16938</v>
      </c>
      <c r="C76" s="70" t="s">
        <v>117</v>
      </c>
      <c r="D76" s="70" t="s">
        <v>7198</v>
      </c>
      <c r="E76" s="70"/>
      <c r="F76" s="70" t="s">
        <v>2335</v>
      </c>
      <c r="G76" s="70" t="s">
        <v>3</v>
      </c>
      <c r="H76" s="71">
        <v>65</v>
      </c>
      <c r="I76" s="71">
        <v>139</v>
      </c>
      <c r="J76" s="70" t="s">
        <v>8065</v>
      </c>
      <c r="K76" s="70" t="s">
        <v>4</v>
      </c>
      <c r="L76" s="70"/>
      <c r="M76" s="70"/>
      <c r="N76" s="5" t="str">
        <f t="shared" si="1"/>
        <v>1</v>
      </c>
      <c r="O76" s="5" t="str">
        <f>INDEX(Кат!$I:$I,MATCH($A76,Кат!$A:$A,0))</f>
        <v>кристал авто</v>
      </c>
    </row>
    <row r="77" spans="1:15" ht="105" x14ac:dyDescent="0.25">
      <c r="A77" s="69">
        <v>132996</v>
      </c>
      <c r="B77" s="69">
        <v>16937</v>
      </c>
      <c r="C77" s="70" t="s">
        <v>2334</v>
      </c>
      <c r="D77" s="70" t="s">
        <v>7198</v>
      </c>
      <c r="E77" s="70"/>
      <c r="F77" s="70" t="s">
        <v>2333</v>
      </c>
      <c r="G77" s="70" t="s">
        <v>3</v>
      </c>
      <c r="H77" s="71">
        <v>100</v>
      </c>
      <c r="I77" s="71">
        <v>189</v>
      </c>
      <c r="J77" s="70" t="s">
        <v>8065</v>
      </c>
      <c r="K77" s="70" t="s">
        <v>4</v>
      </c>
      <c r="L77" s="70"/>
      <c r="M77" s="70"/>
      <c r="N77" s="5" t="str">
        <f t="shared" si="1"/>
        <v>1</v>
      </c>
      <c r="O77" s="5" t="str">
        <f>INDEX(Кат!$I:$I,MATCH($A77,Кат!$A:$A,0))</f>
        <v>кристал авто</v>
      </c>
    </row>
    <row r="78" spans="1:15" ht="105" x14ac:dyDescent="0.25">
      <c r="A78" s="69">
        <v>132997</v>
      </c>
      <c r="B78" s="69">
        <v>16933</v>
      </c>
      <c r="C78" s="70" t="s">
        <v>2328</v>
      </c>
      <c r="D78" s="70" t="s">
        <v>7198</v>
      </c>
      <c r="E78" s="70"/>
      <c r="F78" s="70" t="s">
        <v>2327</v>
      </c>
      <c r="G78" s="70" t="s">
        <v>3</v>
      </c>
      <c r="H78" s="71">
        <v>100</v>
      </c>
      <c r="I78" s="71">
        <v>189</v>
      </c>
      <c r="J78" s="70" t="s">
        <v>8065</v>
      </c>
      <c r="K78" s="70" t="s">
        <v>4</v>
      </c>
      <c r="L78" s="70"/>
      <c r="M78" s="70"/>
      <c r="N78" s="5" t="str">
        <f t="shared" si="1"/>
        <v>1</v>
      </c>
      <c r="O78" s="5" t="str">
        <f>INDEX(Кат!$I:$I,MATCH($A78,Кат!$A:$A,0))</f>
        <v>кристал авто</v>
      </c>
    </row>
    <row r="79" spans="1:15" ht="105" x14ac:dyDescent="0.25">
      <c r="A79" s="69">
        <v>132998</v>
      </c>
      <c r="B79" s="69">
        <v>16936</v>
      </c>
      <c r="C79" s="70" t="s">
        <v>116</v>
      </c>
      <c r="D79" s="70" t="s">
        <v>7198</v>
      </c>
      <c r="E79" s="70" t="s">
        <v>5618</v>
      </c>
      <c r="F79" s="70" t="s">
        <v>2332</v>
      </c>
      <c r="G79" s="70" t="s">
        <v>3</v>
      </c>
      <c r="H79" s="71">
        <v>65</v>
      </c>
      <c r="I79" s="71">
        <v>139</v>
      </c>
      <c r="J79" s="70" t="s">
        <v>8065</v>
      </c>
      <c r="K79" s="70" t="s">
        <v>4</v>
      </c>
      <c r="L79" s="70"/>
      <c r="M79" s="70"/>
      <c r="N79" s="5" t="str">
        <f t="shared" si="1"/>
        <v>1</v>
      </c>
      <c r="O79" s="5" t="str">
        <f>INDEX(Кат!$I:$I,MATCH($A79,Кат!$A:$A,0))</f>
        <v>кристал авто</v>
      </c>
    </row>
    <row r="80" spans="1:15" ht="105" x14ac:dyDescent="0.25">
      <c r="A80" s="69">
        <v>132999</v>
      </c>
      <c r="B80" s="69">
        <v>16935</v>
      </c>
      <c r="C80" s="70" t="s">
        <v>115</v>
      </c>
      <c r="D80" s="70" t="s">
        <v>7198</v>
      </c>
      <c r="E80" s="70" t="s">
        <v>5617</v>
      </c>
      <c r="F80" s="70" t="s">
        <v>2331</v>
      </c>
      <c r="G80" s="70" t="s">
        <v>3</v>
      </c>
      <c r="H80" s="71">
        <v>65</v>
      </c>
      <c r="I80" s="71">
        <v>139</v>
      </c>
      <c r="J80" s="70" t="s">
        <v>8065</v>
      </c>
      <c r="K80" s="70" t="s">
        <v>4</v>
      </c>
      <c r="L80" s="70"/>
      <c r="M80" s="70"/>
      <c r="N80" s="5" t="str">
        <f t="shared" si="1"/>
        <v>1</v>
      </c>
      <c r="O80" s="5" t="str">
        <f>INDEX(Кат!$I:$I,MATCH($A80,Кат!$A:$A,0))</f>
        <v>кристал авто</v>
      </c>
    </row>
    <row r="81" spans="1:15" ht="105" x14ac:dyDescent="0.25">
      <c r="A81" s="69">
        <v>133000</v>
      </c>
      <c r="B81" s="69">
        <v>16934</v>
      </c>
      <c r="C81" s="70" t="s">
        <v>2330</v>
      </c>
      <c r="D81" s="70" t="s">
        <v>7198</v>
      </c>
      <c r="E81" s="70"/>
      <c r="F81" s="70" t="s">
        <v>2329</v>
      </c>
      <c r="G81" s="70" t="s">
        <v>3</v>
      </c>
      <c r="H81" s="71">
        <v>100</v>
      </c>
      <c r="I81" s="71">
        <v>189</v>
      </c>
      <c r="J81" s="70" t="s">
        <v>8065</v>
      </c>
      <c r="K81" s="70" t="s">
        <v>4</v>
      </c>
      <c r="L81" s="70"/>
      <c r="M81" s="70"/>
      <c r="N81" s="5" t="str">
        <f t="shared" si="1"/>
        <v>1</v>
      </c>
      <c r="O81" s="5" t="str">
        <f>INDEX(Кат!$I:$I,MATCH($A81,Кат!$A:$A,0))</f>
        <v>кристал авто</v>
      </c>
    </row>
    <row r="82" spans="1:15" ht="105" x14ac:dyDescent="0.25">
      <c r="A82" s="69">
        <v>133001</v>
      </c>
      <c r="B82" s="69">
        <v>17612</v>
      </c>
      <c r="C82" s="70" t="s">
        <v>2357</v>
      </c>
      <c r="D82" s="70" t="s">
        <v>7198</v>
      </c>
      <c r="E82" s="70"/>
      <c r="F82" s="70" t="s">
        <v>2356</v>
      </c>
      <c r="G82" s="70" t="s">
        <v>3</v>
      </c>
      <c r="H82" s="71">
        <v>140</v>
      </c>
      <c r="I82" s="71">
        <v>269</v>
      </c>
      <c r="J82" s="70" t="s">
        <v>8066</v>
      </c>
      <c r="K82" s="70" t="s">
        <v>4</v>
      </c>
      <c r="L82" s="70"/>
      <c r="M82" s="70"/>
      <c r="N82" s="5" t="str">
        <f t="shared" si="1"/>
        <v>1</v>
      </c>
      <c r="O82" s="5" t="str">
        <f>INDEX(Кат!$I:$I,MATCH($A82,Кат!$A:$A,0))</f>
        <v>кристал авто</v>
      </c>
    </row>
    <row r="83" spans="1:15" ht="105" x14ac:dyDescent="0.25">
      <c r="A83" s="69">
        <v>133002</v>
      </c>
      <c r="B83" s="69">
        <v>17611</v>
      </c>
      <c r="C83" s="70" t="s">
        <v>2355</v>
      </c>
      <c r="D83" s="70" t="s">
        <v>7198</v>
      </c>
      <c r="E83" s="70"/>
      <c r="F83" s="70" t="s">
        <v>2354</v>
      </c>
      <c r="G83" s="70" t="s">
        <v>3</v>
      </c>
      <c r="H83" s="71">
        <v>135</v>
      </c>
      <c r="I83" s="71">
        <v>259</v>
      </c>
      <c r="J83" s="70" t="s">
        <v>8066</v>
      </c>
      <c r="K83" s="70" t="s">
        <v>4</v>
      </c>
      <c r="L83" s="70"/>
      <c r="M83" s="70"/>
      <c r="N83" s="5" t="str">
        <f t="shared" si="1"/>
        <v>1</v>
      </c>
      <c r="O83" s="5" t="str">
        <f>INDEX(Кат!$I:$I,MATCH($A83,Кат!$A:$A,0))</f>
        <v>кристал авто</v>
      </c>
    </row>
    <row r="84" spans="1:15" ht="105" x14ac:dyDescent="0.25">
      <c r="A84" s="69">
        <v>133003</v>
      </c>
      <c r="B84" s="69">
        <v>14175</v>
      </c>
      <c r="C84" s="70" t="s">
        <v>2313</v>
      </c>
      <c r="D84" s="70" t="s">
        <v>7198</v>
      </c>
      <c r="E84" s="70"/>
      <c r="F84" s="70" t="s">
        <v>2312</v>
      </c>
      <c r="G84" s="70" t="s">
        <v>3</v>
      </c>
      <c r="H84" s="71">
        <v>140</v>
      </c>
      <c r="I84" s="71">
        <v>269</v>
      </c>
      <c r="J84" s="70" t="s">
        <v>8066</v>
      </c>
      <c r="K84" s="70" t="s">
        <v>4</v>
      </c>
      <c r="L84" s="70"/>
      <c r="M84" s="70"/>
      <c r="N84" s="5" t="str">
        <f t="shared" si="1"/>
        <v>1</v>
      </c>
      <c r="O84" s="5" t="str">
        <f>INDEX(Кат!$I:$I,MATCH($A84,Кат!$A:$A,0))</f>
        <v>кристал авто</v>
      </c>
    </row>
    <row r="85" spans="1:15" ht="105" x14ac:dyDescent="0.25">
      <c r="A85" s="69">
        <v>133004</v>
      </c>
      <c r="B85" s="69">
        <v>14174</v>
      </c>
      <c r="C85" s="70" t="s">
        <v>107</v>
      </c>
      <c r="D85" s="70" t="s">
        <v>7198</v>
      </c>
      <c r="E85" s="70"/>
      <c r="F85" s="70" t="s">
        <v>2311</v>
      </c>
      <c r="G85" s="70" t="s">
        <v>3</v>
      </c>
      <c r="H85" s="71">
        <v>140</v>
      </c>
      <c r="I85" s="71">
        <v>269</v>
      </c>
      <c r="J85" s="70" t="s">
        <v>8066</v>
      </c>
      <c r="K85" s="70" t="s">
        <v>4</v>
      </c>
      <c r="L85" s="70"/>
      <c r="M85" s="70"/>
      <c r="N85" s="5" t="str">
        <f t="shared" si="1"/>
        <v>1</v>
      </c>
      <c r="O85" s="5" t="str">
        <f>INDEX(Кат!$I:$I,MATCH($A85,Кат!$A:$A,0))</f>
        <v>кристал авто</v>
      </c>
    </row>
    <row r="86" spans="1:15" ht="105" x14ac:dyDescent="0.25">
      <c r="A86" s="69">
        <v>133005</v>
      </c>
      <c r="B86" s="69">
        <v>14173</v>
      </c>
      <c r="C86" s="70" t="s">
        <v>106</v>
      </c>
      <c r="D86" s="70" t="s">
        <v>7198</v>
      </c>
      <c r="E86" s="70"/>
      <c r="F86" s="70" t="s">
        <v>2310</v>
      </c>
      <c r="G86" s="70" t="s">
        <v>3</v>
      </c>
      <c r="H86" s="71">
        <v>140</v>
      </c>
      <c r="I86" s="71">
        <v>269</v>
      </c>
      <c r="J86" s="70" t="s">
        <v>8066</v>
      </c>
      <c r="K86" s="70" t="s">
        <v>4</v>
      </c>
      <c r="L86" s="70"/>
      <c r="M86" s="70"/>
      <c r="N86" s="5" t="str">
        <f t="shared" si="1"/>
        <v>1</v>
      </c>
      <c r="O86" s="5" t="str">
        <f>INDEX(Кат!$I:$I,MATCH($A86,Кат!$A:$A,0))</f>
        <v>кристал авто</v>
      </c>
    </row>
    <row r="87" spans="1:15" ht="105" x14ac:dyDescent="0.25">
      <c r="A87" s="69">
        <v>133006</v>
      </c>
      <c r="B87" s="69">
        <v>14195</v>
      </c>
      <c r="C87" s="70" t="s">
        <v>2317</v>
      </c>
      <c r="D87" s="70" t="s">
        <v>7198</v>
      </c>
      <c r="E87" s="70"/>
      <c r="F87" s="70" t="s">
        <v>2316</v>
      </c>
      <c r="G87" s="70" t="s">
        <v>3</v>
      </c>
      <c r="H87" s="71">
        <v>140</v>
      </c>
      <c r="I87" s="71">
        <v>269</v>
      </c>
      <c r="J87" s="70" t="s">
        <v>8066</v>
      </c>
      <c r="K87" s="70" t="s">
        <v>4</v>
      </c>
      <c r="L87" s="70"/>
      <c r="M87" s="70"/>
      <c r="N87" s="5" t="str">
        <f t="shared" si="1"/>
        <v>1</v>
      </c>
      <c r="O87" s="5" t="str">
        <f>INDEX(Кат!$I:$I,MATCH($A87,Кат!$A:$A,0))</f>
        <v>кристал авто</v>
      </c>
    </row>
    <row r="88" spans="1:15" ht="105" x14ac:dyDescent="0.25">
      <c r="A88" s="69">
        <v>133007</v>
      </c>
      <c r="B88" s="69">
        <v>17617</v>
      </c>
      <c r="C88" s="70" t="s">
        <v>132</v>
      </c>
      <c r="D88" s="70" t="s">
        <v>7198</v>
      </c>
      <c r="E88" s="70"/>
      <c r="F88" s="70" t="s">
        <v>2362</v>
      </c>
      <c r="G88" s="70" t="s">
        <v>3</v>
      </c>
      <c r="H88" s="71">
        <v>130</v>
      </c>
      <c r="I88" s="71">
        <v>249</v>
      </c>
      <c r="J88" s="70" t="s">
        <v>8061</v>
      </c>
      <c r="K88" s="70" t="s">
        <v>4</v>
      </c>
      <c r="L88" s="70"/>
      <c r="M88" s="70"/>
      <c r="N88" s="5" t="str">
        <f t="shared" si="1"/>
        <v>1</v>
      </c>
      <c r="O88" s="5" t="str">
        <f>INDEX(Кат!$I:$I,MATCH($A88,Кат!$A:$A,0))</f>
        <v>кристал авто</v>
      </c>
    </row>
    <row r="89" spans="1:15" ht="105" x14ac:dyDescent="0.25">
      <c r="A89" s="69">
        <v>133008</v>
      </c>
      <c r="B89" s="69">
        <v>17616</v>
      </c>
      <c r="C89" s="70" t="s">
        <v>131</v>
      </c>
      <c r="D89" s="70" t="s">
        <v>7198</v>
      </c>
      <c r="E89" s="70"/>
      <c r="F89" s="70" t="s">
        <v>2361</v>
      </c>
      <c r="G89" s="70" t="s">
        <v>3</v>
      </c>
      <c r="H89" s="71">
        <v>130</v>
      </c>
      <c r="I89" s="71">
        <v>249</v>
      </c>
      <c r="J89" s="70" t="s">
        <v>8061</v>
      </c>
      <c r="K89" s="70" t="s">
        <v>4</v>
      </c>
      <c r="L89" s="70"/>
      <c r="M89" s="70"/>
      <c r="N89" s="5" t="str">
        <f t="shared" si="1"/>
        <v>1</v>
      </c>
      <c r="O89" s="5" t="str">
        <f>INDEX(Кат!$I:$I,MATCH($A89,Кат!$A:$A,0))</f>
        <v>кристал авто</v>
      </c>
    </row>
    <row r="90" spans="1:15" ht="105" x14ac:dyDescent="0.25">
      <c r="A90" s="69">
        <v>133009</v>
      </c>
      <c r="B90" s="69">
        <v>17614</v>
      </c>
      <c r="C90" s="70" t="s">
        <v>129</v>
      </c>
      <c r="D90" s="70" t="s">
        <v>7198</v>
      </c>
      <c r="E90" s="70" t="s">
        <v>6051</v>
      </c>
      <c r="F90" s="70" t="s">
        <v>2359</v>
      </c>
      <c r="G90" s="70" t="s">
        <v>3</v>
      </c>
      <c r="H90" s="71">
        <v>130</v>
      </c>
      <c r="I90" s="71">
        <v>249</v>
      </c>
      <c r="J90" s="70" t="s">
        <v>8061</v>
      </c>
      <c r="K90" s="70" t="s">
        <v>4</v>
      </c>
      <c r="L90" s="70"/>
      <c r="M90" s="70"/>
      <c r="N90" s="5" t="str">
        <f t="shared" si="1"/>
        <v>1</v>
      </c>
      <c r="O90" s="5" t="str">
        <f>INDEX(Кат!$I:$I,MATCH($A90,Кат!$A:$A,0))</f>
        <v>кристал авто</v>
      </c>
    </row>
    <row r="91" spans="1:15" ht="105" x14ac:dyDescent="0.25">
      <c r="A91" s="69">
        <v>133010</v>
      </c>
      <c r="B91" s="69">
        <v>17613</v>
      </c>
      <c r="C91" s="70" t="s">
        <v>128</v>
      </c>
      <c r="D91" s="70" t="s">
        <v>7198</v>
      </c>
      <c r="E91" s="70"/>
      <c r="F91" s="70" t="s">
        <v>2358</v>
      </c>
      <c r="G91" s="70" t="s">
        <v>3</v>
      </c>
      <c r="H91" s="71">
        <v>130</v>
      </c>
      <c r="I91" s="71">
        <v>249</v>
      </c>
      <c r="J91" s="70" t="s">
        <v>8061</v>
      </c>
      <c r="K91" s="70" t="s">
        <v>4</v>
      </c>
      <c r="L91" s="70"/>
      <c r="M91" s="70"/>
      <c r="N91" s="5" t="str">
        <f t="shared" si="1"/>
        <v>1</v>
      </c>
      <c r="O91" s="5" t="str">
        <f>INDEX(Кат!$I:$I,MATCH($A91,Кат!$A:$A,0))</f>
        <v>кристал авто</v>
      </c>
    </row>
    <row r="92" spans="1:15" ht="105" x14ac:dyDescent="0.25">
      <c r="A92" s="69">
        <v>133011</v>
      </c>
      <c r="B92" s="69">
        <v>17615</v>
      </c>
      <c r="C92" s="70" t="s">
        <v>130</v>
      </c>
      <c r="D92" s="70" t="s">
        <v>7198</v>
      </c>
      <c r="E92" s="70"/>
      <c r="F92" s="70" t="s">
        <v>2360</v>
      </c>
      <c r="G92" s="70" t="s">
        <v>3</v>
      </c>
      <c r="H92" s="71">
        <v>130</v>
      </c>
      <c r="I92" s="71">
        <v>249</v>
      </c>
      <c r="J92" s="70" t="s">
        <v>8061</v>
      </c>
      <c r="K92" s="70" t="s">
        <v>4</v>
      </c>
      <c r="L92" s="70"/>
      <c r="M92" s="70"/>
      <c r="N92" s="5" t="str">
        <f t="shared" si="1"/>
        <v>1</v>
      </c>
      <c r="O92" s="5" t="str">
        <f>INDEX(Кат!$I:$I,MATCH($A92,Кат!$A:$A,0))</f>
        <v>кристал авто</v>
      </c>
    </row>
    <row r="93" spans="1:15" ht="105" x14ac:dyDescent="0.25">
      <c r="A93" s="69">
        <v>133012</v>
      </c>
      <c r="B93" s="69">
        <v>17063</v>
      </c>
      <c r="C93" s="70" t="s">
        <v>126</v>
      </c>
      <c r="D93" s="70" t="s">
        <v>7198</v>
      </c>
      <c r="E93" s="70" t="s">
        <v>5623</v>
      </c>
      <c r="F93" s="70" t="s">
        <v>2352</v>
      </c>
      <c r="G93" s="70" t="s">
        <v>3</v>
      </c>
      <c r="H93" s="71">
        <v>135</v>
      </c>
      <c r="I93" s="71">
        <v>259</v>
      </c>
      <c r="J93" s="70" t="s">
        <v>8067</v>
      </c>
      <c r="K93" s="70" t="s">
        <v>4</v>
      </c>
      <c r="L93" s="70"/>
      <c r="M93" s="70"/>
      <c r="N93" s="5" t="str">
        <f t="shared" si="1"/>
        <v>1</v>
      </c>
      <c r="O93" s="5" t="str">
        <f>INDEX(Кат!$I:$I,MATCH($A93,Кат!$A:$A,0))</f>
        <v>кристал авто</v>
      </c>
    </row>
    <row r="94" spans="1:15" ht="105" x14ac:dyDescent="0.25">
      <c r="A94" s="69">
        <v>133013</v>
      </c>
      <c r="B94" s="69">
        <v>14172</v>
      </c>
      <c r="C94" s="70" t="s">
        <v>105</v>
      </c>
      <c r="D94" s="70" t="s">
        <v>7198</v>
      </c>
      <c r="E94" s="70" t="s">
        <v>5613</v>
      </c>
      <c r="F94" s="70" t="s">
        <v>2309</v>
      </c>
      <c r="G94" s="70" t="s">
        <v>3</v>
      </c>
      <c r="H94" s="71">
        <v>100</v>
      </c>
      <c r="I94" s="71">
        <v>189</v>
      </c>
      <c r="J94" s="70" t="s">
        <v>8067</v>
      </c>
      <c r="K94" s="70" t="s">
        <v>4</v>
      </c>
      <c r="L94" s="70"/>
      <c r="M94" s="70"/>
      <c r="N94" s="5" t="str">
        <f t="shared" si="1"/>
        <v>1</v>
      </c>
      <c r="O94" s="5" t="str">
        <f>INDEX(Кат!$I:$I,MATCH($A94,Кат!$A:$A,0))</f>
        <v>кристал авто</v>
      </c>
    </row>
    <row r="95" spans="1:15" ht="105" x14ac:dyDescent="0.25">
      <c r="A95" s="69">
        <v>133014</v>
      </c>
      <c r="B95" s="69">
        <v>17061</v>
      </c>
      <c r="C95" s="70" t="s">
        <v>124</v>
      </c>
      <c r="D95" s="70" t="s">
        <v>7198</v>
      </c>
      <c r="E95" s="70" t="s">
        <v>5621</v>
      </c>
      <c r="F95" s="70" t="s">
        <v>2350</v>
      </c>
      <c r="G95" s="70" t="s">
        <v>3</v>
      </c>
      <c r="H95" s="71">
        <v>135</v>
      </c>
      <c r="I95" s="71">
        <v>259</v>
      </c>
      <c r="J95" s="70" t="s">
        <v>8067</v>
      </c>
      <c r="K95" s="70" t="s">
        <v>4</v>
      </c>
      <c r="L95" s="70"/>
      <c r="M95" s="70"/>
      <c r="N95" s="5" t="str">
        <f t="shared" si="1"/>
        <v>1</v>
      </c>
      <c r="O95" s="5" t="str">
        <f>INDEX(Кат!$I:$I,MATCH($A95,Кат!$A:$A,0))</f>
        <v>кристал авто</v>
      </c>
    </row>
    <row r="96" spans="1:15" ht="105" x14ac:dyDescent="0.25">
      <c r="A96" s="69">
        <v>133015</v>
      </c>
      <c r="B96" s="69">
        <v>16470</v>
      </c>
      <c r="C96" s="70" t="s">
        <v>2321</v>
      </c>
      <c r="D96" s="70" t="s">
        <v>7198</v>
      </c>
      <c r="E96" s="70" t="s">
        <v>5616</v>
      </c>
      <c r="F96" s="70" t="s">
        <v>2320</v>
      </c>
      <c r="G96" s="70" t="s">
        <v>3</v>
      </c>
      <c r="H96" s="71">
        <v>135</v>
      </c>
      <c r="I96" s="71">
        <v>259</v>
      </c>
      <c r="J96" s="70" t="s">
        <v>8067</v>
      </c>
      <c r="K96" s="70" t="s">
        <v>4</v>
      </c>
      <c r="L96" s="70"/>
      <c r="M96" s="70"/>
      <c r="N96" s="5" t="str">
        <f t="shared" si="1"/>
        <v>1</v>
      </c>
      <c r="O96" s="5" t="str">
        <f>INDEX(Кат!$I:$I,MATCH($A96,Кат!$A:$A,0))</f>
        <v>кристал авто</v>
      </c>
    </row>
    <row r="97" spans="1:15" ht="105" x14ac:dyDescent="0.25">
      <c r="A97" s="69">
        <v>133016</v>
      </c>
      <c r="B97" s="69">
        <v>17060</v>
      </c>
      <c r="C97" s="70" t="s">
        <v>123</v>
      </c>
      <c r="D97" s="70" t="s">
        <v>7198</v>
      </c>
      <c r="E97" s="70" t="s">
        <v>5620</v>
      </c>
      <c r="F97" s="70" t="s">
        <v>2349</v>
      </c>
      <c r="G97" s="70" t="s">
        <v>3</v>
      </c>
      <c r="H97" s="71">
        <v>135</v>
      </c>
      <c r="I97" s="71">
        <v>259</v>
      </c>
      <c r="J97" s="70" t="s">
        <v>8067</v>
      </c>
      <c r="K97" s="70" t="s">
        <v>4</v>
      </c>
      <c r="L97" s="70"/>
      <c r="M97" s="70"/>
      <c r="N97" s="5" t="str">
        <f t="shared" si="1"/>
        <v>1</v>
      </c>
      <c r="O97" s="5" t="str">
        <f>INDEX(Кат!$I:$I,MATCH($A97,Кат!$A:$A,0))</f>
        <v>кристал авто</v>
      </c>
    </row>
    <row r="98" spans="1:15" ht="105" x14ac:dyDescent="0.25">
      <c r="A98" s="69">
        <v>133017</v>
      </c>
      <c r="B98" s="69">
        <v>16469</v>
      </c>
      <c r="C98" s="70" t="s">
        <v>111</v>
      </c>
      <c r="D98" s="70" t="s">
        <v>7198</v>
      </c>
      <c r="E98" s="70" t="s">
        <v>5615</v>
      </c>
      <c r="F98" s="70" t="s">
        <v>2319</v>
      </c>
      <c r="G98" s="70" t="s">
        <v>3</v>
      </c>
      <c r="H98" s="71">
        <v>135</v>
      </c>
      <c r="I98" s="71">
        <v>259</v>
      </c>
      <c r="J98" s="70" t="s">
        <v>8067</v>
      </c>
      <c r="K98" s="70" t="s">
        <v>4</v>
      </c>
      <c r="L98" s="70"/>
      <c r="M98" s="70"/>
      <c r="N98" s="5" t="str">
        <f t="shared" si="1"/>
        <v>1</v>
      </c>
      <c r="O98" s="5" t="str">
        <f>INDEX(Кат!$I:$I,MATCH($A98,Кат!$A:$A,0))</f>
        <v>кристал авто</v>
      </c>
    </row>
    <row r="99" spans="1:15" ht="105" x14ac:dyDescent="0.25">
      <c r="A99" s="69">
        <v>133018</v>
      </c>
      <c r="B99" s="69">
        <v>13780</v>
      </c>
      <c r="C99" s="70" t="s">
        <v>101</v>
      </c>
      <c r="D99" s="70" t="s">
        <v>7198</v>
      </c>
      <c r="E99" s="70" t="s">
        <v>5611</v>
      </c>
      <c r="F99" s="70" t="s">
        <v>2305</v>
      </c>
      <c r="G99" s="70" t="s">
        <v>3</v>
      </c>
      <c r="H99" s="71">
        <v>100</v>
      </c>
      <c r="I99" s="71">
        <v>189</v>
      </c>
      <c r="J99" s="70" t="s">
        <v>8067</v>
      </c>
      <c r="K99" s="70" t="s">
        <v>4</v>
      </c>
      <c r="L99" s="70"/>
      <c r="M99" s="70"/>
      <c r="N99" s="5" t="str">
        <f t="shared" si="1"/>
        <v>1</v>
      </c>
      <c r="O99" s="5" t="str">
        <f>INDEX(Кат!$I:$I,MATCH($A99,Кат!$A:$A,0))</f>
        <v>кристал авто</v>
      </c>
    </row>
    <row r="100" spans="1:15" ht="105" x14ac:dyDescent="0.25">
      <c r="A100" s="69">
        <v>133019</v>
      </c>
      <c r="B100" s="69">
        <v>16468</v>
      </c>
      <c r="C100" s="70" t="s">
        <v>110</v>
      </c>
      <c r="D100" s="70" t="s">
        <v>7198</v>
      </c>
      <c r="E100" s="70" t="s">
        <v>5614</v>
      </c>
      <c r="F100" s="70" t="s">
        <v>2318</v>
      </c>
      <c r="G100" s="70" t="s">
        <v>3</v>
      </c>
      <c r="H100" s="71">
        <v>135</v>
      </c>
      <c r="I100" s="71">
        <v>259</v>
      </c>
      <c r="J100" s="70" t="s">
        <v>8067</v>
      </c>
      <c r="K100" s="70" t="s">
        <v>4</v>
      </c>
      <c r="L100" s="70"/>
      <c r="M100" s="70"/>
      <c r="N100" s="5" t="str">
        <f t="shared" si="1"/>
        <v>1</v>
      </c>
      <c r="O100" s="5" t="str">
        <f>INDEX(Кат!$I:$I,MATCH($A100,Кат!$A:$A,0))</f>
        <v>кристал авто</v>
      </c>
    </row>
    <row r="101" spans="1:15" ht="105" x14ac:dyDescent="0.25">
      <c r="A101" s="69">
        <v>133020</v>
      </c>
      <c r="B101" s="69">
        <v>14089</v>
      </c>
      <c r="C101" s="70" t="s">
        <v>102</v>
      </c>
      <c r="D101" s="70" t="s">
        <v>7198</v>
      </c>
      <c r="E101" s="70" t="s">
        <v>5612</v>
      </c>
      <c r="F101" s="70" t="s">
        <v>2306</v>
      </c>
      <c r="G101" s="70" t="s">
        <v>3</v>
      </c>
      <c r="H101" s="71">
        <v>100</v>
      </c>
      <c r="I101" s="71">
        <v>189</v>
      </c>
      <c r="J101" s="70" t="s">
        <v>8067</v>
      </c>
      <c r="K101" s="70" t="s">
        <v>4</v>
      </c>
      <c r="L101" s="70"/>
      <c r="M101" s="70"/>
      <c r="N101" s="5" t="str">
        <f t="shared" si="1"/>
        <v>1</v>
      </c>
      <c r="O101" s="5" t="str">
        <f>INDEX(Кат!$I:$I,MATCH($A101,Кат!$A:$A,0))</f>
        <v>кристал авто</v>
      </c>
    </row>
    <row r="102" spans="1:15" ht="105" x14ac:dyDescent="0.25">
      <c r="A102" s="69">
        <v>133021</v>
      </c>
      <c r="B102" s="69">
        <v>17062</v>
      </c>
      <c r="C102" s="70" t="s">
        <v>125</v>
      </c>
      <c r="D102" s="70" t="s">
        <v>7198</v>
      </c>
      <c r="E102" s="70" t="s">
        <v>5622</v>
      </c>
      <c r="F102" s="70" t="s">
        <v>2351</v>
      </c>
      <c r="G102" s="70" t="s">
        <v>3</v>
      </c>
      <c r="H102" s="71">
        <v>135</v>
      </c>
      <c r="I102" s="71">
        <v>259</v>
      </c>
      <c r="J102" s="70" t="s">
        <v>8067</v>
      </c>
      <c r="K102" s="70" t="s">
        <v>4</v>
      </c>
      <c r="L102" s="70"/>
      <c r="M102" s="70"/>
      <c r="N102" s="5" t="str">
        <f t="shared" si="1"/>
        <v>1</v>
      </c>
      <c r="O102" s="5" t="str">
        <f>INDEX(Кат!$I:$I,MATCH($A102,Кат!$A:$A,0))</f>
        <v>кристал авто</v>
      </c>
    </row>
    <row r="103" spans="1:15" ht="105" x14ac:dyDescent="0.25">
      <c r="A103" s="69">
        <v>133022</v>
      </c>
      <c r="B103" s="69">
        <v>17064</v>
      </c>
      <c r="C103" s="70" t="s">
        <v>127</v>
      </c>
      <c r="D103" s="70" t="s">
        <v>7198</v>
      </c>
      <c r="E103" s="70" t="s">
        <v>5624</v>
      </c>
      <c r="F103" s="70" t="s">
        <v>2353</v>
      </c>
      <c r="G103" s="70" t="s">
        <v>3</v>
      </c>
      <c r="H103" s="71">
        <v>135</v>
      </c>
      <c r="I103" s="71">
        <v>259</v>
      </c>
      <c r="J103" s="70" t="s">
        <v>8067</v>
      </c>
      <c r="K103" s="70" t="s">
        <v>4</v>
      </c>
      <c r="L103" s="70"/>
      <c r="M103" s="70"/>
      <c r="N103" s="5" t="str">
        <f t="shared" si="1"/>
        <v>1</v>
      </c>
      <c r="O103" s="5" t="str">
        <f>INDEX(Кат!$I:$I,MATCH($A103,Кат!$A:$A,0))</f>
        <v>кристал авто</v>
      </c>
    </row>
    <row r="104" spans="1:15" ht="105" x14ac:dyDescent="0.25">
      <c r="A104" s="69">
        <v>133023</v>
      </c>
      <c r="B104" s="69">
        <v>13778</v>
      </c>
      <c r="C104" s="70" t="s">
        <v>99</v>
      </c>
      <c r="D104" s="70" t="s">
        <v>7198</v>
      </c>
      <c r="E104" s="70" t="s">
        <v>5609</v>
      </c>
      <c r="F104" s="70" t="s">
        <v>2303</v>
      </c>
      <c r="G104" s="70" t="s">
        <v>3</v>
      </c>
      <c r="H104" s="71">
        <v>100</v>
      </c>
      <c r="I104" s="71">
        <v>189</v>
      </c>
      <c r="J104" s="70" t="s">
        <v>8067</v>
      </c>
      <c r="K104" s="70" t="s">
        <v>4</v>
      </c>
      <c r="L104" s="70"/>
      <c r="M104" s="70"/>
      <c r="N104" s="5" t="str">
        <f t="shared" si="1"/>
        <v>1</v>
      </c>
      <c r="O104" s="5" t="str">
        <f>INDEX(Кат!$I:$I,MATCH($A104,Кат!$A:$A,0))</f>
        <v>кристал авто</v>
      </c>
    </row>
    <row r="105" spans="1:15" ht="105" x14ac:dyDescent="0.25">
      <c r="A105" s="69">
        <v>133024</v>
      </c>
      <c r="B105" s="69">
        <v>13779</v>
      </c>
      <c r="C105" s="70" t="s">
        <v>100</v>
      </c>
      <c r="D105" s="70" t="s">
        <v>7198</v>
      </c>
      <c r="E105" s="70" t="s">
        <v>5610</v>
      </c>
      <c r="F105" s="70" t="s">
        <v>2304</v>
      </c>
      <c r="G105" s="70" t="s">
        <v>3</v>
      </c>
      <c r="H105" s="71">
        <v>100</v>
      </c>
      <c r="I105" s="71">
        <v>189</v>
      </c>
      <c r="J105" s="70" t="s">
        <v>8067</v>
      </c>
      <c r="K105" s="70" t="s">
        <v>4</v>
      </c>
      <c r="L105" s="70"/>
      <c r="M105" s="70"/>
      <c r="N105" s="5" t="str">
        <f t="shared" si="1"/>
        <v>1</v>
      </c>
      <c r="O105" s="5" t="str">
        <f>INDEX(Кат!$I:$I,MATCH($A105,Кат!$A:$A,0))</f>
        <v>кристал авто</v>
      </c>
    </row>
    <row r="106" spans="1:15" ht="105" x14ac:dyDescent="0.25">
      <c r="A106" s="69">
        <v>133025</v>
      </c>
      <c r="B106" s="69">
        <v>17059</v>
      </c>
      <c r="C106" s="70" t="s">
        <v>122</v>
      </c>
      <c r="D106" s="70" t="s">
        <v>7198</v>
      </c>
      <c r="E106" s="70" t="s">
        <v>5619</v>
      </c>
      <c r="F106" s="70" t="s">
        <v>2348</v>
      </c>
      <c r="G106" s="70" t="s">
        <v>3</v>
      </c>
      <c r="H106" s="71">
        <v>135</v>
      </c>
      <c r="I106" s="71">
        <v>259</v>
      </c>
      <c r="J106" s="70" t="s">
        <v>8067</v>
      </c>
      <c r="K106" s="70" t="s">
        <v>4</v>
      </c>
      <c r="L106" s="70"/>
      <c r="M106" s="70"/>
      <c r="N106" s="5" t="str">
        <f t="shared" si="1"/>
        <v>1</v>
      </c>
      <c r="O106" s="5" t="str">
        <f>INDEX(Кат!$I:$I,MATCH($A106,Кат!$A:$A,0))</f>
        <v>кристал авто</v>
      </c>
    </row>
    <row r="107" spans="1:15" ht="105" x14ac:dyDescent="0.25">
      <c r="A107" s="69">
        <v>133026</v>
      </c>
      <c r="B107" s="69">
        <v>13777</v>
      </c>
      <c r="C107" s="70" t="s">
        <v>98</v>
      </c>
      <c r="D107" s="70" t="s">
        <v>7198</v>
      </c>
      <c r="E107" s="70" t="s">
        <v>5608</v>
      </c>
      <c r="F107" s="70" t="s">
        <v>2302</v>
      </c>
      <c r="G107" s="70" t="s">
        <v>3</v>
      </c>
      <c r="H107" s="71">
        <v>100</v>
      </c>
      <c r="I107" s="71">
        <v>189</v>
      </c>
      <c r="J107" s="70" t="s">
        <v>8067</v>
      </c>
      <c r="K107" s="70" t="s">
        <v>4</v>
      </c>
      <c r="L107" s="70"/>
      <c r="M107" s="70"/>
      <c r="N107" s="5" t="str">
        <f t="shared" si="1"/>
        <v>1</v>
      </c>
      <c r="O107" s="5" t="str">
        <f>INDEX(Кат!$I:$I,MATCH($A107,Кат!$A:$A,0))</f>
        <v>кристал авто</v>
      </c>
    </row>
    <row r="108" spans="1:15" ht="45" x14ac:dyDescent="0.25">
      <c r="A108" s="69">
        <v>133027</v>
      </c>
      <c r="B108" s="69">
        <v>23970</v>
      </c>
      <c r="C108" s="70" t="s">
        <v>2405</v>
      </c>
      <c r="D108" s="70" t="s">
        <v>7198</v>
      </c>
      <c r="E108" s="70"/>
      <c r="F108" s="70" t="s">
        <v>6054</v>
      </c>
      <c r="G108" s="70" t="s">
        <v>3</v>
      </c>
      <c r="H108" s="71">
        <v>330</v>
      </c>
      <c r="I108" s="71">
        <v>559</v>
      </c>
      <c r="J108" s="70"/>
      <c r="K108" s="70" t="s">
        <v>4</v>
      </c>
      <c r="L108" s="70"/>
      <c r="M108" s="70"/>
      <c r="N108" s="5" t="str">
        <f t="shared" si="1"/>
        <v>1</v>
      </c>
      <c r="O108" s="5" t="str">
        <f>INDEX(Кат!$I:$I,MATCH($A108,Кат!$A:$A,0))</f>
        <v>кристал авто</v>
      </c>
    </row>
    <row r="109" spans="1:15" ht="90" x14ac:dyDescent="0.25">
      <c r="A109" s="69">
        <v>133028</v>
      </c>
      <c r="B109" s="69">
        <v>16473</v>
      </c>
      <c r="C109" s="70" t="s">
        <v>2324</v>
      </c>
      <c r="D109" s="70" t="s">
        <v>7198</v>
      </c>
      <c r="E109" s="70"/>
      <c r="F109" s="70" t="s">
        <v>2323</v>
      </c>
      <c r="G109" s="70" t="s">
        <v>3</v>
      </c>
      <c r="H109" s="71">
        <v>140</v>
      </c>
      <c r="I109" s="71">
        <v>269</v>
      </c>
      <c r="J109" s="70" t="s">
        <v>8068</v>
      </c>
      <c r="K109" s="70" t="s">
        <v>4</v>
      </c>
      <c r="L109" s="70"/>
      <c r="M109" s="70"/>
      <c r="N109" s="5" t="str">
        <f t="shared" si="1"/>
        <v>1</v>
      </c>
      <c r="O109" s="5" t="str">
        <f>INDEX(Кат!$I:$I,MATCH($A109,Кат!$A:$A,0))</f>
        <v>кристал авто</v>
      </c>
    </row>
    <row r="110" spans="1:15" ht="90" x14ac:dyDescent="0.25">
      <c r="A110" s="69">
        <v>133029</v>
      </c>
      <c r="B110" s="69">
        <v>16471</v>
      </c>
      <c r="C110" s="70" t="s">
        <v>112</v>
      </c>
      <c r="D110" s="70" t="s">
        <v>7198</v>
      </c>
      <c r="E110" s="70"/>
      <c r="F110" s="70"/>
      <c r="G110" s="70" t="s">
        <v>3</v>
      </c>
      <c r="H110" s="71">
        <v>140</v>
      </c>
      <c r="I110" s="71">
        <v>269</v>
      </c>
      <c r="J110" s="70" t="s">
        <v>8068</v>
      </c>
      <c r="K110" s="70" t="s">
        <v>7199</v>
      </c>
      <c r="L110" s="70"/>
      <c r="M110" s="70"/>
      <c r="N110" s="5" t="str">
        <f t="shared" si="1"/>
        <v>0</v>
      </c>
      <c r="O110" s="5" t="str">
        <f>INDEX(Кат!$I:$I,MATCH($A110,Кат!$A:$A,0))</f>
        <v>кристал авто</v>
      </c>
    </row>
    <row r="111" spans="1:15" ht="90" x14ac:dyDescent="0.25">
      <c r="A111" s="69">
        <v>133030</v>
      </c>
      <c r="B111" s="69">
        <v>14179</v>
      </c>
      <c r="C111" s="70" t="s">
        <v>108</v>
      </c>
      <c r="D111" s="70" t="s">
        <v>7198</v>
      </c>
      <c r="E111" s="70"/>
      <c r="F111" s="70" t="s">
        <v>2314</v>
      </c>
      <c r="G111" s="70" t="s">
        <v>3</v>
      </c>
      <c r="H111" s="71">
        <v>140</v>
      </c>
      <c r="I111" s="71">
        <v>269</v>
      </c>
      <c r="J111" s="70" t="s">
        <v>8068</v>
      </c>
      <c r="K111" s="70" t="s">
        <v>4</v>
      </c>
      <c r="L111" s="70"/>
      <c r="M111" s="70"/>
      <c r="N111" s="5" t="str">
        <f t="shared" si="1"/>
        <v>1</v>
      </c>
      <c r="O111" s="5" t="str">
        <f>INDEX(Кат!$I:$I,MATCH($A111,Кат!$A:$A,0))</f>
        <v>кристал авто</v>
      </c>
    </row>
    <row r="112" spans="1:15" ht="90" x14ac:dyDescent="0.25">
      <c r="A112" s="69">
        <v>133031</v>
      </c>
      <c r="B112" s="69">
        <v>16472</v>
      </c>
      <c r="C112" s="70" t="s">
        <v>113</v>
      </c>
      <c r="D112" s="70" t="s">
        <v>7198</v>
      </c>
      <c r="E112" s="70"/>
      <c r="F112" s="70" t="s">
        <v>2322</v>
      </c>
      <c r="G112" s="70" t="s">
        <v>3</v>
      </c>
      <c r="H112" s="71">
        <v>140</v>
      </c>
      <c r="I112" s="71">
        <v>269</v>
      </c>
      <c r="J112" s="70" t="s">
        <v>8068</v>
      </c>
      <c r="K112" s="70" t="s">
        <v>4</v>
      </c>
      <c r="L112" s="70"/>
      <c r="M112" s="70"/>
      <c r="N112" s="5" t="str">
        <f t="shared" si="1"/>
        <v>1</v>
      </c>
      <c r="O112" s="5" t="str">
        <f>INDEX(Кат!$I:$I,MATCH($A112,Кат!$A:$A,0))</f>
        <v>кристал авто</v>
      </c>
    </row>
    <row r="113" spans="1:15" ht="90" x14ac:dyDescent="0.25">
      <c r="A113" s="69">
        <v>133032</v>
      </c>
      <c r="B113" s="69">
        <v>14091</v>
      </c>
      <c r="C113" s="70" t="s">
        <v>104</v>
      </c>
      <c r="D113" s="70" t="s">
        <v>7198</v>
      </c>
      <c r="E113" s="70"/>
      <c r="F113" s="70" t="s">
        <v>2308</v>
      </c>
      <c r="G113" s="70" t="s">
        <v>3</v>
      </c>
      <c r="H113" s="71">
        <v>140</v>
      </c>
      <c r="I113" s="71">
        <v>269</v>
      </c>
      <c r="J113" s="70" t="s">
        <v>8068</v>
      </c>
      <c r="K113" s="70" t="s">
        <v>4</v>
      </c>
      <c r="L113" s="70"/>
      <c r="M113" s="70"/>
      <c r="N113" s="5" t="str">
        <f t="shared" si="1"/>
        <v>1</v>
      </c>
      <c r="O113" s="5" t="str">
        <f>INDEX(Кат!$I:$I,MATCH($A113,Кат!$A:$A,0))</f>
        <v>кристал авто</v>
      </c>
    </row>
    <row r="114" spans="1:15" ht="90" x14ac:dyDescent="0.25">
      <c r="A114" s="69">
        <v>133033</v>
      </c>
      <c r="B114" s="69">
        <v>14090</v>
      </c>
      <c r="C114" s="70" t="s">
        <v>103</v>
      </c>
      <c r="D114" s="70" t="s">
        <v>7198</v>
      </c>
      <c r="E114" s="70"/>
      <c r="F114" s="70" t="s">
        <v>2307</v>
      </c>
      <c r="G114" s="70" t="s">
        <v>3</v>
      </c>
      <c r="H114" s="71">
        <v>140</v>
      </c>
      <c r="I114" s="71">
        <v>269</v>
      </c>
      <c r="J114" s="70" t="s">
        <v>8068</v>
      </c>
      <c r="K114" s="70" t="s">
        <v>4</v>
      </c>
      <c r="L114" s="70"/>
      <c r="M114" s="70"/>
      <c r="N114" s="5" t="str">
        <f t="shared" si="1"/>
        <v>1</v>
      </c>
      <c r="O114" s="5" t="str">
        <f>INDEX(Кат!$I:$I,MATCH($A114,Кат!$A:$A,0))</f>
        <v>кристал авто</v>
      </c>
    </row>
    <row r="115" spans="1:15" ht="90" x14ac:dyDescent="0.25">
      <c r="A115" s="69">
        <v>133034</v>
      </c>
      <c r="B115" s="69">
        <v>14180</v>
      </c>
      <c r="C115" s="70" t="s">
        <v>109</v>
      </c>
      <c r="D115" s="70" t="s">
        <v>7198</v>
      </c>
      <c r="E115" s="70"/>
      <c r="F115" s="70" t="s">
        <v>2315</v>
      </c>
      <c r="G115" s="70" t="s">
        <v>3</v>
      </c>
      <c r="H115" s="71">
        <v>140</v>
      </c>
      <c r="I115" s="71">
        <v>269</v>
      </c>
      <c r="J115" s="70" t="s">
        <v>8068</v>
      </c>
      <c r="K115" s="70" t="s">
        <v>4</v>
      </c>
      <c r="L115" s="70"/>
      <c r="M115" s="70"/>
      <c r="N115" s="5" t="str">
        <f t="shared" si="1"/>
        <v>1</v>
      </c>
      <c r="O115" s="5" t="str">
        <f>INDEX(Кат!$I:$I,MATCH($A115,Кат!$A:$A,0))</f>
        <v>кристал авто</v>
      </c>
    </row>
    <row r="116" spans="1:15" ht="60" x14ac:dyDescent="0.25">
      <c r="A116" s="69">
        <v>133035</v>
      </c>
      <c r="B116" s="69">
        <v>16997</v>
      </c>
      <c r="C116" s="70" t="s">
        <v>2345</v>
      </c>
      <c r="D116" s="70" t="s">
        <v>7198</v>
      </c>
      <c r="E116" s="70"/>
      <c r="F116" s="70" t="s">
        <v>2344</v>
      </c>
      <c r="G116" s="70" t="s">
        <v>3</v>
      </c>
      <c r="H116" s="71">
        <v>310</v>
      </c>
      <c r="I116" s="71">
        <v>529</v>
      </c>
      <c r="J116" s="70"/>
      <c r="K116" s="70" t="s">
        <v>4</v>
      </c>
      <c r="L116" s="70"/>
      <c r="M116" s="70"/>
      <c r="N116" s="5" t="str">
        <f t="shared" si="1"/>
        <v>1</v>
      </c>
      <c r="O116" s="5" t="str">
        <f>INDEX(Кат!$I:$I,MATCH($A116,Кат!$A:$A,0))</f>
        <v>кристал авто</v>
      </c>
    </row>
    <row r="117" spans="1:15" ht="60" x14ac:dyDescent="0.25">
      <c r="A117" s="69">
        <v>133036</v>
      </c>
      <c r="B117" s="69">
        <v>16998</v>
      </c>
      <c r="C117" s="70" t="s">
        <v>2347</v>
      </c>
      <c r="D117" s="70" t="s">
        <v>7198</v>
      </c>
      <c r="E117" s="70"/>
      <c r="F117" s="70" t="s">
        <v>2346</v>
      </c>
      <c r="G117" s="70" t="s">
        <v>3</v>
      </c>
      <c r="H117" s="71">
        <v>310</v>
      </c>
      <c r="I117" s="71">
        <v>529</v>
      </c>
      <c r="J117" s="70"/>
      <c r="K117" s="70" t="s">
        <v>4</v>
      </c>
      <c r="L117" s="70"/>
      <c r="M117" s="70"/>
      <c r="N117" s="5" t="str">
        <f t="shared" si="1"/>
        <v>1</v>
      </c>
      <c r="O117" s="5" t="str">
        <f>INDEX(Кат!$I:$I,MATCH($A117,Кат!$A:$A,0))</f>
        <v>кристал авто</v>
      </c>
    </row>
    <row r="118" spans="1:15" ht="60" x14ac:dyDescent="0.25">
      <c r="A118" s="69">
        <v>133037</v>
      </c>
      <c r="B118" s="69">
        <v>16996</v>
      </c>
      <c r="C118" s="70" t="s">
        <v>2343</v>
      </c>
      <c r="D118" s="70" t="s">
        <v>7198</v>
      </c>
      <c r="E118" s="70"/>
      <c r="F118" s="70" t="s">
        <v>2342</v>
      </c>
      <c r="G118" s="70" t="s">
        <v>3</v>
      </c>
      <c r="H118" s="71">
        <v>310</v>
      </c>
      <c r="I118" s="71">
        <v>529</v>
      </c>
      <c r="J118" s="70"/>
      <c r="K118" s="70" t="s">
        <v>4</v>
      </c>
      <c r="L118" s="70"/>
      <c r="M118" s="70"/>
      <c r="N118" s="5" t="str">
        <f t="shared" si="1"/>
        <v>1</v>
      </c>
      <c r="O118" s="5" t="str">
        <f>INDEX(Кат!$I:$I,MATCH($A118,Кат!$A:$A,0))</f>
        <v>кристал авто</v>
      </c>
    </row>
    <row r="119" spans="1:15" ht="60" x14ac:dyDescent="0.25">
      <c r="A119" s="69">
        <v>133038</v>
      </c>
      <c r="B119" s="69">
        <v>16990</v>
      </c>
      <c r="C119" s="70" t="s">
        <v>119</v>
      </c>
      <c r="D119" s="70" t="s">
        <v>7198</v>
      </c>
      <c r="E119" s="70"/>
      <c r="F119" s="70" t="s">
        <v>2337</v>
      </c>
      <c r="G119" s="70" t="s">
        <v>3</v>
      </c>
      <c r="H119" s="71">
        <v>310</v>
      </c>
      <c r="I119" s="71">
        <v>529</v>
      </c>
      <c r="J119" s="70"/>
      <c r="K119" s="70" t="s">
        <v>4</v>
      </c>
      <c r="L119" s="70"/>
      <c r="M119" s="70"/>
      <c r="N119" s="5" t="str">
        <f t="shared" si="1"/>
        <v>1</v>
      </c>
      <c r="O119" s="5" t="str">
        <f>INDEX(Кат!$I:$I,MATCH($A119,Кат!$A:$A,0))</f>
        <v>кристал авто</v>
      </c>
    </row>
    <row r="120" spans="1:15" ht="60" x14ac:dyDescent="0.25">
      <c r="A120" s="69">
        <v>133039</v>
      </c>
      <c r="B120" s="69">
        <v>16995</v>
      </c>
      <c r="C120" s="70" t="s">
        <v>121</v>
      </c>
      <c r="D120" s="70" t="s">
        <v>7198</v>
      </c>
      <c r="E120" s="70"/>
      <c r="F120" s="70" t="s">
        <v>2341</v>
      </c>
      <c r="G120" s="70" t="s">
        <v>3</v>
      </c>
      <c r="H120" s="71">
        <v>310</v>
      </c>
      <c r="I120" s="71">
        <v>529</v>
      </c>
      <c r="J120" s="70"/>
      <c r="K120" s="70" t="s">
        <v>7199</v>
      </c>
      <c r="L120" s="70"/>
      <c r="M120" s="70"/>
      <c r="N120" s="5" t="str">
        <f t="shared" si="1"/>
        <v>0</v>
      </c>
      <c r="O120" s="5" t="str">
        <f>INDEX(Кат!$I:$I,MATCH($A120,Кат!$A:$A,0))</f>
        <v>кристал авто</v>
      </c>
    </row>
    <row r="121" spans="1:15" ht="60" x14ac:dyDescent="0.25">
      <c r="A121" s="69">
        <v>133040</v>
      </c>
      <c r="B121" s="69">
        <v>23750</v>
      </c>
      <c r="C121" s="70" t="s">
        <v>144</v>
      </c>
      <c r="D121" s="70" t="s">
        <v>7198</v>
      </c>
      <c r="E121" s="70"/>
      <c r="F121" s="70"/>
      <c r="G121" s="70" t="s">
        <v>3</v>
      </c>
      <c r="H121" s="71">
        <v>340</v>
      </c>
      <c r="I121" s="71">
        <v>579</v>
      </c>
      <c r="J121" s="70"/>
      <c r="K121" s="70" t="s">
        <v>7199</v>
      </c>
      <c r="L121" s="70"/>
      <c r="M121" s="70"/>
      <c r="N121" s="5" t="str">
        <f t="shared" si="1"/>
        <v>0</v>
      </c>
      <c r="O121" s="5" t="str">
        <f>INDEX(Кат!$I:$I,MATCH($A121,Кат!$A:$A,0))</f>
        <v>кристал авто</v>
      </c>
    </row>
    <row r="122" spans="1:15" ht="60" x14ac:dyDescent="0.25">
      <c r="A122" s="69">
        <v>133041</v>
      </c>
      <c r="B122" s="69">
        <v>16991</v>
      </c>
      <c r="C122" s="70" t="s">
        <v>120</v>
      </c>
      <c r="D122" s="70" t="s">
        <v>7198</v>
      </c>
      <c r="E122" s="70"/>
      <c r="F122" s="70" t="s">
        <v>2338</v>
      </c>
      <c r="G122" s="70" t="s">
        <v>3</v>
      </c>
      <c r="H122" s="71">
        <v>300</v>
      </c>
      <c r="I122" s="71">
        <v>509</v>
      </c>
      <c r="J122" s="70"/>
      <c r="K122" s="70" t="s">
        <v>4</v>
      </c>
      <c r="L122" s="70"/>
      <c r="M122" s="70"/>
      <c r="N122" s="5" t="str">
        <f t="shared" si="1"/>
        <v>1</v>
      </c>
      <c r="O122" s="5" t="str">
        <f>INDEX(Кат!$I:$I,MATCH($A122,Кат!$A:$A,0))</f>
        <v>кристал авто</v>
      </c>
    </row>
    <row r="123" spans="1:15" ht="60" x14ac:dyDescent="0.25">
      <c r="A123" s="69">
        <v>133042</v>
      </c>
      <c r="B123" s="69">
        <v>16992</v>
      </c>
      <c r="C123" s="70" t="s">
        <v>2340</v>
      </c>
      <c r="D123" s="70" t="s">
        <v>7198</v>
      </c>
      <c r="E123" s="70"/>
      <c r="F123" s="70" t="s">
        <v>2339</v>
      </c>
      <c r="G123" s="70" t="s">
        <v>3</v>
      </c>
      <c r="H123" s="71">
        <v>310</v>
      </c>
      <c r="I123" s="71">
        <v>529</v>
      </c>
      <c r="J123" s="70"/>
      <c r="K123" s="70" t="s">
        <v>4</v>
      </c>
      <c r="L123" s="70"/>
      <c r="M123" s="70"/>
      <c r="N123" s="5" t="str">
        <f t="shared" si="1"/>
        <v>1</v>
      </c>
      <c r="O123" s="5" t="str">
        <f>INDEX(Кат!$I:$I,MATCH($A123,Кат!$A:$A,0))</f>
        <v>кристал авто</v>
      </c>
    </row>
    <row r="124" spans="1:15" ht="60" x14ac:dyDescent="0.25">
      <c r="A124" s="69">
        <v>133043</v>
      </c>
      <c r="B124" s="69">
        <v>16983</v>
      </c>
      <c r="C124" s="70" t="s">
        <v>118</v>
      </c>
      <c r="D124" s="70" t="s">
        <v>7198</v>
      </c>
      <c r="E124" s="70"/>
      <c r="F124" s="70" t="s">
        <v>2336</v>
      </c>
      <c r="G124" s="70" t="s">
        <v>3</v>
      </c>
      <c r="H124" s="71">
        <v>300</v>
      </c>
      <c r="I124" s="71">
        <v>509</v>
      </c>
      <c r="J124" s="70"/>
      <c r="K124" s="70" t="s">
        <v>4</v>
      </c>
      <c r="L124" s="70"/>
      <c r="M124" s="70"/>
      <c r="N124" s="5" t="str">
        <f t="shared" si="1"/>
        <v>1</v>
      </c>
      <c r="O124" s="5" t="str">
        <f>INDEX(Кат!$I:$I,MATCH($A124,Кат!$A:$A,0))</f>
        <v>кристал авто</v>
      </c>
    </row>
    <row r="125" spans="1:15" ht="90" x14ac:dyDescent="0.25">
      <c r="A125" s="69">
        <v>133044</v>
      </c>
      <c r="B125" s="69">
        <v>6318</v>
      </c>
      <c r="C125" s="70" t="s">
        <v>5537</v>
      </c>
      <c r="D125" s="70" t="s">
        <v>7198</v>
      </c>
      <c r="E125" s="70" t="s">
        <v>5538</v>
      </c>
      <c r="F125" s="70" t="s">
        <v>2199</v>
      </c>
      <c r="G125" s="70" t="s">
        <v>3</v>
      </c>
      <c r="H125" s="71">
        <v>75</v>
      </c>
      <c r="I125" s="71">
        <v>159</v>
      </c>
      <c r="J125" s="70" t="s">
        <v>8071</v>
      </c>
      <c r="K125" s="70" t="s">
        <v>4</v>
      </c>
      <c r="L125" s="70"/>
      <c r="M125" s="70"/>
      <c r="N125" s="5" t="str">
        <f t="shared" si="1"/>
        <v>1</v>
      </c>
      <c r="O125" s="5" t="str">
        <f>INDEX(Кат!$I:$I,MATCH($A125,Кат!$A:$A,0))</f>
        <v>кристал авто</v>
      </c>
    </row>
    <row r="126" spans="1:15" ht="90" x14ac:dyDescent="0.25">
      <c r="A126" s="69">
        <v>133045</v>
      </c>
      <c r="B126" s="69">
        <v>6315</v>
      </c>
      <c r="C126" s="70" t="s">
        <v>36</v>
      </c>
      <c r="D126" s="70" t="s">
        <v>7198</v>
      </c>
      <c r="E126" s="70" t="s">
        <v>5536</v>
      </c>
      <c r="F126" s="70" t="s">
        <v>2198</v>
      </c>
      <c r="G126" s="70" t="s">
        <v>3</v>
      </c>
      <c r="H126" s="71">
        <v>75</v>
      </c>
      <c r="I126" s="71">
        <v>159</v>
      </c>
      <c r="J126" s="70" t="s">
        <v>8071</v>
      </c>
      <c r="K126" s="70" t="s">
        <v>4</v>
      </c>
      <c r="L126" s="70"/>
      <c r="M126" s="70"/>
      <c r="N126" s="5" t="str">
        <f t="shared" si="1"/>
        <v>1</v>
      </c>
      <c r="O126" s="5" t="str">
        <f>INDEX(Кат!$I:$I,MATCH($A126,Кат!$A:$A,0))</f>
        <v>кристал авто</v>
      </c>
    </row>
    <row r="127" spans="1:15" ht="90" x14ac:dyDescent="0.25">
      <c r="A127" s="69">
        <v>133046</v>
      </c>
      <c r="B127" s="69">
        <v>6319</v>
      </c>
      <c r="C127" s="70" t="s">
        <v>37</v>
      </c>
      <c r="D127" s="70" t="s">
        <v>7198</v>
      </c>
      <c r="E127" s="70" t="s">
        <v>5539</v>
      </c>
      <c r="F127" s="70" t="s">
        <v>2200</v>
      </c>
      <c r="G127" s="70" t="s">
        <v>3</v>
      </c>
      <c r="H127" s="71">
        <v>75</v>
      </c>
      <c r="I127" s="71">
        <v>159</v>
      </c>
      <c r="J127" s="70" t="s">
        <v>8071</v>
      </c>
      <c r="K127" s="70" t="s">
        <v>4</v>
      </c>
      <c r="L127" s="70"/>
      <c r="M127" s="70"/>
      <c r="N127" s="5" t="str">
        <f t="shared" si="1"/>
        <v>1</v>
      </c>
      <c r="O127" s="5" t="str">
        <f>INDEX(Кат!$I:$I,MATCH($A127,Кат!$A:$A,0))</f>
        <v>кристал авто</v>
      </c>
    </row>
    <row r="128" spans="1:15" ht="90" x14ac:dyDescent="0.25">
      <c r="A128" s="69">
        <v>133047</v>
      </c>
      <c r="B128" s="69">
        <v>6311</v>
      </c>
      <c r="C128" s="70" t="s">
        <v>32</v>
      </c>
      <c r="D128" s="70" t="s">
        <v>7198</v>
      </c>
      <c r="E128" s="70" t="s">
        <v>5532</v>
      </c>
      <c r="F128" s="70" t="s">
        <v>2194</v>
      </c>
      <c r="G128" s="70" t="s">
        <v>3</v>
      </c>
      <c r="H128" s="71">
        <v>75</v>
      </c>
      <c r="I128" s="71">
        <v>159</v>
      </c>
      <c r="J128" s="70" t="s">
        <v>8071</v>
      </c>
      <c r="K128" s="70" t="s">
        <v>4</v>
      </c>
      <c r="L128" s="70"/>
      <c r="M128" s="70"/>
      <c r="N128" s="5" t="str">
        <f t="shared" si="1"/>
        <v>1</v>
      </c>
      <c r="O128" s="5" t="str">
        <f>INDEX(Кат!$I:$I,MATCH($A128,Кат!$A:$A,0))</f>
        <v>кристал авто</v>
      </c>
    </row>
    <row r="129" spans="1:15" ht="90" x14ac:dyDescent="0.25">
      <c r="A129" s="69">
        <v>133048</v>
      </c>
      <c r="B129" s="69">
        <v>6313</v>
      </c>
      <c r="C129" s="70" t="s">
        <v>34</v>
      </c>
      <c r="D129" s="70" t="s">
        <v>7198</v>
      </c>
      <c r="E129" s="70" t="s">
        <v>5534</v>
      </c>
      <c r="F129" s="70" t="s">
        <v>2196</v>
      </c>
      <c r="G129" s="70" t="s">
        <v>3</v>
      </c>
      <c r="H129" s="71">
        <v>75</v>
      </c>
      <c r="I129" s="71">
        <v>159</v>
      </c>
      <c r="J129" s="70" t="s">
        <v>8071</v>
      </c>
      <c r="K129" s="70" t="s">
        <v>4</v>
      </c>
      <c r="L129" s="70"/>
      <c r="M129" s="70"/>
      <c r="N129" s="5" t="str">
        <f t="shared" si="1"/>
        <v>1</v>
      </c>
      <c r="O129" s="5" t="str">
        <f>INDEX(Кат!$I:$I,MATCH($A129,Кат!$A:$A,0))</f>
        <v>кристал авто</v>
      </c>
    </row>
    <row r="130" spans="1:15" ht="90" x14ac:dyDescent="0.25">
      <c r="A130" s="69">
        <v>133049</v>
      </c>
      <c r="B130" s="69">
        <v>6314</v>
      </c>
      <c r="C130" s="70" t="s">
        <v>35</v>
      </c>
      <c r="D130" s="70" t="s">
        <v>7198</v>
      </c>
      <c r="E130" s="70" t="s">
        <v>5535</v>
      </c>
      <c r="F130" s="70" t="s">
        <v>2197</v>
      </c>
      <c r="G130" s="70" t="s">
        <v>3</v>
      </c>
      <c r="H130" s="71">
        <v>75</v>
      </c>
      <c r="I130" s="71">
        <v>159</v>
      </c>
      <c r="J130" s="70" t="s">
        <v>8071</v>
      </c>
      <c r="K130" s="70" t="s">
        <v>4</v>
      </c>
      <c r="L130" s="70"/>
      <c r="M130" s="70"/>
      <c r="N130" s="5" t="str">
        <f t="shared" si="1"/>
        <v>1</v>
      </c>
      <c r="O130" s="5" t="str">
        <f>INDEX(Кат!$I:$I,MATCH($A130,Кат!$A:$A,0))</f>
        <v>кристал авто</v>
      </c>
    </row>
    <row r="131" spans="1:15" ht="90" x14ac:dyDescent="0.25">
      <c r="A131" s="69">
        <v>133050</v>
      </c>
      <c r="B131" s="69">
        <v>6312</v>
      </c>
      <c r="C131" s="70" t="s">
        <v>33</v>
      </c>
      <c r="D131" s="70" t="s">
        <v>7198</v>
      </c>
      <c r="E131" s="70" t="s">
        <v>5533</v>
      </c>
      <c r="F131" s="70" t="s">
        <v>2195</v>
      </c>
      <c r="G131" s="70" t="s">
        <v>3</v>
      </c>
      <c r="H131" s="71">
        <v>75</v>
      </c>
      <c r="I131" s="71">
        <v>159</v>
      </c>
      <c r="J131" s="70" t="s">
        <v>8071</v>
      </c>
      <c r="K131" s="70" t="s">
        <v>4</v>
      </c>
      <c r="L131" s="70"/>
      <c r="M131" s="70"/>
      <c r="N131" s="5" t="str">
        <f t="shared" ref="N131:N194" si="2">_xlfn.CONCAT(K131,IF(L131&lt;&gt;"",_xlfn.CONCAT("ск",L131),""))</f>
        <v>1</v>
      </c>
      <c r="O131" s="5" t="str">
        <f>INDEX(Кат!$I:$I,MATCH($A131,Кат!$A:$A,0))</f>
        <v>кристал авто</v>
      </c>
    </row>
    <row r="132" spans="1:15" ht="30" x14ac:dyDescent="0.25">
      <c r="A132" s="69">
        <v>133051</v>
      </c>
      <c r="B132" s="69">
        <v>6273</v>
      </c>
      <c r="C132" s="70" t="s">
        <v>2166</v>
      </c>
      <c r="D132" s="70" t="s">
        <v>7198</v>
      </c>
      <c r="E132" s="70" t="s">
        <v>5514</v>
      </c>
      <c r="F132" s="70" t="s">
        <v>2165</v>
      </c>
      <c r="G132" s="70" t="s">
        <v>3</v>
      </c>
      <c r="H132" s="71">
        <v>440</v>
      </c>
      <c r="I132" s="71">
        <v>739</v>
      </c>
      <c r="J132" s="70"/>
      <c r="K132" s="70" t="s">
        <v>4</v>
      </c>
      <c r="L132" s="70"/>
      <c r="M132" s="70"/>
      <c r="N132" s="5" t="str">
        <f t="shared" si="2"/>
        <v>1</v>
      </c>
      <c r="O132" s="5" t="str">
        <f>INDEX(Кат!$I:$I,MATCH($A132,Кат!$A:$A,0))</f>
        <v>кристал авто</v>
      </c>
    </row>
    <row r="133" spans="1:15" ht="30" x14ac:dyDescent="0.25">
      <c r="A133" s="69">
        <v>133052</v>
      </c>
      <c r="B133" s="69">
        <v>19078</v>
      </c>
      <c r="C133" s="70" t="s">
        <v>2372</v>
      </c>
      <c r="D133" s="70" t="s">
        <v>7198</v>
      </c>
      <c r="E133" s="70" t="s">
        <v>5628</v>
      </c>
      <c r="F133" s="70" t="s">
        <v>2371</v>
      </c>
      <c r="G133" s="70" t="s">
        <v>3</v>
      </c>
      <c r="H133" s="71">
        <v>440</v>
      </c>
      <c r="I133" s="71">
        <v>739</v>
      </c>
      <c r="J133" s="70"/>
      <c r="K133" s="70" t="s">
        <v>4</v>
      </c>
      <c r="L133" s="70"/>
      <c r="M133" s="70"/>
      <c r="N133" s="5" t="str">
        <f t="shared" si="2"/>
        <v>1</v>
      </c>
      <c r="O133" s="5" t="str">
        <f>INDEX(Кат!$I:$I,MATCH($A133,Кат!$A:$A,0))</f>
        <v>кристал авто</v>
      </c>
    </row>
    <row r="134" spans="1:15" ht="30" x14ac:dyDescent="0.25">
      <c r="A134" s="69">
        <v>133053</v>
      </c>
      <c r="B134" s="69">
        <v>6276</v>
      </c>
      <c r="C134" s="70" t="s">
        <v>2168</v>
      </c>
      <c r="D134" s="70" t="s">
        <v>7198</v>
      </c>
      <c r="E134" s="70" t="s">
        <v>5515</v>
      </c>
      <c r="F134" s="70" t="s">
        <v>2167</v>
      </c>
      <c r="G134" s="70" t="s">
        <v>3</v>
      </c>
      <c r="H134" s="71">
        <v>440</v>
      </c>
      <c r="I134" s="71">
        <v>739</v>
      </c>
      <c r="J134" s="70"/>
      <c r="K134" s="70" t="s">
        <v>4</v>
      </c>
      <c r="L134" s="70"/>
      <c r="M134" s="70"/>
      <c r="N134" s="5" t="str">
        <f t="shared" si="2"/>
        <v>1</v>
      </c>
      <c r="O134" s="5" t="str">
        <f>INDEX(Кат!$I:$I,MATCH($A134,Кат!$A:$A,0))</f>
        <v>кристал авто</v>
      </c>
    </row>
    <row r="135" spans="1:15" ht="30" x14ac:dyDescent="0.25">
      <c r="A135" s="69">
        <v>133054</v>
      </c>
      <c r="B135" s="69">
        <v>6277</v>
      </c>
      <c r="C135" s="70" t="s">
        <v>2170</v>
      </c>
      <c r="D135" s="70" t="s">
        <v>7198</v>
      </c>
      <c r="E135" s="70" t="s">
        <v>5516</v>
      </c>
      <c r="F135" s="70" t="s">
        <v>2169</v>
      </c>
      <c r="G135" s="70" t="s">
        <v>3</v>
      </c>
      <c r="H135" s="71">
        <v>440</v>
      </c>
      <c r="I135" s="71">
        <v>739</v>
      </c>
      <c r="J135" s="70"/>
      <c r="K135" s="70" t="s">
        <v>4</v>
      </c>
      <c r="L135" s="70"/>
      <c r="M135" s="70"/>
      <c r="N135" s="5" t="str">
        <f t="shared" si="2"/>
        <v>1</v>
      </c>
      <c r="O135" s="5" t="str">
        <f>INDEX(Кат!$I:$I,MATCH($A135,Кат!$A:$A,0))</f>
        <v>кристал авто</v>
      </c>
    </row>
    <row r="136" spans="1:15" ht="30" x14ac:dyDescent="0.25">
      <c r="A136" s="69">
        <v>133055</v>
      </c>
      <c r="B136" s="69">
        <v>6279</v>
      </c>
      <c r="C136" s="70" t="s">
        <v>2172</v>
      </c>
      <c r="D136" s="70" t="s">
        <v>7198</v>
      </c>
      <c r="E136" s="70" t="s">
        <v>5517</v>
      </c>
      <c r="F136" s="70" t="s">
        <v>2171</v>
      </c>
      <c r="G136" s="70" t="s">
        <v>3</v>
      </c>
      <c r="H136" s="71">
        <v>440</v>
      </c>
      <c r="I136" s="71">
        <v>739</v>
      </c>
      <c r="J136" s="70"/>
      <c r="K136" s="70" t="s">
        <v>4</v>
      </c>
      <c r="L136" s="70"/>
      <c r="M136" s="70"/>
      <c r="N136" s="5" t="str">
        <f t="shared" si="2"/>
        <v>1</v>
      </c>
      <c r="O136" s="5" t="str">
        <f>INDEX(Кат!$I:$I,MATCH($A136,Кат!$A:$A,0))</f>
        <v>кристал авто</v>
      </c>
    </row>
    <row r="137" spans="1:15" ht="30" x14ac:dyDescent="0.25">
      <c r="A137" s="69">
        <v>133056</v>
      </c>
      <c r="B137" s="69">
        <v>6280</v>
      </c>
      <c r="C137" s="70" t="s">
        <v>2174</v>
      </c>
      <c r="D137" s="70" t="s">
        <v>7198</v>
      </c>
      <c r="E137" s="70" t="s">
        <v>5518</v>
      </c>
      <c r="F137" s="70" t="s">
        <v>2173</v>
      </c>
      <c r="G137" s="70" t="s">
        <v>3</v>
      </c>
      <c r="H137" s="71">
        <v>440</v>
      </c>
      <c r="I137" s="71">
        <v>739</v>
      </c>
      <c r="J137" s="70"/>
      <c r="K137" s="70" t="s">
        <v>4</v>
      </c>
      <c r="L137" s="70"/>
      <c r="M137" s="70"/>
      <c r="N137" s="5" t="str">
        <f t="shared" si="2"/>
        <v>1</v>
      </c>
      <c r="O137" s="5" t="str">
        <f>INDEX(Кат!$I:$I,MATCH($A137,Кат!$A:$A,0))</f>
        <v>кристал авто</v>
      </c>
    </row>
    <row r="138" spans="1:15" ht="30" x14ac:dyDescent="0.25">
      <c r="A138" s="69">
        <v>133057</v>
      </c>
      <c r="B138" s="69">
        <v>6281</v>
      </c>
      <c r="C138" s="70" t="s">
        <v>2176</v>
      </c>
      <c r="D138" s="70" t="s">
        <v>7198</v>
      </c>
      <c r="E138" s="70" t="s">
        <v>5519</v>
      </c>
      <c r="F138" s="70" t="s">
        <v>2175</v>
      </c>
      <c r="G138" s="70" t="s">
        <v>3</v>
      </c>
      <c r="H138" s="71">
        <v>440</v>
      </c>
      <c r="I138" s="71">
        <v>739</v>
      </c>
      <c r="J138" s="70"/>
      <c r="K138" s="70" t="s">
        <v>4</v>
      </c>
      <c r="L138" s="70"/>
      <c r="M138" s="70"/>
      <c r="N138" s="5" t="str">
        <f t="shared" si="2"/>
        <v>1</v>
      </c>
      <c r="O138" s="5" t="str">
        <f>INDEX(Кат!$I:$I,MATCH($A138,Кат!$A:$A,0))</f>
        <v>кристал авто</v>
      </c>
    </row>
    <row r="139" spans="1:15" ht="90" x14ac:dyDescent="0.25">
      <c r="A139" s="69">
        <v>133058</v>
      </c>
      <c r="B139" s="69">
        <v>13626</v>
      </c>
      <c r="C139" s="70" t="s">
        <v>93</v>
      </c>
      <c r="D139" s="70" t="s">
        <v>7198</v>
      </c>
      <c r="E139" s="70" t="s">
        <v>5604</v>
      </c>
      <c r="F139" s="70" t="s">
        <v>2298</v>
      </c>
      <c r="G139" s="70" t="s">
        <v>3</v>
      </c>
      <c r="H139" s="71">
        <v>110</v>
      </c>
      <c r="I139" s="71">
        <v>199</v>
      </c>
      <c r="J139" s="70" t="s">
        <v>8055</v>
      </c>
      <c r="K139" s="70" t="s">
        <v>4</v>
      </c>
      <c r="L139" s="70"/>
      <c r="M139" s="70"/>
      <c r="N139" s="5" t="str">
        <f t="shared" si="2"/>
        <v>1</v>
      </c>
      <c r="O139" s="5" t="str">
        <f>INDEX(Кат!$I:$I,MATCH($A139,Кат!$A:$A,0))</f>
        <v>кристал авто</v>
      </c>
    </row>
    <row r="140" spans="1:15" ht="90" x14ac:dyDescent="0.25">
      <c r="A140" s="69">
        <v>133059</v>
      </c>
      <c r="B140" s="69">
        <v>13619</v>
      </c>
      <c r="C140" s="70" t="s">
        <v>87</v>
      </c>
      <c r="D140" s="70" t="s">
        <v>7198</v>
      </c>
      <c r="E140" s="70" t="s">
        <v>5599</v>
      </c>
      <c r="F140" s="70" t="s">
        <v>2293</v>
      </c>
      <c r="G140" s="70" t="s">
        <v>3</v>
      </c>
      <c r="H140" s="71">
        <v>110</v>
      </c>
      <c r="I140" s="71">
        <v>199</v>
      </c>
      <c r="J140" s="70" t="s">
        <v>8055</v>
      </c>
      <c r="K140" s="70" t="s">
        <v>4</v>
      </c>
      <c r="L140" s="70"/>
      <c r="M140" s="70"/>
      <c r="N140" s="5" t="str">
        <f t="shared" si="2"/>
        <v>1</v>
      </c>
      <c r="O140" s="5" t="str">
        <f>INDEX(Кат!$I:$I,MATCH($A140,Кат!$A:$A,0))</f>
        <v>кристал авто</v>
      </c>
    </row>
    <row r="141" spans="1:15" ht="90" x14ac:dyDescent="0.25">
      <c r="A141" s="69">
        <v>133060</v>
      </c>
      <c r="B141" s="69">
        <v>6295</v>
      </c>
      <c r="C141" s="70" t="s">
        <v>27</v>
      </c>
      <c r="D141" s="70" t="s">
        <v>7198</v>
      </c>
      <c r="E141" s="70" t="s">
        <v>5526</v>
      </c>
      <c r="F141" s="70" t="s">
        <v>2186</v>
      </c>
      <c r="G141" s="70" t="s">
        <v>3</v>
      </c>
      <c r="H141" s="71">
        <v>110</v>
      </c>
      <c r="I141" s="71">
        <v>199</v>
      </c>
      <c r="J141" s="70" t="s">
        <v>8055</v>
      </c>
      <c r="K141" s="70" t="s">
        <v>4</v>
      </c>
      <c r="L141" s="70"/>
      <c r="M141" s="70"/>
      <c r="N141" s="5" t="str">
        <f t="shared" si="2"/>
        <v>1</v>
      </c>
      <c r="O141" s="5" t="str">
        <f>INDEX(Кат!$I:$I,MATCH($A141,Кат!$A:$A,0))</f>
        <v>кристал авто</v>
      </c>
    </row>
    <row r="142" spans="1:15" ht="90" x14ac:dyDescent="0.25">
      <c r="A142" s="69">
        <v>133061</v>
      </c>
      <c r="B142" s="69">
        <v>6298</v>
      </c>
      <c r="C142" s="70" t="s">
        <v>29</v>
      </c>
      <c r="D142" s="70" t="s">
        <v>7198</v>
      </c>
      <c r="E142" s="70" t="s">
        <v>5527</v>
      </c>
      <c r="F142" s="70" t="s">
        <v>2187</v>
      </c>
      <c r="G142" s="70" t="s">
        <v>3</v>
      </c>
      <c r="H142" s="71">
        <v>110</v>
      </c>
      <c r="I142" s="71">
        <v>199</v>
      </c>
      <c r="J142" s="70" t="s">
        <v>8055</v>
      </c>
      <c r="K142" s="70" t="s">
        <v>4</v>
      </c>
      <c r="L142" s="70"/>
      <c r="M142" s="70"/>
      <c r="N142" s="5" t="str">
        <f t="shared" si="2"/>
        <v>1</v>
      </c>
      <c r="O142" s="5" t="str">
        <f>INDEX(Кат!$I:$I,MATCH($A142,Кат!$A:$A,0))</f>
        <v>кристал авто</v>
      </c>
    </row>
    <row r="143" spans="1:15" ht="90" x14ac:dyDescent="0.25">
      <c r="A143" s="69">
        <v>133062</v>
      </c>
      <c r="B143" s="69">
        <v>13616</v>
      </c>
      <c r="C143" s="70" t="s">
        <v>85</v>
      </c>
      <c r="D143" s="70" t="s">
        <v>7198</v>
      </c>
      <c r="E143" s="70" t="s">
        <v>5597</v>
      </c>
      <c r="F143" s="70" t="s">
        <v>2291</v>
      </c>
      <c r="G143" s="70" t="s">
        <v>3</v>
      </c>
      <c r="H143" s="71">
        <v>110</v>
      </c>
      <c r="I143" s="71">
        <v>199</v>
      </c>
      <c r="J143" s="70" t="s">
        <v>8055</v>
      </c>
      <c r="K143" s="70" t="s">
        <v>4</v>
      </c>
      <c r="L143" s="70"/>
      <c r="M143" s="70"/>
      <c r="N143" s="5" t="str">
        <f t="shared" si="2"/>
        <v>1</v>
      </c>
      <c r="O143" s="5" t="str">
        <f>INDEX(Кат!$I:$I,MATCH($A143,Кат!$A:$A,0))</f>
        <v>кристал авто</v>
      </c>
    </row>
    <row r="144" spans="1:15" ht="90" x14ac:dyDescent="0.25">
      <c r="A144" s="69">
        <v>133063</v>
      </c>
      <c r="B144" s="69">
        <v>13624</v>
      </c>
      <c r="C144" s="70" t="s">
        <v>91</v>
      </c>
      <c r="D144" s="70" t="s">
        <v>7198</v>
      </c>
      <c r="E144" s="70" t="s">
        <v>5602</v>
      </c>
      <c r="F144" s="70" t="s">
        <v>2296</v>
      </c>
      <c r="G144" s="70" t="s">
        <v>3</v>
      </c>
      <c r="H144" s="71">
        <v>110</v>
      </c>
      <c r="I144" s="71">
        <v>199</v>
      </c>
      <c r="J144" s="70" t="s">
        <v>8055</v>
      </c>
      <c r="K144" s="70" t="s">
        <v>4</v>
      </c>
      <c r="L144" s="70"/>
      <c r="M144" s="70"/>
      <c r="N144" s="5" t="str">
        <f t="shared" si="2"/>
        <v>1</v>
      </c>
      <c r="O144" s="5" t="str">
        <f>INDEX(Кат!$I:$I,MATCH($A144,Кат!$A:$A,0))</f>
        <v>кристал авто</v>
      </c>
    </row>
    <row r="145" spans="1:15" ht="90" x14ac:dyDescent="0.25">
      <c r="A145" s="69">
        <v>133064</v>
      </c>
      <c r="B145" s="69">
        <v>13621</v>
      </c>
      <c r="C145" s="70" t="s">
        <v>89</v>
      </c>
      <c r="D145" s="70" t="s">
        <v>7198</v>
      </c>
      <c r="E145" s="70" t="s">
        <v>5601</v>
      </c>
      <c r="F145" s="70" t="s">
        <v>2295</v>
      </c>
      <c r="G145" s="70" t="s">
        <v>3</v>
      </c>
      <c r="H145" s="71">
        <v>110</v>
      </c>
      <c r="I145" s="71">
        <v>199</v>
      </c>
      <c r="J145" s="70" t="s">
        <v>8055</v>
      </c>
      <c r="K145" s="70" t="s">
        <v>7199</v>
      </c>
      <c r="L145" s="70"/>
      <c r="M145" s="70"/>
      <c r="N145" s="5" t="str">
        <f t="shared" si="2"/>
        <v>0</v>
      </c>
      <c r="O145" s="5" t="str">
        <f>INDEX(Кат!$I:$I,MATCH($A145,Кат!$A:$A,0))</f>
        <v>кристал авто</v>
      </c>
    </row>
    <row r="146" spans="1:15" ht="90" x14ac:dyDescent="0.25">
      <c r="A146" s="69">
        <v>133065</v>
      </c>
      <c r="B146" s="69">
        <v>13629</v>
      </c>
      <c r="C146" s="70" t="s">
        <v>95</v>
      </c>
      <c r="D146" s="70" t="s">
        <v>7198</v>
      </c>
      <c r="E146" s="70" t="s">
        <v>5605</v>
      </c>
      <c r="F146" s="70" t="s">
        <v>2299</v>
      </c>
      <c r="G146" s="70" t="s">
        <v>3</v>
      </c>
      <c r="H146" s="71">
        <v>110</v>
      </c>
      <c r="I146" s="71">
        <v>199</v>
      </c>
      <c r="J146" s="70" t="s">
        <v>8055</v>
      </c>
      <c r="K146" s="70" t="s">
        <v>4</v>
      </c>
      <c r="L146" s="70"/>
      <c r="M146" s="70"/>
      <c r="N146" s="5" t="str">
        <f t="shared" si="2"/>
        <v>1</v>
      </c>
      <c r="O146" s="5" t="str">
        <f>INDEX(Кат!$I:$I,MATCH($A146,Кат!$A:$A,0))</f>
        <v>кристал авто</v>
      </c>
    </row>
    <row r="147" spans="1:15" ht="90" x14ac:dyDescent="0.25">
      <c r="A147" s="69">
        <v>133066</v>
      </c>
      <c r="B147" s="69">
        <v>6307</v>
      </c>
      <c r="C147" s="70" t="s">
        <v>2193</v>
      </c>
      <c r="D147" s="70" t="s">
        <v>7198</v>
      </c>
      <c r="E147" s="70" t="s">
        <v>5531</v>
      </c>
      <c r="F147" s="70" t="s">
        <v>2192</v>
      </c>
      <c r="G147" s="70" t="s">
        <v>3</v>
      </c>
      <c r="H147" s="71">
        <v>110</v>
      </c>
      <c r="I147" s="71">
        <v>199</v>
      </c>
      <c r="J147" s="70" t="s">
        <v>8055</v>
      </c>
      <c r="K147" s="70" t="s">
        <v>4</v>
      </c>
      <c r="L147" s="70"/>
      <c r="M147" s="70"/>
      <c r="N147" s="5" t="str">
        <f t="shared" si="2"/>
        <v>1</v>
      </c>
      <c r="O147" s="5" t="str">
        <f>INDEX(Кат!$I:$I,MATCH($A147,Кат!$A:$A,0))</f>
        <v>кристал авто</v>
      </c>
    </row>
    <row r="148" spans="1:15" ht="90" x14ac:dyDescent="0.25">
      <c r="A148" s="69">
        <v>133067</v>
      </c>
      <c r="B148" s="69">
        <v>13630</v>
      </c>
      <c r="C148" s="70" t="s">
        <v>96</v>
      </c>
      <c r="D148" s="70" t="s">
        <v>7198</v>
      </c>
      <c r="E148" s="70" t="s">
        <v>5606</v>
      </c>
      <c r="F148" s="70" t="s">
        <v>2300</v>
      </c>
      <c r="G148" s="70" t="s">
        <v>3</v>
      </c>
      <c r="H148" s="71">
        <v>110</v>
      </c>
      <c r="I148" s="71">
        <v>199</v>
      </c>
      <c r="J148" s="70" t="s">
        <v>8055</v>
      </c>
      <c r="K148" s="70" t="s">
        <v>4</v>
      </c>
      <c r="L148" s="70"/>
      <c r="M148" s="70"/>
      <c r="N148" s="5" t="str">
        <f t="shared" si="2"/>
        <v>1</v>
      </c>
      <c r="O148" s="5" t="str">
        <f>INDEX(Кат!$I:$I,MATCH($A148,Кат!$A:$A,0))</f>
        <v>кристал авто</v>
      </c>
    </row>
    <row r="149" spans="1:15" ht="90" x14ac:dyDescent="0.25">
      <c r="A149" s="69">
        <v>133068</v>
      </c>
      <c r="B149" s="69">
        <v>6293</v>
      </c>
      <c r="C149" s="70" t="s">
        <v>2185</v>
      </c>
      <c r="D149" s="70" t="s">
        <v>7198</v>
      </c>
      <c r="E149" s="70" t="s">
        <v>5525</v>
      </c>
      <c r="F149" s="70" t="s">
        <v>2184</v>
      </c>
      <c r="G149" s="70" t="s">
        <v>3</v>
      </c>
      <c r="H149" s="71">
        <v>110</v>
      </c>
      <c r="I149" s="71">
        <v>199</v>
      </c>
      <c r="J149" s="70" t="s">
        <v>8055</v>
      </c>
      <c r="K149" s="70" t="s">
        <v>4</v>
      </c>
      <c r="L149" s="70"/>
      <c r="M149" s="70"/>
      <c r="N149" s="5" t="str">
        <f t="shared" si="2"/>
        <v>1</v>
      </c>
      <c r="O149" s="5" t="str">
        <f>INDEX(Кат!$I:$I,MATCH($A149,Кат!$A:$A,0))</f>
        <v>кристал авто</v>
      </c>
    </row>
    <row r="150" spans="1:15" ht="90" x14ac:dyDescent="0.25">
      <c r="A150" s="69">
        <v>133069</v>
      </c>
      <c r="B150" s="69">
        <v>13631</v>
      </c>
      <c r="C150" s="70" t="s">
        <v>97</v>
      </c>
      <c r="D150" s="70" t="s">
        <v>7198</v>
      </c>
      <c r="E150" s="70" t="s">
        <v>5607</v>
      </c>
      <c r="F150" s="70" t="s">
        <v>2301</v>
      </c>
      <c r="G150" s="70" t="s">
        <v>3</v>
      </c>
      <c r="H150" s="71">
        <v>110</v>
      </c>
      <c r="I150" s="71">
        <v>199</v>
      </c>
      <c r="J150" s="70" t="s">
        <v>8055</v>
      </c>
      <c r="K150" s="70" t="s">
        <v>4</v>
      </c>
      <c r="L150" s="70"/>
      <c r="M150" s="70"/>
      <c r="N150" s="5" t="str">
        <f t="shared" si="2"/>
        <v>1</v>
      </c>
      <c r="O150" s="5" t="str">
        <f>INDEX(Кат!$I:$I,MATCH($A150,Кат!$A:$A,0))</f>
        <v>кристал авто</v>
      </c>
    </row>
    <row r="151" spans="1:15" ht="90" x14ac:dyDescent="0.25">
      <c r="A151" s="69">
        <v>133070</v>
      </c>
      <c r="B151" s="69">
        <v>13623</v>
      </c>
      <c r="C151" s="70" t="s">
        <v>90</v>
      </c>
      <c r="D151" s="70" t="s">
        <v>7198</v>
      </c>
      <c r="E151" s="70"/>
      <c r="F151" s="70"/>
      <c r="G151" s="70" t="s">
        <v>3</v>
      </c>
      <c r="H151" s="71">
        <v>110</v>
      </c>
      <c r="I151" s="71">
        <v>199</v>
      </c>
      <c r="J151" s="70" t="s">
        <v>8055</v>
      </c>
      <c r="K151" s="70" t="s">
        <v>7199</v>
      </c>
      <c r="L151" s="70"/>
      <c r="M151" s="70"/>
      <c r="N151" s="5" t="str">
        <f t="shared" si="2"/>
        <v>0</v>
      </c>
      <c r="O151" s="5" t="str">
        <f>INDEX(Кат!$I:$I,MATCH($A151,Кат!$A:$A,0))</f>
        <v>кристал авто</v>
      </c>
    </row>
    <row r="152" spans="1:15" ht="90" x14ac:dyDescent="0.25">
      <c r="A152" s="69">
        <v>133071</v>
      </c>
      <c r="B152" s="69">
        <v>13625</v>
      </c>
      <c r="C152" s="70" t="s">
        <v>92</v>
      </c>
      <c r="D152" s="70" t="s">
        <v>7198</v>
      </c>
      <c r="E152" s="70" t="s">
        <v>5603</v>
      </c>
      <c r="F152" s="70" t="s">
        <v>2297</v>
      </c>
      <c r="G152" s="70" t="s">
        <v>3</v>
      </c>
      <c r="H152" s="71">
        <v>110</v>
      </c>
      <c r="I152" s="71">
        <v>199</v>
      </c>
      <c r="J152" s="70" t="s">
        <v>8055</v>
      </c>
      <c r="K152" s="70" t="s">
        <v>4</v>
      </c>
      <c r="L152" s="70"/>
      <c r="M152" s="70"/>
      <c r="N152" s="5" t="str">
        <f t="shared" si="2"/>
        <v>1</v>
      </c>
      <c r="O152" s="5" t="str">
        <f>INDEX(Кат!$I:$I,MATCH($A152,Кат!$A:$A,0))</f>
        <v>кристал авто</v>
      </c>
    </row>
    <row r="153" spans="1:15" ht="90" x14ac:dyDescent="0.25">
      <c r="A153" s="69">
        <v>133072</v>
      </c>
      <c r="B153" s="69">
        <v>6304</v>
      </c>
      <c r="C153" s="70" t="s">
        <v>31</v>
      </c>
      <c r="D153" s="70" t="s">
        <v>7198</v>
      </c>
      <c r="E153" s="70" t="s">
        <v>5529</v>
      </c>
      <c r="F153" s="70" t="s">
        <v>2189</v>
      </c>
      <c r="G153" s="70" t="s">
        <v>3</v>
      </c>
      <c r="H153" s="71">
        <v>110</v>
      </c>
      <c r="I153" s="71">
        <v>199</v>
      </c>
      <c r="J153" s="70" t="s">
        <v>8055</v>
      </c>
      <c r="K153" s="70" t="s">
        <v>4</v>
      </c>
      <c r="L153" s="70"/>
      <c r="M153" s="70"/>
      <c r="N153" s="5" t="str">
        <f t="shared" si="2"/>
        <v>1</v>
      </c>
      <c r="O153" s="5" t="str">
        <f>INDEX(Кат!$I:$I,MATCH($A153,Кат!$A:$A,0))</f>
        <v>кристал авто</v>
      </c>
    </row>
    <row r="154" spans="1:15" ht="90" x14ac:dyDescent="0.25">
      <c r="A154" s="69">
        <v>133073</v>
      </c>
      <c r="B154" s="69">
        <v>6303</v>
      </c>
      <c r="C154" s="70" t="s">
        <v>30</v>
      </c>
      <c r="D154" s="70" t="s">
        <v>7198</v>
      </c>
      <c r="E154" s="70" t="s">
        <v>5528</v>
      </c>
      <c r="F154" s="70" t="s">
        <v>2188</v>
      </c>
      <c r="G154" s="70" t="s">
        <v>3</v>
      </c>
      <c r="H154" s="71">
        <v>110</v>
      </c>
      <c r="I154" s="71">
        <v>199</v>
      </c>
      <c r="J154" s="70" t="s">
        <v>8055</v>
      </c>
      <c r="K154" s="70" t="s">
        <v>4</v>
      </c>
      <c r="L154" s="70"/>
      <c r="M154" s="70"/>
      <c r="N154" s="5" t="str">
        <f t="shared" si="2"/>
        <v>1</v>
      </c>
      <c r="O154" s="5" t="str">
        <f>INDEX(Кат!$I:$I,MATCH($A154,Кат!$A:$A,0))</f>
        <v>кристал авто</v>
      </c>
    </row>
    <row r="155" spans="1:15" ht="90" x14ac:dyDescent="0.25">
      <c r="A155" s="69">
        <v>133074</v>
      </c>
      <c r="B155" s="69">
        <v>13620</v>
      </c>
      <c r="C155" s="70" t="s">
        <v>88</v>
      </c>
      <c r="D155" s="70" t="s">
        <v>7198</v>
      </c>
      <c r="E155" s="70" t="s">
        <v>5600</v>
      </c>
      <c r="F155" s="70" t="s">
        <v>2294</v>
      </c>
      <c r="G155" s="70" t="s">
        <v>3</v>
      </c>
      <c r="H155" s="71">
        <v>110</v>
      </c>
      <c r="I155" s="71">
        <v>199</v>
      </c>
      <c r="J155" s="70" t="s">
        <v>8055</v>
      </c>
      <c r="K155" s="70" t="s">
        <v>4</v>
      </c>
      <c r="L155" s="70"/>
      <c r="M155" s="70"/>
      <c r="N155" s="5" t="str">
        <f t="shared" si="2"/>
        <v>1</v>
      </c>
      <c r="O155" s="5" t="str">
        <f>INDEX(Кат!$I:$I,MATCH($A155,Кат!$A:$A,0))</f>
        <v>кристал авто</v>
      </c>
    </row>
    <row r="156" spans="1:15" ht="90" x14ac:dyDescent="0.25">
      <c r="A156" s="69">
        <v>133075</v>
      </c>
      <c r="B156" s="69">
        <v>18714</v>
      </c>
      <c r="C156" s="70" t="s">
        <v>139</v>
      </c>
      <c r="D156" s="70" t="s">
        <v>7198</v>
      </c>
      <c r="E156" s="70" t="s">
        <v>5627</v>
      </c>
      <c r="F156" s="70" t="s">
        <v>2370</v>
      </c>
      <c r="G156" s="70" t="s">
        <v>3</v>
      </c>
      <c r="H156" s="71">
        <v>110</v>
      </c>
      <c r="I156" s="71">
        <v>199</v>
      </c>
      <c r="J156" s="70" t="s">
        <v>8055</v>
      </c>
      <c r="K156" s="70" t="s">
        <v>4</v>
      </c>
      <c r="L156" s="70"/>
      <c r="M156" s="70"/>
      <c r="N156" s="5" t="str">
        <f t="shared" si="2"/>
        <v>1</v>
      </c>
      <c r="O156" s="5" t="str">
        <f>INDEX(Кат!$I:$I,MATCH($A156,Кат!$A:$A,0))</f>
        <v>кристал авто</v>
      </c>
    </row>
    <row r="157" spans="1:15" ht="90" x14ac:dyDescent="0.25">
      <c r="A157" s="69">
        <v>133076</v>
      </c>
      <c r="B157" s="69">
        <v>13618</v>
      </c>
      <c r="C157" s="70" t="s">
        <v>86</v>
      </c>
      <c r="D157" s="70" t="s">
        <v>7198</v>
      </c>
      <c r="E157" s="70" t="s">
        <v>5598</v>
      </c>
      <c r="F157" s="70" t="s">
        <v>2292</v>
      </c>
      <c r="G157" s="70" t="s">
        <v>3</v>
      </c>
      <c r="H157" s="71">
        <v>110</v>
      </c>
      <c r="I157" s="71">
        <v>199</v>
      </c>
      <c r="J157" s="70" t="s">
        <v>8055</v>
      </c>
      <c r="K157" s="70" t="s">
        <v>4</v>
      </c>
      <c r="L157" s="70"/>
      <c r="M157" s="70"/>
      <c r="N157" s="5" t="str">
        <f t="shared" si="2"/>
        <v>1</v>
      </c>
      <c r="O157" s="5" t="str">
        <f>INDEX(Кат!$I:$I,MATCH($A157,Кат!$A:$A,0))</f>
        <v>кристал авто</v>
      </c>
    </row>
    <row r="158" spans="1:15" ht="90" x14ac:dyDescent="0.25">
      <c r="A158" s="69">
        <v>133077</v>
      </c>
      <c r="B158" s="69">
        <v>6292</v>
      </c>
      <c r="C158" s="70" t="s">
        <v>2183</v>
      </c>
      <c r="D158" s="70" t="s">
        <v>7198</v>
      </c>
      <c r="E158" s="70" t="s">
        <v>5524</v>
      </c>
      <c r="F158" s="70" t="s">
        <v>2182</v>
      </c>
      <c r="G158" s="70" t="s">
        <v>3</v>
      </c>
      <c r="H158" s="71">
        <v>110</v>
      </c>
      <c r="I158" s="71">
        <v>199</v>
      </c>
      <c r="J158" s="70" t="s">
        <v>8055</v>
      </c>
      <c r="K158" s="70" t="s">
        <v>4</v>
      </c>
      <c r="L158" s="70"/>
      <c r="M158" s="70"/>
      <c r="N158" s="5" t="str">
        <f t="shared" si="2"/>
        <v>1</v>
      </c>
      <c r="O158" s="5" t="str">
        <f>INDEX(Кат!$I:$I,MATCH($A158,Кат!$A:$A,0))</f>
        <v>кристал авто</v>
      </c>
    </row>
    <row r="159" spans="1:15" ht="90" x14ac:dyDescent="0.25">
      <c r="A159" s="69">
        <v>133078</v>
      </c>
      <c r="B159" s="69">
        <v>6305</v>
      </c>
      <c r="C159" s="70" t="s">
        <v>2191</v>
      </c>
      <c r="D159" s="70" t="s">
        <v>7198</v>
      </c>
      <c r="E159" s="70" t="s">
        <v>5530</v>
      </c>
      <c r="F159" s="70" t="s">
        <v>2190</v>
      </c>
      <c r="G159" s="70" t="s">
        <v>3</v>
      </c>
      <c r="H159" s="71">
        <v>110</v>
      </c>
      <c r="I159" s="71">
        <v>199</v>
      </c>
      <c r="J159" s="70" t="s">
        <v>8055</v>
      </c>
      <c r="K159" s="70" t="s">
        <v>4</v>
      </c>
      <c r="L159" s="70"/>
      <c r="M159" s="70"/>
      <c r="N159" s="5" t="str">
        <f t="shared" si="2"/>
        <v>1</v>
      </c>
      <c r="O159" s="5" t="str">
        <f>INDEX(Кат!$I:$I,MATCH($A159,Кат!$A:$A,0))</f>
        <v>кристал авто</v>
      </c>
    </row>
    <row r="160" spans="1:15" ht="90" x14ac:dyDescent="0.25">
      <c r="A160" s="69">
        <v>133079</v>
      </c>
      <c r="B160" s="69">
        <v>13627</v>
      </c>
      <c r="C160" s="70" t="s">
        <v>94</v>
      </c>
      <c r="D160" s="70" t="s">
        <v>7198</v>
      </c>
      <c r="E160" s="70"/>
      <c r="F160" s="70"/>
      <c r="G160" s="70" t="s">
        <v>3</v>
      </c>
      <c r="H160" s="71">
        <v>110</v>
      </c>
      <c r="I160" s="71">
        <v>199</v>
      </c>
      <c r="J160" s="70" t="s">
        <v>8055</v>
      </c>
      <c r="K160" s="70" t="s">
        <v>4</v>
      </c>
      <c r="L160" s="70"/>
      <c r="M160" s="70"/>
      <c r="N160" s="5" t="str">
        <f t="shared" si="2"/>
        <v>1</v>
      </c>
      <c r="O160" s="5" t="str">
        <f>INDEX(Кат!$I:$I,MATCH($A160,Кат!$A:$A,0))</f>
        <v>кристал авто</v>
      </c>
    </row>
    <row r="161" spans="1:15" ht="90" x14ac:dyDescent="0.25">
      <c r="A161" s="69">
        <v>133080</v>
      </c>
      <c r="B161" s="69">
        <v>6290</v>
      </c>
      <c r="C161" s="70" t="s">
        <v>26</v>
      </c>
      <c r="D161" s="70" t="s">
        <v>7198</v>
      </c>
      <c r="E161" s="70" t="s">
        <v>5523</v>
      </c>
      <c r="F161" s="70" t="s">
        <v>2181</v>
      </c>
      <c r="G161" s="70" t="s">
        <v>3</v>
      </c>
      <c r="H161" s="71">
        <v>110</v>
      </c>
      <c r="I161" s="71">
        <v>199</v>
      </c>
      <c r="J161" s="70" t="s">
        <v>8055</v>
      </c>
      <c r="K161" s="70" t="s">
        <v>4</v>
      </c>
      <c r="L161" s="70"/>
      <c r="M161" s="70"/>
      <c r="N161" s="5" t="str">
        <f t="shared" si="2"/>
        <v>1</v>
      </c>
      <c r="O161" s="5" t="str">
        <f>INDEX(Кат!$I:$I,MATCH($A161,Кат!$A:$A,0))</f>
        <v>кристал авто</v>
      </c>
    </row>
    <row r="162" spans="1:15" ht="90" x14ac:dyDescent="0.25">
      <c r="A162" s="69">
        <v>133081</v>
      </c>
      <c r="B162" s="69">
        <v>6297</v>
      </c>
      <c r="C162" s="70" t="s">
        <v>28</v>
      </c>
      <c r="D162" s="70" t="s">
        <v>7198</v>
      </c>
      <c r="E162" s="70"/>
      <c r="F162" s="70"/>
      <c r="G162" s="70" t="s">
        <v>3</v>
      </c>
      <c r="H162" s="71">
        <v>110</v>
      </c>
      <c r="I162" s="71">
        <v>199</v>
      </c>
      <c r="J162" s="70" t="s">
        <v>8055</v>
      </c>
      <c r="K162" s="70" t="s">
        <v>7199</v>
      </c>
      <c r="L162" s="70"/>
      <c r="M162" s="70"/>
      <c r="N162" s="5" t="str">
        <f t="shared" si="2"/>
        <v>0</v>
      </c>
      <c r="O162" s="5" t="str">
        <f>INDEX(Кат!$I:$I,MATCH($A162,Кат!$A:$A,0))</f>
        <v>кристал авто</v>
      </c>
    </row>
    <row r="163" spans="1:15" ht="90" x14ac:dyDescent="0.25">
      <c r="A163" s="69">
        <v>133082</v>
      </c>
      <c r="B163" s="69">
        <v>6288</v>
      </c>
      <c r="C163" s="70" t="s">
        <v>25</v>
      </c>
      <c r="D163" s="70" t="s">
        <v>7198</v>
      </c>
      <c r="E163" s="70" t="s">
        <v>6059</v>
      </c>
      <c r="F163" s="70" t="s">
        <v>2180</v>
      </c>
      <c r="G163" s="70" t="s">
        <v>3</v>
      </c>
      <c r="H163" s="71">
        <v>550</v>
      </c>
      <c r="I163" s="71">
        <v>899</v>
      </c>
      <c r="J163" s="70" t="s">
        <v>8072</v>
      </c>
      <c r="K163" s="70" t="s">
        <v>4</v>
      </c>
      <c r="L163" s="70"/>
      <c r="M163" s="70"/>
      <c r="N163" s="5" t="str">
        <f t="shared" si="2"/>
        <v>1</v>
      </c>
      <c r="O163" s="5" t="str">
        <f>INDEX(Кат!$I:$I,MATCH($A163,Кат!$A:$A,0))</f>
        <v>кристал авто</v>
      </c>
    </row>
    <row r="164" spans="1:15" ht="90" x14ac:dyDescent="0.25">
      <c r="A164" s="69">
        <v>133083</v>
      </c>
      <c r="B164" s="69">
        <v>6287</v>
      </c>
      <c r="C164" s="70" t="s">
        <v>24</v>
      </c>
      <c r="D164" s="70" t="s">
        <v>7198</v>
      </c>
      <c r="E164" s="70" t="s">
        <v>5522</v>
      </c>
      <c r="F164" s="70" t="s">
        <v>2179</v>
      </c>
      <c r="G164" s="70" t="s">
        <v>3</v>
      </c>
      <c r="H164" s="71">
        <v>550</v>
      </c>
      <c r="I164" s="71">
        <v>899</v>
      </c>
      <c r="J164" s="70" t="s">
        <v>8072</v>
      </c>
      <c r="K164" s="70" t="s">
        <v>4</v>
      </c>
      <c r="L164" s="70"/>
      <c r="M164" s="70"/>
      <c r="N164" s="5" t="str">
        <f t="shared" si="2"/>
        <v>1</v>
      </c>
      <c r="O164" s="5" t="str">
        <f>INDEX(Кат!$I:$I,MATCH($A164,Кат!$A:$A,0))</f>
        <v>кристал авто</v>
      </c>
    </row>
    <row r="165" spans="1:15" ht="90" x14ac:dyDescent="0.25">
      <c r="A165" s="69">
        <v>133084</v>
      </c>
      <c r="B165" s="69">
        <v>6283</v>
      </c>
      <c r="C165" s="70" t="s">
        <v>22</v>
      </c>
      <c r="D165" s="70" t="s">
        <v>7198</v>
      </c>
      <c r="E165" s="70" t="s">
        <v>5520</v>
      </c>
      <c r="F165" s="70" t="s">
        <v>2177</v>
      </c>
      <c r="G165" s="70" t="s">
        <v>3</v>
      </c>
      <c r="H165" s="71">
        <v>550</v>
      </c>
      <c r="I165" s="71">
        <v>899</v>
      </c>
      <c r="J165" s="70" t="s">
        <v>8072</v>
      </c>
      <c r="K165" s="70" t="s">
        <v>4</v>
      </c>
      <c r="L165" s="70"/>
      <c r="M165" s="70"/>
      <c r="N165" s="5" t="str">
        <f t="shared" si="2"/>
        <v>1</v>
      </c>
      <c r="O165" s="5" t="str">
        <f>INDEX(Кат!$I:$I,MATCH($A165,Кат!$A:$A,0))</f>
        <v>кристал авто</v>
      </c>
    </row>
    <row r="166" spans="1:15" ht="90" x14ac:dyDescent="0.25">
      <c r="A166" s="69">
        <v>133085</v>
      </c>
      <c r="B166" s="69">
        <v>6286</v>
      </c>
      <c r="C166" s="70" t="s">
        <v>23</v>
      </c>
      <c r="D166" s="70" t="s">
        <v>7198</v>
      </c>
      <c r="E166" s="70" t="s">
        <v>5521</v>
      </c>
      <c r="F166" s="70" t="s">
        <v>2178</v>
      </c>
      <c r="G166" s="70" t="s">
        <v>3</v>
      </c>
      <c r="H166" s="71">
        <v>550</v>
      </c>
      <c r="I166" s="71">
        <v>899</v>
      </c>
      <c r="J166" s="70" t="s">
        <v>8072</v>
      </c>
      <c r="K166" s="70" t="s">
        <v>4</v>
      </c>
      <c r="L166" s="70"/>
      <c r="M166" s="70" t="s">
        <v>7198</v>
      </c>
      <c r="N166" s="5" t="str">
        <f t="shared" si="2"/>
        <v>1</v>
      </c>
      <c r="O166" s="5" t="str">
        <f>INDEX(Кат!$I:$I,MATCH($A166,Кат!$A:$A,0))</f>
        <v>кристал авто</v>
      </c>
    </row>
    <row r="167" spans="1:15" ht="30" x14ac:dyDescent="0.25">
      <c r="A167" s="69">
        <v>139537</v>
      </c>
      <c r="B167" s="69">
        <v>19335</v>
      </c>
      <c r="C167" s="70" t="s">
        <v>140</v>
      </c>
      <c r="D167" s="70" t="s">
        <v>7198</v>
      </c>
      <c r="E167" s="70"/>
      <c r="F167" s="70"/>
      <c r="G167" s="70" t="s">
        <v>3</v>
      </c>
      <c r="H167" s="71">
        <v>250</v>
      </c>
      <c r="I167" s="71">
        <v>479</v>
      </c>
      <c r="J167" s="70"/>
      <c r="K167" s="70" t="s">
        <v>7199</v>
      </c>
      <c r="L167" s="70"/>
      <c r="M167" s="70" t="s">
        <v>7198</v>
      </c>
      <c r="N167" s="5" t="str">
        <f t="shared" si="2"/>
        <v>0</v>
      </c>
      <c r="O167" s="5" t="str">
        <f>INDEX(Кат!$I:$I,MATCH($A167,Кат!$A:$A,0))</f>
        <v>кристал авто</v>
      </c>
    </row>
    <row r="168" spans="1:15" ht="105" x14ac:dyDescent="0.25">
      <c r="A168" s="69">
        <v>140709</v>
      </c>
      <c r="B168" s="69">
        <v>21363</v>
      </c>
      <c r="C168" s="70" t="s">
        <v>141</v>
      </c>
      <c r="D168" s="70" t="s">
        <v>7198</v>
      </c>
      <c r="E168" s="70"/>
      <c r="F168" s="70" t="s">
        <v>2402</v>
      </c>
      <c r="G168" s="70" t="s">
        <v>3</v>
      </c>
      <c r="H168" s="71">
        <v>170</v>
      </c>
      <c r="I168" s="71">
        <v>329</v>
      </c>
      <c r="J168" s="70" t="s">
        <v>8064</v>
      </c>
      <c r="K168" s="70" t="s">
        <v>4</v>
      </c>
      <c r="L168" s="70"/>
      <c r="M168" s="70"/>
      <c r="N168" s="5" t="str">
        <f t="shared" si="2"/>
        <v>1</v>
      </c>
      <c r="O168" s="5" t="str">
        <f>INDEX(Кат!$I:$I,MATCH($A168,Кат!$A:$A,0))</f>
        <v>кристал авто</v>
      </c>
    </row>
    <row r="169" spans="1:15" ht="105" x14ac:dyDescent="0.25">
      <c r="A169" s="69">
        <v>140710</v>
      </c>
      <c r="B169" s="69">
        <v>18639</v>
      </c>
      <c r="C169" s="70" t="s">
        <v>138</v>
      </c>
      <c r="D169" s="70" t="s">
        <v>7198</v>
      </c>
      <c r="E169" s="70"/>
      <c r="F169" s="70" t="s">
        <v>4971</v>
      </c>
      <c r="G169" s="70" t="s">
        <v>3</v>
      </c>
      <c r="H169" s="71">
        <v>170</v>
      </c>
      <c r="I169" s="71">
        <v>329</v>
      </c>
      <c r="J169" s="70" t="s">
        <v>8064</v>
      </c>
      <c r="K169" s="70" t="s">
        <v>4</v>
      </c>
      <c r="L169" s="70"/>
      <c r="M169" s="70"/>
      <c r="N169" s="5" t="str">
        <f t="shared" si="2"/>
        <v>1</v>
      </c>
      <c r="O169" s="5" t="str">
        <f>INDEX(Кат!$I:$I,MATCH($A169,Кат!$A:$A,0))</f>
        <v>кристал авто</v>
      </c>
    </row>
    <row r="170" spans="1:15" ht="30" x14ac:dyDescent="0.25">
      <c r="A170" s="69">
        <v>140757</v>
      </c>
      <c r="B170" s="69">
        <v>31701</v>
      </c>
      <c r="C170" s="70" t="s">
        <v>2431</v>
      </c>
      <c r="D170" s="70" t="s">
        <v>7198</v>
      </c>
      <c r="E170" s="70" t="s">
        <v>5644</v>
      </c>
      <c r="F170" s="70" t="s">
        <v>2430</v>
      </c>
      <c r="G170" s="70" t="s">
        <v>3</v>
      </c>
      <c r="H170" s="71">
        <v>235</v>
      </c>
      <c r="I170" s="71">
        <v>449</v>
      </c>
      <c r="J170" s="70"/>
      <c r="K170" s="70" t="s">
        <v>4</v>
      </c>
      <c r="L170" s="70"/>
      <c r="M170" s="70"/>
      <c r="N170" s="5" t="str">
        <f t="shared" si="2"/>
        <v>1</v>
      </c>
      <c r="O170" s="5" t="str">
        <f>INDEX(Кат!$I:$I,MATCH($A170,Кат!$A:$A,0))</f>
        <v>кристал авто</v>
      </c>
    </row>
    <row r="171" spans="1:15" ht="30" x14ac:dyDescent="0.25">
      <c r="A171" s="69">
        <v>143570</v>
      </c>
      <c r="B171" s="69">
        <v>10032</v>
      </c>
      <c r="C171" s="70" t="s">
        <v>83</v>
      </c>
      <c r="D171" s="70" t="s">
        <v>7198</v>
      </c>
      <c r="E171" s="70"/>
      <c r="F171" s="70"/>
      <c r="G171" s="70" t="s">
        <v>3</v>
      </c>
      <c r="H171" s="71">
        <v>0</v>
      </c>
      <c r="I171" s="71">
        <v>159</v>
      </c>
      <c r="J171" s="70"/>
      <c r="K171" s="70" t="s">
        <v>7199</v>
      </c>
      <c r="L171" s="70"/>
      <c r="M171" s="70"/>
      <c r="N171" s="5" t="str">
        <f t="shared" si="2"/>
        <v>0</v>
      </c>
      <c r="O171" s="5" t="str">
        <f>INDEX(Кат!$I:$I,MATCH($A171,Кат!$A:$A,0))</f>
        <v>кристал авто</v>
      </c>
    </row>
    <row r="172" spans="1:15" ht="30" x14ac:dyDescent="0.25">
      <c r="A172" s="69">
        <v>143571</v>
      </c>
      <c r="B172" s="69">
        <v>42943</v>
      </c>
      <c r="C172" s="70" t="s">
        <v>5647</v>
      </c>
      <c r="D172" s="70" t="s">
        <v>7198</v>
      </c>
      <c r="E172" s="70" t="s">
        <v>6058</v>
      </c>
      <c r="F172" s="70"/>
      <c r="G172" s="70" t="s">
        <v>3</v>
      </c>
      <c r="H172" s="71"/>
      <c r="I172" s="71">
        <v>289</v>
      </c>
      <c r="J172" s="70"/>
      <c r="K172" s="70" t="s">
        <v>4</v>
      </c>
      <c r="L172" s="70" t="s">
        <v>4</v>
      </c>
      <c r="M172" s="70"/>
      <c r="N172" s="5" t="str">
        <f t="shared" si="2"/>
        <v>1ск1</v>
      </c>
      <c r="O172" s="5" t="str">
        <f>INDEX(Кат!$I:$I,MATCH($A172,Кат!$A:$A,0))</f>
        <v>кристал авто</v>
      </c>
    </row>
    <row r="173" spans="1:15" ht="30" x14ac:dyDescent="0.25">
      <c r="A173" s="69">
        <v>143581</v>
      </c>
      <c r="B173" s="69">
        <v>25080</v>
      </c>
      <c r="C173" s="70" t="s">
        <v>2408</v>
      </c>
      <c r="D173" s="70" t="s">
        <v>7198</v>
      </c>
      <c r="E173" s="70"/>
      <c r="F173" s="70"/>
      <c r="G173" s="70" t="s">
        <v>3</v>
      </c>
      <c r="H173" s="71">
        <v>150</v>
      </c>
      <c r="I173" s="71">
        <v>289</v>
      </c>
      <c r="J173" s="70"/>
      <c r="K173" s="70" t="s">
        <v>7199</v>
      </c>
      <c r="L173" s="70"/>
      <c r="M173" s="70"/>
      <c r="N173" s="5" t="str">
        <f t="shared" si="2"/>
        <v>0</v>
      </c>
      <c r="O173" s="5" t="str">
        <f>INDEX(Кат!$I:$I,MATCH($A173,Кат!$A:$A,0))</f>
        <v>кристал авто</v>
      </c>
    </row>
    <row r="174" spans="1:15" ht="30" x14ac:dyDescent="0.25">
      <c r="A174" s="69">
        <v>143582</v>
      </c>
      <c r="B174" s="69">
        <v>31022</v>
      </c>
      <c r="C174" s="70" t="s">
        <v>6486</v>
      </c>
      <c r="D174" s="70" t="s">
        <v>7198</v>
      </c>
      <c r="E174" s="70" t="s">
        <v>6487</v>
      </c>
      <c r="F174" s="70" t="s">
        <v>2427</v>
      </c>
      <c r="G174" s="70" t="s">
        <v>3</v>
      </c>
      <c r="H174" s="71">
        <v>100</v>
      </c>
      <c r="I174" s="71">
        <v>189</v>
      </c>
      <c r="J174" s="70"/>
      <c r="K174" s="70" t="s">
        <v>4</v>
      </c>
      <c r="L174" s="70"/>
      <c r="M174" s="70"/>
      <c r="N174" s="5" t="str">
        <f t="shared" si="2"/>
        <v>1</v>
      </c>
      <c r="O174" s="5" t="str">
        <f>INDEX(Кат!$I:$I,MATCH($A174,Кат!$A:$A,0))</f>
        <v>кристал авто</v>
      </c>
    </row>
    <row r="175" spans="1:15" ht="30" x14ac:dyDescent="0.25">
      <c r="A175" s="69">
        <v>152870</v>
      </c>
      <c r="B175" s="69">
        <v>26554</v>
      </c>
      <c r="C175" s="70" t="s">
        <v>145</v>
      </c>
      <c r="D175" s="70" t="s">
        <v>7198</v>
      </c>
      <c r="E175" s="70" t="s">
        <v>6056</v>
      </c>
      <c r="F175" s="70" t="s">
        <v>2409</v>
      </c>
      <c r="G175" s="70" t="s">
        <v>3</v>
      </c>
      <c r="H175" s="71">
        <v>350</v>
      </c>
      <c r="I175" s="71">
        <v>589</v>
      </c>
      <c r="J175" s="70"/>
      <c r="K175" s="70" t="s">
        <v>4</v>
      </c>
      <c r="L175" s="70"/>
      <c r="M175" s="70"/>
      <c r="N175" s="5" t="str">
        <f t="shared" si="2"/>
        <v>1</v>
      </c>
      <c r="O175" s="5" t="str">
        <f>INDEX(Кат!$I:$I,MATCH($A175,Кат!$A:$A,0))</f>
        <v>кристал авто</v>
      </c>
    </row>
    <row r="176" spans="1:15" ht="135" x14ac:dyDescent="0.25">
      <c r="A176" s="69">
        <v>152927</v>
      </c>
      <c r="B176" s="69">
        <v>27110</v>
      </c>
      <c r="C176" s="70" t="s">
        <v>4831</v>
      </c>
      <c r="D176" s="70" t="s">
        <v>7198</v>
      </c>
      <c r="E176" s="70" t="s">
        <v>5632</v>
      </c>
      <c r="F176" s="70"/>
      <c r="G176" s="70" t="s">
        <v>3</v>
      </c>
      <c r="H176" s="71">
        <v>340</v>
      </c>
      <c r="I176" s="71">
        <v>579</v>
      </c>
      <c r="J176" s="70" t="s">
        <v>8057</v>
      </c>
      <c r="K176" s="70" t="s">
        <v>4</v>
      </c>
      <c r="L176" s="70"/>
      <c r="M176" s="70"/>
      <c r="N176" s="5" t="str">
        <f t="shared" si="2"/>
        <v>1</v>
      </c>
      <c r="O176" s="5" t="str">
        <f>INDEX(Кат!$I:$I,MATCH($A176,Кат!$A:$A,0))</f>
        <v>кристал авто</v>
      </c>
    </row>
    <row r="177" spans="1:15" ht="30" x14ac:dyDescent="0.25">
      <c r="A177" s="69">
        <v>152928</v>
      </c>
      <c r="B177" s="69">
        <v>39062</v>
      </c>
      <c r="C177" s="70" t="s">
        <v>5374</v>
      </c>
      <c r="D177" s="70" t="s">
        <v>7198</v>
      </c>
      <c r="E177" s="70" t="s">
        <v>6057</v>
      </c>
      <c r="F177" s="70" t="s">
        <v>6055</v>
      </c>
      <c r="G177" s="70" t="s">
        <v>3</v>
      </c>
      <c r="H177" s="71">
        <v>315</v>
      </c>
      <c r="I177" s="71">
        <v>529</v>
      </c>
      <c r="J177" s="70"/>
      <c r="K177" s="70" t="s">
        <v>4</v>
      </c>
      <c r="L177" s="70"/>
      <c r="M177" s="70"/>
      <c r="N177" s="5" t="str">
        <f t="shared" si="2"/>
        <v>1</v>
      </c>
      <c r="O177" s="5" t="str">
        <f>INDEX(Кат!$I:$I,MATCH($A177,Кат!$A:$A,0))</f>
        <v>кристал авто</v>
      </c>
    </row>
    <row r="178" spans="1:15" ht="45" x14ac:dyDescent="0.25">
      <c r="A178" s="69">
        <v>152929</v>
      </c>
      <c r="B178" s="69">
        <v>30846</v>
      </c>
      <c r="C178" s="70" t="s">
        <v>5381</v>
      </c>
      <c r="D178" s="70" t="s">
        <v>7198</v>
      </c>
      <c r="E178" s="70" t="s">
        <v>5635</v>
      </c>
      <c r="F178" s="70"/>
      <c r="G178" s="70" t="s">
        <v>3</v>
      </c>
      <c r="H178" s="71">
        <v>340</v>
      </c>
      <c r="I178" s="71">
        <v>579</v>
      </c>
      <c r="J178" s="70"/>
      <c r="K178" s="70" t="s">
        <v>4</v>
      </c>
      <c r="L178" s="70"/>
      <c r="M178" s="70"/>
      <c r="N178" s="5" t="str">
        <f t="shared" si="2"/>
        <v>1</v>
      </c>
      <c r="O178" s="5" t="str">
        <f>INDEX(Кат!$I:$I,MATCH($A178,Кат!$A:$A,0))</f>
        <v>кристал авто</v>
      </c>
    </row>
    <row r="179" spans="1:15" ht="90" x14ac:dyDescent="0.25">
      <c r="A179" s="69">
        <v>153001</v>
      </c>
      <c r="B179" s="69">
        <v>18629</v>
      </c>
      <c r="C179" s="70" t="s">
        <v>137</v>
      </c>
      <c r="D179" s="70" t="s">
        <v>7198</v>
      </c>
      <c r="E179" s="70"/>
      <c r="F179" s="70" t="s">
        <v>2369</v>
      </c>
      <c r="G179" s="70" t="s">
        <v>3</v>
      </c>
      <c r="H179" s="71">
        <v>280</v>
      </c>
      <c r="I179" s="71">
        <v>529</v>
      </c>
      <c r="J179" s="70" t="s">
        <v>8056</v>
      </c>
      <c r="K179" s="70" t="s">
        <v>4</v>
      </c>
      <c r="L179" s="70"/>
      <c r="M179" s="70"/>
      <c r="N179" s="5" t="str">
        <f t="shared" si="2"/>
        <v>1</v>
      </c>
      <c r="O179" s="5" t="str">
        <f>INDEX(Кат!$I:$I,MATCH($A179,Кат!$A:$A,0))</f>
        <v>кристал авто</v>
      </c>
    </row>
    <row r="180" spans="1:15" ht="90" x14ac:dyDescent="0.25">
      <c r="A180" s="69">
        <v>153002</v>
      </c>
      <c r="B180" s="69">
        <v>18625</v>
      </c>
      <c r="C180" s="70" t="s">
        <v>134</v>
      </c>
      <c r="D180" s="70" t="s">
        <v>7198</v>
      </c>
      <c r="E180" s="70"/>
      <c r="F180" s="70" t="s">
        <v>2366</v>
      </c>
      <c r="G180" s="70" t="s">
        <v>3</v>
      </c>
      <c r="H180" s="71">
        <v>280</v>
      </c>
      <c r="I180" s="71">
        <v>529</v>
      </c>
      <c r="J180" s="70" t="s">
        <v>8056</v>
      </c>
      <c r="K180" s="70" t="s">
        <v>4</v>
      </c>
      <c r="L180" s="70"/>
      <c r="M180" s="70"/>
      <c r="N180" s="5" t="str">
        <f t="shared" si="2"/>
        <v>1</v>
      </c>
      <c r="O180" s="5" t="str">
        <f>INDEX(Кат!$I:$I,MATCH($A180,Кат!$A:$A,0))</f>
        <v>кристал авто</v>
      </c>
    </row>
    <row r="181" spans="1:15" ht="90" x14ac:dyDescent="0.25">
      <c r="A181" s="69">
        <v>153003</v>
      </c>
      <c r="B181" s="69">
        <v>18626</v>
      </c>
      <c r="C181" s="70" t="s">
        <v>135</v>
      </c>
      <c r="D181" s="70" t="s">
        <v>7198</v>
      </c>
      <c r="E181" s="70"/>
      <c r="F181" s="70" t="s">
        <v>2367</v>
      </c>
      <c r="G181" s="70" t="s">
        <v>3</v>
      </c>
      <c r="H181" s="71">
        <v>350</v>
      </c>
      <c r="I181" s="71">
        <v>589</v>
      </c>
      <c r="J181" s="70" t="s">
        <v>8056</v>
      </c>
      <c r="K181" s="70" t="s">
        <v>4</v>
      </c>
      <c r="L181" s="70"/>
      <c r="M181" s="70"/>
      <c r="N181" s="5" t="str">
        <f t="shared" si="2"/>
        <v>1</v>
      </c>
      <c r="O181" s="5" t="str">
        <f>INDEX(Кат!$I:$I,MATCH($A181,Кат!$A:$A,0))</f>
        <v>кристал авто</v>
      </c>
    </row>
    <row r="182" spans="1:15" ht="90" x14ac:dyDescent="0.25">
      <c r="A182" s="69">
        <v>153004</v>
      </c>
      <c r="B182" s="69">
        <v>18628</v>
      </c>
      <c r="C182" s="70" t="s">
        <v>136</v>
      </c>
      <c r="D182" s="70" t="s">
        <v>7198</v>
      </c>
      <c r="E182" s="70"/>
      <c r="F182" s="70" t="s">
        <v>2368</v>
      </c>
      <c r="G182" s="70" t="s">
        <v>3</v>
      </c>
      <c r="H182" s="71">
        <v>280</v>
      </c>
      <c r="I182" s="71">
        <v>529</v>
      </c>
      <c r="J182" s="70" t="s">
        <v>8056</v>
      </c>
      <c r="K182" s="70" t="s">
        <v>4</v>
      </c>
      <c r="L182" s="70"/>
      <c r="M182" s="70"/>
      <c r="N182" s="5" t="str">
        <f t="shared" si="2"/>
        <v>1</v>
      </c>
      <c r="O182" s="5" t="str">
        <f>INDEX(Кат!$I:$I,MATCH($A182,Кат!$A:$A,0))</f>
        <v>кристал авто</v>
      </c>
    </row>
    <row r="183" spans="1:15" ht="30" x14ac:dyDescent="0.25">
      <c r="A183" s="69">
        <v>153010</v>
      </c>
      <c r="B183" s="69">
        <v>8770</v>
      </c>
      <c r="C183" s="70" t="s">
        <v>41</v>
      </c>
      <c r="D183" s="70" t="s">
        <v>7198</v>
      </c>
      <c r="E183" s="70"/>
      <c r="F183" s="70" t="s">
        <v>2252</v>
      </c>
      <c r="G183" s="70" t="s">
        <v>3</v>
      </c>
      <c r="H183" s="71">
        <v>195</v>
      </c>
      <c r="I183" s="71">
        <v>369</v>
      </c>
      <c r="J183" s="70"/>
      <c r="K183" s="70" t="s">
        <v>4</v>
      </c>
      <c r="L183" s="70"/>
      <c r="M183" s="70"/>
      <c r="N183" s="5" t="str">
        <f t="shared" si="2"/>
        <v>1</v>
      </c>
      <c r="O183" s="5" t="str">
        <f>INDEX(Кат!$I:$I,MATCH($A183,Кат!$A:$A,0))</f>
        <v>кристал авто</v>
      </c>
    </row>
    <row r="184" spans="1:15" ht="30" x14ac:dyDescent="0.25">
      <c r="A184" s="69">
        <v>155690</v>
      </c>
      <c r="B184" s="69">
        <v>10030</v>
      </c>
      <c r="C184" s="70" t="s">
        <v>82</v>
      </c>
      <c r="D184" s="70" t="s">
        <v>7198</v>
      </c>
      <c r="E184" s="70"/>
      <c r="F184" s="70"/>
      <c r="G184" s="70" t="s">
        <v>3</v>
      </c>
      <c r="H184" s="71">
        <v>150</v>
      </c>
      <c r="I184" s="71">
        <v>289</v>
      </c>
      <c r="J184" s="70"/>
      <c r="K184" s="70" t="s">
        <v>7199</v>
      </c>
      <c r="L184" s="70"/>
      <c r="M184" s="70"/>
      <c r="N184" s="5" t="str">
        <f t="shared" si="2"/>
        <v>0</v>
      </c>
      <c r="O184" s="5" t="str">
        <f>INDEX(Кат!$I:$I,MATCH($A184,Кат!$A:$A,0))</f>
        <v>кристал авто</v>
      </c>
    </row>
    <row r="185" spans="1:15" ht="30" x14ac:dyDescent="0.25">
      <c r="A185" s="69">
        <v>155899</v>
      </c>
      <c r="B185" s="69">
        <v>81079</v>
      </c>
      <c r="C185" s="70" t="s">
        <v>6489</v>
      </c>
      <c r="D185" s="70" t="s">
        <v>7198</v>
      </c>
      <c r="E185" s="70" t="s">
        <v>6490</v>
      </c>
      <c r="F185" s="70"/>
      <c r="G185" s="70" t="s">
        <v>3</v>
      </c>
      <c r="H185" s="71">
        <v>460</v>
      </c>
      <c r="I185" s="71">
        <v>779</v>
      </c>
      <c r="J185" s="70"/>
      <c r="K185" s="70" t="s">
        <v>4</v>
      </c>
      <c r="L185" s="70"/>
      <c r="M185" s="70"/>
      <c r="N185" s="5" t="str">
        <f t="shared" si="2"/>
        <v>1</v>
      </c>
      <c r="O185" s="5" t="str">
        <f>INDEX(Кат!$I:$I,MATCH($A185,Кат!$A:$A,0))</f>
        <v>кристал авто</v>
      </c>
    </row>
    <row r="186" spans="1:15" ht="30" x14ac:dyDescent="0.25">
      <c r="A186" s="69">
        <v>156787</v>
      </c>
      <c r="B186" s="69">
        <v>32893</v>
      </c>
      <c r="C186" s="70" t="s">
        <v>6065</v>
      </c>
      <c r="D186" s="70" t="s">
        <v>7198</v>
      </c>
      <c r="E186" s="70"/>
      <c r="F186" s="70" t="s">
        <v>2436</v>
      </c>
      <c r="G186" s="70" t="s">
        <v>3</v>
      </c>
      <c r="H186" s="71">
        <v>60</v>
      </c>
      <c r="I186" s="71">
        <v>129</v>
      </c>
      <c r="J186" s="70"/>
      <c r="K186" s="70" t="s">
        <v>4</v>
      </c>
      <c r="L186" s="70"/>
      <c r="M186" s="70"/>
      <c r="N186" s="5" t="str">
        <f t="shared" si="2"/>
        <v>1</v>
      </c>
      <c r="O186" s="5" t="str">
        <f>INDEX(Кат!$I:$I,MATCH($A186,Кат!$A:$A,0))</f>
        <v>кристал авто</v>
      </c>
    </row>
    <row r="187" spans="1:15" ht="45" x14ac:dyDescent="0.25">
      <c r="A187" s="69">
        <v>160662</v>
      </c>
      <c r="B187" s="69">
        <v>65671</v>
      </c>
      <c r="C187" s="70" t="s">
        <v>7227</v>
      </c>
      <c r="D187" s="70" t="s">
        <v>7198</v>
      </c>
      <c r="E187" s="70"/>
      <c r="F187" s="70"/>
      <c r="G187" s="70" t="s">
        <v>3</v>
      </c>
      <c r="H187" s="71">
        <v>900</v>
      </c>
      <c r="I187" s="71">
        <v>1490</v>
      </c>
      <c r="J187" s="70"/>
      <c r="K187" s="70" t="s">
        <v>4</v>
      </c>
      <c r="L187" s="70"/>
      <c r="M187" s="70"/>
      <c r="N187" s="5" t="str">
        <f t="shared" si="2"/>
        <v>1</v>
      </c>
      <c r="O187" s="5" t="str">
        <f>INDEX(Кат!$I:$I,MATCH($A187,Кат!$A:$A,0))</f>
        <v>кристал авто</v>
      </c>
    </row>
    <row r="188" spans="1:15" ht="75" x14ac:dyDescent="0.25">
      <c r="A188" s="69">
        <v>162679</v>
      </c>
      <c r="B188" s="69">
        <v>16913</v>
      </c>
      <c r="C188" s="70" t="s">
        <v>8523</v>
      </c>
      <c r="D188" s="70" t="s">
        <v>7198</v>
      </c>
      <c r="E188" s="70"/>
      <c r="F188" s="70" t="s">
        <v>2325</v>
      </c>
      <c r="G188" s="70" t="s">
        <v>3</v>
      </c>
      <c r="H188" s="71">
        <v>145</v>
      </c>
      <c r="I188" s="71">
        <v>279</v>
      </c>
      <c r="J188" s="70"/>
      <c r="K188" s="70" t="s">
        <v>4</v>
      </c>
      <c r="L188" s="70"/>
      <c r="M188" s="70"/>
      <c r="N188" s="5" t="str">
        <f t="shared" si="2"/>
        <v>1</v>
      </c>
      <c r="O188" s="5" t="str">
        <f>INDEX(Кат!$I:$I,MATCH($A188,Кат!$A:$A,0))</f>
        <v>кристал авто</v>
      </c>
    </row>
    <row r="189" spans="1:15" ht="60" x14ac:dyDescent="0.25">
      <c r="A189" s="69">
        <v>162675</v>
      </c>
      <c r="B189" s="69">
        <v>16914</v>
      </c>
      <c r="C189" s="70" t="s">
        <v>114</v>
      </c>
      <c r="D189" s="70" t="s">
        <v>7198</v>
      </c>
      <c r="E189" s="70"/>
      <c r="F189" s="70" t="s">
        <v>2326</v>
      </c>
      <c r="G189" s="70" t="s">
        <v>3</v>
      </c>
      <c r="H189" s="71">
        <v>145</v>
      </c>
      <c r="I189" s="71">
        <v>279</v>
      </c>
      <c r="J189" s="70"/>
      <c r="K189" s="70" t="s">
        <v>4</v>
      </c>
      <c r="L189" s="70"/>
      <c r="M189" s="70"/>
      <c r="N189" s="5" t="str">
        <f t="shared" si="2"/>
        <v>1</v>
      </c>
      <c r="O189" s="5" t="str">
        <f>INDEX(Кат!$I:$I,MATCH($A189,Кат!$A:$A,0))</f>
        <v>кристал авто</v>
      </c>
    </row>
    <row r="190" spans="1:15" ht="60" x14ac:dyDescent="0.25">
      <c r="A190" s="69">
        <v>162682</v>
      </c>
      <c r="B190" s="69">
        <v>10034</v>
      </c>
      <c r="C190" s="70" t="s">
        <v>8524</v>
      </c>
      <c r="D190" s="70" t="s">
        <v>7198</v>
      </c>
      <c r="E190" s="70"/>
      <c r="F190" s="70" t="s">
        <v>2289</v>
      </c>
      <c r="G190" s="70" t="s">
        <v>3</v>
      </c>
      <c r="H190" s="71">
        <v>105</v>
      </c>
      <c r="I190" s="71">
        <v>199</v>
      </c>
      <c r="J190" s="70"/>
      <c r="K190" s="70" t="s">
        <v>4</v>
      </c>
      <c r="L190" s="70"/>
      <c r="M190" s="70"/>
      <c r="N190" s="5" t="str">
        <f t="shared" si="2"/>
        <v>1</v>
      </c>
      <c r="O190" s="5" t="str">
        <f>INDEX(Кат!$I:$I,MATCH($A190,Кат!$A:$A,0))</f>
        <v>кристал авто</v>
      </c>
    </row>
    <row r="191" spans="1:15" ht="30" x14ac:dyDescent="0.25">
      <c r="A191" s="69">
        <v>164974</v>
      </c>
      <c r="B191" s="69">
        <v>9482</v>
      </c>
      <c r="C191" s="70" t="s">
        <v>6485</v>
      </c>
      <c r="D191" s="70" t="s">
        <v>7198</v>
      </c>
      <c r="E191" s="70" t="s">
        <v>5594</v>
      </c>
      <c r="F191" s="70" t="s">
        <v>2286</v>
      </c>
      <c r="G191" s="70" t="s">
        <v>3</v>
      </c>
      <c r="H191" s="71">
        <v>500</v>
      </c>
      <c r="I191" s="71">
        <v>819</v>
      </c>
      <c r="J191" s="70"/>
      <c r="K191" s="70" t="s">
        <v>4</v>
      </c>
      <c r="L191" s="70"/>
      <c r="M191" s="70"/>
      <c r="N191" s="5" t="str">
        <f t="shared" si="2"/>
        <v>1</v>
      </c>
      <c r="O191" s="5" t="str">
        <f>INDEX(Кат!$I:$I,MATCH($A191,Кат!$A:$A,0))</f>
        <v>кристал авто</v>
      </c>
    </row>
    <row r="192" spans="1:15" ht="30" x14ac:dyDescent="0.25">
      <c r="A192" s="69">
        <v>171024</v>
      </c>
      <c r="B192" s="69">
        <v>11040</v>
      </c>
      <c r="C192" s="70" t="s">
        <v>7228</v>
      </c>
      <c r="D192" s="70" t="s">
        <v>7198</v>
      </c>
      <c r="E192" s="70"/>
      <c r="F192" s="70" t="s">
        <v>2290</v>
      </c>
      <c r="G192" s="70" t="s">
        <v>3</v>
      </c>
      <c r="H192" s="71">
        <v>14</v>
      </c>
      <c r="I192" s="71">
        <v>29</v>
      </c>
      <c r="J192" s="70"/>
      <c r="K192" s="70" t="s">
        <v>4</v>
      </c>
      <c r="L192" s="70"/>
      <c r="M192" s="70"/>
      <c r="N192" s="5" t="str">
        <f t="shared" si="2"/>
        <v>1</v>
      </c>
      <c r="O192" s="5" t="str">
        <f>INDEX(Кат!$I:$I,MATCH($A192,Кат!$A:$A,0))</f>
        <v>кристал авто</v>
      </c>
    </row>
    <row r="193" spans="1:15" ht="30" x14ac:dyDescent="0.25">
      <c r="A193" s="69">
        <v>181289</v>
      </c>
      <c r="B193" s="69">
        <v>54391</v>
      </c>
      <c r="C193" s="70" t="s">
        <v>6076</v>
      </c>
      <c r="D193" s="70" t="s">
        <v>7198</v>
      </c>
      <c r="E193" s="70"/>
      <c r="F193" s="70" t="s">
        <v>6077</v>
      </c>
      <c r="G193" s="70" t="s">
        <v>3</v>
      </c>
      <c r="H193" s="71">
        <v>80</v>
      </c>
      <c r="I193" s="71">
        <v>169</v>
      </c>
      <c r="J193" s="70"/>
      <c r="K193" s="70" t="s">
        <v>4</v>
      </c>
      <c r="L193" s="70"/>
      <c r="M193" s="70"/>
      <c r="N193" s="5" t="str">
        <f t="shared" si="2"/>
        <v>1</v>
      </c>
      <c r="O193" s="5" t="str">
        <f>INDEX(Кат!$I:$I,MATCH($A193,Кат!$A:$A,0))</f>
        <v>кристал авто</v>
      </c>
    </row>
    <row r="194" spans="1:15" ht="30" x14ac:dyDescent="0.25">
      <c r="A194" s="69">
        <v>181292</v>
      </c>
      <c r="B194" s="69">
        <v>54347</v>
      </c>
      <c r="C194" s="70" t="s">
        <v>6074</v>
      </c>
      <c r="D194" s="70" t="s">
        <v>7198</v>
      </c>
      <c r="E194" s="70"/>
      <c r="F194" s="70" t="s">
        <v>6075</v>
      </c>
      <c r="G194" s="70" t="s">
        <v>3</v>
      </c>
      <c r="H194" s="71">
        <v>300</v>
      </c>
      <c r="I194" s="71">
        <v>509</v>
      </c>
      <c r="J194" s="70"/>
      <c r="K194" s="70" t="s">
        <v>4</v>
      </c>
      <c r="L194" s="70"/>
      <c r="M194" s="70"/>
      <c r="N194" s="5" t="str">
        <f t="shared" si="2"/>
        <v>1</v>
      </c>
      <c r="O194" s="5" t="str">
        <f>INDEX(Кат!$I:$I,MATCH($A194,Кат!$A:$A,0))</f>
        <v>кристал авто</v>
      </c>
    </row>
    <row r="195" spans="1:15" ht="30" x14ac:dyDescent="0.25">
      <c r="A195" s="69">
        <v>185758</v>
      </c>
      <c r="B195" s="69">
        <v>65128</v>
      </c>
      <c r="C195" s="70" t="s">
        <v>6078</v>
      </c>
      <c r="D195" s="70" t="s">
        <v>7198</v>
      </c>
      <c r="E195" s="70" t="s">
        <v>6079</v>
      </c>
      <c r="F195" s="70" t="s">
        <v>6080</v>
      </c>
      <c r="G195" s="70" t="s">
        <v>3</v>
      </c>
      <c r="H195" s="71">
        <v>42</v>
      </c>
      <c r="I195" s="71">
        <v>89</v>
      </c>
      <c r="J195" s="70"/>
      <c r="K195" s="70" t="s">
        <v>4</v>
      </c>
      <c r="L195" s="70" t="s">
        <v>4</v>
      </c>
      <c r="M195" s="70"/>
      <c r="N195" s="5" t="str">
        <f t="shared" ref="N195:N258" si="3">_xlfn.CONCAT(K195,IF(L195&lt;&gt;"",_xlfn.CONCAT("ск",L195),""))</f>
        <v>1ск1</v>
      </c>
      <c r="O195" s="5" t="str">
        <f>INDEX(Кат!$I:$I,MATCH($A195,Кат!$A:$A,0))</f>
        <v>кристал авто</v>
      </c>
    </row>
    <row r="196" spans="1:15" ht="90" x14ac:dyDescent="0.25">
      <c r="A196" s="69">
        <v>185759</v>
      </c>
      <c r="B196" s="69">
        <v>6332</v>
      </c>
      <c r="C196" s="70" t="s">
        <v>5551</v>
      </c>
      <c r="D196" s="70" t="s">
        <v>7198</v>
      </c>
      <c r="E196" s="70"/>
      <c r="F196" s="70" t="s">
        <v>2224</v>
      </c>
      <c r="G196" s="70" t="s">
        <v>3</v>
      </c>
      <c r="H196" s="71">
        <v>140</v>
      </c>
      <c r="I196" s="71">
        <v>269</v>
      </c>
      <c r="J196" s="70" t="s">
        <v>8073</v>
      </c>
      <c r="K196" s="70" t="s">
        <v>4</v>
      </c>
      <c r="L196" s="70"/>
      <c r="M196" s="70"/>
      <c r="N196" s="5" t="str">
        <f t="shared" si="3"/>
        <v>1</v>
      </c>
      <c r="O196" s="5" t="str">
        <f>INDEX(Кат!$I:$I,MATCH($A196,Кат!$A:$A,0))</f>
        <v>кристал авто</v>
      </c>
    </row>
    <row r="197" spans="1:15" ht="90" x14ac:dyDescent="0.25">
      <c r="A197" s="69">
        <v>185760</v>
      </c>
      <c r="B197" s="69">
        <v>6329</v>
      </c>
      <c r="C197" s="70" t="s">
        <v>2219</v>
      </c>
      <c r="D197" s="70" t="s">
        <v>7198</v>
      </c>
      <c r="E197" s="70" t="s">
        <v>5548</v>
      </c>
      <c r="F197" s="70" t="s">
        <v>2218</v>
      </c>
      <c r="G197" s="70" t="s">
        <v>3</v>
      </c>
      <c r="H197" s="71">
        <v>140</v>
      </c>
      <c r="I197" s="71">
        <v>269</v>
      </c>
      <c r="J197" s="70" t="s">
        <v>8073</v>
      </c>
      <c r="K197" s="70" t="s">
        <v>4</v>
      </c>
      <c r="L197" s="70"/>
      <c r="M197" s="70"/>
      <c r="N197" s="5" t="str">
        <f t="shared" si="3"/>
        <v>1</v>
      </c>
      <c r="O197" s="5" t="str">
        <f>INDEX(Кат!$I:$I,MATCH($A197,Кат!$A:$A,0))</f>
        <v>кристал авто</v>
      </c>
    </row>
    <row r="198" spans="1:15" ht="90" x14ac:dyDescent="0.25">
      <c r="A198" s="69">
        <v>185761</v>
      </c>
      <c r="B198" s="69">
        <v>6327</v>
      </c>
      <c r="C198" s="70" t="s">
        <v>2215</v>
      </c>
      <c r="D198" s="70" t="s">
        <v>7198</v>
      </c>
      <c r="E198" s="70" t="s">
        <v>5546</v>
      </c>
      <c r="F198" s="70" t="s">
        <v>2214</v>
      </c>
      <c r="G198" s="70" t="s">
        <v>3</v>
      </c>
      <c r="H198" s="71">
        <v>140</v>
      </c>
      <c r="I198" s="71">
        <v>269</v>
      </c>
      <c r="J198" s="70" t="s">
        <v>8073</v>
      </c>
      <c r="K198" s="70" t="s">
        <v>4</v>
      </c>
      <c r="L198" s="70"/>
      <c r="M198" s="70"/>
      <c r="N198" s="5" t="str">
        <f t="shared" si="3"/>
        <v>1</v>
      </c>
      <c r="O198" s="5" t="str">
        <f>INDEX(Кат!$I:$I,MATCH($A198,Кат!$A:$A,0))</f>
        <v>кристал авто</v>
      </c>
    </row>
    <row r="199" spans="1:15" ht="90" x14ac:dyDescent="0.25">
      <c r="A199" s="69">
        <v>185762</v>
      </c>
      <c r="B199" s="69">
        <v>6320</v>
      </c>
      <c r="C199" s="70" t="s">
        <v>2202</v>
      </c>
      <c r="D199" s="70" t="s">
        <v>7198</v>
      </c>
      <c r="E199" s="70" t="s">
        <v>5540</v>
      </c>
      <c r="F199" s="70" t="s">
        <v>2201</v>
      </c>
      <c r="G199" s="70" t="s">
        <v>3</v>
      </c>
      <c r="H199" s="71">
        <v>140</v>
      </c>
      <c r="I199" s="71">
        <v>269</v>
      </c>
      <c r="J199" s="70" t="s">
        <v>8073</v>
      </c>
      <c r="K199" s="70" t="s">
        <v>4</v>
      </c>
      <c r="L199" s="70"/>
      <c r="M199" s="70"/>
      <c r="N199" s="5" t="str">
        <f t="shared" si="3"/>
        <v>1</v>
      </c>
      <c r="O199" s="5" t="str">
        <f>INDEX(Кат!$I:$I,MATCH($A199,Кат!$A:$A,0))</f>
        <v>кристал авто</v>
      </c>
    </row>
    <row r="200" spans="1:15" ht="90" x14ac:dyDescent="0.25">
      <c r="A200" s="69">
        <v>185763</v>
      </c>
      <c r="B200" s="69">
        <v>6321</v>
      </c>
      <c r="C200" s="70" t="s">
        <v>2204</v>
      </c>
      <c r="D200" s="70" t="s">
        <v>7198</v>
      </c>
      <c r="E200" s="70" t="s">
        <v>5541</v>
      </c>
      <c r="F200" s="70" t="s">
        <v>2203</v>
      </c>
      <c r="G200" s="70" t="s">
        <v>3</v>
      </c>
      <c r="H200" s="71">
        <v>140</v>
      </c>
      <c r="I200" s="71">
        <v>269</v>
      </c>
      <c r="J200" s="70" t="s">
        <v>8073</v>
      </c>
      <c r="K200" s="70" t="s">
        <v>4</v>
      </c>
      <c r="L200" s="70"/>
      <c r="M200" s="70"/>
      <c r="N200" s="5" t="str">
        <f t="shared" si="3"/>
        <v>1</v>
      </c>
      <c r="O200" s="5" t="str">
        <f>INDEX(Кат!$I:$I,MATCH($A200,Кат!$A:$A,0))</f>
        <v>кристал авто</v>
      </c>
    </row>
    <row r="201" spans="1:15" ht="90" x14ac:dyDescent="0.25">
      <c r="A201" s="69">
        <v>185764</v>
      </c>
      <c r="B201" s="69">
        <v>6322</v>
      </c>
      <c r="C201" s="70" t="s">
        <v>2206</v>
      </c>
      <c r="D201" s="70" t="s">
        <v>7198</v>
      </c>
      <c r="E201" s="70" t="s">
        <v>5542</v>
      </c>
      <c r="F201" s="70" t="s">
        <v>2205</v>
      </c>
      <c r="G201" s="70" t="s">
        <v>3</v>
      </c>
      <c r="H201" s="71">
        <v>140</v>
      </c>
      <c r="I201" s="71">
        <v>269</v>
      </c>
      <c r="J201" s="70" t="s">
        <v>8073</v>
      </c>
      <c r="K201" s="70" t="s">
        <v>4</v>
      </c>
      <c r="L201" s="70"/>
      <c r="M201" s="70"/>
      <c r="N201" s="5" t="str">
        <f t="shared" si="3"/>
        <v>1</v>
      </c>
      <c r="O201" s="5" t="str">
        <f>INDEX(Кат!$I:$I,MATCH($A201,Кат!$A:$A,0))</f>
        <v>кристал авто</v>
      </c>
    </row>
    <row r="202" spans="1:15" ht="90" x14ac:dyDescent="0.25">
      <c r="A202" s="69">
        <v>185765</v>
      </c>
      <c r="B202" s="69">
        <v>6323</v>
      </c>
      <c r="C202" s="70" t="s">
        <v>2208</v>
      </c>
      <c r="D202" s="70" t="s">
        <v>7198</v>
      </c>
      <c r="E202" s="70" t="s">
        <v>5543</v>
      </c>
      <c r="F202" s="70" t="s">
        <v>2207</v>
      </c>
      <c r="G202" s="70" t="s">
        <v>3</v>
      </c>
      <c r="H202" s="71">
        <v>140</v>
      </c>
      <c r="I202" s="71">
        <v>269</v>
      </c>
      <c r="J202" s="70" t="s">
        <v>8073</v>
      </c>
      <c r="K202" s="70" t="s">
        <v>4</v>
      </c>
      <c r="L202" s="70"/>
      <c r="M202" s="70"/>
      <c r="N202" s="5" t="str">
        <f t="shared" si="3"/>
        <v>1</v>
      </c>
      <c r="O202" s="5" t="str">
        <f>INDEX(Кат!$I:$I,MATCH($A202,Кат!$A:$A,0))</f>
        <v>кристал авто</v>
      </c>
    </row>
    <row r="203" spans="1:15" ht="90" x14ac:dyDescent="0.25">
      <c r="A203" s="69">
        <v>185766</v>
      </c>
      <c r="B203" s="69">
        <v>6324</v>
      </c>
      <c r="C203" s="70" t="s">
        <v>2210</v>
      </c>
      <c r="D203" s="70" t="s">
        <v>7198</v>
      </c>
      <c r="E203" s="70" t="s">
        <v>5544</v>
      </c>
      <c r="F203" s="70" t="s">
        <v>2209</v>
      </c>
      <c r="G203" s="70" t="s">
        <v>3</v>
      </c>
      <c r="H203" s="71">
        <v>140</v>
      </c>
      <c r="I203" s="71">
        <v>269</v>
      </c>
      <c r="J203" s="70" t="s">
        <v>8073</v>
      </c>
      <c r="K203" s="70" t="s">
        <v>4</v>
      </c>
      <c r="L203" s="70"/>
      <c r="M203" s="70"/>
      <c r="N203" s="5" t="str">
        <f t="shared" si="3"/>
        <v>1</v>
      </c>
      <c r="O203" s="5" t="str">
        <f>INDEX(Кат!$I:$I,MATCH($A203,Кат!$A:$A,0))</f>
        <v>кристал авто</v>
      </c>
    </row>
    <row r="204" spans="1:15" ht="90" x14ac:dyDescent="0.25">
      <c r="A204" s="69">
        <v>185767</v>
      </c>
      <c r="B204" s="69">
        <v>6333</v>
      </c>
      <c r="C204" s="70" t="s">
        <v>2226</v>
      </c>
      <c r="D204" s="70" t="s">
        <v>7198</v>
      </c>
      <c r="E204" s="70" t="s">
        <v>5552</v>
      </c>
      <c r="F204" s="70" t="s">
        <v>2225</v>
      </c>
      <c r="G204" s="70" t="s">
        <v>3</v>
      </c>
      <c r="H204" s="71">
        <v>140</v>
      </c>
      <c r="I204" s="71">
        <v>269</v>
      </c>
      <c r="J204" s="70" t="s">
        <v>8073</v>
      </c>
      <c r="K204" s="70" t="s">
        <v>4</v>
      </c>
      <c r="L204" s="70"/>
      <c r="M204" s="70"/>
      <c r="N204" s="5" t="str">
        <f t="shared" si="3"/>
        <v>1</v>
      </c>
      <c r="O204" s="5" t="str">
        <f>INDEX(Кат!$I:$I,MATCH($A204,Кат!$A:$A,0))</f>
        <v>кристал авто</v>
      </c>
    </row>
    <row r="205" spans="1:15" ht="90" x14ac:dyDescent="0.25">
      <c r="A205" s="69">
        <v>185768</v>
      </c>
      <c r="B205" s="69">
        <v>23339</v>
      </c>
      <c r="C205" s="70" t="s">
        <v>2404</v>
      </c>
      <c r="D205" s="70" t="s">
        <v>7198</v>
      </c>
      <c r="E205" s="70" t="s">
        <v>5629</v>
      </c>
      <c r="F205" s="70" t="s">
        <v>2403</v>
      </c>
      <c r="G205" s="70" t="s">
        <v>3</v>
      </c>
      <c r="H205" s="71">
        <v>140</v>
      </c>
      <c r="I205" s="71">
        <v>269</v>
      </c>
      <c r="J205" s="70" t="s">
        <v>8073</v>
      </c>
      <c r="K205" s="70" t="s">
        <v>4</v>
      </c>
      <c r="L205" s="70"/>
      <c r="M205" s="70"/>
      <c r="N205" s="5" t="str">
        <f t="shared" si="3"/>
        <v>1</v>
      </c>
      <c r="O205" s="5" t="str">
        <f>INDEX(Кат!$I:$I,MATCH($A205,Кат!$A:$A,0))</f>
        <v>кристал авто</v>
      </c>
    </row>
    <row r="206" spans="1:15" ht="90" x14ac:dyDescent="0.25">
      <c r="A206" s="69">
        <v>185769</v>
      </c>
      <c r="B206" s="69">
        <v>6328</v>
      </c>
      <c r="C206" s="70" t="s">
        <v>2217</v>
      </c>
      <c r="D206" s="70" t="s">
        <v>7198</v>
      </c>
      <c r="E206" s="70" t="s">
        <v>5547</v>
      </c>
      <c r="F206" s="70" t="s">
        <v>2216</v>
      </c>
      <c r="G206" s="70" t="s">
        <v>3</v>
      </c>
      <c r="H206" s="71">
        <v>140</v>
      </c>
      <c r="I206" s="71">
        <v>269</v>
      </c>
      <c r="J206" s="70" t="s">
        <v>8073</v>
      </c>
      <c r="K206" s="70" t="s">
        <v>4</v>
      </c>
      <c r="L206" s="70"/>
      <c r="M206" s="70"/>
      <c r="N206" s="5" t="str">
        <f t="shared" si="3"/>
        <v>1</v>
      </c>
      <c r="O206" s="5" t="str">
        <f>INDEX(Кат!$I:$I,MATCH($A206,Кат!$A:$A,0))</f>
        <v>кристал авто</v>
      </c>
    </row>
    <row r="207" spans="1:15" ht="90" x14ac:dyDescent="0.25">
      <c r="A207" s="69">
        <v>185770</v>
      </c>
      <c r="B207" s="69">
        <v>6334</v>
      </c>
      <c r="C207" s="70" t="s">
        <v>2228</v>
      </c>
      <c r="D207" s="70" t="s">
        <v>7198</v>
      </c>
      <c r="E207" s="70" t="s">
        <v>5553</v>
      </c>
      <c r="F207" s="70" t="s">
        <v>2227</v>
      </c>
      <c r="G207" s="70" t="s">
        <v>3</v>
      </c>
      <c r="H207" s="71">
        <v>140</v>
      </c>
      <c r="I207" s="71">
        <v>269</v>
      </c>
      <c r="J207" s="70" t="s">
        <v>8073</v>
      </c>
      <c r="K207" s="70" t="s">
        <v>4</v>
      </c>
      <c r="L207" s="70"/>
      <c r="M207" s="70"/>
      <c r="N207" s="5" t="str">
        <f t="shared" si="3"/>
        <v>1</v>
      </c>
      <c r="O207" s="5" t="str">
        <f>INDEX(Кат!$I:$I,MATCH($A207,Кат!$A:$A,0))</f>
        <v>кристал авто</v>
      </c>
    </row>
    <row r="208" spans="1:15" ht="90" x14ac:dyDescent="0.25">
      <c r="A208" s="69">
        <v>185771</v>
      </c>
      <c r="B208" s="69">
        <v>6325</v>
      </c>
      <c r="C208" s="70" t="s">
        <v>2212</v>
      </c>
      <c r="D208" s="70" t="s">
        <v>7198</v>
      </c>
      <c r="E208" s="70" t="s">
        <v>5545</v>
      </c>
      <c r="F208" s="70" t="s">
        <v>2211</v>
      </c>
      <c r="G208" s="70" t="s">
        <v>3</v>
      </c>
      <c r="H208" s="71">
        <v>140</v>
      </c>
      <c r="I208" s="71">
        <v>269</v>
      </c>
      <c r="J208" s="70" t="s">
        <v>8073</v>
      </c>
      <c r="K208" s="70" t="s">
        <v>4</v>
      </c>
      <c r="L208" s="70"/>
      <c r="M208" s="70"/>
      <c r="N208" s="5" t="str">
        <f t="shared" si="3"/>
        <v>1</v>
      </c>
      <c r="O208" s="5" t="str">
        <f>INDEX(Кат!$I:$I,MATCH($A208,Кат!$A:$A,0))</f>
        <v>кристал авто</v>
      </c>
    </row>
    <row r="209" spans="1:15" ht="90" x14ac:dyDescent="0.25">
      <c r="A209" s="69">
        <v>185772</v>
      </c>
      <c r="B209" s="69">
        <v>6330</v>
      </c>
      <c r="C209" s="70" t="s">
        <v>2221</v>
      </c>
      <c r="D209" s="70" t="s">
        <v>7198</v>
      </c>
      <c r="E209" s="70" t="s">
        <v>5549</v>
      </c>
      <c r="F209" s="70" t="s">
        <v>2220</v>
      </c>
      <c r="G209" s="70" t="s">
        <v>3</v>
      </c>
      <c r="H209" s="71">
        <v>140</v>
      </c>
      <c r="I209" s="71">
        <v>269</v>
      </c>
      <c r="J209" s="70" t="s">
        <v>8073</v>
      </c>
      <c r="K209" s="70" t="s">
        <v>4</v>
      </c>
      <c r="L209" s="70"/>
      <c r="M209" s="70"/>
      <c r="N209" s="5" t="str">
        <f t="shared" si="3"/>
        <v>1</v>
      </c>
      <c r="O209" s="5" t="str">
        <f>INDEX(Кат!$I:$I,MATCH($A209,Кат!$A:$A,0))</f>
        <v>кристал авто</v>
      </c>
    </row>
    <row r="210" spans="1:15" ht="90" x14ac:dyDescent="0.25">
      <c r="A210" s="69">
        <v>185773</v>
      </c>
      <c r="B210" s="69">
        <v>6335</v>
      </c>
      <c r="C210" s="70" t="s">
        <v>2230</v>
      </c>
      <c r="D210" s="70" t="s">
        <v>7198</v>
      </c>
      <c r="E210" s="70" t="s">
        <v>5554</v>
      </c>
      <c r="F210" s="70" t="s">
        <v>2229</v>
      </c>
      <c r="G210" s="70" t="s">
        <v>3</v>
      </c>
      <c r="H210" s="71">
        <v>140</v>
      </c>
      <c r="I210" s="71">
        <v>269</v>
      </c>
      <c r="J210" s="70" t="s">
        <v>8073</v>
      </c>
      <c r="K210" s="70" t="s">
        <v>4</v>
      </c>
      <c r="L210" s="70"/>
      <c r="M210" s="70"/>
      <c r="N210" s="5" t="str">
        <f t="shared" si="3"/>
        <v>1</v>
      </c>
      <c r="O210" s="5" t="str">
        <f>INDEX(Кат!$I:$I,MATCH($A210,Кат!$A:$A,0))</f>
        <v>кристал авто</v>
      </c>
    </row>
    <row r="211" spans="1:15" ht="90" x14ac:dyDescent="0.25">
      <c r="A211" s="69">
        <v>185774</v>
      </c>
      <c r="B211" s="69">
        <v>17959</v>
      </c>
      <c r="C211" s="70" t="s">
        <v>2365</v>
      </c>
      <c r="D211" s="70" t="s">
        <v>7198</v>
      </c>
      <c r="E211" s="70" t="s">
        <v>5626</v>
      </c>
      <c r="F211" s="70" t="s">
        <v>2364</v>
      </c>
      <c r="G211" s="70" t="s">
        <v>3</v>
      </c>
      <c r="H211" s="71">
        <v>140</v>
      </c>
      <c r="I211" s="71">
        <v>269</v>
      </c>
      <c r="J211" s="70" t="s">
        <v>8073</v>
      </c>
      <c r="K211" s="70" t="s">
        <v>4</v>
      </c>
      <c r="L211" s="70"/>
      <c r="M211" s="70"/>
      <c r="N211" s="5" t="str">
        <f t="shared" si="3"/>
        <v>1</v>
      </c>
      <c r="O211" s="5" t="str">
        <f>INDEX(Кат!$I:$I,MATCH($A211,Кат!$A:$A,0))</f>
        <v>кристал авто</v>
      </c>
    </row>
    <row r="212" spans="1:15" ht="90" x14ac:dyDescent="0.25">
      <c r="A212" s="69">
        <v>185775</v>
      </c>
      <c r="B212" s="69">
        <v>6331</v>
      </c>
      <c r="C212" s="70" t="s">
        <v>2223</v>
      </c>
      <c r="D212" s="70" t="s">
        <v>7198</v>
      </c>
      <c r="E212" s="70" t="s">
        <v>5550</v>
      </c>
      <c r="F212" s="70" t="s">
        <v>2222</v>
      </c>
      <c r="G212" s="70" t="s">
        <v>3</v>
      </c>
      <c r="H212" s="71">
        <v>140</v>
      </c>
      <c r="I212" s="71">
        <v>269</v>
      </c>
      <c r="J212" s="70" t="s">
        <v>8073</v>
      </c>
      <c r="K212" s="70" t="s">
        <v>4</v>
      </c>
      <c r="L212" s="70"/>
      <c r="M212" s="70"/>
      <c r="N212" s="5" t="str">
        <f t="shared" si="3"/>
        <v>1</v>
      </c>
      <c r="O212" s="5" t="str">
        <f>INDEX(Кат!$I:$I,MATCH($A212,Кат!$A:$A,0))</f>
        <v>кристал авто</v>
      </c>
    </row>
    <row r="213" spans="1:15" ht="90" x14ac:dyDescent="0.25">
      <c r="A213" s="69">
        <v>185776</v>
      </c>
      <c r="B213" s="69">
        <v>23337</v>
      </c>
      <c r="C213" s="70" t="s">
        <v>142</v>
      </c>
      <c r="D213" s="70" t="s">
        <v>7198</v>
      </c>
      <c r="E213" s="70"/>
      <c r="F213" s="70" t="s">
        <v>5811</v>
      </c>
      <c r="G213" s="70" t="s">
        <v>3</v>
      </c>
      <c r="H213" s="71">
        <v>140</v>
      </c>
      <c r="I213" s="71">
        <v>269</v>
      </c>
      <c r="J213" s="70" t="s">
        <v>8073</v>
      </c>
      <c r="K213" s="70" t="s">
        <v>4</v>
      </c>
      <c r="L213" s="70"/>
      <c r="M213" s="70"/>
      <c r="N213" s="5" t="str">
        <f t="shared" si="3"/>
        <v>1</v>
      </c>
      <c r="O213" s="5" t="str">
        <f>INDEX(Кат!$I:$I,MATCH($A213,Кат!$A:$A,0))</f>
        <v>кристал авто</v>
      </c>
    </row>
    <row r="214" spans="1:15" ht="90" x14ac:dyDescent="0.25">
      <c r="A214" s="69">
        <v>185777</v>
      </c>
      <c r="B214" s="69">
        <v>23338</v>
      </c>
      <c r="C214" s="70" t="s">
        <v>143</v>
      </c>
      <c r="D214" s="70" t="s">
        <v>7198</v>
      </c>
      <c r="E214" s="70"/>
      <c r="F214" s="70"/>
      <c r="G214" s="70" t="s">
        <v>3</v>
      </c>
      <c r="H214" s="71">
        <v>140</v>
      </c>
      <c r="I214" s="71">
        <v>269</v>
      </c>
      <c r="J214" s="70" t="s">
        <v>8073</v>
      </c>
      <c r="K214" s="70" t="s">
        <v>7199</v>
      </c>
      <c r="L214" s="70"/>
      <c r="M214" s="70"/>
      <c r="N214" s="5" t="str">
        <f t="shared" si="3"/>
        <v>0</v>
      </c>
      <c r="O214" s="5" t="str">
        <f>INDEX(Кат!$I:$I,MATCH($A214,Кат!$A:$A,0))</f>
        <v>кристал авто</v>
      </c>
    </row>
    <row r="215" spans="1:15" ht="90" x14ac:dyDescent="0.25">
      <c r="A215" s="69">
        <v>185778</v>
      </c>
      <c r="B215" s="69">
        <v>6326</v>
      </c>
      <c r="C215" s="70" t="s">
        <v>38</v>
      </c>
      <c r="D215" s="70" t="s">
        <v>7198</v>
      </c>
      <c r="E215" s="70"/>
      <c r="F215" s="70" t="s">
        <v>2213</v>
      </c>
      <c r="G215" s="70" t="s">
        <v>3</v>
      </c>
      <c r="H215" s="71">
        <v>140</v>
      </c>
      <c r="I215" s="71">
        <v>269</v>
      </c>
      <c r="J215" s="70" t="s">
        <v>8073</v>
      </c>
      <c r="K215" s="70" t="s">
        <v>4</v>
      </c>
      <c r="L215" s="70"/>
      <c r="M215" s="70"/>
      <c r="N215" s="5" t="str">
        <f t="shared" si="3"/>
        <v>1</v>
      </c>
      <c r="O215" s="5" t="str">
        <f>INDEX(Кат!$I:$I,MATCH($A215,Кат!$A:$A,0))</f>
        <v>кристал авто</v>
      </c>
    </row>
    <row r="216" spans="1:15" ht="90" x14ac:dyDescent="0.25">
      <c r="A216" s="69">
        <v>185779</v>
      </c>
      <c r="B216" s="69">
        <v>6336</v>
      </c>
      <c r="C216" s="70" t="s">
        <v>39</v>
      </c>
      <c r="D216" s="70" t="s">
        <v>7198</v>
      </c>
      <c r="E216" s="70" t="s">
        <v>5555</v>
      </c>
      <c r="F216" s="70" t="s">
        <v>2231</v>
      </c>
      <c r="G216" s="70" t="s">
        <v>3</v>
      </c>
      <c r="H216" s="71">
        <v>42</v>
      </c>
      <c r="I216" s="71">
        <v>89</v>
      </c>
      <c r="J216" s="70" t="s">
        <v>8073</v>
      </c>
      <c r="K216" s="70" t="s">
        <v>4</v>
      </c>
      <c r="L216" s="70"/>
      <c r="M216" s="70"/>
      <c r="N216" s="5" t="str">
        <f t="shared" si="3"/>
        <v>1</v>
      </c>
      <c r="O216" s="5" t="str">
        <f>INDEX(Кат!$I:$I,MATCH($A216,Кат!$A:$A,0))</f>
        <v>кристал авто</v>
      </c>
    </row>
    <row r="217" spans="1:15" ht="90" x14ac:dyDescent="0.25">
      <c r="A217" s="69">
        <v>185780</v>
      </c>
      <c r="B217" s="69">
        <v>6337</v>
      </c>
      <c r="C217" s="70" t="s">
        <v>2233</v>
      </c>
      <c r="D217" s="70" t="s">
        <v>7198</v>
      </c>
      <c r="E217" s="70"/>
      <c r="F217" s="70" t="s">
        <v>2232</v>
      </c>
      <c r="G217" s="70" t="s">
        <v>3</v>
      </c>
      <c r="H217" s="71">
        <v>42</v>
      </c>
      <c r="I217" s="71">
        <v>89</v>
      </c>
      <c r="J217" s="70" t="s">
        <v>8069</v>
      </c>
      <c r="K217" s="70" t="s">
        <v>4</v>
      </c>
      <c r="L217" s="70"/>
      <c r="M217" s="70"/>
      <c r="N217" s="5" t="str">
        <f t="shared" si="3"/>
        <v>1</v>
      </c>
      <c r="O217" s="5" t="str">
        <f>INDEX(Кат!$I:$I,MATCH($A217,Кат!$A:$A,0))</f>
        <v>кристал авто</v>
      </c>
    </row>
    <row r="218" spans="1:15" ht="90" x14ac:dyDescent="0.25">
      <c r="A218" s="69">
        <v>185781</v>
      </c>
      <c r="B218" s="69">
        <v>6338</v>
      </c>
      <c r="C218" s="70" t="s">
        <v>2235</v>
      </c>
      <c r="D218" s="70" t="s">
        <v>7198</v>
      </c>
      <c r="E218" s="70" t="s">
        <v>2234</v>
      </c>
      <c r="F218" s="70" t="s">
        <v>2234</v>
      </c>
      <c r="G218" s="70" t="s">
        <v>3</v>
      </c>
      <c r="H218" s="71">
        <v>42</v>
      </c>
      <c r="I218" s="71">
        <v>89</v>
      </c>
      <c r="J218" s="70" t="s">
        <v>8069</v>
      </c>
      <c r="K218" s="70" t="s">
        <v>4</v>
      </c>
      <c r="L218" s="70"/>
      <c r="M218" s="70"/>
      <c r="N218" s="5" t="str">
        <f t="shared" si="3"/>
        <v>1</v>
      </c>
      <c r="O218" s="5" t="str">
        <f>INDEX(Кат!$I:$I,MATCH($A218,Кат!$A:$A,0))</f>
        <v>кристал авто</v>
      </c>
    </row>
    <row r="219" spans="1:15" ht="90" x14ac:dyDescent="0.25">
      <c r="A219" s="69">
        <v>185782</v>
      </c>
      <c r="B219" s="69">
        <v>6345</v>
      </c>
      <c r="C219" s="70" t="s">
        <v>2248</v>
      </c>
      <c r="D219" s="70" t="s">
        <v>7198</v>
      </c>
      <c r="E219" s="70"/>
      <c r="F219" s="70" t="s">
        <v>2247</v>
      </c>
      <c r="G219" s="70" t="s">
        <v>3</v>
      </c>
      <c r="H219" s="71">
        <v>42</v>
      </c>
      <c r="I219" s="71">
        <v>89</v>
      </c>
      <c r="J219" s="70" t="s">
        <v>8069</v>
      </c>
      <c r="K219" s="70" t="s">
        <v>4</v>
      </c>
      <c r="L219" s="70"/>
      <c r="M219" s="70"/>
      <c r="N219" s="5" t="str">
        <f t="shared" si="3"/>
        <v>1</v>
      </c>
      <c r="O219" s="5" t="str">
        <f>INDEX(Кат!$I:$I,MATCH($A219,Кат!$A:$A,0))</f>
        <v>кристал авто</v>
      </c>
    </row>
    <row r="220" spans="1:15" ht="90" x14ac:dyDescent="0.25">
      <c r="A220" s="69">
        <v>185783</v>
      </c>
      <c r="B220" s="69">
        <v>6339</v>
      </c>
      <c r="C220" s="70" t="s">
        <v>2237</v>
      </c>
      <c r="D220" s="70" t="s">
        <v>7198</v>
      </c>
      <c r="E220" s="70"/>
      <c r="F220" s="70" t="s">
        <v>2236</v>
      </c>
      <c r="G220" s="70" t="s">
        <v>3</v>
      </c>
      <c r="H220" s="71">
        <v>42</v>
      </c>
      <c r="I220" s="71">
        <v>89</v>
      </c>
      <c r="J220" s="70" t="s">
        <v>8069</v>
      </c>
      <c r="K220" s="70" t="s">
        <v>4</v>
      </c>
      <c r="L220" s="70"/>
      <c r="M220" s="70"/>
      <c r="N220" s="5" t="str">
        <f t="shared" si="3"/>
        <v>1</v>
      </c>
      <c r="O220" s="5" t="str">
        <f>INDEX(Кат!$I:$I,MATCH($A220,Кат!$A:$A,0))</f>
        <v>кристал авто</v>
      </c>
    </row>
    <row r="221" spans="1:15" ht="90" x14ac:dyDescent="0.25">
      <c r="A221" s="69">
        <v>185784</v>
      </c>
      <c r="B221" s="69">
        <v>6340</v>
      </c>
      <c r="C221" s="70" t="s">
        <v>2239</v>
      </c>
      <c r="D221" s="70" t="s">
        <v>7198</v>
      </c>
      <c r="E221" s="70"/>
      <c r="F221" s="70" t="s">
        <v>2238</v>
      </c>
      <c r="G221" s="70" t="s">
        <v>3</v>
      </c>
      <c r="H221" s="71">
        <v>42</v>
      </c>
      <c r="I221" s="71">
        <v>89</v>
      </c>
      <c r="J221" s="70" t="s">
        <v>8069</v>
      </c>
      <c r="K221" s="70" t="s">
        <v>4</v>
      </c>
      <c r="L221" s="70"/>
      <c r="M221" s="70"/>
      <c r="N221" s="5" t="str">
        <f t="shared" si="3"/>
        <v>1</v>
      </c>
      <c r="O221" s="5" t="str">
        <f>INDEX(Кат!$I:$I,MATCH($A221,Кат!$A:$A,0))</f>
        <v>кристал авто</v>
      </c>
    </row>
    <row r="222" spans="1:15" ht="90" x14ac:dyDescent="0.25">
      <c r="A222" s="69">
        <v>185785</v>
      </c>
      <c r="B222" s="69">
        <v>6341</v>
      </c>
      <c r="C222" s="70" t="s">
        <v>2241</v>
      </c>
      <c r="D222" s="70" t="s">
        <v>7198</v>
      </c>
      <c r="E222" s="70"/>
      <c r="F222" s="70" t="s">
        <v>2240</v>
      </c>
      <c r="G222" s="70" t="s">
        <v>3</v>
      </c>
      <c r="H222" s="71">
        <v>42</v>
      </c>
      <c r="I222" s="71">
        <v>89</v>
      </c>
      <c r="J222" s="70" t="s">
        <v>8069</v>
      </c>
      <c r="K222" s="70" t="s">
        <v>4</v>
      </c>
      <c r="L222" s="70"/>
      <c r="M222" s="70"/>
      <c r="N222" s="5" t="str">
        <f t="shared" si="3"/>
        <v>1</v>
      </c>
      <c r="O222" s="5" t="str">
        <f>INDEX(Кат!$I:$I,MATCH($A222,Кат!$A:$A,0))</f>
        <v>кристал авто</v>
      </c>
    </row>
    <row r="223" spans="1:15" ht="90" x14ac:dyDescent="0.25">
      <c r="A223" s="69">
        <v>185786</v>
      </c>
      <c r="B223" s="69">
        <v>6342</v>
      </c>
      <c r="C223" s="70" t="s">
        <v>2242</v>
      </c>
      <c r="D223" s="70" t="s">
        <v>7198</v>
      </c>
      <c r="E223" s="70"/>
      <c r="F223" s="70"/>
      <c r="G223" s="70" t="s">
        <v>3</v>
      </c>
      <c r="H223" s="71">
        <v>42</v>
      </c>
      <c r="I223" s="71">
        <v>89</v>
      </c>
      <c r="J223" s="70" t="s">
        <v>8069</v>
      </c>
      <c r="K223" s="70" t="s">
        <v>7199</v>
      </c>
      <c r="L223" s="70"/>
      <c r="M223" s="70"/>
      <c r="N223" s="5" t="str">
        <f t="shared" si="3"/>
        <v>0</v>
      </c>
      <c r="O223" s="5" t="str">
        <f>INDEX(Кат!$I:$I,MATCH($A223,Кат!$A:$A,0))</f>
        <v>кристал авто</v>
      </c>
    </row>
    <row r="224" spans="1:15" ht="90" x14ac:dyDescent="0.25">
      <c r="A224" s="69">
        <v>185787</v>
      </c>
      <c r="B224" s="69">
        <v>6343</v>
      </c>
      <c r="C224" s="70" t="s">
        <v>2244</v>
      </c>
      <c r="D224" s="70" t="s">
        <v>7198</v>
      </c>
      <c r="E224" s="70"/>
      <c r="F224" s="70" t="s">
        <v>2243</v>
      </c>
      <c r="G224" s="70" t="s">
        <v>3</v>
      </c>
      <c r="H224" s="71">
        <v>42</v>
      </c>
      <c r="I224" s="71">
        <v>89</v>
      </c>
      <c r="J224" s="70" t="s">
        <v>8069</v>
      </c>
      <c r="K224" s="70" t="s">
        <v>4</v>
      </c>
      <c r="L224" s="70"/>
      <c r="M224" s="70"/>
      <c r="N224" s="5" t="str">
        <f t="shared" si="3"/>
        <v>1</v>
      </c>
      <c r="O224" s="5" t="str">
        <f>INDEX(Кат!$I:$I,MATCH($A224,Кат!$A:$A,0))</f>
        <v>кристал авто</v>
      </c>
    </row>
    <row r="225" spans="1:15" ht="90" x14ac:dyDescent="0.25">
      <c r="A225" s="69">
        <v>185788</v>
      </c>
      <c r="B225" s="69">
        <v>6346</v>
      </c>
      <c r="C225" s="70" t="s">
        <v>2250</v>
      </c>
      <c r="D225" s="70" t="s">
        <v>7198</v>
      </c>
      <c r="E225" s="70"/>
      <c r="F225" s="70" t="s">
        <v>2249</v>
      </c>
      <c r="G225" s="70" t="s">
        <v>3</v>
      </c>
      <c r="H225" s="71">
        <v>42</v>
      </c>
      <c r="I225" s="71">
        <v>89</v>
      </c>
      <c r="J225" s="70" t="s">
        <v>8069</v>
      </c>
      <c r="K225" s="70" t="s">
        <v>4</v>
      </c>
      <c r="L225" s="70"/>
      <c r="M225" s="70"/>
      <c r="N225" s="5" t="str">
        <f t="shared" si="3"/>
        <v>1</v>
      </c>
      <c r="O225" s="5" t="str">
        <f>INDEX(Кат!$I:$I,MATCH($A225,Кат!$A:$A,0))</f>
        <v>кристал авто</v>
      </c>
    </row>
    <row r="226" spans="1:15" ht="90" x14ac:dyDescent="0.25">
      <c r="A226" s="69">
        <v>185789</v>
      </c>
      <c r="B226" s="69">
        <v>6344</v>
      </c>
      <c r="C226" s="70" t="s">
        <v>2246</v>
      </c>
      <c r="D226" s="70" t="s">
        <v>7198</v>
      </c>
      <c r="E226" s="70"/>
      <c r="F226" s="70" t="s">
        <v>2245</v>
      </c>
      <c r="G226" s="70" t="s">
        <v>3</v>
      </c>
      <c r="H226" s="71">
        <v>42</v>
      </c>
      <c r="I226" s="71">
        <v>89</v>
      </c>
      <c r="J226" s="70" t="s">
        <v>8069</v>
      </c>
      <c r="K226" s="70" t="s">
        <v>4</v>
      </c>
      <c r="L226" s="70"/>
      <c r="M226" s="70"/>
      <c r="N226" s="5" t="str">
        <f t="shared" si="3"/>
        <v>1</v>
      </c>
      <c r="O226" s="5" t="str">
        <f>INDEX(Кат!$I:$I,MATCH($A226,Кат!$A:$A,0))</f>
        <v>кристал авто</v>
      </c>
    </row>
    <row r="227" spans="1:15" ht="30" x14ac:dyDescent="0.25">
      <c r="A227" s="69">
        <v>186072</v>
      </c>
      <c r="B227" s="69">
        <v>36904</v>
      </c>
      <c r="C227" s="70" t="s">
        <v>4833</v>
      </c>
      <c r="D227" s="70" t="s">
        <v>7198</v>
      </c>
      <c r="E227" s="70" t="s">
        <v>5646</v>
      </c>
      <c r="F227" s="70" t="s">
        <v>5686</v>
      </c>
      <c r="G227" s="70" t="s">
        <v>3</v>
      </c>
      <c r="H227" s="71">
        <v>950</v>
      </c>
      <c r="I227" s="71">
        <v>1590</v>
      </c>
      <c r="J227" s="70"/>
      <c r="K227" s="70" t="s">
        <v>4</v>
      </c>
      <c r="L227" s="70"/>
      <c r="M227" s="70"/>
      <c r="N227" s="5" t="str">
        <f t="shared" si="3"/>
        <v>1</v>
      </c>
      <c r="O227" s="5" t="str">
        <f>INDEX(Кат!$I:$I,MATCH($A227,Кат!$A:$A,0))</f>
        <v>кристал авто</v>
      </c>
    </row>
    <row r="228" spans="1:15" ht="45" x14ac:dyDescent="0.25">
      <c r="A228" s="69">
        <v>186316</v>
      </c>
      <c r="B228" s="69">
        <v>30956</v>
      </c>
      <c r="C228" s="70" t="s">
        <v>149</v>
      </c>
      <c r="D228" s="70" t="s">
        <v>7198</v>
      </c>
      <c r="E228" s="70"/>
      <c r="F228" s="70" t="s">
        <v>2422</v>
      </c>
      <c r="G228" s="70" t="s">
        <v>3</v>
      </c>
      <c r="H228" s="71">
        <v>40</v>
      </c>
      <c r="I228" s="71">
        <v>89</v>
      </c>
      <c r="J228" s="70"/>
      <c r="K228" s="70" t="s">
        <v>4</v>
      </c>
      <c r="L228" s="70"/>
      <c r="M228" s="70"/>
      <c r="N228" s="5" t="str">
        <f t="shared" si="3"/>
        <v>1</v>
      </c>
      <c r="O228" s="5" t="str">
        <f>INDEX(Кат!$I:$I,MATCH($A228,Кат!$A:$A,0))</f>
        <v>кристал авто</v>
      </c>
    </row>
    <row r="229" spans="1:15" ht="105" x14ac:dyDescent="0.25">
      <c r="A229" s="69">
        <v>186356</v>
      </c>
      <c r="B229" s="69">
        <v>10419</v>
      </c>
      <c r="C229" s="70" t="s">
        <v>7229</v>
      </c>
      <c r="D229" s="70" t="s">
        <v>8103</v>
      </c>
      <c r="E229" s="70" t="s">
        <v>7230</v>
      </c>
      <c r="F229" s="70" t="s">
        <v>8104</v>
      </c>
      <c r="G229" s="70" t="s">
        <v>3</v>
      </c>
      <c r="H229" s="71">
        <v>300</v>
      </c>
      <c r="I229" s="71">
        <v>509</v>
      </c>
      <c r="J229" s="70" t="s">
        <v>8062</v>
      </c>
      <c r="K229" s="70" t="s">
        <v>4</v>
      </c>
      <c r="L229" s="70"/>
      <c r="M229" s="70"/>
      <c r="N229" s="5" t="str">
        <f t="shared" si="3"/>
        <v>1</v>
      </c>
      <c r="O229" s="5" t="str">
        <f>INDEX(Кат!$I:$I,MATCH($A229,Кат!$A:$A,0))</f>
        <v>кристал авто</v>
      </c>
    </row>
    <row r="230" spans="1:15" ht="30" x14ac:dyDescent="0.25">
      <c r="A230" s="69">
        <v>187069</v>
      </c>
      <c r="B230" s="69">
        <v>24699</v>
      </c>
      <c r="C230" s="70" t="s">
        <v>4830</v>
      </c>
      <c r="D230" s="70" t="s">
        <v>7198</v>
      </c>
      <c r="E230" s="70" t="s">
        <v>5631</v>
      </c>
      <c r="F230" s="70"/>
      <c r="G230" s="70" t="s">
        <v>3</v>
      </c>
      <c r="H230" s="71">
        <v>250</v>
      </c>
      <c r="I230" s="71">
        <v>479</v>
      </c>
      <c r="J230" s="70"/>
      <c r="K230" s="70" t="s">
        <v>4</v>
      </c>
      <c r="L230" s="70"/>
      <c r="M230" s="70"/>
      <c r="N230" s="5" t="str">
        <f t="shared" si="3"/>
        <v>1</v>
      </c>
      <c r="O230" s="5" t="str">
        <f>INDEX(Кат!$I:$I,MATCH($A230,Кат!$A:$A,0))</f>
        <v>кристал авто</v>
      </c>
    </row>
    <row r="231" spans="1:15" ht="30" x14ac:dyDescent="0.25">
      <c r="A231" s="69">
        <v>193986</v>
      </c>
      <c r="B231" s="69">
        <v>9043</v>
      </c>
      <c r="C231" s="70" t="s">
        <v>66</v>
      </c>
      <c r="D231" s="70" t="s">
        <v>7198</v>
      </c>
      <c r="E231" s="70"/>
      <c r="F231" s="70" t="s">
        <v>2266</v>
      </c>
      <c r="G231" s="70" t="s">
        <v>3</v>
      </c>
      <c r="H231" s="71">
        <v>460</v>
      </c>
      <c r="I231" s="71">
        <v>779</v>
      </c>
      <c r="J231" s="70"/>
      <c r="K231" s="70" t="s">
        <v>4</v>
      </c>
      <c r="L231" s="70"/>
      <c r="M231" s="70"/>
      <c r="N231" s="5" t="str">
        <f t="shared" si="3"/>
        <v>1</v>
      </c>
      <c r="O231" s="5" t="str">
        <f>INDEX(Кат!$I:$I,MATCH($A231,Кат!$A:$A,0))</f>
        <v>кристал авто</v>
      </c>
    </row>
    <row r="232" spans="1:15" ht="45" x14ac:dyDescent="0.25">
      <c r="A232" s="69">
        <v>193987</v>
      </c>
      <c r="B232" s="69">
        <v>9046</v>
      </c>
      <c r="C232" s="70" t="s">
        <v>69</v>
      </c>
      <c r="D232" s="70" t="s">
        <v>7198</v>
      </c>
      <c r="E232" s="70"/>
      <c r="F232" s="70" t="s">
        <v>2267</v>
      </c>
      <c r="G232" s="70" t="s">
        <v>3</v>
      </c>
      <c r="H232" s="71">
        <v>590</v>
      </c>
      <c r="I232" s="71">
        <v>969</v>
      </c>
      <c r="J232" s="70"/>
      <c r="K232" s="70" t="s">
        <v>4</v>
      </c>
      <c r="L232" s="70"/>
      <c r="M232" s="70"/>
      <c r="N232" s="5" t="str">
        <f t="shared" si="3"/>
        <v>1</v>
      </c>
      <c r="O232" s="5" t="str">
        <f>INDEX(Кат!$I:$I,MATCH($A232,Кат!$A:$A,0))</f>
        <v>кристал авто</v>
      </c>
    </row>
    <row r="233" spans="1:15" ht="30" x14ac:dyDescent="0.25">
      <c r="A233" s="69">
        <v>193988</v>
      </c>
      <c r="B233" s="69">
        <v>9041</v>
      </c>
      <c r="C233" s="70" t="s">
        <v>64</v>
      </c>
      <c r="D233" s="70" t="s">
        <v>7198</v>
      </c>
      <c r="E233" s="70"/>
      <c r="F233" s="70"/>
      <c r="G233" s="70" t="s">
        <v>3</v>
      </c>
      <c r="H233" s="71">
        <v>110</v>
      </c>
      <c r="I233" s="71">
        <v>209</v>
      </c>
      <c r="J233" s="70"/>
      <c r="K233" s="70" t="s">
        <v>4</v>
      </c>
      <c r="L233" s="70" t="s">
        <v>4</v>
      </c>
      <c r="M233" s="70"/>
      <c r="N233" s="5" t="str">
        <f t="shared" si="3"/>
        <v>1ск1</v>
      </c>
      <c r="O233" s="5" t="str">
        <f>INDEX(Кат!$I:$I,MATCH($A233,Кат!$A:$A,0))</f>
        <v>кристал авто</v>
      </c>
    </row>
    <row r="234" spans="1:15" ht="30" x14ac:dyDescent="0.25">
      <c r="A234" s="69">
        <v>193989</v>
      </c>
      <c r="B234" s="69">
        <v>9038</v>
      </c>
      <c r="C234" s="70" t="s">
        <v>61</v>
      </c>
      <c r="D234" s="70" t="s">
        <v>7198</v>
      </c>
      <c r="E234" s="70"/>
      <c r="F234" s="70"/>
      <c r="G234" s="70" t="s">
        <v>3</v>
      </c>
      <c r="H234" s="71">
        <v>110</v>
      </c>
      <c r="I234" s="71">
        <v>209</v>
      </c>
      <c r="J234" s="70"/>
      <c r="K234" s="70" t="s">
        <v>4</v>
      </c>
      <c r="L234" s="70" t="s">
        <v>4</v>
      </c>
      <c r="M234" s="70"/>
      <c r="N234" s="5" t="str">
        <f t="shared" si="3"/>
        <v>1ск1</v>
      </c>
      <c r="O234" s="5" t="str">
        <f>INDEX(Кат!$I:$I,MATCH($A234,Кат!$A:$A,0))</f>
        <v>кристал авто</v>
      </c>
    </row>
    <row r="235" spans="1:15" ht="30" x14ac:dyDescent="0.25">
      <c r="A235" s="69">
        <v>193990</v>
      </c>
      <c r="B235" s="69">
        <v>9039</v>
      </c>
      <c r="C235" s="70" t="s">
        <v>62</v>
      </c>
      <c r="D235" s="70" t="s">
        <v>7198</v>
      </c>
      <c r="E235" s="70"/>
      <c r="F235" s="70"/>
      <c r="G235" s="70" t="s">
        <v>3</v>
      </c>
      <c r="H235" s="71">
        <v>120</v>
      </c>
      <c r="I235" s="71">
        <v>229</v>
      </c>
      <c r="J235" s="70"/>
      <c r="K235" s="70" t="s">
        <v>4</v>
      </c>
      <c r="L235" s="70"/>
      <c r="M235" s="70"/>
      <c r="N235" s="5" t="str">
        <f t="shared" si="3"/>
        <v>1</v>
      </c>
      <c r="O235" s="5" t="str">
        <f>INDEX(Кат!$I:$I,MATCH($A235,Кат!$A:$A,0))</f>
        <v>кристал авто</v>
      </c>
    </row>
    <row r="236" spans="1:15" ht="30" x14ac:dyDescent="0.25">
      <c r="A236" s="69">
        <v>193991</v>
      </c>
      <c r="B236" s="69">
        <v>9037</v>
      </c>
      <c r="C236" s="70" t="s">
        <v>60</v>
      </c>
      <c r="D236" s="70" t="s">
        <v>7198</v>
      </c>
      <c r="E236" s="70"/>
      <c r="F236" s="70"/>
      <c r="G236" s="70" t="s">
        <v>3</v>
      </c>
      <c r="H236" s="71">
        <v>120</v>
      </c>
      <c r="I236" s="71">
        <v>229</v>
      </c>
      <c r="J236" s="70"/>
      <c r="K236" s="70" t="s">
        <v>7199</v>
      </c>
      <c r="L236" s="70"/>
      <c r="M236" s="70"/>
      <c r="N236" s="5" t="str">
        <f t="shared" si="3"/>
        <v>0</v>
      </c>
      <c r="O236" s="5" t="str">
        <f>INDEX(Кат!$I:$I,MATCH($A236,Кат!$A:$A,0))</f>
        <v>кристал авто</v>
      </c>
    </row>
    <row r="237" spans="1:15" ht="30" x14ac:dyDescent="0.25">
      <c r="A237" s="69">
        <v>193992</v>
      </c>
      <c r="B237" s="69">
        <v>9042</v>
      </c>
      <c r="C237" s="70" t="s">
        <v>65</v>
      </c>
      <c r="D237" s="70" t="s">
        <v>7198</v>
      </c>
      <c r="E237" s="70"/>
      <c r="F237" s="70"/>
      <c r="G237" s="70" t="s">
        <v>3</v>
      </c>
      <c r="H237" s="71">
        <v>120</v>
      </c>
      <c r="I237" s="71">
        <v>229</v>
      </c>
      <c r="J237" s="70"/>
      <c r="K237" s="70" t="s">
        <v>4</v>
      </c>
      <c r="L237" s="70" t="s">
        <v>4</v>
      </c>
      <c r="M237" s="70"/>
      <c r="N237" s="5" t="str">
        <f t="shared" si="3"/>
        <v>1ск1</v>
      </c>
      <c r="O237" s="5" t="str">
        <f>INDEX(Кат!$I:$I,MATCH($A237,Кат!$A:$A,0))</f>
        <v>кристал авто</v>
      </c>
    </row>
    <row r="238" spans="1:15" ht="30" x14ac:dyDescent="0.25">
      <c r="A238" s="69">
        <v>193993</v>
      </c>
      <c r="B238" s="69">
        <v>9040</v>
      </c>
      <c r="C238" s="70" t="s">
        <v>63</v>
      </c>
      <c r="D238" s="70" t="s">
        <v>7198</v>
      </c>
      <c r="E238" s="70"/>
      <c r="F238" s="70"/>
      <c r="G238" s="70" t="s">
        <v>3</v>
      </c>
      <c r="H238" s="71">
        <v>110</v>
      </c>
      <c r="I238" s="71">
        <v>209</v>
      </c>
      <c r="J238" s="70"/>
      <c r="K238" s="70" t="s">
        <v>4</v>
      </c>
      <c r="L238" s="70" t="s">
        <v>4</v>
      </c>
      <c r="M238" s="70"/>
      <c r="N238" s="5" t="str">
        <f t="shared" si="3"/>
        <v>1ск1</v>
      </c>
      <c r="O238" s="5" t="str">
        <f>INDEX(Кат!$I:$I,MATCH($A238,Кат!$A:$A,0))</f>
        <v>кристал авто</v>
      </c>
    </row>
    <row r="239" spans="1:15" ht="30" x14ac:dyDescent="0.25">
      <c r="A239" s="69">
        <v>193994</v>
      </c>
      <c r="B239" s="69">
        <v>9045</v>
      </c>
      <c r="C239" s="70" t="s">
        <v>68</v>
      </c>
      <c r="D239" s="70" t="s">
        <v>7198</v>
      </c>
      <c r="E239" s="70"/>
      <c r="F239" s="70"/>
      <c r="G239" s="70" t="s">
        <v>3</v>
      </c>
      <c r="H239" s="71">
        <v>110</v>
      </c>
      <c r="I239" s="71">
        <v>209</v>
      </c>
      <c r="J239" s="70"/>
      <c r="K239" s="70" t="s">
        <v>4</v>
      </c>
      <c r="L239" s="70"/>
      <c r="M239" s="70"/>
      <c r="N239" s="5" t="str">
        <f t="shared" si="3"/>
        <v>1</v>
      </c>
      <c r="O239" s="5" t="str">
        <f>INDEX(Кат!$I:$I,MATCH($A239,Кат!$A:$A,0))</f>
        <v>кристал авто</v>
      </c>
    </row>
    <row r="240" spans="1:15" ht="30" x14ac:dyDescent="0.25">
      <c r="A240" s="69">
        <v>193995</v>
      </c>
      <c r="B240" s="69">
        <v>9044</v>
      </c>
      <c r="C240" s="70" t="s">
        <v>67</v>
      </c>
      <c r="D240" s="70" t="s">
        <v>7198</v>
      </c>
      <c r="E240" s="70"/>
      <c r="F240" s="70"/>
      <c r="G240" s="70" t="s">
        <v>3</v>
      </c>
      <c r="H240" s="71">
        <v>170</v>
      </c>
      <c r="I240" s="71">
        <v>329</v>
      </c>
      <c r="J240" s="70"/>
      <c r="K240" s="70" t="s">
        <v>4</v>
      </c>
      <c r="L240" s="70"/>
      <c r="M240" s="70"/>
      <c r="N240" s="5" t="str">
        <f t="shared" si="3"/>
        <v>1</v>
      </c>
      <c r="O240" s="5" t="str">
        <f>INDEX(Кат!$I:$I,MATCH($A240,Кат!$A:$A,0))</f>
        <v>кристал авто</v>
      </c>
    </row>
    <row r="241" spans="1:15" ht="30" x14ac:dyDescent="0.25">
      <c r="A241" s="69">
        <v>195168</v>
      </c>
      <c r="B241" s="69">
        <v>31128</v>
      </c>
      <c r="C241" s="70" t="s">
        <v>6064</v>
      </c>
      <c r="D241" s="70" t="s">
        <v>7198</v>
      </c>
      <c r="E241" s="70"/>
      <c r="F241" s="70" t="s">
        <v>2429</v>
      </c>
      <c r="G241" s="70" t="s">
        <v>3</v>
      </c>
      <c r="H241" s="71">
        <v>480</v>
      </c>
      <c r="I241" s="71">
        <v>809</v>
      </c>
      <c r="J241" s="70"/>
      <c r="K241" s="70" t="s">
        <v>4</v>
      </c>
      <c r="L241" s="70"/>
      <c r="M241" s="70"/>
      <c r="N241" s="5" t="str">
        <f t="shared" si="3"/>
        <v>1</v>
      </c>
      <c r="O241" s="5" t="str">
        <f>INDEX(Кат!$I:$I,MATCH($A241,Кат!$A:$A,0))</f>
        <v>кристал авто</v>
      </c>
    </row>
    <row r="242" spans="1:15" ht="30" x14ac:dyDescent="0.25">
      <c r="A242" s="69">
        <v>195169</v>
      </c>
      <c r="B242" s="69">
        <v>31127</v>
      </c>
      <c r="C242" s="70" t="s">
        <v>6063</v>
      </c>
      <c r="D242" s="70" t="s">
        <v>7198</v>
      </c>
      <c r="E242" s="70"/>
      <c r="F242" s="70" t="s">
        <v>2428</v>
      </c>
      <c r="G242" s="70" t="s">
        <v>3</v>
      </c>
      <c r="H242" s="71">
        <v>480</v>
      </c>
      <c r="I242" s="71">
        <v>809</v>
      </c>
      <c r="J242" s="70"/>
      <c r="K242" s="70" t="s">
        <v>4</v>
      </c>
      <c r="L242" s="70"/>
      <c r="M242" s="70" t="s">
        <v>7198</v>
      </c>
      <c r="N242" s="5" t="str">
        <f t="shared" si="3"/>
        <v>1</v>
      </c>
      <c r="O242" s="5" t="str">
        <f>INDEX(Кат!$I:$I,MATCH($A242,Кат!$A:$A,0))</f>
        <v>кристал авто</v>
      </c>
    </row>
    <row r="243" spans="1:15" ht="30" x14ac:dyDescent="0.25">
      <c r="A243" s="69">
        <v>195170</v>
      </c>
      <c r="B243" s="69">
        <v>9291</v>
      </c>
      <c r="C243" s="70" t="s">
        <v>80</v>
      </c>
      <c r="D243" s="70" t="s">
        <v>7198</v>
      </c>
      <c r="E243" s="70" t="s">
        <v>5591</v>
      </c>
      <c r="F243" s="70"/>
      <c r="G243" s="70" t="s">
        <v>3</v>
      </c>
      <c r="H243" s="71">
        <v>400</v>
      </c>
      <c r="I243" s="71">
        <v>739</v>
      </c>
      <c r="J243" s="70"/>
      <c r="K243" s="70" t="s">
        <v>7199</v>
      </c>
      <c r="L243" s="70"/>
      <c r="M243" s="70"/>
      <c r="N243" s="5" t="str">
        <f t="shared" si="3"/>
        <v>0</v>
      </c>
      <c r="O243" s="5" t="str">
        <f>INDEX(Кат!$I:$I,MATCH($A243,Кат!$A:$A,0))</f>
        <v>кристал авто</v>
      </c>
    </row>
    <row r="244" spans="1:15" ht="30" x14ac:dyDescent="0.25">
      <c r="A244" s="69">
        <v>195172</v>
      </c>
      <c r="B244" s="69">
        <v>9307</v>
      </c>
      <c r="C244" s="70" t="s">
        <v>81</v>
      </c>
      <c r="D244" s="70" t="s">
        <v>7198</v>
      </c>
      <c r="E244" s="70" t="s">
        <v>5592</v>
      </c>
      <c r="F244" s="70" t="s">
        <v>4829</v>
      </c>
      <c r="G244" s="70" t="s">
        <v>3</v>
      </c>
      <c r="H244" s="71">
        <v>220</v>
      </c>
      <c r="I244" s="71">
        <v>419</v>
      </c>
      <c r="J244" s="70"/>
      <c r="K244" s="70" t="s">
        <v>4</v>
      </c>
      <c r="L244" s="70"/>
      <c r="M244" s="70"/>
      <c r="N244" s="5" t="str">
        <f t="shared" si="3"/>
        <v>1</v>
      </c>
      <c r="O244" s="5" t="str">
        <f>INDEX(Кат!$I:$I,MATCH($A244,Кат!$A:$A,0))</f>
        <v>кристал авто</v>
      </c>
    </row>
    <row r="245" spans="1:15" ht="30" x14ac:dyDescent="0.25">
      <c r="A245" s="69">
        <v>274401</v>
      </c>
      <c r="B245" s="69">
        <v>225744</v>
      </c>
      <c r="C245" s="70" t="s">
        <v>7231</v>
      </c>
      <c r="D245" s="70" t="s">
        <v>7198</v>
      </c>
      <c r="E245" s="70" t="s">
        <v>7232</v>
      </c>
      <c r="F245" s="70"/>
      <c r="G245" s="70" t="s">
        <v>3</v>
      </c>
      <c r="H245" s="71">
        <v>170</v>
      </c>
      <c r="I245" s="71">
        <v>329</v>
      </c>
      <c r="J245" s="70"/>
      <c r="K245" s="70" t="s">
        <v>4</v>
      </c>
      <c r="L245" s="70"/>
      <c r="M245" s="70"/>
      <c r="N245" s="5" t="str">
        <f t="shared" si="3"/>
        <v>1</v>
      </c>
      <c r="O245" s="5" t="str">
        <f>INDEX(Кат!$I:$I,MATCH($A245,Кат!$A:$A,0))</f>
        <v>кристал авто</v>
      </c>
    </row>
    <row r="246" spans="1:15" ht="30" x14ac:dyDescent="0.25">
      <c r="A246" s="69">
        <v>274402</v>
      </c>
      <c r="B246" s="69">
        <v>225745</v>
      </c>
      <c r="C246" s="70" t="s">
        <v>7233</v>
      </c>
      <c r="D246" s="70" t="s">
        <v>7198</v>
      </c>
      <c r="E246" s="70" t="s">
        <v>7234</v>
      </c>
      <c r="F246" s="70"/>
      <c r="G246" s="70" t="s">
        <v>3</v>
      </c>
      <c r="H246" s="71">
        <v>240</v>
      </c>
      <c r="I246" s="71">
        <v>459</v>
      </c>
      <c r="J246" s="70"/>
      <c r="K246" s="70" t="s">
        <v>4</v>
      </c>
      <c r="L246" s="70"/>
      <c r="M246" s="70"/>
      <c r="N246" s="5" t="str">
        <f t="shared" si="3"/>
        <v>1</v>
      </c>
      <c r="O246" s="5" t="str">
        <f>INDEX(Кат!$I:$I,MATCH($A246,Кат!$A:$A,0))</f>
        <v>кристал авто</v>
      </c>
    </row>
    <row r="247" spans="1:15" ht="30" x14ac:dyDescent="0.25">
      <c r="A247" s="69">
        <v>274400</v>
      </c>
      <c r="B247" s="69">
        <v>225741</v>
      </c>
      <c r="C247" s="70" t="s">
        <v>7235</v>
      </c>
      <c r="D247" s="70" t="s">
        <v>7198</v>
      </c>
      <c r="E247" s="70" t="s">
        <v>7236</v>
      </c>
      <c r="F247" s="70"/>
      <c r="G247" s="70" t="s">
        <v>3</v>
      </c>
      <c r="H247" s="71">
        <v>480</v>
      </c>
      <c r="I247" s="71">
        <v>809</v>
      </c>
      <c r="J247" s="70"/>
      <c r="K247" s="70" t="s">
        <v>4</v>
      </c>
      <c r="L247" s="70"/>
      <c r="M247" s="70"/>
      <c r="N247" s="5" t="str">
        <f t="shared" si="3"/>
        <v>1</v>
      </c>
      <c r="O247" s="5" t="str">
        <f>INDEX(Кат!$I:$I,MATCH($A247,Кат!$A:$A,0))</f>
        <v>кристал авто</v>
      </c>
    </row>
    <row r="248" spans="1:15" ht="30" x14ac:dyDescent="0.25">
      <c r="A248" s="69">
        <v>202605</v>
      </c>
      <c r="B248" s="69">
        <v>32091</v>
      </c>
      <c r="C248" s="70" t="s">
        <v>4832</v>
      </c>
      <c r="D248" s="70" t="s">
        <v>7198</v>
      </c>
      <c r="E248" s="70" t="s">
        <v>6061</v>
      </c>
      <c r="F248" s="70" t="s">
        <v>2434</v>
      </c>
      <c r="G248" s="70" t="s">
        <v>3</v>
      </c>
      <c r="H248" s="71">
        <v>280</v>
      </c>
      <c r="I248" s="71">
        <v>529</v>
      </c>
      <c r="J248" s="70"/>
      <c r="K248" s="70" t="s">
        <v>4</v>
      </c>
      <c r="L248" s="70" t="s">
        <v>4</v>
      </c>
      <c r="M248" s="70"/>
      <c r="N248" s="5" t="str">
        <f t="shared" si="3"/>
        <v>1ск1</v>
      </c>
      <c r="O248" s="5" t="str">
        <f>INDEX(Кат!$I:$I,MATCH($A248,Кат!$A:$A,0))</f>
        <v>кристал авто</v>
      </c>
    </row>
    <row r="249" spans="1:15" ht="30" x14ac:dyDescent="0.25">
      <c r="A249" s="69">
        <v>213269</v>
      </c>
      <c r="B249" s="69">
        <v>9060</v>
      </c>
      <c r="C249" s="70" t="s">
        <v>72</v>
      </c>
      <c r="D249" s="70" t="s">
        <v>7198</v>
      </c>
      <c r="E249" s="70" t="s">
        <v>5581</v>
      </c>
      <c r="F249" s="70" t="s">
        <v>2272</v>
      </c>
      <c r="G249" s="70" t="s">
        <v>3</v>
      </c>
      <c r="H249" s="71">
        <v>85</v>
      </c>
      <c r="I249" s="71">
        <v>179</v>
      </c>
      <c r="J249" s="70"/>
      <c r="K249" s="70" t="s">
        <v>4</v>
      </c>
      <c r="L249" s="70"/>
      <c r="M249" s="70"/>
      <c r="N249" s="5" t="str">
        <f t="shared" si="3"/>
        <v>1</v>
      </c>
      <c r="O249" s="5" t="str">
        <f>INDEX(Кат!$I:$I,MATCH($A249,Кат!$A:$A,0))</f>
        <v>кристал авто</v>
      </c>
    </row>
    <row r="250" spans="1:15" ht="30" x14ac:dyDescent="0.25">
      <c r="A250" s="69">
        <v>213270</v>
      </c>
      <c r="B250" s="69">
        <v>9056</v>
      </c>
      <c r="C250" s="70" t="s">
        <v>2270</v>
      </c>
      <c r="D250" s="70" t="s">
        <v>7198</v>
      </c>
      <c r="E250" s="70" t="s">
        <v>5579</v>
      </c>
      <c r="F250" s="70" t="s">
        <v>2269</v>
      </c>
      <c r="G250" s="70" t="s">
        <v>3</v>
      </c>
      <c r="H250" s="71">
        <v>150</v>
      </c>
      <c r="I250" s="71">
        <v>289</v>
      </c>
      <c r="J250" s="70"/>
      <c r="K250" s="70" t="s">
        <v>4</v>
      </c>
      <c r="L250" s="70"/>
      <c r="M250" s="70"/>
      <c r="N250" s="5" t="str">
        <f t="shared" si="3"/>
        <v>1</v>
      </c>
      <c r="O250" s="5" t="str">
        <f>INDEX(Кат!$I:$I,MATCH($A250,Кат!$A:$A,0))</f>
        <v>кристал авто</v>
      </c>
    </row>
    <row r="251" spans="1:15" ht="30" x14ac:dyDescent="0.25">
      <c r="A251" s="69">
        <v>213271</v>
      </c>
      <c r="B251" s="69">
        <v>9100</v>
      </c>
      <c r="C251" s="70" t="s">
        <v>2283</v>
      </c>
      <c r="D251" s="70" t="s">
        <v>7198</v>
      </c>
      <c r="E251" s="70" t="s">
        <v>5590</v>
      </c>
      <c r="F251" s="70" t="s">
        <v>2282</v>
      </c>
      <c r="G251" s="70" t="s">
        <v>3</v>
      </c>
      <c r="H251" s="71">
        <v>80</v>
      </c>
      <c r="I251" s="71">
        <v>169</v>
      </c>
      <c r="J251" s="70"/>
      <c r="K251" s="70" t="s">
        <v>4</v>
      </c>
      <c r="L251" s="70"/>
      <c r="M251" s="70"/>
      <c r="N251" s="5" t="str">
        <f t="shared" si="3"/>
        <v>1</v>
      </c>
      <c r="O251" s="5" t="str">
        <f>INDEX(Кат!$I:$I,MATCH($A251,Кат!$A:$A,0))</f>
        <v>кристал авто</v>
      </c>
    </row>
    <row r="252" spans="1:15" ht="30" x14ac:dyDescent="0.25">
      <c r="A252" s="69">
        <v>213272</v>
      </c>
      <c r="B252" s="69">
        <v>9070</v>
      </c>
      <c r="C252" s="70" t="s">
        <v>2275</v>
      </c>
      <c r="D252" s="70" t="s">
        <v>7198</v>
      </c>
      <c r="E252" s="70" t="s">
        <v>5583</v>
      </c>
      <c r="F252" s="70" t="s">
        <v>2274</v>
      </c>
      <c r="G252" s="70" t="s">
        <v>3</v>
      </c>
      <c r="H252" s="71">
        <v>80</v>
      </c>
      <c r="I252" s="71">
        <v>169</v>
      </c>
      <c r="J252" s="70"/>
      <c r="K252" s="70" t="s">
        <v>4</v>
      </c>
      <c r="L252" s="70"/>
      <c r="M252" s="70"/>
      <c r="N252" s="5" t="str">
        <f t="shared" si="3"/>
        <v>1</v>
      </c>
      <c r="O252" s="5" t="str">
        <f>INDEX(Кат!$I:$I,MATCH($A252,Кат!$A:$A,0))</f>
        <v>кристал авто</v>
      </c>
    </row>
    <row r="253" spans="1:15" ht="30" x14ac:dyDescent="0.25">
      <c r="A253" s="69">
        <v>213274</v>
      </c>
      <c r="B253" s="69">
        <v>9077</v>
      </c>
      <c r="C253" s="70" t="s">
        <v>76</v>
      </c>
      <c r="D253" s="70" t="s">
        <v>7198</v>
      </c>
      <c r="E253" s="70" t="s">
        <v>5586</v>
      </c>
      <c r="F253" s="70" t="s">
        <v>2278</v>
      </c>
      <c r="G253" s="70" t="s">
        <v>3</v>
      </c>
      <c r="H253" s="71">
        <v>65</v>
      </c>
      <c r="I253" s="71">
        <v>139</v>
      </c>
      <c r="J253" s="70"/>
      <c r="K253" s="70" t="s">
        <v>4</v>
      </c>
      <c r="L253" s="70"/>
      <c r="M253" s="70"/>
      <c r="N253" s="5" t="str">
        <f t="shared" si="3"/>
        <v>1</v>
      </c>
      <c r="O253" s="5" t="str">
        <f>INDEX(Кат!$I:$I,MATCH($A253,Кат!$A:$A,0))</f>
        <v>кристал авто</v>
      </c>
    </row>
    <row r="254" spans="1:15" ht="30" x14ac:dyDescent="0.25">
      <c r="A254" s="69">
        <v>213275</v>
      </c>
      <c r="B254" s="69">
        <v>9048</v>
      </c>
      <c r="C254" s="70" t="s">
        <v>70</v>
      </c>
      <c r="D254" s="70" t="s">
        <v>7198</v>
      </c>
      <c r="E254" s="70" t="s">
        <v>5578</v>
      </c>
      <c r="F254" s="70" t="s">
        <v>2268</v>
      </c>
      <c r="G254" s="70" t="s">
        <v>3</v>
      </c>
      <c r="H254" s="71">
        <v>60</v>
      </c>
      <c r="I254" s="71">
        <v>129</v>
      </c>
      <c r="J254" s="70"/>
      <c r="K254" s="70" t="s">
        <v>4</v>
      </c>
      <c r="L254" s="70"/>
      <c r="M254" s="70"/>
      <c r="N254" s="5" t="str">
        <f t="shared" si="3"/>
        <v>1</v>
      </c>
      <c r="O254" s="5" t="str">
        <f>INDEX(Кат!$I:$I,MATCH($A254,Кат!$A:$A,0))</f>
        <v>кристал авто</v>
      </c>
    </row>
    <row r="255" spans="1:15" ht="30" x14ac:dyDescent="0.25">
      <c r="A255" s="69">
        <v>213282</v>
      </c>
      <c r="B255" s="69">
        <v>9059</v>
      </c>
      <c r="C255" s="70" t="s">
        <v>71</v>
      </c>
      <c r="D255" s="70" t="s">
        <v>7198</v>
      </c>
      <c r="E255" s="70" t="s">
        <v>5580</v>
      </c>
      <c r="F255" s="70" t="s">
        <v>2271</v>
      </c>
      <c r="G255" s="70" t="s">
        <v>3</v>
      </c>
      <c r="H255" s="71">
        <v>310</v>
      </c>
      <c r="I255" s="71">
        <v>529</v>
      </c>
      <c r="J255" s="70"/>
      <c r="K255" s="70" t="s">
        <v>4</v>
      </c>
      <c r="L255" s="70"/>
      <c r="M255" s="70"/>
      <c r="N255" s="5" t="str">
        <f t="shared" si="3"/>
        <v>1</v>
      </c>
      <c r="O255" s="5" t="str">
        <f>INDEX(Кат!$I:$I,MATCH($A255,Кат!$A:$A,0))</f>
        <v>кристал авто</v>
      </c>
    </row>
    <row r="256" spans="1:15" ht="30" x14ac:dyDescent="0.25">
      <c r="A256" s="69">
        <v>213283</v>
      </c>
      <c r="B256" s="69">
        <v>9075</v>
      </c>
      <c r="C256" s="70" t="s">
        <v>75</v>
      </c>
      <c r="D256" s="70" t="s">
        <v>7198</v>
      </c>
      <c r="E256" s="70" t="s">
        <v>5585</v>
      </c>
      <c r="F256" s="70" t="s">
        <v>2277</v>
      </c>
      <c r="G256" s="70" t="s">
        <v>3</v>
      </c>
      <c r="H256" s="71">
        <v>85</v>
      </c>
      <c r="I256" s="71">
        <v>179</v>
      </c>
      <c r="J256" s="70"/>
      <c r="K256" s="70" t="s">
        <v>4</v>
      </c>
      <c r="L256" s="70"/>
      <c r="M256" s="70"/>
      <c r="N256" s="5" t="str">
        <f t="shared" si="3"/>
        <v>1</v>
      </c>
      <c r="O256" s="5" t="str">
        <f>INDEX(Кат!$I:$I,MATCH($A256,Кат!$A:$A,0))</f>
        <v>кристал авто</v>
      </c>
    </row>
    <row r="257" spans="1:15" ht="30" x14ac:dyDescent="0.25">
      <c r="A257" s="69">
        <v>213284</v>
      </c>
      <c r="B257" s="69">
        <v>9073</v>
      </c>
      <c r="C257" s="70" t="s">
        <v>74</v>
      </c>
      <c r="D257" s="70" t="s">
        <v>7198</v>
      </c>
      <c r="E257" s="70" t="s">
        <v>5584</v>
      </c>
      <c r="F257" s="70" t="s">
        <v>2276</v>
      </c>
      <c r="G257" s="70" t="s">
        <v>3</v>
      </c>
      <c r="H257" s="71">
        <v>410</v>
      </c>
      <c r="I257" s="71">
        <v>689</v>
      </c>
      <c r="J257" s="70"/>
      <c r="K257" s="70" t="s">
        <v>4</v>
      </c>
      <c r="L257" s="70"/>
      <c r="M257" s="70"/>
      <c r="N257" s="5" t="str">
        <f t="shared" si="3"/>
        <v>1</v>
      </c>
      <c r="O257" s="5" t="str">
        <f>INDEX(Кат!$I:$I,MATCH($A257,Кат!$A:$A,0))</f>
        <v>кристал авто</v>
      </c>
    </row>
    <row r="258" spans="1:15" ht="30" x14ac:dyDescent="0.25">
      <c r="A258" s="69">
        <v>213285</v>
      </c>
      <c r="B258" s="69">
        <v>9078</v>
      </c>
      <c r="C258" s="70" t="s">
        <v>77</v>
      </c>
      <c r="D258" s="70" t="s">
        <v>7198</v>
      </c>
      <c r="E258" s="70" t="s">
        <v>5587</v>
      </c>
      <c r="F258" s="70" t="s">
        <v>2279</v>
      </c>
      <c r="G258" s="70" t="s">
        <v>3</v>
      </c>
      <c r="H258" s="71">
        <v>200</v>
      </c>
      <c r="I258" s="71">
        <v>379</v>
      </c>
      <c r="J258" s="70"/>
      <c r="K258" s="70" t="s">
        <v>4</v>
      </c>
      <c r="L258" s="70"/>
      <c r="M258" s="70"/>
      <c r="N258" s="5" t="str">
        <f t="shared" si="3"/>
        <v>1</v>
      </c>
      <c r="O258" s="5" t="str">
        <f>INDEX(Кат!$I:$I,MATCH($A258,Кат!$A:$A,0))</f>
        <v>кристал авто</v>
      </c>
    </row>
    <row r="259" spans="1:15" ht="30" x14ac:dyDescent="0.25">
      <c r="A259" s="69">
        <v>213286</v>
      </c>
      <c r="B259" s="69">
        <v>9067</v>
      </c>
      <c r="C259" s="70" t="s">
        <v>73</v>
      </c>
      <c r="D259" s="70" t="s">
        <v>7198</v>
      </c>
      <c r="E259" s="70" t="s">
        <v>5582</v>
      </c>
      <c r="F259" s="70" t="s">
        <v>2273</v>
      </c>
      <c r="G259" s="70" t="s">
        <v>3</v>
      </c>
      <c r="H259" s="71">
        <v>115</v>
      </c>
      <c r="I259" s="71">
        <v>219</v>
      </c>
      <c r="J259" s="70"/>
      <c r="K259" s="70" t="s">
        <v>4</v>
      </c>
      <c r="L259" s="70"/>
      <c r="M259" s="70"/>
      <c r="N259" s="5" t="str">
        <f t="shared" ref="N259:N316" si="4">_xlfn.CONCAT(K259,IF(L259&lt;&gt;"",_xlfn.CONCAT("ск",L259),""))</f>
        <v>1</v>
      </c>
      <c r="O259" s="5" t="str">
        <f>INDEX(Кат!$I:$I,MATCH($A259,Кат!$A:$A,0))</f>
        <v>кристал авто</v>
      </c>
    </row>
    <row r="260" spans="1:15" ht="30" x14ac:dyDescent="0.25">
      <c r="A260" s="69">
        <v>213287</v>
      </c>
      <c r="B260" s="69">
        <v>9079</v>
      </c>
      <c r="C260" s="70" t="s">
        <v>78</v>
      </c>
      <c r="D260" s="70" t="s">
        <v>7198</v>
      </c>
      <c r="E260" s="70" t="s">
        <v>5588</v>
      </c>
      <c r="F260" s="70" t="s">
        <v>2280</v>
      </c>
      <c r="G260" s="70" t="s">
        <v>3</v>
      </c>
      <c r="H260" s="71">
        <v>110</v>
      </c>
      <c r="I260" s="71">
        <v>209</v>
      </c>
      <c r="J260" s="70"/>
      <c r="K260" s="70" t="s">
        <v>4</v>
      </c>
      <c r="L260" s="70"/>
      <c r="M260" s="70"/>
      <c r="N260" s="5" t="str">
        <f t="shared" si="4"/>
        <v>1</v>
      </c>
      <c r="O260" s="5" t="str">
        <f>INDEX(Кат!$I:$I,MATCH($A260,Кат!$A:$A,0))</f>
        <v>кристал авто</v>
      </c>
    </row>
    <row r="261" spans="1:15" ht="30" x14ac:dyDescent="0.25">
      <c r="A261" s="69">
        <v>213288</v>
      </c>
      <c r="B261" s="69">
        <v>9089</v>
      </c>
      <c r="C261" s="70" t="s">
        <v>79</v>
      </c>
      <c r="D261" s="70" t="s">
        <v>7198</v>
      </c>
      <c r="E261" s="70" t="s">
        <v>5589</v>
      </c>
      <c r="F261" s="70" t="s">
        <v>2281</v>
      </c>
      <c r="G261" s="70" t="s">
        <v>3</v>
      </c>
      <c r="H261" s="71">
        <v>420</v>
      </c>
      <c r="I261" s="71">
        <v>709</v>
      </c>
      <c r="J261" s="70"/>
      <c r="K261" s="70" t="s">
        <v>4</v>
      </c>
      <c r="L261" s="70"/>
      <c r="M261" s="70"/>
      <c r="N261" s="5" t="str">
        <f t="shared" si="4"/>
        <v>1</v>
      </c>
      <c r="O261" s="5" t="str">
        <f>INDEX(Кат!$I:$I,MATCH($A261,Кат!$A:$A,0))</f>
        <v>кристал авто</v>
      </c>
    </row>
    <row r="262" spans="1:15" ht="105" x14ac:dyDescent="0.25">
      <c r="A262" s="69">
        <v>213870</v>
      </c>
      <c r="B262" s="69">
        <v>5489</v>
      </c>
      <c r="C262" s="70" t="s">
        <v>2154</v>
      </c>
      <c r="D262" s="70" t="s">
        <v>7198</v>
      </c>
      <c r="E262" s="70"/>
      <c r="F262" s="70" t="s">
        <v>2153</v>
      </c>
      <c r="G262" s="70" t="s">
        <v>3</v>
      </c>
      <c r="H262" s="71">
        <v>750</v>
      </c>
      <c r="I262" s="71">
        <v>1290</v>
      </c>
      <c r="J262" s="70" t="s">
        <v>8063</v>
      </c>
      <c r="K262" s="70" t="s">
        <v>4</v>
      </c>
      <c r="L262" s="70"/>
      <c r="M262" s="70"/>
      <c r="N262" s="5" t="str">
        <f t="shared" si="4"/>
        <v>1</v>
      </c>
      <c r="O262" s="5" t="str">
        <f>INDEX(Кат!$I:$I,MATCH($A262,Кат!$A:$A,0))</f>
        <v>кристал авто</v>
      </c>
    </row>
    <row r="263" spans="1:15" ht="30" x14ac:dyDescent="0.25">
      <c r="A263" s="69">
        <v>213873</v>
      </c>
      <c r="B263" s="69">
        <v>5486</v>
      </c>
      <c r="C263" s="70" t="s">
        <v>2071</v>
      </c>
      <c r="D263" s="70" t="s">
        <v>7198</v>
      </c>
      <c r="E263" s="70" t="s">
        <v>5492</v>
      </c>
      <c r="F263" s="70" t="s">
        <v>2152</v>
      </c>
      <c r="G263" s="70" t="s">
        <v>3</v>
      </c>
      <c r="H263" s="71">
        <v>750</v>
      </c>
      <c r="I263" s="71">
        <v>1290</v>
      </c>
      <c r="J263" s="70"/>
      <c r="K263" s="70" t="s">
        <v>4</v>
      </c>
      <c r="L263" s="70"/>
      <c r="M263" s="70"/>
      <c r="N263" s="5" t="str">
        <f t="shared" si="4"/>
        <v>1</v>
      </c>
      <c r="O263" s="5" t="str">
        <f>INDEX(Кат!$I:$I,MATCH($A263,Кат!$A:$A,0))</f>
        <v>кристал авто</v>
      </c>
    </row>
    <row r="264" spans="1:15" ht="30" x14ac:dyDescent="0.25">
      <c r="A264" s="69">
        <v>213987</v>
      </c>
      <c r="B264" s="69">
        <v>17702</v>
      </c>
      <c r="C264" s="70" t="s">
        <v>133</v>
      </c>
      <c r="D264" s="70" t="s">
        <v>7198</v>
      </c>
      <c r="E264" s="70" t="s">
        <v>5625</v>
      </c>
      <c r="F264" s="70" t="s">
        <v>2363</v>
      </c>
      <c r="G264" s="70" t="s">
        <v>3</v>
      </c>
      <c r="H264" s="71">
        <v>175</v>
      </c>
      <c r="I264" s="71">
        <v>339</v>
      </c>
      <c r="J264" s="70"/>
      <c r="K264" s="70" t="s">
        <v>4</v>
      </c>
      <c r="L264" s="70"/>
      <c r="M264" s="70"/>
      <c r="N264" s="5" t="str">
        <f t="shared" si="4"/>
        <v>1</v>
      </c>
      <c r="O264" s="5" t="str">
        <f>INDEX(Кат!$I:$I,MATCH($A264,Кат!$A:$A,0))</f>
        <v>кристал авто</v>
      </c>
    </row>
    <row r="265" spans="1:15" ht="30" x14ac:dyDescent="0.25">
      <c r="A265" s="69">
        <v>214029</v>
      </c>
      <c r="B265" s="69">
        <v>8944</v>
      </c>
      <c r="C265" s="70" t="s">
        <v>43</v>
      </c>
      <c r="D265" s="70" t="s">
        <v>7198</v>
      </c>
      <c r="E265" s="70" t="s">
        <v>5561</v>
      </c>
      <c r="F265" s="70"/>
      <c r="G265" s="70" t="s">
        <v>3</v>
      </c>
      <c r="H265" s="71">
        <v>80</v>
      </c>
      <c r="I265" s="71">
        <v>169</v>
      </c>
      <c r="J265" s="70"/>
      <c r="K265" s="70" t="s">
        <v>4</v>
      </c>
      <c r="L265" s="70"/>
      <c r="M265" s="70"/>
      <c r="N265" s="5" t="str">
        <f t="shared" si="4"/>
        <v>1</v>
      </c>
      <c r="O265" s="5" t="str">
        <f>INDEX(Кат!$I:$I,MATCH($A265,Кат!$A:$A,0))</f>
        <v>кристал авто</v>
      </c>
    </row>
    <row r="266" spans="1:15" ht="30" x14ac:dyDescent="0.25">
      <c r="A266" s="69">
        <v>214030</v>
      </c>
      <c r="B266" s="69">
        <v>8972</v>
      </c>
      <c r="C266" s="70" t="s">
        <v>55</v>
      </c>
      <c r="D266" s="70" t="s">
        <v>7198</v>
      </c>
      <c r="E266" s="70" t="s">
        <v>5574</v>
      </c>
      <c r="F266" s="70"/>
      <c r="G266" s="70" t="s">
        <v>3</v>
      </c>
      <c r="H266" s="71">
        <v>105</v>
      </c>
      <c r="I266" s="71">
        <v>199</v>
      </c>
      <c r="J266" s="70"/>
      <c r="K266" s="70" t="s">
        <v>7199</v>
      </c>
      <c r="L266" s="70"/>
      <c r="M266" s="70"/>
      <c r="N266" s="5" t="str">
        <f t="shared" si="4"/>
        <v>0</v>
      </c>
      <c r="O266" s="5" t="str">
        <f>INDEX(Кат!$I:$I,MATCH($A266,Кат!$A:$A,0))</f>
        <v>кристал авто</v>
      </c>
    </row>
    <row r="267" spans="1:15" ht="30" x14ac:dyDescent="0.25">
      <c r="A267" s="69">
        <v>214031</v>
      </c>
      <c r="B267" s="69">
        <v>8957</v>
      </c>
      <c r="C267" s="70" t="s">
        <v>48</v>
      </c>
      <c r="D267" s="70" t="s">
        <v>7198</v>
      </c>
      <c r="E267" s="70" t="s">
        <v>5566</v>
      </c>
      <c r="F267" s="70"/>
      <c r="G267" s="70" t="s">
        <v>3</v>
      </c>
      <c r="H267" s="71">
        <v>0</v>
      </c>
      <c r="I267" s="71">
        <v>119</v>
      </c>
      <c r="J267" s="70"/>
      <c r="K267" s="70" t="s">
        <v>7199</v>
      </c>
      <c r="L267" s="70"/>
      <c r="M267" s="70"/>
      <c r="N267" s="5" t="str">
        <f t="shared" si="4"/>
        <v>0</v>
      </c>
      <c r="O267" s="5" t="str">
        <f>INDEX(Кат!$I:$I,MATCH($A267,Кат!$A:$A,0))</f>
        <v>кристал авто</v>
      </c>
    </row>
    <row r="268" spans="1:15" ht="30" x14ac:dyDescent="0.25">
      <c r="A268" s="69">
        <v>214032</v>
      </c>
      <c r="B268" s="69">
        <v>8966</v>
      </c>
      <c r="C268" s="70" t="s">
        <v>53</v>
      </c>
      <c r="D268" s="70" t="s">
        <v>7198</v>
      </c>
      <c r="E268" s="70" t="s">
        <v>5572</v>
      </c>
      <c r="F268" s="70" t="s">
        <v>6053</v>
      </c>
      <c r="G268" s="70" t="s">
        <v>3</v>
      </c>
      <c r="H268" s="71">
        <v>15</v>
      </c>
      <c r="I268" s="71">
        <v>59</v>
      </c>
      <c r="J268" s="70"/>
      <c r="K268" s="70" t="s">
        <v>7199</v>
      </c>
      <c r="L268" s="70"/>
      <c r="M268" s="70"/>
      <c r="N268" s="5" t="str">
        <f t="shared" si="4"/>
        <v>0</v>
      </c>
      <c r="O268" s="5" t="str">
        <f>INDEX(Кат!$I:$I,MATCH($A268,Кат!$A:$A,0))</f>
        <v>кристал авто</v>
      </c>
    </row>
    <row r="269" spans="1:15" ht="30" x14ac:dyDescent="0.25">
      <c r="A269" s="69">
        <v>214033</v>
      </c>
      <c r="B269" s="69">
        <v>8959</v>
      </c>
      <c r="C269" s="70" t="s">
        <v>49</v>
      </c>
      <c r="D269" s="70" t="s">
        <v>7198</v>
      </c>
      <c r="E269" s="70" t="s">
        <v>5567</v>
      </c>
      <c r="F269" s="70"/>
      <c r="G269" s="70" t="s">
        <v>3</v>
      </c>
      <c r="H269" s="71">
        <v>65</v>
      </c>
      <c r="I269" s="71">
        <v>139</v>
      </c>
      <c r="J269" s="70"/>
      <c r="K269" s="70" t="s">
        <v>4</v>
      </c>
      <c r="L269" s="70"/>
      <c r="M269" s="70"/>
      <c r="N269" s="5" t="str">
        <f t="shared" si="4"/>
        <v>1</v>
      </c>
      <c r="O269" s="5" t="str">
        <f>INDEX(Кат!$I:$I,MATCH($A269,Кат!$A:$A,0))</f>
        <v>кристал авто</v>
      </c>
    </row>
    <row r="270" spans="1:15" ht="30" x14ac:dyDescent="0.25">
      <c r="A270" s="69">
        <v>214039</v>
      </c>
      <c r="B270" s="69">
        <v>8963</v>
      </c>
      <c r="C270" s="70" t="s">
        <v>8105</v>
      </c>
      <c r="D270" s="70" t="s">
        <v>7198</v>
      </c>
      <c r="E270" s="70" t="s">
        <v>5571</v>
      </c>
      <c r="F270" s="70" t="s">
        <v>2261</v>
      </c>
      <c r="G270" s="70" t="s">
        <v>3</v>
      </c>
      <c r="H270" s="71">
        <v>75</v>
      </c>
      <c r="I270" s="71">
        <v>159</v>
      </c>
      <c r="J270" s="70"/>
      <c r="K270" s="70" t="s">
        <v>4</v>
      </c>
      <c r="L270" s="70"/>
      <c r="M270" s="70"/>
      <c r="N270" s="5" t="str">
        <f t="shared" si="4"/>
        <v>1</v>
      </c>
      <c r="O270" s="5" t="str">
        <f>INDEX(Кат!$I:$I,MATCH($A270,Кат!$A:$A,0))</f>
        <v>кристал авто</v>
      </c>
    </row>
    <row r="271" spans="1:15" ht="30" x14ac:dyDescent="0.25">
      <c r="A271" s="69">
        <v>214034</v>
      </c>
      <c r="B271" s="69">
        <v>8954</v>
      </c>
      <c r="C271" s="70" t="s">
        <v>46</v>
      </c>
      <c r="D271" s="70" t="s">
        <v>7198</v>
      </c>
      <c r="E271" s="70" t="s">
        <v>5564</v>
      </c>
      <c r="F271" s="70" t="s">
        <v>2259</v>
      </c>
      <c r="G271" s="70" t="s">
        <v>3</v>
      </c>
      <c r="H271" s="71">
        <v>165</v>
      </c>
      <c r="I271" s="71">
        <v>319</v>
      </c>
      <c r="J271" s="70"/>
      <c r="K271" s="70" t="s">
        <v>4</v>
      </c>
      <c r="L271" s="70"/>
      <c r="M271" s="70"/>
      <c r="N271" s="5" t="str">
        <f t="shared" si="4"/>
        <v>1</v>
      </c>
      <c r="O271" s="5" t="str">
        <f>INDEX(Кат!$I:$I,MATCH($A271,Кат!$A:$A,0))</f>
        <v>кристал авто</v>
      </c>
    </row>
    <row r="272" spans="1:15" ht="30" x14ac:dyDescent="0.25">
      <c r="A272" s="69">
        <v>214035</v>
      </c>
      <c r="B272" s="69">
        <v>8971</v>
      </c>
      <c r="C272" s="70" t="s">
        <v>54</v>
      </c>
      <c r="D272" s="70" t="s">
        <v>7198</v>
      </c>
      <c r="E272" s="70" t="s">
        <v>5573</v>
      </c>
      <c r="F272" s="70" t="s">
        <v>2262</v>
      </c>
      <c r="G272" s="70" t="s">
        <v>3</v>
      </c>
      <c r="H272" s="71">
        <v>145</v>
      </c>
      <c r="I272" s="71">
        <v>279</v>
      </c>
      <c r="J272" s="70"/>
      <c r="K272" s="70" t="s">
        <v>4</v>
      </c>
      <c r="L272" s="70"/>
      <c r="M272" s="70"/>
      <c r="N272" s="5" t="str">
        <f t="shared" si="4"/>
        <v>1</v>
      </c>
      <c r="O272" s="5" t="str">
        <f>INDEX(Кат!$I:$I,MATCH($A272,Кат!$A:$A,0))</f>
        <v>кристал авто</v>
      </c>
    </row>
    <row r="273" spans="1:15" ht="30" x14ac:dyDescent="0.25">
      <c r="A273" s="69">
        <v>214036</v>
      </c>
      <c r="B273" s="69">
        <v>8950</v>
      </c>
      <c r="C273" s="70" t="s">
        <v>44</v>
      </c>
      <c r="D273" s="70" t="s">
        <v>7198</v>
      </c>
      <c r="E273" s="70" t="s">
        <v>5562</v>
      </c>
      <c r="F273" s="70" t="s">
        <v>2257</v>
      </c>
      <c r="G273" s="70" t="s">
        <v>3</v>
      </c>
      <c r="H273" s="71">
        <v>85</v>
      </c>
      <c r="I273" s="71">
        <v>179</v>
      </c>
      <c r="J273" s="70"/>
      <c r="K273" s="70" t="s">
        <v>4</v>
      </c>
      <c r="L273" s="70"/>
      <c r="M273" s="70"/>
      <c r="N273" s="5" t="str">
        <f t="shared" si="4"/>
        <v>1</v>
      </c>
      <c r="O273" s="5" t="str">
        <f>INDEX(Кат!$I:$I,MATCH($A273,Кат!$A:$A,0))</f>
        <v>кристал авто</v>
      </c>
    </row>
    <row r="274" spans="1:15" ht="30" x14ac:dyDescent="0.25">
      <c r="A274" s="69">
        <v>214037</v>
      </c>
      <c r="B274" s="69">
        <v>9010</v>
      </c>
      <c r="C274" s="70" t="s">
        <v>57</v>
      </c>
      <c r="D274" s="70" t="s">
        <v>7198</v>
      </c>
      <c r="E274" s="70" t="s">
        <v>5576</v>
      </c>
      <c r="F274" s="70" t="s">
        <v>6000</v>
      </c>
      <c r="G274" s="70" t="s">
        <v>3</v>
      </c>
      <c r="H274" s="71">
        <v>50</v>
      </c>
      <c r="I274" s="71">
        <v>109</v>
      </c>
      <c r="J274" s="70"/>
      <c r="K274" s="70" t="s">
        <v>4</v>
      </c>
      <c r="L274" s="70"/>
      <c r="M274" s="70"/>
      <c r="N274" s="5" t="str">
        <f t="shared" si="4"/>
        <v>1</v>
      </c>
      <c r="O274" s="5" t="str">
        <f>INDEX(Кат!$I:$I,MATCH($A274,Кат!$A:$A,0))</f>
        <v>кристал авто</v>
      </c>
    </row>
    <row r="275" spans="1:15" ht="30" x14ac:dyDescent="0.25">
      <c r="A275" s="69">
        <v>214038</v>
      </c>
      <c r="B275" s="69">
        <v>8962</v>
      </c>
      <c r="C275" s="70" t="s">
        <v>52</v>
      </c>
      <c r="D275" s="70" t="s">
        <v>7198</v>
      </c>
      <c r="E275" s="70" t="s">
        <v>5570</v>
      </c>
      <c r="F275" s="70"/>
      <c r="G275" s="70" t="s">
        <v>3</v>
      </c>
      <c r="H275" s="71">
        <v>300</v>
      </c>
      <c r="I275" s="71">
        <v>509</v>
      </c>
      <c r="J275" s="70"/>
      <c r="K275" s="70" t="s">
        <v>4</v>
      </c>
      <c r="L275" s="70"/>
      <c r="M275" s="70"/>
      <c r="N275" s="5" t="str">
        <f t="shared" si="4"/>
        <v>1</v>
      </c>
      <c r="O275" s="5" t="str">
        <f>INDEX(Кат!$I:$I,MATCH($A275,Кат!$A:$A,0))</f>
        <v>кристал авто</v>
      </c>
    </row>
    <row r="276" spans="1:15" ht="30" x14ac:dyDescent="0.25">
      <c r="A276" s="69">
        <v>214048</v>
      </c>
      <c r="B276" s="69">
        <v>31021</v>
      </c>
      <c r="C276" s="70" t="s">
        <v>151</v>
      </c>
      <c r="D276" s="70" t="s">
        <v>7198</v>
      </c>
      <c r="E276" s="70" t="s">
        <v>5642</v>
      </c>
      <c r="F276" s="70" t="s">
        <v>2426</v>
      </c>
      <c r="G276" s="70" t="s">
        <v>3</v>
      </c>
      <c r="H276" s="71">
        <v>80</v>
      </c>
      <c r="I276" s="71">
        <v>169</v>
      </c>
      <c r="J276" s="70"/>
      <c r="K276" s="70" t="s">
        <v>4</v>
      </c>
      <c r="L276" s="70"/>
      <c r="M276" s="70"/>
      <c r="N276" s="5" t="str">
        <f t="shared" si="4"/>
        <v>1</v>
      </c>
      <c r="O276" s="5" t="str">
        <f>INDEX(Кат!$I:$I,MATCH($A276,Кат!$A:$A,0))</f>
        <v>кристал авто</v>
      </c>
    </row>
    <row r="277" spans="1:15" ht="30" x14ac:dyDescent="0.25">
      <c r="A277" s="69">
        <v>214049</v>
      </c>
      <c r="B277" s="69">
        <v>31020</v>
      </c>
      <c r="C277" s="70" t="s">
        <v>150</v>
      </c>
      <c r="D277" s="70" t="s">
        <v>7198</v>
      </c>
      <c r="E277" s="70" t="s">
        <v>5641</v>
      </c>
      <c r="F277" s="70" t="s">
        <v>2425</v>
      </c>
      <c r="G277" s="70" t="s">
        <v>3</v>
      </c>
      <c r="H277" s="71">
        <v>95</v>
      </c>
      <c r="I277" s="71">
        <v>209</v>
      </c>
      <c r="J277" s="70"/>
      <c r="K277" s="70" t="s">
        <v>4</v>
      </c>
      <c r="L277" s="70"/>
      <c r="M277" s="70"/>
      <c r="N277" s="5" t="str">
        <f t="shared" si="4"/>
        <v>1</v>
      </c>
      <c r="O277" s="5" t="str">
        <f>INDEX(Кат!$I:$I,MATCH($A277,Кат!$A:$A,0))</f>
        <v>кристал авто</v>
      </c>
    </row>
    <row r="278" spans="1:15" ht="30" x14ac:dyDescent="0.25">
      <c r="A278" s="69">
        <v>218615</v>
      </c>
      <c r="B278" s="69">
        <v>8867</v>
      </c>
      <c r="C278" s="70" t="s">
        <v>4828</v>
      </c>
      <c r="D278" s="70" t="s">
        <v>7198</v>
      </c>
      <c r="E278" s="70"/>
      <c r="F278" s="70"/>
      <c r="G278" s="70" t="s">
        <v>3</v>
      </c>
      <c r="H278" s="71">
        <v>0</v>
      </c>
      <c r="I278" s="71">
        <v>1190</v>
      </c>
      <c r="J278" s="70"/>
      <c r="K278" s="70" t="s">
        <v>4</v>
      </c>
      <c r="L278" s="70" t="s">
        <v>4</v>
      </c>
      <c r="M278" s="70"/>
      <c r="N278" s="5" t="str">
        <f t="shared" si="4"/>
        <v>1ск1</v>
      </c>
      <c r="O278" s="5" t="str">
        <f>INDEX(Кат!$I:$I,MATCH($A278,Кат!$A:$A,0))</f>
        <v>кристал авто</v>
      </c>
    </row>
    <row r="279" spans="1:15" ht="30" x14ac:dyDescent="0.25">
      <c r="A279" s="69">
        <v>219278</v>
      </c>
      <c r="B279" s="69">
        <v>5516</v>
      </c>
      <c r="C279" s="70" t="s">
        <v>7</v>
      </c>
      <c r="D279" s="70" t="s">
        <v>7198</v>
      </c>
      <c r="E279" s="70" t="s">
        <v>5495</v>
      </c>
      <c r="F279" s="70"/>
      <c r="G279" s="70" t="s">
        <v>3</v>
      </c>
      <c r="H279" s="71">
        <v>270</v>
      </c>
      <c r="I279" s="71">
        <v>519</v>
      </c>
      <c r="J279" s="70"/>
      <c r="K279" s="70" t="s">
        <v>7199</v>
      </c>
      <c r="L279" s="70"/>
      <c r="M279" s="70"/>
      <c r="N279" s="5" t="str">
        <f t="shared" si="4"/>
        <v>0</v>
      </c>
      <c r="O279" s="5" t="str">
        <f>INDEX(Кат!$I:$I,MATCH($A279,Кат!$A:$A,0))</f>
        <v>кристал авто</v>
      </c>
    </row>
    <row r="280" spans="1:15" ht="30" x14ac:dyDescent="0.25">
      <c r="A280" s="69">
        <v>219279</v>
      </c>
      <c r="B280" s="69">
        <v>5513</v>
      </c>
      <c r="C280" s="70" t="s">
        <v>5</v>
      </c>
      <c r="D280" s="70" t="s">
        <v>7198</v>
      </c>
      <c r="E280" s="70" t="s">
        <v>5493</v>
      </c>
      <c r="F280" s="70"/>
      <c r="G280" s="70" t="s">
        <v>3</v>
      </c>
      <c r="H280" s="71">
        <v>450</v>
      </c>
      <c r="I280" s="71">
        <v>759</v>
      </c>
      <c r="J280" s="70"/>
      <c r="K280" s="70" t="s">
        <v>7199</v>
      </c>
      <c r="L280" s="70"/>
      <c r="M280" s="70"/>
      <c r="N280" s="5" t="str">
        <f t="shared" si="4"/>
        <v>0</v>
      </c>
      <c r="O280" s="5" t="str">
        <f>INDEX(Кат!$I:$I,MATCH($A280,Кат!$A:$A,0))</f>
        <v>кристал авто</v>
      </c>
    </row>
    <row r="281" spans="1:15" ht="30" x14ac:dyDescent="0.25">
      <c r="A281" s="69">
        <v>219280</v>
      </c>
      <c r="B281" s="69">
        <v>5517</v>
      </c>
      <c r="C281" s="70" t="s">
        <v>8</v>
      </c>
      <c r="D281" s="70" t="s">
        <v>7198</v>
      </c>
      <c r="E281" s="70" t="s">
        <v>5496</v>
      </c>
      <c r="F281" s="70"/>
      <c r="G281" s="70" t="s">
        <v>3</v>
      </c>
      <c r="H281" s="71">
        <v>650</v>
      </c>
      <c r="I281" s="71">
        <v>1090</v>
      </c>
      <c r="J281" s="70"/>
      <c r="K281" s="70" t="s">
        <v>7199</v>
      </c>
      <c r="L281" s="70"/>
      <c r="M281" s="70"/>
      <c r="N281" s="5" t="str">
        <f t="shared" si="4"/>
        <v>0</v>
      </c>
      <c r="O281" s="5" t="str">
        <f>INDEX(Кат!$I:$I,MATCH($A281,Кат!$A:$A,0))</f>
        <v>кристал авто</v>
      </c>
    </row>
    <row r="282" spans="1:15" ht="30" x14ac:dyDescent="0.25">
      <c r="A282" s="69">
        <v>219281</v>
      </c>
      <c r="B282" s="69">
        <v>5515</v>
      </c>
      <c r="C282" s="70" t="s">
        <v>6</v>
      </c>
      <c r="D282" s="70" t="s">
        <v>7198</v>
      </c>
      <c r="E282" s="70" t="s">
        <v>5494</v>
      </c>
      <c r="F282" s="70"/>
      <c r="G282" s="70" t="s">
        <v>3</v>
      </c>
      <c r="H282" s="71">
        <v>400</v>
      </c>
      <c r="I282" s="71">
        <v>679</v>
      </c>
      <c r="J282" s="70"/>
      <c r="K282" s="70" t="s">
        <v>7199</v>
      </c>
      <c r="L282" s="70"/>
      <c r="M282" s="70"/>
      <c r="N282" s="5" t="str">
        <f t="shared" si="4"/>
        <v>0</v>
      </c>
      <c r="O282" s="5" t="str">
        <f>INDEX(Кат!$I:$I,MATCH($A282,Кат!$A:$A,0))</f>
        <v>кристал авто</v>
      </c>
    </row>
    <row r="283" spans="1:15" ht="30" x14ac:dyDescent="0.25">
      <c r="A283" s="69">
        <v>223976</v>
      </c>
      <c r="B283" s="69">
        <v>9469</v>
      </c>
      <c r="C283" s="70" t="s">
        <v>2285</v>
      </c>
      <c r="D283" s="70" t="s">
        <v>7198</v>
      </c>
      <c r="E283" s="70" t="s">
        <v>5593</v>
      </c>
      <c r="F283" s="70" t="s">
        <v>2284</v>
      </c>
      <c r="G283" s="70" t="s">
        <v>3</v>
      </c>
      <c r="H283" s="71">
        <v>155</v>
      </c>
      <c r="I283" s="71">
        <v>299</v>
      </c>
      <c r="J283" s="70"/>
      <c r="K283" s="70" t="s">
        <v>4</v>
      </c>
      <c r="L283" s="70"/>
      <c r="M283" s="70"/>
      <c r="N283" s="5" t="str">
        <f t="shared" si="4"/>
        <v>1</v>
      </c>
      <c r="O283" s="5" t="str">
        <f>INDEX(Кат!$I:$I,MATCH($A283,Кат!$A:$A,0))</f>
        <v>кристал авто</v>
      </c>
    </row>
    <row r="284" spans="1:15" ht="45" x14ac:dyDescent="0.25">
      <c r="A284" s="69">
        <v>226519</v>
      </c>
      <c r="B284" s="69">
        <v>8909</v>
      </c>
      <c r="C284" s="70" t="s">
        <v>2255</v>
      </c>
      <c r="D284" s="70" t="s">
        <v>7198</v>
      </c>
      <c r="E284" s="70" t="s">
        <v>5558</v>
      </c>
      <c r="F284" s="70" t="s">
        <v>2254</v>
      </c>
      <c r="G284" s="70" t="s">
        <v>3</v>
      </c>
      <c r="H284" s="71">
        <v>140</v>
      </c>
      <c r="I284" s="71">
        <v>269</v>
      </c>
      <c r="J284" s="70"/>
      <c r="K284" s="70" t="s">
        <v>4</v>
      </c>
      <c r="L284" s="70"/>
      <c r="M284" s="70"/>
      <c r="N284" s="5" t="str">
        <f t="shared" si="4"/>
        <v>1</v>
      </c>
      <c r="O284" s="5" t="str">
        <f>INDEX(Кат!$I:$I,MATCH($A284,Кат!$A:$A,0))</f>
        <v>кристал авто</v>
      </c>
    </row>
    <row r="285" spans="1:15" ht="30" x14ac:dyDescent="0.25">
      <c r="A285" s="69">
        <v>226520</v>
      </c>
      <c r="B285" s="69">
        <v>8910</v>
      </c>
      <c r="C285" s="70" t="s">
        <v>5559</v>
      </c>
      <c r="D285" s="70" t="s">
        <v>7198</v>
      </c>
      <c r="E285" s="70" t="s">
        <v>5560</v>
      </c>
      <c r="F285" s="70" t="s">
        <v>2256</v>
      </c>
      <c r="G285" s="70" t="s">
        <v>3</v>
      </c>
      <c r="H285" s="71">
        <v>160</v>
      </c>
      <c r="I285" s="71">
        <v>309</v>
      </c>
      <c r="J285" s="70"/>
      <c r="K285" s="70" t="s">
        <v>4</v>
      </c>
      <c r="L285" s="70" t="s">
        <v>4</v>
      </c>
      <c r="M285" s="70"/>
      <c r="N285" s="5" t="str">
        <f t="shared" si="4"/>
        <v>1ск1</v>
      </c>
      <c r="O285" s="5" t="str">
        <f>INDEX(Кат!$I:$I,MATCH($A285,Кат!$A:$A,0))</f>
        <v>кристал авто</v>
      </c>
    </row>
    <row r="286" spans="1:15" ht="30" x14ac:dyDescent="0.25">
      <c r="A286" s="69">
        <v>226521</v>
      </c>
      <c r="B286" s="69">
        <v>5733</v>
      </c>
      <c r="C286" s="70" t="s">
        <v>2162</v>
      </c>
      <c r="D286" s="70" t="s">
        <v>7198</v>
      </c>
      <c r="E286" s="70" t="s">
        <v>5512</v>
      </c>
      <c r="F286" s="70" t="s">
        <v>2161</v>
      </c>
      <c r="G286" s="70" t="s">
        <v>3</v>
      </c>
      <c r="H286" s="71">
        <v>500</v>
      </c>
      <c r="I286" s="71">
        <v>819</v>
      </c>
      <c r="J286" s="70"/>
      <c r="K286" s="70" t="s">
        <v>4</v>
      </c>
      <c r="L286" s="70"/>
      <c r="M286" s="70"/>
      <c r="N286" s="5" t="str">
        <f t="shared" si="4"/>
        <v>1</v>
      </c>
      <c r="O286" s="5" t="str">
        <f>INDEX(Кат!$I:$I,MATCH($A286,Кат!$A:$A,0))</f>
        <v>кристал авто</v>
      </c>
    </row>
    <row r="287" spans="1:15" ht="30" x14ac:dyDescent="0.25">
      <c r="A287" s="69">
        <v>226522</v>
      </c>
      <c r="B287" s="69">
        <v>5735</v>
      </c>
      <c r="C287" s="70" t="s">
        <v>2164</v>
      </c>
      <c r="D287" s="70" t="s">
        <v>7198</v>
      </c>
      <c r="E287" s="70" t="s">
        <v>5513</v>
      </c>
      <c r="F287" s="70" t="s">
        <v>2163</v>
      </c>
      <c r="G287" s="70" t="s">
        <v>3</v>
      </c>
      <c r="H287" s="71">
        <v>500</v>
      </c>
      <c r="I287" s="71">
        <v>819</v>
      </c>
      <c r="J287" s="70"/>
      <c r="K287" s="70" t="s">
        <v>4</v>
      </c>
      <c r="L287" s="70"/>
      <c r="M287" s="70"/>
      <c r="N287" s="5" t="str">
        <f t="shared" si="4"/>
        <v>1</v>
      </c>
      <c r="O287" s="5" t="str">
        <f>INDEX(Кат!$I:$I,MATCH($A287,Кат!$A:$A,0))</f>
        <v>кристал авто</v>
      </c>
    </row>
    <row r="288" spans="1:15" ht="105" x14ac:dyDescent="0.25">
      <c r="A288" s="69">
        <v>226599</v>
      </c>
      <c r="B288" s="69">
        <v>30609</v>
      </c>
      <c r="C288" s="70" t="s">
        <v>2416</v>
      </c>
      <c r="D288" s="70" t="s">
        <v>7198</v>
      </c>
      <c r="E288" s="70" t="s">
        <v>5634</v>
      </c>
      <c r="F288" s="70" t="s">
        <v>2415</v>
      </c>
      <c r="G288" s="70" t="s">
        <v>3</v>
      </c>
      <c r="H288" s="71">
        <v>260</v>
      </c>
      <c r="I288" s="71">
        <v>499</v>
      </c>
      <c r="J288" s="70" t="s">
        <v>8058</v>
      </c>
      <c r="K288" s="70" t="s">
        <v>4</v>
      </c>
      <c r="L288" s="70"/>
      <c r="M288" s="70"/>
      <c r="N288" s="5" t="str">
        <f t="shared" si="4"/>
        <v>1</v>
      </c>
      <c r="O288" s="5" t="str">
        <f>INDEX(Кат!$I:$I,MATCH($A288,Кат!$A:$A,0))</f>
        <v>кристал авто</v>
      </c>
    </row>
    <row r="289" spans="1:15" ht="105" x14ac:dyDescent="0.25">
      <c r="A289" s="69">
        <v>226600</v>
      </c>
      <c r="B289" s="69">
        <v>30608</v>
      </c>
      <c r="C289" s="70" t="s">
        <v>2414</v>
      </c>
      <c r="D289" s="70" t="s">
        <v>7198</v>
      </c>
      <c r="E289" s="70" t="s">
        <v>5633</v>
      </c>
      <c r="F289" s="70" t="s">
        <v>2413</v>
      </c>
      <c r="G289" s="70" t="s">
        <v>3</v>
      </c>
      <c r="H289" s="71">
        <v>305</v>
      </c>
      <c r="I289" s="71">
        <v>519</v>
      </c>
      <c r="J289" s="70" t="s">
        <v>8059</v>
      </c>
      <c r="K289" s="70" t="s">
        <v>4</v>
      </c>
      <c r="L289" s="70"/>
      <c r="M289" s="70"/>
      <c r="N289" s="5" t="str">
        <f t="shared" si="4"/>
        <v>1</v>
      </c>
      <c r="O289" s="5" t="str">
        <f>INDEX(Кат!$I:$I,MATCH($A289,Кат!$A:$A,0))</f>
        <v>кристал авто</v>
      </c>
    </row>
    <row r="290" spans="1:15" ht="30" x14ac:dyDescent="0.25">
      <c r="A290" s="69">
        <v>226601</v>
      </c>
      <c r="B290" s="69">
        <v>30607</v>
      </c>
      <c r="C290" s="70" t="s">
        <v>2412</v>
      </c>
      <c r="D290" s="70" t="s">
        <v>7198</v>
      </c>
      <c r="E290" s="70" t="s">
        <v>2411</v>
      </c>
      <c r="F290" s="70" t="s">
        <v>2411</v>
      </c>
      <c r="G290" s="70" t="s">
        <v>3</v>
      </c>
      <c r="H290" s="71">
        <v>220</v>
      </c>
      <c r="I290" s="71">
        <v>419</v>
      </c>
      <c r="J290" s="70"/>
      <c r="K290" s="70" t="s">
        <v>4</v>
      </c>
      <c r="L290" s="70"/>
      <c r="M290" s="70"/>
      <c r="N290" s="5" t="str">
        <f t="shared" si="4"/>
        <v>1</v>
      </c>
      <c r="O290" s="5" t="str">
        <f>INDEX(Кат!$I:$I,MATCH($A290,Кат!$A:$A,0))</f>
        <v>кристал авто</v>
      </c>
    </row>
    <row r="291" spans="1:15" ht="30" x14ac:dyDescent="0.25">
      <c r="A291" s="69">
        <v>226602</v>
      </c>
      <c r="B291" s="69">
        <v>30606</v>
      </c>
      <c r="C291" s="70" t="s">
        <v>146</v>
      </c>
      <c r="D291" s="70" t="s">
        <v>7198</v>
      </c>
      <c r="E291" s="70" t="s">
        <v>2410</v>
      </c>
      <c r="F291" s="70" t="s">
        <v>2410</v>
      </c>
      <c r="G291" s="70" t="s">
        <v>3</v>
      </c>
      <c r="H291" s="71">
        <v>220</v>
      </c>
      <c r="I291" s="71">
        <v>419</v>
      </c>
      <c r="J291" s="70"/>
      <c r="K291" s="70" t="s">
        <v>4</v>
      </c>
      <c r="L291" s="70"/>
      <c r="M291" s="70"/>
      <c r="N291" s="5" t="str">
        <f t="shared" si="4"/>
        <v>1</v>
      </c>
      <c r="O291" s="5" t="str">
        <f>INDEX(Кат!$I:$I,MATCH($A291,Кат!$A:$A,0))</f>
        <v>кристал авто</v>
      </c>
    </row>
    <row r="292" spans="1:15" ht="30" x14ac:dyDescent="0.25">
      <c r="A292" s="69">
        <v>226603</v>
      </c>
      <c r="B292" s="69">
        <v>9016</v>
      </c>
      <c r="C292" s="70" t="s">
        <v>58</v>
      </c>
      <c r="D292" s="70" t="s">
        <v>7198</v>
      </c>
      <c r="E292" s="70" t="s">
        <v>6060</v>
      </c>
      <c r="F292" s="70" t="s">
        <v>2264</v>
      </c>
      <c r="G292" s="70" t="s">
        <v>3</v>
      </c>
      <c r="H292" s="71">
        <v>700</v>
      </c>
      <c r="I292" s="71">
        <v>1190</v>
      </c>
      <c r="J292" s="70"/>
      <c r="K292" s="70" t="s">
        <v>4</v>
      </c>
      <c r="L292" s="70"/>
      <c r="M292" s="70"/>
      <c r="N292" s="5" t="str">
        <f t="shared" si="4"/>
        <v>1</v>
      </c>
      <c r="O292" s="5" t="str">
        <f>INDEX(Кат!$I:$I,MATCH($A292,Кат!$A:$A,0))</f>
        <v>кристал авто</v>
      </c>
    </row>
    <row r="293" spans="1:15" ht="30" x14ac:dyDescent="0.25">
      <c r="A293" s="69">
        <v>226604</v>
      </c>
      <c r="B293" s="69">
        <v>32770</v>
      </c>
      <c r="C293" s="70" t="s">
        <v>2072</v>
      </c>
      <c r="D293" s="70" t="s">
        <v>7198</v>
      </c>
      <c r="E293" s="70" t="s">
        <v>5645</v>
      </c>
      <c r="F293" s="70" t="s">
        <v>6001</v>
      </c>
      <c r="G293" s="70" t="s">
        <v>3</v>
      </c>
      <c r="H293" s="71">
        <v>160</v>
      </c>
      <c r="I293" s="71">
        <v>309</v>
      </c>
      <c r="J293" s="70"/>
      <c r="K293" s="70" t="s">
        <v>4</v>
      </c>
      <c r="L293" s="70"/>
      <c r="M293" s="70"/>
      <c r="N293" s="5" t="str">
        <f t="shared" si="4"/>
        <v>1</v>
      </c>
      <c r="O293" s="5" t="str">
        <f>INDEX(Кат!$I:$I,MATCH($A293,Кат!$A:$A,0))</f>
        <v>кристал авто</v>
      </c>
    </row>
    <row r="294" spans="1:15" ht="30" x14ac:dyDescent="0.25">
      <c r="A294" s="69">
        <v>226605</v>
      </c>
      <c r="B294" s="69">
        <v>8952</v>
      </c>
      <c r="C294" s="70" t="s">
        <v>45</v>
      </c>
      <c r="D294" s="70" t="s">
        <v>7198</v>
      </c>
      <c r="E294" s="70" t="s">
        <v>5563</v>
      </c>
      <c r="F294" s="70" t="s">
        <v>2258</v>
      </c>
      <c r="G294" s="70" t="s">
        <v>3</v>
      </c>
      <c r="H294" s="71">
        <v>300</v>
      </c>
      <c r="I294" s="71">
        <v>509</v>
      </c>
      <c r="J294" s="70"/>
      <c r="K294" s="70" t="s">
        <v>4</v>
      </c>
      <c r="L294" s="70"/>
      <c r="M294" s="70"/>
      <c r="N294" s="5" t="str">
        <f t="shared" si="4"/>
        <v>1</v>
      </c>
      <c r="O294" s="5" t="str">
        <f>INDEX(Кат!$I:$I,MATCH($A294,Кат!$A:$A,0))</f>
        <v>кристал авто</v>
      </c>
    </row>
    <row r="295" spans="1:15" ht="30" x14ac:dyDescent="0.25">
      <c r="A295" s="69">
        <v>226607</v>
      </c>
      <c r="B295" s="69">
        <v>8961</v>
      </c>
      <c r="C295" s="70" t="s">
        <v>51</v>
      </c>
      <c r="D295" s="70" t="s">
        <v>7198</v>
      </c>
      <c r="E295" s="70" t="s">
        <v>5569</v>
      </c>
      <c r="F295" s="70" t="s">
        <v>6052</v>
      </c>
      <c r="G295" s="70" t="s">
        <v>3</v>
      </c>
      <c r="H295" s="71">
        <v>300</v>
      </c>
      <c r="I295" s="71">
        <v>509</v>
      </c>
      <c r="J295" s="70"/>
      <c r="K295" s="70" t="s">
        <v>4</v>
      </c>
      <c r="L295" s="70"/>
      <c r="M295" s="70"/>
      <c r="N295" s="5" t="str">
        <f t="shared" si="4"/>
        <v>1</v>
      </c>
      <c r="O295" s="5" t="str">
        <f>INDEX(Кат!$I:$I,MATCH($A295,Кат!$A:$A,0))</f>
        <v>кристал авто</v>
      </c>
    </row>
    <row r="296" spans="1:15" ht="30" x14ac:dyDescent="0.25">
      <c r="A296" s="69">
        <v>226608</v>
      </c>
      <c r="B296" s="69">
        <v>9023</v>
      </c>
      <c r="C296" s="70" t="s">
        <v>59</v>
      </c>
      <c r="D296" s="70" t="s">
        <v>7198</v>
      </c>
      <c r="E296" s="70" t="s">
        <v>5577</v>
      </c>
      <c r="F296" s="70" t="s">
        <v>2265</v>
      </c>
      <c r="G296" s="70" t="s">
        <v>3</v>
      </c>
      <c r="H296" s="71">
        <v>500</v>
      </c>
      <c r="I296" s="71">
        <v>819</v>
      </c>
      <c r="J296" s="70"/>
      <c r="K296" s="70" t="s">
        <v>4</v>
      </c>
      <c r="L296" s="70"/>
      <c r="M296" s="70"/>
      <c r="N296" s="5" t="str">
        <f t="shared" si="4"/>
        <v>1</v>
      </c>
      <c r="O296" s="5" t="str">
        <f>INDEX(Кат!$I:$I,MATCH($A296,Кат!$A:$A,0))</f>
        <v>кристал авто</v>
      </c>
    </row>
    <row r="297" spans="1:15" ht="30" x14ac:dyDescent="0.25">
      <c r="A297" s="69">
        <v>226609</v>
      </c>
      <c r="B297" s="69">
        <v>8960</v>
      </c>
      <c r="C297" s="70" t="s">
        <v>50</v>
      </c>
      <c r="D297" s="70" t="s">
        <v>7198</v>
      </c>
      <c r="E297" s="70" t="s">
        <v>5568</v>
      </c>
      <c r="F297" s="70" t="s">
        <v>2260</v>
      </c>
      <c r="G297" s="70" t="s">
        <v>3</v>
      </c>
      <c r="H297" s="71">
        <v>600</v>
      </c>
      <c r="I297" s="71">
        <v>979</v>
      </c>
      <c r="J297" s="70"/>
      <c r="K297" s="70" t="s">
        <v>4</v>
      </c>
      <c r="L297" s="70"/>
      <c r="M297" s="70"/>
      <c r="N297" s="5" t="str">
        <f t="shared" si="4"/>
        <v>1</v>
      </c>
      <c r="O297" s="5" t="str">
        <f>INDEX(Кат!$I:$I,MATCH($A297,Кат!$A:$A,0))</f>
        <v>кристал авто</v>
      </c>
    </row>
    <row r="298" spans="1:15" ht="30" x14ac:dyDescent="0.25">
      <c r="A298" s="69">
        <v>226610</v>
      </c>
      <c r="B298" s="69">
        <v>8975</v>
      </c>
      <c r="C298" s="70" t="s">
        <v>56</v>
      </c>
      <c r="D298" s="70" t="s">
        <v>7198</v>
      </c>
      <c r="E298" s="70" t="s">
        <v>5575</v>
      </c>
      <c r="F298" s="70" t="s">
        <v>2263</v>
      </c>
      <c r="G298" s="70" t="s">
        <v>3</v>
      </c>
      <c r="H298" s="71">
        <v>550</v>
      </c>
      <c r="I298" s="71">
        <v>899</v>
      </c>
      <c r="J298" s="70"/>
      <c r="K298" s="70" t="s">
        <v>4</v>
      </c>
      <c r="L298" s="70"/>
      <c r="M298" s="70"/>
      <c r="N298" s="5" t="str">
        <f t="shared" si="4"/>
        <v>1</v>
      </c>
      <c r="O298" s="5" t="str">
        <f>INDEX(Кат!$I:$I,MATCH($A298,Кат!$A:$A,0))</f>
        <v>кристал авто</v>
      </c>
    </row>
    <row r="299" spans="1:15" ht="30" x14ac:dyDescent="0.25">
      <c r="A299" s="69">
        <v>226611</v>
      </c>
      <c r="B299" s="69">
        <v>8956</v>
      </c>
      <c r="C299" s="70" t="s">
        <v>47</v>
      </c>
      <c r="D299" s="70" t="s">
        <v>7198</v>
      </c>
      <c r="E299" s="70" t="s">
        <v>5565</v>
      </c>
      <c r="F299" s="70"/>
      <c r="G299" s="70" t="s">
        <v>3</v>
      </c>
      <c r="H299" s="71">
        <v>0</v>
      </c>
      <c r="I299" s="71">
        <v>99</v>
      </c>
      <c r="J299" s="70"/>
      <c r="K299" s="70" t="s">
        <v>7199</v>
      </c>
      <c r="L299" s="70"/>
      <c r="M299" s="70"/>
      <c r="N299" s="5" t="str">
        <f t="shared" si="4"/>
        <v>0</v>
      </c>
      <c r="O299" s="5" t="str">
        <f>INDEX(Кат!$I:$I,MATCH($A299,Кат!$A:$A,0))</f>
        <v>кристал авто</v>
      </c>
    </row>
    <row r="300" spans="1:15" ht="45" x14ac:dyDescent="0.25">
      <c r="A300" s="69">
        <v>264918</v>
      </c>
      <c r="B300" s="69">
        <v>205005</v>
      </c>
      <c r="C300" s="70" t="s">
        <v>7237</v>
      </c>
      <c r="D300" s="70" t="s">
        <v>7198</v>
      </c>
      <c r="E300" s="70" t="s">
        <v>8106</v>
      </c>
      <c r="F300" s="70" t="s">
        <v>8106</v>
      </c>
      <c r="G300" s="70" t="s">
        <v>3</v>
      </c>
      <c r="H300" s="71">
        <v>290</v>
      </c>
      <c r="I300" s="71">
        <v>549</v>
      </c>
      <c r="J300" s="70"/>
      <c r="K300" s="70" t="s">
        <v>4</v>
      </c>
      <c r="L300" s="70"/>
      <c r="M300" s="70"/>
      <c r="N300" s="5" t="str">
        <f t="shared" si="4"/>
        <v>1</v>
      </c>
      <c r="O300" s="5" t="str">
        <f>INDEX(Кат!$I:$I,MATCH($A300,Кат!$A:$A,0))</f>
        <v>кристал авто</v>
      </c>
    </row>
    <row r="301" spans="1:15" ht="45" x14ac:dyDescent="0.25">
      <c r="A301" s="69">
        <v>264919</v>
      </c>
      <c r="B301" s="69">
        <v>205007</v>
      </c>
      <c r="C301" s="70" t="s">
        <v>7238</v>
      </c>
      <c r="D301" s="70" t="s">
        <v>7198</v>
      </c>
      <c r="E301" s="70" t="s">
        <v>8107</v>
      </c>
      <c r="F301" s="70" t="s">
        <v>8107</v>
      </c>
      <c r="G301" s="70" t="s">
        <v>3</v>
      </c>
      <c r="H301" s="71">
        <v>290</v>
      </c>
      <c r="I301" s="71">
        <v>549</v>
      </c>
      <c r="J301" s="70"/>
      <c r="K301" s="70" t="s">
        <v>4</v>
      </c>
      <c r="L301" s="70"/>
      <c r="M301" s="70"/>
      <c r="N301" s="5" t="str">
        <f t="shared" si="4"/>
        <v>1</v>
      </c>
      <c r="O301" s="5" t="str">
        <f>INDEX(Кат!$I:$I,MATCH($A301,Кат!$A:$A,0))</f>
        <v>кристал авто</v>
      </c>
    </row>
    <row r="302" spans="1:15" ht="30" x14ac:dyDescent="0.25">
      <c r="A302" s="69">
        <v>226704</v>
      </c>
      <c r="B302" s="69">
        <v>30959</v>
      </c>
      <c r="C302" s="70" t="s">
        <v>2424</v>
      </c>
      <c r="D302" s="70" t="s">
        <v>7198</v>
      </c>
      <c r="E302" s="70" t="s">
        <v>5640</v>
      </c>
      <c r="F302" s="70" t="s">
        <v>2423</v>
      </c>
      <c r="G302" s="70" t="s">
        <v>3</v>
      </c>
      <c r="H302" s="71">
        <v>230</v>
      </c>
      <c r="I302" s="71">
        <v>439</v>
      </c>
      <c r="J302" s="70"/>
      <c r="K302" s="70" t="s">
        <v>4</v>
      </c>
      <c r="L302" s="70"/>
      <c r="M302" s="70"/>
      <c r="N302" s="5" t="str">
        <f t="shared" si="4"/>
        <v>1</v>
      </c>
      <c r="O302" s="5" t="str">
        <f>INDEX(Кат!$I:$I,MATCH($A302,Кат!$A:$A,0))</f>
        <v>кристал авто</v>
      </c>
    </row>
    <row r="303" spans="1:15" ht="30" x14ac:dyDescent="0.25">
      <c r="A303" s="69">
        <v>226709</v>
      </c>
      <c r="B303" s="69">
        <v>5584</v>
      </c>
      <c r="C303" s="70" t="s">
        <v>9</v>
      </c>
      <c r="D303" s="70" t="s">
        <v>7198</v>
      </c>
      <c r="E303" s="70" t="s">
        <v>5499</v>
      </c>
      <c r="F303" s="70"/>
      <c r="G303" s="70" t="s">
        <v>3</v>
      </c>
      <c r="H303" s="71">
        <v>276</v>
      </c>
      <c r="I303" s="71">
        <v>529</v>
      </c>
      <c r="J303" s="70"/>
      <c r="K303" s="70" t="s">
        <v>4</v>
      </c>
      <c r="L303" s="70"/>
      <c r="M303" s="70"/>
      <c r="N303" s="5" t="str">
        <f t="shared" si="4"/>
        <v>1</v>
      </c>
      <c r="O303" s="5" t="str">
        <f>INDEX(Кат!$I:$I,MATCH($A303,Кат!$A:$A,0))</f>
        <v>кристал авто</v>
      </c>
    </row>
    <row r="304" spans="1:15" ht="30" x14ac:dyDescent="0.25">
      <c r="A304" s="69">
        <v>226710</v>
      </c>
      <c r="B304" s="69">
        <v>5585</v>
      </c>
      <c r="C304" s="70" t="s">
        <v>10</v>
      </c>
      <c r="D304" s="70" t="s">
        <v>7198</v>
      </c>
      <c r="E304" s="70" t="s">
        <v>5500</v>
      </c>
      <c r="F304" s="70"/>
      <c r="G304" s="70" t="s">
        <v>3</v>
      </c>
      <c r="H304" s="71">
        <v>276</v>
      </c>
      <c r="I304" s="71">
        <v>529</v>
      </c>
      <c r="J304" s="70"/>
      <c r="K304" s="70" t="s">
        <v>4</v>
      </c>
      <c r="L304" s="70"/>
      <c r="M304" s="70"/>
      <c r="N304" s="5" t="str">
        <f t="shared" si="4"/>
        <v>1</v>
      </c>
      <c r="O304" s="5" t="str">
        <f>INDEX(Кат!$I:$I,MATCH($A304,Кат!$A:$A,0))</f>
        <v>кристал авто</v>
      </c>
    </row>
    <row r="305" spans="1:15" ht="30" x14ac:dyDescent="0.25">
      <c r="A305" s="69">
        <v>226711</v>
      </c>
      <c r="B305" s="69">
        <v>5586</v>
      </c>
      <c r="C305" s="70" t="s">
        <v>11</v>
      </c>
      <c r="D305" s="70" t="s">
        <v>7198</v>
      </c>
      <c r="E305" s="70" t="s">
        <v>5501</v>
      </c>
      <c r="F305" s="70"/>
      <c r="G305" s="70" t="s">
        <v>3</v>
      </c>
      <c r="H305" s="71">
        <v>276</v>
      </c>
      <c r="I305" s="71">
        <v>529</v>
      </c>
      <c r="J305" s="70"/>
      <c r="K305" s="70" t="s">
        <v>4</v>
      </c>
      <c r="L305" s="70"/>
      <c r="M305" s="70"/>
      <c r="N305" s="5" t="str">
        <f t="shared" si="4"/>
        <v>1</v>
      </c>
      <c r="O305" s="5" t="str">
        <f>INDEX(Кат!$I:$I,MATCH($A305,Кат!$A:$A,0))</f>
        <v>кристал авто</v>
      </c>
    </row>
    <row r="306" spans="1:15" ht="30" x14ac:dyDescent="0.25">
      <c r="A306" s="69">
        <v>226712</v>
      </c>
      <c r="B306" s="69">
        <v>5588</v>
      </c>
      <c r="C306" s="70" t="s">
        <v>12</v>
      </c>
      <c r="D306" s="70" t="s">
        <v>7198</v>
      </c>
      <c r="E306" s="70" t="s">
        <v>5502</v>
      </c>
      <c r="F306" s="70"/>
      <c r="G306" s="70" t="s">
        <v>3</v>
      </c>
      <c r="H306" s="71">
        <v>276</v>
      </c>
      <c r="I306" s="71">
        <v>529</v>
      </c>
      <c r="J306" s="70"/>
      <c r="K306" s="70" t="s">
        <v>4</v>
      </c>
      <c r="L306" s="70"/>
      <c r="M306" s="70"/>
      <c r="N306" s="5" t="str">
        <f t="shared" si="4"/>
        <v>1</v>
      </c>
      <c r="O306" s="5" t="str">
        <f>INDEX(Кат!$I:$I,MATCH($A306,Кат!$A:$A,0))</f>
        <v>кристал авто</v>
      </c>
    </row>
    <row r="307" spans="1:15" ht="30" x14ac:dyDescent="0.25">
      <c r="A307" s="69">
        <v>226713</v>
      </c>
      <c r="B307" s="69">
        <v>5589</v>
      </c>
      <c r="C307" s="70" t="s">
        <v>13</v>
      </c>
      <c r="D307" s="70" t="s">
        <v>7198</v>
      </c>
      <c r="E307" s="70" t="s">
        <v>5503</v>
      </c>
      <c r="F307" s="70"/>
      <c r="G307" s="70" t="s">
        <v>3</v>
      </c>
      <c r="H307" s="71">
        <v>276</v>
      </c>
      <c r="I307" s="71">
        <v>529</v>
      </c>
      <c r="J307" s="70"/>
      <c r="K307" s="70" t="s">
        <v>4</v>
      </c>
      <c r="L307" s="70"/>
      <c r="M307" s="70"/>
      <c r="N307" s="5" t="str">
        <f t="shared" si="4"/>
        <v>1</v>
      </c>
      <c r="O307" s="5" t="str">
        <f>INDEX(Кат!$I:$I,MATCH($A307,Кат!$A:$A,0))</f>
        <v>кристал авто</v>
      </c>
    </row>
    <row r="308" spans="1:15" ht="30" x14ac:dyDescent="0.25">
      <c r="A308" s="69">
        <v>226714</v>
      </c>
      <c r="B308" s="69">
        <v>5590</v>
      </c>
      <c r="C308" s="70" t="s">
        <v>14</v>
      </c>
      <c r="D308" s="70" t="s">
        <v>7198</v>
      </c>
      <c r="E308" s="70" t="s">
        <v>5504</v>
      </c>
      <c r="F308" s="70"/>
      <c r="G308" s="70" t="s">
        <v>3</v>
      </c>
      <c r="H308" s="71">
        <v>276</v>
      </c>
      <c r="I308" s="71">
        <v>529</v>
      </c>
      <c r="J308" s="70"/>
      <c r="K308" s="70" t="s">
        <v>4</v>
      </c>
      <c r="L308" s="70"/>
      <c r="M308" s="70"/>
      <c r="N308" s="5" t="str">
        <f t="shared" si="4"/>
        <v>1</v>
      </c>
      <c r="O308" s="5" t="str">
        <f>INDEX(Кат!$I:$I,MATCH($A308,Кат!$A:$A,0))</f>
        <v>кристал авто</v>
      </c>
    </row>
    <row r="309" spans="1:15" ht="30" x14ac:dyDescent="0.25">
      <c r="A309" s="69">
        <v>226715</v>
      </c>
      <c r="B309" s="69">
        <v>5592</v>
      </c>
      <c r="C309" s="70" t="s">
        <v>15</v>
      </c>
      <c r="D309" s="70" t="s">
        <v>7198</v>
      </c>
      <c r="E309" s="70" t="s">
        <v>5505</v>
      </c>
      <c r="F309" s="70"/>
      <c r="G309" s="70" t="s">
        <v>3</v>
      </c>
      <c r="H309" s="71">
        <v>276</v>
      </c>
      <c r="I309" s="71">
        <v>529</v>
      </c>
      <c r="J309" s="70"/>
      <c r="K309" s="70" t="s">
        <v>4</v>
      </c>
      <c r="L309" s="70"/>
      <c r="M309" s="70"/>
      <c r="N309" s="5" t="str">
        <f t="shared" si="4"/>
        <v>1</v>
      </c>
      <c r="O309" s="5" t="str">
        <f>INDEX(Кат!$I:$I,MATCH($A309,Кат!$A:$A,0))</f>
        <v>кристал авто</v>
      </c>
    </row>
    <row r="310" spans="1:15" ht="30" x14ac:dyDescent="0.25">
      <c r="A310" s="69">
        <v>226716</v>
      </c>
      <c r="B310" s="69">
        <v>5593</v>
      </c>
      <c r="C310" s="70" t="s">
        <v>2160</v>
      </c>
      <c r="D310" s="70" t="s">
        <v>7198</v>
      </c>
      <c r="E310" s="70" t="s">
        <v>2159</v>
      </c>
      <c r="F310" s="70" t="s">
        <v>2159</v>
      </c>
      <c r="G310" s="70" t="s">
        <v>3</v>
      </c>
      <c r="H310" s="71">
        <v>276</v>
      </c>
      <c r="I310" s="71">
        <v>529</v>
      </c>
      <c r="J310" s="70"/>
      <c r="K310" s="70" t="s">
        <v>4</v>
      </c>
      <c r="L310" s="70"/>
      <c r="M310" s="70"/>
      <c r="N310" s="5" t="str">
        <f t="shared" si="4"/>
        <v>1</v>
      </c>
      <c r="O310" s="5" t="str">
        <f>INDEX(Кат!$I:$I,MATCH($A310,Кат!$A:$A,0))</f>
        <v>кристал авто</v>
      </c>
    </row>
    <row r="311" spans="1:15" ht="30" x14ac:dyDescent="0.25">
      <c r="A311" s="69">
        <v>226717</v>
      </c>
      <c r="B311" s="69">
        <v>5594</v>
      </c>
      <c r="C311" s="70" t="s">
        <v>16</v>
      </c>
      <c r="D311" s="70" t="s">
        <v>7198</v>
      </c>
      <c r="E311" s="70" t="s">
        <v>5506</v>
      </c>
      <c r="F311" s="70"/>
      <c r="G311" s="70" t="s">
        <v>3</v>
      </c>
      <c r="H311" s="71">
        <v>276</v>
      </c>
      <c r="I311" s="71">
        <v>529</v>
      </c>
      <c r="J311" s="70"/>
      <c r="K311" s="70" t="s">
        <v>4</v>
      </c>
      <c r="L311" s="70"/>
      <c r="M311" s="70"/>
      <c r="N311" s="5" t="str">
        <f t="shared" si="4"/>
        <v>1</v>
      </c>
      <c r="O311" s="5" t="str">
        <f>INDEX(Кат!$I:$I,MATCH($A311,Кат!$A:$A,0))</f>
        <v>кристал авто</v>
      </c>
    </row>
    <row r="312" spans="1:15" ht="30" x14ac:dyDescent="0.25">
      <c r="A312" s="69">
        <v>226718</v>
      </c>
      <c r="B312" s="69">
        <v>5597</v>
      </c>
      <c r="C312" s="70" t="s">
        <v>17</v>
      </c>
      <c r="D312" s="70" t="s">
        <v>7198</v>
      </c>
      <c r="E312" s="70" t="s">
        <v>5507</v>
      </c>
      <c r="F312" s="70"/>
      <c r="G312" s="70" t="s">
        <v>3</v>
      </c>
      <c r="H312" s="71">
        <v>276</v>
      </c>
      <c r="I312" s="71">
        <v>529</v>
      </c>
      <c r="J312" s="70"/>
      <c r="K312" s="70" t="s">
        <v>4</v>
      </c>
      <c r="L312" s="70"/>
      <c r="M312" s="70"/>
      <c r="N312" s="5" t="str">
        <f t="shared" si="4"/>
        <v>1</v>
      </c>
      <c r="O312" s="5" t="str">
        <f>INDEX(Кат!$I:$I,MATCH($A312,Кат!$A:$A,0))</f>
        <v>кристал авто</v>
      </c>
    </row>
    <row r="313" spans="1:15" ht="30" x14ac:dyDescent="0.25">
      <c r="A313" s="69">
        <v>226719</v>
      </c>
      <c r="B313" s="69">
        <v>5598</v>
      </c>
      <c r="C313" s="70" t="s">
        <v>18</v>
      </c>
      <c r="D313" s="70" t="s">
        <v>7198</v>
      </c>
      <c r="E313" s="70" t="s">
        <v>5508</v>
      </c>
      <c r="F313" s="70"/>
      <c r="G313" s="70" t="s">
        <v>3</v>
      </c>
      <c r="H313" s="71">
        <v>276</v>
      </c>
      <c r="I313" s="71">
        <v>529</v>
      </c>
      <c r="J313" s="70"/>
      <c r="K313" s="70" t="s">
        <v>4</v>
      </c>
      <c r="L313" s="70"/>
      <c r="M313" s="70"/>
      <c r="N313" s="5" t="str">
        <f t="shared" si="4"/>
        <v>1</v>
      </c>
      <c r="O313" s="5" t="str">
        <f>INDEX(Кат!$I:$I,MATCH($A313,Кат!$A:$A,0))</f>
        <v>кристал авто</v>
      </c>
    </row>
    <row r="314" spans="1:15" ht="30" x14ac:dyDescent="0.25">
      <c r="A314" s="69">
        <v>226720</v>
      </c>
      <c r="B314" s="69">
        <v>5601</v>
      </c>
      <c r="C314" s="70" t="s">
        <v>19</v>
      </c>
      <c r="D314" s="70" t="s">
        <v>7198</v>
      </c>
      <c r="E314" s="70" t="s">
        <v>5509</v>
      </c>
      <c r="F314" s="70"/>
      <c r="G314" s="70" t="s">
        <v>3</v>
      </c>
      <c r="H314" s="71">
        <v>276</v>
      </c>
      <c r="I314" s="71">
        <v>529</v>
      </c>
      <c r="J314" s="70"/>
      <c r="K314" s="70" t="s">
        <v>4</v>
      </c>
      <c r="L314" s="70"/>
      <c r="M314" s="70"/>
      <c r="N314" s="5" t="str">
        <f t="shared" si="4"/>
        <v>1</v>
      </c>
      <c r="O314" s="5" t="str">
        <f>INDEX(Кат!$I:$I,MATCH($A314,Кат!$A:$A,0))</f>
        <v>кристал авто</v>
      </c>
    </row>
    <row r="315" spans="1:15" ht="30" x14ac:dyDescent="0.25">
      <c r="A315" s="69">
        <v>226721</v>
      </c>
      <c r="B315" s="69">
        <v>5603</v>
      </c>
      <c r="C315" s="70" t="s">
        <v>20</v>
      </c>
      <c r="D315" s="70" t="s">
        <v>7198</v>
      </c>
      <c r="E315" s="70" t="s">
        <v>5510</v>
      </c>
      <c r="F315" s="70"/>
      <c r="G315" s="70" t="s">
        <v>3</v>
      </c>
      <c r="H315" s="71">
        <v>276</v>
      </c>
      <c r="I315" s="71">
        <v>529</v>
      </c>
      <c r="J315" s="70"/>
      <c r="K315" s="70" t="s">
        <v>4</v>
      </c>
      <c r="L315" s="70"/>
      <c r="M315" s="70"/>
      <c r="N315" s="5" t="str">
        <f t="shared" si="4"/>
        <v>1</v>
      </c>
      <c r="O315" s="5" t="str">
        <f>INDEX(Кат!$I:$I,MATCH($A315,Кат!$A:$A,0))</f>
        <v>кристал авто</v>
      </c>
    </row>
    <row r="316" spans="1:15" ht="30" x14ac:dyDescent="0.25">
      <c r="A316" s="69">
        <v>226722</v>
      </c>
      <c r="B316" s="69">
        <v>5604</v>
      </c>
      <c r="C316" s="70" t="s">
        <v>21</v>
      </c>
      <c r="D316" s="70" t="s">
        <v>7198</v>
      </c>
      <c r="E316" s="70" t="s">
        <v>5511</v>
      </c>
      <c r="F316" s="70"/>
      <c r="G316" s="70" t="s">
        <v>3</v>
      </c>
      <c r="H316" s="71">
        <v>276</v>
      </c>
      <c r="I316" s="71">
        <v>529</v>
      </c>
      <c r="J316" s="70"/>
      <c r="K316" s="70" t="s">
        <v>4</v>
      </c>
      <c r="L316" s="70"/>
      <c r="M316" s="70"/>
      <c r="N316" s="5" t="str">
        <f t="shared" si="4"/>
        <v>1</v>
      </c>
      <c r="O316" s="5" t="str">
        <f>INDEX(Кат!$I:$I,MATCH($A316,Кат!$A:$A,0))</f>
        <v>кристал авто</v>
      </c>
    </row>
    <row r="317" spans="1:15" ht="30" x14ac:dyDescent="0.25">
      <c r="A317" s="69">
        <v>226734</v>
      </c>
      <c r="B317" s="69">
        <v>30936</v>
      </c>
      <c r="C317" s="70" t="s">
        <v>2420</v>
      </c>
      <c r="D317" s="70" t="s">
        <v>7198</v>
      </c>
      <c r="E317" s="70" t="s">
        <v>5637</v>
      </c>
      <c r="F317" s="70" t="s">
        <v>2419</v>
      </c>
      <c r="G317" s="70" t="s">
        <v>3</v>
      </c>
      <c r="H317" s="71">
        <v>360</v>
      </c>
      <c r="I317" s="71">
        <v>609</v>
      </c>
      <c r="J317" s="70"/>
      <c r="K317" s="70" t="s">
        <v>4</v>
      </c>
      <c r="L317" s="70"/>
      <c r="M317" s="70"/>
      <c r="N317" s="5" t="str">
        <f t="shared" ref="N317:N319" si="5">_xlfn.CONCAT(K317,IF(L317&lt;&gt;"",_xlfn.CONCAT("ск",L317),""))</f>
        <v>1</v>
      </c>
      <c r="O317" s="5" t="str">
        <f>INDEX(Кат!$I:$I,MATCH($A317,Кат!$A:$A,0))</f>
        <v>кристал авто</v>
      </c>
    </row>
    <row r="318" spans="1:15" ht="30" x14ac:dyDescent="0.25">
      <c r="A318" s="69">
        <v>226735</v>
      </c>
      <c r="B318" s="69">
        <v>30935</v>
      </c>
      <c r="C318" s="70" t="s">
        <v>2418</v>
      </c>
      <c r="D318" s="70" t="s">
        <v>7198</v>
      </c>
      <c r="E318" s="70" t="s">
        <v>5636</v>
      </c>
      <c r="F318" s="70" t="s">
        <v>2417</v>
      </c>
      <c r="G318" s="70" t="s">
        <v>3</v>
      </c>
      <c r="H318" s="71">
        <v>360</v>
      </c>
      <c r="I318" s="71">
        <v>609</v>
      </c>
      <c r="J318" s="70"/>
      <c r="K318" s="70" t="s">
        <v>4</v>
      </c>
      <c r="L318" s="70"/>
      <c r="M318" s="70"/>
      <c r="N318" s="5" t="str">
        <f t="shared" si="5"/>
        <v>1</v>
      </c>
      <c r="O318" s="5" t="str">
        <f>INDEX(Кат!$I:$I,MATCH($A318,Кат!$A:$A,0))</f>
        <v>кристал авто</v>
      </c>
    </row>
    <row r="319" spans="1:15" ht="30" x14ac:dyDescent="0.25">
      <c r="A319" s="69">
        <v>226753</v>
      </c>
      <c r="B319" s="69">
        <v>5572</v>
      </c>
      <c r="C319" s="70" t="s">
        <v>2158</v>
      </c>
      <c r="D319" s="70" t="s">
        <v>7198</v>
      </c>
      <c r="E319" s="70" t="s">
        <v>5498</v>
      </c>
      <c r="F319" s="70" t="s">
        <v>2157</v>
      </c>
      <c r="G319" s="70" t="s">
        <v>3</v>
      </c>
      <c r="H319" s="71">
        <v>190</v>
      </c>
      <c r="I319" s="71">
        <v>359</v>
      </c>
      <c r="J319" s="70"/>
      <c r="K319" s="70" t="s">
        <v>4</v>
      </c>
      <c r="L319" s="70"/>
      <c r="M319" s="70"/>
      <c r="N319" s="5" t="str">
        <f t="shared" si="5"/>
        <v>1</v>
      </c>
      <c r="O319" s="5" t="str">
        <f>INDEX(Кат!$I:$I,MATCH($A319,Кат!$A:$A,0))</f>
        <v>кристал авто</v>
      </c>
    </row>
  </sheetData>
  <autoFilter ref="A1:O319" xr:uid="{B658963C-8D62-4426-A0CB-5F59301D84EE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A7DB4-C8BF-47DF-9F8D-079EBE095F04}">
  <sheetPr>
    <outlinePr summaryBelow="0"/>
  </sheetPr>
  <dimension ref="A1:Q53"/>
  <sheetViews>
    <sheetView showRuler="0" zoomScaleNormal="100" workbookViewId="0">
      <pane ySplit="1" topLeftCell="A47" activePane="bottomLeft" state="frozen"/>
      <selection pane="bottomLeft" sqref="A1:O53"/>
    </sheetView>
  </sheetViews>
  <sheetFormatPr defaultRowHeight="15" x14ac:dyDescent="0.25"/>
  <cols>
    <col min="1" max="1" width="22.28515625" style="17" customWidth="1"/>
    <col min="2" max="3" width="7.7109375" style="17" customWidth="1"/>
    <col min="4" max="4" width="22.28515625" style="17" customWidth="1"/>
    <col min="5" max="6" width="11.140625" style="17" customWidth="1"/>
    <col min="7" max="9" width="22.28515625" style="17" customWidth="1"/>
    <col min="10" max="11" width="8.85546875" style="17" customWidth="1"/>
    <col min="12" max="15" width="7.7109375" style="17" customWidth="1"/>
    <col min="16" max="16384" width="9.140625" style="17"/>
  </cols>
  <sheetData>
    <row r="1" spans="1:17" s="18" customFormat="1" ht="30" x14ac:dyDescent="0.25">
      <c r="A1" s="72" t="s">
        <v>7239</v>
      </c>
      <c r="B1" s="72" t="s">
        <v>0</v>
      </c>
      <c r="C1" s="72" t="s">
        <v>7240</v>
      </c>
      <c r="D1" s="72" t="s">
        <v>7192</v>
      </c>
      <c r="E1" s="72" t="s">
        <v>7193</v>
      </c>
      <c r="F1" s="72"/>
      <c r="G1" s="72" t="s">
        <v>7194</v>
      </c>
      <c r="H1" s="72" t="s">
        <v>1</v>
      </c>
      <c r="I1" s="72" t="s">
        <v>2438</v>
      </c>
      <c r="J1" s="72" t="s">
        <v>5490</v>
      </c>
      <c r="K1" s="72" t="s">
        <v>5491</v>
      </c>
      <c r="L1" s="72" t="s">
        <v>7241</v>
      </c>
      <c r="M1" s="72" t="s">
        <v>7196</v>
      </c>
      <c r="N1" s="72" t="s">
        <v>7242</v>
      </c>
      <c r="O1" s="72" t="s">
        <v>2437</v>
      </c>
      <c r="P1" s="5"/>
      <c r="Q1" s="5"/>
    </row>
    <row r="2" spans="1:17" ht="60" x14ac:dyDescent="0.25">
      <c r="A2" s="74" t="s">
        <v>7243</v>
      </c>
      <c r="B2" s="73">
        <v>242747</v>
      </c>
      <c r="C2" s="73">
        <v>192321</v>
      </c>
      <c r="D2" s="74" t="s">
        <v>7244</v>
      </c>
      <c r="E2" s="74" t="s">
        <v>7198</v>
      </c>
      <c r="F2" s="74"/>
      <c r="G2" s="74"/>
      <c r="H2" s="74" t="s">
        <v>8108</v>
      </c>
      <c r="I2" s="74" t="s">
        <v>3</v>
      </c>
      <c r="J2" s="75">
        <v>230</v>
      </c>
      <c r="K2" s="75">
        <v>439</v>
      </c>
      <c r="L2" s="74"/>
      <c r="M2" s="73">
        <v>1</v>
      </c>
      <c r="N2" s="73"/>
      <c r="O2" s="74"/>
      <c r="P2" s="5" t="str">
        <f>_xlfn.CONCAT(M2,IF(N2&lt;&gt;"",_xlfn.CONCAT("ск",N2),""))</f>
        <v>1</v>
      </c>
      <c r="Q2" s="5" t="str">
        <f>INDEX(Торг!$I:$I,MATCH($B2,Торг!$B:$B,0))</f>
        <v>кристал авто</v>
      </c>
    </row>
    <row r="3" spans="1:17" ht="75" x14ac:dyDescent="0.25">
      <c r="A3" s="74" t="s">
        <v>7243</v>
      </c>
      <c r="B3" s="73">
        <v>242748</v>
      </c>
      <c r="C3" s="73">
        <v>192322</v>
      </c>
      <c r="D3" s="74" t="s">
        <v>7245</v>
      </c>
      <c r="E3" s="74" t="s">
        <v>7198</v>
      </c>
      <c r="F3" s="74"/>
      <c r="G3" s="74"/>
      <c r="H3" s="74" t="s">
        <v>8109</v>
      </c>
      <c r="I3" s="74" t="s">
        <v>3</v>
      </c>
      <c r="J3" s="75">
        <v>230</v>
      </c>
      <c r="K3" s="75">
        <v>439</v>
      </c>
      <c r="L3" s="74"/>
      <c r="M3" s="73">
        <v>1</v>
      </c>
      <c r="N3" s="73"/>
      <c r="O3" s="74"/>
      <c r="P3" s="5" t="str">
        <f t="shared" ref="P3:P32" si="0">_xlfn.CONCAT(M3,IF(N3&lt;&gt;"",_xlfn.CONCAT("ск",N3),""))</f>
        <v>1</v>
      </c>
      <c r="Q3" s="5" t="str">
        <f>INDEX(Торг!$I:$I,MATCH($B3,Торг!$B:$B,0))</f>
        <v>кристал авто</v>
      </c>
    </row>
    <row r="4" spans="1:17" ht="75" x14ac:dyDescent="0.25">
      <c r="A4" s="74" t="s">
        <v>7243</v>
      </c>
      <c r="B4" s="73">
        <v>242749</v>
      </c>
      <c r="C4" s="73">
        <v>192336</v>
      </c>
      <c r="D4" s="74" t="s">
        <v>7246</v>
      </c>
      <c r="E4" s="74" t="s">
        <v>7198</v>
      </c>
      <c r="F4" s="74"/>
      <c r="G4" s="74"/>
      <c r="H4" s="74" t="s">
        <v>8110</v>
      </c>
      <c r="I4" s="74" t="s">
        <v>3</v>
      </c>
      <c r="J4" s="75">
        <v>230</v>
      </c>
      <c r="K4" s="75">
        <v>439</v>
      </c>
      <c r="L4" s="74"/>
      <c r="M4" s="73">
        <v>1</v>
      </c>
      <c r="N4" s="73"/>
      <c r="O4" s="74"/>
      <c r="P4" s="5" t="str">
        <f t="shared" si="0"/>
        <v>1</v>
      </c>
      <c r="Q4" s="5" t="str">
        <f>INDEX(Торг!$I:$I,MATCH($B4,Торг!$B:$B,0))</f>
        <v>кристал авто</v>
      </c>
    </row>
    <row r="5" spans="1:17" ht="75" x14ac:dyDescent="0.25">
      <c r="A5" s="74" t="s">
        <v>7243</v>
      </c>
      <c r="B5" s="73">
        <v>242750</v>
      </c>
      <c r="C5" s="73">
        <v>192323</v>
      </c>
      <c r="D5" s="74" t="s">
        <v>7247</v>
      </c>
      <c r="E5" s="74" t="s">
        <v>7198</v>
      </c>
      <c r="F5" s="74"/>
      <c r="G5" s="74"/>
      <c r="H5" s="74" t="s">
        <v>8111</v>
      </c>
      <c r="I5" s="74" t="s">
        <v>3</v>
      </c>
      <c r="J5" s="75">
        <v>230</v>
      </c>
      <c r="K5" s="75">
        <v>439</v>
      </c>
      <c r="L5" s="74"/>
      <c r="M5" s="73">
        <v>1</v>
      </c>
      <c r="N5" s="73"/>
      <c r="O5" s="74"/>
      <c r="P5" s="5" t="str">
        <f t="shared" si="0"/>
        <v>1</v>
      </c>
      <c r="Q5" s="5" t="str">
        <f>INDEX(Торг!$I:$I,MATCH($B5,Торг!$B:$B,0))</f>
        <v>кристал авто</v>
      </c>
    </row>
    <row r="6" spans="1:17" ht="75" x14ac:dyDescent="0.25">
      <c r="A6" s="74" t="s">
        <v>7243</v>
      </c>
      <c r="B6" s="73">
        <v>242751</v>
      </c>
      <c r="C6" s="73">
        <v>192324</v>
      </c>
      <c r="D6" s="74" t="s">
        <v>7248</v>
      </c>
      <c r="E6" s="74" t="s">
        <v>7198</v>
      </c>
      <c r="F6" s="74"/>
      <c r="G6" s="74"/>
      <c r="H6" s="74" t="s">
        <v>8112</v>
      </c>
      <c r="I6" s="74" t="s">
        <v>3</v>
      </c>
      <c r="J6" s="75">
        <v>230</v>
      </c>
      <c r="K6" s="75">
        <v>439</v>
      </c>
      <c r="L6" s="74"/>
      <c r="M6" s="73">
        <v>1</v>
      </c>
      <c r="N6" s="73"/>
      <c r="O6" s="74"/>
      <c r="P6" s="5" t="str">
        <f t="shared" si="0"/>
        <v>1</v>
      </c>
      <c r="Q6" s="5" t="str">
        <f>INDEX(Торг!$I:$I,MATCH($B6,Торг!$B:$B,0))</f>
        <v>кристал авто</v>
      </c>
    </row>
    <row r="7" spans="1:17" ht="75" x14ac:dyDescent="0.25">
      <c r="A7" s="74" t="s">
        <v>7243</v>
      </c>
      <c r="B7" s="73">
        <v>242752</v>
      </c>
      <c r="C7" s="73">
        <v>192325</v>
      </c>
      <c r="D7" s="74" t="s">
        <v>7249</v>
      </c>
      <c r="E7" s="74" t="s">
        <v>7198</v>
      </c>
      <c r="F7" s="74"/>
      <c r="G7" s="74"/>
      <c r="H7" s="74" t="s">
        <v>8113</v>
      </c>
      <c r="I7" s="74" t="s">
        <v>3</v>
      </c>
      <c r="J7" s="75">
        <v>230</v>
      </c>
      <c r="K7" s="75">
        <v>439</v>
      </c>
      <c r="L7" s="74"/>
      <c r="M7" s="73">
        <v>1</v>
      </c>
      <c r="N7" s="73"/>
      <c r="O7" s="74"/>
      <c r="P7" s="5" t="str">
        <f t="shared" si="0"/>
        <v>1</v>
      </c>
      <c r="Q7" s="5" t="str">
        <f>INDEX(Торг!$I:$I,MATCH($B7,Торг!$B:$B,0))</f>
        <v>кристал авто</v>
      </c>
    </row>
    <row r="8" spans="1:17" ht="75" x14ac:dyDescent="0.25">
      <c r="A8" s="74" t="s">
        <v>7243</v>
      </c>
      <c r="B8" s="73">
        <v>242753</v>
      </c>
      <c r="C8" s="73">
        <v>192333</v>
      </c>
      <c r="D8" s="74" t="s">
        <v>7250</v>
      </c>
      <c r="E8" s="74" t="s">
        <v>7198</v>
      </c>
      <c r="F8" s="74"/>
      <c r="G8" s="74"/>
      <c r="H8" s="74" t="s">
        <v>8114</v>
      </c>
      <c r="I8" s="74" t="s">
        <v>3</v>
      </c>
      <c r="J8" s="75">
        <v>230</v>
      </c>
      <c r="K8" s="75">
        <v>439</v>
      </c>
      <c r="L8" s="74"/>
      <c r="M8" s="73">
        <v>1</v>
      </c>
      <c r="N8" s="73"/>
      <c r="O8" s="74"/>
      <c r="P8" s="5" t="str">
        <f t="shared" si="0"/>
        <v>1</v>
      </c>
      <c r="Q8" s="5" t="str">
        <f>INDEX(Торг!$I:$I,MATCH($B8,Торг!$B:$B,0))</f>
        <v>кристал авто</v>
      </c>
    </row>
    <row r="9" spans="1:17" ht="60" x14ac:dyDescent="0.25">
      <c r="A9" s="74" t="s">
        <v>7243</v>
      </c>
      <c r="B9" s="73">
        <v>242754</v>
      </c>
      <c r="C9" s="73">
        <v>192334</v>
      </c>
      <c r="D9" s="74" t="s">
        <v>7251</v>
      </c>
      <c r="E9" s="74" t="s">
        <v>7198</v>
      </c>
      <c r="F9" s="74"/>
      <c r="G9" s="74"/>
      <c r="H9" s="74" t="s">
        <v>8115</v>
      </c>
      <c r="I9" s="74" t="s">
        <v>3</v>
      </c>
      <c r="J9" s="75">
        <v>230</v>
      </c>
      <c r="K9" s="75">
        <v>439</v>
      </c>
      <c r="L9" s="74"/>
      <c r="M9" s="73">
        <v>1</v>
      </c>
      <c r="N9" s="73"/>
      <c r="O9" s="74"/>
      <c r="P9" s="5" t="str">
        <f t="shared" si="0"/>
        <v>1</v>
      </c>
      <c r="Q9" s="5" t="str">
        <f>INDEX(Торг!$I:$I,MATCH($B9,Торг!$B:$B,0))</f>
        <v>кристал авто</v>
      </c>
    </row>
    <row r="10" spans="1:17" ht="60" x14ac:dyDescent="0.25">
      <c r="A10" s="74" t="s">
        <v>7243</v>
      </c>
      <c r="B10" s="73">
        <v>242755</v>
      </c>
      <c r="C10" s="73">
        <v>192320</v>
      </c>
      <c r="D10" s="74" t="s">
        <v>7252</v>
      </c>
      <c r="E10" s="74" t="s">
        <v>7198</v>
      </c>
      <c r="F10" s="74"/>
      <c r="G10" s="74"/>
      <c r="H10" s="74" t="s">
        <v>8116</v>
      </c>
      <c r="I10" s="74" t="s">
        <v>3</v>
      </c>
      <c r="J10" s="75">
        <v>230</v>
      </c>
      <c r="K10" s="75">
        <v>439</v>
      </c>
      <c r="L10" s="74"/>
      <c r="M10" s="73">
        <v>1</v>
      </c>
      <c r="N10" s="73"/>
      <c r="O10" s="74"/>
      <c r="P10" s="5" t="str">
        <f t="shared" si="0"/>
        <v>1</v>
      </c>
      <c r="Q10" s="5" t="str">
        <f>INDEX(Торг!$I:$I,MATCH($B10,Торг!$B:$B,0))</f>
        <v>кристал авто</v>
      </c>
    </row>
    <row r="11" spans="1:17" ht="75" x14ac:dyDescent="0.25">
      <c r="A11" s="74" t="s">
        <v>7243</v>
      </c>
      <c r="B11" s="73">
        <v>242756</v>
      </c>
      <c r="C11" s="73">
        <v>192318</v>
      </c>
      <c r="D11" s="74" t="s">
        <v>7253</v>
      </c>
      <c r="E11" s="74" t="s">
        <v>7198</v>
      </c>
      <c r="F11" s="74"/>
      <c r="G11" s="74"/>
      <c r="H11" s="74" t="s">
        <v>8117</v>
      </c>
      <c r="I11" s="74" t="s">
        <v>3</v>
      </c>
      <c r="J11" s="75">
        <v>230</v>
      </c>
      <c r="K11" s="75">
        <v>439</v>
      </c>
      <c r="L11" s="74"/>
      <c r="M11" s="73">
        <v>1</v>
      </c>
      <c r="N11" s="73"/>
      <c r="O11" s="74"/>
      <c r="P11" s="5" t="str">
        <f t="shared" si="0"/>
        <v>1</v>
      </c>
      <c r="Q11" s="5" t="str">
        <f>INDEX(Торг!$I:$I,MATCH($B11,Торг!$B:$B,0))</f>
        <v>кристал авто</v>
      </c>
    </row>
    <row r="12" spans="1:17" ht="75" x14ac:dyDescent="0.25">
      <c r="A12" s="74" t="s">
        <v>7243</v>
      </c>
      <c r="B12" s="73">
        <v>242757</v>
      </c>
      <c r="C12" s="73">
        <v>192330</v>
      </c>
      <c r="D12" s="74" t="s">
        <v>7254</v>
      </c>
      <c r="E12" s="74" t="s">
        <v>7198</v>
      </c>
      <c r="F12" s="74"/>
      <c r="G12" s="74"/>
      <c r="H12" s="74" t="s">
        <v>8118</v>
      </c>
      <c r="I12" s="74" t="s">
        <v>3</v>
      </c>
      <c r="J12" s="75">
        <v>230</v>
      </c>
      <c r="K12" s="75">
        <v>439</v>
      </c>
      <c r="L12" s="74"/>
      <c r="M12" s="73">
        <v>1</v>
      </c>
      <c r="N12" s="73"/>
      <c r="O12" s="74"/>
      <c r="P12" s="5" t="str">
        <f t="shared" si="0"/>
        <v>1</v>
      </c>
      <c r="Q12" s="5" t="str">
        <f>INDEX(Торг!$I:$I,MATCH($B12,Торг!$B:$B,0))</f>
        <v>кристал авто</v>
      </c>
    </row>
    <row r="13" spans="1:17" ht="75" x14ac:dyDescent="0.25">
      <c r="A13" s="74" t="s">
        <v>7243</v>
      </c>
      <c r="B13" s="73">
        <v>242758</v>
      </c>
      <c r="C13" s="73">
        <v>192327</v>
      </c>
      <c r="D13" s="74" t="s">
        <v>7255</v>
      </c>
      <c r="E13" s="74" t="s">
        <v>7198</v>
      </c>
      <c r="F13" s="74"/>
      <c r="G13" s="74"/>
      <c r="H13" s="74" t="s">
        <v>8119</v>
      </c>
      <c r="I13" s="74" t="s">
        <v>3</v>
      </c>
      <c r="J13" s="75">
        <v>230</v>
      </c>
      <c r="K13" s="75">
        <v>439</v>
      </c>
      <c r="L13" s="74"/>
      <c r="M13" s="73">
        <v>1</v>
      </c>
      <c r="N13" s="73"/>
      <c r="O13" s="74"/>
      <c r="P13" s="5" t="str">
        <f t="shared" si="0"/>
        <v>1</v>
      </c>
      <c r="Q13" s="5" t="str">
        <f>INDEX(Торг!$I:$I,MATCH($B13,Торг!$B:$B,0))</f>
        <v>кристал авто</v>
      </c>
    </row>
    <row r="14" spans="1:17" ht="75" x14ac:dyDescent="0.25">
      <c r="A14" s="74" t="s">
        <v>7243</v>
      </c>
      <c r="B14" s="73">
        <v>242759</v>
      </c>
      <c r="C14" s="73">
        <v>192329</v>
      </c>
      <c r="D14" s="74" t="s">
        <v>7256</v>
      </c>
      <c r="E14" s="74" t="s">
        <v>7198</v>
      </c>
      <c r="F14" s="74"/>
      <c r="G14" s="74"/>
      <c r="H14" s="74" t="s">
        <v>8120</v>
      </c>
      <c r="I14" s="74" t="s">
        <v>3</v>
      </c>
      <c r="J14" s="75">
        <v>230</v>
      </c>
      <c r="K14" s="75">
        <v>439</v>
      </c>
      <c r="L14" s="74"/>
      <c r="M14" s="73">
        <v>1</v>
      </c>
      <c r="N14" s="73"/>
      <c r="O14" s="74"/>
      <c r="P14" s="5" t="str">
        <f t="shared" si="0"/>
        <v>1</v>
      </c>
      <c r="Q14" s="5" t="str">
        <f>INDEX(Торг!$I:$I,MATCH($B14,Торг!$B:$B,0))</f>
        <v>кристал авто</v>
      </c>
    </row>
    <row r="15" spans="1:17" ht="75" x14ac:dyDescent="0.25">
      <c r="A15" s="74" t="s">
        <v>7243</v>
      </c>
      <c r="B15" s="73">
        <v>242760</v>
      </c>
      <c r="C15" s="73">
        <v>192338</v>
      </c>
      <c r="D15" s="74" t="s">
        <v>7257</v>
      </c>
      <c r="E15" s="74" t="s">
        <v>7198</v>
      </c>
      <c r="F15" s="74"/>
      <c r="G15" s="74"/>
      <c r="H15" s="74" t="s">
        <v>8121</v>
      </c>
      <c r="I15" s="74" t="s">
        <v>3</v>
      </c>
      <c r="J15" s="75">
        <v>230</v>
      </c>
      <c r="K15" s="75">
        <v>439</v>
      </c>
      <c r="L15" s="74"/>
      <c r="M15" s="73">
        <v>1</v>
      </c>
      <c r="N15" s="73"/>
      <c r="O15" s="74"/>
      <c r="P15" s="5" t="str">
        <f t="shared" si="0"/>
        <v>1</v>
      </c>
      <c r="Q15" s="5" t="str">
        <f>INDEX(Торг!$I:$I,MATCH($B15,Торг!$B:$B,0))</f>
        <v>кристал авто</v>
      </c>
    </row>
    <row r="16" spans="1:17" ht="60" x14ac:dyDescent="0.25">
      <c r="A16" s="74" t="s">
        <v>7243</v>
      </c>
      <c r="B16" s="73">
        <v>242761</v>
      </c>
      <c r="C16" s="73">
        <v>192337</v>
      </c>
      <c r="D16" s="74" t="s">
        <v>7258</v>
      </c>
      <c r="E16" s="74" t="s">
        <v>7198</v>
      </c>
      <c r="F16" s="74"/>
      <c r="G16" s="74"/>
      <c r="H16" s="74" t="s">
        <v>8122</v>
      </c>
      <c r="I16" s="74" t="s">
        <v>3</v>
      </c>
      <c r="J16" s="75">
        <v>230</v>
      </c>
      <c r="K16" s="75">
        <v>439</v>
      </c>
      <c r="L16" s="74"/>
      <c r="M16" s="73">
        <v>1</v>
      </c>
      <c r="N16" s="73"/>
      <c r="O16" s="74"/>
      <c r="P16" s="5" t="str">
        <f t="shared" si="0"/>
        <v>1</v>
      </c>
      <c r="Q16" s="5" t="str">
        <f>INDEX(Торг!$I:$I,MATCH($B16,Торг!$B:$B,0))</f>
        <v>кристал авто</v>
      </c>
    </row>
    <row r="17" spans="1:17" ht="75" x14ac:dyDescent="0.25">
      <c r="A17" s="74" t="s">
        <v>7243</v>
      </c>
      <c r="B17" s="73">
        <v>242762</v>
      </c>
      <c r="C17" s="73">
        <v>192328</v>
      </c>
      <c r="D17" s="74" t="s">
        <v>7259</v>
      </c>
      <c r="E17" s="74" t="s">
        <v>7198</v>
      </c>
      <c r="F17" s="74"/>
      <c r="G17" s="74"/>
      <c r="H17" s="74" t="s">
        <v>8123</v>
      </c>
      <c r="I17" s="74" t="s">
        <v>3</v>
      </c>
      <c r="J17" s="75">
        <v>230</v>
      </c>
      <c r="K17" s="75">
        <v>439</v>
      </c>
      <c r="L17" s="74"/>
      <c r="M17" s="73">
        <v>1</v>
      </c>
      <c r="N17" s="73"/>
      <c r="O17" s="74"/>
      <c r="P17" s="5" t="str">
        <f t="shared" si="0"/>
        <v>1</v>
      </c>
      <c r="Q17" s="5" t="str">
        <f>INDEX(Торг!$I:$I,MATCH($B17,Торг!$B:$B,0))</f>
        <v>кристал авто</v>
      </c>
    </row>
    <row r="18" spans="1:17" ht="75" x14ac:dyDescent="0.25">
      <c r="A18" s="74" t="s">
        <v>7243</v>
      </c>
      <c r="B18" s="73">
        <v>242763</v>
      </c>
      <c r="C18" s="73">
        <v>192331</v>
      </c>
      <c r="D18" s="74" t="s">
        <v>7260</v>
      </c>
      <c r="E18" s="74" t="s">
        <v>7198</v>
      </c>
      <c r="F18" s="74"/>
      <c r="G18" s="74"/>
      <c r="H18" s="74" t="s">
        <v>8124</v>
      </c>
      <c r="I18" s="74" t="s">
        <v>3</v>
      </c>
      <c r="J18" s="75">
        <v>230</v>
      </c>
      <c r="K18" s="75">
        <v>439</v>
      </c>
      <c r="L18" s="74"/>
      <c r="M18" s="73">
        <v>1</v>
      </c>
      <c r="N18" s="73"/>
      <c r="O18" s="74"/>
      <c r="P18" s="5" t="str">
        <f t="shared" si="0"/>
        <v>1</v>
      </c>
      <c r="Q18" s="5" t="str">
        <f>INDEX(Торг!$I:$I,MATCH($B18,Торг!$B:$B,0))</f>
        <v>кристал авто</v>
      </c>
    </row>
    <row r="19" spans="1:17" ht="75" x14ac:dyDescent="0.25">
      <c r="A19" s="74" t="s">
        <v>7243</v>
      </c>
      <c r="B19" s="73">
        <v>242764</v>
      </c>
      <c r="C19" s="73">
        <v>192332</v>
      </c>
      <c r="D19" s="74" t="s">
        <v>7261</v>
      </c>
      <c r="E19" s="74" t="s">
        <v>7198</v>
      </c>
      <c r="F19" s="74"/>
      <c r="G19" s="74"/>
      <c r="H19" s="74" t="s">
        <v>8125</v>
      </c>
      <c r="I19" s="74" t="s">
        <v>3</v>
      </c>
      <c r="J19" s="75">
        <v>230</v>
      </c>
      <c r="K19" s="75">
        <v>439</v>
      </c>
      <c r="L19" s="74"/>
      <c r="M19" s="73">
        <v>1</v>
      </c>
      <c r="N19" s="73"/>
      <c r="O19" s="74"/>
      <c r="P19" s="5" t="str">
        <f t="shared" si="0"/>
        <v>1</v>
      </c>
      <c r="Q19" s="5" t="str">
        <f>INDEX(Торг!$I:$I,MATCH($B19,Торг!$B:$B,0))</f>
        <v>кристал авто</v>
      </c>
    </row>
    <row r="20" spans="1:17" ht="60" x14ac:dyDescent="0.25">
      <c r="A20" s="74" t="s">
        <v>7243</v>
      </c>
      <c r="B20" s="73">
        <v>242765</v>
      </c>
      <c r="C20" s="73">
        <v>192319</v>
      </c>
      <c r="D20" s="74" t="s">
        <v>7262</v>
      </c>
      <c r="E20" s="74" t="s">
        <v>7198</v>
      </c>
      <c r="F20" s="74"/>
      <c r="G20" s="74"/>
      <c r="H20" s="74" t="s">
        <v>8126</v>
      </c>
      <c r="I20" s="74" t="s">
        <v>3</v>
      </c>
      <c r="J20" s="75">
        <v>230</v>
      </c>
      <c r="K20" s="75">
        <v>439</v>
      </c>
      <c r="L20" s="74"/>
      <c r="M20" s="73">
        <v>1</v>
      </c>
      <c r="N20" s="73"/>
      <c r="O20" s="74"/>
      <c r="P20" s="5" t="str">
        <f t="shared" si="0"/>
        <v>1</v>
      </c>
      <c r="Q20" s="5" t="str">
        <f>INDEX(Торг!$I:$I,MATCH($B20,Торг!$B:$B,0))</f>
        <v>кристал авто</v>
      </c>
    </row>
    <row r="21" spans="1:17" ht="90" x14ac:dyDescent="0.25">
      <c r="A21" s="74" t="s">
        <v>7243</v>
      </c>
      <c r="B21" s="73">
        <v>242766</v>
      </c>
      <c r="C21" s="73">
        <v>192326</v>
      </c>
      <c r="D21" s="74" t="s">
        <v>7263</v>
      </c>
      <c r="E21" s="74" t="s">
        <v>7198</v>
      </c>
      <c r="F21" s="74"/>
      <c r="G21" s="74"/>
      <c r="H21" s="74" t="s">
        <v>8127</v>
      </c>
      <c r="I21" s="74" t="s">
        <v>3</v>
      </c>
      <c r="J21" s="75">
        <v>230</v>
      </c>
      <c r="K21" s="75">
        <v>439</v>
      </c>
      <c r="L21" s="74"/>
      <c r="M21" s="73">
        <v>1</v>
      </c>
      <c r="N21" s="73"/>
      <c r="O21" s="74"/>
      <c r="P21" s="5" t="str">
        <f t="shared" si="0"/>
        <v>1</v>
      </c>
      <c r="Q21" s="5" t="str">
        <f>INDEX(Торг!$I:$I,MATCH($B21,Торг!$B:$B,0))</f>
        <v>кристал авто</v>
      </c>
    </row>
    <row r="22" spans="1:17" ht="75" x14ac:dyDescent="0.25">
      <c r="A22" s="74" t="s">
        <v>7243</v>
      </c>
      <c r="B22" s="73">
        <v>242767</v>
      </c>
      <c r="C22" s="73">
        <v>192335</v>
      </c>
      <c r="D22" s="74" t="s">
        <v>7264</v>
      </c>
      <c r="E22" s="74" t="s">
        <v>7198</v>
      </c>
      <c r="F22" s="74"/>
      <c r="G22" s="74"/>
      <c r="H22" s="74" t="s">
        <v>8128</v>
      </c>
      <c r="I22" s="74" t="s">
        <v>3</v>
      </c>
      <c r="J22" s="75">
        <v>230</v>
      </c>
      <c r="K22" s="75">
        <v>439</v>
      </c>
      <c r="L22" s="74"/>
      <c r="M22" s="73">
        <v>1</v>
      </c>
      <c r="N22" s="73"/>
      <c r="O22" s="74"/>
      <c r="P22" s="5" t="str">
        <f t="shared" si="0"/>
        <v>1</v>
      </c>
      <c r="Q22" s="5" t="str">
        <f>INDEX(Торг!$I:$I,MATCH($B22,Торг!$B:$B,0))</f>
        <v>кристал авто</v>
      </c>
    </row>
    <row r="23" spans="1:17" ht="45" x14ac:dyDescent="0.25">
      <c r="A23" s="74" t="s">
        <v>7265</v>
      </c>
      <c r="B23" s="73">
        <v>251281</v>
      </c>
      <c r="C23" s="73">
        <v>186829</v>
      </c>
      <c r="D23" s="74" t="s">
        <v>6520</v>
      </c>
      <c r="E23" s="74" t="s">
        <v>7198</v>
      </c>
      <c r="F23" s="74"/>
      <c r="G23" s="74" t="s">
        <v>6519</v>
      </c>
      <c r="H23" s="74" t="s">
        <v>6519</v>
      </c>
      <c r="I23" s="74" t="s">
        <v>3</v>
      </c>
      <c r="J23" s="75">
        <v>350</v>
      </c>
      <c r="K23" s="75">
        <v>589</v>
      </c>
      <c r="L23" s="74"/>
      <c r="M23" s="73">
        <v>1</v>
      </c>
      <c r="N23" s="73"/>
      <c r="O23" s="74"/>
      <c r="P23" s="5" t="str">
        <f t="shared" si="0"/>
        <v>1</v>
      </c>
      <c r="Q23" s="5" t="str">
        <f>INDEX(Торг!$I:$I,MATCH($B23,Торг!$B:$B,0))</f>
        <v>кристал авто</v>
      </c>
    </row>
    <row r="24" spans="1:17" ht="45" x14ac:dyDescent="0.25">
      <c r="A24" s="74" t="s">
        <v>7265</v>
      </c>
      <c r="B24" s="73">
        <v>251282</v>
      </c>
      <c r="C24" s="73">
        <v>186825</v>
      </c>
      <c r="D24" s="74" t="s">
        <v>6518</v>
      </c>
      <c r="E24" s="74" t="s">
        <v>7198</v>
      </c>
      <c r="F24" s="74"/>
      <c r="G24" s="74" t="s">
        <v>6517</v>
      </c>
      <c r="H24" s="74" t="s">
        <v>6517</v>
      </c>
      <c r="I24" s="74" t="s">
        <v>3</v>
      </c>
      <c r="J24" s="75">
        <v>350</v>
      </c>
      <c r="K24" s="75">
        <v>589</v>
      </c>
      <c r="L24" s="74"/>
      <c r="M24" s="73">
        <v>1</v>
      </c>
      <c r="N24" s="73"/>
      <c r="O24" s="74"/>
      <c r="P24" s="5" t="str">
        <f t="shared" si="0"/>
        <v>1</v>
      </c>
      <c r="Q24" s="5" t="str">
        <f>INDEX(Торг!$I:$I,MATCH($B24,Торг!$B:$B,0))</f>
        <v>кристал авто</v>
      </c>
    </row>
    <row r="25" spans="1:17" ht="45" x14ac:dyDescent="0.25">
      <c r="A25" s="74" t="s">
        <v>7265</v>
      </c>
      <c r="B25" s="73">
        <v>251283</v>
      </c>
      <c r="C25" s="73">
        <v>186827</v>
      </c>
      <c r="D25" s="74" t="s">
        <v>6516</v>
      </c>
      <c r="E25" s="74" t="s">
        <v>7198</v>
      </c>
      <c r="F25" s="74"/>
      <c r="G25" s="74" t="s">
        <v>6515</v>
      </c>
      <c r="H25" s="74" t="s">
        <v>6515</v>
      </c>
      <c r="I25" s="74" t="s">
        <v>3</v>
      </c>
      <c r="J25" s="75">
        <v>350</v>
      </c>
      <c r="K25" s="75">
        <v>589</v>
      </c>
      <c r="L25" s="74"/>
      <c r="M25" s="73">
        <v>1</v>
      </c>
      <c r="N25" s="73"/>
      <c r="O25" s="74"/>
      <c r="P25" s="5" t="str">
        <f t="shared" si="0"/>
        <v>1</v>
      </c>
      <c r="Q25" s="5" t="str">
        <f>INDEX(Торг!$I:$I,MATCH($B25,Торг!$B:$B,0))</f>
        <v>кристал авто</v>
      </c>
    </row>
    <row r="26" spans="1:17" ht="45" x14ac:dyDescent="0.25">
      <c r="A26" s="74" t="s">
        <v>7265</v>
      </c>
      <c r="B26" s="73">
        <v>251284</v>
      </c>
      <c r="C26" s="73">
        <v>186815</v>
      </c>
      <c r="D26" s="74" t="s">
        <v>6514</v>
      </c>
      <c r="E26" s="74" t="s">
        <v>7198</v>
      </c>
      <c r="F26" s="74"/>
      <c r="G26" s="74" t="s">
        <v>6513</v>
      </c>
      <c r="H26" s="74" t="s">
        <v>6513</v>
      </c>
      <c r="I26" s="74" t="s">
        <v>3</v>
      </c>
      <c r="J26" s="75">
        <v>350</v>
      </c>
      <c r="K26" s="75">
        <v>589</v>
      </c>
      <c r="L26" s="74"/>
      <c r="M26" s="73">
        <v>1</v>
      </c>
      <c r="N26" s="73"/>
      <c r="O26" s="74"/>
      <c r="P26" s="5" t="str">
        <f t="shared" si="0"/>
        <v>1</v>
      </c>
      <c r="Q26" s="5" t="str">
        <f>INDEX(Торг!$I:$I,MATCH($B26,Торг!$B:$B,0))</f>
        <v>кристал авто</v>
      </c>
    </row>
    <row r="27" spans="1:17" ht="45" x14ac:dyDescent="0.25">
      <c r="A27" s="74" t="s">
        <v>7265</v>
      </c>
      <c r="B27" s="73">
        <v>251285</v>
      </c>
      <c r="C27" s="73">
        <v>186816</v>
      </c>
      <c r="D27" s="74" t="s">
        <v>6512</v>
      </c>
      <c r="E27" s="74" t="s">
        <v>7198</v>
      </c>
      <c r="F27" s="74"/>
      <c r="G27" s="74" t="s">
        <v>6511</v>
      </c>
      <c r="H27" s="74" t="s">
        <v>6511</v>
      </c>
      <c r="I27" s="74" t="s">
        <v>3</v>
      </c>
      <c r="J27" s="75">
        <v>350</v>
      </c>
      <c r="K27" s="75">
        <v>589</v>
      </c>
      <c r="L27" s="74"/>
      <c r="M27" s="73">
        <v>1</v>
      </c>
      <c r="N27" s="73"/>
      <c r="O27" s="74"/>
      <c r="P27" s="5" t="str">
        <f t="shared" si="0"/>
        <v>1</v>
      </c>
      <c r="Q27" s="5" t="str">
        <f>INDEX(Торг!$I:$I,MATCH($B27,Торг!$B:$B,0))</f>
        <v>кристал авто</v>
      </c>
    </row>
    <row r="28" spans="1:17" ht="45" x14ac:dyDescent="0.25">
      <c r="A28" s="74" t="s">
        <v>7265</v>
      </c>
      <c r="B28" s="73">
        <v>251286</v>
      </c>
      <c r="C28" s="73">
        <v>186817</v>
      </c>
      <c r="D28" s="74" t="s">
        <v>6510</v>
      </c>
      <c r="E28" s="74" t="s">
        <v>7198</v>
      </c>
      <c r="F28" s="74"/>
      <c r="G28" s="74" t="s">
        <v>6509</v>
      </c>
      <c r="H28" s="74" t="s">
        <v>6509</v>
      </c>
      <c r="I28" s="74" t="s">
        <v>3</v>
      </c>
      <c r="J28" s="75">
        <v>350</v>
      </c>
      <c r="K28" s="75">
        <v>589</v>
      </c>
      <c r="L28" s="74"/>
      <c r="M28" s="73">
        <v>1</v>
      </c>
      <c r="N28" s="73"/>
      <c r="O28" s="74"/>
      <c r="P28" s="5" t="str">
        <f t="shared" si="0"/>
        <v>1</v>
      </c>
      <c r="Q28" s="5" t="str">
        <f>INDEX(Торг!$I:$I,MATCH($B28,Торг!$B:$B,0))</f>
        <v>кристал авто</v>
      </c>
    </row>
    <row r="29" spans="1:17" ht="45" x14ac:dyDescent="0.25">
      <c r="A29" s="74" t="s">
        <v>7265</v>
      </c>
      <c r="B29" s="73">
        <v>251287</v>
      </c>
      <c r="C29" s="73">
        <v>186818</v>
      </c>
      <c r="D29" s="74" t="s">
        <v>6508</v>
      </c>
      <c r="E29" s="74" t="s">
        <v>7198</v>
      </c>
      <c r="F29" s="74"/>
      <c r="G29" s="74" t="s">
        <v>6507</v>
      </c>
      <c r="H29" s="74" t="s">
        <v>6507</v>
      </c>
      <c r="I29" s="74" t="s">
        <v>3</v>
      </c>
      <c r="J29" s="75">
        <v>350</v>
      </c>
      <c r="K29" s="75">
        <v>589</v>
      </c>
      <c r="L29" s="74"/>
      <c r="M29" s="73">
        <v>1</v>
      </c>
      <c r="N29" s="73"/>
      <c r="O29" s="74"/>
      <c r="P29" s="5" t="str">
        <f t="shared" si="0"/>
        <v>1</v>
      </c>
      <c r="Q29" s="5" t="str">
        <f>INDEX(Торг!$I:$I,MATCH($B29,Торг!$B:$B,0))</f>
        <v>кристал авто</v>
      </c>
    </row>
    <row r="30" spans="1:17" ht="45" x14ac:dyDescent="0.25">
      <c r="A30" s="74" t="s">
        <v>7265</v>
      </c>
      <c r="B30" s="73">
        <v>251288</v>
      </c>
      <c r="C30" s="73">
        <v>186824</v>
      </c>
      <c r="D30" s="74" t="s">
        <v>6506</v>
      </c>
      <c r="E30" s="74" t="s">
        <v>7198</v>
      </c>
      <c r="F30" s="74"/>
      <c r="G30" s="74" t="s">
        <v>6505</v>
      </c>
      <c r="H30" s="74" t="s">
        <v>6505</v>
      </c>
      <c r="I30" s="74" t="s">
        <v>3</v>
      </c>
      <c r="J30" s="75">
        <v>350</v>
      </c>
      <c r="K30" s="75">
        <v>589</v>
      </c>
      <c r="L30" s="74"/>
      <c r="M30" s="73">
        <v>1</v>
      </c>
      <c r="N30" s="73"/>
      <c r="O30" s="74"/>
      <c r="P30" s="5" t="str">
        <f t="shared" si="0"/>
        <v>1</v>
      </c>
      <c r="Q30" s="5" t="str">
        <f>INDEX(Торг!$I:$I,MATCH($B30,Торг!$B:$B,0))</f>
        <v>кристал авто</v>
      </c>
    </row>
    <row r="31" spans="1:17" ht="45" x14ac:dyDescent="0.25">
      <c r="A31" s="74" t="s">
        <v>7265</v>
      </c>
      <c r="B31" s="73">
        <v>251289</v>
      </c>
      <c r="C31" s="73">
        <v>186826</v>
      </c>
      <c r="D31" s="74" t="s">
        <v>6504</v>
      </c>
      <c r="E31" s="74" t="s">
        <v>7198</v>
      </c>
      <c r="F31" s="74"/>
      <c r="G31" s="74" t="s">
        <v>6503</v>
      </c>
      <c r="H31" s="74" t="s">
        <v>6503</v>
      </c>
      <c r="I31" s="74" t="s">
        <v>3</v>
      </c>
      <c r="J31" s="75">
        <v>350</v>
      </c>
      <c r="K31" s="75">
        <v>589</v>
      </c>
      <c r="L31" s="74"/>
      <c r="M31" s="73">
        <v>1</v>
      </c>
      <c r="N31" s="73"/>
      <c r="O31" s="74"/>
      <c r="P31" s="5" t="str">
        <f t="shared" si="0"/>
        <v>1</v>
      </c>
      <c r="Q31" s="5" t="str">
        <f>INDEX(Торг!$I:$I,MATCH($B31,Торг!$B:$B,0))</f>
        <v>кристал авто</v>
      </c>
    </row>
    <row r="32" spans="1:17" ht="45" x14ac:dyDescent="0.25">
      <c r="A32" s="74" t="s">
        <v>7265</v>
      </c>
      <c r="B32" s="73">
        <v>251290</v>
      </c>
      <c r="C32" s="73">
        <v>186819</v>
      </c>
      <c r="D32" s="74" t="s">
        <v>6502</v>
      </c>
      <c r="E32" s="74" t="s">
        <v>7198</v>
      </c>
      <c r="F32" s="74"/>
      <c r="G32" s="74" t="s">
        <v>6501</v>
      </c>
      <c r="H32" s="74" t="s">
        <v>6501</v>
      </c>
      <c r="I32" s="74" t="s">
        <v>3</v>
      </c>
      <c r="J32" s="75">
        <v>350</v>
      </c>
      <c r="K32" s="75">
        <v>589</v>
      </c>
      <c r="L32" s="74"/>
      <c r="M32" s="73">
        <v>1</v>
      </c>
      <c r="N32" s="73"/>
      <c r="O32" s="74"/>
      <c r="P32" s="5" t="str">
        <f t="shared" si="0"/>
        <v>1</v>
      </c>
      <c r="Q32" s="5" t="str">
        <f>INDEX(Торг!$I:$I,MATCH($B32,Торг!$B:$B,0))</f>
        <v>кристал авто</v>
      </c>
    </row>
    <row r="33" spans="1:17" ht="45" x14ac:dyDescent="0.25">
      <c r="A33" s="74" t="s">
        <v>7265</v>
      </c>
      <c r="B33" s="73">
        <v>251291</v>
      </c>
      <c r="C33" s="73">
        <v>186820</v>
      </c>
      <c r="D33" s="74" t="s">
        <v>6500</v>
      </c>
      <c r="E33" s="74" t="s">
        <v>7198</v>
      </c>
      <c r="F33" s="74"/>
      <c r="G33" s="74" t="s">
        <v>6499</v>
      </c>
      <c r="H33" s="74" t="s">
        <v>6499</v>
      </c>
      <c r="I33" s="74" t="s">
        <v>3</v>
      </c>
      <c r="J33" s="75">
        <v>350</v>
      </c>
      <c r="K33" s="75">
        <v>589</v>
      </c>
      <c r="L33" s="74"/>
      <c r="M33" s="73">
        <v>1</v>
      </c>
      <c r="N33" s="73"/>
      <c r="O33" s="74"/>
      <c r="P33" s="5" t="str">
        <f t="shared" ref="P33:P53" si="1">_xlfn.CONCAT(M33,IF(N33&lt;&gt;"",_xlfn.CONCAT("ск",N33),""))</f>
        <v>1</v>
      </c>
      <c r="Q33" s="5" t="str">
        <f>INDEX(Торг!$I:$I,MATCH($B33,Торг!$B:$B,0))</f>
        <v>кристал авто</v>
      </c>
    </row>
    <row r="34" spans="1:17" ht="45" x14ac:dyDescent="0.25">
      <c r="A34" s="74" t="s">
        <v>7265</v>
      </c>
      <c r="B34" s="73">
        <v>251292</v>
      </c>
      <c r="C34" s="73">
        <v>186821</v>
      </c>
      <c r="D34" s="74" t="s">
        <v>6498</v>
      </c>
      <c r="E34" s="74" t="s">
        <v>7198</v>
      </c>
      <c r="F34" s="74"/>
      <c r="G34" s="74" t="s">
        <v>6497</v>
      </c>
      <c r="H34" s="74" t="s">
        <v>6497</v>
      </c>
      <c r="I34" s="74" t="s">
        <v>3</v>
      </c>
      <c r="J34" s="75">
        <v>350</v>
      </c>
      <c r="K34" s="75">
        <v>589</v>
      </c>
      <c r="L34" s="74"/>
      <c r="M34" s="73">
        <v>1</v>
      </c>
      <c r="N34" s="73"/>
      <c r="O34" s="74"/>
      <c r="P34" s="5" t="str">
        <f t="shared" si="1"/>
        <v>1</v>
      </c>
      <c r="Q34" s="5" t="str">
        <f>INDEX(Торг!$I:$I,MATCH($B34,Торг!$B:$B,0))</f>
        <v>кристал авто</v>
      </c>
    </row>
    <row r="35" spans="1:17" ht="45" x14ac:dyDescent="0.25">
      <c r="A35" s="74" t="s">
        <v>7265</v>
      </c>
      <c r="B35" s="73">
        <v>251293</v>
      </c>
      <c r="C35" s="73">
        <v>186828</v>
      </c>
      <c r="D35" s="74" t="s">
        <v>6496</v>
      </c>
      <c r="E35" s="74" t="s">
        <v>7198</v>
      </c>
      <c r="F35" s="74"/>
      <c r="G35" s="74" t="s">
        <v>6495</v>
      </c>
      <c r="H35" s="74" t="s">
        <v>6495</v>
      </c>
      <c r="I35" s="74" t="s">
        <v>3</v>
      </c>
      <c r="J35" s="75">
        <v>350</v>
      </c>
      <c r="K35" s="75">
        <v>589</v>
      </c>
      <c r="L35" s="74"/>
      <c r="M35" s="73">
        <v>1</v>
      </c>
      <c r="N35" s="73"/>
      <c r="O35" s="74"/>
      <c r="P35" s="5" t="str">
        <f t="shared" si="1"/>
        <v>1</v>
      </c>
      <c r="Q35" s="5" t="str">
        <f>INDEX(Торг!$I:$I,MATCH($B35,Торг!$B:$B,0))</f>
        <v>кристал авто</v>
      </c>
    </row>
    <row r="36" spans="1:17" ht="45" x14ac:dyDescent="0.25">
      <c r="A36" s="74" t="s">
        <v>7265</v>
      </c>
      <c r="B36" s="73">
        <v>251294</v>
      </c>
      <c r="C36" s="73">
        <v>186822</v>
      </c>
      <c r="D36" s="74" t="s">
        <v>6494</v>
      </c>
      <c r="E36" s="74" t="s">
        <v>7198</v>
      </c>
      <c r="F36" s="74"/>
      <c r="G36" s="74" t="s">
        <v>6493</v>
      </c>
      <c r="H36" s="74" t="s">
        <v>6493</v>
      </c>
      <c r="I36" s="74" t="s">
        <v>3</v>
      </c>
      <c r="J36" s="75">
        <v>350</v>
      </c>
      <c r="K36" s="75">
        <v>589</v>
      </c>
      <c r="L36" s="74"/>
      <c r="M36" s="73">
        <v>1</v>
      </c>
      <c r="N36" s="73"/>
      <c r="O36" s="74"/>
      <c r="P36" s="5" t="str">
        <f t="shared" si="1"/>
        <v>1</v>
      </c>
      <c r="Q36" s="5" t="str">
        <f>INDEX(Торг!$I:$I,MATCH($B36,Торг!$B:$B,0))</f>
        <v>кристал авто</v>
      </c>
    </row>
    <row r="37" spans="1:17" ht="45" x14ac:dyDescent="0.25">
      <c r="A37" s="74" t="s">
        <v>7265</v>
      </c>
      <c r="B37" s="73">
        <v>251295</v>
      </c>
      <c r="C37" s="73">
        <v>186823</v>
      </c>
      <c r="D37" s="74" t="s">
        <v>6492</v>
      </c>
      <c r="E37" s="74" t="s">
        <v>7198</v>
      </c>
      <c r="F37" s="74"/>
      <c r="G37" s="74" t="s">
        <v>6491</v>
      </c>
      <c r="H37" s="74" t="s">
        <v>6491</v>
      </c>
      <c r="I37" s="74" t="s">
        <v>3</v>
      </c>
      <c r="J37" s="75">
        <v>350</v>
      </c>
      <c r="K37" s="75">
        <v>589</v>
      </c>
      <c r="L37" s="74"/>
      <c r="M37" s="73">
        <v>1</v>
      </c>
      <c r="N37" s="73"/>
      <c r="O37" s="74"/>
      <c r="P37" s="5" t="str">
        <f t="shared" si="1"/>
        <v>1</v>
      </c>
      <c r="Q37" s="5" t="str">
        <f>INDEX(Торг!$I:$I,MATCH($B37,Торг!$B:$B,0))</f>
        <v>кристал авто</v>
      </c>
    </row>
    <row r="38" spans="1:17" ht="45" x14ac:dyDescent="0.25">
      <c r="A38" s="74" t="s">
        <v>7266</v>
      </c>
      <c r="B38" s="73">
        <v>242730</v>
      </c>
      <c r="C38" s="73">
        <v>175486</v>
      </c>
      <c r="D38" s="74" t="s">
        <v>6523</v>
      </c>
      <c r="E38" s="74" t="s">
        <v>7198</v>
      </c>
      <c r="F38" s="74"/>
      <c r="G38" s="74"/>
      <c r="H38" s="74"/>
      <c r="I38" s="74" t="s">
        <v>3</v>
      </c>
      <c r="J38" s="75"/>
      <c r="K38" s="75">
        <v>590</v>
      </c>
      <c r="L38" s="74"/>
      <c r="M38" s="73">
        <v>1</v>
      </c>
      <c r="N38" s="73"/>
      <c r="O38" s="74"/>
      <c r="P38" s="5" t="str">
        <f t="shared" si="1"/>
        <v>1</v>
      </c>
      <c r="Q38" s="5" t="str">
        <f>INDEX(Торг!$I:$I,MATCH($B38,Торг!$B:$B,0))</f>
        <v>кристал авто</v>
      </c>
    </row>
    <row r="39" spans="1:17" ht="45" x14ac:dyDescent="0.25">
      <c r="A39" s="74" t="s">
        <v>7266</v>
      </c>
      <c r="B39" s="73">
        <v>242732</v>
      </c>
      <c r="C39" s="73">
        <v>175487</v>
      </c>
      <c r="D39" s="74" t="s">
        <v>6522</v>
      </c>
      <c r="E39" s="74" t="s">
        <v>7198</v>
      </c>
      <c r="F39" s="74"/>
      <c r="G39" s="74"/>
      <c r="H39" s="74"/>
      <c r="I39" s="74" t="s">
        <v>3</v>
      </c>
      <c r="J39" s="75"/>
      <c r="K39" s="75">
        <v>590</v>
      </c>
      <c r="L39" s="74"/>
      <c r="M39" s="73">
        <v>1</v>
      </c>
      <c r="N39" s="73"/>
      <c r="O39" s="74"/>
      <c r="P39" s="5" t="str">
        <f t="shared" si="1"/>
        <v>1</v>
      </c>
      <c r="Q39" s="5" t="str">
        <f>INDEX(Торг!$I:$I,MATCH($B39,Торг!$B:$B,0))</f>
        <v>кристал авто</v>
      </c>
    </row>
    <row r="40" spans="1:17" ht="45" x14ac:dyDescent="0.25">
      <c r="A40" s="74" t="s">
        <v>7266</v>
      </c>
      <c r="B40" s="73">
        <v>242739</v>
      </c>
      <c r="C40" s="73">
        <v>175485</v>
      </c>
      <c r="D40" s="74" t="s">
        <v>6521</v>
      </c>
      <c r="E40" s="74" t="s">
        <v>7198</v>
      </c>
      <c r="F40" s="74"/>
      <c r="G40" s="74"/>
      <c r="H40" s="74"/>
      <c r="I40" s="74" t="s">
        <v>3</v>
      </c>
      <c r="J40" s="75"/>
      <c r="K40" s="75">
        <v>590</v>
      </c>
      <c r="L40" s="74"/>
      <c r="M40" s="73">
        <v>1</v>
      </c>
      <c r="N40" s="73"/>
      <c r="O40" s="74"/>
      <c r="P40" s="5" t="str">
        <f t="shared" si="1"/>
        <v>1</v>
      </c>
      <c r="Q40" s="5" t="str">
        <f>INDEX(Торг!$I:$I,MATCH($B40,Торг!$B:$B,0))</f>
        <v>кристал авто</v>
      </c>
    </row>
    <row r="41" spans="1:17" ht="60" x14ac:dyDescent="0.25">
      <c r="A41" s="74" t="s">
        <v>7266</v>
      </c>
      <c r="B41" s="73">
        <v>274105</v>
      </c>
      <c r="C41" s="73">
        <v>175493</v>
      </c>
      <c r="D41" s="74" t="s">
        <v>7267</v>
      </c>
      <c r="E41" s="74" t="s">
        <v>7198</v>
      </c>
      <c r="F41" s="74"/>
      <c r="G41" s="74"/>
      <c r="H41" s="74"/>
      <c r="I41" s="74" t="s">
        <v>3</v>
      </c>
      <c r="J41" s="75"/>
      <c r="K41" s="75">
        <v>590</v>
      </c>
      <c r="L41" s="74"/>
      <c r="M41" s="73">
        <v>1</v>
      </c>
      <c r="N41" s="73"/>
      <c r="O41" s="74"/>
      <c r="P41" s="5" t="str">
        <f t="shared" si="1"/>
        <v>1</v>
      </c>
      <c r="Q41" s="5" t="str">
        <f>INDEX(Торг!$I:$I,MATCH($B41,Торг!$B:$B,0))</f>
        <v>кристал авто</v>
      </c>
    </row>
    <row r="42" spans="1:17" ht="60" x14ac:dyDescent="0.25">
      <c r="A42" s="74" t="s">
        <v>7266</v>
      </c>
      <c r="B42" s="73">
        <v>274106</v>
      </c>
      <c r="C42" s="73">
        <v>175500</v>
      </c>
      <c r="D42" s="74" t="s">
        <v>7268</v>
      </c>
      <c r="E42" s="74" t="s">
        <v>7198</v>
      </c>
      <c r="F42" s="74"/>
      <c r="G42" s="74"/>
      <c r="H42" s="74"/>
      <c r="I42" s="74" t="s">
        <v>3</v>
      </c>
      <c r="J42" s="75"/>
      <c r="K42" s="75">
        <v>590</v>
      </c>
      <c r="L42" s="74"/>
      <c r="M42" s="73">
        <v>1</v>
      </c>
      <c r="N42" s="73"/>
      <c r="O42" s="74"/>
      <c r="P42" s="5" t="str">
        <f t="shared" si="1"/>
        <v>1</v>
      </c>
      <c r="Q42" s="5" t="str">
        <f>INDEX(Торг!$I:$I,MATCH($B42,Торг!$B:$B,0))</f>
        <v>кристал авто</v>
      </c>
    </row>
    <row r="43" spans="1:17" ht="60" x14ac:dyDescent="0.25">
      <c r="A43" s="74" t="s">
        <v>7266</v>
      </c>
      <c r="B43" s="73">
        <v>274107</v>
      </c>
      <c r="C43" s="73">
        <v>175497</v>
      </c>
      <c r="D43" s="74" t="s">
        <v>7269</v>
      </c>
      <c r="E43" s="74" t="s">
        <v>7198</v>
      </c>
      <c r="F43" s="74"/>
      <c r="G43" s="74"/>
      <c r="H43" s="74"/>
      <c r="I43" s="74" t="s">
        <v>3</v>
      </c>
      <c r="J43" s="75"/>
      <c r="K43" s="75">
        <v>590</v>
      </c>
      <c r="L43" s="74"/>
      <c r="M43" s="73">
        <v>1</v>
      </c>
      <c r="N43" s="73"/>
      <c r="O43" s="74"/>
      <c r="P43" s="5" t="str">
        <f t="shared" si="1"/>
        <v>1</v>
      </c>
      <c r="Q43" s="5" t="str">
        <f>INDEX(Торг!$I:$I,MATCH($B43,Торг!$B:$B,0))</f>
        <v>кристал авто</v>
      </c>
    </row>
    <row r="44" spans="1:17" ht="60" x14ac:dyDescent="0.25">
      <c r="A44" s="74" t="s">
        <v>7266</v>
      </c>
      <c r="B44" s="73">
        <v>274108</v>
      </c>
      <c r="C44" s="73">
        <v>175498</v>
      </c>
      <c r="D44" s="74" t="s">
        <v>7270</v>
      </c>
      <c r="E44" s="74" t="s">
        <v>7198</v>
      </c>
      <c r="F44" s="74"/>
      <c r="G44" s="74"/>
      <c r="H44" s="74"/>
      <c r="I44" s="74" t="s">
        <v>3</v>
      </c>
      <c r="J44" s="75"/>
      <c r="K44" s="75">
        <v>590</v>
      </c>
      <c r="L44" s="74"/>
      <c r="M44" s="73">
        <v>1</v>
      </c>
      <c r="N44" s="73"/>
      <c r="O44" s="74"/>
      <c r="P44" s="5" t="str">
        <f t="shared" si="1"/>
        <v>1</v>
      </c>
      <c r="Q44" s="5" t="str">
        <f>INDEX(Торг!$I:$I,MATCH($B44,Торг!$B:$B,0))</f>
        <v>кристал авто</v>
      </c>
    </row>
    <row r="45" spans="1:17" ht="60" x14ac:dyDescent="0.25">
      <c r="A45" s="74" t="s">
        <v>7266</v>
      </c>
      <c r="B45" s="73">
        <v>274109</v>
      </c>
      <c r="C45" s="73">
        <v>175494</v>
      </c>
      <c r="D45" s="74" t="s">
        <v>7271</v>
      </c>
      <c r="E45" s="74" t="s">
        <v>7198</v>
      </c>
      <c r="F45" s="74"/>
      <c r="G45" s="74"/>
      <c r="H45" s="74"/>
      <c r="I45" s="74" t="s">
        <v>3</v>
      </c>
      <c r="J45" s="75"/>
      <c r="K45" s="75">
        <v>590</v>
      </c>
      <c r="L45" s="74"/>
      <c r="M45" s="73">
        <v>1</v>
      </c>
      <c r="N45" s="73"/>
      <c r="O45" s="74"/>
      <c r="P45" s="5" t="str">
        <f t="shared" si="1"/>
        <v>1</v>
      </c>
      <c r="Q45" s="5" t="str">
        <f>INDEX(Торг!$I:$I,MATCH($B45,Торг!$B:$B,0))</f>
        <v>кристал авто</v>
      </c>
    </row>
    <row r="46" spans="1:17" ht="60" x14ac:dyDescent="0.25">
      <c r="A46" s="74" t="s">
        <v>7266</v>
      </c>
      <c r="B46" s="73">
        <v>274110</v>
      </c>
      <c r="C46" s="73">
        <v>175495</v>
      </c>
      <c r="D46" s="74" t="s">
        <v>7272</v>
      </c>
      <c r="E46" s="74" t="s">
        <v>7198</v>
      </c>
      <c r="F46" s="74"/>
      <c r="G46" s="74"/>
      <c r="H46" s="74"/>
      <c r="I46" s="74" t="s">
        <v>3</v>
      </c>
      <c r="J46" s="75"/>
      <c r="K46" s="75">
        <v>590</v>
      </c>
      <c r="L46" s="74"/>
      <c r="M46" s="73">
        <v>1</v>
      </c>
      <c r="N46" s="73"/>
      <c r="O46" s="74"/>
      <c r="P46" s="5" t="str">
        <f t="shared" si="1"/>
        <v>1</v>
      </c>
      <c r="Q46" s="5" t="str">
        <f>INDEX(Торг!$I:$I,MATCH($B46,Торг!$B:$B,0))</f>
        <v>кристал авто</v>
      </c>
    </row>
    <row r="47" spans="1:17" ht="60" x14ac:dyDescent="0.25">
      <c r="A47" s="74" t="s">
        <v>7266</v>
      </c>
      <c r="B47" s="73">
        <v>274111</v>
      </c>
      <c r="C47" s="73">
        <v>175491</v>
      </c>
      <c r="D47" s="74" t="s">
        <v>7273</v>
      </c>
      <c r="E47" s="74" t="s">
        <v>7198</v>
      </c>
      <c r="F47" s="74"/>
      <c r="G47" s="74"/>
      <c r="H47" s="74"/>
      <c r="I47" s="74" t="s">
        <v>3</v>
      </c>
      <c r="J47" s="75"/>
      <c r="K47" s="75">
        <v>590</v>
      </c>
      <c r="L47" s="74"/>
      <c r="M47" s="73">
        <v>1</v>
      </c>
      <c r="N47" s="73"/>
      <c r="O47" s="74"/>
      <c r="P47" s="5" t="str">
        <f t="shared" si="1"/>
        <v>1</v>
      </c>
      <c r="Q47" s="5" t="str">
        <f>INDEX(Торг!$I:$I,MATCH($B47,Торг!$B:$B,0))</f>
        <v>кристал авто</v>
      </c>
    </row>
    <row r="48" spans="1:17" ht="45" x14ac:dyDescent="0.25">
      <c r="A48" s="74" t="s">
        <v>7266</v>
      </c>
      <c r="B48" s="73">
        <v>274112</v>
      </c>
      <c r="C48" s="73">
        <v>175492</v>
      </c>
      <c r="D48" s="74" t="s">
        <v>7274</v>
      </c>
      <c r="E48" s="74" t="s">
        <v>7198</v>
      </c>
      <c r="F48" s="74"/>
      <c r="G48" s="74"/>
      <c r="H48" s="74"/>
      <c r="I48" s="74" t="s">
        <v>3</v>
      </c>
      <c r="J48" s="75"/>
      <c r="K48" s="75">
        <v>590</v>
      </c>
      <c r="L48" s="74"/>
      <c r="M48" s="73">
        <v>1</v>
      </c>
      <c r="N48" s="73"/>
      <c r="O48" s="74"/>
      <c r="P48" s="5" t="str">
        <f t="shared" si="1"/>
        <v>1</v>
      </c>
      <c r="Q48" s="5" t="str">
        <f>INDEX(Торг!$I:$I,MATCH($B48,Торг!$B:$B,0))</f>
        <v>кристал авто</v>
      </c>
    </row>
    <row r="49" spans="1:17" ht="45" x14ac:dyDescent="0.25">
      <c r="A49" s="74" t="s">
        <v>7266</v>
      </c>
      <c r="B49" s="73">
        <v>274113</v>
      </c>
      <c r="C49" s="73">
        <v>175489</v>
      </c>
      <c r="D49" s="74" t="s">
        <v>7275</v>
      </c>
      <c r="E49" s="74" t="s">
        <v>7198</v>
      </c>
      <c r="F49" s="74"/>
      <c r="G49" s="74"/>
      <c r="H49" s="74"/>
      <c r="I49" s="74" t="s">
        <v>3</v>
      </c>
      <c r="J49" s="75"/>
      <c r="K49" s="75">
        <v>590</v>
      </c>
      <c r="L49" s="74"/>
      <c r="M49" s="73">
        <v>1</v>
      </c>
      <c r="N49" s="73"/>
      <c r="O49" s="74"/>
      <c r="P49" s="5" t="str">
        <f t="shared" si="1"/>
        <v>1</v>
      </c>
      <c r="Q49" s="5" t="str">
        <f>INDEX(Торг!$I:$I,MATCH($B49,Торг!$B:$B,0))</f>
        <v>кристал авто</v>
      </c>
    </row>
    <row r="50" spans="1:17" ht="45" x14ac:dyDescent="0.25">
      <c r="A50" s="74" t="s">
        <v>7266</v>
      </c>
      <c r="B50" s="73">
        <v>274114</v>
      </c>
      <c r="C50" s="73">
        <v>175499</v>
      </c>
      <c r="D50" s="74" t="s">
        <v>7276</v>
      </c>
      <c r="E50" s="74" t="s">
        <v>7198</v>
      </c>
      <c r="F50" s="74"/>
      <c r="G50" s="74"/>
      <c r="H50" s="74"/>
      <c r="I50" s="74" t="s">
        <v>3</v>
      </c>
      <c r="J50" s="75"/>
      <c r="K50" s="75">
        <v>590</v>
      </c>
      <c r="L50" s="74"/>
      <c r="M50" s="73">
        <v>1</v>
      </c>
      <c r="N50" s="73"/>
      <c r="O50" s="74"/>
      <c r="P50" s="5" t="str">
        <f t="shared" si="1"/>
        <v>1</v>
      </c>
      <c r="Q50" s="5" t="str">
        <f>INDEX(Торг!$I:$I,MATCH($B50,Торг!$B:$B,0))</f>
        <v>кристал авто</v>
      </c>
    </row>
    <row r="51" spans="1:17" ht="60" x14ac:dyDescent="0.25">
      <c r="A51" s="74" t="s">
        <v>7266</v>
      </c>
      <c r="B51" s="73">
        <v>274115</v>
      </c>
      <c r="C51" s="73">
        <v>175488</v>
      </c>
      <c r="D51" s="74" t="s">
        <v>7277</v>
      </c>
      <c r="E51" s="74" t="s">
        <v>7198</v>
      </c>
      <c r="F51" s="74"/>
      <c r="G51" s="74"/>
      <c r="H51" s="74"/>
      <c r="I51" s="74" t="s">
        <v>3</v>
      </c>
      <c r="J51" s="75"/>
      <c r="K51" s="75">
        <v>590</v>
      </c>
      <c r="L51" s="74"/>
      <c r="M51" s="73">
        <v>1</v>
      </c>
      <c r="N51" s="73"/>
      <c r="O51" s="74"/>
      <c r="P51" s="5" t="str">
        <f t="shared" si="1"/>
        <v>1</v>
      </c>
      <c r="Q51" s="5" t="str">
        <f>INDEX(Торг!$I:$I,MATCH($B51,Торг!$B:$B,0))</f>
        <v>кристал авто</v>
      </c>
    </row>
    <row r="52" spans="1:17" ht="45" x14ac:dyDescent="0.25">
      <c r="A52" s="74" t="s">
        <v>7266</v>
      </c>
      <c r="B52" s="73">
        <v>274116</v>
      </c>
      <c r="C52" s="73">
        <v>175490</v>
      </c>
      <c r="D52" s="74" t="s">
        <v>7278</v>
      </c>
      <c r="E52" s="74" t="s">
        <v>7198</v>
      </c>
      <c r="F52" s="74"/>
      <c r="G52" s="74"/>
      <c r="H52" s="74"/>
      <c r="I52" s="74" t="s">
        <v>3</v>
      </c>
      <c r="J52" s="75"/>
      <c r="K52" s="75">
        <v>590</v>
      </c>
      <c r="L52" s="74"/>
      <c r="M52" s="73">
        <v>1</v>
      </c>
      <c r="N52" s="73"/>
      <c r="O52" s="74"/>
      <c r="P52" s="5" t="str">
        <f t="shared" si="1"/>
        <v>1</v>
      </c>
      <c r="Q52" s="5" t="str">
        <f>INDEX(Торг!$I:$I,MATCH($B52,Торг!$B:$B,0))</f>
        <v>кристал авто</v>
      </c>
    </row>
    <row r="53" spans="1:17" ht="60" x14ac:dyDescent="0.25">
      <c r="A53" s="74" t="s">
        <v>7266</v>
      </c>
      <c r="B53" s="73">
        <v>274117</v>
      </c>
      <c r="C53" s="73">
        <v>175496</v>
      </c>
      <c r="D53" s="74" t="s">
        <v>7279</v>
      </c>
      <c r="E53" s="74" t="s">
        <v>7198</v>
      </c>
      <c r="F53" s="74"/>
      <c r="G53" s="74"/>
      <c r="H53" s="74"/>
      <c r="I53" s="74" t="s">
        <v>3</v>
      </c>
      <c r="J53" s="75"/>
      <c r="K53" s="75">
        <v>590</v>
      </c>
      <c r="L53" s="74"/>
      <c r="M53" s="73">
        <v>1</v>
      </c>
      <c r="N53" s="73"/>
      <c r="O53" s="74"/>
      <c r="P53" s="5" t="str">
        <f t="shared" si="1"/>
        <v>1</v>
      </c>
      <c r="Q53" s="5" t="str">
        <f>INDEX(Торг!$I:$I,MATCH($B53,Торг!$B:$B,0))</f>
        <v>кристал авто</v>
      </c>
    </row>
  </sheetData>
  <sheetProtection formatCells="0" formatColumns="0" formatRows="0" insertColumns="0" insertRows="0" insertHyperlinks="0" deleteColumns="0" deleteRows="0" sort="0" autoFilter="0" pivotTables="0"/>
  <autoFilter ref="A1:Q53" xr:uid="{226A7DB4-C8BF-47DF-9F8D-079EBE095F04}"/>
  <pageMargins left="0.7" right="0.7" top="0.75" bottom="0.75" header="0.3" footer="0.3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3EBB-7AF3-4E1A-B3A3-B622C16F0F62}">
  <sheetPr codeName="Лист6">
    <tabColor rgb="FF92D050"/>
  </sheetPr>
  <dimension ref="A1:C373"/>
  <sheetViews>
    <sheetView topLeftCell="A348" workbookViewId="0">
      <selection activeCell="A3" sqref="A3:C373"/>
    </sheetView>
  </sheetViews>
  <sheetFormatPr defaultRowHeight="15" x14ac:dyDescent="0.25"/>
  <cols>
    <col min="1" max="1" width="7" bestFit="1" customWidth="1"/>
    <col min="2" max="2" width="8.140625" style="25" bestFit="1" customWidth="1"/>
    <col min="3" max="3" width="9.140625" style="6"/>
    <col min="4" max="16384" width="9.140625" style="44"/>
  </cols>
  <sheetData>
    <row r="1" spans="1:3" x14ac:dyDescent="0.25">
      <c r="A1" s="8"/>
      <c r="B1" s="66"/>
      <c r="C1" s="49"/>
    </row>
    <row r="2" spans="1:3" x14ac:dyDescent="0.25">
      <c r="A2" s="1" t="s">
        <v>0</v>
      </c>
      <c r="B2" s="35" t="s">
        <v>7190</v>
      </c>
      <c r="C2" s="46"/>
    </row>
    <row r="3" spans="1:3" ht="30" x14ac:dyDescent="0.25">
      <c r="A3" s="28">
        <v>131465</v>
      </c>
      <c r="B3" s="65" t="s">
        <v>8364</v>
      </c>
      <c r="C3" s="46"/>
    </row>
    <row r="4" spans="1:3" ht="30" x14ac:dyDescent="0.25">
      <c r="A4" s="28">
        <v>131498</v>
      </c>
      <c r="B4" s="65" t="s">
        <v>8364</v>
      </c>
      <c r="C4" s="46"/>
    </row>
    <row r="5" spans="1:3" x14ac:dyDescent="0.25">
      <c r="A5" s="28">
        <v>131834</v>
      </c>
      <c r="B5" s="65"/>
      <c r="C5" s="46"/>
    </row>
    <row r="6" spans="1:3" x14ac:dyDescent="0.25">
      <c r="A6" s="28">
        <v>131835</v>
      </c>
      <c r="B6" s="65"/>
      <c r="C6" s="46"/>
    </row>
    <row r="7" spans="1:3" x14ac:dyDescent="0.25">
      <c r="A7" s="28">
        <v>132858</v>
      </c>
      <c r="B7" s="65"/>
      <c r="C7" s="46"/>
    </row>
    <row r="8" spans="1:3" x14ac:dyDescent="0.25">
      <c r="A8" s="28">
        <v>132869</v>
      </c>
      <c r="B8" s="65">
        <v>249</v>
      </c>
      <c r="C8" s="46" t="s">
        <v>8365</v>
      </c>
    </row>
    <row r="9" spans="1:3" ht="30" x14ac:dyDescent="0.25">
      <c r="A9" s="28">
        <v>132875</v>
      </c>
      <c r="B9" s="65" t="s">
        <v>8364</v>
      </c>
      <c r="C9" s="46"/>
    </row>
    <row r="10" spans="1:3" ht="30" x14ac:dyDescent="0.25">
      <c r="A10" s="28">
        <v>132992</v>
      </c>
      <c r="B10" s="65" t="s">
        <v>8378</v>
      </c>
      <c r="C10" s="46" t="s">
        <v>8060</v>
      </c>
    </row>
    <row r="11" spans="1:3" x14ac:dyDescent="0.25">
      <c r="A11" s="28">
        <v>131496</v>
      </c>
      <c r="B11" s="40">
        <v>390</v>
      </c>
      <c r="C11" s="46" t="s">
        <v>8064</v>
      </c>
    </row>
    <row r="12" spans="1:3" x14ac:dyDescent="0.25">
      <c r="A12" s="28">
        <v>132994</v>
      </c>
      <c r="B12" s="40">
        <v>190</v>
      </c>
      <c r="C12" s="46" t="s">
        <v>8065</v>
      </c>
    </row>
    <row r="13" spans="1:3" x14ac:dyDescent="0.25">
      <c r="A13" s="28">
        <v>132995</v>
      </c>
      <c r="B13" s="40">
        <v>190</v>
      </c>
      <c r="C13" s="46" t="s">
        <v>8065</v>
      </c>
    </row>
    <row r="14" spans="1:3" x14ac:dyDescent="0.25">
      <c r="A14" s="28">
        <v>132998</v>
      </c>
      <c r="B14" s="40">
        <v>190</v>
      </c>
      <c r="C14" s="46" t="s">
        <v>8065</v>
      </c>
    </row>
    <row r="15" spans="1:3" x14ac:dyDescent="0.25">
      <c r="A15" s="28">
        <v>132999</v>
      </c>
      <c r="B15" s="40">
        <v>190</v>
      </c>
      <c r="C15" s="46" t="s">
        <v>8065</v>
      </c>
    </row>
    <row r="16" spans="1:3" x14ac:dyDescent="0.25">
      <c r="A16" s="28">
        <v>133004</v>
      </c>
      <c r="B16" s="40">
        <v>469</v>
      </c>
      <c r="C16" s="46" t="s">
        <v>8066</v>
      </c>
    </row>
    <row r="17" spans="1:3" x14ac:dyDescent="0.25">
      <c r="A17" s="28">
        <v>133005</v>
      </c>
      <c r="B17" s="40">
        <v>469</v>
      </c>
      <c r="C17" s="46" t="s">
        <v>8066</v>
      </c>
    </row>
    <row r="18" spans="1:3" x14ac:dyDescent="0.25">
      <c r="A18" s="28">
        <v>133007</v>
      </c>
      <c r="B18" s="40">
        <v>469</v>
      </c>
      <c r="C18" s="46" t="s">
        <v>8061</v>
      </c>
    </row>
    <row r="19" spans="1:3" x14ac:dyDescent="0.25">
      <c r="A19" s="28">
        <v>133008</v>
      </c>
      <c r="B19" s="40">
        <v>469</v>
      </c>
      <c r="C19" s="46" t="s">
        <v>8061</v>
      </c>
    </row>
    <row r="20" spans="1:3" x14ac:dyDescent="0.25">
      <c r="A20" s="28">
        <v>133009</v>
      </c>
      <c r="B20" s="40">
        <v>469</v>
      </c>
      <c r="C20" s="46" t="s">
        <v>8061</v>
      </c>
    </row>
    <row r="21" spans="1:3" x14ac:dyDescent="0.25">
      <c r="A21" s="28">
        <v>133010</v>
      </c>
      <c r="B21" s="40">
        <v>469</v>
      </c>
      <c r="C21" s="46" t="s">
        <v>8061</v>
      </c>
    </row>
    <row r="22" spans="1:3" x14ac:dyDescent="0.25">
      <c r="A22" s="28">
        <v>133011</v>
      </c>
      <c r="B22" s="40">
        <v>469</v>
      </c>
      <c r="C22" s="46" t="s">
        <v>8061</v>
      </c>
    </row>
    <row r="23" spans="1:3" x14ac:dyDescent="0.25">
      <c r="A23" s="28">
        <v>133012</v>
      </c>
      <c r="B23" s="40">
        <v>390</v>
      </c>
      <c r="C23" s="46" t="s">
        <v>8067</v>
      </c>
    </row>
    <row r="24" spans="1:3" x14ac:dyDescent="0.25">
      <c r="A24" s="28">
        <v>133013</v>
      </c>
      <c r="B24" s="40">
        <v>390</v>
      </c>
      <c r="C24" s="46" t="s">
        <v>8067</v>
      </c>
    </row>
    <row r="25" spans="1:3" x14ac:dyDescent="0.25">
      <c r="A25" s="28">
        <v>133014</v>
      </c>
      <c r="B25" s="40">
        <v>390</v>
      </c>
      <c r="C25" s="46" t="s">
        <v>8067</v>
      </c>
    </row>
    <row r="26" spans="1:3" x14ac:dyDescent="0.25">
      <c r="A26" s="28">
        <v>133016</v>
      </c>
      <c r="B26" s="40">
        <v>390</v>
      </c>
      <c r="C26" s="46" t="s">
        <v>8067</v>
      </c>
    </row>
    <row r="27" spans="1:3" x14ac:dyDescent="0.25">
      <c r="A27" s="28">
        <v>133017</v>
      </c>
      <c r="B27" s="40">
        <v>390</v>
      </c>
      <c r="C27" s="46" t="s">
        <v>8067</v>
      </c>
    </row>
    <row r="28" spans="1:3" x14ac:dyDescent="0.25">
      <c r="A28" s="28">
        <v>133018</v>
      </c>
      <c r="B28" s="40">
        <v>390</v>
      </c>
      <c r="C28" s="46" t="s">
        <v>8067</v>
      </c>
    </row>
    <row r="29" spans="1:3" x14ac:dyDescent="0.25">
      <c r="A29" s="28">
        <v>133019</v>
      </c>
      <c r="B29" s="40">
        <v>390</v>
      </c>
      <c r="C29" s="46" t="s">
        <v>8067</v>
      </c>
    </row>
    <row r="30" spans="1:3" x14ac:dyDescent="0.25">
      <c r="A30" s="28">
        <v>133020</v>
      </c>
      <c r="B30" s="40">
        <v>390</v>
      </c>
      <c r="C30" s="46" t="s">
        <v>8067</v>
      </c>
    </row>
    <row r="31" spans="1:3" x14ac:dyDescent="0.25">
      <c r="A31" s="28">
        <v>133021</v>
      </c>
      <c r="B31" s="40">
        <v>390</v>
      </c>
      <c r="C31" s="46" t="s">
        <v>8067</v>
      </c>
    </row>
    <row r="32" spans="1:3" x14ac:dyDescent="0.25">
      <c r="A32" s="28">
        <v>133022</v>
      </c>
      <c r="B32" s="40">
        <v>390</v>
      </c>
      <c r="C32" s="46" t="s">
        <v>8067</v>
      </c>
    </row>
    <row r="33" spans="1:3" x14ac:dyDescent="0.25">
      <c r="A33" s="28">
        <v>133023</v>
      </c>
      <c r="B33" s="40">
        <v>390</v>
      </c>
      <c r="C33" s="46" t="s">
        <v>8067</v>
      </c>
    </row>
    <row r="34" spans="1:3" x14ac:dyDescent="0.25">
      <c r="A34" s="28">
        <v>133024</v>
      </c>
      <c r="B34" s="40">
        <v>390</v>
      </c>
      <c r="C34" s="46" t="s">
        <v>8067</v>
      </c>
    </row>
    <row r="35" spans="1:3" x14ac:dyDescent="0.25">
      <c r="A35" s="28">
        <v>133025</v>
      </c>
      <c r="B35" s="40">
        <v>390</v>
      </c>
      <c r="C35" s="46" t="s">
        <v>8067</v>
      </c>
    </row>
    <row r="36" spans="1:3" x14ac:dyDescent="0.25">
      <c r="A36" s="28">
        <v>133026</v>
      </c>
      <c r="B36" s="40">
        <v>390</v>
      </c>
      <c r="C36" s="46" t="s">
        <v>8067</v>
      </c>
    </row>
    <row r="37" spans="1:3" x14ac:dyDescent="0.25">
      <c r="A37" s="28">
        <v>133029</v>
      </c>
      <c r="B37" s="40">
        <v>290</v>
      </c>
      <c r="C37" s="46" t="s">
        <v>8068</v>
      </c>
    </row>
    <row r="38" spans="1:3" x14ac:dyDescent="0.25">
      <c r="A38" s="28">
        <v>133030</v>
      </c>
      <c r="B38" s="40">
        <v>290</v>
      </c>
      <c r="C38" s="46" t="s">
        <v>8068</v>
      </c>
    </row>
    <row r="39" spans="1:3" x14ac:dyDescent="0.25">
      <c r="A39" s="28">
        <v>133031</v>
      </c>
      <c r="B39" s="40">
        <v>290</v>
      </c>
      <c r="C39" s="46" t="s">
        <v>8068</v>
      </c>
    </row>
    <row r="40" spans="1:3" x14ac:dyDescent="0.25">
      <c r="A40" s="28">
        <v>133032</v>
      </c>
      <c r="B40" s="40">
        <v>290</v>
      </c>
      <c r="C40" s="46" t="s">
        <v>8068</v>
      </c>
    </row>
    <row r="41" spans="1:3" x14ac:dyDescent="0.25">
      <c r="A41" s="28">
        <v>133033</v>
      </c>
      <c r="B41" s="40">
        <v>290</v>
      </c>
      <c r="C41" s="46" t="s">
        <v>8068</v>
      </c>
    </row>
    <row r="42" spans="1:3" x14ac:dyDescent="0.25">
      <c r="A42" s="28">
        <v>133034</v>
      </c>
      <c r="B42" s="40">
        <v>290</v>
      </c>
      <c r="C42" s="46" t="s">
        <v>8068</v>
      </c>
    </row>
    <row r="43" spans="1:3" ht="45" x14ac:dyDescent="0.25">
      <c r="A43" s="28">
        <v>133038</v>
      </c>
      <c r="B43" s="51" t="s">
        <v>8070</v>
      </c>
      <c r="C43" s="46"/>
    </row>
    <row r="44" spans="1:3" ht="45" x14ac:dyDescent="0.25">
      <c r="A44" s="28">
        <v>133039</v>
      </c>
      <c r="B44" s="51" t="s">
        <v>8070</v>
      </c>
      <c r="C44" s="46"/>
    </row>
    <row r="45" spans="1:3" ht="45" x14ac:dyDescent="0.25">
      <c r="A45" s="28">
        <v>133040</v>
      </c>
      <c r="B45" s="51" t="s">
        <v>8070</v>
      </c>
      <c r="C45" s="46"/>
    </row>
    <row r="46" spans="1:3" ht="45" x14ac:dyDescent="0.25">
      <c r="A46" s="28">
        <v>133041</v>
      </c>
      <c r="B46" s="51" t="s">
        <v>8070</v>
      </c>
      <c r="C46" s="46"/>
    </row>
    <row r="47" spans="1:3" ht="45" x14ac:dyDescent="0.25">
      <c r="A47" s="28">
        <v>133043</v>
      </c>
      <c r="B47" s="51" t="s">
        <v>8070</v>
      </c>
      <c r="C47" s="46"/>
    </row>
    <row r="48" spans="1:3" x14ac:dyDescent="0.25">
      <c r="A48" s="28">
        <v>185780</v>
      </c>
      <c r="B48" s="40">
        <v>149</v>
      </c>
      <c r="C48" s="46" t="s">
        <v>8069</v>
      </c>
    </row>
    <row r="49" spans="1:3" x14ac:dyDescent="0.25">
      <c r="A49" s="28">
        <v>185781</v>
      </c>
      <c r="B49" s="40">
        <v>149</v>
      </c>
      <c r="C49" s="46" t="s">
        <v>8069</v>
      </c>
    </row>
    <row r="50" spans="1:3" x14ac:dyDescent="0.25">
      <c r="A50" s="28">
        <v>185782</v>
      </c>
      <c r="B50" s="40">
        <v>149</v>
      </c>
      <c r="C50" s="46" t="s">
        <v>8069</v>
      </c>
    </row>
    <row r="51" spans="1:3" x14ac:dyDescent="0.25">
      <c r="A51" s="28">
        <v>185783</v>
      </c>
      <c r="B51" s="40">
        <v>149</v>
      </c>
      <c r="C51" s="46" t="s">
        <v>8069</v>
      </c>
    </row>
    <row r="52" spans="1:3" x14ac:dyDescent="0.25">
      <c r="A52" s="28">
        <v>185784</v>
      </c>
      <c r="B52" s="40">
        <v>149</v>
      </c>
      <c r="C52" s="46" t="s">
        <v>8069</v>
      </c>
    </row>
    <row r="53" spans="1:3" x14ac:dyDescent="0.25">
      <c r="A53" s="28">
        <v>185785</v>
      </c>
      <c r="B53" s="40">
        <v>149</v>
      </c>
      <c r="C53" s="46" t="s">
        <v>8069</v>
      </c>
    </row>
    <row r="54" spans="1:3" x14ac:dyDescent="0.25">
      <c r="A54" s="28">
        <v>185786</v>
      </c>
      <c r="B54" s="40">
        <v>149</v>
      </c>
      <c r="C54" s="46" t="s">
        <v>8069</v>
      </c>
    </row>
    <row r="55" spans="1:3" x14ac:dyDescent="0.25">
      <c r="A55" s="28">
        <v>185787</v>
      </c>
      <c r="B55" s="40">
        <v>149</v>
      </c>
      <c r="C55" s="46" t="s">
        <v>8069</v>
      </c>
    </row>
    <row r="56" spans="1:3" x14ac:dyDescent="0.25">
      <c r="A56" s="28">
        <v>185788</v>
      </c>
      <c r="B56" s="40">
        <v>149</v>
      </c>
      <c r="C56" s="46" t="s">
        <v>8069</v>
      </c>
    </row>
    <row r="57" spans="1:3" x14ac:dyDescent="0.25">
      <c r="A57" s="28">
        <v>185789</v>
      </c>
      <c r="B57" s="40">
        <v>149</v>
      </c>
      <c r="C57" s="46" t="s">
        <v>8069</v>
      </c>
    </row>
    <row r="58" spans="1:3" ht="45" x14ac:dyDescent="0.25">
      <c r="A58" s="28">
        <v>133035</v>
      </c>
      <c r="B58" s="51" t="s">
        <v>8070</v>
      </c>
      <c r="C58" s="46"/>
    </row>
    <row r="59" spans="1:3" ht="45" x14ac:dyDescent="0.25">
      <c r="A59" s="28">
        <v>133036</v>
      </c>
      <c r="B59" s="51" t="s">
        <v>8070</v>
      </c>
      <c r="C59" s="46"/>
    </row>
    <row r="60" spans="1:3" ht="45" x14ac:dyDescent="0.25">
      <c r="A60" s="28">
        <v>133037</v>
      </c>
      <c r="B60" s="51" t="s">
        <v>8070</v>
      </c>
      <c r="C60" s="46"/>
    </row>
    <row r="61" spans="1:3" ht="45" x14ac:dyDescent="0.25">
      <c r="A61" s="28">
        <v>133042</v>
      </c>
      <c r="B61" s="51" t="s">
        <v>8070</v>
      </c>
      <c r="C61" s="46"/>
    </row>
    <row r="62" spans="1:3" x14ac:dyDescent="0.25">
      <c r="A62" s="28">
        <v>132996</v>
      </c>
      <c r="B62" s="40">
        <v>190</v>
      </c>
      <c r="C62" s="46" t="s">
        <v>8065</v>
      </c>
    </row>
    <row r="63" spans="1:3" x14ac:dyDescent="0.25">
      <c r="A63" s="28">
        <v>132997</v>
      </c>
      <c r="B63" s="40">
        <v>190</v>
      </c>
      <c r="C63" s="46" t="s">
        <v>8065</v>
      </c>
    </row>
    <row r="64" spans="1:3" x14ac:dyDescent="0.25">
      <c r="A64" s="28">
        <v>133000</v>
      </c>
      <c r="B64" s="40">
        <v>190</v>
      </c>
      <c r="C64" s="46" t="s">
        <v>8065</v>
      </c>
    </row>
    <row r="65" spans="1:3" x14ac:dyDescent="0.25">
      <c r="A65" s="28">
        <v>133001</v>
      </c>
      <c r="B65" s="40">
        <v>469</v>
      </c>
      <c r="C65" s="46" t="s">
        <v>8066</v>
      </c>
    </row>
    <row r="66" spans="1:3" x14ac:dyDescent="0.25">
      <c r="A66" s="28">
        <v>133002</v>
      </c>
      <c r="B66" s="40">
        <v>469</v>
      </c>
      <c r="C66" s="46" t="s">
        <v>8066</v>
      </c>
    </row>
    <row r="67" spans="1:3" x14ac:dyDescent="0.25">
      <c r="A67" s="28">
        <v>133003</v>
      </c>
      <c r="B67" s="40">
        <v>469</v>
      </c>
      <c r="C67" s="46" t="s">
        <v>8066</v>
      </c>
    </row>
    <row r="68" spans="1:3" x14ac:dyDescent="0.25">
      <c r="A68" s="28">
        <v>133006</v>
      </c>
      <c r="B68" s="40">
        <v>469</v>
      </c>
      <c r="C68" s="46" t="s">
        <v>8066</v>
      </c>
    </row>
    <row r="69" spans="1:3" x14ac:dyDescent="0.25">
      <c r="A69" s="28">
        <v>133028</v>
      </c>
      <c r="B69" s="40">
        <v>290</v>
      </c>
      <c r="C69" s="46" t="s">
        <v>8068</v>
      </c>
    </row>
    <row r="70" spans="1:3" ht="30" x14ac:dyDescent="0.25">
      <c r="A70" s="28">
        <v>133027</v>
      </c>
      <c r="B70" s="65" t="s">
        <v>8364</v>
      </c>
      <c r="C70" s="46"/>
    </row>
    <row r="71" spans="1:3" x14ac:dyDescent="0.25">
      <c r="A71" s="28">
        <v>131477</v>
      </c>
      <c r="B71" s="40">
        <v>390</v>
      </c>
      <c r="C71" s="46" t="s">
        <v>8067</v>
      </c>
    </row>
    <row r="72" spans="1:3" x14ac:dyDescent="0.25">
      <c r="A72" s="28">
        <v>131470</v>
      </c>
      <c r="B72" s="40">
        <v>390</v>
      </c>
      <c r="C72" s="46" t="s">
        <v>8067</v>
      </c>
    </row>
    <row r="73" spans="1:3" x14ac:dyDescent="0.25">
      <c r="A73" s="28">
        <v>131468</v>
      </c>
      <c r="B73" s="40">
        <v>390</v>
      </c>
      <c r="C73" s="46" t="s">
        <v>8067</v>
      </c>
    </row>
    <row r="74" spans="1:3" x14ac:dyDescent="0.25">
      <c r="A74" s="28">
        <v>131469</v>
      </c>
      <c r="B74" s="40">
        <v>390</v>
      </c>
      <c r="C74" s="46" t="s">
        <v>8067</v>
      </c>
    </row>
    <row r="75" spans="1:3" x14ac:dyDescent="0.25">
      <c r="A75" s="28">
        <v>131492</v>
      </c>
      <c r="B75" s="40">
        <v>390</v>
      </c>
      <c r="C75" s="46" t="s">
        <v>8067</v>
      </c>
    </row>
    <row r="76" spans="1:3" x14ac:dyDescent="0.25">
      <c r="A76" s="28">
        <v>131471</v>
      </c>
      <c r="B76" s="40">
        <v>390</v>
      </c>
      <c r="C76" s="46" t="s">
        <v>8067</v>
      </c>
    </row>
    <row r="77" spans="1:3" x14ac:dyDescent="0.25">
      <c r="A77" s="28">
        <v>131475</v>
      </c>
      <c r="B77" s="40">
        <v>390</v>
      </c>
      <c r="C77" s="46" t="s">
        <v>8067</v>
      </c>
    </row>
    <row r="78" spans="1:3" x14ac:dyDescent="0.25">
      <c r="A78" s="28">
        <v>131467</v>
      </c>
      <c r="B78" s="40">
        <v>390</v>
      </c>
      <c r="C78" s="46" t="s">
        <v>8067</v>
      </c>
    </row>
    <row r="79" spans="1:3" x14ac:dyDescent="0.25">
      <c r="A79" s="28">
        <v>131476</v>
      </c>
      <c r="B79" s="40">
        <v>390</v>
      </c>
      <c r="C79" s="46" t="s">
        <v>8067</v>
      </c>
    </row>
    <row r="80" spans="1:3" x14ac:dyDescent="0.25">
      <c r="A80" s="28">
        <v>131482</v>
      </c>
      <c r="B80" s="40">
        <v>390</v>
      </c>
      <c r="C80" s="46" t="s">
        <v>8067</v>
      </c>
    </row>
    <row r="81" spans="1:3" x14ac:dyDescent="0.25">
      <c r="A81" s="28">
        <v>131478</v>
      </c>
      <c r="B81" s="40">
        <v>390</v>
      </c>
      <c r="C81" s="46" t="s">
        <v>8067</v>
      </c>
    </row>
    <row r="82" spans="1:3" x14ac:dyDescent="0.25">
      <c r="A82" s="28">
        <v>131494</v>
      </c>
      <c r="B82" s="40">
        <v>390</v>
      </c>
      <c r="C82" s="46" t="s">
        <v>8067</v>
      </c>
    </row>
    <row r="83" spans="1:3" x14ac:dyDescent="0.25">
      <c r="A83" s="28">
        <v>131483</v>
      </c>
      <c r="B83" s="40">
        <v>390</v>
      </c>
      <c r="C83" s="46" t="s">
        <v>8067</v>
      </c>
    </row>
    <row r="84" spans="1:3" x14ac:dyDescent="0.25">
      <c r="A84" s="28">
        <v>131485</v>
      </c>
      <c r="B84" s="40">
        <v>390</v>
      </c>
      <c r="C84" s="46" t="s">
        <v>8067</v>
      </c>
    </row>
    <row r="85" spans="1:3" x14ac:dyDescent="0.25">
      <c r="A85" s="28">
        <v>131488</v>
      </c>
      <c r="B85" s="40">
        <v>390</v>
      </c>
      <c r="C85" s="46" t="s">
        <v>8067</v>
      </c>
    </row>
    <row r="86" spans="1:3" x14ac:dyDescent="0.25">
      <c r="A86" s="28">
        <v>131487</v>
      </c>
      <c r="B86" s="40">
        <v>390</v>
      </c>
      <c r="C86" s="46" t="s">
        <v>8067</v>
      </c>
    </row>
    <row r="87" spans="1:3" x14ac:dyDescent="0.25">
      <c r="A87" s="28">
        <v>131486</v>
      </c>
      <c r="B87" s="40">
        <v>390</v>
      </c>
      <c r="C87" s="46" t="s">
        <v>8067</v>
      </c>
    </row>
    <row r="88" spans="1:3" x14ac:dyDescent="0.25">
      <c r="A88" s="28">
        <v>131484</v>
      </c>
      <c r="B88" s="40">
        <v>390</v>
      </c>
      <c r="C88" s="46" t="s">
        <v>8067</v>
      </c>
    </row>
    <row r="89" spans="1:3" x14ac:dyDescent="0.25">
      <c r="A89" s="28">
        <v>131466</v>
      </c>
      <c r="B89" s="40">
        <v>390</v>
      </c>
      <c r="C89" s="46" t="s">
        <v>8067</v>
      </c>
    </row>
    <row r="90" spans="1:3" x14ac:dyDescent="0.25">
      <c r="A90" s="28">
        <v>131480</v>
      </c>
      <c r="B90" s="40">
        <v>390</v>
      </c>
      <c r="C90" s="46" t="s">
        <v>8067</v>
      </c>
    </row>
    <row r="91" spans="1:3" x14ac:dyDescent="0.25">
      <c r="A91" s="28">
        <v>131491</v>
      </c>
      <c r="B91" s="40">
        <v>390</v>
      </c>
      <c r="C91" s="46" t="s">
        <v>8067</v>
      </c>
    </row>
    <row r="92" spans="1:3" x14ac:dyDescent="0.25">
      <c r="A92" s="28">
        <v>131490</v>
      </c>
      <c r="B92" s="40">
        <v>390</v>
      </c>
      <c r="C92" s="46" t="s">
        <v>8067</v>
      </c>
    </row>
    <row r="93" spans="1:3" x14ac:dyDescent="0.25">
      <c r="A93" s="28">
        <v>131493</v>
      </c>
      <c r="B93" s="40">
        <v>390</v>
      </c>
      <c r="C93" s="46" t="s">
        <v>8067</v>
      </c>
    </row>
    <row r="94" spans="1:3" x14ac:dyDescent="0.25">
      <c r="A94" s="28">
        <v>131474</v>
      </c>
      <c r="B94" s="40">
        <v>390</v>
      </c>
      <c r="C94" s="46" t="s">
        <v>8067</v>
      </c>
    </row>
    <row r="95" spans="1:3" x14ac:dyDescent="0.25">
      <c r="A95" s="28">
        <v>131473</v>
      </c>
      <c r="B95" s="40">
        <v>390</v>
      </c>
      <c r="C95" s="46" t="s">
        <v>8067</v>
      </c>
    </row>
    <row r="96" spans="1:3" x14ac:dyDescent="0.25">
      <c r="A96" s="28">
        <v>131481</v>
      </c>
      <c r="B96" s="40">
        <v>390</v>
      </c>
      <c r="C96" s="46" t="s">
        <v>8067</v>
      </c>
    </row>
    <row r="97" spans="1:3" x14ac:dyDescent="0.25">
      <c r="A97" s="28">
        <v>131489</v>
      </c>
      <c r="B97" s="40">
        <v>390</v>
      </c>
      <c r="C97" s="46" t="s">
        <v>8067</v>
      </c>
    </row>
    <row r="98" spans="1:3" x14ac:dyDescent="0.25">
      <c r="A98" s="28">
        <v>131472</v>
      </c>
      <c r="B98" s="40">
        <v>390</v>
      </c>
      <c r="C98" s="46" t="s">
        <v>8067</v>
      </c>
    </row>
    <row r="99" spans="1:3" x14ac:dyDescent="0.25">
      <c r="A99" s="28">
        <v>131495</v>
      </c>
      <c r="B99" s="40">
        <v>390</v>
      </c>
      <c r="C99" s="46" t="s">
        <v>8067</v>
      </c>
    </row>
    <row r="100" spans="1:3" x14ac:dyDescent="0.25">
      <c r="A100" s="28">
        <v>131479</v>
      </c>
      <c r="B100" s="40">
        <v>390</v>
      </c>
      <c r="C100" s="46" t="s">
        <v>8067</v>
      </c>
    </row>
    <row r="101" spans="1:3" x14ac:dyDescent="0.25">
      <c r="A101" s="28">
        <v>133015</v>
      </c>
      <c r="B101" s="40">
        <v>390</v>
      </c>
      <c r="C101" s="46" t="s">
        <v>8067</v>
      </c>
    </row>
    <row r="102" spans="1:3" x14ac:dyDescent="0.25">
      <c r="A102" s="28">
        <v>133045</v>
      </c>
      <c r="B102" s="40">
        <v>190</v>
      </c>
      <c r="C102" s="46" t="s">
        <v>8071</v>
      </c>
    </row>
    <row r="103" spans="1:3" x14ac:dyDescent="0.25">
      <c r="A103" s="28">
        <v>133046</v>
      </c>
      <c r="B103" s="40">
        <v>190</v>
      </c>
      <c r="C103" s="46" t="s">
        <v>8071</v>
      </c>
    </row>
    <row r="104" spans="1:3" x14ac:dyDescent="0.25">
      <c r="A104" s="28">
        <v>133047</v>
      </c>
      <c r="B104" s="40">
        <v>190</v>
      </c>
      <c r="C104" s="46" t="s">
        <v>8071</v>
      </c>
    </row>
    <row r="105" spans="1:3" x14ac:dyDescent="0.25">
      <c r="A105" s="28">
        <v>133048</v>
      </c>
      <c r="B105" s="40">
        <v>190</v>
      </c>
      <c r="C105" s="46" t="s">
        <v>8071</v>
      </c>
    </row>
    <row r="106" spans="1:3" x14ac:dyDescent="0.25">
      <c r="A106" s="28">
        <v>133049</v>
      </c>
      <c r="B106" s="40">
        <v>190</v>
      </c>
      <c r="C106" s="46" t="s">
        <v>8071</v>
      </c>
    </row>
    <row r="107" spans="1:3" x14ac:dyDescent="0.25">
      <c r="A107" s="28">
        <v>133050</v>
      </c>
      <c r="B107" s="40">
        <v>190</v>
      </c>
      <c r="C107" s="46" t="s">
        <v>8071</v>
      </c>
    </row>
    <row r="108" spans="1:3" x14ac:dyDescent="0.25">
      <c r="A108" s="28">
        <v>133044</v>
      </c>
      <c r="B108" s="40">
        <v>190</v>
      </c>
      <c r="C108" s="46" t="s">
        <v>8071</v>
      </c>
    </row>
    <row r="109" spans="1:3" ht="30" x14ac:dyDescent="0.25">
      <c r="A109" s="28">
        <v>133052</v>
      </c>
      <c r="B109" s="65" t="s">
        <v>8364</v>
      </c>
      <c r="C109" s="46"/>
    </row>
    <row r="110" spans="1:3" x14ac:dyDescent="0.25">
      <c r="A110" s="28">
        <v>133058</v>
      </c>
      <c r="B110" s="48">
        <v>190</v>
      </c>
      <c r="C110" s="46" t="s">
        <v>8055</v>
      </c>
    </row>
    <row r="111" spans="1:3" x14ac:dyDescent="0.25">
      <c r="A111" s="28">
        <v>133059</v>
      </c>
      <c r="B111" s="48">
        <v>190</v>
      </c>
      <c r="C111" s="46" t="s">
        <v>8055</v>
      </c>
    </row>
    <row r="112" spans="1:3" x14ac:dyDescent="0.25">
      <c r="A112" s="28">
        <v>133060</v>
      </c>
      <c r="B112" s="48">
        <v>190</v>
      </c>
      <c r="C112" s="46" t="s">
        <v>8055</v>
      </c>
    </row>
    <row r="113" spans="1:3" x14ac:dyDescent="0.25">
      <c r="A113" s="28">
        <v>133061</v>
      </c>
      <c r="B113" s="48">
        <v>190</v>
      </c>
      <c r="C113" s="46" t="s">
        <v>8055</v>
      </c>
    </row>
    <row r="114" spans="1:3" x14ac:dyDescent="0.25">
      <c r="A114" s="28">
        <v>133062</v>
      </c>
      <c r="B114" s="48">
        <v>190</v>
      </c>
      <c r="C114" s="46" t="s">
        <v>8055</v>
      </c>
    </row>
    <row r="115" spans="1:3" x14ac:dyDescent="0.25">
      <c r="A115" s="28">
        <v>133063</v>
      </c>
      <c r="B115" s="48">
        <v>190</v>
      </c>
      <c r="C115" s="46" t="s">
        <v>8055</v>
      </c>
    </row>
    <row r="116" spans="1:3" x14ac:dyDescent="0.25">
      <c r="A116" s="28">
        <v>133064</v>
      </c>
      <c r="B116" s="48">
        <v>190</v>
      </c>
      <c r="C116" s="46" t="s">
        <v>8055</v>
      </c>
    </row>
    <row r="117" spans="1:3" x14ac:dyDescent="0.25">
      <c r="A117" s="28">
        <v>133065</v>
      </c>
      <c r="B117" s="48">
        <v>190</v>
      </c>
      <c r="C117" s="46" t="s">
        <v>8055</v>
      </c>
    </row>
    <row r="118" spans="1:3" x14ac:dyDescent="0.25">
      <c r="A118" s="28">
        <v>133067</v>
      </c>
      <c r="B118" s="48">
        <v>190</v>
      </c>
      <c r="C118" s="46" t="s">
        <v>8055</v>
      </c>
    </row>
    <row r="119" spans="1:3" x14ac:dyDescent="0.25">
      <c r="A119" s="28">
        <v>133069</v>
      </c>
      <c r="B119" s="48">
        <v>190</v>
      </c>
      <c r="C119" s="46" t="s">
        <v>8055</v>
      </c>
    </row>
    <row r="120" spans="1:3" x14ac:dyDescent="0.25">
      <c r="A120" s="28">
        <v>133070</v>
      </c>
      <c r="B120" s="48">
        <v>190</v>
      </c>
      <c r="C120" s="46" t="s">
        <v>8055</v>
      </c>
    </row>
    <row r="121" spans="1:3" x14ac:dyDescent="0.25">
      <c r="A121" s="28">
        <v>133071</v>
      </c>
      <c r="B121" s="48">
        <v>190</v>
      </c>
      <c r="C121" s="46" t="s">
        <v>8055</v>
      </c>
    </row>
    <row r="122" spans="1:3" x14ac:dyDescent="0.25">
      <c r="A122" s="28">
        <v>133072</v>
      </c>
      <c r="B122" s="48">
        <v>190</v>
      </c>
      <c r="C122" s="46" t="s">
        <v>8055</v>
      </c>
    </row>
    <row r="123" spans="1:3" x14ac:dyDescent="0.25">
      <c r="A123" s="28">
        <v>133073</v>
      </c>
      <c r="B123" s="48">
        <v>190</v>
      </c>
      <c r="C123" s="46" t="s">
        <v>8055</v>
      </c>
    </row>
    <row r="124" spans="1:3" x14ac:dyDescent="0.25">
      <c r="A124" s="28">
        <v>133074</v>
      </c>
      <c r="B124" s="48">
        <v>190</v>
      </c>
      <c r="C124" s="46" t="s">
        <v>8055</v>
      </c>
    </row>
    <row r="125" spans="1:3" x14ac:dyDescent="0.25">
      <c r="A125" s="28">
        <v>133075</v>
      </c>
      <c r="B125" s="48">
        <v>190</v>
      </c>
      <c r="C125" s="46" t="s">
        <v>8055</v>
      </c>
    </row>
    <row r="126" spans="1:3" x14ac:dyDescent="0.25">
      <c r="A126" s="28">
        <v>133076</v>
      </c>
      <c r="B126" s="48">
        <v>190</v>
      </c>
      <c r="C126" s="46" t="s">
        <v>8055</v>
      </c>
    </row>
    <row r="127" spans="1:3" x14ac:dyDescent="0.25">
      <c r="A127" s="28">
        <v>133079</v>
      </c>
      <c r="B127" s="48">
        <v>190</v>
      </c>
      <c r="C127" s="46" t="s">
        <v>8055</v>
      </c>
    </row>
    <row r="128" spans="1:3" x14ac:dyDescent="0.25">
      <c r="A128" s="28">
        <v>133080</v>
      </c>
      <c r="B128" s="48">
        <v>190</v>
      </c>
      <c r="C128" s="46" t="s">
        <v>8055</v>
      </c>
    </row>
    <row r="129" spans="1:3" ht="30" x14ac:dyDescent="0.25">
      <c r="A129" s="28">
        <v>133051</v>
      </c>
      <c r="B129" s="65" t="s">
        <v>8364</v>
      </c>
      <c r="C129" s="46"/>
    </row>
    <row r="130" spans="1:3" ht="30" x14ac:dyDescent="0.25">
      <c r="A130" s="28">
        <v>133057</v>
      </c>
      <c r="B130" s="65" t="s">
        <v>8364</v>
      </c>
      <c r="C130" s="46"/>
    </row>
    <row r="131" spans="1:3" ht="30" x14ac:dyDescent="0.25">
      <c r="A131" s="28">
        <v>133053</v>
      </c>
      <c r="B131" s="65" t="s">
        <v>8364</v>
      </c>
      <c r="C131" s="46"/>
    </row>
    <row r="132" spans="1:3" ht="30" x14ac:dyDescent="0.25">
      <c r="A132" s="28">
        <v>133056</v>
      </c>
      <c r="B132" s="65" t="s">
        <v>8364</v>
      </c>
      <c r="C132" s="46"/>
    </row>
    <row r="133" spans="1:3" ht="30" x14ac:dyDescent="0.25">
      <c r="A133" s="28">
        <v>133054</v>
      </c>
      <c r="B133" s="65" t="s">
        <v>8364</v>
      </c>
      <c r="C133" s="46"/>
    </row>
    <row r="134" spans="1:3" ht="30" x14ac:dyDescent="0.25">
      <c r="A134" s="28">
        <v>133055</v>
      </c>
      <c r="B134" s="65" t="s">
        <v>8364</v>
      </c>
      <c r="C134" s="46"/>
    </row>
    <row r="135" spans="1:3" x14ac:dyDescent="0.25">
      <c r="A135" s="28">
        <v>133081</v>
      </c>
      <c r="B135" s="48">
        <v>190</v>
      </c>
      <c r="C135" s="46" t="s">
        <v>8055</v>
      </c>
    </row>
    <row r="136" spans="1:3" x14ac:dyDescent="0.25">
      <c r="A136" s="28">
        <v>133068</v>
      </c>
      <c r="B136" s="48">
        <v>190</v>
      </c>
      <c r="C136" s="46" t="s">
        <v>8055</v>
      </c>
    </row>
    <row r="137" spans="1:3" x14ac:dyDescent="0.25">
      <c r="A137" s="28">
        <v>133077</v>
      </c>
      <c r="B137" s="48">
        <v>190</v>
      </c>
      <c r="C137" s="46" t="s">
        <v>8055</v>
      </c>
    </row>
    <row r="138" spans="1:3" x14ac:dyDescent="0.25">
      <c r="A138" s="28">
        <v>133082</v>
      </c>
      <c r="B138" s="40">
        <v>890</v>
      </c>
      <c r="C138" s="46" t="s">
        <v>8072</v>
      </c>
    </row>
    <row r="139" spans="1:3" x14ac:dyDescent="0.25">
      <c r="A139" s="28">
        <v>133083</v>
      </c>
      <c r="B139" s="40">
        <v>890</v>
      </c>
      <c r="C139" s="46" t="s">
        <v>8072</v>
      </c>
    </row>
    <row r="140" spans="1:3" x14ac:dyDescent="0.25">
      <c r="A140" s="28">
        <v>133084</v>
      </c>
      <c r="B140" s="40">
        <v>890</v>
      </c>
      <c r="C140" s="46" t="s">
        <v>8072</v>
      </c>
    </row>
    <row r="141" spans="1:3" x14ac:dyDescent="0.25">
      <c r="A141" s="28">
        <v>133085</v>
      </c>
      <c r="B141" s="40">
        <v>890</v>
      </c>
      <c r="C141" s="46" t="s">
        <v>8072</v>
      </c>
    </row>
    <row r="142" spans="1:3" x14ac:dyDescent="0.25">
      <c r="A142" s="28">
        <v>139537</v>
      </c>
      <c r="B142" s="65"/>
      <c r="C142" s="46"/>
    </row>
    <row r="143" spans="1:3" x14ac:dyDescent="0.25">
      <c r="A143" s="28">
        <v>140709</v>
      </c>
      <c r="B143" s="40">
        <v>390</v>
      </c>
      <c r="C143" s="46" t="s">
        <v>8064</v>
      </c>
    </row>
    <row r="144" spans="1:3" x14ac:dyDescent="0.25">
      <c r="A144" s="28">
        <v>140710</v>
      </c>
      <c r="B144" s="40">
        <v>390</v>
      </c>
      <c r="C144" s="46" t="s">
        <v>8064</v>
      </c>
    </row>
    <row r="145" spans="1:3" ht="30" x14ac:dyDescent="0.25">
      <c r="A145" s="28">
        <v>140757</v>
      </c>
      <c r="B145" s="65" t="s">
        <v>8364</v>
      </c>
      <c r="C145" s="46"/>
    </row>
    <row r="146" spans="1:3" x14ac:dyDescent="0.25">
      <c r="A146" s="28">
        <v>143570</v>
      </c>
      <c r="B146" s="65"/>
      <c r="C146" s="46"/>
    </row>
    <row r="147" spans="1:3" x14ac:dyDescent="0.25">
      <c r="A147" s="28">
        <v>143582</v>
      </c>
      <c r="B147" s="65">
        <v>590</v>
      </c>
      <c r="C147" s="46" t="s">
        <v>8370</v>
      </c>
    </row>
    <row r="148" spans="1:3" x14ac:dyDescent="0.25">
      <c r="A148" s="28">
        <v>152870</v>
      </c>
      <c r="B148" s="65">
        <v>929</v>
      </c>
      <c r="C148" s="46" t="s">
        <v>8366</v>
      </c>
    </row>
    <row r="149" spans="1:3" ht="30" x14ac:dyDescent="0.25">
      <c r="A149" s="28">
        <v>152929</v>
      </c>
      <c r="B149" s="65" t="s">
        <v>8364</v>
      </c>
      <c r="C149" s="46"/>
    </row>
    <row r="150" spans="1:3" x14ac:dyDescent="0.25">
      <c r="A150" s="28">
        <v>153001</v>
      </c>
      <c r="B150" s="40">
        <v>590</v>
      </c>
      <c r="C150" s="46" t="s">
        <v>8056</v>
      </c>
    </row>
    <row r="151" spans="1:3" x14ac:dyDescent="0.25">
      <c r="A151" s="28">
        <v>153002</v>
      </c>
      <c r="B151" s="40">
        <v>590</v>
      </c>
      <c r="C151" s="46" t="s">
        <v>8056</v>
      </c>
    </row>
    <row r="152" spans="1:3" x14ac:dyDescent="0.25">
      <c r="A152" s="28">
        <v>153003</v>
      </c>
      <c r="B152" s="40">
        <v>590</v>
      </c>
      <c r="C152" s="46" t="s">
        <v>8056</v>
      </c>
    </row>
    <row r="153" spans="1:3" x14ac:dyDescent="0.25">
      <c r="A153" s="28">
        <v>153004</v>
      </c>
      <c r="B153" s="40">
        <v>590</v>
      </c>
      <c r="C153" s="46" t="s">
        <v>8056</v>
      </c>
    </row>
    <row r="154" spans="1:3" ht="30" x14ac:dyDescent="0.25">
      <c r="A154" s="28">
        <v>153010</v>
      </c>
      <c r="B154" s="65" t="s">
        <v>8377</v>
      </c>
      <c r="C154" s="46" t="s">
        <v>8376</v>
      </c>
    </row>
    <row r="155" spans="1:3" x14ac:dyDescent="0.25">
      <c r="A155" s="28">
        <v>155690</v>
      </c>
      <c r="B155" s="65"/>
      <c r="C155" s="46"/>
    </row>
    <row r="156" spans="1:3" x14ac:dyDescent="0.25">
      <c r="A156" s="28">
        <v>164974</v>
      </c>
      <c r="B156" s="65">
        <v>990</v>
      </c>
      <c r="C156" s="46" t="s">
        <v>8375</v>
      </c>
    </row>
    <row r="157" spans="1:3" ht="30" x14ac:dyDescent="0.25">
      <c r="A157" s="28">
        <v>156787</v>
      </c>
      <c r="B157" s="65" t="s">
        <v>8364</v>
      </c>
      <c r="C157" s="46"/>
    </row>
    <row r="158" spans="1:3" x14ac:dyDescent="0.25">
      <c r="A158" s="28">
        <v>131501</v>
      </c>
      <c r="B158" s="65">
        <v>1190</v>
      </c>
      <c r="C158" s="46" t="s">
        <v>8374</v>
      </c>
    </row>
    <row r="159" spans="1:3" ht="30" x14ac:dyDescent="0.25">
      <c r="A159" s="28">
        <v>162675</v>
      </c>
      <c r="B159" s="65" t="s">
        <v>8364</v>
      </c>
      <c r="C159" s="46"/>
    </row>
    <row r="160" spans="1:3" ht="30" x14ac:dyDescent="0.25">
      <c r="A160" s="28">
        <v>162679</v>
      </c>
      <c r="B160" s="65" t="s">
        <v>8364</v>
      </c>
      <c r="C160" s="46"/>
    </row>
    <row r="161" spans="1:3" x14ac:dyDescent="0.25">
      <c r="A161" s="28">
        <v>162682</v>
      </c>
      <c r="B161" s="65">
        <v>349</v>
      </c>
      <c r="C161" s="46" t="s">
        <v>8367</v>
      </c>
    </row>
    <row r="162" spans="1:3" ht="30" x14ac:dyDescent="0.25">
      <c r="A162" s="28">
        <v>171024</v>
      </c>
      <c r="B162" s="65" t="s">
        <v>8364</v>
      </c>
      <c r="C162" s="46"/>
    </row>
    <row r="163" spans="1:3" x14ac:dyDescent="0.25">
      <c r="A163" s="28">
        <v>133066</v>
      </c>
      <c r="B163" s="48">
        <v>190</v>
      </c>
      <c r="C163" s="46" t="s">
        <v>8055</v>
      </c>
    </row>
    <row r="164" spans="1:3" x14ac:dyDescent="0.25">
      <c r="A164" s="28">
        <v>133078</v>
      </c>
      <c r="B164" s="48">
        <v>190</v>
      </c>
      <c r="C164" s="46" t="s">
        <v>8055</v>
      </c>
    </row>
    <row r="165" spans="1:3" x14ac:dyDescent="0.25">
      <c r="A165" s="28">
        <v>185767</v>
      </c>
      <c r="B165" s="40">
        <v>290</v>
      </c>
      <c r="C165" s="46" t="s">
        <v>8073</v>
      </c>
    </row>
    <row r="166" spans="1:3" x14ac:dyDescent="0.25">
      <c r="A166" s="28">
        <v>185770</v>
      </c>
      <c r="B166" s="40">
        <v>290</v>
      </c>
      <c r="C166" s="46" t="s">
        <v>8073</v>
      </c>
    </row>
    <row r="167" spans="1:3" x14ac:dyDescent="0.25">
      <c r="A167" s="28">
        <v>185773</v>
      </c>
      <c r="B167" s="40">
        <v>290</v>
      </c>
      <c r="C167" s="46" t="s">
        <v>8073</v>
      </c>
    </row>
    <row r="168" spans="1:3" x14ac:dyDescent="0.25">
      <c r="A168" s="28">
        <v>185760</v>
      </c>
      <c r="B168" s="40">
        <v>290</v>
      </c>
      <c r="C168" s="46" t="s">
        <v>8073</v>
      </c>
    </row>
    <row r="169" spans="1:3" x14ac:dyDescent="0.25">
      <c r="A169" s="28">
        <v>185761</v>
      </c>
      <c r="B169" s="40">
        <v>290</v>
      </c>
      <c r="C169" s="46" t="s">
        <v>8073</v>
      </c>
    </row>
    <row r="170" spans="1:3" x14ac:dyDescent="0.25">
      <c r="A170" s="28">
        <v>185762</v>
      </c>
      <c r="B170" s="40">
        <v>290</v>
      </c>
      <c r="C170" s="46" t="s">
        <v>8073</v>
      </c>
    </row>
    <row r="171" spans="1:3" x14ac:dyDescent="0.25">
      <c r="A171" s="28">
        <v>185763</v>
      </c>
      <c r="B171" s="40">
        <v>290</v>
      </c>
      <c r="C171" s="46" t="s">
        <v>8073</v>
      </c>
    </row>
    <row r="172" spans="1:3" x14ac:dyDescent="0.25">
      <c r="A172" s="28">
        <v>185764</v>
      </c>
      <c r="B172" s="40">
        <v>290</v>
      </c>
      <c r="C172" s="46" t="s">
        <v>8073</v>
      </c>
    </row>
    <row r="173" spans="1:3" x14ac:dyDescent="0.25">
      <c r="A173" s="28">
        <v>185765</v>
      </c>
      <c r="B173" s="40">
        <v>290</v>
      </c>
      <c r="C173" s="46" t="s">
        <v>8073</v>
      </c>
    </row>
    <row r="174" spans="1:3" x14ac:dyDescent="0.25">
      <c r="A174" s="28">
        <v>185776</v>
      </c>
      <c r="B174" s="40">
        <v>290</v>
      </c>
      <c r="C174" s="46" t="s">
        <v>8073</v>
      </c>
    </row>
    <row r="175" spans="1:3" x14ac:dyDescent="0.25">
      <c r="A175" s="28">
        <v>185766</v>
      </c>
      <c r="B175" s="40">
        <v>290</v>
      </c>
      <c r="C175" s="46" t="s">
        <v>8073</v>
      </c>
    </row>
    <row r="176" spans="1:3" x14ac:dyDescent="0.25">
      <c r="A176" s="28">
        <v>185768</v>
      </c>
      <c r="B176" s="40">
        <v>290</v>
      </c>
      <c r="C176" s="46" t="s">
        <v>8073</v>
      </c>
    </row>
    <row r="177" spans="1:3" x14ac:dyDescent="0.25">
      <c r="A177" s="28">
        <v>185769</v>
      </c>
      <c r="B177" s="40">
        <v>290</v>
      </c>
      <c r="C177" s="46" t="s">
        <v>8073</v>
      </c>
    </row>
    <row r="178" spans="1:3" x14ac:dyDescent="0.25">
      <c r="A178" s="28">
        <v>185777</v>
      </c>
      <c r="B178" s="40">
        <v>290</v>
      </c>
      <c r="C178" s="46" t="s">
        <v>8073</v>
      </c>
    </row>
    <row r="179" spans="1:3" x14ac:dyDescent="0.25">
      <c r="A179" s="28">
        <v>185771</v>
      </c>
      <c r="B179" s="40">
        <v>290</v>
      </c>
      <c r="C179" s="46" t="s">
        <v>8073</v>
      </c>
    </row>
    <row r="180" spans="1:3" x14ac:dyDescent="0.25">
      <c r="A180" s="28">
        <v>185772</v>
      </c>
      <c r="B180" s="40">
        <v>290</v>
      </c>
      <c r="C180" s="46" t="s">
        <v>8073</v>
      </c>
    </row>
    <row r="181" spans="1:3" x14ac:dyDescent="0.25">
      <c r="A181" s="28">
        <v>185774</v>
      </c>
      <c r="B181" s="40">
        <v>290</v>
      </c>
      <c r="C181" s="46" t="s">
        <v>8073</v>
      </c>
    </row>
    <row r="182" spans="1:3" x14ac:dyDescent="0.25">
      <c r="A182" s="28">
        <v>185775</v>
      </c>
      <c r="B182" s="40">
        <v>290</v>
      </c>
      <c r="C182" s="46" t="s">
        <v>8073</v>
      </c>
    </row>
    <row r="183" spans="1:3" x14ac:dyDescent="0.25">
      <c r="A183" s="28">
        <v>185778</v>
      </c>
      <c r="B183" s="40">
        <v>290</v>
      </c>
      <c r="C183" s="46" t="s">
        <v>8073</v>
      </c>
    </row>
    <row r="184" spans="1:3" x14ac:dyDescent="0.25">
      <c r="A184" s="28">
        <v>185779</v>
      </c>
      <c r="B184" s="40">
        <v>290</v>
      </c>
      <c r="C184" s="46" t="s">
        <v>8073</v>
      </c>
    </row>
    <row r="185" spans="1:3" x14ac:dyDescent="0.25">
      <c r="A185" s="28">
        <v>185759</v>
      </c>
      <c r="B185" s="40">
        <v>290</v>
      </c>
      <c r="C185" s="46" t="s">
        <v>8073</v>
      </c>
    </row>
    <row r="186" spans="1:3" ht="30" x14ac:dyDescent="0.25">
      <c r="A186" s="28">
        <v>186316</v>
      </c>
      <c r="B186" s="65" t="s">
        <v>8364</v>
      </c>
      <c r="C186" s="46"/>
    </row>
    <row r="187" spans="1:3" x14ac:dyDescent="0.25">
      <c r="A187" s="28">
        <v>193986</v>
      </c>
      <c r="B187" s="65" t="s">
        <v>8368</v>
      </c>
      <c r="C187" s="46"/>
    </row>
    <row r="188" spans="1:3" x14ac:dyDescent="0.25">
      <c r="A188" s="28">
        <v>193987</v>
      </c>
      <c r="B188" s="65" t="s">
        <v>8368</v>
      </c>
      <c r="C188" s="46"/>
    </row>
    <row r="189" spans="1:3" x14ac:dyDescent="0.25">
      <c r="A189" s="28">
        <v>193988</v>
      </c>
      <c r="B189" s="65" t="s">
        <v>8368</v>
      </c>
      <c r="C189" s="46"/>
    </row>
    <row r="190" spans="1:3" x14ac:dyDescent="0.25">
      <c r="A190" s="28">
        <v>193989</v>
      </c>
      <c r="B190" s="65" t="s">
        <v>8368</v>
      </c>
      <c r="C190" s="46"/>
    </row>
    <row r="191" spans="1:3" x14ac:dyDescent="0.25">
      <c r="A191" s="28">
        <v>193990</v>
      </c>
      <c r="B191" s="65" t="s">
        <v>8368</v>
      </c>
      <c r="C191" s="46"/>
    </row>
    <row r="192" spans="1:3" x14ac:dyDescent="0.25">
      <c r="A192" s="28">
        <v>193991</v>
      </c>
      <c r="B192" s="65" t="s">
        <v>8368</v>
      </c>
      <c r="C192" s="46"/>
    </row>
    <row r="193" spans="1:3" x14ac:dyDescent="0.25">
      <c r="A193" s="28">
        <v>193992</v>
      </c>
      <c r="B193" s="65" t="s">
        <v>8368</v>
      </c>
      <c r="C193" s="46"/>
    </row>
    <row r="194" spans="1:3" x14ac:dyDescent="0.25">
      <c r="A194" s="28">
        <v>193993</v>
      </c>
      <c r="B194" s="65" t="s">
        <v>8368</v>
      </c>
      <c r="C194" s="46"/>
    </row>
    <row r="195" spans="1:3" x14ac:dyDescent="0.25">
      <c r="A195" s="28">
        <v>193994</v>
      </c>
      <c r="B195" s="65" t="s">
        <v>8368</v>
      </c>
      <c r="C195" s="46"/>
    </row>
    <row r="196" spans="1:3" x14ac:dyDescent="0.25">
      <c r="A196" s="28">
        <v>193995</v>
      </c>
      <c r="B196" s="65" t="s">
        <v>8368</v>
      </c>
      <c r="C196" s="46"/>
    </row>
    <row r="197" spans="1:3" ht="30" x14ac:dyDescent="0.25">
      <c r="A197" s="28">
        <v>195168</v>
      </c>
      <c r="B197" s="65" t="s">
        <v>8364</v>
      </c>
      <c r="C197" s="46"/>
    </row>
    <row r="198" spans="1:3" ht="30" x14ac:dyDescent="0.25">
      <c r="A198" s="28">
        <v>195169</v>
      </c>
      <c r="B198" s="65" t="s">
        <v>8364</v>
      </c>
      <c r="C198" s="46"/>
    </row>
    <row r="199" spans="1:3" x14ac:dyDescent="0.25">
      <c r="A199" s="28">
        <v>195170</v>
      </c>
      <c r="B199" s="65"/>
      <c r="C199" s="46"/>
    </row>
    <row r="200" spans="1:3" ht="30" x14ac:dyDescent="0.25">
      <c r="A200" s="28">
        <v>195172</v>
      </c>
      <c r="B200" s="65" t="s">
        <v>8364</v>
      </c>
      <c r="C200" s="46"/>
    </row>
    <row r="201" spans="1:3" x14ac:dyDescent="0.25">
      <c r="A201" s="28">
        <v>202605</v>
      </c>
      <c r="B201" s="65">
        <v>590</v>
      </c>
      <c r="C201" s="46" t="s">
        <v>8373</v>
      </c>
    </row>
    <row r="202" spans="1:3" ht="30" x14ac:dyDescent="0.25">
      <c r="A202" s="28">
        <v>213269</v>
      </c>
      <c r="B202" s="65" t="s">
        <v>8364</v>
      </c>
      <c r="C202" s="46"/>
    </row>
    <row r="203" spans="1:3" ht="30" x14ac:dyDescent="0.25">
      <c r="A203" s="28">
        <v>213270</v>
      </c>
      <c r="B203" s="65" t="s">
        <v>8364</v>
      </c>
      <c r="C203" s="46"/>
    </row>
    <row r="204" spans="1:3" ht="30" x14ac:dyDescent="0.25">
      <c r="A204" s="28">
        <v>213271</v>
      </c>
      <c r="B204" s="65" t="s">
        <v>8364</v>
      </c>
      <c r="C204" s="46"/>
    </row>
    <row r="205" spans="1:3" ht="30" x14ac:dyDescent="0.25">
      <c r="A205" s="28">
        <v>213272</v>
      </c>
      <c r="B205" s="65" t="s">
        <v>8364</v>
      </c>
      <c r="C205" s="46"/>
    </row>
    <row r="206" spans="1:3" ht="30" x14ac:dyDescent="0.25">
      <c r="A206" s="28">
        <v>213274</v>
      </c>
      <c r="B206" s="65" t="s">
        <v>8364</v>
      </c>
      <c r="C206" s="46"/>
    </row>
    <row r="207" spans="1:3" ht="30" x14ac:dyDescent="0.25">
      <c r="A207" s="28">
        <v>213275</v>
      </c>
      <c r="B207" s="65" t="s">
        <v>8364</v>
      </c>
      <c r="C207" s="46"/>
    </row>
    <row r="208" spans="1:3" ht="30" x14ac:dyDescent="0.25">
      <c r="A208" s="28">
        <v>213282</v>
      </c>
      <c r="B208" s="65" t="s">
        <v>8364</v>
      </c>
      <c r="C208" s="46"/>
    </row>
    <row r="209" spans="1:3" ht="30" x14ac:dyDescent="0.25">
      <c r="A209" s="28">
        <v>213283</v>
      </c>
      <c r="B209" s="65" t="s">
        <v>8364</v>
      </c>
      <c r="C209" s="46"/>
    </row>
    <row r="210" spans="1:3" ht="30" x14ac:dyDescent="0.25">
      <c r="A210" s="28">
        <v>213284</v>
      </c>
      <c r="B210" s="65" t="s">
        <v>8364</v>
      </c>
      <c r="C210" s="46"/>
    </row>
    <row r="211" spans="1:3" ht="30" x14ac:dyDescent="0.25">
      <c r="A211" s="28">
        <v>213285</v>
      </c>
      <c r="B211" s="65" t="s">
        <v>8364</v>
      </c>
      <c r="C211" s="46"/>
    </row>
    <row r="212" spans="1:3" ht="30" x14ac:dyDescent="0.25">
      <c r="A212" s="28">
        <v>213286</v>
      </c>
      <c r="B212" s="65" t="s">
        <v>8364</v>
      </c>
      <c r="C212" s="46"/>
    </row>
    <row r="213" spans="1:3" ht="30" x14ac:dyDescent="0.25">
      <c r="A213" s="28">
        <v>213287</v>
      </c>
      <c r="B213" s="65" t="s">
        <v>8364</v>
      </c>
      <c r="C213" s="46"/>
    </row>
    <row r="214" spans="1:3" ht="30" x14ac:dyDescent="0.25">
      <c r="A214" s="28">
        <v>213288</v>
      </c>
      <c r="B214" s="65" t="s">
        <v>8364</v>
      </c>
      <c r="C214" s="46"/>
    </row>
    <row r="215" spans="1:3" x14ac:dyDescent="0.25">
      <c r="A215" s="28">
        <v>213873</v>
      </c>
      <c r="B215" s="65">
        <v>1390</v>
      </c>
      <c r="C215" s="46" t="s">
        <v>8372</v>
      </c>
    </row>
    <row r="216" spans="1:3" ht="30" x14ac:dyDescent="0.25">
      <c r="A216" s="28">
        <v>213987</v>
      </c>
      <c r="B216" s="65" t="s">
        <v>8364</v>
      </c>
      <c r="C216" s="46"/>
    </row>
    <row r="217" spans="1:3" ht="30" x14ac:dyDescent="0.25">
      <c r="A217" s="28">
        <v>214029</v>
      </c>
      <c r="B217" s="65" t="s">
        <v>8364</v>
      </c>
      <c r="C217" s="46"/>
    </row>
    <row r="218" spans="1:3" ht="30" x14ac:dyDescent="0.25">
      <c r="A218" s="28">
        <v>214030</v>
      </c>
      <c r="B218" s="65" t="s">
        <v>8364</v>
      </c>
      <c r="C218" s="46"/>
    </row>
    <row r="219" spans="1:3" ht="30" x14ac:dyDescent="0.25">
      <c r="A219" s="28">
        <v>214031</v>
      </c>
      <c r="B219" s="65" t="s">
        <v>8364</v>
      </c>
      <c r="C219" s="46"/>
    </row>
    <row r="220" spans="1:3" ht="30" x14ac:dyDescent="0.25">
      <c r="A220" s="28">
        <v>214032</v>
      </c>
      <c r="B220" s="65" t="s">
        <v>8364</v>
      </c>
      <c r="C220" s="46"/>
    </row>
    <row r="221" spans="1:3" ht="30" x14ac:dyDescent="0.25">
      <c r="A221" s="28">
        <v>214033</v>
      </c>
      <c r="B221" s="65" t="s">
        <v>8364</v>
      </c>
      <c r="C221" s="46"/>
    </row>
    <row r="222" spans="1:3" ht="30" x14ac:dyDescent="0.25">
      <c r="A222" s="28">
        <v>214034</v>
      </c>
      <c r="B222" s="65" t="s">
        <v>8364</v>
      </c>
      <c r="C222" s="46"/>
    </row>
    <row r="223" spans="1:3" ht="30" x14ac:dyDescent="0.25">
      <c r="A223" s="28">
        <v>214035</v>
      </c>
      <c r="B223" s="65" t="s">
        <v>8364</v>
      </c>
      <c r="C223" s="46"/>
    </row>
    <row r="224" spans="1:3" ht="30" x14ac:dyDescent="0.25">
      <c r="A224" s="28">
        <v>214036</v>
      </c>
      <c r="B224" s="65" t="s">
        <v>8364</v>
      </c>
      <c r="C224" s="46"/>
    </row>
    <row r="225" spans="1:3" ht="30" x14ac:dyDescent="0.25">
      <c r="A225" s="28">
        <v>214037</v>
      </c>
      <c r="B225" s="65" t="s">
        <v>8364</v>
      </c>
      <c r="C225" s="46"/>
    </row>
    <row r="226" spans="1:3" ht="30" x14ac:dyDescent="0.25">
      <c r="A226" s="28">
        <v>214038</v>
      </c>
      <c r="B226" s="65" t="s">
        <v>8364</v>
      </c>
      <c r="C226" s="46"/>
    </row>
    <row r="227" spans="1:3" ht="30" x14ac:dyDescent="0.25">
      <c r="A227" s="28">
        <v>214039</v>
      </c>
      <c r="B227" s="65" t="s">
        <v>8364</v>
      </c>
      <c r="C227" s="46"/>
    </row>
    <row r="228" spans="1:3" ht="30" x14ac:dyDescent="0.25">
      <c r="A228" s="28">
        <v>214048</v>
      </c>
      <c r="B228" s="65" t="s">
        <v>8364</v>
      </c>
      <c r="C228" s="46"/>
    </row>
    <row r="229" spans="1:3" ht="30" x14ac:dyDescent="0.25">
      <c r="A229" s="28">
        <v>214049</v>
      </c>
      <c r="B229" s="65" t="s">
        <v>8364</v>
      </c>
      <c r="C229" s="46"/>
    </row>
    <row r="230" spans="1:3" x14ac:dyDescent="0.25">
      <c r="A230" s="28">
        <v>218615</v>
      </c>
      <c r="B230" s="65" t="s">
        <v>8368</v>
      </c>
      <c r="C230" s="46"/>
    </row>
    <row r="231" spans="1:3" x14ac:dyDescent="0.25">
      <c r="A231" s="28">
        <v>219278</v>
      </c>
      <c r="B231" s="65"/>
      <c r="C231" s="46"/>
    </row>
    <row r="232" spans="1:3" x14ac:dyDescent="0.25">
      <c r="A232" s="28">
        <v>219279</v>
      </c>
      <c r="B232" s="65"/>
      <c r="C232" s="46"/>
    </row>
    <row r="233" spans="1:3" x14ac:dyDescent="0.25">
      <c r="A233" s="28">
        <v>219280</v>
      </c>
      <c r="B233" s="65"/>
      <c r="C233" s="46"/>
    </row>
    <row r="234" spans="1:3" x14ac:dyDescent="0.25">
      <c r="A234" s="28">
        <v>219281</v>
      </c>
      <c r="B234" s="65"/>
      <c r="C234" s="46"/>
    </row>
    <row r="235" spans="1:3" ht="30" x14ac:dyDescent="0.25">
      <c r="A235" s="28">
        <v>223976</v>
      </c>
      <c r="B235" s="65" t="s">
        <v>8364</v>
      </c>
      <c r="C235" s="46"/>
    </row>
    <row r="236" spans="1:3" ht="30" x14ac:dyDescent="0.25">
      <c r="A236" s="28">
        <v>226520</v>
      </c>
      <c r="B236" s="65" t="s">
        <v>8364</v>
      </c>
      <c r="C236" s="46"/>
    </row>
    <row r="237" spans="1:3" ht="30" x14ac:dyDescent="0.25">
      <c r="A237" s="28">
        <v>226519</v>
      </c>
      <c r="B237" s="65" t="s">
        <v>8364</v>
      </c>
      <c r="C237" s="46"/>
    </row>
    <row r="238" spans="1:3" x14ac:dyDescent="0.25">
      <c r="A238" s="28">
        <v>226521</v>
      </c>
      <c r="B238" s="65" t="s">
        <v>8368</v>
      </c>
      <c r="C238" s="46"/>
    </row>
    <row r="239" spans="1:3" x14ac:dyDescent="0.25">
      <c r="A239" s="28">
        <v>226522</v>
      </c>
      <c r="B239" s="65" t="s">
        <v>8368</v>
      </c>
      <c r="C239" s="46"/>
    </row>
    <row r="240" spans="1:3" ht="30" x14ac:dyDescent="0.25">
      <c r="A240" s="28">
        <v>226601</v>
      </c>
      <c r="B240" s="65" t="s">
        <v>8364</v>
      </c>
      <c r="C240" s="46"/>
    </row>
    <row r="241" spans="1:3" ht="30" x14ac:dyDescent="0.25">
      <c r="A241" s="28">
        <v>226602</v>
      </c>
      <c r="B241" s="65" t="s">
        <v>8364</v>
      </c>
      <c r="C241" s="46"/>
    </row>
    <row r="242" spans="1:3" ht="30" x14ac:dyDescent="0.25">
      <c r="A242" s="28">
        <v>226603</v>
      </c>
      <c r="B242" s="65" t="s">
        <v>8364</v>
      </c>
      <c r="C242" s="46"/>
    </row>
    <row r="243" spans="1:3" ht="30" x14ac:dyDescent="0.25">
      <c r="A243" s="28">
        <v>226604</v>
      </c>
      <c r="B243" s="65" t="s">
        <v>8364</v>
      </c>
      <c r="C243" s="46"/>
    </row>
    <row r="244" spans="1:3" ht="30" x14ac:dyDescent="0.25">
      <c r="A244" s="28">
        <v>226605</v>
      </c>
      <c r="B244" s="65" t="s">
        <v>8364</v>
      </c>
      <c r="C244" s="46"/>
    </row>
    <row r="245" spans="1:3" ht="30" x14ac:dyDescent="0.25">
      <c r="A245" s="28">
        <v>226607</v>
      </c>
      <c r="B245" s="65" t="s">
        <v>8364</v>
      </c>
      <c r="C245" s="46"/>
    </row>
    <row r="246" spans="1:3" ht="30" x14ac:dyDescent="0.25">
      <c r="A246" s="28">
        <v>226608</v>
      </c>
      <c r="B246" s="65" t="s">
        <v>8364</v>
      </c>
      <c r="C246" s="46"/>
    </row>
    <row r="247" spans="1:3" ht="30" x14ac:dyDescent="0.25">
      <c r="A247" s="28">
        <v>226609</v>
      </c>
      <c r="B247" s="65" t="s">
        <v>8364</v>
      </c>
      <c r="C247" s="46"/>
    </row>
    <row r="248" spans="1:3" ht="30" x14ac:dyDescent="0.25">
      <c r="A248" s="28">
        <v>226610</v>
      </c>
      <c r="B248" s="65" t="s">
        <v>8364</v>
      </c>
      <c r="C248" s="46"/>
    </row>
    <row r="249" spans="1:3" ht="30" x14ac:dyDescent="0.25">
      <c r="A249" s="28">
        <v>226611</v>
      </c>
      <c r="B249" s="65" t="s">
        <v>8364</v>
      </c>
      <c r="C249" s="46"/>
    </row>
    <row r="250" spans="1:3" x14ac:dyDescent="0.25">
      <c r="A250" s="28">
        <v>226599</v>
      </c>
      <c r="B250" s="40">
        <v>690</v>
      </c>
      <c r="C250" s="46" t="s">
        <v>8058</v>
      </c>
    </row>
    <row r="251" spans="1:3" x14ac:dyDescent="0.25">
      <c r="A251" s="28">
        <v>226600</v>
      </c>
      <c r="B251" s="40">
        <v>729</v>
      </c>
      <c r="C251" s="46" t="s">
        <v>8059</v>
      </c>
    </row>
    <row r="252" spans="1:3" ht="30" x14ac:dyDescent="0.25">
      <c r="A252" s="28">
        <v>226753</v>
      </c>
      <c r="B252" s="65" t="s">
        <v>8364</v>
      </c>
      <c r="C252" s="46"/>
    </row>
    <row r="253" spans="1:3" x14ac:dyDescent="0.25">
      <c r="A253" s="28">
        <v>226704</v>
      </c>
      <c r="B253" s="65">
        <v>590</v>
      </c>
      <c r="C253" s="46" t="s">
        <v>8369</v>
      </c>
    </row>
    <row r="254" spans="1:3" ht="30" x14ac:dyDescent="0.25">
      <c r="A254" s="28">
        <v>226709</v>
      </c>
      <c r="B254" s="65" t="s">
        <v>8364</v>
      </c>
      <c r="C254" s="46"/>
    </row>
    <row r="255" spans="1:3" ht="30" x14ac:dyDescent="0.25">
      <c r="A255" s="28">
        <v>226710</v>
      </c>
      <c r="B255" s="65" t="s">
        <v>8364</v>
      </c>
      <c r="C255" s="46"/>
    </row>
    <row r="256" spans="1:3" ht="30" x14ac:dyDescent="0.25">
      <c r="A256" s="28">
        <v>226711</v>
      </c>
      <c r="B256" s="65" t="s">
        <v>8364</v>
      </c>
      <c r="C256" s="46"/>
    </row>
    <row r="257" spans="1:3" ht="30" x14ac:dyDescent="0.25">
      <c r="A257" s="28">
        <v>226712</v>
      </c>
      <c r="B257" s="65" t="s">
        <v>8364</v>
      </c>
      <c r="C257" s="46"/>
    </row>
    <row r="258" spans="1:3" ht="30" x14ac:dyDescent="0.25">
      <c r="A258" s="28">
        <v>226713</v>
      </c>
      <c r="B258" s="65" t="s">
        <v>8364</v>
      </c>
      <c r="C258" s="46"/>
    </row>
    <row r="259" spans="1:3" ht="30" x14ac:dyDescent="0.25">
      <c r="A259" s="28">
        <v>226714</v>
      </c>
      <c r="B259" s="65" t="s">
        <v>8364</v>
      </c>
      <c r="C259" s="46"/>
    </row>
    <row r="260" spans="1:3" ht="30" x14ac:dyDescent="0.25">
      <c r="A260" s="28">
        <v>226715</v>
      </c>
      <c r="B260" s="65" t="s">
        <v>8364</v>
      </c>
      <c r="C260" s="46"/>
    </row>
    <row r="261" spans="1:3" ht="30" x14ac:dyDescent="0.25">
      <c r="A261" s="28">
        <v>226717</v>
      </c>
      <c r="B261" s="65" t="s">
        <v>8364</v>
      </c>
      <c r="C261" s="46"/>
    </row>
    <row r="262" spans="1:3" ht="30" x14ac:dyDescent="0.25">
      <c r="A262" s="28">
        <v>226718</v>
      </c>
      <c r="B262" s="65" t="s">
        <v>8364</v>
      </c>
      <c r="C262" s="46"/>
    </row>
    <row r="263" spans="1:3" ht="30" x14ac:dyDescent="0.25">
      <c r="A263" s="28">
        <v>226719</v>
      </c>
      <c r="B263" s="65" t="s">
        <v>8364</v>
      </c>
      <c r="C263" s="46"/>
    </row>
    <row r="264" spans="1:3" ht="30" x14ac:dyDescent="0.25">
      <c r="A264" s="28">
        <v>226720</v>
      </c>
      <c r="B264" s="65" t="s">
        <v>8364</v>
      </c>
      <c r="C264" s="46"/>
    </row>
    <row r="265" spans="1:3" ht="30" x14ac:dyDescent="0.25">
      <c r="A265" s="28">
        <v>226721</v>
      </c>
      <c r="B265" s="65" t="s">
        <v>8364</v>
      </c>
      <c r="C265" s="46"/>
    </row>
    <row r="266" spans="1:3" ht="30" x14ac:dyDescent="0.25">
      <c r="A266" s="28">
        <v>226722</v>
      </c>
      <c r="B266" s="65" t="s">
        <v>8364</v>
      </c>
      <c r="C266" s="46"/>
    </row>
    <row r="267" spans="1:3" ht="30" x14ac:dyDescent="0.25">
      <c r="A267" s="28">
        <v>226734</v>
      </c>
      <c r="B267" s="65" t="s">
        <v>8364</v>
      </c>
      <c r="C267" s="46"/>
    </row>
    <row r="268" spans="1:3" ht="30" x14ac:dyDescent="0.25">
      <c r="A268" s="28">
        <v>226735</v>
      </c>
      <c r="B268" s="65" t="s">
        <v>8364</v>
      </c>
      <c r="C268" s="46"/>
    </row>
    <row r="269" spans="1:3" x14ac:dyDescent="0.25">
      <c r="A269" s="28">
        <v>143581</v>
      </c>
      <c r="B269" s="65"/>
      <c r="C269" s="46"/>
    </row>
    <row r="270" spans="1:3" ht="30" x14ac:dyDescent="0.25">
      <c r="A270" s="28">
        <v>226716</v>
      </c>
      <c r="B270" s="65" t="s">
        <v>8364</v>
      </c>
      <c r="C270" s="46"/>
    </row>
    <row r="271" spans="1:3" x14ac:dyDescent="0.25">
      <c r="A271" s="28">
        <v>213870</v>
      </c>
      <c r="B271" s="48">
        <v>1390</v>
      </c>
      <c r="C271" s="46" t="s">
        <v>8063</v>
      </c>
    </row>
    <row r="272" spans="1:3" ht="30" x14ac:dyDescent="0.25">
      <c r="A272" s="28">
        <v>187069</v>
      </c>
      <c r="B272" s="65" t="s">
        <v>8364</v>
      </c>
      <c r="C272" s="46"/>
    </row>
    <row r="273" spans="1:3" x14ac:dyDescent="0.25">
      <c r="A273" s="28">
        <v>152927</v>
      </c>
      <c r="B273" s="40">
        <v>590</v>
      </c>
      <c r="C273" s="46" t="s">
        <v>8057</v>
      </c>
    </row>
    <row r="274" spans="1:3" ht="30" x14ac:dyDescent="0.25">
      <c r="A274" s="28">
        <v>186072</v>
      </c>
      <c r="B274" s="65" t="s">
        <v>8364</v>
      </c>
      <c r="C274" s="46"/>
    </row>
    <row r="275" spans="1:3" ht="30" x14ac:dyDescent="0.25">
      <c r="A275" s="28">
        <v>131521</v>
      </c>
      <c r="B275" s="65" t="s">
        <v>8364</v>
      </c>
      <c r="C275" s="46"/>
    </row>
    <row r="276" spans="1:3" x14ac:dyDescent="0.25">
      <c r="A276" s="28">
        <v>132993</v>
      </c>
      <c r="B276" s="40">
        <v>249</v>
      </c>
      <c r="C276" s="46" t="s">
        <v>8060</v>
      </c>
    </row>
    <row r="277" spans="1:3" x14ac:dyDescent="0.25">
      <c r="A277" s="28">
        <v>131462</v>
      </c>
      <c r="B277" s="40">
        <v>469</v>
      </c>
      <c r="C277" s="46" t="s">
        <v>8061</v>
      </c>
    </row>
    <row r="278" spans="1:3" x14ac:dyDescent="0.25">
      <c r="A278" s="28">
        <v>131460</v>
      </c>
      <c r="B278" s="40">
        <v>469</v>
      </c>
      <c r="C278" s="46" t="s">
        <v>8061</v>
      </c>
    </row>
    <row r="279" spans="1:3" x14ac:dyDescent="0.25">
      <c r="A279" s="28">
        <v>131459</v>
      </c>
      <c r="B279" s="40">
        <v>469</v>
      </c>
      <c r="C279" s="46" t="s">
        <v>8061</v>
      </c>
    </row>
    <row r="280" spans="1:3" x14ac:dyDescent="0.25">
      <c r="A280" s="28">
        <v>131464</v>
      </c>
      <c r="B280" s="40">
        <v>469</v>
      </c>
      <c r="C280" s="46" t="s">
        <v>8061</v>
      </c>
    </row>
    <row r="281" spans="1:3" x14ac:dyDescent="0.25">
      <c r="A281" s="28">
        <v>131461</v>
      </c>
      <c r="B281" s="40">
        <v>469</v>
      </c>
      <c r="C281" s="46" t="s">
        <v>8061</v>
      </c>
    </row>
    <row r="282" spans="1:3" x14ac:dyDescent="0.25">
      <c r="A282" s="28">
        <v>131463</v>
      </c>
      <c r="B282" s="40">
        <v>469</v>
      </c>
      <c r="C282" s="46" t="s">
        <v>8061</v>
      </c>
    </row>
    <row r="283" spans="1:3" ht="30" x14ac:dyDescent="0.25">
      <c r="A283" s="28">
        <v>131497</v>
      </c>
      <c r="B283" s="65" t="s">
        <v>8379</v>
      </c>
      <c r="C283" s="46" t="s">
        <v>8068</v>
      </c>
    </row>
    <row r="284" spans="1:3" ht="30" x14ac:dyDescent="0.25">
      <c r="A284" s="28">
        <v>152928</v>
      </c>
      <c r="B284" s="65" t="s">
        <v>8371</v>
      </c>
      <c r="C284" s="46" t="s">
        <v>8057</v>
      </c>
    </row>
    <row r="285" spans="1:3" x14ac:dyDescent="0.25">
      <c r="A285" s="28">
        <v>143571</v>
      </c>
      <c r="B285" s="65" t="s">
        <v>8368</v>
      </c>
      <c r="C285" s="46"/>
    </row>
    <row r="286" spans="1:3" x14ac:dyDescent="0.25">
      <c r="A286" s="28">
        <v>132913</v>
      </c>
      <c r="B286" s="40">
        <v>549</v>
      </c>
      <c r="C286" s="46" t="s">
        <v>8054</v>
      </c>
    </row>
    <row r="287" spans="1:3" x14ac:dyDescent="0.25">
      <c r="A287" s="28">
        <v>132905</v>
      </c>
      <c r="B287" s="40">
        <v>549</v>
      </c>
      <c r="C287" s="46" t="s">
        <v>8054</v>
      </c>
    </row>
    <row r="288" spans="1:3" x14ac:dyDescent="0.25">
      <c r="A288" s="28">
        <v>132909</v>
      </c>
      <c r="B288" s="40">
        <v>549</v>
      </c>
      <c r="C288" s="46" t="s">
        <v>8054</v>
      </c>
    </row>
    <row r="289" spans="1:3" x14ac:dyDescent="0.25">
      <c r="A289" s="28">
        <v>132906</v>
      </c>
      <c r="B289" s="40">
        <v>549</v>
      </c>
      <c r="C289" s="46" t="s">
        <v>8054</v>
      </c>
    </row>
    <row r="290" spans="1:3" x14ac:dyDescent="0.25">
      <c r="A290" s="28">
        <v>132907</v>
      </c>
      <c r="B290" s="40">
        <v>549</v>
      </c>
      <c r="C290" s="46" t="s">
        <v>8054</v>
      </c>
    </row>
    <row r="291" spans="1:3" x14ac:dyDescent="0.25">
      <c r="A291" s="28">
        <v>132922</v>
      </c>
      <c r="B291" s="40">
        <v>549</v>
      </c>
      <c r="C291" s="46" t="s">
        <v>8054</v>
      </c>
    </row>
    <row r="292" spans="1:3" x14ac:dyDescent="0.25">
      <c r="A292" s="28">
        <v>132910</v>
      </c>
      <c r="B292" s="40">
        <v>549</v>
      </c>
      <c r="C292" s="46" t="s">
        <v>8054</v>
      </c>
    </row>
    <row r="293" spans="1:3" x14ac:dyDescent="0.25">
      <c r="A293" s="28">
        <v>132912</v>
      </c>
      <c r="B293" s="40">
        <v>549</v>
      </c>
      <c r="C293" s="46" t="s">
        <v>8054</v>
      </c>
    </row>
    <row r="294" spans="1:3" x14ac:dyDescent="0.25">
      <c r="A294" s="28">
        <v>132914</v>
      </c>
      <c r="B294" s="40">
        <v>549</v>
      </c>
      <c r="C294" s="46" t="s">
        <v>8054</v>
      </c>
    </row>
    <row r="295" spans="1:3" x14ac:dyDescent="0.25">
      <c r="A295" s="28">
        <v>132915</v>
      </c>
      <c r="B295" s="40">
        <v>549</v>
      </c>
      <c r="C295" s="46" t="s">
        <v>8054</v>
      </c>
    </row>
    <row r="296" spans="1:3" x14ac:dyDescent="0.25">
      <c r="A296" s="28">
        <v>132927</v>
      </c>
      <c r="B296" s="40">
        <v>549</v>
      </c>
      <c r="C296" s="46" t="s">
        <v>8054</v>
      </c>
    </row>
    <row r="297" spans="1:3" x14ac:dyDescent="0.25">
      <c r="A297" s="28">
        <v>132917</v>
      </c>
      <c r="B297" s="40">
        <v>549</v>
      </c>
      <c r="C297" s="46" t="s">
        <v>8054</v>
      </c>
    </row>
    <row r="298" spans="1:3" x14ac:dyDescent="0.25">
      <c r="A298" s="28">
        <v>132919</v>
      </c>
      <c r="B298" s="40">
        <v>549</v>
      </c>
      <c r="C298" s="46" t="s">
        <v>8054</v>
      </c>
    </row>
    <row r="299" spans="1:3" x14ac:dyDescent="0.25">
      <c r="A299" s="28">
        <v>132920</v>
      </c>
      <c r="B299" s="40">
        <v>549</v>
      </c>
      <c r="C299" s="46" t="s">
        <v>8054</v>
      </c>
    </row>
    <row r="300" spans="1:3" x14ac:dyDescent="0.25">
      <c r="A300" s="28">
        <v>132923</v>
      </c>
      <c r="B300" s="40">
        <v>549</v>
      </c>
      <c r="C300" s="46" t="s">
        <v>8054</v>
      </c>
    </row>
    <row r="301" spans="1:3" x14ac:dyDescent="0.25">
      <c r="A301" s="28">
        <v>132926</v>
      </c>
      <c r="B301" s="40">
        <v>549</v>
      </c>
      <c r="C301" s="46" t="s">
        <v>8054</v>
      </c>
    </row>
    <row r="302" spans="1:3" x14ac:dyDescent="0.25">
      <c r="A302" s="28">
        <v>132925</v>
      </c>
      <c r="B302" s="40">
        <v>549</v>
      </c>
      <c r="C302" s="46" t="s">
        <v>8054</v>
      </c>
    </row>
    <row r="303" spans="1:3" x14ac:dyDescent="0.25">
      <c r="A303" s="28">
        <v>132916</v>
      </c>
      <c r="B303" s="40">
        <v>549</v>
      </c>
      <c r="C303" s="46" t="s">
        <v>8054</v>
      </c>
    </row>
    <row r="304" spans="1:3" x14ac:dyDescent="0.25">
      <c r="A304" s="28">
        <v>132911</v>
      </c>
      <c r="B304" s="40">
        <v>549</v>
      </c>
      <c r="C304" s="46" t="s">
        <v>8054</v>
      </c>
    </row>
    <row r="305" spans="1:3" x14ac:dyDescent="0.25">
      <c r="A305" s="28">
        <v>132921</v>
      </c>
      <c r="B305" s="40">
        <v>549</v>
      </c>
      <c r="C305" s="46" t="s">
        <v>8054</v>
      </c>
    </row>
    <row r="306" spans="1:3" x14ac:dyDescent="0.25">
      <c r="A306" s="28">
        <v>132908</v>
      </c>
      <c r="B306" s="40">
        <v>549</v>
      </c>
      <c r="C306" s="46" t="s">
        <v>8054</v>
      </c>
    </row>
    <row r="307" spans="1:3" x14ac:dyDescent="0.25">
      <c r="A307" s="28">
        <v>132918</v>
      </c>
      <c r="B307" s="40">
        <v>549</v>
      </c>
      <c r="C307" s="46" t="s">
        <v>8054</v>
      </c>
    </row>
    <row r="308" spans="1:3" x14ac:dyDescent="0.25">
      <c r="A308" s="28">
        <v>132924</v>
      </c>
      <c r="B308" s="40">
        <v>549</v>
      </c>
      <c r="C308" s="46" t="s">
        <v>8054</v>
      </c>
    </row>
    <row r="309" spans="1:3" ht="30" x14ac:dyDescent="0.25">
      <c r="A309" s="28">
        <v>181292</v>
      </c>
      <c r="B309" s="65" t="s">
        <v>8364</v>
      </c>
      <c r="C309" s="46"/>
    </row>
    <row r="310" spans="1:3" ht="30" x14ac:dyDescent="0.25">
      <c r="A310" s="28">
        <v>181289</v>
      </c>
      <c r="B310" s="65" t="s">
        <v>8364</v>
      </c>
      <c r="C310" s="46"/>
    </row>
    <row r="311" spans="1:3" x14ac:dyDescent="0.25">
      <c r="A311" s="28">
        <v>185758</v>
      </c>
      <c r="B311" s="65">
        <v>149</v>
      </c>
      <c r="C311" s="46" t="s">
        <v>8069</v>
      </c>
    </row>
    <row r="312" spans="1:3" x14ac:dyDescent="0.25">
      <c r="A312" s="28">
        <v>117320</v>
      </c>
      <c r="B312" s="65"/>
      <c r="C312" s="46"/>
    </row>
    <row r="313" spans="1:3" ht="30" x14ac:dyDescent="0.25">
      <c r="A313" s="28">
        <v>155899</v>
      </c>
      <c r="B313" s="65" t="s">
        <v>8364</v>
      </c>
      <c r="C313" s="46"/>
    </row>
    <row r="314" spans="1:3" ht="30" x14ac:dyDescent="0.25">
      <c r="A314" s="28">
        <v>160662</v>
      </c>
      <c r="B314" s="65" t="s">
        <v>8364</v>
      </c>
      <c r="C314" s="46"/>
    </row>
    <row r="315" spans="1:3" x14ac:dyDescent="0.25">
      <c r="A315" s="28">
        <v>186356</v>
      </c>
      <c r="B315" s="40">
        <v>590</v>
      </c>
      <c r="C315" s="46" t="s">
        <v>8062</v>
      </c>
    </row>
    <row r="316" spans="1:3" ht="30" x14ac:dyDescent="0.25">
      <c r="A316" s="28">
        <v>274401</v>
      </c>
      <c r="B316" s="65" t="s">
        <v>8364</v>
      </c>
      <c r="C316" s="46"/>
    </row>
    <row r="317" spans="1:3" ht="30" x14ac:dyDescent="0.25">
      <c r="A317" s="28">
        <v>274402</v>
      </c>
      <c r="B317" s="65" t="s">
        <v>8364</v>
      </c>
      <c r="C317" s="46"/>
    </row>
    <row r="318" spans="1:3" ht="30" x14ac:dyDescent="0.25">
      <c r="A318" s="28">
        <v>274400</v>
      </c>
      <c r="B318" s="65" t="s">
        <v>8364</v>
      </c>
      <c r="C318" s="46"/>
    </row>
    <row r="319" spans="1:3" ht="30" x14ac:dyDescent="0.25">
      <c r="A319" s="28">
        <v>264918</v>
      </c>
      <c r="B319" s="65" t="s">
        <v>8364</v>
      </c>
      <c r="C319" s="46"/>
    </row>
    <row r="320" spans="1:3" ht="30" x14ac:dyDescent="0.25">
      <c r="A320" s="28">
        <v>264919</v>
      </c>
      <c r="B320" s="65" t="s">
        <v>8364</v>
      </c>
      <c r="C320" s="46"/>
    </row>
    <row r="321" spans="1:3" x14ac:dyDescent="0.25">
      <c r="A321" s="1" t="s">
        <v>0</v>
      </c>
      <c r="B321" s="35" t="s">
        <v>7190</v>
      </c>
      <c r="C321" s="3"/>
    </row>
    <row r="322" spans="1:3" x14ac:dyDescent="0.25">
      <c r="A322" s="28">
        <v>242730</v>
      </c>
      <c r="B322" s="40" t="s">
        <v>8364</v>
      </c>
      <c r="C322" s="3"/>
    </row>
    <row r="323" spans="1:3" x14ac:dyDescent="0.25">
      <c r="A323" s="28">
        <v>274105</v>
      </c>
      <c r="B323" s="40" t="s">
        <v>8364</v>
      </c>
      <c r="C323"/>
    </row>
    <row r="324" spans="1:3" x14ac:dyDescent="0.25">
      <c r="A324" s="28">
        <v>242732</v>
      </c>
      <c r="B324" s="40" t="s">
        <v>8364</v>
      </c>
      <c r="C324"/>
    </row>
    <row r="325" spans="1:3" x14ac:dyDescent="0.25">
      <c r="A325" s="28">
        <v>274106</v>
      </c>
      <c r="B325" s="40" t="s">
        <v>8364</v>
      </c>
      <c r="C325"/>
    </row>
    <row r="326" spans="1:3" x14ac:dyDescent="0.25">
      <c r="A326" s="28">
        <v>274107</v>
      </c>
      <c r="B326" s="40" t="s">
        <v>8364</v>
      </c>
      <c r="C326"/>
    </row>
    <row r="327" spans="1:3" x14ac:dyDescent="0.25">
      <c r="A327" s="28">
        <v>274108</v>
      </c>
      <c r="B327" s="40" t="s">
        <v>8364</v>
      </c>
      <c r="C327"/>
    </row>
    <row r="328" spans="1:3" x14ac:dyDescent="0.25">
      <c r="A328" s="28">
        <v>274109</v>
      </c>
      <c r="B328" s="40" t="s">
        <v>8364</v>
      </c>
      <c r="C328"/>
    </row>
    <row r="329" spans="1:3" x14ac:dyDescent="0.25">
      <c r="A329" s="28">
        <v>274110</v>
      </c>
      <c r="B329" s="40" t="s">
        <v>8364</v>
      </c>
      <c r="C329"/>
    </row>
    <row r="330" spans="1:3" x14ac:dyDescent="0.25">
      <c r="A330" s="28">
        <v>274111</v>
      </c>
      <c r="B330" s="40" t="s">
        <v>8364</v>
      </c>
      <c r="C330"/>
    </row>
    <row r="331" spans="1:3" x14ac:dyDescent="0.25">
      <c r="A331" s="28">
        <v>242739</v>
      </c>
      <c r="B331" s="40" t="s">
        <v>8364</v>
      </c>
      <c r="C331"/>
    </row>
    <row r="332" spans="1:3" x14ac:dyDescent="0.25">
      <c r="A332" s="28">
        <v>274112</v>
      </c>
      <c r="B332" s="40" t="s">
        <v>8364</v>
      </c>
      <c r="C332"/>
    </row>
    <row r="333" spans="1:3" x14ac:dyDescent="0.25">
      <c r="A333" s="28">
        <v>274113</v>
      </c>
      <c r="B333" s="40" t="s">
        <v>8364</v>
      </c>
      <c r="C333"/>
    </row>
    <row r="334" spans="1:3" x14ac:dyDescent="0.25">
      <c r="A334" s="28">
        <v>274114</v>
      </c>
      <c r="B334" s="40" t="s">
        <v>8364</v>
      </c>
      <c r="C334"/>
    </row>
    <row r="335" spans="1:3" x14ac:dyDescent="0.25">
      <c r="A335" s="28">
        <v>274115</v>
      </c>
      <c r="B335" s="40" t="s">
        <v>8364</v>
      </c>
      <c r="C335"/>
    </row>
    <row r="336" spans="1:3" x14ac:dyDescent="0.25">
      <c r="A336" s="28">
        <v>274116</v>
      </c>
      <c r="B336" s="40" t="s">
        <v>8364</v>
      </c>
      <c r="C336"/>
    </row>
    <row r="337" spans="1:3" x14ac:dyDescent="0.25">
      <c r="A337" s="28">
        <v>274117</v>
      </c>
      <c r="B337" s="40" t="s">
        <v>8364</v>
      </c>
      <c r="C337"/>
    </row>
    <row r="338" spans="1:3" x14ac:dyDescent="0.25">
      <c r="A338" s="28">
        <v>251281</v>
      </c>
      <c r="B338" s="40" t="s">
        <v>8364</v>
      </c>
      <c r="C338"/>
    </row>
    <row r="339" spans="1:3" x14ac:dyDescent="0.25">
      <c r="A339" s="28">
        <v>251282</v>
      </c>
      <c r="B339" s="40" t="s">
        <v>8364</v>
      </c>
      <c r="C339"/>
    </row>
    <row r="340" spans="1:3" x14ac:dyDescent="0.25">
      <c r="A340" s="28">
        <v>251283</v>
      </c>
      <c r="B340" s="40" t="s">
        <v>8364</v>
      </c>
      <c r="C340"/>
    </row>
    <row r="341" spans="1:3" x14ac:dyDescent="0.25">
      <c r="A341" s="28">
        <v>251284</v>
      </c>
      <c r="B341" s="40" t="s">
        <v>8364</v>
      </c>
      <c r="C341"/>
    </row>
    <row r="342" spans="1:3" x14ac:dyDescent="0.25">
      <c r="A342" s="28">
        <v>251285</v>
      </c>
      <c r="B342" s="40" t="s">
        <v>8364</v>
      </c>
      <c r="C342"/>
    </row>
    <row r="343" spans="1:3" x14ac:dyDescent="0.25">
      <c r="A343" s="28">
        <v>251286</v>
      </c>
      <c r="B343" s="40" t="s">
        <v>8364</v>
      </c>
      <c r="C343"/>
    </row>
    <row r="344" spans="1:3" x14ac:dyDescent="0.25">
      <c r="A344" s="28">
        <v>251287</v>
      </c>
      <c r="B344" s="40" t="s">
        <v>8364</v>
      </c>
      <c r="C344"/>
    </row>
    <row r="345" spans="1:3" x14ac:dyDescent="0.25">
      <c r="A345" s="28">
        <v>251288</v>
      </c>
      <c r="B345" s="40" t="s">
        <v>8364</v>
      </c>
      <c r="C345"/>
    </row>
    <row r="346" spans="1:3" x14ac:dyDescent="0.25">
      <c r="A346" s="28">
        <v>251289</v>
      </c>
      <c r="B346" s="40" t="s">
        <v>8364</v>
      </c>
      <c r="C346"/>
    </row>
    <row r="347" spans="1:3" x14ac:dyDescent="0.25">
      <c r="A347" s="28">
        <v>251290</v>
      </c>
      <c r="B347" s="40" t="s">
        <v>8364</v>
      </c>
      <c r="C347"/>
    </row>
    <row r="348" spans="1:3" x14ac:dyDescent="0.25">
      <c r="A348" s="28">
        <v>251291</v>
      </c>
      <c r="B348" s="40" t="s">
        <v>8364</v>
      </c>
      <c r="C348"/>
    </row>
    <row r="349" spans="1:3" x14ac:dyDescent="0.25">
      <c r="A349" s="28">
        <v>251292</v>
      </c>
      <c r="B349" s="40" t="s">
        <v>8364</v>
      </c>
      <c r="C349"/>
    </row>
    <row r="350" spans="1:3" x14ac:dyDescent="0.25">
      <c r="A350" s="28">
        <v>251293</v>
      </c>
      <c r="B350" s="40" t="s">
        <v>8364</v>
      </c>
      <c r="C350"/>
    </row>
    <row r="351" spans="1:3" x14ac:dyDescent="0.25">
      <c r="A351" s="28">
        <v>251294</v>
      </c>
      <c r="B351" s="40" t="s">
        <v>8364</v>
      </c>
      <c r="C351"/>
    </row>
    <row r="352" spans="1:3" x14ac:dyDescent="0.25">
      <c r="A352" s="28">
        <v>251295</v>
      </c>
      <c r="B352" s="40" t="s">
        <v>8364</v>
      </c>
      <c r="C352"/>
    </row>
    <row r="353" spans="1:3" x14ac:dyDescent="0.25">
      <c r="A353" s="28">
        <v>242747</v>
      </c>
      <c r="B353" s="40" t="s">
        <v>8364</v>
      </c>
      <c r="C353"/>
    </row>
    <row r="354" spans="1:3" x14ac:dyDescent="0.25">
      <c r="A354" s="28">
        <v>242748</v>
      </c>
      <c r="B354" s="40" t="s">
        <v>8364</v>
      </c>
      <c r="C354"/>
    </row>
    <row r="355" spans="1:3" x14ac:dyDescent="0.25">
      <c r="A355" s="28">
        <v>242749</v>
      </c>
      <c r="B355" s="40" t="s">
        <v>8364</v>
      </c>
      <c r="C355"/>
    </row>
    <row r="356" spans="1:3" x14ac:dyDescent="0.25">
      <c r="A356" s="28">
        <v>242750</v>
      </c>
      <c r="B356" s="40" t="s">
        <v>8364</v>
      </c>
      <c r="C356"/>
    </row>
    <row r="357" spans="1:3" x14ac:dyDescent="0.25">
      <c r="A357" s="28">
        <v>242751</v>
      </c>
      <c r="B357" s="40" t="s">
        <v>8364</v>
      </c>
      <c r="C357"/>
    </row>
    <row r="358" spans="1:3" x14ac:dyDescent="0.25">
      <c r="A358" s="28">
        <v>242752</v>
      </c>
      <c r="B358" s="40" t="s">
        <v>8364</v>
      </c>
      <c r="C358"/>
    </row>
    <row r="359" spans="1:3" x14ac:dyDescent="0.25">
      <c r="A359" s="28">
        <v>242753</v>
      </c>
      <c r="B359" s="40" t="s">
        <v>8364</v>
      </c>
      <c r="C359"/>
    </row>
    <row r="360" spans="1:3" x14ac:dyDescent="0.25">
      <c r="A360" s="28">
        <v>242754</v>
      </c>
      <c r="B360" s="40" t="s">
        <v>8364</v>
      </c>
      <c r="C360"/>
    </row>
    <row r="361" spans="1:3" x14ac:dyDescent="0.25">
      <c r="A361" s="28">
        <v>242755</v>
      </c>
      <c r="B361" s="40" t="s">
        <v>8364</v>
      </c>
      <c r="C361"/>
    </row>
    <row r="362" spans="1:3" x14ac:dyDescent="0.25">
      <c r="A362" s="28">
        <v>242756</v>
      </c>
      <c r="B362" s="40" t="s">
        <v>8364</v>
      </c>
      <c r="C362"/>
    </row>
    <row r="363" spans="1:3" x14ac:dyDescent="0.25">
      <c r="A363" s="28">
        <v>242757</v>
      </c>
      <c r="B363" s="40" t="s">
        <v>8364</v>
      </c>
      <c r="C363"/>
    </row>
    <row r="364" spans="1:3" x14ac:dyDescent="0.25">
      <c r="A364" s="28">
        <v>242758</v>
      </c>
      <c r="B364" s="40" t="s">
        <v>8364</v>
      </c>
      <c r="C364"/>
    </row>
    <row r="365" spans="1:3" x14ac:dyDescent="0.25">
      <c r="A365" s="28">
        <v>242759</v>
      </c>
      <c r="B365" s="40" t="s">
        <v>8364</v>
      </c>
      <c r="C365"/>
    </row>
    <row r="366" spans="1:3" x14ac:dyDescent="0.25">
      <c r="A366" s="28">
        <v>242760</v>
      </c>
      <c r="B366" s="40" t="s">
        <v>8364</v>
      </c>
      <c r="C366"/>
    </row>
    <row r="367" spans="1:3" x14ac:dyDescent="0.25">
      <c r="A367" s="28">
        <v>242761</v>
      </c>
      <c r="B367" s="40" t="s">
        <v>8364</v>
      </c>
      <c r="C367"/>
    </row>
    <row r="368" spans="1:3" x14ac:dyDescent="0.25">
      <c r="A368" s="28">
        <v>242762</v>
      </c>
      <c r="B368" s="40" t="s">
        <v>8364</v>
      </c>
      <c r="C368"/>
    </row>
    <row r="369" spans="1:3" x14ac:dyDescent="0.25">
      <c r="A369" s="28">
        <v>242763</v>
      </c>
      <c r="B369" s="40" t="s">
        <v>8364</v>
      </c>
      <c r="C369"/>
    </row>
    <row r="370" spans="1:3" x14ac:dyDescent="0.25">
      <c r="A370" s="28">
        <v>242764</v>
      </c>
      <c r="B370" s="40" t="s">
        <v>8364</v>
      </c>
      <c r="C370"/>
    </row>
    <row r="371" spans="1:3" x14ac:dyDescent="0.25">
      <c r="A371" s="28">
        <v>242765</v>
      </c>
      <c r="B371" s="40" t="s">
        <v>8364</v>
      </c>
      <c r="C371"/>
    </row>
    <row r="372" spans="1:3" x14ac:dyDescent="0.25">
      <c r="A372" s="28">
        <v>242766</v>
      </c>
      <c r="B372" s="40" t="s">
        <v>8364</v>
      </c>
      <c r="C372"/>
    </row>
    <row r="373" spans="1:3" x14ac:dyDescent="0.25">
      <c r="A373" s="28">
        <v>242767</v>
      </c>
      <c r="B373" s="40" t="s">
        <v>8364</v>
      </c>
      <c r="C373"/>
    </row>
  </sheetData>
  <conditionalFormatting sqref="A3:A320">
    <cfRule type="expression" dxfId="1" priority="2">
      <formula>AND(ROUNDDOWN($Q3,0)=0,ROUNDDOWN($P3,0)=0)</formula>
    </cfRule>
  </conditionalFormatting>
  <conditionalFormatting sqref="A322:A373">
    <cfRule type="expression" dxfId="0" priority="1">
      <formula>AND(ROUNDDOWN($P322,0)=0,ROUNDDOWN($Q322,0)=0)</formula>
    </cfRule>
  </conditionalFormatting>
  <hyperlinks>
    <hyperlink ref="B111" r:id="rId1" display="https://motorring.ru/product/26638-aromatizator-avtomobilynyy-car-freshner" xr:uid="{99518EB0-7201-46D0-AEC4-CBF24E607B4D}"/>
    <hyperlink ref="B112" r:id="rId2" display="https://motorring.ru/product/26638-aromatizator-avtomobilynyy-car-freshner" xr:uid="{B4856EEF-8A62-43D2-98D3-0797BACBF63A}"/>
    <hyperlink ref="B113" r:id="rId3" display="https://motorring.ru/product/26638-aromatizator-avtomobilynyy-car-freshner" xr:uid="{2B675110-C8A5-477F-80FB-064DF54141F0}"/>
    <hyperlink ref="B114" r:id="rId4" display="https://motorring.ru/product/26638-aromatizator-avtomobilynyy-car-freshner" xr:uid="{02D53E8E-CB3C-4256-9605-C9B40D5E2F28}"/>
    <hyperlink ref="B115" r:id="rId5" display="https://motorring.ru/product/26638-aromatizator-avtomobilynyy-car-freshner" xr:uid="{1FA4B2E1-807D-4FD5-A746-507548823F78}"/>
    <hyperlink ref="B116" r:id="rId6" display="https://motorring.ru/product/26638-aromatizator-avtomobilynyy-car-freshner" xr:uid="{55C70D91-3D11-4882-9C83-28D1B4EAD30B}"/>
    <hyperlink ref="B117" r:id="rId7" display="https://motorring.ru/product/26638-aromatizator-avtomobilynyy-car-freshner" xr:uid="{19ACB106-929C-4B87-9764-859B7E1DFB86}"/>
    <hyperlink ref="B118" r:id="rId8" display="https://motorring.ru/product/26638-aromatizator-avtomobilynyy-car-freshner" xr:uid="{E070EEC0-DE34-47BB-8A28-8E2A2E11BCAB}"/>
    <hyperlink ref="B119" r:id="rId9" display="https://motorring.ru/product/26638-aromatizator-avtomobilynyy-car-freshner" xr:uid="{0C1F2BDE-63ED-48B2-ABF6-B544C2121A04}"/>
    <hyperlink ref="B120" r:id="rId10" display="https://motorring.ru/product/26638-aromatizator-avtomobilynyy-car-freshner" xr:uid="{05885C04-BD3E-4FE4-9F50-B77626CF2D76}"/>
    <hyperlink ref="B121" r:id="rId11" display="https://motorring.ru/product/26638-aromatizator-avtomobilynyy-car-freshner" xr:uid="{F6653D78-6CB1-4F9F-BF49-9142E57F5CE5}"/>
    <hyperlink ref="B122" r:id="rId12" display="https://motorring.ru/product/26638-aromatizator-avtomobilynyy-car-freshner" xr:uid="{9F3763C4-120B-4FB8-B751-5E61DBC96749}"/>
    <hyperlink ref="B123" r:id="rId13" display="https://motorring.ru/product/26638-aromatizator-avtomobilynyy-car-freshner" xr:uid="{9D48DFE9-238C-49A8-9257-2674A4FC3686}"/>
    <hyperlink ref="B124" r:id="rId14" display="https://motorring.ru/product/26638-aromatizator-avtomobilynyy-car-freshner" xr:uid="{1F5F0675-CC13-4375-9B79-A4472613501B}"/>
    <hyperlink ref="B125" r:id="rId15" display="https://motorring.ru/product/26638-aromatizator-avtomobilynyy-car-freshner" xr:uid="{11716EBB-A2CA-4D8F-BA65-E3DB49105D0C}"/>
    <hyperlink ref="B126" r:id="rId16" display="https://motorring.ru/product/26638-aromatizator-avtomobilynyy-car-freshner" xr:uid="{E0319F8C-BA0D-41C0-8DFC-20BFAB12E409}"/>
    <hyperlink ref="B127" r:id="rId17" display="https://motorring.ru/product/26638-aromatizator-avtomobilynyy-car-freshner" xr:uid="{385A971B-527E-4A7E-A136-D9E44B18A7BD}"/>
    <hyperlink ref="B128" r:id="rId18" display="https://motorring.ru/product/26638-aromatizator-avtomobilynyy-car-freshner" xr:uid="{9F9F7C91-1EC4-4459-AD23-A57AEF18D70C}"/>
    <hyperlink ref="B135" r:id="rId19" display="https://motorring.ru/product/26638-aromatizator-avtomobilynyy-car-freshner" xr:uid="{02ABAAF7-F51F-43AF-9691-CB1D0B811B5D}"/>
    <hyperlink ref="B136" r:id="rId20" display="https://motorring.ru/product/26638-aromatizator-avtomobilynyy-car-freshner" xr:uid="{486D8364-51FC-4EEE-9DA1-E33B85A04664}"/>
    <hyperlink ref="B137" r:id="rId21" display="https://motorring.ru/product/26638-aromatizator-avtomobilynyy-car-freshner" xr:uid="{78520BFC-CF62-4395-8DC4-F1C13B67AA57}"/>
    <hyperlink ref="B271" r:id="rId22" display="https://motorring.ru/product/2696-signal-vozdushnyy-odnoroghkovyy-vstroennym-motorom" xr:uid="{8A1AAB67-B068-42F5-8314-9FA22754053D}"/>
    <hyperlink ref="B110" r:id="rId23" display="https://motorring.ru/product/26638-aromatizator-avtomobilynyy-car-freshner" xr:uid="{977D0446-26BA-4C9C-80B9-833685F796C9}"/>
    <hyperlink ref="B163" r:id="rId24" display="https://motorring.ru/product/26638-aromatizator-avtomobilynyy-car-freshner" xr:uid="{4B2AA12D-0CC6-4BDC-B1B7-AE26C94F3E05}"/>
    <hyperlink ref="B164" r:id="rId25" display="https://motorring.ru/product/26638-aromatizator-avtomobilynyy-car-freshner" xr:uid="{597E817E-30EB-4282-A087-23C815386E92}"/>
  </hyperlinks>
  <pageMargins left="0.7" right="0.7" top="0.75" bottom="0.75" header="0.3" footer="0.3"/>
  <pageSetup paperSize="9" orientation="portrait" r:id="rId26"/>
  <drawing r:id="rId27"/>
  <legacyDrawing r:id="rId28"/>
  <controls>
    <mc:AlternateContent xmlns:mc="http://schemas.openxmlformats.org/markup-compatibility/2006">
      <mc:Choice Requires="x14">
        <control shapeId="7169" r:id="rId29" name="CommandButton1">
          <controlPr defaultSize="0" autoLine="0" r:id="rId30">
            <anchor moveWithCells="1">
              <from>
                <xdr:col>8</xdr:col>
                <xdr:colOff>457200</xdr:colOff>
                <xdr:row>4</xdr:row>
                <xdr:rowOff>180975</xdr:rowOff>
              </from>
              <to>
                <xdr:col>11</xdr:col>
                <xdr:colOff>590550</xdr:colOff>
                <xdr:row>8</xdr:row>
                <xdr:rowOff>76200</xdr:rowOff>
              </to>
            </anchor>
          </controlPr>
        </control>
      </mc:Choice>
      <mc:Fallback>
        <control shapeId="7169" r:id="rId29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6836B-F87D-42F4-AC4E-B45450B21FEB}">
  <sheetPr codeName="Лист7">
    <tabColor rgb="FF92D050"/>
  </sheetPr>
  <dimension ref="A1:S717"/>
  <sheetViews>
    <sheetView workbookViewId="0">
      <selection activeCell="D11" sqref="D11"/>
    </sheetView>
  </sheetViews>
  <sheetFormatPr defaultRowHeight="15" x14ac:dyDescent="0.25"/>
  <cols>
    <col min="1" max="1" width="12.5703125" style="44" bestFit="1" customWidth="1"/>
    <col min="2" max="2" width="11.140625" style="44" bestFit="1" customWidth="1"/>
    <col min="3" max="3" width="17.42578125" style="44" bestFit="1" customWidth="1"/>
    <col min="4" max="4" width="81.140625" style="44" bestFit="1" customWidth="1"/>
    <col min="5" max="5" width="28.28515625" style="44" bestFit="1" customWidth="1"/>
    <col min="6" max="6" width="35.5703125" style="44" bestFit="1" customWidth="1"/>
    <col min="7" max="9" width="11.140625" style="44" bestFit="1" customWidth="1"/>
    <col min="10" max="19" width="12.140625" style="44" bestFit="1" customWidth="1"/>
    <col min="20" max="16384" width="9.140625" style="44"/>
  </cols>
  <sheetData>
    <row r="1" spans="1:19" x14ac:dyDescent="0.25">
      <c r="A1" s="59" t="s">
        <v>8074</v>
      </c>
      <c r="B1" s="59" t="s">
        <v>8075</v>
      </c>
      <c r="C1" s="59" t="s">
        <v>8076</v>
      </c>
      <c r="D1" s="59" t="s">
        <v>8077</v>
      </c>
      <c r="E1" s="59" t="s">
        <v>8078</v>
      </c>
      <c r="F1" s="59" t="s">
        <v>8079</v>
      </c>
      <c r="G1" s="59" t="s">
        <v>8080</v>
      </c>
      <c r="H1" s="59" t="s">
        <v>8081</v>
      </c>
      <c r="I1" s="59" t="s">
        <v>8082</v>
      </c>
      <c r="J1" s="59" t="s">
        <v>8083</v>
      </c>
      <c r="K1" s="59" t="s">
        <v>8084</v>
      </c>
      <c r="L1" s="59" t="s">
        <v>8085</v>
      </c>
      <c r="M1" s="59" t="s">
        <v>8086</v>
      </c>
      <c r="N1" s="59" t="s">
        <v>8087</v>
      </c>
      <c r="O1" s="59" t="s">
        <v>8088</v>
      </c>
      <c r="P1" s="59" t="s">
        <v>8089</v>
      </c>
      <c r="Q1" s="59" t="s">
        <v>8090</v>
      </c>
      <c r="R1" s="59" t="s">
        <v>8091</v>
      </c>
      <c r="S1" s="59" t="s">
        <v>8092</v>
      </c>
    </row>
    <row r="2" spans="1:19" x14ac:dyDescent="0.25">
      <c r="A2"/>
      <c r="B2"/>
      <c r="C2"/>
      <c r="D2"/>
      <c r="E2" t="s">
        <v>8093</v>
      </c>
      <c r="F2" t="s">
        <v>8093</v>
      </c>
      <c r="G2"/>
      <c r="H2"/>
      <c r="I2"/>
      <c r="J2"/>
      <c r="K2"/>
      <c r="L2"/>
      <c r="M2"/>
      <c r="N2"/>
      <c r="O2"/>
      <c r="P2"/>
      <c r="Q2"/>
      <c r="R2"/>
      <c r="S2"/>
    </row>
    <row r="3" spans="1:19" x14ac:dyDescent="0.25">
      <c r="A3" t="s">
        <v>8361</v>
      </c>
      <c r="B3" t="s">
        <v>8362</v>
      </c>
      <c r="C3" t="s">
        <v>8363</v>
      </c>
      <c r="D3" t="s">
        <v>8094</v>
      </c>
      <c r="E3" t="s">
        <v>8095</v>
      </c>
      <c r="F3" t="s">
        <v>8096</v>
      </c>
      <c r="G3"/>
      <c r="H3"/>
      <c r="I3"/>
      <c r="J3"/>
      <c r="K3"/>
      <c r="L3"/>
      <c r="M3"/>
      <c r="N3"/>
      <c r="O3"/>
      <c r="P3"/>
      <c r="Q3"/>
      <c r="R3"/>
      <c r="S3"/>
    </row>
    <row r="4" spans="1:19" x14ac:dyDescent="0.25">
      <c r="A4"/>
      <c r="B4" t="s">
        <v>0</v>
      </c>
      <c r="C4"/>
      <c r="D4" t="s">
        <v>7241</v>
      </c>
      <c r="E4" t="s">
        <v>8097</v>
      </c>
      <c r="F4" t="s">
        <v>8097</v>
      </c>
      <c r="G4"/>
      <c r="H4"/>
      <c r="I4"/>
      <c r="J4"/>
      <c r="K4"/>
      <c r="L4"/>
      <c r="M4"/>
      <c r="N4"/>
      <c r="O4"/>
      <c r="P4"/>
      <c r="Q4"/>
      <c r="R4"/>
      <c r="S4"/>
    </row>
    <row r="5" spans="1:19" x14ac:dyDescent="0.25">
      <c r="A5" t="s">
        <v>3</v>
      </c>
      <c r="B5">
        <v>131465</v>
      </c>
      <c r="C5"/>
      <c r="D5"/>
      <c r="E5"/>
      <c r="F5"/>
      <c r="G5" t="s">
        <v>8098</v>
      </c>
      <c r="H5"/>
      <c r="I5"/>
      <c r="J5"/>
      <c r="K5"/>
      <c r="L5"/>
      <c r="M5"/>
      <c r="N5"/>
      <c r="O5"/>
      <c r="P5"/>
      <c r="Q5"/>
      <c r="R5"/>
      <c r="S5"/>
    </row>
    <row r="6" spans="1:19" x14ac:dyDescent="0.25">
      <c r="A6" t="s">
        <v>3</v>
      </c>
      <c r="B6">
        <v>131498</v>
      </c>
      <c r="C6"/>
      <c r="D6"/>
      <c r="E6"/>
      <c r="F6"/>
      <c r="G6" t="s">
        <v>8098</v>
      </c>
      <c r="H6"/>
      <c r="I6"/>
      <c r="J6"/>
      <c r="K6"/>
      <c r="L6"/>
      <c r="M6"/>
      <c r="N6"/>
      <c r="O6"/>
      <c r="P6"/>
      <c r="Q6"/>
      <c r="R6"/>
      <c r="S6"/>
    </row>
    <row r="7" spans="1:19" x14ac:dyDescent="0.25">
      <c r="A7" t="s">
        <v>3</v>
      </c>
      <c r="B7">
        <v>131834</v>
      </c>
      <c r="C7"/>
      <c r="D7"/>
      <c r="E7"/>
      <c r="F7"/>
      <c r="G7" t="s">
        <v>8098</v>
      </c>
      <c r="H7"/>
      <c r="I7"/>
      <c r="J7"/>
      <c r="K7"/>
      <c r="L7"/>
      <c r="M7"/>
      <c r="N7"/>
      <c r="O7"/>
      <c r="P7"/>
      <c r="Q7"/>
      <c r="R7"/>
      <c r="S7"/>
    </row>
    <row r="8" spans="1:19" x14ac:dyDescent="0.25">
      <c r="A8" t="s">
        <v>3</v>
      </c>
      <c r="B8">
        <v>131835</v>
      </c>
      <c r="C8"/>
      <c r="D8"/>
      <c r="E8"/>
      <c r="F8"/>
      <c r="G8" t="s">
        <v>8098</v>
      </c>
      <c r="H8"/>
      <c r="I8"/>
      <c r="J8"/>
      <c r="K8"/>
      <c r="L8"/>
      <c r="M8"/>
      <c r="N8"/>
      <c r="O8"/>
      <c r="P8"/>
      <c r="Q8"/>
      <c r="R8"/>
      <c r="S8"/>
    </row>
    <row r="9" spans="1:19" x14ac:dyDescent="0.25">
      <c r="A9" t="s">
        <v>3</v>
      </c>
      <c r="B9">
        <v>132858</v>
      </c>
      <c r="C9"/>
      <c r="D9"/>
      <c r="E9"/>
      <c r="F9"/>
      <c r="G9" t="s">
        <v>8098</v>
      </c>
      <c r="H9"/>
      <c r="I9"/>
      <c r="J9"/>
      <c r="K9"/>
      <c r="L9"/>
      <c r="M9"/>
      <c r="N9"/>
      <c r="O9"/>
      <c r="P9"/>
      <c r="Q9"/>
      <c r="R9"/>
      <c r="S9"/>
    </row>
    <row r="10" spans="1:19" x14ac:dyDescent="0.25">
      <c r="A10" t="s">
        <v>3</v>
      </c>
      <c r="B10">
        <v>132869</v>
      </c>
      <c r="C10"/>
      <c r="D10"/>
      <c r="E10"/>
      <c r="F10"/>
      <c r="G10" t="s">
        <v>8098</v>
      </c>
      <c r="H10"/>
      <c r="I10"/>
      <c r="J10"/>
      <c r="K10"/>
      <c r="L10"/>
      <c r="M10"/>
      <c r="N10"/>
      <c r="O10"/>
      <c r="P10"/>
      <c r="Q10"/>
      <c r="R10"/>
      <c r="S10"/>
    </row>
    <row r="11" spans="1:19" x14ac:dyDescent="0.25">
      <c r="A11" t="s">
        <v>3</v>
      </c>
      <c r="B11">
        <v>132875</v>
      </c>
      <c r="C11"/>
      <c r="D11"/>
      <c r="E11"/>
      <c r="F11"/>
      <c r="G11" t="s">
        <v>8098</v>
      </c>
      <c r="H11"/>
      <c r="I11"/>
      <c r="J11"/>
      <c r="K11"/>
      <c r="L11"/>
      <c r="M11"/>
      <c r="N11"/>
      <c r="O11"/>
      <c r="P11"/>
      <c r="Q11"/>
      <c r="R11"/>
      <c r="S11"/>
    </row>
    <row r="12" spans="1:19" x14ac:dyDescent="0.25">
      <c r="A12" t="s">
        <v>3</v>
      </c>
      <c r="B12">
        <v>132992</v>
      </c>
      <c r="C12"/>
      <c r="D12"/>
      <c r="E12"/>
      <c r="F12"/>
      <c r="G12" t="s">
        <v>8098</v>
      </c>
      <c r="H12"/>
      <c r="I12"/>
      <c r="J12"/>
      <c r="K12"/>
      <c r="L12"/>
      <c r="M12"/>
      <c r="N12"/>
      <c r="O12"/>
      <c r="P12"/>
      <c r="Q12"/>
      <c r="R12"/>
      <c r="S12"/>
    </row>
    <row r="13" spans="1:19" x14ac:dyDescent="0.25">
      <c r="A13" t="s">
        <v>3</v>
      </c>
      <c r="B13">
        <v>131496</v>
      </c>
      <c r="C13">
        <v>390</v>
      </c>
      <c r="D13" t="s">
        <v>8064</v>
      </c>
      <c r="E13"/>
      <c r="F13"/>
      <c r="G13">
        <v>390</v>
      </c>
      <c r="H13"/>
      <c r="I13"/>
      <c r="J13"/>
      <c r="K13"/>
      <c r="L13"/>
      <c r="M13"/>
      <c r="N13"/>
      <c r="O13"/>
      <c r="P13"/>
      <c r="Q13"/>
      <c r="R13"/>
      <c r="S13"/>
    </row>
    <row r="14" spans="1:19" x14ac:dyDescent="0.25">
      <c r="A14" t="s">
        <v>3</v>
      </c>
      <c r="B14">
        <v>132994</v>
      </c>
      <c r="C14">
        <v>190</v>
      </c>
      <c r="D14" t="s">
        <v>8065</v>
      </c>
      <c r="E14"/>
      <c r="F14"/>
      <c r="G14">
        <v>190</v>
      </c>
      <c r="H14"/>
      <c r="I14"/>
      <c r="J14"/>
      <c r="K14"/>
      <c r="L14"/>
      <c r="M14"/>
      <c r="N14"/>
      <c r="O14"/>
      <c r="P14"/>
      <c r="Q14"/>
      <c r="R14"/>
      <c r="S14"/>
    </row>
    <row r="15" spans="1:19" x14ac:dyDescent="0.25">
      <c r="A15" t="s">
        <v>3</v>
      </c>
      <c r="B15">
        <v>132995</v>
      </c>
      <c r="C15">
        <v>190</v>
      </c>
      <c r="D15" t="s">
        <v>8065</v>
      </c>
      <c r="E15"/>
      <c r="F15"/>
      <c r="G15">
        <v>190</v>
      </c>
      <c r="H15"/>
      <c r="I15"/>
      <c r="J15"/>
      <c r="K15"/>
      <c r="L15"/>
      <c r="M15"/>
      <c r="N15"/>
      <c r="O15"/>
      <c r="P15"/>
      <c r="Q15"/>
      <c r="R15"/>
      <c r="S15"/>
    </row>
    <row r="16" spans="1:19" x14ac:dyDescent="0.25">
      <c r="A16" t="s">
        <v>3</v>
      </c>
      <c r="B16">
        <v>132998</v>
      </c>
      <c r="C16">
        <v>190</v>
      </c>
      <c r="D16" t="s">
        <v>8065</v>
      </c>
      <c r="E16"/>
      <c r="F16"/>
      <c r="G16">
        <v>190</v>
      </c>
      <c r="H16"/>
      <c r="I16"/>
      <c r="J16"/>
      <c r="K16"/>
      <c r="L16"/>
      <c r="M16"/>
      <c r="N16"/>
      <c r="O16"/>
      <c r="P16"/>
      <c r="Q16"/>
      <c r="R16"/>
      <c r="S16"/>
    </row>
    <row r="17" spans="1:19" x14ac:dyDescent="0.25">
      <c r="A17" t="s">
        <v>3</v>
      </c>
      <c r="B17">
        <v>132999</v>
      </c>
      <c r="C17">
        <v>190</v>
      </c>
      <c r="D17" t="s">
        <v>8065</v>
      </c>
      <c r="E17"/>
      <c r="F17"/>
      <c r="G17">
        <v>190</v>
      </c>
      <c r="H17"/>
      <c r="I17"/>
      <c r="J17"/>
      <c r="K17"/>
      <c r="L17"/>
      <c r="M17"/>
      <c r="N17"/>
      <c r="O17"/>
      <c r="P17"/>
      <c r="Q17"/>
      <c r="R17"/>
      <c r="S17"/>
    </row>
    <row r="18" spans="1:19" x14ac:dyDescent="0.25">
      <c r="A18" t="s">
        <v>3</v>
      </c>
      <c r="B18">
        <v>133004</v>
      </c>
      <c r="C18">
        <v>469</v>
      </c>
      <c r="D18" t="s">
        <v>8066</v>
      </c>
      <c r="E18"/>
      <c r="F18"/>
      <c r="G18">
        <v>469</v>
      </c>
      <c r="H18"/>
      <c r="I18"/>
      <c r="J18"/>
      <c r="K18"/>
      <c r="L18"/>
      <c r="M18"/>
      <c r="N18"/>
      <c r="O18"/>
      <c r="P18"/>
      <c r="Q18"/>
      <c r="R18"/>
      <c r="S18"/>
    </row>
    <row r="19" spans="1:19" x14ac:dyDescent="0.25">
      <c r="A19" t="s">
        <v>3</v>
      </c>
      <c r="B19">
        <v>133005</v>
      </c>
      <c r="C19">
        <v>469</v>
      </c>
      <c r="D19" t="s">
        <v>8066</v>
      </c>
      <c r="E19"/>
      <c r="F19"/>
      <c r="G19">
        <v>469</v>
      </c>
      <c r="H19"/>
      <c r="I19"/>
      <c r="J19"/>
      <c r="K19"/>
      <c r="L19"/>
      <c r="M19"/>
      <c r="N19"/>
      <c r="O19"/>
      <c r="P19"/>
      <c r="Q19"/>
      <c r="R19"/>
      <c r="S19"/>
    </row>
    <row r="20" spans="1:19" x14ac:dyDescent="0.25">
      <c r="A20" t="s">
        <v>3</v>
      </c>
      <c r="B20">
        <v>133007</v>
      </c>
      <c r="C20">
        <v>469</v>
      </c>
      <c r="D20" t="s">
        <v>8061</v>
      </c>
      <c r="E20"/>
      <c r="F20"/>
      <c r="G20">
        <v>469</v>
      </c>
      <c r="H20"/>
      <c r="I20"/>
      <c r="J20"/>
      <c r="K20"/>
      <c r="L20"/>
      <c r="M20"/>
      <c r="N20"/>
      <c r="O20"/>
      <c r="P20"/>
      <c r="Q20"/>
      <c r="R20"/>
      <c r="S20"/>
    </row>
    <row r="21" spans="1:19" x14ac:dyDescent="0.25">
      <c r="A21" t="s">
        <v>3</v>
      </c>
      <c r="B21">
        <v>133008</v>
      </c>
      <c r="C21">
        <v>469</v>
      </c>
      <c r="D21" t="s">
        <v>8061</v>
      </c>
      <c r="E21"/>
      <c r="F21"/>
      <c r="G21">
        <v>469</v>
      </c>
      <c r="H21"/>
      <c r="I21"/>
      <c r="J21"/>
      <c r="K21"/>
      <c r="L21"/>
      <c r="M21"/>
      <c r="N21"/>
      <c r="O21"/>
      <c r="P21"/>
      <c r="Q21"/>
      <c r="R21"/>
      <c r="S21"/>
    </row>
    <row r="22" spans="1:19" x14ac:dyDescent="0.25">
      <c r="A22" t="s">
        <v>3</v>
      </c>
      <c r="B22">
        <v>133009</v>
      </c>
      <c r="C22">
        <v>469</v>
      </c>
      <c r="D22" t="s">
        <v>8061</v>
      </c>
      <c r="E22"/>
      <c r="F22"/>
      <c r="G22">
        <v>469</v>
      </c>
      <c r="H22"/>
      <c r="I22"/>
      <c r="J22"/>
      <c r="K22"/>
      <c r="L22"/>
      <c r="M22"/>
      <c r="N22"/>
      <c r="O22"/>
      <c r="P22"/>
      <c r="Q22"/>
      <c r="R22"/>
      <c r="S22"/>
    </row>
    <row r="23" spans="1:19" x14ac:dyDescent="0.25">
      <c r="A23" t="s">
        <v>3</v>
      </c>
      <c r="B23">
        <v>133010</v>
      </c>
      <c r="C23">
        <v>469</v>
      </c>
      <c r="D23" t="s">
        <v>8061</v>
      </c>
      <c r="E23"/>
      <c r="F23"/>
      <c r="G23">
        <v>469</v>
      </c>
      <c r="H23"/>
      <c r="I23"/>
      <c r="J23"/>
      <c r="K23"/>
      <c r="L23"/>
      <c r="M23"/>
      <c r="N23"/>
      <c r="O23"/>
      <c r="P23"/>
      <c r="Q23"/>
      <c r="R23"/>
      <c r="S23"/>
    </row>
    <row r="24" spans="1:19" x14ac:dyDescent="0.25">
      <c r="A24" t="s">
        <v>3</v>
      </c>
      <c r="B24">
        <v>133011</v>
      </c>
      <c r="C24">
        <v>469</v>
      </c>
      <c r="D24" t="s">
        <v>8061</v>
      </c>
      <c r="E24"/>
      <c r="F24"/>
      <c r="G24">
        <v>469</v>
      </c>
      <c r="H24"/>
      <c r="I24"/>
      <c r="J24"/>
      <c r="K24"/>
      <c r="L24"/>
      <c r="M24"/>
      <c r="N24"/>
      <c r="O24"/>
      <c r="P24"/>
      <c r="Q24"/>
      <c r="R24"/>
      <c r="S24"/>
    </row>
    <row r="25" spans="1:19" x14ac:dyDescent="0.25">
      <c r="A25" t="s">
        <v>3</v>
      </c>
      <c r="B25">
        <v>133012</v>
      </c>
      <c r="C25">
        <v>390</v>
      </c>
      <c r="D25" t="s">
        <v>8067</v>
      </c>
      <c r="E25"/>
      <c r="F25"/>
      <c r="G25">
        <v>390</v>
      </c>
      <c r="H25"/>
      <c r="I25"/>
      <c r="J25"/>
      <c r="K25"/>
      <c r="L25"/>
      <c r="M25"/>
      <c r="N25"/>
      <c r="O25"/>
      <c r="P25"/>
      <c r="Q25"/>
      <c r="R25"/>
      <c r="S25"/>
    </row>
    <row r="26" spans="1:19" x14ac:dyDescent="0.25">
      <c r="A26" t="s">
        <v>3</v>
      </c>
      <c r="B26">
        <v>133013</v>
      </c>
      <c r="C26">
        <v>390</v>
      </c>
      <c r="D26" t="s">
        <v>8067</v>
      </c>
      <c r="E26"/>
      <c r="F26"/>
      <c r="G26">
        <v>390</v>
      </c>
      <c r="H26"/>
      <c r="I26"/>
      <c r="J26"/>
      <c r="K26"/>
      <c r="L26"/>
      <c r="M26"/>
      <c r="N26"/>
      <c r="O26"/>
      <c r="P26"/>
      <c r="Q26"/>
      <c r="R26"/>
      <c r="S26"/>
    </row>
    <row r="27" spans="1:19" x14ac:dyDescent="0.25">
      <c r="A27" t="s">
        <v>3</v>
      </c>
      <c r="B27">
        <v>133014</v>
      </c>
      <c r="C27">
        <v>390</v>
      </c>
      <c r="D27" t="s">
        <v>8067</v>
      </c>
      <c r="E27"/>
      <c r="F27"/>
      <c r="G27">
        <v>390</v>
      </c>
      <c r="H27"/>
      <c r="I27"/>
      <c r="J27"/>
      <c r="K27"/>
      <c r="L27"/>
      <c r="M27"/>
      <c r="N27"/>
      <c r="O27"/>
      <c r="P27"/>
      <c r="Q27"/>
      <c r="R27"/>
      <c r="S27"/>
    </row>
    <row r="28" spans="1:19" x14ac:dyDescent="0.25">
      <c r="A28" t="s">
        <v>3</v>
      </c>
      <c r="B28">
        <v>133016</v>
      </c>
      <c r="C28">
        <v>390</v>
      </c>
      <c r="D28" t="s">
        <v>8067</v>
      </c>
      <c r="E28"/>
      <c r="F28"/>
      <c r="G28">
        <v>390</v>
      </c>
      <c r="H28"/>
      <c r="I28"/>
      <c r="J28"/>
      <c r="K28"/>
      <c r="L28"/>
      <c r="M28"/>
      <c r="N28"/>
      <c r="O28"/>
      <c r="P28"/>
      <c r="Q28"/>
      <c r="R28"/>
      <c r="S28"/>
    </row>
    <row r="29" spans="1:19" x14ac:dyDescent="0.25">
      <c r="A29" t="s">
        <v>3</v>
      </c>
      <c r="B29">
        <v>133017</v>
      </c>
      <c r="C29">
        <v>390</v>
      </c>
      <c r="D29" t="s">
        <v>8067</v>
      </c>
      <c r="E29"/>
      <c r="F29"/>
      <c r="G29">
        <v>390</v>
      </c>
      <c r="H29"/>
      <c r="I29"/>
      <c r="J29"/>
      <c r="K29"/>
      <c r="L29"/>
      <c r="M29"/>
      <c r="N29"/>
      <c r="O29"/>
      <c r="P29"/>
      <c r="Q29"/>
      <c r="R29"/>
      <c r="S29"/>
    </row>
    <row r="30" spans="1:19" x14ac:dyDescent="0.25">
      <c r="A30" t="s">
        <v>3</v>
      </c>
      <c r="B30">
        <v>133018</v>
      </c>
      <c r="C30">
        <v>390</v>
      </c>
      <c r="D30" t="s">
        <v>8067</v>
      </c>
      <c r="E30"/>
      <c r="F30"/>
      <c r="G30">
        <v>390</v>
      </c>
      <c r="H30"/>
      <c r="I30"/>
      <c r="J30"/>
      <c r="K30"/>
      <c r="L30"/>
      <c r="M30"/>
      <c r="N30"/>
      <c r="O30"/>
      <c r="P30"/>
      <c r="Q30"/>
      <c r="R30"/>
      <c r="S30"/>
    </row>
    <row r="31" spans="1:19" x14ac:dyDescent="0.25">
      <c r="A31" t="s">
        <v>3</v>
      </c>
      <c r="B31">
        <v>133019</v>
      </c>
      <c r="C31">
        <v>390</v>
      </c>
      <c r="D31" t="s">
        <v>8067</v>
      </c>
      <c r="E31"/>
      <c r="F31"/>
      <c r="G31">
        <v>390</v>
      </c>
      <c r="H31"/>
      <c r="I31"/>
      <c r="J31"/>
      <c r="K31"/>
      <c r="L31"/>
      <c r="M31"/>
      <c r="N31"/>
      <c r="O31"/>
      <c r="P31"/>
      <c r="Q31"/>
      <c r="R31"/>
      <c r="S31"/>
    </row>
    <row r="32" spans="1:19" x14ac:dyDescent="0.25">
      <c r="A32" t="s">
        <v>3</v>
      </c>
      <c r="B32">
        <v>133020</v>
      </c>
      <c r="C32">
        <v>390</v>
      </c>
      <c r="D32" t="s">
        <v>8067</v>
      </c>
      <c r="E32"/>
      <c r="F32"/>
      <c r="G32">
        <v>390</v>
      </c>
      <c r="H32"/>
      <c r="I32"/>
      <c r="J32"/>
      <c r="K32"/>
      <c r="L32"/>
      <c r="M32"/>
      <c r="N32"/>
      <c r="O32"/>
      <c r="P32"/>
      <c r="Q32"/>
      <c r="R32"/>
      <c r="S32"/>
    </row>
    <row r="33" spans="1:19" x14ac:dyDescent="0.25">
      <c r="A33" t="s">
        <v>3</v>
      </c>
      <c r="B33">
        <v>133021</v>
      </c>
      <c r="C33">
        <v>390</v>
      </c>
      <c r="D33" t="s">
        <v>8067</v>
      </c>
      <c r="E33"/>
      <c r="F33"/>
      <c r="G33">
        <v>390</v>
      </c>
      <c r="H33"/>
      <c r="I33"/>
      <c r="J33"/>
      <c r="K33"/>
      <c r="L33"/>
      <c r="M33"/>
      <c r="N33"/>
      <c r="O33"/>
      <c r="P33"/>
      <c r="Q33"/>
      <c r="R33"/>
      <c r="S33"/>
    </row>
    <row r="34" spans="1:19" x14ac:dyDescent="0.25">
      <c r="A34" t="s">
        <v>3</v>
      </c>
      <c r="B34">
        <v>133022</v>
      </c>
      <c r="C34">
        <v>390</v>
      </c>
      <c r="D34" t="s">
        <v>8067</v>
      </c>
      <c r="E34"/>
      <c r="F34"/>
      <c r="G34">
        <v>390</v>
      </c>
      <c r="H34"/>
      <c r="I34"/>
      <c r="J34"/>
      <c r="K34"/>
      <c r="L34"/>
      <c r="M34"/>
      <c r="N34"/>
      <c r="O34"/>
      <c r="P34"/>
      <c r="Q34"/>
      <c r="R34"/>
      <c r="S34"/>
    </row>
    <row r="35" spans="1:19" x14ac:dyDescent="0.25">
      <c r="A35" t="s">
        <v>3</v>
      </c>
      <c r="B35">
        <v>133023</v>
      </c>
      <c r="C35">
        <v>390</v>
      </c>
      <c r="D35" t="s">
        <v>8067</v>
      </c>
      <c r="E35"/>
      <c r="F35"/>
      <c r="G35">
        <v>390</v>
      </c>
      <c r="H35"/>
      <c r="I35"/>
      <c r="J35"/>
      <c r="K35"/>
      <c r="L35"/>
      <c r="M35"/>
      <c r="N35"/>
      <c r="O35"/>
      <c r="P35"/>
      <c r="Q35"/>
      <c r="R35"/>
      <c r="S35"/>
    </row>
    <row r="36" spans="1:19" x14ac:dyDescent="0.25">
      <c r="A36" t="s">
        <v>3</v>
      </c>
      <c r="B36">
        <v>133024</v>
      </c>
      <c r="C36">
        <v>390</v>
      </c>
      <c r="D36" t="s">
        <v>8067</v>
      </c>
      <c r="E36"/>
      <c r="F36"/>
      <c r="G36">
        <v>390</v>
      </c>
      <c r="H36"/>
      <c r="I36"/>
      <c r="J36"/>
      <c r="K36"/>
      <c r="L36"/>
      <c r="M36"/>
      <c r="N36"/>
      <c r="O36"/>
      <c r="P36"/>
      <c r="Q36"/>
      <c r="R36"/>
      <c r="S36"/>
    </row>
    <row r="37" spans="1:19" x14ac:dyDescent="0.25">
      <c r="A37" t="s">
        <v>3</v>
      </c>
      <c r="B37">
        <v>133025</v>
      </c>
      <c r="C37">
        <v>390</v>
      </c>
      <c r="D37" t="s">
        <v>8067</v>
      </c>
      <c r="E37"/>
      <c r="F37"/>
      <c r="G37">
        <v>390</v>
      </c>
      <c r="H37"/>
      <c r="I37"/>
      <c r="J37"/>
      <c r="K37"/>
      <c r="L37"/>
      <c r="M37"/>
      <c r="N37"/>
      <c r="O37"/>
      <c r="P37"/>
      <c r="Q37"/>
      <c r="R37"/>
      <c r="S37"/>
    </row>
    <row r="38" spans="1:19" x14ac:dyDescent="0.25">
      <c r="A38" t="s">
        <v>3</v>
      </c>
      <c r="B38">
        <v>133026</v>
      </c>
      <c r="C38">
        <v>390</v>
      </c>
      <c r="D38" t="s">
        <v>8067</v>
      </c>
      <c r="E38"/>
      <c r="F38"/>
      <c r="G38">
        <v>390</v>
      </c>
      <c r="H38"/>
      <c r="I38"/>
      <c r="J38"/>
      <c r="K38"/>
      <c r="L38"/>
      <c r="M38"/>
      <c r="N38"/>
      <c r="O38"/>
      <c r="P38"/>
      <c r="Q38"/>
      <c r="R38"/>
      <c r="S38"/>
    </row>
    <row r="39" spans="1:19" x14ac:dyDescent="0.25">
      <c r="A39" t="s">
        <v>3</v>
      </c>
      <c r="B39">
        <v>133029</v>
      </c>
      <c r="C39">
        <v>290</v>
      </c>
      <c r="D39" t="s">
        <v>8068</v>
      </c>
      <c r="E39"/>
      <c r="F39"/>
      <c r="G39">
        <v>290</v>
      </c>
      <c r="H39"/>
      <c r="I39"/>
      <c r="J39"/>
      <c r="K39"/>
      <c r="L39"/>
      <c r="M39"/>
      <c r="N39"/>
      <c r="O39"/>
      <c r="P39"/>
      <c r="Q39"/>
      <c r="R39"/>
      <c r="S39"/>
    </row>
    <row r="40" spans="1:19" x14ac:dyDescent="0.25">
      <c r="A40" t="s">
        <v>3</v>
      </c>
      <c r="B40">
        <v>133030</v>
      </c>
      <c r="C40">
        <v>290</v>
      </c>
      <c r="D40" t="s">
        <v>8068</v>
      </c>
      <c r="E40"/>
      <c r="F40"/>
      <c r="G40">
        <v>290</v>
      </c>
      <c r="H40"/>
      <c r="I40"/>
      <c r="J40"/>
      <c r="K40"/>
      <c r="L40"/>
      <c r="M40"/>
      <c r="N40"/>
      <c r="O40"/>
      <c r="P40"/>
      <c r="Q40"/>
      <c r="R40"/>
      <c r="S40"/>
    </row>
    <row r="41" spans="1:19" x14ac:dyDescent="0.25">
      <c r="A41" t="s">
        <v>3</v>
      </c>
      <c r="B41">
        <v>133031</v>
      </c>
      <c r="C41">
        <v>290</v>
      </c>
      <c r="D41" t="s">
        <v>8068</v>
      </c>
      <c r="E41"/>
      <c r="F41"/>
      <c r="G41">
        <v>290</v>
      </c>
      <c r="H41"/>
      <c r="I41"/>
      <c r="J41"/>
      <c r="K41"/>
      <c r="L41"/>
      <c r="M41"/>
      <c r="N41"/>
      <c r="O41"/>
      <c r="P41"/>
      <c r="Q41"/>
      <c r="R41"/>
      <c r="S41"/>
    </row>
    <row r="42" spans="1:19" x14ac:dyDescent="0.25">
      <c r="A42" t="s">
        <v>3</v>
      </c>
      <c r="B42">
        <v>133032</v>
      </c>
      <c r="C42">
        <v>290</v>
      </c>
      <c r="D42" t="s">
        <v>8068</v>
      </c>
      <c r="E42"/>
      <c r="F42"/>
      <c r="G42">
        <v>290</v>
      </c>
      <c r="H42"/>
      <c r="I42"/>
      <c r="J42"/>
      <c r="K42"/>
      <c r="L42"/>
      <c r="M42"/>
      <c r="N42"/>
      <c r="O42"/>
      <c r="P42"/>
      <c r="Q42"/>
      <c r="R42"/>
      <c r="S42"/>
    </row>
    <row r="43" spans="1:19" x14ac:dyDescent="0.25">
      <c r="A43" t="s">
        <v>3</v>
      </c>
      <c r="B43">
        <v>133033</v>
      </c>
      <c r="C43">
        <v>290</v>
      </c>
      <c r="D43" t="s">
        <v>8068</v>
      </c>
      <c r="E43"/>
      <c r="F43"/>
      <c r="G43">
        <v>290</v>
      </c>
      <c r="H43"/>
      <c r="I43"/>
      <c r="J43"/>
      <c r="K43"/>
      <c r="L43"/>
      <c r="M43"/>
      <c r="N43"/>
      <c r="O43"/>
      <c r="P43"/>
      <c r="Q43"/>
      <c r="R43"/>
      <c r="S43"/>
    </row>
    <row r="44" spans="1:19" x14ac:dyDescent="0.25">
      <c r="A44" t="s">
        <v>3</v>
      </c>
      <c r="B44">
        <v>133034</v>
      </c>
      <c r="C44">
        <v>290</v>
      </c>
      <c r="D44" t="s">
        <v>8068</v>
      </c>
      <c r="E44"/>
      <c r="F44"/>
      <c r="G44">
        <v>290</v>
      </c>
      <c r="H44"/>
      <c r="I44"/>
      <c r="J44"/>
      <c r="K44"/>
      <c r="L44"/>
      <c r="M44"/>
      <c r="N44"/>
      <c r="O44"/>
      <c r="P44"/>
      <c r="Q44"/>
      <c r="R44"/>
      <c r="S44"/>
    </row>
    <row r="45" spans="1:19" x14ac:dyDescent="0.25">
      <c r="A45" t="s">
        <v>3</v>
      </c>
      <c r="B45">
        <v>133038</v>
      </c>
      <c r="C45" t="s">
        <v>8070</v>
      </c>
      <c r="D45"/>
      <c r="E45"/>
      <c r="F45"/>
      <c r="G45" t="s">
        <v>8098</v>
      </c>
      <c r="H45"/>
      <c r="I45"/>
      <c r="J45"/>
      <c r="K45"/>
      <c r="L45"/>
      <c r="M45"/>
      <c r="N45"/>
      <c r="O45"/>
      <c r="P45"/>
      <c r="Q45"/>
      <c r="R45"/>
      <c r="S45"/>
    </row>
    <row r="46" spans="1:19" x14ac:dyDescent="0.25">
      <c r="A46" t="s">
        <v>3</v>
      </c>
      <c r="B46">
        <v>133039</v>
      </c>
      <c r="C46" t="s">
        <v>8070</v>
      </c>
      <c r="D46"/>
      <c r="E46"/>
      <c r="F46"/>
      <c r="G46" t="s">
        <v>8098</v>
      </c>
      <c r="H46"/>
      <c r="I46"/>
      <c r="J46"/>
      <c r="K46"/>
      <c r="L46"/>
      <c r="M46"/>
      <c r="N46"/>
      <c r="O46"/>
      <c r="P46"/>
      <c r="Q46"/>
      <c r="R46"/>
      <c r="S46"/>
    </row>
    <row r="47" spans="1:19" x14ac:dyDescent="0.25">
      <c r="A47" t="s">
        <v>3</v>
      </c>
      <c r="B47">
        <v>133040</v>
      </c>
      <c r="C47" t="s">
        <v>8070</v>
      </c>
      <c r="D47"/>
      <c r="E47"/>
      <c r="F47"/>
      <c r="G47" t="s">
        <v>8098</v>
      </c>
      <c r="H47"/>
      <c r="I47"/>
      <c r="J47"/>
      <c r="K47"/>
      <c r="L47"/>
      <c r="M47"/>
      <c r="N47"/>
      <c r="O47"/>
      <c r="P47"/>
      <c r="Q47"/>
      <c r="R47"/>
      <c r="S47"/>
    </row>
    <row r="48" spans="1:19" x14ac:dyDescent="0.25">
      <c r="A48" t="s">
        <v>3</v>
      </c>
      <c r="B48">
        <v>133041</v>
      </c>
      <c r="C48" t="s">
        <v>8070</v>
      </c>
      <c r="D48"/>
      <c r="E48"/>
      <c r="F48"/>
      <c r="G48" t="s">
        <v>8098</v>
      </c>
      <c r="H48"/>
      <c r="I48"/>
      <c r="J48"/>
      <c r="K48"/>
      <c r="L48"/>
      <c r="M48"/>
      <c r="N48"/>
      <c r="O48"/>
      <c r="P48"/>
      <c r="Q48"/>
      <c r="R48"/>
      <c r="S48"/>
    </row>
    <row r="49" spans="1:19" x14ac:dyDescent="0.25">
      <c r="A49" t="s">
        <v>3</v>
      </c>
      <c r="B49">
        <v>133043</v>
      </c>
      <c r="C49" t="s">
        <v>8070</v>
      </c>
      <c r="D49"/>
      <c r="E49"/>
      <c r="F49"/>
      <c r="G49" t="s">
        <v>8098</v>
      </c>
      <c r="H49"/>
      <c r="I49"/>
      <c r="J49"/>
      <c r="K49"/>
      <c r="L49"/>
      <c r="M49"/>
      <c r="N49"/>
      <c r="O49"/>
      <c r="P49"/>
      <c r="Q49"/>
      <c r="R49"/>
      <c r="S49"/>
    </row>
    <row r="50" spans="1:19" x14ac:dyDescent="0.25">
      <c r="A50" t="s">
        <v>3</v>
      </c>
      <c r="B50">
        <v>185780</v>
      </c>
      <c r="C50">
        <v>149</v>
      </c>
      <c r="D50" t="s">
        <v>8069</v>
      </c>
      <c r="E50"/>
      <c r="F50"/>
      <c r="G50">
        <v>149</v>
      </c>
      <c r="H50"/>
      <c r="I50"/>
      <c r="J50"/>
      <c r="K50"/>
      <c r="L50"/>
      <c r="M50"/>
      <c r="N50"/>
      <c r="O50"/>
      <c r="P50"/>
      <c r="Q50"/>
      <c r="R50"/>
      <c r="S50"/>
    </row>
    <row r="51" spans="1:19" x14ac:dyDescent="0.25">
      <c r="A51" t="s">
        <v>3</v>
      </c>
      <c r="B51">
        <v>185781</v>
      </c>
      <c r="C51">
        <v>149</v>
      </c>
      <c r="D51" t="s">
        <v>8069</v>
      </c>
      <c r="E51"/>
      <c r="F51"/>
      <c r="G51">
        <v>149</v>
      </c>
      <c r="H51"/>
      <c r="I51"/>
      <c r="J51"/>
      <c r="K51"/>
      <c r="L51"/>
      <c r="M51"/>
      <c r="N51"/>
      <c r="O51"/>
      <c r="P51"/>
      <c r="Q51"/>
      <c r="R51"/>
      <c r="S51"/>
    </row>
    <row r="52" spans="1:19" x14ac:dyDescent="0.25">
      <c r="A52" t="s">
        <v>3</v>
      </c>
      <c r="B52">
        <v>185782</v>
      </c>
      <c r="C52">
        <v>149</v>
      </c>
      <c r="D52" t="s">
        <v>8069</v>
      </c>
      <c r="E52"/>
      <c r="F52"/>
      <c r="G52">
        <v>149</v>
      </c>
      <c r="H52"/>
      <c r="I52"/>
      <c r="J52"/>
      <c r="K52"/>
      <c r="L52"/>
      <c r="M52"/>
      <c r="N52"/>
      <c r="O52"/>
      <c r="P52"/>
      <c r="Q52"/>
      <c r="R52"/>
      <c r="S52"/>
    </row>
    <row r="53" spans="1:19" x14ac:dyDescent="0.25">
      <c r="A53" t="s">
        <v>3</v>
      </c>
      <c r="B53">
        <v>185783</v>
      </c>
      <c r="C53">
        <v>149</v>
      </c>
      <c r="D53" t="s">
        <v>8069</v>
      </c>
      <c r="E53"/>
      <c r="F53"/>
      <c r="G53">
        <v>149</v>
      </c>
      <c r="H53"/>
      <c r="I53"/>
      <c r="J53"/>
      <c r="K53"/>
      <c r="L53"/>
      <c r="M53"/>
      <c r="N53"/>
      <c r="O53"/>
      <c r="P53"/>
      <c r="Q53"/>
      <c r="R53"/>
      <c r="S53"/>
    </row>
    <row r="54" spans="1:19" x14ac:dyDescent="0.25">
      <c r="A54" t="s">
        <v>3</v>
      </c>
      <c r="B54">
        <v>185784</v>
      </c>
      <c r="C54">
        <v>149</v>
      </c>
      <c r="D54" t="s">
        <v>8069</v>
      </c>
      <c r="E54"/>
      <c r="F54"/>
      <c r="G54">
        <v>149</v>
      </c>
      <c r="H54"/>
      <c r="I54"/>
      <c r="J54"/>
      <c r="K54"/>
      <c r="L54"/>
      <c r="M54"/>
      <c r="N54"/>
      <c r="O54"/>
      <c r="P54"/>
      <c r="Q54"/>
      <c r="R54"/>
      <c r="S54"/>
    </row>
    <row r="55" spans="1:19" x14ac:dyDescent="0.25">
      <c r="A55" t="s">
        <v>3</v>
      </c>
      <c r="B55">
        <v>185785</v>
      </c>
      <c r="C55">
        <v>149</v>
      </c>
      <c r="D55" t="s">
        <v>8069</v>
      </c>
      <c r="E55"/>
      <c r="F55"/>
      <c r="G55">
        <v>149</v>
      </c>
      <c r="H55"/>
      <c r="I55"/>
      <c r="J55"/>
      <c r="K55"/>
      <c r="L55"/>
      <c r="M55"/>
      <c r="N55"/>
      <c r="O55"/>
      <c r="P55"/>
      <c r="Q55"/>
      <c r="R55"/>
      <c r="S55"/>
    </row>
    <row r="56" spans="1:19" x14ac:dyDescent="0.25">
      <c r="A56" t="s">
        <v>3</v>
      </c>
      <c r="B56">
        <v>185786</v>
      </c>
      <c r="C56">
        <v>149</v>
      </c>
      <c r="D56" t="s">
        <v>8069</v>
      </c>
      <c r="E56"/>
      <c r="F56"/>
      <c r="G56">
        <v>149</v>
      </c>
      <c r="H56"/>
      <c r="I56"/>
      <c r="J56"/>
      <c r="K56"/>
      <c r="L56"/>
      <c r="M56"/>
      <c r="N56"/>
      <c r="O56"/>
      <c r="P56"/>
      <c r="Q56"/>
      <c r="R56"/>
      <c r="S56"/>
    </row>
    <row r="57" spans="1:19" x14ac:dyDescent="0.25">
      <c r="A57" t="s">
        <v>3</v>
      </c>
      <c r="B57">
        <v>185787</v>
      </c>
      <c r="C57">
        <v>149</v>
      </c>
      <c r="D57" t="s">
        <v>8069</v>
      </c>
      <c r="E57"/>
      <c r="F57"/>
      <c r="G57">
        <v>149</v>
      </c>
      <c r="H57"/>
      <c r="I57"/>
      <c r="J57"/>
      <c r="K57"/>
      <c r="L57"/>
      <c r="M57"/>
      <c r="N57"/>
      <c r="O57"/>
      <c r="P57"/>
      <c r="Q57"/>
      <c r="R57"/>
      <c r="S57"/>
    </row>
    <row r="58" spans="1:19" x14ac:dyDescent="0.25">
      <c r="A58" t="s">
        <v>3</v>
      </c>
      <c r="B58">
        <v>185788</v>
      </c>
      <c r="C58">
        <v>149</v>
      </c>
      <c r="D58" t="s">
        <v>8069</v>
      </c>
      <c r="E58"/>
      <c r="F58"/>
      <c r="G58">
        <v>149</v>
      </c>
      <c r="H58"/>
      <c r="I58"/>
      <c r="J58"/>
      <c r="K58"/>
      <c r="L58"/>
      <c r="M58"/>
      <c r="N58"/>
      <c r="O58"/>
      <c r="P58"/>
      <c r="Q58"/>
      <c r="R58"/>
      <c r="S58"/>
    </row>
    <row r="59" spans="1:19" x14ac:dyDescent="0.25">
      <c r="A59" t="s">
        <v>3</v>
      </c>
      <c r="B59">
        <v>185789</v>
      </c>
      <c r="C59">
        <v>149</v>
      </c>
      <c r="D59" t="s">
        <v>8069</v>
      </c>
      <c r="E59"/>
      <c r="F59"/>
      <c r="G59">
        <v>149</v>
      </c>
      <c r="H59"/>
      <c r="I59"/>
      <c r="J59"/>
      <c r="K59"/>
      <c r="L59"/>
      <c r="M59"/>
      <c r="N59"/>
      <c r="O59"/>
      <c r="P59"/>
      <c r="Q59"/>
      <c r="R59"/>
      <c r="S59"/>
    </row>
    <row r="60" spans="1:19" x14ac:dyDescent="0.25">
      <c r="A60" t="s">
        <v>3</v>
      </c>
      <c r="B60">
        <v>133035</v>
      </c>
      <c r="C60" t="s">
        <v>8070</v>
      </c>
      <c r="D60"/>
      <c r="E60"/>
      <c r="F60"/>
      <c r="G60" t="s">
        <v>8098</v>
      </c>
      <c r="H60"/>
      <c r="I60"/>
      <c r="J60"/>
      <c r="K60"/>
      <c r="L60"/>
      <c r="M60"/>
      <c r="N60"/>
      <c r="O60"/>
      <c r="P60"/>
      <c r="Q60"/>
      <c r="R60"/>
      <c r="S60"/>
    </row>
    <row r="61" spans="1:19" x14ac:dyDescent="0.25">
      <c r="A61" t="s">
        <v>3</v>
      </c>
      <c r="B61">
        <v>133036</v>
      </c>
      <c r="C61" t="s">
        <v>8070</v>
      </c>
      <c r="D61"/>
      <c r="E61"/>
      <c r="F61"/>
      <c r="G61" t="s">
        <v>8098</v>
      </c>
      <c r="H61"/>
      <c r="I61"/>
      <c r="J61"/>
      <c r="K61"/>
      <c r="L61"/>
      <c r="M61"/>
      <c r="N61"/>
      <c r="O61"/>
      <c r="P61"/>
      <c r="Q61"/>
      <c r="R61"/>
      <c r="S61"/>
    </row>
    <row r="62" spans="1:19" x14ac:dyDescent="0.25">
      <c r="A62" t="s">
        <v>3</v>
      </c>
      <c r="B62">
        <v>133037</v>
      </c>
      <c r="C62" t="s">
        <v>8070</v>
      </c>
      <c r="D62"/>
      <c r="E62"/>
      <c r="F62"/>
      <c r="G62" t="s">
        <v>8098</v>
      </c>
      <c r="H62"/>
      <c r="I62"/>
      <c r="J62"/>
      <c r="K62"/>
      <c r="L62"/>
      <c r="M62"/>
      <c r="N62"/>
      <c r="O62"/>
      <c r="P62"/>
      <c r="Q62"/>
      <c r="R62"/>
      <c r="S62"/>
    </row>
    <row r="63" spans="1:19" x14ac:dyDescent="0.25">
      <c r="A63" t="s">
        <v>3</v>
      </c>
      <c r="B63">
        <v>133042</v>
      </c>
      <c r="C63" t="s">
        <v>8070</v>
      </c>
      <c r="D63"/>
      <c r="E63"/>
      <c r="F63"/>
      <c r="G63" t="s">
        <v>8098</v>
      </c>
      <c r="H63"/>
      <c r="I63"/>
      <c r="J63"/>
      <c r="K63"/>
      <c r="L63"/>
      <c r="M63"/>
      <c r="N63"/>
      <c r="O63"/>
      <c r="P63"/>
      <c r="Q63"/>
      <c r="R63"/>
      <c r="S63"/>
    </row>
    <row r="64" spans="1:19" x14ac:dyDescent="0.25">
      <c r="A64" t="s">
        <v>3</v>
      </c>
      <c r="B64">
        <v>132996</v>
      </c>
      <c r="C64">
        <v>190</v>
      </c>
      <c r="D64" t="s">
        <v>8065</v>
      </c>
      <c r="E64"/>
      <c r="F64"/>
      <c r="G64">
        <v>190</v>
      </c>
      <c r="H64"/>
      <c r="I64"/>
      <c r="J64"/>
      <c r="K64"/>
      <c r="L64"/>
      <c r="M64"/>
      <c r="N64"/>
      <c r="O64"/>
      <c r="P64"/>
      <c r="Q64"/>
      <c r="R64"/>
      <c r="S64"/>
    </row>
    <row r="65" spans="1:19" x14ac:dyDescent="0.25">
      <c r="A65" t="s">
        <v>3</v>
      </c>
      <c r="B65">
        <v>132997</v>
      </c>
      <c r="C65">
        <v>190</v>
      </c>
      <c r="D65" t="s">
        <v>8065</v>
      </c>
      <c r="E65"/>
      <c r="F65"/>
      <c r="G65">
        <v>190</v>
      </c>
      <c r="H65"/>
      <c r="I65"/>
      <c r="J65"/>
      <c r="K65"/>
      <c r="L65"/>
      <c r="M65"/>
      <c r="N65"/>
      <c r="O65"/>
      <c r="P65"/>
      <c r="Q65"/>
      <c r="R65"/>
      <c r="S65"/>
    </row>
    <row r="66" spans="1:19" x14ac:dyDescent="0.25">
      <c r="A66" t="s">
        <v>3</v>
      </c>
      <c r="B66">
        <v>133000</v>
      </c>
      <c r="C66">
        <v>190</v>
      </c>
      <c r="D66" t="s">
        <v>8065</v>
      </c>
      <c r="E66"/>
      <c r="F66"/>
      <c r="G66">
        <v>190</v>
      </c>
      <c r="H66"/>
      <c r="I66"/>
      <c r="J66"/>
      <c r="K66"/>
      <c r="L66"/>
      <c r="M66"/>
      <c r="N66"/>
      <c r="O66"/>
      <c r="P66"/>
      <c r="Q66"/>
      <c r="R66"/>
      <c r="S66"/>
    </row>
    <row r="67" spans="1:19" x14ac:dyDescent="0.25">
      <c r="A67" t="s">
        <v>3</v>
      </c>
      <c r="B67">
        <v>133001</v>
      </c>
      <c r="C67">
        <v>469</v>
      </c>
      <c r="D67" t="s">
        <v>8066</v>
      </c>
      <c r="E67"/>
      <c r="F67"/>
      <c r="G67">
        <v>469</v>
      </c>
      <c r="H67"/>
      <c r="I67"/>
      <c r="J67"/>
      <c r="K67"/>
      <c r="L67"/>
      <c r="M67"/>
      <c r="N67"/>
      <c r="O67"/>
      <c r="P67"/>
      <c r="Q67"/>
      <c r="R67"/>
      <c r="S67"/>
    </row>
    <row r="68" spans="1:19" x14ac:dyDescent="0.25">
      <c r="A68" t="s">
        <v>3</v>
      </c>
      <c r="B68">
        <v>133002</v>
      </c>
      <c r="C68">
        <v>469</v>
      </c>
      <c r="D68" t="s">
        <v>8066</v>
      </c>
      <c r="E68"/>
      <c r="F68"/>
      <c r="G68">
        <v>469</v>
      </c>
      <c r="H68"/>
      <c r="I68"/>
      <c r="J68"/>
      <c r="K68"/>
      <c r="L68"/>
      <c r="M68"/>
      <c r="N68"/>
      <c r="O68"/>
      <c r="P68"/>
      <c r="Q68"/>
      <c r="R68"/>
      <c r="S68"/>
    </row>
    <row r="69" spans="1:19" x14ac:dyDescent="0.25">
      <c r="A69" t="s">
        <v>3</v>
      </c>
      <c r="B69">
        <v>133003</v>
      </c>
      <c r="C69">
        <v>469</v>
      </c>
      <c r="D69" t="s">
        <v>8066</v>
      </c>
      <c r="E69"/>
      <c r="F69"/>
      <c r="G69">
        <v>469</v>
      </c>
      <c r="H69"/>
      <c r="I69"/>
      <c r="J69"/>
      <c r="K69"/>
      <c r="L69"/>
      <c r="M69"/>
      <c r="N69"/>
      <c r="O69"/>
      <c r="P69"/>
      <c r="Q69"/>
      <c r="R69"/>
      <c r="S69"/>
    </row>
    <row r="70" spans="1:19" x14ac:dyDescent="0.25">
      <c r="A70" t="s">
        <v>3</v>
      </c>
      <c r="B70">
        <v>133006</v>
      </c>
      <c r="C70">
        <v>469</v>
      </c>
      <c r="D70" t="s">
        <v>8066</v>
      </c>
      <c r="E70"/>
      <c r="F70"/>
      <c r="G70">
        <v>469</v>
      </c>
      <c r="H70"/>
      <c r="I70"/>
      <c r="J70"/>
      <c r="K70"/>
      <c r="L70"/>
      <c r="M70"/>
      <c r="N70"/>
      <c r="O70"/>
      <c r="P70"/>
      <c r="Q70"/>
      <c r="R70"/>
      <c r="S70"/>
    </row>
    <row r="71" spans="1:19" x14ac:dyDescent="0.25">
      <c r="A71" t="s">
        <v>3</v>
      </c>
      <c r="B71">
        <v>133028</v>
      </c>
      <c r="C71">
        <v>290</v>
      </c>
      <c r="D71" t="s">
        <v>8068</v>
      </c>
      <c r="E71"/>
      <c r="F71"/>
      <c r="G71">
        <v>290</v>
      </c>
      <c r="H71"/>
      <c r="I71"/>
      <c r="J71"/>
      <c r="K71"/>
      <c r="L71"/>
      <c r="M71"/>
      <c r="N71"/>
      <c r="O71"/>
      <c r="P71"/>
      <c r="Q71"/>
      <c r="R71"/>
      <c r="S71"/>
    </row>
    <row r="72" spans="1:19" x14ac:dyDescent="0.25">
      <c r="A72" t="s">
        <v>3</v>
      </c>
      <c r="B72">
        <v>133027</v>
      </c>
      <c r="C72"/>
      <c r="D72"/>
      <c r="E72"/>
      <c r="F72"/>
      <c r="G72" t="s">
        <v>8098</v>
      </c>
      <c r="H72"/>
      <c r="I72"/>
      <c r="J72"/>
      <c r="K72"/>
      <c r="L72"/>
      <c r="M72"/>
      <c r="N72"/>
      <c r="O72"/>
      <c r="P72"/>
      <c r="Q72"/>
      <c r="R72"/>
      <c r="S72"/>
    </row>
    <row r="73" spans="1:19" x14ac:dyDescent="0.25">
      <c r="A73" t="s">
        <v>3</v>
      </c>
      <c r="B73">
        <v>131477</v>
      </c>
      <c r="C73">
        <v>390</v>
      </c>
      <c r="D73" t="s">
        <v>8067</v>
      </c>
      <c r="E73"/>
      <c r="F73"/>
      <c r="G73">
        <v>390</v>
      </c>
      <c r="H73"/>
      <c r="I73"/>
      <c r="J73"/>
      <c r="K73"/>
      <c r="L73"/>
      <c r="M73"/>
      <c r="N73"/>
      <c r="O73"/>
      <c r="P73"/>
      <c r="Q73"/>
      <c r="R73"/>
      <c r="S73"/>
    </row>
    <row r="74" spans="1:19" x14ac:dyDescent="0.25">
      <c r="A74" t="s">
        <v>3</v>
      </c>
      <c r="B74">
        <v>131470</v>
      </c>
      <c r="C74">
        <v>390</v>
      </c>
      <c r="D74" t="s">
        <v>8067</v>
      </c>
      <c r="E74"/>
      <c r="F74"/>
      <c r="G74">
        <v>390</v>
      </c>
      <c r="H74"/>
      <c r="I74"/>
      <c r="J74"/>
      <c r="K74"/>
      <c r="L74"/>
      <c r="M74"/>
      <c r="N74"/>
      <c r="O74"/>
      <c r="P74"/>
      <c r="Q74"/>
      <c r="R74"/>
      <c r="S74"/>
    </row>
    <row r="75" spans="1:19" x14ac:dyDescent="0.25">
      <c r="A75" t="s">
        <v>3</v>
      </c>
      <c r="B75">
        <v>131468</v>
      </c>
      <c r="C75">
        <v>390</v>
      </c>
      <c r="D75" t="s">
        <v>8067</v>
      </c>
      <c r="E75"/>
      <c r="F75"/>
      <c r="G75">
        <v>390</v>
      </c>
      <c r="H75"/>
      <c r="I75"/>
      <c r="J75"/>
      <c r="K75"/>
      <c r="L75"/>
      <c r="M75"/>
      <c r="N75"/>
      <c r="O75"/>
      <c r="P75"/>
      <c r="Q75"/>
      <c r="R75"/>
      <c r="S75"/>
    </row>
    <row r="76" spans="1:19" x14ac:dyDescent="0.25">
      <c r="A76" t="s">
        <v>3</v>
      </c>
      <c r="B76">
        <v>131469</v>
      </c>
      <c r="C76">
        <v>390</v>
      </c>
      <c r="D76" t="s">
        <v>8067</v>
      </c>
      <c r="E76"/>
      <c r="F76"/>
      <c r="G76">
        <v>390</v>
      </c>
      <c r="H76"/>
      <c r="I76"/>
      <c r="J76"/>
      <c r="K76"/>
      <c r="L76"/>
      <c r="M76"/>
      <c r="N76"/>
      <c r="O76"/>
      <c r="P76"/>
      <c r="Q76"/>
      <c r="R76"/>
      <c r="S76"/>
    </row>
    <row r="77" spans="1:19" x14ac:dyDescent="0.25">
      <c r="A77" t="s">
        <v>3</v>
      </c>
      <c r="B77">
        <v>131492</v>
      </c>
      <c r="C77">
        <v>390</v>
      </c>
      <c r="D77" t="s">
        <v>8067</v>
      </c>
      <c r="E77"/>
      <c r="F77"/>
      <c r="G77">
        <v>390</v>
      </c>
      <c r="H77"/>
      <c r="I77"/>
      <c r="J77"/>
      <c r="K77"/>
      <c r="L77"/>
      <c r="M77"/>
      <c r="N77"/>
      <c r="O77"/>
      <c r="P77"/>
      <c r="Q77"/>
      <c r="R77"/>
      <c r="S77"/>
    </row>
    <row r="78" spans="1:19" x14ac:dyDescent="0.25">
      <c r="A78" t="s">
        <v>3</v>
      </c>
      <c r="B78">
        <v>131471</v>
      </c>
      <c r="C78">
        <v>390</v>
      </c>
      <c r="D78" t="s">
        <v>8067</v>
      </c>
      <c r="E78"/>
      <c r="F78"/>
      <c r="G78">
        <v>390</v>
      </c>
      <c r="H78"/>
      <c r="I78"/>
      <c r="J78"/>
      <c r="K78"/>
      <c r="L78"/>
      <c r="M78"/>
      <c r="N78"/>
      <c r="O78"/>
      <c r="P78"/>
      <c r="Q78"/>
      <c r="R78"/>
      <c r="S78"/>
    </row>
    <row r="79" spans="1:19" x14ac:dyDescent="0.25">
      <c r="A79" t="s">
        <v>3</v>
      </c>
      <c r="B79">
        <v>131475</v>
      </c>
      <c r="C79">
        <v>390</v>
      </c>
      <c r="D79" t="s">
        <v>8067</v>
      </c>
      <c r="E79"/>
      <c r="F79"/>
      <c r="G79">
        <v>390</v>
      </c>
      <c r="H79"/>
      <c r="I79"/>
      <c r="J79"/>
      <c r="K79"/>
      <c r="L79"/>
      <c r="M79"/>
      <c r="N79"/>
      <c r="O79"/>
      <c r="P79"/>
      <c r="Q79"/>
      <c r="R79"/>
      <c r="S79"/>
    </row>
    <row r="80" spans="1:19" x14ac:dyDescent="0.25">
      <c r="A80" t="s">
        <v>3</v>
      </c>
      <c r="B80">
        <v>131467</v>
      </c>
      <c r="C80">
        <v>390</v>
      </c>
      <c r="D80" t="s">
        <v>8067</v>
      </c>
      <c r="E80"/>
      <c r="F80"/>
      <c r="G80">
        <v>390</v>
      </c>
      <c r="H80"/>
      <c r="I80"/>
      <c r="J80"/>
      <c r="K80"/>
      <c r="L80"/>
      <c r="M80"/>
      <c r="N80"/>
      <c r="O80"/>
      <c r="P80"/>
      <c r="Q80"/>
      <c r="R80"/>
      <c r="S80"/>
    </row>
    <row r="81" spans="1:19" x14ac:dyDescent="0.25">
      <c r="A81" t="s">
        <v>3</v>
      </c>
      <c r="B81">
        <v>131476</v>
      </c>
      <c r="C81">
        <v>390</v>
      </c>
      <c r="D81" t="s">
        <v>8067</v>
      </c>
      <c r="E81"/>
      <c r="F81"/>
      <c r="G81">
        <v>390</v>
      </c>
      <c r="H81"/>
      <c r="I81"/>
      <c r="J81"/>
      <c r="K81"/>
      <c r="L81"/>
      <c r="M81"/>
      <c r="N81"/>
      <c r="O81"/>
      <c r="P81"/>
      <c r="Q81"/>
      <c r="R81"/>
      <c r="S81"/>
    </row>
    <row r="82" spans="1:19" x14ac:dyDescent="0.25">
      <c r="A82" t="s">
        <v>3</v>
      </c>
      <c r="B82">
        <v>131482</v>
      </c>
      <c r="C82">
        <v>390</v>
      </c>
      <c r="D82" t="s">
        <v>8067</v>
      </c>
      <c r="E82"/>
      <c r="F82"/>
      <c r="G82">
        <v>390</v>
      </c>
      <c r="H82"/>
      <c r="I82"/>
      <c r="J82"/>
      <c r="K82"/>
      <c r="L82"/>
      <c r="M82"/>
      <c r="N82"/>
      <c r="O82"/>
      <c r="P82"/>
      <c r="Q82"/>
      <c r="R82"/>
      <c r="S82"/>
    </row>
    <row r="83" spans="1:19" x14ac:dyDescent="0.25">
      <c r="A83" t="s">
        <v>3</v>
      </c>
      <c r="B83">
        <v>131478</v>
      </c>
      <c r="C83">
        <v>390</v>
      </c>
      <c r="D83" t="s">
        <v>8067</v>
      </c>
      <c r="E83"/>
      <c r="F83"/>
      <c r="G83">
        <v>390</v>
      </c>
      <c r="H83"/>
      <c r="I83"/>
      <c r="J83"/>
      <c r="K83"/>
      <c r="L83"/>
      <c r="M83"/>
      <c r="N83"/>
      <c r="O83"/>
      <c r="P83"/>
      <c r="Q83"/>
      <c r="R83"/>
      <c r="S83"/>
    </row>
    <row r="84" spans="1:19" x14ac:dyDescent="0.25">
      <c r="A84" t="s">
        <v>3</v>
      </c>
      <c r="B84">
        <v>131494</v>
      </c>
      <c r="C84">
        <v>390</v>
      </c>
      <c r="D84" t="s">
        <v>8067</v>
      </c>
      <c r="E84"/>
      <c r="F84"/>
      <c r="G84">
        <v>390</v>
      </c>
      <c r="H84"/>
      <c r="I84"/>
      <c r="J84"/>
      <c r="K84"/>
      <c r="L84"/>
      <c r="M84"/>
      <c r="N84"/>
      <c r="O84"/>
      <c r="P84"/>
      <c r="Q84"/>
      <c r="R84"/>
      <c r="S84"/>
    </row>
    <row r="85" spans="1:19" x14ac:dyDescent="0.25">
      <c r="A85" t="s">
        <v>3</v>
      </c>
      <c r="B85">
        <v>131483</v>
      </c>
      <c r="C85">
        <v>390</v>
      </c>
      <c r="D85" t="s">
        <v>8067</v>
      </c>
      <c r="E85"/>
      <c r="F85"/>
      <c r="G85">
        <v>390</v>
      </c>
      <c r="H85"/>
      <c r="I85"/>
      <c r="J85"/>
      <c r="K85"/>
      <c r="L85"/>
      <c r="M85"/>
      <c r="N85"/>
      <c r="O85"/>
      <c r="P85"/>
      <c r="Q85"/>
      <c r="R85"/>
      <c r="S85"/>
    </row>
    <row r="86" spans="1:19" x14ac:dyDescent="0.25">
      <c r="A86" t="s">
        <v>3</v>
      </c>
      <c r="B86">
        <v>131485</v>
      </c>
      <c r="C86">
        <v>390</v>
      </c>
      <c r="D86" t="s">
        <v>8067</v>
      </c>
      <c r="E86"/>
      <c r="F86"/>
      <c r="G86">
        <v>390</v>
      </c>
      <c r="H86"/>
      <c r="I86"/>
      <c r="J86"/>
      <c r="K86"/>
      <c r="L86"/>
      <c r="M86"/>
      <c r="N86"/>
      <c r="O86"/>
      <c r="P86"/>
      <c r="Q86"/>
      <c r="R86"/>
      <c r="S86"/>
    </row>
    <row r="87" spans="1:19" x14ac:dyDescent="0.25">
      <c r="A87" t="s">
        <v>3</v>
      </c>
      <c r="B87">
        <v>131488</v>
      </c>
      <c r="C87">
        <v>390</v>
      </c>
      <c r="D87" t="s">
        <v>8067</v>
      </c>
      <c r="E87"/>
      <c r="F87"/>
      <c r="G87">
        <v>390</v>
      </c>
      <c r="H87"/>
      <c r="I87"/>
      <c r="J87"/>
      <c r="K87"/>
      <c r="L87"/>
      <c r="M87"/>
      <c r="N87"/>
      <c r="O87"/>
      <c r="P87"/>
      <c r="Q87"/>
      <c r="R87"/>
      <c r="S87"/>
    </row>
    <row r="88" spans="1:19" x14ac:dyDescent="0.25">
      <c r="A88" t="s">
        <v>3</v>
      </c>
      <c r="B88">
        <v>131487</v>
      </c>
      <c r="C88">
        <v>390</v>
      </c>
      <c r="D88" t="s">
        <v>8067</v>
      </c>
      <c r="E88"/>
      <c r="F88"/>
      <c r="G88">
        <v>390</v>
      </c>
      <c r="H88"/>
      <c r="I88"/>
      <c r="J88"/>
      <c r="K88"/>
      <c r="L88"/>
      <c r="M88"/>
      <c r="N88"/>
      <c r="O88"/>
      <c r="P88"/>
      <c r="Q88"/>
      <c r="R88"/>
      <c r="S88"/>
    </row>
    <row r="89" spans="1:19" x14ac:dyDescent="0.25">
      <c r="A89" t="s">
        <v>3</v>
      </c>
      <c r="B89">
        <v>131486</v>
      </c>
      <c r="C89">
        <v>390</v>
      </c>
      <c r="D89" t="s">
        <v>8067</v>
      </c>
      <c r="E89"/>
      <c r="F89"/>
      <c r="G89">
        <v>390</v>
      </c>
      <c r="H89"/>
      <c r="I89"/>
      <c r="J89"/>
      <c r="K89"/>
      <c r="L89"/>
      <c r="M89"/>
      <c r="N89"/>
      <c r="O89"/>
      <c r="P89"/>
      <c r="Q89"/>
      <c r="R89"/>
      <c r="S89"/>
    </row>
    <row r="90" spans="1:19" x14ac:dyDescent="0.25">
      <c r="A90" t="s">
        <v>3</v>
      </c>
      <c r="B90">
        <v>131484</v>
      </c>
      <c r="C90">
        <v>390</v>
      </c>
      <c r="D90" t="s">
        <v>8067</v>
      </c>
      <c r="E90"/>
      <c r="F90"/>
      <c r="G90">
        <v>390</v>
      </c>
      <c r="H90"/>
      <c r="I90"/>
      <c r="J90"/>
      <c r="K90"/>
      <c r="L90"/>
      <c r="M90"/>
      <c r="N90"/>
      <c r="O90"/>
      <c r="P90"/>
      <c r="Q90"/>
      <c r="R90"/>
      <c r="S90"/>
    </row>
    <row r="91" spans="1:19" x14ac:dyDescent="0.25">
      <c r="A91" t="s">
        <v>3</v>
      </c>
      <c r="B91">
        <v>131466</v>
      </c>
      <c r="C91">
        <v>390</v>
      </c>
      <c r="D91" t="s">
        <v>8067</v>
      </c>
      <c r="E91"/>
      <c r="F91"/>
      <c r="G91">
        <v>390</v>
      </c>
      <c r="H91"/>
      <c r="I91"/>
      <c r="J91"/>
      <c r="K91"/>
      <c r="L91"/>
      <c r="M91"/>
      <c r="N91"/>
      <c r="O91"/>
      <c r="P91"/>
      <c r="Q91"/>
      <c r="R91"/>
      <c r="S91"/>
    </row>
    <row r="92" spans="1:19" x14ac:dyDescent="0.25">
      <c r="A92" t="s">
        <v>3</v>
      </c>
      <c r="B92">
        <v>131480</v>
      </c>
      <c r="C92">
        <v>390</v>
      </c>
      <c r="D92" t="s">
        <v>8067</v>
      </c>
      <c r="E92"/>
      <c r="F92"/>
      <c r="G92">
        <v>390</v>
      </c>
      <c r="H92"/>
      <c r="I92"/>
      <c r="J92"/>
      <c r="K92"/>
      <c r="L92"/>
      <c r="M92"/>
      <c r="N92"/>
      <c r="O92"/>
      <c r="P92"/>
      <c r="Q92"/>
      <c r="R92"/>
      <c r="S92"/>
    </row>
    <row r="93" spans="1:19" x14ac:dyDescent="0.25">
      <c r="A93" t="s">
        <v>3</v>
      </c>
      <c r="B93">
        <v>131491</v>
      </c>
      <c r="C93">
        <v>390</v>
      </c>
      <c r="D93" t="s">
        <v>8067</v>
      </c>
      <c r="E93"/>
      <c r="F93"/>
      <c r="G93">
        <v>390</v>
      </c>
      <c r="H93"/>
      <c r="I93"/>
      <c r="J93"/>
      <c r="K93"/>
      <c r="L93"/>
      <c r="M93"/>
      <c r="N93"/>
      <c r="O93"/>
      <c r="P93"/>
      <c r="Q93"/>
      <c r="R93"/>
      <c r="S93"/>
    </row>
    <row r="94" spans="1:19" x14ac:dyDescent="0.25">
      <c r="A94" t="s">
        <v>3</v>
      </c>
      <c r="B94">
        <v>131490</v>
      </c>
      <c r="C94">
        <v>390</v>
      </c>
      <c r="D94" t="s">
        <v>8067</v>
      </c>
      <c r="E94"/>
      <c r="F94"/>
      <c r="G94">
        <v>390</v>
      </c>
      <c r="H94"/>
      <c r="I94"/>
      <c r="J94"/>
      <c r="K94"/>
      <c r="L94"/>
      <c r="M94"/>
      <c r="N94"/>
      <c r="O94"/>
      <c r="P94"/>
      <c r="Q94"/>
      <c r="R94"/>
      <c r="S94"/>
    </row>
    <row r="95" spans="1:19" x14ac:dyDescent="0.25">
      <c r="A95" t="s">
        <v>3</v>
      </c>
      <c r="B95">
        <v>131493</v>
      </c>
      <c r="C95">
        <v>390</v>
      </c>
      <c r="D95" t="s">
        <v>8067</v>
      </c>
      <c r="E95"/>
      <c r="F95"/>
      <c r="G95">
        <v>390</v>
      </c>
      <c r="H95"/>
      <c r="I95"/>
      <c r="J95"/>
      <c r="K95"/>
      <c r="L95"/>
      <c r="M95"/>
      <c r="N95"/>
      <c r="O95"/>
      <c r="P95"/>
      <c r="Q95"/>
      <c r="R95"/>
      <c r="S95"/>
    </row>
    <row r="96" spans="1:19" x14ac:dyDescent="0.25">
      <c r="A96" t="s">
        <v>3</v>
      </c>
      <c r="B96">
        <v>131474</v>
      </c>
      <c r="C96">
        <v>390</v>
      </c>
      <c r="D96" t="s">
        <v>8067</v>
      </c>
      <c r="E96"/>
      <c r="F96"/>
      <c r="G96">
        <v>390</v>
      </c>
      <c r="H96"/>
      <c r="I96"/>
      <c r="J96"/>
      <c r="K96"/>
      <c r="L96"/>
      <c r="M96"/>
      <c r="N96"/>
      <c r="O96"/>
      <c r="P96"/>
      <c r="Q96"/>
      <c r="R96"/>
      <c r="S96"/>
    </row>
    <row r="97" spans="1:19" x14ac:dyDescent="0.25">
      <c r="A97" t="s">
        <v>3</v>
      </c>
      <c r="B97">
        <v>131473</v>
      </c>
      <c r="C97">
        <v>390</v>
      </c>
      <c r="D97" t="s">
        <v>8067</v>
      </c>
      <c r="E97"/>
      <c r="F97"/>
      <c r="G97">
        <v>390</v>
      </c>
      <c r="H97"/>
      <c r="I97"/>
      <c r="J97"/>
      <c r="K97"/>
      <c r="L97"/>
      <c r="M97"/>
      <c r="N97"/>
      <c r="O97"/>
      <c r="P97"/>
      <c r="Q97"/>
      <c r="R97"/>
      <c r="S97"/>
    </row>
    <row r="98" spans="1:19" x14ac:dyDescent="0.25">
      <c r="A98" t="s">
        <v>3</v>
      </c>
      <c r="B98">
        <v>131481</v>
      </c>
      <c r="C98">
        <v>390</v>
      </c>
      <c r="D98" t="s">
        <v>8067</v>
      </c>
      <c r="E98"/>
      <c r="F98"/>
      <c r="G98">
        <v>390</v>
      </c>
      <c r="H98"/>
      <c r="I98"/>
      <c r="J98"/>
      <c r="K98"/>
      <c r="L98"/>
      <c r="M98"/>
      <c r="N98"/>
      <c r="O98"/>
      <c r="P98"/>
      <c r="Q98"/>
      <c r="R98"/>
      <c r="S98"/>
    </row>
    <row r="99" spans="1:19" x14ac:dyDescent="0.25">
      <c r="A99" t="s">
        <v>3</v>
      </c>
      <c r="B99">
        <v>131489</v>
      </c>
      <c r="C99">
        <v>390</v>
      </c>
      <c r="D99" t="s">
        <v>8067</v>
      </c>
      <c r="E99"/>
      <c r="F99"/>
      <c r="G99">
        <v>390</v>
      </c>
      <c r="H99"/>
      <c r="I99"/>
      <c r="J99"/>
      <c r="K99"/>
      <c r="L99"/>
      <c r="M99"/>
      <c r="N99"/>
      <c r="O99"/>
      <c r="P99"/>
      <c r="Q99"/>
      <c r="R99"/>
      <c r="S99"/>
    </row>
    <row r="100" spans="1:19" x14ac:dyDescent="0.25">
      <c r="A100" t="s">
        <v>3</v>
      </c>
      <c r="B100">
        <v>131472</v>
      </c>
      <c r="C100">
        <v>390</v>
      </c>
      <c r="D100" t="s">
        <v>8067</v>
      </c>
      <c r="E100"/>
      <c r="F100"/>
      <c r="G100">
        <v>390</v>
      </c>
      <c r="H100"/>
      <c r="I100"/>
      <c r="J100"/>
      <c r="K100"/>
      <c r="L100"/>
      <c r="M100"/>
      <c r="N100"/>
      <c r="O100"/>
      <c r="P100"/>
      <c r="Q100"/>
      <c r="R100"/>
      <c r="S100"/>
    </row>
    <row r="101" spans="1:19" x14ac:dyDescent="0.25">
      <c r="A101" t="s">
        <v>3</v>
      </c>
      <c r="B101">
        <v>131495</v>
      </c>
      <c r="C101">
        <v>390</v>
      </c>
      <c r="D101" t="s">
        <v>8067</v>
      </c>
      <c r="E101"/>
      <c r="F101"/>
      <c r="G101">
        <v>390</v>
      </c>
      <c r="H101"/>
      <c r="I101"/>
      <c r="J101"/>
      <c r="K101"/>
      <c r="L101"/>
      <c r="M101"/>
      <c r="N101"/>
      <c r="O101"/>
      <c r="P101"/>
      <c r="Q101"/>
      <c r="R101"/>
      <c r="S101"/>
    </row>
    <row r="102" spans="1:19" x14ac:dyDescent="0.25">
      <c r="A102" t="s">
        <v>3</v>
      </c>
      <c r="B102">
        <v>131479</v>
      </c>
      <c r="C102">
        <v>390</v>
      </c>
      <c r="D102" t="s">
        <v>8067</v>
      </c>
      <c r="E102"/>
      <c r="F102"/>
      <c r="G102">
        <v>390</v>
      </c>
      <c r="H102"/>
      <c r="I102"/>
      <c r="J102"/>
      <c r="K102"/>
      <c r="L102"/>
      <c r="M102"/>
      <c r="N102"/>
      <c r="O102"/>
      <c r="P102"/>
      <c r="Q102"/>
      <c r="R102"/>
      <c r="S102"/>
    </row>
    <row r="103" spans="1:19" x14ac:dyDescent="0.25">
      <c r="A103" t="s">
        <v>3</v>
      </c>
      <c r="B103">
        <v>133015</v>
      </c>
      <c r="C103">
        <v>390</v>
      </c>
      <c r="D103" t="s">
        <v>8067</v>
      </c>
      <c r="E103"/>
      <c r="F103"/>
      <c r="G103">
        <v>390</v>
      </c>
      <c r="H103"/>
      <c r="I103"/>
      <c r="J103"/>
      <c r="K103"/>
      <c r="L103"/>
      <c r="M103"/>
      <c r="N103"/>
      <c r="O103"/>
      <c r="P103"/>
      <c r="Q103"/>
      <c r="R103"/>
      <c r="S103"/>
    </row>
    <row r="104" spans="1:19" x14ac:dyDescent="0.25">
      <c r="A104" t="s">
        <v>3</v>
      </c>
      <c r="B104">
        <v>133045</v>
      </c>
      <c r="C104">
        <v>190</v>
      </c>
      <c r="D104" t="s">
        <v>8071</v>
      </c>
      <c r="E104"/>
      <c r="F104"/>
      <c r="G104">
        <v>190</v>
      </c>
      <c r="H104"/>
      <c r="I104"/>
      <c r="J104"/>
      <c r="K104"/>
      <c r="L104"/>
      <c r="M104"/>
      <c r="N104"/>
      <c r="O104"/>
      <c r="P104"/>
      <c r="Q104"/>
      <c r="R104"/>
      <c r="S104"/>
    </row>
    <row r="105" spans="1:19" x14ac:dyDescent="0.25">
      <c r="A105" t="s">
        <v>3</v>
      </c>
      <c r="B105">
        <v>133046</v>
      </c>
      <c r="C105">
        <v>190</v>
      </c>
      <c r="D105" t="s">
        <v>8071</v>
      </c>
      <c r="E105"/>
      <c r="F105"/>
      <c r="G105">
        <v>190</v>
      </c>
      <c r="H105"/>
      <c r="I105"/>
      <c r="J105"/>
      <c r="K105"/>
      <c r="L105"/>
      <c r="M105"/>
      <c r="N105"/>
      <c r="O105"/>
      <c r="P105"/>
      <c r="Q105"/>
      <c r="R105"/>
      <c r="S105"/>
    </row>
    <row r="106" spans="1:19" x14ac:dyDescent="0.25">
      <c r="A106" t="s">
        <v>3</v>
      </c>
      <c r="B106">
        <v>133047</v>
      </c>
      <c r="C106">
        <v>190</v>
      </c>
      <c r="D106" t="s">
        <v>8071</v>
      </c>
      <c r="E106"/>
      <c r="F106"/>
      <c r="G106">
        <v>190</v>
      </c>
      <c r="H106"/>
      <c r="I106"/>
      <c r="J106"/>
      <c r="K106"/>
      <c r="L106"/>
      <c r="M106"/>
      <c r="N106"/>
      <c r="O106"/>
      <c r="P106"/>
      <c r="Q106"/>
      <c r="R106"/>
      <c r="S106"/>
    </row>
    <row r="107" spans="1:19" x14ac:dyDescent="0.25">
      <c r="A107" t="s">
        <v>3</v>
      </c>
      <c r="B107">
        <v>133048</v>
      </c>
      <c r="C107">
        <v>190</v>
      </c>
      <c r="D107" t="s">
        <v>8071</v>
      </c>
      <c r="E107"/>
      <c r="F107"/>
      <c r="G107">
        <v>190</v>
      </c>
      <c r="H107"/>
      <c r="I107"/>
      <c r="J107"/>
      <c r="K107"/>
      <c r="L107"/>
      <c r="M107"/>
      <c r="N107"/>
      <c r="O107"/>
      <c r="P107"/>
      <c r="Q107"/>
      <c r="R107"/>
      <c r="S107"/>
    </row>
    <row r="108" spans="1:19" x14ac:dyDescent="0.25">
      <c r="A108" t="s">
        <v>3</v>
      </c>
      <c r="B108">
        <v>133049</v>
      </c>
      <c r="C108">
        <v>190</v>
      </c>
      <c r="D108" t="s">
        <v>8071</v>
      </c>
      <c r="E108"/>
      <c r="F108"/>
      <c r="G108">
        <v>190</v>
      </c>
      <c r="H108"/>
      <c r="I108"/>
      <c r="J108"/>
      <c r="K108"/>
      <c r="L108"/>
      <c r="M108"/>
      <c r="N108"/>
      <c r="O108"/>
      <c r="P108"/>
      <c r="Q108"/>
      <c r="R108"/>
      <c r="S108"/>
    </row>
    <row r="109" spans="1:19" x14ac:dyDescent="0.25">
      <c r="A109" t="s">
        <v>3</v>
      </c>
      <c r="B109">
        <v>133050</v>
      </c>
      <c r="C109">
        <v>190</v>
      </c>
      <c r="D109" t="s">
        <v>8071</v>
      </c>
      <c r="E109"/>
      <c r="F109"/>
      <c r="G109">
        <v>190</v>
      </c>
      <c r="H109"/>
      <c r="I109"/>
      <c r="J109"/>
      <c r="K109"/>
      <c r="L109"/>
      <c r="M109"/>
      <c r="N109"/>
      <c r="O109"/>
      <c r="P109"/>
      <c r="Q109"/>
      <c r="R109"/>
      <c r="S109"/>
    </row>
    <row r="110" spans="1:19" x14ac:dyDescent="0.25">
      <c r="A110" t="s">
        <v>3</v>
      </c>
      <c r="B110">
        <v>133044</v>
      </c>
      <c r="C110">
        <v>190</v>
      </c>
      <c r="D110" t="s">
        <v>8071</v>
      </c>
      <c r="E110"/>
      <c r="F110"/>
      <c r="G110">
        <v>190</v>
      </c>
      <c r="H110"/>
      <c r="I110"/>
      <c r="J110"/>
      <c r="K110"/>
      <c r="L110"/>
      <c r="M110"/>
      <c r="N110"/>
      <c r="O110"/>
      <c r="P110"/>
      <c r="Q110"/>
      <c r="R110"/>
      <c r="S110"/>
    </row>
    <row r="111" spans="1:19" x14ac:dyDescent="0.25">
      <c r="A111" t="s">
        <v>3</v>
      </c>
      <c r="B111">
        <v>133052</v>
      </c>
      <c r="C111"/>
      <c r="D111"/>
      <c r="E111"/>
      <c r="F111"/>
      <c r="G111" t="s">
        <v>8098</v>
      </c>
      <c r="H111"/>
      <c r="I111"/>
      <c r="J111"/>
      <c r="K111"/>
      <c r="L111"/>
      <c r="M111"/>
      <c r="N111"/>
      <c r="O111"/>
      <c r="P111"/>
      <c r="Q111"/>
      <c r="R111"/>
      <c r="S111"/>
    </row>
    <row r="112" spans="1:19" x14ac:dyDescent="0.25">
      <c r="A112" t="s">
        <v>3</v>
      </c>
      <c r="B112">
        <v>133058</v>
      </c>
      <c r="C112">
        <v>190</v>
      </c>
      <c r="D112" t="s">
        <v>8055</v>
      </c>
      <c r="E112"/>
      <c r="F112"/>
      <c r="G112">
        <v>190</v>
      </c>
      <c r="H112"/>
      <c r="I112"/>
      <c r="J112"/>
      <c r="K112"/>
      <c r="L112"/>
      <c r="M112"/>
      <c r="N112"/>
      <c r="O112"/>
      <c r="P112"/>
      <c r="Q112"/>
      <c r="R112"/>
      <c r="S112"/>
    </row>
    <row r="113" spans="1:19" x14ac:dyDescent="0.25">
      <c r="A113" t="s">
        <v>3</v>
      </c>
      <c r="B113">
        <v>133059</v>
      </c>
      <c r="C113">
        <v>190</v>
      </c>
      <c r="D113" t="s">
        <v>8055</v>
      </c>
      <c r="E113"/>
      <c r="F113"/>
      <c r="G113">
        <v>190</v>
      </c>
      <c r="H113"/>
      <c r="I113"/>
      <c r="J113"/>
      <c r="K113"/>
      <c r="L113"/>
      <c r="M113"/>
      <c r="N113"/>
      <c r="O113"/>
      <c r="P113"/>
      <c r="Q113"/>
      <c r="R113"/>
      <c r="S113"/>
    </row>
    <row r="114" spans="1:19" x14ac:dyDescent="0.25">
      <c r="A114" t="s">
        <v>3</v>
      </c>
      <c r="B114">
        <v>133060</v>
      </c>
      <c r="C114">
        <v>190</v>
      </c>
      <c r="D114" t="s">
        <v>8055</v>
      </c>
      <c r="E114"/>
      <c r="F114"/>
      <c r="G114">
        <v>190</v>
      </c>
      <c r="H114"/>
      <c r="I114"/>
      <c r="J114"/>
      <c r="K114"/>
      <c r="L114"/>
      <c r="M114"/>
      <c r="N114"/>
      <c r="O114"/>
      <c r="P114"/>
      <c r="Q114"/>
      <c r="R114"/>
      <c r="S114"/>
    </row>
    <row r="115" spans="1:19" x14ac:dyDescent="0.25">
      <c r="A115" t="s">
        <v>3</v>
      </c>
      <c r="B115">
        <v>133061</v>
      </c>
      <c r="C115">
        <v>190</v>
      </c>
      <c r="D115" t="s">
        <v>8055</v>
      </c>
      <c r="E115"/>
      <c r="F115"/>
      <c r="G115">
        <v>190</v>
      </c>
      <c r="H115"/>
      <c r="I115"/>
      <c r="J115"/>
      <c r="K115"/>
      <c r="L115"/>
      <c r="M115"/>
      <c r="N115"/>
      <c r="O115"/>
      <c r="P115"/>
      <c r="Q115"/>
      <c r="R115"/>
      <c r="S115"/>
    </row>
    <row r="116" spans="1:19" x14ac:dyDescent="0.25">
      <c r="A116" t="s">
        <v>3</v>
      </c>
      <c r="B116">
        <v>133062</v>
      </c>
      <c r="C116">
        <v>190</v>
      </c>
      <c r="D116" t="s">
        <v>8055</v>
      </c>
      <c r="E116"/>
      <c r="F116"/>
      <c r="G116">
        <v>190</v>
      </c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 x14ac:dyDescent="0.25">
      <c r="A117" t="s">
        <v>3</v>
      </c>
      <c r="B117">
        <v>133063</v>
      </c>
      <c r="C117">
        <v>190</v>
      </c>
      <c r="D117" t="s">
        <v>8055</v>
      </c>
      <c r="E117"/>
      <c r="F117"/>
      <c r="G117">
        <v>190</v>
      </c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 x14ac:dyDescent="0.25">
      <c r="A118" t="s">
        <v>3</v>
      </c>
      <c r="B118">
        <v>133064</v>
      </c>
      <c r="C118">
        <v>190</v>
      </c>
      <c r="D118" t="s">
        <v>8055</v>
      </c>
      <c r="E118"/>
      <c r="F118"/>
      <c r="G118">
        <v>190</v>
      </c>
      <c r="H118"/>
      <c r="I118"/>
      <c r="J118"/>
      <c r="K118"/>
      <c r="L118"/>
      <c r="M118"/>
      <c r="N118"/>
      <c r="O118"/>
      <c r="P118"/>
      <c r="Q118"/>
      <c r="R118"/>
      <c r="S118"/>
    </row>
    <row r="119" spans="1:19" x14ac:dyDescent="0.25">
      <c r="A119" t="s">
        <v>3</v>
      </c>
      <c r="B119">
        <v>133065</v>
      </c>
      <c r="C119">
        <v>190</v>
      </c>
      <c r="D119" t="s">
        <v>8055</v>
      </c>
      <c r="E119"/>
      <c r="F119"/>
      <c r="G119">
        <v>190</v>
      </c>
      <c r="H119"/>
      <c r="I119"/>
      <c r="J119"/>
      <c r="K119"/>
      <c r="L119"/>
      <c r="M119"/>
      <c r="N119"/>
      <c r="O119"/>
      <c r="P119"/>
      <c r="Q119"/>
      <c r="R119"/>
      <c r="S119"/>
    </row>
    <row r="120" spans="1:19" x14ac:dyDescent="0.25">
      <c r="A120" t="s">
        <v>3</v>
      </c>
      <c r="B120">
        <v>133067</v>
      </c>
      <c r="C120">
        <v>190</v>
      </c>
      <c r="D120" t="s">
        <v>8055</v>
      </c>
      <c r="E120"/>
      <c r="F120"/>
      <c r="G120">
        <v>190</v>
      </c>
      <c r="H120"/>
      <c r="I120"/>
      <c r="J120"/>
      <c r="K120"/>
      <c r="L120"/>
      <c r="M120"/>
      <c r="N120"/>
      <c r="O120"/>
      <c r="P120"/>
      <c r="Q120"/>
      <c r="R120"/>
      <c r="S120"/>
    </row>
    <row r="121" spans="1:19" x14ac:dyDescent="0.25">
      <c r="A121" t="s">
        <v>3</v>
      </c>
      <c r="B121">
        <v>133069</v>
      </c>
      <c r="C121">
        <v>190</v>
      </c>
      <c r="D121" t="s">
        <v>8055</v>
      </c>
      <c r="E121"/>
      <c r="F121"/>
      <c r="G121">
        <v>190</v>
      </c>
      <c r="H121"/>
      <c r="I121"/>
      <c r="J121"/>
      <c r="K121"/>
      <c r="L121"/>
      <c r="M121"/>
      <c r="N121"/>
      <c r="O121"/>
      <c r="P121"/>
      <c r="Q121"/>
      <c r="R121"/>
      <c r="S121"/>
    </row>
    <row r="122" spans="1:19" x14ac:dyDescent="0.25">
      <c r="A122" t="s">
        <v>3</v>
      </c>
      <c r="B122">
        <v>133070</v>
      </c>
      <c r="C122">
        <v>190</v>
      </c>
      <c r="D122" t="s">
        <v>8055</v>
      </c>
      <c r="E122"/>
      <c r="F122"/>
      <c r="G122">
        <v>190</v>
      </c>
      <c r="H122"/>
      <c r="I122"/>
      <c r="J122"/>
      <c r="K122"/>
      <c r="L122"/>
      <c r="M122"/>
      <c r="N122"/>
      <c r="O122"/>
      <c r="P122"/>
      <c r="Q122"/>
      <c r="R122"/>
      <c r="S122"/>
    </row>
    <row r="123" spans="1:19" x14ac:dyDescent="0.25">
      <c r="A123" t="s">
        <v>3</v>
      </c>
      <c r="B123">
        <v>133071</v>
      </c>
      <c r="C123">
        <v>190</v>
      </c>
      <c r="D123" t="s">
        <v>8055</v>
      </c>
      <c r="E123"/>
      <c r="F123"/>
      <c r="G123">
        <v>190</v>
      </c>
      <c r="H123"/>
      <c r="I123"/>
      <c r="J123"/>
      <c r="K123"/>
      <c r="L123"/>
      <c r="M123"/>
      <c r="N123"/>
      <c r="O123"/>
      <c r="P123"/>
      <c r="Q123"/>
      <c r="R123"/>
      <c r="S123"/>
    </row>
    <row r="124" spans="1:19" x14ac:dyDescent="0.25">
      <c r="A124" t="s">
        <v>3</v>
      </c>
      <c r="B124">
        <v>133072</v>
      </c>
      <c r="C124">
        <v>190</v>
      </c>
      <c r="D124" t="s">
        <v>8055</v>
      </c>
      <c r="E124"/>
      <c r="F124"/>
      <c r="G124">
        <v>190</v>
      </c>
      <c r="H124"/>
      <c r="I124"/>
      <c r="J124"/>
      <c r="K124"/>
      <c r="L124"/>
      <c r="M124"/>
      <c r="N124"/>
      <c r="O124"/>
      <c r="P124"/>
      <c r="Q124"/>
      <c r="R124"/>
      <c r="S124"/>
    </row>
    <row r="125" spans="1:19" x14ac:dyDescent="0.25">
      <c r="A125" t="s">
        <v>3</v>
      </c>
      <c r="B125">
        <v>133073</v>
      </c>
      <c r="C125">
        <v>190</v>
      </c>
      <c r="D125" t="s">
        <v>8055</v>
      </c>
      <c r="E125"/>
      <c r="F125"/>
      <c r="G125">
        <v>190</v>
      </c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 x14ac:dyDescent="0.25">
      <c r="A126" t="s">
        <v>3</v>
      </c>
      <c r="B126">
        <v>133074</v>
      </c>
      <c r="C126">
        <v>190</v>
      </c>
      <c r="D126" t="s">
        <v>8055</v>
      </c>
      <c r="E126"/>
      <c r="F126"/>
      <c r="G126">
        <v>190</v>
      </c>
      <c r="H126"/>
      <c r="I126"/>
      <c r="J126"/>
      <c r="K126"/>
      <c r="L126"/>
      <c r="M126"/>
      <c r="N126"/>
      <c r="O126"/>
      <c r="P126"/>
      <c r="Q126"/>
      <c r="R126"/>
      <c r="S126"/>
    </row>
    <row r="127" spans="1:19" x14ac:dyDescent="0.25">
      <c r="A127" t="s">
        <v>3</v>
      </c>
      <c r="B127">
        <v>133075</v>
      </c>
      <c r="C127">
        <v>190</v>
      </c>
      <c r="D127" t="s">
        <v>8055</v>
      </c>
      <c r="E127"/>
      <c r="F127"/>
      <c r="G127">
        <v>190</v>
      </c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25">
      <c r="A128" t="s">
        <v>3</v>
      </c>
      <c r="B128">
        <v>133076</v>
      </c>
      <c r="C128">
        <v>190</v>
      </c>
      <c r="D128" t="s">
        <v>8055</v>
      </c>
      <c r="E128"/>
      <c r="F128"/>
      <c r="G128">
        <v>190</v>
      </c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25">
      <c r="A129" t="s">
        <v>3</v>
      </c>
      <c r="B129">
        <v>133079</v>
      </c>
      <c r="C129">
        <v>190</v>
      </c>
      <c r="D129" t="s">
        <v>8055</v>
      </c>
      <c r="E129"/>
      <c r="F129"/>
      <c r="G129">
        <v>190</v>
      </c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25">
      <c r="A130" t="s">
        <v>3</v>
      </c>
      <c r="B130">
        <v>133080</v>
      </c>
      <c r="C130">
        <v>190</v>
      </c>
      <c r="D130" t="s">
        <v>8055</v>
      </c>
      <c r="E130"/>
      <c r="F130"/>
      <c r="G130">
        <v>190</v>
      </c>
      <c r="H130"/>
      <c r="I130"/>
      <c r="J130"/>
      <c r="K130"/>
      <c r="L130"/>
      <c r="M130"/>
      <c r="N130"/>
      <c r="O130"/>
      <c r="P130"/>
      <c r="Q130"/>
      <c r="R130"/>
      <c r="S130"/>
    </row>
    <row r="131" spans="1:19" x14ac:dyDescent="0.25">
      <c r="A131" t="s">
        <v>3</v>
      </c>
      <c r="B131">
        <v>133051</v>
      </c>
      <c r="C131"/>
      <c r="D131"/>
      <c r="E131"/>
      <c r="F131"/>
      <c r="G131" t="s">
        <v>8098</v>
      </c>
      <c r="H131"/>
      <c r="I131"/>
      <c r="J131"/>
      <c r="K131"/>
      <c r="L131"/>
      <c r="M131"/>
      <c r="N131"/>
      <c r="O131"/>
      <c r="P131"/>
      <c r="Q131"/>
      <c r="R131"/>
      <c r="S131"/>
    </row>
    <row r="132" spans="1:19" x14ac:dyDescent="0.25">
      <c r="A132" t="s">
        <v>3</v>
      </c>
      <c r="B132">
        <v>133057</v>
      </c>
      <c r="C132"/>
      <c r="D132"/>
      <c r="E132"/>
      <c r="F132"/>
      <c r="G132" t="s">
        <v>8098</v>
      </c>
      <c r="H132"/>
      <c r="I132"/>
      <c r="J132"/>
      <c r="K132"/>
      <c r="L132"/>
      <c r="M132"/>
      <c r="N132"/>
      <c r="O132"/>
      <c r="P132"/>
      <c r="Q132"/>
      <c r="R132"/>
      <c r="S132"/>
    </row>
    <row r="133" spans="1:19" x14ac:dyDescent="0.25">
      <c r="A133" t="s">
        <v>3</v>
      </c>
      <c r="B133">
        <v>133053</v>
      </c>
      <c r="C133"/>
      <c r="D133"/>
      <c r="E133"/>
      <c r="F133"/>
      <c r="G133" t="s">
        <v>8098</v>
      </c>
      <c r="H133"/>
      <c r="I133"/>
      <c r="J133"/>
      <c r="K133"/>
      <c r="L133"/>
      <c r="M133"/>
      <c r="N133"/>
      <c r="O133"/>
      <c r="P133"/>
      <c r="Q133"/>
      <c r="R133"/>
      <c r="S133"/>
    </row>
    <row r="134" spans="1:19" x14ac:dyDescent="0.25">
      <c r="A134" t="s">
        <v>3</v>
      </c>
      <c r="B134">
        <v>133056</v>
      </c>
      <c r="C134"/>
      <c r="D134"/>
      <c r="E134"/>
      <c r="F134"/>
      <c r="G134" t="s">
        <v>8098</v>
      </c>
      <c r="H134"/>
      <c r="I134"/>
      <c r="J134"/>
      <c r="K134"/>
      <c r="L134"/>
      <c r="M134"/>
      <c r="N134"/>
      <c r="O134"/>
      <c r="P134"/>
      <c r="Q134"/>
      <c r="R134"/>
      <c r="S134"/>
    </row>
    <row r="135" spans="1:19" x14ac:dyDescent="0.25">
      <c r="A135" t="s">
        <v>3</v>
      </c>
      <c r="B135">
        <v>133054</v>
      </c>
      <c r="C135"/>
      <c r="D135"/>
      <c r="E135"/>
      <c r="F135"/>
      <c r="G135" t="s">
        <v>8098</v>
      </c>
      <c r="H135"/>
      <c r="I135"/>
      <c r="J135"/>
      <c r="K135"/>
      <c r="L135"/>
      <c r="M135"/>
      <c r="N135"/>
      <c r="O135"/>
      <c r="P135"/>
      <c r="Q135"/>
      <c r="R135"/>
      <c r="S135"/>
    </row>
    <row r="136" spans="1:19" x14ac:dyDescent="0.25">
      <c r="A136" t="s">
        <v>3</v>
      </c>
      <c r="B136">
        <v>133055</v>
      </c>
      <c r="C136"/>
      <c r="D136"/>
      <c r="E136"/>
      <c r="F136"/>
      <c r="G136" t="s">
        <v>8098</v>
      </c>
      <c r="H136"/>
      <c r="I136"/>
      <c r="J136"/>
      <c r="K136"/>
      <c r="L136"/>
      <c r="M136"/>
      <c r="N136"/>
      <c r="O136"/>
      <c r="P136"/>
      <c r="Q136"/>
      <c r="R136"/>
      <c r="S136"/>
    </row>
    <row r="137" spans="1:19" x14ac:dyDescent="0.25">
      <c r="A137" t="s">
        <v>3</v>
      </c>
      <c r="B137">
        <v>133081</v>
      </c>
      <c r="C137">
        <v>190</v>
      </c>
      <c r="D137" t="s">
        <v>8055</v>
      </c>
      <c r="E137"/>
      <c r="F137"/>
      <c r="G137">
        <v>190</v>
      </c>
      <c r="H137"/>
      <c r="I137"/>
      <c r="J137"/>
      <c r="K137"/>
      <c r="L137"/>
      <c r="M137"/>
      <c r="N137"/>
      <c r="O137"/>
      <c r="P137"/>
      <c r="Q137"/>
      <c r="R137"/>
      <c r="S137"/>
    </row>
    <row r="138" spans="1:19" x14ac:dyDescent="0.25">
      <c r="A138" t="s">
        <v>3</v>
      </c>
      <c r="B138">
        <v>133068</v>
      </c>
      <c r="C138">
        <v>190</v>
      </c>
      <c r="D138" t="s">
        <v>8055</v>
      </c>
      <c r="E138"/>
      <c r="F138"/>
      <c r="G138">
        <v>190</v>
      </c>
      <c r="H138"/>
      <c r="I138"/>
      <c r="J138"/>
      <c r="K138"/>
      <c r="L138"/>
      <c r="M138"/>
      <c r="N138"/>
      <c r="O138"/>
      <c r="P138"/>
      <c r="Q138"/>
      <c r="R138"/>
      <c r="S138"/>
    </row>
    <row r="139" spans="1:19" x14ac:dyDescent="0.25">
      <c r="A139" t="s">
        <v>3</v>
      </c>
      <c r="B139">
        <v>133077</v>
      </c>
      <c r="C139">
        <v>190</v>
      </c>
      <c r="D139" t="s">
        <v>8055</v>
      </c>
      <c r="E139"/>
      <c r="F139"/>
      <c r="G139">
        <v>190</v>
      </c>
      <c r="H139"/>
      <c r="I139"/>
      <c r="J139"/>
      <c r="K139"/>
      <c r="L139"/>
      <c r="M139"/>
      <c r="N139"/>
      <c r="O139"/>
      <c r="P139"/>
      <c r="Q139"/>
      <c r="R139"/>
      <c r="S139"/>
    </row>
    <row r="140" spans="1:19" x14ac:dyDescent="0.25">
      <c r="A140" t="s">
        <v>3</v>
      </c>
      <c r="B140">
        <v>133082</v>
      </c>
      <c r="C140">
        <v>890</v>
      </c>
      <c r="D140" t="s">
        <v>8072</v>
      </c>
      <c r="E140"/>
      <c r="F140"/>
      <c r="G140">
        <v>890</v>
      </c>
      <c r="H140"/>
      <c r="I140"/>
      <c r="J140"/>
      <c r="K140"/>
      <c r="L140"/>
      <c r="M140"/>
      <c r="N140"/>
      <c r="O140"/>
      <c r="P140"/>
      <c r="Q140"/>
      <c r="R140"/>
      <c r="S140"/>
    </row>
    <row r="141" spans="1:19" x14ac:dyDescent="0.25">
      <c r="A141" t="s">
        <v>3</v>
      </c>
      <c r="B141">
        <v>133083</v>
      </c>
      <c r="C141">
        <v>890</v>
      </c>
      <c r="D141" t="s">
        <v>8072</v>
      </c>
      <c r="E141"/>
      <c r="F141"/>
      <c r="G141">
        <v>890</v>
      </c>
      <c r="H141"/>
      <c r="I141"/>
      <c r="J141"/>
      <c r="K141"/>
      <c r="L141"/>
      <c r="M141"/>
      <c r="N141"/>
      <c r="O141"/>
      <c r="P141"/>
      <c r="Q141"/>
      <c r="R141"/>
      <c r="S141"/>
    </row>
    <row r="142" spans="1:19" x14ac:dyDescent="0.25">
      <c r="A142" t="s">
        <v>3</v>
      </c>
      <c r="B142">
        <v>133084</v>
      </c>
      <c r="C142">
        <v>890</v>
      </c>
      <c r="D142" t="s">
        <v>8072</v>
      </c>
      <c r="E142"/>
      <c r="F142"/>
      <c r="G142">
        <v>890</v>
      </c>
      <c r="H142"/>
      <c r="I142"/>
      <c r="J142"/>
      <c r="K142"/>
      <c r="L142"/>
      <c r="M142"/>
      <c r="N142"/>
      <c r="O142"/>
      <c r="P142"/>
      <c r="Q142"/>
      <c r="R142"/>
      <c r="S142"/>
    </row>
    <row r="143" spans="1:19" x14ac:dyDescent="0.25">
      <c r="A143" t="s">
        <v>3</v>
      </c>
      <c r="B143">
        <v>133085</v>
      </c>
      <c r="C143">
        <v>890</v>
      </c>
      <c r="D143" t="s">
        <v>8072</v>
      </c>
      <c r="E143"/>
      <c r="F143"/>
      <c r="G143">
        <v>890</v>
      </c>
      <c r="H143"/>
      <c r="I143"/>
      <c r="J143"/>
      <c r="K143"/>
      <c r="L143"/>
      <c r="M143"/>
      <c r="N143"/>
      <c r="O143"/>
      <c r="P143"/>
      <c r="Q143"/>
      <c r="R143"/>
      <c r="S143"/>
    </row>
    <row r="144" spans="1:19" x14ac:dyDescent="0.25">
      <c r="A144" t="s">
        <v>3</v>
      </c>
      <c r="B144">
        <v>139537</v>
      </c>
      <c r="C144"/>
      <c r="D144"/>
      <c r="E144"/>
      <c r="F144"/>
      <c r="G144" t="s">
        <v>8098</v>
      </c>
      <c r="H144"/>
      <c r="I144"/>
      <c r="J144"/>
      <c r="K144"/>
      <c r="L144"/>
      <c r="M144"/>
      <c r="N144"/>
      <c r="O144"/>
      <c r="P144"/>
      <c r="Q144"/>
      <c r="R144"/>
      <c r="S144"/>
    </row>
    <row r="145" spans="1:19" x14ac:dyDescent="0.25">
      <c r="A145" t="s">
        <v>3</v>
      </c>
      <c r="B145">
        <v>140709</v>
      </c>
      <c r="C145">
        <v>390</v>
      </c>
      <c r="D145" t="s">
        <v>8064</v>
      </c>
      <c r="E145"/>
      <c r="F145"/>
      <c r="G145">
        <v>390</v>
      </c>
      <c r="H145"/>
      <c r="I145"/>
      <c r="J145"/>
      <c r="K145"/>
      <c r="L145"/>
      <c r="M145"/>
      <c r="N145"/>
      <c r="O145"/>
      <c r="P145"/>
      <c r="Q145"/>
      <c r="R145"/>
      <c r="S145"/>
    </row>
    <row r="146" spans="1:19" x14ac:dyDescent="0.25">
      <c r="A146" t="s">
        <v>3</v>
      </c>
      <c r="B146">
        <v>140710</v>
      </c>
      <c r="C146">
        <v>390</v>
      </c>
      <c r="D146" t="s">
        <v>8064</v>
      </c>
      <c r="E146"/>
      <c r="F146"/>
      <c r="G146">
        <v>390</v>
      </c>
      <c r="H146"/>
      <c r="I146"/>
      <c r="J146"/>
      <c r="K146"/>
      <c r="L146"/>
      <c r="M146"/>
      <c r="N146"/>
      <c r="O146"/>
      <c r="P146"/>
      <c r="Q146"/>
      <c r="R146"/>
      <c r="S146"/>
    </row>
    <row r="147" spans="1:19" x14ac:dyDescent="0.25">
      <c r="A147" t="s">
        <v>3</v>
      </c>
      <c r="B147">
        <v>140757</v>
      </c>
      <c r="C147"/>
      <c r="D147"/>
      <c r="E147"/>
      <c r="F147"/>
      <c r="G147" t="s">
        <v>8098</v>
      </c>
      <c r="H147"/>
      <c r="I147"/>
      <c r="J147"/>
      <c r="K147"/>
      <c r="L147"/>
      <c r="M147"/>
      <c r="N147"/>
      <c r="O147"/>
      <c r="P147"/>
      <c r="Q147"/>
      <c r="R147"/>
      <c r="S147"/>
    </row>
    <row r="148" spans="1:19" x14ac:dyDescent="0.25">
      <c r="A148" t="s">
        <v>3</v>
      </c>
      <c r="B148">
        <v>143570</v>
      </c>
      <c r="C148"/>
      <c r="D148"/>
      <c r="E148"/>
      <c r="F148"/>
      <c r="G148" t="s">
        <v>8098</v>
      </c>
      <c r="H148"/>
      <c r="I148"/>
      <c r="J148"/>
      <c r="K148"/>
      <c r="L148"/>
      <c r="M148"/>
      <c r="N148"/>
      <c r="O148"/>
      <c r="P148"/>
      <c r="Q148"/>
      <c r="R148"/>
      <c r="S148"/>
    </row>
    <row r="149" spans="1:19" x14ac:dyDescent="0.25">
      <c r="A149" t="s">
        <v>3</v>
      </c>
      <c r="B149">
        <v>143582</v>
      </c>
      <c r="C149"/>
      <c r="D149"/>
      <c r="E149"/>
      <c r="F149"/>
      <c r="G149" t="s">
        <v>8098</v>
      </c>
      <c r="H149"/>
      <c r="I149"/>
      <c r="J149"/>
      <c r="K149"/>
      <c r="L149"/>
      <c r="M149"/>
      <c r="N149"/>
      <c r="O149"/>
      <c r="P149"/>
      <c r="Q149"/>
      <c r="R149"/>
      <c r="S149"/>
    </row>
    <row r="150" spans="1:19" x14ac:dyDescent="0.25">
      <c r="A150" t="s">
        <v>3</v>
      </c>
      <c r="B150">
        <v>152870</v>
      </c>
      <c r="C150"/>
      <c r="D150"/>
      <c r="E150"/>
      <c r="F150"/>
      <c r="G150" t="s">
        <v>8098</v>
      </c>
      <c r="H150"/>
      <c r="I150"/>
      <c r="J150"/>
      <c r="K150"/>
      <c r="L150"/>
      <c r="M150"/>
      <c r="N150"/>
      <c r="O150"/>
      <c r="P150"/>
      <c r="Q150"/>
      <c r="R150"/>
      <c r="S150"/>
    </row>
    <row r="151" spans="1:19" x14ac:dyDescent="0.25">
      <c r="A151" t="s">
        <v>3</v>
      </c>
      <c r="B151">
        <v>152929</v>
      </c>
      <c r="C151"/>
      <c r="D151"/>
      <c r="E151"/>
      <c r="F151"/>
      <c r="G151" t="s">
        <v>8098</v>
      </c>
      <c r="H151"/>
      <c r="I151"/>
      <c r="J151"/>
      <c r="K151"/>
      <c r="L151"/>
      <c r="M151"/>
      <c r="N151"/>
      <c r="O151"/>
      <c r="P151"/>
      <c r="Q151"/>
      <c r="R151"/>
      <c r="S151"/>
    </row>
    <row r="152" spans="1:19" x14ac:dyDescent="0.25">
      <c r="A152" t="s">
        <v>3</v>
      </c>
      <c r="B152">
        <v>153001</v>
      </c>
      <c r="C152">
        <v>590</v>
      </c>
      <c r="D152" t="s">
        <v>8056</v>
      </c>
      <c r="E152"/>
      <c r="F152"/>
      <c r="G152">
        <v>590</v>
      </c>
      <c r="H152"/>
      <c r="I152"/>
      <c r="J152"/>
      <c r="K152"/>
      <c r="L152"/>
      <c r="M152"/>
      <c r="N152"/>
      <c r="O152"/>
      <c r="P152"/>
      <c r="Q152"/>
      <c r="R152"/>
      <c r="S152"/>
    </row>
    <row r="153" spans="1:19" x14ac:dyDescent="0.25">
      <c r="A153" t="s">
        <v>3</v>
      </c>
      <c r="B153">
        <v>153002</v>
      </c>
      <c r="C153">
        <v>590</v>
      </c>
      <c r="D153" t="s">
        <v>8056</v>
      </c>
      <c r="E153"/>
      <c r="F153"/>
      <c r="G153">
        <v>590</v>
      </c>
      <c r="H153"/>
      <c r="I153"/>
      <c r="J153"/>
      <c r="K153"/>
      <c r="L153"/>
      <c r="M153"/>
      <c r="N153"/>
      <c r="O153"/>
      <c r="P153"/>
      <c r="Q153"/>
      <c r="R153"/>
      <c r="S153"/>
    </row>
    <row r="154" spans="1:19" x14ac:dyDescent="0.25">
      <c r="A154" t="s">
        <v>3</v>
      </c>
      <c r="B154">
        <v>153003</v>
      </c>
      <c r="C154">
        <v>590</v>
      </c>
      <c r="D154" t="s">
        <v>8056</v>
      </c>
      <c r="E154"/>
      <c r="F154"/>
      <c r="G154">
        <v>590</v>
      </c>
      <c r="H154"/>
      <c r="I154"/>
      <c r="J154"/>
      <c r="K154"/>
      <c r="L154"/>
      <c r="M154"/>
      <c r="N154"/>
      <c r="O154"/>
      <c r="P154"/>
      <c r="Q154"/>
      <c r="R154"/>
      <c r="S154"/>
    </row>
    <row r="155" spans="1:19" x14ac:dyDescent="0.25">
      <c r="A155" t="s">
        <v>3</v>
      </c>
      <c r="B155">
        <v>153004</v>
      </c>
      <c r="C155">
        <v>590</v>
      </c>
      <c r="D155" t="s">
        <v>8056</v>
      </c>
      <c r="E155"/>
      <c r="F155"/>
      <c r="G155">
        <v>590</v>
      </c>
      <c r="H155"/>
      <c r="I155"/>
      <c r="J155"/>
      <c r="K155"/>
      <c r="L155"/>
      <c r="M155"/>
      <c r="N155"/>
      <c r="O155"/>
      <c r="P155"/>
      <c r="Q155"/>
      <c r="R155"/>
      <c r="S155"/>
    </row>
    <row r="156" spans="1:19" x14ac:dyDescent="0.25">
      <c r="A156" t="s">
        <v>3</v>
      </c>
      <c r="B156">
        <v>153010</v>
      </c>
      <c r="C156"/>
      <c r="D156"/>
      <c r="E156"/>
      <c r="F156"/>
      <c r="G156" t="s">
        <v>8098</v>
      </c>
      <c r="H156"/>
      <c r="I156"/>
      <c r="J156"/>
      <c r="K156"/>
      <c r="L156"/>
      <c r="M156"/>
      <c r="N156"/>
      <c r="O156"/>
      <c r="P156"/>
      <c r="Q156"/>
      <c r="R156"/>
      <c r="S156"/>
    </row>
    <row r="157" spans="1:19" x14ac:dyDescent="0.25">
      <c r="A157" t="s">
        <v>3</v>
      </c>
      <c r="B157">
        <v>155690</v>
      </c>
      <c r="C157"/>
      <c r="D157"/>
      <c r="E157"/>
      <c r="F157"/>
      <c r="G157" t="s">
        <v>8098</v>
      </c>
      <c r="H157"/>
      <c r="I157"/>
      <c r="J157"/>
      <c r="K157"/>
      <c r="L157"/>
      <c r="M157"/>
      <c r="N157"/>
      <c r="O157"/>
      <c r="P157"/>
      <c r="Q157"/>
      <c r="R157"/>
      <c r="S157"/>
    </row>
    <row r="158" spans="1:19" x14ac:dyDescent="0.25">
      <c r="A158" t="s">
        <v>3</v>
      </c>
      <c r="B158">
        <v>164974</v>
      </c>
      <c r="C158"/>
      <c r="D158"/>
      <c r="E158"/>
      <c r="F158"/>
      <c r="G158" t="s">
        <v>8098</v>
      </c>
      <c r="H158"/>
      <c r="I158"/>
      <c r="J158"/>
      <c r="K158"/>
      <c r="L158"/>
      <c r="M158"/>
      <c r="N158"/>
      <c r="O158"/>
      <c r="P158"/>
      <c r="Q158"/>
      <c r="R158"/>
      <c r="S158"/>
    </row>
    <row r="159" spans="1:19" x14ac:dyDescent="0.25">
      <c r="A159" t="s">
        <v>3</v>
      </c>
      <c r="B159">
        <v>156787</v>
      </c>
      <c r="C159"/>
      <c r="D159"/>
      <c r="E159"/>
      <c r="F159"/>
      <c r="G159" t="s">
        <v>8098</v>
      </c>
      <c r="H159"/>
      <c r="I159"/>
      <c r="J159"/>
      <c r="K159"/>
      <c r="L159"/>
      <c r="M159"/>
      <c r="N159"/>
      <c r="O159"/>
      <c r="P159"/>
      <c r="Q159"/>
      <c r="R159"/>
      <c r="S159"/>
    </row>
    <row r="160" spans="1:19" x14ac:dyDescent="0.25">
      <c r="A160" t="s">
        <v>3</v>
      </c>
      <c r="B160">
        <v>131501</v>
      </c>
      <c r="C160"/>
      <c r="D160"/>
      <c r="E160"/>
      <c r="F160"/>
      <c r="G160" t="s">
        <v>8098</v>
      </c>
      <c r="H160"/>
      <c r="I160"/>
      <c r="J160"/>
      <c r="K160"/>
      <c r="L160"/>
      <c r="M160"/>
      <c r="N160"/>
      <c r="O160"/>
      <c r="P160"/>
      <c r="Q160"/>
      <c r="R160"/>
      <c r="S160"/>
    </row>
    <row r="161" spans="1:19" x14ac:dyDescent="0.25">
      <c r="A161" t="s">
        <v>3</v>
      </c>
      <c r="B161">
        <v>162675</v>
      </c>
      <c r="C161"/>
      <c r="D161"/>
      <c r="E161"/>
      <c r="F161"/>
      <c r="G161" t="s">
        <v>8098</v>
      </c>
      <c r="H161"/>
      <c r="I161"/>
      <c r="J161"/>
      <c r="K161"/>
      <c r="L161"/>
      <c r="M161"/>
      <c r="N161"/>
      <c r="O161"/>
      <c r="P161"/>
      <c r="Q161"/>
      <c r="R161"/>
      <c r="S161"/>
    </row>
    <row r="162" spans="1:19" x14ac:dyDescent="0.25">
      <c r="A162" t="s">
        <v>3</v>
      </c>
      <c r="B162">
        <v>162679</v>
      </c>
      <c r="C162"/>
      <c r="D162"/>
      <c r="E162"/>
      <c r="F162"/>
      <c r="G162" t="s">
        <v>8098</v>
      </c>
      <c r="H162"/>
      <c r="I162"/>
      <c r="J162"/>
      <c r="K162"/>
      <c r="L162"/>
      <c r="M162"/>
      <c r="N162"/>
      <c r="O162"/>
      <c r="P162"/>
      <c r="Q162"/>
      <c r="R162"/>
      <c r="S162"/>
    </row>
    <row r="163" spans="1:19" x14ac:dyDescent="0.25">
      <c r="A163" t="s">
        <v>3</v>
      </c>
      <c r="B163">
        <v>162682</v>
      </c>
      <c r="C163"/>
      <c r="D163"/>
      <c r="E163"/>
      <c r="F163"/>
      <c r="G163" t="s">
        <v>8098</v>
      </c>
      <c r="H163"/>
      <c r="I163"/>
      <c r="J163"/>
      <c r="K163"/>
      <c r="L163"/>
      <c r="M163"/>
      <c r="N163"/>
      <c r="O163"/>
      <c r="P163"/>
      <c r="Q163"/>
      <c r="R163"/>
      <c r="S163"/>
    </row>
    <row r="164" spans="1:19" x14ac:dyDescent="0.25">
      <c r="A164" t="s">
        <v>3</v>
      </c>
      <c r="B164">
        <v>171024</v>
      </c>
      <c r="C164"/>
      <c r="D164"/>
      <c r="E164"/>
      <c r="F164"/>
      <c r="G164" t="s">
        <v>8098</v>
      </c>
      <c r="H164"/>
      <c r="I164"/>
      <c r="J164"/>
      <c r="K164"/>
      <c r="L164"/>
      <c r="M164"/>
      <c r="N164"/>
      <c r="O164"/>
      <c r="P164"/>
      <c r="Q164"/>
      <c r="R164"/>
      <c r="S164"/>
    </row>
    <row r="165" spans="1:19" x14ac:dyDescent="0.25">
      <c r="A165" t="s">
        <v>3</v>
      </c>
      <c r="B165">
        <v>133066</v>
      </c>
      <c r="C165">
        <v>190</v>
      </c>
      <c r="D165" t="s">
        <v>8055</v>
      </c>
      <c r="E165"/>
      <c r="F165"/>
      <c r="G165">
        <v>190</v>
      </c>
      <c r="H165"/>
      <c r="I165"/>
      <c r="J165"/>
      <c r="K165"/>
      <c r="L165"/>
      <c r="M165"/>
      <c r="N165"/>
      <c r="O165"/>
      <c r="P165"/>
      <c r="Q165"/>
      <c r="R165"/>
      <c r="S165"/>
    </row>
    <row r="166" spans="1:19" x14ac:dyDescent="0.25">
      <c r="A166" t="s">
        <v>3</v>
      </c>
      <c r="B166">
        <v>133078</v>
      </c>
      <c r="C166">
        <v>190</v>
      </c>
      <c r="D166" t="s">
        <v>8055</v>
      </c>
      <c r="E166"/>
      <c r="F166"/>
      <c r="G166">
        <v>190</v>
      </c>
      <c r="H166"/>
      <c r="I166"/>
      <c r="J166"/>
      <c r="K166"/>
      <c r="L166"/>
      <c r="M166"/>
      <c r="N166"/>
      <c r="O166"/>
      <c r="P166"/>
      <c r="Q166"/>
      <c r="R166"/>
      <c r="S166"/>
    </row>
    <row r="167" spans="1:19" x14ac:dyDescent="0.25">
      <c r="A167" t="s">
        <v>3</v>
      </c>
      <c r="B167">
        <v>185767</v>
      </c>
      <c r="C167">
        <v>290</v>
      </c>
      <c r="D167" t="s">
        <v>8073</v>
      </c>
      <c r="E167"/>
      <c r="F167"/>
      <c r="G167">
        <v>290</v>
      </c>
      <c r="H167"/>
      <c r="I167"/>
      <c r="J167"/>
      <c r="K167"/>
      <c r="L167"/>
      <c r="M167"/>
      <c r="N167"/>
      <c r="O167"/>
      <c r="P167"/>
      <c r="Q167"/>
      <c r="R167"/>
      <c r="S167"/>
    </row>
    <row r="168" spans="1:19" x14ac:dyDescent="0.25">
      <c r="A168" t="s">
        <v>3</v>
      </c>
      <c r="B168">
        <v>185770</v>
      </c>
      <c r="C168">
        <v>290</v>
      </c>
      <c r="D168" t="s">
        <v>8073</v>
      </c>
      <c r="E168"/>
      <c r="F168"/>
      <c r="G168">
        <v>290</v>
      </c>
      <c r="H168"/>
      <c r="I168"/>
      <c r="J168"/>
      <c r="K168"/>
      <c r="L168"/>
      <c r="M168"/>
      <c r="N168"/>
      <c r="O168"/>
      <c r="P168"/>
      <c r="Q168"/>
      <c r="R168"/>
      <c r="S168"/>
    </row>
    <row r="169" spans="1:19" x14ac:dyDescent="0.25">
      <c r="A169" t="s">
        <v>3</v>
      </c>
      <c r="B169">
        <v>185773</v>
      </c>
      <c r="C169">
        <v>290</v>
      </c>
      <c r="D169" t="s">
        <v>8073</v>
      </c>
      <c r="E169"/>
      <c r="F169"/>
      <c r="G169">
        <v>290</v>
      </c>
      <c r="H169"/>
      <c r="I169"/>
      <c r="J169"/>
      <c r="K169"/>
      <c r="L169"/>
      <c r="M169"/>
      <c r="N169"/>
      <c r="O169"/>
      <c r="P169"/>
      <c r="Q169"/>
      <c r="R169"/>
      <c r="S169"/>
    </row>
    <row r="170" spans="1:19" x14ac:dyDescent="0.25">
      <c r="A170" t="s">
        <v>3</v>
      </c>
      <c r="B170">
        <v>185760</v>
      </c>
      <c r="C170">
        <v>290</v>
      </c>
      <c r="D170" t="s">
        <v>8073</v>
      </c>
      <c r="E170"/>
      <c r="F170"/>
      <c r="G170">
        <v>290</v>
      </c>
      <c r="H170"/>
      <c r="I170"/>
      <c r="J170"/>
      <c r="K170"/>
      <c r="L170"/>
      <c r="M170"/>
      <c r="N170"/>
      <c r="O170"/>
      <c r="P170"/>
      <c r="Q170"/>
      <c r="R170"/>
      <c r="S170"/>
    </row>
    <row r="171" spans="1:19" x14ac:dyDescent="0.25">
      <c r="A171" t="s">
        <v>3</v>
      </c>
      <c r="B171">
        <v>185761</v>
      </c>
      <c r="C171">
        <v>290</v>
      </c>
      <c r="D171" t="s">
        <v>8073</v>
      </c>
      <c r="E171"/>
      <c r="F171"/>
      <c r="G171">
        <v>290</v>
      </c>
      <c r="H171"/>
      <c r="I171"/>
      <c r="J171"/>
      <c r="K171"/>
      <c r="L171"/>
      <c r="M171"/>
      <c r="N171"/>
      <c r="O171"/>
      <c r="P171"/>
      <c r="Q171"/>
      <c r="R171"/>
      <c r="S171"/>
    </row>
    <row r="172" spans="1:19" x14ac:dyDescent="0.25">
      <c r="A172" t="s">
        <v>3</v>
      </c>
      <c r="B172">
        <v>185762</v>
      </c>
      <c r="C172">
        <v>290</v>
      </c>
      <c r="D172" t="s">
        <v>8073</v>
      </c>
      <c r="E172"/>
      <c r="F172"/>
      <c r="G172">
        <v>290</v>
      </c>
      <c r="H172"/>
      <c r="I172"/>
      <c r="J172"/>
      <c r="K172"/>
      <c r="L172"/>
      <c r="M172"/>
      <c r="N172"/>
      <c r="O172"/>
      <c r="P172"/>
      <c r="Q172"/>
      <c r="R172"/>
      <c r="S172"/>
    </row>
    <row r="173" spans="1:19" x14ac:dyDescent="0.25">
      <c r="A173" t="s">
        <v>3</v>
      </c>
      <c r="B173">
        <v>185763</v>
      </c>
      <c r="C173">
        <v>290</v>
      </c>
      <c r="D173" t="s">
        <v>8073</v>
      </c>
      <c r="E173"/>
      <c r="F173"/>
      <c r="G173">
        <v>290</v>
      </c>
      <c r="H173"/>
      <c r="I173"/>
      <c r="J173"/>
      <c r="K173"/>
      <c r="L173"/>
      <c r="M173"/>
      <c r="N173"/>
      <c r="O173"/>
      <c r="P173"/>
      <c r="Q173"/>
      <c r="R173"/>
      <c r="S173"/>
    </row>
    <row r="174" spans="1:19" x14ac:dyDescent="0.25">
      <c r="A174" t="s">
        <v>3</v>
      </c>
      <c r="B174">
        <v>185764</v>
      </c>
      <c r="C174">
        <v>290</v>
      </c>
      <c r="D174" t="s">
        <v>8073</v>
      </c>
      <c r="E174"/>
      <c r="F174"/>
      <c r="G174">
        <v>290</v>
      </c>
      <c r="H174"/>
      <c r="I174"/>
      <c r="J174"/>
      <c r="K174"/>
      <c r="L174"/>
      <c r="M174"/>
      <c r="N174"/>
      <c r="O174"/>
      <c r="P174"/>
      <c r="Q174"/>
      <c r="R174"/>
      <c r="S174"/>
    </row>
    <row r="175" spans="1:19" x14ac:dyDescent="0.25">
      <c r="A175" t="s">
        <v>3</v>
      </c>
      <c r="B175">
        <v>185765</v>
      </c>
      <c r="C175">
        <v>290</v>
      </c>
      <c r="D175" t="s">
        <v>8073</v>
      </c>
      <c r="E175"/>
      <c r="F175"/>
      <c r="G175">
        <v>290</v>
      </c>
      <c r="H175"/>
      <c r="I175"/>
      <c r="J175"/>
      <c r="K175"/>
      <c r="L175"/>
      <c r="M175"/>
      <c r="N175"/>
      <c r="O175"/>
      <c r="P175"/>
      <c r="Q175"/>
      <c r="R175"/>
      <c r="S175"/>
    </row>
    <row r="176" spans="1:19" x14ac:dyDescent="0.25">
      <c r="A176" t="s">
        <v>3</v>
      </c>
      <c r="B176">
        <v>185776</v>
      </c>
      <c r="C176">
        <v>290</v>
      </c>
      <c r="D176" t="s">
        <v>8073</v>
      </c>
      <c r="E176"/>
      <c r="F176"/>
      <c r="G176">
        <v>290</v>
      </c>
      <c r="H176"/>
      <c r="I176"/>
      <c r="J176"/>
      <c r="K176"/>
      <c r="L176"/>
      <c r="M176"/>
      <c r="N176"/>
      <c r="O176"/>
      <c r="P176"/>
      <c r="Q176"/>
      <c r="R176"/>
      <c r="S176"/>
    </row>
    <row r="177" spans="1:19" x14ac:dyDescent="0.25">
      <c r="A177" t="s">
        <v>3</v>
      </c>
      <c r="B177">
        <v>185766</v>
      </c>
      <c r="C177">
        <v>290</v>
      </c>
      <c r="D177" t="s">
        <v>8073</v>
      </c>
      <c r="E177"/>
      <c r="F177"/>
      <c r="G177">
        <v>290</v>
      </c>
      <c r="H177"/>
      <c r="I177"/>
      <c r="J177"/>
      <c r="K177"/>
      <c r="L177"/>
      <c r="M177"/>
      <c r="N177"/>
      <c r="O177"/>
      <c r="P177"/>
      <c r="Q177"/>
      <c r="R177"/>
      <c r="S177"/>
    </row>
    <row r="178" spans="1:19" x14ac:dyDescent="0.25">
      <c r="A178" t="s">
        <v>3</v>
      </c>
      <c r="B178">
        <v>185768</v>
      </c>
      <c r="C178">
        <v>290</v>
      </c>
      <c r="D178" t="s">
        <v>8073</v>
      </c>
      <c r="E178"/>
      <c r="F178"/>
      <c r="G178">
        <v>290</v>
      </c>
      <c r="H178"/>
      <c r="I178"/>
      <c r="J178"/>
      <c r="K178"/>
      <c r="L178"/>
      <c r="M178"/>
      <c r="N178"/>
      <c r="O178"/>
      <c r="P178"/>
      <c r="Q178"/>
      <c r="R178"/>
      <c r="S178"/>
    </row>
    <row r="179" spans="1:19" x14ac:dyDescent="0.25">
      <c r="A179" t="s">
        <v>3</v>
      </c>
      <c r="B179">
        <v>185769</v>
      </c>
      <c r="C179">
        <v>290</v>
      </c>
      <c r="D179" t="s">
        <v>8073</v>
      </c>
      <c r="E179"/>
      <c r="F179"/>
      <c r="G179">
        <v>290</v>
      </c>
      <c r="H179"/>
      <c r="I179"/>
      <c r="J179"/>
      <c r="K179"/>
      <c r="L179"/>
      <c r="M179"/>
      <c r="N179"/>
      <c r="O179"/>
      <c r="P179"/>
      <c r="Q179"/>
      <c r="R179"/>
      <c r="S179"/>
    </row>
    <row r="180" spans="1:19" x14ac:dyDescent="0.25">
      <c r="A180" t="s">
        <v>3</v>
      </c>
      <c r="B180">
        <v>185777</v>
      </c>
      <c r="C180">
        <v>290</v>
      </c>
      <c r="D180" t="s">
        <v>8073</v>
      </c>
      <c r="E180"/>
      <c r="F180"/>
      <c r="G180">
        <v>290</v>
      </c>
      <c r="H180"/>
      <c r="I180"/>
      <c r="J180"/>
      <c r="K180"/>
      <c r="L180"/>
      <c r="M180"/>
      <c r="N180"/>
      <c r="O180"/>
      <c r="P180"/>
      <c r="Q180"/>
      <c r="R180"/>
      <c r="S180"/>
    </row>
    <row r="181" spans="1:19" x14ac:dyDescent="0.25">
      <c r="A181" t="s">
        <v>3</v>
      </c>
      <c r="B181">
        <v>185771</v>
      </c>
      <c r="C181">
        <v>290</v>
      </c>
      <c r="D181" t="s">
        <v>8073</v>
      </c>
      <c r="E181"/>
      <c r="F181"/>
      <c r="G181">
        <v>290</v>
      </c>
      <c r="H181"/>
      <c r="I181"/>
      <c r="J181"/>
      <c r="K181"/>
      <c r="L181"/>
      <c r="M181"/>
      <c r="N181"/>
      <c r="O181"/>
      <c r="P181"/>
      <c r="Q181"/>
      <c r="R181"/>
      <c r="S181"/>
    </row>
    <row r="182" spans="1:19" x14ac:dyDescent="0.25">
      <c r="A182" t="s">
        <v>3</v>
      </c>
      <c r="B182">
        <v>185772</v>
      </c>
      <c r="C182">
        <v>290</v>
      </c>
      <c r="D182" t="s">
        <v>8073</v>
      </c>
      <c r="E182"/>
      <c r="F182"/>
      <c r="G182">
        <v>290</v>
      </c>
      <c r="H182"/>
      <c r="I182"/>
      <c r="J182"/>
      <c r="K182"/>
      <c r="L182"/>
      <c r="M182"/>
      <c r="N182"/>
      <c r="O182"/>
      <c r="P182"/>
      <c r="Q182"/>
      <c r="R182"/>
      <c r="S182"/>
    </row>
    <row r="183" spans="1:19" x14ac:dyDescent="0.25">
      <c r="A183" t="s">
        <v>3</v>
      </c>
      <c r="B183">
        <v>185774</v>
      </c>
      <c r="C183">
        <v>290</v>
      </c>
      <c r="D183" t="s">
        <v>8073</v>
      </c>
      <c r="E183"/>
      <c r="F183"/>
      <c r="G183">
        <v>290</v>
      </c>
      <c r="H183"/>
      <c r="I183"/>
      <c r="J183"/>
      <c r="K183"/>
      <c r="L183"/>
      <c r="M183"/>
      <c r="N183"/>
      <c r="O183"/>
      <c r="P183"/>
      <c r="Q183"/>
      <c r="R183"/>
      <c r="S183"/>
    </row>
    <row r="184" spans="1:19" x14ac:dyDescent="0.25">
      <c r="A184" t="s">
        <v>3</v>
      </c>
      <c r="B184">
        <v>185775</v>
      </c>
      <c r="C184">
        <v>290</v>
      </c>
      <c r="D184" t="s">
        <v>8073</v>
      </c>
      <c r="E184"/>
      <c r="F184"/>
      <c r="G184">
        <v>290</v>
      </c>
      <c r="H184"/>
      <c r="I184"/>
      <c r="J184"/>
      <c r="K184"/>
      <c r="L184"/>
      <c r="M184"/>
      <c r="N184"/>
      <c r="O184"/>
      <c r="P184"/>
      <c r="Q184"/>
      <c r="R184"/>
      <c r="S184"/>
    </row>
    <row r="185" spans="1:19" x14ac:dyDescent="0.25">
      <c r="A185" t="s">
        <v>3</v>
      </c>
      <c r="B185">
        <v>185778</v>
      </c>
      <c r="C185">
        <v>290</v>
      </c>
      <c r="D185" t="s">
        <v>8073</v>
      </c>
      <c r="E185"/>
      <c r="F185"/>
      <c r="G185">
        <v>290</v>
      </c>
      <c r="H185"/>
      <c r="I185"/>
      <c r="J185"/>
      <c r="K185"/>
      <c r="L185"/>
      <c r="M185"/>
      <c r="N185"/>
      <c r="O185"/>
      <c r="P185"/>
      <c r="Q185"/>
      <c r="R185"/>
      <c r="S185"/>
    </row>
    <row r="186" spans="1:19" x14ac:dyDescent="0.25">
      <c r="A186" t="s">
        <v>3</v>
      </c>
      <c r="B186">
        <v>185779</v>
      </c>
      <c r="C186">
        <v>290</v>
      </c>
      <c r="D186" t="s">
        <v>8073</v>
      </c>
      <c r="E186"/>
      <c r="F186"/>
      <c r="G186">
        <v>290</v>
      </c>
      <c r="H186"/>
      <c r="I186"/>
      <c r="J186"/>
      <c r="K186"/>
      <c r="L186"/>
      <c r="M186"/>
      <c r="N186"/>
      <c r="O186"/>
      <c r="P186"/>
      <c r="Q186"/>
      <c r="R186"/>
      <c r="S186"/>
    </row>
    <row r="187" spans="1:19" x14ac:dyDescent="0.25">
      <c r="A187" t="s">
        <v>3</v>
      </c>
      <c r="B187">
        <v>185759</v>
      </c>
      <c r="C187">
        <v>290</v>
      </c>
      <c r="D187" t="s">
        <v>8073</v>
      </c>
      <c r="E187"/>
      <c r="F187"/>
      <c r="G187">
        <v>290</v>
      </c>
      <c r="H187"/>
      <c r="I187"/>
      <c r="J187"/>
      <c r="K187"/>
      <c r="L187"/>
      <c r="M187"/>
      <c r="N187"/>
      <c r="O187"/>
      <c r="P187"/>
      <c r="Q187"/>
      <c r="R187"/>
      <c r="S187"/>
    </row>
    <row r="188" spans="1:19" x14ac:dyDescent="0.25">
      <c r="A188" t="s">
        <v>3</v>
      </c>
      <c r="B188">
        <v>186316</v>
      </c>
      <c r="C188"/>
      <c r="D188"/>
      <c r="E188"/>
      <c r="F188"/>
      <c r="G188" t="s">
        <v>8098</v>
      </c>
      <c r="H188"/>
      <c r="I188"/>
      <c r="J188"/>
      <c r="K188"/>
      <c r="L188"/>
      <c r="M188"/>
      <c r="N188"/>
      <c r="O188"/>
      <c r="P188"/>
      <c r="Q188"/>
      <c r="R188"/>
      <c r="S188"/>
    </row>
    <row r="189" spans="1:19" x14ac:dyDescent="0.25">
      <c r="A189" t="s">
        <v>3</v>
      </c>
      <c r="B189">
        <v>193986</v>
      </c>
      <c r="C189"/>
      <c r="D189"/>
      <c r="E189"/>
      <c r="F189"/>
      <c r="G189" t="s">
        <v>8098</v>
      </c>
      <c r="H189"/>
      <c r="I189"/>
      <c r="J189"/>
      <c r="K189"/>
      <c r="L189"/>
      <c r="M189"/>
      <c r="N189"/>
      <c r="O189"/>
      <c r="P189"/>
      <c r="Q189"/>
      <c r="R189"/>
      <c r="S189"/>
    </row>
    <row r="190" spans="1:19" x14ac:dyDescent="0.25">
      <c r="A190" t="s">
        <v>3</v>
      </c>
      <c r="B190">
        <v>193987</v>
      </c>
      <c r="C190"/>
      <c r="D190"/>
      <c r="E190"/>
      <c r="F190"/>
      <c r="G190" t="s">
        <v>8098</v>
      </c>
      <c r="H190"/>
      <c r="I190"/>
      <c r="J190"/>
      <c r="K190"/>
      <c r="L190"/>
      <c r="M190"/>
      <c r="N190"/>
      <c r="O190"/>
      <c r="P190"/>
      <c r="Q190"/>
      <c r="R190"/>
      <c r="S190"/>
    </row>
    <row r="191" spans="1:19" x14ac:dyDescent="0.25">
      <c r="A191" t="s">
        <v>3</v>
      </c>
      <c r="B191">
        <v>193988</v>
      </c>
      <c r="C191"/>
      <c r="D191"/>
      <c r="E191"/>
      <c r="F191"/>
      <c r="G191" t="s">
        <v>8098</v>
      </c>
      <c r="H191"/>
      <c r="I191"/>
      <c r="J191"/>
      <c r="K191"/>
      <c r="L191"/>
      <c r="M191"/>
      <c r="N191"/>
      <c r="O191"/>
      <c r="P191"/>
      <c r="Q191"/>
      <c r="R191"/>
      <c r="S191"/>
    </row>
    <row r="192" spans="1:19" x14ac:dyDescent="0.25">
      <c r="A192" t="s">
        <v>3</v>
      </c>
      <c r="B192">
        <v>193989</v>
      </c>
      <c r="C192"/>
      <c r="D192"/>
      <c r="E192"/>
      <c r="F192"/>
      <c r="G192" t="s">
        <v>8098</v>
      </c>
      <c r="H192"/>
      <c r="I192"/>
      <c r="J192"/>
      <c r="K192"/>
      <c r="L192"/>
      <c r="M192"/>
      <c r="N192"/>
      <c r="O192"/>
      <c r="P192"/>
      <c r="Q192"/>
      <c r="R192"/>
      <c r="S192"/>
    </row>
    <row r="193" spans="1:19" x14ac:dyDescent="0.25">
      <c r="A193" t="s">
        <v>3</v>
      </c>
      <c r="B193">
        <v>193990</v>
      </c>
      <c r="C193"/>
      <c r="D193"/>
      <c r="E193"/>
      <c r="F193"/>
      <c r="G193" t="s">
        <v>8098</v>
      </c>
      <c r="H193"/>
      <c r="I193"/>
      <c r="J193"/>
      <c r="K193"/>
      <c r="L193"/>
      <c r="M193"/>
      <c r="N193"/>
      <c r="O193"/>
      <c r="P193"/>
      <c r="Q193"/>
      <c r="R193"/>
      <c r="S193"/>
    </row>
    <row r="194" spans="1:19" x14ac:dyDescent="0.25">
      <c r="A194" t="s">
        <v>3</v>
      </c>
      <c r="B194">
        <v>193991</v>
      </c>
      <c r="C194"/>
      <c r="D194"/>
      <c r="E194"/>
      <c r="F194"/>
      <c r="G194" t="s">
        <v>8098</v>
      </c>
      <c r="H194"/>
      <c r="I194"/>
      <c r="J194"/>
      <c r="K194"/>
      <c r="L194"/>
      <c r="M194"/>
      <c r="N194"/>
      <c r="O194"/>
      <c r="P194"/>
      <c r="Q194"/>
      <c r="R194"/>
      <c r="S194"/>
    </row>
    <row r="195" spans="1:19" x14ac:dyDescent="0.25">
      <c r="A195" t="s">
        <v>3</v>
      </c>
      <c r="B195">
        <v>193992</v>
      </c>
      <c r="C195"/>
      <c r="D195"/>
      <c r="E195"/>
      <c r="F195"/>
      <c r="G195" t="s">
        <v>8098</v>
      </c>
      <c r="H195"/>
      <c r="I195"/>
      <c r="J195"/>
      <c r="K195"/>
      <c r="L195"/>
      <c r="M195"/>
      <c r="N195"/>
      <c r="O195"/>
      <c r="P195"/>
      <c r="Q195"/>
      <c r="R195"/>
      <c r="S195"/>
    </row>
    <row r="196" spans="1:19" x14ac:dyDescent="0.25">
      <c r="A196" t="s">
        <v>3</v>
      </c>
      <c r="B196">
        <v>193993</v>
      </c>
      <c r="C196"/>
      <c r="D196"/>
      <c r="E196"/>
      <c r="F196"/>
      <c r="G196" t="s">
        <v>8098</v>
      </c>
      <c r="H196"/>
      <c r="I196"/>
      <c r="J196"/>
      <c r="K196"/>
      <c r="L196"/>
      <c r="M196"/>
      <c r="N196"/>
      <c r="O196"/>
      <c r="P196"/>
      <c r="Q196"/>
      <c r="R196"/>
      <c r="S196"/>
    </row>
    <row r="197" spans="1:19" x14ac:dyDescent="0.25">
      <c r="A197" t="s">
        <v>3</v>
      </c>
      <c r="B197">
        <v>193994</v>
      </c>
      <c r="C197"/>
      <c r="D197"/>
      <c r="E197"/>
      <c r="F197"/>
      <c r="G197" t="s">
        <v>8098</v>
      </c>
      <c r="H197"/>
      <c r="I197"/>
      <c r="J197"/>
      <c r="K197"/>
      <c r="L197"/>
      <c r="M197"/>
      <c r="N197"/>
      <c r="O197"/>
      <c r="P197"/>
      <c r="Q197"/>
      <c r="R197"/>
      <c r="S197"/>
    </row>
    <row r="198" spans="1:19" x14ac:dyDescent="0.25">
      <c r="A198" t="s">
        <v>3</v>
      </c>
      <c r="B198">
        <v>193995</v>
      </c>
      <c r="C198"/>
      <c r="D198"/>
      <c r="E198"/>
      <c r="F198"/>
      <c r="G198" t="s">
        <v>8098</v>
      </c>
      <c r="H198"/>
      <c r="I198"/>
      <c r="J198"/>
      <c r="K198"/>
      <c r="L198"/>
      <c r="M198"/>
      <c r="N198"/>
      <c r="O198"/>
      <c r="P198"/>
      <c r="Q198"/>
      <c r="R198"/>
      <c r="S198"/>
    </row>
    <row r="199" spans="1:19" x14ac:dyDescent="0.25">
      <c r="A199" t="s">
        <v>3</v>
      </c>
      <c r="B199">
        <v>195168</v>
      </c>
      <c r="C199"/>
      <c r="D199"/>
      <c r="E199"/>
      <c r="F199"/>
      <c r="G199" t="s">
        <v>8098</v>
      </c>
      <c r="H199"/>
      <c r="I199"/>
      <c r="J199"/>
      <c r="K199"/>
      <c r="L199"/>
      <c r="M199"/>
      <c r="N199"/>
      <c r="O199"/>
      <c r="P199"/>
      <c r="Q199"/>
      <c r="R199"/>
      <c r="S199"/>
    </row>
    <row r="200" spans="1:19" x14ac:dyDescent="0.25">
      <c r="A200" t="s">
        <v>3</v>
      </c>
      <c r="B200">
        <v>195169</v>
      </c>
      <c r="C200"/>
      <c r="D200"/>
      <c r="E200"/>
      <c r="F200"/>
      <c r="G200" t="s">
        <v>8098</v>
      </c>
      <c r="H200"/>
      <c r="I200"/>
      <c r="J200"/>
      <c r="K200"/>
      <c r="L200"/>
      <c r="M200"/>
      <c r="N200"/>
      <c r="O200"/>
      <c r="P200"/>
      <c r="Q200"/>
      <c r="R200"/>
      <c r="S200"/>
    </row>
    <row r="201" spans="1:19" x14ac:dyDescent="0.25">
      <c r="A201" t="s">
        <v>3</v>
      </c>
      <c r="B201">
        <v>195170</v>
      </c>
      <c r="C201"/>
      <c r="D201"/>
      <c r="E201"/>
      <c r="F201"/>
      <c r="G201" t="s">
        <v>8098</v>
      </c>
      <c r="H201"/>
      <c r="I201"/>
      <c r="J201"/>
      <c r="K201"/>
      <c r="L201"/>
      <c r="M201"/>
      <c r="N201"/>
      <c r="O201"/>
      <c r="P201"/>
      <c r="Q201"/>
      <c r="R201"/>
      <c r="S201"/>
    </row>
    <row r="202" spans="1:19" x14ac:dyDescent="0.25">
      <c r="A202" t="s">
        <v>3</v>
      </c>
      <c r="B202">
        <v>195172</v>
      </c>
      <c r="C202"/>
      <c r="D202"/>
      <c r="E202"/>
      <c r="F202"/>
      <c r="G202" t="s">
        <v>8098</v>
      </c>
      <c r="H202"/>
      <c r="I202"/>
      <c r="J202"/>
      <c r="K202"/>
      <c r="L202"/>
      <c r="M202"/>
      <c r="N202"/>
      <c r="O202"/>
      <c r="P202"/>
      <c r="Q202"/>
      <c r="R202"/>
      <c r="S202"/>
    </row>
    <row r="203" spans="1:19" x14ac:dyDescent="0.25">
      <c r="A203" t="s">
        <v>3</v>
      </c>
      <c r="B203">
        <v>202605</v>
      </c>
      <c r="C203"/>
      <c r="D203"/>
      <c r="E203"/>
      <c r="F203"/>
      <c r="G203" t="s">
        <v>8098</v>
      </c>
      <c r="H203"/>
      <c r="I203"/>
      <c r="J203"/>
      <c r="K203"/>
      <c r="L203"/>
      <c r="M203"/>
      <c r="N203"/>
      <c r="O203"/>
      <c r="P203"/>
      <c r="Q203"/>
      <c r="R203"/>
      <c r="S203"/>
    </row>
    <row r="204" spans="1:19" x14ac:dyDescent="0.25">
      <c r="A204" t="s">
        <v>3</v>
      </c>
      <c r="B204">
        <v>213269</v>
      </c>
      <c r="C204"/>
      <c r="D204"/>
      <c r="E204"/>
      <c r="F204"/>
      <c r="G204" t="s">
        <v>8098</v>
      </c>
      <c r="H204"/>
      <c r="I204"/>
      <c r="J204"/>
      <c r="K204"/>
      <c r="L204"/>
      <c r="M204"/>
      <c r="N204"/>
      <c r="O204"/>
      <c r="P204"/>
      <c r="Q204"/>
      <c r="R204"/>
      <c r="S204"/>
    </row>
    <row r="205" spans="1:19" x14ac:dyDescent="0.25">
      <c r="A205" t="s">
        <v>3</v>
      </c>
      <c r="B205">
        <v>213270</v>
      </c>
      <c r="C205"/>
      <c r="D205"/>
      <c r="E205"/>
      <c r="F205"/>
      <c r="G205" t="s">
        <v>8098</v>
      </c>
      <c r="H205"/>
      <c r="I205"/>
      <c r="J205"/>
      <c r="K205"/>
      <c r="L205"/>
      <c r="M205"/>
      <c r="N205"/>
      <c r="O205"/>
      <c r="P205"/>
      <c r="Q205"/>
      <c r="R205"/>
      <c r="S205"/>
    </row>
    <row r="206" spans="1:19" x14ac:dyDescent="0.25">
      <c r="A206" t="s">
        <v>3</v>
      </c>
      <c r="B206">
        <v>213271</v>
      </c>
      <c r="C206"/>
      <c r="D206"/>
      <c r="E206"/>
      <c r="F206"/>
      <c r="G206" t="s">
        <v>8098</v>
      </c>
      <c r="H206"/>
      <c r="I206"/>
      <c r="J206"/>
      <c r="K206"/>
      <c r="L206"/>
      <c r="M206"/>
      <c r="N206"/>
      <c r="O206"/>
      <c r="P206"/>
      <c r="Q206"/>
      <c r="R206"/>
      <c r="S206"/>
    </row>
    <row r="207" spans="1:19" x14ac:dyDescent="0.25">
      <c r="A207" t="s">
        <v>3</v>
      </c>
      <c r="B207">
        <v>213272</v>
      </c>
      <c r="C207"/>
      <c r="D207"/>
      <c r="E207"/>
      <c r="F207"/>
      <c r="G207" t="s">
        <v>8098</v>
      </c>
      <c r="H207"/>
      <c r="I207"/>
      <c r="J207"/>
      <c r="K207"/>
      <c r="L207"/>
      <c r="M207"/>
      <c r="N207"/>
      <c r="O207"/>
      <c r="P207"/>
      <c r="Q207"/>
      <c r="R207"/>
      <c r="S207"/>
    </row>
    <row r="208" spans="1:19" x14ac:dyDescent="0.25">
      <c r="A208" t="s">
        <v>3</v>
      </c>
      <c r="B208">
        <v>213274</v>
      </c>
      <c r="C208"/>
      <c r="D208"/>
      <c r="E208"/>
      <c r="F208"/>
      <c r="G208" t="s">
        <v>8098</v>
      </c>
      <c r="H208"/>
      <c r="I208"/>
      <c r="J208"/>
      <c r="K208"/>
      <c r="L208"/>
      <c r="M208"/>
      <c r="N208"/>
      <c r="O208"/>
      <c r="P208"/>
      <c r="Q208"/>
      <c r="R208"/>
      <c r="S208"/>
    </row>
    <row r="209" spans="1:19" x14ac:dyDescent="0.25">
      <c r="A209" t="s">
        <v>3</v>
      </c>
      <c r="B209">
        <v>213275</v>
      </c>
      <c r="C209"/>
      <c r="D209"/>
      <c r="E209"/>
      <c r="F209"/>
      <c r="G209" t="s">
        <v>8098</v>
      </c>
      <c r="H209"/>
      <c r="I209"/>
      <c r="J209"/>
      <c r="K209"/>
      <c r="L209"/>
      <c r="M209"/>
      <c r="N209"/>
      <c r="O209"/>
      <c r="P209"/>
      <c r="Q209"/>
      <c r="R209"/>
      <c r="S209"/>
    </row>
    <row r="210" spans="1:19" x14ac:dyDescent="0.25">
      <c r="A210" t="s">
        <v>3</v>
      </c>
      <c r="B210">
        <v>213282</v>
      </c>
      <c r="C210"/>
      <c r="D210"/>
      <c r="E210"/>
      <c r="F210"/>
      <c r="G210" t="s">
        <v>8098</v>
      </c>
      <c r="H210"/>
      <c r="I210"/>
      <c r="J210"/>
      <c r="K210"/>
      <c r="L210"/>
      <c r="M210"/>
      <c r="N210"/>
      <c r="O210"/>
      <c r="P210"/>
      <c r="Q210"/>
      <c r="R210"/>
      <c r="S210"/>
    </row>
    <row r="211" spans="1:19" x14ac:dyDescent="0.25">
      <c r="A211" t="s">
        <v>3</v>
      </c>
      <c r="B211">
        <v>213283</v>
      </c>
      <c r="C211"/>
      <c r="D211"/>
      <c r="E211"/>
      <c r="F211"/>
      <c r="G211" t="s">
        <v>8098</v>
      </c>
      <c r="H211"/>
      <c r="I211"/>
      <c r="J211"/>
      <c r="K211"/>
      <c r="L211"/>
      <c r="M211"/>
      <c r="N211"/>
      <c r="O211"/>
      <c r="P211"/>
      <c r="Q211"/>
      <c r="R211"/>
      <c r="S211"/>
    </row>
    <row r="212" spans="1:19" x14ac:dyDescent="0.25">
      <c r="A212" t="s">
        <v>3</v>
      </c>
      <c r="B212">
        <v>213284</v>
      </c>
      <c r="C212"/>
      <c r="D212"/>
      <c r="E212"/>
      <c r="F212"/>
      <c r="G212" t="s">
        <v>8098</v>
      </c>
      <c r="H212"/>
      <c r="I212"/>
      <c r="J212"/>
      <c r="K212"/>
      <c r="L212"/>
      <c r="M212"/>
      <c r="N212"/>
      <c r="O212"/>
      <c r="P212"/>
      <c r="Q212"/>
      <c r="R212"/>
      <c r="S212"/>
    </row>
    <row r="213" spans="1:19" x14ac:dyDescent="0.25">
      <c r="A213" t="s">
        <v>3</v>
      </c>
      <c r="B213">
        <v>213285</v>
      </c>
      <c r="C213"/>
      <c r="D213"/>
      <c r="E213"/>
      <c r="F213"/>
      <c r="G213" t="s">
        <v>8098</v>
      </c>
      <c r="H213"/>
      <c r="I213"/>
      <c r="J213"/>
      <c r="K213"/>
      <c r="L213"/>
      <c r="M213"/>
      <c r="N213"/>
      <c r="O213"/>
      <c r="P213"/>
      <c r="Q213"/>
      <c r="R213"/>
      <c r="S213"/>
    </row>
    <row r="214" spans="1:19" x14ac:dyDescent="0.25">
      <c r="A214" t="s">
        <v>3</v>
      </c>
      <c r="B214">
        <v>213286</v>
      </c>
      <c r="C214"/>
      <c r="D214"/>
      <c r="E214"/>
      <c r="F214"/>
      <c r="G214" t="s">
        <v>8098</v>
      </c>
      <c r="H214"/>
      <c r="I214"/>
      <c r="J214"/>
      <c r="K214"/>
      <c r="L214"/>
      <c r="M214"/>
      <c r="N214"/>
      <c r="O214"/>
      <c r="P214"/>
      <c r="Q214"/>
      <c r="R214"/>
      <c r="S214"/>
    </row>
    <row r="215" spans="1:19" x14ac:dyDescent="0.25">
      <c r="A215" t="s">
        <v>3</v>
      </c>
      <c r="B215">
        <v>213287</v>
      </c>
      <c r="C215"/>
      <c r="D215"/>
      <c r="E215"/>
      <c r="F215"/>
      <c r="G215" t="s">
        <v>8098</v>
      </c>
      <c r="H215"/>
      <c r="I215"/>
      <c r="J215"/>
      <c r="K215"/>
      <c r="L215"/>
      <c r="M215"/>
      <c r="N215"/>
      <c r="O215"/>
      <c r="P215"/>
      <c r="Q215"/>
      <c r="R215"/>
      <c r="S215"/>
    </row>
    <row r="216" spans="1:19" x14ac:dyDescent="0.25">
      <c r="A216" t="s">
        <v>3</v>
      </c>
      <c r="B216">
        <v>213288</v>
      </c>
      <c r="C216"/>
      <c r="D216"/>
      <c r="E216"/>
      <c r="F216"/>
      <c r="G216" t="s">
        <v>8098</v>
      </c>
      <c r="H216"/>
      <c r="I216"/>
      <c r="J216"/>
      <c r="K216"/>
      <c r="L216"/>
      <c r="M216"/>
      <c r="N216"/>
      <c r="O216"/>
      <c r="P216"/>
      <c r="Q216"/>
      <c r="R216"/>
      <c r="S216"/>
    </row>
    <row r="217" spans="1:19" x14ac:dyDescent="0.25">
      <c r="A217" t="s">
        <v>3</v>
      </c>
      <c r="B217">
        <v>213873</v>
      </c>
      <c r="C217"/>
      <c r="D217"/>
      <c r="E217"/>
      <c r="F217"/>
      <c r="G217" t="s">
        <v>8098</v>
      </c>
      <c r="H217"/>
      <c r="I217"/>
      <c r="J217"/>
      <c r="K217"/>
      <c r="L217"/>
      <c r="M217"/>
      <c r="N217"/>
      <c r="O217"/>
      <c r="P217"/>
      <c r="Q217"/>
      <c r="R217"/>
      <c r="S217"/>
    </row>
    <row r="218" spans="1:19" x14ac:dyDescent="0.25">
      <c r="A218" t="s">
        <v>3</v>
      </c>
      <c r="B218">
        <v>213987</v>
      </c>
      <c r="C218"/>
      <c r="D218"/>
      <c r="E218"/>
      <c r="F218"/>
      <c r="G218" t="s">
        <v>8098</v>
      </c>
      <c r="H218"/>
      <c r="I218"/>
      <c r="J218"/>
      <c r="K218"/>
      <c r="L218"/>
      <c r="M218"/>
      <c r="N218"/>
      <c r="O218"/>
      <c r="P218"/>
      <c r="Q218"/>
      <c r="R218"/>
      <c r="S218"/>
    </row>
    <row r="219" spans="1:19" x14ac:dyDescent="0.25">
      <c r="A219" t="s">
        <v>3</v>
      </c>
      <c r="B219">
        <v>214029</v>
      </c>
      <c r="C219"/>
      <c r="D219"/>
      <c r="E219"/>
      <c r="F219"/>
      <c r="G219" t="s">
        <v>8098</v>
      </c>
      <c r="H219"/>
      <c r="I219"/>
      <c r="J219"/>
      <c r="K219"/>
      <c r="L219"/>
      <c r="M219"/>
      <c r="N219"/>
      <c r="O219"/>
      <c r="P219"/>
      <c r="Q219"/>
      <c r="R219"/>
      <c r="S219"/>
    </row>
    <row r="220" spans="1:19" x14ac:dyDescent="0.25">
      <c r="A220" t="s">
        <v>3</v>
      </c>
      <c r="B220">
        <v>214030</v>
      </c>
      <c r="C220"/>
      <c r="D220"/>
      <c r="E220"/>
      <c r="F220"/>
      <c r="G220" t="s">
        <v>8098</v>
      </c>
      <c r="H220"/>
      <c r="I220"/>
      <c r="J220"/>
      <c r="K220"/>
      <c r="L220"/>
      <c r="M220"/>
      <c r="N220"/>
      <c r="O220"/>
      <c r="P220"/>
      <c r="Q220"/>
      <c r="R220"/>
      <c r="S220"/>
    </row>
    <row r="221" spans="1:19" x14ac:dyDescent="0.25">
      <c r="A221" t="s">
        <v>3</v>
      </c>
      <c r="B221">
        <v>214031</v>
      </c>
      <c r="C221"/>
      <c r="D221"/>
      <c r="E221"/>
      <c r="F221"/>
      <c r="G221" t="s">
        <v>8098</v>
      </c>
      <c r="H221"/>
      <c r="I221"/>
      <c r="J221"/>
      <c r="K221"/>
      <c r="L221"/>
      <c r="M221"/>
      <c r="N221"/>
      <c r="O221"/>
      <c r="P221"/>
      <c r="Q221"/>
      <c r="R221"/>
      <c r="S221"/>
    </row>
    <row r="222" spans="1:19" x14ac:dyDescent="0.25">
      <c r="A222" t="s">
        <v>3</v>
      </c>
      <c r="B222">
        <v>214032</v>
      </c>
      <c r="C222"/>
      <c r="D222"/>
      <c r="E222"/>
      <c r="F222"/>
      <c r="G222" t="s">
        <v>8098</v>
      </c>
      <c r="H222"/>
      <c r="I222"/>
      <c r="J222"/>
      <c r="K222"/>
      <c r="L222"/>
      <c r="M222"/>
      <c r="N222"/>
      <c r="O222"/>
      <c r="P222"/>
      <c r="Q222"/>
      <c r="R222"/>
      <c r="S222"/>
    </row>
    <row r="223" spans="1:19" x14ac:dyDescent="0.25">
      <c r="A223" t="s">
        <v>3</v>
      </c>
      <c r="B223">
        <v>214033</v>
      </c>
      <c r="C223"/>
      <c r="D223"/>
      <c r="E223"/>
      <c r="F223"/>
      <c r="G223" t="s">
        <v>8098</v>
      </c>
      <c r="H223"/>
      <c r="I223"/>
      <c r="J223"/>
      <c r="K223"/>
      <c r="L223"/>
      <c r="M223"/>
      <c r="N223"/>
      <c r="O223"/>
      <c r="P223"/>
      <c r="Q223"/>
      <c r="R223"/>
      <c r="S223"/>
    </row>
    <row r="224" spans="1:19" x14ac:dyDescent="0.25">
      <c r="A224" t="s">
        <v>3</v>
      </c>
      <c r="B224">
        <v>214034</v>
      </c>
      <c r="C224"/>
      <c r="D224"/>
      <c r="E224"/>
      <c r="F224"/>
      <c r="G224" t="s">
        <v>8098</v>
      </c>
      <c r="H224"/>
      <c r="I224"/>
      <c r="J224"/>
      <c r="K224"/>
      <c r="L224"/>
      <c r="M224"/>
      <c r="N224"/>
      <c r="O224"/>
      <c r="P224"/>
      <c r="Q224"/>
      <c r="R224"/>
      <c r="S224"/>
    </row>
    <row r="225" spans="1:19" x14ac:dyDescent="0.25">
      <c r="A225" t="s">
        <v>3</v>
      </c>
      <c r="B225">
        <v>214035</v>
      </c>
      <c r="C225"/>
      <c r="D225"/>
      <c r="E225"/>
      <c r="F225"/>
      <c r="G225" t="s">
        <v>8098</v>
      </c>
      <c r="H225"/>
      <c r="I225"/>
      <c r="J225"/>
      <c r="K225"/>
      <c r="L225"/>
      <c r="M225"/>
      <c r="N225"/>
      <c r="O225"/>
      <c r="P225"/>
      <c r="Q225"/>
      <c r="R225"/>
      <c r="S225"/>
    </row>
    <row r="226" spans="1:19" x14ac:dyDescent="0.25">
      <c r="A226" t="s">
        <v>3</v>
      </c>
      <c r="B226">
        <v>214036</v>
      </c>
      <c r="C226"/>
      <c r="D226"/>
      <c r="E226"/>
      <c r="F226"/>
      <c r="G226" t="s">
        <v>8098</v>
      </c>
      <c r="H226"/>
      <c r="I226"/>
      <c r="J226"/>
      <c r="K226"/>
      <c r="L226"/>
      <c r="M226"/>
      <c r="N226"/>
      <c r="O226"/>
      <c r="P226"/>
      <c r="Q226"/>
      <c r="R226"/>
      <c r="S226"/>
    </row>
    <row r="227" spans="1:19" x14ac:dyDescent="0.25">
      <c r="A227" t="s">
        <v>3</v>
      </c>
      <c r="B227">
        <v>214037</v>
      </c>
      <c r="C227"/>
      <c r="D227"/>
      <c r="E227"/>
      <c r="F227"/>
      <c r="G227" t="s">
        <v>8098</v>
      </c>
      <c r="H227"/>
      <c r="I227"/>
      <c r="J227"/>
      <c r="K227"/>
      <c r="L227"/>
      <c r="M227"/>
      <c r="N227"/>
      <c r="O227"/>
      <c r="P227"/>
      <c r="Q227"/>
      <c r="R227"/>
      <c r="S227"/>
    </row>
    <row r="228" spans="1:19" x14ac:dyDescent="0.25">
      <c r="A228" t="s">
        <v>3</v>
      </c>
      <c r="B228">
        <v>214038</v>
      </c>
      <c r="C228"/>
      <c r="D228"/>
      <c r="E228"/>
      <c r="F228"/>
      <c r="G228" t="s">
        <v>8098</v>
      </c>
      <c r="H228"/>
      <c r="I228"/>
      <c r="J228"/>
      <c r="K228"/>
      <c r="L228"/>
      <c r="M228"/>
      <c r="N228"/>
      <c r="O228"/>
      <c r="P228"/>
      <c r="Q228"/>
      <c r="R228"/>
      <c r="S228"/>
    </row>
    <row r="229" spans="1:19" x14ac:dyDescent="0.25">
      <c r="A229" t="s">
        <v>3</v>
      </c>
      <c r="B229">
        <v>214039</v>
      </c>
      <c r="C229"/>
      <c r="D229"/>
      <c r="E229"/>
      <c r="F229"/>
      <c r="G229" t="s">
        <v>8098</v>
      </c>
      <c r="H229"/>
      <c r="I229"/>
      <c r="J229"/>
      <c r="K229"/>
      <c r="L229"/>
      <c r="M229"/>
      <c r="N229"/>
      <c r="O229"/>
      <c r="P229"/>
      <c r="Q229"/>
      <c r="R229"/>
      <c r="S229"/>
    </row>
    <row r="230" spans="1:19" x14ac:dyDescent="0.25">
      <c r="A230" t="s">
        <v>3</v>
      </c>
      <c r="B230">
        <v>214048</v>
      </c>
      <c r="C230"/>
      <c r="D230"/>
      <c r="E230"/>
      <c r="F230"/>
      <c r="G230" t="s">
        <v>8098</v>
      </c>
      <c r="H230"/>
      <c r="I230"/>
      <c r="J230"/>
      <c r="K230"/>
      <c r="L230"/>
      <c r="M230"/>
      <c r="N230"/>
      <c r="O230"/>
      <c r="P230"/>
      <c r="Q230"/>
      <c r="R230"/>
      <c r="S230"/>
    </row>
    <row r="231" spans="1:19" x14ac:dyDescent="0.25">
      <c r="A231" t="s">
        <v>3</v>
      </c>
      <c r="B231">
        <v>214049</v>
      </c>
      <c r="C231"/>
      <c r="D231"/>
      <c r="E231"/>
      <c r="F231"/>
      <c r="G231" t="s">
        <v>8098</v>
      </c>
      <c r="H231"/>
      <c r="I231"/>
      <c r="J231"/>
      <c r="K231"/>
      <c r="L231"/>
      <c r="M231"/>
      <c r="N231"/>
      <c r="O231"/>
      <c r="P231"/>
      <c r="Q231"/>
      <c r="R231"/>
      <c r="S231"/>
    </row>
    <row r="232" spans="1:19" x14ac:dyDescent="0.25">
      <c r="A232" t="s">
        <v>3</v>
      </c>
      <c r="B232">
        <v>218615</v>
      </c>
      <c r="C232"/>
      <c r="D232"/>
      <c r="E232"/>
      <c r="F232"/>
      <c r="G232" t="s">
        <v>8098</v>
      </c>
      <c r="H232"/>
      <c r="I232"/>
      <c r="J232"/>
      <c r="K232"/>
      <c r="L232"/>
      <c r="M232"/>
      <c r="N232"/>
      <c r="O232"/>
      <c r="P232"/>
      <c r="Q232"/>
      <c r="R232"/>
      <c r="S232"/>
    </row>
    <row r="233" spans="1:19" x14ac:dyDescent="0.25">
      <c r="A233" t="s">
        <v>3</v>
      </c>
      <c r="B233">
        <v>219278</v>
      </c>
      <c r="C233"/>
      <c r="D233"/>
      <c r="E233"/>
      <c r="F233"/>
      <c r="G233" t="s">
        <v>8098</v>
      </c>
      <c r="H233"/>
      <c r="I233"/>
      <c r="J233"/>
      <c r="K233"/>
      <c r="L233"/>
      <c r="M233"/>
      <c r="N233"/>
      <c r="O233"/>
      <c r="P233"/>
      <c r="Q233"/>
      <c r="R233"/>
      <c r="S233"/>
    </row>
    <row r="234" spans="1:19" x14ac:dyDescent="0.25">
      <c r="A234" t="s">
        <v>3</v>
      </c>
      <c r="B234">
        <v>219279</v>
      </c>
      <c r="C234"/>
      <c r="D234"/>
      <c r="E234"/>
      <c r="F234"/>
      <c r="G234" t="s">
        <v>8098</v>
      </c>
      <c r="H234"/>
      <c r="I234"/>
      <c r="J234"/>
      <c r="K234"/>
      <c r="L234"/>
      <c r="M234"/>
      <c r="N234"/>
      <c r="O234"/>
      <c r="P234"/>
      <c r="Q234"/>
      <c r="R234"/>
      <c r="S234"/>
    </row>
    <row r="235" spans="1:19" x14ac:dyDescent="0.25">
      <c r="A235" t="s">
        <v>3</v>
      </c>
      <c r="B235">
        <v>219280</v>
      </c>
      <c r="C235"/>
      <c r="D235"/>
      <c r="E235"/>
      <c r="F235"/>
      <c r="G235" t="s">
        <v>8098</v>
      </c>
      <c r="H235"/>
      <c r="I235"/>
      <c r="J235"/>
      <c r="K235"/>
      <c r="L235"/>
      <c r="M235"/>
      <c r="N235"/>
      <c r="O235"/>
      <c r="P235"/>
      <c r="Q235"/>
      <c r="R235"/>
      <c r="S235"/>
    </row>
    <row r="236" spans="1:19" x14ac:dyDescent="0.25">
      <c r="A236" t="s">
        <v>3</v>
      </c>
      <c r="B236">
        <v>219281</v>
      </c>
      <c r="C236"/>
      <c r="D236"/>
      <c r="E236"/>
      <c r="F236"/>
      <c r="G236" t="s">
        <v>8098</v>
      </c>
      <c r="H236"/>
      <c r="I236"/>
      <c r="J236"/>
      <c r="K236"/>
      <c r="L236"/>
      <c r="M236"/>
      <c r="N236"/>
      <c r="O236"/>
      <c r="P236"/>
      <c r="Q236"/>
      <c r="R236"/>
      <c r="S236"/>
    </row>
    <row r="237" spans="1:19" x14ac:dyDescent="0.25">
      <c r="A237" t="s">
        <v>3</v>
      </c>
      <c r="B237">
        <v>223976</v>
      </c>
      <c r="C237"/>
      <c r="D237"/>
      <c r="E237"/>
      <c r="F237"/>
      <c r="G237" t="s">
        <v>8098</v>
      </c>
      <c r="H237"/>
      <c r="I237"/>
      <c r="J237"/>
      <c r="K237"/>
      <c r="L237"/>
      <c r="M237"/>
      <c r="N237"/>
      <c r="O237"/>
      <c r="P237"/>
      <c r="Q237"/>
      <c r="R237"/>
      <c r="S237"/>
    </row>
    <row r="238" spans="1:19" x14ac:dyDescent="0.25">
      <c r="A238" t="s">
        <v>3</v>
      </c>
      <c r="B238">
        <v>226520</v>
      </c>
      <c r="C238"/>
      <c r="D238"/>
      <c r="E238"/>
      <c r="F238"/>
      <c r="G238" t="s">
        <v>8098</v>
      </c>
      <c r="H238"/>
      <c r="I238"/>
      <c r="J238"/>
      <c r="K238"/>
      <c r="L238"/>
      <c r="M238"/>
      <c r="N238"/>
      <c r="O238"/>
      <c r="P238"/>
      <c r="Q238"/>
      <c r="R238"/>
      <c r="S238"/>
    </row>
    <row r="239" spans="1:19" x14ac:dyDescent="0.25">
      <c r="A239" t="s">
        <v>3</v>
      </c>
      <c r="B239">
        <v>226519</v>
      </c>
      <c r="C239"/>
      <c r="D239"/>
      <c r="E239"/>
      <c r="F239"/>
      <c r="G239" t="s">
        <v>8098</v>
      </c>
      <c r="H239"/>
      <c r="I239"/>
      <c r="J239"/>
      <c r="K239"/>
      <c r="L239"/>
      <c r="M239"/>
      <c r="N239"/>
      <c r="O239"/>
      <c r="P239"/>
      <c r="Q239"/>
      <c r="R239"/>
      <c r="S239"/>
    </row>
    <row r="240" spans="1:19" x14ac:dyDescent="0.25">
      <c r="A240" t="s">
        <v>3</v>
      </c>
      <c r="B240">
        <v>226521</v>
      </c>
      <c r="C240"/>
      <c r="D240"/>
      <c r="E240"/>
      <c r="F240"/>
      <c r="G240" t="s">
        <v>8098</v>
      </c>
      <c r="H240"/>
      <c r="I240"/>
      <c r="J240"/>
      <c r="K240"/>
      <c r="L240"/>
      <c r="M240"/>
      <c r="N240"/>
      <c r="O240"/>
      <c r="P240"/>
      <c r="Q240"/>
      <c r="R240"/>
      <c r="S240"/>
    </row>
    <row r="241" spans="1:19" x14ac:dyDescent="0.25">
      <c r="A241" t="s">
        <v>3</v>
      </c>
      <c r="B241">
        <v>226522</v>
      </c>
      <c r="C241"/>
      <c r="D241"/>
      <c r="E241"/>
      <c r="F241"/>
      <c r="G241" t="s">
        <v>8098</v>
      </c>
      <c r="H241"/>
      <c r="I241"/>
      <c r="J241"/>
      <c r="K241"/>
      <c r="L241"/>
      <c r="M241"/>
      <c r="N241"/>
      <c r="O241"/>
      <c r="P241"/>
      <c r="Q241"/>
      <c r="R241"/>
      <c r="S241"/>
    </row>
    <row r="242" spans="1:19" x14ac:dyDescent="0.25">
      <c r="A242" t="s">
        <v>3</v>
      </c>
      <c r="B242">
        <v>226601</v>
      </c>
      <c r="C242"/>
      <c r="D242"/>
      <c r="E242"/>
      <c r="F242"/>
      <c r="G242" t="s">
        <v>8098</v>
      </c>
      <c r="H242"/>
      <c r="I242"/>
      <c r="J242"/>
      <c r="K242"/>
      <c r="L242"/>
      <c r="M242"/>
      <c r="N242"/>
      <c r="O242"/>
      <c r="P242"/>
      <c r="Q242"/>
      <c r="R242"/>
      <c r="S242"/>
    </row>
    <row r="243" spans="1:19" x14ac:dyDescent="0.25">
      <c r="A243" t="s">
        <v>3</v>
      </c>
      <c r="B243">
        <v>226602</v>
      </c>
      <c r="C243"/>
      <c r="D243"/>
      <c r="E243"/>
      <c r="F243"/>
      <c r="G243" t="s">
        <v>8098</v>
      </c>
      <c r="H243"/>
      <c r="I243"/>
      <c r="J243"/>
      <c r="K243"/>
      <c r="L243"/>
      <c r="M243"/>
      <c r="N243"/>
      <c r="O243"/>
      <c r="P243"/>
      <c r="Q243"/>
      <c r="R243"/>
      <c r="S243"/>
    </row>
    <row r="244" spans="1:19" x14ac:dyDescent="0.25">
      <c r="A244" t="s">
        <v>3</v>
      </c>
      <c r="B244">
        <v>226603</v>
      </c>
      <c r="C244"/>
      <c r="D244"/>
      <c r="E244"/>
      <c r="F244"/>
      <c r="G244" t="s">
        <v>8098</v>
      </c>
      <c r="H244"/>
      <c r="I244"/>
      <c r="J244"/>
      <c r="K244"/>
      <c r="L244"/>
      <c r="M244"/>
      <c r="N244"/>
      <c r="O244"/>
      <c r="P244"/>
      <c r="Q244"/>
      <c r="R244"/>
      <c r="S244"/>
    </row>
    <row r="245" spans="1:19" x14ac:dyDescent="0.25">
      <c r="A245" t="s">
        <v>3</v>
      </c>
      <c r="B245">
        <v>226604</v>
      </c>
      <c r="C245"/>
      <c r="D245"/>
      <c r="E245"/>
      <c r="F245"/>
      <c r="G245" t="s">
        <v>8098</v>
      </c>
      <c r="H245"/>
      <c r="I245"/>
      <c r="J245"/>
      <c r="K245"/>
      <c r="L245"/>
      <c r="M245"/>
      <c r="N245"/>
      <c r="O245"/>
      <c r="P245"/>
      <c r="Q245"/>
      <c r="R245"/>
      <c r="S245"/>
    </row>
    <row r="246" spans="1:19" x14ac:dyDescent="0.25">
      <c r="A246" t="s">
        <v>3</v>
      </c>
      <c r="B246">
        <v>226605</v>
      </c>
      <c r="C246"/>
      <c r="D246"/>
      <c r="E246"/>
      <c r="F246"/>
      <c r="G246" t="s">
        <v>8098</v>
      </c>
      <c r="H246"/>
      <c r="I246"/>
      <c r="J246"/>
      <c r="K246"/>
      <c r="L246"/>
      <c r="M246"/>
      <c r="N246"/>
      <c r="O246"/>
      <c r="P246"/>
      <c r="Q246"/>
      <c r="R246"/>
      <c r="S246"/>
    </row>
    <row r="247" spans="1:19" x14ac:dyDescent="0.25">
      <c r="A247" t="s">
        <v>3</v>
      </c>
      <c r="B247">
        <v>226607</v>
      </c>
      <c r="C247"/>
      <c r="D247"/>
      <c r="E247"/>
      <c r="F247"/>
      <c r="G247" t="s">
        <v>8098</v>
      </c>
      <c r="H247"/>
      <c r="I247"/>
      <c r="J247"/>
      <c r="K247"/>
      <c r="L247"/>
      <c r="M247"/>
      <c r="N247"/>
      <c r="O247"/>
      <c r="P247"/>
      <c r="Q247"/>
      <c r="R247"/>
      <c r="S247"/>
    </row>
    <row r="248" spans="1:19" x14ac:dyDescent="0.25">
      <c r="A248" t="s">
        <v>3</v>
      </c>
      <c r="B248">
        <v>226608</v>
      </c>
      <c r="C248"/>
      <c r="D248"/>
      <c r="E248"/>
      <c r="F248"/>
      <c r="G248" t="s">
        <v>8098</v>
      </c>
      <c r="H248"/>
      <c r="I248"/>
      <c r="J248"/>
      <c r="K248"/>
      <c r="L248"/>
      <c r="M248"/>
      <c r="N248"/>
      <c r="O248"/>
      <c r="P248"/>
      <c r="Q248"/>
      <c r="R248"/>
      <c r="S248"/>
    </row>
    <row r="249" spans="1:19" x14ac:dyDescent="0.25">
      <c r="A249" t="s">
        <v>3</v>
      </c>
      <c r="B249">
        <v>226609</v>
      </c>
      <c r="C249"/>
      <c r="D249"/>
      <c r="E249"/>
      <c r="F249"/>
      <c r="G249" t="s">
        <v>8098</v>
      </c>
      <c r="H249"/>
      <c r="I249"/>
      <c r="J249"/>
      <c r="K249"/>
      <c r="L249"/>
      <c r="M249"/>
      <c r="N249"/>
      <c r="O249"/>
      <c r="P249"/>
      <c r="Q249"/>
      <c r="R249"/>
      <c r="S249"/>
    </row>
    <row r="250" spans="1:19" x14ac:dyDescent="0.25">
      <c r="A250" t="s">
        <v>3</v>
      </c>
      <c r="B250">
        <v>226610</v>
      </c>
      <c r="C250"/>
      <c r="D250"/>
      <c r="E250"/>
      <c r="F250"/>
      <c r="G250" t="s">
        <v>8098</v>
      </c>
      <c r="H250"/>
      <c r="I250"/>
      <c r="J250"/>
      <c r="K250"/>
      <c r="L250"/>
      <c r="M250"/>
      <c r="N250"/>
      <c r="O250"/>
      <c r="P250"/>
      <c r="Q250"/>
      <c r="R250"/>
      <c r="S250"/>
    </row>
    <row r="251" spans="1:19" x14ac:dyDescent="0.25">
      <c r="A251" t="s">
        <v>3</v>
      </c>
      <c r="B251">
        <v>226611</v>
      </c>
      <c r="C251"/>
      <c r="D251"/>
      <c r="E251"/>
      <c r="F251"/>
      <c r="G251" t="s">
        <v>8098</v>
      </c>
      <c r="H251"/>
      <c r="I251"/>
      <c r="J251"/>
      <c r="K251"/>
      <c r="L251"/>
      <c r="M251"/>
      <c r="N251"/>
      <c r="O251"/>
      <c r="P251"/>
      <c r="Q251"/>
      <c r="R251"/>
      <c r="S251"/>
    </row>
    <row r="252" spans="1:19" x14ac:dyDescent="0.25">
      <c r="A252" t="s">
        <v>3</v>
      </c>
      <c r="B252">
        <v>226599</v>
      </c>
      <c r="C252">
        <v>690</v>
      </c>
      <c r="D252" t="s">
        <v>8058</v>
      </c>
      <c r="E252"/>
      <c r="F252"/>
      <c r="G252">
        <v>690</v>
      </c>
      <c r="H252"/>
      <c r="I252"/>
      <c r="J252"/>
      <c r="K252"/>
      <c r="L252"/>
      <c r="M252"/>
      <c r="N252"/>
      <c r="O252"/>
      <c r="P252"/>
      <c r="Q252"/>
      <c r="R252"/>
      <c r="S252"/>
    </row>
    <row r="253" spans="1:19" x14ac:dyDescent="0.25">
      <c r="A253" t="s">
        <v>3</v>
      </c>
      <c r="B253">
        <v>226600</v>
      </c>
      <c r="C253">
        <v>729</v>
      </c>
      <c r="D253" t="s">
        <v>8059</v>
      </c>
      <c r="E253"/>
      <c r="F253"/>
      <c r="G253">
        <v>729</v>
      </c>
      <c r="H253"/>
      <c r="I253"/>
      <c r="J253"/>
      <c r="K253"/>
      <c r="L253"/>
      <c r="M253"/>
      <c r="N253"/>
      <c r="O253"/>
      <c r="P253"/>
      <c r="Q253"/>
      <c r="R253"/>
      <c r="S253"/>
    </row>
    <row r="254" spans="1:19" x14ac:dyDescent="0.25">
      <c r="A254" t="s">
        <v>3</v>
      </c>
      <c r="B254">
        <v>226753</v>
      </c>
      <c r="C254"/>
      <c r="D254"/>
      <c r="E254"/>
      <c r="F254"/>
      <c r="G254" t="s">
        <v>8098</v>
      </c>
      <c r="H254"/>
      <c r="I254"/>
      <c r="J254"/>
      <c r="K254"/>
      <c r="L254"/>
      <c r="M254"/>
      <c r="N254"/>
      <c r="O254"/>
      <c r="P254"/>
      <c r="Q254"/>
      <c r="R254"/>
      <c r="S254"/>
    </row>
    <row r="255" spans="1:19" x14ac:dyDescent="0.25">
      <c r="A255" t="s">
        <v>3</v>
      </c>
      <c r="B255">
        <v>226704</v>
      </c>
      <c r="C255"/>
      <c r="D255"/>
      <c r="E255"/>
      <c r="F255"/>
      <c r="G255" t="s">
        <v>8098</v>
      </c>
      <c r="H255"/>
      <c r="I255"/>
      <c r="J255"/>
      <c r="K255"/>
      <c r="L255"/>
      <c r="M255"/>
      <c r="N255"/>
      <c r="O255"/>
      <c r="P255"/>
      <c r="Q255"/>
      <c r="R255"/>
      <c r="S255"/>
    </row>
    <row r="256" spans="1:19" x14ac:dyDescent="0.25">
      <c r="A256" t="s">
        <v>3</v>
      </c>
      <c r="B256">
        <v>226709</v>
      </c>
      <c r="C256"/>
      <c r="D256"/>
      <c r="E256"/>
      <c r="F256"/>
      <c r="G256" t="s">
        <v>8098</v>
      </c>
      <c r="H256"/>
      <c r="I256"/>
      <c r="J256"/>
      <c r="K256"/>
      <c r="L256"/>
      <c r="M256"/>
      <c r="N256"/>
      <c r="O256"/>
      <c r="P256"/>
      <c r="Q256"/>
      <c r="R256"/>
      <c r="S256"/>
    </row>
    <row r="257" spans="1:19" x14ac:dyDescent="0.25">
      <c r="A257" t="s">
        <v>3</v>
      </c>
      <c r="B257">
        <v>226710</v>
      </c>
      <c r="C257"/>
      <c r="D257"/>
      <c r="E257"/>
      <c r="F257"/>
      <c r="G257" t="s">
        <v>8098</v>
      </c>
      <c r="H257"/>
      <c r="I257"/>
      <c r="J257"/>
      <c r="K257"/>
      <c r="L257"/>
      <c r="M257"/>
      <c r="N257"/>
      <c r="O257"/>
      <c r="P257"/>
      <c r="Q257"/>
      <c r="R257"/>
      <c r="S257"/>
    </row>
    <row r="258" spans="1:19" x14ac:dyDescent="0.25">
      <c r="A258" t="s">
        <v>3</v>
      </c>
      <c r="B258">
        <v>226711</v>
      </c>
      <c r="C258"/>
      <c r="D258"/>
      <c r="E258"/>
      <c r="F258"/>
      <c r="G258" t="s">
        <v>8098</v>
      </c>
      <c r="H258"/>
      <c r="I258"/>
      <c r="J258"/>
      <c r="K258"/>
      <c r="L258"/>
      <c r="M258"/>
      <c r="N258"/>
      <c r="O258"/>
      <c r="P258"/>
      <c r="Q258"/>
      <c r="R258"/>
      <c r="S258"/>
    </row>
    <row r="259" spans="1:19" x14ac:dyDescent="0.25">
      <c r="A259" t="s">
        <v>3</v>
      </c>
      <c r="B259">
        <v>226712</v>
      </c>
      <c r="C259"/>
      <c r="D259"/>
      <c r="E259"/>
      <c r="F259"/>
      <c r="G259" t="s">
        <v>8098</v>
      </c>
      <c r="H259"/>
      <c r="I259"/>
      <c r="J259"/>
      <c r="K259"/>
      <c r="L259"/>
      <c r="M259"/>
      <c r="N259"/>
      <c r="O259"/>
      <c r="P259"/>
      <c r="Q259"/>
      <c r="R259"/>
      <c r="S259"/>
    </row>
    <row r="260" spans="1:19" x14ac:dyDescent="0.25">
      <c r="A260" t="s">
        <v>3</v>
      </c>
      <c r="B260">
        <v>226713</v>
      </c>
      <c r="C260"/>
      <c r="D260"/>
      <c r="E260"/>
      <c r="F260"/>
      <c r="G260" t="s">
        <v>8098</v>
      </c>
      <c r="H260"/>
      <c r="I260"/>
      <c r="J260"/>
      <c r="K260"/>
      <c r="L260"/>
      <c r="M260"/>
      <c r="N260"/>
      <c r="O260"/>
      <c r="P260"/>
      <c r="Q260"/>
      <c r="R260"/>
      <c r="S260"/>
    </row>
    <row r="261" spans="1:19" x14ac:dyDescent="0.25">
      <c r="A261" t="s">
        <v>3</v>
      </c>
      <c r="B261">
        <v>226714</v>
      </c>
      <c r="C261"/>
      <c r="D261"/>
      <c r="E261"/>
      <c r="F261"/>
      <c r="G261" t="s">
        <v>8098</v>
      </c>
      <c r="H261"/>
      <c r="I261"/>
      <c r="J261"/>
      <c r="K261"/>
      <c r="L261"/>
      <c r="M261"/>
      <c r="N261"/>
      <c r="O261"/>
      <c r="P261"/>
      <c r="Q261"/>
      <c r="R261"/>
      <c r="S261"/>
    </row>
    <row r="262" spans="1:19" x14ac:dyDescent="0.25">
      <c r="A262" t="s">
        <v>3</v>
      </c>
      <c r="B262">
        <v>226715</v>
      </c>
      <c r="C262"/>
      <c r="D262"/>
      <c r="E262"/>
      <c r="F262"/>
      <c r="G262" t="s">
        <v>8098</v>
      </c>
      <c r="H262"/>
      <c r="I262"/>
      <c r="J262"/>
      <c r="K262"/>
      <c r="L262"/>
      <c r="M262"/>
      <c r="N262"/>
      <c r="O262"/>
      <c r="P262"/>
      <c r="Q262"/>
      <c r="R262"/>
      <c r="S262"/>
    </row>
    <row r="263" spans="1:19" x14ac:dyDescent="0.25">
      <c r="A263" t="s">
        <v>3</v>
      </c>
      <c r="B263">
        <v>226717</v>
      </c>
      <c r="C263"/>
      <c r="D263"/>
      <c r="E263"/>
      <c r="F263"/>
      <c r="G263" t="s">
        <v>8098</v>
      </c>
      <c r="H263"/>
      <c r="I263"/>
      <c r="J263"/>
      <c r="K263"/>
      <c r="L263"/>
      <c r="M263"/>
      <c r="N263"/>
      <c r="O263"/>
      <c r="P263"/>
      <c r="Q263"/>
      <c r="R263"/>
      <c r="S263"/>
    </row>
    <row r="264" spans="1:19" x14ac:dyDescent="0.25">
      <c r="A264" t="s">
        <v>3</v>
      </c>
      <c r="B264">
        <v>226718</v>
      </c>
      <c r="C264"/>
      <c r="D264"/>
      <c r="E264"/>
      <c r="F264"/>
      <c r="G264" t="s">
        <v>8098</v>
      </c>
      <c r="H264"/>
      <c r="I264"/>
      <c r="J264"/>
      <c r="K264"/>
      <c r="L264"/>
      <c r="M264"/>
      <c r="N264"/>
      <c r="O264"/>
      <c r="P264"/>
      <c r="Q264"/>
      <c r="R264"/>
      <c r="S264"/>
    </row>
    <row r="265" spans="1:19" x14ac:dyDescent="0.25">
      <c r="A265" t="s">
        <v>3</v>
      </c>
      <c r="B265">
        <v>226719</v>
      </c>
      <c r="C265"/>
      <c r="D265"/>
      <c r="E265"/>
      <c r="F265"/>
      <c r="G265" t="s">
        <v>8098</v>
      </c>
      <c r="H265"/>
      <c r="I265"/>
      <c r="J265"/>
      <c r="K265"/>
      <c r="L265"/>
      <c r="M265"/>
      <c r="N265"/>
      <c r="O265"/>
      <c r="P265"/>
      <c r="Q265"/>
      <c r="R265"/>
      <c r="S265"/>
    </row>
    <row r="266" spans="1:19" x14ac:dyDescent="0.25">
      <c r="A266" t="s">
        <v>3</v>
      </c>
      <c r="B266">
        <v>226720</v>
      </c>
      <c r="C266"/>
      <c r="D266"/>
      <c r="E266"/>
      <c r="F266"/>
      <c r="G266" t="s">
        <v>8098</v>
      </c>
      <c r="H266"/>
      <c r="I266"/>
      <c r="J266"/>
      <c r="K266"/>
      <c r="L266"/>
      <c r="M266"/>
      <c r="N266"/>
      <c r="O266"/>
      <c r="P266"/>
      <c r="Q266"/>
      <c r="R266"/>
      <c r="S266"/>
    </row>
    <row r="267" spans="1:19" x14ac:dyDescent="0.25">
      <c r="A267" t="s">
        <v>3</v>
      </c>
      <c r="B267">
        <v>226721</v>
      </c>
      <c r="C267"/>
      <c r="D267"/>
      <c r="E267"/>
      <c r="F267"/>
      <c r="G267" t="s">
        <v>8098</v>
      </c>
      <c r="H267"/>
      <c r="I267"/>
      <c r="J267"/>
      <c r="K267"/>
      <c r="L267"/>
      <c r="M267"/>
      <c r="N267"/>
      <c r="O267"/>
      <c r="P267"/>
      <c r="Q267"/>
      <c r="R267"/>
      <c r="S267"/>
    </row>
    <row r="268" spans="1:19" x14ac:dyDescent="0.25">
      <c r="A268" t="s">
        <v>3</v>
      </c>
      <c r="B268">
        <v>226722</v>
      </c>
      <c r="C268"/>
      <c r="D268"/>
      <c r="E268"/>
      <c r="F268"/>
      <c r="G268" t="s">
        <v>8098</v>
      </c>
      <c r="H268"/>
      <c r="I268"/>
      <c r="J268"/>
      <c r="K268"/>
      <c r="L268"/>
      <c r="M268"/>
      <c r="N268"/>
      <c r="O268"/>
      <c r="P268"/>
      <c r="Q268"/>
      <c r="R268"/>
      <c r="S268"/>
    </row>
    <row r="269" spans="1:19" x14ac:dyDescent="0.25">
      <c r="A269" t="s">
        <v>3</v>
      </c>
      <c r="B269">
        <v>226734</v>
      </c>
      <c r="C269"/>
      <c r="D269"/>
      <c r="E269"/>
      <c r="F269"/>
      <c r="G269" t="s">
        <v>8098</v>
      </c>
      <c r="H269"/>
      <c r="I269"/>
      <c r="J269"/>
      <c r="K269"/>
      <c r="L269"/>
      <c r="M269"/>
      <c r="N269"/>
      <c r="O269"/>
      <c r="P269"/>
      <c r="Q269"/>
      <c r="R269"/>
      <c r="S269"/>
    </row>
    <row r="270" spans="1:19" x14ac:dyDescent="0.25">
      <c r="A270" t="s">
        <v>3</v>
      </c>
      <c r="B270">
        <v>226735</v>
      </c>
      <c r="C270"/>
      <c r="D270"/>
      <c r="E270"/>
      <c r="F270"/>
      <c r="G270" t="s">
        <v>8098</v>
      </c>
      <c r="H270"/>
      <c r="I270"/>
      <c r="J270"/>
      <c r="K270"/>
      <c r="L270"/>
      <c r="M270"/>
      <c r="N270"/>
      <c r="O270"/>
      <c r="P270"/>
      <c r="Q270"/>
      <c r="R270"/>
      <c r="S270"/>
    </row>
    <row r="271" spans="1:19" x14ac:dyDescent="0.25">
      <c r="A271" t="s">
        <v>3</v>
      </c>
      <c r="B271">
        <v>143581</v>
      </c>
      <c r="C271"/>
      <c r="D271"/>
      <c r="E271"/>
      <c r="F271"/>
      <c r="G271" t="s">
        <v>8098</v>
      </c>
      <c r="H271"/>
      <c r="I271"/>
      <c r="J271"/>
      <c r="K271"/>
      <c r="L271"/>
      <c r="M271"/>
      <c r="N271"/>
      <c r="O271"/>
      <c r="P271"/>
      <c r="Q271"/>
      <c r="R271"/>
      <c r="S271"/>
    </row>
    <row r="272" spans="1:19" x14ac:dyDescent="0.25">
      <c r="A272" t="s">
        <v>3</v>
      </c>
      <c r="B272">
        <v>226716</v>
      </c>
      <c r="C272"/>
      <c r="D272"/>
      <c r="E272"/>
      <c r="F272"/>
      <c r="G272" t="s">
        <v>8098</v>
      </c>
      <c r="H272"/>
      <c r="I272"/>
      <c r="J272"/>
      <c r="K272"/>
      <c r="L272"/>
      <c r="M272"/>
      <c r="N272"/>
      <c r="O272"/>
      <c r="P272"/>
      <c r="Q272"/>
      <c r="R272"/>
      <c r="S272"/>
    </row>
    <row r="273" spans="1:19" x14ac:dyDescent="0.25">
      <c r="A273" t="s">
        <v>3</v>
      </c>
      <c r="B273">
        <v>213870</v>
      </c>
      <c r="C273">
        <v>1390</v>
      </c>
      <c r="D273" t="s">
        <v>8063</v>
      </c>
      <c r="E273"/>
      <c r="F273"/>
      <c r="G273">
        <v>1390</v>
      </c>
      <c r="H273"/>
      <c r="I273"/>
      <c r="J273"/>
      <c r="K273"/>
      <c r="L273"/>
      <c r="M273"/>
      <c r="N273"/>
      <c r="O273"/>
      <c r="P273"/>
      <c r="Q273"/>
      <c r="R273"/>
      <c r="S273"/>
    </row>
    <row r="274" spans="1:19" x14ac:dyDescent="0.25">
      <c r="A274" t="s">
        <v>3</v>
      </c>
      <c r="B274">
        <v>187069</v>
      </c>
      <c r="C274"/>
      <c r="D274"/>
      <c r="E274"/>
      <c r="F274"/>
      <c r="G274" t="s">
        <v>8098</v>
      </c>
      <c r="H274"/>
      <c r="I274"/>
      <c r="J274"/>
      <c r="K274"/>
      <c r="L274"/>
      <c r="M274"/>
      <c r="N274"/>
      <c r="O274"/>
      <c r="P274"/>
      <c r="Q274"/>
      <c r="R274"/>
      <c r="S274"/>
    </row>
    <row r="275" spans="1:19" x14ac:dyDescent="0.25">
      <c r="A275" t="s">
        <v>3</v>
      </c>
      <c r="B275">
        <v>152927</v>
      </c>
      <c r="C275">
        <v>590</v>
      </c>
      <c r="D275" t="s">
        <v>8057</v>
      </c>
      <c r="E275"/>
      <c r="F275"/>
      <c r="G275">
        <v>590</v>
      </c>
      <c r="H275"/>
      <c r="I275"/>
      <c r="J275"/>
      <c r="K275"/>
      <c r="L275"/>
      <c r="M275"/>
      <c r="N275"/>
      <c r="O275"/>
      <c r="P275"/>
      <c r="Q275"/>
      <c r="R275"/>
      <c r="S275"/>
    </row>
    <row r="276" spans="1:19" x14ac:dyDescent="0.25">
      <c r="A276" t="s">
        <v>3</v>
      </c>
      <c r="B276">
        <v>186072</v>
      </c>
      <c r="C276"/>
      <c r="D276"/>
      <c r="E276"/>
      <c r="F276"/>
      <c r="G276" t="s">
        <v>8098</v>
      </c>
      <c r="H276"/>
      <c r="I276"/>
      <c r="J276"/>
      <c r="K276"/>
      <c r="L276"/>
      <c r="M276"/>
      <c r="N276"/>
      <c r="O276"/>
      <c r="P276"/>
      <c r="Q276"/>
      <c r="R276"/>
      <c r="S276"/>
    </row>
    <row r="277" spans="1:19" x14ac:dyDescent="0.25">
      <c r="A277" t="s">
        <v>3</v>
      </c>
      <c r="B277">
        <v>131521</v>
      </c>
      <c r="C277"/>
      <c r="D277"/>
      <c r="E277"/>
      <c r="F277"/>
      <c r="G277" t="s">
        <v>8098</v>
      </c>
      <c r="H277"/>
      <c r="I277"/>
      <c r="J277"/>
      <c r="K277"/>
      <c r="L277"/>
      <c r="M277"/>
      <c r="N277"/>
      <c r="O277"/>
      <c r="P277"/>
      <c r="Q277"/>
      <c r="R277"/>
      <c r="S277"/>
    </row>
    <row r="278" spans="1:19" x14ac:dyDescent="0.25">
      <c r="A278" t="s">
        <v>3</v>
      </c>
      <c r="B278">
        <v>132993</v>
      </c>
      <c r="C278">
        <v>249</v>
      </c>
      <c r="D278" t="s">
        <v>8060</v>
      </c>
      <c r="E278"/>
      <c r="F278"/>
      <c r="G278">
        <v>249</v>
      </c>
      <c r="H278"/>
      <c r="I278"/>
      <c r="J278"/>
      <c r="K278"/>
      <c r="L278"/>
      <c r="M278"/>
      <c r="N278"/>
      <c r="O278"/>
      <c r="P278"/>
      <c r="Q278"/>
      <c r="R278"/>
      <c r="S278"/>
    </row>
    <row r="279" spans="1:19" x14ac:dyDescent="0.25">
      <c r="A279" t="s">
        <v>3</v>
      </c>
      <c r="B279">
        <v>131462</v>
      </c>
      <c r="C279">
        <v>469</v>
      </c>
      <c r="D279" t="s">
        <v>8061</v>
      </c>
      <c r="E279"/>
      <c r="F279"/>
      <c r="G279">
        <v>469</v>
      </c>
      <c r="H279"/>
      <c r="I279"/>
      <c r="J279"/>
      <c r="K279"/>
      <c r="L279"/>
      <c r="M279"/>
      <c r="N279"/>
      <c r="O279"/>
      <c r="P279"/>
      <c r="Q279"/>
      <c r="R279"/>
      <c r="S279"/>
    </row>
    <row r="280" spans="1:19" x14ac:dyDescent="0.25">
      <c r="A280" t="s">
        <v>3</v>
      </c>
      <c r="B280">
        <v>131460</v>
      </c>
      <c r="C280">
        <v>469</v>
      </c>
      <c r="D280" t="s">
        <v>8061</v>
      </c>
      <c r="E280"/>
      <c r="F280"/>
      <c r="G280">
        <v>469</v>
      </c>
      <c r="H280"/>
      <c r="I280"/>
      <c r="J280"/>
      <c r="K280"/>
      <c r="L280"/>
      <c r="M280"/>
      <c r="N280"/>
      <c r="O280"/>
      <c r="P280"/>
      <c r="Q280"/>
      <c r="R280"/>
      <c r="S280"/>
    </row>
    <row r="281" spans="1:19" x14ac:dyDescent="0.25">
      <c r="A281" t="s">
        <v>3</v>
      </c>
      <c r="B281">
        <v>131459</v>
      </c>
      <c r="C281">
        <v>469</v>
      </c>
      <c r="D281" t="s">
        <v>8061</v>
      </c>
      <c r="E281"/>
      <c r="F281"/>
      <c r="G281">
        <v>469</v>
      </c>
      <c r="H281"/>
      <c r="I281"/>
      <c r="J281"/>
      <c r="K281"/>
      <c r="L281"/>
      <c r="M281"/>
      <c r="N281"/>
      <c r="O281"/>
      <c r="P281"/>
      <c r="Q281"/>
      <c r="R281"/>
      <c r="S281"/>
    </row>
    <row r="282" spans="1:19" x14ac:dyDescent="0.25">
      <c r="A282" t="s">
        <v>3</v>
      </c>
      <c r="B282">
        <v>131464</v>
      </c>
      <c r="C282">
        <v>469</v>
      </c>
      <c r="D282" t="s">
        <v>8061</v>
      </c>
      <c r="E282"/>
      <c r="F282"/>
      <c r="G282">
        <v>469</v>
      </c>
      <c r="H282"/>
      <c r="I282"/>
      <c r="J282"/>
      <c r="K282"/>
      <c r="L282"/>
      <c r="M282"/>
      <c r="N282"/>
      <c r="O282"/>
      <c r="P282"/>
      <c r="Q282"/>
      <c r="R282"/>
      <c r="S282"/>
    </row>
    <row r="283" spans="1:19" x14ac:dyDescent="0.25">
      <c r="A283" t="s">
        <v>3</v>
      </c>
      <c r="B283">
        <v>131461</v>
      </c>
      <c r="C283">
        <v>469</v>
      </c>
      <c r="D283" t="s">
        <v>8061</v>
      </c>
      <c r="E283"/>
      <c r="F283"/>
      <c r="G283">
        <v>469</v>
      </c>
      <c r="H283"/>
      <c r="I283"/>
      <c r="J283"/>
      <c r="K283"/>
      <c r="L283"/>
      <c r="M283"/>
      <c r="N283"/>
      <c r="O283"/>
      <c r="P283"/>
      <c r="Q283"/>
      <c r="R283"/>
      <c r="S283"/>
    </row>
    <row r="284" spans="1:19" x14ac:dyDescent="0.25">
      <c r="A284" t="s">
        <v>3</v>
      </c>
      <c r="B284">
        <v>131463</v>
      </c>
      <c r="C284">
        <v>469</v>
      </c>
      <c r="D284" t="s">
        <v>8061</v>
      </c>
      <c r="E284"/>
      <c r="F284"/>
      <c r="G284">
        <v>469</v>
      </c>
      <c r="H284"/>
      <c r="I284"/>
      <c r="J284"/>
      <c r="K284"/>
      <c r="L284"/>
      <c r="M284"/>
      <c r="N284"/>
      <c r="O284"/>
      <c r="P284"/>
      <c r="Q284"/>
      <c r="R284"/>
      <c r="S284"/>
    </row>
    <row r="285" spans="1:19" x14ac:dyDescent="0.25">
      <c r="A285" t="s">
        <v>3</v>
      </c>
      <c r="B285">
        <v>131497</v>
      </c>
      <c r="C285"/>
      <c r="D285"/>
      <c r="E285"/>
      <c r="F285"/>
      <c r="G285" t="s">
        <v>8098</v>
      </c>
      <c r="H285"/>
      <c r="I285"/>
      <c r="J285"/>
      <c r="K285"/>
      <c r="L285"/>
      <c r="M285"/>
      <c r="N285"/>
      <c r="O285"/>
      <c r="P285"/>
      <c r="Q285"/>
      <c r="R285"/>
      <c r="S285"/>
    </row>
    <row r="286" spans="1:19" x14ac:dyDescent="0.25">
      <c r="A286" t="s">
        <v>3</v>
      </c>
      <c r="B286">
        <v>152928</v>
      </c>
      <c r="C286"/>
      <c r="D286"/>
      <c r="E286"/>
      <c r="F286"/>
      <c r="G286" t="s">
        <v>8098</v>
      </c>
      <c r="H286"/>
      <c r="I286"/>
      <c r="J286"/>
      <c r="K286"/>
      <c r="L286"/>
      <c r="M286"/>
      <c r="N286"/>
      <c r="O286"/>
      <c r="P286"/>
      <c r="Q286"/>
      <c r="R286"/>
      <c r="S286"/>
    </row>
    <row r="287" spans="1:19" x14ac:dyDescent="0.25">
      <c r="A287" t="s">
        <v>3</v>
      </c>
      <c r="B287">
        <v>143571</v>
      </c>
      <c r="C287"/>
      <c r="D287"/>
      <c r="E287"/>
      <c r="F287"/>
      <c r="G287" t="s">
        <v>8098</v>
      </c>
      <c r="H287"/>
      <c r="I287"/>
      <c r="J287"/>
      <c r="K287"/>
      <c r="L287"/>
      <c r="M287"/>
      <c r="N287"/>
      <c r="O287"/>
      <c r="P287"/>
      <c r="Q287"/>
      <c r="R287"/>
      <c r="S287"/>
    </row>
    <row r="288" spans="1:19" x14ac:dyDescent="0.25">
      <c r="A288" t="s">
        <v>3</v>
      </c>
      <c r="B288">
        <v>132913</v>
      </c>
      <c r="C288">
        <v>549</v>
      </c>
      <c r="D288" t="s">
        <v>8054</v>
      </c>
      <c r="E288"/>
      <c r="F288"/>
      <c r="G288">
        <v>549</v>
      </c>
      <c r="H288"/>
      <c r="I288"/>
      <c r="J288"/>
      <c r="K288"/>
      <c r="L288"/>
      <c r="M288"/>
      <c r="N288"/>
      <c r="O288"/>
      <c r="P288"/>
      <c r="Q288"/>
      <c r="R288"/>
      <c r="S288"/>
    </row>
    <row r="289" spans="1:19" x14ac:dyDescent="0.25">
      <c r="A289" t="s">
        <v>3</v>
      </c>
      <c r="B289">
        <v>132905</v>
      </c>
      <c r="C289">
        <v>549</v>
      </c>
      <c r="D289" t="s">
        <v>8054</v>
      </c>
      <c r="E289"/>
      <c r="F289"/>
      <c r="G289">
        <v>549</v>
      </c>
      <c r="H289"/>
      <c r="I289"/>
      <c r="J289"/>
      <c r="K289"/>
      <c r="L289"/>
      <c r="M289"/>
      <c r="N289"/>
      <c r="O289"/>
      <c r="P289"/>
      <c r="Q289"/>
      <c r="R289"/>
      <c r="S289"/>
    </row>
    <row r="290" spans="1:19" x14ac:dyDescent="0.25">
      <c r="A290" t="s">
        <v>3</v>
      </c>
      <c r="B290">
        <v>132909</v>
      </c>
      <c r="C290">
        <v>549</v>
      </c>
      <c r="D290" t="s">
        <v>8054</v>
      </c>
      <c r="E290"/>
      <c r="F290"/>
      <c r="G290">
        <v>549</v>
      </c>
      <c r="H290"/>
      <c r="I290"/>
      <c r="J290"/>
      <c r="K290"/>
      <c r="L290"/>
      <c r="M290"/>
      <c r="N290"/>
      <c r="O290"/>
      <c r="P290"/>
      <c r="Q290"/>
      <c r="R290"/>
      <c r="S290"/>
    </row>
    <row r="291" spans="1:19" x14ac:dyDescent="0.25">
      <c r="A291" t="s">
        <v>3</v>
      </c>
      <c r="B291">
        <v>132906</v>
      </c>
      <c r="C291">
        <v>549</v>
      </c>
      <c r="D291" t="s">
        <v>8054</v>
      </c>
      <c r="E291"/>
      <c r="F291"/>
      <c r="G291">
        <v>549</v>
      </c>
      <c r="H291"/>
      <c r="I291"/>
      <c r="J291"/>
      <c r="K291"/>
      <c r="L291"/>
      <c r="M291"/>
      <c r="N291"/>
      <c r="O291"/>
      <c r="P291"/>
      <c r="Q291"/>
      <c r="R291"/>
      <c r="S291"/>
    </row>
    <row r="292" spans="1:19" x14ac:dyDescent="0.25">
      <c r="A292" t="s">
        <v>3</v>
      </c>
      <c r="B292">
        <v>132907</v>
      </c>
      <c r="C292">
        <v>549</v>
      </c>
      <c r="D292" t="s">
        <v>8054</v>
      </c>
      <c r="E292"/>
      <c r="F292"/>
      <c r="G292">
        <v>549</v>
      </c>
      <c r="H292"/>
      <c r="I292"/>
      <c r="J292"/>
      <c r="K292"/>
      <c r="L292"/>
      <c r="M292"/>
      <c r="N292"/>
      <c r="O292"/>
      <c r="P292"/>
      <c r="Q292"/>
      <c r="R292"/>
      <c r="S292"/>
    </row>
    <row r="293" spans="1:19" x14ac:dyDescent="0.25">
      <c r="A293" t="s">
        <v>3</v>
      </c>
      <c r="B293">
        <v>132922</v>
      </c>
      <c r="C293">
        <v>549</v>
      </c>
      <c r="D293" t="s">
        <v>8054</v>
      </c>
      <c r="E293"/>
      <c r="F293"/>
      <c r="G293">
        <v>549</v>
      </c>
      <c r="H293"/>
      <c r="I293"/>
      <c r="J293"/>
      <c r="K293"/>
      <c r="L293"/>
      <c r="M293"/>
      <c r="N293"/>
      <c r="O293"/>
      <c r="P293"/>
      <c r="Q293"/>
      <c r="R293"/>
      <c r="S293"/>
    </row>
    <row r="294" spans="1:19" x14ac:dyDescent="0.25">
      <c r="A294" t="s">
        <v>3</v>
      </c>
      <c r="B294">
        <v>132910</v>
      </c>
      <c r="C294">
        <v>549</v>
      </c>
      <c r="D294" t="s">
        <v>8054</v>
      </c>
      <c r="E294"/>
      <c r="F294"/>
      <c r="G294">
        <v>549</v>
      </c>
      <c r="H294"/>
      <c r="I294"/>
      <c r="J294"/>
      <c r="K294"/>
      <c r="L294"/>
      <c r="M294"/>
      <c r="N294"/>
      <c r="O294"/>
      <c r="P294"/>
      <c r="Q294"/>
      <c r="R294"/>
      <c r="S294"/>
    </row>
    <row r="295" spans="1:19" x14ac:dyDescent="0.25">
      <c r="A295" t="s">
        <v>3</v>
      </c>
      <c r="B295">
        <v>132912</v>
      </c>
      <c r="C295">
        <v>549</v>
      </c>
      <c r="D295" t="s">
        <v>8054</v>
      </c>
      <c r="E295"/>
      <c r="F295"/>
      <c r="G295">
        <v>549</v>
      </c>
      <c r="H295"/>
      <c r="I295"/>
      <c r="J295"/>
      <c r="K295"/>
      <c r="L295"/>
      <c r="M295"/>
      <c r="N295"/>
      <c r="O295"/>
      <c r="P295"/>
      <c r="Q295"/>
      <c r="R295"/>
      <c r="S295"/>
    </row>
    <row r="296" spans="1:19" x14ac:dyDescent="0.25">
      <c r="A296" t="s">
        <v>3</v>
      </c>
      <c r="B296">
        <v>132914</v>
      </c>
      <c r="C296">
        <v>549</v>
      </c>
      <c r="D296" t="s">
        <v>8054</v>
      </c>
      <c r="E296"/>
      <c r="F296"/>
      <c r="G296">
        <v>549</v>
      </c>
      <c r="H296"/>
      <c r="I296"/>
      <c r="J296"/>
      <c r="K296"/>
      <c r="L296"/>
      <c r="M296"/>
      <c r="N296"/>
      <c r="O296"/>
      <c r="P296"/>
      <c r="Q296"/>
      <c r="R296"/>
      <c r="S296"/>
    </row>
    <row r="297" spans="1:19" x14ac:dyDescent="0.25">
      <c r="A297" t="s">
        <v>3</v>
      </c>
      <c r="B297">
        <v>132915</v>
      </c>
      <c r="C297">
        <v>549</v>
      </c>
      <c r="D297" t="s">
        <v>8054</v>
      </c>
      <c r="E297"/>
      <c r="F297"/>
      <c r="G297">
        <v>549</v>
      </c>
      <c r="H297"/>
      <c r="I297"/>
      <c r="J297"/>
      <c r="K297"/>
      <c r="L297"/>
      <c r="M297"/>
      <c r="N297"/>
      <c r="O297"/>
      <c r="P297"/>
      <c r="Q297"/>
      <c r="R297"/>
      <c r="S297"/>
    </row>
    <row r="298" spans="1:19" x14ac:dyDescent="0.25">
      <c r="A298" t="s">
        <v>3</v>
      </c>
      <c r="B298">
        <v>132927</v>
      </c>
      <c r="C298">
        <v>549</v>
      </c>
      <c r="D298" t="s">
        <v>8054</v>
      </c>
      <c r="E298"/>
      <c r="F298"/>
      <c r="G298">
        <v>549</v>
      </c>
      <c r="H298"/>
      <c r="I298"/>
      <c r="J298"/>
      <c r="K298"/>
      <c r="L298"/>
      <c r="M298"/>
      <c r="N298"/>
      <c r="O298"/>
      <c r="P298"/>
      <c r="Q298"/>
      <c r="R298"/>
      <c r="S298"/>
    </row>
    <row r="299" spans="1:19" x14ac:dyDescent="0.25">
      <c r="A299" t="s">
        <v>3</v>
      </c>
      <c r="B299">
        <v>132917</v>
      </c>
      <c r="C299">
        <v>549</v>
      </c>
      <c r="D299" t="s">
        <v>8054</v>
      </c>
      <c r="E299"/>
      <c r="F299"/>
      <c r="G299">
        <v>549</v>
      </c>
      <c r="H299"/>
      <c r="I299"/>
      <c r="J299"/>
      <c r="K299"/>
      <c r="L299"/>
      <c r="M299"/>
      <c r="N299"/>
      <c r="O299"/>
      <c r="P299"/>
      <c r="Q299"/>
      <c r="R299"/>
      <c r="S299"/>
    </row>
    <row r="300" spans="1:19" x14ac:dyDescent="0.25">
      <c r="A300" t="s">
        <v>3</v>
      </c>
      <c r="B300">
        <v>132919</v>
      </c>
      <c r="C300">
        <v>549</v>
      </c>
      <c r="D300" t="s">
        <v>8054</v>
      </c>
      <c r="E300"/>
      <c r="F300"/>
      <c r="G300">
        <v>549</v>
      </c>
      <c r="H300"/>
      <c r="I300"/>
      <c r="J300"/>
      <c r="K300"/>
      <c r="L300"/>
      <c r="M300"/>
      <c r="N300"/>
      <c r="O300"/>
      <c r="P300"/>
      <c r="Q300"/>
      <c r="R300"/>
      <c r="S300"/>
    </row>
    <row r="301" spans="1:19" x14ac:dyDescent="0.25">
      <c r="A301" t="s">
        <v>3</v>
      </c>
      <c r="B301">
        <v>132920</v>
      </c>
      <c r="C301">
        <v>549</v>
      </c>
      <c r="D301" t="s">
        <v>8054</v>
      </c>
      <c r="E301"/>
      <c r="F301"/>
      <c r="G301">
        <v>549</v>
      </c>
      <c r="H301"/>
      <c r="I301"/>
      <c r="J301"/>
      <c r="K301"/>
      <c r="L301"/>
      <c r="M301"/>
      <c r="N301"/>
      <c r="O301"/>
      <c r="P301"/>
      <c r="Q301"/>
      <c r="R301"/>
      <c r="S301"/>
    </row>
    <row r="302" spans="1:19" x14ac:dyDescent="0.25">
      <c r="A302" t="s">
        <v>3</v>
      </c>
      <c r="B302">
        <v>132923</v>
      </c>
      <c r="C302">
        <v>549</v>
      </c>
      <c r="D302" t="s">
        <v>8054</v>
      </c>
      <c r="E302"/>
      <c r="F302"/>
      <c r="G302">
        <v>549</v>
      </c>
      <c r="H302"/>
      <c r="I302"/>
      <c r="J302"/>
      <c r="K302"/>
      <c r="L302"/>
      <c r="M302"/>
      <c r="N302"/>
      <c r="O302"/>
      <c r="P302"/>
      <c r="Q302"/>
      <c r="R302"/>
      <c r="S302"/>
    </row>
    <row r="303" spans="1:19" x14ac:dyDescent="0.25">
      <c r="A303" t="s">
        <v>3</v>
      </c>
      <c r="B303">
        <v>132926</v>
      </c>
      <c r="C303">
        <v>549</v>
      </c>
      <c r="D303" t="s">
        <v>8054</v>
      </c>
      <c r="E303"/>
      <c r="F303"/>
      <c r="G303">
        <v>549</v>
      </c>
      <c r="H303"/>
      <c r="I303"/>
      <c r="J303"/>
      <c r="K303"/>
      <c r="L303"/>
      <c r="M303"/>
      <c r="N303"/>
      <c r="O303"/>
      <c r="P303"/>
      <c r="Q303"/>
      <c r="R303"/>
      <c r="S303"/>
    </row>
    <row r="304" spans="1:19" x14ac:dyDescent="0.25">
      <c r="A304" t="s">
        <v>3</v>
      </c>
      <c r="B304">
        <v>132925</v>
      </c>
      <c r="C304">
        <v>549</v>
      </c>
      <c r="D304" t="s">
        <v>8054</v>
      </c>
      <c r="E304"/>
      <c r="F304"/>
      <c r="G304">
        <v>549</v>
      </c>
      <c r="H304"/>
      <c r="I304"/>
      <c r="J304"/>
      <c r="K304"/>
      <c r="L304"/>
      <c r="M304"/>
      <c r="N304"/>
      <c r="O304"/>
      <c r="P304"/>
      <c r="Q304"/>
      <c r="R304"/>
      <c r="S304"/>
    </row>
    <row r="305" spans="1:19" x14ac:dyDescent="0.25">
      <c r="A305" t="s">
        <v>3</v>
      </c>
      <c r="B305">
        <v>132916</v>
      </c>
      <c r="C305">
        <v>549</v>
      </c>
      <c r="D305" t="s">
        <v>8054</v>
      </c>
      <c r="E305"/>
      <c r="F305"/>
      <c r="G305">
        <v>549</v>
      </c>
      <c r="H305"/>
      <c r="I305"/>
      <c r="J305"/>
      <c r="K305"/>
      <c r="L305"/>
      <c r="M305"/>
      <c r="N305"/>
      <c r="O305"/>
      <c r="P305"/>
      <c r="Q305"/>
      <c r="R305"/>
      <c r="S305"/>
    </row>
    <row r="306" spans="1:19" x14ac:dyDescent="0.25">
      <c r="A306" t="s">
        <v>3</v>
      </c>
      <c r="B306">
        <v>132911</v>
      </c>
      <c r="C306">
        <v>549</v>
      </c>
      <c r="D306" t="s">
        <v>8054</v>
      </c>
      <c r="E306"/>
      <c r="F306"/>
      <c r="G306">
        <v>549</v>
      </c>
      <c r="H306"/>
      <c r="I306"/>
      <c r="J306"/>
      <c r="K306"/>
      <c r="L306"/>
      <c r="M306"/>
      <c r="N306"/>
      <c r="O306"/>
      <c r="P306"/>
      <c r="Q306"/>
      <c r="R306"/>
      <c r="S306"/>
    </row>
    <row r="307" spans="1:19" x14ac:dyDescent="0.25">
      <c r="A307" t="s">
        <v>3</v>
      </c>
      <c r="B307">
        <v>132921</v>
      </c>
      <c r="C307">
        <v>549</v>
      </c>
      <c r="D307" t="s">
        <v>8054</v>
      </c>
      <c r="E307"/>
      <c r="F307"/>
      <c r="G307">
        <v>549</v>
      </c>
      <c r="H307"/>
      <c r="I307"/>
      <c r="J307"/>
      <c r="K307"/>
      <c r="L307"/>
      <c r="M307"/>
      <c r="N307"/>
      <c r="O307"/>
      <c r="P307"/>
      <c r="Q307"/>
      <c r="R307"/>
      <c r="S307"/>
    </row>
    <row r="308" spans="1:19" x14ac:dyDescent="0.25">
      <c r="A308" t="s">
        <v>3</v>
      </c>
      <c r="B308">
        <v>132908</v>
      </c>
      <c r="C308">
        <v>549</v>
      </c>
      <c r="D308" t="s">
        <v>8054</v>
      </c>
      <c r="E308"/>
      <c r="F308"/>
      <c r="G308">
        <v>549</v>
      </c>
      <c r="H308"/>
      <c r="I308"/>
      <c r="J308"/>
      <c r="K308"/>
      <c r="L308"/>
      <c r="M308"/>
      <c r="N308"/>
      <c r="O308"/>
      <c r="P308"/>
      <c r="Q308"/>
      <c r="R308"/>
      <c r="S308"/>
    </row>
    <row r="309" spans="1:19" x14ac:dyDescent="0.25">
      <c r="A309" t="s">
        <v>3</v>
      </c>
      <c r="B309">
        <v>132918</v>
      </c>
      <c r="C309">
        <v>549</v>
      </c>
      <c r="D309" t="s">
        <v>8054</v>
      </c>
      <c r="E309"/>
      <c r="F309"/>
      <c r="G309">
        <v>549</v>
      </c>
      <c r="H309"/>
      <c r="I309"/>
      <c r="J309"/>
      <c r="K309"/>
      <c r="L309"/>
      <c r="M309"/>
      <c r="N309"/>
      <c r="O309"/>
      <c r="P309"/>
      <c r="Q309"/>
      <c r="R309"/>
      <c r="S309"/>
    </row>
    <row r="310" spans="1:19" x14ac:dyDescent="0.25">
      <c r="A310" t="s">
        <v>3</v>
      </c>
      <c r="B310">
        <v>132924</v>
      </c>
      <c r="C310">
        <v>549</v>
      </c>
      <c r="D310" t="s">
        <v>8054</v>
      </c>
      <c r="E310"/>
      <c r="F310"/>
      <c r="G310">
        <v>549</v>
      </c>
      <c r="H310"/>
      <c r="I310"/>
      <c r="J310"/>
      <c r="K310"/>
      <c r="L310"/>
      <c r="M310"/>
      <c r="N310"/>
      <c r="O310"/>
      <c r="P310"/>
      <c r="Q310"/>
      <c r="R310"/>
      <c r="S310"/>
    </row>
    <row r="311" spans="1:19" x14ac:dyDescent="0.25">
      <c r="A311" t="s">
        <v>3</v>
      </c>
      <c r="B311">
        <v>181292</v>
      </c>
      <c r="C311"/>
      <c r="D311"/>
      <c r="E311"/>
      <c r="F311"/>
      <c r="G311" t="s">
        <v>8098</v>
      </c>
      <c r="H311"/>
      <c r="I311"/>
      <c r="J311"/>
      <c r="K311"/>
      <c r="L311"/>
      <c r="M311"/>
      <c r="N311"/>
      <c r="O311"/>
      <c r="P311"/>
      <c r="Q311"/>
      <c r="R311"/>
      <c r="S311"/>
    </row>
    <row r="312" spans="1:19" x14ac:dyDescent="0.25">
      <c r="A312" t="s">
        <v>3</v>
      </c>
      <c r="B312">
        <v>181289</v>
      </c>
      <c r="C312"/>
      <c r="D312"/>
      <c r="E312"/>
      <c r="F312"/>
      <c r="G312" t="s">
        <v>8098</v>
      </c>
      <c r="H312"/>
      <c r="I312"/>
      <c r="J312"/>
      <c r="K312"/>
      <c r="L312"/>
      <c r="M312"/>
      <c r="N312"/>
      <c r="O312"/>
      <c r="P312"/>
      <c r="Q312"/>
      <c r="R312"/>
      <c r="S312"/>
    </row>
    <row r="313" spans="1:19" x14ac:dyDescent="0.25">
      <c r="A313" t="s">
        <v>3</v>
      </c>
      <c r="B313">
        <v>185758</v>
      </c>
      <c r="C313"/>
      <c r="D313"/>
      <c r="E313"/>
      <c r="F313"/>
      <c r="G313" t="s">
        <v>8098</v>
      </c>
      <c r="H313"/>
      <c r="I313"/>
      <c r="J313"/>
      <c r="K313"/>
      <c r="L313"/>
      <c r="M313"/>
      <c r="N313"/>
      <c r="O313"/>
      <c r="P313"/>
      <c r="Q313"/>
      <c r="R313"/>
      <c r="S313"/>
    </row>
    <row r="314" spans="1:19" x14ac:dyDescent="0.25">
      <c r="A314" t="s">
        <v>3</v>
      </c>
      <c r="B314">
        <v>117320</v>
      </c>
      <c r="C314"/>
      <c r="D314"/>
      <c r="E314"/>
      <c r="F314"/>
      <c r="G314" t="s">
        <v>8098</v>
      </c>
      <c r="H314"/>
      <c r="I314"/>
      <c r="J314"/>
      <c r="K314"/>
      <c r="L314"/>
      <c r="M314"/>
      <c r="N314"/>
      <c r="O314"/>
      <c r="P314"/>
      <c r="Q314"/>
      <c r="R314"/>
      <c r="S314"/>
    </row>
    <row r="315" spans="1:19" x14ac:dyDescent="0.25">
      <c r="A315" t="s">
        <v>3</v>
      </c>
      <c r="B315">
        <v>155899</v>
      </c>
      <c r="C315"/>
      <c r="D315"/>
      <c r="E315"/>
      <c r="F315"/>
      <c r="G315" t="s">
        <v>8098</v>
      </c>
      <c r="H315"/>
      <c r="I315"/>
      <c r="J315"/>
      <c r="K315"/>
      <c r="L315"/>
      <c r="M315"/>
      <c r="N315"/>
      <c r="O315"/>
      <c r="P315"/>
      <c r="Q315"/>
      <c r="R315"/>
      <c r="S315"/>
    </row>
    <row r="316" spans="1:19" x14ac:dyDescent="0.25">
      <c r="A316" t="s">
        <v>3</v>
      </c>
      <c r="B316">
        <v>160662</v>
      </c>
      <c r="C316"/>
      <c r="D316"/>
      <c r="E316"/>
      <c r="F316"/>
      <c r="G316" t="s">
        <v>8098</v>
      </c>
      <c r="H316"/>
      <c r="I316"/>
      <c r="J316"/>
      <c r="K316"/>
      <c r="L316"/>
      <c r="M316"/>
      <c r="N316"/>
      <c r="O316"/>
      <c r="P316"/>
      <c r="Q316"/>
      <c r="R316"/>
      <c r="S316"/>
    </row>
    <row r="317" spans="1:19" x14ac:dyDescent="0.25">
      <c r="A317" t="s">
        <v>3</v>
      </c>
      <c r="B317">
        <v>186356</v>
      </c>
      <c r="C317">
        <v>590</v>
      </c>
      <c r="D317" t="s">
        <v>8062</v>
      </c>
      <c r="E317"/>
      <c r="F317"/>
      <c r="G317">
        <v>590</v>
      </c>
      <c r="H317"/>
      <c r="I317"/>
      <c r="J317"/>
      <c r="K317"/>
      <c r="L317"/>
      <c r="M317"/>
      <c r="N317"/>
      <c r="O317"/>
      <c r="P317"/>
      <c r="Q317"/>
      <c r="R317"/>
      <c r="S317"/>
    </row>
    <row r="318" spans="1:19" x14ac:dyDescent="0.25">
      <c r="A318" t="s">
        <v>3</v>
      </c>
      <c r="B318">
        <v>274401</v>
      </c>
      <c r="C318"/>
      <c r="D318"/>
      <c r="E318"/>
      <c r="F318"/>
      <c r="G318" t="s">
        <v>8098</v>
      </c>
      <c r="H318"/>
      <c r="I318"/>
      <c r="J318"/>
      <c r="K318"/>
      <c r="L318"/>
      <c r="M318"/>
      <c r="N318"/>
      <c r="O318"/>
      <c r="P318"/>
      <c r="Q318"/>
      <c r="R318"/>
      <c r="S318"/>
    </row>
    <row r="319" spans="1:19" x14ac:dyDescent="0.25">
      <c r="A319" t="s">
        <v>3</v>
      </c>
      <c r="B319">
        <v>274402</v>
      </c>
      <c r="C319"/>
      <c r="D319"/>
      <c r="E319"/>
      <c r="F319"/>
      <c r="G319" t="s">
        <v>8098</v>
      </c>
      <c r="H319"/>
      <c r="I319"/>
      <c r="J319"/>
      <c r="K319"/>
      <c r="L319"/>
      <c r="M319"/>
      <c r="N319"/>
      <c r="O319"/>
      <c r="P319"/>
      <c r="Q319"/>
      <c r="R319"/>
      <c r="S319"/>
    </row>
    <row r="320" spans="1:19" x14ac:dyDescent="0.25">
      <c r="A320" t="s">
        <v>3</v>
      </c>
      <c r="B320">
        <v>274400</v>
      </c>
      <c r="C320"/>
      <c r="D320"/>
      <c r="E320"/>
      <c r="F320"/>
      <c r="G320" t="s">
        <v>8098</v>
      </c>
      <c r="H320"/>
      <c r="I320"/>
      <c r="J320"/>
      <c r="K320"/>
      <c r="L320"/>
      <c r="M320"/>
      <c r="N320"/>
      <c r="O320"/>
      <c r="P320"/>
      <c r="Q320"/>
      <c r="R320"/>
      <c r="S320"/>
    </row>
    <row r="321" spans="1:19" x14ac:dyDescent="0.25">
      <c r="A321" t="s">
        <v>3</v>
      </c>
      <c r="B321">
        <v>219054</v>
      </c>
      <c r="C321"/>
      <c r="D321"/>
      <c r="E321"/>
      <c r="F321"/>
      <c r="G321" t="s">
        <v>8098</v>
      </c>
      <c r="H321"/>
      <c r="I321"/>
      <c r="J321"/>
      <c r="K321"/>
      <c r="L321"/>
      <c r="M321"/>
      <c r="N321"/>
      <c r="O321"/>
      <c r="P321"/>
      <c r="Q321"/>
      <c r="R321"/>
      <c r="S321"/>
    </row>
    <row r="322" spans="1:19" x14ac:dyDescent="0.25">
      <c r="A322" t="s">
        <v>3</v>
      </c>
      <c r="B322">
        <v>264918</v>
      </c>
      <c r="C322"/>
      <c r="D322"/>
      <c r="E322"/>
      <c r="F322"/>
      <c r="G322" t="s">
        <v>8098</v>
      </c>
      <c r="H322"/>
      <c r="I322"/>
      <c r="J322"/>
      <c r="K322"/>
      <c r="L322"/>
      <c r="M322"/>
      <c r="N322"/>
      <c r="O322"/>
      <c r="P322"/>
      <c r="Q322"/>
      <c r="R322"/>
      <c r="S322"/>
    </row>
    <row r="323" spans="1:19" x14ac:dyDescent="0.25">
      <c r="A323" t="s">
        <v>3</v>
      </c>
      <c r="B323">
        <v>264919</v>
      </c>
      <c r="C323"/>
      <c r="D323"/>
      <c r="E323"/>
      <c r="F323"/>
      <c r="G323" t="s">
        <v>8098</v>
      </c>
      <c r="H323"/>
      <c r="I323"/>
      <c r="J323"/>
      <c r="K323"/>
      <c r="L323"/>
      <c r="M323"/>
      <c r="N323"/>
      <c r="O323"/>
      <c r="P323"/>
      <c r="Q323"/>
      <c r="R323"/>
      <c r="S323"/>
    </row>
    <row r="324" spans="1:19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</row>
    <row r="325" spans="1:19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</row>
    <row r="326" spans="1:19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</row>
    <row r="327" spans="1:19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</row>
    <row r="328" spans="1:19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</row>
    <row r="329" spans="1:19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</row>
    <row r="330" spans="1:19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</row>
    <row r="331" spans="1:19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</row>
    <row r="332" spans="1:19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</row>
    <row r="333" spans="1:19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</row>
    <row r="334" spans="1:19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</row>
    <row r="335" spans="1:19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</row>
    <row r="336" spans="1:19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</row>
    <row r="337" spans="1:19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</row>
    <row r="338" spans="1:19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</row>
    <row r="339" spans="1:19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</row>
    <row r="340" spans="1:19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</row>
    <row r="341" spans="1:19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</row>
    <row r="342" spans="1:19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</row>
    <row r="343" spans="1:19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</row>
    <row r="344" spans="1:19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</row>
    <row r="345" spans="1:19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</row>
    <row r="346" spans="1:19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</row>
    <row r="347" spans="1:19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</row>
    <row r="348" spans="1:19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</row>
    <row r="349" spans="1:19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</row>
    <row r="350" spans="1:19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</row>
    <row r="351" spans="1:19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</row>
    <row r="352" spans="1:19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</row>
    <row r="353" spans="1:19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</row>
    <row r="354" spans="1:19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</row>
    <row r="355" spans="1:19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</row>
    <row r="356" spans="1:19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</row>
    <row r="357" spans="1:19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</row>
    <row r="358" spans="1:19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</row>
    <row r="359" spans="1:19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</row>
    <row r="360" spans="1:19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</row>
    <row r="361" spans="1:19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</row>
    <row r="362" spans="1:19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</row>
    <row r="363" spans="1:19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19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19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19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19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19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  <row r="426" spans="1:19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</row>
    <row r="427" spans="1:19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</row>
    <row r="428" spans="1:19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</row>
    <row r="429" spans="1:19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</row>
    <row r="430" spans="1:19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</row>
    <row r="431" spans="1:19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</row>
    <row r="432" spans="1:19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</row>
    <row r="433" spans="1:19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</row>
    <row r="434" spans="1:19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</row>
    <row r="435" spans="1:19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</row>
    <row r="436" spans="1:19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</row>
    <row r="437" spans="1:19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</row>
    <row r="438" spans="1:19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</row>
    <row r="439" spans="1:19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</row>
    <row r="440" spans="1:19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</row>
    <row r="441" spans="1:19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</row>
    <row r="442" spans="1:19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</row>
    <row r="443" spans="1:19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</row>
    <row r="444" spans="1:19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</row>
    <row r="445" spans="1:19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</row>
    <row r="446" spans="1:19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</row>
    <row r="447" spans="1:19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</row>
    <row r="448" spans="1:19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</row>
    <row r="449" spans="1:19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</row>
    <row r="450" spans="1:19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</row>
    <row r="451" spans="1:19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</row>
    <row r="452" spans="1:19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</row>
    <row r="453" spans="1:19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</row>
    <row r="454" spans="1:19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</row>
    <row r="455" spans="1:19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</row>
    <row r="456" spans="1:19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</row>
    <row r="457" spans="1:19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</row>
    <row r="458" spans="1:19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</row>
    <row r="459" spans="1:19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</row>
    <row r="460" spans="1:19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</row>
    <row r="461" spans="1:19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</row>
    <row r="462" spans="1:19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</row>
    <row r="463" spans="1:19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</row>
    <row r="464" spans="1:19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</row>
    <row r="465" spans="1:19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</row>
    <row r="466" spans="1:19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</row>
    <row r="467" spans="1:19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</row>
    <row r="468" spans="1:19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</row>
    <row r="469" spans="1:19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</row>
    <row r="470" spans="1:19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</row>
    <row r="471" spans="1:19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</row>
    <row r="472" spans="1:19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</row>
    <row r="473" spans="1:19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</row>
    <row r="474" spans="1:19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</row>
    <row r="475" spans="1:19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</row>
    <row r="476" spans="1:19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</row>
    <row r="477" spans="1:19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</row>
    <row r="478" spans="1:19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</row>
    <row r="479" spans="1:19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</row>
    <row r="480" spans="1:19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</row>
    <row r="481" spans="1:19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</row>
    <row r="482" spans="1:19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</row>
    <row r="483" spans="1:19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</row>
    <row r="484" spans="1:19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</row>
    <row r="485" spans="1:19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</row>
    <row r="486" spans="1:19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</row>
    <row r="487" spans="1:19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</row>
    <row r="488" spans="1:19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</row>
    <row r="489" spans="1:19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</row>
    <row r="490" spans="1:19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</row>
    <row r="491" spans="1:19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</row>
    <row r="492" spans="1:19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</row>
    <row r="493" spans="1:19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</row>
    <row r="494" spans="1:19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</row>
    <row r="495" spans="1:19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</row>
    <row r="496" spans="1:19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</row>
    <row r="497" spans="1:19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</row>
    <row r="498" spans="1:19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</row>
    <row r="499" spans="1:19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</row>
    <row r="500" spans="1:19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</row>
    <row r="501" spans="1:19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</row>
    <row r="502" spans="1:19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</row>
    <row r="503" spans="1:19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</row>
    <row r="504" spans="1:19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</row>
    <row r="505" spans="1:19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</row>
    <row r="506" spans="1:19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</row>
    <row r="507" spans="1:19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</row>
    <row r="508" spans="1:19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</row>
    <row r="509" spans="1:19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</row>
    <row r="510" spans="1:19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</row>
    <row r="511" spans="1:19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</row>
    <row r="512" spans="1:19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</row>
    <row r="513" spans="1:19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</row>
    <row r="514" spans="1:19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</row>
    <row r="515" spans="1:19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</row>
    <row r="516" spans="1:19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</row>
    <row r="517" spans="1:19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</row>
    <row r="518" spans="1:19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</row>
    <row r="519" spans="1:19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</row>
    <row r="520" spans="1:19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</row>
    <row r="521" spans="1:19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</row>
    <row r="522" spans="1:19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</row>
    <row r="523" spans="1:19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</row>
    <row r="524" spans="1:19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</row>
    <row r="525" spans="1:19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</row>
    <row r="526" spans="1:19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</row>
    <row r="527" spans="1:19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</row>
    <row r="528" spans="1:19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</row>
    <row r="529" spans="1:19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</row>
    <row r="530" spans="1:19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</row>
    <row r="531" spans="1:19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</row>
    <row r="532" spans="1:19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</row>
    <row r="533" spans="1:19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</row>
    <row r="534" spans="1:19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</row>
    <row r="535" spans="1:19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</row>
    <row r="536" spans="1:19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</row>
    <row r="537" spans="1:19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</row>
    <row r="538" spans="1:19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</row>
    <row r="539" spans="1:19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</row>
    <row r="540" spans="1:19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</row>
    <row r="541" spans="1:19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</row>
    <row r="542" spans="1:19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</row>
    <row r="543" spans="1:19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</row>
    <row r="544" spans="1:19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</row>
    <row r="545" spans="1:19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</row>
    <row r="546" spans="1:19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</row>
    <row r="547" spans="1:19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</row>
    <row r="548" spans="1:19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</row>
    <row r="549" spans="1:19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</row>
    <row r="550" spans="1:19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</row>
    <row r="551" spans="1:19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</row>
    <row r="552" spans="1:19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</row>
    <row r="553" spans="1:19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</row>
    <row r="554" spans="1:19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</row>
    <row r="555" spans="1:19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</row>
    <row r="556" spans="1:19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</row>
    <row r="557" spans="1:19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</row>
    <row r="558" spans="1:19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</row>
    <row r="559" spans="1:19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</row>
    <row r="560" spans="1:19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</row>
    <row r="561" spans="1:19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</row>
    <row r="562" spans="1:19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</row>
    <row r="563" spans="1:19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</row>
    <row r="564" spans="1:19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</row>
    <row r="565" spans="1:19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</row>
    <row r="566" spans="1:19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</row>
    <row r="567" spans="1:19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</row>
    <row r="568" spans="1:19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</row>
    <row r="569" spans="1:19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</row>
    <row r="570" spans="1:19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</row>
    <row r="571" spans="1:19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</row>
    <row r="572" spans="1:19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</row>
    <row r="573" spans="1:19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</row>
    <row r="574" spans="1:19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</row>
    <row r="575" spans="1:19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</row>
    <row r="576" spans="1:19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</row>
    <row r="577" spans="1:19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</row>
    <row r="578" spans="1:19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</row>
    <row r="579" spans="1:19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</row>
    <row r="580" spans="1:19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</row>
    <row r="581" spans="1:19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</row>
    <row r="582" spans="1:19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</row>
    <row r="583" spans="1:19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</row>
    <row r="584" spans="1:19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</row>
    <row r="585" spans="1:19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</row>
    <row r="586" spans="1:19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</row>
    <row r="587" spans="1:19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</row>
    <row r="588" spans="1:19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</row>
    <row r="589" spans="1:19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</row>
    <row r="590" spans="1:19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</row>
    <row r="591" spans="1:19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</row>
    <row r="592" spans="1:19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</row>
    <row r="593" spans="1:19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</row>
    <row r="594" spans="1:19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</row>
    <row r="595" spans="1:19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</row>
    <row r="596" spans="1:19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</row>
    <row r="597" spans="1:19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</row>
    <row r="598" spans="1:19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</row>
    <row r="599" spans="1:19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</row>
    <row r="600" spans="1:19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</row>
    <row r="601" spans="1:19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</row>
    <row r="602" spans="1:19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</row>
    <row r="603" spans="1:19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</row>
    <row r="604" spans="1:19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</row>
    <row r="605" spans="1:19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</row>
    <row r="606" spans="1:19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</row>
    <row r="607" spans="1:19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</row>
    <row r="608" spans="1:19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</row>
    <row r="609" spans="1:19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</row>
    <row r="610" spans="1:19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</row>
    <row r="611" spans="1:19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</row>
    <row r="612" spans="1:19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</row>
    <row r="613" spans="1:19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</row>
    <row r="614" spans="1:19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</row>
    <row r="615" spans="1:19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</row>
    <row r="616" spans="1:19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</row>
    <row r="617" spans="1:19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</row>
    <row r="618" spans="1:19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</row>
    <row r="619" spans="1:19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</row>
    <row r="620" spans="1:19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</row>
    <row r="621" spans="1:19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</row>
    <row r="622" spans="1:19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</row>
    <row r="623" spans="1:19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</row>
    <row r="624" spans="1:19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</row>
    <row r="625" spans="1:19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</row>
    <row r="626" spans="1:19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</row>
    <row r="627" spans="1:19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</row>
    <row r="628" spans="1:19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</row>
    <row r="629" spans="1:19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</row>
    <row r="630" spans="1:19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</row>
    <row r="631" spans="1:19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</row>
    <row r="632" spans="1:19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</row>
    <row r="633" spans="1:19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</row>
    <row r="634" spans="1:19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</row>
    <row r="635" spans="1:19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</row>
    <row r="636" spans="1:19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</row>
    <row r="637" spans="1:19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</row>
    <row r="638" spans="1:19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</row>
    <row r="639" spans="1:19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</row>
    <row r="640" spans="1:19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</row>
    <row r="641" spans="1:19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</row>
    <row r="642" spans="1:19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</row>
    <row r="643" spans="1:19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</row>
    <row r="644" spans="1:19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</row>
    <row r="645" spans="1:19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</row>
    <row r="646" spans="1:19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</row>
    <row r="647" spans="1:19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</row>
    <row r="648" spans="1:19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</row>
    <row r="649" spans="1:19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</row>
    <row r="650" spans="1:19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</row>
    <row r="651" spans="1:19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</row>
    <row r="652" spans="1:19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</row>
    <row r="653" spans="1:19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</row>
    <row r="654" spans="1:19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</row>
    <row r="655" spans="1:19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</row>
    <row r="656" spans="1:19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</row>
    <row r="657" spans="1:19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</row>
    <row r="658" spans="1:19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</row>
    <row r="659" spans="1:19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</row>
    <row r="660" spans="1:19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</row>
    <row r="661" spans="1:19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</row>
    <row r="662" spans="1:19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</row>
    <row r="663" spans="1:19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</row>
    <row r="664" spans="1:19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</row>
    <row r="665" spans="1:19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</row>
    <row r="666" spans="1:19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</row>
    <row r="667" spans="1:19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</row>
    <row r="668" spans="1:19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</row>
    <row r="669" spans="1:19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</row>
    <row r="670" spans="1:19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</row>
    <row r="671" spans="1:19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</row>
    <row r="672" spans="1:19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</row>
    <row r="673" spans="1:19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</row>
    <row r="674" spans="1:19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</row>
    <row r="675" spans="1:19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</row>
    <row r="676" spans="1:19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</row>
    <row r="677" spans="1:19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</row>
    <row r="678" spans="1:19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</row>
    <row r="679" spans="1:19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</row>
    <row r="680" spans="1:19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</row>
    <row r="681" spans="1:19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</row>
    <row r="682" spans="1:19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</row>
    <row r="683" spans="1:19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</row>
    <row r="684" spans="1:19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</row>
    <row r="685" spans="1:19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</row>
    <row r="686" spans="1:19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</row>
    <row r="687" spans="1:19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</row>
    <row r="688" spans="1:19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</row>
    <row r="689" spans="1:19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</row>
    <row r="690" spans="1:19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</row>
    <row r="691" spans="1:19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</row>
    <row r="692" spans="1:19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</row>
    <row r="693" spans="1:19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</row>
    <row r="694" spans="1:19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</row>
    <row r="695" spans="1:19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</row>
    <row r="696" spans="1:19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</row>
    <row r="697" spans="1:19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</row>
    <row r="698" spans="1:19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</row>
    <row r="699" spans="1:19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</row>
    <row r="700" spans="1:19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</row>
    <row r="701" spans="1:19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</row>
    <row r="702" spans="1:19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</row>
    <row r="703" spans="1:19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</row>
    <row r="704" spans="1:19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</row>
    <row r="705" spans="1:19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</row>
    <row r="706" spans="1:19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</row>
    <row r="707" spans="1:19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</row>
    <row r="708" spans="1:19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</row>
    <row r="709" spans="1:19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</row>
    <row r="710" spans="1:19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</row>
    <row r="711" spans="1:19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</row>
    <row r="712" spans="1:19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</row>
    <row r="713" spans="1:19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</row>
    <row r="714" spans="1:19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</row>
    <row r="715" spans="1:19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</row>
    <row r="716" spans="1:19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</row>
    <row r="717" spans="1:19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3A1A40-311D-4DF0-8A92-6BB8E6B4B9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Кат</vt:lpstr>
      <vt:lpstr>Торг</vt:lpstr>
      <vt:lpstr>Прайс</vt:lpstr>
      <vt:lpstr>Наценка</vt:lpstr>
      <vt:lpstr>Выгр Кат</vt:lpstr>
      <vt:lpstr>Выгр Торг</vt:lpstr>
      <vt:lpstr>Ссылки</vt:lpstr>
      <vt:lpstr>Из ГУГЛа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М</dc:creator>
  <cp:lastModifiedBy>Snab TimeTurbo</cp:lastModifiedBy>
  <dcterms:created xsi:type="dcterms:W3CDTF">2022-06-10T13:08:57Z</dcterms:created>
  <dcterms:modified xsi:type="dcterms:W3CDTF">2024-06-27T09:32:37Z</dcterms:modified>
</cp:coreProperties>
</file>